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6c9e8928e28eb49/process/Tech automation/sample data to arca/FLA/"/>
    </mc:Choice>
  </mc:AlternateContent>
  <xr:revisionPtr revIDLastSave="186" documentId="13_ncr:1_{BB81FE49-72B0-4DAF-B778-BE6AF6BCAE8C}" xr6:coauthVersionLast="47" xr6:coauthVersionMax="47" xr10:uidLastSave="{D29926F1-F969-40DA-963C-3EB5CB7DA20C}"/>
  <bookViews>
    <workbookView xWindow="-108" yWindow="-108" windowWidth="23256" windowHeight="12456" tabRatio="500" firstSheet="3" activeTab="3" xr2:uid="{00000000-000D-0000-FFFF-FFFF00000000}"/>
  </bookViews>
  <sheets>
    <sheet name="0_INSTRUCTIONS" sheetId="1" state="hidden" r:id="rId1"/>
    <sheet name="1_APPLICABILITY" sheetId="2" state="hidden" r:id="rId2"/>
    <sheet name="2_FINANCIALS" sheetId="3" state="hidden" r:id="rId3"/>
    <sheet name="3_FLA_RETURN" sheetId="4" r:id="rId4"/>
    <sheet name="4_VALIDATION" sheetId="5" state="hidden" r:id="rId5"/>
    <sheet name="ANNEX – NIC Codes" sheetId="6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3" i="3" l="1"/>
  <c r="D160" i="3"/>
  <c r="E15" i="5"/>
  <c r="D15" i="5"/>
  <c r="E14" i="5"/>
  <c r="D14" i="5"/>
  <c r="E13" i="5"/>
  <c r="D13" i="5"/>
  <c r="E12" i="5"/>
  <c r="D12" i="5"/>
  <c r="E11" i="5"/>
  <c r="D11" i="5"/>
  <c r="E10" i="5"/>
  <c r="D10" i="5"/>
  <c r="E8" i="5"/>
  <c r="D8" i="5"/>
  <c r="E7" i="5"/>
  <c r="D7" i="5"/>
  <c r="E5" i="5"/>
  <c r="D5" i="5"/>
  <c r="E4" i="5"/>
  <c r="D4" i="5"/>
  <c r="E183" i="4"/>
  <c r="D183" i="4"/>
  <c r="E182" i="4"/>
  <c r="D182" i="4"/>
  <c r="E181" i="4"/>
  <c r="D181" i="4"/>
  <c r="E180" i="4"/>
  <c r="D180" i="4"/>
  <c r="E179" i="4"/>
  <c r="D179" i="4"/>
  <c r="D178" i="4"/>
  <c r="E175" i="4"/>
  <c r="D175" i="4"/>
  <c r="E174" i="4"/>
  <c r="D174" i="4"/>
  <c r="E173" i="4"/>
  <c r="D173" i="4"/>
  <c r="E172" i="4"/>
  <c r="D172" i="4"/>
  <c r="E171" i="4"/>
  <c r="D171" i="4"/>
  <c r="E170" i="4"/>
  <c r="D170" i="4"/>
  <c r="E169" i="4"/>
  <c r="D169" i="4"/>
  <c r="D168" i="4"/>
  <c r="D167" i="4"/>
  <c r="E164" i="4"/>
  <c r="D164" i="4"/>
  <c r="E161" i="4"/>
  <c r="D161" i="4"/>
  <c r="D147" i="4"/>
  <c r="D145" i="4"/>
  <c r="E140" i="4"/>
  <c r="D140" i="4"/>
  <c r="E139" i="4"/>
  <c r="D139" i="4"/>
  <c r="E138" i="4"/>
  <c r="D138" i="4"/>
  <c r="E134" i="4"/>
  <c r="D134" i="4"/>
  <c r="E133" i="4"/>
  <c r="D133" i="4"/>
  <c r="E132" i="4"/>
  <c r="D132" i="4"/>
  <c r="E131" i="4"/>
  <c r="D131" i="4"/>
  <c r="E130" i="4"/>
  <c r="D130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6" i="4"/>
  <c r="D116" i="4"/>
  <c r="D114" i="4"/>
  <c r="E113" i="4"/>
  <c r="D113" i="4"/>
  <c r="E112" i="4"/>
  <c r="D112" i="4"/>
  <c r="D107" i="4"/>
  <c r="D106" i="4"/>
  <c r="D105" i="4"/>
  <c r="E103" i="4"/>
  <c r="D103" i="4"/>
  <c r="D101" i="4"/>
  <c r="E100" i="4"/>
  <c r="D100" i="4"/>
  <c r="E99" i="4"/>
  <c r="D99" i="4"/>
  <c r="D94" i="4"/>
  <c r="D93" i="4"/>
  <c r="D92" i="4"/>
  <c r="E90" i="4"/>
  <c r="D90" i="4"/>
  <c r="E89" i="4"/>
  <c r="D89" i="4"/>
  <c r="E88" i="4"/>
  <c r="D88" i="4"/>
  <c r="E87" i="4"/>
  <c r="D87" i="4"/>
  <c r="E86" i="4"/>
  <c r="D86" i="4"/>
  <c r="D83" i="4"/>
  <c r="D82" i="4"/>
  <c r="D81" i="4"/>
  <c r="D80" i="4"/>
  <c r="D79" i="4"/>
  <c r="E74" i="4"/>
  <c r="D74" i="4"/>
  <c r="E71" i="4"/>
  <c r="D71" i="4"/>
  <c r="E70" i="4"/>
  <c r="D70" i="4"/>
  <c r="E68" i="4"/>
  <c r="D68" i="4"/>
  <c r="E67" i="4"/>
  <c r="D67" i="4"/>
  <c r="E64" i="4"/>
  <c r="D64" i="4"/>
  <c r="E63" i="4"/>
  <c r="D63" i="4"/>
  <c r="E60" i="4"/>
  <c r="D60" i="4"/>
  <c r="E59" i="4"/>
  <c r="D59" i="4"/>
  <c r="E58" i="4"/>
  <c r="D58" i="4"/>
  <c r="E57" i="4"/>
  <c r="D57" i="4"/>
  <c r="E53" i="4"/>
  <c r="D53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38" i="4"/>
  <c r="D38" i="4"/>
  <c r="E37" i="4"/>
  <c r="D37" i="4"/>
  <c r="E36" i="4"/>
  <c r="D36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D21" i="4"/>
  <c r="D20" i="4"/>
  <c r="D19" i="4"/>
  <c r="D18" i="4"/>
  <c r="D16" i="4"/>
  <c r="D15" i="4"/>
  <c r="D14" i="4"/>
  <c r="D13" i="4"/>
  <c r="D12" i="4"/>
  <c r="D11" i="4"/>
  <c r="D10" i="4"/>
  <c r="D9" i="4"/>
  <c r="D8" i="4"/>
  <c r="D7" i="4"/>
  <c r="D6" i="4"/>
  <c r="D5" i="4"/>
  <c r="D246" i="3"/>
  <c r="E189" i="4" s="1"/>
  <c r="C246" i="3"/>
  <c r="D189" i="4" s="1"/>
  <c r="D245" i="3"/>
  <c r="E188" i="4" s="1"/>
  <c r="C245" i="3"/>
  <c r="D188" i="4" s="1"/>
  <c r="D244" i="3"/>
  <c r="E187" i="4" s="1"/>
  <c r="C244" i="3"/>
  <c r="D187" i="4" s="1"/>
  <c r="D243" i="3"/>
  <c r="E186" i="4" s="1"/>
  <c r="C243" i="3"/>
  <c r="D186" i="4" s="1"/>
  <c r="D239" i="3"/>
  <c r="C239" i="3"/>
  <c r="D238" i="3"/>
  <c r="C238" i="3"/>
  <c r="D237" i="3"/>
  <c r="C237" i="3"/>
  <c r="D236" i="3"/>
  <c r="C236" i="3"/>
  <c r="D235" i="3"/>
  <c r="C235" i="3"/>
  <c r="D234" i="3"/>
  <c r="C234" i="3"/>
  <c r="D230" i="3"/>
  <c r="C230" i="3"/>
  <c r="D229" i="3"/>
  <c r="C229" i="3"/>
  <c r="D228" i="3"/>
  <c r="C228" i="3"/>
  <c r="D227" i="3"/>
  <c r="C227" i="3"/>
  <c r="D226" i="3"/>
  <c r="C226" i="3"/>
  <c r="D225" i="3"/>
  <c r="C225" i="3"/>
  <c r="D224" i="3"/>
  <c r="C224" i="3"/>
  <c r="D223" i="3"/>
  <c r="C223" i="3"/>
  <c r="D221" i="3"/>
  <c r="C221" i="3"/>
  <c r="D220" i="3"/>
  <c r="C220" i="3"/>
  <c r="D219" i="3"/>
  <c r="C219" i="3"/>
  <c r="D218" i="3"/>
  <c r="C218" i="3"/>
  <c r="D217" i="3"/>
  <c r="C217" i="3"/>
  <c r="D216" i="3"/>
  <c r="C216" i="3"/>
  <c r="D215" i="3"/>
  <c r="C215" i="3"/>
  <c r="D214" i="3"/>
  <c r="C214" i="3"/>
  <c r="D212" i="3"/>
  <c r="C212" i="3"/>
  <c r="D208" i="3"/>
  <c r="C208" i="3"/>
  <c r="D207" i="3"/>
  <c r="C207" i="3"/>
  <c r="D206" i="3"/>
  <c r="C206" i="3"/>
  <c r="D205" i="3"/>
  <c r="C205" i="3"/>
  <c r="D204" i="3"/>
  <c r="C204" i="3"/>
  <c r="D203" i="3"/>
  <c r="C203" i="3"/>
  <c r="D202" i="3"/>
  <c r="C202" i="3"/>
  <c r="D200" i="3"/>
  <c r="C200" i="3"/>
  <c r="D199" i="3"/>
  <c r="C199" i="3"/>
  <c r="D198" i="3"/>
  <c r="C198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8" i="3"/>
  <c r="C188" i="3"/>
  <c r="D187" i="3"/>
  <c r="C187" i="3"/>
  <c r="D186" i="3"/>
  <c r="C186" i="3"/>
  <c r="D185" i="3"/>
  <c r="C185" i="3"/>
  <c r="D183" i="3"/>
  <c r="C183" i="3"/>
  <c r="D182" i="3"/>
  <c r="C182" i="3"/>
  <c r="D181" i="3"/>
  <c r="C181" i="3"/>
  <c r="D180" i="3"/>
  <c r="E163" i="4" s="1"/>
  <c r="C180" i="3"/>
  <c r="D163" i="4" s="1"/>
  <c r="D179" i="3"/>
  <c r="E162" i="4" s="1"/>
  <c r="C179" i="3"/>
  <c r="D162" i="4" s="1"/>
  <c r="D178" i="3"/>
  <c r="C178" i="3"/>
  <c r="D177" i="3"/>
  <c r="E160" i="4" s="1"/>
  <c r="C177" i="3"/>
  <c r="D160" i="4" s="1"/>
  <c r="D175" i="3"/>
  <c r="E159" i="4" s="1"/>
  <c r="C175" i="3"/>
  <c r="D159" i="4" s="1"/>
  <c r="D174" i="3"/>
  <c r="E158" i="4" s="1"/>
  <c r="C174" i="3"/>
  <c r="D158" i="4" s="1"/>
  <c r="D173" i="3"/>
  <c r="E157" i="4" s="1"/>
  <c r="C173" i="3"/>
  <c r="D157" i="4" s="1"/>
  <c r="D172" i="3"/>
  <c r="E156" i="4" s="1"/>
  <c r="C172" i="3"/>
  <c r="D156" i="4" s="1"/>
  <c r="D171" i="3"/>
  <c r="E155" i="4" s="1"/>
  <c r="C171" i="3"/>
  <c r="D155" i="4" s="1"/>
  <c r="D170" i="3"/>
  <c r="E154" i="4" s="1"/>
  <c r="C170" i="3"/>
  <c r="D169" i="3"/>
  <c r="C169" i="3"/>
  <c r="D153" i="4" s="1"/>
  <c r="D168" i="3"/>
  <c r="E152" i="4" s="1"/>
  <c r="C168" i="3"/>
  <c r="D152" i="4" s="1"/>
  <c r="D167" i="3"/>
  <c r="E151" i="4" s="1"/>
  <c r="C167" i="3"/>
  <c r="D151" i="4" s="1"/>
  <c r="D166" i="3"/>
  <c r="E150" i="4" s="1"/>
  <c r="C166" i="3"/>
  <c r="D150" i="4" s="1"/>
  <c r="D165" i="3"/>
  <c r="E149" i="4" s="1"/>
  <c r="C165" i="3"/>
  <c r="D149" i="4" s="1"/>
  <c r="E148" i="4"/>
  <c r="D148" i="4"/>
  <c r="D162" i="3"/>
  <c r="E147" i="4" s="1"/>
  <c r="D161" i="3"/>
  <c r="E146" i="4" s="1"/>
  <c r="D146" i="4"/>
  <c r="E145" i="4"/>
  <c r="D153" i="3"/>
  <c r="C153" i="3"/>
  <c r="D152" i="3"/>
  <c r="C152" i="3"/>
  <c r="D151" i="3"/>
  <c r="C151" i="3"/>
  <c r="D150" i="3"/>
  <c r="C150" i="3"/>
  <c r="D146" i="3"/>
  <c r="C146" i="3"/>
  <c r="D145" i="3"/>
  <c r="C145" i="3"/>
  <c r="D144" i="3"/>
  <c r="C144" i="3"/>
  <c r="D143" i="3"/>
  <c r="C143" i="3"/>
  <c r="D142" i="3"/>
  <c r="C142" i="3"/>
  <c r="D138" i="3"/>
  <c r="E137" i="4" s="1"/>
  <c r="C138" i="3"/>
  <c r="D137" i="4" s="1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29" i="3"/>
  <c r="C129" i="3"/>
  <c r="D128" i="3"/>
  <c r="C128" i="3"/>
  <c r="D127" i="3"/>
  <c r="C127" i="3"/>
  <c r="D126" i="3"/>
  <c r="C126" i="3"/>
  <c r="D125" i="3"/>
  <c r="C125" i="3"/>
  <c r="D124" i="3"/>
  <c r="C124" i="3"/>
  <c r="D123" i="3"/>
  <c r="C123" i="3"/>
  <c r="D122" i="3"/>
  <c r="C122" i="3"/>
  <c r="D120" i="3"/>
  <c r="C120" i="3"/>
  <c r="D116" i="3"/>
  <c r="C116" i="3"/>
  <c r="D115" i="3"/>
  <c r="D114" i="3"/>
  <c r="C114" i="3"/>
  <c r="D113" i="3"/>
  <c r="C113" i="3"/>
  <c r="D112" i="3"/>
  <c r="C112" i="3"/>
  <c r="D111" i="3"/>
  <c r="C111" i="3"/>
  <c r="D110" i="3"/>
  <c r="C110" i="3"/>
  <c r="D108" i="3"/>
  <c r="C108" i="3"/>
  <c r="D107" i="3"/>
  <c r="D106" i="3"/>
  <c r="D104" i="3"/>
  <c r="E115" i="4" s="1"/>
  <c r="C104" i="3"/>
  <c r="D115" i="4" s="1"/>
  <c r="D103" i="3"/>
  <c r="E114" i="4" s="1"/>
  <c r="D102" i="3"/>
  <c r="C102" i="3"/>
  <c r="D101" i="3"/>
  <c r="C101" i="3"/>
  <c r="D100" i="3"/>
  <c r="E111" i="4" s="1"/>
  <c r="C100" i="3"/>
  <c r="D111" i="4" s="1"/>
  <c r="D99" i="3"/>
  <c r="E110" i="4" s="1"/>
  <c r="C99" i="3"/>
  <c r="D110" i="4" s="1"/>
  <c r="D98" i="3"/>
  <c r="C98" i="3"/>
  <c r="D109" i="4" s="1"/>
  <c r="D96" i="3"/>
  <c r="C96" i="3"/>
  <c r="D95" i="3"/>
  <c r="D94" i="3"/>
  <c r="D92" i="3"/>
  <c r="E102" i="4" s="1"/>
  <c r="C92" i="3"/>
  <c r="D102" i="4" s="1"/>
  <c r="D91" i="3"/>
  <c r="E101" i="4" s="1"/>
  <c r="D90" i="3"/>
  <c r="C90" i="3"/>
  <c r="D89" i="3"/>
  <c r="C89" i="3"/>
  <c r="D88" i="3"/>
  <c r="E98" i="4" s="1"/>
  <c r="C88" i="3"/>
  <c r="D98" i="4" s="1"/>
  <c r="D87" i="3"/>
  <c r="E97" i="4" s="1"/>
  <c r="C87" i="3"/>
  <c r="D97" i="4" s="1"/>
  <c r="D86" i="3"/>
  <c r="C86" i="3"/>
  <c r="D96" i="4" s="1"/>
  <c r="D84" i="3"/>
  <c r="C84" i="3"/>
  <c r="D83" i="3"/>
  <c r="D82" i="3"/>
  <c r="D76" i="3"/>
  <c r="E85" i="4" s="1"/>
  <c r="C76" i="3"/>
  <c r="D52" i="4" s="1"/>
  <c r="D75" i="3"/>
  <c r="E84" i="4" s="1"/>
  <c r="C75" i="3"/>
  <c r="E9" i="5" s="1"/>
  <c r="D56" i="3"/>
  <c r="E72" i="4" s="1"/>
  <c r="C56" i="3"/>
  <c r="D72" i="4" s="1"/>
  <c r="D53" i="3"/>
  <c r="D6" i="5" s="1"/>
  <c r="C53" i="3"/>
  <c r="D69" i="4" s="1"/>
  <c r="D48" i="3"/>
  <c r="C48" i="3"/>
  <c r="C109" i="3" s="1"/>
  <c r="D42" i="3"/>
  <c r="E61" i="4" s="1"/>
  <c r="C42" i="3"/>
  <c r="D61" i="4" s="1"/>
  <c r="D33" i="3"/>
  <c r="C33" i="3"/>
  <c r="D32" i="3"/>
  <c r="C32" i="3"/>
  <c r="D31" i="3"/>
  <c r="C31" i="3"/>
  <c r="D30" i="3"/>
  <c r="C30" i="3"/>
  <c r="D29" i="3"/>
  <c r="C29" i="3"/>
  <c r="C23" i="3"/>
  <c r="C21" i="3"/>
  <c r="C19" i="3"/>
  <c r="D17" i="4" s="1"/>
  <c r="E65" i="4" l="1"/>
  <c r="D85" i="3"/>
  <c r="E6" i="5"/>
  <c r="E17" i="5" s="1"/>
  <c r="C97" i="3"/>
  <c r="D108" i="4" s="1"/>
  <c r="D109" i="3"/>
  <c r="E52" i="4"/>
  <c r="E69" i="4"/>
  <c r="D85" i="4"/>
  <c r="C85" i="3"/>
  <c r="D95" i="4" s="1"/>
  <c r="D97" i="3"/>
  <c r="D65" i="4"/>
  <c r="D9" i="5"/>
  <c r="D8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EEB380F4-21B3-4B49-A12C-6D15E89A5CAB}">
      <text>
        <r>
          <rPr>
            <b/>
            <sz val="9"/>
            <color indexed="81"/>
            <rFont val="Tahoma"/>
            <family val="2"/>
          </rPr>
          <t xml:space="preserve">USER:
E-mail of head of institution - prefilled based on initial registration
</t>
        </r>
      </text>
    </comment>
    <comment ref="C16" authorId="0" shapeId="0" xr:uid="{4F1544A0-7918-418F-B293-089D04131F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If company has multiple NIC Codes, the one generating highest revenus should be mentioned - to add this guidance in tool </t>
        </r>
      </text>
    </comment>
    <comment ref="A34" authorId="0" shapeId="0" xr:uid="{B3680615-5189-451C-AC27-60987622BF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1.Total paid up capital
1.1 Total equity and participating preference share capital (The total figures are not there, rather the individual items are given) </t>
        </r>
      </text>
    </comment>
    <comment ref="A135" authorId="0" shapeId="0" xr:uid="{D40AD123-6B06-4E74-B0F7-E848738716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Total (auto - calculated) row is missing</t>
        </r>
      </text>
    </comment>
    <comment ref="C152" authorId="0" shapeId="0" xr:uid="{00CB38A5-141D-4C31-9A2C-9502779CB764}">
      <text>
        <r>
          <rPr>
            <b/>
            <sz val="9"/>
            <color indexed="81"/>
            <rFont val="Tahoma"/>
            <family val="2"/>
          </rPr>
          <t xml:space="preserve">Vijayashree: </t>
        </r>
        <r>
          <rPr>
            <sz val="9"/>
            <color indexed="81"/>
            <rFont val="Tahoma"/>
            <family val="2"/>
          </rPr>
          <t xml:space="preserve">
One row to be inserted below showcasing Networth of DIE </t>
        </r>
      </text>
    </comment>
    <comment ref="C189" authorId="0" shapeId="0" xr:uid="{804EB500-B281-4476-A076-CDE2F2C10584}">
      <text>
        <r>
          <rPr>
            <b/>
            <sz val="9"/>
            <color indexed="81"/>
            <rFont val="Tahoma"/>
            <family val="2"/>
          </rPr>
          <t xml:space="preserve">Vijayashree: 
</t>
        </r>
        <r>
          <rPr>
            <sz val="9"/>
            <color indexed="81"/>
            <rFont val="Tahoma"/>
            <family val="2"/>
          </rPr>
          <t xml:space="preserve">Total claims to be included for verification
</t>
        </r>
      </text>
    </comment>
  </commentList>
</comments>
</file>

<file path=xl/sharedStrings.xml><?xml version="1.0" encoding="utf-8"?>
<sst xmlns="http://schemas.openxmlformats.org/spreadsheetml/2006/main" count="1406" uniqueCount="919">
  <si>
    <t>FLA RETURN AUTOMATION TOOL – COMPLETE WORKFLOW FOR TRAINEES</t>
  </si>
  <si>
    <t>📋  HOW THIS TOOL WORKS</t>
  </si>
  <si>
    <t>This workbook has 3 key sheets that must be completed in ORDER:</t>
  </si>
  <si>
    <t xml:space="preserve">  1️⃣  APPLICABILITY  →  Tick Yes/No for what applies to the company</t>
  </si>
  <si>
    <t xml:space="preserve">  2️⃣  FINANCIALS  →  Enter balance sheet &amp; P&amp;L data (Companies Act 2013 format)</t>
  </si>
  <si>
    <t xml:space="preserve">  3️⃣  FLA RETURN  →  Auto-generated output ready to file on FLAIR portal</t>
  </si>
  <si>
    <t>🎯  STEP-BY-STEP WORKFLOW FOR TRAINEES</t>
  </si>
  <si>
    <t>Step 1: Open 1_APPLICABILITY sheet</t>
  </si>
  <si>
    <t xml:space="preserve">  • Read each applicability item carefully</t>
  </si>
  <si>
    <t xml:space="preserve">  • Set 'Yes' or 'No' in column C for each item</t>
  </si>
  <si>
    <t xml:space="preserve">  • This controls which fields appear in the Financials and FLA Return sheets</t>
  </si>
  <si>
    <t xml:space="preserve">  • Example: If 'Has FDI ≥10%' = No, then FDI investor fields will be greyed out</t>
  </si>
  <si>
    <t>Step 2: Open 2_FINANCIALS sheet</t>
  </si>
  <si>
    <t xml:space="preserve">  • Fill ONLY the yellow cells (🟡 = input required)</t>
  </si>
  <si>
    <t xml:space="preserve">  • Grey cells = not applicable (based on your applicability selections)</t>
  </si>
  <si>
    <t xml:space="preserve">  • Green cells = auto-calculated (do not edit)</t>
  </si>
  <si>
    <t xml:space="preserve">  • Enter amounts in ₹ LAKHS (e.g., ₹1,00,000 = enter 1.00)</t>
  </si>
  <si>
    <t xml:space="preserve">  • Enter share counts in ACTUALS (not lakhs)</t>
  </si>
  <si>
    <t xml:space="preserve">  • Column D (Where to find in financials) guides you to exact line items</t>
  </si>
  <si>
    <t>Step 3: Review 3_FLA_RETURN sheet</t>
  </si>
  <si>
    <t xml:space="preserve">  • This sheet is 100% auto-populated – DO NOT EDIT</t>
  </si>
  <si>
    <t xml:space="preserve">  • Verify all data is correct</t>
  </si>
  <si>
    <t xml:space="preserve">  • Copy values from this sheet to paste into RBI FLAIR portal (https://flair.rbi.org.in)</t>
  </si>
  <si>
    <t>⚠️  CRITICAL POINTS FOR TRAINEES</t>
  </si>
  <si>
    <t>1. CCDs / CCPs are DEBT until conversion → report in 'Other Capital Liabilities 2.1'</t>
  </si>
  <si>
    <t>2. Trade Receivables from NR parties → 'Other Capital Claims 2.2' (per investor/country)</t>
  </si>
  <si>
    <t>3. Trade Payables to NR parties → 'Other Capital Liabilities 2.1' (per investor/country)</t>
  </si>
  <si>
    <t>4. Reverse Investment → Indian company has invested BACK into the FDI investor</t>
  </si>
  <si>
    <t>5. All DIE (foreign subsidiary) amounts must be in FOREIGN CURRENCY first, then converted using exchange rate</t>
  </si>
  <si>
    <t>6. Net Worth formula: (Equity shares × face value in ₹) ÷ 1,00,000 + Reserves &amp; Surplus (₹L)</t>
  </si>
  <si>
    <t>📅  DEADLINES</t>
  </si>
  <si>
    <t xml:space="preserve">  • July 15 every year  →  File FLA Return (provisional/unaudited OK)</t>
  </si>
  <si>
    <t xml:space="preserve">  • September 30  →  Revised return if audited after July 15</t>
  </si>
  <si>
    <t xml:space="preserve">  • Late fee: ₹7,500 + ₹5,000/day continued violation</t>
  </si>
  <si>
    <t>🔍  COMMON MISTAKES TO AVOID</t>
  </si>
  <si>
    <t xml:space="preserve">  ❌  Entering amounts in rupees instead of lakhs</t>
  </si>
  <si>
    <t xml:space="preserve">  ❌  Skipping the Applicability sheet → fields won't appear correctly</t>
  </si>
  <si>
    <t xml:space="preserve">  ❌  Editing green (auto-calc) cells → formulas will break</t>
  </si>
  <si>
    <t xml:space="preserve">  ❌  Not distinguishing between related party (FDI investor) vs unrelated party payables</t>
  </si>
  <si>
    <t xml:space="preserve">  ❌  Entering DIE amounts in INR instead of foreign currency</t>
  </si>
  <si>
    <t xml:space="preserve">  ❌  Forgetting to convert share counts from 'in lakhs' to actuals</t>
  </si>
  <si>
    <t>FLA RETURN – APPLICABILITY CHECKER  |  Set Yes/No for each item below</t>
  </si>
  <si>
    <t>Complete this sheet FIRST. The Financials Input and FLA Return sheets will show only relevant fields based on your selections.</t>
  </si>
  <si>
    <t>Applicability Item</t>
  </si>
  <si>
    <t>Applicable?
(Yes / No)</t>
  </si>
  <si>
    <t>What this means</t>
  </si>
  <si>
    <t>▌  SECTION III – FOREIGN LIABILITIES (Inward Investment)</t>
  </si>
  <si>
    <t>Has FDI ≥10% (Block 1 Sec III)</t>
  </si>
  <si>
    <t>Yes</t>
  </si>
  <si>
    <t>NR investor holds 10%+ equity in your company</t>
  </si>
  <si>
    <t>Has FDI &lt;10% (Block 2 Sec III)</t>
  </si>
  <si>
    <t>No</t>
  </si>
  <si>
    <t>NR investor holds &lt;10% equity in your company</t>
  </si>
  <si>
    <t>Has Portfolio Investment in India (Block 3)</t>
  </si>
  <si>
    <t>FIIs/portfolio investors hold equity/debt NOT under FDI scheme</t>
  </si>
  <si>
    <t>Has Other Foreign Liabilities (Block 4)</t>
  </si>
  <si>
    <t>Liabilities to unrelated foreign parties: trade credit, ECB, deposits</t>
  </si>
  <si>
    <t>▌  SECTION IV – FOREIGN ASSETS (Outward Investment)</t>
  </si>
  <si>
    <t>Has ODI ≥10% Abroad (Block 1 Sec IV)</t>
  </si>
  <si>
    <t>Your company holds 10%+ equity in a foreign DIE</t>
  </si>
  <si>
    <t>Has DI &lt;10% Abroad (Block 2 Sec IV)</t>
  </si>
  <si>
    <t>Your company holds &lt;10% equity in a foreign entity</t>
  </si>
  <si>
    <t>Has Portfolio Investment Abroad (Block 3)</t>
  </si>
  <si>
    <t>Portfolio investments in foreign entities</t>
  </si>
  <si>
    <t>Has Other Foreign Claims (Block 4)</t>
  </si>
  <si>
    <t>Claims on unrelated foreign parties: receivables, loans given</t>
  </si>
  <si>
    <t>▌  ADDITIONAL APPLICABILITY</t>
  </si>
  <si>
    <t>Has Reverse Investment (Claims on FDI/ODI counterparty)</t>
  </si>
  <si>
    <t>Your company has invested back into the FDI investor / DIE holds investment in you</t>
  </si>
  <si>
    <t>Has ECB / Foreign Loans (Unrelated parties)</t>
  </si>
  <si>
    <t>External Commercial Borrowings from unrelated foreign lenders</t>
  </si>
  <si>
    <t>Is Listed Company</t>
  </si>
  <si>
    <t>Shares listed on BSE/NSE – market value per share required in Section I</t>
  </si>
  <si>
    <t>Has Technical Foreign Collaboration</t>
  </si>
  <si>
    <t>Technical collaboration agreement with a foreign entity</t>
  </si>
  <si>
    <t>Merged / Amalgamated During the Year</t>
  </si>
  <si>
    <t>Company merged or amalgamated in the reporting FY</t>
  </si>
  <si>
    <t>Has Participating Preference Shares</t>
  </si>
  <si>
    <t>Company has issued participating preference shares</t>
  </si>
  <si>
    <t>Has Non-Participating Preference Shares</t>
  </si>
  <si>
    <t>Company has issued non-participating preference shares</t>
  </si>
  <si>
    <t>Had Disinvestment During the Year</t>
  </si>
  <si>
    <t>NR shareholding decreased due to buyback/transfer in the year</t>
  </si>
  <si>
    <t>Has CCDs / CCPs issued to Portfolio investors (non-FDI)</t>
  </si>
  <si>
    <t>Company has issued CCDs/CCPs to NR investors not holding equity (Block 3 Sec III)</t>
  </si>
  <si>
    <t>Has Trade Receivables from NR parties</t>
  </si>
  <si>
    <t>Outstanding receivables from foreign related or unrelated parties</t>
  </si>
  <si>
    <t>Has Trade Payables to NR parties</t>
  </si>
  <si>
    <t>Outstanding payables to foreign suppliers, FDI investors, or related parties</t>
  </si>
  <si>
    <t>ℹ️  After completing this sheet, go to  2_FINANCIALS  to enter company data. Fields not applicable will be greyed out automatically.</t>
  </si>
  <si>
    <t>FLA RETURN – FINANCIALS INPUT SHEET  |  Fill ONLY the 🟡 Yellow cells.  🟢 Green = auto-calculated.  Grey = not required for your company.</t>
  </si>
  <si>
    <t>🟡 Yellow cells = YOU enter the number / text   |   🟢 Green cells = leave them alone (auto-calculated)   |   Grey cells = not applicable for your company based on Applicability sheet</t>
  </si>
  <si>
    <t>What to Enter</t>
  </si>
  <si>
    <t>PREVIOUS YEAR (PY)
End-March</t>
  </si>
  <si>
    <t>CURRENT YEAR (FY)
End-March</t>
  </si>
  <si>
    <t>📌  Where to find this in your documents</t>
  </si>
  <si>
    <t>FLA Field Ref</t>
  </si>
  <si>
    <t>SECTION I – COMPANY &amp; FILING DETAILS</t>
  </si>
  <si>
    <t>Part A – Basic Company Info  (these fields are pre-filled on FLAIR portal – just verify them)</t>
  </si>
  <si>
    <t>ℹ️  For text fields (name, CIN, email etc.) — type in the PY column. The FY column is not needed for text fields.</t>
  </si>
  <si>
    <t xml:space="preserve">  🏢  SOURCE DOCUMENT:  MCA Master Data / Certificate of Incorporation / FLAIR portal</t>
  </si>
  <si>
    <t>Company Name</t>
  </si>
  <si>
    <t>Exact name as per MCA/ROC records</t>
  </si>
  <si>
    <t>Sec I: Name</t>
  </si>
  <si>
    <t>CIN (Corporate Identification Number)</t>
  </si>
  <si>
    <t>21-digit CIN on Certificate of Incorporation</t>
  </si>
  <si>
    <t>Sec I: CIN</t>
  </si>
  <si>
    <t>PAN (Permanent Account Number)</t>
  </si>
  <si>
    <t>10-char PAN on Income Tax documents</t>
  </si>
  <si>
    <t>Sec I: PAN</t>
  </si>
  <si>
    <t>Filing Year (e.g. 2025 for FY 2024-25)</t>
  </si>
  <si>
    <t>Enter year of filing e.g. type 2025</t>
  </si>
  <si>
    <t>Sec I: Year</t>
  </si>
  <si>
    <t>Contact Person Name (authorised signatory)</t>
  </si>
  <si>
    <t>CFO, CS, or Director authorised to sign</t>
  </si>
  <si>
    <t>Sec I: Contact</t>
  </si>
  <si>
    <t>Telephone No. (with STD code)</t>
  </si>
  <si>
    <t>e.g. 044-23456789</t>
  </si>
  <si>
    <t>Sec I: Tel</t>
  </si>
  <si>
    <t>Mobile No. (10 digits)</t>
  </si>
  <si>
    <t>OTP for FLAIR login comes here</t>
  </si>
  <si>
    <t>Sec I: Mobile</t>
  </si>
  <si>
    <t>Contact Email</t>
  </si>
  <si>
    <t>Active email used for FLAIR portal login</t>
  </si>
  <si>
    <t>Sec I: Email</t>
  </si>
  <si>
    <t>Designation of Contact Person</t>
  </si>
  <si>
    <t>e.g. CFO / Company Secretary / Director</t>
  </si>
  <si>
    <t>Sec I: Designation</t>
  </si>
  <si>
    <t>Company Website (if any)</t>
  </si>
  <si>
    <t>Leave blank if none</t>
  </si>
  <si>
    <t>Sec I: Website</t>
  </si>
  <si>
    <t>NIC Code (Business Activity Code)</t>
  </si>
  <si>
    <t>2-digit code from ANNEX tab in this file (e.g. 62 for IT services)</t>
  </si>
  <si>
    <t>Sec I: NIC Code</t>
  </si>
  <si>
    <t>Is company listed on BSE/NSE? (Yes/No)</t>
  </si>
  <si>
    <t>Check if shares are listed on any stock exchange</t>
  </si>
  <si>
    <t>Sec I: Listed</t>
  </si>
  <si>
    <t>Is company an AMC? (Yes/No)</t>
  </si>
  <si>
    <t>Asset Management Company – usually No</t>
  </si>
  <si>
    <t>Sec I: AMC</t>
  </si>
  <si>
    <t>Technical Foreign Collaboration? (Yes/No)</t>
  </si>
  <si>
    <t>Foreign tech collaboration agreement exists?</t>
  </si>
  <si>
    <t>Sec I: Tech Collab</t>
  </si>
  <si>
    <t>Did company carry on business activity in FY? (Yes/No)</t>
  </si>
  <si>
    <t>Did company earn any revenue this year?</t>
  </si>
  <si>
    <t>Sec I: Business Act</t>
  </si>
  <si>
    <t>Did company merge/amalgamate during FY? (Yes/No)</t>
  </si>
  <si>
    <t>Merger/amalgamation happened this year?</t>
  </si>
  <si>
    <t>Sec I: Merged</t>
  </si>
  <si>
    <t>Part B – Share Capital Details</t>
  </si>
  <si>
    <t xml:space="preserve">  📋  SOURCE DOCUMENT:  Notes to Accounts → Share Capital (in Annual Report / Audited Financials)</t>
  </si>
  <si>
    <t>ℹ️  IMPORTANT: Enter number of shares in ACTUALS (not in lakhs). Face value in ₹ per share.  Example: If 10,00,000 shares of ₹10 each → enter 1000000 in shares column and 10 in face value column.</t>
  </si>
  <si>
    <t>Equity Shares – Total number of shares issued &amp; fully paid</t>
  </si>
  <si>
    <t>Notes to Accounts &gt; Share Capital &gt; Equity Shares issued and fully paid up (line item showing actual number)</t>
  </si>
  <si>
    <t>Sec II 1(a)</t>
  </si>
  <si>
    <t>Face Value per Equity Share (₹ per share)</t>
  </si>
  <si>
    <t>Notes to Accounts &gt; Share Capital (e.g. 'Equity shares of ₹10 each' → enter 10)</t>
  </si>
  <si>
    <t>Sec I: FV Equity</t>
  </si>
  <si>
    <t>Participating Preference Shares – No. of shares
(Only if marked Yes in Applicability sheet)</t>
  </si>
  <si>
    <t>Notes to Accounts &gt; Share Capital &gt; Preference Shares (participating type)</t>
  </si>
  <si>
    <t>Sec II 1(b)</t>
  </si>
  <si>
    <t>Face Value per Participating Preference Share (₹/share)</t>
  </si>
  <si>
    <t>Notes to Accounts &gt; Share Capital</t>
  </si>
  <si>
    <t>Sec I: FV Part.Pref</t>
  </si>
  <si>
    <t>Non-Participating Preference Shares – No. of shares
(Only if marked Yes in Applicability sheet)</t>
  </si>
  <si>
    <t>Notes to Accounts &gt; Share Capital &gt; Non-participating preference shares</t>
  </si>
  <si>
    <t>Sec II 1.2</t>
  </si>
  <si>
    <t>Face Value per Non-Participating Preference Share (₹/share)</t>
  </si>
  <si>
    <t>Sec I: FV Non-Part.Pref</t>
  </si>
  <si>
    <t>Market Price per Equity Share on 31-March (₹/share)
— Listed companies only</t>
  </si>
  <si>
    <t>BSE/NSE website: closing price of company's equity share on 31-March of the year</t>
  </si>
  <si>
    <t>Sec I: Market Value</t>
  </si>
  <si>
    <t>SECTION II – FINANCIAL DATA  (from Audited Financial Statements)</t>
  </si>
  <si>
    <t>Part C – From the PROFIT &amp; LOSS STATEMENT</t>
  </si>
  <si>
    <t xml:space="preserve">  💰  SOURCE DOCUMENT:  Profit &amp; Loss Statement / Statement of Profit &amp; Loss</t>
  </si>
  <si>
    <t>ℹ️  All amounts in ₹ LAKHS. Example: If P&amp;L shows ₹50,00,000 → enter 50.00.  If ₹2,00,00,000 → enter 200.00.  Loss amounts: enter as negative number e.g. -75.00</t>
  </si>
  <si>
    <t>Profit (or Loss) BEFORE Tax — PBT
(last line before 'Less: Tax Expense')</t>
  </si>
  <si>
    <t>P&amp;L Statement → look for 'Profit Before Tax' or 'PBT'. If loss, enter negative.</t>
  </si>
  <si>
    <t>Sec II 3.1</t>
  </si>
  <si>
    <t>Profit (or Loss) AFTER Tax — PAT / Net Profit
(very last line of P&amp;L)</t>
  </si>
  <si>
    <t>P&amp;L Statement → last line 'Profit for the year' or 'Net Profit/(Loss)'. If loss, enter negative.</t>
  </si>
  <si>
    <t>Sec II 3.2</t>
  </si>
  <si>
    <t>Dividend Paid during the year (₹ Lakhs)
(Interim + Final combined)</t>
  </si>
  <si>
    <t>P&amp;L Statement OR Notes to Accounts → search for 'Dividend paid/declared on equity shares'.</t>
  </si>
  <si>
    <t>Sec II 3.3</t>
  </si>
  <si>
    <t>Tax on Dividend (₹ Lakhs)
(Dividend Distribution Tax – DDT, if any)</t>
  </si>
  <si>
    <t>Notes to Accounts or P&amp;L → 'Tax on Dividend' or 'DDT'. Usually 0 after 2020.</t>
  </si>
  <si>
    <t>Sec II 3.4</t>
  </si>
  <si>
    <t>✅  Retained Profit = PAT minus Dividend  (auto-calculated)</t>
  </si>
  <si>
    <t>Auto-calculated: PAT minus Dividend Paid</t>
  </si>
  <si>
    <t>Sec II 3.5</t>
  </si>
  <si>
    <t>Part D – From the BALANCE SHEET → Equity Side</t>
  </si>
  <si>
    <t xml:space="preserve">  📊  SOURCE DOCUMENT:  Balance Sheet → Sources of Funds / Equity &amp; Liabilities side</t>
  </si>
  <si>
    <t>ℹ️  All amounts in ₹ LAKHS.  Net Worth is auto-calculated from shares × face value + Reserves &amp; Surplus.</t>
  </si>
  <si>
    <t>Reserves &amp; Surplus – TOTAL (₹ Lakhs)
(all reserves combined)</t>
  </si>
  <si>
    <t>Balance Sheet → Equity side → 'Reserves and Surplus' total line.</t>
  </si>
  <si>
    <t>Sec II 4.1</t>
  </si>
  <si>
    <t>Of which: P&amp;L Account Balance (₹ Lakhs)
(the accumulated surplus/deficit in reserves)</t>
  </si>
  <si>
    <t>Notes to Reserves &amp; Surplus → look for 'Surplus / Balance in Statement of P&amp;L'. This is one component of total Reserves.</t>
  </si>
  <si>
    <t>Sec II 4.2</t>
  </si>
  <si>
    <t>✅  Net Worth = Paid-up Capital + Reserves &amp; Surplus  (auto-calculated)</t>
  </si>
  <si>
    <t>Auto-calculated: (No. of Equity Shares × Face Value) ÷ 1,00,000 + Reserves &amp; Surplus</t>
  </si>
  <si>
    <t>Sec II 4.3</t>
  </si>
  <si>
    <t>Part E – From the PROFIT &amp; LOSS STATEMENT → Revenue &amp; Purchases</t>
  </si>
  <si>
    <t xml:space="preserve">  📈  SOURCE DOCUMENT:  Profit &amp; Loss Statement → Revenue from Operations &amp; Cost of Materials/Purchases</t>
  </si>
  <si>
    <t>Domestic Sales – Revenue from domestic customers (₹ Lakhs)</t>
  </si>
  <si>
    <t>P&amp;L → 'Revenue from Operations' or 'Domestic Turnover'. Exclude exports.</t>
  </si>
  <si>
    <t>Sec II 5.1</t>
  </si>
  <si>
    <t>Export Sales – Revenue from overseas customers (₹ Lakhs)
(foreign exchange earnings)</t>
  </si>
  <si>
    <t>P&amp;L → 'Export Turnover' OR Notes to Accounts → 'Foreign Exchange Earnings'. If nil, enter 0.</t>
  </si>
  <si>
    <t>Sec II 5.2</t>
  </si>
  <si>
    <t>✅  Total Sales = Domestic Sales + Export Sales  (auto-calculated)</t>
  </si>
  <si>
    <t>Auto-calculated</t>
  </si>
  <si>
    <t>Sec II 5.3</t>
  </si>
  <si>
    <t>Domestic Purchases – from Indian suppliers (₹ Lakhs)</t>
  </si>
  <si>
    <t>P&amp;L → 'Cost of Materials Consumed' or 'Purchases of Stock-in-trade' – domestic portion.</t>
  </si>
  <si>
    <t>Sec II 5.4</t>
  </si>
  <si>
    <t>Import Purchases – from overseas suppliers (₹ Lakhs)
(CIF value of imports)</t>
  </si>
  <si>
    <t>Notes to Accounts → 'CIF value of imports' or 'Foreign Exchange Used for Imports'. If nil, enter 0.</t>
  </si>
  <si>
    <t>Sec II 5.5</t>
  </si>
  <si>
    <t>✅  Total Purchases = Domestic + Import Purchases  (auto-calculated)</t>
  </si>
  <si>
    <t>Sec II 5.6</t>
  </si>
  <si>
    <t>Part F – Employee Count</t>
  </si>
  <si>
    <t xml:space="preserve">  👥  SOURCE DOCUMENT:  HR Records / Annual Report / Directors' Report</t>
  </si>
  <si>
    <t>Number of Employees on Payroll as at 31-March (actual count, not in lakhs)</t>
  </si>
  <si>
    <t>HR register / Annual Report → 'Number of employees' as of March 31. Includes all full-time employees.</t>
  </si>
  <si>
    <t>Sec II 6.1</t>
  </si>
  <si>
    <t>SECTION II – NON-RESIDENT (NR) SHAREHOLDER BREAKDOWN</t>
  </si>
  <si>
    <t>Part G – Number of Equity Shares held by each category of Non-Resident (NR) investor</t>
  </si>
  <si>
    <t xml:space="preserve">  📂  SOURCE DOCUMENT:  Shareholding Pattern (MGT-7 / Annual Return) OR Register of Members</t>
  </si>
  <si>
    <t>ℹ️  Enter actual NUMBER OF SHARES (not %) held by each NR investor category. If a category has no NR investors, enter 0. Source: Shareholding Pattern filed with RoC or from your Register of Members.</t>
  </si>
  <si>
    <t>Foreign Individuals
(NR individual investors from overseas)</t>
  </si>
  <si>
    <t>Shareholding Pattern / Register of Members – individual foreign investors</t>
  </si>
  <si>
    <t>Sec II 2.1 item 1</t>
  </si>
  <si>
    <t>Foreign Companies
(overseas companies holding equity)</t>
  </si>
  <si>
    <t>Register of Members – foreign corporate shareholders</t>
  </si>
  <si>
    <t>Sec II 2.1 item 2</t>
  </si>
  <si>
    <t>FIIs – Foreign Institutional Investors
(SEBI-registered foreign funds)</t>
  </si>
  <si>
    <t>Shareholding Pattern – FII/FPI category</t>
  </si>
  <si>
    <t>Sec II 2.1 item 3</t>
  </si>
  <si>
    <t>FVCIs – Foreign Venture Capital Investors
(SEBI-registered FVCI)</t>
  </si>
  <si>
    <t>Register of Members – FVCI investors</t>
  </si>
  <si>
    <t>Sec II 2.1 item 4</t>
  </si>
  <si>
    <t>Foreign Trusts</t>
  </si>
  <si>
    <t>Register of Members – foreign trusts</t>
  </si>
  <si>
    <t>Sec II 2.1 item 5</t>
  </si>
  <si>
    <t>Foreign Private Equity Funds</t>
  </si>
  <si>
    <t>Register of Members – PE fund investors</t>
  </si>
  <si>
    <t>Sec II 2.1 item 6</t>
  </si>
  <si>
    <t>Foreign Pension / Provident Funds</t>
  </si>
  <si>
    <t>Register of Members – pension/provident funds</t>
  </si>
  <si>
    <t>Sec II 2.1 item 7</t>
  </si>
  <si>
    <t>Sovereign Wealth Funds</t>
  </si>
  <si>
    <t>Register of Members – sovereign wealth fund investors</t>
  </si>
  <si>
    <t>Sec II 2.1 item 8</t>
  </si>
  <si>
    <t>Foreign Partnership / Proprietorship Firms</t>
  </si>
  <si>
    <t>Register of Members – foreign firm investors</t>
  </si>
  <si>
    <t>Sec II 2.1 item 9</t>
  </si>
  <si>
    <t>Foreign Financial Institutions
(banks, insurance companies etc.)</t>
  </si>
  <si>
    <t>Register of Members – foreign FI investors</t>
  </si>
  <si>
    <t>Sec II 2.1 item 10</t>
  </si>
  <si>
    <t>NRIs / PIOs
(Non-Resident Indians / Persons of Indian Origin)</t>
  </si>
  <si>
    <t>Shareholding Pattern – NRI category</t>
  </si>
  <si>
    <t>Sec II 2.1 item 11</t>
  </si>
  <si>
    <t>Non-Participating Preference Shares held by NR investors
(Only if marked Yes in Applicability sheet)</t>
  </si>
  <si>
    <t>Register of Members – NR holders of non-participating preference shares</t>
  </si>
  <si>
    <t>Sec II 2.2</t>
  </si>
  <si>
    <t>✅  TOTAL NR Equity Shares – Sum of all categories above  (auto-calculated)</t>
  </si>
  <si>
    <t>Auto-calculated – sum of all NR investor categories</t>
  </si>
  <si>
    <t>Sec II 2.1 TOTAL</t>
  </si>
  <si>
    <t>SECTION III – FOREIGN LIABILITIES  (Money/equity owed TO non-residents)  — Fill only if applicable</t>
  </si>
  <si>
    <t>ℹ️  This section appears only if you marked 'Yes' for relevant items in the Applicability sheet. Grey cells = not required for your company. All amounts in ₹ LAKHS.</t>
  </si>
  <si>
    <t>Block 1 – FDI ≥10% : Details of each Foreign Direct Investor holding 10% or more equity</t>
  </si>
  <si>
    <t xml:space="preserve">  🌐  SOURCE DOCUMENT:  FCGPR Filing Receipts / KYC Documents of NR investors / Register of Members</t>
  </si>
  <si>
    <t xml:space="preserve">  FDI Investor 1</t>
  </si>
  <si>
    <t>Investor 1: Full Name of NR Company / Individual</t>
  </si>
  <si>
    <t>FCGPR receipt filed with RBI / KYC documents of the investor</t>
  </si>
  <si>
    <t>Sec III B1: Investor Name</t>
  </si>
  <si>
    <t>Investor 1: Country (country of incorporation / residence of NR investor)</t>
  </si>
  <si>
    <t>FCGPR receipt / KYC – investor's country of incorporation or residence</t>
  </si>
  <si>
    <t>Sec III B1: Country</t>
  </si>
  <si>
    <t>Investor 1: % Equity holding in your company  (PY and FY)</t>
  </si>
  <si>
    <t>FCGPR / Register of Members → percentage shareholding of this investor (e.g. 51.00)</t>
  </si>
  <si>
    <t>Sec III B1: Equity %</t>
  </si>
  <si>
    <t>✅  Investor 1: Equity Capital (₹ Lakhs) = Net Worth × % holding  (auto-calculated)</t>
  </si>
  <si>
    <t>Auto-calculated: Net Worth × % holding ÷ 100</t>
  </si>
  <si>
    <t>Sec III B1.1: Equity Cap</t>
  </si>
  <si>
    <t>Investor 1: Reverse Investment – Liabilities TO this investor (₹ Lakhs)
(Amount your company owes this investor from your reverse investment)</t>
  </si>
  <si>
    <t>Balance Sheet: Any amount your company has invested BACK into this FDI investor; treat as liability</t>
  </si>
  <si>
    <t>Sec III B1 item 1.1</t>
  </si>
  <si>
    <t>Investor 1: Reverse Investment – Claims ON this investor (₹ Lakhs)
(Amount this investor owes your company from reverse investment)</t>
  </si>
  <si>
    <t>Balance Sheet: Receivables/investment your company made into this FDI investor's entity</t>
  </si>
  <si>
    <t>Sec III B1 item 1.2</t>
  </si>
  <si>
    <t>Investor 1: Other Liabilities to this investor (₹ Lakhs)
(Trade payables + ECB loans + CCDs/CCPs issued to THIS specific investor)</t>
  </si>
  <si>
    <t>Balance Sheet: Trade Creditors/Payables to THIS specific FDI investor + any ECB from this investor + CCD/CCP issued to this investor. Source: RPT Schedule / Notes</t>
  </si>
  <si>
    <t>Sec III B1 item 2.1</t>
  </si>
  <si>
    <t>Investor 1: Other Claims on this investor (₹ Lakhs)
(Trade receivables owed BY this investor TO your company)</t>
  </si>
  <si>
    <t>Balance Sheet: Trade Debtors/Receivables from THIS specific FDI investor. Source: Related Party Transaction schedule</t>
  </si>
  <si>
    <t>Sec III B1 item 2.2</t>
  </si>
  <si>
    <t>Investor 1: Disinvestment amount during year (₹ Lakhs)
(Only if NR% decreased due to buyback / transfer)</t>
  </si>
  <si>
    <t>If NR investor sold/transferred shares back or company bought back → enter reduction amount</t>
  </si>
  <si>
    <t>Sec III B1 item 3</t>
  </si>
  <si>
    <t>Investor 1: Month of FIRST FDI received from this investor
(e.g. Apr, Jan, Mar)</t>
  </si>
  <si>
    <t>FCGPR filing date with RBI / Date of first share allotment to this investor in Register of Members</t>
  </si>
  <si>
    <t>Sec III B1: Month 1st FDI</t>
  </si>
  <si>
    <t>Investor 1: Year of FIRST FDI received from this investor
(e.g. 2019)</t>
  </si>
  <si>
    <t>FCGPR filing date with RBI / Year of first share allotment in Register of Members</t>
  </si>
  <si>
    <t>Sec III B1: Year 1st FDI</t>
  </si>
  <si>
    <t xml:space="preserve">  FDI Investor 2</t>
  </si>
  <si>
    <t>Investor 2: Full Name of NR Company / Individual</t>
  </si>
  <si>
    <t>Investor 2: Country (country of incorporation / residence of NR investor)</t>
  </si>
  <si>
    <t>Investor 2: % Equity holding in your company  (PY and FY)</t>
  </si>
  <si>
    <t>✅  Investor 2: Equity Capital (₹ Lakhs) = Net Worth × % holding  (auto-calculated)</t>
  </si>
  <si>
    <t>Sec III B1.1 Equity Cap</t>
  </si>
  <si>
    <t>Investor 2: Reverse Investment – Liabilities TO this investor (₹ Lakhs)
(Amount your company owes this investor from your reverse investment)</t>
  </si>
  <si>
    <t>Investor 2: Reverse Investment – Claims ON this investor (₹ Lakhs)
(Amount this investor owes your company from reverse investment)</t>
  </si>
  <si>
    <t>Investor 2: Other Liabilities to this investor (₹ Lakhs)
(Trade payables + ECB loans + CCDs/CCPs issued to THIS specific investor)</t>
  </si>
  <si>
    <t>Investor 2: Other Claims on this investor (₹ Lakhs)
(Trade receivables owed BY this investor TO your company)</t>
  </si>
  <si>
    <t>Investor 2: Disinvestment amount during year (₹ Lakhs)
(Only if NR% decreased due to buyback / transfer)</t>
  </si>
  <si>
    <t>Investor 2: Month of FIRST FDI received from this investor
(e.g. Apr, Jan, Mar)</t>
  </si>
  <si>
    <t>Investor 2: Year of FIRST FDI received from this investor
(e.g. 2019)</t>
  </si>
  <si>
    <t xml:space="preserve">  FDI Investor 3</t>
  </si>
  <si>
    <t>Investor 3: Full Name of NR Company / Individual</t>
  </si>
  <si>
    <t>Investor 3: Country (country of incorporation / residence of NR investor)</t>
  </si>
  <si>
    <t>Investor 3: % Equity holding in your company  (PY and FY)</t>
  </si>
  <si>
    <t>✅  Investor 3: Equity Capital (₹ Lakhs) = Net Worth × % holding  (auto-calculated)</t>
  </si>
  <si>
    <t>Investor 3: Reverse Investment – Liabilities TO this investor (₹ Lakhs)
(Amount your company owes this investor from your reverse investment)</t>
  </si>
  <si>
    <t>Investor 3: Reverse Investment – Claims ON this investor (₹ Lakhs)
(Amount this investor owes your company from reverse investment)</t>
  </si>
  <si>
    <t>Investor 3: Other Liabilities to this investor (₹ Lakhs)
(Trade payables + ECB loans + Compulsorily Convertible Debentures(CCD) /Compulsorily convertible preference shares (CCPs) issued to THIS specific investor)</t>
  </si>
  <si>
    <t>Balance Sheet: Trade Creditors/Payables to THIS specific FDI investor + any ECB from this investor +  Compulsorily Convertible Debentures(CCD) /Compulsorily convertible preference shares (CCPs)  issued to this investor. Source: RPT Schedule / Notes</t>
  </si>
  <si>
    <t>Investor 3: Other Claims on this investor (₹ Lakhs)
(Trade receivables owed BY this investor TO your company)</t>
  </si>
  <si>
    <t>Investor 3: Disinvestment amount during year (₹ Lakhs)
(Only if NR% decreased due to buyback / transfer)</t>
  </si>
  <si>
    <t>Investor 3: Month of FIRST FDI received from this investor
(e.g. Apr, Jan, Mar)</t>
  </si>
  <si>
    <t>Investor 3: Year of FIRST FDI received from this investor
(e.g. 2019)</t>
  </si>
  <si>
    <t>Block 2 – FDI &lt;10% : Country-wise Consolidated (for investors holding less than 10%)</t>
  </si>
  <si>
    <t xml:space="preserve">  🌍  SOURCE DOCUMENT:  Shareholding Pattern / Register of Members — consolidated by country</t>
  </si>
  <si>
    <t>ℹ️  Consolidate ALL NR investors with &lt;10% each, grouped by their country. Also include related-party dues from these investors.</t>
  </si>
  <si>
    <t>How many distinct countries have NR investors with &lt;10% holding?</t>
  </si>
  <si>
    <t>Count of different countries where investors hold &lt;10% equity each</t>
  </si>
  <si>
    <t>Sec III B2: No. of countries</t>
  </si>
  <si>
    <t xml:space="preserve">  Country 1 – All &lt;10% FDI investors from this country (consolidated)</t>
  </si>
  <si>
    <t>Country name</t>
  </si>
  <si>
    <t>Name of country of these investors</t>
  </si>
  <si>
    <t>Sec III B2: Country</t>
  </si>
  <si>
    <t>Consolidated Equity % held by investors from this country</t>
  </si>
  <si>
    <t>Total % held by all investors from this country combined</t>
  </si>
  <si>
    <t>Sec III B2: Equity %</t>
  </si>
  <si>
    <t>Equity Capital for this country (₹ Lakhs)</t>
  </si>
  <si>
    <t>Proportionate equity capital – Net Worth × equity %</t>
  </si>
  <si>
    <t>Sec III B2: Eq.Cap</t>
  </si>
  <si>
    <t>Liabilities to investors from this country (₹ Lakhs)
(Reverse investment – what you owe them)</t>
  </si>
  <si>
    <t>Balance Sheet: liabilities to these &lt;10% investors</t>
  </si>
  <si>
    <t>Sec III B2 item 1.1</t>
  </si>
  <si>
    <t>Claims on investors from this country (₹ Lakhs)
(Reverse investment – what they owe you)</t>
  </si>
  <si>
    <t>Balance Sheet: claims/receivables from these investors</t>
  </si>
  <si>
    <t>Sec III B2 item 1.2</t>
  </si>
  <si>
    <t>Other Liabilities to investors (trade payables,  Compulsorily Convertible Debentures(CCD) /Compulsorily convertible preference shares (CCPs) ) (₹ Lakhs)</t>
  </si>
  <si>
    <t>Trade payables + CCDs + ECB to these investors</t>
  </si>
  <si>
    <t>Sec III B2 item 2.1</t>
  </si>
  <si>
    <t>Other Claims on investors (trade receivables) (₹ Lakhs)</t>
  </si>
  <si>
    <t>Trade receivables from these investors</t>
  </si>
  <si>
    <t>Sec III B2 item 2.2</t>
  </si>
  <si>
    <t>Disinvestment during year (₹ Lakhs)</t>
  </si>
  <si>
    <t>Decrease in NR % from this country during year</t>
  </si>
  <si>
    <t>Sec III B2 item 3</t>
  </si>
  <si>
    <t xml:space="preserve">  Country 2 – All &lt;10% FDI investors from this country (consolidated)</t>
  </si>
  <si>
    <t>Other Liabilities to investors (trade payables, CCDs) (₹ Lakhs)</t>
  </si>
  <si>
    <t>Block 3 – Portfolio Investment in India (FIIs / retail NR investors NOT under FDI)</t>
  </si>
  <si>
    <t xml:space="preserve">  📉  SOURCE DOCUMENT:  Shareholding Pattern – FII/FPI category / Depository records</t>
  </si>
  <si>
    <t>ℹ️  These are NR investors who hold equity/debt but are NOT covered under Block 1 or Block 2 FDI (i.e. no direct equity relationship). Usually FIIs / FPIs registered with SEBI.</t>
  </si>
  <si>
    <t>Portfolio NR Equity % holding – consolidated</t>
  </si>
  <si>
    <t>Shareholding Pattern – total % held by portfolio/FII investors</t>
  </si>
  <si>
    <t>Sec III B3: Equity %</t>
  </si>
  <si>
    <t>Equity Securities at Market Value (₹ Lakhs)</t>
  </si>
  <si>
    <t>Market value of equity shares held by portfolio NR investors (shares × market price)</t>
  </si>
  <si>
    <t>Sec III B3 item 1</t>
  </si>
  <si>
    <t>Money Market Instruments – maturity ≤1 year (₹ Lakhs)
(short-term NR debt)</t>
  </si>
  <si>
    <t>Short-term debt securities (T-bills, commercial paper) issued to NR investors</t>
  </si>
  <si>
    <t>Sec III B3 item 2.1</t>
  </si>
  <si>
    <t>Bonds &amp; Long-term Instruments – maturity &gt;1 year (₹ Lakhs)
(includes CCDs / CCPs issued to portfolio investors)</t>
  </si>
  <si>
    <t>CCDs / CCPs issued to NR investors who are NOT FDI investors + other long-term NR debt</t>
  </si>
  <si>
    <t>Sec III B3 item 2.2</t>
  </si>
  <si>
    <t>Reduction in portfolio NR holding during the year</t>
  </si>
  <si>
    <t>Sec III B3 item 3</t>
  </si>
  <si>
    <t>Block 4 – Other Foreign Liabilities to UNRELATED foreign parties (no equity link)</t>
  </si>
  <si>
    <t xml:space="preserve">  🏦  SOURCE DOCUMENT:  Balance Sheet – Current/Non-current Liabilities side → foreign trade payables, ECB, deposits</t>
  </si>
  <si>
    <t>ℹ️  These are liabilities to foreign parties that have NO equity relationship with your company (not your FDI investors). e.g. amount owed to a foreign supplier, ECB from a foreign bank.</t>
  </si>
  <si>
    <t>Trade Credit from foreign unrelated parties (₹ Lakhs)
(amounts owed to foreign suppliers for goods/services)</t>
  </si>
  <si>
    <t>Balance Sheet → Trade Payables (Creditors) to UNRELATED foreign suppliers. NOT to your FDI investors.</t>
  </si>
  <si>
    <t>Sec III B4 item 1.1</t>
  </si>
  <si>
    <t>ECB Loans / External Commercial Borrowings from foreign lenders (₹ Lakhs)
(loans from foreign banks / FIs who are NOT your FDI investors)</t>
  </si>
  <si>
    <t>Balance Sheet → Non-current Borrowings → ECB / External Commercial Borrowing from unrelated foreign lenders</t>
  </si>
  <si>
    <t>Sec III B4 item 1.2</t>
  </si>
  <si>
    <t>Foreign Currency Deposits (₹ Lakhs)
(FCNR deposits, foreign currency accounts)</t>
  </si>
  <si>
    <t>Balance Sheet → Deposits / FCNR accounts from unrelated foreign parties</t>
  </si>
  <si>
    <t>Sec III B4 item 1.3</t>
  </si>
  <si>
    <t>Other Foreign Payables (₹ Lakhs)
(share application money from NRs not yet allotted + other miscellaneous foreign payables)</t>
  </si>
  <si>
    <t>Balance Sheet → Other Liabilities → Share application money pending allotment from NR investors + other NR payables</t>
  </si>
  <si>
    <t>Sec III B4 item 1.4</t>
  </si>
  <si>
    <t>ℹ️  IMPORTANT: DIE (Direct Investment Enterprise) = a foreign company where your company holds equity.  All DIE financial figures must be entered in FOREIGN CURRENCY (e.g. USD, EUR, GBP) – NOT in ₹.  Exchange rate is entered separately.</t>
  </si>
  <si>
    <t>Block 1 – ODI ≥10% : Details of each foreign company where you hold 10% or more equity (DIE)</t>
  </si>
  <si>
    <t xml:space="preserve">  🌏  SOURCE DOCUMENT:  Form ODI Filing / DIE's Audited Financial Statements / Company Records</t>
  </si>
  <si>
    <t>ℹ️  Fill one sub-block per DIE. Enter DIE's financial figures in FOREIGN CURRENCY (actual amounts, NOT in lakhs). Exchange rate: RBI reference rate for 31-March (search 'RBI reference rate [currency] 31 March [year]').</t>
  </si>
  <si>
    <t xml:space="preserve">  DIE 1 – Details of Foreign Company where you hold equity</t>
  </si>
  <si>
    <t>DIE 1: Name of the foreign company (Direct Investment Enterprise)</t>
  </si>
  <si>
    <t>Form ODI filing / company records – exact registered name of the foreign entity</t>
  </si>
  <si>
    <t>Sec IV B1: DIE Name</t>
  </si>
  <si>
    <t>DIE 1: Country of incorporation of the foreign company</t>
  </si>
  <si>
    <t>Country where the DIE is incorporated / registered</t>
  </si>
  <si>
    <t>Sec IV B1: DIE Country</t>
  </si>
  <si>
    <t>DIE 1: Your company's % equity holding in DIE  (PY and FY)</t>
  </si>
  <si>
    <t>Form ODI / DIE's shareholding records → % equity your company holds</t>
  </si>
  <si>
    <t>Sec IV B1: Equity %</t>
  </si>
  <si>
    <t>DIE 1: Currency of DIE's financial statements (e.g. USD, EUR, GBP)</t>
  </si>
  <si>
    <t>The currency in which DIE prepares its accounts (e.g. USD for USA, EUR for Europe)</t>
  </si>
  <si>
    <t>Sec IV B1: Reporting Currency</t>
  </si>
  <si>
    <t xml:space="preserve">  ↓  DIE 1: All figures below are in FOREIGN CURRENCY (actuals, NOT lakhs). Take from DIE's own Balance Sheet and P&amp;L.</t>
  </si>
  <si>
    <t>DIE 1: Total Equity / Paid-up Capital of DIE (in foreign currency)</t>
  </si>
  <si>
    <t>DIE's Balance Sheet → Total equity / paid-up share capital in FC</t>
  </si>
  <si>
    <t>Sec IV B1 3.2</t>
  </si>
  <si>
    <t>DIE 1: Equity held BY YOUR COMPANY in DIE (face value, in foreign currency)</t>
  </si>
  <si>
    <t>Your investment in DIE at face value – from Form ODI / DIE's share register</t>
  </si>
  <si>
    <t>Sec IV B1 3.3</t>
  </si>
  <si>
    <t>DIE 1: Reserves &amp; Surplus of DIE (in foreign currency)
(excluding P&amp;L balance)</t>
  </si>
  <si>
    <t>DIE's Balance Sheet → Reserves &amp; Surplus EXCLUDING the P&amp;L balance line</t>
  </si>
  <si>
    <t>Sec IV B1 3.4</t>
  </si>
  <si>
    <t>DIE 1: Of which – P&amp;L Account Balance (surplus/deficit) in DIE (foreign currency)</t>
  </si>
  <si>
    <t>DIE's Balance Sheet → Retained earnings / Surplus in P&amp;L</t>
  </si>
  <si>
    <t>Sec IV B1 3.4.1</t>
  </si>
  <si>
    <t>DIE 1: Exchange Rate PY – ₹ per 1 unit of foreign currency on 31-March PY</t>
  </si>
  <si>
    <t>RBI website: search 'RBI reference rate [currency] 31 March [previous year]'. e.g. for USD on 31-Mar-2024</t>
  </si>
  <si>
    <t>Sec IV B1 3.6 PY</t>
  </si>
  <si>
    <t>DIE 1: Exchange Rate FY – ₹ per 1 unit of foreign currency on 31-March FY</t>
  </si>
  <si>
    <t>RBI website: search 'RBI reference rate [currency] 31 March [current year]'</t>
  </si>
  <si>
    <t>Sec IV B1 3.6 FY</t>
  </si>
  <si>
    <t>DIE 1: Total Sales of DIE (in foreign currency)</t>
  </si>
  <si>
    <t>DIE's P&amp;L → Total Revenue / Turnover in FC</t>
  </si>
  <si>
    <t>Sec IV B1 3.7</t>
  </si>
  <si>
    <t>DIE 1: Of which – Exports of DIE (in foreign currency)</t>
  </si>
  <si>
    <t>DIE's P&amp;L → Export revenue</t>
  </si>
  <si>
    <t>Sec IV B1 3.7.1</t>
  </si>
  <si>
    <t>DIE 1: Total Purchases of DIE (in foreign currency)</t>
  </si>
  <si>
    <t>DIE's P&amp;L → Total purchases / cost of materials</t>
  </si>
  <si>
    <t>Sec IV B1 3.8</t>
  </si>
  <si>
    <t>DIE 1: Of which – Imports of DIE (in foreign currency)</t>
  </si>
  <si>
    <t>DIE's P&amp;L → Import purchases</t>
  </si>
  <si>
    <t>Sec IV B1 3.8.1</t>
  </si>
  <si>
    <t>DIE 1: Number of Employees on Payroll of DIE (actual count)</t>
  </si>
  <si>
    <t>DIE's HR records / annual report – employee headcount</t>
  </si>
  <si>
    <t>Sec IV B1 3.9</t>
  </si>
  <si>
    <t xml:space="preserve">  ↓  DIE 1: Amounts below are in ₹ LAKHS (INR). Convert using exchange rate above.</t>
  </si>
  <si>
    <t>DIE 1: Liabilities TO the DIE (₹ Lakhs)
(if DIE has also invested back into your company)</t>
  </si>
  <si>
    <t>Your Balance Sheet: liabilities TO the DIE (reverse – if DIE invested in you)</t>
  </si>
  <si>
    <t>Sec IV B1 item 1.1</t>
  </si>
  <si>
    <t>DIE 1: Reverse Investment – Claims ON DIE (₹ Lakhs)
(investment by DIE back into your company)</t>
  </si>
  <si>
    <t>Your Balance Sheet: claims where DIE invested back into you</t>
  </si>
  <si>
    <t>Sec IV B1 item 1.2</t>
  </si>
  <si>
    <t>DIE 1: Other Liabilities TO DIE (₹ Lakhs)
(trade payables, ECB, CCDs from DIE)</t>
  </si>
  <si>
    <t>Your Balance Sheet: payables/borrowings from this DIE</t>
  </si>
  <si>
    <t>Sec IV B1 item 2.1</t>
  </si>
  <si>
    <t>DIE 1: Other Claims ON DIE (₹ Lakhs)
(trade receivables, loans given to DIE)</t>
  </si>
  <si>
    <t>Your Balance Sheet: receivables/loans given to this DIE</t>
  </si>
  <si>
    <t>Sec IV B1 item 2.2</t>
  </si>
  <si>
    <t>DIE 1: Disinvestment during year (₹ Lakhs)
(if you reduced your stake in DIE this year)</t>
  </si>
  <si>
    <t>If your % holding in DIE decreased this year – enter amount divested</t>
  </si>
  <si>
    <t>Sec IV B1 item 3</t>
  </si>
  <si>
    <t>DIE 1: Month of FIRST ODI invested (e.g. Apr, Jan)</t>
  </si>
  <si>
    <t>Form ODI filing date / first share purchase in DIE</t>
  </si>
  <si>
    <t>Sec IV B1: Month 1st ODI</t>
  </si>
  <si>
    <t>DIE 1: Year of FIRST ODI invested (e.g. 2018)</t>
  </si>
  <si>
    <t>Form ODI filing date / year of first investment in DIE</t>
  </si>
  <si>
    <t>Sec IV B1: Year 1st ODI</t>
  </si>
  <si>
    <t xml:space="preserve">  DIE 2 – Details of Foreign Company where you hold equity</t>
  </si>
  <si>
    <t>DIE 2: Name of the foreign company (Direct Investment Enterprise)</t>
  </si>
  <si>
    <t>DIE 2: Country of incorporation of the foreign company</t>
  </si>
  <si>
    <t>DIE 2: Your company's % equity holding in DIE  (PY and FY)</t>
  </si>
  <si>
    <t>DIE 2: Currency of DIE's financial statements (e.g. USD, EUR, GBP)</t>
  </si>
  <si>
    <t xml:space="preserve">  ↓  DIE 2: All figures below are in FOREIGN CURRENCY (actuals, NOT lakhs). Take from DIE's own Balance Sheet and P&amp;L.</t>
  </si>
  <si>
    <t>DIE 2: Total Equity / Paid-up Capital of DIE (in foreign currency)</t>
  </si>
  <si>
    <t>DIE 2: Equity held BY YOUR COMPANY in DIE (face value, in foreign currency)</t>
  </si>
  <si>
    <t>DIE 2: Reserves &amp; Surplus of DIE (in foreign currency)
(excluding P&amp;L balance)</t>
  </si>
  <si>
    <t>DIE 2: Of which – P&amp;L Account Balance (surplus/deficit) in DIE (foreign currency)</t>
  </si>
  <si>
    <t>DIE 2: Exchange Rate PY – ₹ per 1 unit of foreign currency on 31-March PY</t>
  </si>
  <si>
    <t>DIE 2: Exchange Rate FY – ₹ per 1 unit of foreign currency on 31-March FY</t>
  </si>
  <si>
    <t>DIE 2: Total Sales of DIE (in foreign currency)</t>
  </si>
  <si>
    <t>DIE 2: Of which – Exports of DIE (in foreign currency)</t>
  </si>
  <si>
    <t>DIE 2: Total Purchases of DIE (in foreign currency)</t>
  </si>
  <si>
    <t>DIE 2: Of which – Imports of DIE (in foreign currency)</t>
  </si>
  <si>
    <t>DIE 2: Number of Employees on Payroll of DIE (actual count)</t>
  </si>
  <si>
    <t xml:space="preserve">  ↓  DIE 2: Amounts below are in ₹ LAKHS (INR). Convert using exchange rate above.</t>
  </si>
  <si>
    <t>DIE 2: Liabilities TO the DIE (₹ Lakhs)
(if DIE has also invested back into your company)</t>
  </si>
  <si>
    <t>DIE 2: Reverse Investment – Claims ON DIE (₹ Lakhs)
(investment by DIE back into your company)</t>
  </si>
  <si>
    <t>DIE 2: Other Liabilities TO DIE (₹ Lakhs)
(trade payables, ECB, CCDs from DIE)</t>
  </si>
  <si>
    <t>DIE 2: Other Claims ON DIE (₹ Lakhs)
(trade receivables, loans given to DIE)</t>
  </si>
  <si>
    <t>DIE 2: Disinvestment during year (₹ Lakhs)
(if you reduced your stake in DIE this year)</t>
  </si>
  <si>
    <t>DIE 2: Month of FIRST ODI invested (e.g. Apr, Jan)</t>
  </si>
  <si>
    <t>DIE 2: Year of FIRST ODI invested (e.g. 2018)</t>
  </si>
  <si>
    <t>Block 2 – DI &lt;10% Abroad: Country-wise Consolidated (less than 10% in foreign entities)</t>
  </si>
  <si>
    <t xml:space="preserve">  📋  SOURCE DOCUMENT:  Investment register / Form ODI / Balance Sheet – overseas investments</t>
  </si>
  <si>
    <t>ℹ️  If your company holds &lt;10% equity in any foreign entity, consolidate by country. All amounts in ₹ Lakhs.</t>
  </si>
  <si>
    <t>Number of countries where you hold &lt;10% equity abroad</t>
  </si>
  <si>
    <t>Count distinct countries</t>
  </si>
  <si>
    <t>Sec IV B2: No. of countries</t>
  </si>
  <si>
    <t xml:space="preserve">  Country 1 – &lt;10% DI Abroad</t>
  </si>
  <si>
    <t>Country of the foreign entity</t>
  </si>
  <si>
    <t>Sec IV B2: Country</t>
  </si>
  <si>
    <t>Equity % PY / FY</t>
  </si>
  <si>
    <t>% equity you hold in entities from this country</t>
  </si>
  <si>
    <t>Sec IV B2: Equity %</t>
  </si>
  <si>
    <t>Equity Capital (₹ Lakhs)</t>
  </si>
  <si>
    <t>Book/market value of your holding</t>
  </si>
  <si>
    <t>Sec IV B2: Eq.Cap</t>
  </si>
  <si>
    <t>Liabilities to these entities (₹ Lakhs)</t>
  </si>
  <si>
    <t>Your Balance Sheet: liabilities to entities in this country</t>
  </si>
  <si>
    <t>Sec IV B2 item 1.1</t>
  </si>
  <si>
    <t>Claims on these entities (₹ Lakhs)</t>
  </si>
  <si>
    <t>Your Balance Sheet: claims from entities in this country</t>
  </si>
  <si>
    <t>Sec IV B2 item 1.2</t>
  </si>
  <si>
    <t>Other Liabilities (₹ Lakhs)</t>
  </si>
  <si>
    <t>Trade payables, ECB etc.</t>
  </si>
  <si>
    <t>Sec IV B2 item 2.1</t>
  </si>
  <si>
    <t>Other Claims (₹ Lakhs)</t>
  </si>
  <si>
    <t>Trade receivables etc.</t>
  </si>
  <si>
    <t>Sec IV B2 item 2.2</t>
  </si>
  <si>
    <t>Decrease in % during year</t>
  </si>
  <si>
    <t>Sec IV B2 item 3</t>
  </si>
  <si>
    <t xml:space="preserve">  Country 2 – &lt;10% DI Abroad</t>
  </si>
  <si>
    <t>Block 3 – Portfolio Investment Abroad (less than 10% in foreign entities – portfolio style)</t>
  </si>
  <si>
    <t xml:space="preserve">  📉  SOURCE DOCUMENT:  Investment register / Balance Sheet – portfolio investments abroad</t>
  </si>
  <si>
    <t>ℹ️  If your company holds equity/debt in foreign entities as portfolio investment (not controlling stake).</t>
  </si>
  <si>
    <t>Country of foreign enterprise you invested in</t>
  </si>
  <si>
    <t>Country</t>
  </si>
  <si>
    <t>Sec IV B3: Country</t>
  </si>
  <si>
    <t>Portfolio equity % held</t>
  </si>
  <si>
    <t>% equity you hold</t>
  </si>
  <si>
    <t>Sec IV B3: Equity %</t>
  </si>
  <si>
    <t>Equity at market value (₹ Lakhs)</t>
  </si>
  <si>
    <t>Market value of equity held</t>
  </si>
  <si>
    <t>Sec IV B3 item 1</t>
  </si>
  <si>
    <t>Money market instruments (₹ Lakhs) – maturity ≤1 yr</t>
  </si>
  <si>
    <t>Short-term debt securities abroad</t>
  </si>
  <si>
    <t>Sec IV B3 item 2.1</t>
  </si>
  <si>
    <t>Bonds &amp; long-term instruments (₹ Lakhs) – maturity &gt;1 yr</t>
  </si>
  <si>
    <t>Long-term debt securities abroad</t>
  </si>
  <si>
    <t>Sec IV B3 item 2.2</t>
  </si>
  <si>
    <t>Decrease during year</t>
  </si>
  <si>
    <t>Sec IV B3 item 3</t>
  </si>
  <si>
    <t>Block 4 – Other Foreign Claims from UNRELATED foreign parties (no equity link)</t>
  </si>
  <si>
    <t xml:space="preserve">  💵  SOURCE DOCUMENT:  Balance Sheet – Current Assets / Receivables side → foreign trade receivables, loans given</t>
  </si>
  <si>
    <t>ℹ️  These are CLAIMS on foreign parties that have NO equity relationship with your company. e.g. amounts owed TO you by a foreign customer, loans you gave to a foreign entity.</t>
  </si>
  <si>
    <t>Trade Credit TO foreign unrelated parties (₹ Lakhs)
(amounts foreign customers owe your company)</t>
  </si>
  <si>
    <t>Balance Sheet → Trade Receivables from UNRELATED foreign customers. NOT from your ODI entities.</t>
  </si>
  <si>
    <t>Sec IV B4 item 1.1</t>
  </si>
  <si>
    <t>Loans given TO foreign unrelated parties (₹ Lakhs)
(loans your company extended to foreign entities)</t>
  </si>
  <si>
    <t>Balance Sheet → Loans &amp; Advances given to unrelated foreign parties</t>
  </si>
  <si>
    <t>Sec IV B4 item 1.2</t>
  </si>
  <si>
    <t>Foreign Currency Deposits held by your company abroad (₹ Lakhs)
(EEFC accounts, foreign bank deposits)</t>
  </si>
  <si>
    <t>Balance Sheet → EEFC accounts / foreign currency deposits your company holds</t>
  </si>
  <si>
    <t>Sec IV B4 item 1.3</t>
  </si>
  <si>
    <t>Other Receivables from unrelated foreign parties (₹ Lakhs)</t>
  </si>
  <si>
    <t>Balance Sheet → Other miscellaneous receivables from unrelated foreign parties</t>
  </si>
  <si>
    <t>Sec IV B4 item 1.4</t>
  </si>
  <si>
    <t>FLA RETURN – FORM  |  Auto-filled from Financials Input  |  RBI FLAIR Portal Format</t>
  </si>
  <si>
    <t>🟢 Green = auto-filled from Financials sheet  |  🟡 Yellow = verify/enter manually  |  Grey = N/A based on applicability</t>
  </si>
  <si>
    <t>SECTION I – IDENTIFICATION PARTICULARS</t>
  </si>
  <si>
    <t>Sr.</t>
  </si>
  <si>
    <t>Item No.</t>
  </si>
  <si>
    <t>Field Name (as per RBI FLAIR portal)</t>
  </si>
  <si>
    <t>Value</t>
  </si>
  <si>
    <t>Notes</t>
  </si>
  <si>
    <t>—</t>
  </si>
  <si>
    <t>Company Name*</t>
  </si>
  <si>
    <t>Pre-filled on FLAIR – verify</t>
  </si>
  <si>
    <t>CIN*</t>
  </si>
  <si>
    <t>PAN*</t>
  </si>
  <si>
    <t>Filing Year*</t>
  </si>
  <si>
    <t>Contact Person Name*</t>
  </si>
  <si>
    <t>Telephone No.*</t>
  </si>
  <si>
    <t>Mobile No.*</t>
  </si>
  <si>
    <t>Email of Contact Person*</t>
  </si>
  <si>
    <t>Designation*</t>
  </si>
  <si>
    <t>Website</t>
  </si>
  <si>
    <t>Account Closing Date*</t>
  </si>
  <si>
    <t>Auto: 31-March of filing year</t>
  </si>
  <si>
    <t>Nature of Business (NIC Code)*</t>
  </si>
  <si>
    <t>Whether Listed (Y/N)*</t>
  </si>
  <si>
    <t>Whether Merged/Amalgamated (Y/N)*</t>
  </si>
  <si>
    <t>Whether AMC (Y/N)*</t>
  </si>
  <si>
    <t>Technical Foreign Collaboration (Y/N)*</t>
  </si>
  <si>
    <t>Business Activity during FY (Y/N)*</t>
  </si>
  <si>
    <t>Type of Company*</t>
  </si>
  <si>
    <t>→ enter on FLAIR portal</t>
  </si>
  <si>
    <t>Dropdown on portal</t>
  </si>
  <si>
    <t>Inward FDI Identification*</t>
  </si>
  <si>
    <t>Share Face Value Table (₹ per share – Actuals)</t>
  </si>
  <si>
    <t>End-March PY</t>
  </si>
  <si>
    <t>End-March FY</t>
  </si>
  <si>
    <t>Source</t>
  </si>
  <si>
    <t>Ordinary/Equity Shares – No. of shares</t>
  </si>
  <si>
    <t>Balance Sheet &gt; Notes: Share Capital</t>
  </si>
  <si>
    <t>Ordinary/Equity – Face Value (₹/share)</t>
  </si>
  <si>
    <t>Participating Preference – No. of shares</t>
  </si>
  <si>
    <t>Participating Preference – Face Value (₹/sh)</t>
  </si>
  <si>
    <t>Non-Part. Preference – No. of shares</t>
  </si>
  <si>
    <t>Non-Part. Preference – Face Value (₹/sh)</t>
  </si>
  <si>
    <t>Market Value per Equity Share (₹/sh) – Listed only</t>
  </si>
  <si>
    <t>SECTION II – FINANCIAL DETAILS</t>
  </si>
  <si>
    <t>1. Total Paid-Up Capital</t>
  </si>
  <si>
    <t>Shares (Actuals) PY</t>
  </si>
  <si>
    <t>Shares (Actuals) FY</t>
  </si>
  <si>
    <t>Amount Auto-calc on portal</t>
  </si>
  <si>
    <t>1(a)</t>
  </si>
  <si>
    <t>Ordinary / Equity Shares</t>
  </si>
  <si>
    <t>Sec II 1.1a</t>
  </si>
  <si>
    <t>1(b)</t>
  </si>
  <si>
    <t>Participating Preference Shares</t>
  </si>
  <si>
    <t>1.2</t>
  </si>
  <si>
    <t>Non-Participating Preference Shares</t>
  </si>
  <si>
    <t>2. Non-Resident Holdings (No. of shares – Actuals)</t>
  </si>
  <si>
    <t>Shares PY</t>
  </si>
  <si>
    <t>Shares FY</t>
  </si>
  <si>
    <t>Category</t>
  </si>
  <si>
    <t>2.1.1</t>
  </si>
  <si>
    <t>Foreign Individuals</t>
  </si>
  <si>
    <t>2.1.2</t>
  </si>
  <si>
    <t>Foreign Companies</t>
  </si>
  <si>
    <t>2.1.3</t>
  </si>
  <si>
    <t>Foreign Institutional Investors (FIIs)</t>
  </si>
  <si>
    <t>2.1.4</t>
  </si>
  <si>
    <t>Foreign Venture Capital Investors (FVCIs)</t>
  </si>
  <si>
    <t>2.1.5</t>
  </si>
  <si>
    <t>2.1.6</t>
  </si>
  <si>
    <t>2.1.7</t>
  </si>
  <si>
    <t>2.1.8</t>
  </si>
  <si>
    <t>Sovereign Wealth Funds (SWF)</t>
  </si>
  <si>
    <t>2.1.9</t>
  </si>
  <si>
    <t>2.1.10</t>
  </si>
  <si>
    <t>Foreign Financial Institutions</t>
  </si>
  <si>
    <t>2.1.11</t>
  </si>
  <si>
    <t>NRIs / PIOs</t>
  </si>
  <si>
    <t>2.1</t>
  </si>
  <si>
    <t>TOTAL NR Equity &amp; Part.Pref Shares (auto)</t>
  </si>
  <si>
    <t>2.2</t>
  </si>
  <si>
    <t>NR Non-Participating Preference Shares</t>
  </si>
  <si>
    <t>2.3</t>
  </si>
  <si>
    <t>NR Equity &amp; Part.Pref % (auto on portal)</t>
  </si>
  <si>
    <t>→ auto on portal</t>
  </si>
  <si>
    <t>Auto-calculated by FLAIR</t>
  </si>
  <si>
    <t>3. Profit &amp; Loss Account (₹ Lakhs)</t>
  </si>
  <si>
    <t>PY (₹ Lakhs)</t>
  </si>
  <si>
    <t>FY (₹ Lakhs)</t>
  </si>
  <si>
    <t>3.1</t>
  </si>
  <si>
    <t>Profit (+) / Loss (–) Before Tax</t>
  </si>
  <si>
    <t>P&amp;L Statement</t>
  </si>
  <si>
    <t>3.2</t>
  </si>
  <si>
    <t>Profit (+) / Loss (–) After Tax</t>
  </si>
  <si>
    <t>3.3</t>
  </si>
  <si>
    <t>Dividend (Interim + Final)</t>
  </si>
  <si>
    <t>3.4</t>
  </si>
  <si>
    <t>Tax on Dividend</t>
  </si>
  <si>
    <t>3.5</t>
  </si>
  <si>
    <t>Retained Profit (auto: PAT – Div)</t>
  </si>
  <si>
    <t>4. Reserves &amp; Surplus and Net Worth (₹ Lakhs)</t>
  </si>
  <si>
    <t>4.1</t>
  </si>
  <si>
    <t>Reserves &amp; Surplus</t>
  </si>
  <si>
    <t>Balance Sheet</t>
  </si>
  <si>
    <t>4.2</t>
  </si>
  <si>
    <t>Of which: P&amp;L Account Balance</t>
  </si>
  <si>
    <t>4.3</t>
  </si>
  <si>
    <t>Net Worth (auto: Paid-up Cap + R&amp;S)</t>
  </si>
  <si>
    <t>5. Sales &amp; Purchases (₹ Lakhs)</t>
  </si>
  <si>
    <t>5.1</t>
  </si>
  <si>
    <t>Domestic Sales</t>
  </si>
  <si>
    <t>P&amp;L / Revenue schedule</t>
  </si>
  <si>
    <t>5.2</t>
  </si>
  <si>
    <t>Exports</t>
  </si>
  <si>
    <t>5.3</t>
  </si>
  <si>
    <t>Total Sales (auto)</t>
  </si>
  <si>
    <t>5.4</t>
  </si>
  <si>
    <t>Domestic Purchases</t>
  </si>
  <si>
    <t>P&amp;L / Cost schedule</t>
  </si>
  <si>
    <t>5.5</t>
  </si>
  <si>
    <t>Imports</t>
  </si>
  <si>
    <t>5.6</t>
  </si>
  <si>
    <t>Total Purchase (auto)</t>
  </si>
  <si>
    <t>6. Employee Information</t>
  </si>
  <si>
    <t>6.1</t>
  </si>
  <si>
    <t>No. of Employees on Payroll (actuals)</t>
  </si>
  <si>
    <t>HR records</t>
  </si>
  <si>
    <t>SECTION III – FOREIGN LIABILITIES  (Shown based on Applicability)</t>
  </si>
  <si>
    <t>Block 1 – FDI ≥10% (per investor)</t>
  </si>
  <si>
    <t>End-March PY (₹L)</t>
  </si>
  <si>
    <t>End-March FY (₹L)</t>
  </si>
  <si>
    <t xml:space="preserve">  FDI Investor 1 – (shown only if FDI ≥10% = Yes in Applicability)</t>
  </si>
  <si>
    <t>1.a</t>
  </si>
  <si>
    <t>FDI1: No. of FDI investors (≥10%)</t>
  </si>
  <si>
    <t>Count only</t>
  </si>
  <si>
    <t>1.a.1</t>
  </si>
  <si>
    <t>FDI1: Month of First FDI received</t>
  </si>
  <si>
    <t>FDI1: Year of First FDI received</t>
  </si>
  <si>
    <t>FDI1: Investor Name</t>
  </si>
  <si>
    <t>FDI1: Country of Investor</t>
  </si>
  <si>
    <t>FDI1: Equity &amp; Part.Pref % holding</t>
  </si>
  <si>
    <t>1.b</t>
  </si>
  <si>
    <t>1.1</t>
  </si>
  <si>
    <t>Only if reverse investment</t>
  </si>
  <si>
    <t>FDI1: Other Capital – Liabilities (trade payables, ECB, CCDs)</t>
  </si>
  <si>
    <t>FDI1: Other Capital – Claims (trade receivables)</t>
  </si>
  <si>
    <t>3</t>
  </si>
  <si>
    <t>FDI1: Disinvestments in India during the year</t>
  </si>
  <si>
    <t xml:space="preserve">  FDI Investor 2 – (shown only if FDI ≥10% = Yes in Applicability)</t>
  </si>
  <si>
    <t>FDI2: No. of FDI investors (≥10%)</t>
  </si>
  <si>
    <t>FDI2: Month of First FDI received</t>
  </si>
  <si>
    <t>FDI2: Year of First FDI received</t>
  </si>
  <si>
    <t>FDI2: Investor Name</t>
  </si>
  <si>
    <t>FDI2: Country of Investor</t>
  </si>
  <si>
    <t>FDI2: Equity &amp; Part.Pref % holding</t>
  </si>
  <si>
    <t>FDI2: Claims on Direct Investor (Reverse Invest.)</t>
  </si>
  <si>
    <t>FDI2: Other Capital – Liabilities (trade payables, ECB, CCDs)</t>
  </si>
  <si>
    <t>FDI2: Other Capital – Claims (trade receivables)</t>
  </si>
  <si>
    <t>FDI2: Disinvestments in India during the year</t>
  </si>
  <si>
    <t xml:space="preserve">  FDI Investor 3 – (shown only if FDI ≥10% = Yes in Applicability)</t>
  </si>
  <si>
    <t>FDI3: No. of FDI investors (≥10%)</t>
  </si>
  <si>
    <t>FDI3: Month of First FDI received</t>
  </si>
  <si>
    <t>FDI3: Year of First FDI received</t>
  </si>
  <si>
    <t>FDI3: Investor Name</t>
  </si>
  <si>
    <t>FDI3: Country of Investor</t>
  </si>
  <si>
    <t>FDI3: Equity &amp; Part.Pref % holding</t>
  </si>
  <si>
    <t>FDI3: Claims on Direct Investor (Reverse Invest.)</t>
  </si>
  <si>
    <t>FDI3: Other Capital – Liabilities (trade payables, ECB, CCDs)</t>
  </si>
  <si>
    <t>FDI3: Other Capital – Claims (trade receivables)</t>
  </si>
  <si>
    <t>FDI3: Disinvestments in India during the year</t>
  </si>
  <si>
    <t>Block 2 – FDI &lt;10% (Country-wise Consolidated)</t>
  </si>
  <si>
    <t>2.a</t>
  </si>
  <si>
    <t>No. of countries with &lt;10% FDI</t>
  </si>
  <si>
    <t>Country 1: Country Name</t>
  </si>
  <si>
    <t>Country 1: Equity % holding</t>
  </si>
  <si>
    <t>Country 1: Equity Capital</t>
  </si>
  <si>
    <t>Country 1: Liabilities to Direct Investors 1.1</t>
  </si>
  <si>
    <t>Country 1: Claims on Direct Investors 1.2</t>
  </si>
  <si>
    <t>Country 1: Other Capital Liabilities</t>
  </si>
  <si>
    <t>Country 1: Other Capital Claims</t>
  </si>
  <si>
    <t>Country 1: Disinvestments</t>
  </si>
  <si>
    <t>Block 3 – Portfolio Investment in India</t>
  </si>
  <si>
    <t>Equity &amp; Part.Pref % (Portfolio)</t>
  </si>
  <si>
    <t>1</t>
  </si>
  <si>
    <t>Equity Securities at Market Value</t>
  </si>
  <si>
    <t>Money Market Instruments (maturity ≤1yr)</t>
  </si>
  <si>
    <t>Bonds &amp; Other Instruments (maturity &gt;1yr) [CCDs/CCPs]</t>
  </si>
  <si>
    <t>Disinvestments during the year</t>
  </si>
  <si>
    <t>Block 4 – Other Investment Liabilities (Foreign Unrelated Parties)</t>
  </si>
  <si>
    <t>Trade Credit from foreign unrelated parties</t>
  </si>
  <si>
    <t>Loans / ECB from foreign unrelated parties</t>
  </si>
  <si>
    <t>1.3</t>
  </si>
  <si>
    <t>Currency &amp; Deposits</t>
  </si>
  <si>
    <t>1.4</t>
  </si>
  <si>
    <t>Other Receivable &amp; Payable Accounts</t>
  </si>
  <si>
    <t>SECTION IV – FOREIGN ASSETS  (Shown based on Applicability)</t>
  </si>
  <si>
    <t>Block 1 – ODI ≥10% : DIE Details</t>
  </si>
  <si>
    <t>Currency / Notes</t>
  </si>
  <si>
    <t xml:space="preserve">  ℹ️  DIE fields auto-pull from '2_FINANCIALS' sheet → Section IV Block 1 entries. Verify amounts. All FC amounts as entered; INR amounts converted via exchange rate.</t>
  </si>
  <si>
    <t>DIE 1: Name</t>
  </si>
  <si>
    <t>Copy from Financials sheet manually for portal entry</t>
  </si>
  <si>
    <t>DIE 1: Country</t>
  </si>
  <si>
    <t>DIE 1: % Equity held</t>
  </si>
  <si>
    <t>DIE 1: Reporting Foreign Currency</t>
  </si>
  <si>
    <t>DIE 1: Total Equity of DIE (FC)</t>
  </si>
  <si>
    <t>DIE 1: Equity held by your company (FC – face value)</t>
  </si>
  <si>
    <t>DIE 1: Reserves &amp; Surplus of DIE (FC)</t>
  </si>
  <si>
    <t>3.4.1</t>
  </si>
  <si>
    <t>DIE 1: Of which P&amp;L Account Balance (FC)</t>
  </si>
  <si>
    <t>3.6</t>
  </si>
  <si>
    <t>DIE 1: Exchange Rate PY (₹ per 1 unit FC)</t>
  </si>
  <si>
    <t>N/A</t>
  </si>
  <si>
    <t>DIE 1: Exchange Rate FY (₹ per 1 unit FC)</t>
  </si>
  <si>
    <t>3.7</t>
  </si>
  <si>
    <t>DIE 1: Total Sales (FC)</t>
  </si>
  <si>
    <t>3.7.1</t>
  </si>
  <si>
    <t>DIE 1: of which Exports (FC)</t>
  </si>
  <si>
    <t>3.8</t>
  </si>
  <si>
    <t>DIE 1: Total Purchase (FC)</t>
  </si>
  <si>
    <t>3.8.1</t>
  </si>
  <si>
    <t>DIE 1: of which Imports (FC)</t>
  </si>
  <si>
    <t>3.9</t>
  </si>
  <si>
    <t>DIE 1: No. of Employees on Payroll</t>
  </si>
  <si>
    <t>DIE 1: Claims on DIE – Reverse Investment (₹L)</t>
  </si>
  <si>
    <t>DIE 1: Other Capital Liabilities to DIE (₹L)</t>
  </si>
  <si>
    <t>DIE 1: Other Capital Claims on DIE (₹L)</t>
  </si>
  <si>
    <t>DIE 1: Disinvestments Abroad</t>
  </si>
  <si>
    <t>Block 2 – DI &lt;10% Abroad (Country-wise)</t>
  </si>
  <si>
    <t>No. of countries with &lt;10% DI abroad</t>
  </si>
  <si>
    <t>See Financials Block 2 rows</t>
  </si>
  <si>
    <t>Country 1: Liabilities to DIE 1.1</t>
  </si>
  <si>
    <t>Country 1: Claims on DIE 1.2</t>
  </si>
  <si>
    <t>Country 1: Disinvestments abroad</t>
  </si>
  <si>
    <t>Block 3 – Portfolio Investment Abroad</t>
  </si>
  <si>
    <t>Country of NR Enterprise</t>
  </si>
  <si>
    <t>See Financials Block 3 rows</t>
  </si>
  <si>
    <t>Portfolio Equity % holding</t>
  </si>
  <si>
    <t>Money Market Instruments</t>
  </si>
  <si>
    <t>Bonds &amp; Other Instruments</t>
  </si>
  <si>
    <t>Disinvestments abroad</t>
  </si>
  <si>
    <t>Block 4 – Other Foreign Claims (Unrelated Parties)</t>
  </si>
  <si>
    <t>Trade Credit to foreign unrelated parties</t>
  </si>
  <si>
    <t>See Financials Block 4 rows</t>
  </si>
  <si>
    <t>Loans given to foreign unrelated parties</t>
  </si>
  <si>
    <t>Currency &amp; Deposits abroad</t>
  </si>
  <si>
    <t>Other receivables from foreign parties</t>
  </si>
  <si>
    <t>FLA RETURN – VALIDATION CHECKS &amp; FILING READINESS</t>
  </si>
  <si>
    <t>All checks below must be ✅ PASS before filing. Fix errors in '2_FINANCIALS' sheet.</t>
  </si>
  <si>
    <t>#</t>
  </si>
  <si>
    <t>Rule</t>
  </si>
  <si>
    <t>Check Description</t>
  </si>
  <si>
    <t>Current Value / Detail</t>
  </si>
  <si>
    <t>Result</t>
  </si>
  <si>
    <t>How to Fix</t>
  </si>
  <si>
    <t>RBI-001</t>
  </si>
  <si>
    <t>Paid-up Capital cannot be zero</t>
  </si>
  <si>
    <t>Enter equity share count and face value in Financials sheet</t>
  </si>
  <si>
    <t>RBI-002</t>
  </si>
  <si>
    <t>Net Worth = Paid-up Capital + Reserves &amp; Surplus (verify match)</t>
  </si>
  <si>
    <t>Verify R&amp;S and share data in Financials. Net Worth = (Eq.Shares × FV)/1L + Reserves</t>
  </si>
  <si>
    <t>RBI-003</t>
  </si>
  <si>
    <t>Retained Profit = PAT minus Dividend</t>
  </si>
  <si>
    <t>Check PAT, Dividend in P&amp;L section of Financials</t>
  </si>
  <si>
    <t>RBI-004</t>
  </si>
  <si>
    <t>Total Sales = Domestic Sales + Exports</t>
  </si>
  <si>
    <t>Check Domestic Sales and Exports in Financials</t>
  </si>
  <si>
    <t>RBI-005</t>
  </si>
  <si>
    <t>Total Purchase = Domestic Purchase + Imports</t>
  </si>
  <si>
    <t>Check Domestic Purchase and Imports in Financials</t>
  </si>
  <si>
    <t>RBI-006</t>
  </si>
  <si>
    <t>NR equity % sum (Block1 FDI + Block2 DI + Block3 PI) should not exceed 100%</t>
  </si>
  <si>
    <t>Check FDI investor % in Financials – total cannot exceed 100%</t>
  </si>
  <si>
    <t>RBI-007</t>
  </si>
  <si>
    <t>FDI ≥10% selected – at least one investor name must be entered</t>
  </si>
  <si>
    <t>Enter FDI investor name in Financials &gt; Section III &gt; FDI Investor 1</t>
  </si>
  <si>
    <t>RBI-008</t>
  </si>
  <si>
    <t>If Listed = Yes, market value per share must be entered</t>
  </si>
  <si>
    <t>Enter market price per share (BSE/NSE closing price on 31-March) in Financials</t>
  </si>
  <si>
    <t>RBI-009</t>
  </si>
  <si>
    <t>ODI ≥10% selected – exchange rate must be non-zero</t>
  </si>
  <si>
    <t>Enter exchange rate (₹ per FC unit) for each DIE in Financials Section IV</t>
  </si>
  <si>
    <t>RBI-010</t>
  </si>
  <si>
    <t>ECB selected – loan amount must be non-zero</t>
  </si>
  <si>
    <t>Enter ECB/loan amount in Financials &gt; Section III &gt; Block 4 &gt; Loans</t>
  </si>
  <si>
    <t>RBI-011</t>
  </si>
  <si>
    <t>Reverse Investment selected – claims on FDI investor must be entered</t>
  </si>
  <si>
    <t>Enter Claims on Direct Investor (1.2) in FDI Investor 1 block of Financials</t>
  </si>
  <si>
    <t>RBI-012</t>
  </si>
  <si>
    <t>Applicability completeness – all mandatory flags set</t>
  </si>
  <si>
    <t>Complete all Yes/No flags in the Applicability sheet</t>
  </si>
  <si>
    <t>FILING READINESS SCORE  →</t>
  </si>
  <si>
    <t>NIC 2008 Division Description</t>
  </si>
  <si>
    <t>NIC Code</t>
  </si>
  <si>
    <t>Crop and animal production, hunting and related service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</si>
  <si>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</si>
  <si>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</si>
  <si>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</si>
  <si>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</si>
  <si>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</si>
  <si>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</si>
  <si>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</si>
  <si>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</si>
  <si>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</si>
  <si>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</si>
  <si>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</si>
  <si>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</si>
  <si>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</si>
  <si>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</si>
  <si>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</si>
  <si>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</si>
  <si>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</si>
  <si>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</si>
  <si>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</si>
  <si>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Electricity, gas, steam and air conditioning supply</t>
  </si>
  <si>
    <t>Construction of buildings</t>
  </si>
  <si>
    <t>Civil engineering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</si>
  <si>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</si>
  <si>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</si>
  <si>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</si>
  <si>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</si>
  <si>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</si>
  <si>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Telecommunications</t>
  </si>
  <si>
    <t>Computer programming, consultancy and related activities</t>
  </si>
  <si>
    <t>Information service activities</t>
  </si>
  <si>
    <t>Financial service activities, except insurance and pension funding</t>
  </si>
  <si>
    <t>Insurance, reinsurance and pension funding</t>
  </si>
  <si>
    <t>Other financial activities</t>
  </si>
  <si>
    <t>Real estate activities</t>
  </si>
  <si>
    <t>Legal and accounting activities</t>
  </si>
  <si>
    <t>Activities of head offices; management consultancy activities</t>
  </si>
  <si>
    <t>Architecture and engineering activities; technical testing and analysis</t>
  </si>
  <si>
    <t>Scientific research and development</t>
  </si>
  <si>
    <t>Education</t>
  </si>
  <si>
    <t>Human health activities</t>
  </si>
  <si>
    <t>SOURCE</t>
  </si>
  <si>
    <t>FINANCIALS</t>
  </si>
  <si>
    <t>PREFILL</t>
  </si>
  <si>
    <t>PREVIOUS FLA</t>
  </si>
  <si>
    <t>FINANCIALS - CURRENT YEAR FOR WHICH FILING IS BEING DONE</t>
  </si>
  <si>
    <t>FINANCIALS + LIST OF SHAREHOLDER</t>
  </si>
  <si>
    <t>LIST OF SHAREHOLDER</t>
  </si>
  <si>
    <t>LIST OF SHAREHOLDER + FINANCIALS</t>
  </si>
  <si>
    <t>INPUT FROM COMPANY</t>
  </si>
  <si>
    <t>PREVIOUS FLA - UNLESS THERE IS CHANGE</t>
  </si>
  <si>
    <t xml:space="preserve">FDI1: Claims on Direct Investor </t>
  </si>
  <si>
    <t xml:space="preserve">FDI1: Equity &amp; Part.Pref Capital </t>
  </si>
  <si>
    <t>FDI1: Liabilities to Direct Investor (NW × %)</t>
  </si>
  <si>
    <t xml:space="preserve">FINANCIALS + FORMULA </t>
  </si>
  <si>
    <t xml:space="preserve">FDI2: Equity &amp; Part.Pref Capital </t>
  </si>
  <si>
    <t>FDI2: Liabilities to Direct Investor ( NW × %)</t>
  </si>
  <si>
    <t>FDI3: Liabilities to Direct Investor (NW × %)</t>
  </si>
  <si>
    <t xml:space="preserve">FDI3: Equity &amp; Part.Pref Capital </t>
  </si>
  <si>
    <t>FORMULA</t>
  </si>
  <si>
    <t>PREVIOUS FLA UNLESS THERE IS A CHANGE</t>
  </si>
  <si>
    <t>Overseas Subsidiary's  FINANCIALS</t>
  </si>
  <si>
    <t>Overseas Subsidiary's  FINANCIALS + FORMULA</t>
  </si>
  <si>
    <t>DIE 1: Liabilities to DIE (₹L)(NW *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</si>
</sst>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3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i/>
      <sz val="9"/>
      <color rgb="FF595959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FF"/>
      <name val="Arial"/>
      <family val="2"/>
    </font>
    <font>
      <sz val="9"/>
      <color rgb="FF000000"/>
      <name val="Arial"/>
      <family val="2"/>
    </font>
    <font>
      <i/>
      <sz val="9"/>
      <color rgb="FFFFFFFF"/>
      <name val="Arial"/>
      <family val="2"/>
    </font>
    <font>
      <sz val="9"/>
      <color rgb="FF1F3864"/>
      <name val="Arial"/>
      <family val="2"/>
    </font>
    <font>
      <b/>
      <sz val="10"/>
      <color rgb="FF1F3864"/>
      <name val="Arial"/>
      <family val="2"/>
    </font>
    <font>
      <i/>
      <sz val="9"/>
      <color rgb="FF1F3864"/>
      <name val="Arial"/>
      <family val="2"/>
    </font>
    <font>
      <b/>
      <sz val="9"/>
      <color rgb="FFC55A11"/>
      <name val="Arial"/>
      <family val="2"/>
    </font>
    <font>
      <sz val="9"/>
      <color rgb="FF6B6B6B"/>
      <name val="Arial"/>
      <family val="2"/>
    </font>
    <font>
      <i/>
      <sz val="9"/>
      <color rgb="FF404040"/>
      <name val="Arial"/>
      <family val="2"/>
    </font>
    <font>
      <sz val="9"/>
      <color rgb="FF808080"/>
      <name val="Arial"/>
      <family val="2"/>
    </font>
    <font>
      <b/>
      <sz val="10"/>
      <color rgb="FF375623"/>
      <name val="Arial"/>
      <family val="2"/>
    </font>
    <font>
      <i/>
      <sz val="9"/>
      <color rgb="FF375623"/>
      <name val="Arial"/>
      <family val="2"/>
    </font>
    <font>
      <sz val="9"/>
      <color rgb="FF375623"/>
      <name val="Arial"/>
      <family val="2"/>
    </font>
    <font>
      <b/>
      <sz val="9"/>
      <color rgb="FF375623"/>
      <name val="Arial"/>
      <family val="2"/>
    </font>
    <font>
      <b/>
      <sz val="13"/>
      <color rgb="FFFFFFFF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9"/>
      <color rgb="FF008000"/>
      <name val="Arial"/>
      <family val="2"/>
    </font>
    <font>
      <b/>
      <i/>
      <sz val="8"/>
      <color rgb="FFFFFFFF"/>
      <name val="Arial"/>
      <family val="2"/>
    </font>
    <font>
      <i/>
      <sz val="8"/>
      <color rgb="FF595959"/>
      <name val="Arial"/>
      <family val="2"/>
    </font>
    <font>
      <b/>
      <sz val="10"/>
      <name val="Arial"/>
      <family val="2"/>
    </font>
    <font>
      <b/>
      <sz val="12"/>
      <color rgb="FFFFFFF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FF0000"/>
      <name val="Arial"/>
      <family val="2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7FBFF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FFE599"/>
        <bgColor rgb="FFFFF2CC"/>
      </patternFill>
    </fill>
    <fill>
      <patternFill patternType="solid">
        <fgColor rgb="FF1F4E79"/>
        <bgColor rgb="FF1F3864"/>
      </patternFill>
    </fill>
    <fill>
      <patternFill patternType="solid">
        <fgColor rgb="FFF2F2F2"/>
        <bgColor rgb="FFF7FBFF"/>
      </patternFill>
    </fill>
    <fill>
      <patternFill patternType="solid">
        <fgColor rgb="FF7030A0"/>
        <bgColor rgb="FF800080"/>
      </patternFill>
    </fill>
    <fill>
      <patternFill patternType="solid">
        <fgColor rgb="FFD9D9D9"/>
        <bgColor rgb="FFBDD7EE"/>
      </patternFill>
    </fill>
    <fill>
      <patternFill patternType="solid">
        <fgColor rgb="FFF7FBFF"/>
        <bgColor rgb="FFFFFFFF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7FBFF"/>
      </patternFill>
    </fill>
    <fill>
      <patternFill patternType="solid">
        <fgColor rgb="FFFFFF00"/>
        <bgColor rgb="FFFCE4D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17" fillId="4" borderId="0" xfId="0" applyFont="1" applyFill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18" fillId="14" borderId="3" xfId="0" applyFont="1" applyFill="1" applyBorder="1" applyAlignment="1">
      <alignment horizontal="left" vertical="center" wrapText="1"/>
    </xf>
    <xf numFmtId="0" fontId="19" fillId="4" borderId="0" xfId="0" applyFont="1" applyFill="1" applyAlignment="1">
      <alignment horizontal="left" vertical="center" wrapText="1"/>
    </xf>
    <xf numFmtId="0" fontId="17" fillId="11" borderId="0" xfId="0" applyFont="1" applyFill="1" applyAlignment="1">
      <alignment horizontal="center" vertical="center" wrapText="1"/>
    </xf>
    <xf numFmtId="0" fontId="3" fillId="11" borderId="3" xfId="0" applyFont="1" applyFill="1" applyBorder="1" applyAlignment="1">
      <alignment horizontal="left" vertical="center" wrapText="1"/>
    </xf>
    <xf numFmtId="0" fontId="19" fillId="11" borderId="0" xfId="0" applyFont="1" applyFill="1" applyAlignment="1">
      <alignment horizontal="left" vertical="center" wrapText="1"/>
    </xf>
    <xf numFmtId="0" fontId="0" fillId="15" borderId="0" xfId="0" applyFill="1"/>
    <xf numFmtId="0" fontId="20" fillId="15" borderId="0" xfId="0" applyFont="1" applyFill="1" applyAlignment="1">
      <alignment horizontal="left" vertical="center" wrapText="1"/>
    </xf>
    <xf numFmtId="0" fontId="20" fillId="15" borderId="4" xfId="0" applyFont="1" applyFill="1" applyBorder="1" applyAlignment="1">
      <alignment horizontal="center" vertical="center" wrapText="1"/>
    </xf>
    <xf numFmtId="0" fontId="21" fillId="15" borderId="0" xfId="0" applyFont="1" applyFill="1" applyAlignment="1">
      <alignment horizontal="left" vertical="center" wrapText="1"/>
    </xf>
    <xf numFmtId="0" fontId="22" fillId="15" borderId="0" xfId="0" applyFont="1" applyFill="1" applyAlignment="1">
      <alignment horizontal="left" vertical="center" wrapText="1"/>
    </xf>
    <xf numFmtId="0" fontId="21" fillId="15" borderId="0" xfId="0" applyFont="1" applyFill="1"/>
    <xf numFmtId="0" fontId="22" fillId="15" borderId="0" xfId="0" applyFont="1" applyFill="1"/>
    <xf numFmtId="0" fontId="23" fillId="15" borderId="0" xfId="0" applyFont="1" applyFill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right" vertical="center" wrapText="1"/>
    </xf>
    <xf numFmtId="0" fontId="0" fillId="13" borderId="1" xfId="0" applyFill="1" applyBorder="1"/>
    <xf numFmtId="0" fontId="26" fillId="4" borderId="1" xfId="0" applyFont="1" applyFill="1" applyBorder="1" applyAlignment="1">
      <alignment horizontal="left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left" vertical="center" wrapText="1"/>
    </xf>
    <xf numFmtId="164" fontId="27" fillId="15" borderId="1" xfId="0" applyNumberFormat="1" applyFont="1" applyFill="1" applyBorder="1" applyAlignment="1">
      <alignment horizontal="right" vertical="center" wrapText="1"/>
    </xf>
    <xf numFmtId="0" fontId="27" fillId="15" borderId="1" xfId="0" applyFont="1" applyFill="1" applyBorder="1" applyAlignment="1">
      <alignment horizontal="righ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17" borderId="1" xfId="0" applyFont="1" applyFill="1" applyBorder="1" applyAlignment="1">
      <alignment horizontal="right" vertical="center" wrapText="1"/>
    </xf>
    <xf numFmtId="0" fontId="26" fillId="16" borderId="1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28" fillId="3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29" fillId="5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9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 wrapText="1"/>
    </xf>
    <xf numFmtId="0" fontId="16" fillId="8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18" fillId="14" borderId="0" xfId="0" applyFont="1" applyFill="1" applyBorder="1" applyAlignment="1">
      <alignment horizontal="left" vertical="center" wrapText="1"/>
    </xf>
    <xf numFmtId="0" fontId="34" fillId="0" borderId="2" xfId="0" applyFont="1" applyFill="1" applyBorder="1" applyAlignment="1">
      <alignment horizontal="left" vertical="center" wrapText="1"/>
    </xf>
    <xf numFmtId="0" fontId="35" fillId="0" borderId="0" xfId="0" applyFont="1"/>
    <xf numFmtId="0" fontId="36" fillId="0" borderId="0" xfId="0" applyFont="1"/>
    <xf numFmtId="0" fontId="36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BFF"/>
      <rgbColor rgb="FFE2EFDA"/>
      <rgbColor rgb="FFFCE4D6"/>
      <rgbColor rgb="FFD9D9D9"/>
      <rgbColor rgb="FFFF99CC"/>
      <rgbColor rgb="FFCC99FF"/>
      <rgbColor rgb="FFFFE599"/>
      <rgbColor rgb="FF2E75B6"/>
      <rgbColor rgb="FF33CCCC"/>
      <rgbColor rgb="FF99CC00"/>
      <rgbColor rgb="FFFFCC00"/>
      <rgbColor rgb="FFFF9900"/>
      <rgbColor rgb="FFC55A11"/>
      <rgbColor rgb="FF6B6B6B"/>
      <rgbColor rgb="FFB0B0B0"/>
      <rgbColor rgb="FF1F3864"/>
      <rgbColor rgb="FF339966"/>
      <rgbColor rgb="FF003300"/>
      <rgbColor rgb="FF375623"/>
      <rgbColor rgb="FF993300"/>
      <rgbColor rgb="FF595959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showGridLines="0" zoomScaleNormal="100" workbookViewId="0">
      <selection activeCell="A29" sqref="A29:B29"/>
    </sheetView>
  </sheetViews>
  <sheetFormatPr defaultColWidth="8.6640625" defaultRowHeight="14.4" x14ac:dyDescent="0.3"/>
  <cols>
    <col min="1" max="1" width="3" customWidth="1"/>
    <col min="2" max="2" width="85" customWidth="1"/>
  </cols>
  <sheetData>
    <row r="1" spans="1:2" ht="36" customHeight="1" x14ac:dyDescent="0.3">
      <c r="A1" s="58" t="s">
        <v>0</v>
      </c>
      <c r="B1" s="58"/>
    </row>
    <row r="3" spans="1:2" ht="18" customHeight="1" x14ac:dyDescent="0.3">
      <c r="A3" s="59" t="s">
        <v>1</v>
      </c>
      <c r="B3" s="59"/>
    </row>
    <row r="4" spans="1:2" ht="18" customHeight="1" x14ac:dyDescent="0.3">
      <c r="A4" s="60" t="s">
        <v>2</v>
      </c>
      <c r="B4" s="60"/>
    </row>
    <row r="5" spans="1:2" ht="18" customHeight="1" x14ac:dyDescent="0.3">
      <c r="A5" s="61" t="s">
        <v>3</v>
      </c>
      <c r="B5" s="61"/>
    </row>
    <row r="6" spans="1:2" ht="18" customHeight="1" x14ac:dyDescent="0.3">
      <c r="A6" s="61" t="s">
        <v>4</v>
      </c>
      <c r="B6" s="61"/>
    </row>
    <row r="7" spans="1:2" ht="18" customHeight="1" x14ac:dyDescent="0.3">
      <c r="A7" s="61" t="s">
        <v>5</v>
      </c>
      <c r="B7" s="61"/>
    </row>
    <row r="9" spans="1:2" ht="18" customHeight="1" x14ac:dyDescent="0.3">
      <c r="A9" s="62" t="s">
        <v>6</v>
      </c>
      <c r="B9" s="62"/>
    </row>
    <row r="10" spans="1:2" ht="18" customHeight="1" x14ac:dyDescent="0.3">
      <c r="A10" s="63" t="s">
        <v>7</v>
      </c>
      <c r="B10" s="63"/>
    </row>
    <row r="11" spans="1:2" ht="18" customHeight="1" x14ac:dyDescent="0.3">
      <c r="A11" s="60" t="s">
        <v>8</v>
      </c>
      <c r="B11" s="60"/>
    </row>
    <row r="12" spans="1:2" ht="18" customHeight="1" x14ac:dyDescent="0.3">
      <c r="A12" s="60" t="s">
        <v>9</v>
      </c>
      <c r="B12" s="60"/>
    </row>
    <row r="13" spans="1:2" ht="18" customHeight="1" x14ac:dyDescent="0.3">
      <c r="A13" s="60" t="s">
        <v>10</v>
      </c>
      <c r="B13" s="60"/>
    </row>
    <row r="14" spans="1:2" ht="18" customHeight="1" x14ac:dyDescent="0.3">
      <c r="A14" s="60" t="s">
        <v>11</v>
      </c>
      <c r="B14" s="60"/>
    </row>
    <row r="16" spans="1:2" ht="18" customHeight="1" x14ac:dyDescent="0.3">
      <c r="A16" s="63" t="s">
        <v>12</v>
      </c>
      <c r="B16" s="63"/>
    </row>
    <row r="17" spans="1:2" ht="18" customHeight="1" x14ac:dyDescent="0.3">
      <c r="A17" s="60" t="s">
        <v>13</v>
      </c>
      <c r="B17" s="60"/>
    </row>
    <row r="18" spans="1:2" ht="18" customHeight="1" x14ac:dyDescent="0.3">
      <c r="A18" s="60" t="s">
        <v>14</v>
      </c>
      <c r="B18" s="60"/>
    </row>
    <row r="19" spans="1:2" ht="18" customHeight="1" x14ac:dyDescent="0.3">
      <c r="A19" s="60" t="s">
        <v>15</v>
      </c>
      <c r="B19" s="60"/>
    </row>
    <row r="20" spans="1:2" ht="18" customHeight="1" x14ac:dyDescent="0.3">
      <c r="A20" s="60" t="s">
        <v>16</v>
      </c>
      <c r="B20" s="60"/>
    </row>
    <row r="21" spans="1:2" ht="18" customHeight="1" x14ac:dyDescent="0.3">
      <c r="A21" s="60" t="s">
        <v>17</v>
      </c>
      <c r="B21" s="60"/>
    </row>
    <row r="22" spans="1:2" ht="18" customHeight="1" x14ac:dyDescent="0.3">
      <c r="A22" s="60" t="s">
        <v>18</v>
      </c>
      <c r="B22" s="60"/>
    </row>
    <row r="24" spans="1:2" ht="18" customHeight="1" x14ac:dyDescent="0.3">
      <c r="A24" s="63" t="s">
        <v>19</v>
      </c>
      <c r="B24" s="63"/>
    </row>
    <row r="25" spans="1:2" ht="18" customHeight="1" x14ac:dyDescent="0.3">
      <c r="A25" s="60" t="s">
        <v>20</v>
      </c>
      <c r="B25" s="60"/>
    </row>
    <row r="26" spans="1:2" ht="18" customHeight="1" x14ac:dyDescent="0.3">
      <c r="A26" s="60" t="s">
        <v>21</v>
      </c>
      <c r="B26" s="60"/>
    </row>
    <row r="27" spans="1:2" ht="18" customHeight="1" x14ac:dyDescent="0.3">
      <c r="A27" s="60" t="s">
        <v>22</v>
      </c>
      <c r="B27" s="60"/>
    </row>
    <row r="29" spans="1:2" ht="18" customHeight="1" x14ac:dyDescent="0.3">
      <c r="A29" s="64" t="s">
        <v>23</v>
      </c>
      <c r="B29" s="64"/>
    </row>
    <row r="30" spans="1:2" ht="26.25" customHeight="1" x14ac:dyDescent="0.3">
      <c r="A30" s="65" t="s">
        <v>24</v>
      </c>
      <c r="B30" s="65"/>
    </row>
    <row r="31" spans="1:2" ht="26.25" customHeight="1" x14ac:dyDescent="0.3">
      <c r="A31" s="65" t="s">
        <v>25</v>
      </c>
      <c r="B31" s="65"/>
    </row>
    <row r="32" spans="1:2" ht="26.25" customHeight="1" x14ac:dyDescent="0.3">
      <c r="A32" s="65" t="s">
        <v>26</v>
      </c>
      <c r="B32" s="65"/>
    </row>
    <row r="33" spans="1:2" ht="26.25" customHeight="1" x14ac:dyDescent="0.3">
      <c r="A33" s="65" t="s">
        <v>27</v>
      </c>
      <c r="B33" s="65"/>
    </row>
    <row r="34" spans="1:2" ht="26.25" customHeight="1" x14ac:dyDescent="0.3">
      <c r="A34" s="65" t="s">
        <v>28</v>
      </c>
      <c r="B34" s="65"/>
    </row>
    <row r="35" spans="1:2" ht="14.25" customHeight="1" x14ac:dyDescent="0.3">
      <c r="A35" s="65" t="s">
        <v>29</v>
      </c>
      <c r="B35" s="65"/>
    </row>
    <row r="37" spans="1:2" ht="18" customHeight="1" x14ac:dyDescent="0.3">
      <c r="A37" s="59" t="s">
        <v>30</v>
      </c>
      <c r="B37" s="59"/>
    </row>
    <row r="38" spans="1:2" ht="18" customHeight="1" x14ac:dyDescent="0.3">
      <c r="A38" s="60" t="s">
        <v>31</v>
      </c>
      <c r="B38" s="60"/>
    </row>
    <row r="39" spans="1:2" ht="18" customHeight="1" x14ac:dyDescent="0.3">
      <c r="A39" s="60" t="s">
        <v>32</v>
      </c>
      <c r="B39" s="60"/>
    </row>
    <row r="40" spans="1:2" ht="18" customHeight="1" x14ac:dyDescent="0.3">
      <c r="A40" s="66" t="s">
        <v>33</v>
      </c>
      <c r="B40" s="66"/>
    </row>
    <row r="42" spans="1:2" ht="18" customHeight="1" x14ac:dyDescent="0.3">
      <c r="A42" s="59" t="s">
        <v>34</v>
      </c>
      <c r="B42" s="59"/>
    </row>
    <row r="43" spans="1:2" ht="18" customHeight="1" x14ac:dyDescent="0.3">
      <c r="A43" s="60" t="s">
        <v>35</v>
      </c>
      <c r="B43" s="60"/>
    </row>
    <row r="44" spans="1:2" ht="18" customHeight="1" x14ac:dyDescent="0.3">
      <c r="A44" s="60" t="s">
        <v>36</v>
      </c>
      <c r="B44" s="60"/>
    </row>
    <row r="45" spans="1:2" ht="18" customHeight="1" x14ac:dyDescent="0.3">
      <c r="A45" s="60" t="s">
        <v>37</v>
      </c>
      <c r="B45" s="60"/>
    </row>
    <row r="46" spans="1:2" ht="18" customHeight="1" x14ac:dyDescent="0.3">
      <c r="A46" s="60" t="s">
        <v>38</v>
      </c>
      <c r="B46" s="60"/>
    </row>
    <row r="47" spans="1:2" ht="18" customHeight="1" x14ac:dyDescent="0.3">
      <c r="A47" s="60" t="s">
        <v>39</v>
      </c>
      <c r="B47" s="60"/>
    </row>
    <row r="48" spans="1:2" ht="18" customHeight="1" x14ac:dyDescent="0.3">
      <c r="A48" s="60" t="s">
        <v>40</v>
      </c>
      <c r="B48" s="60"/>
    </row>
  </sheetData>
  <mergeCells count="41">
    <mergeCell ref="A48:B48"/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2:B42"/>
    <mergeCell ref="A31:B31"/>
    <mergeCell ref="A32:B32"/>
    <mergeCell ref="A33:B33"/>
    <mergeCell ref="A34:B34"/>
    <mergeCell ref="A35:B35"/>
    <mergeCell ref="A25:B25"/>
    <mergeCell ref="A26:B26"/>
    <mergeCell ref="A27:B27"/>
    <mergeCell ref="A29:B29"/>
    <mergeCell ref="A30:B30"/>
    <mergeCell ref="A19:B19"/>
    <mergeCell ref="A20:B20"/>
    <mergeCell ref="A21:B21"/>
    <mergeCell ref="A22:B22"/>
    <mergeCell ref="A24:B24"/>
    <mergeCell ref="A13:B13"/>
    <mergeCell ref="A14:B14"/>
    <mergeCell ref="A16:B16"/>
    <mergeCell ref="A17:B17"/>
    <mergeCell ref="A18:B18"/>
    <mergeCell ref="A7:B7"/>
    <mergeCell ref="A9:B9"/>
    <mergeCell ref="A10:B10"/>
    <mergeCell ref="A11:B11"/>
    <mergeCell ref="A12:B12"/>
    <mergeCell ref="A1:B1"/>
    <mergeCell ref="A3:B3"/>
    <mergeCell ref="A4:B4"/>
    <mergeCell ref="A5:B5"/>
    <mergeCell ref="A6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"/>
  <sheetViews>
    <sheetView showGridLines="0" zoomScaleNormal="100" workbookViewId="0">
      <selection activeCell="C12" sqref="C12"/>
    </sheetView>
  </sheetViews>
  <sheetFormatPr defaultColWidth="8.6640625" defaultRowHeight="14.4" x14ac:dyDescent="0.3"/>
  <cols>
    <col min="1" max="1" width="3" customWidth="1"/>
    <col min="2" max="2" width="52" customWidth="1"/>
    <col min="3" max="3" width="14" customWidth="1"/>
    <col min="4" max="4" width="40" customWidth="1"/>
  </cols>
  <sheetData>
    <row r="1" spans="1:4" ht="39.75" customHeight="1" x14ac:dyDescent="0.3">
      <c r="A1" s="68" t="s">
        <v>41</v>
      </c>
      <c r="B1" s="68"/>
      <c r="C1" s="68"/>
      <c r="D1" s="68"/>
    </row>
    <row r="2" spans="1:4" ht="18" customHeight="1" x14ac:dyDescent="0.3">
      <c r="A2" s="48" t="s">
        <v>42</v>
      </c>
      <c r="B2" s="48"/>
      <c r="C2" s="48"/>
      <c r="D2" s="48"/>
    </row>
    <row r="3" spans="1:4" ht="30" customHeight="1" x14ac:dyDescent="0.3">
      <c r="B3" s="1" t="s">
        <v>43</v>
      </c>
      <c r="C3" s="1" t="s">
        <v>44</v>
      </c>
      <c r="D3" s="1" t="s">
        <v>45</v>
      </c>
    </row>
    <row r="5" spans="1:4" ht="19.5" customHeight="1" x14ac:dyDescent="0.3">
      <c r="B5" s="53" t="s">
        <v>46</v>
      </c>
      <c r="C5" s="53"/>
      <c r="D5" s="53"/>
    </row>
    <row r="6" spans="1:4" ht="19.5" customHeight="1" x14ac:dyDescent="0.3">
      <c r="B6" s="2" t="s">
        <v>47</v>
      </c>
      <c r="C6" s="3" t="s">
        <v>48</v>
      </c>
      <c r="D6" s="4" t="s">
        <v>49</v>
      </c>
    </row>
    <row r="7" spans="1:4" ht="19.5" customHeight="1" x14ac:dyDescent="0.3">
      <c r="B7" s="5" t="s">
        <v>50</v>
      </c>
      <c r="C7" s="3" t="s">
        <v>51</v>
      </c>
      <c r="D7" s="6" t="s">
        <v>52</v>
      </c>
    </row>
    <row r="8" spans="1:4" ht="19.5" customHeight="1" x14ac:dyDescent="0.3">
      <c r="B8" s="2" t="s">
        <v>53</v>
      </c>
      <c r="C8" s="3" t="s">
        <v>51</v>
      </c>
      <c r="D8" s="4" t="s">
        <v>54</v>
      </c>
    </row>
    <row r="9" spans="1:4" ht="19.5" customHeight="1" x14ac:dyDescent="0.3">
      <c r="B9" s="5" t="s">
        <v>55</v>
      </c>
      <c r="C9" s="3" t="s">
        <v>48</v>
      </c>
      <c r="D9" s="6" t="s">
        <v>56</v>
      </c>
    </row>
    <row r="10" spans="1:4" ht="19.5" customHeight="1" x14ac:dyDescent="0.3">
      <c r="B10" s="56" t="s">
        <v>57</v>
      </c>
      <c r="C10" s="56"/>
      <c r="D10" s="56"/>
    </row>
    <row r="11" spans="1:4" ht="19.5" customHeight="1" x14ac:dyDescent="0.3">
      <c r="B11" s="5" t="s">
        <v>58</v>
      </c>
      <c r="C11" s="3" t="s">
        <v>48</v>
      </c>
      <c r="D11" s="6" t="s">
        <v>59</v>
      </c>
    </row>
    <row r="12" spans="1:4" ht="19.5" customHeight="1" x14ac:dyDescent="0.3">
      <c r="B12" s="2" t="s">
        <v>60</v>
      </c>
      <c r="C12" s="3" t="s">
        <v>51</v>
      </c>
      <c r="D12" s="4" t="s">
        <v>61</v>
      </c>
    </row>
    <row r="13" spans="1:4" ht="19.5" customHeight="1" x14ac:dyDescent="0.3">
      <c r="B13" s="5" t="s">
        <v>62</v>
      </c>
      <c r="C13" s="3" t="s">
        <v>51</v>
      </c>
      <c r="D13" s="6" t="s">
        <v>63</v>
      </c>
    </row>
    <row r="14" spans="1:4" ht="19.5" customHeight="1" x14ac:dyDescent="0.3">
      <c r="B14" s="2" t="s">
        <v>64</v>
      </c>
      <c r="C14" s="3" t="s">
        <v>48</v>
      </c>
      <c r="D14" s="4" t="s">
        <v>65</v>
      </c>
    </row>
    <row r="15" spans="1:4" ht="19.5" customHeight="1" x14ac:dyDescent="0.3">
      <c r="B15" s="50" t="s">
        <v>66</v>
      </c>
      <c r="C15" s="50"/>
      <c r="D15" s="50"/>
    </row>
    <row r="16" spans="1:4" ht="19.5" customHeight="1" x14ac:dyDescent="0.3">
      <c r="B16" s="2" t="s">
        <v>67</v>
      </c>
      <c r="C16" s="3" t="s">
        <v>51</v>
      </c>
      <c r="D16" s="4" t="s">
        <v>68</v>
      </c>
    </row>
    <row r="17" spans="1:4" ht="19.5" customHeight="1" x14ac:dyDescent="0.3">
      <c r="B17" s="5" t="s">
        <v>69</v>
      </c>
      <c r="C17" s="3" t="s">
        <v>48</v>
      </c>
      <c r="D17" s="6" t="s">
        <v>70</v>
      </c>
    </row>
    <row r="18" spans="1:4" ht="19.5" customHeight="1" x14ac:dyDescent="0.3">
      <c r="B18" s="2" t="s">
        <v>71</v>
      </c>
      <c r="C18" s="3" t="s">
        <v>51</v>
      </c>
      <c r="D18" s="4" t="s">
        <v>72</v>
      </c>
    </row>
    <row r="19" spans="1:4" ht="19.5" customHeight="1" x14ac:dyDescent="0.3">
      <c r="B19" s="5" t="s">
        <v>73</v>
      </c>
      <c r="C19" s="3" t="s">
        <v>51</v>
      </c>
      <c r="D19" s="6" t="s">
        <v>74</v>
      </c>
    </row>
    <row r="20" spans="1:4" ht="19.5" customHeight="1" x14ac:dyDescent="0.3">
      <c r="B20" s="2" t="s">
        <v>75</v>
      </c>
      <c r="C20" s="3" t="s">
        <v>51</v>
      </c>
      <c r="D20" s="4" t="s">
        <v>76</v>
      </c>
    </row>
    <row r="21" spans="1:4" ht="19.5" customHeight="1" x14ac:dyDescent="0.3">
      <c r="B21" s="5" t="s">
        <v>77</v>
      </c>
      <c r="C21" s="3" t="s">
        <v>51</v>
      </c>
      <c r="D21" s="6" t="s">
        <v>78</v>
      </c>
    </row>
    <row r="22" spans="1:4" ht="19.5" customHeight="1" x14ac:dyDescent="0.3">
      <c r="B22" s="2" t="s">
        <v>79</v>
      </c>
      <c r="C22" s="3" t="s">
        <v>51</v>
      </c>
      <c r="D22" s="4" t="s">
        <v>80</v>
      </c>
    </row>
    <row r="23" spans="1:4" ht="19.5" customHeight="1" x14ac:dyDescent="0.3">
      <c r="B23" s="5" t="s">
        <v>81</v>
      </c>
      <c r="C23" s="3" t="s">
        <v>51</v>
      </c>
      <c r="D23" s="6" t="s">
        <v>82</v>
      </c>
    </row>
    <row r="24" spans="1:4" ht="18" customHeight="1" x14ac:dyDescent="0.3"/>
    <row r="25" spans="1:4" ht="19.5" customHeight="1" x14ac:dyDescent="0.3">
      <c r="A25" s="67"/>
      <c r="B25" s="67"/>
      <c r="C25" s="67"/>
      <c r="D25" s="67"/>
    </row>
    <row r="26" spans="1:4" ht="18" customHeight="1" x14ac:dyDescent="0.3">
      <c r="B26" t="s">
        <v>83</v>
      </c>
      <c r="C26" t="s">
        <v>51</v>
      </c>
      <c r="D26" t="s">
        <v>84</v>
      </c>
    </row>
    <row r="27" spans="1:4" ht="18" customHeight="1" x14ac:dyDescent="0.3">
      <c r="B27" t="s">
        <v>85</v>
      </c>
      <c r="C27" t="s">
        <v>51</v>
      </c>
      <c r="D27" t="s">
        <v>86</v>
      </c>
    </row>
    <row r="28" spans="1:4" ht="18" customHeight="1" x14ac:dyDescent="0.3">
      <c r="B28" t="s">
        <v>87</v>
      </c>
      <c r="C28" t="s">
        <v>51</v>
      </c>
      <c r="D28" t="s">
        <v>88</v>
      </c>
    </row>
    <row r="29" spans="1:4" ht="18" customHeight="1" x14ac:dyDescent="0.3">
      <c r="A29" s="7" t="s">
        <v>89</v>
      </c>
    </row>
    <row r="60" ht="22.5" customHeight="1" x14ac:dyDescent="0.3"/>
  </sheetData>
  <mergeCells count="6">
    <mergeCell ref="A25:D25"/>
    <mergeCell ref="A1:D1"/>
    <mergeCell ref="A2:D2"/>
    <mergeCell ref="B5:D5"/>
    <mergeCell ref="B10:D10"/>
    <mergeCell ref="B15:D15"/>
  </mergeCells>
  <dataValidations count="1">
    <dataValidation type="list" sqref="C6:C9 C11:C14 C16:C23 C25:C28" xr:uid="{00000000-0002-0000-01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6"/>
  <sheetViews>
    <sheetView zoomScaleNormal="100" workbookViewId="0">
      <selection activeCell="A154" sqref="A154:F154"/>
    </sheetView>
  </sheetViews>
  <sheetFormatPr defaultColWidth="8.6640625" defaultRowHeight="14.4" x14ac:dyDescent="0.3"/>
  <cols>
    <col min="1" max="1" width="5" customWidth="1"/>
    <col min="2" max="2" width="70.33203125" bestFit="1" customWidth="1"/>
    <col min="3" max="4" width="18" customWidth="1"/>
    <col min="5" max="5" width="42" customWidth="1"/>
    <col min="6" max="6" width="22" customWidth="1"/>
  </cols>
  <sheetData>
    <row r="1" spans="1:6" ht="24" customHeight="1" x14ac:dyDescent="0.3">
      <c r="A1" s="69" t="s">
        <v>90</v>
      </c>
      <c r="B1" s="69"/>
      <c r="C1" s="69"/>
      <c r="D1" s="69"/>
      <c r="E1" s="69"/>
      <c r="F1" s="69"/>
    </row>
    <row r="2" spans="1:6" ht="15.75" customHeight="1" x14ac:dyDescent="0.3">
      <c r="A2" s="70" t="s">
        <v>91</v>
      </c>
      <c r="B2" s="70"/>
      <c r="C2" s="70"/>
      <c r="D2" s="70"/>
      <c r="E2" s="70"/>
      <c r="F2" s="70"/>
    </row>
    <row r="3" spans="1:6" ht="36" customHeight="1" x14ac:dyDescent="0.3">
      <c r="A3" s="8"/>
      <c r="B3" s="9" t="s">
        <v>92</v>
      </c>
      <c r="C3" s="8" t="s">
        <v>93</v>
      </c>
      <c r="D3" s="8" t="s">
        <v>94</v>
      </c>
      <c r="E3" s="9" t="s">
        <v>95</v>
      </c>
      <c r="F3" s="8" t="s">
        <v>96</v>
      </c>
    </row>
    <row r="4" spans="1:6" ht="21.75" customHeight="1" x14ac:dyDescent="0.3">
      <c r="A4" s="69" t="s">
        <v>97</v>
      </c>
      <c r="B4" s="69"/>
      <c r="C4" s="69"/>
      <c r="D4" s="69"/>
      <c r="E4" s="69"/>
      <c r="F4" s="69"/>
    </row>
    <row r="5" spans="1:6" ht="19.5" customHeight="1" x14ac:dyDescent="0.3">
      <c r="A5" s="71" t="s">
        <v>98</v>
      </c>
      <c r="B5" s="71"/>
      <c r="C5" s="71"/>
      <c r="D5" s="71"/>
      <c r="E5" s="71"/>
      <c r="F5" s="71"/>
    </row>
    <row r="6" spans="1:6" ht="18" customHeight="1" x14ac:dyDescent="0.3">
      <c r="A6" s="72" t="s">
        <v>99</v>
      </c>
      <c r="B6" s="72"/>
      <c r="C6" s="72"/>
      <c r="D6" s="72"/>
      <c r="E6" s="72"/>
      <c r="F6" s="72"/>
    </row>
    <row r="7" spans="1:6" ht="15.75" customHeight="1" x14ac:dyDescent="0.3">
      <c r="A7" s="73" t="s">
        <v>100</v>
      </c>
      <c r="B7" s="73"/>
      <c r="C7" s="73"/>
      <c r="D7" s="73"/>
      <c r="E7" s="73"/>
      <c r="F7" s="73"/>
    </row>
    <row r="8" spans="1:6" ht="21.75" customHeight="1" x14ac:dyDescent="0.3">
      <c r="A8" s="10"/>
      <c r="B8" s="11" t="s">
        <v>101</v>
      </c>
      <c r="C8" s="12"/>
      <c r="D8" s="13">
        <v>0</v>
      </c>
      <c r="E8" s="14" t="s">
        <v>102</v>
      </c>
      <c r="F8" s="15" t="s">
        <v>103</v>
      </c>
    </row>
    <row r="9" spans="1:6" ht="21.75" customHeight="1" x14ac:dyDescent="0.3">
      <c r="A9" s="16"/>
      <c r="B9" s="17" t="s">
        <v>104</v>
      </c>
      <c r="C9" s="12">
        <v>0</v>
      </c>
      <c r="D9" s="12">
        <v>0</v>
      </c>
      <c r="E9" s="14" t="s">
        <v>105</v>
      </c>
      <c r="F9" s="18" t="s">
        <v>106</v>
      </c>
    </row>
    <row r="10" spans="1:6" ht="21.75" customHeight="1" x14ac:dyDescent="0.3">
      <c r="A10" s="10"/>
      <c r="B10" s="11" t="s">
        <v>107</v>
      </c>
      <c r="C10" s="12">
        <v>0</v>
      </c>
      <c r="D10" s="12">
        <v>0</v>
      </c>
      <c r="E10" s="14" t="s">
        <v>108</v>
      </c>
      <c r="F10" s="15" t="s">
        <v>109</v>
      </c>
    </row>
    <row r="11" spans="1:6" ht="21.75" customHeight="1" x14ac:dyDescent="0.3">
      <c r="A11" s="16"/>
      <c r="B11" s="17" t="s">
        <v>110</v>
      </c>
      <c r="C11" s="13"/>
      <c r="D11" s="12">
        <v>0</v>
      </c>
      <c r="E11" s="14" t="s">
        <v>111</v>
      </c>
      <c r="F11" s="18" t="s">
        <v>112</v>
      </c>
    </row>
    <row r="12" spans="1:6" ht="21.75" customHeight="1" x14ac:dyDescent="0.3">
      <c r="A12" s="10"/>
      <c r="B12" s="11" t="s">
        <v>113</v>
      </c>
      <c r="C12" s="13"/>
      <c r="D12" s="12">
        <v>0</v>
      </c>
      <c r="E12" s="14" t="s">
        <v>114</v>
      </c>
      <c r="F12" s="15" t="s">
        <v>115</v>
      </c>
    </row>
    <row r="13" spans="1:6" ht="21.75" customHeight="1" x14ac:dyDescent="0.3">
      <c r="A13" s="16"/>
      <c r="B13" s="17" t="s">
        <v>116</v>
      </c>
      <c r="C13" s="13"/>
      <c r="D13" s="12">
        <v>0</v>
      </c>
      <c r="E13" s="14" t="s">
        <v>117</v>
      </c>
      <c r="F13" s="18" t="s">
        <v>118</v>
      </c>
    </row>
    <row r="14" spans="1:6" ht="21.75" customHeight="1" x14ac:dyDescent="0.3">
      <c r="A14" s="10"/>
      <c r="B14" s="11" t="s">
        <v>119</v>
      </c>
      <c r="C14" s="13"/>
      <c r="D14" s="12">
        <v>0</v>
      </c>
      <c r="E14" s="14" t="s">
        <v>120</v>
      </c>
      <c r="F14" s="15" t="s">
        <v>121</v>
      </c>
    </row>
    <row r="15" spans="1:6" ht="21.75" customHeight="1" x14ac:dyDescent="0.3">
      <c r="A15" s="16"/>
      <c r="B15" s="17" t="s">
        <v>122</v>
      </c>
      <c r="C15" s="13"/>
      <c r="D15" s="12">
        <v>0</v>
      </c>
      <c r="E15" s="14" t="s">
        <v>123</v>
      </c>
      <c r="F15" s="18" t="s">
        <v>124</v>
      </c>
    </row>
    <row r="16" spans="1:6" ht="21.75" customHeight="1" x14ac:dyDescent="0.3">
      <c r="A16" s="10"/>
      <c r="B16" s="11" t="s">
        <v>125</v>
      </c>
      <c r="C16" s="13"/>
      <c r="D16" s="12">
        <v>0</v>
      </c>
      <c r="E16" s="14" t="s">
        <v>126</v>
      </c>
      <c r="F16" s="15" t="s">
        <v>127</v>
      </c>
    </row>
    <row r="17" spans="1:6" ht="21.75" customHeight="1" x14ac:dyDescent="0.3">
      <c r="A17" s="16"/>
      <c r="B17" s="17" t="s">
        <v>128</v>
      </c>
      <c r="C17" s="13"/>
      <c r="D17" s="12">
        <v>0</v>
      </c>
      <c r="E17" s="14" t="s">
        <v>129</v>
      </c>
      <c r="F17" s="18" t="s">
        <v>130</v>
      </c>
    </row>
    <row r="18" spans="1:6" ht="21.75" customHeight="1" x14ac:dyDescent="0.3">
      <c r="A18" s="10"/>
      <c r="B18" s="11" t="s">
        <v>131</v>
      </c>
      <c r="C18" s="13"/>
      <c r="D18" s="12">
        <v>0</v>
      </c>
      <c r="E18" s="14" t="s">
        <v>132</v>
      </c>
      <c r="F18" s="15" t="s">
        <v>133</v>
      </c>
    </row>
    <row r="19" spans="1:6" ht="21.75" customHeight="1" x14ac:dyDescent="0.3">
      <c r="A19" s="16"/>
      <c r="B19" s="17" t="s">
        <v>134</v>
      </c>
      <c r="C19" s="12" t="str">
        <f>'1_APPLICABILITY'!C18</f>
        <v>No</v>
      </c>
      <c r="D19" s="13">
        <v>0</v>
      </c>
      <c r="E19" s="14" t="s">
        <v>135</v>
      </c>
      <c r="F19" s="18" t="s">
        <v>136</v>
      </c>
    </row>
    <row r="20" spans="1:6" ht="21.75" customHeight="1" x14ac:dyDescent="0.3">
      <c r="A20" s="10"/>
      <c r="B20" s="11" t="s">
        <v>137</v>
      </c>
      <c r="C20" s="13"/>
      <c r="D20" s="12">
        <v>0</v>
      </c>
      <c r="E20" s="14" t="s">
        <v>138</v>
      </c>
      <c r="F20" s="15" t="s">
        <v>139</v>
      </c>
    </row>
    <row r="21" spans="1:6" ht="21.75" customHeight="1" x14ac:dyDescent="0.3">
      <c r="A21" s="16"/>
      <c r="B21" s="17" t="s">
        <v>140</v>
      </c>
      <c r="C21" s="12" t="str">
        <f>'1_APPLICABILITY'!C19</f>
        <v>No</v>
      </c>
      <c r="D21" s="13">
        <v>0</v>
      </c>
      <c r="E21" s="14" t="s">
        <v>141</v>
      </c>
      <c r="F21" s="18" t="s">
        <v>142</v>
      </c>
    </row>
    <row r="22" spans="1:6" ht="21.75" customHeight="1" x14ac:dyDescent="0.3">
      <c r="A22" s="10"/>
      <c r="B22" s="11" t="s">
        <v>143</v>
      </c>
      <c r="C22" s="13"/>
      <c r="D22" s="12">
        <v>0</v>
      </c>
      <c r="E22" s="14" t="s">
        <v>144</v>
      </c>
      <c r="F22" s="15" t="s">
        <v>145</v>
      </c>
    </row>
    <row r="23" spans="1:6" ht="21.75" customHeight="1" x14ac:dyDescent="0.3">
      <c r="A23" s="16"/>
      <c r="B23" s="17" t="s">
        <v>146</v>
      </c>
      <c r="C23" s="12" t="str">
        <f>'1_APPLICABILITY'!C20</f>
        <v>No</v>
      </c>
      <c r="D23" s="13">
        <v>0</v>
      </c>
      <c r="E23" s="14" t="s">
        <v>147</v>
      </c>
      <c r="F23" s="18" t="s">
        <v>148</v>
      </c>
    </row>
    <row r="24" spans="1:6" ht="19.5" customHeight="1" x14ac:dyDescent="0.3">
      <c r="A24" s="71" t="s">
        <v>149</v>
      </c>
      <c r="B24" s="71"/>
      <c r="C24" s="71"/>
      <c r="D24" s="71"/>
      <c r="E24" s="71"/>
      <c r="F24" s="71"/>
    </row>
    <row r="25" spans="1:6" ht="15.75" customHeight="1" x14ac:dyDescent="0.3">
      <c r="A25" s="73" t="s">
        <v>150</v>
      </c>
      <c r="B25" s="73"/>
      <c r="C25" s="73"/>
      <c r="D25" s="73"/>
      <c r="E25" s="73"/>
      <c r="F25" s="73"/>
    </row>
    <row r="26" spans="1:6" ht="18" customHeight="1" x14ac:dyDescent="0.3">
      <c r="A26" s="72" t="s">
        <v>151</v>
      </c>
      <c r="B26" s="72"/>
      <c r="C26" s="72"/>
      <c r="D26" s="72"/>
      <c r="E26" s="72"/>
      <c r="F26" s="72"/>
    </row>
    <row r="27" spans="1:6" ht="21.6" customHeight="1" x14ac:dyDescent="0.3">
      <c r="A27" s="10"/>
      <c r="B27" s="11" t="s">
        <v>152</v>
      </c>
      <c r="C27" s="12">
        <v>0</v>
      </c>
      <c r="D27" s="12">
        <v>0</v>
      </c>
      <c r="E27" s="14" t="s">
        <v>153</v>
      </c>
      <c r="F27" s="15" t="s">
        <v>154</v>
      </c>
    </row>
    <row r="28" spans="1:6" ht="21.75" customHeight="1" x14ac:dyDescent="0.3">
      <c r="A28" s="16"/>
      <c r="B28" s="17" t="s">
        <v>155</v>
      </c>
      <c r="C28" s="12">
        <v>0</v>
      </c>
      <c r="D28" s="12">
        <v>0</v>
      </c>
      <c r="E28" s="14" t="s">
        <v>156</v>
      </c>
      <c r="F28" s="18" t="s">
        <v>157</v>
      </c>
    </row>
    <row r="29" spans="1:6" ht="21.75" customHeight="1" x14ac:dyDescent="0.3">
      <c r="A29" s="10"/>
      <c r="B29" s="11" t="s">
        <v>158</v>
      </c>
      <c r="C29" s="12" t="str">
        <f>IF('1_APPLICABILITY'!C21="Yes","","N/A – set applicability to Yes")</f>
        <v>N/A – set applicability to Yes</v>
      </c>
      <c r="D29" s="12" t="str">
        <f>IF('1_APPLICABILITY'!C21="Yes","","N/A – set applicability to Yes")</f>
        <v>N/A – set applicability to Yes</v>
      </c>
      <c r="E29" s="14" t="s">
        <v>159</v>
      </c>
      <c r="F29" s="15" t="s">
        <v>160</v>
      </c>
    </row>
    <row r="30" spans="1:6" ht="21.75" customHeight="1" x14ac:dyDescent="0.3">
      <c r="A30" s="16"/>
      <c r="B30" s="17" t="s">
        <v>161</v>
      </c>
      <c r="C30" s="12" t="str">
        <f>IF('1_APPLICABILITY'!C21="Yes","","N/A – set applicability to Yes")</f>
        <v>N/A – set applicability to Yes</v>
      </c>
      <c r="D30" s="12" t="str">
        <f>IF('1_APPLICABILITY'!C21="Yes","","N/A – set applicability to Yes")</f>
        <v>N/A – set applicability to Yes</v>
      </c>
      <c r="E30" s="14" t="s">
        <v>162</v>
      </c>
      <c r="F30" s="18" t="s">
        <v>163</v>
      </c>
    </row>
    <row r="31" spans="1:6" ht="21.75" customHeight="1" x14ac:dyDescent="0.3">
      <c r="A31" s="10"/>
      <c r="B31" s="11" t="s">
        <v>164</v>
      </c>
      <c r="C31" s="12" t="str">
        <f>IF('1_APPLICABILITY'!C22="Yes","","N/A – set applicability to Yes")</f>
        <v>N/A – set applicability to Yes</v>
      </c>
      <c r="D31" s="12" t="str">
        <f>IF('1_APPLICABILITY'!C22="Yes","","N/A – set applicability to Yes")</f>
        <v>N/A – set applicability to Yes</v>
      </c>
      <c r="E31" s="14" t="s">
        <v>165</v>
      </c>
      <c r="F31" s="15" t="s">
        <v>166</v>
      </c>
    </row>
    <row r="32" spans="1:6" ht="21.75" customHeight="1" x14ac:dyDescent="0.3">
      <c r="A32" s="16"/>
      <c r="B32" s="17" t="s">
        <v>167</v>
      </c>
      <c r="C32" s="12" t="str">
        <f>IF('1_APPLICABILITY'!C22="Yes","","N/A – set applicability to Yes")</f>
        <v>N/A – set applicability to Yes</v>
      </c>
      <c r="D32" s="12" t="str">
        <f>IF('1_APPLICABILITY'!C22="Yes","","N/A – set applicability to Yes")</f>
        <v>N/A – set applicability to Yes</v>
      </c>
      <c r="E32" s="14" t="s">
        <v>162</v>
      </c>
      <c r="F32" s="18" t="s">
        <v>168</v>
      </c>
    </row>
    <row r="33" spans="1:6" ht="21.75" customHeight="1" x14ac:dyDescent="0.3">
      <c r="A33" s="10"/>
      <c r="B33" s="11" t="s">
        <v>169</v>
      </c>
      <c r="C33" s="12" t="str">
        <f>IF('1_APPLICABILITY'!C18="Yes","","N/A – set applicability to Yes")</f>
        <v>N/A – set applicability to Yes</v>
      </c>
      <c r="D33" s="12" t="str">
        <f>IF('1_APPLICABILITY'!C18="Yes","","N/A – set applicability to Yes")</f>
        <v>N/A – set applicability to Yes</v>
      </c>
      <c r="E33" s="14" t="s">
        <v>170</v>
      </c>
      <c r="F33" s="15" t="s">
        <v>171</v>
      </c>
    </row>
    <row r="34" spans="1:6" ht="21.75" customHeight="1" x14ac:dyDescent="0.3">
      <c r="A34" s="69" t="s">
        <v>172</v>
      </c>
      <c r="B34" s="69"/>
      <c r="C34" s="69"/>
      <c r="D34" s="69"/>
      <c r="E34" s="69"/>
      <c r="F34" s="69"/>
    </row>
    <row r="35" spans="1:6" ht="19.5" customHeight="1" x14ac:dyDescent="0.3">
      <c r="A35" s="71" t="s">
        <v>173</v>
      </c>
      <c r="B35" s="71"/>
      <c r="C35" s="71"/>
      <c r="D35" s="71"/>
      <c r="E35" s="71"/>
      <c r="F35" s="71"/>
    </row>
    <row r="36" spans="1:6" ht="15.75" customHeight="1" x14ac:dyDescent="0.3">
      <c r="A36" s="73" t="s">
        <v>174</v>
      </c>
      <c r="B36" s="73"/>
      <c r="C36" s="73"/>
      <c r="D36" s="73"/>
      <c r="E36" s="73"/>
      <c r="F36" s="73"/>
    </row>
    <row r="37" spans="1:6" ht="18" customHeight="1" x14ac:dyDescent="0.3">
      <c r="A37" s="72" t="s">
        <v>175</v>
      </c>
      <c r="B37" s="72"/>
      <c r="C37" s="72"/>
      <c r="D37" s="72"/>
      <c r="E37" s="72"/>
      <c r="F37" s="72"/>
    </row>
    <row r="38" spans="1:6" ht="26.4" x14ac:dyDescent="0.3">
      <c r="A38" s="10"/>
      <c r="B38" s="11" t="s">
        <v>176</v>
      </c>
      <c r="C38" s="12">
        <v>0</v>
      </c>
      <c r="D38" s="12">
        <v>0</v>
      </c>
      <c r="E38" s="14" t="s">
        <v>177</v>
      </c>
      <c r="F38" s="15" t="s">
        <v>178</v>
      </c>
    </row>
    <row r="39" spans="1:6" ht="26.4" x14ac:dyDescent="0.3">
      <c r="A39" s="16"/>
      <c r="B39" s="17" t="s">
        <v>179</v>
      </c>
      <c r="C39" s="12">
        <v>0</v>
      </c>
      <c r="D39" s="12">
        <v>0</v>
      </c>
      <c r="E39" s="14" t="s">
        <v>180</v>
      </c>
      <c r="F39" s="18" t="s">
        <v>181</v>
      </c>
    </row>
    <row r="40" spans="1:6" ht="26.4" x14ac:dyDescent="0.3">
      <c r="A40" s="10"/>
      <c r="B40" s="11" t="s">
        <v>182</v>
      </c>
      <c r="C40" s="12">
        <v>0</v>
      </c>
      <c r="D40" s="12">
        <v>0</v>
      </c>
      <c r="E40" s="14" t="s">
        <v>183</v>
      </c>
      <c r="F40" s="15" t="s">
        <v>184</v>
      </c>
    </row>
    <row r="41" spans="1:6" ht="26.4" x14ac:dyDescent="0.3">
      <c r="A41" s="16"/>
      <c r="B41" s="17" t="s">
        <v>185</v>
      </c>
      <c r="C41" s="12">
        <v>0</v>
      </c>
      <c r="D41" s="12">
        <v>0</v>
      </c>
      <c r="E41" s="14" t="s">
        <v>186</v>
      </c>
      <c r="F41" s="18" t="s">
        <v>187</v>
      </c>
    </row>
    <row r="42" spans="1:6" ht="26.25" customHeight="1" x14ac:dyDescent="0.3">
      <c r="A42" s="19"/>
      <c r="B42" s="20" t="s">
        <v>188</v>
      </c>
      <c r="C42" s="21">
        <f>IF(C39=0,0,C39-C40)</f>
        <v>0</v>
      </c>
      <c r="D42" s="21">
        <f>IF(D39=0,0,D39-D40)</f>
        <v>0</v>
      </c>
      <c r="E42" s="22" t="s">
        <v>189</v>
      </c>
      <c r="F42" s="23" t="s">
        <v>190</v>
      </c>
    </row>
    <row r="43" spans="1:6" x14ac:dyDescent="0.3">
      <c r="A43" s="71" t="s">
        <v>191</v>
      </c>
      <c r="B43" s="71"/>
      <c r="C43" s="71"/>
      <c r="D43" s="71"/>
      <c r="E43" s="71"/>
      <c r="F43" s="71"/>
    </row>
    <row r="44" spans="1:6" ht="15.75" customHeight="1" x14ac:dyDescent="0.3">
      <c r="A44" s="73" t="s">
        <v>192</v>
      </c>
      <c r="B44" s="73"/>
      <c r="C44" s="73"/>
      <c r="D44" s="73"/>
      <c r="E44" s="73"/>
      <c r="F44" s="73"/>
    </row>
    <row r="45" spans="1:6" ht="18" customHeight="1" x14ac:dyDescent="0.3">
      <c r="A45" s="72" t="s">
        <v>193</v>
      </c>
      <c r="B45" s="72"/>
      <c r="C45" s="72"/>
      <c r="D45" s="72"/>
      <c r="E45" s="72"/>
      <c r="F45" s="72"/>
    </row>
    <row r="46" spans="1:6" ht="26.25" customHeight="1" x14ac:dyDescent="0.3">
      <c r="A46" s="10"/>
      <c r="B46" s="11" t="s">
        <v>194</v>
      </c>
      <c r="C46" s="12">
        <v>0</v>
      </c>
      <c r="D46" s="12">
        <v>0</v>
      </c>
      <c r="E46" s="14" t="s">
        <v>195</v>
      </c>
      <c r="F46" s="15" t="s">
        <v>196</v>
      </c>
    </row>
    <row r="47" spans="1:6" ht="33.75" customHeight="1" x14ac:dyDescent="0.3">
      <c r="A47" s="16"/>
      <c r="B47" s="17" t="s">
        <v>197</v>
      </c>
      <c r="C47" s="12">
        <v>0</v>
      </c>
      <c r="D47" s="12">
        <v>0</v>
      </c>
      <c r="E47" s="14" t="s">
        <v>198</v>
      </c>
      <c r="F47" s="18" t="s">
        <v>199</v>
      </c>
    </row>
    <row r="48" spans="1:6" ht="26.25" customHeight="1" x14ac:dyDescent="0.3">
      <c r="A48" s="19"/>
      <c r="B48" s="20" t="s">
        <v>200</v>
      </c>
      <c r="C48" s="21">
        <f>IFERROR((C27*C28)/100000+C46,0)</f>
        <v>0</v>
      </c>
      <c r="D48" s="21">
        <f>IFERROR((D27*D28)/100000+D46,0)</f>
        <v>0</v>
      </c>
      <c r="E48" s="22" t="s">
        <v>201</v>
      </c>
      <c r="F48" s="23" t="s">
        <v>202</v>
      </c>
    </row>
    <row r="49" spans="1:6" ht="19.5" customHeight="1" x14ac:dyDescent="0.3">
      <c r="A49" s="71" t="s">
        <v>203</v>
      </c>
      <c r="B49" s="71"/>
      <c r="C49" s="71"/>
      <c r="D49" s="71"/>
      <c r="E49" s="71"/>
      <c r="F49" s="71"/>
    </row>
    <row r="50" spans="1:6" ht="15.75" customHeight="1" x14ac:dyDescent="0.3">
      <c r="A50" s="73" t="s">
        <v>204</v>
      </c>
      <c r="B50" s="73"/>
      <c r="C50" s="73"/>
      <c r="D50" s="73"/>
      <c r="E50" s="73"/>
      <c r="F50" s="73"/>
    </row>
    <row r="51" spans="1:6" ht="21.75" customHeight="1" x14ac:dyDescent="0.3">
      <c r="A51" s="10"/>
      <c r="B51" s="11" t="s">
        <v>205</v>
      </c>
      <c r="C51" s="12">
        <v>0</v>
      </c>
      <c r="D51" s="12">
        <v>0</v>
      </c>
      <c r="E51" s="14" t="s">
        <v>206</v>
      </c>
      <c r="F51" s="15" t="s">
        <v>207</v>
      </c>
    </row>
    <row r="52" spans="1:6" ht="26.25" customHeight="1" x14ac:dyDescent="0.3">
      <c r="A52" s="16"/>
      <c r="B52" s="17" t="s">
        <v>208</v>
      </c>
      <c r="C52" s="12">
        <v>0</v>
      </c>
      <c r="D52" s="12">
        <v>0</v>
      </c>
      <c r="E52" s="14" t="s">
        <v>209</v>
      </c>
      <c r="F52" s="18" t="s">
        <v>210</v>
      </c>
    </row>
    <row r="53" spans="1:6" ht="26.25" customHeight="1" x14ac:dyDescent="0.3">
      <c r="A53" s="19"/>
      <c r="B53" s="20" t="s">
        <v>211</v>
      </c>
      <c r="C53" s="21">
        <f>C51+C52</f>
        <v>0</v>
      </c>
      <c r="D53" s="21">
        <f>D51+D52</f>
        <v>0</v>
      </c>
      <c r="E53" s="24" t="s">
        <v>212</v>
      </c>
      <c r="F53" s="25" t="s">
        <v>213</v>
      </c>
    </row>
    <row r="54" spans="1:6" ht="22.5" customHeight="1" x14ac:dyDescent="0.3">
      <c r="A54" s="10"/>
      <c r="B54" s="11" t="s">
        <v>214</v>
      </c>
      <c r="C54" s="12">
        <v>0</v>
      </c>
      <c r="D54" s="12">
        <v>0</v>
      </c>
      <c r="E54" s="14" t="s">
        <v>215</v>
      </c>
      <c r="F54" s="15" t="s">
        <v>216</v>
      </c>
    </row>
    <row r="55" spans="1:6" ht="26.25" customHeight="1" x14ac:dyDescent="0.3">
      <c r="A55" s="16"/>
      <c r="B55" s="17" t="s">
        <v>217</v>
      </c>
      <c r="C55" s="12">
        <v>0</v>
      </c>
      <c r="D55" s="12">
        <v>0</v>
      </c>
      <c r="E55" s="14" t="s">
        <v>218</v>
      </c>
      <c r="F55" s="18" t="s">
        <v>219</v>
      </c>
    </row>
    <row r="56" spans="1:6" ht="26.25" customHeight="1" x14ac:dyDescent="0.3">
      <c r="A56" s="19"/>
      <c r="B56" s="20" t="s">
        <v>220</v>
      </c>
      <c r="C56" s="21">
        <f>C54+C55</f>
        <v>0</v>
      </c>
      <c r="D56" s="21">
        <f>D54+D55</f>
        <v>0</v>
      </c>
      <c r="E56" s="24" t="s">
        <v>212</v>
      </c>
      <c r="F56" s="25" t="s">
        <v>221</v>
      </c>
    </row>
    <row r="57" spans="1:6" ht="19.5" customHeight="1" x14ac:dyDescent="0.3">
      <c r="A57" s="71" t="s">
        <v>222</v>
      </c>
      <c r="B57" s="71"/>
      <c r="C57" s="71"/>
      <c r="D57" s="71"/>
      <c r="E57" s="71"/>
      <c r="F57" s="71"/>
    </row>
    <row r="58" spans="1:6" ht="15.75" customHeight="1" x14ac:dyDescent="0.3">
      <c r="A58" s="73" t="s">
        <v>223</v>
      </c>
      <c r="B58" s="73"/>
      <c r="C58" s="73"/>
      <c r="D58" s="73"/>
      <c r="E58" s="73"/>
      <c r="F58" s="73"/>
    </row>
    <row r="59" spans="1:6" ht="21.75" customHeight="1" x14ac:dyDescent="0.3">
      <c r="A59" s="10"/>
      <c r="B59" s="11" t="s">
        <v>224</v>
      </c>
      <c r="C59" s="12">
        <v>0</v>
      </c>
      <c r="D59" s="12">
        <v>0</v>
      </c>
      <c r="E59" s="14" t="s">
        <v>225</v>
      </c>
      <c r="F59" s="15" t="s">
        <v>226</v>
      </c>
    </row>
    <row r="60" spans="1:6" ht="21.75" customHeight="1" x14ac:dyDescent="0.3">
      <c r="A60" s="69" t="s">
        <v>227</v>
      </c>
      <c r="B60" s="69"/>
      <c r="C60" s="69"/>
      <c r="D60" s="69"/>
      <c r="E60" s="69"/>
      <c r="F60" s="69"/>
    </row>
    <row r="61" spans="1:6" ht="19.5" customHeight="1" x14ac:dyDescent="0.3">
      <c r="A61" s="71" t="s">
        <v>228</v>
      </c>
      <c r="B61" s="71"/>
      <c r="C61" s="71"/>
      <c r="D61" s="71"/>
      <c r="E61" s="71"/>
      <c r="F61" s="71"/>
    </row>
    <row r="62" spans="1:6" ht="15.75" customHeight="1" x14ac:dyDescent="0.3">
      <c r="A62" s="73" t="s">
        <v>229</v>
      </c>
      <c r="B62" s="73"/>
      <c r="C62" s="73"/>
      <c r="D62" s="73"/>
      <c r="E62" s="73"/>
      <c r="F62" s="73"/>
    </row>
    <row r="63" spans="1:6" ht="18" customHeight="1" x14ac:dyDescent="0.3">
      <c r="A63" s="72" t="s">
        <v>230</v>
      </c>
      <c r="B63" s="72"/>
      <c r="C63" s="72"/>
      <c r="D63" s="72"/>
      <c r="E63" s="72"/>
      <c r="F63" s="72"/>
    </row>
    <row r="64" spans="1:6" ht="21.75" customHeight="1" x14ac:dyDescent="0.3">
      <c r="A64" s="10"/>
      <c r="B64" s="11" t="s">
        <v>231</v>
      </c>
      <c r="C64" s="12">
        <v>0</v>
      </c>
      <c r="D64" s="12">
        <v>0</v>
      </c>
      <c r="E64" s="14" t="s">
        <v>232</v>
      </c>
      <c r="F64" s="15" t="s">
        <v>233</v>
      </c>
    </row>
    <row r="65" spans="1:6" ht="21.75" customHeight="1" x14ac:dyDescent="0.3">
      <c r="A65" s="16"/>
      <c r="B65" s="17" t="s">
        <v>234</v>
      </c>
      <c r="C65" s="12">
        <v>0</v>
      </c>
      <c r="D65" s="12">
        <v>0</v>
      </c>
      <c r="E65" s="14" t="s">
        <v>235</v>
      </c>
      <c r="F65" s="18" t="s">
        <v>236</v>
      </c>
    </row>
    <row r="66" spans="1:6" ht="21.75" customHeight="1" x14ac:dyDescent="0.3">
      <c r="A66" s="10"/>
      <c r="B66" s="11" t="s">
        <v>237</v>
      </c>
      <c r="C66" s="12">
        <v>0</v>
      </c>
      <c r="D66" s="12">
        <v>0</v>
      </c>
      <c r="E66" s="14" t="s">
        <v>238</v>
      </c>
      <c r="F66" s="15" t="s">
        <v>239</v>
      </c>
    </row>
    <row r="67" spans="1:6" ht="21.75" customHeight="1" x14ac:dyDescent="0.3">
      <c r="A67" s="16"/>
      <c r="B67" s="17" t="s">
        <v>240</v>
      </c>
      <c r="C67" s="12">
        <v>0</v>
      </c>
      <c r="D67" s="12">
        <v>0</v>
      </c>
      <c r="E67" s="14" t="s">
        <v>241</v>
      </c>
      <c r="F67" s="18" t="s">
        <v>242</v>
      </c>
    </row>
    <row r="68" spans="1:6" ht="21.75" customHeight="1" x14ac:dyDescent="0.3">
      <c r="A68" s="10"/>
      <c r="B68" s="11" t="s">
        <v>243</v>
      </c>
      <c r="C68" s="12">
        <v>0</v>
      </c>
      <c r="D68" s="12">
        <v>0</v>
      </c>
      <c r="E68" s="14" t="s">
        <v>244</v>
      </c>
      <c r="F68" s="15" t="s">
        <v>245</v>
      </c>
    </row>
    <row r="69" spans="1:6" ht="21.75" customHeight="1" x14ac:dyDescent="0.3">
      <c r="A69" s="16"/>
      <c r="B69" s="17" t="s">
        <v>246</v>
      </c>
      <c r="C69" s="12">
        <v>0</v>
      </c>
      <c r="D69" s="12">
        <v>0</v>
      </c>
      <c r="E69" s="14" t="s">
        <v>247</v>
      </c>
      <c r="F69" s="18" t="s">
        <v>248</v>
      </c>
    </row>
    <row r="70" spans="1:6" ht="21.75" customHeight="1" x14ac:dyDescent="0.3">
      <c r="A70" s="10"/>
      <c r="B70" s="11" t="s">
        <v>249</v>
      </c>
      <c r="C70" s="12">
        <v>0</v>
      </c>
      <c r="D70" s="12">
        <v>0</v>
      </c>
      <c r="E70" s="14" t="s">
        <v>250</v>
      </c>
      <c r="F70" s="15" t="s">
        <v>251</v>
      </c>
    </row>
    <row r="71" spans="1:6" ht="21.75" customHeight="1" x14ac:dyDescent="0.3">
      <c r="A71" s="16"/>
      <c r="B71" s="17" t="s">
        <v>252</v>
      </c>
      <c r="C71" s="12">
        <v>0</v>
      </c>
      <c r="D71" s="12">
        <v>0</v>
      </c>
      <c r="E71" s="14" t="s">
        <v>253</v>
      </c>
      <c r="F71" s="18" t="s">
        <v>254</v>
      </c>
    </row>
    <row r="72" spans="1:6" ht="21.75" customHeight="1" x14ac:dyDescent="0.3">
      <c r="A72" s="10"/>
      <c r="B72" s="11" t="s">
        <v>255</v>
      </c>
      <c r="C72" s="12">
        <v>0</v>
      </c>
      <c r="D72" s="12">
        <v>0</v>
      </c>
      <c r="E72" s="14" t="s">
        <v>256</v>
      </c>
      <c r="F72" s="15" t="s">
        <v>257</v>
      </c>
    </row>
    <row r="73" spans="1:6" ht="21.75" customHeight="1" x14ac:dyDescent="0.3">
      <c r="A73" s="16"/>
      <c r="B73" s="17" t="s">
        <v>258</v>
      </c>
      <c r="C73" s="12">
        <v>0</v>
      </c>
      <c r="D73" s="12">
        <v>0</v>
      </c>
      <c r="E73" s="14" t="s">
        <v>259</v>
      </c>
      <c r="F73" s="18" t="s">
        <v>260</v>
      </c>
    </row>
    <row r="74" spans="1:6" ht="21.75" customHeight="1" x14ac:dyDescent="0.3">
      <c r="A74" s="10"/>
      <c r="B74" s="11" t="s">
        <v>261</v>
      </c>
      <c r="C74" s="12">
        <v>0</v>
      </c>
      <c r="D74" s="12">
        <v>0</v>
      </c>
      <c r="E74" s="14" t="s">
        <v>262</v>
      </c>
      <c r="F74" s="15" t="s">
        <v>263</v>
      </c>
    </row>
    <row r="75" spans="1:6" ht="21.75" customHeight="1" x14ac:dyDescent="0.3">
      <c r="A75" s="16"/>
      <c r="B75" s="17" t="s">
        <v>264</v>
      </c>
      <c r="C75" s="12" t="str">
        <f>IF('1_APPLICABILITY'!C22="Yes","","N/A – set applicability to Yes")</f>
        <v>N/A – set applicability to Yes</v>
      </c>
      <c r="D75" s="12" t="str">
        <f>IF('1_APPLICABILITY'!C22="Yes","","N/A – set applicability to Yes")</f>
        <v>N/A – set applicability to Yes</v>
      </c>
      <c r="E75" s="14" t="s">
        <v>265</v>
      </c>
      <c r="F75" s="18" t="s">
        <v>266</v>
      </c>
    </row>
    <row r="76" spans="1:6" ht="21.75" customHeight="1" x14ac:dyDescent="0.3">
      <c r="A76" s="19"/>
      <c r="B76" s="20" t="s">
        <v>267</v>
      </c>
      <c r="C76" s="21">
        <f>SUM(C64:C74)</f>
        <v>0</v>
      </c>
      <c r="D76" s="21">
        <f>SUM(D64:D74)</f>
        <v>0</v>
      </c>
      <c r="E76" s="24" t="s">
        <v>268</v>
      </c>
      <c r="F76" s="25" t="s">
        <v>269</v>
      </c>
    </row>
    <row r="77" spans="1:6" ht="21.75" customHeight="1" x14ac:dyDescent="0.3">
      <c r="A77" s="74" t="s">
        <v>270</v>
      </c>
      <c r="B77" s="74"/>
      <c r="C77" s="74"/>
      <c r="D77" s="74"/>
      <c r="E77" s="74"/>
      <c r="F77" s="74"/>
    </row>
    <row r="78" spans="1:6" ht="18" customHeight="1" x14ac:dyDescent="0.3">
      <c r="A78" s="72" t="s">
        <v>271</v>
      </c>
      <c r="B78" s="72"/>
      <c r="C78" s="72"/>
      <c r="D78" s="72"/>
      <c r="E78" s="72"/>
      <c r="F78" s="72"/>
    </row>
    <row r="79" spans="1:6" ht="19.5" customHeight="1" x14ac:dyDescent="0.3">
      <c r="A79" s="71" t="s">
        <v>272</v>
      </c>
      <c r="B79" s="71"/>
      <c r="C79" s="71"/>
      <c r="D79" s="71"/>
      <c r="E79" s="71"/>
      <c r="F79" s="71"/>
    </row>
    <row r="80" spans="1:6" ht="15.75" customHeight="1" x14ac:dyDescent="0.3">
      <c r="A80" s="73" t="s">
        <v>273</v>
      </c>
      <c r="B80" s="73"/>
      <c r="C80" s="73"/>
      <c r="D80" s="73"/>
      <c r="E80" s="73"/>
      <c r="F80" s="73"/>
    </row>
    <row r="81" spans="1:6" ht="19.5" customHeight="1" x14ac:dyDescent="0.3">
      <c r="A81" s="75" t="s">
        <v>274</v>
      </c>
      <c r="B81" s="75"/>
      <c r="C81" s="75"/>
      <c r="D81" s="75"/>
      <c r="E81" s="75"/>
      <c r="F81" s="75"/>
    </row>
    <row r="82" spans="1:6" ht="21.75" customHeight="1" x14ac:dyDescent="0.3">
      <c r="A82" s="10"/>
      <c r="B82" s="11" t="s">
        <v>275</v>
      </c>
      <c r="C82" s="12"/>
      <c r="D82" s="13" t="str">
        <f>IF('1_APPLICABILITY'!C6="Yes","","N/A – set applicability to Yes")</f>
        <v/>
      </c>
      <c r="E82" s="14" t="s">
        <v>276</v>
      </c>
      <c r="F82" s="15" t="s">
        <v>277</v>
      </c>
    </row>
    <row r="83" spans="1:6" ht="21.75" customHeight="1" x14ac:dyDescent="0.3">
      <c r="A83" s="16"/>
      <c r="B83" s="17" t="s">
        <v>278</v>
      </c>
      <c r="C83" s="12"/>
      <c r="D83" s="13" t="str">
        <f>IF('1_APPLICABILITY'!C6="Yes","","N/A – set applicability to Yes")</f>
        <v/>
      </c>
      <c r="E83" s="14" t="s">
        <v>279</v>
      </c>
      <c r="F83" s="18" t="s">
        <v>280</v>
      </c>
    </row>
    <row r="84" spans="1:6" ht="21.75" customHeight="1" x14ac:dyDescent="0.3">
      <c r="A84" s="10"/>
      <c r="B84" s="11" t="s">
        <v>281</v>
      </c>
      <c r="C84" s="12" t="str">
        <f>IF('1_APPLICABILITY'!C6="Yes","","N/A – set applicability to Yes")</f>
        <v/>
      </c>
      <c r="D84" s="12" t="str">
        <f>IF('1_APPLICABILITY'!C6="Yes","","N/A – set applicability to Yes")</f>
        <v/>
      </c>
      <c r="E84" s="14" t="s">
        <v>282</v>
      </c>
      <c r="F84" s="15" t="s">
        <v>283</v>
      </c>
    </row>
    <row r="85" spans="1:6" ht="21.75" customHeight="1" x14ac:dyDescent="0.3">
      <c r="A85" s="19"/>
      <c r="B85" s="26" t="s">
        <v>284</v>
      </c>
      <c r="C85" s="21">
        <f>IF('1_APPLICABILITY'!C6="Yes",IFERROR(C48*C84/100,0),"N/A")</f>
        <v>0</v>
      </c>
      <c r="D85" s="21">
        <f>IF('1_APPLICABILITY'!C6="Yes",IFERROR(D48*D84/100,0),"N/A")</f>
        <v>0</v>
      </c>
      <c r="E85" s="24" t="s">
        <v>285</v>
      </c>
      <c r="F85" s="25" t="s">
        <v>286</v>
      </c>
    </row>
    <row r="86" spans="1:6" ht="26.4" x14ac:dyDescent="0.3">
      <c r="A86" s="16"/>
      <c r="B86" s="17" t="s">
        <v>287</v>
      </c>
      <c r="C86" s="12" t="str">
        <f>IF('1_APPLICABILITY'!C16="Yes","","N/A – set applicability to Yes")</f>
        <v>N/A – set applicability to Yes</v>
      </c>
      <c r="D86" s="12" t="str">
        <f>IF('1_APPLICABILITY'!C16="Yes","","N/A – set applicability to Yes")</f>
        <v>N/A – set applicability to Yes</v>
      </c>
      <c r="E86" s="14" t="s">
        <v>288</v>
      </c>
      <c r="F86" s="18" t="s">
        <v>289</v>
      </c>
    </row>
    <row r="87" spans="1:6" ht="26.4" x14ac:dyDescent="0.3">
      <c r="A87" s="10"/>
      <c r="B87" s="11" t="s">
        <v>290</v>
      </c>
      <c r="C87" s="12" t="str">
        <f>IF('1_APPLICABILITY'!C16="Yes","","N/A – set applicability to Yes")</f>
        <v>N/A – set applicability to Yes</v>
      </c>
      <c r="D87" s="12" t="str">
        <f>IF('1_APPLICABILITY'!C16="Yes","","N/A – set applicability to Yes")</f>
        <v>N/A – set applicability to Yes</v>
      </c>
      <c r="E87" s="14" t="s">
        <v>291</v>
      </c>
      <c r="F87" s="15" t="s">
        <v>292</v>
      </c>
    </row>
    <row r="88" spans="1:6" ht="45.6" x14ac:dyDescent="0.3">
      <c r="A88" s="16"/>
      <c r="B88" s="17" t="s">
        <v>293</v>
      </c>
      <c r="C88" s="12" t="str">
        <f>IF('1_APPLICABILITY'!C6="Yes","","N/A – set applicability to Yes")</f>
        <v/>
      </c>
      <c r="D88" s="12" t="str">
        <f>IF('1_APPLICABILITY'!C6="Yes","","N/A – set applicability to Yes")</f>
        <v/>
      </c>
      <c r="E88" s="14" t="s">
        <v>294</v>
      </c>
      <c r="F88" s="18" t="s">
        <v>295</v>
      </c>
    </row>
    <row r="89" spans="1:6" ht="34.200000000000003" x14ac:dyDescent="0.3">
      <c r="A89" s="10"/>
      <c r="B89" s="11" t="s">
        <v>296</v>
      </c>
      <c r="C89" s="12" t="str">
        <f>IF('1_APPLICABILITY'!C6="Yes","","N/A – set applicability to Yes")</f>
        <v/>
      </c>
      <c r="D89" s="12" t="str">
        <f>IF('1_APPLICABILITY'!C6="Yes","","N/A – set applicability to Yes")</f>
        <v/>
      </c>
      <c r="E89" s="14" t="s">
        <v>297</v>
      </c>
      <c r="F89" s="15" t="s">
        <v>298</v>
      </c>
    </row>
    <row r="90" spans="1:6" ht="26.4" x14ac:dyDescent="0.3">
      <c r="A90" s="16"/>
      <c r="B90" s="17" t="s">
        <v>299</v>
      </c>
      <c r="C90" s="12" t="str">
        <f>IF('1_APPLICABILITY'!C23="Yes","","N/A – set applicability to Yes")</f>
        <v>N/A – set applicability to Yes</v>
      </c>
      <c r="D90" s="12" t="str">
        <f>IF('1_APPLICABILITY'!C23="Yes","","N/A – set applicability to Yes")</f>
        <v>N/A – set applicability to Yes</v>
      </c>
      <c r="E90" s="14" t="s">
        <v>300</v>
      </c>
      <c r="F90" s="18" t="s">
        <v>301</v>
      </c>
    </row>
    <row r="91" spans="1:6" ht="26.4" x14ac:dyDescent="0.3">
      <c r="A91" s="10"/>
      <c r="B91" s="11" t="s">
        <v>302</v>
      </c>
      <c r="C91" s="13"/>
      <c r="D91" s="12" t="str">
        <f>IF('1_APPLICABILITY'!C6="Yes","","N/A – set applicability to Yes")</f>
        <v/>
      </c>
      <c r="E91" s="14" t="s">
        <v>303</v>
      </c>
      <c r="F91" s="15" t="s">
        <v>304</v>
      </c>
    </row>
    <row r="92" spans="1:6" ht="26.4" x14ac:dyDescent="0.3">
      <c r="A92" s="16"/>
      <c r="B92" s="17" t="s">
        <v>305</v>
      </c>
      <c r="C92" s="12" t="str">
        <f>IF('1_APPLICABILITY'!C6="Yes","","N/A – set applicability to Yes")</f>
        <v/>
      </c>
      <c r="D92" s="12" t="str">
        <f>IF('1_APPLICABILITY'!C6="Yes","","N/A – set applicability to Yes")</f>
        <v/>
      </c>
      <c r="E92" s="14" t="s">
        <v>306</v>
      </c>
      <c r="F92" s="18" t="s">
        <v>307</v>
      </c>
    </row>
    <row r="93" spans="1:6" ht="19.5" customHeight="1" x14ac:dyDescent="0.3">
      <c r="A93" s="75" t="s">
        <v>308</v>
      </c>
      <c r="B93" s="75"/>
      <c r="C93" s="75"/>
      <c r="D93" s="75"/>
      <c r="E93" s="75"/>
      <c r="F93" s="75"/>
    </row>
    <row r="94" spans="1:6" ht="21.75" customHeight="1" x14ac:dyDescent="0.3">
      <c r="A94" s="10"/>
      <c r="B94" s="11" t="s">
        <v>309</v>
      </c>
      <c r="C94" s="12"/>
      <c r="D94" s="13" t="str">
        <f>IF('1_APPLICABILITY'!C6="Yes","","N/A – set applicability to Yes")</f>
        <v/>
      </c>
      <c r="E94" s="14" t="s">
        <v>276</v>
      </c>
      <c r="F94" s="15" t="s">
        <v>277</v>
      </c>
    </row>
    <row r="95" spans="1:6" ht="21.75" customHeight="1" x14ac:dyDescent="0.3">
      <c r="A95" s="16"/>
      <c r="B95" s="17" t="s">
        <v>310</v>
      </c>
      <c r="C95" s="12"/>
      <c r="D95" s="13" t="str">
        <f>IF('1_APPLICABILITY'!C6="Yes","","N/A – set applicability to Yes")</f>
        <v/>
      </c>
      <c r="E95" s="14" t="s">
        <v>279</v>
      </c>
      <c r="F95" s="18" t="s">
        <v>280</v>
      </c>
    </row>
    <row r="96" spans="1:6" ht="21.75" customHeight="1" x14ac:dyDescent="0.3">
      <c r="A96" s="10"/>
      <c r="B96" s="11" t="s">
        <v>311</v>
      </c>
      <c r="C96" s="12" t="str">
        <f>IF('1_APPLICABILITY'!C6="Yes","","N/A – set applicability to Yes")</f>
        <v/>
      </c>
      <c r="D96" s="12" t="str">
        <f>IF('1_APPLICABILITY'!C6="Yes","","N/A – set applicability to Yes")</f>
        <v/>
      </c>
      <c r="E96" s="14" t="s">
        <v>282</v>
      </c>
      <c r="F96" s="15" t="s">
        <v>283</v>
      </c>
    </row>
    <row r="97" spans="1:6" ht="21.75" customHeight="1" x14ac:dyDescent="0.3">
      <c r="A97" s="19"/>
      <c r="B97" s="26" t="s">
        <v>312</v>
      </c>
      <c r="C97" s="21">
        <f>IF('1_APPLICABILITY'!C6="Yes",IFERROR(C48*C96/100,0),"N/A")</f>
        <v>0</v>
      </c>
      <c r="D97" s="21">
        <f>IF('1_APPLICABILITY'!C6="Yes",IFERROR(D48*D96/100,0),"N/A")</f>
        <v>0</v>
      </c>
      <c r="E97" s="24" t="s">
        <v>285</v>
      </c>
      <c r="F97" s="25" t="s">
        <v>313</v>
      </c>
    </row>
    <row r="98" spans="1:6" ht="26.4" x14ac:dyDescent="0.3">
      <c r="A98" s="16"/>
      <c r="B98" s="17" t="s">
        <v>314</v>
      </c>
      <c r="C98" s="12" t="str">
        <f>IF('1_APPLICABILITY'!C16="Yes","","N/A – set applicability to Yes")</f>
        <v>N/A – set applicability to Yes</v>
      </c>
      <c r="D98" s="12" t="str">
        <f>IF('1_APPLICABILITY'!C16="Yes","","N/A – set applicability to Yes")</f>
        <v>N/A – set applicability to Yes</v>
      </c>
      <c r="E98" s="14" t="s">
        <v>288</v>
      </c>
      <c r="F98" s="18" t="s">
        <v>289</v>
      </c>
    </row>
    <row r="99" spans="1:6" ht="26.4" x14ac:dyDescent="0.3">
      <c r="A99" s="10"/>
      <c r="B99" s="11" t="s">
        <v>315</v>
      </c>
      <c r="C99" s="12" t="str">
        <f>IF('1_APPLICABILITY'!C16="Yes","","N/A – set applicability to Yes")</f>
        <v>N/A – set applicability to Yes</v>
      </c>
      <c r="D99" s="12" t="str">
        <f>IF('1_APPLICABILITY'!C16="Yes","","N/A – set applicability to Yes")</f>
        <v>N/A – set applicability to Yes</v>
      </c>
      <c r="E99" s="14" t="s">
        <v>291</v>
      </c>
      <c r="F99" s="15" t="s">
        <v>292</v>
      </c>
    </row>
    <row r="100" spans="1:6" ht="45.6" x14ac:dyDescent="0.3">
      <c r="A100" s="16"/>
      <c r="B100" s="17" t="s">
        <v>316</v>
      </c>
      <c r="C100" s="12" t="str">
        <f>IF('1_APPLICABILITY'!C6="Yes","","N/A – set applicability to Yes")</f>
        <v/>
      </c>
      <c r="D100" s="12" t="str">
        <f>IF('1_APPLICABILITY'!C6="Yes","","N/A – set applicability to Yes")</f>
        <v/>
      </c>
      <c r="E100" s="14" t="s">
        <v>294</v>
      </c>
      <c r="F100" s="18" t="s">
        <v>295</v>
      </c>
    </row>
    <row r="101" spans="1:6" ht="34.200000000000003" x14ac:dyDescent="0.3">
      <c r="A101" s="10"/>
      <c r="B101" s="11" t="s">
        <v>317</v>
      </c>
      <c r="C101" s="12" t="str">
        <f>IF('1_APPLICABILITY'!C6="Yes","","N/A – set applicability to Yes")</f>
        <v/>
      </c>
      <c r="D101" s="12" t="str">
        <f>IF('1_APPLICABILITY'!C6="Yes","","N/A – set applicability to Yes")</f>
        <v/>
      </c>
      <c r="E101" s="14" t="s">
        <v>297</v>
      </c>
      <c r="F101" s="15" t="s">
        <v>298</v>
      </c>
    </row>
    <row r="102" spans="1:6" ht="26.4" x14ac:dyDescent="0.3">
      <c r="A102" s="16"/>
      <c r="B102" s="17" t="s">
        <v>318</v>
      </c>
      <c r="C102" s="12" t="str">
        <f>IF('1_APPLICABILITY'!C23="Yes","","N/A – set applicability to Yes")</f>
        <v>N/A – set applicability to Yes</v>
      </c>
      <c r="D102" s="12" t="str">
        <f>IF('1_APPLICABILITY'!C23="Yes","","N/A – set applicability to Yes")</f>
        <v>N/A – set applicability to Yes</v>
      </c>
      <c r="E102" s="14" t="s">
        <v>300</v>
      </c>
      <c r="F102" s="18" t="s">
        <v>301</v>
      </c>
    </row>
    <row r="103" spans="1:6" ht="26.4" x14ac:dyDescent="0.3">
      <c r="A103" s="10"/>
      <c r="B103" s="11" t="s">
        <v>319</v>
      </c>
      <c r="C103" s="13"/>
      <c r="D103" s="12" t="str">
        <f>IF('1_APPLICABILITY'!C6="Yes","","N/A – set applicability to Yes")</f>
        <v/>
      </c>
      <c r="E103" s="14" t="s">
        <v>303</v>
      </c>
      <c r="F103" s="15" t="s">
        <v>304</v>
      </c>
    </row>
    <row r="104" spans="1:6" ht="26.4" x14ac:dyDescent="0.3">
      <c r="A104" s="16"/>
      <c r="B104" s="17" t="s">
        <v>320</v>
      </c>
      <c r="C104" s="12" t="str">
        <f>IF('1_APPLICABILITY'!C6="Yes","","N/A – set applicability to Yes")</f>
        <v/>
      </c>
      <c r="D104" s="12" t="str">
        <f>IF('1_APPLICABILITY'!C6="Yes","","N/A – set applicability to Yes")</f>
        <v/>
      </c>
      <c r="E104" s="14" t="s">
        <v>306</v>
      </c>
      <c r="F104" s="18" t="s">
        <v>307</v>
      </c>
    </row>
    <row r="105" spans="1:6" ht="19.5" customHeight="1" x14ac:dyDescent="0.3">
      <c r="A105" s="75" t="s">
        <v>321</v>
      </c>
      <c r="B105" s="75"/>
      <c r="C105" s="75"/>
      <c r="D105" s="75"/>
      <c r="E105" s="75"/>
      <c r="F105" s="75"/>
    </row>
    <row r="106" spans="1:6" ht="22.5" customHeight="1" x14ac:dyDescent="0.3">
      <c r="A106" s="10"/>
      <c r="B106" s="11" t="s">
        <v>322</v>
      </c>
      <c r="C106" s="12"/>
      <c r="D106" s="13" t="str">
        <f>IF('1_APPLICABILITY'!C6="Yes","","N/A – set applicability to Yes")</f>
        <v/>
      </c>
      <c r="E106" s="14" t="s">
        <v>276</v>
      </c>
      <c r="F106" s="15" t="s">
        <v>277</v>
      </c>
    </row>
    <row r="107" spans="1:6" ht="26.25" customHeight="1" x14ac:dyDescent="0.3">
      <c r="A107" s="16"/>
      <c r="B107" s="17" t="s">
        <v>323</v>
      </c>
      <c r="C107" s="12"/>
      <c r="D107" s="13" t="str">
        <f>IF('1_APPLICABILITY'!C6="Yes","","N/A – set applicability to Yes")</f>
        <v/>
      </c>
      <c r="E107" s="14" t="s">
        <v>279</v>
      </c>
      <c r="F107" s="18" t="s">
        <v>280</v>
      </c>
    </row>
    <row r="108" spans="1:6" ht="22.5" customHeight="1" x14ac:dyDescent="0.3">
      <c r="A108" s="10"/>
      <c r="B108" s="11" t="s">
        <v>324</v>
      </c>
      <c r="C108" s="12" t="str">
        <f>IF('1_APPLICABILITY'!C6="Yes","","N/A – set applicability to Yes")</f>
        <v/>
      </c>
      <c r="D108" s="12" t="str">
        <f>IF('1_APPLICABILITY'!C6="Yes","","N/A – set applicability to Yes")</f>
        <v/>
      </c>
      <c r="E108" s="14" t="s">
        <v>282</v>
      </c>
      <c r="F108" s="15" t="s">
        <v>283</v>
      </c>
    </row>
    <row r="109" spans="1:6" ht="24" customHeight="1" x14ac:dyDescent="0.3">
      <c r="A109" s="19"/>
      <c r="B109" s="26" t="s">
        <v>325</v>
      </c>
      <c r="C109" s="21">
        <f>IF('1_APPLICABILITY'!C6="Yes",IFERROR(C48*C108/100,0),"N/A")</f>
        <v>0</v>
      </c>
      <c r="D109" s="21">
        <f>IF('1_APPLICABILITY'!C6="Yes",IFERROR(D48*D108/100,0),"N/A")</f>
        <v>0</v>
      </c>
      <c r="E109" s="24" t="s">
        <v>285</v>
      </c>
      <c r="F109" s="25" t="s">
        <v>286</v>
      </c>
    </row>
    <row r="110" spans="1:6" ht="52.5" customHeight="1" x14ac:dyDescent="0.3">
      <c r="A110" s="16"/>
      <c r="B110" s="17" t="s">
        <v>326</v>
      </c>
      <c r="C110" s="12" t="str">
        <f>IF('1_APPLICABILITY'!C16="Yes","","N/A – set applicability to Yes")</f>
        <v>N/A – set applicability to Yes</v>
      </c>
      <c r="D110" s="12" t="str">
        <f>IF('1_APPLICABILITY'!C16="Yes","","N/A – set applicability to Yes")</f>
        <v>N/A – set applicability to Yes</v>
      </c>
      <c r="E110" s="14" t="s">
        <v>288</v>
      </c>
      <c r="F110" s="18" t="s">
        <v>289</v>
      </c>
    </row>
    <row r="111" spans="1:6" ht="52.5" customHeight="1" x14ac:dyDescent="0.3">
      <c r="A111" s="10"/>
      <c r="B111" s="11" t="s">
        <v>327</v>
      </c>
      <c r="C111" s="12" t="str">
        <f>IF('1_APPLICABILITY'!C16="Yes","","N/A – set applicability to Yes")</f>
        <v>N/A – set applicability to Yes</v>
      </c>
      <c r="D111" s="12" t="str">
        <f>IF('1_APPLICABILITY'!C16="Yes","","N/A – set applicability to Yes")</f>
        <v>N/A – set applicability to Yes</v>
      </c>
      <c r="E111" s="14" t="s">
        <v>291</v>
      </c>
      <c r="F111" s="15" t="s">
        <v>292</v>
      </c>
    </row>
    <row r="112" spans="1:6" ht="57" x14ac:dyDescent="0.3">
      <c r="A112" s="16"/>
      <c r="B112" s="17" t="s">
        <v>328</v>
      </c>
      <c r="C112" s="12" t="str">
        <f>IF('1_APPLICABILITY'!C6="Yes","","N/A – set applicability to Yes")</f>
        <v/>
      </c>
      <c r="D112" s="12" t="str">
        <f>IF('1_APPLICABILITY'!C6="Yes","","N/A – set applicability to Yes")</f>
        <v/>
      </c>
      <c r="E112" s="14" t="s">
        <v>329</v>
      </c>
      <c r="F112" s="18" t="s">
        <v>295</v>
      </c>
    </row>
    <row r="113" spans="1:6" ht="33.75" customHeight="1" x14ac:dyDescent="0.3">
      <c r="A113" s="10"/>
      <c r="B113" s="11" t="s">
        <v>330</v>
      </c>
      <c r="C113" s="12" t="str">
        <f>IF('1_APPLICABILITY'!C6="Yes","","N/A – set applicability to Yes")</f>
        <v/>
      </c>
      <c r="D113" s="12" t="str">
        <f>IF('1_APPLICABILITY'!C6="Yes","","N/A – set applicability to Yes")</f>
        <v/>
      </c>
      <c r="E113" s="14" t="s">
        <v>297</v>
      </c>
      <c r="F113" s="15" t="s">
        <v>298</v>
      </c>
    </row>
    <row r="114" spans="1:6" ht="26.25" customHeight="1" x14ac:dyDescent="0.3">
      <c r="A114" s="16"/>
      <c r="B114" s="17" t="s">
        <v>331</v>
      </c>
      <c r="C114" s="12" t="str">
        <f>IF('1_APPLICABILITY'!C23="Yes","","N/A – set applicability to Yes")</f>
        <v>N/A – set applicability to Yes</v>
      </c>
      <c r="D114" s="12" t="str">
        <f>IF('1_APPLICABILITY'!C23="Yes","","N/A – set applicability to Yes")</f>
        <v>N/A – set applicability to Yes</v>
      </c>
      <c r="E114" s="14" t="s">
        <v>300</v>
      </c>
      <c r="F114" s="18" t="s">
        <v>301</v>
      </c>
    </row>
    <row r="115" spans="1:6" ht="26.25" customHeight="1" x14ac:dyDescent="0.3">
      <c r="A115" s="10"/>
      <c r="B115" s="11" t="s">
        <v>332</v>
      </c>
      <c r="C115" s="13"/>
      <c r="D115" s="12" t="str">
        <f>IF('1_APPLICABILITY'!C6="Yes","","N/A – set applicability to Yes")</f>
        <v/>
      </c>
      <c r="E115" s="14" t="s">
        <v>303</v>
      </c>
      <c r="F115" s="15" t="s">
        <v>304</v>
      </c>
    </row>
    <row r="116" spans="1:6" ht="26.25" customHeight="1" x14ac:dyDescent="0.3">
      <c r="A116" s="16"/>
      <c r="B116" s="17" t="s">
        <v>333</v>
      </c>
      <c r="C116" s="12" t="str">
        <f>IF('1_APPLICABILITY'!C6="Yes","","N/A – set applicability to Yes")</f>
        <v/>
      </c>
      <c r="D116" s="12" t="str">
        <f>IF('1_APPLICABILITY'!C6="Yes","","N/A – set applicability to Yes")</f>
        <v/>
      </c>
      <c r="E116" s="14" t="s">
        <v>306</v>
      </c>
      <c r="F116" s="18" t="s">
        <v>307</v>
      </c>
    </row>
    <row r="117" spans="1:6" ht="19.5" customHeight="1" x14ac:dyDescent="0.3">
      <c r="A117" s="71" t="s">
        <v>334</v>
      </c>
      <c r="B117" s="71"/>
      <c r="C117" s="71"/>
      <c r="D117" s="71"/>
      <c r="E117" s="71"/>
      <c r="F117" s="71"/>
    </row>
    <row r="118" spans="1:6" ht="15.75" customHeight="1" x14ac:dyDescent="0.3">
      <c r="A118" s="73" t="s">
        <v>335</v>
      </c>
      <c r="B118" s="73"/>
      <c r="C118" s="73"/>
      <c r="D118" s="73"/>
      <c r="E118" s="73"/>
      <c r="F118" s="73"/>
    </row>
    <row r="119" spans="1:6" ht="18" customHeight="1" x14ac:dyDescent="0.3">
      <c r="A119" s="72" t="s">
        <v>336</v>
      </c>
      <c r="B119" s="72"/>
      <c r="C119" s="72"/>
      <c r="D119" s="72"/>
      <c r="E119" s="72"/>
      <c r="F119" s="72"/>
    </row>
    <row r="120" spans="1:6" ht="21.75" customHeight="1" x14ac:dyDescent="0.3">
      <c r="A120" s="10"/>
      <c r="B120" s="11" t="s">
        <v>337</v>
      </c>
      <c r="C120" s="12" t="str">
        <f>IF('1_APPLICABILITY'!C7="Yes","","N/A – set applicability to Yes")</f>
        <v>N/A – set applicability to Yes</v>
      </c>
      <c r="D120" s="12" t="str">
        <f>IF('1_APPLICABILITY'!C7="Yes","","N/A – set applicability to Yes")</f>
        <v>N/A – set applicability to Yes</v>
      </c>
      <c r="E120" s="14" t="s">
        <v>338</v>
      </c>
      <c r="F120" s="15" t="s">
        <v>339</v>
      </c>
    </row>
    <row r="121" spans="1:6" ht="19.5" customHeight="1" x14ac:dyDescent="0.3">
      <c r="A121" s="75" t="s">
        <v>340</v>
      </c>
      <c r="B121" s="75"/>
      <c r="C121" s="75"/>
      <c r="D121" s="75"/>
      <c r="E121" s="75"/>
      <c r="F121" s="75"/>
    </row>
    <row r="122" spans="1:6" ht="26.4" x14ac:dyDescent="0.3">
      <c r="A122" s="10"/>
      <c r="B122" s="11" t="s">
        <v>341</v>
      </c>
      <c r="C122" s="12" t="str">
        <f>IF('1_APPLICABILITY'!C7="Yes","","N/A – set applicability to Yes")</f>
        <v>N/A – set applicability to Yes</v>
      </c>
      <c r="D122" s="12" t="str">
        <f>IF('1_APPLICABILITY'!C7="Yes","","N/A – set applicability to Yes")</f>
        <v>N/A – set applicability to Yes</v>
      </c>
      <c r="E122" s="14" t="s">
        <v>342</v>
      </c>
      <c r="F122" s="15" t="s">
        <v>343</v>
      </c>
    </row>
    <row r="123" spans="1:6" ht="26.4" x14ac:dyDescent="0.3">
      <c r="A123" s="16"/>
      <c r="B123" s="17" t="s">
        <v>344</v>
      </c>
      <c r="C123" s="12" t="str">
        <f>IF('1_APPLICABILITY'!C7="Yes","","N/A – set applicability to Yes")</f>
        <v>N/A – set applicability to Yes</v>
      </c>
      <c r="D123" s="12" t="str">
        <f>IF('1_APPLICABILITY'!C7="Yes","","N/A – set applicability to Yes")</f>
        <v>N/A – set applicability to Yes</v>
      </c>
      <c r="E123" s="14" t="s">
        <v>345</v>
      </c>
      <c r="F123" s="18" t="s">
        <v>346</v>
      </c>
    </row>
    <row r="124" spans="1:6" ht="26.4" x14ac:dyDescent="0.3">
      <c r="A124" s="10"/>
      <c r="B124" s="11" t="s">
        <v>347</v>
      </c>
      <c r="C124" s="12" t="str">
        <f>IF('1_APPLICABILITY'!C7="Yes","","N/A – set applicability to Yes")</f>
        <v>N/A – set applicability to Yes</v>
      </c>
      <c r="D124" s="12" t="str">
        <f>IF('1_APPLICABILITY'!C7="Yes","","N/A – set applicability to Yes")</f>
        <v>N/A – set applicability to Yes</v>
      </c>
      <c r="E124" s="14" t="s">
        <v>348</v>
      </c>
      <c r="F124" s="15" t="s">
        <v>349</v>
      </c>
    </row>
    <row r="125" spans="1:6" ht="26.4" x14ac:dyDescent="0.3">
      <c r="A125" s="16"/>
      <c r="B125" s="17" t="s">
        <v>350</v>
      </c>
      <c r="C125" s="12" t="str">
        <f>IF('1_APPLICABILITY'!C7="Yes","","N/A – set applicability to Yes")</f>
        <v>N/A – set applicability to Yes</v>
      </c>
      <c r="D125" s="12" t="str">
        <f>IF('1_APPLICABILITY'!C7="Yes","","N/A – set applicability to Yes")</f>
        <v>N/A – set applicability to Yes</v>
      </c>
      <c r="E125" s="14" t="s">
        <v>351</v>
      </c>
      <c r="F125" s="18" t="s">
        <v>352</v>
      </c>
    </row>
    <row r="126" spans="1:6" ht="26.4" x14ac:dyDescent="0.3">
      <c r="A126" s="10"/>
      <c r="B126" s="11" t="s">
        <v>353</v>
      </c>
      <c r="C126" s="12" t="str">
        <f>IF('1_APPLICABILITY'!C7="Yes","","N/A – set applicability to Yes")</f>
        <v>N/A – set applicability to Yes</v>
      </c>
      <c r="D126" s="12" t="str">
        <f>IF('1_APPLICABILITY'!C7="Yes","","N/A – set applicability to Yes")</f>
        <v>N/A – set applicability to Yes</v>
      </c>
      <c r="E126" s="14" t="s">
        <v>354</v>
      </c>
      <c r="F126" s="15" t="s">
        <v>355</v>
      </c>
    </row>
    <row r="127" spans="1:6" ht="26.4" x14ac:dyDescent="0.3">
      <c r="A127" s="16"/>
      <c r="B127" s="17" t="s">
        <v>356</v>
      </c>
      <c r="C127" s="12" t="str">
        <f>IF('1_APPLICABILITY'!C7="Yes","","N/A – set applicability to Yes")</f>
        <v>N/A – set applicability to Yes</v>
      </c>
      <c r="D127" s="12" t="str">
        <f>IF('1_APPLICABILITY'!C7="Yes","","N/A – set applicability to Yes")</f>
        <v>N/A – set applicability to Yes</v>
      </c>
      <c r="E127" s="14" t="s">
        <v>357</v>
      </c>
      <c r="F127" s="18" t="s">
        <v>358</v>
      </c>
    </row>
    <row r="128" spans="1:6" ht="26.4" x14ac:dyDescent="0.3">
      <c r="A128" s="10"/>
      <c r="B128" s="11" t="s">
        <v>359</v>
      </c>
      <c r="C128" s="12" t="str">
        <f>IF('1_APPLICABILITY'!C7="Yes","","N/A – set applicability to Yes")</f>
        <v>N/A – set applicability to Yes</v>
      </c>
      <c r="D128" s="12" t="str">
        <f>IF('1_APPLICABILITY'!C7="Yes","","N/A – set applicability to Yes")</f>
        <v>N/A – set applicability to Yes</v>
      </c>
      <c r="E128" s="14" t="s">
        <v>360</v>
      </c>
      <c r="F128" s="15" t="s">
        <v>361</v>
      </c>
    </row>
    <row r="129" spans="1:6" ht="26.4" x14ac:dyDescent="0.3">
      <c r="A129" s="16"/>
      <c r="B129" s="17" t="s">
        <v>362</v>
      </c>
      <c r="C129" s="12" t="str">
        <f>IF('1_APPLICABILITY'!C23="Yes","","N/A – set applicability to Yes")</f>
        <v>N/A – set applicability to Yes</v>
      </c>
      <c r="D129" s="12" t="str">
        <f>IF('1_APPLICABILITY'!C23="Yes","","N/A – set applicability to Yes")</f>
        <v>N/A – set applicability to Yes</v>
      </c>
      <c r="E129" s="14" t="s">
        <v>363</v>
      </c>
      <c r="F129" s="18" t="s">
        <v>364</v>
      </c>
    </row>
    <row r="130" spans="1:6" ht="19.5" customHeight="1" x14ac:dyDescent="0.3">
      <c r="A130" s="75" t="s">
        <v>365</v>
      </c>
      <c r="B130" s="75"/>
      <c r="C130" s="75"/>
      <c r="D130" s="75"/>
      <c r="E130" s="75"/>
      <c r="F130" s="75"/>
    </row>
    <row r="131" spans="1:6" ht="21.75" customHeight="1" x14ac:dyDescent="0.3">
      <c r="A131" s="10"/>
      <c r="B131" s="11" t="s">
        <v>341</v>
      </c>
      <c r="C131" s="12" t="str">
        <f>IF('1_APPLICABILITY'!C7="Yes","","N/A – set applicability to Yes")</f>
        <v>N/A – set applicability to Yes</v>
      </c>
      <c r="D131" s="12" t="str">
        <f>IF('1_APPLICABILITY'!C7="Yes","","N/A – set applicability to Yes")</f>
        <v>N/A – set applicability to Yes</v>
      </c>
      <c r="E131" s="14" t="s">
        <v>342</v>
      </c>
      <c r="F131" s="15" t="s">
        <v>343</v>
      </c>
    </row>
    <row r="132" spans="1:6" ht="21.75" customHeight="1" x14ac:dyDescent="0.3">
      <c r="A132" s="16"/>
      <c r="B132" s="17" t="s">
        <v>344</v>
      </c>
      <c r="C132" s="12" t="str">
        <f>IF('1_APPLICABILITY'!C7="Yes","","N/A – set applicability to Yes")</f>
        <v>N/A – set applicability to Yes</v>
      </c>
      <c r="D132" s="12" t="str">
        <f>IF('1_APPLICABILITY'!C7="Yes","","N/A – set applicability to Yes")</f>
        <v>N/A – set applicability to Yes</v>
      </c>
      <c r="E132" s="14" t="s">
        <v>345</v>
      </c>
      <c r="F132" s="18" t="s">
        <v>346</v>
      </c>
    </row>
    <row r="133" spans="1:6" ht="26.25" customHeight="1" x14ac:dyDescent="0.3">
      <c r="A133" s="10"/>
      <c r="B133" s="11" t="s">
        <v>347</v>
      </c>
      <c r="C133" s="12" t="str">
        <f>IF('1_APPLICABILITY'!C7="Yes","","N/A – set applicability to Yes")</f>
        <v>N/A – set applicability to Yes</v>
      </c>
      <c r="D133" s="12" t="str">
        <f>IF('1_APPLICABILITY'!C7="Yes","","N/A – set applicability to Yes")</f>
        <v>N/A – set applicability to Yes</v>
      </c>
      <c r="E133" s="14" t="s">
        <v>348</v>
      </c>
      <c r="F133" s="15" t="s">
        <v>349</v>
      </c>
    </row>
    <row r="134" spans="1:6" ht="26.25" customHeight="1" x14ac:dyDescent="0.3">
      <c r="A134" s="16"/>
      <c r="B134" s="17" t="s">
        <v>350</v>
      </c>
      <c r="C134" s="12" t="str">
        <f>IF('1_APPLICABILITY'!C7="Yes","","N/A – set applicability to Yes")</f>
        <v>N/A – set applicability to Yes</v>
      </c>
      <c r="D134" s="12" t="str">
        <f>IF('1_APPLICABILITY'!C7="Yes","","N/A – set applicability to Yes")</f>
        <v>N/A – set applicability to Yes</v>
      </c>
      <c r="E134" s="14" t="s">
        <v>351</v>
      </c>
      <c r="F134" s="18" t="s">
        <v>352</v>
      </c>
    </row>
    <row r="135" spans="1:6" ht="26.25" customHeight="1" x14ac:dyDescent="0.3">
      <c r="A135" s="10"/>
      <c r="B135" s="11" t="s">
        <v>353</v>
      </c>
      <c r="C135" s="12" t="str">
        <f>IF('1_APPLICABILITY'!C7="Yes","","N/A – set applicability to Yes")</f>
        <v>N/A – set applicability to Yes</v>
      </c>
      <c r="D135" s="12" t="str">
        <f>IF('1_APPLICABILITY'!C7="Yes","","N/A – set applicability to Yes")</f>
        <v>N/A – set applicability to Yes</v>
      </c>
      <c r="E135" s="14" t="s">
        <v>354</v>
      </c>
      <c r="F135" s="15" t="s">
        <v>355</v>
      </c>
    </row>
    <row r="136" spans="1:6" ht="26.25" customHeight="1" x14ac:dyDescent="0.3">
      <c r="A136" s="16"/>
      <c r="B136" s="17" t="s">
        <v>366</v>
      </c>
      <c r="C136" s="12" t="str">
        <f>IF('1_APPLICABILITY'!C7="Yes","","N/A – set applicability to Yes")</f>
        <v>N/A – set applicability to Yes</v>
      </c>
      <c r="D136" s="12" t="str">
        <f>IF('1_APPLICABILITY'!C7="Yes","","N/A – set applicability to Yes")</f>
        <v>N/A – set applicability to Yes</v>
      </c>
      <c r="E136" s="14" t="s">
        <v>357</v>
      </c>
      <c r="F136" s="18" t="s">
        <v>358</v>
      </c>
    </row>
    <row r="137" spans="1:6" ht="26.25" customHeight="1" x14ac:dyDescent="0.3">
      <c r="A137" s="10"/>
      <c r="B137" s="11" t="s">
        <v>359</v>
      </c>
      <c r="C137" s="12" t="str">
        <f>IF('1_APPLICABILITY'!C7="Yes","","N/A – set applicability to Yes")</f>
        <v>N/A – set applicability to Yes</v>
      </c>
      <c r="D137" s="12" t="str">
        <f>IF('1_APPLICABILITY'!C7="Yes","","N/A – set applicability to Yes")</f>
        <v>N/A – set applicability to Yes</v>
      </c>
      <c r="E137" s="14" t="s">
        <v>360</v>
      </c>
      <c r="F137" s="15" t="s">
        <v>361</v>
      </c>
    </row>
    <row r="138" spans="1:6" ht="26.25" customHeight="1" x14ac:dyDescent="0.3">
      <c r="A138" s="16"/>
      <c r="B138" s="17" t="s">
        <v>362</v>
      </c>
      <c r="C138" s="12" t="str">
        <f>IF('1_APPLICABILITY'!C23="Yes","","N/A – set applicability to Yes")</f>
        <v>N/A – set applicability to Yes</v>
      </c>
      <c r="D138" s="12" t="str">
        <f>IF('1_APPLICABILITY'!C23="Yes","","N/A – set applicability to Yes")</f>
        <v>N/A – set applicability to Yes</v>
      </c>
      <c r="E138" s="14" t="s">
        <v>363</v>
      </c>
      <c r="F138" s="18" t="s">
        <v>364</v>
      </c>
    </row>
    <row r="139" spans="1:6" ht="19.5" customHeight="1" x14ac:dyDescent="0.3">
      <c r="A139" s="71" t="s">
        <v>367</v>
      </c>
      <c r="B139" s="71"/>
      <c r="C139" s="71"/>
      <c r="D139" s="71"/>
      <c r="E139" s="71"/>
      <c r="F139" s="71"/>
    </row>
    <row r="140" spans="1:6" ht="15.75" customHeight="1" x14ac:dyDescent="0.3">
      <c r="A140" s="73" t="s">
        <v>368</v>
      </c>
      <c r="B140" s="73"/>
      <c r="C140" s="73"/>
      <c r="D140" s="73"/>
      <c r="E140" s="73"/>
      <c r="F140" s="73"/>
    </row>
    <row r="141" spans="1:6" ht="18" customHeight="1" x14ac:dyDescent="0.3">
      <c r="A141" s="72" t="s">
        <v>369</v>
      </c>
      <c r="B141" s="72"/>
      <c r="C141" s="72"/>
      <c r="D141" s="72"/>
      <c r="E141" s="72"/>
      <c r="F141" s="72"/>
    </row>
    <row r="142" spans="1:6" ht="21.75" customHeight="1" x14ac:dyDescent="0.3">
      <c r="A142" s="10"/>
      <c r="B142" s="11" t="s">
        <v>370</v>
      </c>
      <c r="C142" s="12" t="str">
        <f>IF('1_APPLICABILITY'!C8="Yes","","N/A – set applicability to Yes")</f>
        <v>N/A – set applicability to Yes</v>
      </c>
      <c r="D142" s="12" t="str">
        <f>IF('1_APPLICABILITY'!C8="Yes","","N/A – set applicability to Yes")</f>
        <v>N/A – set applicability to Yes</v>
      </c>
      <c r="E142" s="14" t="s">
        <v>371</v>
      </c>
      <c r="F142" s="15" t="s">
        <v>372</v>
      </c>
    </row>
    <row r="143" spans="1:6" ht="21.75" customHeight="1" x14ac:dyDescent="0.3">
      <c r="A143" s="16"/>
      <c r="B143" s="17" t="s">
        <v>373</v>
      </c>
      <c r="C143" s="12" t="str">
        <f>IF('1_APPLICABILITY'!C8="Yes","","N/A – set applicability to Yes")</f>
        <v>N/A – set applicability to Yes</v>
      </c>
      <c r="D143" s="12" t="str">
        <f>IF('1_APPLICABILITY'!C8="Yes","","N/A – set applicability to Yes")</f>
        <v>N/A – set applicability to Yes</v>
      </c>
      <c r="E143" s="14" t="s">
        <v>374</v>
      </c>
      <c r="F143" s="18" t="s">
        <v>375</v>
      </c>
    </row>
    <row r="144" spans="1:6" ht="21.75" customHeight="1" x14ac:dyDescent="0.3">
      <c r="A144" s="10"/>
      <c r="B144" s="11" t="s">
        <v>376</v>
      </c>
      <c r="C144" s="12" t="str">
        <f>IF('1_APPLICABILITY'!C8="Yes","","N/A – set applicability to Yes")</f>
        <v>N/A – set applicability to Yes</v>
      </c>
      <c r="D144" s="12" t="str">
        <f>IF('1_APPLICABILITY'!C8="Yes","","N/A – set applicability to Yes")</f>
        <v>N/A – set applicability to Yes</v>
      </c>
      <c r="E144" s="14" t="s">
        <v>377</v>
      </c>
      <c r="F144" s="15" t="s">
        <v>378</v>
      </c>
    </row>
    <row r="145" spans="1:6" ht="21.75" customHeight="1" x14ac:dyDescent="0.3">
      <c r="A145" s="16"/>
      <c r="B145" s="17" t="s">
        <v>379</v>
      </c>
      <c r="C145" s="12" t="str">
        <f>IF('1_APPLICABILITY'!C8="Yes","","N/A – set applicability to Yes")</f>
        <v>N/A – set applicability to Yes</v>
      </c>
      <c r="D145" s="12" t="str">
        <f>IF('1_APPLICABILITY'!C8="Yes","","N/A – set applicability to Yes")</f>
        <v>N/A – set applicability to Yes</v>
      </c>
      <c r="E145" s="14" t="s">
        <v>380</v>
      </c>
      <c r="F145" s="18" t="s">
        <v>381</v>
      </c>
    </row>
    <row r="146" spans="1:6" ht="21.75" customHeight="1" x14ac:dyDescent="0.3">
      <c r="A146" s="10"/>
      <c r="B146" s="11" t="s">
        <v>362</v>
      </c>
      <c r="C146" s="12" t="str">
        <f>IF('1_APPLICABILITY'!C23="Yes","","N/A – set applicability to Yes")</f>
        <v>N/A – set applicability to Yes</v>
      </c>
      <c r="D146" s="12" t="str">
        <f>IF('1_APPLICABILITY'!C23="Yes","","N/A – set applicability to Yes")</f>
        <v>N/A – set applicability to Yes</v>
      </c>
      <c r="E146" s="14" t="s">
        <v>382</v>
      </c>
      <c r="F146" s="15" t="s">
        <v>383</v>
      </c>
    </row>
    <row r="147" spans="1:6" ht="19.5" customHeight="1" x14ac:dyDescent="0.3">
      <c r="A147" s="71" t="s">
        <v>384</v>
      </c>
      <c r="B147" s="71"/>
      <c r="C147" s="71"/>
      <c r="D147" s="71"/>
      <c r="E147" s="71"/>
      <c r="F147" s="71"/>
    </row>
    <row r="148" spans="1:6" ht="15.75" customHeight="1" x14ac:dyDescent="0.3">
      <c r="A148" s="73" t="s">
        <v>385</v>
      </c>
      <c r="B148" s="73"/>
      <c r="C148" s="73"/>
      <c r="D148" s="73"/>
      <c r="E148" s="73"/>
      <c r="F148" s="73"/>
    </row>
    <row r="149" spans="1:6" ht="18" customHeight="1" x14ac:dyDescent="0.3">
      <c r="A149" s="72" t="s">
        <v>386</v>
      </c>
      <c r="B149" s="72"/>
      <c r="C149" s="72"/>
      <c r="D149" s="72"/>
      <c r="E149" s="72"/>
      <c r="F149" s="72"/>
    </row>
    <row r="150" spans="1:6" ht="21.75" customHeight="1" x14ac:dyDescent="0.3">
      <c r="A150" s="10"/>
      <c r="B150" s="11" t="s">
        <v>387</v>
      </c>
      <c r="C150" s="12" t="str">
        <f>IF('1_APPLICABILITY'!C9="Yes","","N/A – set applicability to Yes")</f>
        <v/>
      </c>
      <c r="D150" s="12" t="str">
        <f>IF('1_APPLICABILITY'!C9="Yes","","N/A – set applicability to Yes")</f>
        <v/>
      </c>
      <c r="E150" s="14" t="s">
        <v>388</v>
      </c>
      <c r="F150" s="15" t="s">
        <v>389</v>
      </c>
    </row>
    <row r="151" spans="1:6" ht="21.75" customHeight="1" x14ac:dyDescent="0.3">
      <c r="A151" s="16"/>
      <c r="B151" s="17" t="s">
        <v>390</v>
      </c>
      <c r="C151" s="12" t="str">
        <f>IF('1_APPLICABILITY'!C17="Yes","","N/A – set applicability to Yes")</f>
        <v/>
      </c>
      <c r="D151" s="12" t="str">
        <f>IF('1_APPLICABILITY'!C17="Yes","","N/A – set applicability to Yes")</f>
        <v/>
      </c>
      <c r="E151" s="14" t="s">
        <v>391</v>
      </c>
      <c r="F151" s="18" t="s">
        <v>392</v>
      </c>
    </row>
    <row r="152" spans="1:6" ht="21.75" customHeight="1" x14ac:dyDescent="0.3">
      <c r="A152" s="10"/>
      <c r="B152" s="11" t="s">
        <v>393</v>
      </c>
      <c r="C152" s="12" t="str">
        <f>IF('1_APPLICABILITY'!C9="Yes","","N/A – set applicability to Yes")</f>
        <v/>
      </c>
      <c r="D152" s="12" t="str">
        <f>IF('1_APPLICABILITY'!C9="Yes","","N/A – set applicability to Yes")</f>
        <v/>
      </c>
      <c r="E152" s="14" t="s">
        <v>394</v>
      </c>
      <c r="F152" s="15" t="s">
        <v>395</v>
      </c>
    </row>
    <row r="153" spans="1:6" ht="21.75" customHeight="1" x14ac:dyDescent="0.3">
      <c r="A153" s="16"/>
      <c r="B153" s="17" t="s">
        <v>396</v>
      </c>
      <c r="C153" s="12" t="str">
        <f>IF('1_APPLICABILITY'!C9="Yes","","N/A – set applicability to Yes")</f>
        <v/>
      </c>
      <c r="D153" s="12" t="str">
        <f>IF('1_APPLICABILITY'!C9="Yes","","N/A – set applicability to Yes")</f>
        <v/>
      </c>
      <c r="E153" s="14" t="s">
        <v>397</v>
      </c>
      <c r="F153" s="18" t="s">
        <v>398</v>
      </c>
    </row>
    <row r="154" spans="1:6" ht="21.75" customHeight="1" x14ac:dyDescent="0.3">
      <c r="A154" s="76"/>
      <c r="B154" s="76"/>
      <c r="C154" s="76"/>
      <c r="D154" s="76"/>
      <c r="E154" s="76"/>
      <c r="F154" s="76"/>
    </row>
    <row r="155" spans="1:6" ht="18" customHeight="1" x14ac:dyDescent="0.3">
      <c r="A155" s="72" t="s">
        <v>399</v>
      </c>
      <c r="B155" s="72"/>
      <c r="C155" s="72"/>
      <c r="D155" s="72"/>
      <c r="E155" s="72"/>
      <c r="F155" s="72"/>
    </row>
    <row r="156" spans="1:6" ht="19.5" customHeight="1" x14ac:dyDescent="0.3">
      <c r="A156" s="71" t="s">
        <v>400</v>
      </c>
      <c r="B156" s="71"/>
      <c r="C156" s="71"/>
      <c r="D156" s="71"/>
      <c r="E156" s="71"/>
      <c r="F156" s="71"/>
    </row>
    <row r="157" spans="1:6" ht="15.75" customHeight="1" x14ac:dyDescent="0.3">
      <c r="A157" s="73" t="s">
        <v>401</v>
      </c>
      <c r="B157" s="73"/>
      <c r="C157" s="73"/>
      <c r="D157" s="73"/>
      <c r="E157" s="73"/>
      <c r="F157" s="73"/>
    </row>
    <row r="158" spans="1:6" ht="18" customHeight="1" x14ac:dyDescent="0.3">
      <c r="A158" s="72" t="s">
        <v>402</v>
      </c>
      <c r="B158" s="72"/>
      <c r="C158" s="72"/>
      <c r="D158" s="72"/>
      <c r="E158" s="72"/>
      <c r="F158" s="72"/>
    </row>
    <row r="159" spans="1:6" ht="19.5" customHeight="1" x14ac:dyDescent="0.3">
      <c r="A159" s="77" t="s">
        <v>403</v>
      </c>
      <c r="B159" s="77"/>
      <c r="C159" s="77"/>
      <c r="D159" s="77"/>
      <c r="E159" s="77"/>
      <c r="F159" s="77"/>
    </row>
    <row r="160" spans="1:6" ht="21.75" customHeight="1" x14ac:dyDescent="0.3">
      <c r="A160" s="10"/>
      <c r="B160" s="11" t="s">
        <v>404</v>
      </c>
      <c r="C160" s="12"/>
      <c r="D160" s="12" t="str">
        <f>IF('1_APPLICABILITY'!C11="Yes","","N/A")</f>
        <v/>
      </c>
      <c r="E160" s="14" t="s">
        <v>405</v>
      </c>
      <c r="F160" s="15" t="s">
        <v>406</v>
      </c>
    </row>
    <row r="161" spans="1:6" ht="21.75" customHeight="1" x14ac:dyDescent="0.3">
      <c r="A161" s="16"/>
      <c r="B161" s="17" t="s">
        <v>407</v>
      </c>
      <c r="C161" s="12"/>
      <c r="D161" s="12" t="str">
        <f>IF('1_APPLICABILITY'!C11="Yes","","N/A")</f>
        <v/>
      </c>
      <c r="E161" s="14" t="s">
        <v>408</v>
      </c>
      <c r="F161" s="18" t="s">
        <v>409</v>
      </c>
    </row>
    <row r="162" spans="1:6" ht="21.75" customHeight="1" x14ac:dyDescent="0.3">
      <c r="A162" s="10"/>
      <c r="B162" s="11" t="s">
        <v>410</v>
      </c>
      <c r="C162" s="12"/>
      <c r="D162" s="12" t="str">
        <f>IF('1_APPLICABILITY'!C11="Yes","","N/A")</f>
        <v/>
      </c>
      <c r="E162" s="14" t="s">
        <v>411</v>
      </c>
      <c r="F162" s="15" t="s">
        <v>412</v>
      </c>
    </row>
    <row r="163" spans="1:6" ht="21.75" customHeight="1" x14ac:dyDescent="0.3">
      <c r="A163" s="16"/>
      <c r="B163" s="17" t="s">
        <v>413</v>
      </c>
      <c r="C163" s="12"/>
      <c r="D163" s="12" t="str">
        <f>IF('1_APPLICABILITY'!C11="Yes","","N/A")</f>
        <v/>
      </c>
      <c r="E163" s="14" t="s">
        <v>414</v>
      </c>
      <c r="F163" s="18" t="s">
        <v>415</v>
      </c>
    </row>
    <row r="164" spans="1:6" ht="18" customHeight="1" x14ac:dyDescent="0.3">
      <c r="A164" s="72" t="s">
        <v>416</v>
      </c>
      <c r="B164" s="72"/>
      <c r="C164" s="72"/>
      <c r="D164" s="72"/>
      <c r="E164" s="72"/>
      <c r="F164" s="72"/>
    </row>
    <row r="165" spans="1:6" ht="21.75" customHeight="1" x14ac:dyDescent="0.3">
      <c r="A165" s="16"/>
      <c r="B165" s="17" t="s">
        <v>417</v>
      </c>
      <c r="C165" s="12" t="str">
        <f>IF('1_APPLICABILITY'!C11="Yes","","N/A")</f>
        <v/>
      </c>
      <c r="D165" s="12" t="str">
        <f>IF('1_APPLICABILITY'!C11="Yes","","N/A")</f>
        <v/>
      </c>
      <c r="E165" s="14" t="s">
        <v>418</v>
      </c>
      <c r="F165" s="18" t="s">
        <v>419</v>
      </c>
    </row>
    <row r="166" spans="1:6" ht="21.75" customHeight="1" x14ac:dyDescent="0.3">
      <c r="A166" s="10"/>
      <c r="B166" s="11" t="s">
        <v>420</v>
      </c>
      <c r="C166" s="12" t="str">
        <f>IF('1_APPLICABILITY'!C11="Yes","","N/A")</f>
        <v/>
      </c>
      <c r="D166" s="12" t="str">
        <f>IF('1_APPLICABILITY'!C11="Yes","","N/A")</f>
        <v/>
      </c>
      <c r="E166" s="14" t="s">
        <v>421</v>
      </c>
      <c r="F166" s="15" t="s">
        <v>422</v>
      </c>
    </row>
    <row r="167" spans="1:6" ht="21.75" customHeight="1" x14ac:dyDescent="0.3">
      <c r="A167" s="16"/>
      <c r="B167" s="17" t="s">
        <v>423</v>
      </c>
      <c r="C167" s="12" t="str">
        <f>IF('1_APPLICABILITY'!C11="Yes","","N/A")</f>
        <v/>
      </c>
      <c r="D167" s="12" t="str">
        <f>IF('1_APPLICABILITY'!C11="Yes","","N/A")</f>
        <v/>
      </c>
      <c r="E167" s="14" t="s">
        <v>424</v>
      </c>
      <c r="F167" s="18" t="s">
        <v>425</v>
      </c>
    </row>
    <row r="168" spans="1:6" ht="21.75" customHeight="1" x14ac:dyDescent="0.3">
      <c r="A168" s="10"/>
      <c r="B168" s="11" t="s">
        <v>426</v>
      </c>
      <c r="C168" s="12" t="str">
        <f>IF('1_APPLICABILITY'!C11="Yes","","N/A")</f>
        <v/>
      </c>
      <c r="D168" s="12" t="str">
        <f>IF('1_APPLICABILITY'!C11="Yes","","N/A")</f>
        <v/>
      </c>
      <c r="E168" s="14" t="s">
        <v>427</v>
      </c>
      <c r="F168" s="15" t="s">
        <v>428</v>
      </c>
    </row>
    <row r="169" spans="1:6" ht="21.75" customHeight="1" x14ac:dyDescent="0.3">
      <c r="A169" s="16"/>
      <c r="B169" s="17" t="s">
        <v>429</v>
      </c>
      <c r="C169" s="12" t="str">
        <f>IF('1_APPLICABILITY'!C11="Yes","","N/A")</f>
        <v/>
      </c>
      <c r="D169" s="12" t="str">
        <f>IF('1_APPLICABILITY'!C11="Yes","","N/A")</f>
        <v/>
      </c>
      <c r="E169" s="14" t="s">
        <v>430</v>
      </c>
      <c r="F169" s="18" t="s">
        <v>431</v>
      </c>
    </row>
    <row r="170" spans="1:6" ht="21.75" customHeight="1" x14ac:dyDescent="0.3">
      <c r="A170" s="10"/>
      <c r="B170" s="11" t="s">
        <v>432</v>
      </c>
      <c r="C170" s="12" t="str">
        <f>IF('1_APPLICABILITY'!C11="Yes","","N/A")</f>
        <v/>
      </c>
      <c r="D170" s="12" t="str">
        <f>IF('1_APPLICABILITY'!C11="Yes","","N/A")</f>
        <v/>
      </c>
      <c r="E170" s="14" t="s">
        <v>433</v>
      </c>
      <c r="F170" s="15" t="s">
        <v>434</v>
      </c>
    </row>
    <row r="171" spans="1:6" ht="21.75" customHeight="1" x14ac:dyDescent="0.3">
      <c r="A171" s="16"/>
      <c r="B171" s="17" t="s">
        <v>435</v>
      </c>
      <c r="C171" s="12" t="str">
        <f>IF('1_APPLICABILITY'!C11="Yes","","N/A")</f>
        <v/>
      </c>
      <c r="D171" s="12" t="str">
        <f>IF('1_APPLICABILITY'!C11="Yes","","N/A")</f>
        <v/>
      </c>
      <c r="E171" s="14" t="s">
        <v>436</v>
      </c>
      <c r="F171" s="18" t="s">
        <v>437</v>
      </c>
    </row>
    <row r="172" spans="1:6" ht="21.75" customHeight="1" x14ac:dyDescent="0.3">
      <c r="A172" s="10"/>
      <c r="B172" s="11" t="s">
        <v>438</v>
      </c>
      <c r="C172" s="12" t="str">
        <f>IF('1_APPLICABILITY'!C11="Yes","","N/A")</f>
        <v/>
      </c>
      <c r="D172" s="12" t="str">
        <f>IF('1_APPLICABILITY'!C11="Yes","","N/A")</f>
        <v/>
      </c>
      <c r="E172" s="14" t="s">
        <v>439</v>
      </c>
      <c r="F172" s="15" t="s">
        <v>440</v>
      </c>
    </row>
    <row r="173" spans="1:6" ht="21.75" customHeight="1" x14ac:dyDescent="0.3">
      <c r="A173" s="16"/>
      <c r="B173" s="17" t="s">
        <v>441</v>
      </c>
      <c r="C173" s="12" t="str">
        <f>IF('1_APPLICABILITY'!C11="Yes","","N/A")</f>
        <v/>
      </c>
      <c r="D173" s="12" t="str">
        <f>IF('1_APPLICABILITY'!C11="Yes","","N/A")</f>
        <v/>
      </c>
      <c r="E173" s="14" t="s">
        <v>442</v>
      </c>
      <c r="F173" s="18" t="s">
        <v>443</v>
      </c>
    </row>
    <row r="174" spans="1:6" ht="21.75" customHeight="1" x14ac:dyDescent="0.3">
      <c r="A174" s="10"/>
      <c r="B174" s="11" t="s">
        <v>444</v>
      </c>
      <c r="C174" s="12" t="str">
        <f>IF('1_APPLICABILITY'!C11="Yes","","N/A")</f>
        <v/>
      </c>
      <c r="D174" s="12" t="str">
        <f>IF('1_APPLICABILITY'!C11="Yes","","N/A")</f>
        <v/>
      </c>
      <c r="E174" s="14" t="s">
        <v>445</v>
      </c>
      <c r="F174" s="15" t="s">
        <v>446</v>
      </c>
    </row>
    <row r="175" spans="1:6" ht="21.75" customHeight="1" x14ac:dyDescent="0.3">
      <c r="A175" s="16"/>
      <c r="B175" s="17" t="s">
        <v>447</v>
      </c>
      <c r="C175" s="12" t="str">
        <f>IF('1_APPLICABILITY'!C11="Yes","","N/A")</f>
        <v/>
      </c>
      <c r="D175" s="12" t="str">
        <f>IF('1_APPLICABILITY'!C11="Yes","","N/A")</f>
        <v/>
      </c>
      <c r="E175" s="14" t="s">
        <v>448</v>
      </c>
      <c r="F175" s="18" t="s">
        <v>449</v>
      </c>
    </row>
    <row r="176" spans="1:6" ht="18" customHeight="1" x14ac:dyDescent="0.3">
      <c r="A176" s="72" t="s">
        <v>450</v>
      </c>
      <c r="B176" s="72"/>
      <c r="C176" s="72"/>
      <c r="D176" s="72"/>
      <c r="E176" s="72"/>
      <c r="F176" s="72"/>
    </row>
    <row r="177" spans="1:6" ht="21.75" customHeight="1" x14ac:dyDescent="0.3">
      <c r="A177" s="10"/>
      <c r="B177" s="11" t="s">
        <v>451</v>
      </c>
      <c r="C177" s="12" t="str">
        <f>IF('1_APPLICABILITY'!C11="Yes","","N/A")</f>
        <v/>
      </c>
      <c r="D177" s="12" t="str">
        <f>IF('1_APPLICABILITY'!C11="Yes","","N/A")</f>
        <v/>
      </c>
      <c r="E177" s="14" t="s">
        <v>452</v>
      </c>
      <c r="F177" s="15" t="s">
        <v>453</v>
      </c>
    </row>
    <row r="178" spans="1:6" ht="21.75" customHeight="1" x14ac:dyDescent="0.3">
      <c r="A178" s="16"/>
      <c r="B178" s="17" t="s">
        <v>454</v>
      </c>
      <c r="C178" s="12" t="str">
        <f>IF('1_APPLICABILITY'!C16="Yes","","N/A")</f>
        <v>N/A</v>
      </c>
      <c r="D178" s="12" t="str">
        <f>IF('1_APPLICABILITY'!C16="Yes","","N/A")</f>
        <v>N/A</v>
      </c>
      <c r="E178" s="14" t="s">
        <v>455</v>
      </c>
      <c r="F178" s="18" t="s">
        <v>456</v>
      </c>
    </row>
    <row r="179" spans="1:6" ht="21.75" customHeight="1" x14ac:dyDescent="0.3">
      <c r="A179" s="10"/>
      <c r="B179" s="11" t="s">
        <v>457</v>
      </c>
      <c r="C179" s="12" t="str">
        <f>IF('1_APPLICABILITY'!C11="Yes","","N/A")</f>
        <v/>
      </c>
      <c r="D179" s="12" t="str">
        <f>IF('1_APPLICABILITY'!C11="Yes","","N/A")</f>
        <v/>
      </c>
      <c r="E179" s="14" t="s">
        <v>458</v>
      </c>
      <c r="F179" s="15" t="s">
        <v>459</v>
      </c>
    </row>
    <row r="180" spans="1:6" ht="21.75" customHeight="1" x14ac:dyDescent="0.3">
      <c r="A180" s="16"/>
      <c r="B180" s="17" t="s">
        <v>460</v>
      </c>
      <c r="C180" s="12" t="str">
        <f>IF('1_APPLICABILITY'!C11="Yes","","N/A")</f>
        <v/>
      </c>
      <c r="D180" s="12" t="str">
        <f>IF('1_APPLICABILITY'!C11="Yes","","N/A")</f>
        <v/>
      </c>
      <c r="E180" s="14" t="s">
        <v>461</v>
      </c>
      <c r="F180" s="18" t="s">
        <v>462</v>
      </c>
    </row>
    <row r="181" spans="1:6" ht="21.75" customHeight="1" x14ac:dyDescent="0.3">
      <c r="A181" s="10"/>
      <c r="B181" s="11" t="s">
        <v>463</v>
      </c>
      <c r="C181" s="12" t="str">
        <f>IF('1_APPLICABILITY'!C23="Yes","","N/A")</f>
        <v>N/A</v>
      </c>
      <c r="D181" s="12" t="str">
        <f>IF('1_APPLICABILITY'!C23="Yes","","N/A")</f>
        <v>N/A</v>
      </c>
      <c r="E181" s="14" t="s">
        <v>464</v>
      </c>
      <c r="F181" s="15" t="s">
        <v>465</v>
      </c>
    </row>
    <row r="182" spans="1:6" ht="21.75" customHeight="1" x14ac:dyDescent="0.3">
      <c r="A182" s="16"/>
      <c r="B182" s="17" t="s">
        <v>466</v>
      </c>
      <c r="C182" s="12" t="str">
        <f>IF('1_APPLICABILITY'!C11="Yes","","N/A")</f>
        <v/>
      </c>
      <c r="D182" s="12" t="str">
        <f>IF('1_APPLICABILITY'!C11="Yes","","N/A")</f>
        <v/>
      </c>
      <c r="E182" s="14" t="s">
        <v>467</v>
      </c>
      <c r="F182" s="18" t="s">
        <v>468</v>
      </c>
    </row>
    <row r="183" spans="1:6" ht="21.75" customHeight="1" x14ac:dyDescent="0.3">
      <c r="A183" s="10"/>
      <c r="B183" s="11" t="s">
        <v>469</v>
      </c>
      <c r="C183" s="12" t="str">
        <f>IF('1_APPLICABILITY'!C11="Yes","","N/A")</f>
        <v/>
      </c>
      <c r="D183" s="12" t="str">
        <f>IF('1_APPLICABILITY'!C11="Yes","","N/A")</f>
        <v/>
      </c>
      <c r="E183" s="14" t="s">
        <v>470</v>
      </c>
      <c r="F183" s="15" t="s">
        <v>471</v>
      </c>
    </row>
    <row r="184" spans="1:6" ht="19.5" customHeight="1" x14ac:dyDescent="0.3">
      <c r="A184" s="77" t="s">
        <v>472</v>
      </c>
      <c r="B184" s="77"/>
      <c r="C184" s="77"/>
      <c r="D184" s="77"/>
      <c r="E184" s="77"/>
      <c r="F184" s="77"/>
    </row>
    <row r="185" spans="1:6" ht="21.75" customHeight="1" x14ac:dyDescent="0.3">
      <c r="A185" s="10"/>
      <c r="B185" s="11" t="s">
        <v>473</v>
      </c>
      <c r="C185" s="12" t="str">
        <f>IF('1_APPLICABILITY'!C11="Yes","","N/A")</f>
        <v/>
      </c>
      <c r="D185" s="12" t="str">
        <f>IF('1_APPLICABILITY'!C11="Yes","","N/A")</f>
        <v/>
      </c>
      <c r="E185" s="14" t="s">
        <v>405</v>
      </c>
      <c r="F185" s="15" t="s">
        <v>406</v>
      </c>
    </row>
    <row r="186" spans="1:6" ht="21.75" customHeight="1" x14ac:dyDescent="0.3">
      <c r="A186" s="16"/>
      <c r="B186" s="17" t="s">
        <v>474</v>
      </c>
      <c r="C186" s="12" t="str">
        <f>IF('1_APPLICABILITY'!C11="Yes","","N/A")</f>
        <v/>
      </c>
      <c r="D186" s="12" t="str">
        <f>IF('1_APPLICABILITY'!C11="Yes","","N/A")</f>
        <v/>
      </c>
      <c r="E186" s="14" t="s">
        <v>408</v>
      </c>
      <c r="F186" s="18" t="s">
        <v>409</v>
      </c>
    </row>
    <row r="187" spans="1:6" ht="21.75" customHeight="1" x14ac:dyDescent="0.3">
      <c r="A187" s="10"/>
      <c r="B187" s="11" t="s">
        <v>475</v>
      </c>
      <c r="C187" s="12" t="str">
        <f>IF('1_APPLICABILITY'!C11="Yes","","N/A")</f>
        <v/>
      </c>
      <c r="D187" s="12" t="str">
        <f>IF('1_APPLICABILITY'!C11="Yes","","N/A")</f>
        <v/>
      </c>
      <c r="E187" s="14" t="s">
        <v>411</v>
      </c>
      <c r="F187" s="15" t="s">
        <v>412</v>
      </c>
    </row>
    <row r="188" spans="1:6" ht="21.75" customHeight="1" x14ac:dyDescent="0.3">
      <c r="A188" s="16"/>
      <c r="B188" s="17" t="s">
        <v>476</v>
      </c>
      <c r="C188" s="12" t="str">
        <f>IF('1_APPLICABILITY'!C11="Yes","","N/A")</f>
        <v/>
      </c>
      <c r="D188" s="12" t="str">
        <f>IF('1_APPLICABILITY'!C11="Yes","","N/A")</f>
        <v/>
      </c>
      <c r="E188" s="14" t="s">
        <v>414</v>
      </c>
      <c r="F188" s="18" t="s">
        <v>415</v>
      </c>
    </row>
    <row r="189" spans="1:6" ht="18" customHeight="1" x14ac:dyDescent="0.3">
      <c r="A189" s="72" t="s">
        <v>477</v>
      </c>
      <c r="B189" s="72"/>
      <c r="C189" s="72"/>
      <c r="D189" s="72"/>
      <c r="E189" s="72"/>
      <c r="F189" s="72"/>
    </row>
    <row r="190" spans="1:6" ht="21.75" customHeight="1" x14ac:dyDescent="0.3">
      <c r="A190" s="16"/>
      <c r="B190" s="17" t="s">
        <v>478</v>
      </c>
      <c r="C190" s="12" t="str">
        <f>IF('1_APPLICABILITY'!C11="Yes","","N/A")</f>
        <v/>
      </c>
      <c r="D190" s="12" t="str">
        <f>IF('1_APPLICABILITY'!C11="Yes","","N/A")</f>
        <v/>
      </c>
      <c r="E190" s="14" t="s">
        <v>418</v>
      </c>
      <c r="F190" s="18" t="s">
        <v>419</v>
      </c>
    </row>
    <row r="191" spans="1:6" ht="21.75" customHeight="1" x14ac:dyDescent="0.3">
      <c r="A191" s="10"/>
      <c r="B191" s="11" t="s">
        <v>479</v>
      </c>
      <c r="C191" s="12" t="str">
        <f>IF('1_APPLICABILITY'!C11="Yes","","N/A")</f>
        <v/>
      </c>
      <c r="D191" s="12" t="str">
        <f>IF('1_APPLICABILITY'!C11="Yes","","N/A")</f>
        <v/>
      </c>
      <c r="E191" s="14" t="s">
        <v>421</v>
      </c>
      <c r="F191" s="15" t="s">
        <v>422</v>
      </c>
    </row>
    <row r="192" spans="1:6" ht="21.75" customHeight="1" x14ac:dyDescent="0.3">
      <c r="A192" s="16"/>
      <c r="B192" s="17" t="s">
        <v>480</v>
      </c>
      <c r="C192" s="12" t="str">
        <f>IF('1_APPLICABILITY'!C11="Yes","","N/A")</f>
        <v/>
      </c>
      <c r="D192" s="12" t="str">
        <f>IF('1_APPLICABILITY'!C11="Yes","","N/A")</f>
        <v/>
      </c>
      <c r="E192" s="14" t="s">
        <v>424</v>
      </c>
      <c r="F192" s="18" t="s">
        <v>425</v>
      </c>
    </row>
    <row r="193" spans="1:6" ht="21.75" customHeight="1" x14ac:dyDescent="0.3">
      <c r="A193" s="10"/>
      <c r="B193" s="11" t="s">
        <v>481</v>
      </c>
      <c r="C193" s="12" t="str">
        <f>IF('1_APPLICABILITY'!C11="Yes","","N/A")</f>
        <v/>
      </c>
      <c r="D193" s="12" t="str">
        <f>IF('1_APPLICABILITY'!C11="Yes","","N/A")</f>
        <v/>
      </c>
      <c r="E193" s="14" t="s">
        <v>427</v>
      </c>
      <c r="F193" s="15" t="s">
        <v>428</v>
      </c>
    </row>
    <row r="194" spans="1:6" ht="21.75" customHeight="1" x14ac:dyDescent="0.3">
      <c r="A194" s="16"/>
      <c r="B194" s="17" t="s">
        <v>482</v>
      </c>
      <c r="C194" s="12" t="str">
        <f>IF('1_APPLICABILITY'!C11="Yes","","N/A")</f>
        <v/>
      </c>
      <c r="D194" s="12" t="str">
        <f>IF('1_APPLICABILITY'!C11="Yes","","N/A")</f>
        <v/>
      </c>
      <c r="E194" s="14" t="s">
        <v>430</v>
      </c>
      <c r="F194" s="18" t="s">
        <v>431</v>
      </c>
    </row>
    <row r="195" spans="1:6" ht="21.75" customHeight="1" x14ac:dyDescent="0.3">
      <c r="A195" s="10"/>
      <c r="B195" s="11" t="s">
        <v>483</v>
      </c>
      <c r="C195" s="12" t="str">
        <f>IF('1_APPLICABILITY'!C11="Yes","","N/A")</f>
        <v/>
      </c>
      <c r="D195" s="12" t="str">
        <f>IF('1_APPLICABILITY'!C11="Yes","","N/A")</f>
        <v/>
      </c>
      <c r="E195" s="14" t="s">
        <v>433</v>
      </c>
      <c r="F195" s="15" t="s">
        <v>434</v>
      </c>
    </row>
    <row r="196" spans="1:6" ht="21.75" customHeight="1" x14ac:dyDescent="0.3">
      <c r="A196" s="16"/>
      <c r="B196" s="17" t="s">
        <v>484</v>
      </c>
      <c r="C196" s="12" t="str">
        <f>IF('1_APPLICABILITY'!C11="Yes","","N/A")</f>
        <v/>
      </c>
      <c r="D196" s="12" t="str">
        <f>IF('1_APPLICABILITY'!C11="Yes","","N/A")</f>
        <v/>
      </c>
      <c r="E196" s="14" t="s">
        <v>436</v>
      </c>
      <c r="F196" s="18" t="s">
        <v>437</v>
      </c>
    </row>
    <row r="197" spans="1:6" ht="21.75" customHeight="1" x14ac:dyDescent="0.3">
      <c r="A197" s="10"/>
      <c r="B197" s="11" t="s">
        <v>485</v>
      </c>
      <c r="C197" s="12" t="str">
        <f>IF('1_APPLICABILITY'!C11="Yes","","N/A")</f>
        <v/>
      </c>
      <c r="D197" s="12" t="str">
        <f>IF('1_APPLICABILITY'!C11="Yes","","N/A")</f>
        <v/>
      </c>
      <c r="E197" s="14" t="s">
        <v>439</v>
      </c>
      <c r="F197" s="15" t="s">
        <v>440</v>
      </c>
    </row>
    <row r="198" spans="1:6" ht="21.75" customHeight="1" x14ac:dyDescent="0.3">
      <c r="A198" s="16"/>
      <c r="B198" s="17" t="s">
        <v>486</v>
      </c>
      <c r="C198" s="12" t="str">
        <f>IF('1_APPLICABILITY'!C11="Yes","","N/A")</f>
        <v/>
      </c>
      <c r="D198" s="12" t="str">
        <f>IF('1_APPLICABILITY'!C11="Yes","","N/A")</f>
        <v/>
      </c>
      <c r="E198" s="14" t="s">
        <v>442</v>
      </c>
      <c r="F198" s="18" t="s">
        <v>443</v>
      </c>
    </row>
    <row r="199" spans="1:6" ht="21.75" customHeight="1" x14ac:dyDescent="0.3">
      <c r="A199" s="10"/>
      <c r="B199" s="11" t="s">
        <v>487</v>
      </c>
      <c r="C199" s="12" t="str">
        <f>IF('1_APPLICABILITY'!C11="Yes","","N/A")</f>
        <v/>
      </c>
      <c r="D199" s="12" t="str">
        <f>IF('1_APPLICABILITY'!C11="Yes","","N/A")</f>
        <v/>
      </c>
      <c r="E199" s="14" t="s">
        <v>445</v>
      </c>
      <c r="F199" s="15" t="s">
        <v>446</v>
      </c>
    </row>
    <row r="200" spans="1:6" ht="21.75" customHeight="1" x14ac:dyDescent="0.3">
      <c r="A200" s="16"/>
      <c r="B200" s="17" t="s">
        <v>488</v>
      </c>
      <c r="C200" s="12" t="str">
        <f>IF('1_APPLICABILITY'!C11="Yes","","N/A")</f>
        <v/>
      </c>
      <c r="D200" s="12" t="str">
        <f>IF('1_APPLICABILITY'!C11="Yes","","N/A")</f>
        <v/>
      </c>
      <c r="E200" s="14" t="s">
        <v>448</v>
      </c>
      <c r="F200" s="18" t="s">
        <v>449</v>
      </c>
    </row>
    <row r="201" spans="1:6" ht="18" customHeight="1" x14ac:dyDescent="0.3">
      <c r="A201" s="72" t="s">
        <v>489</v>
      </c>
      <c r="B201" s="72"/>
      <c r="C201" s="72"/>
      <c r="D201" s="72"/>
      <c r="E201" s="72"/>
      <c r="F201" s="72"/>
    </row>
    <row r="202" spans="1:6" ht="26.4" x14ac:dyDescent="0.3">
      <c r="A202" s="10"/>
      <c r="B202" s="11" t="s">
        <v>490</v>
      </c>
      <c r="C202" s="12" t="str">
        <f>IF('1_APPLICABILITY'!C11="Yes","","N/A")</f>
        <v/>
      </c>
      <c r="D202" s="12" t="str">
        <f>IF('1_APPLICABILITY'!C11="Yes","","N/A")</f>
        <v/>
      </c>
      <c r="E202" s="14" t="s">
        <v>452</v>
      </c>
      <c r="F202" s="15" t="s">
        <v>453</v>
      </c>
    </row>
    <row r="203" spans="1:6" ht="26.4" x14ac:dyDescent="0.3">
      <c r="A203" s="16"/>
      <c r="B203" s="17" t="s">
        <v>491</v>
      </c>
      <c r="C203" s="12" t="str">
        <f>IF('1_APPLICABILITY'!C16="Yes","","N/A")</f>
        <v>N/A</v>
      </c>
      <c r="D203" s="12" t="str">
        <f>IF('1_APPLICABILITY'!C16="Yes","","N/A")</f>
        <v>N/A</v>
      </c>
      <c r="E203" s="14" t="s">
        <v>455</v>
      </c>
      <c r="F203" s="18" t="s">
        <v>456</v>
      </c>
    </row>
    <row r="204" spans="1:6" ht="26.4" x14ac:dyDescent="0.3">
      <c r="A204" s="10"/>
      <c r="B204" s="11" t="s">
        <v>492</v>
      </c>
      <c r="C204" s="12" t="str">
        <f>IF('1_APPLICABILITY'!C11="Yes","","N/A")</f>
        <v/>
      </c>
      <c r="D204" s="12" t="str">
        <f>IF('1_APPLICABILITY'!C11="Yes","","N/A")</f>
        <v/>
      </c>
      <c r="E204" s="14" t="s">
        <v>458</v>
      </c>
      <c r="F204" s="15" t="s">
        <v>459</v>
      </c>
    </row>
    <row r="205" spans="1:6" ht="26.4" x14ac:dyDescent="0.3">
      <c r="A205" s="16"/>
      <c r="B205" s="17" t="s">
        <v>493</v>
      </c>
      <c r="C205" s="12" t="str">
        <f>IF('1_APPLICABILITY'!C11="Yes","","N/A")</f>
        <v/>
      </c>
      <c r="D205" s="12" t="str">
        <f>IF('1_APPLICABILITY'!C11="Yes","","N/A")</f>
        <v/>
      </c>
      <c r="E205" s="14" t="s">
        <v>461</v>
      </c>
      <c r="F205" s="18" t="s">
        <v>462</v>
      </c>
    </row>
    <row r="206" spans="1:6" ht="26.4" x14ac:dyDescent="0.3">
      <c r="A206" s="10"/>
      <c r="B206" s="11" t="s">
        <v>494</v>
      </c>
      <c r="C206" s="12" t="str">
        <f>IF('1_APPLICABILITY'!C23="Yes","","N/A")</f>
        <v>N/A</v>
      </c>
      <c r="D206" s="12" t="str">
        <f>IF('1_APPLICABILITY'!C23="Yes","","N/A")</f>
        <v>N/A</v>
      </c>
      <c r="E206" s="14" t="s">
        <v>464</v>
      </c>
      <c r="F206" s="15" t="s">
        <v>465</v>
      </c>
    </row>
    <row r="207" spans="1:6" x14ac:dyDescent="0.3">
      <c r="A207" s="16"/>
      <c r="B207" s="17" t="s">
        <v>495</v>
      </c>
      <c r="C207" s="12" t="str">
        <f>IF('1_APPLICABILITY'!C11="Yes","","N/A")</f>
        <v/>
      </c>
      <c r="D207" s="12" t="str">
        <f>IF('1_APPLICABILITY'!C11="Yes","","N/A")</f>
        <v/>
      </c>
      <c r="E207" s="14" t="s">
        <v>467</v>
      </c>
      <c r="F207" s="18" t="s">
        <v>468</v>
      </c>
    </row>
    <row r="208" spans="1:6" x14ac:dyDescent="0.3">
      <c r="A208" s="10"/>
      <c r="B208" s="11" t="s">
        <v>496</v>
      </c>
      <c r="C208" s="12" t="str">
        <f>IF('1_APPLICABILITY'!C11="Yes","","N/A")</f>
        <v/>
      </c>
      <c r="D208" s="12" t="str">
        <f>IF('1_APPLICABILITY'!C11="Yes","","N/A")</f>
        <v/>
      </c>
      <c r="E208" s="14" t="s">
        <v>470</v>
      </c>
      <c r="F208" s="15" t="s">
        <v>471</v>
      </c>
    </row>
    <row r="209" spans="1:6" ht="19.5" customHeight="1" x14ac:dyDescent="0.3">
      <c r="A209" s="71" t="s">
        <v>497</v>
      </c>
      <c r="B209" s="71"/>
      <c r="C209" s="71"/>
      <c r="D209" s="71"/>
      <c r="E209" s="71"/>
      <c r="F209" s="71"/>
    </row>
    <row r="210" spans="1:6" ht="15.75" customHeight="1" x14ac:dyDescent="0.3">
      <c r="A210" s="73" t="s">
        <v>498</v>
      </c>
      <c r="B210" s="73"/>
      <c r="C210" s="73"/>
      <c r="D210" s="73"/>
      <c r="E210" s="73"/>
      <c r="F210" s="73"/>
    </row>
    <row r="211" spans="1:6" ht="18" customHeight="1" x14ac:dyDescent="0.3">
      <c r="A211" s="72" t="s">
        <v>499</v>
      </c>
      <c r="B211" s="72"/>
      <c r="C211" s="72"/>
      <c r="D211" s="72"/>
      <c r="E211" s="72"/>
      <c r="F211" s="72"/>
    </row>
    <row r="212" spans="1:6" ht="21.75" customHeight="1" x14ac:dyDescent="0.3">
      <c r="A212" s="10"/>
      <c r="B212" s="11" t="s">
        <v>500</v>
      </c>
      <c r="C212" s="12" t="str">
        <f>IF('1_APPLICABILITY'!C12="Yes","","N/A – set applicability to Yes")</f>
        <v>N/A – set applicability to Yes</v>
      </c>
      <c r="D212" s="12" t="str">
        <f>IF('1_APPLICABILITY'!C12="Yes","","N/A – set applicability to Yes")</f>
        <v>N/A – set applicability to Yes</v>
      </c>
      <c r="E212" s="14" t="s">
        <v>501</v>
      </c>
      <c r="F212" s="15" t="s">
        <v>502</v>
      </c>
    </row>
    <row r="213" spans="1:6" ht="19.5" customHeight="1" x14ac:dyDescent="0.3">
      <c r="A213" s="77" t="s">
        <v>503</v>
      </c>
      <c r="B213" s="77"/>
      <c r="C213" s="77"/>
      <c r="D213" s="77"/>
      <c r="E213" s="77"/>
      <c r="F213" s="77"/>
    </row>
    <row r="214" spans="1:6" ht="26.4" x14ac:dyDescent="0.3">
      <c r="A214" s="10"/>
      <c r="B214" s="11" t="s">
        <v>341</v>
      </c>
      <c r="C214" s="12" t="str">
        <f>IF('1_APPLICABILITY'!C12="Yes","","N/A – set applicability to Yes")</f>
        <v>N/A – set applicability to Yes</v>
      </c>
      <c r="D214" s="12" t="str">
        <f>IF('1_APPLICABILITY'!C12="Yes","","N/A – set applicability to Yes")</f>
        <v>N/A – set applicability to Yes</v>
      </c>
      <c r="E214" s="14" t="s">
        <v>504</v>
      </c>
      <c r="F214" s="15" t="s">
        <v>505</v>
      </c>
    </row>
    <row r="215" spans="1:6" ht="26.4" x14ac:dyDescent="0.3">
      <c r="A215" s="16"/>
      <c r="B215" s="17" t="s">
        <v>506</v>
      </c>
      <c r="C215" s="12" t="str">
        <f>IF('1_APPLICABILITY'!C12="Yes","","N/A – set applicability to Yes")</f>
        <v>N/A – set applicability to Yes</v>
      </c>
      <c r="D215" s="12" t="str">
        <f>IF('1_APPLICABILITY'!C12="Yes","","N/A – set applicability to Yes")</f>
        <v>N/A – set applicability to Yes</v>
      </c>
      <c r="E215" s="14" t="s">
        <v>507</v>
      </c>
      <c r="F215" s="18" t="s">
        <v>508</v>
      </c>
    </row>
    <row r="216" spans="1:6" ht="26.4" x14ac:dyDescent="0.3">
      <c r="A216" s="10"/>
      <c r="B216" s="11" t="s">
        <v>509</v>
      </c>
      <c r="C216" s="12" t="str">
        <f>IF('1_APPLICABILITY'!C12="Yes","","N/A – set applicability to Yes")</f>
        <v>N/A – set applicability to Yes</v>
      </c>
      <c r="D216" s="12" t="str">
        <f>IF('1_APPLICABILITY'!C12="Yes","","N/A – set applicability to Yes")</f>
        <v>N/A – set applicability to Yes</v>
      </c>
      <c r="E216" s="14" t="s">
        <v>510</v>
      </c>
      <c r="F216" s="15" t="s">
        <v>511</v>
      </c>
    </row>
    <row r="217" spans="1:6" ht="26.4" x14ac:dyDescent="0.3">
      <c r="A217" s="16"/>
      <c r="B217" s="17" t="s">
        <v>512</v>
      </c>
      <c r="C217" s="12" t="str">
        <f>IF('1_APPLICABILITY'!C12="Yes","","N/A – set applicability to Yes")</f>
        <v>N/A – set applicability to Yes</v>
      </c>
      <c r="D217" s="12" t="str">
        <f>IF('1_APPLICABILITY'!C12="Yes","","N/A – set applicability to Yes")</f>
        <v>N/A – set applicability to Yes</v>
      </c>
      <c r="E217" s="14" t="s">
        <v>513</v>
      </c>
      <c r="F217" s="18" t="s">
        <v>514</v>
      </c>
    </row>
    <row r="218" spans="1:6" ht="26.4" x14ac:dyDescent="0.3">
      <c r="A218" s="10"/>
      <c r="B218" s="11" t="s">
        <v>515</v>
      </c>
      <c r="C218" s="12" t="str">
        <f>IF('1_APPLICABILITY'!C12="Yes","","N/A – set applicability to Yes")</f>
        <v>N/A – set applicability to Yes</v>
      </c>
      <c r="D218" s="12" t="str">
        <f>IF('1_APPLICABILITY'!C12="Yes","","N/A – set applicability to Yes")</f>
        <v>N/A – set applicability to Yes</v>
      </c>
      <c r="E218" s="14" t="s">
        <v>516</v>
      </c>
      <c r="F218" s="15" t="s">
        <v>517</v>
      </c>
    </row>
    <row r="219" spans="1:6" ht="26.4" x14ac:dyDescent="0.3">
      <c r="A219" s="16"/>
      <c r="B219" s="17" t="s">
        <v>518</v>
      </c>
      <c r="C219" s="12" t="str">
        <f>IF('1_APPLICABILITY'!C12="Yes","","N/A – set applicability to Yes")</f>
        <v>N/A – set applicability to Yes</v>
      </c>
      <c r="D219" s="12" t="str">
        <f>IF('1_APPLICABILITY'!C12="Yes","","N/A – set applicability to Yes")</f>
        <v>N/A – set applicability to Yes</v>
      </c>
      <c r="E219" s="14" t="s">
        <v>519</v>
      </c>
      <c r="F219" s="18" t="s">
        <v>520</v>
      </c>
    </row>
    <row r="220" spans="1:6" ht="26.4" x14ac:dyDescent="0.3">
      <c r="A220" s="10"/>
      <c r="B220" s="11" t="s">
        <v>521</v>
      </c>
      <c r="C220" s="12" t="str">
        <f>IF('1_APPLICABILITY'!C12="Yes","","N/A – set applicability to Yes")</f>
        <v>N/A – set applicability to Yes</v>
      </c>
      <c r="D220" s="12" t="str">
        <f>IF('1_APPLICABILITY'!C12="Yes","","N/A – set applicability to Yes")</f>
        <v>N/A – set applicability to Yes</v>
      </c>
      <c r="E220" s="14" t="s">
        <v>522</v>
      </c>
      <c r="F220" s="15" t="s">
        <v>523</v>
      </c>
    </row>
    <row r="221" spans="1:6" ht="26.4" x14ac:dyDescent="0.3">
      <c r="A221" s="16"/>
      <c r="B221" s="17" t="s">
        <v>362</v>
      </c>
      <c r="C221" s="12" t="str">
        <f>IF('1_APPLICABILITY'!C23="Yes","","N/A – set applicability to Yes")</f>
        <v>N/A – set applicability to Yes</v>
      </c>
      <c r="D221" s="12" t="str">
        <f>IF('1_APPLICABILITY'!C23="Yes","","N/A – set applicability to Yes")</f>
        <v>N/A – set applicability to Yes</v>
      </c>
      <c r="E221" s="14" t="s">
        <v>524</v>
      </c>
      <c r="F221" s="18" t="s">
        <v>525</v>
      </c>
    </row>
    <row r="222" spans="1:6" ht="19.5" customHeight="1" x14ac:dyDescent="0.3">
      <c r="A222" s="77" t="s">
        <v>526</v>
      </c>
      <c r="B222" s="77"/>
      <c r="C222" s="77"/>
      <c r="D222" s="77"/>
      <c r="E222" s="77"/>
      <c r="F222" s="77"/>
    </row>
    <row r="223" spans="1:6" ht="26.4" x14ac:dyDescent="0.3">
      <c r="A223" s="10"/>
      <c r="B223" s="11" t="s">
        <v>341</v>
      </c>
      <c r="C223" s="12" t="str">
        <f>IF('1_APPLICABILITY'!C12="Yes","","N/A – set applicability to Yes")</f>
        <v>N/A – set applicability to Yes</v>
      </c>
      <c r="D223" s="12" t="str">
        <f>IF('1_APPLICABILITY'!C12="Yes","","N/A – set applicability to Yes")</f>
        <v>N/A – set applicability to Yes</v>
      </c>
      <c r="E223" s="14" t="s">
        <v>504</v>
      </c>
      <c r="F223" s="15" t="s">
        <v>505</v>
      </c>
    </row>
    <row r="224" spans="1:6" ht="26.4" x14ac:dyDescent="0.3">
      <c r="A224" s="16"/>
      <c r="B224" s="17" t="s">
        <v>506</v>
      </c>
      <c r="C224" s="12" t="str">
        <f>IF('1_APPLICABILITY'!C12="Yes","","N/A – set applicability to Yes")</f>
        <v>N/A – set applicability to Yes</v>
      </c>
      <c r="D224" s="12" t="str">
        <f>IF('1_APPLICABILITY'!C12="Yes","","N/A – set applicability to Yes")</f>
        <v>N/A – set applicability to Yes</v>
      </c>
      <c r="E224" s="14" t="s">
        <v>507</v>
      </c>
      <c r="F224" s="18" t="s">
        <v>508</v>
      </c>
    </row>
    <row r="225" spans="1:6" ht="26.4" x14ac:dyDescent="0.3">
      <c r="A225" s="10"/>
      <c r="B225" s="11" t="s">
        <v>509</v>
      </c>
      <c r="C225" s="12" t="str">
        <f>IF('1_APPLICABILITY'!C12="Yes","","N/A – set applicability to Yes")</f>
        <v>N/A – set applicability to Yes</v>
      </c>
      <c r="D225" s="12" t="str">
        <f>IF('1_APPLICABILITY'!C12="Yes","","N/A – set applicability to Yes")</f>
        <v>N/A – set applicability to Yes</v>
      </c>
      <c r="E225" s="14" t="s">
        <v>510</v>
      </c>
      <c r="F225" s="15" t="s">
        <v>511</v>
      </c>
    </row>
    <row r="226" spans="1:6" ht="26.4" x14ac:dyDescent="0.3">
      <c r="A226" s="16"/>
      <c r="B226" s="17" t="s">
        <v>512</v>
      </c>
      <c r="C226" s="12" t="str">
        <f>IF('1_APPLICABILITY'!C12="Yes","","N/A – set applicability to Yes")</f>
        <v>N/A – set applicability to Yes</v>
      </c>
      <c r="D226" s="12" t="str">
        <f>IF('1_APPLICABILITY'!C12="Yes","","N/A – set applicability to Yes")</f>
        <v>N/A – set applicability to Yes</v>
      </c>
      <c r="E226" s="14" t="s">
        <v>513</v>
      </c>
      <c r="F226" s="18" t="s">
        <v>514</v>
      </c>
    </row>
    <row r="227" spans="1:6" ht="26.4" x14ac:dyDescent="0.3">
      <c r="A227" s="10"/>
      <c r="B227" s="11" t="s">
        <v>515</v>
      </c>
      <c r="C227" s="12" t="str">
        <f>IF('1_APPLICABILITY'!C12="Yes","","N/A – set applicability to Yes")</f>
        <v>N/A – set applicability to Yes</v>
      </c>
      <c r="D227" s="12" t="str">
        <f>IF('1_APPLICABILITY'!C12="Yes","","N/A – set applicability to Yes")</f>
        <v>N/A – set applicability to Yes</v>
      </c>
      <c r="E227" s="14" t="s">
        <v>516</v>
      </c>
      <c r="F227" s="15" t="s">
        <v>517</v>
      </c>
    </row>
    <row r="228" spans="1:6" ht="26.4" x14ac:dyDescent="0.3">
      <c r="A228" s="16"/>
      <c r="B228" s="17" t="s">
        <v>518</v>
      </c>
      <c r="C228" s="12" t="str">
        <f>IF('1_APPLICABILITY'!C12="Yes","","N/A – set applicability to Yes")</f>
        <v>N/A – set applicability to Yes</v>
      </c>
      <c r="D228" s="12" t="str">
        <f>IF('1_APPLICABILITY'!C12="Yes","","N/A – set applicability to Yes")</f>
        <v>N/A – set applicability to Yes</v>
      </c>
      <c r="E228" s="14" t="s">
        <v>519</v>
      </c>
      <c r="F228" s="18" t="s">
        <v>520</v>
      </c>
    </row>
    <row r="229" spans="1:6" ht="26.4" x14ac:dyDescent="0.3">
      <c r="A229" s="10"/>
      <c r="B229" s="11" t="s">
        <v>521</v>
      </c>
      <c r="C229" s="12" t="str">
        <f>IF('1_APPLICABILITY'!C12="Yes","","N/A – set applicability to Yes")</f>
        <v>N/A – set applicability to Yes</v>
      </c>
      <c r="D229" s="12" t="str">
        <f>IF('1_APPLICABILITY'!C12="Yes","","N/A – set applicability to Yes")</f>
        <v>N/A – set applicability to Yes</v>
      </c>
      <c r="E229" s="14" t="s">
        <v>522</v>
      </c>
      <c r="F229" s="15" t="s">
        <v>523</v>
      </c>
    </row>
    <row r="230" spans="1:6" ht="26.4" x14ac:dyDescent="0.3">
      <c r="A230" s="16"/>
      <c r="B230" s="17" t="s">
        <v>362</v>
      </c>
      <c r="C230" s="12" t="str">
        <f>IF('1_APPLICABILITY'!C23="Yes","","N/A – set applicability to Yes")</f>
        <v>N/A – set applicability to Yes</v>
      </c>
      <c r="D230" s="12" t="str">
        <f>IF('1_APPLICABILITY'!C23="Yes","","N/A – set applicability to Yes")</f>
        <v>N/A – set applicability to Yes</v>
      </c>
      <c r="E230" s="14" t="s">
        <v>524</v>
      </c>
      <c r="F230" s="18" t="s">
        <v>525</v>
      </c>
    </row>
    <row r="231" spans="1:6" ht="19.5" customHeight="1" x14ac:dyDescent="0.3">
      <c r="A231" s="71" t="s">
        <v>527</v>
      </c>
      <c r="B231" s="71"/>
      <c r="C231" s="71"/>
      <c r="D231" s="71"/>
      <c r="E231" s="71"/>
      <c r="F231" s="71"/>
    </row>
    <row r="232" spans="1:6" ht="15.75" customHeight="1" x14ac:dyDescent="0.3">
      <c r="A232" s="73" t="s">
        <v>528</v>
      </c>
      <c r="B232" s="73"/>
      <c r="C232" s="73"/>
      <c r="D232" s="73"/>
      <c r="E232" s="73"/>
      <c r="F232" s="73"/>
    </row>
    <row r="233" spans="1:6" ht="18" customHeight="1" x14ac:dyDescent="0.3">
      <c r="A233" s="72" t="s">
        <v>529</v>
      </c>
      <c r="B233" s="72"/>
      <c r="C233" s="72"/>
      <c r="D233" s="72"/>
      <c r="E233" s="72"/>
      <c r="F233" s="72"/>
    </row>
    <row r="234" spans="1:6" ht="26.4" x14ac:dyDescent="0.3">
      <c r="A234" s="10"/>
      <c r="B234" s="11" t="s">
        <v>530</v>
      </c>
      <c r="C234" s="12" t="str">
        <f>IF('1_APPLICABILITY'!C13="Yes","","N/A – set applicability to Yes")</f>
        <v>N/A – set applicability to Yes</v>
      </c>
      <c r="D234" s="12" t="str">
        <f>IF('1_APPLICABILITY'!C13="Yes","","N/A – set applicability to Yes")</f>
        <v>N/A – set applicability to Yes</v>
      </c>
      <c r="E234" s="14" t="s">
        <v>531</v>
      </c>
      <c r="F234" s="15" t="s">
        <v>532</v>
      </c>
    </row>
    <row r="235" spans="1:6" ht="26.4" x14ac:dyDescent="0.3">
      <c r="A235" s="16"/>
      <c r="B235" s="17" t="s">
        <v>533</v>
      </c>
      <c r="C235" s="12" t="str">
        <f>IF('1_APPLICABILITY'!C13="Yes","","N/A – set applicability to Yes")</f>
        <v>N/A – set applicability to Yes</v>
      </c>
      <c r="D235" s="12" t="str">
        <f>IF('1_APPLICABILITY'!C13="Yes","","N/A – set applicability to Yes")</f>
        <v>N/A – set applicability to Yes</v>
      </c>
      <c r="E235" s="14" t="s">
        <v>534</v>
      </c>
      <c r="F235" s="18" t="s">
        <v>535</v>
      </c>
    </row>
    <row r="236" spans="1:6" ht="26.4" x14ac:dyDescent="0.3">
      <c r="A236" s="10"/>
      <c r="B236" s="11" t="s">
        <v>536</v>
      </c>
      <c r="C236" s="12" t="str">
        <f>IF('1_APPLICABILITY'!C13="Yes","","N/A – set applicability to Yes")</f>
        <v>N/A – set applicability to Yes</v>
      </c>
      <c r="D236" s="12" t="str">
        <f>IF('1_APPLICABILITY'!C13="Yes","","N/A – set applicability to Yes")</f>
        <v>N/A – set applicability to Yes</v>
      </c>
      <c r="E236" s="14" t="s">
        <v>537</v>
      </c>
      <c r="F236" s="15" t="s">
        <v>538</v>
      </c>
    </row>
    <row r="237" spans="1:6" ht="26.4" x14ac:dyDescent="0.3">
      <c r="A237" s="16"/>
      <c r="B237" s="17" t="s">
        <v>539</v>
      </c>
      <c r="C237" s="12" t="str">
        <f>IF('1_APPLICABILITY'!C13="Yes","","N/A – set applicability to Yes")</f>
        <v>N/A – set applicability to Yes</v>
      </c>
      <c r="D237" s="12" t="str">
        <f>IF('1_APPLICABILITY'!C13="Yes","","N/A – set applicability to Yes")</f>
        <v>N/A – set applicability to Yes</v>
      </c>
      <c r="E237" s="14" t="s">
        <v>540</v>
      </c>
      <c r="F237" s="18" t="s">
        <v>541</v>
      </c>
    </row>
    <row r="238" spans="1:6" ht="26.4" x14ac:dyDescent="0.3">
      <c r="A238" s="10"/>
      <c r="B238" s="11" t="s">
        <v>542</v>
      </c>
      <c r="C238" s="12" t="str">
        <f>IF('1_APPLICABILITY'!C13="Yes","","N/A – set applicability to Yes")</f>
        <v>N/A – set applicability to Yes</v>
      </c>
      <c r="D238" s="12" t="str">
        <f>IF('1_APPLICABILITY'!C13="Yes","","N/A – set applicability to Yes")</f>
        <v>N/A – set applicability to Yes</v>
      </c>
      <c r="E238" s="14" t="s">
        <v>543</v>
      </c>
      <c r="F238" s="15" t="s">
        <v>544</v>
      </c>
    </row>
    <row r="239" spans="1:6" ht="26.4" x14ac:dyDescent="0.3">
      <c r="A239" s="16"/>
      <c r="B239" s="17" t="s">
        <v>362</v>
      </c>
      <c r="C239" s="12" t="str">
        <f>IF('1_APPLICABILITY'!C23="Yes","","N/A – set applicability to Yes")</f>
        <v>N/A – set applicability to Yes</v>
      </c>
      <c r="D239" s="12" t="str">
        <f>IF('1_APPLICABILITY'!C23="Yes","","N/A – set applicability to Yes")</f>
        <v>N/A – set applicability to Yes</v>
      </c>
      <c r="E239" s="14" t="s">
        <v>545</v>
      </c>
      <c r="F239" s="18" t="s">
        <v>546</v>
      </c>
    </row>
    <row r="240" spans="1:6" ht="19.5" customHeight="1" x14ac:dyDescent="0.3">
      <c r="A240" s="71" t="s">
        <v>547</v>
      </c>
      <c r="B240" s="71"/>
      <c r="C240" s="71"/>
      <c r="D240" s="71"/>
      <c r="E240" s="71"/>
      <c r="F240" s="71"/>
    </row>
    <row r="241" spans="1:6" ht="15.75" customHeight="1" x14ac:dyDescent="0.3">
      <c r="A241" s="73" t="s">
        <v>548</v>
      </c>
      <c r="B241" s="73"/>
      <c r="C241" s="73"/>
      <c r="D241" s="73"/>
      <c r="E241" s="73"/>
      <c r="F241" s="73"/>
    </row>
    <row r="242" spans="1:6" ht="18" customHeight="1" x14ac:dyDescent="0.3">
      <c r="A242" s="72" t="s">
        <v>549</v>
      </c>
      <c r="B242" s="72"/>
      <c r="C242" s="72"/>
      <c r="D242" s="72"/>
      <c r="E242" s="72"/>
      <c r="F242" s="72"/>
    </row>
    <row r="243" spans="1:6" ht="34.200000000000003" x14ac:dyDescent="0.3">
      <c r="A243" s="10"/>
      <c r="B243" s="11" t="s">
        <v>550</v>
      </c>
      <c r="C243" s="12" t="str">
        <f>IF('1_APPLICABILITY'!C14="Yes","","N/A – set applicability to Yes")</f>
        <v/>
      </c>
      <c r="D243" s="12" t="str">
        <f>IF('1_APPLICABILITY'!C14="Yes","","N/A – set applicability to Yes")</f>
        <v/>
      </c>
      <c r="E243" s="14" t="s">
        <v>551</v>
      </c>
      <c r="F243" s="15" t="s">
        <v>552</v>
      </c>
    </row>
    <row r="244" spans="1:6" ht="26.4" x14ac:dyDescent="0.3">
      <c r="A244" s="16"/>
      <c r="B244" s="17" t="s">
        <v>553</v>
      </c>
      <c r="C244" s="12" t="str">
        <f>IF('1_APPLICABILITY'!C14="Yes","","N/A – set applicability to Yes")</f>
        <v/>
      </c>
      <c r="D244" s="12" t="str">
        <f>IF('1_APPLICABILITY'!C14="Yes","","N/A – set applicability to Yes")</f>
        <v/>
      </c>
      <c r="E244" s="14" t="s">
        <v>554</v>
      </c>
      <c r="F244" s="18" t="s">
        <v>555</v>
      </c>
    </row>
    <row r="245" spans="1:6" ht="26.4" x14ac:dyDescent="0.3">
      <c r="A245" s="10"/>
      <c r="B245" s="11" t="s">
        <v>556</v>
      </c>
      <c r="C245" s="12" t="str">
        <f>IF('1_APPLICABILITY'!C14="Yes","","N/A – set applicability to Yes")</f>
        <v/>
      </c>
      <c r="D245" s="12" t="str">
        <f>IF('1_APPLICABILITY'!C14="Yes","","N/A – set applicability to Yes")</f>
        <v/>
      </c>
      <c r="E245" s="14" t="s">
        <v>557</v>
      </c>
      <c r="F245" s="15" t="s">
        <v>558</v>
      </c>
    </row>
    <row r="246" spans="1:6" ht="22.8" x14ac:dyDescent="0.3">
      <c r="A246" s="16"/>
      <c r="B246" s="17" t="s">
        <v>559</v>
      </c>
      <c r="C246" s="12" t="str">
        <f>IF('1_APPLICABILITY'!C14="Yes","","N/A – set applicability to Yes")</f>
        <v/>
      </c>
      <c r="D246" s="12" t="str">
        <f>IF('1_APPLICABILITY'!C14="Yes","","N/A – set applicability to Yes")</f>
        <v/>
      </c>
      <c r="E246" s="14" t="s">
        <v>560</v>
      </c>
      <c r="F246" s="18" t="s">
        <v>561</v>
      </c>
    </row>
  </sheetData>
  <mergeCells count="64">
    <mergeCell ref="A233:F233"/>
    <mergeCell ref="A240:F240"/>
    <mergeCell ref="A241:F241"/>
    <mergeCell ref="A242:F242"/>
    <mergeCell ref="A211:F211"/>
    <mergeCell ref="A213:F213"/>
    <mergeCell ref="A222:F222"/>
    <mergeCell ref="A231:F231"/>
    <mergeCell ref="A232:F232"/>
    <mergeCell ref="A184:F184"/>
    <mergeCell ref="A189:F189"/>
    <mergeCell ref="A201:F201"/>
    <mergeCell ref="A209:F209"/>
    <mergeCell ref="A210:F210"/>
    <mergeCell ref="A157:F157"/>
    <mergeCell ref="A158:F158"/>
    <mergeCell ref="A159:F159"/>
    <mergeCell ref="A164:F164"/>
    <mergeCell ref="A176:F176"/>
    <mergeCell ref="A148:F148"/>
    <mergeCell ref="A149:F149"/>
    <mergeCell ref="A154:F154"/>
    <mergeCell ref="A155:F155"/>
    <mergeCell ref="A156:F156"/>
    <mergeCell ref="A130:F130"/>
    <mergeCell ref="A139:F139"/>
    <mergeCell ref="A140:F140"/>
    <mergeCell ref="A141:F141"/>
    <mergeCell ref="A147:F147"/>
    <mergeCell ref="A105:F105"/>
    <mergeCell ref="A117:F117"/>
    <mergeCell ref="A118:F118"/>
    <mergeCell ref="A119:F119"/>
    <mergeCell ref="A121:F121"/>
    <mergeCell ref="A78:F78"/>
    <mergeCell ref="A79:F79"/>
    <mergeCell ref="A80:F80"/>
    <mergeCell ref="A81:F81"/>
    <mergeCell ref="A93:F93"/>
    <mergeCell ref="A60:F60"/>
    <mergeCell ref="A61:F61"/>
    <mergeCell ref="A62:F62"/>
    <mergeCell ref="A63:F63"/>
    <mergeCell ref="A77:F77"/>
    <mergeCell ref="A45:F45"/>
    <mergeCell ref="A49:F49"/>
    <mergeCell ref="A50:F50"/>
    <mergeCell ref="A57:F57"/>
    <mergeCell ref="A58:F58"/>
    <mergeCell ref="A35:F35"/>
    <mergeCell ref="A36:F36"/>
    <mergeCell ref="A37:F37"/>
    <mergeCell ref="A43:F43"/>
    <mergeCell ref="A44:F44"/>
    <mergeCell ref="A7:F7"/>
    <mergeCell ref="A24:F24"/>
    <mergeCell ref="A25:F25"/>
    <mergeCell ref="A26:F26"/>
    <mergeCell ref="A34:F34"/>
    <mergeCell ref="A1:F1"/>
    <mergeCell ref="A2:F2"/>
    <mergeCell ref="A4:F4"/>
    <mergeCell ref="A5:F5"/>
    <mergeCell ref="A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9"/>
  <sheetViews>
    <sheetView showGridLines="0" tabSelected="1" zoomScale="125" zoomScaleNormal="100" workbookViewId="0">
      <selection activeCell="G178" sqref="G178"/>
    </sheetView>
  </sheetViews>
  <sheetFormatPr defaultColWidth="8.6640625" defaultRowHeight="14.4" x14ac:dyDescent="0.3"/>
  <cols>
    <col min="1" max="1" width="5" customWidth="1"/>
    <col min="2" max="2" width="6" customWidth="1"/>
    <col min="3" max="3" width="48" customWidth="1"/>
    <col min="4" max="5" width="22" customWidth="1"/>
    <col min="6" max="6" width="24" customWidth="1"/>
    <col min="7" max="7" width="31.109375" customWidth="1"/>
  </cols>
  <sheetData>
    <row r="1" spans="1:7" ht="39.75" customHeight="1" x14ac:dyDescent="0.3">
      <c r="A1" s="47" t="s">
        <v>562</v>
      </c>
      <c r="B1" s="47"/>
      <c r="C1" s="47"/>
      <c r="D1" s="47"/>
      <c r="E1" s="47"/>
      <c r="F1" s="47"/>
    </row>
    <row r="2" spans="1:7" ht="18" customHeight="1" x14ac:dyDescent="0.3">
      <c r="A2" s="48" t="s">
        <v>563</v>
      </c>
      <c r="B2" s="48"/>
      <c r="C2" s="48"/>
      <c r="D2" s="48"/>
      <c r="E2" s="48"/>
      <c r="F2" s="48"/>
    </row>
    <row r="3" spans="1:7" ht="21.75" customHeight="1" x14ac:dyDescent="0.3">
      <c r="A3" s="49" t="s">
        <v>564</v>
      </c>
      <c r="B3" s="49"/>
      <c r="C3" s="49"/>
      <c r="D3" s="49"/>
      <c r="E3" s="49"/>
      <c r="F3" s="49"/>
    </row>
    <row r="4" spans="1:7" ht="30" customHeight="1" x14ac:dyDescent="0.3">
      <c r="A4" s="27" t="s">
        <v>565</v>
      </c>
      <c r="B4" s="27" t="s">
        <v>566</v>
      </c>
      <c r="C4" s="27" t="s">
        <v>567</v>
      </c>
      <c r="D4" s="27" t="s">
        <v>568</v>
      </c>
      <c r="E4" s="27"/>
      <c r="F4" s="27" t="s">
        <v>569</v>
      </c>
      <c r="G4" s="46" t="s">
        <v>896</v>
      </c>
    </row>
    <row r="5" spans="1:7" x14ac:dyDescent="0.3">
      <c r="A5" s="28">
        <v>1</v>
      </c>
      <c r="B5" s="29" t="s">
        <v>570</v>
      </c>
      <c r="C5" s="6" t="s">
        <v>571</v>
      </c>
      <c r="D5" s="30">
        <f>'2_FINANCIALS'!D8</f>
        <v>0</v>
      </c>
      <c r="E5" s="31"/>
      <c r="F5" s="32" t="s">
        <v>572</v>
      </c>
      <c r="G5" s="14" t="s">
        <v>897</v>
      </c>
    </row>
    <row r="6" spans="1:7" x14ac:dyDescent="0.3">
      <c r="A6" s="33">
        <v>2</v>
      </c>
      <c r="B6" s="34" t="s">
        <v>570</v>
      </c>
      <c r="C6" s="4" t="s">
        <v>573</v>
      </c>
      <c r="D6" s="30">
        <f>'2_FINANCIALS'!C9</f>
        <v>0</v>
      </c>
      <c r="E6" s="31"/>
      <c r="F6" s="35"/>
      <c r="G6" s="14" t="s">
        <v>898</v>
      </c>
    </row>
    <row r="7" spans="1:7" ht="18" customHeight="1" x14ac:dyDescent="0.3">
      <c r="A7" s="28">
        <v>3</v>
      </c>
      <c r="B7" s="29" t="s">
        <v>570</v>
      </c>
      <c r="C7" s="6" t="s">
        <v>574</v>
      </c>
      <c r="D7" s="30">
        <f>'2_FINANCIALS'!C10</f>
        <v>0</v>
      </c>
      <c r="E7" s="31"/>
      <c r="F7" s="32"/>
      <c r="G7" s="14" t="s">
        <v>898</v>
      </c>
    </row>
    <row r="8" spans="1:7" ht="18" customHeight="1" x14ac:dyDescent="0.3">
      <c r="A8" s="33">
        <v>4</v>
      </c>
      <c r="B8" s="34" t="s">
        <v>570</v>
      </c>
      <c r="C8" s="4" t="s">
        <v>575</v>
      </c>
      <c r="D8" s="30">
        <f>'2_FINANCIALS'!D11</f>
        <v>0</v>
      </c>
      <c r="E8" s="31"/>
      <c r="F8" s="35"/>
      <c r="G8" s="14" t="s">
        <v>111</v>
      </c>
    </row>
    <row r="9" spans="1:7" ht="18" customHeight="1" x14ac:dyDescent="0.3">
      <c r="A9" s="28">
        <v>5</v>
      </c>
      <c r="B9" s="29" t="s">
        <v>570</v>
      </c>
      <c r="C9" s="43" t="s">
        <v>576</v>
      </c>
      <c r="D9" s="30">
        <f>'2_FINANCIALS'!D12</f>
        <v>0</v>
      </c>
      <c r="E9" s="31"/>
      <c r="F9" s="32"/>
      <c r="G9" s="14" t="s">
        <v>899</v>
      </c>
    </row>
    <row r="10" spans="1:7" ht="18" customHeight="1" x14ac:dyDescent="0.3">
      <c r="A10" s="33">
        <v>6</v>
      </c>
      <c r="B10" s="34" t="s">
        <v>570</v>
      </c>
      <c r="C10" s="4" t="s">
        <v>577</v>
      </c>
      <c r="D10" s="30">
        <f>'2_FINANCIALS'!D13</f>
        <v>0</v>
      </c>
      <c r="E10" s="31"/>
      <c r="F10" s="35"/>
      <c r="G10" s="14" t="s">
        <v>899</v>
      </c>
    </row>
    <row r="11" spans="1:7" ht="18" customHeight="1" x14ac:dyDescent="0.3">
      <c r="A11" s="28">
        <v>7</v>
      </c>
      <c r="B11" s="29" t="s">
        <v>570</v>
      </c>
      <c r="C11" s="6" t="s">
        <v>578</v>
      </c>
      <c r="D11" s="30">
        <f>'2_FINANCIALS'!D14</f>
        <v>0</v>
      </c>
      <c r="E11" s="31"/>
      <c r="F11" s="32"/>
      <c r="G11" s="14" t="s">
        <v>899</v>
      </c>
    </row>
    <row r="12" spans="1:7" ht="18" customHeight="1" x14ac:dyDescent="0.3">
      <c r="A12" s="33">
        <v>8</v>
      </c>
      <c r="B12" s="34" t="s">
        <v>570</v>
      </c>
      <c r="C12" s="42" t="s">
        <v>579</v>
      </c>
      <c r="D12" s="30">
        <f>'2_FINANCIALS'!D15</f>
        <v>0</v>
      </c>
      <c r="E12" s="31"/>
      <c r="F12" s="35"/>
      <c r="G12" s="14" t="s">
        <v>899</v>
      </c>
    </row>
    <row r="13" spans="1:7" ht="18" customHeight="1" x14ac:dyDescent="0.3">
      <c r="A13" s="28">
        <v>9</v>
      </c>
      <c r="B13" s="29" t="s">
        <v>570</v>
      </c>
      <c r="C13" s="6" t="s">
        <v>580</v>
      </c>
      <c r="D13" s="30">
        <f>'2_FINANCIALS'!D16</f>
        <v>0</v>
      </c>
      <c r="E13" s="31"/>
      <c r="F13" s="32"/>
      <c r="G13" s="14" t="s">
        <v>899</v>
      </c>
    </row>
    <row r="14" spans="1:7" ht="18" customHeight="1" x14ac:dyDescent="0.3">
      <c r="A14" s="33">
        <v>10</v>
      </c>
      <c r="B14" s="34" t="s">
        <v>570</v>
      </c>
      <c r="C14" s="4" t="s">
        <v>581</v>
      </c>
      <c r="D14" s="30">
        <f>'2_FINANCIALS'!D17</f>
        <v>0</v>
      </c>
      <c r="E14" s="31"/>
      <c r="F14" s="35"/>
      <c r="G14" s="14" t="s">
        <v>899</v>
      </c>
    </row>
    <row r="15" spans="1:7" ht="22.8" x14ac:dyDescent="0.3">
      <c r="A15" s="28">
        <v>11</v>
      </c>
      <c r="B15" s="29" t="s">
        <v>570</v>
      </c>
      <c r="C15" s="6" t="s">
        <v>582</v>
      </c>
      <c r="D15" s="36">
        <f>DATE('2_FINANCIALS'!D11,3,31)</f>
        <v>91</v>
      </c>
      <c r="E15" s="31"/>
      <c r="F15" s="32" t="s">
        <v>583</v>
      </c>
      <c r="G15" s="14" t="s">
        <v>900</v>
      </c>
    </row>
    <row r="16" spans="1:7" x14ac:dyDescent="0.3">
      <c r="A16" s="33">
        <v>12</v>
      </c>
      <c r="B16" s="34" t="s">
        <v>570</v>
      </c>
      <c r="C16" s="42" t="s">
        <v>584</v>
      </c>
      <c r="D16" s="30">
        <f>'2_FINANCIALS'!D18</f>
        <v>0</v>
      </c>
      <c r="E16" s="31"/>
      <c r="F16" s="35"/>
      <c r="G16" s="14" t="s">
        <v>899</v>
      </c>
    </row>
    <row r="17" spans="1:7" x14ac:dyDescent="0.3">
      <c r="A17" s="28">
        <v>13</v>
      </c>
      <c r="B17" s="29" t="s">
        <v>570</v>
      </c>
      <c r="C17" s="6" t="s">
        <v>585</v>
      </c>
      <c r="D17" s="30" t="str">
        <f>'2_FINANCIALS'!C19</f>
        <v>No</v>
      </c>
      <c r="E17" s="31"/>
      <c r="F17" s="32"/>
      <c r="G17" s="14" t="s">
        <v>899</v>
      </c>
    </row>
    <row r="18" spans="1:7" ht="18" customHeight="1" x14ac:dyDescent="0.3">
      <c r="A18" s="33">
        <v>14</v>
      </c>
      <c r="B18" s="34" t="s">
        <v>570</v>
      </c>
      <c r="C18" s="4" t="s">
        <v>586</v>
      </c>
      <c r="D18" s="30" t="str">
        <f>IF('1_APPLICABILITY'!C20="Yes",'2_FINANCIALS'!D23,"N/A")</f>
        <v>N/A</v>
      </c>
      <c r="E18" s="31"/>
      <c r="F18" s="35"/>
      <c r="G18" s="14" t="s">
        <v>899</v>
      </c>
    </row>
    <row r="19" spans="1:7" x14ac:dyDescent="0.3">
      <c r="A19" s="28">
        <v>15</v>
      </c>
      <c r="B19" s="29" t="s">
        <v>570</v>
      </c>
      <c r="C19" s="6" t="s">
        <v>587</v>
      </c>
      <c r="D19" s="30">
        <f>'2_FINANCIALS'!D20</f>
        <v>0</v>
      </c>
      <c r="E19" s="31"/>
      <c r="F19" s="32"/>
      <c r="G19" s="14" t="s">
        <v>899</v>
      </c>
    </row>
    <row r="20" spans="1:7" x14ac:dyDescent="0.3">
      <c r="A20" s="33">
        <v>16</v>
      </c>
      <c r="B20" s="34" t="s">
        <v>570</v>
      </c>
      <c r="C20" s="4" t="s">
        <v>588</v>
      </c>
      <c r="D20" s="30" t="str">
        <f>IF('1_APPLICABILITY'!C19="Yes",'2_FINANCIALS'!D21,"N/A")</f>
        <v>N/A</v>
      </c>
      <c r="E20" s="31"/>
      <c r="F20" s="35"/>
      <c r="G20" s="14" t="s">
        <v>899</v>
      </c>
    </row>
    <row r="21" spans="1:7" ht="18" customHeight="1" x14ac:dyDescent="0.3">
      <c r="A21" s="28">
        <v>17</v>
      </c>
      <c r="B21" s="29" t="s">
        <v>570</v>
      </c>
      <c r="C21" s="6" t="s">
        <v>589</v>
      </c>
      <c r="D21" s="30">
        <f>'2_FINANCIALS'!D22</f>
        <v>0</v>
      </c>
      <c r="E21" s="31"/>
      <c r="F21" s="32"/>
      <c r="G21" s="14" t="s">
        <v>144</v>
      </c>
    </row>
    <row r="22" spans="1:7" ht="31.2" customHeight="1" x14ac:dyDescent="0.3">
      <c r="A22" s="33">
        <v>18</v>
      </c>
      <c r="B22" s="34" t="s">
        <v>570</v>
      </c>
      <c r="C22" s="4" t="s">
        <v>590</v>
      </c>
      <c r="D22" s="3" t="s">
        <v>591</v>
      </c>
      <c r="E22" s="31"/>
      <c r="F22" s="35" t="s">
        <v>592</v>
      </c>
      <c r="G22" s="14" t="s">
        <v>899</v>
      </c>
    </row>
    <row r="23" spans="1:7" ht="27" customHeight="1" x14ac:dyDescent="0.3">
      <c r="A23" s="28">
        <v>19</v>
      </c>
      <c r="B23" s="29" t="s">
        <v>570</v>
      </c>
      <c r="C23" s="6" t="s">
        <v>593</v>
      </c>
      <c r="D23" s="3" t="s">
        <v>591</v>
      </c>
      <c r="E23" s="31"/>
      <c r="F23" s="32" t="s">
        <v>592</v>
      </c>
      <c r="G23" s="14" t="s">
        <v>899</v>
      </c>
    </row>
    <row r="24" spans="1:7" ht="18" customHeight="1" x14ac:dyDescent="0.3">
      <c r="A24" s="50" t="s">
        <v>594</v>
      </c>
      <c r="B24" s="50"/>
      <c r="C24" s="50"/>
      <c r="D24" s="50"/>
      <c r="E24" s="50"/>
      <c r="F24" s="50"/>
    </row>
    <row r="25" spans="1:7" ht="30" customHeight="1" x14ac:dyDescent="0.3">
      <c r="A25" s="27" t="s">
        <v>565</v>
      </c>
      <c r="B25" s="27" t="s">
        <v>566</v>
      </c>
      <c r="C25" s="27" t="s">
        <v>567</v>
      </c>
      <c r="D25" s="27" t="s">
        <v>595</v>
      </c>
      <c r="E25" s="27" t="s">
        <v>596</v>
      </c>
      <c r="F25" s="27" t="s">
        <v>597</v>
      </c>
    </row>
    <row r="26" spans="1:7" ht="22.8" x14ac:dyDescent="0.3">
      <c r="A26" s="33">
        <v>20</v>
      </c>
      <c r="B26" s="34" t="s">
        <v>570</v>
      </c>
      <c r="C26" s="4" t="s">
        <v>598</v>
      </c>
      <c r="D26" s="30">
        <f>'2_FINANCIALS'!C27</f>
        <v>0</v>
      </c>
      <c r="E26" s="30">
        <f>'2_FINANCIALS'!D27</f>
        <v>0</v>
      </c>
      <c r="F26" s="35" t="s">
        <v>599</v>
      </c>
      <c r="G26" s="80" t="s">
        <v>901</v>
      </c>
    </row>
    <row r="27" spans="1:7" ht="22.8" x14ac:dyDescent="0.3">
      <c r="A27" s="28">
        <v>21</v>
      </c>
      <c r="B27" s="29" t="s">
        <v>570</v>
      </c>
      <c r="C27" s="6" t="s">
        <v>600</v>
      </c>
      <c r="D27" s="30">
        <f>'2_FINANCIALS'!C28</f>
        <v>0</v>
      </c>
      <c r="E27" s="30">
        <f>'2_FINANCIALS'!D28</f>
        <v>0</v>
      </c>
      <c r="F27" s="32"/>
      <c r="G27" s="80" t="s">
        <v>901</v>
      </c>
    </row>
    <row r="28" spans="1:7" ht="22.8" x14ac:dyDescent="0.3">
      <c r="A28" s="33">
        <v>22</v>
      </c>
      <c r="B28" s="34" t="s">
        <v>570</v>
      </c>
      <c r="C28" s="4" t="s">
        <v>601</v>
      </c>
      <c r="D28" s="30" t="str">
        <f>IF('1_APPLICABILITY'!C21="Yes",'2_FINANCIALS'!C29,"N/A")</f>
        <v>N/A</v>
      </c>
      <c r="E28" s="30" t="str">
        <f>IF('1_APPLICABILITY'!C21="Yes",'2_FINANCIALS'!D29,"N/A")</f>
        <v>N/A</v>
      </c>
      <c r="F28" s="35"/>
      <c r="G28" s="80" t="s">
        <v>901</v>
      </c>
    </row>
    <row r="29" spans="1:7" ht="22.8" x14ac:dyDescent="0.3">
      <c r="A29" s="28">
        <v>23</v>
      </c>
      <c r="B29" s="29" t="s">
        <v>570</v>
      </c>
      <c r="C29" s="6" t="s">
        <v>602</v>
      </c>
      <c r="D29" s="30" t="str">
        <f>IF('1_APPLICABILITY'!C21="Yes",'2_FINANCIALS'!C30,"N/A")</f>
        <v>N/A</v>
      </c>
      <c r="E29" s="30" t="str">
        <f>IF('1_APPLICABILITY'!C21="Yes",'2_FINANCIALS'!D30,"N/A")</f>
        <v>N/A</v>
      </c>
      <c r="F29" s="32"/>
      <c r="G29" s="80" t="s">
        <v>901</v>
      </c>
    </row>
    <row r="30" spans="1:7" ht="22.8" x14ac:dyDescent="0.3">
      <c r="A30" s="33">
        <v>24</v>
      </c>
      <c r="B30" s="34" t="s">
        <v>570</v>
      </c>
      <c r="C30" s="4" t="s">
        <v>603</v>
      </c>
      <c r="D30" s="30" t="str">
        <f>IF('1_APPLICABILITY'!C22="Yes",'2_FINANCIALS'!C31,"N/A")</f>
        <v>N/A</v>
      </c>
      <c r="E30" s="30" t="str">
        <f>IF('1_APPLICABILITY'!C22="Yes",'2_FINANCIALS'!D31,"N/A")</f>
        <v>N/A</v>
      </c>
      <c r="F30" s="35"/>
      <c r="G30" s="80" t="s">
        <v>901</v>
      </c>
    </row>
    <row r="31" spans="1:7" ht="22.8" x14ac:dyDescent="0.3">
      <c r="A31" s="28">
        <v>25</v>
      </c>
      <c r="B31" s="29" t="s">
        <v>570</v>
      </c>
      <c r="C31" s="6" t="s">
        <v>604</v>
      </c>
      <c r="D31" s="30" t="str">
        <f>IF('1_APPLICABILITY'!C22="Yes",'2_FINANCIALS'!C32,"N/A")</f>
        <v>N/A</v>
      </c>
      <c r="E31" s="30" t="str">
        <f>IF('1_APPLICABILITY'!C22="Yes",'2_FINANCIALS'!D32,"N/A")</f>
        <v>N/A</v>
      </c>
      <c r="F31" s="32"/>
      <c r="G31" s="80" t="s">
        <v>901</v>
      </c>
    </row>
    <row r="32" spans="1:7" x14ac:dyDescent="0.3">
      <c r="A32" s="33">
        <v>26</v>
      </c>
      <c r="B32" s="34" t="s">
        <v>570</v>
      </c>
      <c r="C32" s="4" t="s">
        <v>605</v>
      </c>
      <c r="D32" s="30" t="str">
        <f>IF('1_APPLICABILITY'!C18="Yes",'2_FINANCIALS'!C33,"N/A")</f>
        <v>N/A</v>
      </c>
      <c r="E32" s="30" t="str">
        <f>IF('1_APPLICABILITY'!C18="Yes",'2_FINANCIALS'!D33,"N/A")</f>
        <v>N/A</v>
      </c>
      <c r="F32" s="35"/>
      <c r="G32" s="80"/>
    </row>
    <row r="33" spans="1:7" ht="21.75" customHeight="1" x14ac:dyDescent="0.3">
      <c r="A33" s="51" t="s">
        <v>606</v>
      </c>
      <c r="B33" s="51"/>
      <c r="C33" s="51"/>
      <c r="D33" s="51"/>
      <c r="E33" s="51"/>
      <c r="F33" s="51"/>
    </row>
    <row r="34" spans="1:7" ht="18" customHeight="1" x14ac:dyDescent="0.3">
      <c r="A34" s="81" t="s">
        <v>607</v>
      </c>
      <c r="B34" s="81"/>
      <c r="C34" s="81"/>
      <c r="D34" s="81"/>
      <c r="E34" s="81"/>
      <c r="F34" s="81"/>
    </row>
    <row r="35" spans="1:7" ht="30" customHeight="1" x14ac:dyDescent="0.3">
      <c r="A35" s="27" t="s">
        <v>565</v>
      </c>
      <c r="B35" s="27" t="s">
        <v>566</v>
      </c>
      <c r="C35" s="27" t="s">
        <v>567</v>
      </c>
      <c r="D35" s="27" t="s">
        <v>608</v>
      </c>
      <c r="E35" s="27" t="s">
        <v>609</v>
      </c>
      <c r="F35" s="27" t="s">
        <v>610</v>
      </c>
    </row>
    <row r="36" spans="1:7" ht="18" customHeight="1" x14ac:dyDescent="0.3">
      <c r="A36" s="28">
        <v>27</v>
      </c>
      <c r="B36" s="29" t="s">
        <v>611</v>
      </c>
      <c r="C36" s="6" t="s">
        <v>612</v>
      </c>
      <c r="D36" s="30">
        <f>'2_FINANCIALS'!C27</f>
        <v>0</v>
      </c>
      <c r="E36" s="30">
        <f>'2_FINANCIALS'!D27</f>
        <v>0</v>
      </c>
      <c r="F36" s="32" t="s">
        <v>613</v>
      </c>
      <c r="G36" t="s">
        <v>902</v>
      </c>
    </row>
    <row r="37" spans="1:7" ht="18" customHeight="1" x14ac:dyDescent="0.3">
      <c r="A37" s="33">
        <v>28</v>
      </c>
      <c r="B37" s="34" t="s">
        <v>614</v>
      </c>
      <c r="C37" s="4" t="s">
        <v>615</v>
      </c>
      <c r="D37" s="30" t="str">
        <f>IF('1_APPLICABILITY'!C21="Yes",'2_FINANCIALS'!C29,"N/A")</f>
        <v>N/A</v>
      </c>
      <c r="E37" s="30" t="str">
        <f>IF('1_APPLICABILITY'!C21="Yes",'2_FINANCIALS'!D29,"N/A")</f>
        <v>N/A</v>
      </c>
      <c r="F37" s="35"/>
      <c r="G37" t="s">
        <v>902</v>
      </c>
    </row>
    <row r="38" spans="1:7" ht="18" customHeight="1" x14ac:dyDescent="0.3">
      <c r="A38" s="28">
        <v>29</v>
      </c>
      <c r="B38" s="29" t="s">
        <v>616</v>
      </c>
      <c r="C38" s="6" t="s">
        <v>617</v>
      </c>
      <c r="D38" s="30" t="str">
        <f>IF('1_APPLICABILITY'!C22="Yes",'2_FINANCIALS'!C31,"N/A")</f>
        <v>N/A</v>
      </c>
      <c r="E38" s="30" t="str">
        <f>IF('1_APPLICABILITY'!C22="Yes",'2_FINANCIALS'!D31,"N/A")</f>
        <v>N/A</v>
      </c>
      <c r="F38" s="32"/>
      <c r="G38" t="s">
        <v>902</v>
      </c>
    </row>
    <row r="39" spans="1:7" ht="18" customHeight="1" x14ac:dyDescent="0.3">
      <c r="A39" s="50" t="s">
        <v>618</v>
      </c>
      <c r="B39" s="50"/>
      <c r="C39" s="50"/>
      <c r="D39" s="50"/>
      <c r="E39" s="50"/>
      <c r="F39" s="50"/>
    </row>
    <row r="40" spans="1:7" ht="30" customHeight="1" x14ac:dyDescent="0.3">
      <c r="A40" s="27" t="s">
        <v>565</v>
      </c>
      <c r="B40" s="27" t="s">
        <v>566</v>
      </c>
      <c r="C40" s="27" t="s">
        <v>567</v>
      </c>
      <c r="D40" s="27" t="s">
        <v>619</v>
      </c>
      <c r="E40" s="27" t="s">
        <v>620</v>
      </c>
      <c r="F40" s="27" t="s">
        <v>621</v>
      </c>
    </row>
    <row r="41" spans="1:7" ht="18" customHeight="1" x14ac:dyDescent="0.3">
      <c r="A41" s="33">
        <v>30</v>
      </c>
      <c r="B41" s="34" t="s">
        <v>622</v>
      </c>
      <c r="C41" s="4" t="s">
        <v>623</v>
      </c>
      <c r="D41" s="30">
        <f>'2_FINANCIALS'!C64</f>
        <v>0</v>
      </c>
      <c r="E41" s="30">
        <f>'2_FINANCIALS'!D64</f>
        <v>0</v>
      </c>
      <c r="F41" s="35"/>
      <c r="G41" t="s">
        <v>902</v>
      </c>
    </row>
    <row r="42" spans="1:7" ht="18" customHeight="1" x14ac:dyDescent="0.3">
      <c r="A42" s="28">
        <v>31</v>
      </c>
      <c r="B42" s="29" t="s">
        <v>624</v>
      </c>
      <c r="C42" s="6" t="s">
        <v>625</v>
      </c>
      <c r="D42" s="30">
        <f>'2_FINANCIALS'!C65</f>
        <v>0</v>
      </c>
      <c r="E42" s="30">
        <f>'2_FINANCIALS'!D65</f>
        <v>0</v>
      </c>
      <c r="F42" s="32"/>
      <c r="G42" t="s">
        <v>902</v>
      </c>
    </row>
    <row r="43" spans="1:7" ht="18" customHeight="1" x14ac:dyDescent="0.3">
      <c r="A43" s="33">
        <v>32</v>
      </c>
      <c r="B43" s="34" t="s">
        <v>626</v>
      </c>
      <c r="C43" s="4" t="s">
        <v>627</v>
      </c>
      <c r="D43" s="30">
        <f>'2_FINANCIALS'!C66</f>
        <v>0</v>
      </c>
      <c r="E43" s="30">
        <f>'2_FINANCIALS'!D66</f>
        <v>0</v>
      </c>
      <c r="F43" s="35"/>
      <c r="G43" t="s">
        <v>902</v>
      </c>
    </row>
    <row r="44" spans="1:7" ht="18" customHeight="1" x14ac:dyDescent="0.3">
      <c r="A44" s="28">
        <v>33</v>
      </c>
      <c r="B44" s="29" t="s">
        <v>628</v>
      </c>
      <c r="C44" s="6" t="s">
        <v>629</v>
      </c>
      <c r="D44" s="30">
        <f>'2_FINANCIALS'!C67</f>
        <v>0</v>
      </c>
      <c r="E44" s="30">
        <f>'2_FINANCIALS'!D67</f>
        <v>0</v>
      </c>
      <c r="F44" s="32"/>
      <c r="G44" t="s">
        <v>902</v>
      </c>
    </row>
    <row r="45" spans="1:7" ht="18" customHeight="1" x14ac:dyDescent="0.3">
      <c r="A45" s="33">
        <v>34</v>
      </c>
      <c r="B45" s="34" t="s">
        <v>630</v>
      </c>
      <c r="C45" s="4" t="s">
        <v>243</v>
      </c>
      <c r="D45" s="30">
        <f>'2_FINANCIALS'!C68</f>
        <v>0</v>
      </c>
      <c r="E45" s="30">
        <f>'2_FINANCIALS'!D68</f>
        <v>0</v>
      </c>
      <c r="F45" s="35"/>
      <c r="G45" t="s">
        <v>902</v>
      </c>
    </row>
    <row r="46" spans="1:7" ht="18" customHeight="1" x14ac:dyDescent="0.3">
      <c r="A46" s="28">
        <v>35</v>
      </c>
      <c r="B46" s="29" t="s">
        <v>631</v>
      </c>
      <c r="C46" s="6" t="s">
        <v>246</v>
      </c>
      <c r="D46" s="30">
        <f>'2_FINANCIALS'!C69</f>
        <v>0</v>
      </c>
      <c r="E46" s="30">
        <f>'2_FINANCIALS'!D69</f>
        <v>0</v>
      </c>
      <c r="F46" s="32"/>
      <c r="G46" t="s">
        <v>902</v>
      </c>
    </row>
    <row r="47" spans="1:7" ht="18" customHeight="1" x14ac:dyDescent="0.3">
      <c r="A47" s="33">
        <v>36</v>
      </c>
      <c r="B47" s="34" t="s">
        <v>632</v>
      </c>
      <c r="C47" s="4" t="s">
        <v>249</v>
      </c>
      <c r="D47" s="30">
        <f>'2_FINANCIALS'!C70</f>
        <v>0</v>
      </c>
      <c r="E47" s="30">
        <f>'2_FINANCIALS'!D70</f>
        <v>0</v>
      </c>
      <c r="F47" s="35"/>
      <c r="G47" t="s">
        <v>902</v>
      </c>
    </row>
    <row r="48" spans="1:7" ht="18" customHeight="1" x14ac:dyDescent="0.3">
      <c r="A48" s="28">
        <v>37</v>
      </c>
      <c r="B48" s="29" t="s">
        <v>633</v>
      </c>
      <c r="C48" s="6" t="s">
        <v>634</v>
      </c>
      <c r="D48" s="30">
        <f>'2_FINANCIALS'!C71</f>
        <v>0</v>
      </c>
      <c r="E48" s="30">
        <f>'2_FINANCIALS'!D71</f>
        <v>0</v>
      </c>
      <c r="F48" s="32"/>
      <c r="G48" t="s">
        <v>902</v>
      </c>
    </row>
    <row r="49" spans="1:7" ht="18" customHeight="1" x14ac:dyDescent="0.3">
      <c r="A49" s="33">
        <v>38</v>
      </c>
      <c r="B49" s="34" t="s">
        <v>635</v>
      </c>
      <c r="C49" s="4" t="s">
        <v>255</v>
      </c>
      <c r="D49" s="30">
        <f>'2_FINANCIALS'!C72</f>
        <v>0</v>
      </c>
      <c r="E49" s="30">
        <f>'2_FINANCIALS'!D72</f>
        <v>0</v>
      </c>
      <c r="F49" s="35"/>
      <c r="G49" t="s">
        <v>902</v>
      </c>
    </row>
    <row r="50" spans="1:7" ht="18" customHeight="1" x14ac:dyDescent="0.3">
      <c r="A50" s="28">
        <v>39</v>
      </c>
      <c r="B50" s="29" t="s">
        <v>636</v>
      </c>
      <c r="C50" s="6" t="s">
        <v>637</v>
      </c>
      <c r="D50" s="30">
        <f>'2_FINANCIALS'!C73</f>
        <v>0</v>
      </c>
      <c r="E50" s="30">
        <f>'2_FINANCIALS'!D73</f>
        <v>0</v>
      </c>
      <c r="F50" s="32"/>
      <c r="G50" t="s">
        <v>902</v>
      </c>
    </row>
    <row r="51" spans="1:7" ht="18" customHeight="1" x14ac:dyDescent="0.3">
      <c r="A51" s="33">
        <v>40</v>
      </c>
      <c r="B51" s="34" t="s">
        <v>638</v>
      </c>
      <c r="C51" s="4" t="s">
        <v>639</v>
      </c>
      <c r="D51" s="30">
        <f>'2_FINANCIALS'!C74</f>
        <v>0</v>
      </c>
      <c r="E51" s="30">
        <f>'2_FINANCIALS'!D74</f>
        <v>0</v>
      </c>
      <c r="F51" s="35"/>
      <c r="G51" t="s">
        <v>902</v>
      </c>
    </row>
    <row r="52" spans="1:7" ht="18" customHeight="1" x14ac:dyDescent="0.3">
      <c r="A52" s="28">
        <v>41</v>
      </c>
      <c r="B52" s="29" t="s">
        <v>640</v>
      </c>
      <c r="C52" s="6" t="s">
        <v>641</v>
      </c>
      <c r="D52" s="37">
        <f>'2_FINANCIALS'!C76</f>
        <v>0</v>
      </c>
      <c r="E52" s="37">
        <f>'2_FINANCIALS'!D76</f>
        <v>0</v>
      </c>
      <c r="F52" s="32"/>
      <c r="G52" t="s">
        <v>903</v>
      </c>
    </row>
    <row r="53" spans="1:7" ht="18" customHeight="1" x14ac:dyDescent="0.3">
      <c r="A53" s="33">
        <v>42</v>
      </c>
      <c r="B53" s="34" t="s">
        <v>642</v>
      </c>
      <c r="C53" s="4" t="s">
        <v>643</v>
      </c>
      <c r="D53" s="30" t="str">
        <f>IF('1_APPLICABILITY'!C22="Yes",'2_FINANCIALS'!C75,"N/A")</f>
        <v>N/A</v>
      </c>
      <c r="E53" s="30" t="str">
        <f>IF('1_APPLICABILITY'!C22="Yes",'2_FINANCIALS'!D75,"N/A")</f>
        <v>N/A</v>
      </c>
      <c r="F53" s="35"/>
      <c r="G53" t="s">
        <v>902</v>
      </c>
    </row>
    <row r="54" spans="1:7" ht="18" customHeight="1" x14ac:dyDescent="0.3">
      <c r="A54" s="28">
        <v>43</v>
      </c>
      <c r="B54" s="29" t="s">
        <v>644</v>
      </c>
      <c r="C54" s="6" t="s">
        <v>645</v>
      </c>
      <c r="D54" s="3" t="s">
        <v>646</v>
      </c>
      <c r="E54" s="31"/>
      <c r="F54" s="32" t="s">
        <v>647</v>
      </c>
    </row>
    <row r="55" spans="1:7" ht="18" customHeight="1" x14ac:dyDescent="0.3">
      <c r="A55" s="50" t="s">
        <v>648</v>
      </c>
      <c r="B55" s="50"/>
      <c r="C55" s="50"/>
      <c r="D55" s="50"/>
      <c r="E55" s="50"/>
      <c r="F55" s="50"/>
    </row>
    <row r="56" spans="1:7" ht="30" customHeight="1" x14ac:dyDescent="0.3">
      <c r="A56" s="27" t="s">
        <v>565</v>
      </c>
      <c r="B56" s="27" t="s">
        <v>566</v>
      </c>
      <c r="C56" s="27" t="s">
        <v>567</v>
      </c>
      <c r="D56" s="27" t="s">
        <v>649</v>
      </c>
      <c r="E56" s="27" t="s">
        <v>650</v>
      </c>
      <c r="F56" s="27" t="s">
        <v>597</v>
      </c>
    </row>
    <row r="57" spans="1:7" ht="18" customHeight="1" x14ac:dyDescent="0.3">
      <c r="A57" s="33">
        <v>44</v>
      </c>
      <c r="B57" s="34" t="s">
        <v>651</v>
      </c>
      <c r="C57" s="4" t="s">
        <v>652</v>
      </c>
      <c r="D57" s="30">
        <f>'2_FINANCIALS'!C38</f>
        <v>0</v>
      </c>
      <c r="E57" s="30">
        <f>'2_FINANCIALS'!D38</f>
        <v>0</v>
      </c>
      <c r="F57" s="35" t="s">
        <v>653</v>
      </c>
      <c r="G57" t="s">
        <v>897</v>
      </c>
    </row>
    <row r="58" spans="1:7" ht="18" customHeight="1" x14ac:dyDescent="0.3">
      <c r="A58" s="28">
        <v>45</v>
      </c>
      <c r="B58" s="29" t="s">
        <v>654</v>
      </c>
      <c r="C58" s="6" t="s">
        <v>655</v>
      </c>
      <c r="D58" s="30">
        <f>'2_FINANCIALS'!C39</f>
        <v>0</v>
      </c>
      <c r="E58" s="30">
        <f>'2_FINANCIALS'!D39</f>
        <v>0</v>
      </c>
      <c r="F58" s="32"/>
      <c r="G58" t="s">
        <v>897</v>
      </c>
    </row>
    <row r="59" spans="1:7" ht="18" customHeight="1" x14ac:dyDescent="0.3">
      <c r="A59" s="33">
        <v>46</v>
      </c>
      <c r="B59" s="34" t="s">
        <v>656</v>
      </c>
      <c r="C59" s="4" t="s">
        <v>657</v>
      </c>
      <c r="D59" s="30">
        <f>'2_FINANCIALS'!C40</f>
        <v>0</v>
      </c>
      <c r="E59" s="30">
        <f>'2_FINANCIALS'!D40</f>
        <v>0</v>
      </c>
      <c r="F59" s="35"/>
      <c r="G59" t="s">
        <v>897</v>
      </c>
    </row>
    <row r="60" spans="1:7" ht="18" customHeight="1" x14ac:dyDescent="0.3">
      <c r="A60" s="28">
        <v>47</v>
      </c>
      <c r="B60" s="29" t="s">
        <v>658</v>
      </c>
      <c r="C60" s="6" t="s">
        <v>659</v>
      </c>
      <c r="D60" s="30">
        <f>'2_FINANCIALS'!C41</f>
        <v>0</v>
      </c>
      <c r="E60" s="30">
        <f>'2_FINANCIALS'!D41</f>
        <v>0</v>
      </c>
      <c r="F60" s="32"/>
      <c r="G60" t="s">
        <v>897</v>
      </c>
    </row>
    <row r="61" spans="1:7" ht="18" customHeight="1" x14ac:dyDescent="0.3">
      <c r="A61" s="33">
        <v>48</v>
      </c>
      <c r="B61" s="34" t="s">
        <v>660</v>
      </c>
      <c r="C61" s="4" t="s">
        <v>661</v>
      </c>
      <c r="D61" s="37">
        <f>'2_FINANCIALS'!C42</f>
        <v>0</v>
      </c>
      <c r="E61" s="37">
        <f>'2_FINANCIALS'!D42</f>
        <v>0</v>
      </c>
      <c r="F61" s="35"/>
      <c r="G61" t="s">
        <v>897</v>
      </c>
    </row>
    <row r="62" spans="1:7" ht="18" customHeight="1" x14ac:dyDescent="0.3">
      <c r="A62" s="50" t="s">
        <v>662</v>
      </c>
      <c r="B62" s="50"/>
      <c r="C62" s="50"/>
      <c r="D62" s="50"/>
      <c r="E62" s="50"/>
      <c r="F62" s="50"/>
    </row>
    <row r="63" spans="1:7" ht="18" customHeight="1" x14ac:dyDescent="0.3">
      <c r="A63" s="28">
        <v>49</v>
      </c>
      <c r="B63" s="29" t="s">
        <v>663</v>
      </c>
      <c r="C63" s="6" t="s">
        <v>664</v>
      </c>
      <c r="D63" s="30">
        <f>'2_FINANCIALS'!C46</f>
        <v>0</v>
      </c>
      <c r="E63" s="30">
        <f>'2_FINANCIALS'!D46</f>
        <v>0</v>
      </c>
      <c r="F63" s="32" t="s">
        <v>665</v>
      </c>
      <c r="G63" t="s">
        <v>897</v>
      </c>
    </row>
    <row r="64" spans="1:7" ht="18" customHeight="1" x14ac:dyDescent="0.3">
      <c r="A64" s="33">
        <v>50</v>
      </c>
      <c r="B64" s="34" t="s">
        <v>666</v>
      </c>
      <c r="C64" s="4" t="s">
        <v>667</v>
      </c>
      <c r="D64" s="30">
        <f>'2_FINANCIALS'!C47</f>
        <v>0</v>
      </c>
      <c r="E64" s="30">
        <f>'2_FINANCIALS'!D47</f>
        <v>0</v>
      </c>
      <c r="F64" s="35"/>
      <c r="G64" t="s">
        <v>897</v>
      </c>
    </row>
    <row r="65" spans="1:7" ht="18" customHeight="1" x14ac:dyDescent="0.3">
      <c r="A65" s="28">
        <v>51</v>
      </c>
      <c r="B65" s="29" t="s">
        <v>668</v>
      </c>
      <c r="C65" s="6" t="s">
        <v>669</v>
      </c>
      <c r="D65" s="37">
        <f>'2_FINANCIALS'!C48</f>
        <v>0</v>
      </c>
      <c r="E65" s="37">
        <f>'2_FINANCIALS'!D48</f>
        <v>0</v>
      </c>
      <c r="F65" s="32"/>
      <c r="G65" t="s">
        <v>897</v>
      </c>
    </row>
    <row r="66" spans="1:7" ht="18" customHeight="1" x14ac:dyDescent="0.3">
      <c r="A66" s="50" t="s">
        <v>670</v>
      </c>
      <c r="B66" s="50"/>
      <c r="C66" s="50"/>
      <c r="D66" s="50"/>
      <c r="E66" s="50"/>
      <c r="F66" s="50"/>
    </row>
    <row r="67" spans="1:7" ht="18" customHeight="1" x14ac:dyDescent="0.3">
      <c r="A67" s="33">
        <v>52</v>
      </c>
      <c r="B67" s="34" t="s">
        <v>671</v>
      </c>
      <c r="C67" s="4" t="s">
        <v>672</v>
      </c>
      <c r="D67" s="30">
        <f>'2_FINANCIALS'!C51</f>
        <v>0</v>
      </c>
      <c r="E67" s="30">
        <f>'2_FINANCIALS'!D51</f>
        <v>0</v>
      </c>
      <c r="F67" s="35" t="s">
        <v>673</v>
      </c>
      <c r="G67" t="s">
        <v>904</v>
      </c>
    </row>
    <row r="68" spans="1:7" ht="18" customHeight="1" x14ac:dyDescent="0.3">
      <c r="A68" s="28">
        <v>53</v>
      </c>
      <c r="B68" s="29" t="s">
        <v>674</v>
      </c>
      <c r="C68" s="6" t="s">
        <v>675</v>
      </c>
      <c r="D68" s="30">
        <f>'2_FINANCIALS'!C52</f>
        <v>0</v>
      </c>
      <c r="E68" s="30">
        <f>'2_FINANCIALS'!D52</f>
        <v>0</v>
      </c>
      <c r="F68" s="32"/>
      <c r="G68" t="s">
        <v>904</v>
      </c>
    </row>
    <row r="69" spans="1:7" ht="18" customHeight="1" x14ac:dyDescent="0.3">
      <c r="A69" s="33">
        <v>54</v>
      </c>
      <c r="B69" s="34" t="s">
        <v>676</v>
      </c>
      <c r="C69" s="4" t="s">
        <v>677</v>
      </c>
      <c r="D69" s="37">
        <f>'2_FINANCIALS'!C53</f>
        <v>0</v>
      </c>
      <c r="E69" s="37">
        <f>'2_FINANCIALS'!D53</f>
        <v>0</v>
      </c>
      <c r="F69" s="35"/>
      <c r="G69" t="s">
        <v>897</v>
      </c>
    </row>
    <row r="70" spans="1:7" ht="18" customHeight="1" x14ac:dyDescent="0.3">
      <c r="A70" s="28">
        <v>55</v>
      </c>
      <c r="B70" s="29" t="s">
        <v>678</v>
      </c>
      <c r="C70" s="6" t="s">
        <v>679</v>
      </c>
      <c r="D70" s="30">
        <f>'2_FINANCIALS'!C54</f>
        <v>0</v>
      </c>
      <c r="E70" s="30">
        <f>'2_FINANCIALS'!D54</f>
        <v>0</v>
      </c>
      <c r="F70" s="32" t="s">
        <v>680</v>
      </c>
      <c r="G70" t="s">
        <v>904</v>
      </c>
    </row>
    <row r="71" spans="1:7" ht="18" customHeight="1" x14ac:dyDescent="0.3">
      <c r="A71" s="33">
        <v>56</v>
      </c>
      <c r="B71" s="34" t="s">
        <v>681</v>
      </c>
      <c r="C71" s="4" t="s">
        <v>682</v>
      </c>
      <c r="D71" s="30">
        <f>'2_FINANCIALS'!C55</f>
        <v>0</v>
      </c>
      <c r="E71" s="30">
        <f>'2_FINANCIALS'!D55</f>
        <v>0</v>
      </c>
      <c r="F71" s="35"/>
      <c r="G71" t="s">
        <v>904</v>
      </c>
    </row>
    <row r="72" spans="1:7" ht="18" customHeight="1" x14ac:dyDescent="0.3">
      <c r="A72" s="28">
        <v>57</v>
      </c>
      <c r="B72" s="29" t="s">
        <v>683</v>
      </c>
      <c r="C72" s="6" t="s">
        <v>684</v>
      </c>
      <c r="D72" s="37">
        <f>'2_FINANCIALS'!C56</f>
        <v>0</v>
      </c>
      <c r="E72" s="37">
        <f>'2_FINANCIALS'!D56</f>
        <v>0</v>
      </c>
      <c r="F72" s="32"/>
      <c r="G72" t="s">
        <v>897</v>
      </c>
    </row>
    <row r="73" spans="1:7" ht="18" customHeight="1" x14ac:dyDescent="0.3">
      <c r="A73" s="50" t="s">
        <v>685</v>
      </c>
      <c r="B73" s="50"/>
      <c r="C73" s="50"/>
      <c r="D73" s="50"/>
      <c r="E73" s="50"/>
      <c r="F73" s="50"/>
    </row>
    <row r="74" spans="1:7" ht="18" customHeight="1" x14ac:dyDescent="0.3">
      <c r="A74" s="33">
        <v>58</v>
      </c>
      <c r="B74" s="34" t="s">
        <v>686</v>
      </c>
      <c r="C74" s="4" t="s">
        <v>687</v>
      </c>
      <c r="D74" s="30">
        <f>'2_FINANCIALS'!C59</f>
        <v>0</v>
      </c>
      <c r="E74" s="30">
        <f>'2_FINANCIALS'!D59</f>
        <v>0</v>
      </c>
      <c r="F74" s="35" t="s">
        <v>688</v>
      </c>
      <c r="G74" t="s">
        <v>904</v>
      </c>
    </row>
    <row r="75" spans="1:7" ht="21.75" customHeight="1" x14ac:dyDescent="0.3">
      <c r="A75" s="52" t="s">
        <v>689</v>
      </c>
      <c r="B75" s="52"/>
      <c r="C75" s="52"/>
      <c r="D75" s="52"/>
      <c r="E75" s="52"/>
      <c r="F75" s="52"/>
    </row>
    <row r="76" spans="1:7" ht="18" customHeight="1" x14ac:dyDescent="0.3">
      <c r="A76" s="53" t="s">
        <v>690</v>
      </c>
      <c r="B76" s="53"/>
      <c r="C76" s="53"/>
      <c r="D76" s="53"/>
      <c r="E76" s="53"/>
      <c r="F76" s="53"/>
    </row>
    <row r="77" spans="1:7" ht="30" customHeight="1" x14ac:dyDescent="0.3">
      <c r="A77" s="27" t="s">
        <v>565</v>
      </c>
      <c r="B77" s="27" t="s">
        <v>566</v>
      </c>
      <c r="C77" s="27" t="s">
        <v>567</v>
      </c>
      <c r="D77" s="27" t="s">
        <v>691</v>
      </c>
      <c r="E77" s="27" t="s">
        <v>692</v>
      </c>
      <c r="F77" s="27" t="s">
        <v>569</v>
      </c>
    </row>
    <row r="78" spans="1:7" ht="15.75" customHeight="1" x14ac:dyDescent="0.3">
      <c r="A78" s="54" t="s">
        <v>693</v>
      </c>
      <c r="B78" s="54"/>
      <c r="C78" s="54"/>
      <c r="D78" s="54"/>
      <c r="E78" s="54"/>
      <c r="F78" s="54"/>
    </row>
    <row r="79" spans="1:7" ht="18" customHeight="1" x14ac:dyDescent="0.3">
      <c r="A79" s="28">
        <v>59</v>
      </c>
      <c r="B79" s="29" t="s">
        <v>694</v>
      </c>
      <c r="C79" s="6" t="s">
        <v>695</v>
      </c>
      <c r="D79" s="30">
        <f>IF('1_APPLICABILITY'!C6="Yes",'2_FINANCIALS'!C72,"N/A")</f>
        <v>0</v>
      </c>
      <c r="E79" s="31"/>
      <c r="F79" s="32" t="s">
        <v>696</v>
      </c>
      <c r="G79" s="82" t="s">
        <v>905</v>
      </c>
    </row>
    <row r="80" spans="1:7" ht="18" customHeight="1" x14ac:dyDescent="0.3">
      <c r="A80" s="33">
        <v>60</v>
      </c>
      <c r="B80" s="34" t="s">
        <v>697</v>
      </c>
      <c r="C80" s="4" t="s">
        <v>698</v>
      </c>
      <c r="D80" s="30">
        <f>IF('1_APPLICABILITY'!C6="Yes",'2_FINANCIALS'!C82,"N/A")</f>
        <v>0</v>
      </c>
      <c r="E80" s="31"/>
      <c r="F80" s="35"/>
      <c r="G80" t="s">
        <v>899</v>
      </c>
    </row>
    <row r="81" spans="1:7" ht="18" customHeight="1" x14ac:dyDescent="0.3">
      <c r="A81" s="28">
        <v>61</v>
      </c>
      <c r="B81" s="29" t="s">
        <v>570</v>
      </c>
      <c r="C81" s="6" t="s">
        <v>699</v>
      </c>
      <c r="D81" s="30">
        <f>IF('1_APPLICABILITY'!C6="Yes",'2_FINANCIALS'!C83,"N/A")</f>
        <v>0</v>
      </c>
      <c r="E81" s="31"/>
      <c r="F81" s="32"/>
      <c r="G81" t="s">
        <v>899</v>
      </c>
    </row>
    <row r="82" spans="1:7" ht="18" customHeight="1" x14ac:dyDescent="0.3">
      <c r="A82" s="33">
        <v>62</v>
      </c>
      <c r="B82" s="34" t="s">
        <v>570</v>
      </c>
      <c r="C82" s="4" t="s">
        <v>700</v>
      </c>
      <c r="D82" s="30">
        <f>IF('1_APPLICABILITY'!C6="Yes",'2_FINANCIALS'!C73,"N/A")</f>
        <v>0</v>
      </c>
      <c r="E82" s="31"/>
      <c r="F82" s="35"/>
      <c r="G82" t="s">
        <v>899</v>
      </c>
    </row>
    <row r="83" spans="1:7" ht="18" customHeight="1" x14ac:dyDescent="0.3">
      <c r="A83" s="28">
        <v>63</v>
      </c>
      <c r="B83" s="29" t="s">
        <v>570</v>
      </c>
      <c r="C83" s="6" t="s">
        <v>701</v>
      </c>
      <c r="D83" s="30">
        <f>IF('1_APPLICABILITY'!C6="Yes",'2_FINANCIALS'!C74,"N/A")</f>
        <v>0</v>
      </c>
      <c r="E83" s="31"/>
      <c r="F83" s="32"/>
      <c r="G83" t="s">
        <v>899</v>
      </c>
    </row>
    <row r="84" spans="1:7" ht="18" customHeight="1" x14ac:dyDescent="0.3">
      <c r="A84" s="33">
        <v>64</v>
      </c>
      <c r="B84" s="34" t="s">
        <v>570</v>
      </c>
      <c r="C84" s="4" t="s">
        <v>702</v>
      </c>
      <c r="D84" s="30" t="str">
        <f>IF('1_APPLICABILITY'!C6="Yes",'2_FINANCIALS'!C75,"N/A")</f>
        <v>N/A – set applicability to Yes</v>
      </c>
      <c r="E84" s="30" t="str">
        <f>IF('1_APPLICABILITY'!C6="Yes",'2_FINANCIALS'!D75,"N/A")</f>
        <v>N/A – set applicability to Yes</v>
      </c>
      <c r="F84" s="35"/>
      <c r="G84" t="s">
        <v>914</v>
      </c>
    </row>
    <row r="85" spans="1:7" ht="18" customHeight="1" x14ac:dyDescent="0.3">
      <c r="A85" s="28">
        <v>65</v>
      </c>
      <c r="B85" s="29" t="s">
        <v>703</v>
      </c>
      <c r="C85" s="6" t="s">
        <v>907</v>
      </c>
      <c r="D85" s="37">
        <f>IF('1_APPLICABILITY'!C6="Yes",'2_FINANCIALS'!C76,"N/A")</f>
        <v>0</v>
      </c>
      <c r="E85" s="37">
        <f>IF('1_APPLICABILITY'!C6="Yes",'2_FINANCIALS'!D76,"N/A")</f>
        <v>0</v>
      </c>
      <c r="F85" s="32"/>
    </row>
    <row r="86" spans="1:7" ht="18" customHeight="1" x14ac:dyDescent="0.3">
      <c r="A86" s="33">
        <v>66</v>
      </c>
      <c r="B86" s="34" t="s">
        <v>704</v>
      </c>
      <c r="C86" s="4" t="s">
        <v>908</v>
      </c>
      <c r="D86" s="30" t="str">
        <f>IF('1_APPLICABILITY'!C16="Yes",'2_FINANCIALS'!C77,"N/A")</f>
        <v>N/A</v>
      </c>
      <c r="E86" s="30" t="str">
        <f>IF('1_APPLICABILITY'!C16="Yes",'2_FINANCIALS'!D77,"N/A")</f>
        <v>N/A</v>
      </c>
      <c r="F86" s="35"/>
      <c r="G86" t="s">
        <v>909</v>
      </c>
    </row>
    <row r="87" spans="1:7" ht="18" customHeight="1" x14ac:dyDescent="0.3">
      <c r="A87" s="28">
        <v>67</v>
      </c>
      <c r="B87" s="29" t="s">
        <v>616</v>
      </c>
      <c r="C87" s="6" t="s">
        <v>906</v>
      </c>
      <c r="D87" s="30" t="str">
        <f>IF('1_APPLICABILITY'!C16="Yes",'2_FINANCIALS'!C78,"N/A")</f>
        <v>N/A</v>
      </c>
      <c r="E87" s="30" t="str">
        <f>IF('1_APPLICABILITY'!C16="Yes",'2_FINANCIALS'!D78,"N/A")</f>
        <v>N/A</v>
      </c>
      <c r="F87" s="32"/>
      <c r="G87" t="s">
        <v>897</v>
      </c>
    </row>
    <row r="88" spans="1:7" ht="18" customHeight="1" x14ac:dyDescent="0.3">
      <c r="A88" s="33">
        <v>68</v>
      </c>
      <c r="B88" s="34" t="s">
        <v>640</v>
      </c>
      <c r="C88" s="4" t="s">
        <v>706</v>
      </c>
      <c r="D88" s="30">
        <f>IF('1_APPLICABILITY'!C6="Yes",'2_FINANCIALS'!C79,"N/A")</f>
        <v>0</v>
      </c>
      <c r="E88" s="30">
        <f>IF('1_APPLICABILITY'!C6="Yes",'2_FINANCIALS'!D79,"N/A")</f>
        <v>0</v>
      </c>
      <c r="F88" s="35"/>
      <c r="G88" t="s">
        <v>897</v>
      </c>
    </row>
    <row r="89" spans="1:7" ht="18" customHeight="1" x14ac:dyDescent="0.3">
      <c r="A89" s="28">
        <v>69</v>
      </c>
      <c r="B89" s="29" t="s">
        <v>642</v>
      </c>
      <c r="C89" s="6" t="s">
        <v>707</v>
      </c>
      <c r="D89" s="30">
        <f>IF('1_APPLICABILITY'!C6="Yes",'2_FINANCIALS'!C80,"N/A")</f>
        <v>0</v>
      </c>
      <c r="E89" s="30">
        <f>IF('1_APPLICABILITY'!C6="Yes",'2_FINANCIALS'!D80,"N/A")</f>
        <v>0</v>
      </c>
      <c r="F89" s="32"/>
      <c r="G89" t="s">
        <v>897</v>
      </c>
    </row>
    <row r="90" spans="1:7" ht="18" customHeight="1" x14ac:dyDescent="0.3">
      <c r="A90" s="33">
        <v>70</v>
      </c>
      <c r="B90" s="34" t="s">
        <v>708</v>
      </c>
      <c r="C90" s="4" t="s">
        <v>709</v>
      </c>
      <c r="D90" s="30" t="str">
        <f>IF('1_APPLICABILITY'!C23="Yes",'2_FINANCIALS'!C81,"N/A")</f>
        <v>N/A</v>
      </c>
      <c r="E90" s="30" t="str">
        <f>IF('1_APPLICABILITY'!C23="Yes",'2_FINANCIALS'!D81,"N/A")</f>
        <v>N/A</v>
      </c>
      <c r="F90" s="35"/>
      <c r="G90" t="s">
        <v>897</v>
      </c>
    </row>
    <row r="91" spans="1:7" ht="15.75" customHeight="1" x14ac:dyDescent="0.3">
      <c r="A91" s="54" t="s">
        <v>710</v>
      </c>
      <c r="B91" s="54"/>
      <c r="C91" s="54"/>
      <c r="D91" s="54"/>
      <c r="E91" s="54"/>
      <c r="F91" s="54"/>
    </row>
    <row r="92" spans="1:7" ht="18" customHeight="1" x14ac:dyDescent="0.3">
      <c r="A92" s="28">
        <v>71</v>
      </c>
      <c r="B92" s="29" t="s">
        <v>694</v>
      </c>
      <c r="C92" s="6" t="s">
        <v>711</v>
      </c>
      <c r="D92" s="30">
        <f>IF('1_APPLICABILITY'!C6="Yes",'2_FINANCIALS'!C72,"N/A")</f>
        <v>0</v>
      </c>
      <c r="E92" s="31"/>
      <c r="F92" s="32" t="s">
        <v>696</v>
      </c>
      <c r="G92" s="82" t="s">
        <v>905</v>
      </c>
    </row>
    <row r="93" spans="1:7" ht="18" customHeight="1" x14ac:dyDescent="0.3">
      <c r="A93" s="33">
        <v>72</v>
      </c>
      <c r="B93" s="34" t="s">
        <v>697</v>
      </c>
      <c r="C93" s="4" t="s">
        <v>712</v>
      </c>
      <c r="D93" s="30">
        <f>IF('1_APPLICABILITY'!C6="Yes",'2_FINANCIALS'!C94,"N/A")</f>
        <v>0</v>
      </c>
      <c r="E93" s="31"/>
      <c r="F93" s="35"/>
      <c r="G93" t="s">
        <v>899</v>
      </c>
    </row>
    <row r="94" spans="1:7" ht="18" customHeight="1" x14ac:dyDescent="0.3">
      <c r="A94" s="28">
        <v>73</v>
      </c>
      <c r="B94" s="29" t="s">
        <v>570</v>
      </c>
      <c r="C94" s="6" t="s">
        <v>713</v>
      </c>
      <c r="D94" s="30">
        <f>IF('1_APPLICABILITY'!C6="Yes",'2_FINANCIALS'!C95,"N/A")</f>
        <v>0</v>
      </c>
      <c r="E94" s="31"/>
      <c r="F94" s="32"/>
      <c r="G94" t="s">
        <v>899</v>
      </c>
    </row>
    <row r="95" spans="1:7" ht="18" customHeight="1" x14ac:dyDescent="0.3">
      <c r="A95" s="33">
        <v>74</v>
      </c>
      <c r="B95" s="34" t="s">
        <v>570</v>
      </c>
      <c r="C95" s="4" t="s">
        <v>714</v>
      </c>
      <c r="D95" s="30">
        <f>IF('1_APPLICABILITY'!C6="Yes",'2_FINANCIALS'!C85,"N/A")</f>
        <v>0</v>
      </c>
      <c r="E95" s="31"/>
      <c r="F95" s="35"/>
      <c r="G95" t="s">
        <v>899</v>
      </c>
    </row>
    <row r="96" spans="1:7" ht="18" customHeight="1" x14ac:dyDescent="0.3">
      <c r="A96" s="28">
        <v>75</v>
      </c>
      <c r="B96" s="29" t="s">
        <v>570</v>
      </c>
      <c r="C96" s="6" t="s">
        <v>715</v>
      </c>
      <c r="D96" s="30" t="str">
        <f>IF('1_APPLICABILITY'!C6="Yes",'2_FINANCIALS'!C86,"N/A")</f>
        <v>N/A – set applicability to Yes</v>
      </c>
      <c r="E96" s="31"/>
      <c r="F96" s="32"/>
      <c r="G96" t="s">
        <v>899</v>
      </c>
    </row>
    <row r="97" spans="1:7" ht="18" customHeight="1" x14ac:dyDescent="0.3">
      <c r="A97" s="33">
        <v>76</v>
      </c>
      <c r="B97" s="34" t="s">
        <v>570</v>
      </c>
      <c r="C97" s="4" t="s">
        <v>716</v>
      </c>
      <c r="D97" s="30" t="str">
        <f>IF('1_APPLICABILITY'!C6="Yes",'2_FINANCIALS'!C87,"N/A")</f>
        <v>N/A – set applicability to Yes</v>
      </c>
      <c r="E97" s="30" t="str">
        <f>IF('1_APPLICABILITY'!C6="Yes",'2_FINANCIALS'!D87,"N/A")</f>
        <v>N/A – set applicability to Yes</v>
      </c>
      <c r="F97" s="35"/>
    </row>
    <row r="98" spans="1:7" ht="18" customHeight="1" x14ac:dyDescent="0.3">
      <c r="A98" s="28">
        <v>77</v>
      </c>
      <c r="B98" s="29" t="s">
        <v>703</v>
      </c>
      <c r="C98" s="6" t="s">
        <v>910</v>
      </c>
      <c r="D98" s="37" t="str">
        <f>IF('1_APPLICABILITY'!C6="Yes",'2_FINANCIALS'!C88,"N/A")</f>
        <v/>
      </c>
      <c r="E98" s="37" t="str">
        <f>IF('1_APPLICABILITY'!C6="Yes",'2_FINANCIALS'!D88,"N/A")</f>
        <v/>
      </c>
      <c r="F98" s="32"/>
    </row>
    <row r="99" spans="1:7" ht="18" customHeight="1" x14ac:dyDescent="0.3">
      <c r="A99" s="33">
        <v>78</v>
      </c>
      <c r="B99" s="34" t="s">
        <v>704</v>
      </c>
      <c r="C99" s="4" t="s">
        <v>911</v>
      </c>
      <c r="D99" s="30" t="str">
        <f>IF('1_APPLICABILITY'!C16="Yes",'2_FINANCIALS'!C89,"N/A")</f>
        <v>N/A</v>
      </c>
      <c r="E99" s="30" t="str">
        <f>IF('1_APPLICABILITY'!C16="Yes",'2_FINANCIALS'!D89,"N/A")</f>
        <v>N/A</v>
      </c>
      <c r="F99" s="35"/>
      <c r="G99" t="s">
        <v>909</v>
      </c>
    </row>
    <row r="100" spans="1:7" ht="18" customHeight="1" x14ac:dyDescent="0.3">
      <c r="A100" s="28">
        <v>79</v>
      </c>
      <c r="B100" s="29" t="s">
        <v>616</v>
      </c>
      <c r="C100" s="6" t="s">
        <v>717</v>
      </c>
      <c r="D100" s="30" t="str">
        <f>IF('1_APPLICABILITY'!C16="Yes",'2_FINANCIALS'!C90,"N/A")</f>
        <v>N/A</v>
      </c>
      <c r="E100" s="30" t="str">
        <f>IF('1_APPLICABILITY'!C16="Yes",'2_FINANCIALS'!D90,"N/A")</f>
        <v>N/A</v>
      </c>
      <c r="F100" s="32"/>
      <c r="G100" t="s">
        <v>897</v>
      </c>
    </row>
    <row r="101" spans="1:7" ht="18" customHeight="1" x14ac:dyDescent="0.3">
      <c r="A101" s="33">
        <v>80</v>
      </c>
      <c r="B101" s="34" t="s">
        <v>640</v>
      </c>
      <c r="C101" s="4" t="s">
        <v>718</v>
      </c>
      <c r="D101" s="30">
        <f>IF('1_APPLICABILITY'!C6="Yes",'2_FINANCIALS'!C91,"N/A")</f>
        <v>0</v>
      </c>
      <c r="E101" s="30" t="str">
        <f>IF('1_APPLICABILITY'!C6="Yes",'2_FINANCIALS'!D91,"N/A")</f>
        <v/>
      </c>
      <c r="F101" s="35"/>
      <c r="G101" t="s">
        <v>897</v>
      </c>
    </row>
    <row r="102" spans="1:7" ht="18" customHeight="1" x14ac:dyDescent="0.3">
      <c r="A102" s="28">
        <v>81</v>
      </c>
      <c r="B102" s="29" t="s">
        <v>642</v>
      </c>
      <c r="C102" s="6" t="s">
        <v>719</v>
      </c>
      <c r="D102" s="30" t="str">
        <f>IF('1_APPLICABILITY'!C6="Yes",'2_FINANCIALS'!C92,"N/A")</f>
        <v/>
      </c>
      <c r="E102" s="30" t="str">
        <f>IF('1_APPLICABILITY'!C6="Yes",'2_FINANCIALS'!D92,"N/A")</f>
        <v/>
      </c>
      <c r="F102" s="32"/>
      <c r="G102" t="s">
        <v>897</v>
      </c>
    </row>
    <row r="103" spans="1:7" ht="18" customHeight="1" x14ac:dyDescent="0.3">
      <c r="A103" s="33">
        <v>82</v>
      </c>
      <c r="B103" s="34" t="s">
        <v>708</v>
      </c>
      <c r="C103" s="4" t="s">
        <v>720</v>
      </c>
      <c r="D103" s="30" t="str">
        <f>IF('1_APPLICABILITY'!C23="Yes",'2_FINANCIALS'!C93,"N/A")</f>
        <v>N/A</v>
      </c>
      <c r="E103" s="30" t="str">
        <f>IF('1_APPLICABILITY'!C23="Yes",'2_FINANCIALS'!D93,"N/A")</f>
        <v>N/A</v>
      </c>
      <c r="F103" s="35"/>
      <c r="G103" t="s">
        <v>897</v>
      </c>
    </row>
    <row r="104" spans="1:7" ht="15.75" customHeight="1" x14ac:dyDescent="0.3">
      <c r="A104" s="54" t="s">
        <v>721</v>
      </c>
      <c r="B104" s="54"/>
      <c r="C104" s="54"/>
      <c r="D104" s="54"/>
      <c r="E104" s="54"/>
      <c r="F104" s="54"/>
    </row>
    <row r="105" spans="1:7" ht="18" customHeight="1" x14ac:dyDescent="0.3">
      <c r="A105" s="28">
        <v>83</v>
      </c>
      <c r="B105" s="29" t="s">
        <v>694</v>
      </c>
      <c r="C105" s="6" t="s">
        <v>722</v>
      </c>
      <c r="D105" s="30">
        <f>IF('1_APPLICABILITY'!C6="Yes",'2_FINANCIALS'!C72,"N/A")</f>
        <v>0</v>
      </c>
      <c r="E105" s="31"/>
      <c r="F105" s="32" t="s">
        <v>696</v>
      </c>
      <c r="G105" s="82" t="s">
        <v>905</v>
      </c>
    </row>
    <row r="106" spans="1:7" ht="18" customHeight="1" x14ac:dyDescent="0.3">
      <c r="A106" s="33">
        <v>84</v>
      </c>
      <c r="B106" s="34" t="s">
        <v>697</v>
      </c>
      <c r="C106" s="4" t="s">
        <v>723</v>
      </c>
      <c r="D106" s="30">
        <f>IF('1_APPLICABILITY'!C6="Yes",'2_FINANCIALS'!C106,"N/A")</f>
        <v>0</v>
      </c>
      <c r="E106" s="31"/>
      <c r="F106" s="35"/>
      <c r="G106" t="s">
        <v>899</v>
      </c>
    </row>
    <row r="107" spans="1:7" ht="18" customHeight="1" x14ac:dyDescent="0.3">
      <c r="A107" s="28">
        <v>85</v>
      </c>
      <c r="B107" s="29" t="s">
        <v>570</v>
      </c>
      <c r="C107" s="6" t="s">
        <v>724</v>
      </c>
      <c r="D107" s="30">
        <f>IF('1_APPLICABILITY'!C6="Yes",'2_FINANCIALS'!C107,"N/A")</f>
        <v>0</v>
      </c>
      <c r="E107" s="31"/>
      <c r="F107" s="32"/>
      <c r="G107" t="s">
        <v>899</v>
      </c>
    </row>
    <row r="108" spans="1:7" ht="18" customHeight="1" x14ac:dyDescent="0.3">
      <c r="A108" s="33">
        <v>86</v>
      </c>
      <c r="B108" s="34" t="s">
        <v>570</v>
      </c>
      <c r="C108" s="4" t="s">
        <v>725</v>
      </c>
      <c r="D108" s="30">
        <f>IF('1_APPLICABILITY'!C6="Yes",'2_FINANCIALS'!C97,"N/A")</f>
        <v>0</v>
      </c>
      <c r="E108" s="31"/>
      <c r="F108" s="35"/>
      <c r="G108" t="s">
        <v>899</v>
      </c>
    </row>
    <row r="109" spans="1:7" ht="18" customHeight="1" x14ac:dyDescent="0.3">
      <c r="A109" s="28">
        <v>87</v>
      </c>
      <c r="B109" s="29" t="s">
        <v>570</v>
      </c>
      <c r="C109" s="6" t="s">
        <v>726</v>
      </c>
      <c r="D109" s="30" t="str">
        <f>IF('1_APPLICABILITY'!C6="Yes",'2_FINANCIALS'!C98,"N/A")</f>
        <v>N/A – set applicability to Yes</v>
      </c>
      <c r="E109" s="31"/>
      <c r="F109" s="32"/>
      <c r="G109" t="s">
        <v>899</v>
      </c>
    </row>
    <row r="110" spans="1:7" ht="18" customHeight="1" x14ac:dyDescent="0.3">
      <c r="A110" s="33">
        <v>88</v>
      </c>
      <c r="B110" s="34" t="s">
        <v>570</v>
      </c>
      <c r="C110" s="4" t="s">
        <v>727</v>
      </c>
      <c r="D110" s="30" t="str">
        <f>IF('1_APPLICABILITY'!C6="Yes",'2_FINANCIALS'!C99,"N/A")</f>
        <v>N/A – set applicability to Yes</v>
      </c>
      <c r="E110" s="30" t="str">
        <f>IF('1_APPLICABILITY'!C6="Yes",'2_FINANCIALS'!D99,"N/A")</f>
        <v>N/A – set applicability to Yes</v>
      </c>
      <c r="F110" s="35"/>
    </row>
    <row r="111" spans="1:7" ht="18" customHeight="1" x14ac:dyDescent="0.3">
      <c r="A111" s="28">
        <v>89</v>
      </c>
      <c r="B111" s="29" t="s">
        <v>703</v>
      </c>
      <c r="C111" s="6" t="s">
        <v>913</v>
      </c>
      <c r="D111" s="37" t="str">
        <f>IF('1_APPLICABILITY'!C6="Yes",'2_FINANCIALS'!C100,"N/A")</f>
        <v/>
      </c>
      <c r="E111" s="37" t="str">
        <f>IF('1_APPLICABILITY'!C6="Yes",'2_FINANCIALS'!D100,"N/A")</f>
        <v/>
      </c>
      <c r="F111" s="32"/>
    </row>
    <row r="112" spans="1:7" ht="18" customHeight="1" x14ac:dyDescent="0.3">
      <c r="A112" s="33">
        <v>90</v>
      </c>
      <c r="B112" s="34" t="s">
        <v>704</v>
      </c>
      <c r="C112" s="4" t="s">
        <v>912</v>
      </c>
      <c r="D112" s="30" t="str">
        <f>IF('1_APPLICABILITY'!C16="Yes",'2_FINANCIALS'!C101,"N/A")</f>
        <v>N/A</v>
      </c>
      <c r="E112" s="30" t="str">
        <f>IF('1_APPLICABILITY'!C16="Yes",'2_FINANCIALS'!D101,"N/A")</f>
        <v>N/A</v>
      </c>
      <c r="F112" s="35"/>
      <c r="G112" t="s">
        <v>909</v>
      </c>
    </row>
    <row r="113" spans="1:7" ht="18" customHeight="1" x14ac:dyDescent="0.3">
      <c r="A113" s="28">
        <v>91</v>
      </c>
      <c r="B113" s="29" t="s">
        <v>616</v>
      </c>
      <c r="C113" s="6" t="s">
        <v>728</v>
      </c>
      <c r="D113" s="30" t="str">
        <f>IF('1_APPLICABILITY'!C16="Yes",'2_FINANCIALS'!C102,"N/A")</f>
        <v>N/A</v>
      </c>
      <c r="E113" s="30" t="str">
        <f>IF('1_APPLICABILITY'!C16="Yes",'2_FINANCIALS'!D102,"N/A")</f>
        <v>N/A</v>
      </c>
      <c r="F113" s="32" t="s">
        <v>705</v>
      </c>
      <c r="G113" t="s">
        <v>897</v>
      </c>
    </row>
    <row r="114" spans="1:7" ht="18" customHeight="1" x14ac:dyDescent="0.3">
      <c r="A114" s="33">
        <v>92</v>
      </c>
      <c r="B114" s="34" t="s">
        <v>640</v>
      </c>
      <c r="C114" s="4" t="s">
        <v>729</v>
      </c>
      <c r="D114" s="30">
        <f>IF('1_APPLICABILITY'!C6="Yes",'2_FINANCIALS'!C103,"N/A")</f>
        <v>0</v>
      </c>
      <c r="E114" s="30" t="str">
        <f>IF('1_APPLICABILITY'!C6="Yes",'2_FINANCIALS'!D103,"N/A")</f>
        <v/>
      </c>
      <c r="F114" s="35"/>
      <c r="G114" t="s">
        <v>897</v>
      </c>
    </row>
    <row r="115" spans="1:7" ht="18" customHeight="1" x14ac:dyDescent="0.3">
      <c r="A115" s="28">
        <v>93</v>
      </c>
      <c r="B115" s="29" t="s">
        <v>642</v>
      </c>
      <c r="C115" s="6" t="s">
        <v>730</v>
      </c>
      <c r="D115" s="30" t="str">
        <f>IF('1_APPLICABILITY'!C6="Yes",'2_FINANCIALS'!C104,"N/A")</f>
        <v/>
      </c>
      <c r="E115" s="30" t="str">
        <f>IF('1_APPLICABILITY'!C6="Yes",'2_FINANCIALS'!D104,"N/A")</f>
        <v/>
      </c>
      <c r="F115" s="32"/>
      <c r="G115" t="s">
        <v>897</v>
      </c>
    </row>
    <row r="116" spans="1:7" ht="18" customHeight="1" x14ac:dyDescent="0.3">
      <c r="A116" s="33">
        <v>94</v>
      </c>
      <c r="B116" s="34" t="s">
        <v>708</v>
      </c>
      <c r="C116" s="4" t="s">
        <v>731</v>
      </c>
      <c r="D116" s="30" t="str">
        <f>IF('1_APPLICABILITY'!C23="Yes",'2_FINANCIALS'!C105,"N/A")</f>
        <v>N/A</v>
      </c>
      <c r="E116" s="30" t="str">
        <f>IF('1_APPLICABILITY'!C23="Yes",'2_FINANCIALS'!D105,"N/A")</f>
        <v>N/A</v>
      </c>
      <c r="F116" s="35"/>
      <c r="G116" t="s">
        <v>897</v>
      </c>
    </row>
    <row r="117" spans="1:7" ht="18" customHeight="1" x14ac:dyDescent="0.3">
      <c r="A117" s="53" t="s">
        <v>732</v>
      </c>
      <c r="B117" s="53"/>
      <c r="C117" s="53"/>
      <c r="D117" s="53"/>
      <c r="E117" s="53"/>
      <c r="F117" s="53"/>
    </row>
    <row r="118" spans="1:7" ht="30" customHeight="1" x14ac:dyDescent="0.3">
      <c r="A118" s="27" t="s">
        <v>565</v>
      </c>
      <c r="B118" s="27" t="s">
        <v>566</v>
      </c>
      <c r="C118" s="27" t="s">
        <v>567</v>
      </c>
      <c r="D118" s="27" t="s">
        <v>691</v>
      </c>
      <c r="E118" s="27" t="s">
        <v>692</v>
      </c>
      <c r="F118" s="27" t="s">
        <v>569</v>
      </c>
    </row>
    <row r="119" spans="1:7" ht="18" customHeight="1" x14ac:dyDescent="0.3">
      <c r="A119" s="28">
        <v>95</v>
      </c>
      <c r="B119" s="29" t="s">
        <v>733</v>
      </c>
      <c r="C119" s="6" t="s">
        <v>734</v>
      </c>
      <c r="D119" s="30" t="str">
        <f>IF('1_APPLICABILITY'!C7="Yes",'2_FINANCIALS'!C110,"N/A")</f>
        <v>N/A</v>
      </c>
      <c r="E119" s="30" t="str">
        <f>IF('1_APPLICABILITY'!C7="Yes",'2_FINANCIALS'!D110,"N/A")</f>
        <v>N/A</v>
      </c>
      <c r="F119" s="32"/>
      <c r="G119" s="82" t="s">
        <v>905</v>
      </c>
    </row>
    <row r="120" spans="1:7" ht="18" customHeight="1" x14ac:dyDescent="0.3">
      <c r="A120" s="33">
        <v>96</v>
      </c>
      <c r="B120" s="34" t="s">
        <v>570</v>
      </c>
      <c r="C120" s="4" t="s">
        <v>735</v>
      </c>
      <c r="D120" s="30" t="str">
        <f>IF('1_APPLICABILITY'!C7="Yes",'2_FINANCIALS'!C111,"N/A")</f>
        <v>N/A</v>
      </c>
      <c r="E120" s="30" t="str">
        <f>IF('1_APPLICABILITY'!C7="Yes",'2_FINANCIALS'!D111,"N/A")</f>
        <v>N/A</v>
      </c>
      <c r="F120" s="35"/>
      <c r="G120" t="s">
        <v>899</v>
      </c>
    </row>
    <row r="121" spans="1:7" ht="18" customHeight="1" x14ac:dyDescent="0.3">
      <c r="A121" s="28">
        <v>97</v>
      </c>
      <c r="B121" s="29" t="s">
        <v>570</v>
      </c>
      <c r="C121" s="6" t="s">
        <v>736</v>
      </c>
      <c r="D121" s="30" t="str">
        <f>IF('1_APPLICABILITY'!C7="Yes",'2_FINANCIALS'!C112,"N/A")</f>
        <v>N/A</v>
      </c>
      <c r="E121" s="30" t="str">
        <f>IF('1_APPLICABILITY'!C7="Yes",'2_FINANCIALS'!D112,"N/A")</f>
        <v>N/A</v>
      </c>
      <c r="F121" s="32"/>
      <c r="G121" t="s">
        <v>899</v>
      </c>
    </row>
    <row r="122" spans="1:7" ht="18" customHeight="1" x14ac:dyDescent="0.3">
      <c r="A122" s="33">
        <v>98</v>
      </c>
      <c r="B122" s="34" t="s">
        <v>570</v>
      </c>
      <c r="C122" s="4" t="s">
        <v>737</v>
      </c>
      <c r="D122" s="30" t="str">
        <f>IF('1_APPLICABILITY'!C7="Yes",'2_FINANCIALS'!C113,"N/A")</f>
        <v>N/A</v>
      </c>
      <c r="E122" s="30" t="str">
        <f>IF('1_APPLICABILITY'!C7="Yes",'2_FINANCIALS'!D113,"N/A")</f>
        <v>N/A</v>
      </c>
      <c r="F122" s="35"/>
      <c r="G122" t="s">
        <v>899</v>
      </c>
    </row>
    <row r="123" spans="1:7" ht="18" customHeight="1" x14ac:dyDescent="0.3">
      <c r="A123" s="28">
        <v>99</v>
      </c>
      <c r="B123" s="29" t="s">
        <v>640</v>
      </c>
      <c r="C123" s="6" t="s">
        <v>738</v>
      </c>
      <c r="D123" s="30" t="str">
        <f>IF('1_APPLICABILITY'!C7="Yes",'2_FINANCIALS'!C114,"N/A")</f>
        <v>N/A</v>
      </c>
      <c r="E123" s="30" t="str">
        <f>IF('1_APPLICABILITY'!C7="Yes",'2_FINANCIALS'!D114,"N/A")</f>
        <v>N/A</v>
      </c>
      <c r="F123" s="32"/>
      <c r="G123" t="s">
        <v>909</v>
      </c>
    </row>
    <row r="124" spans="1:7" ht="18" customHeight="1" x14ac:dyDescent="0.3">
      <c r="A124" s="33">
        <v>100</v>
      </c>
      <c r="B124" s="34" t="s">
        <v>616</v>
      </c>
      <c r="C124" s="4" t="s">
        <v>739</v>
      </c>
      <c r="D124" s="30" t="str">
        <f>IF('1_APPLICABILITY'!C7="Yes",'2_FINANCIALS'!C115,"N/A")</f>
        <v>N/A</v>
      </c>
      <c r="E124" s="30" t="str">
        <f>IF('1_APPLICABILITY'!C7="Yes",'2_FINANCIALS'!D115,"N/A")</f>
        <v>N/A</v>
      </c>
      <c r="F124" s="35"/>
      <c r="G124" t="s">
        <v>897</v>
      </c>
    </row>
    <row r="125" spans="1:7" ht="18" customHeight="1" x14ac:dyDescent="0.3">
      <c r="A125" s="28">
        <v>101</v>
      </c>
      <c r="B125" s="29" t="s">
        <v>640</v>
      </c>
      <c r="C125" s="6" t="s">
        <v>740</v>
      </c>
      <c r="D125" s="30" t="str">
        <f>IF('1_APPLICABILITY'!C7="Yes",'2_FINANCIALS'!C116,"N/A")</f>
        <v>N/A</v>
      </c>
      <c r="E125" s="30" t="str">
        <f>IF('1_APPLICABILITY'!C7="Yes",'2_FINANCIALS'!D116,"N/A")</f>
        <v>N/A</v>
      </c>
      <c r="F125" s="32"/>
      <c r="G125" t="s">
        <v>897</v>
      </c>
    </row>
    <row r="126" spans="1:7" ht="18" customHeight="1" x14ac:dyDescent="0.3">
      <c r="A126" s="33">
        <v>102</v>
      </c>
      <c r="B126" s="34" t="s">
        <v>642</v>
      </c>
      <c r="C126" s="4" t="s">
        <v>741</v>
      </c>
      <c r="D126" s="30" t="str">
        <f>IF('1_APPLICABILITY'!C7="Yes",'2_FINANCIALS'!C117,"N/A")</f>
        <v>N/A</v>
      </c>
      <c r="E126" s="30" t="str">
        <f>IF('1_APPLICABILITY'!C7="Yes",'2_FINANCIALS'!D117,"N/A")</f>
        <v>N/A</v>
      </c>
      <c r="F126" s="35"/>
      <c r="G126" t="s">
        <v>897</v>
      </c>
    </row>
    <row r="127" spans="1:7" ht="18" customHeight="1" x14ac:dyDescent="0.3">
      <c r="A127" s="28">
        <v>103</v>
      </c>
      <c r="B127" s="29" t="s">
        <v>708</v>
      </c>
      <c r="C127" s="6" t="s">
        <v>742</v>
      </c>
      <c r="D127" s="30" t="str">
        <f>IF('1_APPLICABILITY'!C7="Yes",'2_FINANCIALS'!C118,"N/A")</f>
        <v>N/A</v>
      </c>
      <c r="E127" s="30" t="str">
        <f>IF('1_APPLICABILITY'!C7="Yes",'2_FINANCIALS'!D118,"N/A")</f>
        <v>N/A</v>
      </c>
      <c r="F127" s="32"/>
      <c r="G127" t="s">
        <v>897</v>
      </c>
    </row>
    <row r="128" spans="1:7" ht="18" customHeight="1" x14ac:dyDescent="0.3">
      <c r="A128" s="53" t="s">
        <v>743</v>
      </c>
      <c r="B128" s="53"/>
      <c r="C128" s="53"/>
      <c r="D128" s="53"/>
      <c r="E128" s="53"/>
      <c r="F128" s="53"/>
    </row>
    <row r="129" spans="1:7" ht="30" customHeight="1" x14ac:dyDescent="0.3">
      <c r="A129" s="27" t="s">
        <v>565</v>
      </c>
      <c r="B129" s="27" t="s">
        <v>566</v>
      </c>
      <c r="C129" s="27" t="s">
        <v>567</v>
      </c>
      <c r="D129" s="27" t="s">
        <v>691</v>
      </c>
      <c r="E129" s="27" t="s">
        <v>692</v>
      </c>
      <c r="F129" s="27" t="s">
        <v>569</v>
      </c>
    </row>
    <row r="130" spans="1:7" ht="18" customHeight="1" x14ac:dyDescent="0.3">
      <c r="A130" s="33">
        <v>104</v>
      </c>
      <c r="B130" s="34" t="s">
        <v>570</v>
      </c>
      <c r="C130" s="4" t="s">
        <v>744</v>
      </c>
      <c r="D130" s="30" t="str">
        <f>IF('1_APPLICABILITY'!C8="Yes",'2_FINANCIALS'!C131,"N/A")</f>
        <v>N/A</v>
      </c>
      <c r="E130" s="30" t="str">
        <f>IF('1_APPLICABILITY'!C8="Yes",'2_FINANCIALS'!D131,"N/A")</f>
        <v>N/A</v>
      </c>
      <c r="F130" s="35"/>
      <c r="G130" t="s">
        <v>897</v>
      </c>
    </row>
    <row r="131" spans="1:7" ht="18" customHeight="1" x14ac:dyDescent="0.3">
      <c r="A131" s="28">
        <v>105</v>
      </c>
      <c r="B131" s="29" t="s">
        <v>745</v>
      </c>
      <c r="C131" s="6" t="s">
        <v>746</v>
      </c>
      <c r="D131" s="30" t="str">
        <f>IF('1_APPLICABILITY'!C8="Yes",'2_FINANCIALS'!C132,"N/A")</f>
        <v>N/A</v>
      </c>
      <c r="E131" s="30" t="str">
        <f>IF('1_APPLICABILITY'!C8="Yes",'2_FINANCIALS'!D132,"N/A")</f>
        <v>N/A</v>
      </c>
      <c r="F131" s="32"/>
      <c r="G131" t="s">
        <v>897</v>
      </c>
    </row>
    <row r="132" spans="1:7" ht="18" customHeight="1" x14ac:dyDescent="0.3">
      <c r="A132" s="33">
        <v>106</v>
      </c>
      <c r="B132" s="34" t="s">
        <v>640</v>
      </c>
      <c r="C132" s="4" t="s">
        <v>747</v>
      </c>
      <c r="D132" s="30" t="str">
        <f>IF('1_APPLICABILITY'!C8="Yes",'2_FINANCIALS'!C133,"N/A")</f>
        <v>N/A</v>
      </c>
      <c r="E132" s="30" t="str">
        <f>IF('1_APPLICABILITY'!C8="Yes",'2_FINANCIALS'!D133,"N/A")</f>
        <v>N/A</v>
      </c>
      <c r="F132" s="35"/>
      <c r="G132" t="s">
        <v>897</v>
      </c>
    </row>
    <row r="133" spans="1:7" ht="18" customHeight="1" x14ac:dyDescent="0.3">
      <c r="A133" s="28">
        <v>107</v>
      </c>
      <c r="B133" s="29" t="s">
        <v>642</v>
      </c>
      <c r="C133" s="6" t="s">
        <v>748</v>
      </c>
      <c r="D133" s="30" t="str">
        <f>IF('1_APPLICABILITY'!C8="Yes",'2_FINANCIALS'!C134,"N/A")</f>
        <v>N/A</v>
      </c>
      <c r="E133" s="30" t="str">
        <f>IF('1_APPLICABILITY'!C8="Yes",'2_FINANCIALS'!D134,"N/A")</f>
        <v>N/A</v>
      </c>
      <c r="F133" s="32"/>
      <c r="G133" t="s">
        <v>897</v>
      </c>
    </row>
    <row r="134" spans="1:7" ht="18" customHeight="1" x14ac:dyDescent="0.3">
      <c r="A134" s="33">
        <v>108</v>
      </c>
      <c r="B134" s="34" t="s">
        <v>708</v>
      </c>
      <c r="C134" s="4" t="s">
        <v>749</v>
      </c>
      <c r="D134" s="30" t="str">
        <f>IF('1_APPLICABILITY'!C8="Yes",'2_FINANCIALS'!C135,"N/A")</f>
        <v>N/A</v>
      </c>
      <c r="E134" s="30" t="str">
        <f>IF('1_APPLICABILITY'!C8="Yes",'2_FINANCIALS'!D135,"N/A")</f>
        <v>N/A</v>
      </c>
      <c r="F134" s="35"/>
      <c r="G134" t="s">
        <v>897</v>
      </c>
    </row>
    <row r="135" spans="1:7" ht="18" customHeight="1" x14ac:dyDescent="0.3">
      <c r="A135" s="53" t="s">
        <v>750</v>
      </c>
      <c r="B135" s="53"/>
      <c r="C135" s="53"/>
      <c r="D135" s="53"/>
      <c r="E135" s="53"/>
      <c r="F135" s="53"/>
    </row>
    <row r="136" spans="1:7" ht="30" customHeight="1" x14ac:dyDescent="0.3">
      <c r="A136" s="27" t="s">
        <v>565</v>
      </c>
      <c r="B136" s="27" t="s">
        <v>566</v>
      </c>
      <c r="C136" s="27" t="s">
        <v>567</v>
      </c>
      <c r="D136" s="27" t="s">
        <v>691</v>
      </c>
      <c r="E136" s="27" t="s">
        <v>692</v>
      </c>
      <c r="F136" s="27" t="s">
        <v>569</v>
      </c>
    </row>
    <row r="137" spans="1:7" ht="18" customHeight="1" x14ac:dyDescent="0.3">
      <c r="A137" s="28">
        <v>109</v>
      </c>
      <c r="B137" s="29" t="s">
        <v>704</v>
      </c>
      <c r="C137" s="6" t="s">
        <v>751</v>
      </c>
      <c r="D137" s="30" t="str">
        <f>IF('1_APPLICABILITY'!C9="Yes",'2_FINANCIALS'!C138,"N/A")</f>
        <v>N/A – set applicability to Yes</v>
      </c>
      <c r="E137" s="30" t="str">
        <f>IF('1_APPLICABILITY'!C9="Yes",'2_FINANCIALS'!D138,"N/A")</f>
        <v>N/A – set applicability to Yes</v>
      </c>
      <c r="F137" s="32"/>
      <c r="G137" t="s">
        <v>904</v>
      </c>
    </row>
    <row r="138" spans="1:7" ht="18" customHeight="1" x14ac:dyDescent="0.3">
      <c r="A138" s="33">
        <v>110</v>
      </c>
      <c r="B138" s="34" t="s">
        <v>616</v>
      </c>
      <c r="C138" s="4" t="s">
        <v>752</v>
      </c>
      <c r="D138" s="30">
        <f>IF('1_APPLICABILITY'!C17="Yes",'2_FINANCIALS'!C139,"N/A")</f>
        <v>0</v>
      </c>
      <c r="E138" s="30">
        <f>IF('1_APPLICABILITY'!C17="Yes",'2_FINANCIALS'!D139,"N/A")</f>
        <v>0</v>
      </c>
      <c r="F138" s="35"/>
      <c r="G138" t="s">
        <v>904</v>
      </c>
    </row>
    <row r="139" spans="1:7" ht="18" customHeight="1" x14ac:dyDescent="0.3">
      <c r="A139" s="28">
        <v>111</v>
      </c>
      <c r="B139" s="29" t="s">
        <v>753</v>
      </c>
      <c r="C139" s="6" t="s">
        <v>754</v>
      </c>
      <c r="D139" s="30">
        <f>IF('1_APPLICABILITY'!C9="Yes",'2_FINANCIALS'!C140,"N/A")</f>
        <v>0</v>
      </c>
      <c r="E139" s="30">
        <f>IF('1_APPLICABILITY'!C9="Yes",'2_FINANCIALS'!D140,"N/A")</f>
        <v>0</v>
      </c>
      <c r="F139" s="32"/>
      <c r="G139" t="s">
        <v>904</v>
      </c>
    </row>
    <row r="140" spans="1:7" ht="18" customHeight="1" x14ac:dyDescent="0.3">
      <c r="A140" s="33">
        <v>112</v>
      </c>
      <c r="B140" s="34" t="s">
        <v>755</v>
      </c>
      <c r="C140" s="4" t="s">
        <v>756</v>
      </c>
      <c r="D140" s="30">
        <f>IF('1_APPLICABILITY'!C9="Yes",'2_FINANCIALS'!C141,"N/A")</f>
        <v>0</v>
      </c>
      <c r="E140" s="30">
        <f>IF('1_APPLICABILITY'!C9="Yes",'2_FINANCIALS'!D141,"N/A")</f>
        <v>0</v>
      </c>
      <c r="F140" s="35"/>
      <c r="G140" t="s">
        <v>904</v>
      </c>
    </row>
    <row r="141" spans="1:7" ht="21.75" customHeight="1" x14ac:dyDescent="0.3">
      <c r="A141" s="55" t="s">
        <v>757</v>
      </c>
      <c r="B141" s="55"/>
      <c r="C141" s="55"/>
      <c r="D141" s="55"/>
      <c r="E141" s="55"/>
      <c r="F141" s="55"/>
    </row>
    <row r="142" spans="1:7" ht="18" customHeight="1" x14ac:dyDescent="0.3">
      <c r="A142" s="56" t="s">
        <v>758</v>
      </c>
      <c r="B142" s="56"/>
      <c r="C142" s="56"/>
      <c r="D142" s="56"/>
      <c r="E142" s="56"/>
      <c r="F142" s="56"/>
    </row>
    <row r="143" spans="1:7" ht="30" customHeight="1" x14ac:dyDescent="0.3">
      <c r="A143" s="27" t="s">
        <v>565</v>
      </c>
      <c r="B143" s="27" t="s">
        <v>566</v>
      </c>
      <c r="C143" s="27" t="s">
        <v>567</v>
      </c>
      <c r="D143" s="27" t="s">
        <v>595</v>
      </c>
      <c r="E143" s="27" t="s">
        <v>596</v>
      </c>
      <c r="F143" s="27" t="s">
        <v>759</v>
      </c>
    </row>
    <row r="144" spans="1:7" ht="15.75" customHeight="1" x14ac:dyDescent="0.3">
      <c r="A144" s="57" t="s">
        <v>760</v>
      </c>
      <c r="B144" s="57"/>
      <c r="C144" s="57"/>
      <c r="D144" s="57"/>
      <c r="E144" s="57"/>
      <c r="F144" s="57"/>
    </row>
    <row r="145" spans="1:7" ht="18" customHeight="1" x14ac:dyDescent="0.3">
      <c r="A145" s="28">
        <v>113</v>
      </c>
      <c r="B145" s="29" t="s">
        <v>570</v>
      </c>
      <c r="C145" s="6" t="s">
        <v>761</v>
      </c>
      <c r="D145" s="30">
        <f>IF('1_APPLICABILITY'!C11="Yes",'2_FINANCIALS'!C160,"N/A")</f>
        <v>0</v>
      </c>
      <c r="E145" s="30" t="str">
        <f>IF('1_APPLICABILITY'!C11="Yes",'2_FINANCIALS'!D160,"N/A")</f>
        <v/>
      </c>
      <c r="F145" s="32" t="s">
        <v>762</v>
      </c>
      <c r="G145" s="82" t="s">
        <v>915</v>
      </c>
    </row>
    <row r="146" spans="1:7" ht="18" customHeight="1" x14ac:dyDescent="0.3">
      <c r="A146" s="33">
        <v>114</v>
      </c>
      <c r="B146" s="34" t="s">
        <v>570</v>
      </c>
      <c r="C146" s="4" t="s">
        <v>763</v>
      </c>
      <c r="D146" s="30">
        <f>IF('1_APPLICABILITY'!C11="Yes",'2_FINANCIALS'!C161,"N/A")</f>
        <v>0</v>
      </c>
      <c r="E146" s="30" t="str">
        <f>IF('1_APPLICABILITY'!C11="Yes",'2_FINANCIALS'!D161,"N/A")</f>
        <v/>
      </c>
      <c r="F146" s="35" t="s">
        <v>762</v>
      </c>
      <c r="G146" s="82" t="s">
        <v>915</v>
      </c>
    </row>
    <row r="147" spans="1:7" ht="18" customHeight="1" x14ac:dyDescent="0.3">
      <c r="A147" s="28">
        <v>115</v>
      </c>
      <c r="B147" s="29" t="s">
        <v>570</v>
      </c>
      <c r="C147" s="6" t="s">
        <v>764</v>
      </c>
      <c r="D147" s="30">
        <f>IF('1_APPLICABILITY'!C11="Yes",'2_FINANCIALS'!C162,"N/A")</f>
        <v>0</v>
      </c>
      <c r="E147" s="30" t="str">
        <f>IF('1_APPLICABILITY'!C11="Yes",'2_FINANCIALS'!D162,"N/A")</f>
        <v/>
      </c>
      <c r="F147" s="32" t="s">
        <v>762</v>
      </c>
      <c r="G147" s="82" t="s">
        <v>915</v>
      </c>
    </row>
    <row r="148" spans="1:7" ht="18" customHeight="1" x14ac:dyDescent="0.3">
      <c r="A148" s="33">
        <v>116</v>
      </c>
      <c r="B148" s="34" t="s">
        <v>570</v>
      </c>
      <c r="C148" s="4" t="s">
        <v>765</v>
      </c>
      <c r="D148" s="30">
        <f>IF('1_APPLICABILITY'!C11="Yes",'2_FINANCIALS'!C163,"N/A")</f>
        <v>0</v>
      </c>
      <c r="E148" s="30" t="str">
        <f>IF('1_APPLICABILITY'!C11="Yes",'2_FINANCIALS'!D163,"N/A")</f>
        <v/>
      </c>
      <c r="F148" s="35" t="s">
        <v>762</v>
      </c>
      <c r="G148" s="82" t="s">
        <v>915</v>
      </c>
    </row>
    <row r="149" spans="1:7" ht="18" customHeight="1" x14ac:dyDescent="0.3">
      <c r="A149" s="28">
        <v>117</v>
      </c>
      <c r="B149" s="29" t="s">
        <v>654</v>
      </c>
      <c r="C149" s="6" t="s">
        <v>766</v>
      </c>
      <c r="D149" s="30" t="str">
        <f>IF('1_APPLICABILITY'!C11="Yes",'2_FINANCIALS'!C165,"N/A")</f>
        <v/>
      </c>
      <c r="E149" s="30" t="str">
        <f>IF('1_APPLICABILITY'!C11="Yes",'2_FINANCIALS'!D165,"N/A")</f>
        <v/>
      </c>
      <c r="F149" s="32" t="s">
        <v>762</v>
      </c>
      <c r="G149" s="82" t="s">
        <v>915</v>
      </c>
    </row>
    <row r="150" spans="1:7" ht="18" customHeight="1" x14ac:dyDescent="0.3">
      <c r="A150" s="33">
        <v>118</v>
      </c>
      <c r="B150" s="34" t="s">
        <v>656</v>
      </c>
      <c r="C150" s="4" t="s">
        <v>767</v>
      </c>
      <c r="D150" s="30" t="str">
        <f>IF('1_APPLICABILITY'!C11="Yes",'2_FINANCIALS'!C166,"N/A")</f>
        <v/>
      </c>
      <c r="E150" s="30" t="str">
        <f>IF('1_APPLICABILITY'!C11="Yes",'2_FINANCIALS'!D166,"N/A")</f>
        <v/>
      </c>
      <c r="F150" s="35" t="s">
        <v>762</v>
      </c>
      <c r="G150" s="82" t="s">
        <v>915</v>
      </c>
    </row>
    <row r="151" spans="1:7" ht="18" customHeight="1" x14ac:dyDescent="0.3">
      <c r="A151" s="28">
        <v>119</v>
      </c>
      <c r="B151" s="29" t="s">
        <v>658</v>
      </c>
      <c r="C151" s="6" t="s">
        <v>768</v>
      </c>
      <c r="D151" s="30" t="str">
        <f>IF('1_APPLICABILITY'!C11="Yes",'2_FINANCIALS'!C167,"N/A")</f>
        <v/>
      </c>
      <c r="E151" s="30" t="str">
        <f>IF('1_APPLICABILITY'!C11="Yes",'2_FINANCIALS'!D167,"N/A")</f>
        <v/>
      </c>
      <c r="F151" s="32" t="s">
        <v>762</v>
      </c>
      <c r="G151" s="83" t="s">
        <v>916</v>
      </c>
    </row>
    <row r="152" spans="1:7" ht="18" customHeight="1" x14ac:dyDescent="0.3">
      <c r="A152" s="33">
        <v>120</v>
      </c>
      <c r="B152" s="34" t="s">
        <v>769</v>
      </c>
      <c r="C152" s="42" t="s">
        <v>770</v>
      </c>
      <c r="D152" s="44" t="str">
        <f>IF('1_APPLICABILITY'!C11="Yes",'2_FINANCIALS'!C168,"N/A")</f>
        <v/>
      </c>
      <c r="E152" s="44" t="str">
        <f>IF('1_APPLICABILITY'!C11="Yes",'2_FINANCIALS'!D168,"N/A")</f>
        <v/>
      </c>
      <c r="F152" s="45" t="s">
        <v>762</v>
      </c>
      <c r="G152" s="83" t="s">
        <v>916</v>
      </c>
    </row>
    <row r="153" spans="1:7" ht="18" customHeight="1" x14ac:dyDescent="0.3">
      <c r="A153" s="28">
        <v>121</v>
      </c>
      <c r="B153" s="29" t="s">
        <v>771</v>
      </c>
      <c r="C153" s="6" t="s">
        <v>772</v>
      </c>
      <c r="D153" s="30" t="str">
        <f>IF('1_APPLICABILITY'!C11="Yes",'2_FINANCIALS'!C169,"N/A")</f>
        <v/>
      </c>
      <c r="E153" s="30" t="s">
        <v>773</v>
      </c>
      <c r="F153" s="32" t="s">
        <v>762</v>
      </c>
      <c r="G153" s="82" t="s">
        <v>904</v>
      </c>
    </row>
    <row r="154" spans="1:7" ht="18" customHeight="1" x14ac:dyDescent="0.3">
      <c r="A154" s="33">
        <v>122</v>
      </c>
      <c r="B154" s="34" t="s">
        <v>771</v>
      </c>
      <c r="C154" s="4" t="s">
        <v>774</v>
      </c>
      <c r="D154" s="30" t="s">
        <v>773</v>
      </c>
      <c r="E154" s="30" t="str">
        <f>IF('1_APPLICABILITY'!C11="Yes",'2_FINANCIALS'!D170,"N/A")</f>
        <v/>
      </c>
      <c r="F154" s="35" t="s">
        <v>762</v>
      </c>
      <c r="G154" s="82" t="s">
        <v>904</v>
      </c>
    </row>
    <row r="155" spans="1:7" ht="18" customHeight="1" x14ac:dyDescent="0.3">
      <c r="A155" s="28">
        <v>123</v>
      </c>
      <c r="B155" s="29" t="s">
        <v>775</v>
      </c>
      <c r="C155" s="6" t="s">
        <v>776</v>
      </c>
      <c r="D155" s="30" t="str">
        <f>IF('1_APPLICABILITY'!C11="Yes",'2_FINANCIALS'!C171,"N/A")</f>
        <v/>
      </c>
      <c r="E155" s="30" t="str">
        <f>IF('1_APPLICABILITY'!C11="Yes",'2_FINANCIALS'!D171,"N/A")</f>
        <v/>
      </c>
      <c r="F155" s="32" t="s">
        <v>762</v>
      </c>
      <c r="G155" s="83" t="s">
        <v>916</v>
      </c>
    </row>
    <row r="156" spans="1:7" ht="18" customHeight="1" x14ac:dyDescent="0.3">
      <c r="A156" s="33">
        <v>124</v>
      </c>
      <c r="B156" s="34" t="s">
        <v>777</v>
      </c>
      <c r="C156" s="4" t="s">
        <v>778</v>
      </c>
      <c r="D156" s="30" t="str">
        <f>IF('1_APPLICABILITY'!C11="Yes",'2_FINANCIALS'!C172,"N/A")</f>
        <v/>
      </c>
      <c r="E156" s="30" t="str">
        <f>IF('1_APPLICABILITY'!C11="Yes",'2_FINANCIALS'!D172,"N/A")</f>
        <v/>
      </c>
      <c r="F156" s="35" t="s">
        <v>762</v>
      </c>
      <c r="G156" s="82" t="s">
        <v>904</v>
      </c>
    </row>
    <row r="157" spans="1:7" ht="18" customHeight="1" x14ac:dyDescent="0.3">
      <c r="A157" s="28">
        <v>125</v>
      </c>
      <c r="B157" s="29" t="s">
        <v>779</v>
      </c>
      <c r="C157" s="6" t="s">
        <v>780</v>
      </c>
      <c r="D157" s="30" t="str">
        <f>IF('1_APPLICABILITY'!C11="Yes",'2_FINANCIALS'!C173,"N/A")</f>
        <v/>
      </c>
      <c r="E157" s="30" t="str">
        <f>IF('1_APPLICABILITY'!C11="Yes",'2_FINANCIALS'!D173,"N/A")</f>
        <v/>
      </c>
      <c r="F157" s="32" t="s">
        <v>762</v>
      </c>
      <c r="G157" s="83" t="s">
        <v>916</v>
      </c>
    </row>
    <row r="158" spans="1:7" ht="18" customHeight="1" x14ac:dyDescent="0.3">
      <c r="A158" s="33">
        <v>126</v>
      </c>
      <c r="B158" s="34" t="s">
        <v>781</v>
      </c>
      <c r="C158" s="4" t="s">
        <v>782</v>
      </c>
      <c r="D158" s="30" t="str">
        <f>IF('1_APPLICABILITY'!C11="Yes",'2_FINANCIALS'!C174,"N/A")</f>
        <v/>
      </c>
      <c r="E158" s="30" t="str">
        <f>IF('1_APPLICABILITY'!C11="Yes",'2_FINANCIALS'!D174,"N/A")</f>
        <v/>
      </c>
      <c r="F158" s="35" t="s">
        <v>762</v>
      </c>
      <c r="G158" s="82" t="s">
        <v>904</v>
      </c>
    </row>
    <row r="159" spans="1:7" ht="18" customHeight="1" x14ac:dyDescent="0.3">
      <c r="A159" s="28">
        <v>127</v>
      </c>
      <c r="B159" s="29" t="s">
        <v>783</v>
      </c>
      <c r="C159" s="6" t="s">
        <v>784</v>
      </c>
      <c r="D159" s="30" t="str">
        <f>IF('1_APPLICABILITY'!C11="Yes",'2_FINANCIALS'!C175,"N/A")</f>
        <v/>
      </c>
      <c r="E159" s="30" t="str">
        <f>IF('1_APPLICABILITY'!C11="Yes",'2_FINANCIALS'!D175,"N/A")</f>
        <v/>
      </c>
      <c r="F159" s="32" t="s">
        <v>762</v>
      </c>
      <c r="G159" s="82" t="s">
        <v>904</v>
      </c>
    </row>
    <row r="160" spans="1:7" ht="18" customHeight="1" x14ac:dyDescent="0.3">
      <c r="A160" s="33">
        <v>128</v>
      </c>
      <c r="B160" s="34" t="s">
        <v>704</v>
      </c>
      <c r="C160" s="4" t="s">
        <v>918</v>
      </c>
      <c r="D160" s="30" t="str">
        <f>IF('1_APPLICABILITY'!C11="Yes",'2_FINANCIALS'!C177,"N/A")</f>
        <v/>
      </c>
      <c r="E160" s="30" t="str">
        <f>IF('1_APPLICABILITY'!C11="Yes",'2_FINANCIALS'!D177,"N/A")</f>
        <v/>
      </c>
      <c r="F160" s="35" t="s">
        <v>762</v>
      </c>
      <c r="G160" s="83" t="s">
        <v>917</v>
      </c>
    </row>
    <row r="161" spans="1:7" ht="18" customHeight="1" x14ac:dyDescent="0.3">
      <c r="A161" s="28">
        <v>129</v>
      </c>
      <c r="B161" s="29" t="s">
        <v>616</v>
      </c>
      <c r="C161" s="6" t="s">
        <v>785</v>
      </c>
      <c r="D161" s="30" t="str">
        <f>IF('1_APPLICABILITY'!C16="Yes",'2_FINANCIALS'!C178,"N/A")</f>
        <v>N/A</v>
      </c>
      <c r="E161" s="30" t="str">
        <f>IF('1_APPLICABILITY'!C16="Yes",'2_FINANCIALS'!D178,"N/A")</f>
        <v>N/A</v>
      </c>
      <c r="F161" s="32" t="s">
        <v>762</v>
      </c>
      <c r="G161" s="83" t="s">
        <v>916</v>
      </c>
    </row>
    <row r="162" spans="1:7" ht="18" customHeight="1" x14ac:dyDescent="0.3">
      <c r="A162" s="33">
        <v>130</v>
      </c>
      <c r="B162" s="34" t="s">
        <v>640</v>
      </c>
      <c r="C162" s="4" t="s">
        <v>786</v>
      </c>
      <c r="D162" s="30" t="str">
        <f>IF('1_APPLICABILITY'!C11="Yes",'2_FINANCIALS'!C179,"N/A")</f>
        <v/>
      </c>
      <c r="E162" s="30" t="str">
        <f>IF('1_APPLICABILITY'!C11="Yes",'2_FINANCIALS'!D179,"N/A")</f>
        <v/>
      </c>
      <c r="F162" s="35" t="s">
        <v>762</v>
      </c>
      <c r="G162" s="83" t="s">
        <v>916</v>
      </c>
    </row>
    <row r="163" spans="1:7" ht="18" customHeight="1" x14ac:dyDescent="0.3">
      <c r="A163" s="28">
        <v>131</v>
      </c>
      <c r="B163" s="29" t="s">
        <v>642</v>
      </c>
      <c r="C163" s="6" t="s">
        <v>787</v>
      </c>
      <c r="D163" s="30" t="str">
        <f>IF('1_APPLICABILITY'!C11="Yes",'2_FINANCIALS'!C180,"N/A")</f>
        <v/>
      </c>
      <c r="E163" s="30" t="str">
        <f>IF('1_APPLICABILITY'!C11="Yes",'2_FINANCIALS'!D180,"N/A")</f>
        <v/>
      </c>
      <c r="F163" s="32" t="s">
        <v>762</v>
      </c>
      <c r="G163" s="83" t="s">
        <v>916</v>
      </c>
    </row>
    <row r="164" spans="1:7" ht="18" customHeight="1" x14ac:dyDescent="0.3">
      <c r="A164" s="33">
        <v>132</v>
      </c>
      <c r="B164" s="34" t="s">
        <v>708</v>
      </c>
      <c r="C164" s="4" t="s">
        <v>788</v>
      </c>
      <c r="D164" s="30" t="str">
        <f>IF('1_APPLICABILITY'!C23="Yes",'2_FINANCIALS'!C181,"N/A")</f>
        <v>N/A</v>
      </c>
      <c r="E164" s="30" t="str">
        <f>IF('1_APPLICABILITY'!C23="Yes",'2_FINANCIALS'!D181,"N/A")</f>
        <v>N/A</v>
      </c>
      <c r="F164" s="35" t="s">
        <v>762</v>
      </c>
      <c r="G164" s="83" t="s">
        <v>916</v>
      </c>
    </row>
    <row r="165" spans="1:7" ht="18" customHeight="1" x14ac:dyDescent="0.3">
      <c r="A165" s="56" t="s">
        <v>789</v>
      </c>
      <c r="B165" s="56"/>
      <c r="C165" s="56"/>
      <c r="D165" s="56"/>
      <c r="E165" s="56"/>
      <c r="F165" s="56"/>
    </row>
    <row r="166" spans="1:7" ht="30" customHeight="1" x14ac:dyDescent="0.3">
      <c r="A166" s="27" t="s">
        <v>565</v>
      </c>
      <c r="B166" s="27" t="s">
        <v>566</v>
      </c>
      <c r="C166" s="27" t="s">
        <v>567</v>
      </c>
      <c r="D166" s="27" t="s">
        <v>691</v>
      </c>
      <c r="E166" s="27" t="s">
        <v>692</v>
      </c>
      <c r="F166" s="27" t="s">
        <v>569</v>
      </c>
    </row>
    <row r="167" spans="1:7" ht="18" customHeight="1" x14ac:dyDescent="0.3">
      <c r="A167" s="28">
        <v>133</v>
      </c>
      <c r="B167" s="29" t="s">
        <v>733</v>
      </c>
      <c r="C167" s="6" t="s">
        <v>790</v>
      </c>
      <c r="D167" s="30" t="str">
        <f>IF('1_APPLICABILITY'!C12="Yes",'2_FINANCIALS'!C212,"N/A")</f>
        <v>N/A</v>
      </c>
      <c r="E167" s="31"/>
      <c r="F167" s="32" t="s">
        <v>791</v>
      </c>
    </row>
    <row r="168" spans="1:7" ht="18" customHeight="1" x14ac:dyDescent="0.3">
      <c r="A168" s="33">
        <v>134</v>
      </c>
      <c r="B168" s="34" t="s">
        <v>570</v>
      </c>
      <c r="C168" s="4" t="s">
        <v>735</v>
      </c>
      <c r="D168" s="30" t="str">
        <f>IF('1_APPLICABILITY'!C12="Yes",'2_FINANCIALS'!C214,"N/A")</f>
        <v>N/A</v>
      </c>
      <c r="E168" s="31"/>
      <c r="F168" s="35" t="s">
        <v>791</v>
      </c>
    </row>
    <row r="169" spans="1:7" ht="18" customHeight="1" x14ac:dyDescent="0.3">
      <c r="A169" s="28">
        <v>135</v>
      </c>
      <c r="B169" s="29" t="s">
        <v>570</v>
      </c>
      <c r="C169" s="6" t="s">
        <v>736</v>
      </c>
      <c r="D169" s="30" t="str">
        <f>IF('1_APPLICABILITY'!C12="Yes",'2_FINANCIALS'!C215,"N/A")</f>
        <v>N/A</v>
      </c>
      <c r="E169" s="31" t="str">
        <f>IF('1_APPLICABILITY'!C12="Yes",'2_FINANCIALS'!D215,"N/A")</f>
        <v>N/A</v>
      </c>
      <c r="F169" s="32" t="s">
        <v>791</v>
      </c>
    </row>
    <row r="170" spans="1:7" ht="18" customHeight="1" x14ac:dyDescent="0.3">
      <c r="A170" s="33">
        <v>136</v>
      </c>
      <c r="B170" s="34" t="s">
        <v>570</v>
      </c>
      <c r="C170" s="4" t="s">
        <v>737</v>
      </c>
      <c r="D170" s="30" t="str">
        <f>IF('1_APPLICABILITY'!C12="Yes",'2_FINANCIALS'!C216,"N/A")</f>
        <v>N/A</v>
      </c>
      <c r="E170" s="31" t="str">
        <f>IF('1_APPLICABILITY'!C12="Yes",'2_FINANCIALS'!D216,"N/A")</f>
        <v>N/A</v>
      </c>
      <c r="F170" s="35" t="s">
        <v>791</v>
      </c>
    </row>
    <row r="171" spans="1:7" ht="18" customHeight="1" x14ac:dyDescent="0.3">
      <c r="A171" s="28">
        <v>137</v>
      </c>
      <c r="B171" s="29" t="s">
        <v>704</v>
      </c>
      <c r="C171" s="6" t="s">
        <v>792</v>
      </c>
      <c r="D171" s="30" t="str">
        <f>IF('1_APPLICABILITY'!C12="Yes",'2_FINANCIALS'!C217,"N/A")</f>
        <v>N/A</v>
      </c>
      <c r="E171" s="31" t="str">
        <f>IF('1_APPLICABILITY'!C12="Yes",'2_FINANCIALS'!D217,"N/A")</f>
        <v>N/A</v>
      </c>
      <c r="F171" s="32" t="s">
        <v>791</v>
      </c>
    </row>
    <row r="172" spans="1:7" ht="18" customHeight="1" x14ac:dyDescent="0.3">
      <c r="A172" s="33">
        <v>138</v>
      </c>
      <c r="B172" s="34" t="s">
        <v>616</v>
      </c>
      <c r="C172" s="4" t="s">
        <v>793</v>
      </c>
      <c r="D172" s="30" t="str">
        <f>IF('1_APPLICABILITY'!C12="Yes",'2_FINANCIALS'!C218,"N/A")</f>
        <v>N/A</v>
      </c>
      <c r="E172" s="31" t="str">
        <f>IF('1_APPLICABILITY'!C12="Yes",'2_FINANCIALS'!D218,"N/A")</f>
        <v>N/A</v>
      </c>
      <c r="F172" s="35" t="s">
        <v>791</v>
      </c>
    </row>
    <row r="173" spans="1:7" ht="18" customHeight="1" x14ac:dyDescent="0.3">
      <c r="A173" s="28">
        <v>139</v>
      </c>
      <c r="B173" s="29" t="s">
        <v>640</v>
      </c>
      <c r="C173" s="6" t="s">
        <v>740</v>
      </c>
      <c r="D173" s="30" t="str">
        <f>IF('1_APPLICABILITY'!C12="Yes",'2_FINANCIALS'!C219,"N/A")</f>
        <v>N/A</v>
      </c>
      <c r="E173" s="31" t="str">
        <f>IF('1_APPLICABILITY'!C12="Yes",'2_FINANCIALS'!D219,"N/A")</f>
        <v>N/A</v>
      </c>
      <c r="F173" s="32" t="s">
        <v>791</v>
      </c>
    </row>
    <row r="174" spans="1:7" ht="18" customHeight="1" x14ac:dyDescent="0.3">
      <c r="A174" s="33">
        <v>140</v>
      </c>
      <c r="B174" s="34" t="s">
        <v>642</v>
      </c>
      <c r="C174" s="4" t="s">
        <v>741</v>
      </c>
      <c r="D174" s="30" t="str">
        <f>IF('1_APPLICABILITY'!C12="Yes",'2_FINANCIALS'!C220,"N/A")</f>
        <v>N/A</v>
      </c>
      <c r="E174" s="31" t="str">
        <f>IF('1_APPLICABILITY'!C12="Yes",'2_FINANCIALS'!D220,"N/A")</f>
        <v>N/A</v>
      </c>
      <c r="F174" s="35" t="s">
        <v>791</v>
      </c>
    </row>
    <row r="175" spans="1:7" ht="18" customHeight="1" x14ac:dyDescent="0.3">
      <c r="A175" s="28">
        <v>141</v>
      </c>
      <c r="B175" s="29" t="s">
        <v>708</v>
      </c>
      <c r="C175" s="6" t="s">
        <v>794</v>
      </c>
      <c r="D175" s="30" t="str">
        <f>IF('1_APPLICABILITY'!C12="Yes",'2_FINANCIALS'!C221,"N/A")</f>
        <v>N/A</v>
      </c>
      <c r="E175" s="31" t="str">
        <f>IF('1_APPLICABILITY'!C12="Yes",'2_FINANCIALS'!D221,"N/A")</f>
        <v>N/A</v>
      </c>
      <c r="F175" s="32" t="s">
        <v>791</v>
      </c>
    </row>
    <row r="176" spans="1:7" ht="18" customHeight="1" x14ac:dyDescent="0.3">
      <c r="A176" s="56" t="s">
        <v>795</v>
      </c>
      <c r="B176" s="56"/>
      <c r="C176" s="56"/>
      <c r="D176" s="56"/>
      <c r="E176" s="56"/>
      <c r="F176" s="56"/>
    </row>
    <row r="177" spans="1:7" ht="30" customHeight="1" x14ac:dyDescent="0.3">
      <c r="A177" s="27" t="s">
        <v>565</v>
      </c>
      <c r="B177" s="27" t="s">
        <v>566</v>
      </c>
      <c r="C177" s="27" t="s">
        <v>567</v>
      </c>
      <c r="D177" s="27" t="s">
        <v>691</v>
      </c>
      <c r="E177" s="27" t="s">
        <v>692</v>
      </c>
      <c r="F177" s="27" t="s">
        <v>569</v>
      </c>
    </row>
    <row r="178" spans="1:7" ht="18" customHeight="1" x14ac:dyDescent="0.3">
      <c r="A178" s="33">
        <v>142</v>
      </c>
      <c r="B178" s="34" t="s">
        <v>570</v>
      </c>
      <c r="C178" s="4" t="s">
        <v>796</v>
      </c>
      <c r="D178" s="30" t="str">
        <f>IF('1_APPLICABILITY'!C13="Yes",'2_FINANCIALS'!C234,"N/A")</f>
        <v>N/A</v>
      </c>
      <c r="E178" s="31"/>
      <c r="F178" s="35" t="s">
        <v>797</v>
      </c>
      <c r="G178" s="83" t="s">
        <v>916</v>
      </c>
    </row>
    <row r="179" spans="1:7" ht="18" customHeight="1" x14ac:dyDescent="0.3">
      <c r="A179" s="28">
        <v>143</v>
      </c>
      <c r="B179" s="29" t="s">
        <v>570</v>
      </c>
      <c r="C179" s="6" t="s">
        <v>798</v>
      </c>
      <c r="D179" s="30" t="str">
        <f>IF('1_APPLICABILITY'!C13="Yes",'2_FINANCIALS'!C235,"N/A")</f>
        <v>N/A</v>
      </c>
      <c r="E179" s="31" t="str">
        <f>IF('1_APPLICABILITY'!C13="Yes",'2_FINANCIALS'!D235,"N/A")</f>
        <v>N/A</v>
      </c>
      <c r="F179" s="32" t="s">
        <v>797</v>
      </c>
      <c r="G179" s="83" t="s">
        <v>916</v>
      </c>
    </row>
    <row r="180" spans="1:7" ht="18" customHeight="1" x14ac:dyDescent="0.3">
      <c r="A180" s="33">
        <v>144</v>
      </c>
      <c r="B180" s="34" t="s">
        <v>745</v>
      </c>
      <c r="C180" s="4" t="s">
        <v>746</v>
      </c>
      <c r="D180" s="30" t="str">
        <f>IF('1_APPLICABILITY'!C13="Yes",'2_FINANCIALS'!C236,"N/A")</f>
        <v>N/A</v>
      </c>
      <c r="E180" s="31" t="str">
        <f>IF('1_APPLICABILITY'!C13="Yes",'2_FINANCIALS'!D236,"N/A")</f>
        <v>N/A</v>
      </c>
      <c r="F180" s="35" t="s">
        <v>797</v>
      </c>
      <c r="G180" s="83" t="s">
        <v>916</v>
      </c>
    </row>
    <row r="181" spans="1:7" ht="18" customHeight="1" x14ac:dyDescent="0.3">
      <c r="A181" s="28">
        <v>145</v>
      </c>
      <c r="B181" s="29" t="s">
        <v>640</v>
      </c>
      <c r="C181" s="6" t="s">
        <v>799</v>
      </c>
      <c r="D181" s="30" t="str">
        <f>IF('1_APPLICABILITY'!C13="Yes",'2_FINANCIALS'!C237,"N/A")</f>
        <v>N/A</v>
      </c>
      <c r="E181" s="31" t="str">
        <f>IF('1_APPLICABILITY'!C13="Yes",'2_FINANCIALS'!D237,"N/A")</f>
        <v>N/A</v>
      </c>
      <c r="F181" s="32" t="s">
        <v>797</v>
      </c>
      <c r="G181" s="83" t="s">
        <v>916</v>
      </c>
    </row>
    <row r="182" spans="1:7" ht="18" customHeight="1" x14ac:dyDescent="0.3">
      <c r="A182" s="33">
        <v>146</v>
      </c>
      <c r="B182" s="34" t="s">
        <v>642</v>
      </c>
      <c r="C182" s="4" t="s">
        <v>800</v>
      </c>
      <c r="D182" s="30" t="str">
        <f>IF('1_APPLICABILITY'!C13="Yes",'2_FINANCIALS'!C238,"N/A")</f>
        <v>N/A</v>
      </c>
      <c r="E182" s="31" t="str">
        <f>IF('1_APPLICABILITY'!C13="Yes",'2_FINANCIALS'!D238,"N/A")</f>
        <v>N/A</v>
      </c>
      <c r="F182" s="35" t="s">
        <v>797</v>
      </c>
      <c r="G182" s="83" t="s">
        <v>916</v>
      </c>
    </row>
    <row r="183" spans="1:7" ht="18" customHeight="1" x14ac:dyDescent="0.3">
      <c r="A183" s="28">
        <v>147</v>
      </c>
      <c r="B183" s="29" t="s">
        <v>708</v>
      </c>
      <c r="C183" s="6" t="s">
        <v>801</v>
      </c>
      <c r="D183" s="30" t="str">
        <f>IF('1_APPLICABILITY'!C13="Yes",'2_FINANCIALS'!C239,"N/A")</f>
        <v>N/A</v>
      </c>
      <c r="E183" s="31" t="str">
        <f>IF('1_APPLICABILITY'!C13="Yes",'2_FINANCIALS'!D239,"N/A")</f>
        <v>N/A</v>
      </c>
      <c r="F183" s="32" t="s">
        <v>797</v>
      </c>
      <c r="G183" s="83" t="s">
        <v>916</v>
      </c>
    </row>
    <row r="184" spans="1:7" ht="18" customHeight="1" x14ac:dyDescent="0.3">
      <c r="A184" s="56" t="s">
        <v>802</v>
      </c>
      <c r="B184" s="56"/>
      <c r="C184" s="56"/>
      <c r="D184" s="56"/>
      <c r="E184" s="56"/>
      <c r="F184" s="56"/>
    </row>
    <row r="185" spans="1:7" ht="30" customHeight="1" x14ac:dyDescent="0.3">
      <c r="A185" s="27" t="s">
        <v>565</v>
      </c>
      <c r="B185" s="27" t="s">
        <v>566</v>
      </c>
      <c r="C185" s="27" t="s">
        <v>567</v>
      </c>
      <c r="D185" s="27" t="s">
        <v>691</v>
      </c>
      <c r="E185" s="27" t="s">
        <v>692</v>
      </c>
      <c r="F185" s="27" t="s">
        <v>569</v>
      </c>
    </row>
    <row r="186" spans="1:7" ht="18" customHeight="1" x14ac:dyDescent="0.3">
      <c r="A186" s="33">
        <v>148</v>
      </c>
      <c r="B186" s="34" t="s">
        <v>704</v>
      </c>
      <c r="C186" s="4" t="s">
        <v>803</v>
      </c>
      <c r="D186" s="30" t="str">
        <f>IF('1_APPLICABILITY'!C14="Yes",'2_FINANCIALS'!C243,"N/A")</f>
        <v/>
      </c>
      <c r="E186" s="31" t="str">
        <f>IF('1_APPLICABILITY'!C14="Yes",'2_FINANCIALS'!D243,"N/A")</f>
        <v/>
      </c>
      <c r="F186" s="35" t="s">
        <v>804</v>
      </c>
      <c r="G186" s="84" t="s">
        <v>904</v>
      </c>
    </row>
    <row r="187" spans="1:7" ht="18" customHeight="1" x14ac:dyDescent="0.3">
      <c r="A187" s="28">
        <v>149</v>
      </c>
      <c r="B187" s="29" t="s">
        <v>616</v>
      </c>
      <c r="C187" s="6" t="s">
        <v>805</v>
      </c>
      <c r="D187" s="30" t="str">
        <f>IF('1_APPLICABILITY'!C14="Yes",'2_FINANCIALS'!C244,"N/A")</f>
        <v/>
      </c>
      <c r="E187" s="31" t="str">
        <f>IF('1_APPLICABILITY'!C14="Yes",'2_FINANCIALS'!D244,"N/A")</f>
        <v/>
      </c>
      <c r="F187" s="32" t="s">
        <v>804</v>
      </c>
      <c r="G187" s="84" t="s">
        <v>904</v>
      </c>
    </row>
    <row r="188" spans="1:7" ht="18" customHeight="1" x14ac:dyDescent="0.3">
      <c r="A188" s="33">
        <v>150</v>
      </c>
      <c r="B188" s="34" t="s">
        <v>753</v>
      </c>
      <c r="C188" s="4" t="s">
        <v>806</v>
      </c>
      <c r="D188" s="30" t="str">
        <f>IF('1_APPLICABILITY'!C14="Yes",'2_FINANCIALS'!C245,"N/A")</f>
        <v/>
      </c>
      <c r="E188" s="31" t="str">
        <f>IF('1_APPLICABILITY'!C14="Yes",'2_FINANCIALS'!D245,"N/A")</f>
        <v/>
      </c>
      <c r="F188" s="35" t="s">
        <v>804</v>
      </c>
      <c r="G188" s="84" t="s">
        <v>904</v>
      </c>
    </row>
    <row r="189" spans="1:7" ht="18" customHeight="1" x14ac:dyDescent="0.3">
      <c r="A189" s="28">
        <v>151</v>
      </c>
      <c r="B189" s="29" t="s">
        <v>755</v>
      </c>
      <c r="C189" s="42" t="s">
        <v>807</v>
      </c>
      <c r="D189" s="30" t="str">
        <f>IF('1_APPLICABILITY'!C14="Yes",'2_FINANCIALS'!C246,"N/A")</f>
        <v/>
      </c>
      <c r="E189" s="31" t="str">
        <f>IF('1_APPLICABILITY'!C14="Yes",'2_FINANCIALS'!D246,"N/A")</f>
        <v/>
      </c>
      <c r="F189" s="32" t="s">
        <v>804</v>
      </c>
      <c r="G189" s="84" t="s">
        <v>904</v>
      </c>
    </row>
  </sheetData>
  <mergeCells count="25">
    <mergeCell ref="A142:F142"/>
    <mergeCell ref="A144:F144"/>
    <mergeCell ref="A165:F165"/>
    <mergeCell ref="A176:F176"/>
    <mergeCell ref="A184:F184"/>
    <mergeCell ref="A104:F104"/>
    <mergeCell ref="A117:F117"/>
    <mergeCell ref="A128:F128"/>
    <mergeCell ref="A135:F135"/>
    <mergeCell ref="A141:F141"/>
    <mergeCell ref="A73:F73"/>
    <mergeCell ref="A75:F75"/>
    <mergeCell ref="A76:F76"/>
    <mergeCell ref="A78:F78"/>
    <mergeCell ref="A91:F91"/>
    <mergeCell ref="A34:F34"/>
    <mergeCell ref="A39:F39"/>
    <mergeCell ref="A55:F55"/>
    <mergeCell ref="A62:F62"/>
    <mergeCell ref="A66:F66"/>
    <mergeCell ref="A1:F1"/>
    <mergeCell ref="A2:F2"/>
    <mergeCell ref="A3:F3"/>
    <mergeCell ref="A24:F24"/>
    <mergeCell ref="A33:F3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showGridLines="0" topLeftCell="B10" zoomScale="117" zoomScaleNormal="100" workbookViewId="0">
      <selection activeCell="A17" sqref="A17:D17"/>
    </sheetView>
  </sheetViews>
  <sheetFormatPr defaultColWidth="8.6640625" defaultRowHeight="14.4" x14ac:dyDescent="0.3"/>
  <cols>
    <col min="1" max="1" width="4" customWidth="1"/>
    <col min="2" max="2" width="16.44140625" customWidth="1"/>
    <col min="3" max="3" width="44" customWidth="1"/>
    <col min="4" max="4" width="28" customWidth="1"/>
    <col min="5" max="5" width="14" customWidth="1"/>
    <col min="6" max="6" width="24" customWidth="1"/>
  </cols>
  <sheetData>
    <row r="1" spans="1:6" ht="36" customHeight="1" x14ac:dyDescent="0.3">
      <c r="A1" s="47" t="s">
        <v>808</v>
      </c>
      <c r="B1" s="47"/>
      <c r="C1" s="47"/>
      <c r="D1" s="47"/>
      <c r="E1" s="47"/>
      <c r="F1" s="47"/>
    </row>
    <row r="2" spans="1:6" ht="18" customHeight="1" x14ac:dyDescent="0.3">
      <c r="A2" s="48" t="s">
        <v>809</v>
      </c>
      <c r="B2" s="48"/>
      <c r="C2" s="48"/>
      <c r="D2" s="48"/>
      <c r="E2" s="48"/>
      <c r="F2" s="48"/>
    </row>
    <row r="3" spans="1:6" ht="30" customHeight="1" x14ac:dyDescent="0.3">
      <c r="A3" s="1" t="s">
        <v>810</v>
      </c>
      <c r="B3" s="1" t="s">
        <v>811</v>
      </c>
      <c r="C3" s="1" t="s">
        <v>812</v>
      </c>
      <c r="D3" s="1" t="s">
        <v>813</v>
      </c>
      <c r="E3" s="1" t="s">
        <v>814</v>
      </c>
      <c r="F3" s="1" t="s">
        <v>815</v>
      </c>
    </row>
    <row r="4" spans="1:6" ht="26.4" x14ac:dyDescent="0.3">
      <c r="A4" s="38">
        <v>1</v>
      </c>
      <c r="B4" s="29" t="s">
        <v>816</v>
      </c>
      <c r="C4" s="6" t="s">
        <v>817</v>
      </c>
      <c r="D4" s="37" t="str">
        <f>TEXT('2_FINANCIALS'!D25*'2_FINANCIALS'!D26/100000,"#,##0.00")&amp;" lakhs"</f>
        <v>0.00 lakhs</v>
      </c>
      <c r="E4" s="39" t="str">
        <f>IF('2_FINANCIALS'!D25*'2_FINANCIALS'!D26&gt;0,"✅ PASS","❌ FAIL – Capital is zero")</f>
        <v>❌ FAIL – Capital is zero</v>
      </c>
      <c r="F4" s="32" t="s">
        <v>818</v>
      </c>
    </row>
    <row r="5" spans="1:6" ht="30.6" x14ac:dyDescent="0.3">
      <c r="A5" s="40">
        <v>2</v>
      </c>
      <c r="B5" s="34" t="s">
        <v>819</v>
      </c>
      <c r="C5" s="4" t="s">
        <v>820</v>
      </c>
      <c r="D5" s="37" t="str">
        <f>TEXT('2_FINANCIALS'!D57,"#,##0.00")&amp;" vs expected: "&amp;TEXT(('2_FINANCIALS'!D25*'2_FINANCIALS'!D26)/100000+'2_FINANCIALS'!D55,"#,##0.00")</f>
        <v>0.00 vs expected: 0.00</v>
      </c>
      <c r="E5" s="39" t="str">
        <f>IF(ABS('2_FINANCIALS'!D57-(('2_FINANCIALS'!D25*'2_FINANCIALS'!D26)/100000+'2_FINANCIALS'!D55))&lt;1,"✅ PASS","⚠️ CHECK – Net Worth formula mismatch")</f>
        <v>✅ PASS</v>
      </c>
      <c r="F5" s="35" t="s">
        <v>821</v>
      </c>
    </row>
    <row r="6" spans="1:6" ht="20.399999999999999" x14ac:dyDescent="0.3">
      <c r="A6" s="38">
        <v>3</v>
      </c>
      <c r="B6" s="29" t="s">
        <v>822</v>
      </c>
      <c r="C6" s="6" t="s">
        <v>823</v>
      </c>
      <c r="D6" s="37" t="str">
        <f>TEXT('2_FINANCIALS'!D53,"#,##0.00")&amp;" (PAT "&amp;TEXT('2_FINANCIALS'!D50,"0")&amp;" – Div "&amp;TEXT('2_FINANCIALS'!D51,"0")&amp;")"</f>
        <v>0.00 (PAT 0 – Div 0)</v>
      </c>
      <c r="E6" s="39" t="str">
        <f>IF(ABS('2_FINANCIALS'!D53-('2_FINANCIALS'!D50-'2_FINANCIALS'!D51))&lt;0.01,"✅ PASS","❌ FAIL")</f>
        <v>✅ PASS</v>
      </c>
      <c r="F6" s="32" t="s">
        <v>824</v>
      </c>
    </row>
    <row r="7" spans="1:6" ht="20.399999999999999" x14ac:dyDescent="0.3">
      <c r="A7" s="40">
        <v>4</v>
      </c>
      <c r="B7" s="34" t="s">
        <v>825</v>
      </c>
      <c r="C7" s="4" t="s">
        <v>826</v>
      </c>
      <c r="D7" s="37" t="str">
        <f>TEXT('2_FINANCIALS'!D62,"#,##0")&amp;" = "&amp;TEXT('2_FINANCIALS'!D60,"#,##0")&amp;" + "&amp;TEXT('2_FINANCIALS'!D61,"#,##0")</f>
        <v>0 = 0 + 0</v>
      </c>
      <c r="E7" s="39" t="str">
        <f>IF(ABS('2_FINANCIALS'!D62-('2_FINANCIALS'!D60+'2_FINANCIALS'!D61))&lt;0.01,"✅ PASS","❌ FAIL")</f>
        <v>✅ PASS</v>
      </c>
      <c r="F7" s="35" t="s">
        <v>827</v>
      </c>
    </row>
    <row r="8" spans="1:6" ht="20.399999999999999" x14ac:dyDescent="0.3">
      <c r="A8" s="38">
        <v>5</v>
      </c>
      <c r="B8" s="29" t="s">
        <v>828</v>
      </c>
      <c r="C8" s="6" t="s">
        <v>829</v>
      </c>
      <c r="D8" s="37" t="str">
        <f>TEXT('2_FINANCIALS'!D65,"#,##0")&amp;" = "&amp;TEXT('2_FINANCIALS'!D63,"#,##0")&amp;" + "&amp;TEXT('2_FINANCIALS'!D64,"#,##0")</f>
        <v>0 = 0 + 0</v>
      </c>
      <c r="E8" s="39" t="str">
        <f>IF(ABS('2_FINANCIALS'!D65-('2_FINANCIALS'!D63+'2_FINANCIALS'!D64))&lt;0.01,"✅ PASS","❌ FAIL")</f>
        <v>✅ PASS</v>
      </c>
      <c r="F8" s="32" t="s">
        <v>830</v>
      </c>
    </row>
    <row r="9" spans="1:6" ht="39.6" x14ac:dyDescent="0.3">
      <c r="A9" s="40">
        <v>6</v>
      </c>
      <c r="B9" s="34" t="s">
        <v>831</v>
      </c>
      <c r="C9" s="4" t="s">
        <v>832</v>
      </c>
      <c r="D9" s="37" t="str">
        <f>TEXT('2_FINANCIALS'!C75,"0.0")&amp;"% + (other blocks) ≤ 100%"</f>
        <v>N/A – set applicability to Yes% + (other blocks) ≤ 100%</v>
      </c>
      <c r="E9" s="39" t="str">
        <f>IF('2_FINANCIALS'!C75&lt;=100,"✅ PASS","❌ FAIL – Total NR% &gt;100")</f>
        <v>❌ FAIL – Total NR% &gt;100</v>
      </c>
      <c r="F9" s="35" t="s">
        <v>833</v>
      </c>
    </row>
    <row r="10" spans="1:6" ht="30.6" x14ac:dyDescent="0.3">
      <c r="A10" s="38">
        <v>7</v>
      </c>
      <c r="B10" s="29" t="s">
        <v>834</v>
      </c>
      <c r="C10" s="6" t="s">
        <v>835</v>
      </c>
      <c r="D10" s="37" t="str">
        <f>IF('1_APPLICABILITY'!C6="Yes","Investor 1: "&amp;'2_FINANCIALS'!C73,"Not applicable")</f>
        <v>Investor 1: 0</v>
      </c>
      <c r="E10" s="39" t="str">
        <f>IF('1_APPLICABILITY'!C6="No","✅ N/A",IF('2_FINANCIALS'!C73="","❌ FAIL – Enter investor name","✅ PASS"))</f>
        <v>✅ PASS</v>
      </c>
      <c r="F10" s="32" t="s">
        <v>836</v>
      </c>
    </row>
    <row r="11" spans="1:6" ht="30.6" x14ac:dyDescent="0.3">
      <c r="A11" s="40">
        <v>8</v>
      </c>
      <c r="B11" s="34" t="s">
        <v>837</v>
      </c>
      <c r="C11" s="4" t="s">
        <v>838</v>
      </c>
      <c r="D11" s="37" t="str">
        <f>IF('1_APPLICABILITY'!C18="Yes",TEXT('2_FINANCIALS'!D31,"#,##0.00"),"Not listed")</f>
        <v>Not listed</v>
      </c>
      <c r="E11" s="39" t="str">
        <f>IF('1_APPLICABILITY'!C18="No","✅ N/A",IF('2_FINANCIALS'!D31=0,"❌ FAIL – Enter market value","✅ PASS"))</f>
        <v>✅ N/A</v>
      </c>
      <c r="F11" s="35" t="s">
        <v>839</v>
      </c>
    </row>
    <row r="12" spans="1:6" ht="52.8" x14ac:dyDescent="0.3">
      <c r="A12" s="38">
        <v>9</v>
      </c>
      <c r="B12" s="29" t="s">
        <v>840</v>
      </c>
      <c r="C12" s="6" t="s">
        <v>841</v>
      </c>
      <c r="D12" s="37" t="str">
        <f>IF('1_APPLICABILITY'!C11="Yes","Exchange rate entered: check Financials Sec IV","Not applicable")</f>
        <v>Exchange rate entered: check Financials Sec IV</v>
      </c>
      <c r="E12" s="39" t="str">
        <f>IF('1_APPLICABILITY'!C11="No","✅ N/A","⚠️ Verify exchange rate in Financials Sec IV")</f>
        <v>⚠️ Verify exchange rate in Financials Sec IV</v>
      </c>
      <c r="F12" s="32" t="s">
        <v>842</v>
      </c>
    </row>
    <row r="13" spans="1:6" ht="39.6" x14ac:dyDescent="0.3">
      <c r="A13" s="40">
        <v>10</v>
      </c>
      <c r="B13" s="34" t="s">
        <v>843</v>
      </c>
      <c r="C13" s="4" t="s">
        <v>844</v>
      </c>
      <c r="D13" s="37" t="str">
        <f>IF('1_APPLICABILITY'!C17="Yes",TEXT('2_FINANCIALS'!D139,"#,##0.00")&amp;" lakhs","Not applicable")</f>
        <v>0.00 lakhs</v>
      </c>
      <c r="E13" s="39" t="str">
        <f>IF('1_APPLICABILITY'!C17="No","✅ N/A",IF('2_FINANCIALS'!D139=0,"❌ FAIL – Enter ECB amount","✅ PASS"))</f>
        <v>❌ FAIL – Enter ECB amount</v>
      </c>
      <c r="F13" s="35" t="s">
        <v>845</v>
      </c>
    </row>
    <row r="14" spans="1:6" ht="30.6" x14ac:dyDescent="0.3">
      <c r="A14" s="38">
        <v>11</v>
      </c>
      <c r="B14" s="29" t="s">
        <v>846</v>
      </c>
      <c r="C14" s="6" t="s">
        <v>847</v>
      </c>
      <c r="D14" s="37" t="str">
        <f>IF('1_APPLICABILITY'!C16="Yes",TEXT('2_FINANCIALS'!D78,"#,##0.00"),"Not applicable")</f>
        <v>Not applicable</v>
      </c>
      <c r="E14" s="39" t="str">
        <f>IF('1_APPLICABILITY'!C16="No","✅ N/A",IF('2_FINANCIALS'!D78=0,"⚠️ CHECK – Claims on investor is zero","✅ PASS"))</f>
        <v>✅ N/A</v>
      </c>
      <c r="F14" s="32" t="s">
        <v>848</v>
      </c>
    </row>
    <row r="15" spans="1:6" ht="26.4" x14ac:dyDescent="0.3">
      <c r="A15" s="40">
        <v>12</v>
      </c>
      <c r="B15" s="34" t="s">
        <v>849</v>
      </c>
      <c r="C15" s="4" t="s">
        <v>850</v>
      </c>
      <c r="D15" s="37" t="str">
        <f>COUNTIF('1_APPLICABILITY'!C6:C23,"Yes")&amp;" applicable | "&amp;COUNTIF('1_APPLICABILITY'!C6:C23,"No")&amp;" not applicable"</f>
        <v>5 applicable | 11 not applicable</v>
      </c>
      <c r="E15" s="39" t="str">
        <f>IF(COUNTA('1_APPLICABILITY'!C6:C23)=18,"✅ All flags set","⚠️ "&amp;(18-COUNTA('1_APPLICABILITY'!C6:C23))&amp;" flags not set")</f>
        <v>⚠️ 2 flags not set</v>
      </c>
      <c r="F15" s="35" t="s">
        <v>851</v>
      </c>
    </row>
    <row r="17" spans="1:6" ht="24" customHeight="1" x14ac:dyDescent="0.3">
      <c r="A17" s="78" t="s">
        <v>852</v>
      </c>
      <c r="B17" s="78"/>
      <c r="C17" s="78"/>
      <c r="D17" s="78"/>
      <c r="E17" s="79" t="str">
        <f>COUNTIF(E4:E16,"✅*")&amp;"/"&amp;COUNTA(E4:E16)&amp;" checks passed"</f>
        <v>7/12 checks passed</v>
      </c>
      <c r="F17" s="79"/>
    </row>
  </sheetData>
  <mergeCells count="4">
    <mergeCell ref="A1:F1"/>
    <mergeCell ref="A2:F2"/>
    <mergeCell ref="A17:D17"/>
    <mergeCell ref="E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2"/>
  <sheetViews>
    <sheetView showGridLines="0" zoomScale="120" zoomScaleNormal="120" workbookViewId="0">
      <selection activeCell="A42" sqref="A42"/>
    </sheetView>
  </sheetViews>
  <sheetFormatPr defaultColWidth="8.6640625" defaultRowHeight="14.4" x14ac:dyDescent="0.3"/>
  <cols>
    <col min="1" max="1" width="60" customWidth="1"/>
    <col min="2" max="2" width="14" customWidth="1"/>
  </cols>
  <sheetData>
    <row r="1" spans="1:2" ht="19.5" customHeight="1" x14ac:dyDescent="0.3">
      <c r="A1" s="41" t="s">
        <v>853</v>
      </c>
      <c r="B1" s="41" t="s">
        <v>854</v>
      </c>
    </row>
    <row r="2" spans="1:2" ht="15" customHeight="1" x14ac:dyDescent="0.3">
      <c r="A2" s="6" t="s">
        <v>855</v>
      </c>
      <c r="B2" s="38">
        <v>1</v>
      </c>
    </row>
    <row r="3" spans="1:2" ht="15" customHeight="1" x14ac:dyDescent="0.3">
      <c r="A3" s="4" t="s">
        <v>856</v>
      </c>
      <c r="B3" s="40">
        <v>2</v>
      </c>
    </row>
    <row r="4" spans="1:2" ht="15" customHeight="1" x14ac:dyDescent="0.3">
      <c r="A4" s="6" t="s">
        <v>857</v>
      </c>
      <c r="B4" s="38">
        <v>3</v>
      </c>
    </row>
    <row r="5" spans="1:2" ht="15" customHeight="1" x14ac:dyDescent="0.3">
      <c r="A5" s="4" t="s">
        <v>858</v>
      </c>
      <c r="B5" s="40">
        <v>5</v>
      </c>
    </row>
    <row r="6" spans="1:2" ht="15" customHeight="1" x14ac:dyDescent="0.3">
      <c r="A6" s="6" t="s">
        <v>859</v>
      </c>
      <c r="B6" s="38">
        <v>6</v>
      </c>
    </row>
    <row r="7" spans="1:2" ht="15" customHeight="1" x14ac:dyDescent="0.3">
      <c r="A7" s="4" t="s">
        <v>860</v>
      </c>
      <c r="B7" s="40">
        <v>7</v>
      </c>
    </row>
    <row r="8" spans="1:2" ht="15" customHeight="1" x14ac:dyDescent="0.3">
      <c r="A8" s="6" t="s">
        <v>861</v>
      </c>
      <c r="B8" s="38">
        <v>8</v>
      </c>
    </row>
    <row r="9" spans="1:2" ht="15" customHeight="1" x14ac:dyDescent="0.3">
      <c r="A9" s="4" t="s">
        <v>862</v>
      </c>
      <c r="B9" s="40">
        <v>10</v>
      </c>
    </row>
    <row r="10" spans="1:2" ht="15" customHeight="1" x14ac:dyDescent="0.3">
      <c r="A10" s="6" t="s">
        <v>863</v>
      </c>
      <c r="B10" s="38">
        <v>11</v>
      </c>
    </row>
    <row r="11" spans="1:2" ht="15" customHeight="1" x14ac:dyDescent="0.3">
      <c r="A11" s="4" t="s">
        <v>864</v>
      </c>
      <c r="B11" s="40">
        <v>12</v>
      </c>
    </row>
    <row r="12" spans="1:2" ht="15" customHeight="1" x14ac:dyDescent="0.3">
      <c r="A12" s="6" t="s">
        <v>865</v>
      </c>
      <c r="B12" s="38">
        <v>13</v>
      </c>
    </row>
    <row r="13" spans="1:2" ht="15" customHeight="1" x14ac:dyDescent="0.3">
      <c r="A13" s="4" t="s">
        <v>866</v>
      </c>
      <c r="B13" s="40">
        <v>14</v>
      </c>
    </row>
    <row r="14" spans="1:2" ht="15" customHeight="1" x14ac:dyDescent="0.3">
      <c r="A14" s="6" t="s">
        <v>867</v>
      </c>
      <c r="B14" s="38">
        <v>15</v>
      </c>
    </row>
    <row r="15" spans="1:2" ht="15" customHeight="1" x14ac:dyDescent="0.3">
      <c r="A15" s="4" t="s">
        <v>868</v>
      </c>
      <c r="B15" s="40">
        <v>20</v>
      </c>
    </row>
    <row r="16" spans="1:2" ht="15" customHeight="1" x14ac:dyDescent="0.3">
      <c r="A16" s="6" t="s">
        <v>869</v>
      </c>
      <c r="B16" s="38">
        <v>21</v>
      </c>
    </row>
    <row r="17" spans="1:2" ht="15" customHeight="1" x14ac:dyDescent="0.3">
      <c r="A17" s="4" t="s">
        <v>870</v>
      </c>
      <c r="B17" s="40">
        <v>22</v>
      </c>
    </row>
    <row r="18" spans="1:2" ht="15" customHeight="1" x14ac:dyDescent="0.3">
      <c r="A18" s="6" t="s">
        <v>871</v>
      </c>
      <c r="B18" s="38">
        <v>26</v>
      </c>
    </row>
    <row r="19" spans="1:2" ht="15" customHeight="1" x14ac:dyDescent="0.3">
      <c r="A19" s="4" t="s">
        <v>872</v>
      </c>
      <c r="B19" s="40">
        <v>27</v>
      </c>
    </row>
    <row r="20" spans="1:2" ht="15" customHeight="1" x14ac:dyDescent="0.3">
      <c r="A20" s="6" t="s">
        <v>873</v>
      </c>
      <c r="B20" s="38">
        <v>28</v>
      </c>
    </row>
    <row r="21" spans="1:2" ht="15" customHeight="1" x14ac:dyDescent="0.3">
      <c r="A21" s="4" t="s">
        <v>874</v>
      </c>
      <c r="B21" s="40">
        <v>29</v>
      </c>
    </row>
    <row r="22" spans="1:2" ht="15" customHeight="1" x14ac:dyDescent="0.3">
      <c r="A22" s="6" t="s">
        <v>875</v>
      </c>
      <c r="B22" s="38">
        <v>35</v>
      </c>
    </row>
    <row r="23" spans="1:2" ht="15" customHeight="1" x14ac:dyDescent="0.3">
      <c r="A23" s="4" t="s">
        <v>876</v>
      </c>
      <c r="B23" s="40">
        <v>41</v>
      </c>
    </row>
    <row r="24" spans="1:2" ht="15" customHeight="1" x14ac:dyDescent="0.3">
      <c r="A24" s="6" t="s">
        <v>877</v>
      </c>
      <c r="B24" s="38">
        <v>42</v>
      </c>
    </row>
    <row r="25" spans="1:2" ht="15" customHeight="1" x14ac:dyDescent="0.3">
      <c r="A25" s="4" t="s">
        <v>878</v>
      </c>
      <c r="B25" s="40">
        <v>46</v>
      </c>
    </row>
    <row r="26" spans="1:2" ht="15" customHeight="1" x14ac:dyDescent="0.3">
      <c r="A26" s="6" t="s">
        <v>879</v>
      </c>
      <c r="B26" s="38">
        <v>47</v>
      </c>
    </row>
    <row r="27" spans="1:2" ht="15" customHeight="1" x14ac:dyDescent="0.3">
      <c r="A27" s="4" t="s">
        <v>880</v>
      </c>
      <c r="B27" s="40">
        <v>49</v>
      </c>
    </row>
    <row r="28" spans="1:2" ht="15" customHeight="1" x14ac:dyDescent="0.3">
      <c r="A28" s="6" t="s">
        <v>881</v>
      </c>
      <c r="B28" s="38">
        <v>50</v>
      </c>
    </row>
    <row r="29" spans="1:2" ht="15" customHeight="1" x14ac:dyDescent="0.3">
      <c r="A29" s="4" t="s">
        <v>882</v>
      </c>
      <c r="B29" s="40">
        <v>51</v>
      </c>
    </row>
    <row r="30" spans="1:2" ht="15" customHeight="1" x14ac:dyDescent="0.3">
      <c r="A30" s="6" t="s">
        <v>883</v>
      </c>
      <c r="B30" s="38">
        <v>61</v>
      </c>
    </row>
    <row r="31" spans="1:2" ht="15" customHeight="1" x14ac:dyDescent="0.3">
      <c r="A31" s="4" t="s">
        <v>884</v>
      </c>
      <c r="B31" s="40">
        <v>62</v>
      </c>
    </row>
    <row r="32" spans="1:2" ht="15" customHeight="1" x14ac:dyDescent="0.3">
      <c r="A32" s="6" t="s">
        <v>885</v>
      </c>
      <c r="B32" s="38">
        <v>63</v>
      </c>
    </row>
    <row r="33" spans="1:2" ht="15" customHeight="1" x14ac:dyDescent="0.3">
      <c r="A33" s="4" t="s">
        <v>886</v>
      </c>
      <c r="B33" s="40">
        <v>64</v>
      </c>
    </row>
    <row r="34" spans="1:2" ht="15" customHeight="1" x14ac:dyDescent="0.3">
      <c r="A34" s="6" t="s">
        <v>887</v>
      </c>
      <c r="B34" s="38">
        <v>65</v>
      </c>
    </row>
    <row r="35" spans="1:2" ht="15" customHeight="1" x14ac:dyDescent="0.3">
      <c r="A35" s="4" t="s">
        <v>888</v>
      </c>
      <c r="B35" s="40">
        <v>66</v>
      </c>
    </row>
    <row r="36" spans="1:2" ht="15" customHeight="1" x14ac:dyDescent="0.3">
      <c r="A36" s="6" t="s">
        <v>889</v>
      </c>
      <c r="B36" s="38">
        <v>68</v>
      </c>
    </row>
    <row r="37" spans="1:2" ht="15" customHeight="1" x14ac:dyDescent="0.3">
      <c r="A37" s="4" t="s">
        <v>890</v>
      </c>
      <c r="B37" s="40">
        <v>69</v>
      </c>
    </row>
    <row r="38" spans="1:2" ht="15" customHeight="1" x14ac:dyDescent="0.3">
      <c r="A38" s="6" t="s">
        <v>891</v>
      </c>
      <c r="B38" s="38">
        <v>70</v>
      </c>
    </row>
    <row r="39" spans="1:2" ht="15" customHeight="1" x14ac:dyDescent="0.3">
      <c r="A39" s="4" t="s">
        <v>892</v>
      </c>
      <c r="B39" s="40">
        <v>71</v>
      </c>
    </row>
    <row r="40" spans="1:2" ht="15" customHeight="1" x14ac:dyDescent="0.3">
      <c r="A40" s="6" t="s">
        <v>893</v>
      </c>
      <c r="B40" s="38">
        <v>72</v>
      </c>
    </row>
    <row r="41" spans="1:2" ht="15" customHeight="1" x14ac:dyDescent="0.3">
      <c r="A41" s="4" t="s">
        <v>894</v>
      </c>
      <c r="B41" s="40">
        <v>85</v>
      </c>
    </row>
    <row r="42" spans="1:2" ht="15" customHeight="1" x14ac:dyDescent="0.3">
      <c r="A42" s="6" t="s">
        <v>895</v>
      </c>
      <c r="B42" s="38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0_INSTRUCTIONS</vt:lpstr>
      <vt:lpstr>1_APPLICABILITY</vt:lpstr>
      <vt:lpstr>2_FINANCIALS</vt:lpstr>
      <vt:lpstr>3_FLA_RETURN</vt:lpstr>
      <vt:lpstr>4_VALIDATION</vt:lpstr>
      <vt:lpstr>ANNEX – NIC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Akshayam Gayathri</cp:lastModifiedBy>
  <cp:revision>0</cp:revision>
  <dcterms:created xsi:type="dcterms:W3CDTF">2026-04-22T11:04:38Z</dcterms:created>
  <dcterms:modified xsi:type="dcterms:W3CDTF">2026-06-05T14:15:41Z</dcterms:modified>
  <cp:category/>
  <cp:contentStatus/>
</cp:coreProperties>
</file>