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Common Error" sheetId="1" state="visible" r:id="rId1"/>
    <sheet xmlns:r="http://schemas.openxmlformats.org/officeDocument/2006/relationships" name="compliance sheet" sheetId="2" state="hidden" r:id="rId2"/>
    <sheet xmlns:r="http://schemas.openxmlformats.org/officeDocument/2006/relationships" name="compliance for Private " sheetId="3" state="visible" r:id="rId3"/>
    <sheet xmlns:r="http://schemas.openxmlformats.org/officeDocument/2006/relationships" name="compliance for public" sheetId="4" state="visible" r:id="rId4"/>
    <sheet xmlns:r="http://schemas.openxmlformats.org/officeDocument/2006/relationships" name="RPT and loans to Director" sheetId="5" state="visible" r:id="rId5"/>
    <sheet xmlns:r="http://schemas.openxmlformats.org/officeDocument/2006/relationships" name="Freezing the input" sheetId="6" state="visible" r:id="rId6"/>
  </sheets>
  <definedNames/>
  <calcPr calcId="191028" fullCalcOnLoad="1"/>
</workbook>
</file>

<file path=xl/styles.xml><?xml version="1.0" encoding="utf-8"?>
<styleSheet xmlns="http://schemas.openxmlformats.org/spreadsheetml/2006/main">
  <numFmts count="5">
    <numFmt numFmtId="164" formatCode="_ * #,##0_ ;_ * \-#,##0_ ;_ * &quot;-&quot;??_ ;_ @_ "/>
    <numFmt numFmtId="165" formatCode="_ * #,##0.00_ ;_ * \-#,##0.00_ ;_ * &quot;-&quot;??_ ;_ @_ "/>
    <numFmt numFmtId="166" formatCode="_ * #,##0.0000_ ;_ * \-#,##0.0000_ ;_ * &quot;-&quot;??_ ;_ @_ "/>
    <numFmt numFmtId="167" formatCode="_(* #,##0_);_(* \(#,##0\);_(* &quot;-&quot;??_);_(@_)"/>
    <numFmt numFmtId="168" formatCode="0.000"/>
  </numFmts>
  <fonts count="21">
    <font>
      <name val="Aptos Narrow"/>
      <family val="2"/>
      <color theme="1"/>
      <sz val="11"/>
      <scheme val="minor"/>
    </font>
    <font>
      <name val="Aptos Narrow"/>
      <family val="2"/>
      <color theme="1"/>
      <sz val="11"/>
      <scheme val="minor"/>
    </font>
    <font>
      <name val="Aptos Narrow"/>
      <family val="2"/>
      <color rgb="FFFF0000"/>
      <sz val="11"/>
      <scheme val="minor"/>
    </font>
    <font>
      <name val="Aptos Narrow"/>
      <family val="2"/>
      <b val="1"/>
      <color theme="1"/>
      <sz val="11"/>
      <scheme val="minor"/>
    </font>
    <font>
      <name val="Aptos Narrow"/>
      <family val="2"/>
      <color theme="1"/>
      <sz val="12"/>
      <scheme val="minor"/>
    </font>
    <font>
      <name val="Aptos Narrow"/>
      <family val="2"/>
      <sz val="12"/>
      <scheme val="minor"/>
    </font>
    <font>
      <name val="Aptos Narrow"/>
      <family val="2"/>
      <b val="1"/>
      <color theme="1"/>
      <sz val="12"/>
      <scheme val="minor"/>
    </font>
    <font>
      <name val="Aptos Narrow"/>
      <family val="2"/>
      <b val="1"/>
      <sz val="12"/>
      <scheme val="minor"/>
    </font>
    <font>
      <name val="Aptos Narrow"/>
      <family val="2"/>
      <b val="1"/>
      <color rgb="FFFF0000"/>
      <sz val="12"/>
      <scheme val="minor"/>
    </font>
    <font>
      <name val="Arial"/>
      <family val="2"/>
      <sz val="8"/>
    </font>
    <font>
      <name val="Arial"/>
      <family val="2"/>
      <sz val="12"/>
    </font>
    <font>
      <name val="Arial"/>
      <family val="2"/>
      <color rgb="FF333333"/>
      <sz val="11"/>
    </font>
    <font>
      <name val="Arial"/>
      <family val="2"/>
      <color rgb="FFEA9629"/>
      <sz val="11"/>
      <u val="single"/>
    </font>
    <font>
      <name val="Aptos Narrow"/>
      <family val="2"/>
      <color theme="0"/>
      <sz val="11"/>
      <scheme val="minor"/>
    </font>
    <font>
      <name val="Aptos Narrow"/>
      <family val="2"/>
      <color theme="10"/>
      <sz val="11"/>
      <u val="single"/>
      <scheme val="minor"/>
    </font>
    <font>
      <name val="Aptos Narrow"/>
      <family val="2"/>
      <color theme="0"/>
      <sz val="12"/>
      <scheme val="minor"/>
    </font>
    <font>
      <name val="Aptos Narrow"/>
      <family val="2"/>
      <color theme="10"/>
      <sz val="12"/>
      <u val="single"/>
      <scheme val="minor"/>
    </font>
    <font>
      <name val="Aptos Narrow"/>
      <family val="2"/>
      <color rgb="FF000000"/>
      <sz val="12"/>
      <scheme val="minor"/>
    </font>
    <font>
      <name val="Aptos Narrow"/>
      <family val="2"/>
      <color theme="1"/>
      <sz val="12"/>
      <u val="single"/>
      <scheme val="minor"/>
    </font>
    <font>
      <name val="Aptos Narrow"/>
      <family val="2"/>
      <b val="1"/>
      <color theme="1"/>
      <sz val="14"/>
      <scheme val="minor"/>
    </font>
    <font>
      <name val="Aptos Narrow"/>
      <b val="1"/>
      <color rgb="FF000000"/>
      <sz val="12"/>
      <scheme val="minor"/>
    </font>
  </fonts>
  <fills count="9">
    <fill>
      <patternFill/>
    </fill>
    <fill>
      <patternFill patternType="gray125"/>
    </fill>
    <fill>
      <patternFill patternType="solid">
        <fgColor rgb="FFFFFF00"/>
        <bgColor indexed="64"/>
      </patternFill>
    </fill>
    <fill>
      <patternFill patternType="solid">
        <fgColor theme="7"/>
        <bgColor indexed="64"/>
      </patternFill>
    </fill>
    <fill>
      <patternFill patternType="solid">
        <fgColor theme="5" tint="-0.249977111117893"/>
        <bgColor indexed="64"/>
      </patternFill>
    </fill>
    <fill>
      <patternFill patternType="solid">
        <fgColor rgb="FF00B050"/>
        <bgColor indexed="64"/>
      </patternFill>
    </fill>
    <fill>
      <patternFill patternType="solid">
        <fgColor rgb="FFFFC000"/>
        <bgColor indexed="64"/>
      </patternFill>
    </fill>
    <fill>
      <patternFill patternType="solid">
        <fgColor rgb="FFFF0000"/>
        <bgColor indexed="64"/>
      </patternFill>
    </fill>
    <fill>
      <patternFill patternType="solid">
        <fgColor theme="0"/>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right/>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top style="medium">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5">
    <xf numFmtId="0" fontId="1" fillId="0" borderId="0"/>
    <xf numFmtId="43" fontId="1" fillId="0" borderId="0"/>
    <xf numFmtId="43" fontId="1" fillId="0" borderId="0"/>
    <xf numFmtId="0" fontId="14" fillId="0" borderId="0"/>
    <xf numFmtId="0" fontId="1" fillId="0" borderId="0"/>
  </cellStyleXfs>
  <cellXfs count="153">
    <xf numFmtId="0" fontId="0" fillId="0" borderId="0" pivotButton="0" quotePrefix="0" xfId="0"/>
    <xf numFmtId="0" fontId="4" fillId="0" borderId="0" pivotButton="0" quotePrefix="0" xfId="0"/>
    <xf numFmtId="0" fontId="2" fillId="0" borderId="1" pivotButton="0" quotePrefix="0" xfId="0"/>
    <xf numFmtId="0" fontId="0" fillId="0" borderId="1" pivotButton="0" quotePrefix="0" xfId="0"/>
    <xf numFmtId="0" fontId="5" fillId="0" borderId="1" applyAlignment="1" pivotButton="0" quotePrefix="0" xfId="0">
      <alignment wrapText="1"/>
    </xf>
    <xf numFmtId="0" fontId="4" fillId="0" borderId="1" pivotButton="0" quotePrefix="0" xfId="0"/>
    <xf numFmtId="0" fontId="4" fillId="0" borderId="1" applyAlignment="1" pivotButton="0" quotePrefix="0" xfId="0">
      <alignment wrapText="1"/>
    </xf>
    <xf numFmtId="0" fontId="4" fillId="0" borderId="1" applyAlignment="1" pivotButton="0" quotePrefix="0" xfId="0">
      <alignment vertical="center"/>
    </xf>
    <xf numFmtId="0" fontId="6" fillId="0" borderId="1" applyAlignment="1" pivotButton="0" quotePrefix="0" xfId="0">
      <alignment wrapText="1"/>
    </xf>
    <xf numFmtId="0" fontId="6" fillId="0" borderId="1" pivotButton="0" quotePrefix="0" xfId="0"/>
    <xf numFmtId="0" fontId="5" fillId="0" borderId="1" pivotButton="0" quotePrefix="0" xfId="0"/>
    <xf numFmtId="0" fontId="6" fillId="0" borderId="0" pivotButton="0" quotePrefix="0" xfId="0"/>
    <xf numFmtId="0" fontId="4" fillId="0" borderId="1" applyAlignment="1" pivotButton="0" quotePrefix="0" xfId="0">
      <alignment horizontal="right" vertical="center"/>
    </xf>
    <xf numFmtId="0" fontId="6" fillId="0" borderId="1" applyAlignment="1" pivotButton="0" quotePrefix="0" xfId="0">
      <alignment vertical="center"/>
    </xf>
    <xf numFmtId="0" fontId="5" fillId="0" borderId="1" applyAlignment="1" pivotButton="0" quotePrefix="0" xfId="0">
      <alignment horizontal="right"/>
    </xf>
    <xf numFmtId="0" fontId="5" fillId="0" borderId="1" applyAlignment="1" pivotButton="0" quotePrefix="0" xfId="0">
      <alignment horizontal="left" wrapText="1"/>
    </xf>
    <xf numFmtId="0" fontId="8" fillId="0" borderId="1" pivotButton="0" quotePrefix="0" xfId="0"/>
    <xf numFmtId="0" fontId="9" fillId="0" borderId="0" applyAlignment="1" pivotButton="0" quotePrefix="0" xfId="0">
      <alignment wrapText="1"/>
    </xf>
    <xf numFmtId="0" fontId="10" fillId="0" borderId="0" applyAlignment="1" pivotButton="0" quotePrefix="0" xfId="0">
      <alignment wrapText="1"/>
    </xf>
    <xf numFmtId="0" fontId="8" fillId="0" borderId="0" pivotButton="0" quotePrefix="0" xfId="0"/>
    <xf numFmtId="0" fontId="7" fillId="0" borderId="1" applyAlignment="1" pivotButton="0" quotePrefix="0" xfId="0">
      <alignment wrapText="1"/>
    </xf>
    <xf numFmtId="0" fontId="5" fillId="0" borderId="1" applyAlignment="1" pivotButton="0" quotePrefix="0" xfId="0">
      <alignment vertical="top" wrapText="1"/>
    </xf>
    <xf numFmtId="0" fontId="7" fillId="0" borderId="1" applyAlignment="1" pivotButton="0" quotePrefix="0" xfId="0">
      <alignment horizontal="center" wrapText="1"/>
    </xf>
    <xf numFmtId="164" fontId="5" fillId="0" borderId="1" pivotButton="0" quotePrefix="0" xfId="0"/>
    <xf numFmtId="0" fontId="11" fillId="0" borderId="1" applyAlignment="1" pivotButton="0" quotePrefix="0" xfId="0">
      <alignment wrapText="1"/>
    </xf>
    <xf numFmtId="165" fontId="5" fillId="0" borderId="1" pivotButton="0" quotePrefix="0" xfId="0"/>
    <xf numFmtId="166" fontId="5" fillId="0" borderId="1" pivotButton="0" quotePrefix="0" xfId="1"/>
    <xf numFmtId="43" fontId="5" fillId="0" borderId="1" pivotButton="0" quotePrefix="0" xfId="1"/>
    <xf numFmtId="0" fontId="5" fillId="0" borderId="0" pivotButton="0" quotePrefix="0" xfId="0"/>
    <xf numFmtId="43" fontId="5" fillId="0" borderId="0" pivotButton="0" quotePrefix="0" xfId="1"/>
    <xf numFmtId="0" fontId="7" fillId="0" borderId="0" pivotButton="0" quotePrefix="0" xfId="0"/>
    <xf numFmtId="0" fontId="7" fillId="0" borderId="0" applyAlignment="1" pivotButton="0" quotePrefix="0" xfId="0">
      <alignment vertical="top" wrapText="1"/>
    </xf>
    <xf numFmtId="0" fontId="0" fillId="0" borderId="3" pivotButton="0" quotePrefix="0" xfId="0"/>
    <xf numFmtId="0" fontId="3" fillId="2" borderId="0" pivotButton="0" quotePrefix="0" xfId="0"/>
    <xf numFmtId="0" fontId="0" fillId="2" borderId="0" pivotButton="0" quotePrefix="0" xfId="0"/>
    <xf numFmtId="0" fontId="4" fillId="0" borderId="0" applyAlignment="1" pivotButton="0" quotePrefix="0" xfId="0">
      <alignment wrapText="1"/>
    </xf>
    <xf numFmtId="0" fontId="4" fillId="0" borderId="4" pivotButton="0" quotePrefix="0" xfId="0"/>
    <xf numFmtId="0" fontId="6" fillId="0" borderId="5" pivotButton="0" quotePrefix="0" xfId="0"/>
    <xf numFmtId="0" fontId="6" fillId="0" borderId="6" pivotButton="0" quotePrefix="0" xfId="0"/>
    <xf numFmtId="0" fontId="6" fillId="0" borderId="7" pivotButton="0" quotePrefix="0" xfId="0"/>
    <xf numFmtId="0" fontId="6" fillId="0" borderId="8" pivotButton="0" quotePrefix="0" xfId="0"/>
    <xf numFmtId="0" fontId="4" fillId="0" borderId="9" pivotButton="0" quotePrefix="0" xfId="0"/>
    <xf numFmtId="0" fontId="4" fillId="0" borderId="7" pivotButton="0" quotePrefix="0" xfId="0"/>
    <xf numFmtId="0" fontId="4" fillId="0" borderId="8" pivotButton="0" quotePrefix="0" xfId="0"/>
    <xf numFmtId="0" fontId="15" fillId="0" borderId="1" pivotButton="0" quotePrefix="0" xfId="0"/>
    <xf numFmtId="0" fontId="4" fillId="0" borderId="10" pivotButton="0" quotePrefix="0" xfId="0"/>
    <xf numFmtId="0" fontId="16" fillId="0" borderId="1" applyAlignment="1" pivotButton="0" quotePrefix="0" xfId="3">
      <alignment vertical="center"/>
    </xf>
    <xf numFmtId="0" fontId="4" fillId="0" borderId="11" pivotButton="0" quotePrefix="0" xfId="0"/>
    <xf numFmtId="0" fontId="6" fillId="0" borderId="10" pivotButton="0" quotePrefix="0" xfId="0"/>
    <xf numFmtId="0" fontId="6" fillId="0" borderId="11" pivotButton="0" quotePrefix="0" xfId="0"/>
    <xf numFmtId="0" fontId="17" fillId="2" borderId="1" pivotButton="0" quotePrefix="0" xfId="0"/>
    <xf numFmtId="0" fontId="4" fillId="0" borderId="10" applyAlignment="1" pivotButton="0" quotePrefix="0" xfId="0">
      <alignment wrapText="1"/>
    </xf>
    <xf numFmtId="167" fontId="4" fillId="3" borderId="1" applyAlignment="1" pivotButton="0" quotePrefix="0" xfId="2">
      <alignment wrapText="1"/>
    </xf>
    <xf numFmtId="168" fontId="4" fillId="0" borderId="1" pivotButton="0" quotePrefix="0" xfId="0"/>
    <xf numFmtId="168" fontId="4" fillId="0" borderId="11" pivotButton="0" quotePrefix="0" xfId="0"/>
    <xf numFmtId="0" fontId="13" fillId="0" borderId="0" pivotButton="0" quotePrefix="0" xfId="0"/>
    <xf numFmtId="0" fontId="6" fillId="0" borderId="12" pivotButton="0" quotePrefix="0" xfId="0"/>
    <xf numFmtId="0" fontId="17" fillId="2" borderId="13" pivotButton="0" quotePrefix="0" xfId="0"/>
    <xf numFmtId="0" fontId="4" fillId="0" borderId="14" pivotButton="0" quotePrefix="0" xfId="0"/>
    <xf numFmtId="0" fontId="4" fillId="0" borderId="15" pivotButton="0" quotePrefix="0" xfId="0"/>
    <xf numFmtId="0" fontId="4" fillId="0" borderId="3" pivotButton="0" quotePrefix="0" xfId="0"/>
    <xf numFmtId="0" fontId="4" fillId="0" borderId="16" pivotButton="0" quotePrefix="0" xfId="0"/>
    <xf numFmtId="0" fontId="4" fillId="0" borderId="17" pivotButton="0" quotePrefix="0" xfId="0"/>
    <xf numFmtId="0" fontId="4" fillId="0" borderId="18" pivotButton="0" quotePrefix="0" xfId="0"/>
    <xf numFmtId="0" fontId="4" fillId="0" borderId="19" pivotButton="0" quotePrefix="0" xfId="0"/>
    <xf numFmtId="167" fontId="4" fillId="0" borderId="1" pivotButton="0" quotePrefix="0" xfId="2"/>
    <xf numFmtId="0" fontId="5" fillId="0" borderId="10" applyAlignment="1" pivotButton="0" quotePrefix="0" xfId="0">
      <alignment horizontal="justify"/>
    </xf>
    <xf numFmtId="0" fontId="4" fillId="4" borderId="0" pivotButton="0" quotePrefix="0" xfId="0"/>
    <xf numFmtId="0" fontId="4" fillId="5" borderId="0" pivotButton="0" quotePrefix="0" xfId="0"/>
    <xf numFmtId="0" fontId="4" fillId="6" borderId="0" pivotButton="0" quotePrefix="0" xfId="0"/>
    <xf numFmtId="0" fontId="4" fillId="2" borderId="0" pivotButton="0" quotePrefix="0" xfId="0"/>
    <xf numFmtId="0" fontId="18" fillId="7" borderId="0" pivotButton="0" quotePrefix="0" xfId="0"/>
    <xf numFmtId="0" fontId="5" fillId="0" borderId="10" applyAlignment="1" pivotButton="0" quotePrefix="0" xfId="0">
      <alignment horizontal="left" indent="2"/>
    </xf>
    <xf numFmtId="0" fontId="4" fillId="3" borderId="1" applyAlignment="1" pivotButton="0" quotePrefix="0" xfId="0">
      <alignment wrapText="1"/>
    </xf>
    <xf numFmtId="0" fontId="5" fillId="3" borderId="1" applyAlignment="1" pivotButton="0" quotePrefix="0" xfId="0">
      <alignment horizontal="right" wrapText="1"/>
    </xf>
    <xf numFmtId="0" fontId="4" fillId="2" borderId="10" pivotButton="0" quotePrefix="0" xfId="0"/>
    <xf numFmtId="167" fontId="4" fillId="0" borderId="1" applyAlignment="1" pivotButton="0" quotePrefix="0" xfId="2">
      <alignment wrapText="1"/>
    </xf>
    <xf numFmtId="0" fontId="5" fillId="2" borderId="12" applyAlignment="1" pivotButton="0" quotePrefix="0" xfId="0">
      <alignment horizontal="left"/>
    </xf>
    <xf numFmtId="0" fontId="4" fillId="3" borderId="0" pivotButton="0" quotePrefix="0" xfId="0"/>
    <xf numFmtId="0" fontId="4" fillId="0" borderId="20" pivotButton="0" quotePrefix="0" xfId="0"/>
    <xf numFmtId="0" fontId="4" fillId="0" borderId="21" pivotButton="0" quotePrefix="0" xfId="0"/>
    <xf numFmtId="0" fontId="4" fillId="0" borderId="22" pivotButton="0" quotePrefix="0" xfId="0"/>
    <xf numFmtId="0" fontId="7" fillId="0" borderId="7" applyAlignment="1" pivotButton="0" quotePrefix="0" xfId="0">
      <alignment horizontal="left"/>
    </xf>
    <xf numFmtId="0" fontId="0" fillId="0" borderId="10" pivotButton="0" quotePrefix="0" xfId="0"/>
    <xf numFmtId="0" fontId="5" fillId="0" borderId="10" applyAlignment="1" pivotButton="0" quotePrefix="0" xfId="0">
      <alignment wrapText="1"/>
    </xf>
    <xf numFmtId="0" fontId="16" fillId="0" borderId="11" applyAlignment="1" pivotButton="0" quotePrefix="0" xfId="3">
      <alignment vertical="center"/>
    </xf>
    <xf numFmtId="0" fontId="5" fillId="2" borderId="12" applyAlignment="1" pivotButton="0" quotePrefix="0" xfId="0">
      <alignment wrapText="1"/>
    </xf>
    <xf numFmtId="0" fontId="17" fillId="2" borderId="14" pivotButton="0" quotePrefix="0" xfId="0"/>
    <xf numFmtId="0" fontId="7" fillId="0" borderId="7" applyAlignment="1" pivotButton="0" quotePrefix="0" xfId="0">
      <alignment wrapText="1"/>
    </xf>
    <xf numFmtId="0" fontId="6" fillId="0" borderId="8" applyAlignment="1" pivotButton="0" quotePrefix="0" xfId="0">
      <alignment wrapText="1"/>
    </xf>
    <xf numFmtId="0" fontId="6" fillId="0" borderId="9" pivotButton="0" quotePrefix="0" xfId="0"/>
    <xf numFmtId="0" fontId="5" fillId="0" borderId="12" applyAlignment="1" pivotButton="0" quotePrefix="0" xfId="0">
      <alignment horizontal="justify"/>
    </xf>
    <xf numFmtId="0" fontId="16" fillId="0" borderId="13" applyAlignment="1" pivotButton="0" quotePrefix="0" xfId="3">
      <alignment horizontal="right" vertical="center" wrapText="1"/>
    </xf>
    <xf numFmtId="168" fontId="4" fillId="0" borderId="13" pivotButton="0" quotePrefix="0" xfId="0"/>
    <xf numFmtId="168" fontId="4" fillId="0" borderId="14" pivotButton="0" quotePrefix="0" xfId="0"/>
    <xf numFmtId="0" fontId="7" fillId="0" borderId="7" pivotButton="0" quotePrefix="0" xfId="0"/>
    <xf numFmtId="0" fontId="7" fillId="0" borderId="8" applyAlignment="1" pivotButton="0" quotePrefix="0" xfId="0">
      <alignment wrapText="1"/>
    </xf>
    <xf numFmtId="0" fontId="17" fillId="0" borderId="13" pivotButton="0" quotePrefix="0" xfId="0"/>
    <xf numFmtId="0" fontId="5" fillId="0" borderId="10" pivotButton="0" quotePrefix="0" xfId="0"/>
    <xf numFmtId="0" fontId="5" fillId="2" borderId="10" applyAlignment="1" pivotButton="0" quotePrefix="0" xfId="0">
      <alignment wrapText="1"/>
    </xf>
    <xf numFmtId="0" fontId="0" fillId="0" borderId="1" applyAlignment="1" pivotButton="0" quotePrefix="0" xfId="0">
      <alignment wrapText="1"/>
    </xf>
    <xf numFmtId="0" fontId="5" fillId="0" borderId="10" applyAlignment="1" pivotButton="0" quotePrefix="0" xfId="0">
      <alignment horizontal="left" vertical="center" wrapText="1"/>
    </xf>
    <xf numFmtId="0" fontId="7" fillId="0" borderId="10" applyAlignment="1" pivotButton="0" quotePrefix="0" xfId="0">
      <alignment wrapText="1"/>
    </xf>
    <xf numFmtId="0" fontId="4" fillId="0" borderId="12" pivotButton="0" quotePrefix="0" xfId="0"/>
    <xf numFmtId="0" fontId="4" fillId="0" borderId="13" applyAlignment="1" pivotButton="0" quotePrefix="0" xfId="0">
      <alignment wrapText="1"/>
    </xf>
    <xf numFmtId="0" fontId="4" fillId="0" borderId="13" pivotButton="0" quotePrefix="0" xfId="0"/>
    <xf numFmtId="0" fontId="7" fillId="0" borderId="10" applyAlignment="1" pivotButton="0" quotePrefix="0" xfId="0">
      <alignment horizontal="left" vertical="center" wrapText="1"/>
    </xf>
    <xf numFmtId="0" fontId="5" fillId="0" borderId="10" applyAlignment="1" pivotButton="0" quotePrefix="0" xfId="4">
      <alignment horizontal="left" vertical="top" wrapText="1"/>
    </xf>
    <xf numFmtId="0" fontId="17" fillId="2" borderId="11" pivotButton="0" quotePrefix="0" xfId="0"/>
    <xf numFmtId="0" fontId="10" fillId="0" borderId="10" applyAlignment="1" pivotButton="0" quotePrefix="0" xfId="4">
      <alignment horizontal="left" vertical="top" wrapText="1"/>
    </xf>
    <xf numFmtId="0" fontId="0" fillId="0" borderId="3" applyAlignment="1" pivotButton="0" quotePrefix="0" xfId="0">
      <alignment wrapText="1"/>
    </xf>
    <xf numFmtId="0" fontId="2" fillId="0" borderId="1" applyAlignment="1" pivotButton="0" quotePrefix="0" xfId="0">
      <alignment wrapText="1"/>
    </xf>
    <xf numFmtId="0" fontId="20" fillId="0" borderId="0" pivotButton="0" quotePrefix="0" xfId="0"/>
    <xf numFmtId="0" fontId="15" fillId="0" borderId="0" pivotButton="0" quotePrefix="0" xfId="0"/>
    <xf numFmtId="0" fontId="6" fillId="0" borderId="25" pivotButton="0" quotePrefix="0" xfId="0"/>
    <xf numFmtId="168" fontId="4" fillId="0" borderId="25" pivotButton="0" quotePrefix="0" xfId="0"/>
    <xf numFmtId="0" fontId="13" fillId="0" borderId="0" applyAlignment="1" pivotButton="0" quotePrefix="0" xfId="0">
      <alignment wrapText="1"/>
    </xf>
    <xf numFmtId="167" fontId="4" fillId="0" borderId="1" applyAlignment="1" pivotButton="0" quotePrefix="0" xfId="2">
      <alignment wrapText="1"/>
    </xf>
    <xf numFmtId="167" fontId="15" fillId="0" borderId="0" pivotButton="0" quotePrefix="0" xfId="2"/>
    <xf numFmtId="0" fontId="5" fillId="0" borderId="1" applyAlignment="1" pivotButton="0" quotePrefix="0" xfId="0">
      <alignment horizontal="justify"/>
    </xf>
    <xf numFmtId="0" fontId="16" fillId="2" borderId="1" applyAlignment="1" pivotButton="0" quotePrefix="0" xfId="3">
      <alignment horizontal="right" vertical="center" wrapText="1"/>
    </xf>
    <xf numFmtId="168" fontId="4" fillId="2" borderId="1" pivotButton="0" quotePrefix="0" xfId="0"/>
    <xf numFmtId="0" fontId="4" fillId="2" borderId="1" applyAlignment="1" pivotButton="0" quotePrefix="0" xfId="0">
      <alignment wrapText="1"/>
    </xf>
    <xf numFmtId="0" fontId="5" fillId="0" borderId="1" applyAlignment="1" pivotButton="0" quotePrefix="0" xfId="0">
      <alignment horizontal="left" vertical="center" wrapText="1"/>
    </xf>
    <xf numFmtId="0" fontId="6" fillId="0" borderId="0" applyAlignment="1" pivotButton="0" quotePrefix="0" xfId="0">
      <alignment wrapText="1"/>
    </xf>
    <xf numFmtId="0" fontId="0" fillId="0" borderId="0" applyAlignment="1" pivotButton="0" quotePrefix="0" xfId="0">
      <alignment wrapText="1"/>
    </xf>
    <xf numFmtId="0" fontId="20" fillId="0" borderId="0" applyAlignment="1" pivotButton="0" quotePrefix="0" xfId="0">
      <alignment wrapText="1"/>
    </xf>
    <xf numFmtId="167" fontId="15" fillId="8" borderId="1" applyAlignment="1" pivotButton="0" quotePrefix="0" xfId="2">
      <alignment wrapText="1"/>
    </xf>
    <xf numFmtId="0" fontId="15" fillId="8" borderId="1" applyAlignment="1" pivotButton="0" quotePrefix="0" xfId="0">
      <alignment horizontal="right" wrapText="1"/>
    </xf>
    <xf numFmtId="4" fontId="15" fillId="8" borderId="1" applyAlignment="1" pivotButton="0" quotePrefix="0" xfId="0">
      <alignment wrapText="1"/>
    </xf>
    <xf numFmtId="0" fontId="15" fillId="8" borderId="1" applyAlignment="1" pivotButton="0" quotePrefix="0" xfId="0">
      <alignment wrapText="1"/>
    </xf>
    <xf numFmtId="167" fontId="4" fillId="8" borderId="1" applyAlignment="1" pivotButton="0" quotePrefix="0" xfId="2">
      <alignment wrapText="1"/>
    </xf>
    <xf numFmtId="0" fontId="4" fillId="8" borderId="1" applyAlignment="1" pivotButton="0" quotePrefix="0" xfId="0">
      <alignment wrapText="1"/>
    </xf>
    <xf numFmtId="0" fontId="4" fillId="8" borderId="0" pivotButton="0" quotePrefix="0" xfId="0"/>
    <xf numFmtId="0" fontId="17" fillId="0" borderId="1" applyAlignment="1" pivotButton="0" quotePrefix="0" xfId="0">
      <alignment wrapText="1"/>
    </xf>
    <xf numFmtId="0" fontId="7" fillId="0" borderId="1" applyAlignment="1" pivotButton="0" quotePrefix="0" xfId="0">
      <alignment horizontal="left" wrapText="1"/>
    </xf>
    <xf numFmtId="0" fontId="4" fillId="0" borderId="0" applyAlignment="1" pivotButton="0" quotePrefix="0" xfId="0">
      <alignment horizontal="center"/>
    </xf>
    <xf numFmtId="0" fontId="6" fillId="0" borderId="8" applyAlignment="1" pivotButton="0" quotePrefix="0" xfId="0">
      <alignment horizontal="center"/>
    </xf>
    <xf numFmtId="0" fontId="6" fillId="0" borderId="9" applyAlignment="1" pivotButton="0" quotePrefix="0" xfId="0">
      <alignment horizontal="center"/>
    </xf>
    <xf numFmtId="167" fontId="19" fillId="0" borderId="23" applyAlignment="1" pivotButton="0" quotePrefix="0" xfId="2">
      <alignment horizontal="center" wrapText="1"/>
    </xf>
    <xf numFmtId="0" fontId="19" fillId="0" borderId="23" applyAlignment="1" pivotButton="0" quotePrefix="0" xfId="0">
      <alignment horizontal="center" wrapText="1"/>
    </xf>
    <xf numFmtId="0" fontId="6" fillId="0" borderId="0" applyAlignment="1" pivotButton="0" quotePrefix="0" xfId="0">
      <alignment horizontal="left"/>
    </xf>
    <xf numFmtId="0" fontId="6" fillId="0" borderId="24" applyAlignment="1" pivotButton="0" quotePrefix="0" xfId="0">
      <alignment horizontal="center"/>
    </xf>
    <xf numFmtId="167" fontId="19" fillId="0" borderId="1" applyAlignment="1" pivotButton="0" quotePrefix="0" xfId="2">
      <alignment horizontal="center" wrapText="1"/>
    </xf>
    <xf numFmtId="0" fontId="19" fillId="0" borderId="1" applyAlignment="1" pivotButton="0" quotePrefix="0" xfId="0">
      <alignment horizontal="center" wrapText="1"/>
    </xf>
    <xf numFmtId="0" fontId="7" fillId="0" borderId="2" applyAlignment="1" pivotButton="0" quotePrefix="0" xfId="0">
      <alignment horizontal="center"/>
    </xf>
    <xf numFmtId="0" fontId="7" fillId="0" borderId="1" applyAlignment="1" pivotButton="0" quotePrefix="0" xfId="0">
      <alignment horizontal="left" wrapText="1"/>
    </xf>
    <xf numFmtId="0" fontId="4" fillId="0" borderId="0" applyAlignment="1" pivotButton="0" quotePrefix="0" xfId="0">
      <alignment wrapText="1"/>
    </xf>
    <xf numFmtId="0" fontId="0" fillId="0" borderId="28" pivotButton="0" quotePrefix="0" xfId="0"/>
    <xf numFmtId="0" fontId="0" fillId="0" borderId="23" pivotButton="0" quotePrefix="0" xfId="0"/>
    <xf numFmtId="0" fontId="0" fillId="0" borderId="31" pivotButton="0" quotePrefix="0" xfId="0"/>
    <xf numFmtId="0" fontId="0" fillId="0" borderId="2" pivotButton="0" quotePrefix="0" xfId="0"/>
    <xf numFmtId="0" fontId="0" fillId="0" borderId="32" pivotButton="0" quotePrefix="0" xfId="0"/>
  </cellXfs>
  <cellStyles count="5">
    <cellStyle name="Normal" xfId="0" builtinId="0"/>
    <cellStyle name="Comma 2" xfId="1"/>
    <cellStyle name="Comma" xfId="2" builtinId="3"/>
    <cellStyle name="Hyperlink" xfId="3" builtinId="8"/>
    <cellStyle name="Normal 11 2 2" xfId="4"/>
  </cellStyles>
  <dxfs count="33">
    <dxf>
      <font>
        <condense val="0"/>
        <color rgb="FF9C0006"/>
        <extend val="0"/>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color rgb="FF9C0006"/>
        <extend val="0"/>
      </font>
      <fill>
        <patternFill>
          <bgColor rgb="FFFFC7CE"/>
        </patternFill>
      </fill>
    </dxf>
    <dxf>
      <font>
        <condense val="0"/>
        <color rgb="FF9C0006"/>
        <extend val="0"/>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hyperlink" Target="https://exceljet.net/excel-functions/excel-if-function" TargetMode="External" Id="rId1"/><Relationship Type="http://schemas.openxmlformats.org/officeDocument/2006/relationships/hyperlink" Target="https://exceljet.net/excel-functions/excel-if-function" TargetMode="External" Id="rId2"/><Relationship Type="http://schemas.openxmlformats.org/officeDocument/2006/relationships/hyperlink" Target="https://exceljet.net/excel-functions/excel-if-function" TargetMode="External" Id="rId3"/><Relationship Type="http://schemas.openxmlformats.org/officeDocument/2006/relationships/hyperlink" Target="https://exceljet.net/excel-functions/excel-if-function" TargetMode="External" Id="rId4"/><Relationship Type="http://schemas.openxmlformats.org/officeDocument/2006/relationships/hyperlink" Target="https://exceljet.net/excel-functions/excel-if-function" TargetMode="External" Id="rId5"/><Relationship Type="http://schemas.openxmlformats.org/officeDocument/2006/relationships/hyperlink" Target="https://exceljet.net/excel-functions/excel-if-function" TargetMode="External" Id="rId6"/><Relationship Type="http://schemas.openxmlformats.org/officeDocument/2006/relationships/hyperlink" Target="https://exceljet.net/excel-functions/excel-if-function" TargetMode="External" Id="rId7"/><Relationship Type="http://schemas.openxmlformats.org/officeDocument/2006/relationships/hyperlink" Target="https://exceljet.net/excel-functions/excel-if-function" TargetMode="External" Id="rId8"/><Relationship Type="http://schemas.openxmlformats.org/officeDocument/2006/relationships/hyperlink" Target="https://exceljet.net/excel-functions/excel-if-function" TargetMode="External" Id="rId9"/><Relationship Type="http://schemas.openxmlformats.org/officeDocument/2006/relationships/hyperlink" Target="https://exceljet.net/excel-functions/excel-if-function" TargetMode="External" Id="rId10"/><Relationship Type="http://schemas.openxmlformats.org/officeDocument/2006/relationships/hyperlink" Target="https://exceljet.net/excel-functions/excel-if-function" TargetMode="External" Id="rId11"/><Relationship Type="http://schemas.openxmlformats.org/officeDocument/2006/relationships/hyperlink" Target="https://exceljet.net/excel-functions/excel-if-function" TargetMode="External" Id="rId12"/><Relationship Type="http://schemas.openxmlformats.org/officeDocument/2006/relationships/hyperlink" Target="https://exceljet.net/excel-functions/excel-if-function" TargetMode="External" Id="rId13"/><Relationship Type="http://schemas.openxmlformats.org/officeDocument/2006/relationships/hyperlink" Target="https://exceljet.net/excel-functions/excel-if-function" TargetMode="External" Id="rId14"/><Relationship Type="http://schemas.openxmlformats.org/officeDocument/2006/relationships/hyperlink" Target="https://exceljet.net/excel-functions/excel-if-function" TargetMode="External" Id="rId15"/><Relationship Type="http://schemas.openxmlformats.org/officeDocument/2006/relationships/hyperlink" Target="https://exceljet.net/excel-functions/excel-if-function" TargetMode="External" Id="rId16"/><Relationship Type="http://schemas.openxmlformats.org/officeDocument/2006/relationships/hyperlink" Target="https://exceljet.net/excel-functions/excel-if-function" TargetMode="External" Id="rId17"/><Relationship Type="http://schemas.openxmlformats.org/officeDocument/2006/relationships/hyperlink" Target="https://exceljet.net/excel-functions/excel-if-function" TargetMode="External" Id="rId18"/><Relationship Type="http://schemas.openxmlformats.org/officeDocument/2006/relationships/hyperlink" Target="https://exceljet.net/excel-functions/excel-if-function" TargetMode="External" Id="rId19"/><Relationship Type="http://schemas.openxmlformats.org/officeDocument/2006/relationships/hyperlink" Target="https://exceljet.net/excel-functions/excel-if-function" TargetMode="External" Id="rId20"/><Relationship Type="http://schemas.openxmlformats.org/officeDocument/2006/relationships/hyperlink" Target="https://exceljet.net/excel-functions/excel-if-function" TargetMode="External" Id="rId21"/><Relationship Type="http://schemas.openxmlformats.org/officeDocument/2006/relationships/hyperlink" Target="https://exceljet.net/excel-functions/excel-if-function" TargetMode="External" Id="rId22"/><Relationship Type="http://schemas.openxmlformats.org/officeDocument/2006/relationships/hyperlink" Target="https://exceljet.net/excel-functions/excel-if-function" TargetMode="External" Id="rId23"/><Relationship Type="http://schemas.openxmlformats.org/officeDocument/2006/relationships/hyperlink" Target="https://exceljet.net/excel-functions/excel-if-function" TargetMode="External" Id="rId24"/><Relationship Type="http://schemas.openxmlformats.org/officeDocument/2006/relationships/hyperlink" Target="https://exceljet.net/excel-functions/excel-if-function" TargetMode="External" Id="rId25"/><Relationship Type="http://schemas.openxmlformats.org/officeDocument/2006/relationships/hyperlink" Target="https://exceljet.net/excel-functions/excel-if-function" TargetMode="External" Id="rId26"/><Relationship Type="http://schemas.openxmlformats.org/officeDocument/2006/relationships/hyperlink" Target="https://exceljet.net/excel-functions/excel-if-function" TargetMode="External" Id="rId27"/><Relationship Type="http://schemas.openxmlformats.org/officeDocument/2006/relationships/hyperlink" Target="https://exceljet.net/excel-functions/excel-if-function" TargetMode="External" Id="rId28"/><Relationship Type="http://schemas.openxmlformats.org/officeDocument/2006/relationships/hyperlink" Target="https://exceljet.net/excel-functions/excel-if-function" TargetMode="External" Id="rId29"/><Relationship Type="http://schemas.openxmlformats.org/officeDocument/2006/relationships/hyperlink" Target="https://exceljet.net/excel-functions/excel-if-function" TargetMode="External" Id="rId30"/><Relationship Type="http://schemas.openxmlformats.org/officeDocument/2006/relationships/hyperlink" Target="https://exceljet.net/excel-functions/excel-if-function" TargetMode="External" Id="rId31"/><Relationship Type="http://schemas.openxmlformats.org/officeDocument/2006/relationships/hyperlink" Target="https://exceljet.net/excel-functions/excel-if-function" TargetMode="External" Id="rId32"/><Relationship Type="http://schemas.openxmlformats.org/officeDocument/2006/relationships/hyperlink" Target="https://exceljet.net/excel-functions/excel-if-function" TargetMode="External" Id="rId33"/><Relationship Type="http://schemas.openxmlformats.org/officeDocument/2006/relationships/hyperlink" Target="https://exceljet.net/excel-functions/excel-if-function" TargetMode="External" Id="rId34"/><Relationship Type="http://schemas.openxmlformats.org/officeDocument/2006/relationships/hyperlink" Target="https://exceljet.net/excel-functions/excel-if-function" TargetMode="External" Id="rId35"/><Relationship Type="http://schemas.openxmlformats.org/officeDocument/2006/relationships/hyperlink" Target="https://exceljet.net/excel-functions/excel-if-function" TargetMode="External" Id="rId36"/></Relationships>
</file>

<file path=xl/worksheets/_rels/sheet4.xml.rels><Relationships xmlns="http://schemas.openxmlformats.org/package/2006/relationships"><Relationship Type="http://schemas.openxmlformats.org/officeDocument/2006/relationships/hyperlink" Target="https://exceljet.net/excel-functions/excel-if-function" TargetMode="External" Id="rId1"/><Relationship Type="http://schemas.openxmlformats.org/officeDocument/2006/relationships/hyperlink" Target="https://exceljet.net/excel-functions/excel-if-function" TargetMode="External" Id="rId2"/><Relationship Type="http://schemas.openxmlformats.org/officeDocument/2006/relationships/hyperlink" Target="https://exceljet.net/excel-functions/excel-if-function" TargetMode="External" Id="rId3"/><Relationship Type="http://schemas.openxmlformats.org/officeDocument/2006/relationships/hyperlink" Target="https://exceljet.net/excel-functions/excel-if-function" TargetMode="External" Id="rId4"/><Relationship Type="http://schemas.openxmlformats.org/officeDocument/2006/relationships/hyperlink" Target="https://exceljet.net/excel-functions/excel-if-function" TargetMode="External" Id="rId5"/><Relationship Type="http://schemas.openxmlformats.org/officeDocument/2006/relationships/hyperlink" Target="https://exceljet.net/excel-functions/excel-if-function" TargetMode="External" Id="rId6"/><Relationship Type="http://schemas.openxmlformats.org/officeDocument/2006/relationships/hyperlink" Target="https://exceljet.net/excel-functions/excel-if-function" TargetMode="External" Id="rId7"/><Relationship Type="http://schemas.openxmlformats.org/officeDocument/2006/relationships/hyperlink" Target="https://exceljet.net/excel-functions/excel-if-function" TargetMode="External" Id="rId8"/><Relationship Type="http://schemas.openxmlformats.org/officeDocument/2006/relationships/hyperlink" Target="https://exceljet.net/excel-functions/excel-if-function" TargetMode="External" Id="rId9"/><Relationship Type="http://schemas.openxmlformats.org/officeDocument/2006/relationships/hyperlink" Target="https://exceljet.net/excel-functions/excel-if-function" TargetMode="External" Id="rId10"/><Relationship Type="http://schemas.openxmlformats.org/officeDocument/2006/relationships/hyperlink" Target="https://exceljet.net/excel-functions/excel-if-function" TargetMode="External" Id="rId11"/><Relationship Type="http://schemas.openxmlformats.org/officeDocument/2006/relationships/hyperlink" Target="https://exceljet.net/excel-functions/excel-if-function" TargetMode="External" Id="rId12"/><Relationship Type="http://schemas.openxmlformats.org/officeDocument/2006/relationships/hyperlink" Target="https://exceljet.net/excel-functions/excel-if-function" TargetMode="External" Id="rId13"/><Relationship Type="http://schemas.openxmlformats.org/officeDocument/2006/relationships/hyperlink" Target="https://exceljet.net/excel-functions/excel-if-function" TargetMode="External" Id="rId14"/><Relationship Type="http://schemas.openxmlformats.org/officeDocument/2006/relationships/hyperlink" Target="https://exceljet.net/excel-functions/excel-if-function" TargetMode="External" Id="rId15"/><Relationship Type="http://schemas.openxmlformats.org/officeDocument/2006/relationships/hyperlink" Target="https://exceljet.net/excel-functions/excel-if-function" TargetMode="External" Id="rId16"/><Relationship Type="http://schemas.openxmlformats.org/officeDocument/2006/relationships/hyperlink" Target="https://exceljet.net/excel-functions/excel-if-function" TargetMode="External" Id="rId17"/><Relationship Type="http://schemas.openxmlformats.org/officeDocument/2006/relationships/hyperlink" Target="https://exceljet.net/excel-functions/excel-if-function" TargetMode="External" Id="rId18"/><Relationship Type="http://schemas.openxmlformats.org/officeDocument/2006/relationships/hyperlink" Target="https://exceljet.net/excel-functions/excel-if-function" TargetMode="External" Id="rId19"/><Relationship Type="http://schemas.openxmlformats.org/officeDocument/2006/relationships/hyperlink" Target="https://exceljet.net/excel-functions/excel-if-function" TargetMode="External" Id="rId20"/><Relationship Type="http://schemas.openxmlformats.org/officeDocument/2006/relationships/hyperlink" Target="https://exceljet.net/excel-functions/excel-if-function" TargetMode="External" Id="rId21"/><Relationship Type="http://schemas.openxmlformats.org/officeDocument/2006/relationships/hyperlink" Target="https://exceljet.net/excel-functions/excel-if-function" TargetMode="External" Id="rId22"/><Relationship Type="http://schemas.openxmlformats.org/officeDocument/2006/relationships/hyperlink" Target="https://exceljet.net/excel-functions/excel-if-function" TargetMode="External" Id="rId23"/><Relationship Type="http://schemas.openxmlformats.org/officeDocument/2006/relationships/hyperlink" Target="https://exceljet.net/excel-functions/excel-if-function" TargetMode="External" Id="rId24"/><Relationship Type="http://schemas.openxmlformats.org/officeDocument/2006/relationships/hyperlink" Target="https://exceljet.net/excel-functions/excel-if-function" TargetMode="External" Id="rId25"/><Relationship Type="http://schemas.openxmlformats.org/officeDocument/2006/relationships/hyperlink" Target="https://exceljet.net/excel-functions/excel-if-function" TargetMode="External" Id="rId26"/><Relationship Type="http://schemas.openxmlformats.org/officeDocument/2006/relationships/hyperlink" Target="https://exceljet.net/excel-functions/excel-if-function" TargetMode="External" Id="rId27"/><Relationship Type="http://schemas.openxmlformats.org/officeDocument/2006/relationships/hyperlink" Target="https://exceljet.net/excel-functions/excel-if-function" TargetMode="External" Id="rId28"/><Relationship Type="http://schemas.openxmlformats.org/officeDocument/2006/relationships/hyperlink" Target="https://exceljet.net/excel-functions/excel-if-function" TargetMode="External" Id="rId29"/><Relationship Type="http://schemas.openxmlformats.org/officeDocument/2006/relationships/hyperlink" Target="https://exceljet.net/excel-functions/excel-if-function" TargetMode="External" Id="rId30"/><Relationship Type="http://schemas.openxmlformats.org/officeDocument/2006/relationships/hyperlink" Target="https://exceljet.net/excel-functions/excel-if-function" TargetMode="External" Id="rId31"/><Relationship Type="http://schemas.openxmlformats.org/officeDocument/2006/relationships/hyperlink" Target="https://exceljet.net/excel-functions/excel-if-function" TargetMode="External" Id="rId32"/><Relationship Type="http://schemas.openxmlformats.org/officeDocument/2006/relationships/hyperlink" Target="https://exceljet.net/excel-functions/excel-if-function" TargetMode="External" Id="rId33"/><Relationship Type="http://schemas.openxmlformats.org/officeDocument/2006/relationships/hyperlink" Target="https://exceljet.net/excel-functions/excel-if-function" TargetMode="External" Id="rId34"/><Relationship Type="http://schemas.openxmlformats.org/officeDocument/2006/relationships/hyperlink" Target="https://exceljet.net/excel-functions/excel-if-function" TargetMode="External" Id="rId35"/><Relationship Type="http://schemas.openxmlformats.org/officeDocument/2006/relationships/hyperlink" Target="https://exceljet.net/excel-functions/excel-if-function" TargetMode="External" Id="rId36"/><Relationship Type="http://schemas.openxmlformats.org/officeDocument/2006/relationships/hyperlink" Target="https://exceljet.net/excel-functions/excel-if-function" TargetMode="External" Id="rId37"/><Relationship Type="http://schemas.openxmlformats.org/officeDocument/2006/relationships/hyperlink" Target="https://exceljet.net/excel-functions/excel-if-function" TargetMode="External" Id="rId38"/><Relationship Type="http://schemas.openxmlformats.org/officeDocument/2006/relationships/hyperlink" Target="https://exceljet.net/excel-functions/excel-if-function" TargetMode="External" Id="rId39"/><Relationship Type="http://schemas.openxmlformats.org/officeDocument/2006/relationships/hyperlink" Target="https://exceljet.net/excel-functions/excel-if-function" TargetMode="External" Id="rId40"/><Relationship Type="http://schemas.openxmlformats.org/officeDocument/2006/relationships/hyperlink" Target="https://exceljet.net/excel-functions/excel-if-function" TargetMode="External" Id="rId41"/><Relationship Type="http://schemas.openxmlformats.org/officeDocument/2006/relationships/hyperlink" Target="https://exceljet.net/excel-functions/excel-if-function" TargetMode="External" Id="rId42"/><Relationship Type="http://schemas.openxmlformats.org/officeDocument/2006/relationships/hyperlink" Target="https://exceljet.net/excel-functions/excel-if-function" TargetMode="External" Id="rId43"/><Relationship Type="http://schemas.openxmlformats.org/officeDocument/2006/relationships/hyperlink" Target="https://exceljet.net/excel-functions/excel-if-function" TargetMode="External" Id="rId44"/><Relationship Type="http://schemas.openxmlformats.org/officeDocument/2006/relationships/hyperlink" Target="https://exceljet.net/excel-functions/excel-if-function" TargetMode="External" Id="rId45"/><Relationship Type="http://schemas.openxmlformats.org/officeDocument/2006/relationships/hyperlink" Target="https://exceljet.net/excel-functions/excel-if-function" TargetMode="External" Id="rId46"/><Relationship Type="http://schemas.openxmlformats.org/officeDocument/2006/relationships/hyperlink" Target="https://exceljet.net/excel-functions/excel-if-function" TargetMode="External" Id="rId47"/><Relationship Type="http://schemas.openxmlformats.org/officeDocument/2006/relationships/hyperlink" Target="https://exceljet.net/excel-functions/excel-if-function" TargetMode="External" Id="rId48"/><Relationship Type="http://schemas.openxmlformats.org/officeDocument/2006/relationships/hyperlink" Target="https://exceljet.net/excel-functions/excel-if-function" TargetMode="External" Id="rId49"/><Relationship Type="http://schemas.openxmlformats.org/officeDocument/2006/relationships/hyperlink" Target="https://exceljet.net/excel-functions/excel-if-function" TargetMode="External" Id="rId50"/></Relationships>
</file>

<file path=xl/worksheets/sheet1.xml><?xml version="1.0" encoding="utf-8"?>
<worksheet xmlns="http://schemas.openxmlformats.org/spreadsheetml/2006/main">
  <sheetPr>
    <outlinePr summaryBelow="1" summaryRight="1"/>
    <pageSetUpPr/>
  </sheetPr>
  <dimension ref="A1:I41"/>
  <sheetViews>
    <sheetView tabSelected="1" topLeftCell="A8" zoomScaleNormal="100" workbookViewId="0">
      <selection activeCell="C14" sqref="C14"/>
    </sheetView>
  </sheetViews>
  <sheetFormatPr baseColWidth="8" defaultColWidth="9.109375" defaultRowHeight="15.6"/>
  <cols>
    <col width="6.33203125" customWidth="1" style="1" min="1" max="1"/>
    <col width="77" customWidth="1" style="147" min="2" max="2"/>
    <col width="43.5546875" customWidth="1" style="147" min="3" max="3"/>
    <col width="32.33203125" customWidth="1" style="1" min="4" max="4"/>
    <col width="19.6640625" customWidth="1" style="1" min="5" max="5"/>
    <col width="29" customWidth="1" style="1" min="6" max="6"/>
    <col width="22.6640625" customWidth="1" style="1" min="7" max="7"/>
    <col width="9.109375" customWidth="1" style="1" min="8" max="8"/>
    <col width="47.88671875" customWidth="1" style="1" min="9" max="9"/>
    <col width="9.109375" customWidth="1" style="1" min="10" max="16384"/>
  </cols>
  <sheetData>
    <row r="1" ht="36.75" customFormat="1" customHeight="1" s="11">
      <c r="A1" s="9" t="inlineStr">
        <is>
          <t>S.No</t>
        </is>
      </c>
      <c r="B1" s="8" t="inlineStr">
        <is>
          <t>Particulars</t>
        </is>
      </c>
      <c r="C1" s="8" t="inlineStr">
        <is>
          <t>Key words</t>
        </is>
      </c>
      <c r="D1" s="9" t="inlineStr">
        <is>
          <t>SOURCE</t>
        </is>
      </c>
      <c r="E1" s="9" t="inlineStr">
        <is>
          <t>Yes/No/NA</t>
        </is>
      </c>
      <c r="F1" s="9" t="inlineStr">
        <is>
          <t>Comments</t>
        </is>
      </c>
      <c r="G1" s="8" t="inlineStr">
        <is>
          <t>Rectified/Not rectified</t>
        </is>
      </c>
    </row>
    <row r="2" ht="187.2" customFormat="1" customHeight="1" s="11">
      <c r="A2" s="13" t="n">
        <v>1</v>
      </c>
      <c r="B2" s="6" t="inlineStr">
        <is>
          <t xml:space="preserve">Whether audit report has the following fields 
a) Opinion of the Auditor 
b) Basis of Opinion
c) Emphasis of matter
d) Key Audit Matters
e) Other Information (if any)
f) Responsibility of Management for the financial statement (FS)
g) Auditor's responsibility for the Audit of FS
h) Other matters
i) report on other legal and regulatory requirements 
j) reporting on Internal finanical Controls  (if applicable)
</t>
        </is>
      </c>
      <c r="C2" s="6" t="n"/>
      <c r="D2" s="6" t="inlineStr">
        <is>
          <t>Auditors report</t>
        </is>
      </c>
      <c r="E2" s="9" t="n"/>
      <c r="F2" s="9" t="n"/>
      <c r="G2" s="8" t="n"/>
      <c r="I2" s="124" t="n"/>
    </row>
    <row r="3" ht="31.2" customFormat="1" customHeight="1" s="11">
      <c r="A3" s="12" t="n">
        <v>2</v>
      </c>
      <c r="B3" s="4" t="inlineStr">
        <is>
          <t xml:space="preserve">whether CARO/Companies (Auditor's Report) Order is as per  format given in Jamku&gt;Services&gt;ANNUAL FILING &gt;SAMPLE CARO </t>
        </is>
      </c>
      <c r="C3" s="4" t="inlineStr">
        <is>
          <t>CARO/Companies (Auditor's Report) Order</t>
        </is>
      </c>
      <c r="D3" s="10" t="inlineStr">
        <is>
          <t>Auditors report</t>
        </is>
      </c>
      <c r="E3" s="9" t="n"/>
      <c r="F3" s="5" t="n"/>
      <c r="G3" s="8" t="n"/>
    </row>
    <row r="4" ht="31.2" customFormat="1" customHeight="1" s="11">
      <c r="A4" s="12" t="n">
        <v>3</v>
      </c>
      <c r="B4" s="4" t="inlineStr">
        <is>
          <t xml:space="preserve">whether Schedule III is as per format in Jamku&gt;Services&gt;ANNUAL FILING &gt;SAMPLE SCHEDULE III </t>
        </is>
      </c>
      <c r="C4" s="4" t="n"/>
      <c r="D4" s="10" t="inlineStr">
        <is>
          <t>financials</t>
        </is>
      </c>
      <c r="E4" s="5" t="n"/>
      <c r="F4" s="5" t="n"/>
      <c r="G4" s="8" t="n"/>
    </row>
    <row r="5" ht="31.2" customHeight="1">
      <c r="A5" s="7" t="n">
        <v>4</v>
      </c>
      <c r="B5" s="6" t="inlineStr">
        <is>
          <t>Whether the CIN Number, Address, DIN of the director, Name of the director, CEO , CFO, CS (if any) signing the financials mentioned</t>
        </is>
      </c>
      <c r="C5" s="6" t="n"/>
      <c r="D5" s="6" t="inlineStr">
        <is>
          <t>financials</t>
        </is>
      </c>
      <c r="E5" s="5" t="n"/>
      <c r="F5" s="5" t="n"/>
      <c r="G5" s="5" t="n"/>
    </row>
    <row r="6" ht="31.2" customHeight="1">
      <c r="A6" s="7" t="n">
        <v>5</v>
      </c>
      <c r="B6" s="6" t="inlineStr">
        <is>
          <t>Whether Previous year figures in Balance Sheet, PL are mentioned correctly. (Please refer last year filed Financials for Checking)</t>
        </is>
      </c>
      <c r="C6" s="6" t="n"/>
      <c r="D6" s="6" t="inlineStr">
        <is>
          <t>financials of current year &amp; financials of previous year</t>
        </is>
      </c>
      <c r="E6" s="5" t="n"/>
      <c r="F6" s="5" t="n"/>
      <c r="G6" s="5" t="n"/>
    </row>
    <row r="7">
      <c r="A7" s="7" t="n">
        <v>6</v>
      </c>
      <c r="B7" s="8" t="inlineStr">
        <is>
          <t>Share capital Notes</t>
        </is>
      </c>
      <c r="C7" s="8" t="n"/>
      <c r="D7" s="9" t="n"/>
      <c r="E7" s="5" t="n"/>
      <c r="F7" s="5" t="n"/>
      <c r="G7" s="5" t="n"/>
    </row>
    <row r="8" ht="31.2" customHeight="1">
      <c r="A8" s="7" t="n"/>
      <c r="B8" s="6" t="inlineStr">
        <is>
          <t>Whether Shareholding more than 5% is mentioned in Schedule.</t>
        </is>
      </c>
      <c r="C8" s="6" t="inlineStr">
        <is>
          <t>shareholding</t>
        </is>
      </c>
      <c r="D8" s="6" t="inlineStr">
        <is>
          <t>financials - Balance sheet - Liabilities</t>
        </is>
      </c>
      <c r="E8" s="5" t="n"/>
      <c r="F8" s="5" t="n"/>
      <c r="G8" s="5" t="n"/>
    </row>
    <row r="9" ht="26.4" customHeight="1">
      <c r="A9" s="7" t="n"/>
      <c r="B9" s="6" t="inlineStr">
        <is>
          <t>Whether the Shareholding given in the Schedule matched with Statutory Register</t>
        </is>
      </c>
      <c r="C9" s="6" t="n"/>
      <c r="D9" s="6" t="inlineStr">
        <is>
          <t>To check Manually</t>
        </is>
      </c>
      <c r="E9" s="5" t="n"/>
      <c r="F9" s="5" t="n"/>
      <c r="G9" s="5" t="n"/>
    </row>
    <row r="10" ht="42.6" customHeight="1">
      <c r="A10" s="7" t="n"/>
      <c r="B10" s="6" t="inlineStr">
        <is>
          <t>Whether the Authorised Capital is mentioned correctly as per MCA(Including Face Value of the shares)</t>
        </is>
      </c>
      <c r="C10" s="6" t="n"/>
      <c r="D10" s="6" t="inlineStr">
        <is>
          <t>financials + Input sheet</t>
        </is>
      </c>
      <c r="E10" s="5" t="n"/>
      <c r="F10" s="5" t="n"/>
      <c r="G10" s="5" t="n"/>
    </row>
    <row r="11" ht="37.2" customHeight="1">
      <c r="A11" s="7" t="n"/>
      <c r="B11" s="6" t="inlineStr">
        <is>
          <t>Whether the and Paid up capital  is mentioned correctly as per MCA(Including Face Value of the shares)</t>
        </is>
      </c>
      <c r="C11" s="6" t="n"/>
      <c r="D11" s="6" t="inlineStr">
        <is>
          <t>financials + Input sheet</t>
        </is>
      </c>
      <c r="E11" s="5" t="n"/>
      <c r="F11" s="5" t="n"/>
      <c r="G11" s="5" t="n"/>
    </row>
    <row r="12" ht="31.2" customHeight="1">
      <c r="A12" s="7" t="n"/>
      <c r="B12" s="6" t="inlineStr">
        <is>
          <t xml:space="preserve">Whether reconciliation  of shares O/S at the beginning and end of the year is given 
</t>
        </is>
      </c>
      <c r="C12" s="6" t="inlineStr">
        <is>
          <t>reconciliation / shares at beginning of year/shares at end of year</t>
        </is>
      </c>
      <c r="D12" s="6" t="inlineStr">
        <is>
          <t>financials of current year &amp; financials of previous year</t>
        </is>
      </c>
      <c r="E12" s="5" t="n"/>
      <c r="F12" s="5" t="n"/>
      <c r="G12" s="5" t="n"/>
    </row>
    <row r="13" ht="31.2" customHeight="1">
      <c r="A13" s="7" t="n"/>
      <c r="B13" s="6" t="inlineStr">
        <is>
          <t>Whether promoter holding is disclosed as per format in Jamku&gt;Services&gt;ANNUAL FILING &gt;PROMOTER HOLDING</t>
        </is>
      </c>
      <c r="C13" s="6" t="inlineStr">
        <is>
          <t>promoter/  promoter holding / promoter's holding / promoter's holding</t>
        </is>
      </c>
      <c r="D13" s="6" t="inlineStr">
        <is>
          <t>financials of current year &amp; financials of previous year</t>
        </is>
      </c>
      <c r="E13" s="5" t="n"/>
      <c r="F13" s="5" t="n"/>
      <c r="G13" s="5" t="n"/>
    </row>
    <row r="14" ht="26.4" customHeight="1">
      <c r="A14" s="7" t="n">
        <v>7</v>
      </c>
      <c r="B14" s="6" t="inlineStr">
        <is>
          <t>Check whether Cash flow statement is given for  company with Paid up Capital of more than 10 crore</t>
        </is>
      </c>
      <c r="C14" s="6" t="n"/>
      <c r="D14" s="6" t="inlineStr">
        <is>
          <t>financials</t>
        </is>
      </c>
      <c r="E14" s="5" t="n"/>
      <c r="F14" s="5" t="n"/>
      <c r="G14" s="5" t="n"/>
    </row>
    <row r="15">
      <c r="A15" s="7" t="n">
        <v>8</v>
      </c>
      <c r="B15" s="6" t="inlineStr">
        <is>
          <t>Whether there is Significant Accounting Policies</t>
        </is>
      </c>
      <c r="C15" s="6" t="n"/>
      <c r="D15" s="5" t="inlineStr">
        <is>
          <t xml:space="preserve">financials </t>
        </is>
      </c>
      <c r="E15" s="5" t="n"/>
      <c r="F15" s="5" t="n"/>
      <c r="G15" s="5" t="n"/>
    </row>
    <row r="16">
      <c r="A16" s="7" t="n">
        <v>9</v>
      </c>
      <c r="B16" s="6" t="inlineStr">
        <is>
          <t>Whether EPS &amp; Diluted EPS is mentioned in PL</t>
        </is>
      </c>
      <c r="C16" s="6" t="n"/>
      <c r="D16" s="5" t="inlineStr">
        <is>
          <t>financials - P &amp; L</t>
        </is>
      </c>
      <c r="E16" s="5" t="n"/>
      <c r="F16" s="5" t="n"/>
      <c r="G16" s="5" t="n"/>
    </row>
    <row r="17" ht="31.2" customHeight="1">
      <c r="A17" s="7" t="n">
        <v>10</v>
      </c>
      <c r="B17" s="6" t="inlineStr">
        <is>
          <t>Check whether Notes to Accounts last page is Signed by both the directors and the Auditors.</t>
        </is>
      </c>
      <c r="C17" s="6" t="n"/>
      <c r="D17" s="5" t="inlineStr">
        <is>
          <t>financials - P &amp; L</t>
        </is>
      </c>
      <c r="E17" s="5" t="n"/>
      <c r="F17" s="5" t="n"/>
      <c r="G17" s="5" t="n"/>
    </row>
    <row r="18">
      <c r="A18" s="7" t="n">
        <v>11</v>
      </c>
      <c r="B18" s="4" t="inlineStr">
        <is>
          <t>Check for UDIN</t>
        </is>
      </c>
      <c r="C18" s="4" t="n"/>
      <c r="D18" s="5" t="inlineStr">
        <is>
          <t>Auditors report</t>
        </is>
      </c>
      <c r="E18" s="5" t="n"/>
      <c r="F18" s="5" t="n"/>
      <c r="G18" s="5" t="n"/>
    </row>
    <row r="19">
      <c r="A19" s="7" t="n">
        <v>12</v>
      </c>
      <c r="B19" s="4" t="inlineStr">
        <is>
          <t>Check if the financials and audit report has the seal of the auditor/firm</t>
        </is>
      </c>
      <c r="C19" s="4" t="n"/>
      <c r="D19" s="10" t="inlineStr">
        <is>
          <t>Financials &amp; Auditors report</t>
        </is>
      </c>
      <c r="E19" s="5" t="n"/>
      <c r="F19" s="5" t="n"/>
      <c r="G19" s="5" t="n"/>
    </row>
    <row r="20" ht="46.8" customHeight="1">
      <c r="A20" s="7" t="n">
        <v>13</v>
      </c>
      <c r="B20" s="6" t="inlineStr">
        <is>
          <t>Whether RPT transaction given in the Notes to Accounts matches with the figures given in PL and BS (For ex: Managerial Remuneration, Loan to directors, Loan from Directors)</t>
        </is>
      </c>
      <c r="C20" s="6" t="n"/>
      <c r="D20" s="6" t="inlineStr">
        <is>
          <t>Financials and Notes to Accounts</t>
        </is>
      </c>
      <c r="E20" s="5" t="n"/>
      <c r="F20" s="5" t="n"/>
      <c r="G20" s="5" t="n"/>
    </row>
    <row r="21">
      <c r="A21" s="7" t="n">
        <v>14</v>
      </c>
      <c r="B21" s="6" t="inlineStr">
        <is>
          <t>Whether Forex and RPT Transactions are mentioned in Notes to Accounts</t>
        </is>
      </c>
      <c r="C21" s="6" t="n"/>
      <c r="D21" s="5" t="inlineStr">
        <is>
          <t>Notes to accounts</t>
        </is>
      </c>
      <c r="E21" s="5" t="n"/>
      <c r="F21" s="5" t="n"/>
      <c r="G21" s="5" t="n"/>
    </row>
    <row r="22" ht="31.2" customHeight="1">
      <c r="A22" s="7" t="n">
        <v>15</v>
      </c>
      <c r="B22" s="8" t="inlineStr">
        <is>
          <t>Whether the Company is using an Accounting software with Audit trail features from 1st April 2023</t>
        </is>
      </c>
      <c r="C22" s="8" t="n"/>
      <c r="D22" s="9" t="n"/>
      <c r="E22" s="5" t="n"/>
      <c r="F22" s="5" t="n"/>
      <c r="G22" s="5" t="n"/>
    </row>
    <row r="23" ht="31.2" customHeight="1">
      <c r="A23" s="7" t="n"/>
      <c r="B23" s="6" t="inlineStr">
        <is>
          <t>Whether the Auditor report contains the views and comments of the auditor on the following features of the accounting software</t>
        </is>
      </c>
      <c r="C23" s="6" t="n"/>
      <c r="D23" s="6" t="n"/>
      <c r="E23" s="5" t="n"/>
      <c r="F23" s="5" t="n"/>
      <c r="G23" s="5" t="n"/>
    </row>
    <row r="24" ht="31.2" customHeight="1">
      <c r="A24" s="7" t="n"/>
      <c r="B24" s="6" t="inlineStr">
        <is>
          <t>(a) whether the Accounting software has a feature of recording audit trail (edit log) facility</t>
        </is>
      </c>
      <c r="C24" s="6" t="n"/>
      <c r="D24" s="6" t="inlineStr">
        <is>
          <t>Auditors report</t>
        </is>
      </c>
      <c r="E24" s="5" t="n"/>
      <c r="F24" s="5" t="n"/>
      <c r="G24" s="5" t="n"/>
    </row>
    <row r="25" ht="31.2" customHeight="1">
      <c r="A25" s="7" t="n"/>
      <c r="B25" s="6" t="inlineStr">
        <is>
          <t>(b) Whether the same has been operated throughout the year for all transactions recorded in the software</t>
        </is>
      </c>
      <c r="C25" s="6" t="n"/>
      <c r="D25" s="6" t="inlineStr">
        <is>
          <t>Auditors report</t>
        </is>
      </c>
      <c r="E25" s="5" t="n"/>
      <c r="F25" s="5" t="n"/>
      <c r="G25" s="5" t="n"/>
    </row>
    <row r="26">
      <c r="A26" s="7" t="n"/>
      <c r="B26" s="6" t="inlineStr">
        <is>
          <t>© Whether the audit trail feature has not been tampered with</t>
        </is>
      </c>
      <c r="C26" s="6" t="n"/>
      <c r="D26" s="6" t="inlineStr">
        <is>
          <t>Auditors report</t>
        </is>
      </c>
      <c r="E26" s="5" t="n"/>
      <c r="F26" s="5" t="n"/>
      <c r="G26" s="5" t="n"/>
    </row>
    <row r="27" ht="31.2" customHeight="1">
      <c r="A27" s="7" t="n"/>
      <c r="B27" s="6" t="inlineStr">
        <is>
          <t>(d) Whether the audit trail has been preserved by the company as per the statutory requirements for record retention.</t>
        </is>
      </c>
      <c r="C27" s="6" t="n"/>
      <c r="D27" s="6" t="inlineStr">
        <is>
          <t>Auditors report</t>
        </is>
      </c>
      <c r="E27" s="5" t="n"/>
      <c r="F27" s="5" t="n"/>
      <c r="G27" s="5" t="n"/>
    </row>
    <row r="28" ht="31.2" customHeight="1">
      <c r="A28" s="7" t="n"/>
      <c r="B28" s="6" t="inlineStr">
        <is>
          <t>If any of the above points is No, Then send financials back to the company highlighting the "NO"</t>
        </is>
      </c>
      <c r="C28" s="6" t="n"/>
      <c r="D28" s="6" t="n"/>
      <c r="E28" s="5" t="n"/>
      <c r="F28" s="5" t="n"/>
      <c r="G28" s="5" t="n"/>
    </row>
    <row r="29" ht="31.2" customHeight="1">
      <c r="A29" s="7" t="n">
        <v>16</v>
      </c>
      <c r="B29" s="8" t="inlineStr">
        <is>
          <t>To check only if CSR is applicable based on compliance sheet- If NIL, ignore the below items</t>
        </is>
      </c>
      <c r="C29" s="8" t="n"/>
      <c r="D29" s="6" t="n"/>
      <c r="E29" s="5" t="n"/>
      <c r="F29" s="5" t="n"/>
      <c r="G29" s="5" t="n"/>
    </row>
    <row r="30">
      <c r="A30" s="7" t="n"/>
      <c r="B30" s="6" t="inlineStr">
        <is>
          <t>(a) amount required to be spent by the company during the year,</t>
        </is>
      </c>
      <c r="C30" s="147" t="n"/>
      <c r="E30" s="5" t="n"/>
      <c r="F30" s="5" t="n"/>
      <c r="G30" s="5" t="n"/>
    </row>
    <row r="31">
      <c r="A31" s="7" t="n"/>
      <c r="B31" s="6" t="inlineStr">
        <is>
          <t>(b) amount of expenditure incurred,</t>
        </is>
      </c>
      <c r="C31" s="6" t="n"/>
      <c r="D31" s="6" t="n"/>
      <c r="E31" s="5" t="n"/>
      <c r="F31" s="5" t="n"/>
      <c r="G31" s="5" t="n"/>
    </row>
    <row r="32">
      <c r="A32" s="7" t="n"/>
      <c r="B32" s="6" t="inlineStr">
        <is>
          <t>(c) shortfall at the end of the year,</t>
        </is>
      </c>
      <c r="C32" s="6" t="n"/>
      <c r="D32" s="6" t="n"/>
      <c r="E32" s="5" t="n"/>
      <c r="F32" s="5" t="n"/>
      <c r="G32" s="5" t="n"/>
    </row>
    <row r="33">
      <c r="A33" s="7" t="n"/>
      <c r="B33" s="6" t="inlineStr">
        <is>
          <t>(d) total of previous years shortfall,</t>
        </is>
      </c>
      <c r="C33" s="6" t="n"/>
      <c r="D33" s="6" t="n"/>
      <c r="E33" s="5" t="n"/>
      <c r="F33" s="5" t="n"/>
      <c r="G33" s="5" t="n"/>
    </row>
    <row r="34">
      <c r="A34" s="7" t="n"/>
      <c r="B34" s="6" t="inlineStr">
        <is>
          <t>(e) reason for shortfall,</t>
        </is>
      </c>
      <c r="C34" s="6" t="n"/>
      <c r="D34" s="6" t="n"/>
      <c r="E34" s="5" t="n"/>
      <c r="F34" s="5" t="n"/>
      <c r="G34" s="5" t="n"/>
    </row>
    <row r="35">
      <c r="A35" s="7" t="n"/>
      <c r="B35" s="6" t="inlineStr">
        <is>
          <t>(f) nature of CSR activities,</t>
        </is>
      </c>
      <c r="C35" s="6" t="n"/>
      <c r="D35" s="6" t="n"/>
      <c r="E35" s="5" t="n"/>
      <c r="F35" s="5" t="n"/>
      <c r="G35" s="5" t="n"/>
    </row>
    <row r="36" ht="31.2" customHeight="1">
      <c r="A36" s="7" t="n"/>
      <c r="B36" s="6" t="inlineStr">
        <is>
          <t>(g) details of related party transactions, e.g., contribution to a trust controlled by the company in relation to CSR expenditure as per relevant Accounting Standard,</t>
        </is>
      </c>
      <c r="C36" s="6" t="n"/>
      <c r="D36" s="6" t="n"/>
      <c r="E36" s="5" t="n"/>
      <c r="F36" s="5" t="n"/>
      <c r="G36" s="5" t="n"/>
    </row>
    <row r="37" ht="46.8" customHeight="1">
      <c r="A37" s="7" t="n"/>
      <c r="B37" s="6" t="inlineStr">
        <is>
          <t>(h) where a provision is made with respect to a liability incurred by entering into a contractual obligation, the movements in the provision during the year should be shown separately.</t>
        </is>
      </c>
      <c r="C37" s="6" t="n"/>
      <c r="D37" s="6" t="n"/>
      <c r="E37" s="5" t="n"/>
      <c r="F37" s="5" t="n"/>
      <c r="G37" s="5" t="n"/>
    </row>
    <row r="38" ht="31.2" customHeight="1">
      <c r="A38" s="5" t="n">
        <v>17</v>
      </c>
      <c r="B38" s="4" t="inlineStr">
        <is>
          <t>TM to check with company if any Board Resolutions was issued during the FY or upto 6 months from the end of FY for which Annual filing is being done</t>
        </is>
      </c>
      <c r="C38" s="4" t="n"/>
      <c r="D38" s="4" t="inlineStr">
        <is>
          <t>Team to check with client</t>
        </is>
      </c>
      <c r="E38" s="3" t="n"/>
      <c r="F38" s="5" t="n"/>
      <c r="G38" s="5" t="n"/>
    </row>
    <row r="39" ht="31.2" customHeight="1">
      <c r="A39" s="5" t="n">
        <v>18</v>
      </c>
      <c r="B39" s="4" t="inlineStr">
        <is>
          <t>TM to check with company if Directors were abroad during any part of the FY or upto 6 months from the end of the FY</t>
        </is>
      </c>
      <c r="C39" s="4" t="n"/>
      <c r="D39" s="4" t="inlineStr">
        <is>
          <t>Team to check with client</t>
        </is>
      </c>
      <c r="E39" s="3" t="n"/>
      <c r="F39" s="5" t="n"/>
      <c r="G39" s="5" t="n"/>
    </row>
    <row r="40">
      <c r="B40" s="110" t="n"/>
      <c r="C40" s="110" t="n"/>
      <c r="D40" s="32" t="n"/>
      <c r="E40" s="32" t="n"/>
    </row>
    <row r="41">
      <c r="B41" s="111" t="n"/>
      <c r="C41" s="111" t="n"/>
      <c r="D41" s="2" t="n"/>
      <c r="E41" s="2" t="n"/>
    </row>
  </sheetData>
  <conditionalFormatting sqref="E5">
    <cfRule type="containsText" priority="2" operator="containsText" dxfId="0" text="NO">
      <formula>NOT(ISERROR(SEARCH("NO",E5)))</formula>
    </cfRule>
  </conditionalFormatting>
  <conditionalFormatting sqref="E5:E18">
    <cfRule type="containsText" priority="1" operator="containsText" dxfId="0" text="No">
      <formula>NOT(ISERROR(SEARCH("No",E5)))</formula>
    </cfRule>
  </conditionalFormatting>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4.4"/>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Y97"/>
  <sheetViews>
    <sheetView topLeftCell="A12" zoomScale="85" zoomScaleNormal="85" workbookViewId="0">
      <selection activeCell="D8" sqref="D8:E10"/>
    </sheetView>
  </sheetViews>
  <sheetFormatPr baseColWidth="8" defaultColWidth="9.33203125" defaultRowHeight="15.6"/>
  <cols>
    <col width="16" customWidth="1" style="1" min="1" max="1"/>
    <col width="39.109375" customWidth="1" style="147" min="2" max="2"/>
    <col width="54.6640625" customWidth="1" style="1" min="3" max="3"/>
    <col width="27.33203125" customWidth="1" style="147" min="4" max="4"/>
    <col width="34.44140625" customWidth="1" style="1" min="5" max="5"/>
    <col width="25.33203125" customWidth="1" style="147" min="6" max="6"/>
    <col width="34.6640625" customWidth="1" style="1" min="7" max="7"/>
    <col width="10.5546875" customWidth="1" style="1" min="8" max="8"/>
    <col width="16" customWidth="1" style="1" min="9" max="9"/>
    <col width="3.6640625" customWidth="1" style="1" min="10" max="10"/>
    <col width="49.6640625" bestFit="1" customWidth="1" style="1" min="11" max="11"/>
    <col width="43.44140625" customWidth="1" style="1" min="12" max="12"/>
    <col width="24" customWidth="1" style="1" min="13" max="13"/>
    <col width="9.33203125" customWidth="1" style="1" min="14" max="17"/>
    <col width="9.33203125" customWidth="1" style="1" min="18" max="16384"/>
  </cols>
  <sheetData>
    <row r="1">
      <c r="K1" s="136" t="inlineStr">
        <is>
          <t xml:space="preserve">THIS THREE COLUMN SHOULD NOT COME IN OUTPUL EXCEL. </t>
        </is>
      </c>
    </row>
    <row r="3" ht="16.2" customHeight="1" thickBot="1"/>
    <row r="4" ht="16.2" customHeight="1" thickBot="1">
      <c r="K4" s="36" t="n"/>
      <c r="L4" s="37" t="inlineStr">
        <is>
          <t>Current Year</t>
        </is>
      </c>
      <c r="M4" s="38" t="inlineStr">
        <is>
          <t>Previous year</t>
        </is>
      </c>
    </row>
    <row r="5" ht="16.2" customHeight="1" thickBot="1">
      <c r="C5" s="11" t="inlineStr">
        <is>
          <t xml:space="preserve">Name of the Company: </t>
        </is>
      </c>
      <c r="D5" s="11" t="n"/>
      <c r="E5" s="11" t="n"/>
      <c r="K5" s="39" t="inlineStr">
        <is>
          <t>Small Company</t>
        </is>
      </c>
      <c r="L5" s="40" t="inlineStr">
        <is>
          <t>Applicability</t>
        </is>
      </c>
      <c r="M5" s="41" t="n"/>
    </row>
    <row r="6">
      <c r="C6" s="42" t="n"/>
      <c r="D6" s="137" t="inlineStr">
        <is>
          <t>Current Year (Year 0)</t>
        </is>
      </c>
      <c r="E6" s="148" t="n"/>
      <c r="F6" s="137" t="inlineStr">
        <is>
          <t>Previous Year (Year 1)</t>
        </is>
      </c>
      <c r="G6" s="148" t="n"/>
      <c r="H6" s="43" t="n"/>
      <c r="I6" s="44" t="inlineStr">
        <is>
          <t>Applicable</t>
        </is>
      </c>
      <c r="K6" s="45" t="inlineStr">
        <is>
          <t>TO less than 100 Cr and PUC less than 10 Cr</t>
        </is>
      </c>
      <c r="L6" s="46">
        <f>IF((AND($D$8&lt;100000000,$D$21&lt;1000000000)), $I$7, $I$6)</f>
        <v/>
      </c>
      <c r="M6" s="47" t="n"/>
    </row>
    <row r="7">
      <c r="A7" s="112" t="inlineStr">
        <is>
          <t>Source</t>
        </is>
      </c>
      <c r="B7" s="126" t="inlineStr">
        <is>
          <t>Key words</t>
        </is>
      </c>
      <c r="C7" s="48" t="inlineStr">
        <is>
          <t>Financial Particulars</t>
        </is>
      </c>
      <c r="D7" s="8" t="inlineStr">
        <is>
          <t>Rs.</t>
        </is>
      </c>
      <c r="E7" s="9" t="inlineStr">
        <is>
          <t>in Cr</t>
        </is>
      </c>
      <c r="F7" s="8" t="inlineStr">
        <is>
          <t>Rs.</t>
        </is>
      </c>
      <c r="G7" s="49" t="inlineStr">
        <is>
          <t>in Cr</t>
        </is>
      </c>
      <c r="H7" s="5" t="n"/>
      <c r="I7" s="44" t="inlineStr">
        <is>
          <t>Not Applicable</t>
        </is>
      </c>
      <c r="K7" s="45" t="inlineStr">
        <is>
          <t>Should not be Subsidiary or Holding Company</t>
        </is>
      </c>
      <c r="L7" s="50">
        <f>IF(OR($D$31=$I$8,$D$31=$I$9),$I$6,$I$7)</f>
        <v/>
      </c>
      <c r="M7" s="47" t="n"/>
    </row>
    <row r="8" ht="93.59999999999999" customHeight="1">
      <c r="A8" s="1" t="inlineStr">
        <is>
          <t>Financials</t>
        </is>
      </c>
      <c r="B8" s="147" t="inlineStr">
        <is>
          <t xml:space="preserve">Balance Sheet, Equity → paid.?up capital, paid.?up share capital, subscribed and paid.?up, equity share capital and Preference  → paid.?up capital, paid.?up share capital, subscribed and paid.?up, equity share capital </t>
        </is>
      </c>
      <c r="C8" s="51" t="inlineStr">
        <is>
          <t>Paidup capital</t>
        </is>
      </c>
      <c r="D8" s="127" t="n"/>
      <c r="E8" s="53">
        <f>D8/10000000</f>
        <v/>
      </c>
      <c r="F8" s="131" t="n"/>
      <c r="G8" s="54">
        <f>F8/10000000</f>
        <v/>
      </c>
      <c r="H8" s="5" t="n"/>
      <c r="I8" s="55" t="inlineStr">
        <is>
          <t>Subsidiary Company</t>
        </is>
      </c>
      <c r="K8" s="45" t="n"/>
      <c r="L8" s="5" t="n"/>
      <c r="M8" s="47" t="n"/>
    </row>
    <row r="9" ht="43.2" customHeight="1">
      <c r="A9" s="1" t="inlineStr">
        <is>
          <t>Financials</t>
        </is>
      </c>
      <c r="B9" s="125" t="inlineStr">
        <is>
          <t>Balance Sheet, Equity → reserves and surplus, reserves &amp; surplus, other equity, retained earnings</t>
        </is>
      </c>
      <c r="C9" s="51" t="inlineStr">
        <is>
          <t>Reserves and Surplus</t>
        </is>
      </c>
      <c r="D9" s="127" t="n"/>
      <c r="E9" s="53">
        <f>D9/10000000</f>
        <v/>
      </c>
      <c r="F9" s="131" t="n"/>
      <c r="G9" s="54">
        <f>F9/10000000</f>
        <v/>
      </c>
      <c r="H9" s="5" t="n"/>
      <c r="I9" s="55" t="inlineStr">
        <is>
          <t>Holding Company</t>
        </is>
      </c>
      <c r="K9" s="56" t="inlineStr">
        <is>
          <t>Result</t>
        </is>
      </c>
      <c r="L9" s="57">
        <f>IF(OR($L$6=$I$6,$L$7=$I$6),$I$6,$I$7)</f>
        <v/>
      </c>
      <c r="M9" s="58" t="n"/>
    </row>
    <row r="10" ht="43.2" customHeight="1">
      <c r="A10" s="1" t="inlineStr">
        <is>
          <t>Financials</t>
        </is>
      </c>
      <c r="B10" s="125" t="inlineStr">
        <is>
          <t>Balance Sheet, Liabilities → borrowings, long.?term borrowings, short.?term borrowings, secured loans, unsecured loans</t>
        </is>
      </c>
      <c r="C10" s="51" t="inlineStr">
        <is>
          <t>Total Borrowings</t>
        </is>
      </c>
      <c r="D10" s="127" t="n"/>
      <c r="E10" s="53">
        <f>D10/10000000</f>
        <v/>
      </c>
      <c r="F10" s="131" t="n"/>
      <c r="G10" s="54">
        <f>F10/10000000</f>
        <v/>
      </c>
      <c r="H10" s="5" t="n"/>
      <c r="I10" s="55" t="inlineStr">
        <is>
          <t>Not a Holding or subsidiary Company</t>
        </is>
      </c>
      <c r="K10" s="59" t="n"/>
      <c r="L10" s="60" t="n"/>
      <c r="M10" s="61" t="n"/>
    </row>
    <row r="11" ht="62.4" customHeight="1">
      <c r="A11" s="1" t="inlineStr">
        <is>
          <t>Financials</t>
        </is>
      </c>
      <c r="B11" s="147" t="inlineStr">
        <is>
          <t>Balance Sheet, Assets / Related Party Note → loans and advances to directors, due from directors, loans to related parties, advance to KMP</t>
        </is>
      </c>
      <c r="C11" s="51" t="inlineStr">
        <is>
          <t>Loangiven by Company to Directors or Director related entities (assets)</t>
        </is>
      </c>
      <c r="D11" s="127" t="n"/>
      <c r="E11" s="53">
        <f>D11/10000000</f>
        <v/>
      </c>
      <c r="F11" s="131" t="n"/>
      <c r="G11" s="54">
        <f>F11/10000000</f>
        <v/>
      </c>
      <c r="K11" s="62" t="n"/>
      <c r="L11" s="63" t="n"/>
      <c r="M11" s="64" t="n"/>
      <c r="U11" s="1" t="inlineStr">
        <is>
          <t>compny</t>
        </is>
      </c>
    </row>
    <row r="12" ht="46.8" customHeight="1">
      <c r="A12" s="1" t="inlineStr">
        <is>
          <t>Financials</t>
        </is>
      </c>
      <c r="B12" s="147" t="inlineStr">
        <is>
          <t>Balance Sheet, Assets → loans and advances (assets), loans given, inter.?corporate deposits given, ICD given</t>
        </is>
      </c>
      <c r="C12" s="51" t="inlineStr">
        <is>
          <t>Loans given by Company (assets)</t>
        </is>
      </c>
      <c r="D12" s="127" t="n"/>
      <c r="E12" s="53">
        <f>D12/10000000</f>
        <v/>
      </c>
      <c r="F12" s="131" t="n"/>
      <c r="G12" s="54">
        <f>F12/10000000</f>
        <v/>
      </c>
      <c r="H12" s="6" t="inlineStr">
        <is>
          <t>Newtorth @ 60%</t>
        </is>
      </c>
      <c r="I12" s="65">
        <f>$F$20*0.6</f>
        <v/>
      </c>
      <c r="K12" s="39" t="inlineStr">
        <is>
          <t>CARO</t>
        </is>
      </c>
      <c r="L12" s="40" t="inlineStr">
        <is>
          <t xml:space="preserve">Applicability </t>
        </is>
      </c>
      <c r="M12" s="41" t="n"/>
    </row>
    <row r="13" ht="62.4" customHeight="1">
      <c r="A13" s="1" t="inlineStr">
        <is>
          <t>Financials</t>
        </is>
      </c>
      <c r="B13" s="147" t="inlineStr">
        <is>
          <t>Balance Sheet, Assets → investments, non.?current investments, current investments, investment in subsidiaries/associates</t>
        </is>
      </c>
      <c r="C13" s="51" t="inlineStr">
        <is>
          <t>Investments made by Company (assets)</t>
        </is>
      </c>
      <c r="D13" s="127" t="n"/>
      <c r="E13" s="53">
        <f>D13/10000000</f>
        <v/>
      </c>
      <c r="F13" s="131" t="n"/>
      <c r="G13" s="54">
        <f>F13/10000000</f>
        <v/>
      </c>
      <c r="H13" s="6" t="inlineStr">
        <is>
          <t>100% of FR</t>
        </is>
      </c>
      <c r="I13" s="65">
        <f>$F$9</f>
        <v/>
      </c>
      <c r="K13" s="66" t="inlineStr">
        <is>
          <t>One Person Company</t>
        </is>
      </c>
      <c r="L13" s="5" t="inlineStr">
        <is>
          <t>No</t>
        </is>
      </c>
      <c r="M13" s="47" t="n"/>
      <c r="T13" s="67" t="inlineStr">
        <is>
          <t>listed</t>
        </is>
      </c>
      <c r="V13" s="1" t="inlineStr">
        <is>
          <t>unlisted</t>
        </is>
      </c>
    </row>
    <row r="14" ht="46.8" customHeight="1">
      <c r="A14" s="1" t="inlineStr">
        <is>
          <t>Financials</t>
        </is>
      </c>
      <c r="B14" s="147" t="inlineStr">
        <is>
          <t>Notes, Contingent Liabilities → corporate guarantee, guarantees given, contingent liabilities.*guarantee</t>
        </is>
      </c>
      <c r="C14" s="51" t="inlineStr">
        <is>
          <t>Corporate Guarantees given by Company</t>
        </is>
      </c>
      <c r="D14" s="127" t="n"/>
      <c r="E14" s="53">
        <f>D14/10000000</f>
        <v/>
      </c>
      <c r="F14" s="131" t="n"/>
      <c r="G14" s="54">
        <f>F14/10000000</f>
        <v/>
      </c>
      <c r="H14" s="5" t="inlineStr">
        <is>
          <t>Max</t>
        </is>
      </c>
      <c r="I14" s="65">
        <f>MAX($I$12,$I$13)</f>
        <v/>
      </c>
      <c r="K14" s="45" t="inlineStr">
        <is>
          <t xml:space="preserve">Small Company </t>
        </is>
      </c>
      <c r="L14" s="46">
        <f>L9</f>
        <v/>
      </c>
      <c r="M14" s="47" t="n"/>
      <c r="T14" s="1" t="inlineStr">
        <is>
          <t>plc</t>
        </is>
      </c>
      <c r="V14" s="68" t="inlineStr">
        <is>
          <t>plc</t>
        </is>
      </c>
      <c r="W14" s="1" t="inlineStr">
        <is>
          <t>pvt</t>
        </is>
      </c>
    </row>
    <row r="15" ht="57.6" customHeight="1">
      <c r="A15" s="1" t="inlineStr">
        <is>
          <t>Financials</t>
        </is>
      </c>
      <c r="B15" s="125" t="inlineStr">
        <is>
          <t>Balance Sheet, Liabilities / Related Party Note → loan from directors, unsecured loan from director, due to directors, loans from relatives of directors</t>
        </is>
      </c>
      <c r="C15" s="66" t="inlineStr">
        <is>
          <t>Loan from Directors or their relatives (Liabilities)</t>
        </is>
      </c>
      <c r="D15" s="127" t="n"/>
      <c r="E15" s="53">
        <f>D15/10000000</f>
        <v/>
      </c>
      <c r="F15" s="131" t="n"/>
      <c r="G15" s="54">
        <f>F15/10000000</f>
        <v/>
      </c>
      <c r="H15" s="5" t="n"/>
      <c r="K15" s="66" t="inlineStr">
        <is>
          <t>Private Company (Exempted)</t>
        </is>
      </c>
      <c r="L15" s="46">
        <f>IF((AND($D$8&lt;40000000,$D$21&lt;400000000)), $I$7, $I$6)</f>
        <v/>
      </c>
      <c r="M15" s="47" t="n"/>
      <c r="W15" s="69" t="inlineStr">
        <is>
          <t>OPC</t>
        </is>
      </c>
      <c r="X15" s="70" t="inlineStr">
        <is>
          <t xml:space="preserve">Small </t>
        </is>
      </c>
      <c r="Y15" s="71" t="inlineStr">
        <is>
          <t>Other than small</t>
        </is>
      </c>
    </row>
    <row r="16" ht="43.2" customHeight="1">
      <c r="A16" s="1" t="inlineStr">
        <is>
          <t>Financials</t>
        </is>
      </c>
      <c r="B16" s="125" t="inlineStr">
        <is>
          <t>Balance Sheet, Liabilities → loan from shareholders, unsecured loan from shareholder, ICD from shareholder</t>
        </is>
      </c>
      <c r="C16" s="66" t="inlineStr">
        <is>
          <t>Loan from Shareholders (Liabilities)</t>
        </is>
      </c>
      <c r="D16" s="127" t="n"/>
      <c r="E16" s="53">
        <f>D16/10000000</f>
        <v/>
      </c>
      <c r="F16" s="131" t="n"/>
      <c r="G16" s="54">
        <f>F16/10000000</f>
        <v/>
      </c>
      <c r="H16" s="5" t="n"/>
      <c r="K16" s="72" t="inlineStr">
        <is>
          <t>PUC + RS not more than 1 Cr</t>
        </is>
      </c>
      <c r="L16" s="46">
        <f>IF(($D$8+$D$9)&gt;10000000,$I$6,$I$7)</f>
        <v/>
      </c>
      <c r="M16" s="47" t="n"/>
    </row>
    <row r="17" ht="43.2" customHeight="1">
      <c r="A17" s="1" t="inlineStr">
        <is>
          <t>Financials</t>
        </is>
      </c>
      <c r="B17" s="125" t="inlineStr">
        <is>
          <t>Balance Sheet, Liabilities → secured loan, term loan (secured), loan against hypothecation, secured borrowings</t>
        </is>
      </c>
      <c r="C17" s="66" t="inlineStr">
        <is>
          <t>Secured Loan</t>
        </is>
      </c>
      <c r="D17" s="127" t="n"/>
      <c r="E17" s="53">
        <f>D17/10000000</f>
        <v/>
      </c>
      <c r="F17" s="132" t="n"/>
      <c r="G17" s="54" t="n">
        <v>0</v>
      </c>
      <c r="H17" s="5" t="n"/>
      <c r="I17" s="5" t="n"/>
      <c r="K17" s="72" t="inlineStr">
        <is>
          <t>Borrowing not more than 1 Cr(Any point in FY)</t>
        </is>
      </c>
      <c r="L17" s="46">
        <f>IF($D$10&gt;10000000, $I$6,$I$7)</f>
        <v/>
      </c>
      <c r="M17" s="47" t="n"/>
    </row>
    <row r="18" ht="31.2" customHeight="1">
      <c r="A18" s="1" t="inlineStr">
        <is>
          <t>Financials</t>
        </is>
      </c>
      <c r="B18" s="147" t="inlineStr">
        <is>
          <t>Notes to accounts</t>
        </is>
      </c>
      <c r="C18" s="51" t="inlineStr">
        <is>
          <t>Advance from Customers, Shareholders, Security Deposits (Liabilitys)</t>
        </is>
      </c>
      <c r="D18" s="127" t="n"/>
      <c r="E18" s="53">
        <f>D18/10000000</f>
        <v/>
      </c>
      <c r="F18" s="132" t="n"/>
      <c r="G18" s="54">
        <f>F18/10000000</f>
        <v/>
      </c>
      <c r="H18" s="5" t="n"/>
      <c r="I18" s="5" t="n"/>
      <c r="K18" s="72" t="inlineStr">
        <is>
          <t>Total revenue not exceeding 10 Cr</t>
        </is>
      </c>
      <c r="L18" s="46">
        <f>IF($D$22&gt;100000000,$I$6,$I$7)</f>
        <v/>
      </c>
      <c r="M18" s="47" t="n"/>
    </row>
    <row r="19" ht="43.2" customHeight="1">
      <c r="A19" s="1" t="inlineStr">
        <is>
          <t>Financials</t>
        </is>
      </c>
      <c r="B19" s="125" t="inlineStr">
        <is>
          <t>Balance Sheet, Liabilities / Notes → advance from customers, security deposit received, advance received, customer advances</t>
        </is>
      </c>
      <c r="C19" s="66" t="inlineStr">
        <is>
          <t>Dues to MSME</t>
        </is>
      </c>
      <c r="D19" s="128" t="n"/>
      <c r="E19" s="53">
        <f>D19/10000000</f>
        <v/>
      </c>
      <c r="F19" s="132" t="n"/>
      <c r="G19" s="54">
        <f>F19/10000000</f>
        <v/>
      </c>
      <c r="H19" s="5" t="n"/>
      <c r="I19" s="5" t="n"/>
      <c r="K19" s="72" t="n"/>
      <c r="L19" s="46" t="n"/>
      <c r="M19" s="47" t="n"/>
    </row>
    <row r="20">
      <c r="B20" s="147" t="inlineStr">
        <is>
          <t>Capital + reserves &amp; surplus</t>
        </is>
      </c>
      <c r="C20" s="75" t="inlineStr">
        <is>
          <t>Networth</t>
        </is>
      </c>
      <c r="D20" s="127">
        <f>+D8+D9</f>
        <v/>
      </c>
      <c r="E20" s="53">
        <f>D20/10000000</f>
        <v/>
      </c>
      <c r="F20" s="131">
        <f>+F8+F9</f>
        <v/>
      </c>
      <c r="G20" s="54">
        <f>F20/10000000</f>
        <v/>
      </c>
      <c r="H20" s="5" t="n"/>
      <c r="K20" s="72" t="n"/>
      <c r="L20" s="46" t="n"/>
      <c r="M20" s="47" t="n"/>
    </row>
    <row r="21" ht="28.8" customHeight="1">
      <c r="A21" s="1" t="inlineStr">
        <is>
          <t>Financials</t>
        </is>
      </c>
      <c r="B21" s="125" t="inlineStr">
        <is>
          <t>P&amp;L → revenue from operations, total turnover, sales turnover, gross turnover</t>
        </is>
      </c>
      <c r="C21" s="51" t="inlineStr">
        <is>
          <t>Turnover</t>
        </is>
      </c>
      <c r="D21" s="127" t="n"/>
      <c r="E21" s="53">
        <f>D21/10000000</f>
        <v/>
      </c>
      <c r="F21" s="131" t="n"/>
      <c r="G21" s="54">
        <f>F21/10000000</f>
        <v/>
      </c>
      <c r="H21" s="5" t="inlineStr">
        <is>
          <t>Year 2</t>
        </is>
      </c>
      <c r="I21" s="1" t="inlineStr">
        <is>
          <t>Year 3</t>
        </is>
      </c>
      <c r="K21" s="77" t="inlineStr">
        <is>
          <t>Result</t>
        </is>
      </c>
      <c r="L21" s="57">
        <f>IF(OR(L13=$I$6,L14=$I$6,L16=$I$6,L17=$I$6,L18=$I$6),$I$6,$I$7)</f>
        <v/>
      </c>
      <c r="M21" s="58" t="n"/>
    </row>
    <row r="22" ht="28.8" customHeight="1">
      <c r="A22" s="1" t="inlineStr">
        <is>
          <t>Financials</t>
        </is>
      </c>
      <c r="B22" s="125" t="inlineStr">
        <is>
          <t>P&amp;L → total revenue, total income, revenue and other income</t>
        </is>
      </c>
      <c r="C22" s="51" t="inlineStr">
        <is>
          <t>Total Revenue</t>
        </is>
      </c>
      <c r="D22" s="127" t="n"/>
      <c r="E22" s="53">
        <f>D22/10000000</f>
        <v/>
      </c>
      <c r="F22" s="131" t="n"/>
      <c r="G22" s="54">
        <f>F22/10000000</f>
        <v/>
      </c>
      <c r="H22" s="133" t="n"/>
      <c r="I22" s="133" t="n"/>
      <c r="K22" s="79" t="n"/>
      <c r="L22" s="80" t="n"/>
      <c r="M22" s="81" t="n"/>
    </row>
    <row r="23" ht="28.8" customHeight="1">
      <c r="A23" s="1" t="inlineStr">
        <is>
          <t>Financials</t>
        </is>
      </c>
      <c r="B23" s="125" t="inlineStr">
        <is>
          <t>P&amp;L → profit before tax, PBT, profit/(loss) before tax</t>
        </is>
      </c>
      <c r="C23" s="51" t="inlineStr">
        <is>
          <t>Profit Before Tax</t>
        </is>
      </c>
      <c r="D23" s="127" t="n"/>
      <c r="E23" s="53">
        <f>D23/10000000</f>
        <v/>
      </c>
      <c r="F23" s="131" t="n"/>
      <c r="G23" s="54">
        <f>F23/10000000</f>
        <v/>
      </c>
      <c r="K23" s="82" t="inlineStr">
        <is>
          <t>Corporate Social Responsibility</t>
        </is>
      </c>
      <c r="L23" s="43" t="n"/>
      <c r="M23" s="41" t="n"/>
    </row>
    <row r="24" ht="57.6" customHeight="1">
      <c r="A24" s="1" t="inlineStr">
        <is>
          <t>Financials</t>
        </is>
      </c>
      <c r="B24" s="125" t="inlineStr">
        <is>
          <t>RemunerationRelated Party Note / Notes to Accounts → annual remuneration, remuneration paid to directors, managerial remuneration (then compute: annual ÷ 12)</t>
        </is>
      </c>
      <c r="C24" s="45" t="inlineStr">
        <is>
          <t>ED / WTD - 1 Monthly Remuneration</t>
        </is>
      </c>
      <c r="D24" s="129" t="n"/>
      <c r="E24" s="5">
        <f>D24/10000000</f>
        <v/>
      </c>
      <c r="F24" s="6" t="n"/>
      <c r="G24" s="47">
        <f>F24/10000000</f>
        <v/>
      </c>
      <c r="K24" s="83" t="n"/>
      <c r="L24" s="3" t="n"/>
      <c r="M24" s="47" t="n"/>
    </row>
    <row r="25" ht="57.6" customHeight="1">
      <c r="A25" s="1" t="inlineStr">
        <is>
          <t>Financials</t>
        </is>
      </c>
      <c r="B25" s="125" t="inlineStr">
        <is>
          <t>RemunerationRelated Party Note / Notes to Accounts → annual remuneration, remuneration paid to directors, managerial remuneration (then compute: annual ÷ 12)</t>
        </is>
      </c>
      <c r="C25" s="45" t="inlineStr">
        <is>
          <t>ED / WTD - 2 Monthly Remuneration</t>
        </is>
      </c>
      <c r="D25" s="130" t="n"/>
      <c r="E25" s="5">
        <f>D25/10000000</f>
        <v/>
      </c>
      <c r="F25" s="6" t="n"/>
      <c r="G25" s="47">
        <f>F25/10000000</f>
        <v/>
      </c>
      <c r="K25" s="84" t="inlineStr">
        <is>
          <t>Net worth of Rs.500 crore or more; OR</t>
        </is>
      </c>
      <c r="L25" s="46">
        <f>IF($D$20&gt;=5000000000,"Applicable","Not Applicable")</f>
        <v/>
      </c>
      <c r="M25" s="85">
        <f>IF($F$20&gt;=5000000000,"Applicable","Not Applicable")</f>
        <v/>
      </c>
    </row>
    <row r="26" ht="43.2" customHeight="1">
      <c r="A26" s="1" t="inlineStr">
        <is>
          <t>Financials</t>
        </is>
      </c>
      <c r="B26" s="125" t="inlineStr">
        <is>
          <t>Notes, Revenue breakup → export sales, export turnover, revenue from export, FOB value of exports</t>
        </is>
      </c>
      <c r="C26" s="45" t="inlineStr">
        <is>
          <t>Exprt</t>
        </is>
      </c>
      <c r="D26" s="130" t="n"/>
      <c r="E26" s="5">
        <f>D26/10000000</f>
        <v/>
      </c>
      <c r="F26" s="6" t="n"/>
      <c r="G26" s="47">
        <f>F26/10000000</f>
        <v/>
      </c>
      <c r="K26" s="84" t="inlineStr">
        <is>
          <t xml:space="preserve">Turnover of Rs.1,000 crore or more ; OR                                                                                                                                                                                                                                                                                                                                                        </t>
        </is>
      </c>
      <c r="L26" s="46">
        <f>IF($D$21&gt;=10000000000,"Applicable","Not Applicable")</f>
        <v/>
      </c>
      <c r="M26" s="85">
        <f>IF($F$21&gt;=10000000000,"Applicable","Not Applicable")</f>
        <v/>
      </c>
    </row>
    <row r="27" ht="43.2" customHeight="1">
      <c r="A27" s="1" t="inlineStr">
        <is>
          <t>Financials</t>
        </is>
      </c>
      <c r="B27" s="125" t="inlineStr">
        <is>
          <t>Notes, Revenue breakup → export sales, export turnover, revenue from export, FOB value of exports</t>
        </is>
      </c>
      <c r="C27" s="45" t="inlineStr">
        <is>
          <t>Exprt</t>
        </is>
      </c>
      <c r="D27" s="130" t="n"/>
      <c r="E27" s="5">
        <f>D27/10000000</f>
        <v/>
      </c>
      <c r="F27" s="6" t="n"/>
      <c r="G27" s="47">
        <f>F27/10000000</f>
        <v/>
      </c>
      <c r="K27" s="84" t="inlineStr">
        <is>
          <t>Net profit of Rs.5 crore or more (before tax)</t>
        </is>
      </c>
      <c r="L27" s="46">
        <f>IF($D$23&gt;=50000000,"Applicable","Not Applicable")</f>
        <v/>
      </c>
      <c r="M27" s="85">
        <f>IF($F$23&gt;=50000000,"Applicable","Not Applicable")</f>
        <v/>
      </c>
    </row>
    <row r="28" ht="57.6" customHeight="1">
      <c r="A28" s="1" t="inlineStr">
        <is>
          <t>Financials</t>
        </is>
      </c>
      <c r="B28" s="125" t="inlineStr">
        <is>
          <t>RemunerationRelated Party Note / Notes to Accounts → annual remuneration, remuneration paid to directors, managerial remuneration (then compute: annual ÷ 12)</t>
        </is>
      </c>
      <c r="C28" s="45" t="inlineStr">
        <is>
          <t>ED / WTD - 5 Monthly Remuneration</t>
        </is>
      </c>
      <c r="D28" s="130" t="n"/>
      <c r="E28" s="5">
        <f>D28/10000000</f>
        <v/>
      </c>
      <c r="F28" s="6" t="n"/>
      <c r="G28" s="47">
        <f>F28/10000000</f>
        <v/>
      </c>
      <c r="K28" s="84" t="n"/>
      <c r="L28" s="46" t="n"/>
      <c r="M28" s="85" t="n"/>
    </row>
    <row r="29" ht="28.8" customHeight="1">
      <c r="A29" s="1" t="inlineStr">
        <is>
          <t>Financials</t>
        </is>
      </c>
      <c r="B29" s="125" t="inlineStr">
        <is>
          <t>Related Party Note / Notes to Accounts → sitting fees, fees to directors, director sitting fee</t>
        </is>
      </c>
      <c r="C29" s="45" t="inlineStr">
        <is>
          <t>Sitting Fees to Directors</t>
        </is>
      </c>
      <c r="D29" s="130" t="n"/>
      <c r="E29" s="5">
        <f>D29/10000000</f>
        <v/>
      </c>
      <c r="F29" s="6" t="n"/>
      <c r="G29" s="47">
        <f>F29/10000000</f>
        <v/>
      </c>
      <c r="K29" s="86" t="inlineStr">
        <is>
          <t>Result</t>
        </is>
      </c>
      <c r="L29" s="57">
        <f>IF(OR($L$25=$I$6,$L$26=$I$6,$L$27=$I$6),$I$6,$I$7)</f>
        <v/>
      </c>
      <c r="M29" s="87">
        <f>IF(OR($M$25=$I$6,$M$26=$I$6,$M$27=$I$6),$I$6,$I$7)</f>
        <v/>
      </c>
    </row>
    <row r="30" ht="43.2" customHeight="1">
      <c r="A30" s="1" t="inlineStr">
        <is>
          <t>Financials</t>
        </is>
      </c>
      <c r="B30" s="125" t="inlineStr">
        <is>
          <t>Notes, Share Capital breakup → corporate shareholder, holding more than 10%, shareholding pattern</t>
        </is>
      </c>
      <c r="C30" s="66" t="inlineStr">
        <is>
          <t>Number of Bodies Corporate Shareholder holding more than 10%</t>
        </is>
      </c>
      <c r="D30" s="128" t="n"/>
      <c r="E30" s="53">
        <f>D30/10000000</f>
        <v/>
      </c>
      <c r="F30" s="6" t="n"/>
      <c r="G30" s="54">
        <f>F30/10000000</f>
        <v/>
      </c>
      <c r="K30" s="79" t="n"/>
      <c r="L30" s="80" t="n"/>
      <c r="M30" s="81" t="n"/>
    </row>
    <row r="31" ht="43.2" customHeight="1">
      <c r="A31" s="1" t="inlineStr">
        <is>
          <t>Financials</t>
        </is>
      </c>
      <c r="B31" s="125" t="inlineStr">
        <is>
          <t>Notes, Company Overview / Related Party → holding company, subsidiary company, is a subsidiary</t>
        </is>
      </c>
      <c r="C31" s="45" t="inlineStr">
        <is>
          <t xml:space="preserve">Is the Company a Holding or a Subsidiary Company </t>
        </is>
      </c>
      <c r="D31" s="134" t="inlineStr">
        <is>
          <t>Not a Holding or subsidiary Company</t>
        </is>
      </c>
      <c r="E31" s="5" t="n"/>
      <c r="F31" s="6" t="n"/>
      <c r="G31" s="47" t="n"/>
      <c r="K31" s="88" t="inlineStr">
        <is>
          <t>Rotation of Auditors</t>
        </is>
      </c>
      <c r="L31" s="43" t="n"/>
      <c r="M31" s="41" t="n"/>
    </row>
    <row r="32" ht="43.2" customHeight="1">
      <c r="A32" s="1" t="inlineStr">
        <is>
          <t>Financials</t>
        </is>
      </c>
      <c r="B32" s="125" t="inlineStr">
        <is>
          <t>Notes, Related Party Disclosures → associate company, joint venture, related party as per Ind AS 24</t>
        </is>
      </c>
      <c r="C32" s="147" t="inlineStr">
        <is>
          <t>Is the Company a Holding, Subsidiary or Associate of IND AS applicable Companies</t>
        </is>
      </c>
      <c r="D32" s="147" t="inlineStr">
        <is>
          <t>Not Applicable</t>
        </is>
      </c>
      <c r="K32" s="84" t="inlineStr">
        <is>
          <t>Public Company</t>
        </is>
      </c>
      <c r="L32" s="5" t="inlineStr">
        <is>
          <t>Not Applicable</t>
        </is>
      </c>
      <c r="M32" s="47" t="n"/>
    </row>
    <row r="33" ht="18.6" customHeight="1" thickBot="1">
      <c r="D33" s="139" t="inlineStr">
        <is>
          <t>Current Year</t>
        </is>
      </c>
      <c r="E33" s="149" t="n"/>
      <c r="F33" s="140" t="inlineStr">
        <is>
          <t>Previous Year</t>
        </is>
      </c>
      <c r="G33" s="149" t="n"/>
      <c r="K33" s="84" t="inlineStr">
        <is>
          <t>Private Limite, PUC is Rs. 50 Cr or more</t>
        </is>
      </c>
      <c r="L33" s="46">
        <f>IF($D$8&gt;=500000000,"Applicable","Not Applicable")</f>
        <v/>
      </c>
      <c r="M33" s="47" t="n"/>
    </row>
    <row r="34">
      <c r="A34" s="112" t="inlineStr">
        <is>
          <t>Source</t>
        </is>
      </c>
      <c r="B34" s="126" t="inlineStr">
        <is>
          <t>Key words</t>
        </is>
      </c>
      <c r="C34" s="39" t="inlineStr">
        <is>
          <t>Requirement</t>
        </is>
      </c>
      <c r="D34" s="89" t="inlineStr">
        <is>
          <t>Applicability</t>
        </is>
      </c>
      <c r="E34" s="40" t="inlineStr">
        <is>
          <t>Complied or not</t>
        </is>
      </c>
      <c r="F34" s="89" t="inlineStr">
        <is>
          <t>Applicability</t>
        </is>
      </c>
      <c r="G34" s="90" t="inlineStr">
        <is>
          <t>Complied or not</t>
        </is>
      </c>
      <c r="K34" s="84" t="n"/>
      <c r="L34" s="46" t="n"/>
      <c r="M34" s="47" t="n"/>
    </row>
    <row r="35" ht="16.2" customHeight="1" thickBot="1">
      <c r="C35" s="91" t="inlineStr">
        <is>
          <t>Is it a Small Company?</t>
        </is>
      </c>
      <c r="D35" s="92">
        <f>IF(AND($D$21&lt;1000000000, $D$8&lt;100000000), "Yes, It is a Small Company", "No, It is not a Small Company")</f>
        <v/>
      </c>
      <c r="E35" s="93" t="n"/>
      <c r="F35" s="92" t="n"/>
      <c r="G35" s="94" t="n"/>
      <c r="K35" s="86" t="inlineStr">
        <is>
          <t>Result</t>
        </is>
      </c>
      <c r="L35" s="57">
        <f>IF(OR($L$32=$I$6,$L$33=$I$6,),$I$6,$I$7)</f>
        <v/>
      </c>
      <c r="M35" s="58" t="n"/>
    </row>
    <row r="36">
      <c r="C36" s="45">
        <f>K12</f>
        <v/>
      </c>
      <c r="D36" s="6">
        <f>$L$21</f>
        <v/>
      </c>
      <c r="E36" s="5" t="n"/>
      <c r="F36" s="6" t="n"/>
      <c r="G36" s="54" t="n"/>
      <c r="K36" s="79" t="n"/>
      <c r="L36" s="80" t="n"/>
      <c r="M36" s="81" t="n"/>
    </row>
    <row r="37">
      <c r="C37" s="45">
        <f>K31</f>
        <v/>
      </c>
      <c r="D37" s="6">
        <f>$L$35</f>
        <v/>
      </c>
      <c r="E37" s="5" t="n"/>
      <c r="F37" s="6" t="n"/>
      <c r="G37" s="54" t="n"/>
      <c r="K37" s="95" t="inlineStr">
        <is>
          <t>XBRL FILING</t>
        </is>
      </c>
      <c r="L37" s="96" t="n"/>
      <c r="M37" s="41" t="n"/>
    </row>
    <row r="38">
      <c r="C38" s="45" t="inlineStr">
        <is>
          <t>IND AS applicability</t>
        </is>
      </c>
      <c r="D38" s="97">
        <f>IF(OR($D$32=$I$6,$D$20&gt;=2500000000,),$I$6,$I$7)</f>
        <v/>
      </c>
      <c r="E38" s="5" t="n"/>
      <c r="F38" s="6" t="n"/>
      <c r="G38" s="54" t="n"/>
      <c r="K38" s="98" t="inlineStr">
        <is>
          <t>Listed companies</t>
        </is>
      </c>
      <c r="L38" s="10" t="inlineStr">
        <is>
          <t>No</t>
        </is>
      </c>
      <c r="M38" s="47" t="n"/>
    </row>
    <row r="39">
      <c r="C39" s="45" t="inlineStr">
        <is>
          <t>XBRL filing</t>
        </is>
      </c>
      <c r="D39" s="6">
        <f>$L$42</f>
        <v/>
      </c>
      <c r="E39" s="5" t="n"/>
      <c r="F39" s="6" t="n"/>
      <c r="G39" s="54" t="n"/>
      <c r="K39" s="84" t="inlineStr">
        <is>
          <t>PUC 5 Cr or more</t>
        </is>
      </c>
      <c r="L39" s="46">
        <f>IF($D$8&gt;=50000000,"Applicable","Not Applicable")</f>
        <v/>
      </c>
      <c r="M39" s="47" t="n"/>
    </row>
    <row r="40">
      <c r="C40" s="45">
        <f>K44</f>
        <v/>
      </c>
      <c r="D40" s="6">
        <f>$L$49</f>
        <v/>
      </c>
      <c r="E40" s="5" t="n"/>
      <c r="F40" s="6">
        <f>$M$49</f>
        <v/>
      </c>
      <c r="G40" s="54" t="n"/>
      <c r="K40" s="98" t="inlineStr">
        <is>
          <t>TO 100 Cr or More</t>
        </is>
      </c>
      <c r="L40" s="46">
        <f>IF($D$21&gt;=1000000000,"Applicable","Not Applicable")</f>
        <v/>
      </c>
      <c r="M40" s="47" t="n"/>
    </row>
    <row r="41">
      <c r="C41" s="45">
        <f>K51</f>
        <v/>
      </c>
      <c r="D41" s="6">
        <f>$L$56</f>
        <v/>
      </c>
      <c r="E41" s="5" t="n"/>
      <c r="F41" s="6" t="n"/>
      <c r="G41" s="54" t="n"/>
      <c r="K41" s="98" t="inlineStr">
        <is>
          <t>IND AS applicable Companies</t>
        </is>
      </c>
      <c r="L41" s="46">
        <f>D38</f>
        <v/>
      </c>
      <c r="M41" s="47" t="n"/>
    </row>
    <row r="42" ht="16.2" customHeight="1" thickBot="1">
      <c r="C42" s="45" t="inlineStr">
        <is>
          <t>Internal Audit</t>
        </is>
      </c>
      <c r="D42" s="6">
        <f>$L$75</f>
        <v/>
      </c>
      <c r="E42" s="5" t="n"/>
      <c r="F42" s="6">
        <f>$M$75</f>
        <v/>
      </c>
      <c r="G42" s="54" t="n"/>
      <c r="K42" s="86" t="inlineStr">
        <is>
          <t>Result</t>
        </is>
      </c>
      <c r="L42" s="57">
        <f>IF(OR($L$38=I$6,$L$39=$I$6,$L$40=$I$6,$L$41=$I$6),$I$6,$I$7)</f>
        <v/>
      </c>
      <c r="M42" s="58" t="n"/>
    </row>
    <row r="43" ht="16.2" customHeight="1" thickBot="1">
      <c r="C43" s="45" t="inlineStr">
        <is>
          <t>Secretarial Audit</t>
        </is>
      </c>
      <c r="D43" s="6">
        <f>$L$83</f>
        <v/>
      </c>
      <c r="E43" s="5" t="n"/>
      <c r="F43" s="6">
        <f>$M$83</f>
        <v/>
      </c>
      <c r="G43" s="54" t="n"/>
      <c r="K43" s="79" t="n"/>
      <c r="L43" s="80" t="n"/>
      <c r="M43" s="81" t="n"/>
    </row>
    <row r="44">
      <c r="C44" s="45" t="inlineStr">
        <is>
          <t>KMP Appointment</t>
        </is>
      </c>
      <c r="D44" s="6">
        <f>IF($D$8&gt;100000000,"To appoint CS","Need not appoint CS")</f>
        <v/>
      </c>
      <c r="E44" s="5" t="n"/>
      <c r="F44" s="6">
        <f>IF($F$8&gt;100000000,"To appoint CS","Need not appoint CS")</f>
        <v/>
      </c>
      <c r="G44" s="54" t="n"/>
      <c r="K44" s="39" t="inlineStr">
        <is>
          <t>Vigil Mechanism</t>
        </is>
      </c>
      <c r="L44" s="43" t="n"/>
      <c r="M44" s="41" t="n"/>
    </row>
    <row r="45">
      <c r="C45" s="45" t="inlineStr">
        <is>
          <t>Loan and Investments</t>
        </is>
      </c>
      <c r="D45" s="6">
        <f>$L$97</f>
        <v/>
      </c>
      <c r="E45" s="5" t="n"/>
      <c r="F45" s="6" t="n"/>
      <c r="G45" s="54" t="n"/>
      <c r="K45" s="45" t="inlineStr">
        <is>
          <t>Listed Company</t>
        </is>
      </c>
      <c r="L45" s="5" t="inlineStr">
        <is>
          <t>No</t>
        </is>
      </c>
      <c r="M45" s="47" t="inlineStr">
        <is>
          <t>No</t>
        </is>
      </c>
    </row>
    <row r="46">
      <c r="C46" s="45" t="inlineStr">
        <is>
          <t>Loan to Director or Related entities</t>
        </is>
      </c>
      <c r="D46" s="6">
        <f>IF($D$11&gt;0,"Check for Sec 185 Compliance","Not Applicable")</f>
        <v/>
      </c>
      <c r="E46" s="5" t="n"/>
      <c r="F46" s="6" t="n"/>
      <c r="G46" s="47" t="n"/>
      <c r="K46" s="45" t="inlineStr">
        <is>
          <t>Public Deposit taking Company</t>
        </is>
      </c>
      <c r="L46" s="5" t="inlineStr">
        <is>
          <t>No</t>
        </is>
      </c>
      <c r="M46" s="47" t="inlineStr">
        <is>
          <t>No</t>
        </is>
      </c>
    </row>
    <row r="47" ht="62.4" customHeight="1">
      <c r="C47" s="45" t="inlineStr">
        <is>
          <t>Cost Audit</t>
        </is>
      </c>
      <c r="D47" s="6" t="inlineStr">
        <is>
          <t>NA</t>
        </is>
      </c>
      <c r="E47" s="6" t="inlineStr">
        <is>
          <t>Date_______________, SRN_________________
Date_______________, SRN_________________</t>
        </is>
      </c>
      <c r="F47" s="6" t="inlineStr">
        <is>
          <t>Whether CRA 2 and CRA 4 filed?</t>
        </is>
      </c>
      <c r="G47" s="6" t="inlineStr">
        <is>
          <t>Date_______________, SRN_________________
Date_______________, SRN_________________</t>
        </is>
      </c>
      <c r="K47" s="45" t="inlineStr">
        <is>
          <t>Borrowings more than Rs 50 cr</t>
        </is>
      </c>
      <c r="L47" s="46">
        <f>IF($D$10&gt;500000000,"Applicable","Not Applicable")</f>
        <v/>
      </c>
      <c r="M47" s="85">
        <f>IF($F$10&gt;500000000,"Applicable","Not Applicable")</f>
        <v/>
      </c>
    </row>
    <row r="48" ht="62.4" customHeight="1">
      <c r="C48" s="45" t="inlineStr">
        <is>
          <t>Charge form</t>
        </is>
      </c>
      <c r="D48" s="6">
        <f>IF($D$17&gt;0,"Whether the Company filed CHG form","Not Applicable")</f>
        <v/>
      </c>
      <c r="E48" s="6" t="inlineStr">
        <is>
          <t>Date_______________, SRN_________________
Date_______________, SRN_________________</t>
        </is>
      </c>
      <c r="F48" s="6">
        <f>IF($F$17&gt;0,"Whether the Company filed CHG form","Not Applicable")</f>
        <v/>
      </c>
      <c r="G48" s="6" t="inlineStr">
        <is>
          <t>Date_______________, SRN_________________
Date_______________, SRN_________________</t>
        </is>
      </c>
      <c r="K48" s="45" t="n"/>
      <c r="L48" s="5" t="n"/>
      <c r="M48" s="47" t="n"/>
    </row>
    <row r="49" ht="62.4" customHeight="1">
      <c r="C49" s="45" t="inlineStr">
        <is>
          <t>AOC 1</t>
        </is>
      </c>
      <c r="D49" s="6">
        <f>IF($C$31=$H$9,"Applicable, Check AOC 1 is annexed with Board's report","Not Applicable")</f>
        <v/>
      </c>
      <c r="E49" s="5" t="n"/>
      <c r="F49" s="6" t="n"/>
      <c r="G49" s="47" t="n"/>
      <c r="K49" s="86" t="inlineStr">
        <is>
          <t>Result</t>
        </is>
      </c>
      <c r="L49" s="57">
        <f>IF(OR($L$45=$I$6,$L$46=$I$6,$L$47=$I$6),$I$6,$I$7)</f>
        <v/>
      </c>
      <c r="M49" s="87">
        <f>IF(OR($M$45=$I$6,$M$46=$I$6,$M$47=$I$6),$I$6,$I$7)</f>
        <v/>
      </c>
    </row>
    <row r="50" ht="39.75" customHeight="1" thickBot="1">
      <c r="C50" s="45" t="inlineStr">
        <is>
          <t>AOC 2</t>
        </is>
      </c>
      <c r="D50" s="6">
        <f>IF(($D$24+$D$25+$D$26+$D$27+$D$28)&gt;0,"Applicable, Fill in Sec 188 Compliance sheet","Not Applicable")</f>
        <v/>
      </c>
      <c r="E50" s="5" t="n"/>
      <c r="F50" s="6" t="n"/>
      <c r="G50" s="47" t="n"/>
      <c r="K50" s="79" t="n"/>
      <c r="L50" s="80" t="n"/>
      <c r="M50" s="81" t="n"/>
    </row>
    <row r="51">
      <c r="C51" s="45" t="inlineStr">
        <is>
          <t>RPT Resolution for omnibus approval</t>
        </is>
      </c>
      <c r="D51" s="6">
        <f>IF(($D$24+$D$25+$D$26+$D$27+$D$28)&gt;0,"Applicable, Fill in Sec 188 Compliance sheet","Not Applicable")</f>
        <v/>
      </c>
      <c r="E51" s="5" t="n"/>
      <c r="F51" s="6" t="n"/>
      <c r="G51" s="47" t="n"/>
      <c r="K51" s="39" t="inlineStr">
        <is>
          <t>Internal Financial Controls</t>
        </is>
      </c>
      <c r="L51" s="43" t="n"/>
      <c r="M51" s="41" t="n"/>
    </row>
    <row r="52">
      <c r="C52" s="45">
        <f>K23</f>
        <v/>
      </c>
      <c r="D52" s="6">
        <f>$L$29</f>
        <v/>
      </c>
      <c r="E52" s="5" t="n"/>
      <c r="F52" s="6">
        <f>$M$29</f>
        <v/>
      </c>
      <c r="G52" s="47" t="n"/>
      <c r="K52" s="84" t="n"/>
      <c r="L52" s="5" t="n"/>
      <c r="M52" s="47" t="n"/>
    </row>
    <row r="53">
      <c r="C53" s="45" t="inlineStr">
        <is>
          <t>CSR Committee</t>
        </is>
      </c>
      <c r="D53" s="6">
        <f>IF(((($D$23+$F$23+$H$22)/3)*2%)&gt;5000000,"Check CSR Committee compliance","Not Applicable")</f>
        <v/>
      </c>
      <c r="E53" s="5" t="n"/>
      <c r="F53" s="6">
        <f>IF(((($F$23+$H$22+$I$22)/3)*2%)&gt;5000000,"Check CSR Committee compliance","Not Applicable")</f>
        <v/>
      </c>
      <c r="G53" s="47" t="n"/>
      <c r="K53" s="99" t="inlineStr">
        <is>
          <t>Small Company (Applicable if not a small company)</t>
        </is>
      </c>
      <c r="L53" s="46">
        <f>L9</f>
        <v/>
      </c>
      <c r="M53" s="47" t="n"/>
    </row>
    <row r="54" ht="31.2" customHeight="1">
      <c r="C54" s="45" t="inlineStr">
        <is>
          <t>Deposit declaration</t>
        </is>
      </c>
      <c r="D54" s="6">
        <f>IF($D$15&gt;0,"Applicable, Is deposit declaration obtained","Not Applicable")</f>
        <v/>
      </c>
      <c r="E54" s="5" t="n"/>
      <c r="F54" s="100" t="n"/>
      <c r="G54" s="47" t="n"/>
      <c r="K54" s="99" t="inlineStr">
        <is>
          <t>TO more than Rs. 50 Cr and Borrowings more than 25 Cr</t>
        </is>
      </c>
      <c r="L54" s="46">
        <f>IF((AND($D$21&gt;50000000,$D$10&gt;250000000)), $I$6, $I$7)</f>
        <v/>
      </c>
      <c r="M54" s="47" t="n"/>
    </row>
    <row r="55" ht="31.2" customHeight="1">
      <c r="C55" s="101" t="inlineStr">
        <is>
          <t>DPT 3</t>
        </is>
      </c>
      <c r="D55" s="6">
        <f>IF(($D$10+$D$18)&gt;0,"Applicable, Is  Form DPT 3  filed","Not Applicable")</f>
        <v/>
      </c>
      <c r="E55" s="6" t="inlineStr">
        <is>
          <t>Date_______________, SRN_________________</t>
        </is>
      </c>
      <c r="F55" s="6" t="n"/>
      <c r="G55" s="6" t="inlineStr">
        <is>
          <t>Date_______________, SRN_________________</t>
        </is>
      </c>
      <c r="K55" s="84" t="n"/>
      <c r="L55" s="46" t="n"/>
      <c r="M55" s="47" t="n"/>
    </row>
    <row r="56" ht="31.8" customHeight="1" thickBot="1">
      <c r="C56" s="45" t="inlineStr">
        <is>
          <t>MSME</t>
        </is>
      </c>
      <c r="D56" s="6">
        <f>IF($D$19&gt;0,"Applicable, Is Form MSME filed","Not Applicable")</f>
        <v/>
      </c>
      <c r="E56" s="6" t="inlineStr">
        <is>
          <t>Date_______________, SRN_________________</t>
        </is>
      </c>
      <c r="F56" s="6" t="n"/>
      <c r="G56" s="6" t="inlineStr">
        <is>
          <t>Date_______________, SRN_________________</t>
        </is>
      </c>
      <c r="K56" s="86" t="inlineStr">
        <is>
          <t>Result</t>
        </is>
      </c>
      <c r="L56" s="57">
        <f>IF(AND($L$53=$I$6,$L$54=$I$6),$I$6,$I$7)</f>
        <v/>
      </c>
      <c r="M56" s="58" t="n"/>
    </row>
    <row r="57" ht="31.2" customHeight="1">
      <c r="C57" s="45" t="inlineStr">
        <is>
          <t>Ben 2</t>
        </is>
      </c>
      <c r="D57" s="6">
        <f>IF($D$30&gt;0,"Ben Compliance to be checked","Not Applicable")</f>
        <v/>
      </c>
      <c r="E57" s="6" t="inlineStr">
        <is>
          <t>Date_______________, SRN_________________</t>
        </is>
      </c>
      <c r="F57" s="6" t="n"/>
      <c r="G57" s="6" t="inlineStr">
        <is>
          <t>Date_______________, SRN_________________</t>
        </is>
      </c>
      <c r="K57" s="59" t="n"/>
      <c r="L57" s="60" t="n"/>
      <c r="M57" s="61" t="n"/>
    </row>
    <row r="58">
      <c r="C58" s="45">
        <f>K58</f>
        <v/>
      </c>
      <c r="D58" s="6">
        <f>$L64</f>
        <v/>
      </c>
      <c r="E58" s="5" t="n"/>
      <c r="F58" s="6" t="n"/>
      <c r="G58" s="47" t="n"/>
      <c r="K58" s="102" t="inlineStr">
        <is>
          <t>MGT 8 Applicability</t>
        </is>
      </c>
      <c r="L58" s="5" t="n"/>
      <c r="M58" s="47" t="n"/>
    </row>
    <row r="59" ht="16.2" customHeight="1" thickBot="1">
      <c r="C59" s="103">
        <f>K66</f>
        <v/>
      </c>
      <c r="D59" s="104">
        <f>$L$69</f>
        <v/>
      </c>
      <c r="E59" s="105" t="n"/>
      <c r="F59" s="104" t="n"/>
      <c r="G59" s="58" t="n"/>
      <c r="K59" s="98" t="n"/>
      <c r="L59" s="5" t="n"/>
      <c r="M59" s="47" t="n"/>
    </row>
    <row r="60">
      <c r="K60" s="101" t="inlineStr">
        <is>
          <t>Listed Company, or</t>
        </is>
      </c>
      <c r="L60" s="5" t="inlineStr">
        <is>
          <t>No</t>
        </is>
      </c>
      <c r="M60" s="47" t="n"/>
    </row>
    <row r="61">
      <c r="C61" s="133" t="n"/>
      <c r="K61" s="101" t="inlineStr">
        <is>
          <t>PUC Rs. 10 Cr or more</t>
        </is>
      </c>
      <c r="L61" s="46">
        <f>IF($D$8&gt;=100000000,"Applicable","Not Applicable")</f>
        <v/>
      </c>
      <c r="M61" s="47" t="n"/>
    </row>
    <row r="62">
      <c r="C62" s="133" t="n"/>
      <c r="K62" s="101" t="inlineStr">
        <is>
          <t>TO Rs. 50 Cr ore More</t>
        </is>
      </c>
      <c r="L62" s="46">
        <f>IF($D$21&gt;=500000000,"Applicable","Not Applicable")</f>
        <v/>
      </c>
      <c r="M62" s="47" t="n"/>
    </row>
    <row r="63">
      <c r="K63" s="101" t="n"/>
      <c r="L63" s="46" t="n"/>
      <c r="M63" s="47" t="n"/>
    </row>
    <row r="64">
      <c r="K64" s="99" t="inlineStr">
        <is>
          <t>Result</t>
        </is>
      </c>
      <c r="L64" s="50">
        <f>IF(OR($L$60=$I$6,$L$61=$I$6,$L$62=$I$6),$I$6,$I$7)</f>
        <v/>
      </c>
      <c r="M64" s="47" t="n"/>
    </row>
    <row r="65">
      <c r="K65" s="101" t="n"/>
      <c r="L65" s="5" t="n"/>
      <c r="M65" s="47" t="n"/>
    </row>
    <row r="66">
      <c r="K66" s="106" t="inlineStr">
        <is>
          <t>Certification of MGT 7</t>
        </is>
      </c>
      <c r="L66" s="5" t="n"/>
      <c r="M66" s="47" t="n"/>
    </row>
    <row r="67" ht="31.2" customHeight="1">
      <c r="K67" s="101" t="inlineStr">
        <is>
          <t>Small Company (Not Applicable if it is a small Company)</t>
        </is>
      </c>
      <c r="L67" s="46">
        <f>L9</f>
        <v/>
      </c>
      <c r="M67" s="47" t="n"/>
    </row>
    <row r="68">
      <c r="K68" s="101" t="n"/>
      <c r="L68" s="5" t="n"/>
      <c r="M68" s="47" t="n"/>
    </row>
    <row r="69">
      <c r="K69" s="99" t="inlineStr">
        <is>
          <t>Result</t>
        </is>
      </c>
      <c r="L69" s="50">
        <f>IF(OR(L67=$I$6,),$I$6,$I$7)</f>
        <v/>
      </c>
      <c r="M69" s="47" t="n"/>
    </row>
    <row r="70">
      <c r="K70" s="45" t="n"/>
      <c r="L70" s="5" t="n"/>
      <c r="M70" s="47" t="n"/>
    </row>
    <row r="71">
      <c r="K71" s="48" t="inlineStr">
        <is>
          <t>Internal Audit</t>
        </is>
      </c>
      <c r="L71" s="5" t="n"/>
      <c r="M71" s="47" t="n"/>
    </row>
    <row r="72">
      <c r="K72" s="107" t="inlineStr">
        <is>
          <t>TO 200 Cr or More</t>
        </is>
      </c>
      <c r="L72" s="46">
        <f>IF($D$21&gt;=2000000000,"Applicable","Not Applicable")</f>
        <v/>
      </c>
      <c r="M72" s="85">
        <f>IF($F$21&gt;=2000000000,"Applicable","Not Applicable")</f>
        <v/>
      </c>
    </row>
    <row r="73">
      <c r="K73" s="51" t="inlineStr">
        <is>
          <t>Borrowings 100 Cr or more</t>
        </is>
      </c>
      <c r="L73" s="46">
        <f>IF($D$10&gt;=1000000000,"Applicable","Not Applicable")</f>
        <v/>
      </c>
      <c r="M73" s="85">
        <f>IF($F$10&gt;=1000000000,"Applicable","Not Applicable")</f>
        <v/>
      </c>
    </row>
    <row r="74">
      <c r="K74" s="48" t="n"/>
      <c r="L74" s="5" t="n"/>
      <c r="M74" s="47" t="n"/>
    </row>
    <row r="75">
      <c r="K75" s="99" t="inlineStr">
        <is>
          <t>Result</t>
        </is>
      </c>
      <c r="L75" s="50">
        <f>IF(OR($L$72=$I$6,$L$73=$I$6),$I$6,$I$7)</f>
        <v/>
      </c>
      <c r="M75" s="108">
        <f>IF(OR(M72=$I$6,M73=$I$6),$I$6,$I$7)</f>
        <v/>
      </c>
    </row>
    <row r="76">
      <c r="K76" s="45" t="n"/>
      <c r="L76" s="5" t="n"/>
      <c r="M76" s="47" t="n"/>
    </row>
    <row r="77">
      <c r="K77" s="48" t="inlineStr">
        <is>
          <t>Secretarial Audit</t>
        </is>
      </c>
      <c r="L77" s="5" t="n"/>
      <c r="M77" s="47" t="n"/>
    </row>
    <row r="78">
      <c r="K78" s="109" t="n"/>
      <c r="L78" s="5" t="n"/>
      <c r="M78" s="47" t="n"/>
    </row>
    <row r="79">
      <c r="K79" s="45" t="inlineStr">
        <is>
          <t>Listed Company</t>
        </is>
      </c>
      <c r="L79" s="5" t="inlineStr">
        <is>
          <t>Not Applicable</t>
        </is>
      </c>
      <c r="M79" s="47" t="inlineStr">
        <is>
          <t>Not Applicable</t>
        </is>
      </c>
    </row>
    <row r="80" ht="31.2" customHeight="1">
      <c r="K80" s="51" t="inlineStr">
        <is>
          <t>Public Company  PUC – 50 Cr or  more;
T.O of 250 Crore or more;</t>
        </is>
      </c>
      <c r="L80" s="5" t="inlineStr">
        <is>
          <t>Not Applicable</t>
        </is>
      </c>
      <c r="M80" s="47" t="inlineStr">
        <is>
          <t>Not Applicable</t>
        </is>
      </c>
    </row>
    <row r="81">
      <c r="K81" s="45" t="inlineStr">
        <is>
          <t>Company - Borrowings more than 100 Cr</t>
        </is>
      </c>
      <c r="L81" s="46">
        <f>IF($D$10&gt;1000000000,"Applicable","Not Applicable")</f>
        <v/>
      </c>
      <c r="M81" s="85">
        <f>IF($F$10&gt;1000000000,"Applicable","Not Applicable")</f>
        <v/>
      </c>
    </row>
    <row r="82">
      <c r="K82" s="45" t="n"/>
      <c r="L82" s="46" t="n"/>
      <c r="M82" s="85" t="n"/>
    </row>
    <row r="83">
      <c r="K83" s="99" t="inlineStr">
        <is>
          <t>Result</t>
        </is>
      </c>
      <c r="L83" s="50">
        <f>IF(OR(L79=$I$6,L80=$I$6,L81=$I$6),$I$6,$I$7)</f>
        <v/>
      </c>
      <c r="M83" s="108">
        <f>IF(OR(M79=$I$6,M80=$I$6,M81=$I$6),$I$6,$I$7)</f>
        <v/>
      </c>
    </row>
    <row r="84">
      <c r="K84" s="45" t="n"/>
      <c r="L84" s="5" t="n"/>
      <c r="M84" s="47" t="n"/>
    </row>
    <row r="85">
      <c r="K85" s="48" t="inlineStr">
        <is>
          <t>KMP appointment</t>
        </is>
      </c>
      <c r="L85" s="5" t="n"/>
      <c r="M85" s="47" t="n"/>
    </row>
    <row r="86">
      <c r="K86" s="45" t="inlineStr">
        <is>
          <t>Listed</t>
        </is>
      </c>
      <c r="L86" s="5" t="inlineStr">
        <is>
          <t>No</t>
        </is>
      </c>
      <c r="M86" s="47" t="inlineStr">
        <is>
          <t>No</t>
        </is>
      </c>
    </row>
    <row r="87">
      <c r="K87" s="45" t="inlineStr">
        <is>
          <t>Public Company - PUC 10 Cr or more</t>
        </is>
      </c>
      <c r="L87" s="5" t="inlineStr">
        <is>
          <t>No</t>
        </is>
      </c>
      <c r="M87" s="47" t="inlineStr">
        <is>
          <t>No</t>
        </is>
      </c>
    </row>
    <row r="88">
      <c r="K88" s="45" t="inlineStr">
        <is>
          <t>Any Company - To appoint CS - PUC 10 Cr or more</t>
        </is>
      </c>
      <c r="L88" s="46">
        <f>IF($D$8&gt;=100000000,"Applicable","Not Applicable")</f>
        <v/>
      </c>
      <c r="M88" s="85">
        <f>IF($F$8&gt;=100000000,"Applicable","Not Applicable")</f>
        <v/>
      </c>
    </row>
    <row r="89">
      <c r="K89" s="45" t="n"/>
      <c r="L89" s="46" t="n"/>
      <c r="M89" s="85" t="n"/>
    </row>
    <row r="90">
      <c r="K90" s="99" t="inlineStr">
        <is>
          <t>Result</t>
        </is>
      </c>
      <c r="L90" s="50">
        <f>IF(OR(L86=$I$6,L87=$I$6,L88=$I$6),$I$6,$I$7)</f>
        <v/>
      </c>
      <c r="M90" s="108">
        <f>IF(OR(M86=$I$6,M87=$I$6,M88=$I$6),$I$6,$I$7)</f>
        <v/>
      </c>
    </row>
    <row r="91">
      <c r="K91" s="45" t="n"/>
      <c r="L91" s="5" t="n"/>
      <c r="M91" s="47" t="n"/>
    </row>
    <row r="92">
      <c r="K92" s="48" t="inlineStr">
        <is>
          <t>Loan Investment Guarantee - 186</t>
        </is>
      </c>
      <c r="L92" s="5" t="n"/>
      <c r="M92" s="47" t="n"/>
    </row>
    <row r="93">
      <c r="K93" s="45" t="inlineStr">
        <is>
          <t xml:space="preserve">Have loans, investments, Guarantees </t>
        </is>
      </c>
      <c r="L93" s="5">
        <f>IF(($D$12+$D$13+$D$14)&gt;$I$14,"Check for Shareholders approval","Check for Boards Approval")</f>
        <v/>
      </c>
      <c r="M93" s="47">
        <f>IF(($F$12+$F$13+$F$14)&gt;$I$14,"Check for Shareholders approval","Check for Boards Approval")</f>
        <v/>
      </c>
    </row>
    <row r="94">
      <c r="K94" s="45" t="inlineStr">
        <is>
          <t>Don’t have loans, investments, guaratnees</t>
        </is>
      </c>
      <c r="L94" s="5">
        <f>IF(($D$12+$D$13+$D$14)&gt;0,$L$93,"Not Applicable")</f>
        <v/>
      </c>
      <c r="M94" s="47">
        <f>IF(($F$12+$F$13+$F$14)&gt;0,$M$93,"Not Applicable")</f>
        <v/>
      </c>
    </row>
    <row r="95">
      <c r="K95" s="45" t="n"/>
      <c r="L95" s="5" t="n"/>
      <c r="M95" s="47" t="n"/>
    </row>
    <row r="96">
      <c r="K96" s="45" t="n"/>
      <c r="L96" s="5" t="n"/>
      <c r="M96" s="47" t="n"/>
    </row>
    <row r="97" ht="16.2" customHeight="1" thickBot="1">
      <c r="K97" s="86" t="inlineStr">
        <is>
          <t>Result</t>
        </is>
      </c>
      <c r="L97" s="57">
        <f>IF(OR(L93=$I$7,L94=$I$7),$I$7,$L$93)</f>
        <v/>
      </c>
      <c r="M97" s="87">
        <f>IF(OR(M93=$I$7,M94=$I$7),$I$7,$M$93)</f>
        <v/>
      </c>
    </row>
  </sheetData>
  <mergeCells count="5">
    <mergeCell ref="D6:E6"/>
    <mergeCell ref="D33:E33"/>
    <mergeCell ref="F33:G33"/>
    <mergeCell ref="F6:G6"/>
    <mergeCell ref="K1:M1"/>
  </mergeCells>
  <conditionalFormatting sqref="D35">
    <cfRule type="containsText" priority="11" operator="containsText" dxfId="1" text="Yes">
      <formula>NOT(ISERROR(SEARCH("Yes",D35)))</formula>
    </cfRule>
  </conditionalFormatting>
  <conditionalFormatting sqref="F35">
    <cfRule type="containsText" priority="8" operator="containsText" dxfId="1" text="Yes">
      <formula>NOT(ISERROR(SEARCH("Yes",F35)))</formula>
    </cfRule>
  </conditionalFormatting>
  <conditionalFormatting sqref="L6">
    <cfRule type="containsText" priority="7" operator="containsText" dxfId="1" text="Yes">
      <formula>NOT(ISERROR(SEARCH("Yes",L6)))</formula>
    </cfRule>
  </conditionalFormatting>
  <conditionalFormatting sqref="L13:L20">
    <cfRule type="containsText" priority="1" operator="containsText" dxfId="1" text="Yes">
      <formula>NOT(ISERROR(SEARCH("Yes",L13)))</formula>
    </cfRule>
  </conditionalFormatting>
  <conditionalFormatting sqref="L33:L34">
    <cfRule type="containsText" priority="14" operator="containsText" dxfId="1" text="Yes">
      <formula>NOT(ISERROR(SEARCH("Yes",L33)))</formula>
    </cfRule>
  </conditionalFormatting>
  <conditionalFormatting sqref="L39:L41">
    <cfRule type="containsText" priority="13" operator="containsText" dxfId="1" text="Yes">
      <formula>NOT(ISERROR(SEARCH("Yes",L39)))</formula>
    </cfRule>
  </conditionalFormatting>
  <conditionalFormatting sqref="L53:L55">
    <cfRule type="containsText" priority="10" operator="containsText" dxfId="1" text="Yes">
      <formula>NOT(ISERROR(SEARCH("Yes",L53)))</formula>
    </cfRule>
  </conditionalFormatting>
  <conditionalFormatting sqref="L61:L63">
    <cfRule type="containsText" priority="12" operator="containsText" dxfId="1" text="Yes">
      <formula>NOT(ISERROR(SEARCH("Yes",L61)))</formula>
    </cfRule>
  </conditionalFormatting>
  <conditionalFormatting sqref="L67">
    <cfRule type="containsText" priority="9" operator="containsText" dxfId="1" text="Yes">
      <formula>NOT(ISERROR(SEARCH("Yes",L67)))</formula>
    </cfRule>
  </conditionalFormatting>
  <conditionalFormatting sqref="L25:M28">
    <cfRule type="containsText" priority="6" operator="containsText" dxfId="1" text="Yes">
      <formula>NOT(ISERROR(SEARCH("Yes",L25)))</formula>
    </cfRule>
  </conditionalFormatting>
  <conditionalFormatting sqref="L47:M47">
    <cfRule type="containsText" priority="5" operator="containsText" dxfId="1" text="Yes">
      <formula>NOT(ISERROR(SEARCH("Yes",L47)))</formula>
    </cfRule>
  </conditionalFormatting>
  <conditionalFormatting sqref="L72:M73">
    <cfRule type="containsText" priority="4" operator="containsText" dxfId="1" text="Yes">
      <formula>NOT(ISERROR(SEARCH("Yes",L72)))</formula>
    </cfRule>
  </conditionalFormatting>
  <conditionalFormatting sqref="L81:M82">
    <cfRule type="containsText" priority="3" operator="containsText" dxfId="1" text="Yes">
      <formula>NOT(ISERROR(SEARCH("Yes",L81)))</formula>
    </cfRule>
  </conditionalFormatting>
  <conditionalFormatting sqref="L88:M89">
    <cfRule type="containsText" priority="2" operator="containsText" dxfId="1" text="Yes">
      <formula>NOT(ISERROR(SEARCH("Yes",L88)))</formula>
    </cfRule>
  </conditionalFormatting>
  <dataValidations count="2">
    <dataValidation sqref="D32" showDropDown="0" showInputMessage="1" showErrorMessage="1" allowBlank="1" type="list">
      <formula1>$I$6:$I$7</formula1>
    </dataValidation>
    <dataValidation sqref="D31" showDropDown="0" showInputMessage="1" showErrorMessage="1" allowBlank="1" type="list">
      <formula1>$I$8:$I$10</formula1>
    </dataValidation>
  </dataValidations>
  <hyperlinks>
    <hyperlink xmlns:r="http://schemas.openxmlformats.org/officeDocument/2006/relationships" ref="L6" display="https://exceljet.net/excel-functions/excel-if-function" r:id="rId1"/>
    <hyperlink xmlns:r="http://schemas.openxmlformats.org/officeDocument/2006/relationships" ref="L14" display="https://exceljet.net/excel-functions/excel-if-function" r:id="rId2"/>
    <hyperlink xmlns:r="http://schemas.openxmlformats.org/officeDocument/2006/relationships" ref="L15" display="https://exceljet.net/excel-functions/excel-if-function" r:id="rId3"/>
    <hyperlink xmlns:r="http://schemas.openxmlformats.org/officeDocument/2006/relationships" ref="L16" display="https://exceljet.net/excel-functions/excel-if-function" r:id="rId4"/>
    <hyperlink xmlns:r="http://schemas.openxmlformats.org/officeDocument/2006/relationships" ref="L17" display="https://exceljet.net/excel-functions/excel-if-function" r:id="rId5"/>
    <hyperlink xmlns:r="http://schemas.openxmlformats.org/officeDocument/2006/relationships" ref="L18" display="https://exceljet.net/excel-functions/excel-if-function" r:id="rId6"/>
    <hyperlink xmlns:r="http://schemas.openxmlformats.org/officeDocument/2006/relationships" ref="L25" display="https://exceljet.net/excel-functions/excel-if-function" r:id="rId7"/>
    <hyperlink xmlns:r="http://schemas.openxmlformats.org/officeDocument/2006/relationships" ref="M25" display="https://exceljet.net/excel-functions/excel-if-function" r:id="rId8"/>
    <hyperlink xmlns:r="http://schemas.openxmlformats.org/officeDocument/2006/relationships" ref="L26" display="https://exceljet.net/excel-functions/excel-if-function" r:id="rId9"/>
    <hyperlink xmlns:r="http://schemas.openxmlformats.org/officeDocument/2006/relationships" ref="M26" display="https://exceljet.net/excel-functions/excel-if-function" r:id="rId10"/>
    <hyperlink xmlns:r="http://schemas.openxmlformats.org/officeDocument/2006/relationships" ref="L27" display="https://exceljet.net/excel-functions/excel-if-function" r:id="rId11"/>
    <hyperlink xmlns:r="http://schemas.openxmlformats.org/officeDocument/2006/relationships" ref="M27" display="https://exceljet.net/excel-functions/excel-if-function" r:id="rId12"/>
    <hyperlink xmlns:r="http://schemas.openxmlformats.org/officeDocument/2006/relationships" ref="L33" display="https://exceljet.net/excel-functions/excel-if-function" r:id="rId13"/>
    <hyperlink xmlns:r="http://schemas.openxmlformats.org/officeDocument/2006/relationships" ref="D35" display="https://exceljet.net/excel-functions/excel-if-function" r:id="rId14"/>
    <hyperlink xmlns:r="http://schemas.openxmlformats.org/officeDocument/2006/relationships" ref="L39" display="https://exceljet.net/excel-functions/excel-if-function" r:id="rId15"/>
    <hyperlink xmlns:r="http://schemas.openxmlformats.org/officeDocument/2006/relationships" ref="L40" display="https://exceljet.net/excel-functions/excel-if-function" r:id="rId16"/>
    <hyperlink xmlns:r="http://schemas.openxmlformats.org/officeDocument/2006/relationships" ref="D44" display="https://exceljet.net/excel-functions/excel-if-function" r:id="rId17"/>
    <hyperlink xmlns:r="http://schemas.openxmlformats.org/officeDocument/2006/relationships" ref="F44" display="https://exceljet.net/excel-functions/excel-if-function" r:id="rId18"/>
    <hyperlink xmlns:r="http://schemas.openxmlformats.org/officeDocument/2006/relationships" ref="L47" display="https://exceljet.net/excel-functions/excel-if-function" r:id="rId19"/>
    <hyperlink xmlns:r="http://schemas.openxmlformats.org/officeDocument/2006/relationships" ref="M47" display="https://exceljet.net/excel-functions/excel-if-function" r:id="rId20"/>
    <hyperlink xmlns:r="http://schemas.openxmlformats.org/officeDocument/2006/relationships" ref="D48" display="https://exceljet.net/excel-functions/excel-if-function" r:id="rId21"/>
    <hyperlink xmlns:r="http://schemas.openxmlformats.org/officeDocument/2006/relationships" ref="F48" display="https://exceljet.net/excel-functions/excel-if-function" r:id="rId22"/>
    <hyperlink xmlns:r="http://schemas.openxmlformats.org/officeDocument/2006/relationships" ref="L53" display="https://exceljet.net/excel-functions/excel-if-function" r:id="rId23"/>
    <hyperlink xmlns:r="http://schemas.openxmlformats.org/officeDocument/2006/relationships" ref="L54" display="https://exceljet.net/excel-functions/excel-if-function" r:id="rId24"/>
    <hyperlink xmlns:r="http://schemas.openxmlformats.org/officeDocument/2006/relationships" ref="D55" display="https://exceljet.net/excel-functions/excel-if-function" r:id="rId25"/>
    <hyperlink xmlns:r="http://schemas.openxmlformats.org/officeDocument/2006/relationships" ref="L61" display="https://exceljet.net/excel-functions/excel-if-function" r:id="rId26"/>
    <hyperlink xmlns:r="http://schemas.openxmlformats.org/officeDocument/2006/relationships" ref="L62" display="https://exceljet.net/excel-functions/excel-if-function" r:id="rId27"/>
    <hyperlink xmlns:r="http://schemas.openxmlformats.org/officeDocument/2006/relationships" ref="L67" display="https://exceljet.net/excel-functions/excel-if-function" r:id="rId28"/>
    <hyperlink xmlns:r="http://schemas.openxmlformats.org/officeDocument/2006/relationships" ref="L72" display="https://exceljet.net/excel-functions/excel-if-function" r:id="rId29"/>
    <hyperlink xmlns:r="http://schemas.openxmlformats.org/officeDocument/2006/relationships" ref="M72" display="https://exceljet.net/excel-functions/excel-if-function" r:id="rId30"/>
    <hyperlink xmlns:r="http://schemas.openxmlformats.org/officeDocument/2006/relationships" ref="L73" display="https://exceljet.net/excel-functions/excel-if-function" r:id="rId31"/>
    <hyperlink xmlns:r="http://schemas.openxmlformats.org/officeDocument/2006/relationships" ref="M73" display="https://exceljet.net/excel-functions/excel-if-function" r:id="rId32"/>
    <hyperlink xmlns:r="http://schemas.openxmlformats.org/officeDocument/2006/relationships" ref="L81" display="https://exceljet.net/excel-functions/excel-if-function" r:id="rId33"/>
    <hyperlink xmlns:r="http://schemas.openxmlformats.org/officeDocument/2006/relationships" ref="M81" display="https://exceljet.net/excel-functions/excel-if-function" r:id="rId34"/>
    <hyperlink xmlns:r="http://schemas.openxmlformats.org/officeDocument/2006/relationships" ref="L88" display="https://exceljet.net/excel-functions/excel-if-function" r:id="rId35"/>
    <hyperlink xmlns:r="http://schemas.openxmlformats.org/officeDocument/2006/relationships" ref="M88" display="https://exceljet.net/excel-functions/excel-if-function" r:id="rId36"/>
  </hyperlink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P81"/>
  <sheetViews>
    <sheetView zoomScale="80" zoomScaleNormal="80" workbookViewId="0">
      <selection activeCell="K3" sqref="K3"/>
    </sheetView>
  </sheetViews>
  <sheetFormatPr baseColWidth="8" defaultColWidth="9.109375" defaultRowHeight="15.6"/>
  <cols>
    <col width="9.109375" customWidth="1" style="1" min="1" max="1"/>
    <col width="37.88671875" customWidth="1" style="1" min="2" max="2"/>
    <col width="39.44140625" customWidth="1" style="147" min="3" max="3"/>
    <col width="14.44140625" customWidth="1" style="1" min="4" max="4"/>
    <col width="33.109375" customWidth="1" style="147" min="5" max="5"/>
    <col width="15.5546875" customWidth="1" style="1" min="6" max="6"/>
    <col width="15.88671875" customWidth="1" style="1" min="7" max="7"/>
    <col width="16.44140625" customWidth="1" style="1" min="8" max="8"/>
    <col width="4.5546875" customWidth="1" style="1" min="9" max="9"/>
    <col width="49.6640625" bestFit="1" customWidth="1" style="1" min="10" max="10"/>
    <col width="15.109375" customWidth="1" style="1" min="11" max="11"/>
    <col width="24" customWidth="1" style="1" min="12" max="12"/>
    <col width="9.109375" customWidth="1" style="1" min="13" max="13"/>
    <col width="47.33203125" customWidth="1" style="1" min="14" max="14"/>
    <col width="15.88671875" bestFit="1" customWidth="1" style="1" min="15" max="15"/>
    <col width="18.33203125" customWidth="1" style="1" min="16" max="16"/>
    <col width="9.109375" customWidth="1" style="1" min="17" max="16384"/>
  </cols>
  <sheetData>
    <row r="1" ht="16.2" customHeight="1" thickBot="1">
      <c r="J1" s="36" t="n"/>
      <c r="K1" s="37" t="inlineStr">
        <is>
          <t>Current Year</t>
        </is>
      </c>
      <c r="L1" s="38" t="inlineStr">
        <is>
          <t>Previous year</t>
        </is>
      </c>
      <c r="O1" s="37" t="inlineStr">
        <is>
          <t>Current Year</t>
        </is>
      </c>
      <c r="P1" s="38" t="inlineStr">
        <is>
          <t>Previous year</t>
        </is>
      </c>
    </row>
    <row r="2" ht="16.2" customHeight="1" thickBot="1">
      <c r="B2" s="141" t="inlineStr">
        <is>
          <t xml:space="preserve">Name of the Company : </t>
        </is>
      </c>
      <c r="J2" s="39" t="inlineStr">
        <is>
          <t>Small Company</t>
        </is>
      </c>
      <c r="K2" s="40" t="inlineStr">
        <is>
          <t>Applicability</t>
        </is>
      </c>
      <c r="L2" s="41" t="n"/>
      <c r="N2" s="11" t="inlineStr">
        <is>
          <t>Women Director</t>
        </is>
      </c>
      <c r="O2" s="40" t="inlineStr">
        <is>
          <t>Applicability</t>
        </is>
      </c>
    </row>
    <row r="3" ht="31.2" customHeight="1">
      <c r="B3" s="42" t="n"/>
      <c r="C3" s="137" t="inlineStr">
        <is>
          <t>Current Year (Year 0)</t>
        </is>
      </c>
      <c r="D3" s="148" t="n"/>
      <c r="E3" s="137" t="inlineStr">
        <is>
          <t>Previous Year (Year 1)</t>
        </is>
      </c>
      <c r="F3" s="148" t="n"/>
      <c r="G3" s="113" t="n"/>
      <c r="H3" s="113" t="inlineStr">
        <is>
          <t>Applicable</t>
        </is>
      </c>
      <c r="J3" s="45" t="inlineStr">
        <is>
          <t>TO less than 20 Cr and PUC less than 2 Cr</t>
        </is>
      </c>
      <c r="K3" s="46">
        <f>IF((AND($C$5&lt;20000000,$C$17&lt;200000000)), $H$4, $H$3)</f>
        <v/>
      </c>
      <c r="L3" s="47" t="n"/>
      <c r="N3" s="147" t="inlineStr">
        <is>
          <t xml:space="preserve"> Public Company  having PSC – 100 Cr or more (or) T.O of 300 Cr or more </t>
        </is>
      </c>
      <c r="O3" s="46">
        <f>IF((OR($C$5&gt;=1000000000,$C$17&gt;=3000000000)), $H$3, $H$4)</f>
        <v/>
      </c>
      <c r="P3" s="46">
        <f>IF((OR($E$5&gt;=1000000000,$E$17&gt;=3000000000)), $H$3, $H$4)</f>
        <v/>
      </c>
    </row>
    <row r="4" ht="16.2" customHeight="1" thickBot="1">
      <c r="B4" s="48" t="inlineStr">
        <is>
          <t>Financial Particulars</t>
        </is>
      </c>
      <c r="C4" s="8" t="inlineStr">
        <is>
          <t>Rs.</t>
        </is>
      </c>
      <c r="D4" s="9" t="inlineStr">
        <is>
          <t>in Cr</t>
        </is>
      </c>
      <c r="E4" s="8" t="inlineStr">
        <is>
          <t>Rs.</t>
        </is>
      </c>
      <c r="F4" s="114" t="inlineStr">
        <is>
          <t>in Cr</t>
        </is>
      </c>
      <c r="G4" s="113" t="n"/>
      <c r="H4" s="113" t="inlineStr">
        <is>
          <t>Not Applicable</t>
        </is>
      </c>
      <c r="J4" s="45" t="inlineStr">
        <is>
          <t>Should not be Subsidiary or Holding Company</t>
        </is>
      </c>
      <c r="K4" s="57">
        <f>IF(OR($K$3=$H$3,$K$4=$H$3),$H$3,$H$4)</f>
        <v/>
      </c>
      <c r="L4" s="47" t="n"/>
    </row>
    <row r="5" ht="29.4" customHeight="1" thickBot="1">
      <c r="B5" s="51" t="inlineStr">
        <is>
          <t>Paidup capital</t>
        </is>
      </c>
      <c r="C5" s="52" t="n"/>
      <c r="D5" s="53">
        <f>C5/10000000</f>
        <v/>
      </c>
      <c r="E5" s="52">
        <f>+C5</f>
        <v/>
      </c>
      <c r="F5" s="115">
        <f>E5/10000000</f>
        <v/>
      </c>
      <c r="G5" s="113" t="n"/>
      <c r="H5" s="116" t="inlineStr">
        <is>
          <t>Subsidiary Company</t>
        </is>
      </c>
      <c r="J5" s="45" t="n"/>
      <c r="K5" s="5" t="n"/>
      <c r="L5" s="47" t="n"/>
    </row>
    <row r="6" ht="16.2" customHeight="1" thickBot="1">
      <c r="B6" s="51" t="inlineStr">
        <is>
          <t>Reserves and Surplus</t>
        </is>
      </c>
      <c r="C6" s="52" t="n"/>
      <c r="D6" s="53">
        <f>C6/10000000</f>
        <v/>
      </c>
      <c r="E6" s="52" t="n"/>
      <c r="F6" s="115">
        <f>E6/10000000</f>
        <v/>
      </c>
      <c r="G6" s="113" t="n"/>
      <c r="H6" s="116" t="inlineStr">
        <is>
          <t>Holding Company</t>
        </is>
      </c>
      <c r="J6" s="56" t="inlineStr">
        <is>
          <t>Result</t>
        </is>
      </c>
      <c r="K6" s="57">
        <f>IF(OR($K$3=$H$3,$K$4=$H$3),$H$3,$H$4)</f>
        <v/>
      </c>
      <c r="L6" s="58" t="n"/>
      <c r="N6" s="11" t="inlineStr">
        <is>
          <t>Independent Director / AC / NRC</t>
        </is>
      </c>
      <c r="O6" s="40" t="inlineStr">
        <is>
          <t>Applicability</t>
        </is>
      </c>
    </row>
    <row r="7" ht="46.8" customHeight="1">
      <c r="B7" s="51" t="inlineStr">
        <is>
          <t>Borrowings</t>
        </is>
      </c>
      <c r="C7" s="52" t="n"/>
      <c r="D7" s="53">
        <f>C7/10000000</f>
        <v/>
      </c>
      <c r="E7" s="52" t="n"/>
      <c r="F7" s="115">
        <f>E7/10000000</f>
        <v/>
      </c>
      <c r="G7" s="113" t="n"/>
      <c r="H7" s="116" t="inlineStr">
        <is>
          <t>Not a Holding or subsidiary Company</t>
        </is>
      </c>
      <c r="J7" s="59" t="n"/>
      <c r="K7" s="60" t="n"/>
      <c r="L7" s="61" t="n"/>
      <c r="N7" s="147" t="inlineStr">
        <is>
          <t xml:space="preserve">Public Company having PSC- 10 Cr or more (or) T.O 100 Cr or more (or) Aggregate O/S Loans, Deb, deposits &gt;50 Cr </t>
        </is>
      </c>
      <c r="O7" s="46">
        <f>IF((OR($C$5&gt;=100000000,$C$17&gt;=1000000000,$C$7&gt;500000000)), $H$3, $H$4)</f>
        <v/>
      </c>
      <c r="P7" s="46">
        <f>IF((OR($E$5&gt;=100000000,$E$17&gt;=1000000000,$E$7&gt;500000000)), $H$3, $H$4)</f>
        <v/>
      </c>
    </row>
    <row r="8" ht="31.8" customHeight="1" thickBot="1">
      <c r="B8" s="51" t="inlineStr">
        <is>
          <t>Loangiven by Company to Directors or Director related entities (assets)</t>
        </is>
      </c>
      <c r="C8" s="52" t="n"/>
      <c r="D8" s="53">
        <f>C8/10000000</f>
        <v/>
      </c>
      <c r="E8" s="117" t="n"/>
      <c r="F8" s="115">
        <f>E8/10000000</f>
        <v/>
      </c>
      <c r="G8" s="113" t="n"/>
      <c r="H8" s="113" t="inlineStr">
        <is>
          <t>IND AS</t>
        </is>
      </c>
      <c r="J8" s="62" t="n"/>
      <c r="K8" s="63" t="n"/>
      <c r="L8" s="64" t="n"/>
    </row>
    <row r="9">
      <c r="B9" s="51" t="inlineStr">
        <is>
          <t>Loans given by Company (assets)</t>
        </is>
      </c>
      <c r="C9" s="52" t="n"/>
      <c r="D9" s="53">
        <f>C9/10000000</f>
        <v/>
      </c>
      <c r="E9" s="117" t="n"/>
      <c r="F9" s="115">
        <f>E9/10000000</f>
        <v/>
      </c>
      <c r="G9" s="113" t="n"/>
      <c r="H9" s="113" t="inlineStr">
        <is>
          <t>AS</t>
        </is>
      </c>
      <c r="J9" s="39" t="inlineStr">
        <is>
          <t>CARO</t>
        </is>
      </c>
      <c r="K9" s="40" t="inlineStr">
        <is>
          <t xml:space="preserve">Applicability </t>
        </is>
      </c>
      <c r="L9" s="41" t="n"/>
    </row>
    <row r="10" ht="16.2" customHeight="1" thickBot="1">
      <c r="B10" s="51" t="inlineStr">
        <is>
          <t>Investments made by Company (assets)</t>
        </is>
      </c>
      <c r="C10" s="52" t="n"/>
      <c r="D10" s="53">
        <f>C10/10000000</f>
        <v/>
      </c>
      <c r="E10" s="6" t="n"/>
      <c r="F10" s="115">
        <f>E10/10000000</f>
        <v/>
      </c>
      <c r="G10" s="113" t="n"/>
      <c r="H10" s="113" t="n"/>
      <c r="J10" s="66" t="inlineStr">
        <is>
          <t>Public Company</t>
        </is>
      </c>
      <c r="K10" s="5" t="inlineStr">
        <is>
          <t>Applicable</t>
        </is>
      </c>
      <c r="L10" s="47" t="n"/>
    </row>
    <row r="11" ht="31.2" customHeight="1">
      <c r="B11" s="51" t="inlineStr">
        <is>
          <t>Corporate Guarantees given by Company</t>
        </is>
      </c>
      <c r="C11" s="52" t="n"/>
      <c r="D11" s="53">
        <f>C11/10000000</f>
        <v/>
      </c>
      <c r="E11" s="6" t="n"/>
      <c r="F11" s="115">
        <f>E11/10000000</f>
        <v/>
      </c>
      <c r="G11" s="113" t="n"/>
      <c r="H11" s="113" t="n"/>
      <c r="J11" s="82" t="inlineStr">
        <is>
          <t>Corporate Social Responsibility</t>
        </is>
      </c>
      <c r="K11" s="43" t="n"/>
      <c r="L11" s="41" t="n"/>
    </row>
    <row r="12" ht="31.2" customHeight="1">
      <c r="B12" s="66" t="inlineStr">
        <is>
          <t>Loan from Directors or their relatives (Liabilities)</t>
        </is>
      </c>
      <c r="C12" s="52" t="n"/>
      <c r="D12" s="53">
        <f>C12/10000000</f>
        <v/>
      </c>
      <c r="E12" s="52" t="n"/>
      <c r="F12" s="115">
        <f>E12/10000000</f>
        <v/>
      </c>
      <c r="G12" s="113" t="inlineStr">
        <is>
          <t>Newtorth @ 60%</t>
        </is>
      </c>
      <c r="H12" s="118">
        <f>$E$16*0.6</f>
        <v/>
      </c>
      <c r="J12" s="83" t="n"/>
      <c r="K12" s="3" t="n"/>
      <c r="L12" s="47" t="n"/>
    </row>
    <row r="13">
      <c r="B13" s="66" t="inlineStr">
        <is>
          <t>Loan from Shareholders (Liabilities)</t>
        </is>
      </c>
      <c r="C13" s="52" t="n"/>
      <c r="D13" s="53">
        <f>C13/10000000</f>
        <v/>
      </c>
      <c r="E13" s="73" t="n"/>
      <c r="F13" s="115">
        <f>E13/10000000</f>
        <v/>
      </c>
      <c r="G13" s="113" t="inlineStr">
        <is>
          <t>100% of FR</t>
        </is>
      </c>
      <c r="H13" s="118">
        <f>$E$6</f>
        <v/>
      </c>
      <c r="J13" s="84" t="inlineStr">
        <is>
          <t>Net worth of Rs.500 crore or more; OR</t>
        </is>
      </c>
      <c r="K13" s="46">
        <f>IF($C$16&gt;=5000000000,"Applicable","Not Applicable")</f>
        <v/>
      </c>
      <c r="L13" s="85">
        <f>IF($E$16&gt;=5000000000,"Applicable","Not Applicable")</f>
        <v/>
      </c>
    </row>
    <row r="14" ht="31.2" customHeight="1">
      <c r="B14" s="51" t="inlineStr">
        <is>
          <t>Advance from Customers, Shareholders, Security Deposits (Liabilitys)</t>
        </is>
      </c>
      <c r="C14" s="52" t="n"/>
      <c r="D14" s="53">
        <f>C14/10000000</f>
        <v/>
      </c>
      <c r="E14" s="73" t="n"/>
      <c r="F14" s="115">
        <f>E14/10000000</f>
        <v/>
      </c>
      <c r="G14" s="113" t="inlineStr">
        <is>
          <t>Max</t>
        </is>
      </c>
      <c r="H14" s="118">
        <f>MAX($H$12,$H$13)</f>
        <v/>
      </c>
      <c r="J14" s="84" t="inlineStr">
        <is>
          <t xml:space="preserve">Turnover of Rs.1,000 crore or more ; OR                                                                                                                                                                                                                                                                                                                                                        </t>
        </is>
      </c>
      <c r="K14" s="46">
        <f>IF($C$17&gt;=10000000000,"Applicable","Not Applicable")</f>
        <v/>
      </c>
      <c r="L14" s="85">
        <f>IF($E$17&gt;=10000000000,"Applicable","Not Applicable")</f>
        <v/>
      </c>
    </row>
    <row r="15">
      <c r="B15" s="66" t="inlineStr">
        <is>
          <t>Dues to MSME</t>
        </is>
      </c>
      <c r="C15" s="74" t="n"/>
      <c r="D15" s="53">
        <f>C15/10000000</f>
        <v/>
      </c>
      <c r="E15" s="73" t="n"/>
      <c r="F15" s="115">
        <f>E15/10000000</f>
        <v/>
      </c>
      <c r="G15" s="113" t="n"/>
      <c r="H15" s="113" t="n"/>
      <c r="J15" s="84" t="inlineStr">
        <is>
          <t>Net profit of Rs.5 crore or more (before tax)</t>
        </is>
      </c>
      <c r="K15" s="46">
        <f>IF($C$19&gt;=50000000,"Applicable","Not Applicable")</f>
        <v/>
      </c>
      <c r="L15" s="85">
        <f>IF($E$19&gt;=50000000,"Applicable","Not Applicable")</f>
        <v/>
      </c>
    </row>
    <row r="16">
      <c r="B16" s="75" t="inlineStr">
        <is>
          <t>Networth</t>
        </is>
      </c>
      <c r="C16" s="117">
        <f>$C$5+$C$6</f>
        <v/>
      </c>
      <c r="D16" s="53">
        <f>C16/10000000</f>
        <v/>
      </c>
      <c r="E16" s="117" t="n"/>
      <c r="F16" s="115">
        <f>E16/10000000</f>
        <v/>
      </c>
      <c r="G16" s="113" t="n"/>
      <c r="H16" s="113" t="n"/>
      <c r="J16" s="84" t="n"/>
      <c r="K16" s="46" t="n"/>
      <c r="L16" s="85" t="n"/>
    </row>
    <row r="17" ht="16.2" customHeight="1" thickBot="1">
      <c r="B17" s="51" t="inlineStr">
        <is>
          <t>Turnover</t>
        </is>
      </c>
      <c r="C17" s="52" t="n"/>
      <c r="D17" s="53">
        <f>C17/10000000</f>
        <v/>
      </c>
      <c r="E17" s="52" t="n"/>
      <c r="F17" s="115">
        <f>E17/10000000</f>
        <v/>
      </c>
      <c r="J17" s="86" t="inlineStr">
        <is>
          <t>Result</t>
        </is>
      </c>
      <c r="K17" s="57">
        <f>IF(OR($K$13=$H$3,$K$14=$H$3,$K$15=$H$3),$H$3,$H$4)</f>
        <v/>
      </c>
      <c r="L17" s="87">
        <f>IF(OR($L$13=$H$3,$L$14=$H$3,$L$15=$H$3),$H$3,$H$4)</f>
        <v/>
      </c>
    </row>
    <row r="18" ht="16.2" customHeight="1" thickBot="1">
      <c r="B18" s="51" t="inlineStr">
        <is>
          <t>Total Revenue</t>
        </is>
      </c>
      <c r="C18" s="52" t="n"/>
      <c r="D18" s="53">
        <f>C18/10000000</f>
        <v/>
      </c>
      <c r="E18" s="52" t="n"/>
      <c r="F18" s="54">
        <f>E18/10000000</f>
        <v/>
      </c>
      <c r="G18" s="60" t="inlineStr">
        <is>
          <t>Year 2</t>
        </is>
      </c>
      <c r="H18" s="1" t="inlineStr">
        <is>
          <t>Year 3</t>
        </is>
      </c>
      <c r="J18" s="79" t="n"/>
      <c r="K18" s="80" t="n"/>
      <c r="L18" s="81" t="n"/>
    </row>
    <row r="19">
      <c r="B19" s="51" t="inlineStr">
        <is>
          <t>Profit Before Tax</t>
        </is>
      </c>
      <c r="C19" s="52" t="n"/>
      <c r="D19" s="53">
        <f>C19/10000000</f>
        <v/>
      </c>
      <c r="E19" s="52" t="n"/>
      <c r="F19" s="54">
        <f>E19/10000000</f>
        <v/>
      </c>
      <c r="G19" s="78" t="n"/>
      <c r="H19" s="78" t="n"/>
      <c r="J19" s="88" t="inlineStr">
        <is>
          <t>Rotation of Auditors</t>
        </is>
      </c>
      <c r="K19" s="43" t="n"/>
      <c r="L19" s="41" t="n"/>
    </row>
    <row r="20">
      <c r="B20" s="45" t="inlineStr">
        <is>
          <t>Export</t>
        </is>
      </c>
      <c r="C20" s="73" t="n"/>
      <c r="D20" s="5">
        <f>C20/10000000</f>
        <v/>
      </c>
      <c r="E20" s="6" t="n"/>
      <c r="F20" s="47" t="n"/>
      <c r="J20" s="84" t="inlineStr">
        <is>
          <t>Public Company - PUC more than 10 Cr</t>
        </is>
      </c>
      <c r="K20" s="46">
        <f>IF($C$5&gt;=100000000,"Applicable","Not Applicable")</f>
        <v/>
      </c>
      <c r="L20" s="46">
        <f>IF($E$5&gt;=100000000,"Applicable","Not Applicable")</f>
        <v/>
      </c>
    </row>
    <row r="21">
      <c r="B21" s="45" t="inlineStr">
        <is>
          <t>ED / WTD - 2 Monthly Remuneration</t>
        </is>
      </c>
      <c r="C21" s="73" t="n"/>
      <c r="D21" s="5">
        <f>C21/10000000</f>
        <v/>
      </c>
      <c r="E21" s="6" t="n"/>
      <c r="F21" s="47" t="n"/>
      <c r="J21" s="84" t="inlineStr">
        <is>
          <t>All Companies - Borrowings more than Rs 50 Cr</t>
        </is>
      </c>
      <c r="K21" s="46">
        <f>IF($C$7&gt;=500000000,"Applicable","Not Applicable")</f>
        <v/>
      </c>
      <c r="L21" s="46">
        <f>IF($E$7&gt;=500000000,"Applicable","Not Applicable")</f>
        <v/>
      </c>
    </row>
    <row r="22">
      <c r="B22" s="45" t="inlineStr">
        <is>
          <t>ED / WTD - 3 Monthly Remuneration</t>
        </is>
      </c>
      <c r="C22" s="73" t="n"/>
      <c r="D22" s="5">
        <f>C22/10000000</f>
        <v/>
      </c>
      <c r="E22" s="6" t="n"/>
      <c r="F22" s="47" t="n"/>
      <c r="J22" s="84" t="n"/>
      <c r="K22" s="46" t="n"/>
      <c r="L22" s="47" t="n"/>
    </row>
    <row r="23" ht="16.2" customHeight="1" thickBot="1">
      <c r="B23" s="45" t="inlineStr">
        <is>
          <t>ED / WTD - 4 Monthly Remuneration</t>
        </is>
      </c>
      <c r="C23" s="73" t="n"/>
      <c r="D23" s="5" t="n"/>
      <c r="E23" s="6" t="n"/>
      <c r="F23" s="47" t="n"/>
      <c r="J23" s="86" t="inlineStr">
        <is>
          <t>Result</t>
        </is>
      </c>
      <c r="K23" s="57">
        <f>IF(OR($K$20=$H$3,$K$21=$H$3,),$H$3,$H$4)</f>
        <v/>
      </c>
      <c r="L23" s="57">
        <f>IF(OR($L$20=$H$3,$L$21=$H$3,),$H$3,$H$4)</f>
        <v/>
      </c>
    </row>
    <row r="24" ht="16.2" customHeight="1" thickBot="1">
      <c r="B24" s="45" t="inlineStr">
        <is>
          <t>ED / WTD - 5 Monthly Remuneration</t>
        </is>
      </c>
      <c r="C24" s="73" t="n"/>
      <c r="D24" s="5" t="n"/>
      <c r="E24" s="6" t="n"/>
      <c r="F24" s="47" t="n"/>
      <c r="J24" s="79" t="n"/>
      <c r="K24" s="80" t="n"/>
      <c r="L24" s="81" t="n"/>
    </row>
    <row r="25">
      <c r="B25" s="45" t="inlineStr">
        <is>
          <t>Sitting Fees to Directors</t>
        </is>
      </c>
      <c r="C25" s="73" t="n"/>
      <c r="D25" s="5" t="n"/>
      <c r="E25" s="6" t="n"/>
      <c r="F25" s="47" t="n"/>
      <c r="J25" s="95" t="inlineStr">
        <is>
          <t>XBRL FILING</t>
        </is>
      </c>
      <c r="K25" s="96" t="n"/>
      <c r="L25" s="41" t="n"/>
    </row>
    <row r="26" ht="31.2" customHeight="1">
      <c r="B26" s="66" t="inlineStr">
        <is>
          <t>Number of Bodies Corporate Shareholder holding more than 10%</t>
        </is>
      </c>
      <c r="C26" s="74" t="n"/>
      <c r="D26" s="53">
        <f>C26/10000000</f>
        <v/>
      </c>
      <c r="E26" s="6" t="n"/>
      <c r="F26" s="54">
        <f>E26/10000000</f>
        <v/>
      </c>
      <c r="J26" s="98" t="inlineStr">
        <is>
          <t>Listed companies</t>
        </is>
      </c>
      <c r="K26" s="10" t="inlineStr">
        <is>
          <t>No</t>
        </is>
      </c>
      <c r="L26" s="47" t="n"/>
    </row>
    <row r="27">
      <c r="B27" s="45" t="inlineStr">
        <is>
          <t xml:space="preserve">Is the Company a Holding or a Subsidiary Company </t>
        </is>
      </c>
      <c r="C27" s="73" t="inlineStr">
        <is>
          <t>Subsidiary Company</t>
        </is>
      </c>
      <c r="D27" s="5" t="n"/>
      <c r="E27" s="73" t="inlineStr">
        <is>
          <t>Subsidiary Company</t>
        </is>
      </c>
      <c r="F27" s="47" t="n"/>
      <c r="J27" s="84" t="inlineStr">
        <is>
          <t>PUC 5 Cr or more</t>
        </is>
      </c>
      <c r="K27" s="46">
        <f>IF($C$5&gt;=50000000,"Applicable","Not Applicable")</f>
        <v/>
      </c>
      <c r="L27" s="46">
        <f>IF($E$5&gt;=50000000,"Applicable","Not Applicable")</f>
        <v/>
      </c>
    </row>
    <row r="28">
      <c r="B28" s="1" t="inlineStr">
        <is>
          <t>Accounting Standard</t>
        </is>
      </c>
      <c r="C28" s="147" t="inlineStr">
        <is>
          <t>AS</t>
        </is>
      </c>
      <c r="E28" s="147" t="inlineStr">
        <is>
          <t>IND AS</t>
        </is>
      </c>
      <c r="J28" s="98" t="inlineStr">
        <is>
          <t>TO 100 Cr or More</t>
        </is>
      </c>
      <c r="K28" s="46">
        <f>IF($C$17&gt;=1000000000,"Applicable","Not Applicable")</f>
        <v/>
      </c>
      <c r="L28" s="46">
        <f>IF($E$17&gt;=1000000000,"Applicable","Not Applicable")</f>
        <v/>
      </c>
    </row>
    <row r="29" ht="18" customHeight="1">
      <c r="B29" s="5" t="n"/>
      <c r="C29" s="143" t="inlineStr">
        <is>
          <t>Current Year</t>
        </is>
      </c>
      <c r="D29" s="150" t="n"/>
      <c r="E29" s="144" t="inlineStr">
        <is>
          <t>Previous Year (Year 1)</t>
        </is>
      </c>
      <c r="F29" s="150" t="n"/>
      <c r="J29" s="98" t="inlineStr">
        <is>
          <t>IND AS Applicability</t>
        </is>
      </c>
      <c r="K29" s="50">
        <f>IF($C$28=$H$8,"Applicable","Not Applicable")</f>
        <v/>
      </c>
      <c r="L29" s="50">
        <f>IF($E$28=$H$8,"Applicable","Not Applicable")</f>
        <v/>
      </c>
    </row>
    <row r="30" ht="16.2" customHeight="1" thickBot="1">
      <c r="B30" s="9" t="inlineStr">
        <is>
          <t>Requirement</t>
        </is>
      </c>
      <c r="C30" s="8" t="inlineStr">
        <is>
          <t>Applicability</t>
        </is>
      </c>
      <c r="D30" s="9" t="inlineStr">
        <is>
          <t>Complied or not</t>
        </is>
      </c>
      <c r="E30" s="8" t="n"/>
      <c r="F30" s="9" t="n"/>
      <c r="J30" s="86" t="inlineStr">
        <is>
          <t>Result</t>
        </is>
      </c>
      <c r="K30" s="57">
        <f>IF(OR($K$26=H$3,$K$27=$H$3,$K$28=$H$3),$H$3,$H$4)</f>
        <v/>
      </c>
      <c r="L30" s="57">
        <f>IF(OR($L$26=I$3,$L$27=$H$3,$L$28=$H$3),$H$3,$H$4)</f>
        <v/>
      </c>
    </row>
    <row r="31" ht="16.2" customHeight="1" thickBot="1">
      <c r="A31" s="1" t="n">
        <v>1</v>
      </c>
      <c r="B31" s="119" t="inlineStr">
        <is>
          <t>Is it a Small Company?</t>
        </is>
      </c>
      <c r="C31" s="120" t="inlineStr">
        <is>
          <t>No it is not a small company</t>
        </is>
      </c>
      <c r="D31" s="53" t="n"/>
      <c r="E31" s="121">
        <f>C31</f>
        <v/>
      </c>
      <c r="F31" s="53" t="n"/>
      <c r="J31" s="79" t="n"/>
      <c r="K31" s="80" t="n"/>
      <c r="L31" s="81" t="n"/>
    </row>
    <row r="32">
      <c r="A32" s="1" t="n">
        <v>2</v>
      </c>
      <c r="B32" s="5">
        <f>J9</f>
        <v/>
      </c>
      <c r="C32" s="122" t="inlineStr">
        <is>
          <t>Applicable</t>
        </is>
      </c>
      <c r="D32" s="5" t="n"/>
      <c r="E32" s="122" t="inlineStr">
        <is>
          <t>Applicable</t>
        </is>
      </c>
      <c r="F32" s="53" t="n"/>
      <c r="J32" s="39" t="inlineStr">
        <is>
          <t>Vigil Mechanism</t>
        </is>
      </c>
      <c r="K32" s="43" t="n"/>
      <c r="L32" s="41" t="n"/>
    </row>
    <row r="33">
      <c r="A33" s="1" t="n">
        <v>3</v>
      </c>
      <c r="B33" s="5">
        <f>J19</f>
        <v/>
      </c>
      <c r="C33" s="122">
        <f>$K$23</f>
        <v/>
      </c>
      <c r="D33" s="5" t="n"/>
      <c r="E33" s="121">
        <f>$L$23</f>
        <v/>
      </c>
      <c r="F33" s="53" t="n"/>
      <c r="J33" s="45" t="inlineStr">
        <is>
          <t>Listed Company</t>
        </is>
      </c>
      <c r="K33" s="5" t="inlineStr">
        <is>
          <t>No</t>
        </is>
      </c>
      <c r="L33" s="47" t="inlineStr">
        <is>
          <t>No</t>
        </is>
      </c>
    </row>
    <row r="34">
      <c r="A34" s="1" t="n">
        <v>4</v>
      </c>
      <c r="B34" s="5" t="inlineStr">
        <is>
          <t>XBRL filing</t>
        </is>
      </c>
      <c r="C34" s="122">
        <f>$K$30</f>
        <v/>
      </c>
      <c r="D34" s="5" t="n"/>
      <c r="E34" s="121">
        <f>L30</f>
        <v/>
      </c>
      <c r="F34" s="53" t="n"/>
      <c r="J34" s="45" t="inlineStr">
        <is>
          <t>Public Deposit taking Company</t>
        </is>
      </c>
      <c r="K34" s="5" t="inlineStr">
        <is>
          <t>No</t>
        </is>
      </c>
      <c r="L34" s="47" t="inlineStr">
        <is>
          <t>No</t>
        </is>
      </c>
    </row>
    <row r="35">
      <c r="A35" s="1" t="n">
        <v>5</v>
      </c>
      <c r="B35" s="5">
        <f>J32</f>
        <v/>
      </c>
      <c r="C35" s="122">
        <f>$K$37</f>
        <v/>
      </c>
      <c r="D35" s="5" t="n"/>
      <c r="E35" s="121">
        <f>L37</f>
        <v/>
      </c>
      <c r="F35" s="53" t="n"/>
      <c r="J35" s="45" t="inlineStr">
        <is>
          <t>Borrowings more than Rs 50 cr</t>
        </is>
      </c>
      <c r="K35" s="46">
        <f>IF($C$7&gt;500000000,"Applicable","Not Applicable")</f>
        <v/>
      </c>
      <c r="L35" s="85">
        <f>IF($E$7&gt;500000000,"Applicable","Not Applicable")</f>
        <v/>
      </c>
    </row>
    <row r="36">
      <c r="A36" s="1" t="n">
        <v>6</v>
      </c>
      <c r="B36" s="5">
        <f>J39</f>
        <v/>
      </c>
      <c r="C36" s="122" t="inlineStr">
        <is>
          <t>Applicable</t>
        </is>
      </c>
      <c r="D36" s="5" t="n"/>
      <c r="E36" s="122" t="inlineStr">
        <is>
          <t>Applicable</t>
        </is>
      </c>
      <c r="F36" s="6" t="n"/>
      <c r="J36" s="45" t="n"/>
      <c r="K36" s="5" t="n"/>
      <c r="L36" s="47" t="n"/>
    </row>
    <row r="37" ht="16.2" customHeight="1" thickBot="1">
      <c r="A37" s="1" t="n">
        <v>7</v>
      </c>
      <c r="B37" s="5" t="inlineStr">
        <is>
          <t>Internal Audit</t>
        </is>
      </c>
      <c r="C37" s="122">
        <f>$K$59</f>
        <v/>
      </c>
      <c r="D37" s="5" t="n"/>
      <c r="E37" s="122">
        <f>$L$59</f>
        <v/>
      </c>
      <c r="F37" s="53" t="n"/>
      <c r="J37" s="86" t="inlineStr">
        <is>
          <t>Result</t>
        </is>
      </c>
      <c r="K37" s="57">
        <f>IF(OR($K$33=$H$3,$K$34=$H$3,$K$35=$H$3),$H$3,$H$4)</f>
        <v/>
      </c>
      <c r="L37" s="87">
        <f>IF(OR($L$33=$H$3,$L$34=$H$3,$L$35=$H$3),$H$3,$H$4)</f>
        <v/>
      </c>
    </row>
    <row r="38" ht="16.2" customHeight="1" thickBot="1">
      <c r="A38" s="1" t="n">
        <v>8</v>
      </c>
      <c r="B38" s="5" t="inlineStr">
        <is>
          <t>Secretarial Audit</t>
        </is>
      </c>
      <c r="C38" s="122">
        <f>$K$67</f>
        <v/>
      </c>
      <c r="D38" s="5" t="n"/>
      <c r="E38" s="122">
        <f>$L$67</f>
        <v/>
      </c>
      <c r="F38" s="53" t="n"/>
      <c r="J38" s="79" t="n"/>
      <c r="K38" s="80" t="n"/>
      <c r="L38" s="81" t="n"/>
    </row>
    <row r="39">
      <c r="A39" s="1" t="n">
        <v>9</v>
      </c>
      <c r="B39" s="5" t="inlineStr">
        <is>
          <t>CS appointment</t>
        </is>
      </c>
      <c r="C39" s="122">
        <f>IF($C$5&gt;50000000,"To appoint CS","Need not appoint CS")</f>
        <v/>
      </c>
      <c r="D39" s="5" t="n"/>
      <c r="E39" s="122">
        <f>IF($E$5&gt;50000000,"To appoint CS","Need not appoint CS")</f>
        <v/>
      </c>
      <c r="F39" s="53" t="n"/>
      <c r="J39" s="39" t="inlineStr">
        <is>
          <t>Internal Financial Controls</t>
        </is>
      </c>
      <c r="K39" s="43" t="n"/>
      <c r="L39" s="41" t="n"/>
    </row>
    <row r="40" ht="16.2" customHeight="1" thickBot="1">
      <c r="A40" s="1" t="n">
        <v>10</v>
      </c>
      <c r="B40" s="5" t="inlineStr">
        <is>
          <t>Loan and Investments</t>
        </is>
      </c>
      <c r="C40" s="6">
        <f>$K$81</f>
        <v/>
      </c>
      <c r="D40" s="5" t="n"/>
      <c r="E40" s="6">
        <f>$L$81</f>
        <v/>
      </c>
      <c r="F40" s="53" t="n"/>
      <c r="J40" s="86" t="inlineStr">
        <is>
          <t>Result</t>
        </is>
      </c>
      <c r="K40" s="57" t="inlineStr">
        <is>
          <t>Applicable</t>
        </is>
      </c>
      <c r="L40" s="58" t="n"/>
    </row>
    <row r="41">
      <c r="A41" s="1" t="n">
        <v>11</v>
      </c>
      <c r="B41" s="5" t="inlineStr">
        <is>
          <t>Loan to Director or Related entities</t>
        </is>
      </c>
      <c r="C41" s="6">
        <f>IF($C$8&gt;0,"Check for Sec 185 Compliance","Not Applicable")</f>
        <v/>
      </c>
      <c r="D41" s="5" t="n"/>
      <c r="E41" s="6">
        <f>IF($E$8&gt;0,"Check for Sec 185 Compliance","Not Applicable")</f>
        <v/>
      </c>
      <c r="F41" s="5" t="n"/>
      <c r="J41" s="59" t="n"/>
      <c r="K41" s="60" t="n"/>
      <c r="L41" s="61" t="n"/>
    </row>
    <row r="42" ht="124.8" customHeight="1">
      <c r="A42" s="1" t="n">
        <v>12</v>
      </c>
      <c r="B42" s="5" t="inlineStr">
        <is>
          <t>Cost Audit</t>
        </is>
      </c>
      <c r="C42" s="122" t="inlineStr">
        <is>
          <t>Whether CRA 2 and CRA 4 filed?</t>
        </is>
      </c>
      <c r="D42" s="6" t="inlineStr">
        <is>
          <t>Date_______________, SRN_________________
Date_______________, SRN_________________</t>
        </is>
      </c>
      <c r="E42" s="122" t="inlineStr">
        <is>
          <t>Whether CRA 2 and CRA 4 filed?</t>
        </is>
      </c>
      <c r="F42" s="6" t="inlineStr">
        <is>
          <t>Date_______________, SRN_________________
Date_______________, SRN_________________</t>
        </is>
      </c>
      <c r="J42" s="102" t="inlineStr">
        <is>
          <t>MGT 8 Applicability</t>
        </is>
      </c>
      <c r="K42" s="5" t="n"/>
      <c r="L42" s="47" t="n"/>
    </row>
    <row r="43">
      <c r="A43" s="1" t="n">
        <v>13</v>
      </c>
      <c r="B43" s="5" t="inlineStr">
        <is>
          <t>AOC 1</t>
        </is>
      </c>
      <c r="C43" s="6">
        <f>IF($C$27=$H$6,"Applicable, Check AOC 1 is annexed with Board's report","Not Applicable")</f>
        <v/>
      </c>
      <c r="D43" s="5" t="n"/>
      <c r="E43" s="6">
        <f>IF($E$27=$H$6,"Applicable, Check AOC 1 is annexed with Board's report","Not Applicable")</f>
        <v/>
      </c>
      <c r="F43" s="6" t="n"/>
      <c r="J43" s="98" t="n"/>
      <c r="K43" s="5" t="n"/>
      <c r="L43" s="47" t="n"/>
    </row>
    <row r="44">
      <c r="A44" s="1" t="n">
        <v>14</v>
      </c>
      <c r="B44" s="5" t="inlineStr">
        <is>
          <t>AOC 2</t>
        </is>
      </c>
      <c r="C44" s="122">
        <f>IF(($C$20+$C$21+$C$22+$C$23+$C$24)&gt;0,"Applicable, Fill in Sec 188 Compliance sheet","Not Applicable")</f>
        <v/>
      </c>
      <c r="D44" s="5" t="n"/>
      <c r="E44" s="6">
        <f>IF(($E$20+$E$21+$E$22+$E$23+$E$24)&gt;0,"Applicable, Fill in Sec 188 Compliance sheet","Not Applicable")</f>
        <v/>
      </c>
      <c r="F44" s="6" t="n"/>
      <c r="J44" s="101" t="inlineStr">
        <is>
          <t>Listed Company, or</t>
        </is>
      </c>
      <c r="K44" s="5" t="inlineStr">
        <is>
          <t>No</t>
        </is>
      </c>
      <c r="L44" s="47" t="n"/>
    </row>
    <row r="45">
      <c r="A45" s="1" t="n">
        <v>15</v>
      </c>
      <c r="B45" s="5" t="inlineStr">
        <is>
          <t>RPT Resolution for omnibus approval</t>
        </is>
      </c>
      <c r="C45" s="122">
        <f>IF(($C$20+$C$21+$C$22+$C$23+$C$24)&gt;0,"Applicable, Fill in Sec 188 Compliance sheet","Not Applicable")</f>
        <v/>
      </c>
      <c r="D45" s="5" t="n"/>
      <c r="E45" s="6">
        <f>IF(($E$20+$E$21+$E$22+$E$23+$E$24)&gt;0,"Applicable, Fill in Sec 188 Compliance sheet","Not Applicable")</f>
        <v/>
      </c>
      <c r="F45" s="5" t="n"/>
      <c r="J45" s="101" t="inlineStr">
        <is>
          <t>PUC Rs. 10 Cr or more</t>
        </is>
      </c>
      <c r="K45" s="46">
        <f>IF($C$5&gt;=100000000,"Applicable","Not Applicable")</f>
        <v/>
      </c>
      <c r="L45" s="46">
        <f>IF($E$5&gt;=100000000,"Applicable","Not Applicable")</f>
        <v/>
      </c>
    </row>
    <row r="46">
      <c r="A46" s="1" t="n">
        <v>16</v>
      </c>
      <c r="B46" s="5">
        <f>J11</f>
        <v/>
      </c>
      <c r="C46" s="6">
        <f>$K$17</f>
        <v/>
      </c>
      <c r="D46" s="5" t="n"/>
      <c r="E46" s="6">
        <f>$L$17</f>
        <v/>
      </c>
      <c r="F46" s="5" t="n"/>
      <c r="J46" s="101" t="inlineStr">
        <is>
          <t>TO Rs. 50 Cr ore More</t>
        </is>
      </c>
      <c r="K46" s="46">
        <f>IF($C$17&gt;=500000000,"Applicable","Not Applicable")</f>
        <v/>
      </c>
      <c r="L46" s="46">
        <f>IF($E$17&gt;=500000000,"Applicable","Not Applicable")</f>
        <v/>
      </c>
    </row>
    <row r="47">
      <c r="A47" s="1" t="n">
        <v>17</v>
      </c>
      <c r="B47" s="5" t="inlineStr">
        <is>
          <t>CSR Committee</t>
        </is>
      </c>
      <c r="C47" s="6">
        <f>IF((($C$19+$E$19+$G$19)*2%)&gt;5000000,"Check CSR Committee compliance","Not Applicable")</f>
        <v/>
      </c>
      <c r="D47" s="5" t="n"/>
      <c r="E47" s="6">
        <f>IF((($H$19+$E$19+$G$19)*2%)&gt;5000000,"Check CSR Committee compliance","Not Applicable")</f>
        <v/>
      </c>
      <c r="F47" s="5" t="n"/>
      <c r="J47" s="101" t="n"/>
      <c r="K47" s="46" t="n"/>
      <c r="L47" s="46" t="n"/>
    </row>
    <row r="48">
      <c r="A48" s="1" t="n">
        <v>18</v>
      </c>
      <c r="B48" s="5" t="inlineStr">
        <is>
          <t>Deposit declaration</t>
        </is>
      </c>
      <c r="C48" s="6">
        <f>IF($C$12&gt;0,"Applicable, Is deposit declaration obtained","Not Applicable")</f>
        <v/>
      </c>
      <c r="D48" s="5" t="n"/>
      <c r="E48" s="6">
        <f>IF($E$12&gt;0,"Applicable, Is deposit declaration obtained","Not Applicable")</f>
        <v/>
      </c>
      <c r="F48" s="5" t="n"/>
      <c r="J48" s="99" t="inlineStr">
        <is>
          <t>Result</t>
        </is>
      </c>
      <c r="K48" s="50">
        <f>IF(OR($K$44=$H$3,$K$45=$H$3,$K$46=$H$3),$H$3,$H$4)</f>
        <v/>
      </c>
      <c r="L48" s="50">
        <f>IF(OR($L$44=$H$3,$L$45=$H$3,$L$46=$H$3),$H$3,$H$4)</f>
        <v/>
      </c>
    </row>
    <row r="49" ht="62.4" customHeight="1">
      <c r="A49" s="1" t="n">
        <v>19</v>
      </c>
      <c r="B49" s="123" t="inlineStr">
        <is>
          <t>DPT 3</t>
        </is>
      </c>
      <c r="C49" s="122">
        <f>IF(($C$7+$C$14)&gt;0,"Applicable, Is  Form DPT 3  filed","Not Applicable")</f>
        <v/>
      </c>
      <c r="D49" s="6" t="inlineStr">
        <is>
          <t>Date_______________, SRN_________________</t>
        </is>
      </c>
      <c r="E49" s="6">
        <f>IF(($E$7+$E$14)&gt;0,"Applicable, Is  Form DPT 3  filed","Not Applicable")</f>
        <v/>
      </c>
      <c r="F49" s="6" t="n"/>
      <c r="J49" s="101" t="n"/>
      <c r="K49" s="5" t="n"/>
      <c r="L49" s="47" t="n"/>
    </row>
    <row r="50" ht="62.4" customHeight="1">
      <c r="A50" s="1" t="n">
        <v>20</v>
      </c>
      <c r="B50" s="5" t="inlineStr">
        <is>
          <t>MSME</t>
        </is>
      </c>
      <c r="C50" s="6">
        <f>IF($C$15&gt;0,"Applicable, Is Form MSME filed","Not Applicable")</f>
        <v/>
      </c>
      <c r="D50" s="6" t="inlineStr">
        <is>
          <t>Date_______________, SRN_________________</t>
        </is>
      </c>
      <c r="E50" s="6">
        <f>IF($E$15&gt;0,"Applicable, Is Form MSME filed","Not Applicable")</f>
        <v/>
      </c>
      <c r="F50" s="6" t="n"/>
      <c r="J50" s="106" t="inlineStr">
        <is>
          <t>Certification of MGT 7</t>
        </is>
      </c>
      <c r="K50" s="5" t="n"/>
      <c r="L50" s="47" t="n"/>
    </row>
    <row r="51" ht="62.4" customHeight="1">
      <c r="A51" s="1" t="n">
        <v>21</v>
      </c>
      <c r="B51" s="5" t="inlineStr">
        <is>
          <t>Ben 2</t>
        </is>
      </c>
      <c r="C51" s="122">
        <f>IF($C$26&gt;0,"Ben Compliance to be checked","Not Applicable")</f>
        <v/>
      </c>
      <c r="D51" s="6" t="inlineStr">
        <is>
          <t>Date_______________, SRN_________________</t>
        </is>
      </c>
      <c r="E51" s="6">
        <f>IF($E$26&gt;0,"Ben Compliance to be checked","Not Applicable")</f>
        <v/>
      </c>
      <c r="F51" s="6" t="n"/>
      <c r="J51" s="101" t="inlineStr">
        <is>
          <t>Small Company (Not Applicable if it is a small Company)</t>
        </is>
      </c>
      <c r="K51" s="46">
        <f>K6</f>
        <v/>
      </c>
      <c r="L51" s="47" t="n"/>
    </row>
    <row r="52">
      <c r="A52" s="1" t="n">
        <v>22</v>
      </c>
      <c r="B52" s="5">
        <f>J42</f>
        <v/>
      </c>
      <c r="C52" s="122">
        <f>$K48</f>
        <v/>
      </c>
      <c r="D52" s="5" t="n"/>
      <c r="E52" s="6">
        <f>$L$48</f>
        <v/>
      </c>
      <c r="F52" s="5" t="n"/>
      <c r="J52" s="101" t="n"/>
      <c r="K52" s="5" t="n"/>
      <c r="L52" s="47" t="n"/>
    </row>
    <row r="53">
      <c r="A53" s="1" t="n">
        <v>23</v>
      </c>
      <c r="B53" s="5">
        <f>J50</f>
        <v/>
      </c>
      <c r="C53" s="122">
        <f>$K$53</f>
        <v/>
      </c>
      <c r="D53" s="5" t="n"/>
      <c r="E53" s="6">
        <f>$L$53</f>
        <v/>
      </c>
      <c r="F53" s="5" t="n"/>
      <c r="J53" s="99" t="inlineStr">
        <is>
          <t>Result</t>
        </is>
      </c>
      <c r="K53" s="50" t="inlineStr">
        <is>
          <t>Applicable</t>
        </is>
      </c>
      <c r="L53" s="50" t="inlineStr">
        <is>
          <t>Applicable</t>
        </is>
      </c>
    </row>
    <row r="54">
      <c r="A54" s="1" t="n">
        <v>24</v>
      </c>
      <c r="B54" s="5" t="inlineStr">
        <is>
          <t>KMP appointment</t>
        </is>
      </c>
      <c r="C54" s="122">
        <f>IF($C$5&gt;100000000,"To appoint KMP","Need not appoint KMP")</f>
        <v/>
      </c>
      <c r="D54" s="5" t="n"/>
      <c r="E54" s="6">
        <f>IF($L$5&gt;100000000,"To appoint KMP","Need not appoint KMP")</f>
        <v/>
      </c>
      <c r="F54" s="5" t="n"/>
      <c r="J54" s="45" t="n"/>
      <c r="K54" s="5" t="n"/>
      <c r="L54" s="47" t="n"/>
    </row>
    <row r="55">
      <c r="A55" s="1" t="n">
        <v>25</v>
      </c>
      <c r="B55" s="5" t="inlineStr">
        <is>
          <t>Women Director</t>
        </is>
      </c>
      <c r="C55" s="122">
        <f>$O$3</f>
        <v/>
      </c>
      <c r="D55" s="5" t="n"/>
      <c r="E55" s="6">
        <f>$P$3</f>
        <v/>
      </c>
      <c r="F55" s="5" t="n"/>
      <c r="J55" s="48" t="inlineStr">
        <is>
          <t>Internal Audit</t>
        </is>
      </c>
      <c r="K55" s="5" t="n"/>
      <c r="L55" s="47" t="n"/>
    </row>
    <row r="56">
      <c r="A56" s="1" t="n">
        <v>26</v>
      </c>
      <c r="B56" s="5" t="inlineStr">
        <is>
          <t>Independent Director</t>
        </is>
      </c>
      <c r="C56" s="122">
        <f>$O$7</f>
        <v/>
      </c>
      <c r="D56" s="5" t="n"/>
      <c r="E56" s="6">
        <f>$P$7</f>
        <v/>
      </c>
      <c r="F56" s="5" t="n"/>
      <c r="J56" s="107" t="inlineStr">
        <is>
          <t>TO 200 Cr or More</t>
        </is>
      </c>
      <c r="K56" s="46">
        <f>IF($C$17&gt;=2000000000,"Applicable","Not Applicable")</f>
        <v/>
      </c>
      <c r="L56" s="85">
        <f>IF($E$17&gt;=2000000000,"Applicable","Not Applicable")</f>
        <v/>
      </c>
    </row>
    <row r="57">
      <c r="A57" s="1" t="n">
        <v>27</v>
      </c>
      <c r="B57" s="5" t="inlineStr">
        <is>
          <t>Audit Committee</t>
        </is>
      </c>
      <c r="C57" s="122">
        <f>$C$56</f>
        <v/>
      </c>
      <c r="D57" s="3" t="n"/>
      <c r="E57" s="6">
        <f>E56</f>
        <v/>
      </c>
      <c r="F57" s="5" t="n"/>
      <c r="J57" s="51" t="inlineStr">
        <is>
          <t>Borrowings 100 Cr or more</t>
        </is>
      </c>
      <c r="K57" s="46">
        <f>IF($C$7&gt;=1000000000,"Applicable","Not Applicable")</f>
        <v/>
      </c>
      <c r="L57" s="85">
        <f>IF($E$7&gt;=1000000000,"Applicable","Not Applicable")</f>
        <v/>
      </c>
    </row>
    <row r="58">
      <c r="A58" s="1" t="n">
        <v>28</v>
      </c>
      <c r="B58" s="5" t="inlineStr">
        <is>
          <t>Nomination and Remuneration Committee</t>
        </is>
      </c>
      <c r="C58" s="122">
        <f>$C$57</f>
        <v/>
      </c>
      <c r="D58" s="5" t="n"/>
      <c r="E58" s="6">
        <f>E57</f>
        <v/>
      </c>
      <c r="F58" s="5" t="n"/>
      <c r="J58" s="45" t="inlineStr">
        <is>
          <t>PUC 50 Cr or more</t>
        </is>
      </c>
      <c r="K58" s="46">
        <f>IF($C$5&gt;=500000000,"Applicable","Not Applicable")</f>
        <v/>
      </c>
      <c r="L58" s="47" t="n"/>
    </row>
    <row r="59">
      <c r="A59" s="1" t="n">
        <v>29</v>
      </c>
      <c r="B59" s="5" t="inlineStr">
        <is>
          <t>Annual Board Evaluation</t>
        </is>
      </c>
      <c r="C59" s="122">
        <f>IF($C$5&gt;250000000,"Applicable","Not Applicable")</f>
        <v/>
      </c>
      <c r="D59" s="5" t="n"/>
      <c r="E59" s="6">
        <f>IF($E$5&gt;250000000,"Applicable","Not Applicable")</f>
        <v/>
      </c>
      <c r="F59" s="5" t="n"/>
      <c r="J59" s="99" t="inlineStr">
        <is>
          <t>Result</t>
        </is>
      </c>
      <c r="K59" s="50">
        <f>IF(OR($K$56=$H$3,$K$57=$H$3,$K$58=$H$3),$H$3,$H$4)</f>
        <v/>
      </c>
      <c r="L59" s="108">
        <f>IF(OR(L56=$H$3,L57=$H$3),$H$3,$H$4)</f>
        <v/>
      </c>
    </row>
    <row r="60">
      <c r="D60" s="5" t="n"/>
      <c r="E60" s="6" t="n"/>
      <c r="F60" s="5" t="n"/>
      <c r="J60" s="45" t="n"/>
      <c r="K60" s="5" t="n"/>
      <c r="L60" s="47" t="n"/>
    </row>
    <row r="61">
      <c r="B61" s="5" t="n"/>
      <c r="C61" s="6" t="n"/>
      <c r="D61" s="5" t="n"/>
      <c r="E61" s="6" t="n"/>
      <c r="F61" s="5" t="n"/>
      <c r="J61" s="48" t="inlineStr">
        <is>
          <t>Secretarial Audit</t>
        </is>
      </c>
      <c r="K61" s="5" t="n"/>
      <c r="L61" s="47" t="n"/>
    </row>
    <row r="62">
      <c r="J62" s="109" t="n"/>
      <c r="K62" s="5" t="n"/>
      <c r="L62" s="47" t="n"/>
    </row>
    <row r="63">
      <c r="J63" s="45" t="inlineStr">
        <is>
          <t>Listed Company</t>
        </is>
      </c>
      <c r="K63" s="5" t="n"/>
      <c r="L63" s="47" t="n"/>
    </row>
    <row r="64">
      <c r="J64" s="51" t="inlineStr">
        <is>
          <t>Public Company  PUC – 50 Cr or  more;</t>
        </is>
      </c>
      <c r="K64" s="46">
        <f>IF(($C$5&gt;=500000000), $H$3, $H$4)</f>
        <v/>
      </c>
      <c r="L64" s="46">
        <f>IF(($E$5&gt;=500000000), $H$3, $H$4)</f>
        <v/>
      </c>
    </row>
    <row r="65">
      <c r="J65" s="51" t="inlineStr">
        <is>
          <t>Public Company T.O of 250 Crore or more;</t>
        </is>
      </c>
      <c r="K65" s="46">
        <f>IF($C$17&gt;=2500000000,"Applicable","Not Applicable")</f>
        <v/>
      </c>
      <c r="L65" s="46">
        <f>IF($E$17&gt;=2500000000,"Applicable","Not Applicable")</f>
        <v/>
      </c>
    </row>
    <row r="66">
      <c r="J66" s="45" t="inlineStr">
        <is>
          <t>Company - Borrowings more than 100 Cr</t>
        </is>
      </c>
      <c r="K66" s="46">
        <f>IF($C$7&gt;1000000000,"Applicable","Not Applicable")</f>
        <v/>
      </c>
      <c r="L66" s="46">
        <f>IF($E$7&gt;1000000000,"Applicable","Not Applicable")</f>
        <v/>
      </c>
    </row>
    <row r="67">
      <c r="J67" s="99" t="inlineStr">
        <is>
          <t>Result</t>
        </is>
      </c>
      <c r="K67" s="50">
        <f>IF(OR($K$63=$H$3,$K$64=$H$3,$K$65=$H$3,$K$66=$H$3),$H$3,$H$4)</f>
        <v/>
      </c>
      <c r="L67" s="50">
        <f>IF(OR($L$63=$H$3,$L$64=$H$3,$L$65=$H$3,$L$66=$H$3),$H$3,$H$4)</f>
        <v/>
      </c>
    </row>
    <row r="68">
      <c r="J68" s="45" t="n"/>
      <c r="K68" s="5" t="n"/>
      <c r="L68" s="47" t="n"/>
    </row>
    <row r="69">
      <c r="J69" s="48" t="inlineStr">
        <is>
          <t>KMP appointment</t>
        </is>
      </c>
      <c r="K69" s="5" t="n"/>
      <c r="L69" s="47" t="n"/>
    </row>
    <row r="70">
      <c r="J70" s="45" t="inlineStr">
        <is>
          <t>Listed</t>
        </is>
      </c>
      <c r="K70" s="5" t="inlineStr">
        <is>
          <t>No</t>
        </is>
      </c>
      <c r="L70" s="47" t="inlineStr">
        <is>
          <t>No</t>
        </is>
      </c>
    </row>
    <row r="71">
      <c r="J71" s="45" t="inlineStr">
        <is>
          <t>Public Company - PUC 10 Cr or more</t>
        </is>
      </c>
      <c r="K71" s="46">
        <f>IF($C$5&gt;=100000000,"Applicable","Not Applicable")</f>
        <v/>
      </c>
      <c r="L71" s="46">
        <f>IF($E$5&gt;=100000000,"Applicable","Not Applicable")</f>
        <v/>
      </c>
    </row>
    <row r="72">
      <c r="J72" s="45" t="inlineStr">
        <is>
          <t>Any Company - To appoint CS - PUC 5 Cr or more</t>
        </is>
      </c>
      <c r="K72" s="46">
        <f>IF($C$5&gt;=50000000,"Applicable","Not Applicable")</f>
        <v/>
      </c>
      <c r="L72" s="46">
        <f>IF($C$5&gt;=50000000,"Applicable","Not Applicable")</f>
        <v/>
      </c>
    </row>
    <row r="73">
      <c r="J73" s="45" t="n"/>
      <c r="K73" s="46" t="n"/>
      <c r="L73" s="46" t="n"/>
    </row>
    <row r="74">
      <c r="J74" s="99" t="inlineStr">
        <is>
          <t>Result</t>
        </is>
      </c>
      <c r="K74" s="50">
        <f>IF(OR($K$70=$H$3,$K$71=$H$3,$K$72=$H$3),$H$3,$H$4)</f>
        <v/>
      </c>
      <c r="L74" s="50">
        <f>IF(OR($L$70=$H$3,$L$71=$H$3,$L$72=$H$3),$H$3,$H$4)</f>
        <v/>
      </c>
    </row>
    <row r="75">
      <c r="J75" s="45" t="n"/>
      <c r="K75" s="5" t="n"/>
      <c r="L75" s="47" t="n"/>
    </row>
    <row r="76">
      <c r="J76" s="48" t="inlineStr">
        <is>
          <t>Loan Investment Guarantee - 186</t>
        </is>
      </c>
      <c r="K76" s="5" t="n"/>
      <c r="L76" s="47" t="n"/>
    </row>
    <row r="77">
      <c r="J77" s="45" t="inlineStr">
        <is>
          <t xml:space="preserve">Have loans, investments, Guarantees </t>
        </is>
      </c>
      <c r="K77" s="5">
        <f>IF(($C$9+$C$10+$C$11)&gt;$H$14,"Check for Shareholders approval","Check for Boards Approval")</f>
        <v/>
      </c>
      <c r="L77" s="47">
        <f>IF(($E$9+$E$10+$E$11)&gt;$H$14,"Check for Shareholders approval","Check for Boards Approval")</f>
        <v/>
      </c>
    </row>
    <row r="78">
      <c r="J78" s="45" t="inlineStr">
        <is>
          <t>Don’t have loans, investments, guaratnees</t>
        </is>
      </c>
      <c r="K78" s="5">
        <f>IF(($C$9+$C$10+$C$11)&gt;0,$K$77,"Not Applicable")</f>
        <v/>
      </c>
      <c r="L78" s="47">
        <f>IF(($E$9+$E$10+$E$11)&gt;0,$L$77,"Not Applicable")</f>
        <v/>
      </c>
    </row>
    <row r="79">
      <c r="J79" s="45" t="n"/>
      <c r="K79" s="5" t="n"/>
      <c r="L79" s="47" t="n"/>
    </row>
    <row r="80">
      <c r="J80" s="45" t="n"/>
      <c r="K80" s="5" t="n"/>
      <c r="L80" s="47" t="n"/>
    </row>
    <row r="81" ht="16.2" customHeight="1" thickBot="1">
      <c r="J81" s="86" t="inlineStr">
        <is>
          <t>Result</t>
        </is>
      </c>
      <c r="K81" s="57">
        <f>IF(OR(K77=$H$4,K78=$H$4),$H$4,$K$77)</f>
        <v/>
      </c>
      <c r="L81" s="87">
        <f>IF(OR(L77=$H$4,L78=$H$4),$H$4,$L$77)</f>
        <v/>
      </c>
    </row>
  </sheetData>
  <mergeCells count="5">
    <mergeCell ref="C29:D29"/>
    <mergeCell ref="E29:F29"/>
    <mergeCell ref="E3:F3"/>
    <mergeCell ref="C3:D3"/>
    <mergeCell ref="B2:D2"/>
  </mergeCells>
  <conditionalFormatting sqref="C31">
    <cfRule type="containsText" priority="15" operator="containsText" dxfId="1" text="Yes">
      <formula>NOT(ISERROR(SEARCH("Yes",C31)))</formula>
    </cfRule>
  </conditionalFormatting>
  <conditionalFormatting sqref="K3">
    <cfRule type="containsText" priority="13" operator="containsText" dxfId="1" text="Yes">
      <formula>NOT(ISERROR(SEARCH("Yes",K3)))</formula>
    </cfRule>
  </conditionalFormatting>
  <conditionalFormatting sqref="K10">
    <cfRule type="containsText" priority="16" operator="containsText" dxfId="1" text="Yes">
      <formula>NOT(ISERROR(SEARCH("Yes",K10)))</formula>
    </cfRule>
  </conditionalFormatting>
  <conditionalFormatting sqref="K20:K22">
    <cfRule type="containsText" priority="9" operator="containsText" dxfId="1" text="Yes">
      <formula>NOT(ISERROR(SEARCH("Yes",K20)))</formula>
    </cfRule>
  </conditionalFormatting>
  <conditionalFormatting sqref="K51">
    <cfRule type="containsText" priority="14" operator="containsText" dxfId="1" text="Yes">
      <formula>NOT(ISERROR(SEARCH("Yes",K51)))</formula>
    </cfRule>
  </conditionalFormatting>
  <conditionalFormatting sqref="K56:K58">
    <cfRule type="containsText" priority="8" operator="containsText" dxfId="1" text="Yes">
      <formula>NOT(ISERROR(SEARCH("Yes",K56)))</formula>
    </cfRule>
  </conditionalFormatting>
  <conditionalFormatting sqref="K13:L16">
    <cfRule type="containsText" priority="12" operator="containsText" dxfId="1" text="Yes">
      <formula>NOT(ISERROR(SEARCH("Yes",K13)))</formula>
    </cfRule>
  </conditionalFormatting>
  <conditionalFormatting sqref="K27:L28">
    <cfRule type="containsText" priority="6" operator="containsText" dxfId="1" text="Yes">
      <formula>NOT(ISERROR(SEARCH("Yes",K27)))</formula>
    </cfRule>
  </conditionalFormatting>
  <conditionalFormatting sqref="K35:L35">
    <cfRule type="containsText" priority="11" operator="containsText" dxfId="1" text="Yes">
      <formula>NOT(ISERROR(SEARCH("Yes",K35)))</formula>
    </cfRule>
  </conditionalFormatting>
  <conditionalFormatting sqref="K45:L47">
    <cfRule type="containsText" priority="5" operator="containsText" dxfId="1" text="Yes">
      <formula>NOT(ISERROR(SEARCH("Yes",K45)))</formula>
    </cfRule>
  </conditionalFormatting>
  <conditionalFormatting sqref="K64:L66">
    <cfRule type="containsText" priority="4" operator="containsText" dxfId="1" text="Yes">
      <formula>NOT(ISERROR(SEARCH("Yes",K64)))</formula>
    </cfRule>
  </conditionalFormatting>
  <conditionalFormatting sqref="K71:L73">
    <cfRule type="containsText" priority="3" operator="containsText" dxfId="1" text="Yes">
      <formula>NOT(ISERROR(SEARCH("Yes",K71)))</formula>
    </cfRule>
  </conditionalFormatting>
  <conditionalFormatting sqref="L20:L21">
    <cfRule type="containsText" priority="7" operator="containsText" dxfId="1" text="Yes">
      <formula>NOT(ISERROR(SEARCH("Yes",L20)))</formula>
    </cfRule>
  </conditionalFormatting>
  <conditionalFormatting sqref="L56:L57">
    <cfRule type="containsText" priority="10" operator="containsText" dxfId="1" text="Yes">
      <formula>NOT(ISERROR(SEARCH("Yes",L56)))</formula>
    </cfRule>
  </conditionalFormatting>
  <conditionalFormatting sqref="O3:P3">
    <cfRule type="containsText" priority="2" operator="containsText" dxfId="1" text="Yes">
      <formula>NOT(ISERROR(SEARCH("Yes",O3)))</formula>
    </cfRule>
  </conditionalFormatting>
  <conditionalFormatting sqref="O7:P7">
    <cfRule type="containsText" priority="1" operator="containsText" dxfId="1" text="Yes">
      <formula>NOT(ISERROR(SEARCH("Yes",O7)))</formula>
    </cfRule>
  </conditionalFormatting>
  <dataValidations count="2">
    <dataValidation sqref="C27 E27" showDropDown="0" showInputMessage="1" showErrorMessage="1" allowBlank="1" type="list">
      <formula1>$H$5:$H$7</formula1>
    </dataValidation>
    <dataValidation sqref="C28 E28" showDropDown="0" showInputMessage="1" showErrorMessage="1" allowBlank="1" type="list">
      <formula1>"IND AS, AS"</formula1>
    </dataValidation>
  </dataValidations>
  <hyperlinks>
    <hyperlink xmlns:r="http://schemas.openxmlformats.org/officeDocument/2006/relationships" ref="K3" display="https://exceljet.net/excel-functions/excel-if-function" r:id="rId1"/>
    <hyperlink xmlns:r="http://schemas.openxmlformats.org/officeDocument/2006/relationships" ref="O3" display="https://exceljet.net/excel-functions/excel-if-function" r:id="rId2"/>
    <hyperlink xmlns:r="http://schemas.openxmlformats.org/officeDocument/2006/relationships" ref="P3" display="https://exceljet.net/excel-functions/excel-if-function" r:id="rId3"/>
    <hyperlink xmlns:r="http://schemas.openxmlformats.org/officeDocument/2006/relationships" ref="O7" display="https://exceljet.net/excel-functions/excel-if-function" r:id="rId4"/>
    <hyperlink xmlns:r="http://schemas.openxmlformats.org/officeDocument/2006/relationships" ref="P7" display="https://exceljet.net/excel-functions/excel-if-function" r:id="rId5"/>
    <hyperlink xmlns:r="http://schemas.openxmlformats.org/officeDocument/2006/relationships" ref="K13" display="https://exceljet.net/excel-functions/excel-if-function" r:id="rId6"/>
    <hyperlink xmlns:r="http://schemas.openxmlformats.org/officeDocument/2006/relationships" ref="L13" display="https://exceljet.net/excel-functions/excel-if-function" r:id="rId7"/>
    <hyperlink xmlns:r="http://schemas.openxmlformats.org/officeDocument/2006/relationships" ref="K14" display="https://exceljet.net/excel-functions/excel-if-function" r:id="rId8"/>
    <hyperlink xmlns:r="http://schemas.openxmlformats.org/officeDocument/2006/relationships" ref="L14" display="https://exceljet.net/excel-functions/excel-if-function" r:id="rId9"/>
    <hyperlink xmlns:r="http://schemas.openxmlformats.org/officeDocument/2006/relationships" ref="K15" display="https://exceljet.net/excel-functions/excel-if-function" r:id="rId10"/>
    <hyperlink xmlns:r="http://schemas.openxmlformats.org/officeDocument/2006/relationships" ref="L15" display="https://exceljet.net/excel-functions/excel-if-function" r:id="rId11"/>
    <hyperlink xmlns:r="http://schemas.openxmlformats.org/officeDocument/2006/relationships" ref="K20" display="https://exceljet.net/excel-functions/excel-if-function" r:id="rId12"/>
    <hyperlink xmlns:r="http://schemas.openxmlformats.org/officeDocument/2006/relationships" ref="L20" display="https://exceljet.net/excel-functions/excel-if-function" r:id="rId13"/>
    <hyperlink xmlns:r="http://schemas.openxmlformats.org/officeDocument/2006/relationships" ref="K21" display="https://exceljet.net/excel-functions/excel-if-function" r:id="rId14"/>
    <hyperlink xmlns:r="http://schemas.openxmlformats.org/officeDocument/2006/relationships" ref="L21" display="https://exceljet.net/excel-functions/excel-if-function" r:id="rId15"/>
    <hyperlink xmlns:r="http://schemas.openxmlformats.org/officeDocument/2006/relationships" ref="K27" display="https://exceljet.net/excel-functions/excel-if-function" r:id="rId16"/>
    <hyperlink xmlns:r="http://schemas.openxmlformats.org/officeDocument/2006/relationships" ref="L27" display="https://exceljet.net/excel-functions/excel-if-function" r:id="rId17"/>
    <hyperlink xmlns:r="http://schemas.openxmlformats.org/officeDocument/2006/relationships" ref="K28" display="https://exceljet.net/excel-functions/excel-if-function" r:id="rId18"/>
    <hyperlink xmlns:r="http://schemas.openxmlformats.org/officeDocument/2006/relationships" ref="L28" display="https://exceljet.net/excel-functions/excel-if-function" r:id="rId19"/>
    <hyperlink xmlns:r="http://schemas.openxmlformats.org/officeDocument/2006/relationships" ref="C31" display="https://exceljet.net/excel-functions/excel-if-function" r:id="rId20"/>
    <hyperlink xmlns:r="http://schemas.openxmlformats.org/officeDocument/2006/relationships" ref="K35" display="https://exceljet.net/excel-functions/excel-if-function" r:id="rId21"/>
    <hyperlink xmlns:r="http://schemas.openxmlformats.org/officeDocument/2006/relationships" ref="L35" display="https://exceljet.net/excel-functions/excel-if-function" r:id="rId22"/>
    <hyperlink xmlns:r="http://schemas.openxmlformats.org/officeDocument/2006/relationships" ref="C39" display="https://exceljet.net/excel-functions/excel-if-function" r:id="rId23"/>
    <hyperlink xmlns:r="http://schemas.openxmlformats.org/officeDocument/2006/relationships" ref="E39" display="https://exceljet.net/excel-functions/excel-if-function" r:id="rId24"/>
    <hyperlink xmlns:r="http://schemas.openxmlformats.org/officeDocument/2006/relationships" ref="K45" display="https://exceljet.net/excel-functions/excel-if-function" r:id="rId25"/>
    <hyperlink xmlns:r="http://schemas.openxmlformats.org/officeDocument/2006/relationships" ref="L45" display="https://exceljet.net/excel-functions/excel-if-function" r:id="rId26"/>
    <hyperlink xmlns:r="http://schemas.openxmlformats.org/officeDocument/2006/relationships" ref="K46" display="https://exceljet.net/excel-functions/excel-if-function" r:id="rId27"/>
    <hyperlink xmlns:r="http://schemas.openxmlformats.org/officeDocument/2006/relationships" ref="L46" display="https://exceljet.net/excel-functions/excel-if-function" r:id="rId28"/>
    <hyperlink xmlns:r="http://schemas.openxmlformats.org/officeDocument/2006/relationships" ref="C49" display="https://exceljet.net/excel-functions/excel-if-function" r:id="rId29"/>
    <hyperlink xmlns:r="http://schemas.openxmlformats.org/officeDocument/2006/relationships" ref="E49" display="https://exceljet.net/excel-functions/excel-if-function" r:id="rId30"/>
    <hyperlink xmlns:r="http://schemas.openxmlformats.org/officeDocument/2006/relationships" ref="K51" display="https://exceljet.net/excel-functions/excel-if-function" r:id="rId31"/>
    <hyperlink xmlns:r="http://schemas.openxmlformats.org/officeDocument/2006/relationships" ref="C54" display="https://exceljet.net/excel-functions/excel-if-function" r:id="rId32"/>
    <hyperlink xmlns:r="http://schemas.openxmlformats.org/officeDocument/2006/relationships" ref="E54" display="https://exceljet.net/excel-functions/excel-if-function" r:id="rId33"/>
    <hyperlink xmlns:r="http://schemas.openxmlformats.org/officeDocument/2006/relationships" ref="K56" display="https://exceljet.net/excel-functions/excel-if-function" r:id="rId34"/>
    <hyperlink xmlns:r="http://schemas.openxmlformats.org/officeDocument/2006/relationships" ref="L56" display="https://exceljet.net/excel-functions/excel-if-function" r:id="rId35"/>
    <hyperlink xmlns:r="http://schemas.openxmlformats.org/officeDocument/2006/relationships" ref="K57" display="https://exceljet.net/excel-functions/excel-if-function" r:id="rId36"/>
    <hyperlink xmlns:r="http://schemas.openxmlformats.org/officeDocument/2006/relationships" ref="L57" display="https://exceljet.net/excel-functions/excel-if-function" r:id="rId37"/>
    <hyperlink xmlns:r="http://schemas.openxmlformats.org/officeDocument/2006/relationships" ref="K58" display="https://exceljet.net/excel-functions/excel-if-function" r:id="rId38"/>
    <hyperlink xmlns:r="http://schemas.openxmlformats.org/officeDocument/2006/relationships" ref="C59" display="https://exceljet.net/excel-functions/excel-if-function" r:id="rId39"/>
    <hyperlink xmlns:r="http://schemas.openxmlformats.org/officeDocument/2006/relationships" ref="E59" display="https://exceljet.net/excel-functions/excel-if-function" r:id="rId40"/>
    <hyperlink xmlns:r="http://schemas.openxmlformats.org/officeDocument/2006/relationships" ref="K64" display="https://exceljet.net/excel-functions/excel-if-function" r:id="rId41"/>
    <hyperlink xmlns:r="http://schemas.openxmlformats.org/officeDocument/2006/relationships" ref="L64" display="https://exceljet.net/excel-functions/excel-if-function" r:id="rId42"/>
    <hyperlink xmlns:r="http://schemas.openxmlformats.org/officeDocument/2006/relationships" ref="K65" display="https://exceljet.net/excel-functions/excel-if-function" r:id="rId43"/>
    <hyperlink xmlns:r="http://schemas.openxmlformats.org/officeDocument/2006/relationships" ref="L65" display="https://exceljet.net/excel-functions/excel-if-function" r:id="rId44"/>
    <hyperlink xmlns:r="http://schemas.openxmlformats.org/officeDocument/2006/relationships" ref="K66" display="https://exceljet.net/excel-functions/excel-if-function" r:id="rId45"/>
    <hyperlink xmlns:r="http://schemas.openxmlformats.org/officeDocument/2006/relationships" ref="L66" display="https://exceljet.net/excel-functions/excel-if-function" r:id="rId46"/>
    <hyperlink xmlns:r="http://schemas.openxmlformats.org/officeDocument/2006/relationships" ref="K71" display="https://exceljet.net/excel-functions/excel-if-function" r:id="rId47"/>
    <hyperlink xmlns:r="http://schemas.openxmlformats.org/officeDocument/2006/relationships" ref="L71" display="https://exceljet.net/excel-functions/excel-if-function" r:id="rId48"/>
    <hyperlink xmlns:r="http://schemas.openxmlformats.org/officeDocument/2006/relationships" ref="K72" display="https://exceljet.net/excel-functions/excel-if-function" r:id="rId49"/>
    <hyperlink xmlns:r="http://schemas.openxmlformats.org/officeDocument/2006/relationships" ref="L72" display="https://exceljet.net/excel-functions/excel-if-function" r:id="rId50"/>
  </hyperlinks>
  <pageMargins left="0.7" right="0.7" top="0.75" bottom="0.75" header="0.3" footer="0.3"/>
  <pageSetup orientation="portrait"/>
</worksheet>
</file>

<file path=xl/worksheets/sheet5.xml><?xml version="1.0" encoding="utf-8"?>
<worksheet xmlns="http://schemas.openxmlformats.org/spreadsheetml/2006/main">
  <sheetPr>
    <outlinePr summaryBelow="1" summaryRight="1"/>
    <pageSetUpPr/>
  </sheetPr>
  <dimension ref="B2:G54"/>
  <sheetViews>
    <sheetView zoomScale="81" zoomScaleNormal="165" workbookViewId="0">
      <selection activeCell="H10" sqref="H10"/>
    </sheetView>
  </sheetViews>
  <sheetFormatPr baseColWidth="8" defaultRowHeight="14.4"/>
  <cols>
    <col width="53.6640625" customWidth="1" min="2" max="2"/>
    <col width="50.6640625" bestFit="1" customWidth="1" min="3" max="3"/>
    <col width="38" customWidth="1" min="4" max="4"/>
    <col width="18" customWidth="1" min="5" max="5"/>
    <col width="11.5546875" customWidth="1" min="6" max="6"/>
    <col width="18" customWidth="1" min="7" max="7"/>
  </cols>
  <sheetData>
    <row r="2">
      <c r="B2" s="33" t="inlineStr">
        <is>
          <t>SECTION 188</t>
        </is>
      </c>
      <c r="C2" s="34" t="inlineStr">
        <is>
          <t>SOURCE : Notes to Accounts - Related party transaction</t>
        </is>
      </c>
    </row>
    <row r="4" ht="46.8" customHeight="1">
      <c r="B4" s="30" t="inlineStr">
        <is>
          <t>RELATED PARTY TRANSACTION</t>
        </is>
      </c>
      <c r="C4" s="28" t="n"/>
      <c r="D4" s="31" t="inlineStr">
        <is>
          <t>Section 188 read with Rule 12.1.15 Companies (Meetings of Board and its Powers) Rules,2014</t>
        </is>
      </c>
      <c r="E4" s="28" t="n"/>
      <c r="F4" s="28" t="n"/>
      <c r="G4" s="28" t="n"/>
    </row>
    <row r="5" ht="15.6" customHeight="1">
      <c r="B5" s="30" t="inlineStr">
        <is>
          <t>Based on last year T.O and N.W</t>
        </is>
      </c>
      <c r="C5" s="28" t="n"/>
      <c r="D5" s="28" t="n"/>
      <c r="E5" s="28" t="n"/>
      <c r="F5" s="28" t="n"/>
      <c r="G5" s="28" t="n"/>
    </row>
    <row r="6" ht="15.6" customHeight="1">
      <c r="B6" s="30" t="inlineStr">
        <is>
          <t>Turnover @ 10% as per previous year</t>
        </is>
      </c>
      <c r="C6" s="29" t="n"/>
      <c r="D6" s="28" t="n"/>
      <c r="E6" s="28" t="n"/>
      <c r="F6" s="28" t="n"/>
      <c r="G6" s="28" t="n"/>
    </row>
    <row r="7" ht="15.6" customHeight="1">
      <c r="B7" s="30" t="inlineStr">
        <is>
          <t>Networth @ 10% as per previous year</t>
        </is>
      </c>
      <c r="C7" s="29" t="n"/>
      <c r="D7" s="28" t="n"/>
      <c r="E7" s="28" t="n"/>
      <c r="F7" s="28" t="n"/>
      <c r="G7" s="28" t="n"/>
    </row>
    <row r="8" ht="15.6" customHeight="1">
      <c r="B8" s="145" t="inlineStr">
        <is>
          <t>If there is Material Transaction, then AOC 2 is applicable. If the transaction is not material AOC 2 is Not applicable</t>
        </is>
      </c>
      <c r="C8" s="151" t="n"/>
      <c r="D8" s="151" t="n"/>
      <c r="E8" s="151" t="n"/>
      <c r="F8" s="151" t="n"/>
      <c r="G8" s="151" t="n"/>
    </row>
    <row r="9" ht="62.4" customHeight="1">
      <c r="B9" s="20" t="inlineStr">
        <is>
          <t>Transaction</t>
        </is>
      </c>
      <c r="C9" s="20" t="inlineStr">
        <is>
          <t>Criteria to be checked for Materiality</t>
        </is>
      </c>
      <c r="D9" s="20" t="inlineStr">
        <is>
          <t>Check RPT note for any of these transactions</t>
        </is>
      </c>
      <c r="E9" s="20" t="inlineStr">
        <is>
          <t>Limit as per rules</t>
        </is>
      </c>
      <c r="F9" s="20" t="inlineStr">
        <is>
          <t>Actuals</t>
        </is>
      </c>
      <c r="G9" s="20" t="inlineStr">
        <is>
          <t>Is this a material transaction (actuals &gt; limits) - Yes</t>
        </is>
      </c>
    </row>
    <row r="10" ht="15.6" customHeight="1">
      <c r="B10" s="4" t="n"/>
      <c r="C10" s="4" t="n"/>
      <c r="D10" s="10" t="n"/>
      <c r="E10" s="10" t="n"/>
      <c r="F10" s="10" t="n"/>
      <c r="G10" s="10" t="n"/>
    </row>
    <row r="11" ht="15.6" customHeight="1">
      <c r="B11" s="4" t="inlineStr">
        <is>
          <t>Sale of Goods</t>
        </is>
      </c>
      <c r="C11" s="4" t="inlineStr">
        <is>
          <t xml:space="preserve">10 % or more of turnover </t>
        </is>
      </c>
      <c r="D11" s="10" t="inlineStr">
        <is>
          <t>no</t>
        </is>
      </c>
      <c r="E11" s="25">
        <f>+C6</f>
        <v/>
      </c>
      <c r="F11" s="27" t="n"/>
      <c r="G11" s="10" t="n"/>
    </row>
    <row r="12" ht="31.2" customHeight="1">
      <c r="B12" s="4" t="inlineStr">
        <is>
          <t>Purchase or supply of goods or materials directly or through appointment of agents</t>
        </is>
      </c>
      <c r="C12" s="4" t="inlineStr">
        <is>
          <t xml:space="preserve">10 % or more of turnover </t>
        </is>
      </c>
      <c r="D12" s="10" t="n"/>
      <c r="E12" s="25">
        <f>+C6</f>
        <v/>
      </c>
      <c r="F12" s="10" t="n"/>
      <c r="G12" s="10" t="n"/>
    </row>
    <row r="13" ht="15.6" customHeight="1">
      <c r="B13" s="4" t="inlineStr">
        <is>
          <t>Sale of property</t>
        </is>
      </c>
      <c r="C13" s="4" t="inlineStr">
        <is>
          <t>10% or more of networth</t>
        </is>
      </c>
      <c r="D13" s="10" t="n"/>
      <c r="E13" s="25">
        <f>+C7</f>
        <v/>
      </c>
      <c r="F13" s="10" t="n"/>
      <c r="G13" s="10" t="n"/>
    </row>
    <row r="14" ht="15.6" customHeight="1">
      <c r="B14" s="4" t="inlineStr">
        <is>
          <t>Purchase of property</t>
        </is>
      </c>
      <c r="C14" s="4" t="inlineStr">
        <is>
          <t>10% or more of networth</t>
        </is>
      </c>
      <c r="D14" s="10" t="n"/>
      <c r="E14" s="25">
        <f>+C7</f>
        <v/>
      </c>
      <c r="F14" s="10" t="n"/>
      <c r="G14" s="10" t="n"/>
    </row>
    <row r="15" ht="15.6" customHeight="1">
      <c r="B15" s="4" t="inlineStr">
        <is>
          <t>Dispose of Property</t>
        </is>
      </c>
      <c r="C15" s="4" t="inlineStr">
        <is>
          <t>10% or more of networth</t>
        </is>
      </c>
      <c r="D15" s="10" t="n"/>
      <c r="E15" s="25">
        <f>+C7</f>
        <v/>
      </c>
      <c r="F15" s="10" t="n"/>
      <c r="G15" s="10" t="n"/>
    </row>
    <row r="16" ht="15.6" customHeight="1">
      <c r="B16" s="4" t="inlineStr">
        <is>
          <t>Availing of service</t>
        </is>
      </c>
      <c r="C16" s="4" t="inlineStr">
        <is>
          <t xml:space="preserve">10% or more of turnover </t>
        </is>
      </c>
      <c r="D16" s="10" t="n"/>
      <c r="E16" s="26">
        <f>+C6</f>
        <v/>
      </c>
      <c r="F16" s="26" t="n"/>
      <c r="G16" s="4" t="n"/>
    </row>
    <row r="17" ht="15.6" customHeight="1">
      <c r="B17" s="4" t="inlineStr">
        <is>
          <t>Rendering of Service</t>
        </is>
      </c>
      <c r="C17" s="4" t="inlineStr">
        <is>
          <t xml:space="preserve">10% or more of turnover </t>
        </is>
      </c>
      <c r="D17" s="10" t="n"/>
      <c r="E17" s="25">
        <f>+C6</f>
        <v/>
      </c>
      <c r="F17" s="10" t="n"/>
      <c r="G17" s="10" t="n"/>
    </row>
    <row r="18" ht="15.6" customHeight="1">
      <c r="B18" s="4" t="inlineStr">
        <is>
          <t>Lease</t>
        </is>
      </c>
      <c r="C18" s="4" t="inlineStr">
        <is>
          <t xml:space="preserve">10% or more of turnover </t>
        </is>
      </c>
      <c r="D18" s="10" t="n"/>
      <c r="E18" s="25">
        <f>+E15</f>
        <v/>
      </c>
      <c r="F18" s="10" t="n"/>
      <c r="G18" s="10" t="n"/>
    </row>
    <row r="19" ht="28.2" customHeight="1">
      <c r="B19" s="24" t="inlineStr">
        <is>
          <t>Appointment to any office or place of profit in the company, its subsidiary company or associate company</t>
        </is>
      </c>
      <c r="C19" s="24" t="inlineStr">
        <is>
          <t>monthly remuneration not exceeding two and half lakh rupees</t>
        </is>
      </c>
      <c r="D19" s="10" t="n"/>
      <c r="E19" s="23" t="n"/>
      <c r="F19" s="10" t="n"/>
      <c r="G19" s="10" t="n"/>
    </row>
    <row r="20" ht="28.2" customHeight="1">
      <c r="B20" s="24" t="inlineStr">
        <is>
          <t>remuneration for underwriting the subscription of any securities or derivatives thereof, of the company</t>
        </is>
      </c>
      <c r="C20" s="24" t="inlineStr">
        <is>
          <t>1% of networth</t>
        </is>
      </c>
      <c r="D20" s="10" t="n"/>
      <c r="E20" s="23" t="n"/>
      <c r="F20" s="10" t="n"/>
      <c r="G20" s="10" t="n"/>
    </row>
    <row r="24">
      <c r="B24" s="33" t="inlineStr">
        <is>
          <t>SEC 185 &amp; 186</t>
        </is>
      </c>
      <c r="C24" s="34" t="inlineStr">
        <is>
          <t>Balance sheet - Assets- Loans and advances/ Investments</t>
        </is>
      </c>
    </row>
    <row r="25" ht="15.6" customHeight="1">
      <c r="B25" s="19" t="inlineStr">
        <is>
          <t>PROHIBITION</t>
        </is>
      </c>
      <c r="C25" s="22" t="inlineStr">
        <is>
          <t>Loans to directors or interested persons of directors</t>
        </is>
      </c>
      <c r="D25" s="4" t="inlineStr">
        <is>
          <t>APPLICABILITY</t>
        </is>
      </c>
      <c r="E25" s="20" t="inlineStr">
        <is>
          <t>Section 185</t>
        </is>
      </c>
    </row>
    <row r="26" ht="46.8" customHeight="1">
      <c r="B26" s="10" t="inlineStr">
        <is>
          <t>(a)</t>
        </is>
      </c>
      <c r="C26" s="4" t="inlineStr">
        <is>
          <t>Has the company given any loan to Directors/ or of a company which is its holding company or any partner or relative of any such director; OR</t>
        </is>
      </c>
      <c r="D26" s="4" t="n"/>
      <c r="E26" s="4" t="n"/>
    </row>
    <row r="27" ht="31.2" customHeight="1">
      <c r="B27" s="10" t="inlineStr">
        <is>
          <t>(b)</t>
        </is>
      </c>
      <c r="C27" s="4" t="inlineStr">
        <is>
          <t>Has the company given any loan to any firm in which any such director or relative is a partner</t>
        </is>
      </c>
      <c r="D27" s="4" t="n"/>
      <c r="E27" s="4" t="n"/>
    </row>
    <row r="28" ht="31.2" customHeight="1">
      <c r="B28" s="20" t="inlineStr">
        <is>
          <t>G.S.R. 464E notification dated 5th June 2015</t>
        </is>
      </c>
      <c r="C28" s="20" t="inlineStr">
        <is>
          <t>If yes, check if the following conditions are met   incase of Private Limited company</t>
        </is>
      </c>
      <c r="D28" s="4" t="n"/>
      <c r="E28" s="20" t="n"/>
    </row>
    <row r="29" ht="31.2" customHeight="1">
      <c r="B29" s="10" t="n"/>
      <c r="C29" s="4" t="inlineStr">
        <is>
          <t>No other body corporate has invested in its share capital</t>
        </is>
      </c>
      <c r="D29" s="4" t="n"/>
      <c r="E29" s="4" t="n"/>
    </row>
    <row r="30" ht="46.8" customHeight="1">
      <c r="B30" s="10" t="n"/>
      <c r="C30" s="4" t="inlineStr">
        <is>
          <t>Its borrowings from banks/financial institutions/any Body Corporate is less than twice of its paid-up share capital or Rs. 50 crore, whichever is lower AND</t>
        </is>
      </c>
      <c r="D30" s="20" t="n"/>
      <c r="E30" s="4" t="n"/>
    </row>
    <row r="31" ht="78" customHeight="1">
      <c r="B31" s="10" t="n"/>
      <c r="C31" s="21" t="inlineStr">
        <is>
          <t xml:space="preserve">no default in repayment of such
borrowings subsisting at the time of making transactions under
this section
</t>
        </is>
      </c>
      <c r="D31" s="20" t="n"/>
      <c r="E31" s="4" t="n"/>
    </row>
    <row r="32" ht="15.6" customHeight="1">
      <c r="B32" s="10" t="n"/>
      <c r="C32" s="146" t="inlineStr">
        <is>
          <t>Even if one of the above conditions are YES,  Private companies cannot provide loan to its directors or of a company which is its holding company or any partner or relative of any such director</t>
        </is>
      </c>
      <c r="D32" s="152" t="n"/>
      <c r="E32" s="150" t="n"/>
    </row>
    <row r="33" ht="93.59999999999999" customHeight="1">
      <c r="B33" s="20" t="inlineStr">
        <is>
          <t>Companies (Amendment) Act, 2017 dated 03.01.2018, Effective from 7th May,2018</t>
        </is>
      </c>
      <c r="C33" s="146" t="inlineStr">
        <is>
          <t>Has the company given loan including any loan represented by a book debt, or given any guarantee or provided any security in connection with any loan taken by any person in whom any of the director of the company is interested, being the following interested persons</t>
        </is>
      </c>
      <c r="D33" s="146" t="n"/>
      <c r="E33" s="146" t="n"/>
    </row>
    <row r="34" ht="30.6" customHeight="1">
      <c r="B34" s="19" t="inlineStr">
        <is>
          <t>RESTRICTION</t>
        </is>
      </c>
      <c r="C34" s="18" t="inlineStr">
        <is>
          <t>any private company of which any such director is a director or member;</t>
        </is>
      </c>
      <c r="D34" s="146" t="n"/>
      <c r="E34" s="146" t="n"/>
    </row>
    <row r="35" ht="31.8" customHeight="1">
      <c r="B35" s="4" t="n"/>
      <c r="C35" s="17" t="inlineStr">
        <is>
          <t>any body corporate at a general meeting of which not less than twenty-five per cent. of the total voting power may be exercised or controlled by any such director, or by two or more such directors, together;</t>
        </is>
      </c>
      <c r="D35" s="146" t="n"/>
      <c r="E35" s="146" t="n"/>
    </row>
    <row r="36" ht="42" customHeight="1">
      <c r="B36" s="4" t="n"/>
      <c r="C36" s="17" t="inlineStr">
        <is>
          <t>any body corporate, the Board of directors, managing director or manager, whereof is accustomed to act in accordance with the directions or instructions of the Board, or of any director or directors, of the lending company.</t>
        </is>
      </c>
      <c r="D36" s="146" t="n"/>
      <c r="E36" s="146" t="n"/>
    </row>
    <row r="37" ht="31.2" customHeight="1">
      <c r="B37" s="10" t="n"/>
      <c r="C37" s="146" t="inlineStr">
        <is>
          <t>If yes, To check whether the following are complied with</t>
        </is>
      </c>
      <c r="D37" s="146" t="n"/>
      <c r="E37" s="146" t="n"/>
    </row>
    <row r="38" ht="31.2" customHeight="1">
      <c r="B38" s="10" t="n"/>
      <c r="C38" s="4" t="inlineStr">
        <is>
          <t>Special resolution is passed by the company in general meeting</t>
        </is>
      </c>
      <c r="D38" s="146" t="n"/>
      <c r="E38" s="146" t="n"/>
    </row>
    <row r="39" ht="31.2" customHeight="1">
      <c r="B39" s="10" t="n"/>
      <c r="C39" s="4" t="inlineStr">
        <is>
          <t>the loans are utilised by the borrowing company for its principal business activities.</t>
        </is>
      </c>
      <c r="D39" s="146" t="n"/>
      <c r="E39" s="146" t="n"/>
    </row>
    <row r="40" ht="15.6" customHeight="1">
      <c r="B40" s="10" t="n"/>
      <c r="C40" s="146" t="n"/>
      <c r="D40" s="146" t="n"/>
      <c r="E40" s="146" t="n"/>
    </row>
    <row r="41" ht="15.6" customHeight="1">
      <c r="B41" s="16" t="inlineStr">
        <is>
          <t>EXEMPTIONS</t>
        </is>
      </c>
      <c r="C41" s="146" t="n"/>
      <c r="D41" s="146" t="n"/>
      <c r="E41" s="146" t="n"/>
    </row>
    <row r="42" ht="31.2" customHeight="1">
      <c r="B42" s="10" t="n"/>
      <c r="C42" s="146" t="inlineStr">
        <is>
          <t>the giving of any loan to a managing or whole-time director</t>
        </is>
      </c>
      <c r="D42" s="146" t="n"/>
      <c r="E42" s="146" t="n"/>
    </row>
    <row r="43" ht="31.2" customHeight="1">
      <c r="B43" s="10" t="n"/>
      <c r="C43" s="15" t="inlineStr">
        <is>
          <t>as a part of the conditions of service extended by the company to all its employees;  or</t>
        </is>
      </c>
      <c r="D43" s="146" t="n"/>
      <c r="E43" s="146" t="n"/>
    </row>
    <row r="44" ht="31.2" customHeight="1">
      <c r="B44" s="10" t="n"/>
      <c r="C44" s="15" t="inlineStr">
        <is>
          <t xml:space="preserve"> pursuant to any scheme approved by the members by a special resolution; </t>
        </is>
      </c>
      <c r="D44" s="146" t="n"/>
      <c r="E44" s="146" t="n"/>
    </row>
    <row r="45" ht="109.2" customHeight="1">
      <c r="B45" s="10" t="n"/>
      <c r="C45" s="15" t="inlineStr">
        <is>
          <t>a company which in the ordinary course of its business provides loans or gives guarantees or securities for the due repayment of any loan and in respect of such loans an interest is charged at a rate not less than the rate of prevailing yield of one year, three year, five year or ten year Government security closest to the tenor of the loan;</t>
        </is>
      </c>
      <c r="D45" s="146" t="n"/>
      <c r="E45" s="146" t="n"/>
    </row>
    <row r="46" ht="78" customHeight="1">
      <c r="B46" s="10" t="n"/>
      <c r="C46" s="146" t="inlineStr">
        <is>
          <t>any loan made by a holding company to its wholly owned subsidiary company or any guarantee given or security provided by a holding company in respect of any loan made to its wholly owned subsidiary company; or</t>
        </is>
      </c>
      <c r="D46" s="146" t="n"/>
      <c r="E46" s="146" t="n"/>
    </row>
    <row r="47" ht="46.8" customHeight="1">
      <c r="B47" s="10" t="n"/>
      <c r="C47" s="15" t="inlineStr">
        <is>
          <t>any guarantee given or security provided by a holding company in respect of loan made by any bank or financial institution to its subsidiary company:</t>
        </is>
      </c>
      <c r="D47" s="146" t="n"/>
      <c r="E47" s="146" t="n"/>
    </row>
    <row r="48" ht="31.2" customHeight="1">
      <c r="B48" s="14" t="inlineStr">
        <is>
          <t>(b)</t>
        </is>
      </c>
      <c r="C48" s="4" t="inlineStr">
        <is>
          <t>Has the Company give loan, guarantee to any person or body corporate</t>
        </is>
      </c>
      <c r="D48" s="4" t="n"/>
      <c r="E48" s="4" t="n"/>
    </row>
    <row r="49" ht="46.8" customHeight="1">
      <c r="B49" s="14" t="inlineStr">
        <is>
          <t>(c)</t>
        </is>
      </c>
      <c r="C49" s="4" t="inlineStr">
        <is>
          <t>Has the Company acquired by way of subscription, purchase or otherwise, the securities of any other body corporate,</t>
        </is>
      </c>
      <c r="D49" s="4" t="n"/>
      <c r="E49" s="4" t="n"/>
    </row>
    <row r="50" ht="31.2" customHeight="1">
      <c r="B50" s="10" t="n"/>
      <c r="C50" s="4" t="inlineStr">
        <is>
          <t>If yes  whether it is within specified below, whichever is more</t>
        </is>
      </c>
      <c r="D50" s="4" t="n"/>
      <c r="E50" s="4" t="n"/>
    </row>
    <row r="51" ht="31.2" customHeight="1">
      <c r="B51" s="10" t="n"/>
      <c r="C51" s="4" t="inlineStr">
        <is>
          <t xml:space="preserve">60% of Paid up capital &amp; Free reserve and securities premium  or </t>
        </is>
      </c>
      <c r="D51" s="4" t="n"/>
      <c r="E51" s="4" t="n"/>
    </row>
    <row r="52" ht="15.6" customHeight="1">
      <c r="B52" s="10" t="n"/>
      <c r="C52" s="4" t="inlineStr">
        <is>
          <t xml:space="preserve">100% of Free reserves and securities premium  </t>
        </is>
      </c>
      <c r="D52" s="4" t="n"/>
      <c r="E52" s="4" t="n"/>
    </row>
    <row r="53" ht="15.6" customHeight="1">
      <c r="B53" s="10" t="n"/>
      <c r="C53" s="4" t="inlineStr">
        <is>
          <t>If within limits, include in Board report</t>
        </is>
      </c>
      <c r="D53" s="4" t="n"/>
      <c r="E53" s="4" t="n"/>
    </row>
    <row r="54" ht="31.2" customHeight="1">
      <c r="B54" s="10" t="n"/>
      <c r="C54" s="4" t="inlineStr">
        <is>
          <t>If exceeding limit, to mention in MGT 8 &amp; prior approval/ratification in next AGM/EGM</t>
        </is>
      </c>
      <c r="D54" s="4" t="n"/>
      <c r="E54" s="4" t="n"/>
    </row>
  </sheetData>
  <mergeCells count="2">
    <mergeCell ref="B8:G8"/>
    <mergeCell ref="C32:E32"/>
  </mergeCells>
  <conditionalFormatting sqref="G11:G20">
    <cfRule type="containsText" priority="1" operator="containsText" dxfId="0" text="Yes">
      <formula>NOT(ISERROR(SEARCH("Yes",G11)))</formula>
    </cfRule>
  </conditionalFormatting>
  <pageMargins left="0.7" right="0.7" top="0.75" bottom="0.75" header="0.3" footer="0.3"/>
</worksheet>
</file>

<file path=xl/worksheets/sheet6.xml><?xml version="1.0" encoding="utf-8"?>
<worksheet xmlns="http://schemas.openxmlformats.org/spreadsheetml/2006/main">
  <sheetPr>
    <outlinePr summaryBelow="1" summaryRight="1"/>
    <pageSetUpPr/>
  </sheetPr>
  <dimension ref="B2:D14"/>
  <sheetViews>
    <sheetView workbookViewId="0">
      <selection activeCell="C16" sqref="C16"/>
    </sheetView>
  </sheetViews>
  <sheetFormatPr baseColWidth="8" defaultRowHeight="14.4"/>
  <cols>
    <col width="32.5546875" customWidth="1" min="2" max="2"/>
    <col width="47.109375" customWidth="1" min="3" max="3"/>
    <col width="56.44140625" customWidth="1" min="4" max="4"/>
  </cols>
  <sheetData>
    <row r="2">
      <c r="B2" t="inlineStr">
        <is>
          <t xml:space="preserve">Input for the Common Error </t>
        </is>
      </c>
      <c r="C2" t="inlineStr">
        <is>
          <t xml:space="preserve">Financials </t>
        </is>
      </c>
    </row>
    <row r="3">
      <c r="C3" t="inlineStr">
        <is>
          <t>Notes to accounts</t>
        </is>
      </c>
    </row>
    <row r="4">
      <c r="C4" t="inlineStr">
        <is>
          <t>Audit report</t>
        </is>
      </c>
    </row>
    <row r="5">
      <c r="C5" t="inlineStr">
        <is>
          <t>previous year financials</t>
        </is>
      </c>
    </row>
    <row r="6">
      <c r="C6" t="inlineStr">
        <is>
          <t>Previous year Audit report</t>
        </is>
      </c>
    </row>
    <row r="7">
      <c r="C7" t="inlineStr">
        <is>
          <t>Input sheet for Annual Filing</t>
        </is>
      </c>
    </row>
    <row r="9">
      <c r="B9" t="inlineStr">
        <is>
          <t>Input for the Compliance sheet</t>
        </is>
      </c>
      <c r="C9" t="inlineStr">
        <is>
          <t xml:space="preserve">Financials </t>
        </is>
      </c>
      <c r="D9" t="inlineStr">
        <is>
          <t xml:space="preserve">Balance sheet </t>
        </is>
      </c>
    </row>
    <row r="10">
      <c r="C10" t="inlineStr">
        <is>
          <t>Notes to accounts</t>
        </is>
      </c>
    </row>
    <row r="11">
      <c r="C11" t="inlineStr">
        <is>
          <t>Audit report</t>
        </is>
      </c>
    </row>
    <row r="12">
      <c r="C12" t="inlineStr">
        <is>
          <t>previous year financials</t>
        </is>
      </c>
    </row>
    <row r="13">
      <c r="C13" t="inlineStr">
        <is>
          <t>Previous year Audit report</t>
        </is>
      </c>
    </row>
    <row r="14">
      <c r="C14" t="inlineStr">
        <is>
          <t>Boards report</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Akshayam Gayathri</dc:creator>
  <dcterms:created xmlns:dcterms="http://purl.org/dc/terms/" xmlns:xsi="http://www.w3.org/2001/XMLSchema-instance" xsi:type="dcterms:W3CDTF">2025-08-31T13:54:13Z</dcterms:created>
  <dcterms:modified xmlns:dcterms="http://purl.org/dc/terms/" xmlns:xsi="http://www.w3.org/2001/XMLSchema-instance" xsi:type="dcterms:W3CDTF">2026-08-03T08:32:25Z</dcterms:modified>
  <cp:lastModifiedBy>Akshayam Gayathri</cp:lastModifiedBy>
</cp:coreProperties>
</file>