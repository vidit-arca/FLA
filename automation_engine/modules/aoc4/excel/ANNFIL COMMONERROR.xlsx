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d.docs.live.net/d6c9e8928e28eb49/process/Tech automation/sample data to arca/Use case/Common Error/"/>
    </mc:Choice>
  </mc:AlternateContent>
  <xr:revisionPtr revIDLastSave="180" documentId="13_ncr:1_{E116BEEF-F543-4AD1-94E4-953A97DAF1BF}" xr6:coauthVersionLast="47" xr6:coauthVersionMax="47" xr10:uidLastSave="{FD33AD8C-0E15-42BA-A0A1-E9E93E2CCD28}"/>
  <bookViews>
    <workbookView xWindow="-108" yWindow="-108" windowWidth="23256" windowHeight="12456" firstSheet="2" activeTab="2" xr2:uid="{251BD1AF-8FB9-4BCC-B3DC-C8E6E40C2030}"/>
  </bookViews>
  <sheets>
    <sheet name="Common Error" sheetId="1" r:id="rId1"/>
    <sheet name="compliance sheet" sheetId="3" state="hidden" r:id="rId2"/>
    <sheet name="compliance for Private " sheetId="4" r:id="rId3"/>
    <sheet name="compliance for public" sheetId="7" r:id="rId4"/>
    <sheet name="RPT and loans to Director" sheetId="2" r:id="rId5"/>
    <sheet name="Freezing the input" sheetId="5" r:id="rId6"/>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7" i="4" l="1"/>
  <c r="D48" i="4"/>
  <c r="D46" i="4"/>
  <c r="L18" i="4"/>
  <c r="L17" i="4"/>
  <c r="L16" i="4"/>
  <c r="L15" i="4"/>
  <c r="D20" i="4"/>
  <c r="C52" i="4"/>
  <c r="L78" i="7"/>
  <c r="K78" i="7"/>
  <c r="L72" i="7"/>
  <c r="K72" i="7"/>
  <c r="K71" i="7"/>
  <c r="K74" i="7" s="1"/>
  <c r="L66" i="7"/>
  <c r="K66" i="7"/>
  <c r="L65" i="7"/>
  <c r="K65" i="7"/>
  <c r="K64" i="7"/>
  <c r="K67" i="7" s="1"/>
  <c r="C38" i="7" s="1"/>
  <c r="C59" i="7"/>
  <c r="K58" i="7"/>
  <c r="L57" i="7"/>
  <c r="K57" i="7"/>
  <c r="L56" i="7"/>
  <c r="L59" i="7" s="1"/>
  <c r="E37" i="7" s="1"/>
  <c r="K56" i="7"/>
  <c r="K59" i="7" s="1"/>
  <c r="C37" i="7" s="1"/>
  <c r="E54" i="7"/>
  <c r="C54" i="7"/>
  <c r="E53" i="7"/>
  <c r="C53" i="7"/>
  <c r="B53" i="7"/>
  <c r="B52" i="7"/>
  <c r="E51" i="7"/>
  <c r="C51" i="7"/>
  <c r="E50" i="7"/>
  <c r="C50" i="7"/>
  <c r="E49" i="7"/>
  <c r="C49" i="7"/>
  <c r="E48" i="7"/>
  <c r="C48" i="7"/>
  <c r="E47" i="7"/>
  <c r="C47" i="7"/>
  <c r="L46" i="7"/>
  <c r="K46" i="7"/>
  <c r="B46" i="7"/>
  <c r="K45" i="7"/>
  <c r="K48" i="7" s="1"/>
  <c r="C52" i="7" s="1"/>
  <c r="E45" i="7"/>
  <c r="C45" i="7"/>
  <c r="E44" i="7"/>
  <c r="C44" i="7"/>
  <c r="E43" i="7"/>
  <c r="C43" i="7"/>
  <c r="E41" i="7"/>
  <c r="C41" i="7"/>
  <c r="C39" i="7"/>
  <c r="B36" i="7"/>
  <c r="L35" i="7"/>
  <c r="L37" i="7" s="1"/>
  <c r="E35" i="7" s="1"/>
  <c r="K35" i="7"/>
  <c r="K37" i="7" s="1"/>
  <c r="C35" i="7" s="1"/>
  <c r="B35" i="7"/>
  <c r="B33" i="7"/>
  <c r="B32" i="7"/>
  <c r="E31" i="7"/>
  <c r="L29" i="7"/>
  <c r="K29" i="7"/>
  <c r="L28" i="7"/>
  <c r="K28" i="7"/>
  <c r="K27" i="7"/>
  <c r="K30" i="7" s="1"/>
  <c r="C34" i="7" s="1"/>
  <c r="F26" i="7"/>
  <c r="D26" i="7"/>
  <c r="D22" i="7"/>
  <c r="L21" i="7"/>
  <c r="K21" i="7"/>
  <c r="D21" i="7"/>
  <c r="K20" i="7"/>
  <c r="K23" i="7" s="1"/>
  <c r="C33" i="7" s="1"/>
  <c r="D20" i="7"/>
  <c r="F19" i="7"/>
  <c r="D19" i="7"/>
  <c r="F18" i="7"/>
  <c r="D18" i="7"/>
  <c r="F17" i="7"/>
  <c r="D17" i="7"/>
  <c r="F16" i="7"/>
  <c r="C16" i="7"/>
  <c r="D16" i="7" s="1"/>
  <c r="L15" i="7"/>
  <c r="K15" i="7"/>
  <c r="F15" i="7"/>
  <c r="D15" i="7"/>
  <c r="L14" i="7"/>
  <c r="K14" i="7"/>
  <c r="H14" i="7"/>
  <c r="F14" i="7"/>
  <c r="D14" i="7"/>
  <c r="L13" i="7"/>
  <c r="L17" i="7" s="1"/>
  <c r="E46" i="7" s="1"/>
  <c r="K13" i="7"/>
  <c r="K17" i="7" s="1"/>
  <c r="C46" i="7" s="1"/>
  <c r="H13" i="7"/>
  <c r="F13" i="7"/>
  <c r="D13" i="7"/>
  <c r="H12" i="7"/>
  <c r="F12" i="7"/>
  <c r="D12" i="7"/>
  <c r="F11" i="7"/>
  <c r="D11" i="7"/>
  <c r="F10" i="7"/>
  <c r="D10" i="7"/>
  <c r="F9" i="7"/>
  <c r="D9" i="7"/>
  <c r="F8" i="7"/>
  <c r="D8" i="7"/>
  <c r="O7" i="7"/>
  <c r="C56" i="7" s="1"/>
  <c r="C57" i="7" s="1"/>
  <c r="C58" i="7" s="1"/>
  <c r="F7" i="7"/>
  <c r="D7" i="7"/>
  <c r="F6" i="7"/>
  <c r="D6" i="7"/>
  <c r="E5" i="7"/>
  <c r="D5" i="7"/>
  <c r="P3" i="7"/>
  <c r="E55" i="7" s="1"/>
  <c r="O3" i="7"/>
  <c r="C55" i="7" s="1"/>
  <c r="K3" i="7"/>
  <c r="L6" i="4"/>
  <c r="E8" i="4"/>
  <c r="M94" i="4"/>
  <c r="L94" i="4"/>
  <c r="M88" i="4"/>
  <c r="L88" i="4"/>
  <c r="M81" i="4"/>
  <c r="L81" i="4"/>
  <c r="M73" i="4"/>
  <c r="L73" i="4"/>
  <c r="M72" i="4"/>
  <c r="L72" i="4"/>
  <c r="L62" i="4"/>
  <c r="L61" i="4"/>
  <c r="C59" i="4"/>
  <c r="C58" i="4"/>
  <c r="D56" i="4"/>
  <c r="D55" i="4"/>
  <c r="L54" i="4"/>
  <c r="D54" i="4"/>
  <c r="F53" i="4"/>
  <c r="D53" i="4"/>
  <c r="D51" i="4"/>
  <c r="D50" i="4"/>
  <c r="F48" i="4"/>
  <c r="M47" i="4"/>
  <c r="L47" i="4"/>
  <c r="F44" i="4"/>
  <c r="D44" i="4"/>
  <c r="C41" i="4"/>
  <c r="L40" i="4"/>
  <c r="C40" i="4"/>
  <c r="L39" i="4"/>
  <c r="C37" i="4"/>
  <c r="C36" i="4"/>
  <c r="L33" i="4"/>
  <c r="G30" i="4"/>
  <c r="E30" i="4"/>
  <c r="G29" i="4"/>
  <c r="E29" i="4"/>
  <c r="G28" i="4"/>
  <c r="E28" i="4"/>
  <c r="M27" i="4"/>
  <c r="L27" i="4"/>
  <c r="G27" i="4"/>
  <c r="E27" i="4"/>
  <c r="M26" i="4"/>
  <c r="L26" i="4"/>
  <c r="G26" i="4"/>
  <c r="E26" i="4"/>
  <c r="G25" i="4"/>
  <c r="E25" i="4"/>
  <c r="G24" i="4"/>
  <c r="E24" i="4"/>
  <c r="G23" i="4"/>
  <c r="E23" i="4"/>
  <c r="G22" i="4"/>
  <c r="E22" i="4"/>
  <c r="G21" i="4"/>
  <c r="E21" i="4"/>
  <c r="F20" i="4"/>
  <c r="G19" i="4"/>
  <c r="E19" i="4"/>
  <c r="G18" i="4"/>
  <c r="E18" i="4"/>
  <c r="E17" i="4"/>
  <c r="G16" i="4"/>
  <c r="E16" i="4"/>
  <c r="G15" i="4"/>
  <c r="E15" i="4"/>
  <c r="G14" i="4"/>
  <c r="E14" i="4"/>
  <c r="I13" i="4"/>
  <c r="G13" i="4"/>
  <c r="E13" i="4"/>
  <c r="I12" i="4"/>
  <c r="G12" i="4"/>
  <c r="E12" i="4"/>
  <c r="G11" i="4"/>
  <c r="E11" i="4"/>
  <c r="G10" i="4"/>
  <c r="E10" i="4"/>
  <c r="G9" i="4"/>
  <c r="E9" i="4"/>
  <c r="G8" i="4"/>
  <c r="L7" i="4"/>
  <c r="E11" i="2"/>
  <c r="E12" i="2"/>
  <c r="E13" i="2"/>
  <c r="E14" i="2"/>
  <c r="E15" i="2"/>
  <c r="E16" i="2"/>
  <c r="E17" i="2"/>
  <c r="E18" i="2"/>
  <c r="E20" i="4" l="1"/>
  <c r="L25" i="4"/>
  <c r="L77" i="7"/>
  <c r="L81" i="7" s="1"/>
  <c r="E40" i="7" s="1"/>
  <c r="K77" i="7"/>
  <c r="K81" i="7" s="1"/>
  <c r="C40" i="7" s="1"/>
  <c r="L71" i="7"/>
  <c r="L74" i="7" s="1"/>
  <c r="L64" i="7"/>
  <c r="L67" i="7" s="1"/>
  <c r="E38" i="7" s="1"/>
  <c r="L45" i="7"/>
  <c r="L48" i="7" s="1"/>
  <c r="E52" i="7" s="1"/>
  <c r="E39" i="7"/>
  <c r="L27" i="7"/>
  <c r="L30" i="7" s="1"/>
  <c r="E34" i="7" s="1"/>
  <c r="L20" i="7"/>
  <c r="L23" i="7" s="1"/>
  <c r="E33" i="7" s="1"/>
  <c r="P7" i="7"/>
  <c r="E56" i="7" s="1"/>
  <c r="E57" i="7" s="1"/>
  <c r="E58" i="7" s="1"/>
  <c r="F5" i="7"/>
  <c r="E59" i="7"/>
  <c r="I14" i="4"/>
  <c r="L49" i="4"/>
  <c r="D40" i="4" s="1"/>
  <c r="L29" i="4"/>
  <c r="D52" i="4" s="1"/>
  <c r="M49" i="4"/>
  <c r="F40" i="4" s="1"/>
  <c r="D38" i="4"/>
  <c r="L41" i="4" s="1"/>
  <c r="L35" i="4"/>
  <c r="D37" i="4" s="1"/>
  <c r="M25" i="4"/>
  <c r="M29" i="4" s="1"/>
  <c r="F52" i="4" s="1"/>
  <c r="G20" i="4"/>
  <c r="M90" i="4"/>
  <c r="L90" i="4"/>
  <c r="L64" i="4"/>
  <c r="D58" i="4" s="1"/>
  <c r="M83" i="4"/>
  <c r="F43" i="4" s="1"/>
  <c r="M75" i="4"/>
  <c r="F42" i="4" s="1"/>
  <c r="L75" i="4"/>
  <c r="D42" i="4" s="1"/>
  <c r="L83" i="4"/>
  <c r="D43" i="4" s="1"/>
  <c r="L9" i="4"/>
  <c r="L14" i="4" s="1"/>
  <c r="M93" i="4" l="1"/>
  <c r="M97" i="4" s="1"/>
  <c r="L93" i="4"/>
  <c r="L97" i="4" s="1"/>
  <c r="D45" i="4" s="1"/>
  <c r="L67" i="4"/>
  <c r="L69" i="4" s="1"/>
  <c r="D59" i="4" s="1"/>
  <c r="D35" i="4"/>
  <c r="L21" i="4"/>
  <c r="D36" i="4" s="1"/>
  <c r="L53" i="4"/>
  <c r="L56" i="4" s="1"/>
  <c r="D41" i="4" s="1"/>
  <c r="L42" i="4"/>
  <c r="D39" i="4" s="1"/>
  <c r="K51" i="7"/>
  <c r="K6" i="7"/>
  <c r="K4" i="7"/>
</calcChain>
</file>

<file path=xl/sharedStrings.xml><?xml version="1.0" encoding="utf-8"?>
<sst xmlns="http://schemas.openxmlformats.org/spreadsheetml/2006/main" count="555" uniqueCount="312">
  <si>
    <t>S.No</t>
  </si>
  <si>
    <t>Particulars</t>
  </si>
  <si>
    <t>SOURCE</t>
  </si>
  <si>
    <t>Yes/No/NA</t>
  </si>
  <si>
    <t>Comments</t>
  </si>
  <si>
    <t>Rectified/Not rectified</t>
  </si>
  <si>
    <t xml:space="preserve">Whether audit report has the following fields 
a) Opinion of the Auditor 
b) Basis of Opinion
c) Emphasis of matter
d) Key Audit Matters
e) Other Information (if any)
f) Responsibility of Management for the financial statement (FS)
g) Auditor's responsibility for the Audit of FS
h) Other matters
i) report on other legal and regulatory requirements 
j) reporting on Internal finanical Controls  (if applicable)
</t>
  </si>
  <si>
    <t>Auditors report</t>
  </si>
  <si>
    <t xml:space="preserve">whether CARO/Companies (Auditor's Report) Order is as per  format given in Jamku&gt;Services&gt;ANNUAL FILING &gt;SAMPLE CARO </t>
  </si>
  <si>
    <t xml:space="preserve">whether Schedule III is as per format in Jamku&gt;Services&gt;ANNUAL FILING &gt;SAMPLE SCHEDULE III </t>
  </si>
  <si>
    <t>financials</t>
  </si>
  <si>
    <t>Whether the CIN Number, Address, DIN of the director, Name of the director, CEO , CFO, CS (if any) signing the financials mentioned</t>
  </si>
  <si>
    <t>Whether Previous year figures in Balance Sheet, PL are mentioned correctly. (Please refer last year filed Financials for Checking)</t>
  </si>
  <si>
    <t>financials of current year &amp; financials of previous year</t>
  </si>
  <si>
    <t>Share capital Notes</t>
  </si>
  <si>
    <t>Whether Shareholding more than 5% is mentioned in Schedule.</t>
  </si>
  <si>
    <t>financials - Balance sheet - Liabilities</t>
  </si>
  <si>
    <t>Whether the Shareholding given in the Schedule matched with Statutory Register</t>
  </si>
  <si>
    <t>Manual</t>
  </si>
  <si>
    <t>Whether the Authorised Capital is mentioned correctly as per MCA(Including Face Value of the shares)</t>
  </si>
  <si>
    <t>financials + Input sheet</t>
  </si>
  <si>
    <t>Whether the and Paid up capital  is mentioned correctly as per MCA(Including Face Value of the shares)</t>
  </si>
  <si>
    <t xml:space="preserve">Whether reconciliation  of shares O/S at the beginning and end of the year is given 
</t>
  </si>
  <si>
    <t>Whether promoter holding is disclosed as per format in Jamku&gt;Services&gt;ANNUAL FILING &gt;PROMOTER HOLDING</t>
  </si>
  <si>
    <t>Check whether Cash flow statement is given for  company with Paid up Capital of more than 10 crore</t>
  </si>
  <si>
    <t>Whether there is Significant Accounting Policies</t>
  </si>
  <si>
    <t xml:space="preserve">financials </t>
  </si>
  <si>
    <t>Whether EPS &amp; Diluted EPS is mentioned in PL</t>
  </si>
  <si>
    <t>financials - P &amp; L</t>
  </si>
  <si>
    <t>Check whether Notes to Accounts last page is Signed by both the directors and the Auditors.</t>
  </si>
  <si>
    <t>Check for UDIN</t>
  </si>
  <si>
    <t>Check if the financials and audit report has the seal of the auditor/firm</t>
  </si>
  <si>
    <t>Financials &amp; Auditors report</t>
  </si>
  <si>
    <t>Whether RPT transaction given in the Notes to Accounts matches with the figures given in PL and BS (For ex: Managerial Remuneration, Loan to directors, Loan from Directors)</t>
  </si>
  <si>
    <t>Financials and Notes to Accounts</t>
  </si>
  <si>
    <t>Whether Forex and RPT Transactions are mentioned in Notes to Accounts</t>
  </si>
  <si>
    <t>Notes to accounts</t>
  </si>
  <si>
    <t>Whether the Company is using an Accounting software with Audit trail features from 1st April 2023</t>
  </si>
  <si>
    <t>Whether the Auditor report contains the views and comments of the auditor on the following features of the accounting software</t>
  </si>
  <si>
    <t>(a) whether the Accounting software has a feature of recording audit trail (edit log) facility</t>
  </si>
  <si>
    <t>(b) Whether the same has been operated throughout the year for all transactions recorded in the software</t>
  </si>
  <si>
    <t>© Whether the audit trail feature has not been tampered with</t>
  </si>
  <si>
    <t>(d) Whether the audit trail has been preserved by the company as per the statutory requirements for record retention.</t>
  </si>
  <si>
    <t>If any of the above points is No, Then send financials back to the company highlighting the "NO"</t>
  </si>
  <si>
    <t>To check only if CSR is applicable based on compliance sheet- If NIL, ignore the below items</t>
  </si>
  <si>
    <t>(a) amount required to be spent by the company during the year,</t>
  </si>
  <si>
    <t>(b) amount of expenditure incurred,</t>
  </si>
  <si>
    <t>(c) shortfall at the end of the year,</t>
  </si>
  <si>
    <t>(d) total of previous years shortfall,</t>
  </si>
  <si>
    <t>(e) reason for shortfall,</t>
  </si>
  <si>
    <t>(f) nature of CSR activities,</t>
  </si>
  <si>
    <t>(g) details of related party transactions, e.g., contribution to a trust controlled by the company in relation to CSR expenditure as per relevant Accounting Standard,</t>
  </si>
  <si>
    <t>(h) where a provision is made with respect to a liability incurred by entering into a contractual obligation, the movements in the provision during the year should be shown separately.</t>
  </si>
  <si>
    <t>TM to check with company if any Board Resolutions was issued during the FY or upto 6 months from the end of FY for which Annual filing is being done</t>
  </si>
  <si>
    <t>Team to check with client</t>
  </si>
  <si>
    <t>TM to check with company if Directors were abroad during any part of the FY or upto 6 months from the end of the FY</t>
  </si>
  <si>
    <t xml:space="preserve">THIS THREE COLUMN SHOULD NOT COME IN OUTPUL EXCEL. </t>
  </si>
  <si>
    <t>Current Year</t>
  </si>
  <si>
    <t>Previous year</t>
  </si>
  <si>
    <t xml:space="preserve">Name of the Company: </t>
  </si>
  <si>
    <t>Small Company</t>
  </si>
  <si>
    <t>Applicability</t>
  </si>
  <si>
    <t>Current Year (Year 0)</t>
  </si>
  <si>
    <t>Previous Year (Year 1)</t>
  </si>
  <si>
    <t>Applicable</t>
  </si>
  <si>
    <t>TO less than 100 Cr and PUC less than 10 Cr</t>
  </si>
  <si>
    <t>Source</t>
  </si>
  <si>
    <t>Key words</t>
  </si>
  <si>
    <t>Financial Particulars</t>
  </si>
  <si>
    <t>Rs.</t>
  </si>
  <si>
    <t>in Cr</t>
  </si>
  <si>
    <t>Not Applicable</t>
  </si>
  <si>
    <t>Should not be Subsidiary or Holding Company</t>
  </si>
  <si>
    <t>Financials</t>
  </si>
  <si>
    <t xml:space="preserve">Balance Sheet, Equity → paid.?up capital, paid.?up share capital, subscribed and paid.?up, equity share capital and Preference  → paid.?up capital, paid.?up share capital, subscribed and paid.?up, equity share capital </t>
  </si>
  <si>
    <t>Paidup capital</t>
  </si>
  <si>
    <t>Subsidiary Company</t>
  </si>
  <si>
    <t>Balance Sheet, Equity → reserves and surplus, reserves &amp; surplus, other equity, retained earnings</t>
  </si>
  <si>
    <t>Reserves and Surplus</t>
  </si>
  <si>
    <t>Holding Company</t>
  </si>
  <si>
    <t>Result</t>
  </si>
  <si>
    <t>Balance Sheet, Liabilities → borrowings, long.?term borrowings, short.?term borrowings, secured loans, unsecured loans</t>
  </si>
  <si>
    <t>Total Borrowings</t>
  </si>
  <si>
    <t>Not a Holding or subsidiary Company</t>
  </si>
  <si>
    <t>Balance Sheet, Assets / Related Party Note → loans and advances to directors, due from directors, loans to related parties, advance to KMP</t>
  </si>
  <si>
    <t>Loangiven by Company to Directors or Director related entities (assets)</t>
  </si>
  <si>
    <t>compny</t>
  </si>
  <si>
    <t>Balance Sheet, Assets → loans and advances (assets), loans given, inter.?corporate deposits given, ICD given</t>
  </si>
  <si>
    <t>Loans given by Company (assets)</t>
  </si>
  <si>
    <t>Newtorth @ 60%</t>
  </si>
  <si>
    <t>CARO</t>
  </si>
  <si>
    <t xml:space="preserve">Applicability </t>
  </si>
  <si>
    <t>Balance Sheet, Assets → investments, non.?current investments, current investments, investment in subsidiaries/associates</t>
  </si>
  <si>
    <t>Investments made by Company (assets)</t>
  </si>
  <si>
    <t>100% of FR</t>
  </si>
  <si>
    <t>One Person Company</t>
  </si>
  <si>
    <t>No</t>
  </si>
  <si>
    <t>listed</t>
  </si>
  <si>
    <t>unlisted</t>
  </si>
  <si>
    <t>Notes, Contingent Liabilities → corporate guarantee, guarantees given, contingent liabilities.*guarantee</t>
  </si>
  <si>
    <t>Corporate Guarantees given by Company</t>
  </si>
  <si>
    <t>Max</t>
  </si>
  <si>
    <t xml:space="preserve">Small Company </t>
  </si>
  <si>
    <t>plc</t>
  </si>
  <si>
    <t>pvt</t>
  </si>
  <si>
    <t>Balance Sheet, Liabilities / Related Party Note → loan from directors, unsecured loan from director, due to directors, loans from relatives of directors</t>
  </si>
  <si>
    <t>Loan from Directors or their relatives (Liabilities)</t>
  </si>
  <si>
    <t>Private Company (Exempted)</t>
  </si>
  <si>
    <t>OPC</t>
  </si>
  <si>
    <t xml:space="preserve">Small </t>
  </si>
  <si>
    <t>Other than small</t>
  </si>
  <si>
    <t>Balance Sheet, Liabilities → loan from shareholders, unsecured loan from shareholder, ICD from shareholder</t>
  </si>
  <si>
    <t>Loan from Shareholders (Liabilities)</t>
  </si>
  <si>
    <t>PUC + RS not more than 1 Cr</t>
  </si>
  <si>
    <t>Balance Sheet, Liabilities → secured loan, term loan (secured), loan against hypothecation, secured borrowings</t>
  </si>
  <si>
    <t>Secured Loan</t>
  </si>
  <si>
    <t>Borrowing not more than 1 Cr(Any point in FY)</t>
  </si>
  <si>
    <t>Advance from Customers, Shareholders, Security Deposits (Liabilitys)</t>
  </si>
  <si>
    <t>Total revenue not exceeding 10 Cr</t>
  </si>
  <si>
    <t>Balance Sheet, Liabilities / Notes → advance from customers, security deposit received, advance received, customer advances</t>
  </si>
  <si>
    <t>Dues to MSME</t>
  </si>
  <si>
    <t>Capital + reserves &amp; surplus</t>
  </si>
  <si>
    <t>Networth</t>
  </si>
  <si>
    <t>P&amp;L → revenue from operations, total turnover, sales turnover, gross turnover</t>
  </si>
  <si>
    <t>Turnover</t>
  </si>
  <si>
    <t>Year 2</t>
  </si>
  <si>
    <t>Year 3</t>
  </si>
  <si>
    <t>P&amp;L → total revenue, total income, revenue and other income</t>
  </si>
  <si>
    <t>Total Revenue</t>
  </si>
  <si>
    <t>P&amp;L → profit before tax, PBT, profit/(loss) before tax</t>
  </si>
  <si>
    <t>Profit Before Tax</t>
  </si>
  <si>
    <t>Corporate Social Responsibility</t>
  </si>
  <si>
    <t>RemunerationRelated Party Note / Notes to Accounts → annual remuneration, remuneration paid to directors, managerial remuneration (then compute: annual ÷ 12)</t>
  </si>
  <si>
    <t>ED / WTD - 1 Monthly Remuneration</t>
  </si>
  <si>
    <t>ED / WTD - 2 Monthly Remuneration</t>
  </si>
  <si>
    <t>Net worth of Rs.500 crore or more; OR</t>
  </si>
  <si>
    <t>Notes, Revenue breakup → export sales, export turnover, revenue from export, FOB value of exports</t>
  </si>
  <si>
    <t>Exprt</t>
  </si>
  <si>
    <t xml:space="preserve">Turnover of Rs.1,000 crore or more ; OR                                                                                                                                                                                                                                                                                                                                                        </t>
  </si>
  <si>
    <t>Net profit of Rs.5 crore or more (before tax)</t>
  </si>
  <si>
    <t>ED / WTD - 5 Monthly Remuneration</t>
  </si>
  <si>
    <t>Related Party Note / Notes to Accounts → sitting fees, fees to directors, director sitting fee</t>
  </si>
  <si>
    <t>Sitting Fees to Directors</t>
  </si>
  <si>
    <t>Notes, Share Capital breakup → corporate shareholder, holding more than 10%, shareholding pattern</t>
  </si>
  <si>
    <t>Number of Bodies Corporate Shareholder holding more than 10%</t>
  </si>
  <si>
    <t>Notes, Company Overview / Related Party → holding company, subsidiary company, is a subsidiary</t>
  </si>
  <si>
    <t xml:space="preserve">Is the Company a Holding or a Subsidiary Company </t>
  </si>
  <si>
    <t>Rotation of Auditors</t>
  </si>
  <si>
    <t>Notes, Related Party Disclosures → associate company, joint venture, related party as per Ind AS 24</t>
  </si>
  <si>
    <t>Is the Company a Holding, Subsidiary or Associate of IND AS applicable Companies</t>
  </si>
  <si>
    <t>Public Company</t>
  </si>
  <si>
    <t>Previous Year</t>
  </si>
  <si>
    <t>Private Limite, PUC is Rs. 50 Cr or more</t>
  </si>
  <si>
    <t>Requirement</t>
  </si>
  <si>
    <t>Complied or not</t>
  </si>
  <si>
    <t>Is it a Small Company?</t>
  </si>
  <si>
    <t>XBRL FILING</t>
  </si>
  <si>
    <t>IND AS applicability</t>
  </si>
  <si>
    <t>Listed companies</t>
  </si>
  <si>
    <t>XBRL filing</t>
  </si>
  <si>
    <t>PUC 5 Cr or more</t>
  </si>
  <si>
    <t>TO 100 Cr or More</t>
  </si>
  <si>
    <t>IND AS applicable Companies</t>
  </si>
  <si>
    <t>Internal Audit</t>
  </si>
  <si>
    <t>Secretarial Audit</t>
  </si>
  <si>
    <t>KMP Appointment</t>
  </si>
  <si>
    <t>Vigil Mechanism</t>
  </si>
  <si>
    <t>Loan and Investments</t>
  </si>
  <si>
    <t>Listed Company</t>
  </si>
  <si>
    <t>Loan to Director or Related entities</t>
  </si>
  <si>
    <t>Public Deposit taking Company</t>
  </si>
  <si>
    <t>Cost Audit</t>
  </si>
  <si>
    <t>NA</t>
  </si>
  <si>
    <t>Date_______________, SRN_________________
Date_______________, SRN_________________</t>
  </si>
  <si>
    <t>Whether CRA 2 and CRA 4 filed?</t>
  </si>
  <si>
    <t>Borrowings more than Rs 50 cr</t>
  </si>
  <si>
    <t>Charge form</t>
  </si>
  <si>
    <t>AOC 1</t>
  </si>
  <si>
    <t>=IF($C$31=$H$9,C58"Applicable, Check AOC 1 is annexed with Board's report","Not Applicable")</t>
  </si>
  <si>
    <t>AOC 2</t>
  </si>
  <si>
    <t>RPT Resolution for omnibus approval</t>
  </si>
  <si>
    <t>Internal Financial Controls</t>
  </si>
  <si>
    <t>CSR Committee</t>
  </si>
  <si>
    <t>Small Company (Applicable if not a small company)</t>
  </si>
  <si>
    <t>Deposit declaration</t>
  </si>
  <si>
    <t>TO more than Rs. 50 Cr and Borrowings more than 25 Cr</t>
  </si>
  <si>
    <t>DPT 3</t>
  </si>
  <si>
    <t>Date_______________, SRN_________________</t>
  </si>
  <si>
    <t>MSME</t>
  </si>
  <si>
    <t>Ben 2</t>
  </si>
  <si>
    <t>MGT 8 Applicability</t>
  </si>
  <si>
    <t>Listed Company, or</t>
  </si>
  <si>
    <t>PUC Rs. 10 Cr or more</t>
  </si>
  <si>
    <t>TO Rs. 50 Cr ore More</t>
  </si>
  <si>
    <t>Certification of MGT 7</t>
  </si>
  <si>
    <t>Small Company (Not Applicable if it is a small Company)</t>
  </si>
  <si>
    <t>TO 200 Cr or More</t>
  </si>
  <si>
    <t>Borrowings 100 Cr or more</t>
  </si>
  <si>
    <t>Public Company  PUC – 50 Cr or  more;
T.O of 250 Crore or more;</t>
  </si>
  <si>
    <t>Company - Borrowings more than 100 Cr</t>
  </si>
  <si>
    <t>KMP appointment</t>
  </si>
  <si>
    <t>Listed</t>
  </si>
  <si>
    <t>Public Company - PUC 10 Cr or more</t>
  </si>
  <si>
    <t>Any Company - To appoint CS - PUC 10 Cr or more</t>
  </si>
  <si>
    <t>Loan Investment Guarantee - 186</t>
  </si>
  <si>
    <t xml:space="preserve">Have loans, investments, Guarantees </t>
  </si>
  <si>
    <t>Don’t have loans, investments, guaratnees</t>
  </si>
  <si>
    <t xml:space="preserve">Name of the Company : </t>
  </si>
  <si>
    <t>Women Director</t>
  </si>
  <si>
    <t>TO less than 20 Cr and PUC less than 2 Cr</t>
  </si>
  <si>
    <t xml:space="preserve"> Public Company  having PSC – 100 Cr or more (or) T.O of 300 Cr or more </t>
  </si>
  <si>
    <t>Independent Director / AC / NRC</t>
  </si>
  <si>
    <t>Borrowings</t>
  </si>
  <si>
    <t xml:space="preserve">Public Company having PSC- 10 Cr or more (or) T.O 100 Cr or more (or) Aggregate O/S Loans, Deb, deposits &gt;50 Cr </t>
  </si>
  <si>
    <t>IND AS</t>
  </si>
  <si>
    <t>AS</t>
  </si>
  <si>
    <t>Export</t>
  </si>
  <si>
    <t>Public Company - PUC more than 10 Cr</t>
  </si>
  <si>
    <t>All Companies - Borrowings more than Rs 50 Cr</t>
  </si>
  <si>
    <t>ED / WTD - 3 Monthly Remuneration</t>
  </si>
  <si>
    <t>ED / WTD - 4 Monthly Remuneration</t>
  </si>
  <si>
    <t>Accounting Standard</t>
  </si>
  <si>
    <t>IND AS Applicability</t>
  </si>
  <si>
    <t>No it is not a small company</t>
  </si>
  <si>
    <t>CS appointment</t>
  </si>
  <si>
    <t>Independent Director</t>
  </si>
  <si>
    <t>Audit Committee</t>
  </si>
  <si>
    <t>Nomination and Remuneration Committee</t>
  </si>
  <si>
    <t>PUC 50 Cr or more</t>
  </si>
  <si>
    <t>Annual Board Evaluation</t>
  </si>
  <si>
    <t>Public Company  PUC – 50 Cr or  more;</t>
  </si>
  <si>
    <t>Public Company T.O of 250 Crore or more;</t>
  </si>
  <si>
    <t>Any Company - To appoint CS - PUC 5 Cr or more</t>
  </si>
  <si>
    <t>SECTION 188</t>
  </si>
  <si>
    <t>SOURCE : Notes to Accounts - Related party transaction</t>
  </si>
  <si>
    <t>RELATED PARTY TRANSACTION</t>
  </si>
  <si>
    <t>Section 188 read with Rule 12.1.15 Companies (Meetings of Board and its Powers) Rules,2014</t>
  </si>
  <si>
    <t>Based on last year T.O and N.W</t>
  </si>
  <si>
    <t>Turnover @ 10% as per previous year</t>
  </si>
  <si>
    <t>Networth @ 10% as per previous year</t>
  </si>
  <si>
    <t>If there is Material Transaction, then AOC 2 is applicable. If the transaction is not material AOC 2 is Not applicable</t>
  </si>
  <si>
    <t>Transaction</t>
  </si>
  <si>
    <t>Criteria to be checked for Materiality</t>
  </si>
  <si>
    <t>Check RPT note for any of these transactions</t>
  </si>
  <si>
    <t>Limit as per rules</t>
  </si>
  <si>
    <t>Actuals</t>
  </si>
  <si>
    <t>Is this a material transaction (actuals &gt; limits) - Yes</t>
  </si>
  <si>
    <t>Sale of Goods</t>
  </si>
  <si>
    <t xml:space="preserve">10 % or more of turnover </t>
  </si>
  <si>
    <t>no</t>
  </si>
  <si>
    <t>Purchase or supply of goods or materials directly or through appointment of agents</t>
  </si>
  <si>
    <t>Sale of property</t>
  </si>
  <si>
    <t>10% or more of networth</t>
  </si>
  <si>
    <t>Purchase of property</t>
  </si>
  <si>
    <t>Dispose of Property</t>
  </si>
  <si>
    <t>Availing of service</t>
  </si>
  <si>
    <t xml:space="preserve">10% or more of turnover </t>
  </si>
  <si>
    <t>Rendering of Service</t>
  </si>
  <si>
    <t>Lease</t>
  </si>
  <si>
    <r>
      <t>Appointment to any office or place of profit in the company, its subsidiary company or </t>
    </r>
    <r>
      <rPr>
        <u/>
        <sz val="11"/>
        <color rgb="FFEA9629"/>
        <rFont val="Arial"/>
        <family val="2"/>
      </rPr>
      <t>associate company</t>
    </r>
  </si>
  <si>
    <t>monthly remuneration not exceeding two and half lakh rupees</t>
  </si>
  <si>
    <t>remuneration for underwriting the subscription of any securities or derivatives thereof, of the company</t>
  </si>
  <si>
    <t>1% of networth</t>
  </si>
  <si>
    <t>SEC 185 &amp; 186</t>
  </si>
  <si>
    <t>Balance sheet - Assets- Loans and advances/ Investments</t>
  </si>
  <si>
    <t>PROHIBITION</t>
  </si>
  <si>
    <t>Loans to directors or interested persons of directors</t>
  </si>
  <si>
    <t>APPLICABILITY</t>
  </si>
  <si>
    <t>Section 185</t>
  </si>
  <si>
    <t>(a)</t>
  </si>
  <si>
    <t>Has the company given any loan to Directors/ or of a company which is its holding company or any partner or relative of any such director; OR</t>
  </si>
  <si>
    <t>(b)</t>
  </si>
  <si>
    <t>Has the company given any loan to any firm in which any such director or relative is a partner</t>
  </si>
  <si>
    <t>G.S.R. 464E notification dated 5th June 2015</t>
  </si>
  <si>
    <t>If yes, check if the following conditions are met   incase of Private Limited company</t>
  </si>
  <si>
    <t>No other body corporate has invested in its share capital</t>
  </si>
  <si>
    <t>Its borrowings from banks/financial institutions/any Body Corporate is less than twice of its paid-up share capital or Rs. 50 crore, whichever is lower AND</t>
  </si>
  <si>
    <t xml:space="preserve">no default in repayment of such
borrowings subsisting at the time of making transactions under
this section
</t>
  </si>
  <si>
    <t>Even if one of the above conditions are YES,  Private companies cannot provide loan to its directors or of a company which is its holding company or any partner or relative of any such director</t>
  </si>
  <si>
    <t>Companies (Amendment) Act, 2017 dated 03.01.2018, Effective from 7th May,2018</t>
  </si>
  <si>
    <t>Has the company given loan including any loan represented by a book debt, or given any guarantee or provided any security in connection with any loan taken by any person in whom any of the director of the company is interested, being the following interested persons</t>
  </si>
  <si>
    <t>RESTRICTION</t>
  </si>
  <si>
    <t>any private company of which any such director is a director or member;</t>
  </si>
  <si>
    <t>any body corporate at a general meeting of which not less than twenty-five per cent. of the total voting power may be exercised or controlled by any such director, or by two or more such directors, together;</t>
  </si>
  <si>
    <t>any body corporate, the Board of directors, managing director or manager, whereof is accustomed to act in accordance with the directions or instructions of the Board, or of any director or directors, of the lending company.</t>
  </si>
  <si>
    <t>If yes, To check whether the following are complied with</t>
  </si>
  <si>
    <t>Special resolution is passed by the company in general meeting</t>
  </si>
  <si>
    <t>the loans are utilised by the borrowing company for its principal business activities.</t>
  </si>
  <si>
    <t>EXEMPTIONS</t>
  </si>
  <si>
    <t>the giving of any loan to a managing or whole-time director</t>
  </si>
  <si>
    <t>as a part of the conditions of service extended by the company to all its employees;  or</t>
  </si>
  <si>
    <t> pursuant to any scheme approved by the members by a special resolution; </t>
  </si>
  <si>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</si>
  <si>
    <t>any loan made by a holding company to its wholly owned subsidiary company or any guarantee given or security provided by a holding company in respect of any loan made to its wholly owned subsidiary company; or</t>
  </si>
  <si>
    <t>any guarantee given or security provided by a holding company in respect of loan made by any bank or financial institution to its subsidiary company:</t>
  </si>
  <si>
    <t>Has the Company give loan, guarantee to any person or body corporate</t>
  </si>
  <si>
    <t>(c)</t>
  </si>
  <si>
    <t>Has the Company acquired by way of subscription, purchase or otherwise, the securities of any other body corporate,</t>
  </si>
  <si>
    <r>
      <t xml:space="preserve">If yes  whether it is within specified below, </t>
    </r>
    <r>
      <rPr>
        <b/>
        <sz val="12"/>
        <rFont val="Aptos Narrow"/>
        <family val="2"/>
        <scheme val="minor"/>
      </rPr>
      <t>whichever is more</t>
    </r>
  </si>
  <si>
    <t xml:space="preserve">60% of Paid up capital &amp; Free reserve and securities premium  or </t>
  </si>
  <si>
    <t xml:space="preserve">100% of Free reserves and securities premium  </t>
  </si>
  <si>
    <t>If within limits, include in Board report</t>
  </si>
  <si>
    <t>If exceeding limit, to mention in MGT 8 &amp; prior approval/ratification in next AGM/EGM</t>
  </si>
  <si>
    <t xml:space="preserve">Input for the Common Error </t>
  </si>
  <si>
    <t xml:space="preserve">Financials </t>
  </si>
  <si>
    <t>Audit report</t>
  </si>
  <si>
    <t>previous year financials</t>
  </si>
  <si>
    <t>Previous year Audit report</t>
  </si>
  <si>
    <t>Input sheet for Annual Filing</t>
  </si>
  <si>
    <t>Input for the Compliance sheet</t>
  </si>
  <si>
    <t xml:space="preserve">Balance sheet </t>
  </si>
  <si>
    <t>Boards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</si>
</sst>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 #,##0_ ;_ * \-#,##0_ ;_ * &quot;-&quot;??_ ;_ @_ "/>
    <numFmt numFmtId="165" formatCode="_ * #,##0.00_ ;_ * \-#,##0.00_ ;_ * &quot;-&quot;??_ ;_ @_ "/>
    <numFmt numFmtId="166" formatCode="_ * #,##0.0000_ ;_ * \-#,##0.0000_ ;_ * &quot;-&quot;??_ ;_ @_ "/>
    <numFmt numFmtId="167" formatCode="_(* #,##0_);_(* \(#,##0\);_(* &quot;-&quot;??_);_(@_)"/>
    <numFmt numFmtId="168" formatCode="0.000"/>
  </numFmts>
  <fonts count="2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2"/>
      <color theme="1"/>
      <name val="Aptos Narrow"/>
      <family val="2"/>
      <scheme val="minor"/>
    </font>
    <font>
      <sz val="12"/>
      <name val="Aptos Narrow"/>
      <family val="2"/>
      <scheme val="minor"/>
    </font>
    <font>
      <b/>
      <sz val="12"/>
      <color theme="1"/>
      <name val="Aptos Narrow"/>
      <family val="2"/>
      <scheme val="minor"/>
    </font>
    <font>
      <b/>
      <sz val="12"/>
      <name val="Aptos Narrow"/>
      <family val="2"/>
      <scheme val="minor"/>
    </font>
    <font>
      <b/>
      <sz val="12"/>
      <color rgb="FFFF0000"/>
      <name val="Aptos Narrow"/>
      <family val="2"/>
      <scheme val="minor"/>
    </font>
    <font>
      <sz val="8"/>
      <name val="Arial"/>
      <family val="2"/>
    </font>
    <font>
      <sz val="12"/>
      <name val="Arial"/>
      <family val="2"/>
    </font>
    <font>
      <sz val="11"/>
      <color rgb="FF333333"/>
      <name val="Arial"/>
      <family val="2"/>
    </font>
    <font>
      <u/>
      <sz val="11"/>
      <color rgb="FFEA9629"/>
      <name val="Arial"/>
      <family val="2"/>
    </font>
    <font>
      <sz val="11"/>
      <color theme="0"/>
      <name val="Aptos Narrow"/>
      <family val="2"/>
      <scheme val="minor"/>
    </font>
    <font>
      <u/>
      <sz val="11"/>
      <color theme="10"/>
      <name val="Aptos Narrow"/>
      <family val="2"/>
      <scheme val="minor"/>
    </font>
    <font>
      <sz val="12"/>
      <color theme="0"/>
      <name val="Aptos Narrow"/>
      <family val="2"/>
      <scheme val="minor"/>
    </font>
    <font>
      <u/>
      <sz val="12"/>
      <color theme="10"/>
      <name val="Aptos Narrow"/>
      <family val="2"/>
      <scheme val="minor"/>
    </font>
    <font>
      <sz val="12"/>
      <color rgb="FF000000"/>
      <name val="Aptos Narrow"/>
      <family val="2"/>
      <scheme val="minor"/>
    </font>
    <font>
      <u/>
      <sz val="12"/>
      <color theme="1"/>
      <name val="Aptos Narrow"/>
      <family val="2"/>
      <scheme val="minor"/>
    </font>
    <font>
      <b/>
      <sz val="14"/>
      <color theme="1"/>
      <name val="Aptos Narrow"/>
      <family val="2"/>
      <scheme val="minor"/>
    </font>
    <font>
      <b/>
      <sz val="12"/>
      <color rgb="FF000000"/>
      <name val="Aptos Narrow"/>
      <scheme val="minor"/>
    </font>
  </fonts>
  <fills count="9">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5"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3" fontId="1" fillId="0" borderId="0" applyFont="0" applyFill="0" applyBorder="0" applyAlignment="0" applyProtection="0"/>
    <xf numFmtId="0" fontId="14" fillId="0" borderId="0" applyNumberFormat="0" applyFill="0" applyBorder="0" applyAlignment="0" applyProtection="0"/>
    <xf numFmtId="0" fontId="1" fillId="0" borderId="0"/>
  </cellStyleXfs>
  <cellXfs count="150">
    <xf numFmtId="0" fontId="0" fillId="0" borderId="0" xfId="0"/>
    <xf numFmtId="0" fontId="4" fillId="0" borderId="0" xfId="0" applyFont="1"/>
    <xf numFmtId="0" fontId="2" fillId="0" borderId="1" xfId="0" applyFont="1" applyBorder="1"/>
    <xf numFmtId="0" fontId="0" fillId="0" borderId="1" xfId="0" applyBorder="1"/>
    <xf numFmtId="0" fontId="5" fillId="0" borderId="1" xfId="0" applyFont="1" applyBorder="1" applyAlignment="1">
      <alignment wrapText="1"/>
    </xf>
    <xf numFmtId="0" fontId="4" fillId="0" borderId="1" xfId="0" applyFont="1" applyBorder="1"/>
    <xf numFmtId="0" fontId="4" fillId="0" borderId="1" xfId="0" applyFont="1" applyBorder="1" applyAlignment="1">
      <alignment wrapText="1"/>
    </xf>
    <xf numFmtId="0" fontId="4" fillId="0" borderId="1" xfId="0" applyFont="1" applyBorder="1" applyAlignment="1">
      <alignment vertical="center"/>
    </xf>
    <xf numFmtId="0" fontId="6" fillId="0" borderId="1" xfId="0" applyFont="1" applyBorder="1" applyAlignment="1">
      <alignment wrapText="1"/>
    </xf>
    <xf numFmtId="0" fontId="6" fillId="0" borderId="1" xfId="0" applyFont="1" applyBorder="1"/>
    <xf numFmtId="0" fontId="5" fillId="0" borderId="1" xfId="0" applyFont="1" applyBorder="1"/>
    <xf numFmtId="0" fontId="6" fillId="0" borderId="0" xfId="0" applyFont="1"/>
    <xf numFmtId="0" fontId="4" fillId="0" borderId="1" xfId="0" applyFont="1" applyBorder="1" applyAlignment="1">
      <alignment horizontal="right" vertical="center"/>
    </xf>
    <xf numFmtId="0" fontId="6" fillId="0" borderId="1" xfId="0" applyFont="1" applyBorder="1" applyAlignment="1">
      <alignment vertical="center"/>
    </xf>
    <xf numFmtId="0" fontId="5" fillId="0" borderId="1" xfId="0" applyFont="1" applyBorder="1" applyAlignment="1">
      <alignment horizontal="right"/>
    </xf>
    <xf numFmtId="0" fontId="5" fillId="0" borderId="1" xfId="0" applyFont="1" applyBorder="1" applyAlignment="1">
      <alignment horizontal="left" wrapText="1"/>
    </xf>
    <xf numFmtId="0" fontId="8" fillId="0" borderId="1" xfId="0" applyFont="1" applyBorder="1"/>
    <xf numFmtId="0" fontId="9" fillId="0" borderId="0" xfId="0" applyFont="1" applyAlignment="1">
      <alignment wrapText="1"/>
    </xf>
    <xf numFmtId="0" fontId="10" fillId="0" borderId="0" xfId="0" applyFont="1" applyAlignment="1">
      <alignment wrapText="1"/>
    </xf>
    <xf numFmtId="0" fontId="8" fillId="0" borderId="0" xfId="0" applyFont="1"/>
    <xf numFmtId="0" fontId="7" fillId="0" borderId="1" xfId="0" applyFont="1" applyBorder="1" applyAlignment="1">
      <alignment wrapText="1"/>
    </xf>
    <xf numFmtId="0" fontId="5" fillId="0" borderId="1" xfId="0" applyFont="1" applyBorder="1" applyAlignment="1">
      <alignment vertical="top" wrapText="1"/>
    </xf>
    <xf numFmtId="0" fontId="7" fillId="0" borderId="1" xfId="0" applyFont="1" applyBorder="1" applyAlignment="1">
      <alignment horizontal="center" wrapText="1"/>
    </xf>
    <xf numFmtId="164" fontId="5" fillId="0" borderId="1" xfId="0" applyNumberFormat="1" applyFont="1" applyBorder="1"/>
    <xf numFmtId="0" fontId="11" fillId="0" borderId="1" xfId="0" applyFont="1" applyBorder="1" applyAlignment="1">
      <alignment wrapText="1"/>
    </xf>
    <xf numFmtId="165" fontId="5" fillId="0" borderId="1" xfId="0" applyNumberFormat="1" applyFont="1" applyBorder="1"/>
    <xf numFmtId="166" fontId="5" fillId="0" borderId="1" xfId="1" applyNumberFormat="1" applyFont="1" applyBorder="1"/>
    <xf numFmtId="43" fontId="5" fillId="0" borderId="1" xfId="1" applyFont="1" applyBorder="1"/>
    <xf numFmtId="0" fontId="5" fillId="0" borderId="0" xfId="0" applyFont="1"/>
    <xf numFmtId="43" fontId="5" fillId="0" borderId="0" xfId="1" applyFont="1"/>
    <xf numFmtId="0" fontId="7" fillId="0" borderId="0" xfId="0" applyFont="1"/>
    <xf numFmtId="0" fontId="7" fillId="0" borderId="0" xfId="0" applyFont="1" applyAlignment="1">
      <alignment vertical="top" wrapText="1"/>
    </xf>
    <xf numFmtId="0" fontId="0" fillId="0" borderId="3" xfId="0" applyBorder="1"/>
    <xf numFmtId="0" fontId="3" fillId="2" borderId="0" xfId="0" applyFont="1" applyFill="1"/>
    <xf numFmtId="0" fontId="0" fillId="2" borderId="0" xfId="0" applyFill="1"/>
    <xf numFmtId="0" fontId="4" fillId="0" borderId="0" xfId="0" applyFont="1" applyAlignment="1">
      <alignment wrapText="1"/>
    </xf>
    <xf numFmtId="0" fontId="4" fillId="0" borderId="4" xfId="0" applyFont="1" applyBorder="1"/>
    <xf numFmtId="0" fontId="6" fillId="0" borderId="5" xfId="0" applyFont="1" applyBorder="1"/>
    <xf numFmtId="0" fontId="6" fillId="0" borderId="6" xfId="0" applyFont="1" applyBorder="1"/>
    <xf numFmtId="0" fontId="6" fillId="0" borderId="7" xfId="0" applyFont="1" applyBorder="1"/>
    <xf numFmtId="0" fontId="6" fillId="0" borderId="8" xfId="0" applyFont="1" applyBorder="1"/>
    <xf numFmtId="0" fontId="4" fillId="0" borderId="9" xfId="0" applyFont="1" applyBorder="1"/>
    <xf numFmtId="0" fontId="4" fillId="0" borderId="7" xfId="0" applyFont="1" applyBorder="1"/>
    <xf numFmtId="0" fontId="4" fillId="0" borderId="8" xfId="0" applyFont="1" applyBorder="1"/>
    <xf numFmtId="0" fontId="15" fillId="0" borderId="1" xfId="0" applyFont="1" applyBorder="1"/>
    <xf numFmtId="0" fontId="4" fillId="0" borderId="10" xfId="0" applyFont="1" applyBorder="1"/>
    <xf numFmtId="0" fontId="16" fillId="0" borderId="1" xfId="3" applyFont="1" applyBorder="1" applyAlignment="1">
      <alignment vertical="center"/>
    </xf>
    <xf numFmtId="0" fontId="4" fillId="0" borderId="11" xfId="0" applyFont="1" applyBorder="1"/>
    <xf numFmtId="0" fontId="6" fillId="0" borderId="10" xfId="0" applyFont="1" applyBorder="1"/>
    <xf numFmtId="0" fontId="6" fillId="0" borderId="11" xfId="0" applyFont="1" applyBorder="1"/>
    <xf numFmtId="0" fontId="17" fillId="2" borderId="1" xfId="0" applyFont="1" applyFill="1" applyBorder="1"/>
    <xf numFmtId="0" fontId="4" fillId="0" borderId="10" xfId="0" applyFont="1" applyBorder="1" applyAlignment="1">
      <alignment wrapText="1"/>
    </xf>
    <xf numFmtId="167" fontId="4" fillId="3" borderId="1" xfId="2" applyNumberFormat="1" applyFont="1" applyFill="1" applyBorder="1" applyAlignment="1">
      <alignment wrapText="1"/>
    </xf>
    <xf numFmtId="168" fontId="4" fillId="0" borderId="1" xfId="0" applyNumberFormat="1" applyFont="1" applyBorder="1"/>
    <xf numFmtId="168" fontId="4" fillId="0" borderId="11" xfId="0" applyNumberFormat="1" applyFont="1" applyBorder="1"/>
    <xf numFmtId="0" fontId="13" fillId="0" borderId="0" xfId="0" applyFont="1"/>
    <xf numFmtId="0" fontId="6" fillId="0" borderId="12" xfId="0" applyFont="1" applyBorder="1"/>
    <xf numFmtId="0" fontId="17" fillId="2" borderId="13" xfId="0" applyFont="1" applyFill="1" applyBorder="1"/>
    <xf numFmtId="0" fontId="4" fillId="0" borderId="14" xfId="0" applyFont="1" applyBorder="1"/>
    <xf numFmtId="0" fontId="4" fillId="0" borderId="15" xfId="0" applyFont="1" applyBorder="1"/>
    <xf numFmtId="0" fontId="4" fillId="0" borderId="3" xfId="0" applyFont="1" applyBorder="1"/>
    <xf numFmtId="0" fontId="4" fillId="0" borderId="16" xfId="0" applyFont="1" applyBorder="1"/>
    <xf numFmtId="0" fontId="4" fillId="0" borderId="17" xfId="0" applyFont="1" applyBorder="1"/>
    <xf numFmtId="0" fontId="4" fillId="0" borderId="18" xfId="0" applyFont="1" applyBorder="1"/>
    <xf numFmtId="0" fontId="4" fillId="0" borderId="19" xfId="0" applyFont="1" applyBorder="1"/>
    <xf numFmtId="167" fontId="4" fillId="0" borderId="1" xfId="2" applyNumberFormat="1" applyFont="1" applyBorder="1"/>
    <xf numFmtId="0" fontId="5" fillId="0" borderId="10" xfId="0" applyFont="1" applyBorder="1" applyAlignment="1">
      <alignment horizontal="justify"/>
    </xf>
    <xf numFmtId="0" fontId="4" fillId="4" borderId="0" xfId="0" applyFont="1" applyFill="1"/>
    <xf numFmtId="0" fontId="4" fillId="5" borderId="0" xfId="0" applyFont="1" applyFill="1"/>
    <xf numFmtId="0" fontId="4" fillId="6" borderId="0" xfId="0" applyFont="1" applyFill="1"/>
    <xf numFmtId="0" fontId="4" fillId="2" borderId="0" xfId="0" applyFont="1" applyFill="1"/>
    <xf numFmtId="0" fontId="18" fillId="7" borderId="0" xfId="0" applyFont="1" applyFill="1"/>
    <xf numFmtId="0" fontId="5" fillId="0" borderId="10" xfId="0" applyFont="1" applyBorder="1" applyAlignment="1">
      <alignment horizontal="left" indent="2"/>
    </xf>
    <xf numFmtId="0" fontId="4" fillId="3" borderId="1" xfId="0" applyFont="1" applyFill="1" applyBorder="1" applyAlignment="1">
      <alignment wrapText="1"/>
    </xf>
    <xf numFmtId="0" fontId="5" fillId="3" borderId="1" xfId="0" applyFont="1" applyFill="1" applyBorder="1" applyAlignment="1">
      <alignment horizontal="right" wrapText="1"/>
    </xf>
    <xf numFmtId="0" fontId="4" fillId="2" borderId="10" xfId="0" applyFont="1" applyFill="1" applyBorder="1"/>
    <xf numFmtId="167" fontId="4" fillId="0" borderId="1" xfId="2" applyNumberFormat="1" applyFont="1" applyFill="1" applyBorder="1" applyAlignment="1">
      <alignment wrapText="1"/>
    </xf>
    <xf numFmtId="0" fontId="5" fillId="2" borderId="12" xfId="0" applyFont="1" applyFill="1" applyBorder="1" applyAlignment="1">
      <alignment horizontal="left"/>
    </xf>
    <xf numFmtId="0" fontId="4" fillId="3" borderId="0" xfId="0" applyFont="1" applyFill="1"/>
    <xf numFmtId="0" fontId="4" fillId="0" borderId="20" xfId="0" applyFont="1" applyBorder="1"/>
    <xf numFmtId="0" fontId="4" fillId="0" borderId="21" xfId="0" applyFont="1" applyBorder="1"/>
    <xf numFmtId="0" fontId="4" fillId="0" borderId="22" xfId="0" applyFont="1" applyBorder="1"/>
    <xf numFmtId="0" fontId="7" fillId="0" borderId="7" xfId="0" applyFont="1" applyBorder="1" applyAlignment="1">
      <alignment horizontal="left"/>
    </xf>
    <xf numFmtId="0" fontId="0" fillId="0" borderId="10" xfId="0" applyBorder="1"/>
    <xf numFmtId="0" fontId="5" fillId="0" borderId="10" xfId="0" applyFont="1" applyBorder="1" applyAlignment="1">
      <alignment wrapText="1"/>
    </xf>
    <xf numFmtId="0" fontId="16" fillId="0" borderId="11" xfId="3" applyFont="1" applyBorder="1" applyAlignment="1">
      <alignment vertical="center"/>
    </xf>
    <xf numFmtId="0" fontId="5" fillId="2" borderId="12" xfId="0" applyFont="1" applyFill="1" applyBorder="1" applyAlignment="1">
      <alignment wrapText="1"/>
    </xf>
    <xf numFmtId="0" fontId="17" fillId="2" borderId="14" xfId="0" applyFont="1" applyFill="1" applyBorder="1"/>
    <xf numFmtId="0" fontId="7" fillId="0" borderId="7" xfId="0" applyFont="1" applyBorder="1" applyAlignment="1">
      <alignment wrapText="1"/>
    </xf>
    <xf numFmtId="0" fontId="6" fillId="0" borderId="8" xfId="0" applyFont="1" applyBorder="1" applyAlignment="1">
      <alignment wrapText="1"/>
    </xf>
    <xf numFmtId="0" fontId="6" fillId="0" borderId="9" xfId="0" applyFont="1" applyBorder="1"/>
    <xf numFmtId="0" fontId="5" fillId="0" borderId="12" xfId="0" applyFont="1" applyBorder="1" applyAlignment="1">
      <alignment horizontal="justify"/>
    </xf>
    <xf numFmtId="0" fontId="16" fillId="0" borderId="13" xfId="3" applyFont="1" applyBorder="1" applyAlignment="1">
      <alignment horizontal="right" vertical="center" wrapText="1"/>
    </xf>
    <xf numFmtId="168" fontId="4" fillId="0" borderId="13" xfId="0" applyNumberFormat="1" applyFont="1" applyBorder="1"/>
    <xf numFmtId="168" fontId="4" fillId="0" borderId="14" xfId="0" applyNumberFormat="1" applyFont="1" applyBorder="1"/>
    <xf numFmtId="0" fontId="7" fillId="0" borderId="7" xfId="0" applyFont="1" applyBorder="1"/>
    <xf numFmtId="0" fontId="7" fillId="0" borderId="8" xfId="0" applyFont="1" applyBorder="1" applyAlignment="1">
      <alignment wrapText="1"/>
    </xf>
    <xf numFmtId="0" fontId="17" fillId="0" borderId="13" xfId="0" applyFont="1" applyBorder="1"/>
    <xf numFmtId="0" fontId="5" fillId="0" borderId="10" xfId="0" applyFont="1" applyBorder="1"/>
    <xf numFmtId="0" fontId="5" fillId="2" borderId="10" xfId="0" applyFont="1" applyFill="1" applyBorder="1" applyAlignment="1">
      <alignment wrapText="1"/>
    </xf>
    <xf numFmtId="0" fontId="0" fillId="0" borderId="1" xfId="0" applyBorder="1" applyAlignment="1">
      <alignment wrapText="1"/>
    </xf>
    <xf numFmtId="0" fontId="5" fillId="0" borderId="10" xfId="0" applyFont="1" applyBorder="1" applyAlignment="1">
      <alignment horizontal="left" vertical="center" wrapText="1"/>
    </xf>
    <xf numFmtId="0" fontId="7" fillId="0" borderId="10" xfId="0" applyFont="1" applyBorder="1" applyAlignment="1">
      <alignment wrapText="1"/>
    </xf>
    <xf numFmtId="0" fontId="4" fillId="0" borderId="12" xfId="0" applyFont="1" applyBorder="1"/>
    <xf numFmtId="0" fontId="4" fillId="0" borderId="13" xfId="0" applyFont="1" applyBorder="1" applyAlignment="1">
      <alignment wrapText="1"/>
    </xf>
    <xf numFmtId="0" fontId="4" fillId="0" borderId="13" xfId="0" applyFont="1" applyBorder="1"/>
    <xf numFmtId="0" fontId="7" fillId="0" borderId="10" xfId="0" applyFont="1" applyBorder="1" applyAlignment="1">
      <alignment horizontal="left" vertical="center" wrapText="1"/>
    </xf>
    <xf numFmtId="0" fontId="5" fillId="0" borderId="10" xfId="4" applyFont="1" applyBorder="1" applyAlignment="1">
      <alignment horizontal="left" vertical="top" wrapText="1"/>
    </xf>
    <xf numFmtId="0" fontId="17" fillId="2" borderId="11" xfId="0" applyFont="1" applyFill="1" applyBorder="1"/>
    <xf numFmtId="0" fontId="10" fillId="0" borderId="10" xfId="4" applyFont="1" applyBorder="1" applyAlignment="1">
      <alignment horizontal="left" vertical="top" wrapText="1"/>
    </xf>
    <xf numFmtId="0" fontId="0" fillId="0" borderId="3" xfId="0" applyBorder="1" applyAlignment="1">
      <alignment wrapText="1"/>
    </xf>
    <xf numFmtId="0" fontId="2" fillId="0" borderId="1" xfId="0" applyFont="1" applyBorder="1" applyAlignment="1">
      <alignment wrapText="1"/>
    </xf>
    <xf numFmtId="0" fontId="20" fillId="0" borderId="0" xfId="0" applyFont="1"/>
    <xf numFmtId="0" fontId="15" fillId="0" borderId="0" xfId="0" applyFont="1"/>
    <xf numFmtId="0" fontId="6" fillId="0" borderId="25" xfId="0" applyFont="1" applyBorder="1"/>
    <xf numFmtId="168" fontId="4" fillId="0" borderId="25" xfId="0" applyNumberFormat="1" applyFont="1" applyBorder="1"/>
    <xf numFmtId="0" fontId="13" fillId="0" borderId="0" xfId="0" applyFont="1" applyAlignment="1">
      <alignment wrapText="1"/>
    </xf>
    <xf numFmtId="167" fontId="4" fillId="0" borderId="1" xfId="2" applyNumberFormat="1" applyFont="1" applyBorder="1" applyAlignment="1">
      <alignment wrapText="1"/>
    </xf>
    <xf numFmtId="167" fontId="15" fillId="0" borderId="0" xfId="2" applyNumberFormat="1" applyFont="1" applyBorder="1"/>
    <xf numFmtId="0" fontId="5" fillId="0" borderId="1" xfId="0" applyFont="1" applyBorder="1" applyAlignment="1">
      <alignment horizontal="justify"/>
    </xf>
    <xf numFmtId="0" fontId="16" fillId="2" borderId="1" xfId="3" applyFont="1" applyFill="1" applyBorder="1" applyAlignment="1">
      <alignment horizontal="right" vertical="center" wrapText="1"/>
    </xf>
    <xf numFmtId="168" fontId="4" fillId="2" borderId="1" xfId="0" applyNumberFormat="1" applyFont="1" applyFill="1" applyBorder="1"/>
    <xf numFmtId="0" fontId="4" fillId="2" borderId="1" xfId="0" applyFont="1" applyFill="1" applyBorder="1" applyAlignment="1">
      <alignment wrapText="1"/>
    </xf>
    <xf numFmtId="0" fontId="5" fillId="0" borderId="1" xfId="0" applyFont="1" applyBorder="1" applyAlignment="1">
      <alignment horizontal="left" vertical="center" wrapText="1"/>
    </xf>
    <xf numFmtId="0" fontId="6" fillId="0" borderId="0" xfId="0" applyFont="1" applyAlignment="1">
      <alignment wrapText="1"/>
    </xf>
    <xf numFmtId="0" fontId="0" fillId="0" borderId="0" xfId="0" applyAlignment="1">
      <alignment wrapText="1"/>
    </xf>
    <xf numFmtId="0" fontId="20" fillId="0" borderId="0" xfId="0" applyFont="1" applyAlignment="1">
      <alignment wrapText="1"/>
    </xf>
    <xf numFmtId="167" fontId="15" fillId="8" borderId="1" xfId="2" applyNumberFormat="1" applyFont="1" applyFill="1" applyBorder="1" applyAlignment="1">
      <alignment wrapText="1"/>
    </xf>
    <xf numFmtId="0" fontId="15" fillId="8" borderId="1" xfId="0" applyFont="1" applyFill="1" applyBorder="1" applyAlignment="1">
      <alignment horizontal="right" wrapText="1"/>
    </xf>
    <xf numFmtId="4" fontId="15" fillId="8" borderId="1" xfId="0" applyNumberFormat="1" applyFont="1" applyFill="1" applyBorder="1" applyAlignment="1">
      <alignment wrapText="1"/>
    </xf>
    <xf numFmtId="0" fontId="15" fillId="8" borderId="1" xfId="0" applyFont="1" applyFill="1" applyBorder="1" applyAlignment="1">
      <alignment wrapText="1"/>
    </xf>
    <xf numFmtId="167" fontId="4" fillId="8" borderId="1" xfId="2" applyNumberFormat="1" applyFont="1" applyFill="1" applyBorder="1" applyAlignment="1">
      <alignment wrapText="1"/>
    </xf>
    <xf numFmtId="0" fontId="4" fillId="8" borderId="1" xfId="0" applyFont="1" applyFill="1" applyBorder="1" applyAlignment="1">
      <alignment wrapText="1"/>
    </xf>
    <xf numFmtId="0" fontId="4" fillId="8" borderId="0" xfId="0" applyFont="1" applyFill="1"/>
    <xf numFmtId="0" fontId="7" fillId="0" borderId="1" xfId="0" applyFont="1" applyBorder="1" applyAlignment="1">
      <alignment horizontal="left" wrapText="1"/>
    </xf>
    <xf numFmtId="0" fontId="4" fillId="0" borderId="0" xfId="0" applyFont="1" applyFill="1"/>
    <xf numFmtId="0" fontId="0" fillId="0" borderId="0" xfId="0" applyFill="1" applyAlignment="1">
      <alignment wrapText="1"/>
    </xf>
    <xf numFmtId="0" fontId="4" fillId="0" borderId="10" xfId="0" applyFont="1" applyFill="1" applyBorder="1"/>
    <xf numFmtId="0" fontId="17" fillId="0" borderId="1" xfId="0" applyFont="1" applyFill="1" applyBorder="1" applyAlignment="1">
      <alignment wrapText="1"/>
    </xf>
    <xf numFmtId="0" fontId="4" fillId="0" borderId="0" xfId="0" applyFont="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167" fontId="19" fillId="0" borderId="23" xfId="2" applyNumberFormat="1" applyFont="1" applyBorder="1" applyAlignment="1">
      <alignment horizontal="center" wrapText="1"/>
    </xf>
    <xf numFmtId="0" fontId="19" fillId="0" borderId="23" xfId="0" applyFont="1" applyBorder="1" applyAlignment="1">
      <alignment horizontal="center" wrapText="1"/>
    </xf>
    <xf numFmtId="0" fontId="6" fillId="0" borderId="0" xfId="0" applyFont="1" applyAlignment="1">
      <alignment horizontal="left"/>
    </xf>
    <xf numFmtId="0" fontId="6" fillId="0" borderId="24" xfId="0" applyFont="1" applyBorder="1" applyAlignment="1">
      <alignment horizontal="center"/>
    </xf>
    <xf numFmtId="167" fontId="19" fillId="0" borderId="1" xfId="2" applyNumberFormat="1" applyFont="1" applyFill="1" applyBorder="1" applyAlignment="1">
      <alignment horizontal="center" wrapText="1"/>
    </xf>
    <xf numFmtId="0" fontId="19" fillId="0" borderId="1" xfId="0" applyFont="1" applyBorder="1" applyAlignment="1">
      <alignment horizontal="center" wrapText="1"/>
    </xf>
    <xf numFmtId="0" fontId="7" fillId="0" borderId="2" xfId="0" applyFont="1" applyBorder="1" applyAlignment="1">
      <alignment horizontal="center"/>
    </xf>
    <xf numFmtId="0" fontId="7" fillId="0" borderId="1" xfId="0" applyFont="1" applyBorder="1" applyAlignment="1">
      <alignment horizontal="left" wrapText="1"/>
    </xf>
  </cellXfs>
  <cellStyles count="5">
    <cellStyle name="Comma" xfId="2" builtinId="3"/>
    <cellStyle name="Comma 2" xfId="1" xr:uid="{355DAC92-F967-4376-8EA7-AEBD51404419}"/>
    <cellStyle name="Hyperlink" xfId="3" builtinId="8"/>
    <cellStyle name="Normal" xfId="0" builtinId="0"/>
    <cellStyle name="Normal 11 2 2" xfId="4" xr:uid="{B8FEC127-A2BE-402A-A978-666028E78C1B}"/>
  </cellStyles>
  <dxfs count="33">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exceljet.net/excel-functions/excel-if-function" TargetMode="External"/><Relationship Id="rId18" Type="http://schemas.openxmlformats.org/officeDocument/2006/relationships/hyperlink" Target="https://exceljet.net/excel-functions/excel-if-function" TargetMode="External"/><Relationship Id="rId26" Type="http://schemas.openxmlformats.org/officeDocument/2006/relationships/hyperlink" Target="https://exceljet.net/excel-functions/excel-if-function" TargetMode="External"/><Relationship Id="rId21" Type="http://schemas.openxmlformats.org/officeDocument/2006/relationships/hyperlink" Target="https://exceljet.net/excel-functions/excel-if-function" TargetMode="External"/><Relationship Id="rId34" Type="http://schemas.openxmlformats.org/officeDocument/2006/relationships/hyperlink" Target="https://exceljet.net/excel-functions/excel-if-function" TargetMode="External"/><Relationship Id="rId7" Type="http://schemas.openxmlformats.org/officeDocument/2006/relationships/hyperlink" Target="https://exceljet.net/excel-functions/excel-if-function" TargetMode="External"/><Relationship Id="rId12" Type="http://schemas.openxmlformats.org/officeDocument/2006/relationships/hyperlink" Target="https://exceljet.net/excel-functions/excel-if-function" TargetMode="External"/><Relationship Id="rId17" Type="http://schemas.openxmlformats.org/officeDocument/2006/relationships/hyperlink" Target="https://exceljet.net/excel-functions/excel-if-function" TargetMode="External"/><Relationship Id="rId25" Type="http://schemas.openxmlformats.org/officeDocument/2006/relationships/hyperlink" Target="https://exceljet.net/excel-functions/excel-if-function" TargetMode="External"/><Relationship Id="rId33" Type="http://schemas.openxmlformats.org/officeDocument/2006/relationships/hyperlink" Target="https://exceljet.net/excel-functions/excel-if-function" TargetMode="External"/><Relationship Id="rId2" Type="http://schemas.openxmlformats.org/officeDocument/2006/relationships/hyperlink" Target="https://exceljet.net/excel-functions/excel-if-function" TargetMode="External"/><Relationship Id="rId16" Type="http://schemas.openxmlformats.org/officeDocument/2006/relationships/hyperlink" Target="https://exceljet.net/excel-functions/excel-if-function" TargetMode="External"/><Relationship Id="rId20" Type="http://schemas.openxmlformats.org/officeDocument/2006/relationships/hyperlink" Target="https://exceljet.net/excel-functions/excel-if-function" TargetMode="External"/><Relationship Id="rId29" Type="http://schemas.openxmlformats.org/officeDocument/2006/relationships/hyperlink" Target="https://exceljet.net/excel-functions/excel-if-function" TargetMode="External"/><Relationship Id="rId1" Type="http://schemas.openxmlformats.org/officeDocument/2006/relationships/hyperlink" Target="https://exceljet.net/excel-functions/excel-if-function" TargetMode="External"/><Relationship Id="rId6" Type="http://schemas.openxmlformats.org/officeDocument/2006/relationships/hyperlink" Target="https://exceljet.net/excel-functions/excel-if-function" TargetMode="External"/><Relationship Id="rId11" Type="http://schemas.openxmlformats.org/officeDocument/2006/relationships/hyperlink" Target="https://exceljet.net/excel-functions/excel-if-function" TargetMode="External"/><Relationship Id="rId24" Type="http://schemas.openxmlformats.org/officeDocument/2006/relationships/hyperlink" Target="https://exceljet.net/excel-functions/excel-if-function" TargetMode="External"/><Relationship Id="rId32" Type="http://schemas.openxmlformats.org/officeDocument/2006/relationships/hyperlink" Target="https://exceljet.net/excel-functions/excel-if-function" TargetMode="External"/><Relationship Id="rId37" Type="http://schemas.openxmlformats.org/officeDocument/2006/relationships/printerSettings" Target="../printerSettings/printerSettings2.bin"/><Relationship Id="rId5" Type="http://schemas.openxmlformats.org/officeDocument/2006/relationships/hyperlink" Target="https://exceljet.net/excel-functions/excel-if-function" TargetMode="External"/><Relationship Id="rId15" Type="http://schemas.openxmlformats.org/officeDocument/2006/relationships/hyperlink" Target="https://exceljet.net/excel-functions/excel-if-function" TargetMode="External"/><Relationship Id="rId23" Type="http://schemas.openxmlformats.org/officeDocument/2006/relationships/hyperlink" Target="https://exceljet.net/excel-functions/excel-if-function" TargetMode="External"/><Relationship Id="rId28" Type="http://schemas.openxmlformats.org/officeDocument/2006/relationships/hyperlink" Target="https://exceljet.net/excel-functions/excel-if-function" TargetMode="External"/><Relationship Id="rId36" Type="http://schemas.openxmlformats.org/officeDocument/2006/relationships/hyperlink" Target="https://exceljet.net/excel-functions/excel-if-function" TargetMode="External"/><Relationship Id="rId10" Type="http://schemas.openxmlformats.org/officeDocument/2006/relationships/hyperlink" Target="https://exceljet.net/excel-functions/excel-if-function" TargetMode="External"/><Relationship Id="rId19" Type="http://schemas.openxmlformats.org/officeDocument/2006/relationships/hyperlink" Target="https://exceljet.net/excel-functions/excel-if-function" TargetMode="External"/><Relationship Id="rId31" Type="http://schemas.openxmlformats.org/officeDocument/2006/relationships/hyperlink" Target="https://exceljet.net/excel-functions/excel-if-function" TargetMode="External"/><Relationship Id="rId4" Type="http://schemas.openxmlformats.org/officeDocument/2006/relationships/hyperlink" Target="https://exceljet.net/excel-functions/excel-if-function" TargetMode="External"/><Relationship Id="rId9" Type="http://schemas.openxmlformats.org/officeDocument/2006/relationships/hyperlink" Target="https://exceljet.net/excel-functions/excel-if-function" TargetMode="External"/><Relationship Id="rId14" Type="http://schemas.openxmlformats.org/officeDocument/2006/relationships/hyperlink" Target="https://exceljet.net/excel-functions/excel-if-function" TargetMode="External"/><Relationship Id="rId22" Type="http://schemas.openxmlformats.org/officeDocument/2006/relationships/hyperlink" Target="https://exceljet.net/excel-functions/excel-if-function" TargetMode="External"/><Relationship Id="rId27" Type="http://schemas.openxmlformats.org/officeDocument/2006/relationships/hyperlink" Target="https://exceljet.net/excel-functions/excel-if-function" TargetMode="External"/><Relationship Id="rId30" Type="http://schemas.openxmlformats.org/officeDocument/2006/relationships/hyperlink" Target="https://exceljet.net/excel-functions/excel-if-function" TargetMode="External"/><Relationship Id="rId35" Type="http://schemas.openxmlformats.org/officeDocument/2006/relationships/hyperlink" Target="https://exceljet.net/excel-functions/excel-if-function" TargetMode="External"/><Relationship Id="rId8" Type="http://schemas.openxmlformats.org/officeDocument/2006/relationships/hyperlink" Target="https://exceljet.net/excel-functions/excel-if-function" TargetMode="External"/><Relationship Id="rId3" Type="http://schemas.openxmlformats.org/officeDocument/2006/relationships/hyperlink" Target="https://exceljet.net/excel-functions/excel-if-function"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exceljet.net/excel-functions/excel-if-function" TargetMode="External"/><Relationship Id="rId18" Type="http://schemas.openxmlformats.org/officeDocument/2006/relationships/hyperlink" Target="https://exceljet.net/excel-functions/excel-if-function" TargetMode="External"/><Relationship Id="rId26" Type="http://schemas.openxmlformats.org/officeDocument/2006/relationships/hyperlink" Target="https://exceljet.net/excel-functions/excel-if-function" TargetMode="External"/><Relationship Id="rId39" Type="http://schemas.openxmlformats.org/officeDocument/2006/relationships/hyperlink" Target="https://exceljet.net/excel-functions/excel-if-function" TargetMode="External"/><Relationship Id="rId21" Type="http://schemas.openxmlformats.org/officeDocument/2006/relationships/hyperlink" Target="https://exceljet.net/excel-functions/excel-if-function" TargetMode="External"/><Relationship Id="rId34" Type="http://schemas.openxmlformats.org/officeDocument/2006/relationships/hyperlink" Target="https://exceljet.net/excel-functions/excel-if-function" TargetMode="External"/><Relationship Id="rId42" Type="http://schemas.openxmlformats.org/officeDocument/2006/relationships/hyperlink" Target="https://exceljet.net/excel-functions/excel-if-function" TargetMode="External"/><Relationship Id="rId47" Type="http://schemas.openxmlformats.org/officeDocument/2006/relationships/hyperlink" Target="https://exceljet.net/excel-functions/excel-if-function" TargetMode="External"/><Relationship Id="rId50" Type="http://schemas.openxmlformats.org/officeDocument/2006/relationships/hyperlink" Target="https://exceljet.net/excel-functions/excel-if-function" TargetMode="External"/><Relationship Id="rId7" Type="http://schemas.openxmlformats.org/officeDocument/2006/relationships/hyperlink" Target="https://exceljet.net/excel-functions/excel-if-function" TargetMode="External"/><Relationship Id="rId2" Type="http://schemas.openxmlformats.org/officeDocument/2006/relationships/hyperlink" Target="https://exceljet.net/excel-functions/excel-if-function" TargetMode="External"/><Relationship Id="rId16" Type="http://schemas.openxmlformats.org/officeDocument/2006/relationships/hyperlink" Target="https://exceljet.net/excel-functions/excel-if-function" TargetMode="External"/><Relationship Id="rId29" Type="http://schemas.openxmlformats.org/officeDocument/2006/relationships/hyperlink" Target="https://exceljet.net/excel-functions/excel-if-function" TargetMode="External"/><Relationship Id="rId11" Type="http://schemas.openxmlformats.org/officeDocument/2006/relationships/hyperlink" Target="https://exceljet.net/excel-functions/excel-if-function" TargetMode="External"/><Relationship Id="rId24" Type="http://schemas.openxmlformats.org/officeDocument/2006/relationships/hyperlink" Target="https://exceljet.net/excel-functions/excel-if-function" TargetMode="External"/><Relationship Id="rId32" Type="http://schemas.openxmlformats.org/officeDocument/2006/relationships/hyperlink" Target="https://exceljet.net/excel-functions/excel-if-function" TargetMode="External"/><Relationship Id="rId37" Type="http://schemas.openxmlformats.org/officeDocument/2006/relationships/hyperlink" Target="https://exceljet.net/excel-functions/excel-if-function" TargetMode="External"/><Relationship Id="rId40" Type="http://schemas.openxmlformats.org/officeDocument/2006/relationships/hyperlink" Target="https://exceljet.net/excel-functions/excel-if-function" TargetMode="External"/><Relationship Id="rId45" Type="http://schemas.openxmlformats.org/officeDocument/2006/relationships/hyperlink" Target="https://exceljet.net/excel-functions/excel-if-function" TargetMode="External"/><Relationship Id="rId5" Type="http://schemas.openxmlformats.org/officeDocument/2006/relationships/hyperlink" Target="https://exceljet.net/excel-functions/excel-if-function" TargetMode="External"/><Relationship Id="rId15" Type="http://schemas.openxmlformats.org/officeDocument/2006/relationships/hyperlink" Target="https://exceljet.net/excel-functions/excel-if-function" TargetMode="External"/><Relationship Id="rId23" Type="http://schemas.openxmlformats.org/officeDocument/2006/relationships/hyperlink" Target="https://exceljet.net/excel-functions/excel-if-function" TargetMode="External"/><Relationship Id="rId28" Type="http://schemas.openxmlformats.org/officeDocument/2006/relationships/hyperlink" Target="https://exceljet.net/excel-functions/excel-if-function" TargetMode="External"/><Relationship Id="rId36" Type="http://schemas.openxmlformats.org/officeDocument/2006/relationships/hyperlink" Target="https://exceljet.net/excel-functions/excel-if-function" TargetMode="External"/><Relationship Id="rId49" Type="http://schemas.openxmlformats.org/officeDocument/2006/relationships/hyperlink" Target="https://exceljet.net/excel-functions/excel-if-function" TargetMode="External"/><Relationship Id="rId10" Type="http://schemas.openxmlformats.org/officeDocument/2006/relationships/hyperlink" Target="https://exceljet.net/excel-functions/excel-if-function" TargetMode="External"/><Relationship Id="rId19" Type="http://schemas.openxmlformats.org/officeDocument/2006/relationships/hyperlink" Target="https://exceljet.net/excel-functions/excel-if-function" TargetMode="External"/><Relationship Id="rId31" Type="http://schemas.openxmlformats.org/officeDocument/2006/relationships/hyperlink" Target="https://exceljet.net/excel-functions/excel-if-function" TargetMode="External"/><Relationship Id="rId44" Type="http://schemas.openxmlformats.org/officeDocument/2006/relationships/hyperlink" Target="https://exceljet.net/excel-functions/excel-if-function" TargetMode="External"/><Relationship Id="rId4" Type="http://schemas.openxmlformats.org/officeDocument/2006/relationships/hyperlink" Target="https://exceljet.net/excel-functions/excel-if-function" TargetMode="External"/><Relationship Id="rId9" Type="http://schemas.openxmlformats.org/officeDocument/2006/relationships/hyperlink" Target="https://exceljet.net/excel-functions/excel-if-function" TargetMode="External"/><Relationship Id="rId14" Type="http://schemas.openxmlformats.org/officeDocument/2006/relationships/hyperlink" Target="https://exceljet.net/excel-functions/excel-if-function" TargetMode="External"/><Relationship Id="rId22" Type="http://schemas.openxmlformats.org/officeDocument/2006/relationships/hyperlink" Target="https://exceljet.net/excel-functions/excel-if-function" TargetMode="External"/><Relationship Id="rId27" Type="http://schemas.openxmlformats.org/officeDocument/2006/relationships/hyperlink" Target="https://exceljet.net/excel-functions/excel-if-function" TargetMode="External"/><Relationship Id="rId30" Type="http://schemas.openxmlformats.org/officeDocument/2006/relationships/hyperlink" Target="https://exceljet.net/excel-functions/excel-if-function" TargetMode="External"/><Relationship Id="rId35" Type="http://schemas.openxmlformats.org/officeDocument/2006/relationships/hyperlink" Target="https://exceljet.net/excel-functions/excel-if-function" TargetMode="External"/><Relationship Id="rId43" Type="http://schemas.openxmlformats.org/officeDocument/2006/relationships/hyperlink" Target="https://exceljet.net/excel-functions/excel-if-function" TargetMode="External"/><Relationship Id="rId48" Type="http://schemas.openxmlformats.org/officeDocument/2006/relationships/hyperlink" Target="https://exceljet.net/excel-functions/excel-if-function" TargetMode="External"/><Relationship Id="rId8" Type="http://schemas.openxmlformats.org/officeDocument/2006/relationships/hyperlink" Target="https://exceljet.net/excel-functions/excel-if-function" TargetMode="External"/><Relationship Id="rId51" Type="http://schemas.openxmlformats.org/officeDocument/2006/relationships/printerSettings" Target="../printerSettings/printerSettings3.bin"/><Relationship Id="rId3" Type="http://schemas.openxmlformats.org/officeDocument/2006/relationships/hyperlink" Target="https://exceljet.net/excel-functions/excel-if-function" TargetMode="External"/><Relationship Id="rId12" Type="http://schemas.openxmlformats.org/officeDocument/2006/relationships/hyperlink" Target="https://exceljet.net/excel-functions/excel-if-function" TargetMode="External"/><Relationship Id="rId17" Type="http://schemas.openxmlformats.org/officeDocument/2006/relationships/hyperlink" Target="https://exceljet.net/excel-functions/excel-if-function" TargetMode="External"/><Relationship Id="rId25" Type="http://schemas.openxmlformats.org/officeDocument/2006/relationships/hyperlink" Target="https://exceljet.net/excel-functions/excel-if-function" TargetMode="External"/><Relationship Id="rId33" Type="http://schemas.openxmlformats.org/officeDocument/2006/relationships/hyperlink" Target="https://exceljet.net/excel-functions/excel-if-function" TargetMode="External"/><Relationship Id="rId38" Type="http://schemas.openxmlformats.org/officeDocument/2006/relationships/hyperlink" Target="https://exceljet.net/excel-functions/excel-if-function" TargetMode="External"/><Relationship Id="rId46" Type="http://schemas.openxmlformats.org/officeDocument/2006/relationships/hyperlink" Target="https://exceljet.net/excel-functions/excel-if-function" TargetMode="External"/><Relationship Id="rId20" Type="http://schemas.openxmlformats.org/officeDocument/2006/relationships/hyperlink" Target="https://exceljet.net/excel-functions/excel-if-function" TargetMode="External"/><Relationship Id="rId41" Type="http://schemas.openxmlformats.org/officeDocument/2006/relationships/hyperlink" Target="https://exceljet.net/excel-functions/excel-if-function" TargetMode="External"/><Relationship Id="rId1" Type="http://schemas.openxmlformats.org/officeDocument/2006/relationships/hyperlink" Target="https://exceljet.net/excel-functions/excel-if-function" TargetMode="External"/><Relationship Id="rId6" Type="http://schemas.openxmlformats.org/officeDocument/2006/relationships/hyperlink" Target="https://exceljet.net/excel-functions/excel-if-fun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E8AB-4F99-47A3-8D43-47FF2AC2EF71}">
  <dimension ref="A1:H41"/>
  <sheetViews>
    <sheetView topLeftCell="A2" zoomScaleNormal="100" workbookViewId="0">
      <selection activeCell="E3" sqref="E3"/>
    </sheetView>
  </sheetViews>
  <sheetFormatPr defaultColWidth="9.140625" defaultRowHeight="15.6"/>
  <cols>
    <col min="1" max="1" width="6.28515625" style="1" customWidth="1"/>
    <col min="2" max="2" width="77" style="35" customWidth="1"/>
    <col min="3" max="3" width="41.7109375" style="1" customWidth="1"/>
    <col min="4" max="4" width="19.7109375" style="1" customWidth="1"/>
    <col min="5" max="5" width="29" style="1" customWidth="1"/>
    <col min="6" max="6" width="22.7109375" style="1" customWidth="1"/>
    <col min="7" max="7" width="9.140625" style="1"/>
    <col min="8" max="8" width="47.85546875" style="1" customWidth="1"/>
    <col min="9" max="16384" width="9.140625" style="1"/>
  </cols>
  <sheetData>
    <row r="1" spans="1:8" s="11" customFormat="1" ht="36.75" customHeight="1">
      <c r="A1" s="9" t="s">
        <v>0</v>
      </c>
      <c r="B1" s="8" t="s">
        <v>1</v>
      </c>
      <c r="C1" s="9" t="s">
        <v>2</v>
      </c>
      <c r="D1" s="9" t="s">
        <v>3</v>
      </c>
      <c r="E1" s="9" t="s">
        <v>4</v>
      </c>
      <c r="F1" s="8" t="s">
        <v>5</v>
      </c>
    </row>
    <row r="2" spans="1:8" s="11" customFormat="1" ht="187.15">
      <c r="A2" s="13">
        <v>1</v>
      </c>
      <c r="B2" s="6" t="s">
        <v>6</v>
      </c>
      <c r="C2" s="6" t="s">
        <v>7</v>
      </c>
      <c r="D2" s="9"/>
      <c r="E2" s="9"/>
      <c r="F2" s="8"/>
      <c r="H2" s="124"/>
    </row>
    <row r="3" spans="1:8" s="11" customFormat="1" ht="31.15">
      <c r="A3" s="12">
        <v>2</v>
      </c>
      <c r="B3" s="4" t="s">
        <v>8</v>
      </c>
      <c r="C3" s="10" t="s">
        <v>7</v>
      </c>
      <c r="D3" s="9"/>
      <c r="E3" s="5"/>
      <c r="F3" s="8"/>
    </row>
    <row r="4" spans="1:8" s="11" customFormat="1" ht="31.15">
      <c r="A4" s="12">
        <v>3</v>
      </c>
      <c r="B4" s="4" t="s">
        <v>9</v>
      </c>
      <c r="C4" s="10" t="s">
        <v>10</v>
      </c>
      <c r="D4" s="5"/>
      <c r="E4" s="5"/>
      <c r="F4" s="8"/>
    </row>
    <row r="5" spans="1:8" ht="31.15">
      <c r="A5" s="7">
        <v>4</v>
      </c>
      <c r="B5" s="6" t="s">
        <v>11</v>
      </c>
      <c r="C5" s="6" t="s">
        <v>10</v>
      </c>
      <c r="D5" s="5"/>
      <c r="E5" s="5"/>
      <c r="F5" s="5"/>
    </row>
    <row r="6" spans="1:8" ht="31.15">
      <c r="A6" s="7">
        <v>5</v>
      </c>
      <c r="B6" s="6" t="s">
        <v>12</v>
      </c>
      <c r="C6" s="6" t="s">
        <v>13</v>
      </c>
      <c r="D6" s="5"/>
      <c r="E6" s="5"/>
      <c r="F6" s="5"/>
    </row>
    <row r="7" spans="1:8">
      <c r="A7" s="7">
        <v>6</v>
      </c>
      <c r="B7" s="8" t="s">
        <v>14</v>
      </c>
      <c r="C7" s="9"/>
      <c r="D7" s="5"/>
      <c r="E7" s="5"/>
      <c r="F7" s="5"/>
    </row>
    <row r="8" spans="1:8">
      <c r="A8" s="7"/>
      <c r="B8" s="6" t="s">
        <v>15</v>
      </c>
      <c r="C8" s="6" t="s">
        <v>16</v>
      </c>
      <c r="D8" s="5"/>
      <c r="E8" s="5"/>
      <c r="F8" s="5"/>
    </row>
    <row r="9" spans="1:8" ht="26.45" customHeight="1">
      <c r="A9" s="7"/>
      <c r="B9" s="6" t="s">
        <v>17</v>
      </c>
      <c r="C9" s="6" t="s">
        <v>18</v>
      </c>
      <c r="D9" s="5"/>
      <c r="E9" s="5"/>
      <c r="F9" s="5"/>
    </row>
    <row r="10" spans="1:8" ht="42.6" customHeight="1">
      <c r="A10" s="7"/>
      <c r="B10" s="6" t="s">
        <v>19</v>
      </c>
      <c r="C10" s="6" t="s">
        <v>20</v>
      </c>
      <c r="D10" s="5"/>
      <c r="E10" s="5"/>
      <c r="F10" s="5"/>
    </row>
    <row r="11" spans="1:8" ht="37.15" customHeight="1">
      <c r="A11" s="7"/>
      <c r="B11" s="6" t="s">
        <v>21</v>
      </c>
      <c r="C11" s="6" t="s">
        <v>20</v>
      </c>
      <c r="D11" s="5"/>
      <c r="E11" s="5"/>
      <c r="F11" s="5"/>
    </row>
    <row r="12" spans="1:8" ht="31.15">
      <c r="A12" s="7"/>
      <c r="B12" s="6" t="s">
        <v>22</v>
      </c>
      <c r="C12" s="6" t="s">
        <v>13</v>
      </c>
      <c r="D12" s="5"/>
      <c r="E12" s="5"/>
      <c r="F12" s="5"/>
    </row>
    <row r="13" spans="1:8" ht="31.15">
      <c r="A13" s="7"/>
      <c r="B13" s="6" t="s">
        <v>23</v>
      </c>
      <c r="C13" s="6" t="s">
        <v>13</v>
      </c>
      <c r="D13" s="5"/>
      <c r="E13" s="5"/>
      <c r="F13" s="5"/>
    </row>
    <row r="14" spans="1:8" ht="26.45" customHeight="1">
      <c r="A14" s="7">
        <v>7</v>
      </c>
      <c r="B14" s="6" t="s">
        <v>24</v>
      </c>
      <c r="C14" s="6" t="s">
        <v>10</v>
      </c>
      <c r="D14" s="5"/>
      <c r="E14" s="5"/>
      <c r="F14" s="5"/>
    </row>
    <row r="15" spans="1:8">
      <c r="A15" s="7">
        <v>8</v>
      </c>
      <c r="B15" s="6" t="s">
        <v>25</v>
      </c>
      <c r="C15" s="5" t="s">
        <v>26</v>
      </c>
      <c r="D15" s="5"/>
      <c r="E15" s="5"/>
      <c r="F15" s="5"/>
    </row>
    <row r="16" spans="1:8">
      <c r="A16" s="7">
        <v>9</v>
      </c>
      <c r="B16" s="6" t="s">
        <v>27</v>
      </c>
      <c r="C16" s="5" t="s">
        <v>28</v>
      </c>
      <c r="D16" s="5"/>
      <c r="E16" s="5"/>
      <c r="F16" s="5"/>
    </row>
    <row r="17" spans="1:6" ht="31.15">
      <c r="A17" s="7">
        <v>10</v>
      </c>
      <c r="B17" s="6" t="s">
        <v>29</v>
      </c>
      <c r="C17" s="5" t="s">
        <v>28</v>
      </c>
      <c r="D17" s="5"/>
      <c r="E17" s="5"/>
      <c r="F17" s="5"/>
    </row>
    <row r="18" spans="1:6">
      <c r="A18" s="7">
        <v>11</v>
      </c>
      <c r="B18" s="4" t="s">
        <v>30</v>
      </c>
      <c r="C18" s="5" t="s">
        <v>7</v>
      </c>
      <c r="D18" s="5"/>
      <c r="E18" s="5"/>
      <c r="F18" s="5"/>
    </row>
    <row r="19" spans="1:6">
      <c r="A19" s="7">
        <v>12</v>
      </c>
      <c r="B19" s="4" t="s">
        <v>31</v>
      </c>
      <c r="C19" s="10" t="s">
        <v>32</v>
      </c>
      <c r="D19" s="5"/>
      <c r="E19" s="5"/>
      <c r="F19" s="5"/>
    </row>
    <row r="20" spans="1:6" ht="46.9">
      <c r="A20" s="7">
        <v>13</v>
      </c>
      <c r="B20" s="6" t="s">
        <v>33</v>
      </c>
      <c r="C20" s="6" t="s">
        <v>34</v>
      </c>
      <c r="D20" s="5"/>
      <c r="E20" s="5"/>
      <c r="F20" s="5"/>
    </row>
    <row r="21" spans="1:6">
      <c r="A21" s="7">
        <v>14</v>
      </c>
      <c r="B21" s="6" t="s">
        <v>35</v>
      </c>
      <c r="C21" s="5" t="s">
        <v>36</v>
      </c>
      <c r="D21" s="5"/>
      <c r="E21" s="5"/>
      <c r="F21" s="5"/>
    </row>
    <row r="22" spans="1:6" ht="31.15">
      <c r="A22" s="7">
        <v>15</v>
      </c>
      <c r="B22" s="8" t="s">
        <v>37</v>
      </c>
      <c r="C22" s="9"/>
      <c r="D22" s="5"/>
      <c r="E22" s="5"/>
      <c r="F22" s="5"/>
    </row>
    <row r="23" spans="1:6" ht="31.15">
      <c r="A23" s="7"/>
      <c r="B23" s="6" t="s">
        <v>38</v>
      </c>
      <c r="C23" s="6"/>
      <c r="D23" s="5"/>
      <c r="E23" s="5"/>
      <c r="F23" s="5"/>
    </row>
    <row r="24" spans="1:6" ht="31.15">
      <c r="A24" s="7"/>
      <c r="B24" s="6" t="s">
        <v>39</v>
      </c>
      <c r="C24" s="6" t="s">
        <v>7</v>
      </c>
      <c r="D24" s="5"/>
      <c r="E24" s="5"/>
      <c r="F24" s="5"/>
    </row>
    <row r="25" spans="1:6" ht="31.15">
      <c r="A25" s="7"/>
      <c r="B25" s="6" t="s">
        <v>40</v>
      </c>
      <c r="C25" s="6" t="s">
        <v>7</v>
      </c>
      <c r="D25" s="5"/>
      <c r="E25" s="5"/>
      <c r="F25" s="5"/>
    </row>
    <row r="26" spans="1:6">
      <c r="A26" s="7"/>
      <c r="B26" s="6" t="s">
        <v>41</v>
      </c>
      <c r="C26" s="6" t="s">
        <v>7</v>
      </c>
      <c r="D26" s="5"/>
      <c r="E26" s="5"/>
      <c r="F26" s="5"/>
    </row>
    <row r="27" spans="1:6" ht="31.15">
      <c r="A27" s="7"/>
      <c r="B27" s="6" t="s">
        <v>42</v>
      </c>
      <c r="C27" s="6" t="s">
        <v>7</v>
      </c>
      <c r="D27" s="5"/>
      <c r="E27" s="5"/>
      <c r="F27" s="5"/>
    </row>
    <row r="28" spans="1:6" ht="31.15">
      <c r="A28" s="7"/>
      <c r="B28" s="6" t="s">
        <v>43</v>
      </c>
      <c r="C28" s="6"/>
      <c r="D28" s="5"/>
      <c r="E28" s="5"/>
      <c r="F28" s="5"/>
    </row>
    <row r="29" spans="1:6" ht="31.15">
      <c r="A29" s="7">
        <v>16</v>
      </c>
      <c r="B29" s="8" t="s">
        <v>44</v>
      </c>
      <c r="C29" s="6"/>
      <c r="D29" s="5"/>
      <c r="E29" s="5"/>
      <c r="F29" s="5"/>
    </row>
    <row r="30" spans="1:6">
      <c r="A30" s="7"/>
      <c r="B30" s="6" t="s">
        <v>45</v>
      </c>
      <c r="D30" s="5"/>
      <c r="E30" s="5"/>
      <c r="F30" s="5"/>
    </row>
    <row r="31" spans="1:6">
      <c r="A31" s="7"/>
      <c r="B31" s="6" t="s">
        <v>46</v>
      </c>
      <c r="C31" s="6"/>
      <c r="D31" s="5"/>
      <c r="E31" s="5"/>
      <c r="F31" s="5"/>
    </row>
    <row r="32" spans="1:6">
      <c r="A32" s="7"/>
      <c r="B32" s="6" t="s">
        <v>47</v>
      </c>
      <c r="C32" s="6"/>
      <c r="D32" s="5"/>
      <c r="E32" s="5"/>
      <c r="F32" s="5"/>
    </row>
    <row r="33" spans="1:6">
      <c r="A33" s="7"/>
      <c r="B33" s="6" t="s">
        <v>48</v>
      </c>
      <c r="C33" s="6"/>
      <c r="D33" s="5"/>
      <c r="E33" s="5"/>
      <c r="F33" s="5"/>
    </row>
    <row r="34" spans="1:6">
      <c r="A34" s="7"/>
      <c r="B34" s="6" t="s">
        <v>49</v>
      </c>
      <c r="C34" s="6"/>
      <c r="D34" s="5"/>
      <c r="E34" s="5"/>
      <c r="F34" s="5"/>
    </row>
    <row r="35" spans="1:6">
      <c r="A35" s="7"/>
      <c r="B35" s="6" t="s">
        <v>50</v>
      </c>
      <c r="C35" s="6"/>
      <c r="D35" s="5"/>
      <c r="E35" s="5"/>
      <c r="F35" s="5"/>
    </row>
    <row r="36" spans="1:6" ht="31.15">
      <c r="A36" s="7"/>
      <c r="B36" s="6" t="s">
        <v>51</v>
      </c>
      <c r="C36" s="6"/>
      <c r="D36" s="5"/>
      <c r="E36" s="5"/>
      <c r="F36" s="5"/>
    </row>
    <row r="37" spans="1:6" ht="46.9">
      <c r="A37" s="7"/>
      <c r="B37" s="6" t="s">
        <v>52</v>
      </c>
      <c r="C37" s="6"/>
      <c r="D37" s="5"/>
      <c r="E37" s="5"/>
      <c r="F37" s="5"/>
    </row>
    <row r="38" spans="1:6" ht="31.15">
      <c r="A38" s="5">
        <v>17</v>
      </c>
      <c r="B38" s="4" t="s">
        <v>53</v>
      </c>
      <c r="C38" s="4" t="s">
        <v>54</v>
      </c>
      <c r="D38" s="3"/>
      <c r="E38" s="5"/>
      <c r="F38" s="5"/>
    </row>
    <row r="39" spans="1:6" ht="31.15">
      <c r="A39" s="5">
        <v>18</v>
      </c>
      <c r="B39" s="4" t="s">
        <v>55</v>
      </c>
      <c r="C39" s="4" t="s">
        <v>54</v>
      </c>
      <c r="D39" s="3"/>
      <c r="E39" s="5"/>
      <c r="F39" s="5"/>
    </row>
    <row r="40" spans="1:6">
      <c r="B40" s="110"/>
      <c r="C40" s="32"/>
      <c r="D40" s="32"/>
    </row>
    <row r="41" spans="1:6">
      <c r="B41" s="111"/>
      <c r="C41" s="2"/>
      <c r="D41" s="2"/>
    </row>
  </sheetData>
  <conditionalFormatting sqref="D5">
    <cfRule type="containsText" dxfId="32" priority="2" operator="containsText" text="NO">
      <formula>NOT(ISERROR(SEARCH("NO",D5)))</formula>
    </cfRule>
  </conditionalFormatting>
  <conditionalFormatting sqref="D5:D18">
    <cfRule type="containsText" dxfId="31" priority="1" operator="containsText" text="No">
      <formula>NOT(ISERROR(SEARCH("No",D5)))</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9D1D-3350-4790-B327-21F1F8282FE5}">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8822E-8F8D-4F2A-A74B-921C06C3ADD0}">
  <dimension ref="A1:Y97"/>
  <sheetViews>
    <sheetView tabSelected="1" topLeftCell="A9" zoomScale="85" zoomScaleNormal="85" workbookViewId="0">
      <selection activeCell="H14" sqref="H14"/>
    </sheetView>
  </sheetViews>
  <sheetFormatPr defaultColWidth="9.28515625" defaultRowHeight="15.6"/>
  <cols>
    <col min="1" max="1" width="16" style="1" customWidth="1"/>
    <col min="2" max="2" width="39.140625" style="35" customWidth="1"/>
    <col min="3" max="3" width="54.7109375" style="1" customWidth="1"/>
    <col min="4" max="4" width="27.28515625" style="35" customWidth="1"/>
    <col min="5" max="5" width="34.42578125" style="1" customWidth="1"/>
    <col min="6" max="6" width="25.28515625" style="35" customWidth="1"/>
    <col min="7" max="7" width="34.7109375" style="1" customWidth="1"/>
    <col min="8" max="8" width="10.5703125" style="1" customWidth="1"/>
    <col min="9" max="9" width="16" style="1" customWidth="1"/>
    <col min="10" max="10" width="3.7109375" style="1" customWidth="1"/>
    <col min="11" max="11" width="49.7109375" style="1" bestFit="1" customWidth="1"/>
    <col min="12" max="12" width="43.42578125" style="1" customWidth="1"/>
    <col min="13" max="13" width="24" style="1" customWidth="1"/>
    <col min="14" max="17" width="9.28515625" style="1" customWidth="1"/>
    <col min="18" max="16384" width="9.28515625" style="1"/>
  </cols>
  <sheetData>
    <row r="1" spans="1:25">
      <c r="K1" s="139" t="s">
        <v>56</v>
      </c>
      <c r="L1" s="139"/>
      <c r="M1" s="139"/>
    </row>
    <row r="3" spans="1:25" ht="16.149999999999999" thickBot="1"/>
    <row r="4" spans="1:25" ht="16.149999999999999" thickBot="1">
      <c r="K4" s="36"/>
      <c r="L4" s="37" t="s">
        <v>57</v>
      </c>
      <c r="M4" s="38" t="s">
        <v>58</v>
      </c>
    </row>
    <row r="5" spans="1:25" ht="16.149999999999999" thickBot="1">
      <c r="C5" s="11" t="s">
        <v>59</v>
      </c>
      <c r="D5" s="11"/>
      <c r="E5" s="11"/>
      <c r="K5" s="39" t="s">
        <v>60</v>
      </c>
      <c r="L5" s="40" t="s">
        <v>61</v>
      </c>
      <c r="M5" s="41"/>
    </row>
    <row r="6" spans="1:25">
      <c r="C6" s="42"/>
      <c r="D6" s="140" t="s">
        <v>62</v>
      </c>
      <c r="E6" s="140"/>
      <c r="F6" s="140" t="s">
        <v>63</v>
      </c>
      <c r="G6" s="141"/>
      <c r="H6" s="43"/>
      <c r="I6" s="44" t="s">
        <v>64</v>
      </c>
      <c r="K6" s="45" t="s">
        <v>65</v>
      </c>
      <c r="L6" s="46" t="str">
        <f>IF((AND($D$8&lt;100000000,$D$21&lt;1000000000)), $I$7, $I$6)</f>
        <v>Not Applicable</v>
      </c>
      <c r="M6" s="47"/>
    </row>
    <row r="7" spans="1:25">
      <c r="A7" s="112" t="s">
        <v>66</v>
      </c>
      <c r="B7" s="126" t="s">
        <v>67</v>
      </c>
      <c r="C7" s="48" t="s">
        <v>68</v>
      </c>
      <c r="D7" s="8" t="s">
        <v>69</v>
      </c>
      <c r="E7" s="9" t="s">
        <v>70</v>
      </c>
      <c r="F7" s="8" t="s">
        <v>69</v>
      </c>
      <c r="G7" s="49" t="s">
        <v>70</v>
      </c>
      <c r="H7" s="5"/>
      <c r="I7" s="44" t="s">
        <v>71</v>
      </c>
      <c r="K7" s="45" t="s">
        <v>72</v>
      </c>
      <c r="L7" s="50" t="str">
        <f>IF(OR($D$31=$I$8,$D$31=$I$9),$I$6,$I$7)</f>
        <v>Not Applicable</v>
      </c>
      <c r="M7" s="47"/>
    </row>
    <row r="8" spans="1:25" ht="93.6">
      <c r="A8" s="1" t="s">
        <v>73</v>
      </c>
      <c r="B8" s="35" t="s">
        <v>74</v>
      </c>
      <c r="C8" s="51" t="s">
        <v>75</v>
      </c>
      <c r="D8" s="127"/>
      <c r="E8" s="53">
        <f>D8/10000000</f>
        <v>0</v>
      </c>
      <c r="F8" s="131"/>
      <c r="G8" s="54">
        <f t="shared" ref="G8:G16" si="0">F8/10000000</f>
        <v>0</v>
      </c>
      <c r="H8" s="5"/>
      <c r="I8" s="55" t="s">
        <v>76</v>
      </c>
      <c r="K8" s="45"/>
      <c r="L8" s="5"/>
      <c r="M8" s="47"/>
    </row>
    <row r="9" spans="1:25" ht="43.15">
      <c r="A9" s="1" t="s">
        <v>73</v>
      </c>
      <c r="B9" s="125" t="s">
        <v>77</v>
      </c>
      <c r="C9" s="51" t="s">
        <v>78</v>
      </c>
      <c r="D9" s="127"/>
      <c r="E9" s="53">
        <f t="shared" ref="E9:E30" si="1">D9/10000000</f>
        <v>0</v>
      </c>
      <c r="F9" s="131"/>
      <c r="G9" s="54">
        <f t="shared" si="0"/>
        <v>0</v>
      </c>
      <c r="H9" s="5"/>
      <c r="I9" s="55" t="s">
        <v>79</v>
      </c>
      <c r="K9" s="56" t="s">
        <v>80</v>
      </c>
      <c r="L9" s="57" t="str">
        <f>IF(OR($L$6=$I$6,$L$7=$I$6),$I$6,$I$7)</f>
        <v>Not Applicable</v>
      </c>
      <c r="M9" s="58"/>
    </row>
    <row r="10" spans="1:25" ht="43.15">
      <c r="A10" s="1" t="s">
        <v>73</v>
      </c>
      <c r="B10" s="125" t="s">
        <v>81</v>
      </c>
      <c r="C10" s="51" t="s">
        <v>82</v>
      </c>
      <c r="D10" s="127"/>
      <c r="E10" s="53">
        <f t="shared" si="1"/>
        <v>0</v>
      </c>
      <c r="F10" s="131"/>
      <c r="G10" s="54">
        <f t="shared" si="0"/>
        <v>0</v>
      </c>
      <c r="H10" s="5"/>
      <c r="I10" s="55" t="s">
        <v>83</v>
      </c>
      <c r="K10" s="59"/>
      <c r="L10" s="60"/>
      <c r="M10" s="61"/>
    </row>
    <row r="11" spans="1:25" ht="62.45">
      <c r="A11" s="1" t="s">
        <v>73</v>
      </c>
      <c r="B11" s="35" t="s">
        <v>84</v>
      </c>
      <c r="C11" s="51" t="s">
        <v>85</v>
      </c>
      <c r="D11" s="127"/>
      <c r="E11" s="53">
        <f t="shared" si="1"/>
        <v>0</v>
      </c>
      <c r="F11" s="131"/>
      <c r="G11" s="54">
        <f t="shared" si="0"/>
        <v>0</v>
      </c>
      <c r="K11" s="62"/>
      <c r="L11" s="63"/>
      <c r="M11" s="64"/>
      <c r="U11" s="1" t="s">
        <v>86</v>
      </c>
    </row>
    <row r="12" spans="1:25" ht="46.5">
      <c r="A12" s="1" t="s">
        <v>73</v>
      </c>
      <c r="B12" s="35" t="s">
        <v>87</v>
      </c>
      <c r="C12" s="51" t="s">
        <v>88</v>
      </c>
      <c r="D12" s="127"/>
      <c r="E12" s="53">
        <f t="shared" si="1"/>
        <v>0</v>
      </c>
      <c r="F12" s="131"/>
      <c r="G12" s="54">
        <f t="shared" si="0"/>
        <v>0</v>
      </c>
      <c r="H12" s="6" t="s">
        <v>89</v>
      </c>
      <c r="I12" s="65">
        <f>$F$20*0.6</f>
        <v>0</v>
      </c>
      <c r="K12" s="39" t="s">
        <v>90</v>
      </c>
      <c r="L12" s="40" t="s">
        <v>91</v>
      </c>
      <c r="M12" s="41"/>
    </row>
    <row r="13" spans="1:25" ht="61.5">
      <c r="A13" s="1" t="s">
        <v>73</v>
      </c>
      <c r="B13" s="35" t="s">
        <v>92</v>
      </c>
      <c r="C13" s="51" t="s">
        <v>93</v>
      </c>
      <c r="D13" s="127"/>
      <c r="E13" s="53">
        <f t="shared" si="1"/>
        <v>0</v>
      </c>
      <c r="F13" s="131"/>
      <c r="G13" s="54">
        <f t="shared" si="0"/>
        <v>0</v>
      </c>
      <c r="H13" s="6" t="s">
        <v>94</v>
      </c>
      <c r="I13" s="65">
        <f>$F$9</f>
        <v>0</v>
      </c>
      <c r="K13" s="66" t="s">
        <v>95</v>
      </c>
      <c r="L13" s="5" t="s">
        <v>96</v>
      </c>
      <c r="M13" s="47"/>
      <c r="T13" s="67" t="s">
        <v>97</v>
      </c>
      <c r="V13" s="1" t="s">
        <v>98</v>
      </c>
    </row>
    <row r="14" spans="1:25" ht="46.9">
      <c r="A14" s="1" t="s">
        <v>73</v>
      </c>
      <c r="B14" s="35" t="s">
        <v>99</v>
      </c>
      <c r="C14" s="51" t="s">
        <v>100</v>
      </c>
      <c r="D14" s="127"/>
      <c r="E14" s="53">
        <f t="shared" si="1"/>
        <v>0</v>
      </c>
      <c r="F14" s="131"/>
      <c r="G14" s="54">
        <f t="shared" si="0"/>
        <v>0</v>
      </c>
      <c r="H14" s="5" t="s">
        <v>101</v>
      </c>
      <c r="I14" s="65">
        <f>MAX($I$12,$I$13)</f>
        <v>0</v>
      </c>
      <c r="K14" s="45" t="s">
        <v>102</v>
      </c>
      <c r="L14" s="46" t="str">
        <f>L9</f>
        <v>Not Applicable</v>
      </c>
      <c r="M14" s="47"/>
      <c r="T14" s="1" t="s">
        <v>103</v>
      </c>
      <c r="V14" s="68" t="s">
        <v>103</v>
      </c>
      <c r="W14" s="1" t="s">
        <v>104</v>
      </c>
    </row>
    <row r="15" spans="1:25" ht="57.6">
      <c r="A15" s="1" t="s">
        <v>73</v>
      </c>
      <c r="B15" s="125" t="s">
        <v>105</v>
      </c>
      <c r="C15" s="66" t="s">
        <v>106</v>
      </c>
      <c r="D15" s="127"/>
      <c r="E15" s="53">
        <f t="shared" si="1"/>
        <v>0</v>
      </c>
      <c r="F15" s="131"/>
      <c r="G15" s="54">
        <f t="shared" si="0"/>
        <v>0</v>
      </c>
      <c r="H15" s="5"/>
      <c r="K15" s="66" t="s">
        <v>107</v>
      </c>
      <c r="L15" s="46" t="str">
        <f>IF((AND($D$8&lt;40000000,$D$21&lt;400000000)), $I$7, $I$6)</f>
        <v>Not Applicable</v>
      </c>
      <c r="M15" s="47"/>
      <c r="W15" s="69" t="s">
        <v>108</v>
      </c>
      <c r="X15" s="70" t="s">
        <v>109</v>
      </c>
      <c r="Y15" s="71" t="s">
        <v>110</v>
      </c>
    </row>
    <row r="16" spans="1:25" ht="43.15">
      <c r="A16" s="1" t="s">
        <v>73</v>
      </c>
      <c r="B16" s="125" t="s">
        <v>111</v>
      </c>
      <c r="C16" s="66" t="s">
        <v>112</v>
      </c>
      <c r="D16" s="127"/>
      <c r="E16" s="53">
        <f t="shared" si="1"/>
        <v>0</v>
      </c>
      <c r="F16" s="131"/>
      <c r="G16" s="54">
        <f t="shared" si="0"/>
        <v>0</v>
      </c>
      <c r="H16" s="5"/>
      <c r="K16" s="72" t="s">
        <v>113</v>
      </c>
      <c r="L16" s="46" t="str">
        <f>IF(($D$8+$D$9)&gt;10000000,$I$6,$I$7)</f>
        <v>Not Applicable</v>
      </c>
      <c r="M16" s="47"/>
    </row>
    <row r="17" spans="1:13" ht="43.15">
      <c r="A17" s="1" t="s">
        <v>73</v>
      </c>
      <c r="B17" s="125" t="s">
        <v>114</v>
      </c>
      <c r="C17" s="66" t="s">
        <v>115</v>
      </c>
      <c r="D17" s="127"/>
      <c r="E17" s="53">
        <f t="shared" si="1"/>
        <v>0</v>
      </c>
      <c r="F17" s="132"/>
      <c r="G17" s="54">
        <v>0</v>
      </c>
      <c r="H17" s="5"/>
      <c r="I17" s="5"/>
      <c r="K17" s="72" t="s">
        <v>116</v>
      </c>
      <c r="L17" s="46" t="str">
        <f>IF($D$10&gt;10000000, $I$6,$I$7)</f>
        <v>Not Applicable</v>
      </c>
      <c r="M17" s="47"/>
    </row>
    <row r="18" spans="1:13" ht="31.15">
      <c r="A18" s="1" t="s">
        <v>73</v>
      </c>
      <c r="B18" s="35" t="s">
        <v>36</v>
      </c>
      <c r="C18" s="51" t="s">
        <v>117</v>
      </c>
      <c r="D18" s="127"/>
      <c r="E18" s="53">
        <f t="shared" si="1"/>
        <v>0</v>
      </c>
      <c r="F18" s="132"/>
      <c r="G18" s="54">
        <f t="shared" ref="G18:G29" si="2">F18/10000000</f>
        <v>0</v>
      </c>
      <c r="H18" s="5"/>
      <c r="I18" s="5"/>
      <c r="K18" s="72" t="s">
        <v>118</v>
      </c>
      <c r="L18" s="46" t="str">
        <f>IF($D$22&gt;100000000,$I$6,$I$7)</f>
        <v>Not Applicable</v>
      </c>
      <c r="M18" s="47"/>
    </row>
    <row r="19" spans="1:13" ht="43.15">
      <c r="A19" s="1" t="s">
        <v>73</v>
      </c>
      <c r="B19" s="125" t="s">
        <v>119</v>
      </c>
      <c r="C19" s="66" t="s">
        <v>120</v>
      </c>
      <c r="D19" s="128"/>
      <c r="E19" s="53">
        <f t="shared" si="1"/>
        <v>0</v>
      </c>
      <c r="F19" s="132"/>
      <c r="G19" s="54">
        <f t="shared" si="2"/>
        <v>0</v>
      </c>
      <c r="H19" s="5"/>
      <c r="I19" s="5"/>
      <c r="K19" s="72"/>
      <c r="L19" s="46"/>
      <c r="M19" s="47"/>
    </row>
    <row r="20" spans="1:13">
      <c r="B20" s="35" t="s">
        <v>121</v>
      </c>
      <c r="C20" s="75" t="s">
        <v>122</v>
      </c>
      <c r="D20" s="127">
        <f>+D8+D9</f>
        <v>0</v>
      </c>
      <c r="E20" s="53">
        <f>D20/10000000</f>
        <v>0</v>
      </c>
      <c r="F20" s="131">
        <f>+F8+F9</f>
        <v>0</v>
      </c>
      <c r="G20" s="54">
        <f t="shared" si="2"/>
        <v>0</v>
      </c>
      <c r="H20" s="5"/>
      <c r="K20" s="72"/>
      <c r="L20" s="46"/>
      <c r="M20" s="47"/>
    </row>
    <row r="21" spans="1:13" ht="28.9">
      <c r="A21" s="1" t="s">
        <v>73</v>
      </c>
      <c r="B21" s="125" t="s">
        <v>123</v>
      </c>
      <c r="C21" s="51" t="s">
        <v>124</v>
      </c>
      <c r="D21" s="127"/>
      <c r="E21" s="53">
        <f t="shared" si="1"/>
        <v>0</v>
      </c>
      <c r="F21" s="131"/>
      <c r="G21" s="54">
        <f t="shared" si="2"/>
        <v>0</v>
      </c>
      <c r="H21" s="5" t="s">
        <v>125</v>
      </c>
      <c r="I21" s="1" t="s">
        <v>126</v>
      </c>
      <c r="K21" s="77" t="s">
        <v>80</v>
      </c>
      <c r="L21" s="57" t="str">
        <f>IF(OR(L13=$I$6,L14=$I$6,L16=$I$6,L17=$I$6,L18=$I$6),$I$6,$I$7)</f>
        <v>Not Applicable</v>
      </c>
      <c r="M21" s="58"/>
    </row>
    <row r="22" spans="1:13" ht="28.9">
      <c r="A22" s="1" t="s">
        <v>73</v>
      </c>
      <c r="B22" s="125" t="s">
        <v>127</v>
      </c>
      <c r="C22" s="51" t="s">
        <v>128</v>
      </c>
      <c r="D22" s="127"/>
      <c r="E22" s="53">
        <f t="shared" si="1"/>
        <v>0</v>
      </c>
      <c r="F22" s="131"/>
      <c r="G22" s="54">
        <f t="shared" si="2"/>
        <v>0</v>
      </c>
      <c r="H22" s="133"/>
      <c r="I22" s="133"/>
      <c r="K22" s="79"/>
      <c r="L22" s="80"/>
      <c r="M22" s="81"/>
    </row>
    <row r="23" spans="1:13" ht="28.9">
      <c r="A23" s="1" t="s">
        <v>73</v>
      </c>
      <c r="B23" s="125" t="s">
        <v>129</v>
      </c>
      <c r="C23" s="51" t="s">
        <v>130</v>
      </c>
      <c r="D23" s="127"/>
      <c r="E23" s="53">
        <f t="shared" si="1"/>
        <v>0</v>
      </c>
      <c r="F23" s="131"/>
      <c r="G23" s="54">
        <f t="shared" si="2"/>
        <v>0</v>
      </c>
      <c r="K23" s="82" t="s">
        <v>131</v>
      </c>
      <c r="L23" s="43"/>
      <c r="M23" s="41"/>
    </row>
    <row r="24" spans="1:13" ht="57.6">
      <c r="A24" s="1" t="s">
        <v>73</v>
      </c>
      <c r="B24" s="125" t="s">
        <v>132</v>
      </c>
      <c r="C24" s="45" t="s">
        <v>133</v>
      </c>
      <c r="D24" s="129"/>
      <c r="E24" s="5">
        <f t="shared" si="1"/>
        <v>0</v>
      </c>
      <c r="F24" s="6"/>
      <c r="G24" s="47">
        <f t="shared" si="2"/>
        <v>0</v>
      </c>
      <c r="K24" s="83"/>
      <c r="L24" s="3"/>
      <c r="M24" s="47"/>
    </row>
    <row r="25" spans="1:13" ht="57.6">
      <c r="A25" s="1" t="s">
        <v>73</v>
      </c>
      <c r="B25" s="125" t="s">
        <v>132</v>
      </c>
      <c r="C25" s="45" t="s">
        <v>134</v>
      </c>
      <c r="D25" s="130"/>
      <c r="E25" s="5">
        <f t="shared" si="1"/>
        <v>0</v>
      </c>
      <c r="F25" s="6"/>
      <c r="G25" s="47">
        <f t="shared" si="2"/>
        <v>0</v>
      </c>
      <c r="K25" s="84" t="s">
        <v>135</v>
      </c>
      <c r="L25" s="46" t="str">
        <f>IF($D$20&gt;=5000000000,"Applicable","Not Applicable")</f>
        <v>Not Applicable</v>
      </c>
      <c r="M25" s="85" t="str">
        <f>IF($F$20&gt;=5000000000,"Applicable","Not Applicable")</f>
        <v>Not Applicable</v>
      </c>
    </row>
    <row r="26" spans="1:13" ht="43.15">
      <c r="A26" s="1" t="s">
        <v>73</v>
      </c>
      <c r="B26" s="125" t="s">
        <v>136</v>
      </c>
      <c r="C26" s="45" t="s">
        <v>137</v>
      </c>
      <c r="D26" s="130"/>
      <c r="E26" s="5">
        <f t="shared" si="1"/>
        <v>0</v>
      </c>
      <c r="F26" s="6"/>
      <c r="G26" s="47">
        <f t="shared" si="2"/>
        <v>0</v>
      </c>
      <c r="K26" s="84" t="s">
        <v>138</v>
      </c>
      <c r="L26" s="46" t="str">
        <f>IF($D$21&gt;=10000000000,"Applicable","Not Applicable")</f>
        <v>Not Applicable</v>
      </c>
      <c r="M26" s="85" t="str">
        <f>IF($F$21&gt;=10000000000,"Applicable","Not Applicable")</f>
        <v>Not Applicable</v>
      </c>
    </row>
    <row r="27" spans="1:13" ht="43.15">
      <c r="A27" s="1" t="s">
        <v>73</v>
      </c>
      <c r="B27" s="125" t="s">
        <v>136</v>
      </c>
      <c r="C27" s="45" t="s">
        <v>137</v>
      </c>
      <c r="D27" s="130"/>
      <c r="E27" s="5">
        <f t="shared" si="1"/>
        <v>0</v>
      </c>
      <c r="F27" s="6"/>
      <c r="G27" s="47">
        <f t="shared" si="2"/>
        <v>0</v>
      </c>
      <c r="K27" s="84" t="s">
        <v>139</v>
      </c>
      <c r="L27" s="46" t="str">
        <f>IF($D$23&gt;=50000000,"Applicable","Not Applicable")</f>
        <v>Not Applicable</v>
      </c>
      <c r="M27" s="85" t="str">
        <f>IF($F$23&gt;=50000000,"Applicable","Not Applicable")</f>
        <v>Not Applicable</v>
      </c>
    </row>
    <row r="28" spans="1:13" ht="57.6">
      <c r="A28" s="1" t="s">
        <v>73</v>
      </c>
      <c r="B28" s="125" t="s">
        <v>132</v>
      </c>
      <c r="C28" s="45" t="s">
        <v>140</v>
      </c>
      <c r="D28" s="130"/>
      <c r="E28" s="5">
        <f t="shared" si="1"/>
        <v>0</v>
      </c>
      <c r="F28" s="6"/>
      <c r="G28" s="47">
        <f t="shared" si="2"/>
        <v>0</v>
      </c>
      <c r="K28" s="84"/>
      <c r="L28" s="46"/>
      <c r="M28" s="85"/>
    </row>
    <row r="29" spans="1:13" ht="28.9">
      <c r="A29" s="1" t="s">
        <v>73</v>
      </c>
      <c r="B29" s="125" t="s">
        <v>141</v>
      </c>
      <c r="C29" s="45" t="s">
        <v>142</v>
      </c>
      <c r="D29" s="130"/>
      <c r="E29" s="5">
        <f t="shared" si="1"/>
        <v>0</v>
      </c>
      <c r="F29" s="6"/>
      <c r="G29" s="47">
        <f t="shared" si="2"/>
        <v>0</v>
      </c>
      <c r="K29" s="86" t="s">
        <v>80</v>
      </c>
      <c r="L29" s="57" t="str">
        <f>IF(OR($L$25=$I$6,$L$26=$I$6,$L$27=$I$6),$I$6,$I$7)</f>
        <v>Not Applicable</v>
      </c>
      <c r="M29" s="87" t="str">
        <f>IF(OR($M$25=$I$6,$M$26=$I$6,$M$27=$I$6),$I$6,$I$7)</f>
        <v>Not Applicable</v>
      </c>
    </row>
    <row r="30" spans="1:13" ht="43.15">
      <c r="A30" s="1" t="s">
        <v>73</v>
      </c>
      <c r="B30" s="125" t="s">
        <v>143</v>
      </c>
      <c r="C30" s="66" t="s">
        <v>144</v>
      </c>
      <c r="D30" s="128"/>
      <c r="E30" s="53">
        <f t="shared" si="1"/>
        <v>0</v>
      </c>
      <c r="F30" s="6"/>
      <c r="G30" s="54">
        <f>F30/10000000</f>
        <v>0</v>
      </c>
      <c r="K30" s="79"/>
      <c r="L30" s="80"/>
      <c r="M30" s="81"/>
    </row>
    <row r="31" spans="1:13" ht="43.5">
      <c r="A31" s="135" t="s">
        <v>73</v>
      </c>
      <c r="B31" s="136" t="s">
        <v>145</v>
      </c>
      <c r="C31" s="137" t="s">
        <v>146</v>
      </c>
      <c r="D31" s="138" t="s">
        <v>83</v>
      </c>
      <c r="E31" s="5"/>
      <c r="F31" s="6"/>
      <c r="G31" s="47"/>
      <c r="K31" s="88" t="s">
        <v>147</v>
      </c>
      <c r="L31" s="43"/>
      <c r="M31" s="41"/>
    </row>
    <row r="32" spans="1:13" ht="43.15">
      <c r="A32" s="1" t="s">
        <v>73</v>
      </c>
      <c r="B32" s="125" t="s">
        <v>148</v>
      </c>
      <c r="C32" s="35" t="s">
        <v>149</v>
      </c>
      <c r="D32" s="35" t="s">
        <v>71</v>
      </c>
      <c r="K32" s="84" t="s">
        <v>150</v>
      </c>
      <c r="L32" s="5" t="s">
        <v>71</v>
      </c>
      <c r="M32" s="47"/>
    </row>
    <row r="33" spans="1:13" ht="18.600000000000001" thickBot="1">
      <c r="D33" s="142" t="s">
        <v>57</v>
      </c>
      <c r="E33" s="142"/>
      <c r="F33" s="143" t="s">
        <v>151</v>
      </c>
      <c r="G33" s="143"/>
      <c r="K33" s="84" t="s">
        <v>152</v>
      </c>
      <c r="L33" s="46" t="str">
        <f>IF($D$8&gt;=500000000,"Applicable","Not Applicable")</f>
        <v>Not Applicable</v>
      </c>
      <c r="M33" s="47"/>
    </row>
    <row r="34" spans="1:13">
      <c r="A34" s="112" t="s">
        <v>66</v>
      </c>
      <c r="B34" s="126" t="s">
        <v>67</v>
      </c>
      <c r="C34" s="39" t="s">
        <v>153</v>
      </c>
      <c r="D34" s="89" t="s">
        <v>61</v>
      </c>
      <c r="E34" s="40" t="s">
        <v>154</v>
      </c>
      <c r="F34" s="89" t="s">
        <v>61</v>
      </c>
      <c r="G34" s="90" t="s">
        <v>154</v>
      </c>
      <c r="K34" s="84"/>
      <c r="L34" s="46"/>
      <c r="M34" s="47"/>
    </row>
    <row r="35" spans="1:13" ht="16.149999999999999" thickBot="1">
      <c r="C35" s="91" t="s">
        <v>155</v>
      </c>
      <c r="D35" s="92" t="str">
        <f>IF((OR($L$9=$I$6,$L$9=$I$6)), "No, It is not a Small Company", "Yes, It is a Small Company")</f>
        <v>Yes, It is a Small Company</v>
      </c>
      <c r="E35" s="93"/>
      <c r="F35" s="92"/>
      <c r="G35" s="94"/>
      <c r="K35" s="86" t="s">
        <v>80</v>
      </c>
      <c r="L35" s="57" t="str">
        <f>IF(OR($L$32=$I$6,$L$33=$I$6,),$I$6,$I$7)</f>
        <v>Not Applicable</v>
      </c>
      <c r="M35" s="58"/>
    </row>
    <row r="36" spans="1:13" ht="15.75">
      <c r="C36" s="45" t="str">
        <f>K12</f>
        <v>CARO</v>
      </c>
      <c r="D36" s="6" t="str">
        <f>$L$21</f>
        <v>Not Applicable</v>
      </c>
      <c r="E36" s="5"/>
      <c r="F36" s="6"/>
      <c r="G36" s="54"/>
      <c r="K36" s="79"/>
      <c r="L36" s="80"/>
      <c r="M36" s="81"/>
    </row>
    <row r="37" spans="1:13">
      <c r="C37" s="45" t="str">
        <f>K31</f>
        <v>Rotation of Auditors</v>
      </c>
      <c r="D37" s="6" t="str">
        <f>$L$35</f>
        <v>Not Applicable</v>
      </c>
      <c r="E37" s="5"/>
      <c r="F37" s="6"/>
      <c r="G37" s="54"/>
      <c r="K37" s="95" t="s">
        <v>156</v>
      </c>
      <c r="L37" s="96"/>
      <c r="M37" s="41"/>
    </row>
    <row r="38" spans="1:13" ht="15.75">
      <c r="C38" s="45" t="s">
        <v>157</v>
      </c>
      <c r="D38" s="97" t="str">
        <f>IF(OR($D$32=$I$6,$D$20&gt;=2500000000,),$I$6,$I$7)</f>
        <v>Not Applicable</v>
      </c>
      <c r="E38" s="5"/>
      <c r="F38" s="6"/>
      <c r="G38" s="54"/>
      <c r="K38" s="98" t="s">
        <v>158</v>
      </c>
      <c r="L38" s="10" t="s">
        <v>96</v>
      </c>
      <c r="M38" s="47"/>
    </row>
    <row r="39" spans="1:13">
      <c r="C39" s="45" t="s">
        <v>159</v>
      </c>
      <c r="D39" s="6" t="str">
        <f>$L$42</f>
        <v>Not Applicable</v>
      </c>
      <c r="E39" s="5"/>
      <c r="F39" s="6"/>
      <c r="G39" s="54"/>
      <c r="K39" s="84" t="s">
        <v>160</v>
      </c>
      <c r="L39" s="46" t="str">
        <f>IF($D$8&gt;=50000000,"Applicable","Not Applicable")</f>
        <v>Not Applicable</v>
      </c>
      <c r="M39" s="47"/>
    </row>
    <row r="40" spans="1:13" ht="15.75">
      <c r="C40" s="45" t="str">
        <f>K44</f>
        <v>Vigil Mechanism</v>
      </c>
      <c r="D40" s="6" t="str">
        <f>$L$49</f>
        <v>Not Applicable</v>
      </c>
      <c r="E40" s="5"/>
      <c r="F40" s="6" t="str">
        <f>$M$49</f>
        <v>Not Applicable</v>
      </c>
      <c r="G40" s="54"/>
      <c r="K40" s="98" t="s">
        <v>161</v>
      </c>
      <c r="L40" s="46" t="str">
        <f>IF($D$21&gt;=1000000000,"Applicable","Not Applicable")</f>
        <v>Not Applicable</v>
      </c>
      <c r="M40" s="47"/>
    </row>
    <row r="41" spans="1:13">
      <c r="C41" s="45" t="str">
        <f>K51</f>
        <v>Internal Financial Controls</v>
      </c>
      <c r="D41" s="6" t="str">
        <f>$L$56</f>
        <v>Not Applicable</v>
      </c>
      <c r="E41" s="5"/>
      <c r="F41" s="6"/>
      <c r="G41" s="54"/>
      <c r="K41" s="98" t="s">
        <v>162</v>
      </c>
      <c r="L41" s="46" t="str">
        <f>D38</f>
        <v>Not Applicable</v>
      </c>
      <c r="M41" s="47"/>
    </row>
    <row r="42" spans="1:13" ht="16.149999999999999" thickBot="1">
      <c r="C42" s="45" t="s">
        <v>163</v>
      </c>
      <c r="D42" s="6" t="str">
        <f>$L$75</f>
        <v>Not Applicable</v>
      </c>
      <c r="E42" s="5"/>
      <c r="F42" s="6" t="str">
        <f>$M$75</f>
        <v>Not Applicable</v>
      </c>
      <c r="G42" s="54"/>
      <c r="K42" s="86" t="s">
        <v>80</v>
      </c>
      <c r="L42" s="57" t="str">
        <f>IF(OR($L$38=I$6,$L$39=$I$6,$L$40=$I$6,$L$41=$I$6),$I$6,$I$7)</f>
        <v>Not Applicable</v>
      </c>
      <c r="M42" s="58"/>
    </row>
    <row r="43" spans="1:13" ht="16.149999999999999" thickBot="1">
      <c r="C43" s="45" t="s">
        <v>164</v>
      </c>
      <c r="D43" s="6" t="str">
        <f>$L$83</f>
        <v>Not Applicable</v>
      </c>
      <c r="E43" s="5"/>
      <c r="F43" s="6" t="str">
        <f>$M$83</f>
        <v>Not Applicable</v>
      </c>
      <c r="G43" s="54"/>
      <c r="K43" s="79"/>
      <c r="L43" s="80"/>
      <c r="M43" s="81"/>
    </row>
    <row r="44" spans="1:13">
      <c r="C44" s="45" t="s">
        <v>165</v>
      </c>
      <c r="D44" s="6" t="str">
        <f>IF($D$8&gt;100000000,"To appoint CS","Need not appoint CS")</f>
        <v>Need not appoint CS</v>
      </c>
      <c r="E44" s="5"/>
      <c r="F44" s="6" t="str">
        <f>IF($F$8&gt;100000000,"To appoint CS","Need not appoint CS")</f>
        <v>Need not appoint CS</v>
      </c>
      <c r="G44" s="54"/>
      <c r="K44" s="39" t="s">
        <v>166</v>
      </c>
      <c r="L44" s="43"/>
      <c r="M44" s="41"/>
    </row>
    <row r="45" spans="1:13">
      <c r="C45" s="45" t="s">
        <v>167</v>
      </c>
      <c r="D45" s="6" t="str">
        <f>$L$97</f>
        <v>Not Applicable</v>
      </c>
      <c r="E45" s="5"/>
      <c r="F45" s="6"/>
      <c r="G45" s="54"/>
      <c r="K45" s="45" t="s">
        <v>168</v>
      </c>
      <c r="L45" s="5" t="s">
        <v>96</v>
      </c>
      <c r="M45" s="47" t="s">
        <v>96</v>
      </c>
    </row>
    <row r="46" spans="1:13">
      <c r="C46" s="45" t="s">
        <v>169</v>
      </c>
      <c r="D46" s="6" t="str">
        <f>IF($D$11&gt;0,"Check for Sec 185 Compliance","Not Applicable")</f>
        <v>Not Applicable</v>
      </c>
      <c r="E46" s="5"/>
      <c r="F46" s="6"/>
      <c r="G46" s="47"/>
      <c r="K46" s="45" t="s">
        <v>170</v>
      </c>
      <c r="L46" s="5" t="s">
        <v>96</v>
      </c>
      <c r="M46" s="47" t="s">
        <v>96</v>
      </c>
    </row>
    <row r="47" spans="1:13" ht="62.45">
      <c r="C47" s="45" t="s">
        <v>171</v>
      </c>
      <c r="D47" s="6" t="s">
        <v>172</v>
      </c>
      <c r="E47" s="6" t="s">
        <v>173</v>
      </c>
      <c r="F47" s="6" t="s">
        <v>174</v>
      </c>
      <c r="G47" s="6" t="s">
        <v>173</v>
      </c>
      <c r="K47" s="45" t="s">
        <v>175</v>
      </c>
      <c r="L47" s="46" t="str">
        <f>IF($D$10&gt;500000000,"Applicable","Not Applicable")</f>
        <v>Not Applicable</v>
      </c>
      <c r="M47" s="85" t="str">
        <f>IF($F$10&gt;500000000,"Applicable","Not Applicable")</f>
        <v>Not Applicable</v>
      </c>
    </row>
    <row r="48" spans="1:13" ht="62.45">
      <c r="C48" s="45" t="s">
        <v>176</v>
      </c>
      <c r="D48" s="6" t="str">
        <f>IF($D$17&gt;0,"Whether the Company filed CHG form","Not Applicable")</f>
        <v>Not Applicable</v>
      </c>
      <c r="E48" s="6" t="s">
        <v>173</v>
      </c>
      <c r="F48" s="6" t="str">
        <f>IF($F$17&gt;0,"Whether the Company filed CHG form","Not Applicable")</f>
        <v>Not Applicable</v>
      </c>
      <c r="G48" s="6" t="s">
        <v>173</v>
      </c>
      <c r="K48" s="45"/>
      <c r="L48" s="5"/>
      <c r="M48" s="47"/>
    </row>
    <row r="49" spans="3:13" ht="77.25">
      <c r="C49" s="45" t="s">
        <v>177</v>
      </c>
      <c r="D49" s="6" t="s">
        <v>178</v>
      </c>
      <c r="E49" s="5"/>
      <c r="F49" s="6"/>
      <c r="G49" s="47"/>
      <c r="K49" s="86" t="s">
        <v>80</v>
      </c>
      <c r="L49" s="57" t="str">
        <f>IF(OR($L$45=$I$6,$L$46=$I$6,$L$47=$I$6),$I$6,$I$7)</f>
        <v>Not Applicable</v>
      </c>
      <c r="M49" s="87" t="str">
        <f>IF(OR($M$45=$I$6,$M$46=$I$6,$M$47=$I$6),$I$6,$I$7)</f>
        <v>Not Applicable</v>
      </c>
    </row>
    <row r="50" spans="3:13" ht="39.75" customHeight="1" thickBot="1">
      <c r="C50" s="45" t="s">
        <v>179</v>
      </c>
      <c r="D50" s="6" t="str">
        <f>IF(($D$24+$D$25+$D$26+$D$27+$D$28)&gt;0,"Applicable, Fill in Sec 188 Compliance sheet","Not Applicable")</f>
        <v>Not Applicable</v>
      </c>
      <c r="E50" s="5"/>
      <c r="F50" s="6"/>
      <c r="G50" s="47"/>
      <c r="K50" s="79"/>
      <c r="L50" s="80"/>
      <c r="M50" s="81"/>
    </row>
    <row r="51" spans="3:13">
      <c r="C51" s="45" t="s">
        <v>180</v>
      </c>
      <c r="D51" s="6" t="str">
        <f>IF(($D$24+$D$25+$D$26+$D$27+$D$28)&gt;0,"Applicable, Fill in Sec 188 Compliance sheet","Not Applicable")</f>
        <v>Not Applicable</v>
      </c>
      <c r="E51" s="5"/>
      <c r="F51" s="6"/>
      <c r="G51" s="47"/>
      <c r="K51" s="39" t="s">
        <v>181</v>
      </c>
      <c r="L51" s="43"/>
      <c r="M51" s="41"/>
    </row>
    <row r="52" spans="3:13">
      <c r="C52" s="45" t="str">
        <f>K23</f>
        <v>Corporate Social Responsibility</v>
      </c>
      <c r="D52" s="6" t="str">
        <f>$L$29</f>
        <v>Not Applicable</v>
      </c>
      <c r="E52" s="5"/>
      <c r="F52" s="6" t="str">
        <f>$M$29</f>
        <v>Not Applicable</v>
      </c>
      <c r="G52" s="47"/>
      <c r="K52" s="84"/>
      <c r="L52" s="5"/>
      <c r="M52" s="47"/>
    </row>
    <row r="53" spans="3:13">
      <c r="C53" s="45" t="s">
        <v>182</v>
      </c>
      <c r="D53" s="6" t="str">
        <f>IF((($D$23+$F$23+$H$22)*2%)&gt;5000000,"Check CSR Committee compliance","Not Applicable")</f>
        <v>Not Applicable</v>
      </c>
      <c r="E53" s="5"/>
      <c r="F53" s="6" t="str">
        <f>IF((($F$23+$H$22+$I$22)*2%)&gt;5000000,"Check CSR Committee compliance","Not Applicable")</f>
        <v>Not Applicable</v>
      </c>
      <c r="G53" s="47"/>
      <c r="K53" s="99" t="s">
        <v>183</v>
      </c>
      <c r="L53" s="46" t="str">
        <f>L9</f>
        <v>Not Applicable</v>
      </c>
      <c r="M53" s="47"/>
    </row>
    <row r="54" spans="3:13" ht="31.15">
      <c r="C54" s="45" t="s">
        <v>184</v>
      </c>
      <c r="D54" s="6" t="str">
        <f>IF($D$15&gt;0,"Applicable, Is deposit declaration obtained","Not Applicable")</f>
        <v>Not Applicable</v>
      </c>
      <c r="E54" s="5"/>
      <c r="F54" s="100"/>
      <c r="G54" s="47"/>
      <c r="K54" s="99" t="s">
        <v>185</v>
      </c>
      <c r="L54" s="46" t="str">
        <f>IF((AND($D$21&gt;50000000,$D$10&gt;250000000)), $I$6, $I$7)</f>
        <v>Not Applicable</v>
      </c>
      <c r="M54" s="47"/>
    </row>
    <row r="55" spans="3:13" ht="31.15">
      <c r="C55" s="101" t="s">
        <v>186</v>
      </c>
      <c r="D55" s="6" t="str">
        <f>IF(($D$10+$D$18)&gt;0,"Applicable, Is  Form DPT 3  filed","Not Applicable")</f>
        <v>Not Applicable</v>
      </c>
      <c r="E55" s="6" t="s">
        <v>187</v>
      </c>
      <c r="F55" s="6"/>
      <c r="G55" s="6" t="s">
        <v>187</v>
      </c>
      <c r="K55" s="84"/>
      <c r="L55" s="46"/>
      <c r="M55" s="47"/>
    </row>
    <row r="56" spans="3:13" ht="31.9" thickBot="1">
      <c r="C56" s="45" t="s">
        <v>188</v>
      </c>
      <c r="D56" s="6" t="str">
        <f>IF($D$19&gt;0,"Applicable, Is Form MSME filed","Not Applicable")</f>
        <v>Not Applicable</v>
      </c>
      <c r="E56" s="6" t="s">
        <v>187</v>
      </c>
      <c r="F56" s="6"/>
      <c r="G56" s="6" t="s">
        <v>187</v>
      </c>
      <c r="K56" s="86" t="s">
        <v>80</v>
      </c>
      <c r="L56" s="57" t="str">
        <f>IF(AND($L$53=$I$6,$L$54=$I$6),$I$6,$I$7)</f>
        <v>Not Applicable</v>
      </c>
      <c r="M56" s="58"/>
    </row>
    <row r="57" spans="3:13" ht="31.15">
      <c r="C57" s="45" t="s">
        <v>189</v>
      </c>
      <c r="D57" s="6" t="str">
        <f>IF($D$30&gt;0,"Ben Compliance to be checked","Not Applicable")</f>
        <v>Not Applicable</v>
      </c>
      <c r="E57" s="6" t="s">
        <v>187</v>
      </c>
      <c r="F57" s="6"/>
      <c r="G57" s="6" t="s">
        <v>187</v>
      </c>
      <c r="K57" s="59"/>
      <c r="L57" s="60"/>
      <c r="M57" s="61"/>
    </row>
    <row r="58" spans="3:13">
      <c r="C58" s="45" t="str">
        <f>K58</f>
        <v>MGT 8 Applicability</v>
      </c>
      <c r="D58" s="6" t="str">
        <f>$L64</f>
        <v>Not Applicable</v>
      </c>
      <c r="E58" s="5"/>
      <c r="F58" s="6"/>
      <c r="G58" s="47"/>
      <c r="K58" s="102" t="s">
        <v>190</v>
      </c>
      <c r="L58" s="5"/>
      <c r="M58" s="47"/>
    </row>
    <row r="59" spans="3:13" ht="16.149999999999999" thickBot="1">
      <c r="C59" s="103" t="str">
        <f>K66</f>
        <v>Certification of MGT 7</v>
      </c>
      <c r="D59" s="104" t="str">
        <f>$L$69</f>
        <v>Not Applicable</v>
      </c>
      <c r="E59" s="105"/>
      <c r="F59" s="104"/>
      <c r="G59" s="58"/>
      <c r="K59" s="98"/>
      <c r="L59" s="5"/>
      <c r="M59" s="47"/>
    </row>
    <row r="60" spans="3:13">
      <c r="K60" s="101" t="s">
        <v>191</v>
      </c>
      <c r="L60" s="5" t="s">
        <v>96</v>
      </c>
      <c r="M60" s="47"/>
    </row>
    <row r="61" spans="3:13">
      <c r="C61" s="133"/>
      <c r="K61" s="101" t="s">
        <v>192</v>
      </c>
      <c r="L61" s="46" t="str">
        <f>IF($D$8&gt;=100000000,"Applicable","Not Applicable")</f>
        <v>Not Applicable</v>
      </c>
      <c r="M61" s="47"/>
    </row>
    <row r="62" spans="3:13">
      <c r="C62" s="133"/>
      <c r="K62" s="101" t="s">
        <v>193</v>
      </c>
      <c r="L62" s="46" t="str">
        <f>IF($D$21&gt;=500000000,"Applicable","Not Applicable")</f>
        <v>Not Applicable</v>
      </c>
      <c r="M62" s="47"/>
    </row>
    <row r="63" spans="3:13">
      <c r="E63"/>
      <c r="K63" s="101"/>
      <c r="L63" s="46"/>
      <c r="M63" s="47"/>
    </row>
    <row r="64" spans="3:13">
      <c r="K64" s="99" t="s">
        <v>80</v>
      </c>
      <c r="L64" s="50" t="str">
        <f>IF(OR($L$60=$I$6,$L$61=$I$6,$L$62=$I$6),$I$6,$I$7)</f>
        <v>Not Applicable</v>
      </c>
      <c r="M64" s="47"/>
    </row>
    <row r="65" spans="11:13">
      <c r="K65" s="101"/>
      <c r="L65" s="5"/>
      <c r="M65" s="47"/>
    </row>
    <row r="66" spans="11:13">
      <c r="K66" s="106" t="s">
        <v>194</v>
      </c>
      <c r="L66" s="5"/>
      <c r="M66" s="47"/>
    </row>
    <row r="67" spans="11:13" ht="31.15">
      <c r="K67" s="101" t="s">
        <v>195</v>
      </c>
      <c r="L67" s="46" t="str">
        <f>L9</f>
        <v>Not Applicable</v>
      </c>
      <c r="M67" s="47"/>
    </row>
    <row r="68" spans="11:13">
      <c r="K68" s="101"/>
      <c r="L68" s="5"/>
      <c r="M68" s="47"/>
    </row>
    <row r="69" spans="11:13">
      <c r="K69" s="99" t="s">
        <v>80</v>
      </c>
      <c r="L69" s="50" t="str">
        <f>IF(OR(L67=$I$6,),$I$6,$I$7)</f>
        <v>Not Applicable</v>
      </c>
      <c r="M69" s="47"/>
    </row>
    <row r="70" spans="11:13">
      <c r="K70" s="45"/>
      <c r="L70" s="5"/>
      <c r="M70" s="47"/>
    </row>
    <row r="71" spans="11:13">
      <c r="K71" s="48" t="s">
        <v>163</v>
      </c>
      <c r="L71" s="5"/>
      <c r="M71" s="47"/>
    </row>
    <row r="72" spans="11:13">
      <c r="K72" s="107" t="s">
        <v>196</v>
      </c>
      <c r="L72" s="46" t="str">
        <f>IF($D$21&gt;=2000000000,"Applicable","Not Applicable")</f>
        <v>Not Applicable</v>
      </c>
      <c r="M72" s="85" t="str">
        <f>IF($F$21&gt;=2000000000,"Applicable","Not Applicable")</f>
        <v>Not Applicable</v>
      </c>
    </row>
    <row r="73" spans="11:13">
      <c r="K73" s="51" t="s">
        <v>197</v>
      </c>
      <c r="L73" s="46" t="str">
        <f>IF($D$10&gt;=1000000000,"Applicable","Not Applicable")</f>
        <v>Not Applicable</v>
      </c>
      <c r="M73" s="85" t="str">
        <f>IF($F$10&gt;=1000000000,"Applicable","Not Applicable")</f>
        <v>Not Applicable</v>
      </c>
    </row>
    <row r="74" spans="11:13">
      <c r="K74" s="48"/>
      <c r="L74" s="5"/>
      <c r="M74" s="47"/>
    </row>
    <row r="75" spans="11:13">
      <c r="K75" s="99" t="s">
        <v>80</v>
      </c>
      <c r="L75" s="50" t="str">
        <f>IF(OR($L$72=$I$6,$L$73=$I$6),$I$6,$I$7)</f>
        <v>Not Applicable</v>
      </c>
      <c r="M75" s="108" t="str">
        <f>IF(OR(M72=$I$6,M73=$I$6),$I$6,$I$7)</f>
        <v>Not Applicable</v>
      </c>
    </row>
    <row r="76" spans="11:13">
      <c r="K76" s="45"/>
      <c r="L76" s="5"/>
      <c r="M76" s="47"/>
    </row>
    <row r="77" spans="11:13">
      <c r="K77" s="48" t="s">
        <v>164</v>
      </c>
      <c r="L77" s="5"/>
      <c r="M77" s="47"/>
    </row>
    <row r="78" spans="11:13">
      <c r="K78" s="109"/>
      <c r="L78" s="5"/>
      <c r="M78" s="47"/>
    </row>
    <row r="79" spans="11:13">
      <c r="K79" s="45" t="s">
        <v>168</v>
      </c>
      <c r="L79" s="5" t="s">
        <v>71</v>
      </c>
      <c r="M79" s="47" t="s">
        <v>71</v>
      </c>
    </row>
    <row r="80" spans="11:13" ht="31.15">
      <c r="K80" s="51" t="s">
        <v>198</v>
      </c>
      <c r="L80" s="5" t="s">
        <v>71</v>
      </c>
      <c r="M80" s="47" t="s">
        <v>71</v>
      </c>
    </row>
    <row r="81" spans="11:13">
      <c r="K81" s="45" t="s">
        <v>199</v>
      </c>
      <c r="L81" s="46" t="str">
        <f>IF($D$10&gt;1000000000,"Applicable","Not Applicable")</f>
        <v>Not Applicable</v>
      </c>
      <c r="M81" s="85" t="str">
        <f>IF($F$10&gt;1000000000,"Applicable","Not Applicable")</f>
        <v>Not Applicable</v>
      </c>
    </row>
    <row r="82" spans="11:13">
      <c r="K82" s="45"/>
      <c r="L82" s="46"/>
      <c r="M82" s="85"/>
    </row>
    <row r="83" spans="11:13">
      <c r="K83" s="99" t="s">
        <v>80</v>
      </c>
      <c r="L83" s="50" t="str">
        <f>IF(OR(L79=$I$6,L80=$I$6,L81=$I$6),$I$6,$I$7)</f>
        <v>Not Applicable</v>
      </c>
      <c r="M83" s="108" t="str">
        <f>IF(OR(M79=$I$6,M80=$I$6,M81=$I$6),$I$6,$I$7)</f>
        <v>Not Applicable</v>
      </c>
    </row>
    <row r="84" spans="11:13">
      <c r="K84" s="45"/>
      <c r="L84" s="5"/>
      <c r="M84" s="47"/>
    </row>
    <row r="85" spans="11:13">
      <c r="K85" s="48" t="s">
        <v>200</v>
      </c>
      <c r="L85" s="5"/>
      <c r="M85" s="47"/>
    </row>
    <row r="86" spans="11:13">
      <c r="K86" s="45" t="s">
        <v>201</v>
      </c>
      <c r="L86" s="5" t="s">
        <v>96</v>
      </c>
      <c r="M86" s="47" t="s">
        <v>96</v>
      </c>
    </row>
    <row r="87" spans="11:13">
      <c r="K87" s="45" t="s">
        <v>202</v>
      </c>
      <c r="L87" s="5" t="s">
        <v>96</v>
      </c>
      <c r="M87" s="47" t="s">
        <v>96</v>
      </c>
    </row>
    <row r="88" spans="11:13">
      <c r="K88" s="45" t="s">
        <v>203</v>
      </c>
      <c r="L88" s="46" t="str">
        <f>IF($D$8&gt;=100000000,"Applicable","Not Applicable")</f>
        <v>Not Applicable</v>
      </c>
      <c r="M88" s="85" t="str">
        <f>IF($F$8&gt;=100000000,"Applicable","Not Applicable")</f>
        <v>Not Applicable</v>
      </c>
    </row>
    <row r="89" spans="11:13">
      <c r="K89" s="45"/>
      <c r="L89" s="46"/>
      <c r="M89" s="85"/>
    </row>
    <row r="90" spans="11:13">
      <c r="K90" s="99" t="s">
        <v>80</v>
      </c>
      <c r="L90" s="50" t="str">
        <f>IF(OR(L86=$I$6,L87=$I$6,L88=$I$6),$I$6,$I$7)</f>
        <v>Not Applicable</v>
      </c>
      <c r="M90" s="108" t="str">
        <f>IF(OR(M86=$I$6,M87=$I$6,M88=$I$6),$I$6,$I$7)</f>
        <v>Not Applicable</v>
      </c>
    </row>
    <row r="91" spans="11:13">
      <c r="K91" s="45"/>
      <c r="L91" s="5"/>
      <c r="M91" s="47"/>
    </row>
    <row r="92" spans="11:13">
      <c r="K92" s="48" t="s">
        <v>204</v>
      </c>
      <c r="L92" s="5"/>
      <c r="M92" s="47"/>
    </row>
    <row r="93" spans="11:13">
      <c r="K93" s="45" t="s">
        <v>205</v>
      </c>
      <c r="L93" s="5" t="str">
        <f>IF(($D$12+$D$13+$D$14)&gt;$I$14,"Check for Shareholders approval","Check for Boards Approval")</f>
        <v>Check for Boards Approval</v>
      </c>
      <c r="M93" s="47" t="str">
        <f>IF(($F$12+$F$13+$F$14)&gt;$I$14,"Check for Shareholders approval","Check for Boards Approval")</f>
        <v>Check for Boards Approval</v>
      </c>
    </row>
    <row r="94" spans="11:13">
      <c r="K94" s="45" t="s">
        <v>206</v>
      </c>
      <c r="L94" s="5" t="str">
        <f>IF(($D$12+$D$13+$D$14)&gt;0,$L$93,"Not Applicable")</f>
        <v>Not Applicable</v>
      </c>
      <c r="M94" s="47" t="str">
        <f>IF(($F$12+$F$13+$F$14)&gt;0,$M$93,"Not Applicable")</f>
        <v>Not Applicable</v>
      </c>
    </row>
    <row r="95" spans="11:13">
      <c r="K95" s="45"/>
      <c r="L95" s="5"/>
      <c r="M95" s="47"/>
    </row>
    <row r="96" spans="11:13">
      <c r="K96" s="45"/>
      <c r="L96" s="5"/>
      <c r="M96" s="47"/>
    </row>
    <row r="97" spans="11:13" ht="16.149999999999999" thickBot="1">
      <c r="K97" s="86" t="s">
        <v>80</v>
      </c>
      <c r="L97" s="57" t="str">
        <f>IF(OR(L93=$I$7,L94=$I$7),$I$7,$L$93)</f>
        <v>Not Applicable</v>
      </c>
      <c r="M97" s="87" t="str">
        <f>IF(OR(M93=$I$7,M94=$I$7),$I$7,$M$93)</f>
        <v>Not Applicable</v>
      </c>
    </row>
  </sheetData>
  <dataConsolidate/>
  <mergeCells count="5">
    <mergeCell ref="K1:M1"/>
    <mergeCell ref="D6:E6"/>
    <mergeCell ref="F6:G6"/>
    <mergeCell ref="D33:E33"/>
    <mergeCell ref="F33:G33"/>
  </mergeCells>
  <conditionalFormatting sqref="D35">
    <cfRule type="containsText" dxfId="30" priority="11" operator="containsText" text="Yes">
      <formula>NOT(ISERROR(SEARCH("Yes",D35)))</formula>
    </cfRule>
  </conditionalFormatting>
  <conditionalFormatting sqref="F35">
    <cfRule type="containsText" dxfId="29" priority="8" operator="containsText" text="Yes">
      <formula>NOT(ISERROR(SEARCH("Yes",F35)))</formula>
    </cfRule>
  </conditionalFormatting>
  <conditionalFormatting sqref="L6">
    <cfRule type="containsText" dxfId="28" priority="7" operator="containsText" text="Yes">
      <formula>NOT(ISERROR(SEARCH("Yes",L6)))</formula>
    </cfRule>
  </conditionalFormatting>
  <conditionalFormatting sqref="L13:L20">
    <cfRule type="containsText" dxfId="27" priority="1" operator="containsText" text="Yes">
      <formula>NOT(ISERROR(SEARCH("Yes",L13)))</formula>
    </cfRule>
  </conditionalFormatting>
  <conditionalFormatting sqref="L33:L34">
    <cfRule type="containsText" dxfId="26" priority="14" operator="containsText" text="Yes">
      <formula>NOT(ISERROR(SEARCH("Yes",L33)))</formula>
    </cfRule>
  </conditionalFormatting>
  <conditionalFormatting sqref="L39:L41">
    <cfRule type="containsText" dxfId="25" priority="13" operator="containsText" text="Yes">
      <formula>NOT(ISERROR(SEARCH("Yes",L39)))</formula>
    </cfRule>
  </conditionalFormatting>
  <conditionalFormatting sqref="L53:L55">
    <cfRule type="containsText" dxfId="24" priority="10" operator="containsText" text="Yes">
      <formula>NOT(ISERROR(SEARCH("Yes",L53)))</formula>
    </cfRule>
  </conditionalFormatting>
  <conditionalFormatting sqref="L61:L63">
    <cfRule type="containsText" dxfId="23" priority="12" operator="containsText" text="Yes">
      <formula>NOT(ISERROR(SEARCH("Yes",L61)))</formula>
    </cfRule>
  </conditionalFormatting>
  <conditionalFormatting sqref="L67">
    <cfRule type="containsText" dxfId="22" priority="9" operator="containsText" text="Yes">
      <formula>NOT(ISERROR(SEARCH("Yes",L67)))</formula>
    </cfRule>
  </conditionalFormatting>
  <conditionalFormatting sqref="L25:M28">
    <cfRule type="containsText" dxfId="21" priority="6" operator="containsText" text="Yes">
      <formula>NOT(ISERROR(SEARCH("Yes",L25)))</formula>
    </cfRule>
  </conditionalFormatting>
  <conditionalFormatting sqref="L47:M47">
    <cfRule type="containsText" dxfId="20" priority="5" operator="containsText" text="Yes">
      <formula>NOT(ISERROR(SEARCH("Yes",L47)))</formula>
    </cfRule>
  </conditionalFormatting>
  <conditionalFormatting sqref="L72:M73">
    <cfRule type="containsText" dxfId="19" priority="4" operator="containsText" text="Yes">
      <formula>NOT(ISERROR(SEARCH("Yes",L72)))</formula>
    </cfRule>
  </conditionalFormatting>
  <conditionalFormatting sqref="L81:M82">
    <cfRule type="containsText" dxfId="18" priority="3" operator="containsText" text="Yes">
      <formula>NOT(ISERROR(SEARCH("Yes",L81)))</formula>
    </cfRule>
  </conditionalFormatting>
  <conditionalFormatting sqref="L88:M89">
    <cfRule type="containsText" dxfId="17" priority="2" operator="containsText" text="Yes">
      <formula>NOT(ISERROR(SEARCH("Yes",L88)))</formula>
    </cfRule>
  </conditionalFormatting>
  <dataValidations count="2">
    <dataValidation type="list" allowBlank="1" showInputMessage="1" showErrorMessage="1" sqref="D32" xr:uid="{61511389-8940-41BC-9FD7-27A321295AEA}">
      <formula1>$I$6:$I$7</formula1>
    </dataValidation>
    <dataValidation type="list" allowBlank="1" showInputMessage="1" showErrorMessage="1" sqref="D31" xr:uid="{33DCB57B-AB8E-4C83-B2AD-B1EE988C48F5}">
      <formula1>$I$8:$I$10</formula1>
    </dataValidation>
  </dataValidations>
  <hyperlinks>
    <hyperlink ref="L25" r:id="rId1" display="https://exceljet.net/excel-functions/excel-if-function" xr:uid="{943842DE-F9ED-467D-B9FC-FA9E0065C658}"/>
    <hyperlink ref="L26" r:id="rId2" display="https://exceljet.net/excel-functions/excel-if-function" xr:uid="{BD5F2BA7-CF90-4C9A-929C-5878F637D18C}"/>
    <hyperlink ref="L27" r:id="rId3" display="https://exceljet.net/excel-functions/excel-if-function" xr:uid="{3E78F8B3-56FB-4FE0-86C8-0EB1ACFCAA9A}"/>
    <hyperlink ref="L47" r:id="rId4" display="https://exceljet.net/excel-functions/excel-if-function" xr:uid="{D8B9ABF2-DC66-4584-9986-FE05E71AB956}"/>
    <hyperlink ref="L62" r:id="rId5" display="https://exceljet.net/excel-functions/excel-if-function" xr:uid="{13E64E7E-D0E7-4564-B214-2970740119AC}"/>
    <hyperlink ref="L61" r:id="rId6" display="https://exceljet.net/excel-functions/excel-if-function" xr:uid="{11D12BA7-C63C-4C89-BD48-F248BE9BA2DD}"/>
    <hyperlink ref="D35" r:id="rId7" display="https://exceljet.net/excel-functions/excel-if-function" xr:uid="{890016B1-8AB9-43A3-80B4-0FB3CA756EFE}"/>
    <hyperlink ref="L18" r:id="rId8" display="https://exceljet.net/excel-functions/excel-if-function" xr:uid="{60B5CE62-9C6C-4B6A-A4FB-09A69B024C08}"/>
    <hyperlink ref="L17" r:id="rId9" display="https://exceljet.net/excel-functions/excel-if-function" xr:uid="{BA2BFDDA-01F4-45E0-B664-694C6B83D352}"/>
    <hyperlink ref="L16" r:id="rId10" display="https://exceljet.net/excel-functions/excel-if-function" xr:uid="{0BF65D57-8666-4848-B510-D159766463BF}"/>
    <hyperlink ref="L14" r:id="rId11" display="https://exceljet.net/excel-functions/excel-if-function" xr:uid="{D095B7A3-4EC3-4BF6-897C-FC0201BEA10C}"/>
    <hyperlink ref="L53" r:id="rId12" display="https://exceljet.net/excel-functions/excel-if-function" xr:uid="{7166EC0F-3469-4B7C-9813-9ACA14DEE46B}"/>
    <hyperlink ref="L54" r:id="rId13" display="https://exceljet.net/excel-functions/excel-if-function" xr:uid="{B06581EB-CC89-4B90-B012-2822000D755D}"/>
    <hyperlink ref="L67" r:id="rId14" display="https://exceljet.net/excel-functions/excel-if-function" xr:uid="{5D7C692B-D060-4CA5-BB6C-4EE30A425FB5}"/>
    <hyperlink ref="L72" r:id="rId15" display="https://exceljet.net/excel-functions/excel-if-function" xr:uid="{F6DC73B9-4260-4E0A-B94A-BAFB09BA2914}"/>
    <hyperlink ref="L73" r:id="rId16" display="https://exceljet.net/excel-functions/excel-if-function" xr:uid="{75D24E4B-6C74-4F73-AB82-5C807B03740A}"/>
    <hyperlink ref="L81" r:id="rId17" display="https://exceljet.net/excel-functions/excel-if-function" xr:uid="{A2506AAA-C748-46C7-925D-A4832E153B56}"/>
    <hyperlink ref="L88" r:id="rId18" display="https://exceljet.net/excel-functions/excel-if-function" xr:uid="{6F3029A7-0A91-4AE4-844C-7EA18E8E4EC2}"/>
    <hyperlink ref="D44" r:id="rId19" display="https://exceljet.net/excel-functions/excel-if-function" xr:uid="{533FA124-B5BC-4C95-AD23-B6FA3C36ECE0}"/>
    <hyperlink ref="L40" r:id="rId20" display="https://exceljet.net/excel-functions/excel-if-function" xr:uid="{143C46A4-030C-4108-A467-D79E6CB1A7AD}"/>
    <hyperlink ref="L39" r:id="rId21" display="https://exceljet.net/excel-functions/excel-if-function" xr:uid="{56510D09-06E9-4150-9C86-E98C316B76CE}"/>
    <hyperlink ref="L33" r:id="rId22" display="https://exceljet.net/excel-functions/excel-if-function" xr:uid="{F1005A47-DB38-4266-8599-28C7EF0E3A2A}"/>
    <hyperlink ref="D55" r:id="rId23" display="https://exceljet.net/excel-functions/excel-if-function" xr:uid="{57C99A49-53FF-494F-9F1A-DE540C27A996}"/>
    <hyperlink ref="L6" r:id="rId24" display="https://exceljet.net/excel-functions/excel-if-function" xr:uid="{45071016-A3D3-4362-939B-CCFFF6FCD38B}"/>
    <hyperlink ref="M25" r:id="rId25" display="https://exceljet.net/excel-functions/excel-if-function" xr:uid="{6B50F12E-39C1-41B5-9F91-5288FEC5E826}"/>
    <hyperlink ref="M26" r:id="rId26" display="https://exceljet.net/excel-functions/excel-if-function" xr:uid="{A0DC164C-B81F-4003-85F2-DCAF6131ACCF}"/>
    <hyperlink ref="M27" r:id="rId27" display="https://exceljet.net/excel-functions/excel-if-function" xr:uid="{6E7943C0-AB90-4E1A-95EB-1636AD223C00}"/>
    <hyperlink ref="M47" r:id="rId28" display="https://exceljet.net/excel-functions/excel-if-function" xr:uid="{742B0C73-63B9-4F2D-BA98-6E2231BEDDDD}"/>
    <hyperlink ref="M72" r:id="rId29" display="https://exceljet.net/excel-functions/excel-if-function" xr:uid="{F5AE6230-9767-4191-84B7-EC16B5AB2439}"/>
    <hyperlink ref="M73" r:id="rId30" display="https://exceljet.net/excel-functions/excel-if-function" xr:uid="{CBD87B4A-E84A-4B23-B956-EB17FB4A4665}"/>
    <hyperlink ref="M81" r:id="rId31" display="https://exceljet.net/excel-functions/excel-if-function" xr:uid="{D039354A-ADFA-42DA-9DD0-0D68B5086EAF}"/>
    <hyperlink ref="M88" r:id="rId32" display="https://exceljet.net/excel-functions/excel-if-function" xr:uid="{7CFFEE0F-71ED-4143-81DC-00A298ED17CA}"/>
    <hyperlink ref="F44" r:id="rId33" display="https://exceljet.net/excel-functions/excel-if-function" xr:uid="{96629993-962A-4481-9899-69F74F6C4675}"/>
    <hyperlink ref="L15" r:id="rId34" display="https://exceljet.net/excel-functions/excel-if-function" xr:uid="{CE2A1297-A5A7-4136-B933-B47917A822A1}"/>
    <hyperlink ref="D48" r:id="rId35" display="https://exceljet.net/excel-functions/excel-if-function" xr:uid="{E9157EFE-CC7A-4112-AC23-9C3F292A9D98}"/>
    <hyperlink ref="F48" r:id="rId36" display="https://exceljet.net/excel-functions/excel-if-function" xr:uid="{380B050C-5579-46FC-8EB4-28C0B006C2D3}"/>
  </hyperlinks>
  <pageMargins left="0.7" right="0.7" top="0.75" bottom="0.75" header="0.3" footer="0.3"/>
  <pageSetup orientation="portrait" r:id="rId3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97EC-21E2-4737-954E-4DC3CF37E1A8}">
  <dimension ref="A1:P81"/>
  <sheetViews>
    <sheetView zoomScale="80" zoomScaleNormal="80" workbookViewId="0">
      <selection activeCell="K3" sqref="K3"/>
    </sheetView>
  </sheetViews>
  <sheetFormatPr defaultColWidth="9.140625" defaultRowHeight="15.6"/>
  <cols>
    <col min="1" max="1" width="9.140625" style="1"/>
    <col min="2" max="2" width="37.85546875" style="1" customWidth="1"/>
    <col min="3" max="3" width="39.42578125" style="35" customWidth="1"/>
    <col min="4" max="4" width="14.42578125" style="1" customWidth="1"/>
    <col min="5" max="5" width="33.140625" style="35" customWidth="1"/>
    <col min="6" max="6" width="15.5703125" style="1" customWidth="1"/>
    <col min="7" max="7" width="15.85546875" style="1" customWidth="1"/>
    <col min="8" max="8" width="16.42578125" style="1" customWidth="1"/>
    <col min="9" max="9" width="4.5703125" style="1" customWidth="1"/>
    <col min="10" max="10" width="49.7109375" style="1" bestFit="1" customWidth="1"/>
    <col min="11" max="11" width="15.140625" style="1" customWidth="1"/>
    <col min="12" max="12" width="24" style="1" customWidth="1"/>
    <col min="13" max="13" width="9.140625" style="1" customWidth="1"/>
    <col min="14" max="14" width="47.28515625" style="1" customWidth="1"/>
    <col min="15" max="15" width="15.85546875" style="1" bestFit="1" customWidth="1"/>
    <col min="16" max="16" width="18.28515625" style="1" customWidth="1"/>
    <col min="17" max="16384" width="9.140625" style="1"/>
  </cols>
  <sheetData>
    <row r="1" spans="2:16" ht="16.149999999999999" thickBot="1">
      <c r="J1" s="36"/>
      <c r="K1" s="37" t="s">
        <v>57</v>
      </c>
      <c r="L1" s="38" t="s">
        <v>58</v>
      </c>
      <c r="O1" s="37" t="s">
        <v>57</v>
      </c>
      <c r="P1" s="38" t="s">
        <v>58</v>
      </c>
    </row>
    <row r="2" spans="2:16" ht="16.149999999999999" thickBot="1">
      <c r="B2" s="144" t="s">
        <v>207</v>
      </c>
      <c r="C2" s="144"/>
      <c r="D2" s="144"/>
      <c r="J2" s="39" t="s">
        <v>60</v>
      </c>
      <c r="K2" s="40" t="s">
        <v>61</v>
      </c>
      <c r="L2" s="41"/>
      <c r="N2" s="11" t="s">
        <v>208</v>
      </c>
      <c r="O2" s="40" t="s">
        <v>61</v>
      </c>
    </row>
    <row r="3" spans="2:16" ht="31.15">
      <c r="B3" s="42"/>
      <c r="C3" s="140" t="s">
        <v>62</v>
      </c>
      <c r="D3" s="140"/>
      <c r="E3" s="140" t="s">
        <v>63</v>
      </c>
      <c r="F3" s="145"/>
      <c r="G3" s="113"/>
      <c r="H3" s="113" t="s">
        <v>64</v>
      </c>
      <c r="J3" s="45" t="s">
        <v>209</v>
      </c>
      <c r="K3" s="46" t="str">
        <f>IF((AND($C$5&lt;20000000,$C$17&lt;200000000)), $H$4, $H$3)</f>
        <v>Not Applicable</v>
      </c>
      <c r="L3" s="47"/>
      <c r="N3" s="35" t="s">
        <v>210</v>
      </c>
      <c r="O3" s="46" t="str">
        <f>IF((OR($C$5&gt;=1000000000,$C$17&gt;=3000000000)), $H$3, $H$4)</f>
        <v>Not Applicable</v>
      </c>
      <c r="P3" s="46" t="str">
        <f>IF((OR($E$5&gt;=1000000000,$E$17&gt;=3000000000)), $H$3, $H$4)</f>
        <v>Not Applicable</v>
      </c>
    </row>
    <row r="4" spans="2:16" ht="16.149999999999999" thickBot="1">
      <c r="B4" s="48" t="s">
        <v>68</v>
      </c>
      <c r="C4" s="8" t="s">
        <v>69</v>
      </c>
      <c r="D4" s="9" t="s">
        <v>70</v>
      </c>
      <c r="E4" s="8" t="s">
        <v>69</v>
      </c>
      <c r="F4" s="114" t="s">
        <v>70</v>
      </c>
      <c r="G4" s="113"/>
      <c r="H4" s="113" t="s">
        <v>71</v>
      </c>
      <c r="J4" s="45" t="s">
        <v>72</v>
      </c>
      <c r="K4" s="57" t="str">
        <f ca="1">IF(OR($K$3=$H$3,$K$4=$H$3),$H$3,$H$4)</f>
        <v>Not Applicable</v>
      </c>
      <c r="L4" s="47"/>
    </row>
    <row r="5" spans="2:16" ht="29.45" thickBot="1">
      <c r="B5" s="51" t="s">
        <v>75</v>
      </c>
      <c r="C5" s="52"/>
      <c r="D5" s="53">
        <f>C5/10000000</f>
        <v>0</v>
      </c>
      <c r="E5" s="52">
        <f>+C5</f>
        <v>0</v>
      </c>
      <c r="F5" s="115">
        <f t="shared" ref="F5:F14" si="0">E5/10000000</f>
        <v>0</v>
      </c>
      <c r="G5" s="113"/>
      <c r="H5" s="116" t="s">
        <v>76</v>
      </c>
      <c r="J5" s="45"/>
      <c r="K5" s="5"/>
      <c r="L5" s="47"/>
    </row>
    <row r="6" spans="2:16" ht="16.149999999999999" thickBot="1">
      <c r="B6" s="51" t="s">
        <v>78</v>
      </c>
      <c r="C6" s="52"/>
      <c r="D6" s="53">
        <f t="shared" ref="D6:D22" si="1">C6/10000000</f>
        <v>0</v>
      </c>
      <c r="E6" s="52"/>
      <c r="F6" s="115">
        <f t="shared" si="0"/>
        <v>0</v>
      </c>
      <c r="G6" s="113"/>
      <c r="H6" s="116" t="s">
        <v>79</v>
      </c>
      <c r="J6" s="56" t="s">
        <v>80</v>
      </c>
      <c r="K6" s="57" t="str">
        <f ca="1">IF(OR($K$3=$H$3,$K$4=$H$3),$H$3,$H$4)</f>
        <v>Not Applicable</v>
      </c>
      <c r="L6" s="58"/>
      <c r="N6" s="11" t="s">
        <v>211</v>
      </c>
      <c r="O6" s="40" t="s">
        <v>61</v>
      </c>
    </row>
    <row r="7" spans="2:16" ht="46.9">
      <c r="B7" s="51" t="s">
        <v>212</v>
      </c>
      <c r="C7" s="52"/>
      <c r="D7" s="53">
        <f>C7/10000000</f>
        <v>0</v>
      </c>
      <c r="E7" s="52"/>
      <c r="F7" s="115">
        <f t="shared" si="0"/>
        <v>0</v>
      </c>
      <c r="G7" s="113"/>
      <c r="H7" s="116" t="s">
        <v>83</v>
      </c>
      <c r="J7" s="59"/>
      <c r="K7" s="60"/>
      <c r="L7" s="61"/>
      <c r="N7" s="35" t="s">
        <v>213</v>
      </c>
      <c r="O7" s="46" t="str">
        <f>IF((OR($C$5&gt;=100000000,$C$17&gt;=1000000000,$C$7&gt;500000000)), $H$3, $H$4)</f>
        <v>Not Applicable</v>
      </c>
      <c r="P7" s="46" t="str">
        <f>IF((OR($E$5&gt;=100000000,$E$17&gt;=1000000000,$E$7&gt;500000000)), $H$3, $H$4)</f>
        <v>Not Applicable</v>
      </c>
    </row>
    <row r="8" spans="2:16" ht="31.9" thickBot="1">
      <c r="B8" s="51" t="s">
        <v>85</v>
      </c>
      <c r="C8" s="52"/>
      <c r="D8" s="53">
        <f t="shared" si="1"/>
        <v>0</v>
      </c>
      <c r="E8" s="117"/>
      <c r="F8" s="115">
        <f t="shared" si="0"/>
        <v>0</v>
      </c>
      <c r="G8" s="113"/>
      <c r="H8" s="113" t="s">
        <v>214</v>
      </c>
      <c r="J8" s="62"/>
      <c r="K8" s="63"/>
      <c r="L8" s="64"/>
    </row>
    <row r="9" spans="2:16">
      <c r="B9" s="51" t="s">
        <v>88</v>
      </c>
      <c r="C9" s="52"/>
      <c r="D9" s="53">
        <f t="shared" si="1"/>
        <v>0</v>
      </c>
      <c r="E9" s="117"/>
      <c r="F9" s="115">
        <f t="shared" si="0"/>
        <v>0</v>
      </c>
      <c r="G9" s="113"/>
      <c r="H9" s="113" t="s">
        <v>215</v>
      </c>
      <c r="J9" s="39" t="s">
        <v>90</v>
      </c>
      <c r="K9" s="40" t="s">
        <v>91</v>
      </c>
      <c r="L9" s="41"/>
    </row>
    <row r="10" spans="2:16" ht="16.149999999999999" thickBot="1">
      <c r="B10" s="51" t="s">
        <v>93</v>
      </c>
      <c r="C10" s="52"/>
      <c r="D10" s="53">
        <f t="shared" si="1"/>
        <v>0</v>
      </c>
      <c r="E10" s="6"/>
      <c r="F10" s="115">
        <f t="shared" si="0"/>
        <v>0</v>
      </c>
      <c r="G10" s="113"/>
      <c r="H10" s="113"/>
      <c r="J10" s="66" t="s">
        <v>150</v>
      </c>
      <c r="K10" s="5" t="s">
        <v>64</v>
      </c>
      <c r="L10" s="47"/>
    </row>
    <row r="11" spans="2:16" ht="31.15">
      <c r="B11" s="51" t="s">
        <v>100</v>
      </c>
      <c r="C11" s="52"/>
      <c r="D11" s="53">
        <f t="shared" si="1"/>
        <v>0</v>
      </c>
      <c r="E11" s="6"/>
      <c r="F11" s="115">
        <f t="shared" si="0"/>
        <v>0</v>
      </c>
      <c r="G11" s="113"/>
      <c r="H11" s="113"/>
      <c r="J11" s="82" t="s">
        <v>131</v>
      </c>
      <c r="K11" s="43"/>
      <c r="L11" s="41"/>
    </row>
    <row r="12" spans="2:16" ht="31.15">
      <c r="B12" s="66" t="s">
        <v>106</v>
      </c>
      <c r="C12" s="52"/>
      <c r="D12" s="53">
        <f t="shared" si="1"/>
        <v>0</v>
      </c>
      <c r="E12" s="52"/>
      <c r="F12" s="115">
        <f t="shared" si="0"/>
        <v>0</v>
      </c>
      <c r="G12" s="113" t="s">
        <v>89</v>
      </c>
      <c r="H12" s="118">
        <f>$E$16*0.6</f>
        <v>0</v>
      </c>
      <c r="J12" s="83"/>
      <c r="K12" s="3"/>
      <c r="L12" s="47"/>
    </row>
    <row r="13" spans="2:16">
      <c r="B13" s="66" t="s">
        <v>112</v>
      </c>
      <c r="C13" s="52"/>
      <c r="D13" s="53">
        <f t="shared" si="1"/>
        <v>0</v>
      </c>
      <c r="E13" s="73"/>
      <c r="F13" s="115">
        <f t="shared" si="0"/>
        <v>0</v>
      </c>
      <c r="G13" s="113" t="s">
        <v>94</v>
      </c>
      <c r="H13" s="118">
        <f>$E$6</f>
        <v>0</v>
      </c>
      <c r="J13" s="84" t="s">
        <v>135</v>
      </c>
      <c r="K13" s="46" t="str">
        <f>IF($C$16&gt;=5000000000,"Applicable","Not Applicable")</f>
        <v>Not Applicable</v>
      </c>
      <c r="L13" s="85" t="str">
        <f>IF($E$16&gt;=5000000000,"Applicable","Not Applicable")</f>
        <v>Not Applicable</v>
      </c>
    </row>
    <row r="14" spans="2:16" ht="31.15">
      <c r="B14" s="51" t="s">
        <v>117</v>
      </c>
      <c r="C14" s="52"/>
      <c r="D14" s="53">
        <f t="shared" si="1"/>
        <v>0</v>
      </c>
      <c r="E14" s="73"/>
      <c r="F14" s="115">
        <f t="shared" si="0"/>
        <v>0</v>
      </c>
      <c r="G14" s="113" t="s">
        <v>101</v>
      </c>
      <c r="H14" s="118">
        <f>MAX($H$12,$H$13)</f>
        <v>0</v>
      </c>
      <c r="J14" s="84" t="s">
        <v>138</v>
      </c>
      <c r="K14" s="46" t="str">
        <f>IF($C$17&gt;=10000000000,"Applicable","Not Applicable")</f>
        <v>Not Applicable</v>
      </c>
      <c r="L14" s="85" t="str">
        <f>IF($E$17&gt;=10000000000,"Applicable","Not Applicable")</f>
        <v>Not Applicable</v>
      </c>
    </row>
    <row r="15" spans="2:16">
      <c r="B15" s="66" t="s">
        <v>120</v>
      </c>
      <c r="C15" s="74"/>
      <c r="D15" s="53">
        <f t="shared" si="1"/>
        <v>0</v>
      </c>
      <c r="E15" s="73"/>
      <c r="F15" s="115">
        <f>E15/10000000</f>
        <v>0</v>
      </c>
      <c r="G15" s="113"/>
      <c r="H15" s="113"/>
      <c r="J15" s="84" t="s">
        <v>139</v>
      </c>
      <c r="K15" s="46" t="str">
        <f>IF($C$19&gt;=50000000,"Applicable","Not Applicable")</f>
        <v>Not Applicable</v>
      </c>
      <c r="L15" s="85" t="str">
        <f>IF($E$19&gt;=50000000,"Applicable","Not Applicable")</f>
        <v>Not Applicable</v>
      </c>
    </row>
    <row r="16" spans="2:16">
      <c r="B16" s="75" t="s">
        <v>122</v>
      </c>
      <c r="C16" s="76">
        <f>$C$5+$C$6</f>
        <v>0</v>
      </c>
      <c r="D16" s="53">
        <f t="shared" si="1"/>
        <v>0</v>
      </c>
      <c r="E16" s="76"/>
      <c r="F16" s="115">
        <f>E16/10000000</f>
        <v>0</v>
      </c>
      <c r="G16" s="113"/>
      <c r="H16" s="113"/>
      <c r="J16" s="84"/>
      <c r="K16" s="46"/>
      <c r="L16" s="85"/>
    </row>
    <row r="17" spans="1:12" ht="16.149999999999999" thickBot="1">
      <c r="B17" s="51" t="s">
        <v>124</v>
      </c>
      <c r="C17" s="52"/>
      <c r="D17" s="53">
        <f t="shared" si="1"/>
        <v>0</v>
      </c>
      <c r="E17" s="52"/>
      <c r="F17" s="115">
        <f>E17/10000000</f>
        <v>0</v>
      </c>
      <c r="J17" s="86" t="s">
        <v>80</v>
      </c>
      <c r="K17" s="57" t="str">
        <f>IF(OR($K$13=$H$3,$K$14=$H$3,$K$15=$H$3),$H$3,$H$4)</f>
        <v>Not Applicable</v>
      </c>
      <c r="L17" s="87" t="str">
        <f>IF(OR($L$13=$H$3,$L$14=$H$3,$L$15=$H$3),$H$3,$H$4)</f>
        <v>Not Applicable</v>
      </c>
    </row>
    <row r="18" spans="1:12" ht="16.149999999999999" thickBot="1">
      <c r="B18" s="51" t="s">
        <v>128</v>
      </c>
      <c r="C18" s="52"/>
      <c r="D18" s="53">
        <f t="shared" si="1"/>
        <v>0</v>
      </c>
      <c r="E18" s="52"/>
      <c r="F18" s="54">
        <f>E18/10000000</f>
        <v>0</v>
      </c>
      <c r="G18" s="60" t="s">
        <v>125</v>
      </c>
      <c r="H18" s="1" t="s">
        <v>126</v>
      </c>
      <c r="J18" s="79"/>
      <c r="K18" s="80"/>
      <c r="L18" s="81"/>
    </row>
    <row r="19" spans="1:12">
      <c r="B19" s="51" t="s">
        <v>130</v>
      </c>
      <c r="C19" s="52"/>
      <c r="D19" s="53">
        <f t="shared" si="1"/>
        <v>0</v>
      </c>
      <c r="E19" s="52"/>
      <c r="F19" s="54">
        <f>E19/10000000</f>
        <v>0</v>
      </c>
      <c r="G19" s="78"/>
      <c r="H19" s="78"/>
      <c r="J19" s="88" t="s">
        <v>147</v>
      </c>
      <c r="K19" s="43"/>
      <c r="L19" s="41"/>
    </row>
    <row r="20" spans="1:12">
      <c r="B20" s="45" t="s">
        <v>216</v>
      </c>
      <c r="C20" s="73"/>
      <c r="D20" s="5">
        <f t="shared" si="1"/>
        <v>0</v>
      </c>
      <c r="E20" s="6"/>
      <c r="F20" s="47"/>
      <c r="J20" s="84" t="s">
        <v>217</v>
      </c>
      <c r="K20" s="46" t="str">
        <f>IF($C$5&gt;=100000000,"Applicable","Not Applicable")</f>
        <v>Not Applicable</v>
      </c>
      <c r="L20" s="46" t="str">
        <f>IF($E$5&gt;=100000000,"Applicable","Not Applicable")</f>
        <v>Not Applicable</v>
      </c>
    </row>
    <row r="21" spans="1:12">
      <c r="B21" s="45" t="s">
        <v>134</v>
      </c>
      <c r="C21" s="73"/>
      <c r="D21" s="5">
        <f t="shared" si="1"/>
        <v>0</v>
      </c>
      <c r="E21" s="6"/>
      <c r="F21" s="47"/>
      <c r="J21" s="84" t="s">
        <v>218</v>
      </c>
      <c r="K21" s="46" t="str">
        <f>IF($C$7&gt;=500000000,"Applicable","Not Applicable")</f>
        <v>Not Applicable</v>
      </c>
      <c r="L21" s="46" t="str">
        <f>IF($E$7&gt;=500000000,"Applicable","Not Applicable")</f>
        <v>Not Applicable</v>
      </c>
    </row>
    <row r="22" spans="1:12">
      <c r="B22" s="45" t="s">
        <v>219</v>
      </c>
      <c r="C22" s="73"/>
      <c r="D22" s="5">
        <f t="shared" si="1"/>
        <v>0</v>
      </c>
      <c r="E22" s="6"/>
      <c r="F22" s="47"/>
      <c r="J22" s="84"/>
      <c r="K22" s="46"/>
      <c r="L22" s="47"/>
    </row>
    <row r="23" spans="1:12" ht="16.149999999999999" thickBot="1">
      <c r="B23" s="45" t="s">
        <v>220</v>
      </c>
      <c r="C23" s="73"/>
      <c r="D23" s="5"/>
      <c r="E23" s="6"/>
      <c r="F23" s="47"/>
      <c r="J23" s="86" t="s">
        <v>80</v>
      </c>
      <c r="K23" s="57" t="str">
        <f>IF(OR($K$20=$H$3,$K$21=$H$3,),$H$3,$H$4)</f>
        <v>Not Applicable</v>
      </c>
      <c r="L23" s="57" t="str">
        <f>IF(OR($L$20=$H$3,$L$21=$H$3,),$H$3,$H$4)</f>
        <v>Not Applicable</v>
      </c>
    </row>
    <row r="24" spans="1:12" ht="16.149999999999999" thickBot="1">
      <c r="B24" s="45" t="s">
        <v>140</v>
      </c>
      <c r="C24" s="73"/>
      <c r="D24" s="5"/>
      <c r="E24" s="6"/>
      <c r="F24" s="47"/>
      <c r="J24" s="79"/>
      <c r="K24" s="80"/>
      <c r="L24" s="81"/>
    </row>
    <row r="25" spans="1:12">
      <c r="B25" s="45" t="s">
        <v>142</v>
      </c>
      <c r="C25" s="73"/>
      <c r="D25" s="5"/>
      <c r="E25" s="6"/>
      <c r="F25" s="47"/>
      <c r="J25" s="95" t="s">
        <v>156</v>
      </c>
      <c r="K25" s="96"/>
      <c r="L25" s="41"/>
    </row>
    <row r="26" spans="1:12" ht="31.15">
      <c r="B26" s="66" t="s">
        <v>144</v>
      </c>
      <c r="C26" s="74"/>
      <c r="D26" s="53">
        <f>C26/10000000</f>
        <v>0</v>
      </c>
      <c r="E26" s="6"/>
      <c r="F26" s="54">
        <f>E26/10000000</f>
        <v>0</v>
      </c>
      <c r="J26" s="98" t="s">
        <v>158</v>
      </c>
      <c r="K26" s="10" t="s">
        <v>96</v>
      </c>
      <c r="L26" s="47"/>
    </row>
    <row r="27" spans="1:12">
      <c r="B27" s="45" t="s">
        <v>146</v>
      </c>
      <c r="C27" s="73" t="s">
        <v>76</v>
      </c>
      <c r="D27" s="5"/>
      <c r="E27" s="73" t="s">
        <v>76</v>
      </c>
      <c r="F27" s="47"/>
      <c r="J27" s="84" t="s">
        <v>160</v>
      </c>
      <c r="K27" s="46" t="str">
        <f>IF($C$5&gt;=50000000,"Applicable","Not Applicable")</f>
        <v>Not Applicable</v>
      </c>
      <c r="L27" s="46" t="str">
        <f>IF($E$5&gt;=50000000,"Applicable","Not Applicable")</f>
        <v>Not Applicable</v>
      </c>
    </row>
    <row r="28" spans="1:12">
      <c r="B28" s="1" t="s">
        <v>221</v>
      </c>
      <c r="C28" s="35" t="s">
        <v>215</v>
      </c>
      <c r="E28" s="35" t="s">
        <v>214</v>
      </c>
      <c r="J28" s="98" t="s">
        <v>161</v>
      </c>
      <c r="K28" s="46" t="str">
        <f>IF($C$17&gt;=1000000000,"Applicable","Not Applicable")</f>
        <v>Not Applicable</v>
      </c>
      <c r="L28" s="46" t="str">
        <f>IF($E$17&gt;=1000000000,"Applicable","Not Applicable")</f>
        <v>Not Applicable</v>
      </c>
    </row>
    <row r="29" spans="1:12" ht="18">
      <c r="B29" s="5"/>
      <c r="C29" s="146" t="s">
        <v>57</v>
      </c>
      <c r="D29" s="146"/>
      <c r="E29" s="147" t="s">
        <v>63</v>
      </c>
      <c r="F29" s="147"/>
      <c r="J29" s="98" t="s">
        <v>222</v>
      </c>
      <c r="K29" s="50" t="str">
        <f>IF($C$28=$H$8,"Applicable","Not Applicable")</f>
        <v>Not Applicable</v>
      </c>
      <c r="L29" s="50" t="str">
        <f>IF($E$28=$H$8,"Applicable","Not Applicable")</f>
        <v>Applicable</v>
      </c>
    </row>
    <row r="30" spans="1:12" ht="16.149999999999999" thickBot="1">
      <c r="B30" s="9" t="s">
        <v>153</v>
      </c>
      <c r="C30" s="8" t="s">
        <v>61</v>
      </c>
      <c r="D30" s="9" t="s">
        <v>154</v>
      </c>
      <c r="E30" s="8"/>
      <c r="F30" s="9"/>
      <c r="J30" s="86" t="s">
        <v>80</v>
      </c>
      <c r="K30" s="57" t="str">
        <f>IF(OR($K$26=H$3,$K$27=$H$3,$K$28=$H$3),$H$3,$H$4)</f>
        <v>Not Applicable</v>
      </c>
      <c r="L30" s="57" t="str">
        <f>IF(OR($L$26=I$3,$L$27=$H$3,$L$28=$H$3),$H$3,$H$4)</f>
        <v>Applicable</v>
      </c>
    </row>
    <row r="31" spans="1:12" ht="16.149999999999999" thickBot="1">
      <c r="A31" s="1">
        <v>1</v>
      </c>
      <c r="B31" s="119" t="s">
        <v>155</v>
      </c>
      <c r="C31" s="120" t="s">
        <v>223</v>
      </c>
      <c r="D31" s="53"/>
      <c r="E31" s="121" t="str">
        <f>C31</f>
        <v>No it is not a small company</v>
      </c>
      <c r="F31" s="53"/>
      <c r="J31" s="79"/>
      <c r="K31" s="80"/>
      <c r="L31" s="81"/>
    </row>
    <row r="32" spans="1:12">
      <c r="A32" s="1">
        <v>2</v>
      </c>
      <c r="B32" s="5" t="str">
        <f>J9</f>
        <v>CARO</v>
      </c>
      <c r="C32" s="122" t="s">
        <v>64</v>
      </c>
      <c r="D32" s="5"/>
      <c r="E32" s="122" t="s">
        <v>64</v>
      </c>
      <c r="F32" s="53"/>
      <c r="J32" s="39" t="s">
        <v>166</v>
      </c>
      <c r="K32" s="43"/>
      <c r="L32" s="41"/>
    </row>
    <row r="33" spans="1:12">
      <c r="A33" s="1">
        <v>3</v>
      </c>
      <c r="B33" s="5" t="str">
        <f>J19</f>
        <v>Rotation of Auditors</v>
      </c>
      <c r="C33" s="122" t="str">
        <f>$K$23</f>
        <v>Not Applicable</v>
      </c>
      <c r="D33" s="5"/>
      <c r="E33" s="121" t="str">
        <f>$L$23</f>
        <v>Not Applicable</v>
      </c>
      <c r="F33" s="53"/>
      <c r="J33" s="45" t="s">
        <v>168</v>
      </c>
      <c r="K33" s="5" t="s">
        <v>96</v>
      </c>
      <c r="L33" s="47" t="s">
        <v>96</v>
      </c>
    </row>
    <row r="34" spans="1:12">
      <c r="A34" s="1">
        <v>4</v>
      </c>
      <c r="B34" s="5" t="s">
        <v>159</v>
      </c>
      <c r="C34" s="122" t="str">
        <f>$K$30</f>
        <v>Not Applicable</v>
      </c>
      <c r="D34" s="5"/>
      <c r="E34" s="121" t="str">
        <f>L30</f>
        <v>Applicable</v>
      </c>
      <c r="F34" s="53"/>
      <c r="J34" s="45" t="s">
        <v>170</v>
      </c>
      <c r="K34" s="5" t="s">
        <v>96</v>
      </c>
      <c r="L34" s="47" t="s">
        <v>96</v>
      </c>
    </row>
    <row r="35" spans="1:12">
      <c r="A35" s="1">
        <v>5</v>
      </c>
      <c r="B35" s="5" t="str">
        <f>J32</f>
        <v>Vigil Mechanism</v>
      </c>
      <c r="C35" s="122" t="str">
        <f>$K$37</f>
        <v>Not Applicable</v>
      </c>
      <c r="D35" s="5"/>
      <c r="E35" s="121" t="str">
        <f>L37</f>
        <v>Not Applicable</v>
      </c>
      <c r="F35" s="53"/>
      <c r="J35" s="45" t="s">
        <v>175</v>
      </c>
      <c r="K35" s="46" t="str">
        <f>IF($C$7&gt;500000000,"Applicable","Not Applicable")</f>
        <v>Not Applicable</v>
      </c>
      <c r="L35" s="85" t="str">
        <f>IF($E$7&gt;500000000,"Applicable","Not Applicable")</f>
        <v>Not Applicable</v>
      </c>
    </row>
    <row r="36" spans="1:12">
      <c r="A36" s="1">
        <v>6</v>
      </c>
      <c r="B36" s="5" t="str">
        <f>J39</f>
        <v>Internal Financial Controls</v>
      </c>
      <c r="C36" s="122" t="s">
        <v>64</v>
      </c>
      <c r="D36" s="5"/>
      <c r="E36" s="122" t="s">
        <v>64</v>
      </c>
      <c r="F36" s="6"/>
      <c r="J36" s="45"/>
      <c r="K36" s="5"/>
      <c r="L36" s="47"/>
    </row>
    <row r="37" spans="1:12" ht="16.149999999999999" thickBot="1">
      <c r="A37" s="1">
        <v>7</v>
      </c>
      <c r="B37" s="5" t="s">
        <v>163</v>
      </c>
      <c r="C37" s="122" t="str">
        <f>$K$59</f>
        <v>Not Applicable</v>
      </c>
      <c r="D37" s="5"/>
      <c r="E37" s="122" t="str">
        <f>$L$59</f>
        <v>Not Applicable</v>
      </c>
      <c r="F37" s="53"/>
      <c r="J37" s="86" t="s">
        <v>80</v>
      </c>
      <c r="K37" s="57" t="str">
        <f>IF(OR($K$33=$H$3,$K$34=$H$3,$K$35=$H$3),$H$3,$H$4)</f>
        <v>Not Applicable</v>
      </c>
      <c r="L37" s="87" t="str">
        <f>IF(OR($L$33=$H$3,$L$34=$H$3,$L$35=$H$3),$H$3,$H$4)</f>
        <v>Not Applicable</v>
      </c>
    </row>
    <row r="38" spans="1:12" ht="16.149999999999999" thickBot="1">
      <c r="A38" s="1">
        <v>8</v>
      </c>
      <c r="B38" s="5" t="s">
        <v>164</v>
      </c>
      <c r="C38" s="122" t="str">
        <f>$K$67</f>
        <v>Not Applicable</v>
      </c>
      <c r="D38" s="5"/>
      <c r="E38" s="122" t="str">
        <f>$L$67</f>
        <v>Not Applicable</v>
      </c>
      <c r="F38" s="53"/>
      <c r="J38" s="79"/>
      <c r="K38" s="80"/>
      <c r="L38" s="81"/>
    </row>
    <row r="39" spans="1:12">
      <c r="A39" s="1">
        <v>9</v>
      </c>
      <c r="B39" s="5" t="s">
        <v>224</v>
      </c>
      <c r="C39" s="122" t="str">
        <f>IF($C$5&gt;50000000,"To appoint CS","Need not appoint CS")</f>
        <v>Need not appoint CS</v>
      </c>
      <c r="D39" s="5"/>
      <c r="E39" s="122" t="str">
        <f>IF($E$5&gt;50000000,"To appoint CS","Need not appoint CS")</f>
        <v>Need not appoint CS</v>
      </c>
      <c r="F39" s="53"/>
      <c r="J39" s="39" t="s">
        <v>181</v>
      </c>
      <c r="K39" s="43"/>
      <c r="L39" s="41"/>
    </row>
    <row r="40" spans="1:12" ht="16.149999999999999" thickBot="1">
      <c r="A40" s="1">
        <v>10</v>
      </c>
      <c r="B40" s="5" t="s">
        <v>167</v>
      </c>
      <c r="C40" s="6" t="str">
        <f>$K$81</f>
        <v>Not Applicable</v>
      </c>
      <c r="D40" s="5"/>
      <c r="E40" s="6" t="str">
        <f>$L$81</f>
        <v>Not Applicable</v>
      </c>
      <c r="F40" s="53"/>
      <c r="J40" s="86" t="s">
        <v>80</v>
      </c>
      <c r="K40" s="57" t="s">
        <v>64</v>
      </c>
      <c r="L40" s="58"/>
    </row>
    <row r="41" spans="1:12">
      <c r="A41" s="1">
        <v>11</v>
      </c>
      <c r="B41" s="5" t="s">
        <v>169</v>
      </c>
      <c r="C41" s="6" t="str">
        <f>IF($C$8&gt;0,"Check for Sec 185 Compliance","Not Applicable")</f>
        <v>Not Applicable</v>
      </c>
      <c r="D41" s="5"/>
      <c r="E41" s="6" t="str">
        <f>IF($E$8&gt;0,"Check for Sec 185 Compliance","Not Applicable")</f>
        <v>Not Applicable</v>
      </c>
      <c r="F41" s="5"/>
      <c r="J41" s="59"/>
      <c r="K41" s="60"/>
      <c r="L41" s="61"/>
    </row>
    <row r="42" spans="1:12" ht="124.9">
      <c r="A42" s="1">
        <v>12</v>
      </c>
      <c r="B42" s="5" t="s">
        <v>171</v>
      </c>
      <c r="C42" s="122" t="s">
        <v>174</v>
      </c>
      <c r="D42" s="6" t="s">
        <v>173</v>
      </c>
      <c r="E42" s="122" t="s">
        <v>174</v>
      </c>
      <c r="F42" s="6" t="s">
        <v>173</v>
      </c>
      <c r="J42" s="102" t="s">
        <v>190</v>
      </c>
      <c r="K42" s="5"/>
      <c r="L42" s="47"/>
    </row>
    <row r="43" spans="1:12">
      <c r="A43" s="1">
        <v>13</v>
      </c>
      <c r="B43" s="5" t="s">
        <v>177</v>
      </c>
      <c r="C43" s="6" t="str">
        <f>IF($C$27=$H$6,"Applicable, Check AOC 1 is annexed with Board's report","Not Applicable")</f>
        <v>Not Applicable</v>
      </c>
      <c r="D43" s="5"/>
      <c r="E43" s="6" t="str">
        <f>IF($E$27=$H$6,"Applicable, Check AOC 1 is annexed with Board's report","Not Applicable")</f>
        <v>Not Applicable</v>
      </c>
      <c r="F43" s="6"/>
      <c r="J43" s="98"/>
      <c r="K43" s="5"/>
      <c r="L43" s="47"/>
    </row>
    <row r="44" spans="1:12">
      <c r="A44" s="1">
        <v>14</v>
      </c>
      <c r="B44" s="5" t="s">
        <v>179</v>
      </c>
      <c r="C44" s="122" t="str">
        <f>IF(($C$20+$C$21+$C$22+$C$23+$C$24)&gt;0,"Applicable, Fill in Sec 188 Compliance sheet","Not Applicable")</f>
        <v>Not Applicable</v>
      </c>
      <c r="D44" s="5"/>
      <c r="E44" s="6" t="str">
        <f>IF(($E$20+$E$21+$E$22+$E$23+$E$24)&gt;0,"Applicable, Fill in Sec 188 Compliance sheet","Not Applicable")</f>
        <v>Not Applicable</v>
      </c>
      <c r="F44" s="6"/>
      <c r="J44" s="101" t="s">
        <v>191</v>
      </c>
      <c r="K44" s="5" t="s">
        <v>96</v>
      </c>
      <c r="L44" s="47"/>
    </row>
    <row r="45" spans="1:12">
      <c r="A45" s="1">
        <v>15</v>
      </c>
      <c r="B45" s="5" t="s">
        <v>180</v>
      </c>
      <c r="C45" s="122" t="str">
        <f>IF(($C$20+$C$21+$C$22+$C$23+$C$24)&gt;0,"Applicable, Fill in Sec 188 Compliance sheet","Not Applicable")</f>
        <v>Not Applicable</v>
      </c>
      <c r="D45" s="5"/>
      <c r="E45" s="6" t="str">
        <f>IF(($E$20+$E$21+$E$22+$E$23+$E$24)&gt;0,"Applicable, Fill in Sec 188 Compliance sheet","Not Applicable")</f>
        <v>Not Applicable</v>
      </c>
      <c r="F45" s="5"/>
      <c r="J45" s="101" t="s">
        <v>192</v>
      </c>
      <c r="K45" s="46" t="str">
        <f>IF($C$5&gt;=100000000,"Applicable","Not Applicable")</f>
        <v>Not Applicable</v>
      </c>
      <c r="L45" s="46" t="str">
        <f>IF($E$5&gt;=100000000,"Applicable","Not Applicable")</f>
        <v>Not Applicable</v>
      </c>
    </row>
    <row r="46" spans="1:12">
      <c r="A46" s="1">
        <v>16</v>
      </c>
      <c r="B46" s="5" t="str">
        <f>J11</f>
        <v>Corporate Social Responsibility</v>
      </c>
      <c r="C46" s="6" t="str">
        <f>$K$17</f>
        <v>Not Applicable</v>
      </c>
      <c r="D46" s="5"/>
      <c r="E46" s="6" t="str">
        <f>$L$17</f>
        <v>Not Applicable</v>
      </c>
      <c r="F46" s="5"/>
      <c r="J46" s="101" t="s">
        <v>193</v>
      </c>
      <c r="K46" s="46" t="str">
        <f>IF($C$17&gt;=500000000,"Applicable","Not Applicable")</f>
        <v>Not Applicable</v>
      </c>
      <c r="L46" s="46" t="str">
        <f>IF($E$17&gt;=500000000,"Applicable","Not Applicable")</f>
        <v>Not Applicable</v>
      </c>
    </row>
    <row r="47" spans="1:12">
      <c r="A47" s="1">
        <v>17</v>
      </c>
      <c r="B47" s="5" t="s">
        <v>182</v>
      </c>
      <c r="C47" s="6" t="str">
        <f>IF((($C$19+$E$19+$G$19)*2%)&gt;5000000,"Check CSR Committee compliance","Not Applicable")</f>
        <v>Not Applicable</v>
      </c>
      <c r="D47" s="5"/>
      <c r="E47" s="6" t="str">
        <f>IF((($H$19+$E$19+$G$19)*2%)&gt;5000000,"Check CSR Committee compliance","Not Applicable")</f>
        <v>Not Applicable</v>
      </c>
      <c r="F47" s="5"/>
      <c r="J47" s="101"/>
      <c r="K47" s="46"/>
      <c r="L47" s="46"/>
    </row>
    <row r="48" spans="1:12">
      <c r="A48" s="1">
        <v>18</v>
      </c>
      <c r="B48" s="5" t="s">
        <v>184</v>
      </c>
      <c r="C48" s="6" t="str">
        <f>IF($C$12&gt;0,"Applicable, Is deposit declaration obtained","Not Applicable")</f>
        <v>Not Applicable</v>
      </c>
      <c r="D48" s="5"/>
      <c r="E48" s="6" t="str">
        <f>IF($E$12&gt;0,"Applicable, Is deposit declaration obtained","Not Applicable")</f>
        <v>Not Applicable</v>
      </c>
      <c r="F48" s="5"/>
      <c r="J48" s="99" t="s">
        <v>80</v>
      </c>
      <c r="K48" s="50" t="str">
        <f>IF(OR($K$44=$H$3,$K$45=$H$3,$K$46=$H$3),$H$3,$H$4)</f>
        <v>Not Applicable</v>
      </c>
      <c r="L48" s="50" t="str">
        <f>IF(OR($L$44=$H$3,$L$45=$H$3,$L$46=$H$3),$H$3,$H$4)</f>
        <v>Not Applicable</v>
      </c>
    </row>
    <row r="49" spans="1:12" ht="62.45">
      <c r="A49" s="1">
        <v>19</v>
      </c>
      <c r="B49" s="123" t="s">
        <v>186</v>
      </c>
      <c r="C49" s="122" t="str">
        <f>IF(($C$7+$C$14)&gt;0,"Applicable, Is  Form DPT 3  filed","Not Applicable")</f>
        <v>Not Applicable</v>
      </c>
      <c r="D49" s="6" t="s">
        <v>187</v>
      </c>
      <c r="E49" s="6" t="str">
        <f>IF(($E$7+$E$14)&gt;0,"Applicable, Is  Form DPT 3  filed","Not Applicable")</f>
        <v>Not Applicable</v>
      </c>
      <c r="F49" s="6"/>
      <c r="J49" s="101"/>
      <c r="K49" s="5"/>
      <c r="L49" s="47"/>
    </row>
    <row r="50" spans="1:12" ht="62.45">
      <c r="A50" s="1">
        <v>20</v>
      </c>
      <c r="B50" s="5" t="s">
        <v>188</v>
      </c>
      <c r="C50" s="6" t="str">
        <f>IF($C$15&gt;0,"Applicable, Is Form MSME filed","Not Applicable")</f>
        <v>Not Applicable</v>
      </c>
      <c r="D50" s="6" t="s">
        <v>187</v>
      </c>
      <c r="E50" s="6" t="str">
        <f>IF($E$15&gt;0,"Applicable, Is Form MSME filed","Not Applicable")</f>
        <v>Not Applicable</v>
      </c>
      <c r="F50" s="6"/>
      <c r="J50" s="106" t="s">
        <v>194</v>
      </c>
      <c r="K50" s="5"/>
      <c r="L50" s="47"/>
    </row>
    <row r="51" spans="1:12" ht="62.45">
      <c r="A51" s="1">
        <v>21</v>
      </c>
      <c r="B51" s="5" t="s">
        <v>189</v>
      </c>
      <c r="C51" s="122" t="str">
        <f>IF($C$26&gt;0,"Ben Compliance to be checked","Not Applicable")</f>
        <v>Not Applicable</v>
      </c>
      <c r="D51" s="6" t="s">
        <v>187</v>
      </c>
      <c r="E51" s="6" t="str">
        <f>IF($E$26&gt;0,"Ben Compliance to be checked","Not Applicable")</f>
        <v>Not Applicable</v>
      </c>
      <c r="F51" s="6"/>
      <c r="J51" s="101" t="s">
        <v>195</v>
      </c>
      <c r="K51" s="46" t="str">
        <f ca="1">K6</f>
        <v>Not Applicable</v>
      </c>
      <c r="L51" s="47"/>
    </row>
    <row r="52" spans="1:12">
      <c r="A52" s="1">
        <v>22</v>
      </c>
      <c r="B52" s="5" t="str">
        <f>J42</f>
        <v>MGT 8 Applicability</v>
      </c>
      <c r="C52" s="122" t="str">
        <f>$K48</f>
        <v>Not Applicable</v>
      </c>
      <c r="D52" s="5"/>
      <c r="E52" s="6" t="str">
        <f>$L$48</f>
        <v>Not Applicable</v>
      </c>
      <c r="F52" s="5"/>
      <c r="J52" s="101"/>
      <c r="K52" s="5"/>
      <c r="L52" s="47"/>
    </row>
    <row r="53" spans="1:12">
      <c r="A53" s="1">
        <v>23</v>
      </c>
      <c r="B53" s="5" t="str">
        <f>J50</f>
        <v>Certification of MGT 7</v>
      </c>
      <c r="C53" s="122" t="str">
        <f>$K$53</f>
        <v>Applicable</v>
      </c>
      <c r="D53" s="5"/>
      <c r="E53" s="6" t="str">
        <f>$L$53</f>
        <v>Applicable</v>
      </c>
      <c r="F53" s="5"/>
      <c r="J53" s="99" t="s">
        <v>80</v>
      </c>
      <c r="K53" s="50" t="s">
        <v>64</v>
      </c>
      <c r="L53" s="50" t="s">
        <v>64</v>
      </c>
    </row>
    <row r="54" spans="1:12">
      <c r="A54" s="1">
        <v>24</v>
      </c>
      <c r="B54" s="5" t="s">
        <v>200</v>
      </c>
      <c r="C54" s="122" t="str">
        <f>IF($C$5&gt;100000000,"To appoint KMP","Need not appoint KMP")</f>
        <v>Need not appoint KMP</v>
      </c>
      <c r="D54" s="5"/>
      <c r="E54" s="6" t="str">
        <f>IF($L$5&gt;100000000,"To appoint KMP","Need not appoint KMP")</f>
        <v>Need not appoint KMP</v>
      </c>
      <c r="F54" s="5"/>
      <c r="J54" s="45"/>
      <c r="K54" s="5"/>
      <c r="L54" s="47"/>
    </row>
    <row r="55" spans="1:12">
      <c r="A55" s="1">
        <v>25</v>
      </c>
      <c r="B55" s="5" t="s">
        <v>208</v>
      </c>
      <c r="C55" s="122" t="str">
        <f>$O$3</f>
        <v>Not Applicable</v>
      </c>
      <c r="D55" s="5"/>
      <c r="E55" s="6" t="str">
        <f>$P$3</f>
        <v>Not Applicable</v>
      </c>
      <c r="F55" s="5"/>
      <c r="J55" s="48" t="s">
        <v>163</v>
      </c>
      <c r="K55" s="5"/>
      <c r="L55" s="47"/>
    </row>
    <row r="56" spans="1:12">
      <c r="A56" s="1">
        <v>26</v>
      </c>
      <c r="B56" s="5" t="s">
        <v>225</v>
      </c>
      <c r="C56" s="122" t="str">
        <f>$O$7</f>
        <v>Not Applicable</v>
      </c>
      <c r="D56" s="5"/>
      <c r="E56" s="6" t="str">
        <f>$P$7</f>
        <v>Not Applicable</v>
      </c>
      <c r="F56" s="5"/>
      <c r="J56" s="107" t="s">
        <v>196</v>
      </c>
      <c r="K56" s="46" t="str">
        <f>IF($C$17&gt;=2000000000,"Applicable","Not Applicable")</f>
        <v>Not Applicable</v>
      </c>
      <c r="L56" s="85" t="str">
        <f>IF($E$17&gt;=2000000000,"Applicable","Not Applicable")</f>
        <v>Not Applicable</v>
      </c>
    </row>
    <row r="57" spans="1:12">
      <c r="A57" s="1">
        <v>27</v>
      </c>
      <c r="B57" s="5" t="s">
        <v>226</v>
      </c>
      <c r="C57" s="122" t="str">
        <f>$C$56</f>
        <v>Not Applicable</v>
      </c>
      <c r="D57" s="3"/>
      <c r="E57" s="6" t="str">
        <f>E56</f>
        <v>Not Applicable</v>
      </c>
      <c r="F57" s="5"/>
      <c r="J57" s="51" t="s">
        <v>197</v>
      </c>
      <c r="K57" s="46" t="str">
        <f>IF($C$7&gt;=1000000000,"Applicable","Not Applicable")</f>
        <v>Not Applicable</v>
      </c>
      <c r="L57" s="85" t="str">
        <f>IF($E$7&gt;=1000000000,"Applicable","Not Applicable")</f>
        <v>Not Applicable</v>
      </c>
    </row>
    <row r="58" spans="1:12">
      <c r="A58" s="1">
        <v>28</v>
      </c>
      <c r="B58" s="5" t="s">
        <v>227</v>
      </c>
      <c r="C58" s="122" t="str">
        <f>$C$57</f>
        <v>Not Applicable</v>
      </c>
      <c r="D58" s="5"/>
      <c r="E58" s="6" t="str">
        <f>E57</f>
        <v>Not Applicable</v>
      </c>
      <c r="F58" s="5"/>
      <c r="J58" s="45" t="s">
        <v>228</v>
      </c>
      <c r="K58" s="46" t="str">
        <f>IF($C$5&gt;=500000000,"Applicable","Not Applicable")</f>
        <v>Not Applicable</v>
      </c>
      <c r="L58" s="47"/>
    </row>
    <row r="59" spans="1:12">
      <c r="A59" s="1">
        <v>29</v>
      </c>
      <c r="B59" s="5" t="s">
        <v>229</v>
      </c>
      <c r="C59" s="122" t="str">
        <f>IF($C$5&gt;250000000,"Applicable","Not Applicable")</f>
        <v>Not Applicable</v>
      </c>
      <c r="D59" s="5"/>
      <c r="E59" s="6" t="str">
        <f>IF($E$5&gt;250000000,"Applicable","Not Applicable")</f>
        <v>Not Applicable</v>
      </c>
      <c r="F59" s="5"/>
      <c r="J59" s="99" t="s">
        <v>80</v>
      </c>
      <c r="K59" s="50" t="str">
        <f>IF(OR($K$56=$H$3,$K$57=$H$3,$K$58=$H$3),$H$3,$H$4)</f>
        <v>Not Applicable</v>
      </c>
      <c r="L59" s="108" t="str">
        <f>IF(OR(L56=$H$3,L57=$H$3),$H$3,$H$4)</f>
        <v>Not Applicable</v>
      </c>
    </row>
    <row r="60" spans="1:12">
      <c r="D60" s="5"/>
      <c r="E60" s="6"/>
      <c r="F60" s="5"/>
      <c r="J60" s="45"/>
      <c r="K60" s="5"/>
      <c r="L60" s="47"/>
    </row>
    <row r="61" spans="1:12">
      <c r="B61" s="5"/>
      <c r="C61" s="6"/>
      <c r="D61" s="5"/>
      <c r="E61" s="6"/>
      <c r="F61" s="5"/>
      <c r="J61" s="48" t="s">
        <v>164</v>
      </c>
      <c r="K61" s="5"/>
      <c r="L61" s="47"/>
    </row>
    <row r="62" spans="1:12">
      <c r="J62" s="109"/>
      <c r="K62" s="5"/>
      <c r="L62" s="47"/>
    </row>
    <row r="63" spans="1:12">
      <c r="J63" s="45" t="s">
        <v>168</v>
      </c>
      <c r="K63" s="5"/>
      <c r="L63" s="47"/>
    </row>
    <row r="64" spans="1:12">
      <c r="J64" s="51" t="s">
        <v>230</v>
      </c>
      <c r="K64" s="46" t="str">
        <f>IF(($C$5&gt;=500000000), $H$3, $H$4)</f>
        <v>Not Applicable</v>
      </c>
      <c r="L64" s="46" t="str">
        <f>IF(($E$5&gt;=500000000), $H$3, $H$4)</f>
        <v>Not Applicable</v>
      </c>
    </row>
    <row r="65" spans="10:12">
      <c r="J65" s="51" t="s">
        <v>231</v>
      </c>
      <c r="K65" s="46" t="str">
        <f>IF($C$17&gt;=2500000000,"Applicable","Not Applicable")</f>
        <v>Not Applicable</v>
      </c>
      <c r="L65" s="46" t="str">
        <f>IF($E$17&gt;=2500000000,"Applicable","Not Applicable")</f>
        <v>Not Applicable</v>
      </c>
    </row>
    <row r="66" spans="10:12">
      <c r="J66" s="45" t="s">
        <v>199</v>
      </c>
      <c r="K66" s="46" t="str">
        <f>IF($C$7&gt;1000000000,"Applicable","Not Applicable")</f>
        <v>Not Applicable</v>
      </c>
      <c r="L66" s="46" t="str">
        <f>IF($E$7&gt;1000000000,"Applicable","Not Applicable")</f>
        <v>Not Applicable</v>
      </c>
    </row>
    <row r="67" spans="10:12">
      <c r="J67" s="99" t="s">
        <v>80</v>
      </c>
      <c r="K67" s="50" t="str">
        <f>IF(OR($K$63=$H$3,$K$64=$H$3,$K$65=$H$3,$K$66=$H$3),$H$3,$H$4)</f>
        <v>Not Applicable</v>
      </c>
      <c r="L67" s="50" t="str">
        <f>IF(OR($L$63=$H$3,$L$64=$H$3,$L$65=$H$3,$L$66=$H$3),$H$3,$H$4)</f>
        <v>Not Applicable</v>
      </c>
    </row>
    <row r="68" spans="10:12">
      <c r="J68" s="45"/>
      <c r="K68" s="5"/>
      <c r="L68" s="47"/>
    </row>
    <row r="69" spans="10:12">
      <c r="J69" s="48" t="s">
        <v>200</v>
      </c>
      <c r="K69" s="5"/>
      <c r="L69" s="47"/>
    </row>
    <row r="70" spans="10:12">
      <c r="J70" s="45" t="s">
        <v>201</v>
      </c>
      <c r="K70" s="5" t="s">
        <v>96</v>
      </c>
      <c r="L70" s="47" t="s">
        <v>96</v>
      </c>
    </row>
    <row r="71" spans="10:12">
      <c r="J71" s="45" t="s">
        <v>202</v>
      </c>
      <c r="K71" s="46" t="str">
        <f>IF($C$5&gt;=100000000,"Applicable","Not Applicable")</f>
        <v>Not Applicable</v>
      </c>
      <c r="L71" s="46" t="str">
        <f>IF($E$5&gt;=100000000,"Applicable","Not Applicable")</f>
        <v>Not Applicable</v>
      </c>
    </row>
    <row r="72" spans="10:12">
      <c r="J72" s="45" t="s">
        <v>232</v>
      </c>
      <c r="K72" s="46" t="str">
        <f>IF($C$5&gt;=50000000,"Applicable","Not Applicable")</f>
        <v>Not Applicable</v>
      </c>
      <c r="L72" s="46" t="str">
        <f>IF($C$5&gt;=50000000,"Applicable","Not Applicable")</f>
        <v>Not Applicable</v>
      </c>
    </row>
    <row r="73" spans="10:12">
      <c r="J73" s="45"/>
      <c r="K73" s="46"/>
      <c r="L73" s="46"/>
    </row>
    <row r="74" spans="10:12">
      <c r="J74" s="99" t="s">
        <v>80</v>
      </c>
      <c r="K74" s="50" t="str">
        <f>IF(OR($K$70=$H$3,$K$71=$H$3,$K$72=$H$3),$H$3,$H$4)</f>
        <v>Not Applicable</v>
      </c>
      <c r="L74" s="50" t="str">
        <f>IF(OR($L$70=$H$3,$L$71=$H$3,$L$72=$H$3),$H$3,$H$4)</f>
        <v>Not Applicable</v>
      </c>
    </row>
    <row r="75" spans="10:12">
      <c r="J75" s="45"/>
      <c r="K75" s="5"/>
      <c r="L75" s="47"/>
    </row>
    <row r="76" spans="10:12">
      <c r="J76" s="48" t="s">
        <v>204</v>
      </c>
      <c r="K76" s="5"/>
      <c r="L76" s="47"/>
    </row>
    <row r="77" spans="10:12">
      <c r="J77" s="45" t="s">
        <v>205</v>
      </c>
      <c r="K77" s="5" t="str">
        <f>IF(($C$9+$C$10+$C$11)&gt;$H$14,"Check for Shareholders approval","Check for Boards Approval")</f>
        <v>Check for Boards Approval</v>
      </c>
      <c r="L77" s="47" t="str">
        <f>IF(($E$9+$E$10+$E$11)&gt;$H$14,"Check for Shareholders approval","Check for Boards Approval")</f>
        <v>Check for Boards Approval</v>
      </c>
    </row>
    <row r="78" spans="10:12">
      <c r="J78" s="45" t="s">
        <v>206</v>
      </c>
      <c r="K78" s="5" t="str">
        <f>IF(($C$9+$C$10+$C$11)&gt;0,$K$77,"Not Applicable")</f>
        <v>Not Applicable</v>
      </c>
      <c r="L78" s="47" t="str">
        <f>IF(($E$9+$E$10+$E$11)&gt;0,$L$77,"Not Applicable")</f>
        <v>Not Applicable</v>
      </c>
    </row>
    <row r="79" spans="10:12">
      <c r="J79" s="45"/>
      <c r="K79" s="5"/>
      <c r="L79" s="47"/>
    </row>
    <row r="80" spans="10:12">
      <c r="J80" s="45"/>
      <c r="K80" s="5"/>
      <c r="L80" s="47"/>
    </row>
    <row r="81" spans="10:12" ht="16.149999999999999" thickBot="1">
      <c r="J81" s="86" t="s">
        <v>80</v>
      </c>
      <c r="K81" s="57" t="str">
        <f>IF(OR(K77=$H$4,K78=$H$4),$H$4,$K$77)</f>
        <v>Not Applicable</v>
      </c>
      <c r="L81" s="87" t="str">
        <f>IF(OR(L77=$H$4,L78=$H$4),$H$4,$L$77)</f>
        <v>Not Applicable</v>
      </c>
    </row>
  </sheetData>
  <mergeCells count="5">
    <mergeCell ref="B2:D2"/>
    <mergeCell ref="C3:D3"/>
    <mergeCell ref="E3:F3"/>
    <mergeCell ref="C29:D29"/>
    <mergeCell ref="E29:F29"/>
  </mergeCells>
  <conditionalFormatting sqref="C31">
    <cfRule type="containsText" dxfId="16" priority="15" operator="containsText" text="Yes">
      <formula>NOT(ISERROR(SEARCH("Yes",C31)))</formula>
    </cfRule>
  </conditionalFormatting>
  <conditionalFormatting sqref="K3">
    <cfRule type="containsText" dxfId="15" priority="13" operator="containsText" text="Yes">
      <formula>NOT(ISERROR(SEARCH("Yes",K3)))</formula>
    </cfRule>
  </conditionalFormatting>
  <conditionalFormatting sqref="K10">
    <cfRule type="containsText" dxfId="14" priority="16" operator="containsText" text="Yes">
      <formula>NOT(ISERROR(SEARCH("Yes",K10)))</formula>
    </cfRule>
  </conditionalFormatting>
  <conditionalFormatting sqref="K20:K22">
    <cfRule type="containsText" dxfId="13" priority="9" operator="containsText" text="Yes">
      <formula>NOT(ISERROR(SEARCH("Yes",K20)))</formula>
    </cfRule>
  </conditionalFormatting>
  <conditionalFormatting sqref="K51">
    <cfRule type="containsText" dxfId="12" priority="14" operator="containsText" text="Yes">
      <formula>NOT(ISERROR(SEARCH("Yes",K51)))</formula>
    </cfRule>
  </conditionalFormatting>
  <conditionalFormatting sqref="K56:K58">
    <cfRule type="containsText" dxfId="11" priority="8" operator="containsText" text="Yes">
      <formula>NOT(ISERROR(SEARCH("Yes",K56)))</formula>
    </cfRule>
  </conditionalFormatting>
  <conditionalFormatting sqref="K13:L16">
    <cfRule type="containsText" dxfId="10" priority="12" operator="containsText" text="Yes">
      <formula>NOT(ISERROR(SEARCH("Yes",K13)))</formula>
    </cfRule>
  </conditionalFormatting>
  <conditionalFormatting sqref="K27:L28">
    <cfRule type="containsText" dxfId="9" priority="6" operator="containsText" text="Yes">
      <formula>NOT(ISERROR(SEARCH("Yes",K27)))</formula>
    </cfRule>
  </conditionalFormatting>
  <conditionalFormatting sqref="K35:L35">
    <cfRule type="containsText" dxfId="8" priority="11" operator="containsText" text="Yes">
      <formula>NOT(ISERROR(SEARCH("Yes",K35)))</formula>
    </cfRule>
  </conditionalFormatting>
  <conditionalFormatting sqref="K45:L47">
    <cfRule type="containsText" dxfId="7" priority="5" operator="containsText" text="Yes">
      <formula>NOT(ISERROR(SEARCH("Yes",K45)))</formula>
    </cfRule>
  </conditionalFormatting>
  <conditionalFormatting sqref="K64:L66">
    <cfRule type="containsText" dxfId="6" priority="4" operator="containsText" text="Yes">
      <formula>NOT(ISERROR(SEARCH("Yes",K64)))</formula>
    </cfRule>
  </conditionalFormatting>
  <conditionalFormatting sqref="K71:L73">
    <cfRule type="containsText" dxfId="5" priority="3" operator="containsText" text="Yes">
      <formula>NOT(ISERROR(SEARCH("Yes",K71)))</formula>
    </cfRule>
  </conditionalFormatting>
  <conditionalFormatting sqref="L20:L21">
    <cfRule type="containsText" dxfId="4" priority="7" operator="containsText" text="Yes">
      <formula>NOT(ISERROR(SEARCH("Yes",L20)))</formula>
    </cfRule>
  </conditionalFormatting>
  <conditionalFormatting sqref="L56:L57">
    <cfRule type="containsText" dxfId="3" priority="10" operator="containsText" text="Yes">
      <formula>NOT(ISERROR(SEARCH("Yes",L56)))</formula>
    </cfRule>
  </conditionalFormatting>
  <conditionalFormatting sqref="O3:P3">
    <cfRule type="containsText" dxfId="2" priority="2" operator="containsText" text="Yes">
      <formula>NOT(ISERROR(SEARCH("Yes",O3)))</formula>
    </cfRule>
  </conditionalFormatting>
  <conditionalFormatting sqref="O7:P7">
    <cfRule type="containsText" dxfId="1" priority="1" operator="containsText" text="Yes">
      <formula>NOT(ISERROR(SEARCH("Yes",O7)))</formula>
    </cfRule>
  </conditionalFormatting>
  <dataValidations count="2">
    <dataValidation type="list" allowBlank="1" showInputMessage="1" showErrorMessage="1" sqref="C27 E27" xr:uid="{06BE9F36-F115-483E-99E3-2C9672E0427C}">
      <formula1>$H$5:$H$7</formula1>
    </dataValidation>
    <dataValidation type="list" allowBlank="1" showInputMessage="1" showErrorMessage="1" sqref="C28 E28" xr:uid="{F6FD8896-A7D2-4FC8-BC7E-FD74CA88C96F}">
      <formula1>"IND AS, AS"</formula1>
    </dataValidation>
  </dataValidations>
  <hyperlinks>
    <hyperlink ref="K13" r:id="rId1" display="https://exceljet.net/excel-functions/excel-if-function" xr:uid="{CD6D9096-21C7-41EB-BE7B-DEFE9B9FB54E}"/>
    <hyperlink ref="K14" r:id="rId2" display="https://exceljet.net/excel-functions/excel-if-function" xr:uid="{FB65852B-961E-4713-81B0-63E9E6A785E0}"/>
    <hyperlink ref="K15" r:id="rId3" display="https://exceljet.net/excel-functions/excel-if-function" xr:uid="{F926560C-A0F5-43BC-BEF4-25424E8E5F6A}"/>
    <hyperlink ref="K35" r:id="rId4" display="https://exceljet.net/excel-functions/excel-if-function" xr:uid="{2215CF82-72FC-45B1-8B60-DB93D8919A15}"/>
    <hyperlink ref="K46" r:id="rId5" display="https://exceljet.net/excel-functions/excel-if-function" xr:uid="{25F183C2-CFF4-43C9-ABE3-46FB2D19AEEA}"/>
    <hyperlink ref="K45" r:id="rId6" display="https://exceljet.net/excel-functions/excel-if-function" xr:uid="{94658C3B-91E2-4098-ABB0-FBC18982990B}"/>
    <hyperlink ref="C31" r:id="rId7" display="https://exceljet.net/excel-functions/excel-if-function" xr:uid="{D1190858-75EB-45DB-BC01-023FAD27180A}"/>
    <hyperlink ref="K51" r:id="rId8" display="https://exceljet.net/excel-functions/excel-if-function" xr:uid="{4715E62B-A0CA-4689-A080-DC157AEF2953}"/>
    <hyperlink ref="K56" r:id="rId9" display="https://exceljet.net/excel-functions/excel-if-function" xr:uid="{FB91505E-1FDB-486A-AA6A-3B45BC3D56A9}"/>
    <hyperlink ref="K57" r:id="rId10" display="https://exceljet.net/excel-functions/excel-if-function" xr:uid="{4A77D773-B5F1-4FF4-BA7C-9BB824072ED2}"/>
    <hyperlink ref="K66" r:id="rId11" display="https://exceljet.net/excel-functions/excel-if-function" xr:uid="{38D56D50-3DA0-4FDE-BA94-C78F6B24373A}"/>
    <hyperlink ref="K72" r:id="rId12" display="https://exceljet.net/excel-functions/excel-if-function" xr:uid="{474B4241-9206-49E3-935F-9B39C78E2587}"/>
    <hyperlink ref="C39" r:id="rId13" display="https://exceljet.net/excel-functions/excel-if-function" xr:uid="{C4890AFC-793E-47DB-A1A4-D14C85214FAA}"/>
    <hyperlink ref="K28" r:id="rId14" display="https://exceljet.net/excel-functions/excel-if-function" xr:uid="{F7B236B7-96C2-4FD2-BE16-E30E91009E85}"/>
    <hyperlink ref="K27" r:id="rId15" display="https://exceljet.net/excel-functions/excel-if-function" xr:uid="{85B5165F-544F-4CFA-B020-0309717CE296}"/>
    <hyperlink ref="C49" r:id="rId16" display="https://exceljet.net/excel-functions/excel-if-function" xr:uid="{A8AFDB6D-53C6-4868-89C8-A5D2B15930CC}"/>
    <hyperlink ref="L13" r:id="rId17" display="https://exceljet.net/excel-functions/excel-if-function" xr:uid="{49179C5C-53FD-4555-949F-CC0DAF1569D8}"/>
    <hyperlink ref="L14" r:id="rId18" display="https://exceljet.net/excel-functions/excel-if-function" xr:uid="{A2FC31B9-8774-4660-8B5E-CFC963BE2D84}"/>
    <hyperlink ref="L15" r:id="rId19" display="https://exceljet.net/excel-functions/excel-if-function" xr:uid="{A93EB376-21F0-4425-9A23-E76851BD01F7}"/>
    <hyperlink ref="L35" r:id="rId20" display="https://exceljet.net/excel-functions/excel-if-function" xr:uid="{FFCBD35B-48B9-4230-9788-B0653E405DCC}"/>
    <hyperlink ref="L56" r:id="rId21" display="https://exceljet.net/excel-functions/excel-if-function" xr:uid="{98DEE83F-4FE8-4E8D-999D-C128386AA4E0}"/>
    <hyperlink ref="L57" r:id="rId22" display="https://exceljet.net/excel-functions/excel-if-function" xr:uid="{AAB33B50-6923-46E8-8F09-9BE72ECE42E0}"/>
    <hyperlink ref="K3" r:id="rId23" display="https://exceljet.net/excel-functions/excel-if-function" xr:uid="{366981C5-3E08-4DA1-AB78-C57628CB7BF2}"/>
    <hyperlink ref="K20" r:id="rId24" display="https://exceljet.net/excel-functions/excel-if-function" xr:uid="{80A6446A-38C2-40DE-9081-326E8C2C539A}"/>
    <hyperlink ref="K21" r:id="rId25" display="https://exceljet.net/excel-functions/excel-if-function" xr:uid="{D9D1BCF7-2B7C-4929-8674-BE04FD0F3727}"/>
    <hyperlink ref="K64" r:id="rId26" display="https://exceljet.net/excel-functions/excel-if-function" xr:uid="{36CA4AFC-067B-4F2A-9AF9-D85D49723DA6}"/>
    <hyperlink ref="K71" r:id="rId27" display="https://exceljet.net/excel-functions/excel-if-function" xr:uid="{A202092B-2F8E-4AAE-BCBE-7E46395160EC}"/>
    <hyperlink ref="C54" r:id="rId28" display="https://exceljet.net/excel-functions/excel-if-function" xr:uid="{4EAC33E6-CD80-4771-A31F-306CDC5ED474}"/>
    <hyperlink ref="O3" r:id="rId29" display="https://exceljet.net/excel-functions/excel-if-function" xr:uid="{C50DAA51-E6BA-4160-A125-030B85687E3A}"/>
    <hyperlink ref="O7" r:id="rId30" display="https://exceljet.net/excel-functions/excel-if-function" xr:uid="{0B0AF87B-8BEF-4E73-9032-0BD04B0FC8DA}"/>
    <hyperlink ref="C59" r:id="rId31" display="https://exceljet.net/excel-functions/excel-if-function" xr:uid="{D96F8654-1A58-4F47-9562-1EA68303A299}"/>
    <hyperlink ref="K58" r:id="rId32" display="https://exceljet.net/excel-functions/excel-if-function" xr:uid="{45372787-54C6-4D61-988C-781CF83E8BB7}"/>
    <hyperlink ref="K65" r:id="rId33" display="https://exceljet.net/excel-functions/excel-if-function" xr:uid="{97D79B65-044F-4D3B-8706-E32421E472FA}"/>
    <hyperlink ref="L20" r:id="rId34" display="https://exceljet.net/excel-functions/excel-if-function" xr:uid="{F76BCF01-DFD5-4E13-930F-950719522A21}"/>
    <hyperlink ref="L21" r:id="rId35" display="https://exceljet.net/excel-functions/excel-if-function" xr:uid="{2A7C1AAB-150F-4856-B743-DE24C04E1201}"/>
    <hyperlink ref="L28" r:id="rId36" display="https://exceljet.net/excel-functions/excel-if-function" xr:uid="{563796A4-840D-45F7-A6F6-AEC477A1B81B}"/>
    <hyperlink ref="L27" r:id="rId37" display="https://exceljet.net/excel-functions/excel-if-function" xr:uid="{4FDCD1E7-B6D6-489D-A58A-EF30EA99F5F6}"/>
    <hyperlink ref="L46" r:id="rId38" display="https://exceljet.net/excel-functions/excel-if-function" xr:uid="{A5BD4DD2-A25C-497B-A444-6039F0ADD089}"/>
    <hyperlink ref="L45" r:id="rId39" display="https://exceljet.net/excel-functions/excel-if-function" xr:uid="{C83503C7-AF40-43A3-86AF-F53DA9A6909E}"/>
    <hyperlink ref="L66" r:id="rId40" display="https://exceljet.net/excel-functions/excel-if-function" xr:uid="{708C3564-B101-4D4A-B29E-FE821416B105}"/>
    <hyperlink ref="L64" r:id="rId41" display="https://exceljet.net/excel-functions/excel-if-function" xr:uid="{723AF39D-FA06-4E88-A453-FA4AC18467CE}"/>
    <hyperlink ref="L65" r:id="rId42" display="https://exceljet.net/excel-functions/excel-if-function" xr:uid="{6B6FBA72-3EBD-4CD3-964D-C9B988952941}"/>
    <hyperlink ref="L71" r:id="rId43" display="https://exceljet.net/excel-functions/excel-if-function" xr:uid="{0D623B1A-2941-41B9-9BA1-417502736E93}"/>
    <hyperlink ref="L72" r:id="rId44" display="https://exceljet.net/excel-functions/excel-if-function" xr:uid="{DDC9858A-1BBB-4906-B775-E93CEE5A4FFF}"/>
    <hyperlink ref="P3" r:id="rId45" display="https://exceljet.net/excel-functions/excel-if-function" xr:uid="{F0C5ABFF-D833-40C0-B05A-19303F76F13F}"/>
    <hyperlink ref="P7" r:id="rId46" display="https://exceljet.net/excel-functions/excel-if-function" xr:uid="{DC62F958-5E83-4A65-A9E9-6A8B13F13EAF}"/>
    <hyperlink ref="E39" r:id="rId47" display="https://exceljet.net/excel-functions/excel-if-function" xr:uid="{D6392E02-E223-4B47-A3C5-F856A73AFB19}"/>
    <hyperlink ref="E49" r:id="rId48" display="https://exceljet.net/excel-functions/excel-if-function" xr:uid="{F83F3CE0-2D19-4295-8F9C-B0D9AB297E14}"/>
    <hyperlink ref="E54" r:id="rId49" display="https://exceljet.net/excel-functions/excel-if-function" xr:uid="{45A039AF-CE34-482E-BE24-1B276FD9CEAA}"/>
    <hyperlink ref="E59" r:id="rId50" display="https://exceljet.net/excel-functions/excel-if-function" xr:uid="{83D93E60-BE59-4F32-A86C-DD57726FFAD4}"/>
  </hyperlinks>
  <pageMargins left="0.7" right="0.7" top="0.75" bottom="0.75" header="0.3" footer="0.3"/>
  <pageSetup orientation="portrait" r:id="rId5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EAE1-75B7-4EF0-8D8D-1F025F6CF1D4}">
  <dimension ref="B2:G54"/>
  <sheetViews>
    <sheetView zoomScale="81" zoomScaleNormal="165" workbookViewId="0">
      <selection activeCell="H10" sqref="H10"/>
    </sheetView>
  </sheetViews>
  <sheetFormatPr defaultRowHeight="14.45"/>
  <cols>
    <col min="2" max="2" width="53.7109375" customWidth="1"/>
    <col min="3" max="3" width="50.7109375" bestFit="1" customWidth="1"/>
    <col min="4" max="4" width="38" customWidth="1"/>
    <col min="5" max="5" width="18" customWidth="1"/>
    <col min="6" max="6" width="11.5703125" customWidth="1"/>
    <col min="7" max="7" width="18" customWidth="1"/>
  </cols>
  <sheetData>
    <row r="2" spans="2:7">
      <c r="B2" s="33" t="s">
        <v>233</v>
      </c>
      <c r="C2" s="34" t="s">
        <v>234</v>
      </c>
    </row>
    <row r="4" spans="2:7" ht="46.9">
      <c r="B4" s="30" t="s">
        <v>235</v>
      </c>
      <c r="C4" s="28"/>
      <c r="D4" s="31" t="s">
        <v>236</v>
      </c>
      <c r="E4" s="28"/>
      <c r="F4" s="28"/>
      <c r="G4" s="28"/>
    </row>
    <row r="5" spans="2:7" ht="15.6">
      <c r="B5" s="30" t="s">
        <v>237</v>
      </c>
      <c r="C5" s="28"/>
      <c r="D5" s="28"/>
      <c r="E5" s="28"/>
      <c r="F5" s="28"/>
      <c r="G5" s="28"/>
    </row>
    <row r="6" spans="2:7" ht="15.6">
      <c r="B6" s="30" t="s">
        <v>238</v>
      </c>
      <c r="C6" s="29"/>
      <c r="D6" s="28"/>
      <c r="E6" s="28"/>
      <c r="F6" s="28"/>
      <c r="G6" s="28"/>
    </row>
    <row r="7" spans="2:7" ht="15.6">
      <c r="B7" s="30" t="s">
        <v>239</v>
      </c>
      <c r="C7" s="29"/>
      <c r="D7" s="28"/>
      <c r="E7" s="28"/>
      <c r="F7" s="28"/>
      <c r="G7" s="28"/>
    </row>
    <row r="8" spans="2:7" ht="15.6">
      <c r="B8" s="148" t="s">
        <v>240</v>
      </c>
      <c r="C8" s="148"/>
      <c r="D8" s="148"/>
      <c r="E8" s="148"/>
      <c r="F8" s="148"/>
      <c r="G8" s="148"/>
    </row>
    <row r="9" spans="2:7" ht="62.45">
      <c r="B9" s="20" t="s">
        <v>241</v>
      </c>
      <c r="C9" s="20" t="s">
        <v>242</v>
      </c>
      <c r="D9" s="20" t="s">
        <v>243</v>
      </c>
      <c r="E9" s="20" t="s">
        <v>244</v>
      </c>
      <c r="F9" s="20" t="s">
        <v>245</v>
      </c>
      <c r="G9" s="20" t="s">
        <v>246</v>
      </c>
    </row>
    <row r="10" spans="2:7" ht="15.6">
      <c r="B10" s="4"/>
      <c r="C10" s="4"/>
      <c r="D10" s="10"/>
      <c r="E10" s="10"/>
      <c r="F10" s="10"/>
      <c r="G10" s="10"/>
    </row>
    <row r="11" spans="2:7" ht="15.6">
      <c r="B11" s="4" t="s">
        <v>247</v>
      </c>
      <c r="C11" s="4" t="s">
        <v>248</v>
      </c>
      <c r="D11" s="10" t="s">
        <v>249</v>
      </c>
      <c r="E11" s="25">
        <f>+C6</f>
        <v>0</v>
      </c>
      <c r="F11" s="27"/>
      <c r="G11" s="10"/>
    </row>
    <row r="12" spans="2:7" ht="31.15">
      <c r="B12" s="4" t="s">
        <v>250</v>
      </c>
      <c r="C12" s="4" t="s">
        <v>248</v>
      </c>
      <c r="D12" s="10"/>
      <c r="E12" s="25">
        <f>+C6</f>
        <v>0</v>
      </c>
      <c r="F12" s="10"/>
      <c r="G12" s="10"/>
    </row>
    <row r="13" spans="2:7" ht="15.6">
      <c r="B13" s="4" t="s">
        <v>251</v>
      </c>
      <c r="C13" s="4" t="s">
        <v>252</v>
      </c>
      <c r="D13" s="10"/>
      <c r="E13" s="25">
        <f>+C7</f>
        <v>0</v>
      </c>
      <c r="F13" s="10"/>
      <c r="G13" s="10"/>
    </row>
    <row r="14" spans="2:7" ht="15.6">
      <c r="B14" s="4" t="s">
        <v>253</v>
      </c>
      <c r="C14" s="4" t="s">
        <v>252</v>
      </c>
      <c r="D14" s="10"/>
      <c r="E14" s="25">
        <f>+C7</f>
        <v>0</v>
      </c>
      <c r="F14" s="10"/>
      <c r="G14" s="10"/>
    </row>
    <row r="15" spans="2:7" ht="15.6">
      <c r="B15" s="4" t="s">
        <v>254</v>
      </c>
      <c r="C15" s="4" t="s">
        <v>252</v>
      </c>
      <c r="D15" s="10"/>
      <c r="E15" s="25">
        <f>+C7</f>
        <v>0</v>
      </c>
      <c r="F15" s="10"/>
      <c r="G15" s="10"/>
    </row>
    <row r="16" spans="2:7" ht="15.6">
      <c r="B16" s="4" t="s">
        <v>255</v>
      </c>
      <c r="C16" s="4" t="s">
        <v>256</v>
      </c>
      <c r="D16" s="10"/>
      <c r="E16" s="26">
        <f>+C6</f>
        <v>0</v>
      </c>
      <c r="F16" s="26"/>
      <c r="G16" s="4"/>
    </row>
    <row r="17" spans="2:7" ht="15.6">
      <c r="B17" s="4" t="s">
        <v>257</v>
      </c>
      <c r="C17" s="4" t="s">
        <v>256</v>
      </c>
      <c r="D17" s="10"/>
      <c r="E17" s="25">
        <f>+C6</f>
        <v>0</v>
      </c>
      <c r="F17" s="10"/>
      <c r="G17" s="10"/>
    </row>
    <row r="18" spans="2:7" ht="15.6">
      <c r="B18" s="4" t="s">
        <v>258</v>
      </c>
      <c r="C18" s="4" t="s">
        <v>256</v>
      </c>
      <c r="D18" s="10"/>
      <c r="E18" s="25">
        <f>+E15</f>
        <v>0</v>
      </c>
      <c r="F18" s="10"/>
      <c r="G18" s="10"/>
    </row>
    <row r="19" spans="2:7" ht="28.15">
      <c r="B19" s="24" t="s">
        <v>259</v>
      </c>
      <c r="C19" s="24" t="s">
        <v>260</v>
      </c>
      <c r="D19" s="10"/>
      <c r="E19" s="23"/>
      <c r="F19" s="10"/>
      <c r="G19" s="10"/>
    </row>
    <row r="20" spans="2:7" ht="28.15">
      <c r="B20" s="24" t="s">
        <v>261</v>
      </c>
      <c r="C20" s="24" t="s">
        <v>262</v>
      </c>
      <c r="D20" s="10"/>
      <c r="E20" s="23"/>
      <c r="F20" s="10"/>
      <c r="G20" s="10"/>
    </row>
    <row r="24" spans="2:7">
      <c r="B24" s="33" t="s">
        <v>263</v>
      </c>
      <c r="C24" s="34" t="s">
        <v>264</v>
      </c>
    </row>
    <row r="25" spans="2:7" ht="15.6">
      <c r="B25" s="19" t="s">
        <v>265</v>
      </c>
      <c r="C25" s="22" t="s">
        <v>266</v>
      </c>
      <c r="D25" s="4" t="s">
        <v>267</v>
      </c>
      <c r="E25" s="20" t="s">
        <v>268</v>
      </c>
    </row>
    <row r="26" spans="2:7" ht="46.9">
      <c r="B26" s="10" t="s">
        <v>269</v>
      </c>
      <c r="C26" s="4" t="s">
        <v>270</v>
      </c>
      <c r="D26" s="4"/>
      <c r="E26" s="4"/>
    </row>
    <row r="27" spans="2:7" ht="31.15">
      <c r="B27" s="10" t="s">
        <v>271</v>
      </c>
      <c r="C27" s="4" t="s">
        <v>272</v>
      </c>
      <c r="D27" s="4"/>
      <c r="E27" s="4"/>
    </row>
    <row r="28" spans="2:7" ht="31.15">
      <c r="B28" s="20" t="s">
        <v>273</v>
      </c>
      <c r="C28" s="20" t="s">
        <v>274</v>
      </c>
      <c r="D28" s="4"/>
      <c r="E28" s="20"/>
    </row>
    <row r="29" spans="2:7" ht="31.15">
      <c r="B29" s="10"/>
      <c r="C29" s="4" t="s">
        <v>275</v>
      </c>
      <c r="D29" s="4"/>
      <c r="E29" s="4"/>
    </row>
    <row r="30" spans="2:7" ht="46.9">
      <c r="B30" s="10"/>
      <c r="C30" s="4" t="s">
        <v>276</v>
      </c>
      <c r="D30" s="20"/>
      <c r="E30" s="4"/>
    </row>
    <row r="31" spans="2:7" ht="78">
      <c r="B31" s="10"/>
      <c r="C31" s="21" t="s">
        <v>277</v>
      </c>
      <c r="D31" s="20"/>
      <c r="E31" s="4"/>
    </row>
    <row r="32" spans="2:7" ht="15.6">
      <c r="B32" s="10"/>
      <c r="C32" s="149" t="s">
        <v>278</v>
      </c>
      <c r="D32" s="149"/>
      <c r="E32" s="149"/>
    </row>
    <row r="33" spans="2:5" ht="93.6">
      <c r="B33" s="20" t="s">
        <v>279</v>
      </c>
      <c r="C33" s="134" t="s">
        <v>280</v>
      </c>
      <c r="D33" s="134"/>
      <c r="E33" s="134"/>
    </row>
    <row r="34" spans="2:5" ht="30.6">
      <c r="B34" s="19" t="s">
        <v>281</v>
      </c>
      <c r="C34" s="18" t="s">
        <v>282</v>
      </c>
      <c r="D34" s="134"/>
      <c r="E34" s="134"/>
    </row>
    <row r="35" spans="2:5" ht="31.9">
      <c r="B35" s="4"/>
      <c r="C35" s="17" t="s">
        <v>283</v>
      </c>
      <c r="D35" s="134"/>
      <c r="E35" s="134"/>
    </row>
    <row r="36" spans="2:5" ht="42">
      <c r="B36" s="4"/>
      <c r="C36" s="17" t="s">
        <v>284</v>
      </c>
      <c r="D36" s="134"/>
      <c r="E36" s="134"/>
    </row>
    <row r="37" spans="2:5" ht="31.15">
      <c r="B37" s="10"/>
      <c r="C37" s="134" t="s">
        <v>285</v>
      </c>
      <c r="D37" s="134"/>
      <c r="E37" s="134"/>
    </row>
    <row r="38" spans="2:5" ht="31.15">
      <c r="B38" s="10"/>
      <c r="C38" s="4" t="s">
        <v>286</v>
      </c>
      <c r="D38" s="134"/>
      <c r="E38" s="134"/>
    </row>
    <row r="39" spans="2:5" ht="31.15">
      <c r="B39" s="10"/>
      <c r="C39" s="4" t="s">
        <v>287</v>
      </c>
      <c r="D39" s="134"/>
      <c r="E39" s="134"/>
    </row>
    <row r="40" spans="2:5" ht="15.6">
      <c r="B40" s="10"/>
      <c r="C40" s="134"/>
      <c r="D40" s="134"/>
      <c r="E40" s="134"/>
    </row>
    <row r="41" spans="2:5" ht="15.6">
      <c r="B41" s="16" t="s">
        <v>288</v>
      </c>
      <c r="C41" s="134"/>
      <c r="D41" s="134"/>
      <c r="E41" s="134"/>
    </row>
    <row r="42" spans="2:5" ht="31.15">
      <c r="B42" s="10"/>
      <c r="C42" s="134" t="s">
        <v>289</v>
      </c>
      <c r="D42" s="134"/>
      <c r="E42" s="134"/>
    </row>
    <row r="43" spans="2:5" ht="31.15">
      <c r="B43" s="10"/>
      <c r="C43" s="15" t="s">
        <v>290</v>
      </c>
      <c r="D43" s="134"/>
      <c r="E43" s="134"/>
    </row>
    <row r="44" spans="2:5" ht="31.15">
      <c r="B44" s="10"/>
      <c r="C44" s="15" t="s">
        <v>291</v>
      </c>
      <c r="D44" s="134"/>
      <c r="E44" s="134"/>
    </row>
    <row r="45" spans="2:5" ht="109.15">
      <c r="B45" s="10"/>
      <c r="C45" s="15" t="s">
        <v>292</v>
      </c>
      <c r="D45" s="134"/>
      <c r="E45" s="134"/>
    </row>
    <row r="46" spans="2:5" ht="78">
      <c r="B46" s="10"/>
      <c r="C46" s="134" t="s">
        <v>293</v>
      </c>
      <c r="D46" s="134"/>
      <c r="E46" s="134"/>
    </row>
    <row r="47" spans="2:5" ht="46.9">
      <c r="B47" s="10"/>
      <c r="C47" s="15" t="s">
        <v>294</v>
      </c>
      <c r="D47" s="134"/>
      <c r="E47" s="134"/>
    </row>
    <row r="48" spans="2:5" ht="31.15">
      <c r="B48" s="14" t="s">
        <v>271</v>
      </c>
      <c r="C48" s="4" t="s">
        <v>295</v>
      </c>
      <c r="D48" s="4"/>
      <c r="E48" s="4"/>
    </row>
    <row r="49" spans="2:5" ht="46.9">
      <c r="B49" s="14" t="s">
        <v>296</v>
      </c>
      <c r="C49" s="4" t="s">
        <v>297</v>
      </c>
      <c r="D49" s="4"/>
      <c r="E49" s="4"/>
    </row>
    <row r="50" spans="2:5" ht="31.15">
      <c r="B50" s="10"/>
      <c r="C50" s="4" t="s">
        <v>298</v>
      </c>
      <c r="D50" s="4"/>
      <c r="E50" s="4"/>
    </row>
    <row r="51" spans="2:5" ht="31.15">
      <c r="B51" s="10"/>
      <c r="C51" s="4" t="s">
        <v>299</v>
      </c>
      <c r="D51" s="4"/>
      <c r="E51" s="4"/>
    </row>
    <row r="52" spans="2:5" ht="15.6">
      <c r="B52" s="10"/>
      <c r="C52" s="4" t="s">
        <v>300</v>
      </c>
      <c r="D52" s="4"/>
      <c r="E52" s="4"/>
    </row>
    <row r="53" spans="2:5" ht="15.6">
      <c r="B53" s="10"/>
      <c r="C53" s="4" t="s">
        <v>301</v>
      </c>
      <c r="D53" s="4"/>
      <c r="E53" s="4"/>
    </row>
    <row r="54" spans="2:5" ht="31.15">
      <c r="B54" s="10"/>
      <c r="C54" s="4" t="s">
        <v>302</v>
      </c>
      <c r="D54" s="4"/>
      <c r="E54" s="4"/>
    </row>
  </sheetData>
  <mergeCells count="2">
    <mergeCell ref="B8:G8"/>
    <mergeCell ref="C32:E32"/>
  </mergeCells>
  <conditionalFormatting sqref="G11:G20">
    <cfRule type="containsText" dxfId="0" priority="1" operator="containsText" text="Yes">
      <formula>NOT(ISERROR(SEARCH("Yes",G11)))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40D3-76E6-4E2D-97CF-9BEC71240E3A}">
  <dimension ref="B2:D14"/>
  <sheetViews>
    <sheetView workbookViewId="0">
      <selection activeCell="C16" sqref="C16"/>
    </sheetView>
  </sheetViews>
  <sheetFormatPr defaultRowHeight="14.45"/>
  <cols>
    <col min="2" max="2" width="32.5703125" customWidth="1"/>
    <col min="3" max="3" width="47.140625" customWidth="1"/>
    <col min="4" max="4" width="56.42578125" customWidth="1"/>
  </cols>
  <sheetData>
    <row r="2" spans="2:4">
      <c r="B2" t="s">
        <v>303</v>
      </c>
      <c r="C2" t="s">
        <v>304</v>
      </c>
    </row>
    <row r="3" spans="2:4">
      <c r="C3" t="s">
        <v>36</v>
      </c>
    </row>
    <row r="4" spans="2:4">
      <c r="C4" t="s">
        <v>305</v>
      </c>
    </row>
    <row r="5" spans="2:4">
      <c r="C5" t="s">
        <v>306</v>
      </c>
    </row>
    <row r="6" spans="2:4">
      <c r="C6" t="s">
        <v>307</v>
      </c>
    </row>
    <row r="7" spans="2:4">
      <c r="C7" t="s">
        <v>308</v>
      </c>
    </row>
    <row r="9" spans="2:4">
      <c r="B9" t="s">
        <v>309</v>
      </c>
      <c r="C9" t="s">
        <v>304</v>
      </c>
      <c r="D9" t="s">
        <v>310</v>
      </c>
    </row>
    <row r="10" spans="2:4">
      <c r="C10" t="s">
        <v>36</v>
      </c>
    </row>
    <row r="11" spans="2:4">
      <c r="C11" t="s">
        <v>305</v>
      </c>
    </row>
    <row r="12" spans="2:4">
      <c r="C12" t="s">
        <v>306</v>
      </c>
    </row>
    <row r="13" spans="2:4">
      <c r="C13" t="s">
        <v>307</v>
      </c>
    </row>
    <row r="14" spans="2:4">
      <c r="C14" t="s">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Akshayam Gayathri</dc:creator>
  <cp:keywords/>
  <dc:description/>
  <cp:lastModifiedBy>arcaai001@outlook.com</cp:lastModifiedBy>
  <cp:revision/>
  <dcterms:created xsi:type="dcterms:W3CDTF">2025-08-31T13:54:13Z</dcterms:created>
  <dcterms:modified xsi:type="dcterms:W3CDTF">2026-07-14T05:54:42Z</dcterms:modified>
  <cp:category/>
  <cp:contentStatus/>
</cp:coreProperties>
</file>