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d6c9e8928e28eb49/process/Tech automation/sample data to arca/Use case/Common Error/"/>
    </mc:Choice>
  </mc:AlternateContent>
  <xr:revisionPtr revIDLastSave="42" documentId="13_ncr:1_{E116BEEF-F543-4AD1-94E4-953A97DAF1BF}" xr6:coauthVersionLast="47" xr6:coauthVersionMax="47" xr10:uidLastSave="{E4869699-092F-46BE-8D29-B4BC00AAACAD}"/>
  <bookViews>
    <workbookView xWindow="-108" yWindow="-108" windowWidth="23256" windowHeight="12456" activeTab="3" xr2:uid="{251BD1AF-8FB9-4BCC-B3DC-C8E6E40C2030}"/>
  </bookViews>
  <sheets>
    <sheet name="Common Error" sheetId="1" r:id="rId1"/>
    <sheet name="compliance sheet with template" sheetId="4" r:id="rId2"/>
    <sheet name="compliance sheet" sheetId="3" state="hidden" r:id="rId3"/>
    <sheet name="RPT and loans to Director" sheetId="2" r:id="rId4"/>
    <sheet name="Freezing the input" sheetId="5"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 i="4" l="1"/>
  <c r="D8" i="4"/>
  <c r="L94" i="4"/>
  <c r="K94" i="4"/>
  <c r="L88" i="4"/>
  <c r="K88" i="4"/>
  <c r="L81" i="4"/>
  <c r="K81" i="4"/>
  <c r="L73" i="4"/>
  <c r="K73" i="4"/>
  <c r="L72" i="4"/>
  <c r="K72" i="4"/>
  <c r="K62" i="4"/>
  <c r="K61" i="4"/>
  <c r="B59" i="4"/>
  <c r="B58" i="4"/>
  <c r="C57" i="4"/>
  <c r="C56" i="4"/>
  <c r="C55" i="4"/>
  <c r="K54" i="4"/>
  <c r="C54" i="4"/>
  <c r="E53" i="4"/>
  <c r="C53" i="4"/>
  <c r="B52" i="4"/>
  <c r="C51" i="4"/>
  <c r="C50" i="4"/>
  <c r="C49" i="4"/>
  <c r="E48" i="4"/>
  <c r="C48" i="4"/>
  <c r="L47" i="4"/>
  <c r="K47" i="4"/>
  <c r="C46" i="4"/>
  <c r="E44" i="4"/>
  <c r="C44" i="4"/>
  <c r="B41" i="4"/>
  <c r="K40" i="4"/>
  <c r="B40" i="4"/>
  <c r="K39" i="4"/>
  <c r="B37" i="4"/>
  <c r="B36" i="4"/>
  <c r="K33" i="4"/>
  <c r="F30" i="4"/>
  <c r="D30" i="4"/>
  <c r="F29" i="4"/>
  <c r="D29" i="4"/>
  <c r="F28" i="4"/>
  <c r="D28" i="4"/>
  <c r="L27" i="4"/>
  <c r="K27" i="4"/>
  <c r="F27" i="4"/>
  <c r="D27" i="4"/>
  <c r="L26" i="4"/>
  <c r="K26" i="4"/>
  <c r="F26" i="4"/>
  <c r="D26" i="4"/>
  <c r="F25" i="4"/>
  <c r="D25" i="4"/>
  <c r="F24" i="4"/>
  <c r="D24" i="4"/>
  <c r="F23" i="4"/>
  <c r="D23" i="4"/>
  <c r="F22" i="4"/>
  <c r="D22" i="4"/>
  <c r="F21" i="4"/>
  <c r="D21" i="4"/>
  <c r="E20" i="4"/>
  <c r="C20" i="4"/>
  <c r="F19" i="4"/>
  <c r="D19" i="4"/>
  <c r="K18" i="4"/>
  <c r="F18" i="4"/>
  <c r="D18" i="4"/>
  <c r="K17" i="4"/>
  <c r="D17" i="4"/>
  <c r="K16" i="4"/>
  <c r="F16" i="4"/>
  <c r="D16" i="4"/>
  <c r="K15" i="4"/>
  <c r="F15" i="4"/>
  <c r="D15" i="4"/>
  <c r="F14" i="4"/>
  <c r="D14" i="4"/>
  <c r="H13" i="4"/>
  <c r="F13" i="4"/>
  <c r="D13" i="4"/>
  <c r="H12" i="4"/>
  <c r="F12" i="4"/>
  <c r="D12" i="4"/>
  <c r="F11" i="4"/>
  <c r="D11" i="4"/>
  <c r="F10" i="4"/>
  <c r="D10" i="4"/>
  <c r="F9" i="4"/>
  <c r="D9" i="4"/>
  <c r="F8" i="4"/>
  <c r="K7" i="4"/>
  <c r="E11" i="2"/>
  <c r="E12" i="2"/>
  <c r="E13" i="2"/>
  <c r="E14" i="2"/>
  <c r="E15" i="2"/>
  <c r="E16" i="2"/>
  <c r="E17" i="2"/>
  <c r="E18" i="2"/>
  <c r="H14" i="4" l="1"/>
  <c r="K49" i="4"/>
  <c r="C40" i="4" s="1"/>
  <c r="K25" i="4"/>
  <c r="K29" i="4" s="1"/>
  <c r="C52" i="4" s="1"/>
  <c r="L49" i="4"/>
  <c r="E40" i="4" s="1"/>
  <c r="C38" i="4"/>
  <c r="K41" i="4" s="1"/>
  <c r="K35" i="4"/>
  <c r="C37" i="4" s="1"/>
  <c r="L25" i="4"/>
  <c r="L29" i="4" s="1"/>
  <c r="E52" i="4" s="1"/>
  <c r="F20" i="4"/>
  <c r="D20" i="4"/>
  <c r="L90" i="4"/>
  <c r="K90" i="4"/>
  <c r="K64" i="4"/>
  <c r="C58" i="4" s="1"/>
  <c r="L83" i="4"/>
  <c r="E43" i="4" s="1"/>
  <c r="L75" i="4"/>
  <c r="E42" i="4" s="1"/>
  <c r="K75" i="4"/>
  <c r="C42" i="4" s="1"/>
  <c r="K83" i="4"/>
  <c r="C43" i="4" s="1"/>
  <c r="K9" i="4"/>
  <c r="L93" i="4" l="1"/>
  <c r="L97" i="4" s="1"/>
  <c r="K93" i="4"/>
  <c r="K97" i="4" s="1"/>
  <c r="C45" i="4" s="1"/>
  <c r="K67" i="4"/>
  <c r="K69" i="4" s="1"/>
  <c r="C59" i="4" s="1"/>
  <c r="C35" i="4"/>
  <c r="K14" i="4"/>
  <c r="K21" i="4" s="1"/>
  <c r="C36" i="4" s="1"/>
  <c r="K53" i="4"/>
  <c r="K56" i="4" s="1"/>
  <c r="C41" i="4" s="1"/>
  <c r="K42" i="4"/>
  <c r="C39" i="4" s="1"/>
</calcChain>
</file>

<file path=xl/sharedStrings.xml><?xml version="1.0" encoding="utf-8"?>
<sst xmlns="http://schemas.openxmlformats.org/spreadsheetml/2006/main" count="355" uniqueCount="266">
  <si>
    <t>S.No</t>
  </si>
  <si>
    <t>Particulars</t>
  </si>
  <si>
    <t>SOURCE</t>
  </si>
  <si>
    <t>Comments</t>
  </si>
  <si>
    <t>Rectified/Not rectified</t>
  </si>
  <si>
    <t xml:space="preserve">Whether audit report has the following fields 
a) Opinion of the Auditor
b) Basis of Opinion
c) Emphasis of matter
d) Key Audit Matters
e) Other Information (if any)
f) Responsibility of Management for the financial statement (FS)
g) Auditor's responsibility for the Audit of FS
h) Other matters
i) report on other legal and regulatory requirements 
j) reporting on Internal finanical Controls  (if applicable)
</t>
  </si>
  <si>
    <t>Auditors report</t>
  </si>
  <si>
    <t xml:space="preserve">whether Schedule III is as per format in Jamku&gt;Services&gt;ANNUAL FILING &gt;SAMPLE SCHEDULE III </t>
  </si>
  <si>
    <t>financials</t>
  </si>
  <si>
    <t>Whether the CIN Number, Address, DIN of the director, Name of the director, CEO , CFO, CS (if any) signing the financials mentioned</t>
  </si>
  <si>
    <t>Whether Previous year figures in Balance Sheet, PL are mentioned correctly. (Please refer last year filed Financials for Checking)</t>
  </si>
  <si>
    <t>financials of current year &amp; financials of previous year</t>
  </si>
  <si>
    <t>Share capital Notes</t>
  </si>
  <si>
    <t>Whether Shareholding more than 5% is mentioned in Schedule.</t>
  </si>
  <si>
    <t>financials - Balance sheet - Liabilities</t>
  </si>
  <si>
    <t>Whether the Shareholding given in the Schedule matched with Statutory Register</t>
  </si>
  <si>
    <t>Manual</t>
  </si>
  <si>
    <t>Whether the Authorised Capital is mentioned correctly as per MCA(Including Face Value of the shares)</t>
  </si>
  <si>
    <t>financials + Input sheet</t>
  </si>
  <si>
    <t>Whether the and Paid up capital  is mentioned correctly as per MCA(Including Face Value of the shares)</t>
  </si>
  <si>
    <t xml:space="preserve">Whether reconciliation  of shares O/S at the beginning and end of the year is given 
</t>
  </si>
  <si>
    <t>Whether promoter holding is disclosed as per format in Jamku&gt;Services&gt;ANNUAL FILING &gt;PROMOTER HOLDING</t>
  </si>
  <si>
    <t>Check whether Cash flow statement is given for  company with Paid up Capital of more than 10 crore</t>
  </si>
  <si>
    <t>Whether there is Significant Accounting Policies</t>
  </si>
  <si>
    <t xml:space="preserve">financials </t>
  </si>
  <si>
    <t>Whether EPS &amp; Diluted EPS is mentioned in PL</t>
  </si>
  <si>
    <t>financials - P &amp; L</t>
  </si>
  <si>
    <t>Check whether Notes to Accounts last page is Signed by both the directors and the Auditors.</t>
  </si>
  <si>
    <t>Check for UDIN</t>
  </si>
  <si>
    <t>Check if the financials and audit report has the seal of the auditor/firm</t>
  </si>
  <si>
    <t>Financials &amp; Auditors report</t>
  </si>
  <si>
    <t>Whether RPT transaction given in the Notes to Accounts matches with the figures given in PL and BS (For ex: Managerial Remuneration, Loan to directors, Loan from Directors)</t>
  </si>
  <si>
    <t>Financials and Notes to Accounts</t>
  </si>
  <si>
    <t>Whether Forex and RPT Transactions are mentioned in Notes to Accounts</t>
  </si>
  <si>
    <t>Notes to accounts</t>
  </si>
  <si>
    <t>Whether the Company is using an Accounting software with Audit trail features from 1st April 2023</t>
  </si>
  <si>
    <t>Whether the Auditor report contains the views and comments of the auditor on the following features of the accounting software</t>
  </si>
  <si>
    <t>(a) whether the Accounting software has a feature of recording audit trail (edit log) facility</t>
  </si>
  <si>
    <t>(b) Whether the same has been operated throughout the year for all transactions recorded in the software</t>
  </si>
  <si>
    <t>© Whether the audit trail feature has not been tampered with</t>
  </si>
  <si>
    <t>(d) Whether the audit trail has been preserved by the company as per the statutory requirements for record retention.</t>
  </si>
  <si>
    <t>If any of the above points is No, Then send financials back to the company highlighting the "NO"</t>
  </si>
  <si>
    <t>To check only if CSR is applicable based on compliance sheet- If NIL, ignore the below items</t>
  </si>
  <si>
    <t>(a) amount required to be spent by the company during the year,</t>
  </si>
  <si>
    <t>(b) amount of expenditure incurred,</t>
  </si>
  <si>
    <t>(c) shortfall at the end of the year,</t>
  </si>
  <si>
    <t>(d) total of previous years shortfall,</t>
  </si>
  <si>
    <t>(e) reason for shortfall,</t>
  </si>
  <si>
    <t>(f) nature of CSR activities,</t>
  </si>
  <si>
    <t>(g) details of related party transactions, e.g., contribution to a trust controlled by the company in relation to CSR expenditure as per relevant Accounting Standard,</t>
  </si>
  <si>
    <t>(h) where a provision is made with respect to a liability incurred by entering into a contractual obligation, the movements in the provision during the year should be shown separately.</t>
  </si>
  <si>
    <t>TM to check with company if any Board Resolutions was issued during the FY or upto 6 months from the end of FY for which Annual filing is being done</t>
  </si>
  <si>
    <t>Team to check with client</t>
  </si>
  <si>
    <t>TM to check with company if Directors were abroad during any part of the FY or upto 6 months from the end of the FY</t>
  </si>
  <si>
    <t xml:space="preserve">THIS THREE COLUMN SHOULD NOT COME IN OUTPUL EXCEL. </t>
  </si>
  <si>
    <t>Current Year</t>
  </si>
  <si>
    <t>Previous year</t>
  </si>
  <si>
    <t xml:space="preserve">Name of the Company: </t>
  </si>
  <si>
    <t>Small Company</t>
  </si>
  <si>
    <t>Applicability</t>
  </si>
  <si>
    <t>Current Year (Year 0)</t>
  </si>
  <si>
    <t>Previous Year (Year 1)</t>
  </si>
  <si>
    <t>Applicable</t>
  </si>
  <si>
    <t>TO less than 100 Cr and PUC less than 10 Cr</t>
  </si>
  <si>
    <t>Source</t>
  </si>
  <si>
    <t>Financial Particulars</t>
  </si>
  <si>
    <t>Rs.</t>
  </si>
  <si>
    <t>in Cr</t>
  </si>
  <si>
    <t>Not Applicable</t>
  </si>
  <si>
    <t>Should not be Subsidiary or Holding Company</t>
  </si>
  <si>
    <t>Balance sheet</t>
  </si>
  <si>
    <t>Paidup capital</t>
  </si>
  <si>
    <t>Subsidiary Company</t>
  </si>
  <si>
    <t>Reserves and Surplus</t>
  </si>
  <si>
    <t>Holding Company</t>
  </si>
  <si>
    <t>Result</t>
  </si>
  <si>
    <t>Borrowings</t>
  </si>
  <si>
    <t>Not a Holding or subsidiary Company</t>
  </si>
  <si>
    <t>Loangiven by Company to Directors or Director related entities (assets)</t>
  </si>
  <si>
    <t>compny</t>
  </si>
  <si>
    <t>Loans given by Company (assets)</t>
  </si>
  <si>
    <t>Newtorth @ 60%</t>
  </si>
  <si>
    <t>CARO</t>
  </si>
  <si>
    <t xml:space="preserve">Applicability </t>
  </si>
  <si>
    <t>Investments made by Company (assets)</t>
  </si>
  <si>
    <t>100% of FR</t>
  </si>
  <si>
    <t>One Person Company</t>
  </si>
  <si>
    <t>No</t>
  </si>
  <si>
    <t>listed</t>
  </si>
  <si>
    <t>unlisted</t>
  </si>
  <si>
    <t>Corporate Guarantees given by Company</t>
  </si>
  <si>
    <t>Max</t>
  </si>
  <si>
    <t xml:space="preserve">Small Company </t>
  </si>
  <si>
    <t>plc</t>
  </si>
  <si>
    <t>pvt</t>
  </si>
  <si>
    <t>Related party transaction</t>
  </si>
  <si>
    <t>Loan from Directors or their relatives (Liabilities)</t>
  </si>
  <si>
    <t>Private Company (Exempted)</t>
  </si>
  <si>
    <t>OPC</t>
  </si>
  <si>
    <t xml:space="preserve">Small </t>
  </si>
  <si>
    <t>Other than small</t>
  </si>
  <si>
    <t>Loan from Shareholders (Liabilities)</t>
  </si>
  <si>
    <t>PUC + RS not more than 1 Cr</t>
  </si>
  <si>
    <t>Secured Loan</t>
  </si>
  <si>
    <t>Borrowing not more than 1 Cr(Any point in FY)</t>
  </si>
  <si>
    <t>Advance from Customers, Shareholders, Security Deposits (Liabilitys)</t>
  </si>
  <si>
    <t>Total revenue not exceeding 10 Cr</t>
  </si>
  <si>
    <t>Dues to MSME</t>
  </si>
  <si>
    <t>Networth</t>
  </si>
  <si>
    <t>P&amp;L - Revenue from operations</t>
  </si>
  <si>
    <t>Turnover</t>
  </si>
  <si>
    <t>Year 2</t>
  </si>
  <si>
    <t>Year 3</t>
  </si>
  <si>
    <t>P&amp;L</t>
  </si>
  <si>
    <t>Total Revenue</t>
  </si>
  <si>
    <t>Profit Before Tax</t>
  </si>
  <si>
    <t>Corporate Social Responsibility</t>
  </si>
  <si>
    <t>ED / WTD - 1 Monthly Remuneration</t>
  </si>
  <si>
    <t>ED / WTD - 2 Monthly Remuneration</t>
  </si>
  <si>
    <t>Net worth of Rs.500 crore or more; OR</t>
  </si>
  <si>
    <t>Exprt</t>
  </si>
  <si>
    <t xml:space="preserve">Turnover of Rs.1,000 crore or more ; OR                                                                                                                                                                                                                                                                                                                                                        </t>
  </si>
  <si>
    <t>Net profit of Rs.5 crore or more (before tax)</t>
  </si>
  <si>
    <t>ED / WTD - 5 Monthly Remuneration</t>
  </si>
  <si>
    <t>Sitting Fees to Directors</t>
  </si>
  <si>
    <t>Balance sheet - Share capital notes</t>
  </si>
  <si>
    <t>Number of Bodies Corporate Shareholder holding more than 10%</t>
  </si>
  <si>
    <t xml:space="preserve">Is the Company a Holding or a Subsidiary Company </t>
  </si>
  <si>
    <t>Rotation of Auditors</t>
  </si>
  <si>
    <t>Financials</t>
  </si>
  <si>
    <t>Is the Company a Holding, Subsidiary or Associate of IND AS applicable Companies</t>
  </si>
  <si>
    <t>Public Company</t>
  </si>
  <si>
    <t>Previous Year</t>
  </si>
  <si>
    <t>Private Limite, PUC is Rs. 50 Cr or more</t>
  </si>
  <si>
    <t>Requirement</t>
  </si>
  <si>
    <t>Complied or not</t>
  </si>
  <si>
    <t>Is it a Small Company?</t>
  </si>
  <si>
    <t>XBRL FILING</t>
  </si>
  <si>
    <t>IND AS applicability</t>
  </si>
  <si>
    <t>Listed companies</t>
  </si>
  <si>
    <t>XBRL filing</t>
  </si>
  <si>
    <t>PUC 5 Cr or more</t>
  </si>
  <si>
    <t>TO 100 Cr or More</t>
  </si>
  <si>
    <t>IND AS applicable Companies</t>
  </si>
  <si>
    <t>Internal Audit</t>
  </si>
  <si>
    <t>Secretarial Audit</t>
  </si>
  <si>
    <t>KMP Appointment</t>
  </si>
  <si>
    <t>Vigil Mechanism</t>
  </si>
  <si>
    <t>Loan and Investments</t>
  </si>
  <si>
    <t>Listed Company</t>
  </si>
  <si>
    <t>Loan to Director or Related entities</t>
  </si>
  <si>
    <t>Public Deposit taking Company</t>
  </si>
  <si>
    <t>Cost Audit</t>
  </si>
  <si>
    <t>NA</t>
  </si>
  <si>
    <t>Date_______________, SRN_________________
Date_______________, SRN_________________</t>
  </si>
  <si>
    <t>Whether CRA 2 and CRA 4 filed?</t>
  </si>
  <si>
    <t>Borrowings more than Rs 50 cr</t>
  </si>
  <si>
    <t>Charge form</t>
  </si>
  <si>
    <t>AOC 1</t>
  </si>
  <si>
    <t>AOC 2</t>
  </si>
  <si>
    <t>RPT Resolution for omnibus approval</t>
  </si>
  <si>
    <t>Internal Financial Controls</t>
  </si>
  <si>
    <t>CSR Committee</t>
  </si>
  <si>
    <t>Small Company (Applicable if not a small company)</t>
  </si>
  <si>
    <t>Deposit declaration</t>
  </si>
  <si>
    <t>TO more than Rs. 50 Cr and Borrowings more than 25 Cr</t>
  </si>
  <si>
    <t>DPT 3</t>
  </si>
  <si>
    <t>Date_______________, SRN_________________</t>
  </si>
  <si>
    <t>MSME</t>
  </si>
  <si>
    <t>Ben 2</t>
  </si>
  <si>
    <t>MGT 8 Applicability</t>
  </si>
  <si>
    <t>Listed Company, or</t>
  </si>
  <si>
    <t>PUC Rs. 10 Cr or more</t>
  </si>
  <si>
    <t>TO Rs. 50 Cr ore More</t>
  </si>
  <si>
    <t>Certification of MGT 7</t>
  </si>
  <si>
    <t>Small Company (Not Applicable if it is a small Company)</t>
  </si>
  <si>
    <t>TO 200 Cr or More</t>
  </si>
  <si>
    <t>Borrowings 100 Cr or more</t>
  </si>
  <si>
    <t>Public Company  PUC – 50 Cr or  more;
T.O of 250 Crore or more;</t>
  </si>
  <si>
    <t>Company - Borrowings more than 100 Cr</t>
  </si>
  <si>
    <t>KMP appointment</t>
  </si>
  <si>
    <t>Listed</t>
  </si>
  <si>
    <t>Public Company - PUC 10 Cr or more</t>
  </si>
  <si>
    <t>Any Company - To appoint CS - PUC 10 Cr or more</t>
  </si>
  <si>
    <t>Loan Investment Guarantee - 186</t>
  </si>
  <si>
    <t xml:space="preserve">Have loans, investments, Guarantees </t>
  </si>
  <si>
    <t>Don’t have loans, investments, guaratnees</t>
  </si>
  <si>
    <t>SECTION 188</t>
  </si>
  <si>
    <t>RELATED PARTY TRANSACTION</t>
  </si>
  <si>
    <t>Section 188 read with Rule 12.1.15 Companies (Meetings of Board and its Powers) Rules,2014</t>
  </si>
  <si>
    <t>Based on last year T.O and N.W</t>
  </si>
  <si>
    <t>If there is Material Transaction, then AOC 2 is applicable. If the transaction is not material AOC 2 is Not applicable</t>
  </si>
  <si>
    <t>Transaction</t>
  </si>
  <si>
    <t>Criteria to be checked for Materiality</t>
  </si>
  <si>
    <t>Check RPT note for any of these transactions</t>
  </si>
  <si>
    <t>Limit as per rules</t>
  </si>
  <si>
    <t>Actuals</t>
  </si>
  <si>
    <t>Sale of Goods</t>
  </si>
  <si>
    <t xml:space="preserve">10 % or more of turnover </t>
  </si>
  <si>
    <t>Purchase or supply of goods or materials directly or through appointment of agents</t>
  </si>
  <si>
    <t>Sale of property</t>
  </si>
  <si>
    <t>10% or more of networth</t>
  </si>
  <si>
    <t>Purchase of property</t>
  </si>
  <si>
    <t>Dispose of Property</t>
  </si>
  <si>
    <t>Availing of service</t>
  </si>
  <si>
    <t xml:space="preserve">10% or more of turnover </t>
  </si>
  <si>
    <t>Rendering of Service</t>
  </si>
  <si>
    <t>Lease</t>
  </si>
  <si>
    <r>
      <t>Appointment to any office or place of profit in the company, its subsidiary company or </t>
    </r>
    <r>
      <rPr>
        <u/>
        <sz val="11"/>
        <color rgb="FFEA9629"/>
        <rFont val="Arial"/>
        <family val="2"/>
      </rPr>
      <t>associate company</t>
    </r>
  </si>
  <si>
    <t>monthly remuneration not exceeding two and half lakh rupees</t>
  </si>
  <si>
    <t>remuneration for underwriting the subscription of any securities or derivatives thereof, of the company</t>
  </si>
  <si>
    <t>1% of networth</t>
  </si>
  <si>
    <t>SEC 185 &amp; 186</t>
  </si>
  <si>
    <t>Balance sheet - Assets- Loans and advances/ Investments</t>
  </si>
  <si>
    <t>PROHIBITION</t>
  </si>
  <si>
    <t>Loans to directors or interested persons of directors</t>
  </si>
  <si>
    <t>APPLICABILITY</t>
  </si>
  <si>
    <t>Section 185</t>
  </si>
  <si>
    <t>(a)</t>
  </si>
  <si>
    <t>Has the company given any loan to Directors/ or of a company which is its holding company or any partner or relative of any such director; OR</t>
  </si>
  <si>
    <t>(b)</t>
  </si>
  <si>
    <t>Has the company given any loan to any firm in which any such director or relative is a partner</t>
  </si>
  <si>
    <t>G.S.R. 464E notification dated 5th June 2015</t>
  </si>
  <si>
    <t>If yes, check if the following conditions are met   incase of Private Limited company</t>
  </si>
  <si>
    <t>No other body corporate has invested in its share capital</t>
  </si>
  <si>
    <t>Its borrowings from banks/financial institutions/any Body Corporate is less than twice of its paid-up share capital or Rs. 50 crore, whichever is lower AND</t>
  </si>
  <si>
    <t xml:space="preserve">no default in repayment of such
borrowings subsisting at the time of making transactions under
this section
</t>
  </si>
  <si>
    <t>Even if one of the above conditions are YES,  Private companies cannot provide loan to its directors or of a company which is its holding company or any partner or relative of any such director</t>
  </si>
  <si>
    <t>Companies (Amendment) Act, 2017 dated 03.01.2018, Effective from 7th May,2018</t>
  </si>
  <si>
    <t>Has the company given loan including any loan represented by a book debt, or given any guarantee or provided any security in connection with any loan taken by any person in whom any of the director of the company is interested, being the following interested persons</t>
  </si>
  <si>
    <t>RESTRICTION</t>
  </si>
  <si>
    <t>any private company of which any such director is a director or member;</t>
  </si>
  <si>
    <t>any body corporate at a general meeting of which not less than twenty-five per cent. of the total voting power may be exercised or controlled by any such director, or by two or more such directors, together;</t>
  </si>
  <si>
    <t>any body corporate, the Board of directors, managing director or manager, whereof is accustomed to act in accordance with the directions or instructions of the Board, or of any director or directors, of the lending company.</t>
  </si>
  <si>
    <t>If yes, To check whether the following are complied with</t>
  </si>
  <si>
    <t>Special resolution is passed by the company in general meeting</t>
  </si>
  <si>
    <t>the loans are utilised by the borrowing company for its principal business activities.</t>
  </si>
  <si>
    <t>EXEMPTIONS</t>
  </si>
  <si>
    <t>the giving of any loan to a managing or whole-time director</t>
  </si>
  <si>
    <t>as a part of the conditions of service extended by the company to all its employees;  or</t>
  </si>
  <si>
    <t> pursuant to any scheme approved by the members by a special resolution; </t>
  </si>
  <si>
    <t>a company which in the ordinary course of its business provides loans or gives guarantees or securities for the due repayment of any loan and in respect of such loans an interest is charged at a rate not less than the rate of prevailing yield of one year, three year, five year or ten year Government security closest to the tenor of the loan;</t>
  </si>
  <si>
    <t>any loan made by a holding company to its wholly owned subsidiary company or any guarantee given or security provided by a holding company in respect of any loan made to its wholly owned subsidiary company; or</t>
  </si>
  <si>
    <t>any guarantee given or security provided by a holding company in respect of loan made by any bank or financial institution to its subsidiary company:</t>
  </si>
  <si>
    <t>Has the Company give loan, guarantee to any person or body corporate</t>
  </si>
  <si>
    <t>(c)</t>
  </si>
  <si>
    <t>Has the Company acquired by way of subscription, purchase or otherwise, the securities of any other body corporate,</t>
  </si>
  <si>
    <r>
      <t xml:space="preserve">If yes  whether it is within specified below, </t>
    </r>
    <r>
      <rPr>
        <b/>
        <sz val="12"/>
        <rFont val="Aptos Narrow"/>
        <family val="2"/>
        <scheme val="minor"/>
      </rPr>
      <t>whichever is more</t>
    </r>
  </si>
  <si>
    <t xml:space="preserve">60% of Paid up capital &amp; Free reserve and securities premium  or </t>
  </si>
  <si>
    <t xml:space="preserve">100% of Free reserves and securities premium  </t>
  </si>
  <si>
    <t>If within limits, include in Board report</t>
  </si>
  <si>
    <t>If exceeding limit, to mention in MGT 8 &amp; prior approval/ratification in next AGM/EGM</t>
  </si>
  <si>
    <t xml:space="preserve">whether CARO/Companies (Auditor's Report) Order is as per  format given in Jamku&gt;Services&gt;ANNUAL FILING &gt;SAMPLE CARO </t>
  </si>
  <si>
    <t>Yes/No/NA</t>
  </si>
  <si>
    <t xml:space="preserve">Input for the Common Error </t>
  </si>
  <si>
    <t xml:space="preserve">Financials </t>
  </si>
  <si>
    <t>Audit report</t>
  </si>
  <si>
    <t>previous year financials</t>
  </si>
  <si>
    <t>Previous year Audit report</t>
  </si>
  <si>
    <t>Input sheet for Annual Filing</t>
  </si>
  <si>
    <t>Input for the Compliance sheet</t>
  </si>
  <si>
    <t>SOURCE : Notes to Accounts - Related party transaction</t>
  </si>
  <si>
    <t>Turnover @ 10% as per previous year</t>
  </si>
  <si>
    <t>Networth @ 10% as per previous year</t>
  </si>
  <si>
    <t>Is this a material transaction (actuals &gt; limits) - Yes</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</si>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</sst>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_ * #,##0_ ;_ * \-#,##0_ ;_ * &quot;-&quot;??_ ;_ @_ "/>
    <numFmt numFmtId="165" formatCode="_ * #,##0.00_ ;_ * \-#,##0.00_ ;_ * &quot;-&quot;??_ ;_ @_ "/>
    <numFmt numFmtId="166" formatCode="_ * #,##0.0000_ ;_ * \-#,##0.0000_ ;_ * &quot;-&quot;??_ ;_ @_ "/>
    <numFmt numFmtId="167" formatCode="_(* #,##0_);_(* \(#,##0\);_(* &quot;-&quot;??_);_(@_)"/>
    <numFmt numFmtId="168" formatCode="0.000"/>
  </numFmts>
  <fonts count="21"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2"/>
      <color theme="1"/>
      <name val="Aptos Narrow"/>
      <family val="2"/>
      <scheme val="minor"/>
    </font>
    <font>
      <sz val="12"/>
      <name val="Aptos Narrow"/>
      <family val="2"/>
      <scheme val="minor"/>
    </font>
    <font>
      <b/>
      <sz val="12"/>
      <color theme="1"/>
      <name val="Aptos Narrow"/>
      <family val="2"/>
      <scheme val="minor"/>
    </font>
    <font>
      <b/>
      <sz val="12"/>
      <name val="Aptos Narrow"/>
      <family val="2"/>
      <scheme val="minor"/>
    </font>
    <font>
      <b/>
      <sz val="12"/>
      <color rgb="FFFF0000"/>
      <name val="Aptos Narrow"/>
      <family val="2"/>
      <scheme val="minor"/>
    </font>
    <font>
      <sz val="8"/>
      <name val="Arial"/>
      <family val="2"/>
    </font>
    <font>
      <sz val="12"/>
      <name val="Arial"/>
      <family val="2"/>
    </font>
    <font>
      <sz val="11"/>
      <color rgb="FF333333"/>
      <name val="Arial"/>
      <family val="2"/>
    </font>
    <font>
      <u/>
      <sz val="11"/>
      <color rgb="FFEA9629"/>
      <name val="Arial"/>
      <family val="2"/>
    </font>
    <font>
      <sz val="11"/>
      <color theme="0"/>
      <name val="Aptos Narrow"/>
      <family val="2"/>
      <scheme val="minor"/>
    </font>
    <font>
      <u/>
      <sz val="11"/>
      <color theme="10"/>
      <name val="Aptos Narrow"/>
      <family val="2"/>
      <scheme val="minor"/>
    </font>
    <font>
      <sz val="12"/>
      <color theme="0"/>
      <name val="Aptos Narrow"/>
      <family val="2"/>
      <scheme val="minor"/>
    </font>
    <font>
      <u/>
      <sz val="12"/>
      <color theme="10"/>
      <name val="Aptos Narrow"/>
      <family val="2"/>
      <scheme val="minor"/>
    </font>
    <font>
      <sz val="12"/>
      <color rgb="FF000000"/>
      <name val="Aptos Narrow"/>
      <family val="2"/>
      <scheme val="minor"/>
    </font>
    <font>
      <u/>
      <sz val="12"/>
      <color theme="1"/>
      <name val="Aptos Narrow"/>
      <family val="2"/>
      <scheme val="minor"/>
    </font>
    <font>
      <b/>
      <sz val="14"/>
      <color theme="1"/>
      <name val="Aptos Narrow"/>
      <family val="2"/>
      <scheme val="minor"/>
    </font>
    <font>
      <b/>
      <sz val="12"/>
      <color rgb="FF000000"/>
      <name val="Aptos Narrow"/>
      <scheme val="minor"/>
    </font>
  </fonts>
  <fills count="8">
    <fill>
      <patternFill patternType="none"/>
    </fill>
    <fill>
      <patternFill patternType="gray125"/>
    </fill>
    <fill>
      <patternFill patternType="solid">
        <fgColor rgb="FFFFFF00"/>
        <bgColor indexed="64"/>
      </patternFill>
    </fill>
    <fill>
      <patternFill patternType="solid">
        <fgColor theme="7"/>
        <bgColor indexed="64"/>
      </patternFill>
    </fill>
    <fill>
      <patternFill patternType="solid">
        <fgColor theme="5" tint="-0.249977111117893"/>
        <bgColor indexed="64"/>
      </patternFill>
    </fill>
    <fill>
      <patternFill patternType="solid">
        <fgColor rgb="FF00B050"/>
        <bgColor indexed="64"/>
      </patternFill>
    </fill>
    <fill>
      <patternFill patternType="solid">
        <fgColor rgb="FFFFC000"/>
        <bgColor indexed="64"/>
      </patternFill>
    </fill>
    <fill>
      <patternFill patternType="solid">
        <fgColor rgb="FFFF0000"/>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right/>
      <top/>
      <bottom style="medium">
        <color indexed="64"/>
      </bottom>
      <diagonal/>
    </border>
  </borders>
  <cellStyleXfs count="5">
    <xf numFmtId="0" fontId="0" fillId="0" borderId="0"/>
    <xf numFmtId="43" fontId="1" fillId="0" borderId="0" applyFont="0" applyFill="0" applyBorder="0" applyAlignment="0" applyProtection="0"/>
    <xf numFmtId="43" fontId="1" fillId="0" borderId="0" applyFont="0" applyFill="0" applyBorder="0" applyAlignment="0" applyProtection="0"/>
    <xf numFmtId="0" fontId="14" fillId="0" borderId="0" applyNumberFormat="0" applyFill="0" applyBorder="0" applyAlignment="0" applyProtection="0"/>
    <xf numFmtId="0" fontId="1" fillId="0" borderId="0"/>
  </cellStyleXfs>
  <cellXfs count="124">
    <xf numFmtId="0" fontId="0" fillId="0" borderId="0" xfId="0"/>
    <xf numFmtId="0" fontId="4" fillId="0" borderId="0" xfId="0" applyFont="1"/>
    <xf numFmtId="0" fontId="2" fillId="0" borderId="1" xfId="0" applyFont="1" applyBorder="1"/>
    <xf numFmtId="0" fontId="0" fillId="0" borderId="1" xfId="0" applyBorder="1"/>
    <xf numFmtId="0" fontId="5" fillId="0" borderId="1" xfId="0" applyFont="1" applyBorder="1" applyAlignment="1">
      <alignment wrapText="1"/>
    </xf>
    <xf numFmtId="0" fontId="4" fillId="0" borderId="1" xfId="0" applyFont="1" applyBorder="1"/>
    <xf numFmtId="0" fontId="4" fillId="0" borderId="1" xfId="0" applyFont="1" applyBorder="1" applyAlignment="1">
      <alignment wrapText="1"/>
    </xf>
    <xf numFmtId="0" fontId="4" fillId="0" borderId="1" xfId="0" applyFont="1" applyBorder="1" applyAlignment="1">
      <alignment vertical="center"/>
    </xf>
    <xf numFmtId="0" fontId="6" fillId="0" borderId="1" xfId="0" applyFont="1" applyBorder="1" applyAlignment="1">
      <alignment wrapText="1"/>
    </xf>
    <xf numFmtId="0" fontId="6" fillId="0" borderId="1" xfId="0" applyFont="1" applyBorder="1"/>
    <xf numFmtId="0" fontId="5" fillId="0" borderId="1" xfId="0" applyFont="1" applyBorder="1"/>
    <xf numFmtId="0" fontId="6" fillId="0" borderId="0" xfId="0" applyFont="1"/>
    <xf numFmtId="0" fontId="4" fillId="0" borderId="1" xfId="0" applyFont="1" applyBorder="1" applyAlignment="1">
      <alignment horizontal="right" vertical="center"/>
    </xf>
    <xf numFmtId="0" fontId="6" fillId="0" borderId="1" xfId="0" applyFont="1" applyBorder="1" applyAlignment="1">
      <alignment vertical="center"/>
    </xf>
    <xf numFmtId="0" fontId="5" fillId="0" borderId="1" xfId="0" applyFont="1" applyBorder="1" applyAlignment="1">
      <alignment horizontal="right"/>
    </xf>
    <xf numFmtId="0" fontId="5" fillId="0" borderId="1" xfId="0" applyFont="1" applyBorder="1" applyAlignment="1">
      <alignment horizontal="left" wrapText="1"/>
    </xf>
    <xf numFmtId="0" fontId="8" fillId="0" borderId="1" xfId="0" applyFont="1" applyBorder="1"/>
    <xf numFmtId="0" fontId="9" fillId="0" borderId="0" xfId="0" applyFont="1" applyAlignment="1">
      <alignment wrapText="1"/>
    </xf>
    <xf numFmtId="0" fontId="10" fillId="0" borderId="0" xfId="0" applyFont="1" applyAlignment="1">
      <alignment wrapText="1"/>
    </xf>
    <xf numFmtId="0" fontId="8" fillId="0" borderId="0" xfId="0" applyFont="1"/>
    <xf numFmtId="0" fontId="7" fillId="0" borderId="1" xfId="0" applyFont="1" applyBorder="1" applyAlignment="1">
      <alignment wrapText="1"/>
    </xf>
    <xf numFmtId="0" fontId="5" fillId="0" borderId="1" xfId="0" applyFont="1" applyBorder="1" applyAlignment="1">
      <alignment vertical="top" wrapText="1"/>
    </xf>
    <xf numFmtId="0" fontId="7" fillId="0" borderId="1" xfId="0" applyFont="1" applyBorder="1" applyAlignment="1">
      <alignment horizontal="center" wrapText="1"/>
    </xf>
    <xf numFmtId="164" fontId="5" fillId="0" borderId="1" xfId="0" applyNumberFormat="1" applyFont="1" applyBorder="1"/>
    <xf numFmtId="0" fontId="11" fillId="0" borderId="1" xfId="0" applyFont="1" applyBorder="1" applyAlignment="1">
      <alignment wrapText="1"/>
    </xf>
    <xf numFmtId="165" fontId="5" fillId="0" borderId="1" xfId="0" applyNumberFormat="1" applyFont="1" applyBorder="1"/>
    <xf numFmtId="166" fontId="5" fillId="0" borderId="1" xfId="1" applyNumberFormat="1" applyFont="1" applyBorder="1"/>
    <xf numFmtId="43" fontId="5" fillId="0" borderId="1" xfId="1" applyFont="1" applyBorder="1"/>
    <xf numFmtId="0" fontId="5" fillId="0" borderId="0" xfId="0" applyFont="1"/>
    <xf numFmtId="43" fontId="5" fillId="0" borderId="0" xfId="1" applyFont="1"/>
    <xf numFmtId="0" fontId="7" fillId="0" borderId="0" xfId="0" applyFont="1"/>
    <xf numFmtId="0" fontId="7" fillId="0" borderId="0" xfId="0" applyFont="1" applyAlignment="1">
      <alignment vertical="top" wrapText="1"/>
    </xf>
    <xf numFmtId="0" fontId="0" fillId="0" borderId="3" xfId="0" applyBorder="1"/>
    <xf numFmtId="0" fontId="3" fillId="2" borderId="0" xfId="0" applyFont="1" applyFill="1"/>
    <xf numFmtId="0" fontId="0" fillId="2" borderId="0" xfId="0" applyFill="1"/>
    <xf numFmtId="0" fontId="4" fillId="0" borderId="0" xfId="0" applyFont="1" applyAlignment="1">
      <alignment wrapText="1"/>
    </xf>
    <xf numFmtId="0" fontId="4" fillId="0" borderId="4" xfId="0" applyFont="1" applyBorder="1"/>
    <xf numFmtId="0" fontId="6" fillId="0" borderId="5" xfId="0" applyFont="1" applyBorder="1"/>
    <xf numFmtId="0" fontId="6" fillId="0" borderId="6" xfId="0" applyFont="1" applyBorder="1"/>
    <xf numFmtId="0" fontId="6" fillId="0" borderId="7" xfId="0" applyFont="1" applyBorder="1"/>
    <xf numFmtId="0" fontId="6" fillId="0" borderId="8" xfId="0" applyFont="1" applyBorder="1"/>
    <xf numFmtId="0" fontId="4" fillId="0" borderId="9" xfId="0" applyFont="1" applyBorder="1"/>
    <xf numFmtId="0" fontId="4" fillId="0" borderId="7" xfId="0" applyFont="1" applyBorder="1"/>
    <xf numFmtId="0" fontId="4" fillId="0" borderId="8" xfId="0" applyFont="1" applyBorder="1"/>
    <xf numFmtId="0" fontId="15" fillId="0" borderId="1" xfId="0" applyFont="1" applyBorder="1"/>
    <xf numFmtId="0" fontId="4" fillId="0" borderId="10" xfId="0" applyFont="1" applyBorder="1"/>
    <xf numFmtId="0" fontId="16" fillId="0" borderId="1" xfId="3" applyFont="1" applyBorder="1" applyAlignment="1">
      <alignment vertical="center"/>
    </xf>
    <xf numFmtId="0" fontId="4" fillId="0" borderId="11" xfId="0" applyFont="1" applyBorder="1"/>
    <xf numFmtId="0" fontId="6" fillId="0" borderId="10" xfId="0" applyFont="1" applyBorder="1"/>
    <xf numFmtId="0" fontId="6" fillId="0" borderId="11" xfId="0" applyFont="1" applyBorder="1"/>
    <xf numFmtId="0" fontId="17" fillId="2" borderId="1" xfId="0" applyFont="1" applyFill="1" applyBorder="1"/>
    <xf numFmtId="0" fontId="4" fillId="0" borderId="10" xfId="0" applyFont="1" applyBorder="1" applyAlignment="1">
      <alignment wrapText="1"/>
    </xf>
    <xf numFmtId="167" fontId="4" fillId="3" borderId="1" xfId="2" applyNumberFormat="1" applyFont="1" applyFill="1" applyBorder="1" applyAlignment="1">
      <alignment wrapText="1"/>
    </xf>
    <xf numFmtId="168" fontId="4" fillId="0" borderId="1" xfId="0" applyNumberFormat="1" applyFont="1" applyBorder="1"/>
    <xf numFmtId="168" fontId="4" fillId="0" borderId="11" xfId="0" applyNumberFormat="1" applyFont="1" applyBorder="1"/>
    <xf numFmtId="0" fontId="13" fillId="0" borderId="0" xfId="0" applyFont="1"/>
    <xf numFmtId="0" fontId="6" fillId="0" borderId="12" xfId="0" applyFont="1" applyBorder="1"/>
    <xf numFmtId="0" fontId="17" fillId="2" borderId="13" xfId="0" applyFont="1" applyFill="1" applyBorder="1"/>
    <xf numFmtId="0" fontId="4" fillId="0" borderId="14" xfId="0" applyFont="1" applyBorder="1"/>
    <xf numFmtId="0" fontId="4" fillId="0" borderId="15" xfId="0" applyFont="1" applyBorder="1"/>
    <xf numFmtId="0" fontId="4" fillId="0" borderId="3" xfId="0" applyFont="1" applyBorder="1"/>
    <xf numFmtId="0" fontId="4" fillId="0" borderId="16" xfId="0" applyFont="1" applyBorder="1"/>
    <xf numFmtId="0" fontId="4" fillId="0" borderId="17" xfId="0" applyFont="1" applyBorder="1"/>
    <xf numFmtId="0" fontId="4" fillId="0" borderId="18" xfId="0" applyFont="1" applyBorder="1"/>
    <xf numFmtId="0" fontId="4" fillId="0" borderId="19" xfId="0" applyFont="1" applyBorder="1"/>
    <xf numFmtId="167" fontId="4" fillId="0" borderId="1" xfId="2" applyNumberFormat="1" applyFont="1" applyBorder="1"/>
    <xf numFmtId="0" fontId="5" fillId="0" borderId="10" xfId="0" applyFont="1" applyBorder="1" applyAlignment="1">
      <alignment horizontal="justify"/>
    </xf>
    <xf numFmtId="0" fontId="4" fillId="4" borderId="0" xfId="0" applyFont="1" applyFill="1"/>
    <xf numFmtId="0" fontId="4" fillId="5" borderId="0" xfId="0" applyFont="1" applyFill="1"/>
    <xf numFmtId="0" fontId="4" fillId="6" borderId="0" xfId="0" applyFont="1" applyFill="1"/>
    <xf numFmtId="0" fontId="4" fillId="2" borderId="0" xfId="0" applyFont="1" applyFill="1"/>
    <xf numFmtId="0" fontId="18" fillId="7" borderId="0" xfId="0" applyFont="1" applyFill="1"/>
    <xf numFmtId="0" fontId="5" fillId="0" borderId="10" xfId="0" applyFont="1" applyBorder="1" applyAlignment="1">
      <alignment horizontal="left" indent="2"/>
    </xf>
    <xf numFmtId="0" fontId="4" fillId="3" borderId="1" xfId="0" applyFont="1" applyFill="1" applyBorder="1" applyAlignment="1">
      <alignment wrapText="1"/>
    </xf>
    <xf numFmtId="0" fontId="5" fillId="3" borderId="1" xfId="0" applyFont="1" applyFill="1" applyBorder="1" applyAlignment="1">
      <alignment horizontal="right" wrapText="1"/>
    </xf>
    <xf numFmtId="0" fontId="4" fillId="2" borderId="10" xfId="0" applyFont="1" applyFill="1" applyBorder="1"/>
    <xf numFmtId="167" fontId="4" fillId="0" borderId="1" xfId="2" applyNumberFormat="1" applyFont="1" applyFill="1" applyBorder="1" applyAlignment="1">
      <alignment wrapText="1"/>
    </xf>
    <xf numFmtId="0" fontId="5" fillId="2" borderId="12" xfId="0" applyFont="1" applyFill="1" applyBorder="1" applyAlignment="1">
      <alignment horizontal="left"/>
    </xf>
    <xf numFmtId="0" fontId="4" fillId="3" borderId="0" xfId="0" applyFont="1" applyFill="1"/>
    <xf numFmtId="0" fontId="4" fillId="0" borderId="20" xfId="0" applyFont="1" applyBorder="1"/>
    <xf numFmtId="0" fontId="4" fillId="0" borderId="21" xfId="0" applyFont="1" applyBorder="1"/>
    <xf numFmtId="0" fontId="4" fillId="0" borderId="22" xfId="0" applyFont="1" applyBorder="1"/>
    <xf numFmtId="0" fontId="7" fillId="0" borderId="7" xfId="0" applyFont="1" applyBorder="1" applyAlignment="1">
      <alignment horizontal="left"/>
    </xf>
    <xf numFmtId="4" fontId="4" fillId="3" borderId="1" xfId="0" applyNumberFormat="1" applyFont="1" applyFill="1" applyBorder="1" applyAlignment="1">
      <alignment wrapText="1"/>
    </xf>
    <xf numFmtId="0" fontId="0" fillId="0" borderId="10" xfId="0" applyBorder="1"/>
    <xf numFmtId="0" fontId="5" fillId="0" borderId="10" xfId="0" applyFont="1" applyBorder="1" applyAlignment="1">
      <alignment wrapText="1"/>
    </xf>
    <xf numFmtId="0" fontId="16" fillId="0" borderId="11" xfId="3" applyFont="1" applyBorder="1" applyAlignment="1">
      <alignment vertical="center"/>
    </xf>
    <xf numFmtId="0" fontId="5" fillId="2" borderId="12" xfId="0" applyFont="1" applyFill="1" applyBorder="1" applyAlignment="1">
      <alignment wrapText="1"/>
    </xf>
    <xf numFmtId="0" fontId="17" fillId="2" borderId="14" xfId="0" applyFont="1" applyFill="1" applyBorder="1"/>
    <xf numFmtId="0" fontId="7" fillId="0" borderId="7" xfId="0" applyFont="1" applyBorder="1" applyAlignment="1">
      <alignment wrapText="1"/>
    </xf>
    <xf numFmtId="0" fontId="6" fillId="0" borderId="8" xfId="0" applyFont="1" applyBorder="1" applyAlignment="1">
      <alignment wrapText="1"/>
    </xf>
    <xf numFmtId="0" fontId="6" fillId="0" borderId="9" xfId="0" applyFont="1" applyBorder="1"/>
    <xf numFmtId="0" fontId="5" fillId="0" borderId="12" xfId="0" applyFont="1" applyBorder="1" applyAlignment="1">
      <alignment horizontal="justify"/>
    </xf>
    <xf numFmtId="0" fontId="16" fillId="0" borderId="13" xfId="3" applyFont="1" applyBorder="1" applyAlignment="1">
      <alignment horizontal="right" vertical="center" wrapText="1"/>
    </xf>
    <xf numFmtId="168" fontId="4" fillId="0" borderId="13" xfId="0" applyNumberFormat="1" applyFont="1" applyBorder="1"/>
    <xf numFmtId="168" fontId="4" fillId="0" borderId="14" xfId="0" applyNumberFormat="1" applyFont="1" applyBorder="1"/>
    <xf numFmtId="0" fontId="7" fillId="0" borderId="7" xfId="0" applyFont="1" applyBorder="1"/>
    <xf numFmtId="0" fontId="7" fillId="0" borderId="8" xfId="0" applyFont="1" applyBorder="1" applyAlignment="1">
      <alignment wrapText="1"/>
    </xf>
    <xf numFmtId="0" fontId="17" fillId="0" borderId="13" xfId="0" applyFont="1" applyBorder="1"/>
    <xf numFmtId="0" fontId="5" fillId="0" borderId="10" xfId="0" applyFont="1" applyBorder="1"/>
    <xf numFmtId="0" fontId="5" fillId="2" borderId="10" xfId="0" applyFont="1" applyFill="1" applyBorder="1" applyAlignment="1">
      <alignment wrapText="1"/>
    </xf>
    <xf numFmtId="0" fontId="0" fillId="0" borderId="1" xfId="0" applyBorder="1" applyAlignment="1">
      <alignment wrapText="1"/>
    </xf>
    <xf numFmtId="0" fontId="5" fillId="0" borderId="10" xfId="0" applyFont="1" applyBorder="1" applyAlignment="1">
      <alignment horizontal="left" vertical="center" wrapText="1"/>
    </xf>
    <xf numFmtId="0" fontId="7" fillId="0" borderId="10" xfId="0" applyFont="1" applyBorder="1" applyAlignment="1">
      <alignment wrapText="1"/>
    </xf>
    <xf numFmtId="0" fontId="4" fillId="0" borderId="12" xfId="0" applyFont="1" applyBorder="1"/>
    <xf numFmtId="0" fontId="4" fillId="0" borderId="13" xfId="0" applyFont="1" applyBorder="1" applyAlignment="1">
      <alignment wrapText="1"/>
    </xf>
    <xf numFmtId="0" fontId="4" fillId="0" borderId="13" xfId="0" applyFont="1" applyBorder="1"/>
    <xf numFmtId="0" fontId="7" fillId="0" borderId="10" xfId="0" applyFont="1" applyBorder="1" applyAlignment="1">
      <alignment horizontal="left" vertical="center" wrapText="1"/>
    </xf>
    <xf numFmtId="0" fontId="5" fillId="0" borderId="10" xfId="4" applyFont="1" applyBorder="1" applyAlignment="1">
      <alignment horizontal="left" vertical="top" wrapText="1"/>
    </xf>
    <xf numFmtId="0" fontId="17" fillId="2" borderId="11" xfId="0" applyFont="1" applyFill="1" applyBorder="1"/>
    <xf numFmtId="0" fontId="10" fillId="0" borderId="10" xfId="4" applyFont="1" applyBorder="1" applyAlignment="1">
      <alignment horizontal="left" vertical="top" wrapText="1"/>
    </xf>
    <xf numFmtId="0" fontId="0" fillId="0" borderId="3" xfId="0" applyBorder="1" applyAlignment="1">
      <alignment wrapText="1"/>
    </xf>
    <xf numFmtId="0" fontId="2" fillId="0" borderId="1" xfId="0" applyFont="1" applyBorder="1" applyAlignment="1">
      <alignment wrapText="1"/>
    </xf>
    <xf numFmtId="0" fontId="7" fillId="0" borderId="1" xfId="0" applyFont="1" applyBorder="1" applyAlignment="1">
      <alignment horizontal="left" wrapText="1"/>
    </xf>
    <xf numFmtId="0" fontId="20" fillId="0" borderId="0" xfId="0" applyFont="1"/>
    <xf numFmtId="0" fontId="4" fillId="0" borderId="0" xfId="0" applyFont="1" applyAlignment="1">
      <alignment horizontal="center"/>
    </xf>
    <xf numFmtId="0" fontId="6" fillId="0" borderId="0" xfId="0" applyFont="1" applyAlignment="1">
      <alignment horizontal="left"/>
    </xf>
    <xf numFmtId="0" fontId="6" fillId="0" borderId="8" xfId="0" applyFont="1" applyBorder="1" applyAlignment="1">
      <alignment horizontal="center"/>
    </xf>
    <xf numFmtId="0" fontId="6" fillId="0" borderId="9" xfId="0" applyFont="1" applyBorder="1" applyAlignment="1">
      <alignment horizontal="center"/>
    </xf>
    <xf numFmtId="167" fontId="19" fillId="0" borderId="23" xfId="2" applyNumberFormat="1" applyFont="1" applyBorder="1" applyAlignment="1">
      <alignment horizontal="center" wrapText="1"/>
    </xf>
    <xf numFmtId="0" fontId="19" fillId="0" borderId="23" xfId="0" applyFont="1" applyBorder="1" applyAlignment="1">
      <alignment horizontal="center" wrapText="1"/>
    </xf>
    <xf numFmtId="0" fontId="7" fillId="0" borderId="2" xfId="0" applyFont="1" applyBorder="1" applyAlignment="1">
      <alignment horizontal="center"/>
    </xf>
    <xf numFmtId="0" fontId="7" fillId="0" borderId="1" xfId="0" applyFont="1" applyBorder="1" applyAlignment="1">
      <alignment horizontal="left" wrapText="1"/>
    </xf>
    <xf numFmtId="0" fontId="4" fillId="0" borderId="10" xfId="0" applyFont="1" applyFill="1" applyBorder="1"/>
  </cellXfs>
  <cellStyles count="5">
    <cellStyle name="Comma" xfId="2" builtinId="3"/>
    <cellStyle name="Comma 2" xfId="1" xr:uid="{355DAC92-F967-4376-8EA7-AEBD51404419}"/>
    <cellStyle name="Hyperlink" xfId="3" builtinId="8"/>
    <cellStyle name="Normal" xfId="0" builtinId="0"/>
    <cellStyle name="Normal 11 2 2" xfId="4" xr:uid="{B8FEC127-A2BE-402A-A978-666028E78C1B}"/>
  </cellStyles>
  <dxfs count="17">
    <dxf>
      <font>
        <condense val="0"/>
        <extend val="0"/>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s://exceljet.net/excel-functions/excel-if-function" TargetMode="External"/><Relationship Id="rId18" Type="http://schemas.openxmlformats.org/officeDocument/2006/relationships/hyperlink" Target="https://exceljet.net/excel-functions/excel-if-function" TargetMode="External"/><Relationship Id="rId26" Type="http://schemas.openxmlformats.org/officeDocument/2006/relationships/hyperlink" Target="https://exceljet.net/excel-functions/excel-if-function" TargetMode="External"/><Relationship Id="rId21" Type="http://schemas.openxmlformats.org/officeDocument/2006/relationships/hyperlink" Target="https://exceljet.net/excel-functions/excel-if-function" TargetMode="External"/><Relationship Id="rId34" Type="http://schemas.openxmlformats.org/officeDocument/2006/relationships/hyperlink" Target="https://exceljet.net/excel-functions/excel-if-function" TargetMode="External"/><Relationship Id="rId7" Type="http://schemas.openxmlformats.org/officeDocument/2006/relationships/hyperlink" Target="https://exceljet.net/excel-functions/excel-if-function" TargetMode="External"/><Relationship Id="rId12" Type="http://schemas.openxmlformats.org/officeDocument/2006/relationships/hyperlink" Target="https://exceljet.net/excel-functions/excel-if-function" TargetMode="External"/><Relationship Id="rId17" Type="http://schemas.openxmlformats.org/officeDocument/2006/relationships/hyperlink" Target="https://exceljet.net/excel-functions/excel-if-function" TargetMode="External"/><Relationship Id="rId25" Type="http://schemas.openxmlformats.org/officeDocument/2006/relationships/hyperlink" Target="https://exceljet.net/excel-functions/excel-if-function" TargetMode="External"/><Relationship Id="rId33" Type="http://schemas.openxmlformats.org/officeDocument/2006/relationships/hyperlink" Target="https://exceljet.net/excel-functions/excel-if-function" TargetMode="External"/><Relationship Id="rId2" Type="http://schemas.openxmlformats.org/officeDocument/2006/relationships/hyperlink" Target="https://exceljet.net/excel-functions/excel-if-function" TargetMode="External"/><Relationship Id="rId16" Type="http://schemas.openxmlformats.org/officeDocument/2006/relationships/hyperlink" Target="https://exceljet.net/excel-functions/excel-if-function" TargetMode="External"/><Relationship Id="rId20" Type="http://schemas.openxmlformats.org/officeDocument/2006/relationships/hyperlink" Target="https://exceljet.net/excel-functions/excel-if-function" TargetMode="External"/><Relationship Id="rId29" Type="http://schemas.openxmlformats.org/officeDocument/2006/relationships/hyperlink" Target="https://exceljet.net/excel-functions/excel-if-function" TargetMode="External"/><Relationship Id="rId1" Type="http://schemas.openxmlformats.org/officeDocument/2006/relationships/hyperlink" Target="https://exceljet.net/excel-functions/excel-if-function" TargetMode="External"/><Relationship Id="rId6" Type="http://schemas.openxmlformats.org/officeDocument/2006/relationships/hyperlink" Target="https://exceljet.net/excel-functions/excel-if-function" TargetMode="External"/><Relationship Id="rId11" Type="http://schemas.openxmlformats.org/officeDocument/2006/relationships/hyperlink" Target="https://exceljet.net/excel-functions/excel-if-function" TargetMode="External"/><Relationship Id="rId24" Type="http://schemas.openxmlformats.org/officeDocument/2006/relationships/hyperlink" Target="https://exceljet.net/excel-functions/excel-if-function" TargetMode="External"/><Relationship Id="rId32" Type="http://schemas.openxmlformats.org/officeDocument/2006/relationships/hyperlink" Target="https://exceljet.net/excel-functions/excel-if-function" TargetMode="External"/><Relationship Id="rId37" Type="http://schemas.openxmlformats.org/officeDocument/2006/relationships/printerSettings" Target="../printerSettings/printerSettings2.bin"/><Relationship Id="rId5" Type="http://schemas.openxmlformats.org/officeDocument/2006/relationships/hyperlink" Target="https://exceljet.net/excel-functions/excel-if-function" TargetMode="External"/><Relationship Id="rId15" Type="http://schemas.openxmlformats.org/officeDocument/2006/relationships/hyperlink" Target="https://exceljet.net/excel-functions/excel-if-function" TargetMode="External"/><Relationship Id="rId23" Type="http://schemas.openxmlformats.org/officeDocument/2006/relationships/hyperlink" Target="https://exceljet.net/excel-functions/excel-if-function" TargetMode="External"/><Relationship Id="rId28" Type="http://schemas.openxmlformats.org/officeDocument/2006/relationships/hyperlink" Target="https://exceljet.net/excel-functions/excel-if-function" TargetMode="External"/><Relationship Id="rId36" Type="http://schemas.openxmlformats.org/officeDocument/2006/relationships/hyperlink" Target="https://exceljet.net/excel-functions/excel-if-function" TargetMode="External"/><Relationship Id="rId10" Type="http://schemas.openxmlformats.org/officeDocument/2006/relationships/hyperlink" Target="https://exceljet.net/excel-functions/excel-if-function" TargetMode="External"/><Relationship Id="rId19" Type="http://schemas.openxmlformats.org/officeDocument/2006/relationships/hyperlink" Target="https://exceljet.net/excel-functions/excel-if-function" TargetMode="External"/><Relationship Id="rId31" Type="http://schemas.openxmlformats.org/officeDocument/2006/relationships/hyperlink" Target="https://exceljet.net/excel-functions/excel-if-function" TargetMode="External"/><Relationship Id="rId4" Type="http://schemas.openxmlformats.org/officeDocument/2006/relationships/hyperlink" Target="https://exceljet.net/excel-functions/excel-if-function" TargetMode="External"/><Relationship Id="rId9" Type="http://schemas.openxmlformats.org/officeDocument/2006/relationships/hyperlink" Target="https://exceljet.net/excel-functions/excel-if-function" TargetMode="External"/><Relationship Id="rId14" Type="http://schemas.openxmlformats.org/officeDocument/2006/relationships/hyperlink" Target="https://exceljet.net/excel-functions/excel-if-function" TargetMode="External"/><Relationship Id="rId22" Type="http://schemas.openxmlformats.org/officeDocument/2006/relationships/hyperlink" Target="https://exceljet.net/excel-functions/excel-if-function" TargetMode="External"/><Relationship Id="rId27" Type="http://schemas.openxmlformats.org/officeDocument/2006/relationships/hyperlink" Target="https://exceljet.net/excel-functions/excel-if-function" TargetMode="External"/><Relationship Id="rId30" Type="http://schemas.openxmlformats.org/officeDocument/2006/relationships/hyperlink" Target="https://exceljet.net/excel-functions/excel-if-function" TargetMode="External"/><Relationship Id="rId35" Type="http://schemas.openxmlformats.org/officeDocument/2006/relationships/hyperlink" Target="https://exceljet.net/excel-functions/excel-if-function" TargetMode="External"/><Relationship Id="rId8" Type="http://schemas.openxmlformats.org/officeDocument/2006/relationships/hyperlink" Target="https://exceljet.net/excel-functions/excel-if-function" TargetMode="External"/><Relationship Id="rId3" Type="http://schemas.openxmlformats.org/officeDocument/2006/relationships/hyperlink" Target="https://exceljet.net/excel-functions/excel-if-func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CE8AB-4F99-47A3-8D43-47FF2AC2EF71}">
  <dimension ref="A1:F41"/>
  <sheetViews>
    <sheetView zoomScaleNormal="100" workbookViewId="0">
      <selection activeCell="C18" sqref="C18"/>
    </sheetView>
  </sheetViews>
  <sheetFormatPr defaultColWidth="9.109375" defaultRowHeight="15.6" x14ac:dyDescent="0.3"/>
  <cols>
    <col min="1" max="1" width="6.33203125" style="1" customWidth="1"/>
    <col min="2" max="2" width="77" style="35" customWidth="1"/>
    <col min="3" max="3" width="41.6640625" style="1" customWidth="1"/>
    <col min="4" max="4" width="19.6640625" style="1" customWidth="1"/>
    <col min="5" max="5" width="29" style="1" customWidth="1"/>
    <col min="6" max="6" width="22.6640625" style="1" customWidth="1"/>
    <col min="7" max="16384" width="9.109375" style="1"/>
  </cols>
  <sheetData>
    <row r="1" spans="1:6" s="11" customFormat="1" ht="36.75" customHeight="1" x14ac:dyDescent="0.3">
      <c r="A1" s="9" t="s">
        <v>0</v>
      </c>
      <c r="B1" s="8" t="s">
        <v>1</v>
      </c>
      <c r="C1" s="9" t="s">
        <v>2</v>
      </c>
      <c r="D1" s="9" t="s">
        <v>253</v>
      </c>
      <c r="E1" s="9" t="s">
        <v>3</v>
      </c>
      <c r="F1" s="8" t="s">
        <v>4</v>
      </c>
    </row>
    <row r="2" spans="1:6" s="11" customFormat="1" ht="187.2" x14ac:dyDescent="0.3">
      <c r="A2" s="13">
        <v>1</v>
      </c>
      <c r="B2" s="6" t="s">
        <v>5</v>
      </c>
      <c r="C2" s="6" t="s">
        <v>6</v>
      </c>
      <c r="D2" s="9"/>
      <c r="E2" s="9"/>
      <c r="F2" s="8"/>
    </row>
    <row r="3" spans="1:6" s="11" customFormat="1" ht="31.2" x14ac:dyDescent="0.3">
      <c r="A3" s="12">
        <v>2</v>
      </c>
      <c r="B3" s="4" t="s">
        <v>252</v>
      </c>
      <c r="C3" s="10" t="s">
        <v>6</v>
      </c>
      <c r="D3" s="9"/>
      <c r="E3" s="5"/>
      <c r="F3" s="8"/>
    </row>
    <row r="4" spans="1:6" s="11" customFormat="1" ht="31.2" x14ac:dyDescent="0.3">
      <c r="A4" s="12">
        <v>3</v>
      </c>
      <c r="B4" s="4" t="s">
        <v>7</v>
      </c>
      <c r="C4" s="10" t="s">
        <v>8</v>
      </c>
      <c r="D4" s="5"/>
      <c r="E4" s="5"/>
      <c r="F4" s="8"/>
    </row>
    <row r="5" spans="1:6" ht="31.2" x14ac:dyDescent="0.3">
      <c r="A5" s="7">
        <v>4</v>
      </c>
      <c r="B5" s="6" t="s">
        <v>9</v>
      </c>
      <c r="C5" s="6" t="s">
        <v>8</v>
      </c>
      <c r="D5" s="5"/>
      <c r="E5" s="5"/>
      <c r="F5" s="5"/>
    </row>
    <row r="6" spans="1:6" ht="31.2" x14ac:dyDescent="0.3">
      <c r="A6" s="7">
        <v>5</v>
      </c>
      <c r="B6" s="6" t="s">
        <v>10</v>
      </c>
      <c r="C6" s="6" t="s">
        <v>11</v>
      </c>
      <c r="D6" s="5"/>
      <c r="E6" s="5"/>
      <c r="F6" s="5"/>
    </row>
    <row r="7" spans="1:6" x14ac:dyDescent="0.3">
      <c r="A7" s="7">
        <v>6</v>
      </c>
      <c r="B7" s="8" t="s">
        <v>12</v>
      </c>
      <c r="C7" s="9"/>
      <c r="D7" s="5"/>
      <c r="E7" s="5"/>
      <c r="F7" s="5"/>
    </row>
    <row r="8" spans="1:6" x14ac:dyDescent="0.3">
      <c r="A8" s="7"/>
      <c r="B8" s="6" t="s">
        <v>13</v>
      </c>
      <c r="C8" s="6" t="s">
        <v>14</v>
      </c>
      <c r="D8" s="5"/>
      <c r="E8" s="5"/>
      <c r="F8" s="5"/>
    </row>
    <row r="9" spans="1:6" ht="26.4" customHeight="1" x14ac:dyDescent="0.3">
      <c r="A9" s="7"/>
      <c r="B9" s="6" t="s">
        <v>15</v>
      </c>
      <c r="C9" s="6" t="s">
        <v>16</v>
      </c>
      <c r="D9" s="5"/>
      <c r="E9" s="5"/>
      <c r="F9" s="5"/>
    </row>
    <row r="10" spans="1:6" ht="42.6" customHeight="1" x14ac:dyDescent="0.3">
      <c r="A10" s="7"/>
      <c r="B10" s="6" t="s">
        <v>17</v>
      </c>
      <c r="C10" s="6" t="s">
        <v>18</v>
      </c>
      <c r="D10" s="5"/>
      <c r="E10" s="5"/>
      <c r="F10" s="5"/>
    </row>
    <row r="11" spans="1:6" ht="37.200000000000003" customHeight="1" x14ac:dyDescent="0.3">
      <c r="A11" s="7"/>
      <c r="B11" s="6" t="s">
        <v>19</v>
      </c>
      <c r="C11" s="6" t="s">
        <v>18</v>
      </c>
      <c r="D11" s="5"/>
      <c r="E11" s="5"/>
      <c r="F11" s="5"/>
    </row>
    <row r="12" spans="1:6" ht="31.2" x14ac:dyDescent="0.3">
      <c r="A12" s="7"/>
      <c r="B12" s="6" t="s">
        <v>20</v>
      </c>
      <c r="C12" s="6" t="s">
        <v>11</v>
      </c>
      <c r="D12" s="5"/>
      <c r="E12" s="5"/>
      <c r="F12" s="5"/>
    </row>
    <row r="13" spans="1:6" ht="31.2" x14ac:dyDescent="0.3">
      <c r="A13" s="7"/>
      <c r="B13" s="6" t="s">
        <v>21</v>
      </c>
      <c r="C13" s="6" t="s">
        <v>11</v>
      </c>
      <c r="D13" s="5"/>
      <c r="E13" s="5"/>
      <c r="F13" s="5"/>
    </row>
    <row r="14" spans="1:6" ht="26.4" customHeight="1" x14ac:dyDescent="0.3">
      <c r="A14" s="7">
        <v>7</v>
      </c>
      <c r="B14" s="6" t="s">
        <v>22</v>
      </c>
      <c r="C14" s="6" t="s">
        <v>8</v>
      </c>
      <c r="D14" s="5"/>
      <c r="E14" s="5"/>
      <c r="F14" s="5"/>
    </row>
    <row r="15" spans="1:6" x14ac:dyDescent="0.3">
      <c r="A15" s="7">
        <v>8</v>
      </c>
      <c r="B15" s="6" t="s">
        <v>23</v>
      </c>
      <c r="C15" s="5" t="s">
        <v>24</v>
      </c>
      <c r="D15" s="5"/>
      <c r="E15" s="5"/>
      <c r="F15" s="5"/>
    </row>
    <row r="16" spans="1:6" x14ac:dyDescent="0.3">
      <c r="A16" s="7">
        <v>9</v>
      </c>
      <c r="B16" s="6" t="s">
        <v>25</v>
      </c>
      <c r="C16" s="5" t="s">
        <v>26</v>
      </c>
      <c r="D16" s="5"/>
      <c r="E16" s="5"/>
      <c r="F16" s="5"/>
    </row>
    <row r="17" spans="1:6" ht="31.2" x14ac:dyDescent="0.3">
      <c r="A17" s="7">
        <v>10</v>
      </c>
      <c r="B17" s="6" t="s">
        <v>27</v>
      </c>
      <c r="C17" s="5" t="s">
        <v>26</v>
      </c>
      <c r="D17" s="5"/>
      <c r="E17" s="5"/>
      <c r="F17" s="5"/>
    </row>
    <row r="18" spans="1:6" x14ac:dyDescent="0.3">
      <c r="A18" s="7">
        <v>11</v>
      </c>
      <c r="B18" s="4" t="s">
        <v>28</v>
      </c>
      <c r="C18" s="5" t="s">
        <v>6</v>
      </c>
      <c r="D18" s="5"/>
      <c r="E18" s="5"/>
      <c r="F18" s="5"/>
    </row>
    <row r="19" spans="1:6" x14ac:dyDescent="0.3">
      <c r="A19" s="7">
        <v>12</v>
      </c>
      <c r="B19" s="4" t="s">
        <v>29</v>
      </c>
      <c r="C19" s="10" t="s">
        <v>30</v>
      </c>
      <c r="D19" s="5"/>
      <c r="E19" s="5"/>
      <c r="F19" s="5"/>
    </row>
    <row r="20" spans="1:6" ht="46.8" x14ac:dyDescent="0.3">
      <c r="A20" s="7">
        <v>13</v>
      </c>
      <c r="B20" s="6" t="s">
        <v>31</v>
      </c>
      <c r="C20" s="6" t="s">
        <v>32</v>
      </c>
      <c r="D20" s="5"/>
      <c r="E20" s="5"/>
      <c r="F20" s="5"/>
    </row>
    <row r="21" spans="1:6" x14ac:dyDescent="0.3">
      <c r="A21" s="7">
        <v>14</v>
      </c>
      <c r="B21" s="6" t="s">
        <v>33</v>
      </c>
      <c r="C21" s="5" t="s">
        <v>34</v>
      </c>
      <c r="D21" s="5"/>
      <c r="E21" s="5"/>
      <c r="F21" s="5"/>
    </row>
    <row r="22" spans="1:6" ht="31.2" x14ac:dyDescent="0.3">
      <c r="A22" s="7">
        <v>15</v>
      </c>
      <c r="B22" s="8" t="s">
        <v>35</v>
      </c>
      <c r="C22" s="9"/>
      <c r="D22" s="5"/>
      <c r="E22" s="5"/>
      <c r="F22" s="5"/>
    </row>
    <row r="23" spans="1:6" ht="31.2" x14ac:dyDescent="0.3">
      <c r="A23" s="7"/>
      <c r="B23" s="6" t="s">
        <v>36</v>
      </c>
      <c r="C23" s="6"/>
      <c r="D23" s="5"/>
      <c r="E23" s="5"/>
      <c r="F23" s="5"/>
    </row>
    <row r="24" spans="1:6" ht="31.2" x14ac:dyDescent="0.3">
      <c r="A24" s="7"/>
      <c r="B24" s="6" t="s">
        <v>37</v>
      </c>
      <c r="C24" s="6" t="s">
        <v>6</v>
      </c>
      <c r="D24" s="5"/>
      <c r="E24" s="5"/>
      <c r="F24" s="5"/>
    </row>
    <row r="25" spans="1:6" ht="31.2" x14ac:dyDescent="0.3">
      <c r="A25" s="7"/>
      <c r="B25" s="6" t="s">
        <v>38</v>
      </c>
      <c r="C25" s="6" t="s">
        <v>6</v>
      </c>
      <c r="D25" s="5"/>
      <c r="E25" s="5"/>
      <c r="F25" s="5"/>
    </row>
    <row r="26" spans="1:6" x14ac:dyDescent="0.3">
      <c r="A26" s="7"/>
      <c r="B26" s="6" t="s">
        <v>39</v>
      </c>
      <c r="C26" s="6" t="s">
        <v>6</v>
      </c>
      <c r="D26" s="5"/>
      <c r="E26" s="5"/>
      <c r="F26" s="5"/>
    </row>
    <row r="27" spans="1:6" ht="31.2" x14ac:dyDescent="0.3">
      <c r="A27" s="7"/>
      <c r="B27" s="6" t="s">
        <v>40</v>
      </c>
      <c r="C27" s="6" t="s">
        <v>6</v>
      </c>
      <c r="D27" s="5"/>
      <c r="E27" s="5"/>
      <c r="F27" s="5"/>
    </row>
    <row r="28" spans="1:6" ht="31.2" x14ac:dyDescent="0.3">
      <c r="A28" s="7"/>
      <c r="B28" s="6" t="s">
        <v>41</v>
      </c>
      <c r="C28" s="6"/>
      <c r="D28" s="5"/>
      <c r="E28" s="5"/>
      <c r="F28" s="5"/>
    </row>
    <row r="29" spans="1:6" ht="31.2" x14ac:dyDescent="0.3">
      <c r="A29" s="7">
        <v>16</v>
      </c>
      <c r="B29" s="8" t="s">
        <v>42</v>
      </c>
      <c r="C29" s="8"/>
      <c r="D29" s="5"/>
      <c r="E29" s="5"/>
      <c r="F29" s="5"/>
    </row>
    <row r="30" spans="1:6" x14ac:dyDescent="0.3">
      <c r="A30" s="7"/>
      <c r="B30" s="6" t="s">
        <v>43</v>
      </c>
      <c r="C30" s="6"/>
      <c r="D30" s="5"/>
      <c r="E30" s="5"/>
      <c r="F30" s="5"/>
    </row>
    <row r="31" spans="1:6" x14ac:dyDescent="0.3">
      <c r="A31" s="7"/>
      <c r="B31" s="6" t="s">
        <v>44</v>
      </c>
      <c r="C31" s="6"/>
      <c r="D31" s="5"/>
      <c r="E31" s="5"/>
      <c r="F31" s="5"/>
    </row>
    <row r="32" spans="1:6" x14ac:dyDescent="0.3">
      <c r="A32" s="7"/>
      <c r="B32" s="6" t="s">
        <v>45</v>
      </c>
      <c r="C32" s="6"/>
      <c r="D32" s="5"/>
      <c r="E32" s="5"/>
      <c r="F32" s="5"/>
    </row>
    <row r="33" spans="1:6" x14ac:dyDescent="0.3">
      <c r="A33" s="7"/>
      <c r="B33" s="6" t="s">
        <v>46</v>
      </c>
      <c r="C33" s="6"/>
      <c r="D33" s="5"/>
      <c r="E33" s="5"/>
      <c r="F33" s="5"/>
    </row>
    <row r="34" spans="1:6" x14ac:dyDescent="0.3">
      <c r="A34" s="7"/>
      <c r="B34" s="6" t="s">
        <v>47</v>
      </c>
      <c r="C34" s="6"/>
      <c r="D34" s="5"/>
      <c r="E34" s="5"/>
      <c r="F34" s="5"/>
    </row>
    <row r="35" spans="1:6" x14ac:dyDescent="0.3">
      <c r="A35" s="7"/>
      <c r="B35" s="6" t="s">
        <v>48</v>
      </c>
      <c r="C35" s="6"/>
      <c r="D35" s="5"/>
      <c r="E35" s="5"/>
      <c r="F35" s="5"/>
    </row>
    <row r="36" spans="1:6" ht="31.2" x14ac:dyDescent="0.3">
      <c r="A36" s="7"/>
      <c r="B36" s="6" t="s">
        <v>49</v>
      </c>
      <c r="C36" s="6"/>
      <c r="D36" s="5"/>
      <c r="E36" s="5"/>
      <c r="F36" s="5"/>
    </row>
    <row r="37" spans="1:6" ht="46.8" x14ac:dyDescent="0.3">
      <c r="A37" s="7"/>
      <c r="B37" s="6" t="s">
        <v>50</v>
      </c>
      <c r="C37" s="6"/>
      <c r="D37" s="5"/>
      <c r="E37" s="5"/>
      <c r="F37" s="5"/>
    </row>
    <row r="38" spans="1:6" ht="31.2" x14ac:dyDescent="0.3">
      <c r="A38" s="5">
        <v>17</v>
      </c>
      <c r="B38" s="4" t="s">
        <v>51</v>
      </c>
      <c r="C38" s="4" t="s">
        <v>52</v>
      </c>
      <c r="D38" s="3"/>
      <c r="E38" s="5"/>
      <c r="F38" s="5"/>
    </row>
    <row r="39" spans="1:6" ht="31.2" x14ac:dyDescent="0.3">
      <c r="A39" s="5">
        <v>18</v>
      </c>
      <c r="B39" s="4" t="s">
        <v>53</v>
      </c>
      <c r="C39" s="4" t="s">
        <v>52</v>
      </c>
      <c r="D39" s="3"/>
      <c r="E39" s="5"/>
      <c r="F39" s="5"/>
    </row>
    <row r="40" spans="1:6" x14ac:dyDescent="0.3">
      <c r="B40" s="111"/>
      <c r="C40" s="32"/>
      <c r="D40" s="32"/>
    </row>
    <row r="41" spans="1:6" x14ac:dyDescent="0.3">
      <c r="B41" s="112"/>
      <c r="C41" s="2"/>
      <c r="D41" s="2"/>
    </row>
  </sheetData>
  <conditionalFormatting sqref="D5">
    <cfRule type="containsText" dxfId="16" priority="2" operator="containsText" text="NO">
      <formula>NOT(ISERROR(SEARCH("NO",D5)))</formula>
    </cfRule>
  </conditionalFormatting>
  <conditionalFormatting sqref="D5:D18">
    <cfRule type="containsText" dxfId="15" priority="1" operator="containsText" text="No">
      <formula>NOT(ISERROR(SEARCH("No",D5)))</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8822E-8F8D-4F2A-A74B-921C06C3ADD0}">
  <dimension ref="A1:X97"/>
  <sheetViews>
    <sheetView topLeftCell="A38" zoomScale="85" zoomScaleNormal="85" workbookViewId="0">
      <selection activeCell="B51" sqref="B51"/>
    </sheetView>
  </sheetViews>
  <sheetFormatPr defaultColWidth="9.33203125" defaultRowHeight="15.6" x14ac:dyDescent="0.3"/>
  <cols>
    <col min="1" max="1" width="23.6640625" style="1" bestFit="1" customWidth="1"/>
    <col min="2" max="2" width="54.6640625" style="1" customWidth="1"/>
    <col min="3" max="3" width="27.33203125" style="35" customWidth="1"/>
    <col min="4" max="4" width="34.44140625" style="1" customWidth="1"/>
    <col min="5" max="5" width="25.33203125" style="35" customWidth="1"/>
    <col min="6" max="6" width="34.6640625" style="1" customWidth="1"/>
    <col min="7" max="7" width="10.5546875" style="1" customWidth="1"/>
    <col min="8" max="8" width="16" style="1" customWidth="1"/>
    <col min="9" max="9" width="3.6640625" style="1" customWidth="1"/>
    <col min="10" max="10" width="49.6640625" style="1" bestFit="1" customWidth="1"/>
    <col min="11" max="11" width="15.33203125" style="1" customWidth="1"/>
    <col min="12" max="12" width="24" style="1" customWidth="1"/>
    <col min="13" max="16" width="9.33203125" style="1" customWidth="1"/>
    <col min="17" max="16384" width="9.33203125" style="1"/>
  </cols>
  <sheetData>
    <row r="1" spans="1:24" x14ac:dyDescent="0.3">
      <c r="J1" s="115" t="s">
        <v>54</v>
      </c>
      <c r="K1" s="115"/>
      <c r="L1" s="115"/>
    </row>
    <row r="3" spans="1:24" ht="16.2" thickBot="1" x14ac:dyDescent="0.35"/>
    <row r="4" spans="1:24" ht="16.2" thickBot="1" x14ac:dyDescent="0.35">
      <c r="J4" s="36"/>
      <c r="K4" s="37" t="s">
        <v>55</v>
      </c>
      <c r="L4" s="38" t="s">
        <v>56</v>
      </c>
    </row>
    <row r="5" spans="1:24" ht="16.2" thickBot="1" x14ac:dyDescent="0.35">
      <c r="B5" s="116" t="s">
        <v>57</v>
      </c>
      <c r="C5" s="116"/>
      <c r="D5" s="116"/>
      <c r="J5" s="39" t="s">
        <v>58</v>
      </c>
      <c r="K5" s="40" t="s">
        <v>59</v>
      </c>
      <c r="L5" s="41"/>
    </row>
    <row r="6" spans="1:24" x14ac:dyDescent="0.3">
      <c r="B6" s="42"/>
      <c r="C6" s="117" t="s">
        <v>60</v>
      </c>
      <c r="D6" s="117"/>
      <c r="E6" s="117" t="s">
        <v>61</v>
      </c>
      <c r="F6" s="118"/>
      <c r="G6" s="43"/>
      <c r="H6" s="44" t="s">
        <v>62</v>
      </c>
      <c r="J6" s="45" t="s">
        <v>63</v>
      </c>
      <c r="K6" s="46" t="str">
        <f>IF((AND($C$8&lt;100000000,$C$21&lt;1000000000)), $H$7, $H$6)</f>
        <v>Not Applicable</v>
      </c>
      <c r="L6" s="47"/>
    </row>
    <row r="7" spans="1:24" x14ac:dyDescent="0.3">
      <c r="A7" s="114" t="s">
        <v>64</v>
      </c>
      <c r="B7" s="48" t="s">
        <v>65</v>
      </c>
      <c r="C7" s="8" t="s">
        <v>66</v>
      </c>
      <c r="D7" s="9" t="s">
        <v>67</v>
      </c>
      <c r="E7" s="8" t="s">
        <v>66</v>
      </c>
      <c r="F7" s="49" t="s">
        <v>67</v>
      </c>
      <c r="G7" s="5"/>
      <c r="H7" s="44" t="s">
        <v>68</v>
      </c>
      <c r="J7" s="45" t="s">
        <v>69</v>
      </c>
      <c r="K7" s="50" t="str">
        <f>IF(OR($C$31=$H$8,$C$31=$H$9),$H$6,$H$7)</f>
        <v>Not Applicable</v>
      </c>
      <c r="L7" s="47"/>
    </row>
    <row r="8" spans="1:24" x14ac:dyDescent="0.3">
      <c r="A8" s="1" t="s">
        <v>70</v>
      </c>
      <c r="B8" s="51" t="s">
        <v>71</v>
      </c>
      <c r="C8" s="52"/>
      <c r="D8" s="53">
        <f>C8/10000000</f>
        <v>0</v>
      </c>
      <c r="E8" s="52"/>
      <c r="F8" s="54">
        <f t="shared" ref="F8:F16" si="0">E8/10000000</f>
        <v>0</v>
      </c>
      <c r="G8" s="5"/>
      <c r="H8" s="55" t="s">
        <v>72</v>
      </c>
      <c r="J8" s="45"/>
      <c r="K8" s="5"/>
      <c r="L8" s="47"/>
    </row>
    <row r="9" spans="1:24" ht="16.2" thickBot="1" x14ac:dyDescent="0.35">
      <c r="A9" s="1" t="s">
        <v>70</v>
      </c>
      <c r="B9" s="51" t="s">
        <v>73</v>
      </c>
      <c r="C9" s="52"/>
      <c r="D9" s="53">
        <f t="shared" ref="D9:D30" si="1">C9/10000000</f>
        <v>0</v>
      </c>
      <c r="E9" s="52"/>
      <c r="F9" s="54">
        <f t="shared" si="0"/>
        <v>0</v>
      </c>
      <c r="G9" s="5"/>
      <c r="H9" s="55" t="s">
        <v>74</v>
      </c>
      <c r="J9" s="56" t="s">
        <v>75</v>
      </c>
      <c r="K9" s="57" t="str">
        <f>IF(OR($K$6=$H$6,$K$7=$H$6),$H$6,$H$7)</f>
        <v>Not Applicable</v>
      </c>
      <c r="L9" s="58"/>
    </row>
    <row r="10" spans="1:24" x14ac:dyDescent="0.3">
      <c r="A10" s="1" t="s">
        <v>70</v>
      </c>
      <c r="B10" s="51" t="s">
        <v>76</v>
      </c>
      <c r="C10" s="52"/>
      <c r="D10" s="53">
        <f t="shared" si="1"/>
        <v>0</v>
      </c>
      <c r="E10" s="52"/>
      <c r="F10" s="54">
        <f t="shared" si="0"/>
        <v>0</v>
      </c>
      <c r="G10" s="5"/>
      <c r="H10" s="55" t="s">
        <v>77</v>
      </c>
      <c r="J10" s="59"/>
      <c r="K10" s="60"/>
      <c r="L10" s="61"/>
    </row>
    <row r="11" spans="1:24" ht="31.8" thickBot="1" x14ac:dyDescent="0.35">
      <c r="A11" s="1" t="s">
        <v>70</v>
      </c>
      <c r="B11" s="51" t="s">
        <v>78</v>
      </c>
      <c r="C11" s="52"/>
      <c r="D11" s="53">
        <f t="shared" si="1"/>
        <v>0</v>
      </c>
      <c r="E11" s="52"/>
      <c r="F11" s="54">
        <f t="shared" si="0"/>
        <v>0</v>
      </c>
      <c r="J11" s="62"/>
      <c r="K11" s="63"/>
      <c r="L11" s="64"/>
      <c r="T11" s="1" t="s">
        <v>79</v>
      </c>
    </row>
    <row r="12" spans="1:24" x14ac:dyDescent="0.3">
      <c r="A12" s="1" t="s">
        <v>70</v>
      </c>
      <c r="B12" s="51" t="s">
        <v>80</v>
      </c>
      <c r="C12" s="52"/>
      <c r="D12" s="53">
        <f t="shared" si="1"/>
        <v>0</v>
      </c>
      <c r="E12" s="52"/>
      <c r="F12" s="54">
        <f t="shared" si="0"/>
        <v>0</v>
      </c>
      <c r="G12" s="5" t="s">
        <v>81</v>
      </c>
      <c r="H12" s="65">
        <f>$E$20*0.6</f>
        <v>0</v>
      </c>
      <c r="J12" s="39" t="s">
        <v>82</v>
      </c>
      <c r="K12" s="40" t="s">
        <v>83</v>
      </c>
      <c r="L12" s="41"/>
    </row>
    <row r="13" spans="1:24" x14ac:dyDescent="0.3">
      <c r="A13" s="1" t="s">
        <v>70</v>
      </c>
      <c r="B13" s="51" t="s">
        <v>84</v>
      </c>
      <c r="C13" s="52"/>
      <c r="D13" s="53">
        <f t="shared" si="1"/>
        <v>0</v>
      </c>
      <c r="E13" s="52"/>
      <c r="F13" s="54">
        <f t="shared" si="0"/>
        <v>0</v>
      </c>
      <c r="G13" s="5" t="s">
        <v>85</v>
      </c>
      <c r="H13" s="65">
        <f>$E$9</f>
        <v>0</v>
      </c>
      <c r="J13" s="66" t="s">
        <v>86</v>
      </c>
      <c r="K13" s="5" t="s">
        <v>87</v>
      </c>
      <c r="L13" s="47"/>
      <c r="S13" s="67" t="s">
        <v>88</v>
      </c>
      <c r="U13" s="1" t="s">
        <v>89</v>
      </c>
    </row>
    <row r="14" spans="1:24" x14ac:dyDescent="0.3">
      <c r="B14" s="51" t="s">
        <v>90</v>
      </c>
      <c r="C14" s="52"/>
      <c r="D14" s="53">
        <f t="shared" si="1"/>
        <v>0</v>
      </c>
      <c r="E14" s="52"/>
      <c r="F14" s="54">
        <f t="shared" si="0"/>
        <v>0</v>
      </c>
      <c r="G14" s="5" t="s">
        <v>91</v>
      </c>
      <c r="H14" s="65">
        <f>MAX($H$12,$H$13)</f>
        <v>0</v>
      </c>
      <c r="J14" s="45" t="s">
        <v>92</v>
      </c>
      <c r="K14" s="46" t="str">
        <f>K9</f>
        <v>Not Applicable</v>
      </c>
      <c r="L14" s="47"/>
      <c r="S14" s="1" t="s">
        <v>93</v>
      </c>
      <c r="U14" s="68" t="s">
        <v>93</v>
      </c>
      <c r="V14" s="1" t="s">
        <v>94</v>
      </c>
    </row>
    <row r="15" spans="1:24" x14ac:dyDescent="0.3">
      <c r="A15" s="1" t="s">
        <v>95</v>
      </c>
      <c r="B15" s="66" t="s">
        <v>96</v>
      </c>
      <c r="C15" s="52"/>
      <c r="D15" s="53">
        <f t="shared" si="1"/>
        <v>0</v>
      </c>
      <c r="E15" s="52"/>
      <c r="F15" s="54">
        <f t="shared" si="0"/>
        <v>0</v>
      </c>
      <c r="G15" s="5"/>
      <c r="J15" s="66" t="s">
        <v>97</v>
      </c>
      <c r="K15" s="46" t="str">
        <f>IF((AND($C$8&lt;40000000,$C$21&lt;400000000)), $H$7, $H$6)</f>
        <v>Not Applicable</v>
      </c>
      <c r="L15" s="47"/>
      <c r="V15" s="69" t="s">
        <v>98</v>
      </c>
      <c r="W15" s="70" t="s">
        <v>99</v>
      </c>
      <c r="X15" s="71" t="s">
        <v>100</v>
      </c>
    </row>
    <row r="16" spans="1:24" x14ac:dyDescent="0.3">
      <c r="A16" s="1" t="s">
        <v>95</v>
      </c>
      <c r="B16" s="66" t="s">
        <v>101</v>
      </c>
      <c r="C16" s="52"/>
      <c r="D16" s="53">
        <f t="shared" si="1"/>
        <v>0</v>
      </c>
      <c r="E16" s="52"/>
      <c r="F16" s="54">
        <f t="shared" si="0"/>
        <v>0</v>
      </c>
      <c r="G16" s="5"/>
      <c r="J16" s="72" t="s">
        <v>102</v>
      </c>
      <c r="K16" s="46" t="str">
        <f>IF(($C$8+$C$9)&gt;10000000,$H$6,$H$7)</f>
        <v>Not Applicable</v>
      </c>
      <c r="L16" s="47"/>
    </row>
    <row r="17" spans="1:12" x14ac:dyDescent="0.3">
      <c r="A17" s="1" t="s">
        <v>70</v>
      </c>
      <c r="B17" s="66" t="s">
        <v>103</v>
      </c>
      <c r="C17" s="52"/>
      <c r="D17" s="53">
        <f t="shared" si="1"/>
        <v>0</v>
      </c>
      <c r="E17" s="73"/>
      <c r="F17" s="54">
        <v>0</v>
      </c>
      <c r="G17" s="5"/>
      <c r="H17" s="5"/>
      <c r="J17" s="72" t="s">
        <v>104</v>
      </c>
      <c r="K17" s="46" t="str">
        <f>IF($C$10&gt;10000000, $H$6,$H$7)</f>
        <v>Not Applicable</v>
      </c>
      <c r="L17" s="47"/>
    </row>
    <row r="18" spans="1:12" ht="31.2" x14ac:dyDescent="0.3">
      <c r="A18" s="1" t="s">
        <v>34</v>
      </c>
      <c r="B18" s="51" t="s">
        <v>105</v>
      </c>
      <c r="C18" s="52"/>
      <c r="D18" s="53">
        <f t="shared" si="1"/>
        <v>0</v>
      </c>
      <c r="E18" s="73"/>
      <c r="F18" s="54">
        <f t="shared" ref="F18:F29" si="2">E18/10000000</f>
        <v>0</v>
      </c>
      <c r="G18" s="5"/>
      <c r="H18" s="5"/>
      <c r="J18" s="72" t="s">
        <v>106</v>
      </c>
      <c r="K18" s="46" t="str">
        <f>IF($C$22&gt;100000000,$H$6,$H$7)</f>
        <v>Not Applicable</v>
      </c>
      <c r="L18" s="47"/>
    </row>
    <row r="19" spans="1:12" x14ac:dyDescent="0.3">
      <c r="A19" s="1" t="s">
        <v>70</v>
      </c>
      <c r="B19" s="66" t="s">
        <v>107</v>
      </c>
      <c r="C19" s="74"/>
      <c r="D19" s="53">
        <f t="shared" si="1"/>
        <v>0</v>
      </c>
      <c r="E19" s="73"/>
      <c r="F19" s="54">
        <f t="shared" si="2"/>
        <v>0</v>
      </c>
      <c r="G19" s="5"/>
      <c r="H19" s="5"/>
      <c r="J19" s="72"/>
      <c r="K19" s="46"/>
      <c r="L19" s="47"/>
    </row>
    <row r="20" spans="1:12" x14ac:dyDescent="0.3">
      <c r="B20" s="75" t="s">
        <v>108</v>
      </c>
      <c r="C20" s="76">
        <f>+C8+C9</f>
        <v>0</v>
      </c>
      <c r="D20" s="53">
        <f t="shared" si="1"/>
        <v>0</v>
      </c>
      <c r="E20" s="76">
        <f>+E8+E9</f>
        <v>0</v>
      </c>
      <c r="F20" s="54">
        <f t="shared" si="2"/>
        <v>0</v>
      </c>
      <c r="G20" s="5"/>
      <c r="J20" s="72"/>
      <c r="K20" s="46"/>
      <c r="L20" s="47"/>
    </row>
    <row r="21" spans="1:12" ht="16.2" thickBot="1" x14ac:dyDescent="0.35">
      <c r="A21" s="1" t="s">
        <v>109</v>
      </c>
      <c r="B21" s="51" t="s">
        <v>110</v>
      </c>
      <c r="C21" s="52"/>
      <c r="D21" s="53">
        <f t="shared" si="1"/>
        <v>0</v>
      </c>
      <c r="E21" s="52"/>
      <c r="F21" s="54">
        <f t="shared" si="2"/>
        <v>0</v>
      </c>
      <c r="G21" s="5" t="s">
        <v>111</v>
      </c>
      <c r="H21" s="1" t="s">
        <v>112</v>
      </c>
      <c r="J21" s="77" t="s">
        <v>75</v>
      </c>
      <c r="K21" s="57" t="str">
        <f>IF(OR(K13=$H$6,K14=$H$6,K16=$H$6,K17=$H$6,K18=$H$6),$H$6,$H$7)</f>
        <v>Not Applicable</v>
      </c>
      <c r="L21" s="58"/>
    </row>
    <row r="22" spans="1:12" ht="16.2" thickBot="1" x14ac:dyDescent="0.35">
      <c r="A22" s="1" t="s">
        <v>113</v>
      </c>
      <c r="B22" s="51" t="s">
        <v>114</v>
      </c>
      <c r="C22" s="52"/>
      <c r="D22" s="53">
        <f t="shared" si="1"/>
        <v>0</v>
      </c>
      <c r="E22" s="52"/>
      <c r="F22" s="54">
        <f t="shared" si="2"/>
        <v>0</v>
      </c>
      <c r="G22" s="78"/>
      <c r="H22" s="78"/>
      <c r="J22" s="79"/>
      <c r="K22" s="80"/>
      <c r="L22" s="81"/>
    </row>
    <row r="23" spans="1:12" x14ac:dyDescent="0.3">
      <c r="A23" s="1" t="s">
        <v>113</v>
      </c>
      <c r="B23" s="51" t="s">
        <v>115</v>
      </c>
      <c r="C23" s="52"/>
      <c r="D23" s="53">
        <f t="shared" si="1"/>
        <v>0</v>
      </c>
      <c r="E23" s="52"/>
      <c r="F23" s="54">
        <f t="shared" si="2"/>
        <v>0</v>
      </c>
      <c r="J23" s="82" t="s">
        <v>116</v>
      </c>
      <c r="K23" s="43"/>
      <c r="L23" s="41"/>
    </row>
    <row r="24" spans="1:12" x14ac:dyDescent="0.3">
      <c r="A24" s="1" t="s">
        <v>95</v>
      </c>
      <c r="B24" s="45" t="s">
        <v>117</v>
      </c>
      <c r="C24" s="83"/>
      <c r="D24" s="5">
        <f t="shared" si="1"/>
        <v>0</v>
      </c>
      <c r="E24" s="6"/>
      <c r="F24" s="47">
        <f t="shared" si="2"/>
        <v>0</v>
      </c>
      <c r="J24" s="84"/>
      <c r="K24" s="3"/>
      <c r="L24" s="47"/>
    </row>
    <row r="25" spans="1:12" x14ac:dyDescent="0.3">
      <c r="A25" s="1" t="s">
        <v>95</v>
      </c>
      <c r="B25" s="45" t="s">
        <v>118</v>
      </c>
      <c r="C25" s="73"/>
      <c r="D25" s="5">
        <f t="shared" si="1"/>
        <v>0</v>
      </c>
      <c r="E25" s="6"/>
      <c r="F25" s="47">
        <f t="shared" si="2"/>
        <v>0</v>
      </c>
      <c r="J25" s="85" t="s">
        <v>119</v>
      </c>
      <c r="K25" s="46" t="str">
        <f>IF($C$20&gt;=5000000000,"Applicable","Not Applicable")</f>
        <v>Not Applicable</v>
      </c>
      <c r="L25" s="86" t="str">
        <f>IF($E$20&gt;=5000000000,"Applicable","Not Applicable")</f>
        <v>Not Applicable</v>
      </c>
    </row>
    <row r="26" spans="1:12" x14ac:dyDescent="0.3">
      <c r="A26" s="1" t="s">
        <v>34</v>
      </c>
      <c r="B26" s="45" t="s">
        <v>120</v>
      </c>
      <c r="C26" s="73"/>
      <c r="D26" s="5">
        <f t="shared" si="1"/>
        <v>0</v>
      </c>
      <c r="E26" s="6"/>
      <c r="F26" s="47">
        <f t="shared" si="2"/>
        <v>0</v>
      </c>
      <c r="J26" s="85" t="s">
        <v>121</v>
      </c>
      <c r="K26" s="46" t="str">
        <f>IF($C$21&gt;=10000000000,"Applicable","Not Applicable")</f>
        <v>Not Applicable</v>
      </c>
      <c r="L26" s="86" t="str">
        <f>IF($E$21&gt;=10000000000,"Applicable","Not Applicable")</f>
        <v>Not Applicable</v>
      </c>
    </row>
    <row r="27" spans="1:12" x14ac:dyDescent="0.3">
      <c r="A27" s="1" t="s">
        <v>34</v>
      </c>
      <c r="B27" s="45" t="s">
        <v>120</v>
      </c>
      <c r="C27" s="73"/>
      <c r="D27" s="5">
        <f t="shared" si="1"/>
        <v>0</v>
      </c>
      <c r="E27" s="6"/>
      <c r="F27" s="47">
        <f t="shared" si="2"/>
        <v>0</v>
      </c>
      <c r="J27" s="85" t="s">
        <v>122</v>
      </c>
      <c r="K27" s="46" t="str">
        <f>IF($C$23&gt;=50000000,"Applicable","Not Applicable")</f>
        <v>Not Applicable</v>
      </c>
      <c r="L27" s="86" t="str">
        <f>IF($E$23&gt;=50000000,"Applicable","Not Applicable")</f>
        <v>Not Applicable</v>
      </c>
    </row>
    <row r="28" spans="1:12" x14ac:dyDescent="0.3">
      <c r="A28" s="1" t="s">
        <v>95</v>
      </c>
      <c r="B28" s="45" t="s">
        <v>123</v>
      </c>
      <c r="C28" s="73"/>
      <c r="D28" s="5">
        <f t="shared" si="1"/>
        <v>0</v>
      </c>
      <c r="E28" s="6"/>
      <c r="F28" s="47">
        <f t="shared" si="2"/>
        <v>0</v>
      </c>
      <c r="J28" s="85"/>
      <c r="K28" s="46"/>
      <c r="L28" s="86"/>
    </row>
    <row r="29" spans="1:12" ht="16.2" thickBot="1" x14ac:dyDescent="0.35">
      <c r="A29" s="1" t="s">
        <v>34</v>
      </c>
      <c r="B29" s="45" t="s">
        <v>124</v>
      </c>
      <c r="C29" s="73"/>
      <c r="D29" s="5">
        <f t="shared" si="1"/>
        <v>0</v>
      </c>
      <c r="E29" s="6"/>
      <c r="F29" s="47">
        <f t="shared" si="2"/>
        <v>0</v>
      </c>
      <c r="J29" s="87" t="s">
        <v>75</v>
      </c>
      <c r="K29" s="57" t="str">
        <f>IF(OR($K$25=$H$6,$K$26=$H$6,$K$27=$H$6),$H$6,$H$7)</f>
        <v>Not Applicable</v>
      </c>
      <c r="L29" s="88" t="str">
        <f>IF(OR($L$25=$H$6,$L$26=$H$6,$L$27=$H$6),$H$6,$H$7)</f>
        <v>Not Applicable</v>
      </c>
    </row>
    <row r="30" spans="1:12" ht="31.8" thickBot="1" x14ac:dyDescent="0.35">
      <c r="A30" s="1" t="s">
        <v>125</v>
      </c>
      <c r="B30" s="66" t="s">
        <v>126</v>
      </c>
      <c r="C30" s="74"/>
      <c r="D30" s="53">
        <f t="shared" si="1"/>
        <v>0</v>
      </c>
      <c r="E30" s="6"/>
      <c r="F30" s="54">
        <f>E30/10000000</f>
        <v>0</v>
      </c>
      <c r="J30" s="79"/>
      <c r="K30" s="80"/>
      <c r="L30" s="81"/>
    </row>
    <row r="31" spans="1:12" x14ac:dyDescent="0.3">
      <c r="A31" s="1" t="s">
        <v>125</v>
      </c>
      <c r="B31" s="45" t="s">
        <v>127</v>
      </c>
      <c r="C31" s="73"/>
      <c r="D31" s="5"/>
      <c r="E31" s="6"/>
      <c r="F31" s="47"/>
      <c r="J31" s="89" t="s">
        <v>128</v>
      </c>
      <c r="K31" s="43"/>
      <c r="L31" s="41"/>
    </row>
    <row r="32" spans="1:12" ht="31.2" x14ac:dyDescent="0.3">
      <c r="A32" s="1" t="s">
        <v>129</v>
      </c>
      <c r="B32" s="35" t="s">
        <v>130</v>
      </c>
      <c r="C32" s="35" t="s">
        <v>68</v>
      </c>
      <c r="J32" s="85" t="s">
        <v>131</v>
      </c>
      <c r="K32" s="5" t="s">
        <v>68</v>
      </c>
      <c r="L32" s="47"/>
    </row>
    <row r="33" spans="2:12" ht="18.600000000000001" thickBot="1" x14ac:dyDescent="0.4">
      <c r="C33" s="119" t="s">
        <v>55</v>
      </c>
      <c r="D33" s="119"/>
      <c r="E33" s="120" t="s">
        <v>132</v>
      </c>
      <c r="F33" s="120"/>
      <c r="J33" s="85" t="s">
        <v>133</v>
      </c>
      <c r="K33" s="46" t="str">
        <f>IF($C$8&gt;=500000000,"Applicable","Not Applicable")</f>
        <v>Not Applicable</v>
      </c>
      <c r="L33" s="47"/>
    </row>
    <row r="34" spans="2:12" x14ac:dyDescent="0.3">
      <c r="B34" s="39" t="s">
        <v>134</v>
      </c>
      <c r="C34" s="90" t="s">
        <v>59</v>
      </c>
      <c r="D34" s="40" t="s">
        <v>135</v>
      </c>
      <c r="E34" s="90" t="s">
        <v>59</v>
      </c>
      <c r="F34" s="91" t="s">
        <v>135</v>
      </c>
      <c r="J34" s="85"/>
      <c r="K34" s="46"/>
      <c r="L34" s="47"/>
    </row>
    <row r="35" spans="2:12" ht="16.2" thickBot="1" x14ac:dyDescent="0.35">
      <c r="B35" s="92" t="s">
        <v>136</v>
      </c>
      <c r="C35" s="93" t="str">
        <f>IF((OR($K$9=$H$6,$K$9=$H$6)), "No, It is not a Small Company", "Yes, It is a Small Company")</f>
        <v>Yes, It is a Small Company</v>
      </c>
      <c r="D35" s="94"/>
      <c r="E35" s="93"/>
      <c r="F35" s="95"/>
      <c r="J35" s="87" t="s">
        <v>75</v>
      </c>
      <c r="K35" s="57" t="str">
        <f>IF(OR($K$32=$H$6,$K$33=$H$6,),$H$6,$H$7)</f>
        <v>Not Applicable</v>
      </c>
      <c r="L35" s="58"/>
    </row>
    <row r="36" spans="2:12" ht="16.2" thickBot="1" x14ac:dyDescent="0.35">
      <c r="B36" s="45" t="str">
        <f>J12</f>
        <v>CARO</v>
      </c>
      <c r="C36" s="6" t="str">
        <f>$K$21</f>
        <v>Not Applicable</v>
      </c>
      <c r="D36" s="5"/>
      <c r="E36" s="6"/>
      <c r="F36" s="54"/>
      <c r="J36" s="79"/>
      <c r="K36" s="80"/>
      <c r="L36" s="81"/>
    </row>
    <row r="37" spans="2:12" x14ac:dyDescent="0.3">
      <c r="B37" s="45" t="str">
        <f>J31</f>
        <v>Rotation of Auditors</v>
      </c>
      <c r="C37" s="6" t="str">
        <f>$K$35</f>
        <v>Not Applicable</v>
      </c>
      <c r="D37" s="5"/>
      <c r="E37" s="6"/>
      <c r="F37" s="54"/>
      <c r="J37" s="96" t="s">
        <v>137</v>
      </c>
      <c r="K37" s="97"/>
      <c r="L37" s="41"/>
    </row>
    <row r="38" spans="2:12" ht="16.2" thickBot="1" x14ac:dyDescent="0.35">
      <c r="B38" s="45" t="s">
        <v>138</v>
      </c>
      <c r="C38" s="98" t="str">
        <f>IF(OR($C$32=$H$6,$C$20&gt;=2500000000,),$H$6,$H$7)</f>
        <v>Not Applicable</v>
      </c>
      <c r="D38" s="5"/>
      <c r="E38" s="6"/>
      <c r="F38" s="54"/>
      <c r="J38" s="99" t="s">
        <v>139</v>
      </c>
      <c r="K38" s="10" t="s">
        <v>87</v>
      </c>
      <c r="L38" s="47"/>
    </row>
    <row r="39" spans="2:12" x14ac:dyDescent="0.3">
      <c r="B39" s="45" t="s">
        <v>140</v>
      </c>
      <c r="C39" s="6" t="str">
        <f>$K$42</f>
        <v>Not Applicable</v>
      </c>
      <c r="D39" s="5"/>
      <c r="E39" s="6"/>
      <c r="F39" s="54"/>
      <c r="J39" s="85" t="s">
        <v>141</v>
      </c>
      <c r="K39" s="46" t="str">
        <f>IF($C$8&gt;=50000000,"Applicable","Not Applicable")</f>
        <v>Not Applicable</v>
      </c>
      <c r="L39" s="47"/>
    </row>
    <row r="40" spans="2:12" x14ac:dyDescent="0.3">
      <c r="B40" s="45" t="str">
        <f>J44</f>
        <v>Vigil Mechanism</v>
      </c>
      <c r="C40" s="6" t="str">
        <f>$K$49</f>
        <v>Not Applicable</v>
      </c>
      <c r="D40" s="5"/>
      <c r="E40" s="6" t="str">
        <f>$L$49</f>
        <v>Not Applicable</v>
      </c>
      <c r="F40" s="54"/>
      <c r="J40" s="99" t="s">
        <v>142</v>
      </c>
      <c r="K40" s="46" t="str">
        <f>IF($C$21&gt;=1000000000,"Applicable","Not Applicable")</f>
        <v>Not Applicable</v>
      </c>
      <c r="L40" s="47"/>
    </row>
    <row r="41" spans="2:12" x14ac:dyDescent="0.3">
      <c r="B41" s="45" t="str">
        <f>J51</f>
        <v>Internal Financial Controls</v>
      </c>
      <c r="C41" s="6" t="str">
        <f>$K$56</f>
        <v>Not Applicable</v>
      </c>
      <c r="D41" s="5"/>
      <c r="E41" s="6"/>
      <c r="F41" s="54"/>
      <c r="J41" s="99" t="s">
        <v>143</v>
      </c>
      <c r="K41" s="46" t="str">
        <f>C38</f>
        <v>Not Applicable</v>
      </c>
      <c r="L41" s="47"/>
    </row>
    <row r="42" spans="2:12" ht="16.2" thickBot="1" x14ac:dyDescent="0.35">
      <c r="B42" s="45" t="s">
        <v>144</v>
      </c>
      <c r="C42" s="6" t="str">
        <f>$K$75</f>
        <v>Not Applicable</v>
      </c>
      <c r="D42" s="5"/>
      <c r="E42" s="6" t="str">
        <f>$L$75</f>
        <v>Not Applicable</v>
      </c>
      <c r="F42" s="54"/>
      <c r="J42" s="87" t="s">
        <v>75</v>
      </c>
      <c r="K42" s="57" t="str">
        <f>IF(OR($K$38=H$6,$K$39=$H$6,$K$40=$H$6,$K$41=$H$6),$H$6,$H$7)</f>
        <v>Not Applicable</v>
      </c>
      <c r="L42" s="58"/>
    </row>
    <row r="43" spans="2:12" ht="16.2" thickBot="1" x14ac:dyDescent="0.35">
      <c r="B43" s="45" t="s">
        <v>145</v>
      </c>
      <c r="C43" s="6" t="str">
        <f>$K$83</f>
        <v>Not Applicable</v>
      </c>
      <c r="D43" s="5"/>
      <c r="E43" s="6" t="str">
        <f>$L$83</f>
        <v>Not Applicable</v>
      </c>
      <c r="F43" s="54"/>
      <c r="J43" s="79"/>
      <c r="K43" s="80"/>
      <c r="L43" s="81"/>
    </row>
    <row r="44" spans="2:12" x14ac:dyDescent="0.3">
      <c r="B44" s="45" t="s">
        <v>146</v>
      </c>
      <c r="C44" s="6" t="str">
        <f>IF($C$8&gt;100000000,"To appoint CS","Need not appoint CS")</f>
        <v>Need not appoint CS</v>
      </c>
      <c r="D44" s="5"/>
      <c r="E44" s="6" t="str">
        <f>IF($E$8&gt;100000000,"To appoint CS","Need not appoint CS")</f>
        <v>Need not appoint CS</v>
      </c>
      <c r="F44" s="54"/>
      <c r="J44" s="39" t="s">
        <v>147</v>
      </c>
      <c r="K44" s="43"/>
      <c r="L44" s="41"/>
    </row>
    <row r="45" spans="2:12" x14ac:dyDescent="0.3">
      <c r="B45" s="45" t="s">
        <v>148</v>
      </c>
      <c r="C45" s="6" t="str">
        <f>$K$97</f>
        <v>Not Applicable</v>
      </c>
      <c r="D45" s="5"/>
      <c r="E45" s="6"/>
      <c r="F45" s="54"/>
      <c r="J45" s="45" t="s">
        <v>149</v>
      </c>
      <c r="K45" s="5" t="s">
        <v>87</v>
      </c>
      <c r="L45" s="47" t="s">
        <v>87</v>
      </c>
    </row>
    <row r="46" spans="2:12" x14ac:dyDescent="0.3">
      <c r="B46" s="123" t="s">
        <v>150</v>
      </c>
      <c r="C46" s="6" t="str">
        <f>IF($C$11&gt;0,"Check for Sec 185 Compliance","Not Applicable")</f>
        <v>Not Applicable</v>
      </c>
      <c r="D46" s="5"/>
      <c r="E46" s="6"/>
      <c r="F46" s="47"/>
      <c r="J46" s="45" t="s">
        <v>151</v>
      </c>
      <c r="K46" s="5" t="s">
        <v>87</v>
      </c>
      <c r="L46" s="47" t="s">
        <v>87</v>
      </c>
    </row>
    <row r="47" spans="2:12" ht="62.4" x14ac:dyDescent="0.3">
      <c r="B47" s="45" t="s">
        <v>152</v>
      </c>
      <c r="C47" s="6" t="s">
        <v>153</v>
      </c>
      <c r="D47" s="6" t="s">
        <v>154</v>
      </c>
      <c r="E47" s="6" t="s">
        <v>155</v>
      </c>
      <c r="F47" s="6" t="s">
        <v>154</v>
      </c>
      <c r="J47" s="45" t="s">
        <v>156</v>
      </c>
      <c r="K47" s="46" t="str">
        <f>IF($C$10&gt;500000000,"Applicable","Not Applicable")</f>
        <v>Not Applicable</v>
      </c>
      <c r="L47" s="86" t="str">
        <f>IF($E$10&gt;500000000,"Applicable","Not Applicable")</f>
        <v>Not Applicable</v>
      </c>
    </row>
    <row r="48" spans="2:12" ht="62.4" x14ac:dyDescent="0.3">
      <c r="B48" s="45" t="s">
        <v>157</v>
      </c>
      <c r="C48" s="6" t="str">
        <f>IF($C$17&gt;0,"Whether the Company filed CHG form","Not Applicable")</f>
        <v>Not Applicable</v>
      </c>
      <c r="D48" s="6" t="s">
        <v>154</v>
      </c>
      <c r="E48" s="6" t="str">
        <f>IF($E$17&gt;0,"Whether the Company filed CHG form","Not Applicable")</f>
        <v>Not Applicable</v>
      </c>
      <c r="F48" s="6" t="s">
        <v>154</v>
      </c>
      <c r="J48" s="45"/>
      <c r="K48" s="5"/>
      <c r="L48" s="47"/>
    </row>
    <row r="49" spans="2:12" ht="16.2" thickBot="1" x14ac:dyDescent="0.35">
      <c r="B49" s="45" t="s">
        <v>158</v>
      </c>
      <c r="C49" s="6" t="str">
        <f>IF($C$31=$H$9,"Applicable, Check AOC 1 is annexed with Board's report","Not Applicable")</f>
        <v>Not Applicable</v>
      </c>
      <c r="D49" s="5"/>
      <c r="E49" s="6"/>
      <c r="F49" s="47"/>
      <c r="J49" s="87" t="s">
        <v>75</v>
      </c>
      <c r="K49" s="57" t="str">
        <f>IF(OR($K$45=$H$6,$K$46=$H$6,$K$47=$H$6),$H$6,$H$7)</f>
        <v>Not Applicable</v>
      </c>
      <c r="L49" s="88" t="str">
        <f>IF(OR($L$45=$H$6,$L$46=$H$6,$L$47=$H$6),$H$6,$H$7)</f>
        <v>Not Applicable</v>
      </c>
    </row>
    <row r="50" spans="2:12" ht="39.75" customHeight="1" thickBot="1" x14ac:dyDescent="0.35">
      <c r="B50" s="45" t="s">
        <v>159</v>
      </c>
      <c r="C50" s="6" t="str">
        <f>IF(($C$24+$C$25+$C$26+$C$27+$C$28)&gt;0,"Applicable, Fill in Sec 188 Compliance sheet","Not Applicable")</f>
        <v>Not Applicable</v>
      </c>
      <c r="D50" s="5"/>
      <c r="E50" s="6"/>
      <c r="F50" s="47"/>
      <c r="J50" s="79"/>
      <c r="K50" s="80"/>
      <c r="L50" s="81"/>
    </row>
    <row r="51" spans="2:12" x14ac:dyDescent="0.3">
      <c r="B51" s="123" t="s">
        <v>160</v>
      </c>
      <c r="C51" s="6" t="str">
        <f>IF(($C$24+$C$25+$C$26+$C$27+$C$28)&gt;0,"Applicable, Fill in Sec 188 Compliance sheet","Not Applicable")</f>
        <v>Not Applicable</v>
      </c>
      <c r="D51" s="5"/>
      <c r="E51" s="6"/>
      <c r="F51" s="47"/>
      <c r="J51" s="39" t="s">
        <v>161</v>
      </c>
      <c r="K51" s="43"/>
      <c r="L51" s="41"/>
    </row>
    <row r="52" spans="2:12" x14ac:dyDescent="0.3">
      <c r="B52" s="45" t="str">
        <f>J23</f>
        <v>Corporate Social Responsibility</v>
      </c>
      <c r="C52" s="6" t="str">
        <f>$K$29</f>
        <v>Not Applicable</v>
      </c>
      <c r="D52" s="5"/>
      <c r="E52" s="6" t="str">
        <f>$L$29</f>
        <v>Not Applicable</v>
      </c>
      <c r="F52" s="47"/>
      <c r="J52" s="85"/>
      <c r="K52" s="5"/>
      <c r="L52" s="47"/>
    </row>
    <row r="53" spans="2:12" x14ac:dyDescent="0.3">
      <c r="B53" s="45" t="s">
        <v>162</v>
      </c>
      <c r="C53" s="6" t="str">
        <f>IF((($C$23+$E$23+$G$22)*2%)&gt;5000000,"Check CSR Committee compliance","Not Applicable")</f>
        <v>Not Applicable</v>
      </c>
      <c r="D53" s="5"/>
      <c r="E53" s="6" t="str">
        <f>IF((($E$23+$G$22+$H$22)*2%)&gt;5000000,"Check CSR Committee compliance","Not Applicable")</f>
        <v>Not Applicable</v>
      </c>
      <c r="F53" s="47"/>
      <c r="J53" s="100" t="s">
        <v>163</v>
      </c>
      <c r="K53" s="46" t="str">
        <f>K9</f>
        <v>Not Applicable</v>
      </c>
      <c r="L53" s="47"/>
    </row>
    <row r="54" spans="2:12" ht="31.2" x14ac:dyDescent="0.3">
      <c r="B54" s="45" t="s">
        <v>164</v>
      </c>
      <c r="C54" s="6" t="str">
        <f>IF($C$15&gt;0,"Applicable, Is deposit declaration obtained","Not Applicable")</f>
        <v>Not Applicable</v>
      </c>
      <c r="D54" s="5"/>
      <c r="E54" s="101"/>
      <c r="F54" s="47"/>
      <c r="J54" s="100" t="s">
        <v>165</v>
      </c>
      <c r="K54" s="46" t="str">
        <f>IF((AND($C$21&gt;50000000,$C$10&gt;250000000)), $H$6, $H$7)</f>
        <v>Not Applicable</v>
      </c>
      <c r="L54" s="47"/>
    </row>
    <row r="55" spans="2:12" ht="31.2" x14ac:dyDescent="0.3">
      <c r="B55" s="102" t="s">
        <v>166</v>
      </c>
      <c r="C55" s="6" t="str">
        <f>IF(($C$10+$C$18)&gt;0,"Applicable, Is  Form DPT 3  filed","Not Applicable")</f>
        <v>Not Applicable</v>
      </c>
      <c r="D55" s="6" t="s">
        <v>167</v>
      </c>
      <c r="E55" s="6"/>
      <c r="F55" s="6" t="s">
        <v>167</v>
      </c>
      <c r="J55" s="85"/>
      <c r="K55" s="46"/>
      <c r="L55" s="47"/>
    </row>
    <row r="56" spans="2:12" ht="31.8" thickBot="1" x14ac:dyDescent="0.35">
      <c r="B56" s="45" t="s">
        <v>168</v>
      </c>
      <c r="C56" s="6" t="str">
        <f>IF($C$19&gt;0,"Applicable, Is Form MSME filed","Not Applicable")</f>
        <v>Not Applicable</v>
      </c>
      <c r="D56" s="6" t="s">
        <v>167</v>
      </c>
      <c r="E56" s="6"/>
      <c r="F56" s="6" t="s">
        <v>167</v>
      </c>
      <c r="J56" s="87" t="s">
        <v>75</v>
      </c>
      <c r="K56" s="57" t="str">
        <f>IF(AND($K$53=$H$6,$K$54=$H$6),$H$6,$H$7)</f>
        <v>Not Applicable</v>
      </c>
      <c r="L56" s="58"/>
    </row>
    <row r="57" spans="2:12" ht="31.2" x14ac:dyDescent="0.3">
      <c r="B57" s="45" t="s">
        <v>169</v>
      </c>
      <c r="C57" s="6" t="str">
        <f>IF($C$30&gt;0,"Ben Compliance to be checked","Not Applicable")</f>
        <v>Not Applicable</v>
      </c>
      <c r="D57" s="6" t="s">
        <v>167</v>
      </c>
      <c r="E57" s="6"/>
      <c r="F57" s="6" t="s">
        <v>167</v>
      </c>
      <c r="J57" s="59"/>
      <c r="K57" s="60"/>
      <c r="L57" s="61"/>
    </row>
    <row r="58" spans="2:12" x14ac:dyDescent="0.3">
      <c r="B58" s="45" t="str">
        <f>J58</f>
        <v>MGT 8 Applicability</v>
      </c>
      <c r="C58" s="6" t="str">
        <f>$K64</f>
        <v>Not Applicable</v>
      </c>
      <c r="D58" s="5"/>
      <c r="E58" s="6"/>
      <c r="F58" s="47"/>
      <c r="J58" s="103" t="s">
        <v>170</v>
      </c>
      <c r="K58" s="5"/>
      <c r="L58" s="47"/>
    </row>
    <row r="59" spans="2:12" ht="16.2" thickBot="1" x14ac:dyDescent="0.35">
      <c r="B59" s="104" t="str">
        <f>J66</f>
        <v>Certification of MGT 7</v>
      </c>
      <c r="C59" s="105" t="str">
        <f>$K$69</f>
        <v>Not Applicable</v>
      </c>
      <c r="D59" s="106"/>
      <c r="E59" s="105"/>
      <c r="F59" s="58"/>
      <c r="J59" s="99"/>
      <c r="K59" s="5"/>
      <c r="L59" s="47"/>
    </row>
    <row r="60" spans="2:12" x14ac:dyDescent="0.3">
      <c r="J60" s="102" t="s">
        <v>171</v>
      </c>
      <c r="K60" s="5" t="s">
        <v>87</v>
      </c>
      <c r="L60" s="47"/>
    </row>
    <row r="61" spans="2:12" x14ac:dyDescent="0.3">
      <c r="B61" s="70"/>
      <c r="J61" s="102" t="s">
        <v>172</v>
      </c>
      <c r="K61" s="46" t="str">
        <f>IF($C$8&gt;=100000000,"Applicable","Not Applicable")</f>
        <v>Not Applicable</v>
      </c>
      <c r="L61" s="47"/>
    </row>
    <row r="62" spans="2:12" x14ac:dyDescent="0.3">
      <c r="B62" s="70"/>
      <c r="J62" s="102" t="s">
        <v>173</v>
      </c>
      <c r="K62" s="46" t="str">
        <f>IF($C$21&gt;=500000000,"Applicable","Not Applicable")</f>
        <v>Not Applicable</v>
      </c>
      <c r="L62" s="47"/>
    </row>
    <row r="63" spans="2:12" x14ac:dyDescent="0.3">
      <c r="D63"/>
      <c r="J63" s="102"/>
      <c r="K63" s="46"/>
      <c r="L63" s="47"/>
    </row>
    <row r="64" spans="2:12" x14ac:dyDescent="0.3">
      <c r="J64" s="100" t="s">
        <v>75</v>
      </c>
      <c r="K64" s="50" t="str">
        <f>IF(OR($K$60=$H$6,$K$61=$H$6,$K$62=$H$6),$H$6,$H$7)</f>
        <v>Not Applicable</v>
      </c>
      <c r="L64" s="47"/>
    </row>
    <row r="65" spans="10:12" x14ac:dyDescent="0.3">
      <c r="J65" s="102"/>
      <c r="K65" s="5"/>
      <c r="L65" s="47"/>
    </row>
    <row r="66" spans="10:12" x14ac:dyDescent="0.3">
      <c r="J66" s="107" t="s">
        <v>174</v>
      </c>
      <c r="K66" s="5"/>
      <c r="L66" s="47"/>
    </row>
    <row r="67" spans="10:12" ht="31.2" x14ac:dyDescent="0.3">
      <c r="J67" s="102" t="s">
        <v>175</v>
      </c>
      <c r="K67" s="46" t="str">
        <f>K9</f>
        <v>Not Applicable</v>
      </c>
      <c r="L67" s="47"/>
    </row>
    <row r="68" spans="10:12" x14ac:dyDescent="0.3">
      <c r="J68" s="102"/>
      <c r="K68" s="5"/>
      <c r="L68" s="47"/>
    </row>
    <row r="69" spans="10:12" x14ac:dyDescent="0.3">
      <c r="J69" s="100" t="s">
        <v>75</v>
      </c>
      <c r="K69" s="50" t="str">
        <f>IF(OR(K67=$H$6,),$H$6,$H$7)</f>
        <v>Not Applicable</v>
      </c>
      <c r="L69" s="47"/>
    </row>
    <row r="70" spans="10:12" x14ac:dyDescent="0.3">
      <c r="J70" s="45"/>
      <c r="K70" s="5"/>
      <c r="L70" s="47"/>
    </row>
    <row r="71" spans="10:12" x14ac:dyDescent="0.3">
      <c r="J71" s="48" t="s">
        <v>144</v>
      </c>
      <c r="K71" s="5"/>
      <c r="L71" s="47"/>
    </row>
    <row r="72" spans="10:12" x14ac:dyDescent="0.3">
      <c r="J72" s="108" t="s">
        <v>176</v>
      </c>
      <c r="K72" s="46" t="str">
        <f>IF($C$21&gt;=2000000000,"Applicable","Not Applicable")</f>
        <v>Not Applicable</v>
      </c>
      <c r="L72" s="86" t="str">
        <f>IF($E$21&gt;=2000000000,"Applicable","Not Applicable")</f>
        <v>Not Applicable</v>
      </c>
    </row>
    <row r="73" spans="10:12" x14ac:dyDescent="0.3">
      <c r="J73" s="51" t="s">
        <v>177</v>
      </c>
      <c r="K73" s="46" t="str">
        <f>IF($C$10&gt;=1000000000,"Applicable","Not Applicable")</f>
        <v>Not Applicable</v>
      </c>
      <c r="L73" s="86" t="str">
        <f>IF($E$10&gt;=1000000000,"Applicable","Not Applicable")</f>
        <v>Not Applicable</v>
      </c>
    </row>
    <row r="74" spans="10:12" x14ac:dyDescent="0.3">
      <c r="J74" s="48"/>
      <c r="K74" s="5"/>
      <c r="L74" s="47"/>
    </row>
    <row r="75" spans="10:12" x14ac:dyDescent="0.3">
      <c r="J75" s="100" t="s">
        <v>75</v>
      </c>
      <c r="K75" s="50" t="str">
        <f>IF(OR($K$72=$H$6,$K$73=$H$6),$H$6,$H$7)</f>
        <v>Not Applicable</v>
      </c>
      <c r="L75" s="109" t="str">
        <f>IF(OR(L72=$H$6,L73=$H$6),$H$6,$H$7)</f>
        <v>Not Applicable</v>
      </c>
    </row>
    <row r="76" spans="10:12" x14ac:dyDescent="0.3">
      <c r="J76" s="45"/>
      <c r="K76" s="5"/>
      <c r="L76" s="47"/>
    </row>
    <row r="77" spans="10:12" x14ac:dyDescent="0.3">
      <c r="J77" s="48" t="s">
        <v>145</v>
      </c>
      <c r="K77" s="5"/>
      <c r="L77" s="47"/>
    </row>
    <row r="78" spans="10:12" x14ac:dyDescent="0.3">
      <c r="J78" s="110"/>
      <c r="K78" s="5"/>
      <c r="L78" s="47"/>
    </row>
    <row r="79" spans="10:12" x14ac:dyDescent="0.3">
      <c r="J79" s="45" t="s">
        <v>149</v>
      </c>
      <c r="K79" s="5" t="s">
        <v>68</v>
      </c>
      <c r="L79" s="47" t="s">
        <v>68</v>
      </c>
    </row>
    <row r="80" spans="10:12" ht="31.2" x14ac:dyDescent="0.3">
      <c r="J80" s="51" t="s">
        <v>178</v>
      </c>
      <c r="K80" s="5" t="s">
        <v>68</v>
      </c>
      <c r="L80" s="47" t="s">
        <v>68</v>
      </c>
    </row>
    <row r="81" spans="10:12" x14ac:dyDescent="0.3">
      <c r="J81" s="45" t="s">
        <v>179</v>
      </c>
      <c r="K81" s="46" t="str">
        <f>IF($C$10&gt;1000000000,"Applicable","Not Applicable")</f>
        <v>Not Applicable</v>
      </c>
      <c r="L81" s="86" t="str">
        <f>IF($E$10&gt;1000000000,"Applicable","Not Applicable")</f>
        <v>Not Applicable</v>
      </c>
    </row>
    <row r="82" spans="10:12" x14ac:dyDescent="0.3">
      <c r="J82" s="45"/>
      <c r="K82" s="46"/>
      <c r="L82" s="86"/>
    </row>
    <row r="83" spans="10:12" x14ac:dyDescent="0.3">
      <c r="J83" s="100" t="s">
        <v>75</v>
      </c>
      <c r="K83" s="50" t="str">
        <f>IF(OR(K79=$H$6,K80=$H$6,K81=$H$6),$H$6,$H$7)</f>
        <v>Not Applicable</v>
      </c>
      <c r="L83" s="109" t="str">
        <f>IF(OR(L79=$H$6,L80=$H$6,L81=$H$6),$H$6,$H$7)</f>
        <v>Not Applicable</v>
      </c>
    </row>
    <row r="84" spans="10:12" x14ac:dyDescent="0.3">
      <c r="J84" s="45"/>
      <c r="K84" s="5"/>
      <c r="L84" s="47"/>
    </row>
    <row r="85" spans="10:12" x14ac:dyDescent="0.3">
      <c r="J85" s="48" t="s">
        <v>180</v>
      </c>
      <c r="K85" s="5"/>
      <c r="L85" s="47"/>
    </row>
    <row r="86" spans="10:12" x14ac:dyDescent="0.3">
      <c r="J86" s="45" t="s">
        <v>181</v>
      </c>
      <c r="K86" s="5" t="s">
        <v>87</v>
      </c>
      <c r="L86" s="47" t="s">
        <v>87</v>
      </c>
    </row>
    <row r="87" spans="10:12" x14ac:dyDescent="0.3">
      <c r="J87" s="45" t="s">
        <v>182</v>
      </c>
      <c r="K87" s="5" t="s">
        <v>87</v>
      </c>
      <c r="L87" s="47" t="s">
        <v>87</v>
      </c>
    </row>
    <row r="88" spans="10:12" x14ac:dyDescent="0.3">
      <c r="J88" s="45" t="s">
        <v>183</v>
      </c>
      <c r="K88" s="46" t="str">
        <f>IF($C$8&gt;=100000000,"Applicable","Not Applicable")</f>
        <v>Not Applicable</v>
      </c>
      <c r="L88" s="86" t="str">
        <f>IF($E$8&gt;=100000000,"Applicable","Not Applicable")</f>
        <v>Not Applicable</v>
      </c>
    </row>
    <row r="89" spans="10:12" x14ac:dyDescent="0.3">
      <c r="J89" s="45"/>
      <c r="K89" s="46"/>
      <c r="L89" s="86"/>
    </row>
    <row r="90" spans="10:12" x14ac:dyDescent="0.3">
      <c r="J90" s="100" t="s">
        <v>75</v>
      </c>
      <c r="K90" s="50" t="str">
        <f>IF(OR(K86=$H$6,K87=$H$6,K88=$H$6),$H$6,$H$7)</f>
        <v>Not Applicable</v>
      </c>
      <c r="L90" s="109" t="str">
        <f>IF(OR(L86=$H$6,L87=$H$6,L88=$H$6),$H$6,$H$7)</f>
        <v>Not Applicable</v>
      </c>
    </row>
    <row r="91" spans="10:12" x14ac:dyDescent="0.3">
      <c r="J91" s="45"/>
      <c r="K91" s="5"/>
      <c r="L91" s="47"/>
    </row>
    <row r="92" spans="10:12" x14ac:dyDescent="0.3">
      <c r="J92" s="48" t="s">
        <v>184</v>
      </c>
      <c r="K92" s="5"/>
      <c r="L92" s="47"/>
    </row>
    <row r="93" spans="10:12" x14ac:dyDescent="0.3">
      <c r="J93" s="45" t="s">
        <v>185</v>
      </c>
      <c r="K93" s="5" t="str">
        <f>IF(($C$12+$C$13+$C$14)&gt;$H$14,"Check for Shareholders approval","Check for Boards Approval")</f>
        <v>Check for Boards Approval</v>
      </c>
      <c r="L93" s="47" t="str">
        <f>IF(($E$12+$E$13+$E$14)&gt;$H$14,"Check for Shareholders approval","Check for Boards Approval")</f>
        <v>Check for Boards Approval</v>
      </c>
    </row>
    <row r="94" spans="10:12" x14ac:dyDescent="0.3">
      <c r="J94" s="45" t="s">
        <v>186</v>
      </c>
      <c r="K94" s="5" t="str">
        <f>IF(($C$12+$C$13+$C$14)&gt;0,$K$93,"Not Applicable")</f>
        <v>Not Applicable</v>
      </c>
      <c r="L94" s="47" t="str">
        <f>IF(($E$12+$E$13+$E$14)&gt;0,$L$93,"Not Applicable")</f>
        <v>Not Applicable</v>
      </c>
    </row>
    <row r="95" spans="10:12" x14ac:dyDescent="0.3">
      <c r="J95" s="45"/>
      <c r="K95" s="5"/>
      <c r="L95" s="47"/>
    </row>
    <row r="96" spans="10:12" x14ac:dyDescent="0.3">
      <c r="J96" s="45"/>
      <c r="K96" s="5"/>
      <c r="L96" s="47"/>
    </row>
    <row r="97" spans="10:12" ht="16.2" thickBot="1" x14ac:dyDescent="0.35">
      <c r="J97" s="87" t="s">
        <v>75</v>
      </c>
      <c r="K97" s="57" t="str">
        <f>IF(OR(K93=$H$7,K94=$H$7),$H$7,$K$93)</f>
        <v>Not Applicable</v>
      </c>
      <c r="L97" s="88" t="str">
        <f>IF(OR(L93=$H$7,L94=$H$7),$H$7,$L$93)</f>
        <v>Not Applicable</v>
      </c>
    </row>
  </sheetData>
  <dataConsolidate/>
  <mergeCells count="6">
    <mergeCell ref="J1:L1"/>
    <mergeCell ref="B5:D5"/>
    <mergeCell ref="C6:D6"/>
    <mergeCell ref="E6:F6"/>
    <mergeCell ref="C33:D33"/>
    <mergeCell ref="E33:F33"/>
  </mergeCells>
  <conditionalFormatting sqref="C35">
    <cfRule type="containsText" dxfId="14" priority="11" operator="containsText" text="Yes">
      <formula>NOT(ISERROR(SEARCH("Yes",C35)))</formula>
    </cfRule>
  </conditionalFormatting>
  <conditionalFormatting sqref="E35">
    <cfRule type="containsText" dxfId="13" priority="8" operator="containsText" text="Yes">
      <formula>NOT(ISERROR(SEARCH("Yes",E35)))</formula>
    </cfRule>
  </conditionalFormatting>
  <conditionalFormatting sqref="K6">
    <cfRule type="containsText" dxfId="12" priority="7" operator="containsText" text="Yes">
      <formula>NOT(ISERROR(SEARCH("Yes",K6)))</formula>
    </cfRule>
  </conditionalFormatting>
  <conditionalFormatting sqref="K13:K20">
    <cfRule type="containsText" dxfId="11" priority="1" operator="containsText" text="Yes">
      <formula>NOT(ISERROR(SEARCH("Yes",K13)))</formula>
    </cfRule>
  </conditionalFormatting>
  <conditionalFormatting sqref="K33:K34">
    <cfRule type="containsText" dxfId="10" priority="14" operator="containsText" text="Yes">
      <formula>NOT(ISERROR(SEARCH("Yes",K33)))</formula>
    </cfRule>
  </conditionalFormatting>
  <conditionalFormatting sqref="K39:K41">
    <cfRule type="containsText" dxfId="9" priority="13" operator="containsText" text="Yes">
      <formula>NOT(ISERROR(SEARCH("Yes",K39)))</formula>
    </cfRule>
  </conditionalFormatting>
  <conditionalFormatting sqref="K53:K55">
    <cfRule type="containsText" dxfId="8" priority="10" operator="containsText" text="Yes">
      <formula>NOT(ISERROR(SEARCH("Yes",K53)))</formula>
    </cfRule>
  </conditionalFormatting>
  <conditionalFormatting sqref="K61:K63">
    <cfRule type="containsText" dxfId="7" priority="12" operator="containsText" text="Yes">
      <formula>NOT(ISERROR(SEARCH("Yes",K61)))</formula>
    </cfRule>
  </conditionalFormatting>
  <conditionalFormatting sqref="K67">
    <cfRule type="containsText" dxfId="6" priority="9" operator="containsText" text="Yes">
      <formula>NOT(ISERROR(SEARCH("Yes",K67)))</formula>
    </cfRule>
  </conditionalFormatting>
  <conditionalFormatting sqref="K25:L28">
    <cfRule type="containsText" dxfId="5" priority="6" operator="containsText" text="Yes">
      <formula>NOT(ISERROR(SEARCH("Yes",K25)))</formula>
    </cfRule>
  </conditionalFormatting>
  <conditionalFormatting sqref="K47:L47">
    <cfRule type="containsText" dxfId="4" priority="5" operator="containsText" text="Yes">
      <formula>NOT(ISERROR(SEARCH("Yes",K47)))</formula>
    </cfRule>
  </conditionalFormatting>
  <conditionalFormatting sqref="K72:L73">
    <cfRule type="containsText" dxfId="3" priority="4" operator="containsText" text="Yes">
      <formula>NOT(ISERROR(SEARCH("Yes",K72)))</formula>
    </cfRule>
  </conditionalFormatting>
  <conditionalFormatting sqref="K81:L82">
    <cfRule type="containsText" dxfId="2" priority="3" operator="containsText" text="Yes">
      <formula>NOT(ISERROR(SEARCH("Yes",K81)))</formula>
    </cfRule>
  </conditionalFormatting>
  <conditionalFormatting sqref="K88:L89">
    <cfRule type="containsText" dxfId="1" priority="2" operator="containsText" text="Yes">
      <formula>NOT(ISERROR(SEARCH("Yes",K88)))</formula>
    </cfRule>
  </conditionalFormatting>
  <dataValidations count="2">
    <dataValidation type="list" allowBlank="1" showInputMessage="1" showErrorMessage="1" sqref="C32" xr:uid="{61511389-8940-41BC-9FD7-27A321295AEA}">
      <formula1>$H$6:$H$7</formula1>
    </dataValidation>
    <dataValidation type="list" allowBlank="1" showInputMessage="1" showErrorMessage="1" sqref="C31" xr:uid="{33DCB57B-AB8E-4C83-B2AD-B1EE988C48F5}">
      <formula1>$H$8:$H$10</formula1>
    </dataValidation>
  </dataValidations>
  <hyperlinks>
    <hyperlink ref="K25" r:id="rId1" display="https://exceljet.net/excel-functions/excel-if-function" xr:uid="{943842DE-F9ED-467D-B9FC-FA9E0065C658}"/>
    <hyperlink ref="K26" r:id="rId2" display="https://exceljet.net/excel-functions/excel-if-function" xr:uid="{BD5F2BA7-CF90-4C9A-929C-5878F637D18C}"/>
    <hyperlink ref="K27" r:id="rId3" display="https://exceljet.net/excel-functions/excel-if-function" xr:uid="{3E78F8B3-56FB-4FE0-86C8-0EB1ACFCAA9A}"/>
    <hyperlink ref="K47" r:id="rId4" display="https://exceljet.net/excel-functions/excel-if-function" xr:uid="{D8B9ABF2-DC66-4584-9986-FE05E71AB956}"/>
    <hyperlink ref="K62" r:id="rId5" display="https://exceljet.net/excel-functions/excel-if-function" xr:uid="{13E64E7E-D0E7-4564-B214-2970740119AC}"/>
    <hyperlink ref="K61" r:id="rId6" display="https://exceljet.net/excel-functions/excel-if-function" xr:uid="{11D12BA7-C63C-4C89-BD48-F248BE9BA2DD}"/>
    <hyperlink ref="C35" r:id="rId7" display="https://exceljet.net/excel-functions/excel-if-function" xr:uid="{890016B1-8AB9-43A3-80B4-0FB3CA756EFE}"/>
    <hyperlink ref="K18" r:id="rId8" display="https://exceljet.net/excel-functions/excel-if-function" xr:uid="{60B5CE62-9C6C-4B6A-A4FB-09A69B024C08}"/>
    <hyperlink ref="K17" r:id="rId9" display="https://exceljet.net/excel-functions/excel-if-function" xr:uid="{BA2BFDDA-01F4-45E0-B664-694C6B83D352}"/>
    <hyperlink ref="K16" r:id="rId10" display="https://exceljet.net/excel-functions/excel-if-function" xr:uid="{0BF65D57-8666-4848-B510-D159766463BF}"/>
    <hyperlink ref="K14" r:id="rId11" display="https://exceljet.net/excel-functions/excel-if-function" xr:uid="{D095B7A3-4EC3-4BF6-897C-FC0201BEA10C}"/>
    <hyperlink ref="K53" r:id="rId12" display="https://exceljet.net/excel-functions/excel-if-function" xr:uid="{7166EC0F-3469-4B7C-9813-9ACA14DEE46B}"/>
    <hyperlink ref="K54" r:id="rId13" display="https://exceljet.net/excel-functions/excel-if-function" xr:uid="{B06581EB-CC89-4B90-B012-2822000D755D}"/>
    <hyperlink ref="K67" r:id="rId14" display="https://exceljet.net/excel-functions/excel-if-function" xr:uid="{5D7C692B-D060-4CA5-BB6C-4EE30A425FB5}"/>
    <hyperlink ref="K72" r:id="rId15" display="https://exceljet.net/excel-functions/excel-if-function" xr:uid="{F6DC73B9-4260-4E0A-B94A-BAFB09BA2914}"/>
    <hyperlink ref="K73" r:id="rId16" display="https://exceljet.net/excel-functions/excel-if-function" xr:uid="{75D24E4B-6C74-4F73-AB82-5C807B03740A}"/>
    <hyperlink ref="K81" r:id="rId17" display="https://exceljet.net/excel-functions/excel-if-function" xr:uid="{A2506AAA-C748-46C7-925D-A4832E153B56}"/>
    <hyperlink ref="K88" r:id="rId18" display="https://exceljet.net/excel-functions/excel-if-function" xr:uid="{6F3029A7-0A91-4AE4-844C-7EA18E8E4EC2}"/>
    <hyperlink ref="C44" r:id="rId19" display="https://exceljet.net/excel-functions/excel-if-function" xr:uid="{533FA124-B5BC-4C95-AD23-B6FA3C36ECE0}"/>
    <hyperlink ref="K40" r:id="rId20" display="https://exceljet.net/excel-functions/excel-if-function" xr:uid="{143C46A4-030C-4108-A467-D79E6CB1A7AD}"/>
    <hyperlink ref="K39" r:id="rId21" display="https://exceljet.net/excel-functions/excel-if-function" xr:uid="{56510D09-06E9-4150-9C86-E98C316B76CE}"/>
    <hyperlink ref="K33" r:id="rId22" display="https://exceljet.net/excel-functions/excel-if-function" xr:uid="{F1005A47-DB38-4266-8599-28C7EF0E3A2A}"/>
    <hyperlink ref="C55" r:id="rId23" display="https://exceljet.net/excel-functions/excel-if-function" xr:uid="{57C99A49-53FF-494F-9F1A-DE540C27A996}"/>
    <hyperlink ref="K6" r:id="rId24" display="https://exceljet.net/excel-functions/excel-if-function" xr:uid="{45071016-A3D3-4362-939B-CCFFF6FCD38B}"/>
    <hyperlink ref="L25" r:id="rId25" display="https://exceljet.net/excel-functions/excel-if-function" xr:uid="{6B50F12E-39C1-41B5-9F91-5288FEC5E826}"/>
    <hyperlink ref="L26" r:id="rId26" display="https://exceljet.net/excel-functions/excel-if-function" xr:uid="{A0DC164C-B81F-4003-85F2-DCAF6131ACCF}"/>
    <hyperlink ref="L27" r:id="rId27" display="https://exceljet.net/excel-functions/excel-if-function" xr:uid="{6E7943C0-AB90-4E1A-95EB-1636AD223C00}"/>
    <hyperlink ref="L47" r:id="rId28" display="https://exceljet.net/excel-functions/excel-if-function" xr:uid="{742B0C73-63B9-4F2D-BA98-6E2231BEDDDD}"/>
    <hyperlink ref="L72" r:id="rId29" display="https://exceljet.net/excel-functions/excel-if-function" xr:uid="{F5AE6230-9767-4191-84B7-EC16B5AB2439}"/>
    <hyperlink ref="L73" r:id="rId30" display="https://exceljet.net/excel-functions/excel-if-function" xr:uid="{CBD87B4A-E84A-4B23-B956-EB17FB4A4665}"/>
    <hyperlink ref="L81" r:id="rId31" display="https://exceljet.net/excel-functions/excel-if-function" xr:uid="{D039354A-ADFA-42DA-9DD0-0D68B5086EAF}"/>
    <hyperlink ref="L88" r:id="rId32" display="https://exceljet.net/excel-functions/excel-if-function" xr:uid="{7CFFEE0F-71ED-4143-81DC-00A298ED17CA}"/>
    <hyperlink ref="E44" r:id="rId33" display="https://exceljet.net/excel-functions/excel-if-function" xr:uid="{96629993-962A-4481-9899-69F74F6C4675}"/>
    <hyperlink ref="K15" r:id="rId34" display="https://exceljet.net/excel-functions/excel-if-function" xr:uid="{CE2A1297-A5A7-4136-B933-B47917A822A1}"/>
    <hyperlink ref="C48" r:id="rId35" display="https://exceljet.net/excel-functions/excel-if-function" xr:uid="{E9157EFE-CC7A-4112-AC23-9C3F292A9D98}"/>
    <hyperlink ref="E48" r:id="rId36" display="https://exceljet.net/excel-functions/excel-if-function" xr:uid="{380B050C-5579-46FC-8EB4-28C0B006C2D3}"/>
  </hyperlinks>
  <pageMargins left="0.7" right="0.7" top="0.75" bottom="0.75" header="0.3" footer="0.3"/>
  <pageSetup orientation="portrait" r:id="rId3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89D1D-3350-4790-B327-21F1F8282FE5}">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CEAE1-75B7-4EF0-8D8D-1F025F6CF1D4}">
  <dimension ref="B2:G54"/>
  <sheetViews>
    <sheetView tabSelected="1" topLeftCell="A24" zoomScale="81" zoomScaleNormal="165" workbookViewId="0">
      <selection activeCell="G11" sqref="B11:G20"/>
    </sheetView>
  </sheetViews>
  <sheetFormatPr defaultRowHeight="14.4" x14ac:dyDescent="0.3"/>
  <cols>
    <col min="2" max="2" width="53.6640625" customWidth="1"/>
    <col min="3" max="3" width="50.6640625" bestFit="1" customWidth="1"/>
    <col min="4" max="4" width="38" customWidth="1"/>
    <col min="5" max="5" width="18" customWidth="1"/>
    <col min="6" max="6" width="11.5546875" customWidth="1"/>
    <col min="7" max="7" width="18" customWidth="1"/>
  </cols>
  <sheetData>
    <row r="2" spans="2:7" x14ac:dyDescent="0.3">
      <c r="B2" s="33" t="s">
        <v>187</v>
      </c>
      <c r="C2" s="34" t="s">
        <v>261</v>
      </c>
    </row>
    <row r="4" spans="2:7" ht="46.8" x14ac:dyDescent="0.3">
      <c r="B4" s="30" t="s">
        <v>188</v>
      </c>
      <c r="C4" s="28"/>
      <c r="D4" s="31" t="s">
        <v>189</v>
      </c>
      <c r="E4" s="28"/>
      <c r="F4" s="28"/>
      <c r="G4" s="28"/>
    </row>
    <row r="5" spans="2:7" ht="15.6" x14ac:dyDescent="0.3">
      <c r="B5" s="30" t="s">
        <v>190</v>
      </c>
      <c r="C5" s="28"/>
      <c r="D5" s="28"/>
      <c r="E5" s="28"/>
      <c r="F5" s="28"/>
      <c r="G5" s="28"/>
    </row>
    <row r="6" spans="2:7" ht="15.6" x14ac:dyDescent="0.3">
      <c r="B6" s="30" t="s">
        <v>262</v>
      </c>
      <c r="C6" s="29"/>
      <c r="D6" s="28"/>
      <c r="E6" s="28"/>
      <c r="F6" s="28"/>
      <c r="G6" s="28"/>
    </row>
    <row r="7" spans="2:7" ht="15.6" x14ac:dyDescent="0.3">
      <c r="B7" s="30" t="s">
        <v>263</v>
      </c>
      <c r="C7" s="29"/>
      <c r="D7" s="28"/>
      <c r="E7" s="28"/>
      <c r="F7" s="28"/>
      <c r="G7" s="28"/>
    </row>
    <row r="8" spans="2:7" ht="15.6" x14ac:dyDescent="0.3">
      <c r="B8" s="121" t="s">
        <v>191</v>
      </c>
      <c r="C8" s="121"/>
      <c r="D8" s="121"/>
      <c r="E8" s="121"/>
      <c r="F8" s="121"/>
      <c r="G8" s="121"/>
    </row>
    <row r="9" spans="2:7" ht="93.6" x14ac:dyDescent="0.3">
      <c r="B9" s="20" t="s">
        <v>192</v>
      </c>
      <c r="C9" s="20" t="s">
        <v>193</v>
      </c>
      <c r="D9" s="20" t="s">
        <v>194</v>
      </c>
      <c r="E9" s="20" t="s">
        <v>195</v>
      </c>
      <c r="F9" s="20" t="s">
        <v>196</v>
      </c>
      <c r="G9" s="20" t="s">
        <v>264</v>
      </c>
    </row>
    <row r="10" spans="2:7" ht="15.6" x14ac:dyDescent="0.3">
      <c r="B10" s="4"/>
      <c r="C10" s="4"/>
      <c r="D10" s="10"/>
      <c r="E10" s="10"/>
      <c r="F10" s="10"/>
      <c r="G10" s="10"/>
    </row>
    <row r="11" spans="2:7" ht="15.6" x14ac:dyDescent="0.3">
      <c r="B11" s="4" t="s">
        <v>197</v>
      </c>
      <c r="C11" s="4" t="s">
        <v>198</v>
      </c>
      <c r="D11" s="10" t="s">
        <v>265</v>
      </c>
      <c r="E11" s="25">
        <f>+C6</f>
        <v>0</v>
      </c>
      <c r="F11" s="27"/>
      <c r="G11" s="10"/>
    </row>
    <row r="12" spans="2:7" ht="31.2" x14ac:dyDescent="0.3">
      <c r="B12" s="4" t="s">
        <v>199</v>
      </c>
      <c r="C12" s="4" t="s">
        <v>198</v>
      </c>
      <c r="D12" s="10"/>
      <c r="E12" s="25">
        <f>+C6</f>
        <v>0</v>
      </c>
      <c r="F12" s="10"/>
      <c r="G12" s="10"/>
    </row>
    <row r="13" spans="2:7" ht="15.6" x14ac:dyDescent="0.3">
      <c r="B13" s="4" t="s">
        <v>200</v>
      </c>
      <c r="C13" s="4" t="s">
        <v>201</v>
      </c>
      <c r="D13" s="10"/>
      <c r="E13" s="25">
        <f>+C7</f>
        <v>0</v>
      </c>
      <c r="F13" s="10"/>
      <c r="G13" s="10"/>
    </row>
    <row r="14" spans="2:7" ht="15.6" x14ac:dyDescent="0.3">
      <c r="B14" s="4" t="s">
        <v>202</v>
      </c>
      <c r="C14" s="4" t="s">
        <v>201</v>
      </c>
      <c r="D14" s="10"/>
      <c r="E14" s="25">
        <f>+C7</f>
        <v>0</v>
      </c>
      <c r="F14" s="10"/>
      <c r="G14" s="10"/>
    </row>
    <row r="15" spans="2:7" ht="15.6" x14ac:dyDescent="0.3">
      <c r="B15" s="4" t="s">
        <v>203</v>
      </c>
      <c r="C15" s="4" t="s">
        <v>201</v>
      </c>
      <c r="D15" s="10"/>
      <c r="E15" s="25">
        <f>+C7</f>
        <v>0</v>
      </c>
      <c r="F15" s="10"/>
      <c r="G15" s="10"/>
    </row>
    <row r="16" spans="2:7" ht="15.6" x14ac:dyDescent="0.3">
      <c r="B16" s="4" t="s">
        <v>204</v>
      </c>
      <c r="C16" s="4" t="s">
        <v>205</v>
      </c>
      <c r="D16" s="10"/>
      <c r="E16" s="26">
        <f>+C6</f>
        <v>0</v>
      </c>
      <c r="F16" s="26"/>
      <c r="G16" s="4"/>
    </row>
    <row r="17" spans="2:7" ht="15.6" x14ac:dyDescent="0.3">
      <c r="B17" s="4" t="s">
        <v>206</v>
      </c>
      <c r="C17" s="4" t="s">
        <v>205</v>
      </c>
      <c r="D17" s="10"/>
      <c r="E17" s="25">
        <f>+C6</f>
        <v>0</v>
      </c>
      <c r="F17" s="10"/>
      <c r="G17" s="10"/>
    </row>
    <row r="18" spans="2:7" ht="15.6" x14ac:dyDescent="0.3">
      <c r="B18" s="4" t="s">
        <v>207</v>
      </c>
      <c r="C18" s="4" t="s">
        <v>205</v>
      </c>
      <c r="D18" s="10"/>
      <c r="E18" s="25">
        <f>+E15</f>
        <v>0</v>
      </c>
      <c r="F18" s="10"/>
      <c r="G18" s="10"/>
    </row>
    <row r="19" spans="2:7" ht="28.2" x14ac:dyDescent="0.3">
      <c r="B19" s="24" t="s">
        <v>208</v>
      </c>
      <c r="C19" s="24" t="s">
        <v>209</v>
      </c>
      <c r="D19" s="10"/>
      <c r="E19" s="23"/>
      <c r="F19" s="10"/>
      <c r="G19" s="10"/>
    </row>
    <row r="20" spans="2:7" ht="28.2" x14ac:dyDescent="0.3">
      <c r="B20" s="24" t="s">
        <v>210</v>
      </c>
      <c r="C20" s="24" t="s">
        <v>211</v>
      </c>
      <c r="D20" s="10"/>
      <c r="E20" s="23"/>
      <c r="F20" s="10"/>
      <c r="G20" s="10"/>
    </row>
    <row r="24" spans="2:7" x14ac:dyDescent="0.3">
      <c r="B24" s="33" t="s">
        <v>212</v>
      </c>
      <c r="C24" s="34" t="s">
        <v>213</v>
      </c>
    </row>
    <row r="25" spans="2:7" ht="15.6" x14ac:dyDescent="0.3">
      <c r="B25" s="19" t="s">
        <v>214</v>
      </c>
      <c r="C25" s="22" t="s">
        <v>215</v>
      </c>
      <c r="D25" s="4" t="s">
        <v>216</v>
      </c>
      <c r="E25" s="20" t="s">
        <v>217</v>
      </c>
    </row>
    <row r="26" spans="2:7" ht="46.8" x14ac:dyDescent="0.3">
      <c r="B26" s="10" t="s">
        <v>218</v>
      </c>
      <c r="C26" s="4" t="s">
        <v>219</v>
      </c>
      <c r="D26" s="4"/>
      <c r="E26" s="4"/>
    </row>
    <row r="27" spans="2:7" ht="31.2" x14ac:dyDescent="0.3">
      <c r="B27" s="10" t="s">
        <v>220</v>
      </c>
      <c r="C27" s="4" t="s">
        <v>221</v>
      </c>
      <c r="D27" s="4"/>
      <c r="E27" s="4"/>
    </row>
    <row r="28" spans="2:7" ht="31.2" x14ac:dyDescent="0.3">
      <c r="B28" s="20" t="s">
        <v>222</v>
      </c>
      <c r="C28" s="20" t="s">
        <v>223</v>
      </c>
      <c r="D28" s="4"/>
      <c r="E28" s="20"/>
    </row>
    <row r="29" spans="2:7" ht="31.2" x14ac:dyDescent="0.3">
      <c r="B29" s="10"/>
      <c r="C29" s="4" t="s">
        <v>224</v>
      </c>
      <c r="D29" s="4"/>
      <c r="E29" s="4"/>
    </row>
    <row r="30" spans="2:7" ht="46.8" x14ac:dyDescent="0.3">
      <c r="B30" s="10"/>
      <c r="C30" s="4" t="s">
        <v>225</v>
      </c>
      <c r="D30" s="20"/>
      <c r="E30" s="4"/>
    </row>
    <row r="31" spans="2:7" ht="78" x14ac:dyDescent="0.3">
      <c r="B31" s="10"/>
      <c r="C31" s="21" t="s">
        <v>226</v>
      </c>
      <c r="D31" s="20"/>
      <c r="E31" s="4"/>
    </row>
    <row r="32" spans="2:7" ht="15.6" x14ac:dyDescent="0.3">
      <c r="B32" s="10"/>
      <c r="C32" s="122" t="s">
        <v>227</v>
      </c>
      <c r="D32" s="122"/>
      <c r="E32" s="122"/>
    </row>
    <row r="33" spans="2:5" ht="93.6" x14ac:dyDescent="0.3">
      <c r="B33" s="20" t="s">
        <v>228</v>
      </c>
      <c r="C33" s="113" t="s">
        <v>229</v>
      </c>
      <c r="D33" s="113"/>
      <c r="E33" s="113"/>
    </row>
    <row r="34" spans="2:5" ht="30.6" x14ac:dyDescent="0.3">
      <c r="B34" s="19" t="s">
        <v>230</v>
      </c>
      <c r="C34" s="18" t="s">
        <v>231</v>
      </c>
      <c r="D34" s="113"/>
      <c r="E34" s="113"/>
    </row>
    <row r="35" spans="2:5" ht="31.8" x14ac:dyDescent="0.3">
      <c r="B35" s="4"/>
      <c r="C35" s="17" t="s">
        <v>232</v>
      </c>
      <c r="D35" s="113"/>
      <c r="E35" s="113"/>
    </row>
    <row r="36" spans="2:5" ht="42" x14ac:dyDescent="0.3">
      <c r="B36" s="4"/>
      <c r="C36" s="17" t="s">
        <v>233</v>
      </c>
      <c r="D36" s="113"/>
      <c r="E36" s="113"/>
    </row>
    <row r="37" spans="2:5" ht="31.2" x14ac:dyDescent="0.3">
      <c r="B37" s="10"/>
      <c r="C37" s="113" t="s">
        <v>234</v>
      </c>
      <c r="D37" s="113"/>
      <c r="E37" s="113"/>
    </row>
    <row r="38" spans="2:5" ht="31.2" x14ac:dyDescent="0.3">
      <c r="B38" s="10"/>
      <c r="C38" s="4" t="s">
        <v>235</v>
      </c>
      <c r="D38" s="113"/>
      <c r="E38" s="113"/>
    </row>
    <row r="39" spans="2:5" ht="31.2" x14ac:dyDescent="0.3">
      <c r="B39" s="10"/>
      <c r="C39" s="4" t="s">
        <v>236</v>
      </c>
      <c r="D39" s="113"/>
      <c r="E39" s="113"/>
    </row>
    <row r="40" spans="2:5" ht="15.6" x14ac:dyDescent="0.3">
      <c r="B40" s="10"/>
      <c r="C40" s="113"/>
      <c r="D40" s="113"/>
      <c r="E40" s="113"/>
    </row>
    <row r="41" spans="2:5" ht="15.6" x14ac:dyDescent="0.3">
      <c r="B41" s="16" t="s">
        <v>237</v>
      </c>
      <c r="C41" s="113"/>
      <c r="D41" s="113"/>
      <c r="E41" s="113"/>
    </row>
    <row r="42" spans="2:5" ht="31.2" x14ac:dyDescent="0.3">
      <c r="B42" s="10"/>
      <c r="C42" s="113" t="s">
        <v>238</v>
      </c>
      <c r="D42" s="113"/>
      <c r="E42" s="113"/>
    </row>
    <row r="43" spans="2:5" ht="31.2" x14ac:dyDescent="0.3">
      <c r="B43" s="10"/>
      <c r="C43" s="15" t="s">
        <v>239</v>
      </c>
      <c r="D43" s="113"/>
      <c r="E43" s="113"/>
    </row>
    <row r="44" spans="2:5" ht="31.2" x14ac:dyDescent="0.3">
      <c r="B44" s="10"/>
      <c r="C44" s="15" t="s">
        <v>240</v>
      </c>
      <c r="D44" s="113"/>
      <c r="E44" s="113"/>
    </row>
    <row r="45" spans="2:5" ht="109.2" x14ac:dyDescent="0.3">
      <c r="B45" s="10"/>
      <c r="C45" s="15" t="s">
        <v>241</v>
      </c>
      <c r="D45" s="113"/>
      <c r="E45" s="113"/>
    </row>
    <row r="46" spans="2:5" ht="78" x14ac:dyDescent="0.3">
      <c r="B46" s="10"/>
      <c r="C46" s="113" t="s">
        <v>242</v>
      </c>
      <c r="D46" s="113"/>
      <c r="E46" s="113"/>
    </row>
    <row r="47" spans="2:5" ht="46.8" x14ac:dyDescent="0.3">
      <c r="B47" s="10"/>
      <c r="C47" s="15" t="s">
        <v>243</v>
      </c>
      <c r="D47" s="113"/>
      <c r="E47" s="113"/>
    </row>
    <row r="48" spans="2:5" ht="31.2" x14ac:dyDescent="0.3">
      <c r="B48" s="14" t="s">
        <v>220</v>
      </c>
      <c r="C48" s="4" t="s">
        <v>244</v>
      </c>
      <c r="D48" s="4"/>
      <c r="E48" s="4"/>
    </row>
    <row r="49" spans="2:5" ht="46.8" x14ac:dyDescent="0.3">
      <c r="B49" s="14" t="s">
        <v>245</v>
      </c>
      <c r="C49" s="4" t="s">
        <v>246</v>
      </c>
      <c r="D49" s="4"/>
      <c r="E49" s="4"/>
    </row>
    <row r="50" spans="2:5" ht="31.2" x14ac:dyDescent="0.3">
      <c r="B50" s="10"/>
      <c r="C50" s="4" t="s">
        <v>247</v>
      </c>
      <c r="D50" s="4"/>
      <c r="E50" s="4"/>
    </row>
    <row r="51" spans="2:5" ht="31.2" x14ac:dyDescent="0.3">
      <c r="B51" s="10"/>
      <c r="C51" s="4" t="s">
        <v>248</v>
      </c>
      <c r="D51" s="4"/>
      <c r="E51" s="4"/>
    </row>
    <row r="52" spans="2:5" ht="15.6" x14ac:dyDescent="0.3">
      <c r="B52" s="10"/>
      <c r="C52" s="4" t="s">
        <v>249</v>
      </c>
      <c r="D52" s="4"/>
      <c r="E52" s="4"/>
    </row>
    <row r="53" spans="2:5" ht="15.6" x14ac:dyDescent="0.3">
      <c r="B53" s="10"/>
      <c r="C53" s="4" t="s">
        <v>250</v>
      </c>
      <c r="D53" s="4"/>
      <c r="E53" s="4"/>
    </row>
    <row r="54" spans="2:5" ht="31.2" x14ac:dyDescent="0.3">
      <c r="B54" s="10"/>
      <c r="C54" s="4" t="s">
        <v>251</v>
      </c>
      <c r="D54" s="4"/>
      <c r="E54" s="4"/>
    </row>
  </sheetData>
  <mergeCells count="2">
    <mergeCell ref="B8:G8"/>
    <mergeCell ref="C32:E32"/>
  </mergeCells>
  <conditionalFormatting sqref="G11:G20">
    <cfRule type="containsText" dxfId="0" priority="1" operator="containsText" text="Yes">
      <formula>NOT(ISERROR(SEARCH("Yes",G11)))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B40D3-76E6-4E2D-97CF-9BEC71240E3A}">
  <dimension ref="B2:C13"/>
  <sheetViews>
    <sheetView workbookViewId="0">
      <selection activeCell="C13" sqref="C13"/>
    </sheetView>
  </sheetViews>
  <sheetFormatPr defaultRowHeight="14.4" x14ac:dyDescent="0.3"/>
  <cols>
    <col min="2" max="2" width="32.5546875" customWidth="1"/>
    <col min="3" max="3" width="22.44140625" customWidth="1"/>
  </cols>
  <sheetData>
    <row r="2" spans="2:3" x14ac:dyDescent="0.3">
      <c r="B2" t="s">
        <v>254</v>
      </c>
      <c r="C2" t="s">
        <v>255</v>
      </c>
    </row>
    <row r="3" spans="2:3" x14ac:dyDescent="0.3">
      <c r="C3" t="s">
        <v>34</v>
      </c>
    </row>
    <row r="4" spans="2:3" x14ac:dyDescent="0.3">
      <c r="C4" t="s">
        <v>256</v>
      </c>
    </row>
    <row r="5" spans="2:3" x14ac:dyDescent="0.3">
      <c r="C5" t="s">
        <v>257</v>
      </c>
    </row>
    <row r="6" spans="2:3" x14ac:dyDescent="0.3">
      <c r="C6" t="s">
        <v>258</v>
      </c>
    </row>
    <row r="7" spans="2:3" x14ac:dyDescent="0.3">
      <c r="C7" t="s">
        <v>259</v>
      </c>
    </row>
    <row r="9" spans="2:3" x14ac:dyDescent="0.3">
      <c r="B9" t="s">
        <v>260</v>
      </c>
      <c r="C9" t="s">
        <v>255</v>
      </c>
    </row>
    <row r="10" spans="2:3" x14ac:dyDescent="0.3">
      <c r="C10" t="s">
        <v>34</v>
      </c>
    </row>
    <row r="11" spans="2:3" x14ac:dyDescent="0.3">
      <c r="C11" t="s">
        <v>256</v>
      </c>
    </row>
    <row r="12" spans="2:3" x14ac:dyDescent="0.3">
      <c r="C12" t="s">
        <v>257</v>
      </c>
    </row>
    <row r="13" spans="2:3" x14ac:dyDescent="0.3">
      <c r="C13" t="s">
        <v>258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Common Error</vt:lpstr>
      <vt:lpstr>compliance sheet with template</vt:lpstr>
      <vt:lpstr>compliance sheet</vt:lpstr>
      <vt:lpstr>RPT and loans to Director</vt:lpstr>
      <vt:lpstr>Freezing the input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Akshayam Gayathri</dc:creator>
  <cp:keywords/>
  <dc:description/>
  <cp:lastModifiedBy>Akshayam Gayathri</cp:lastModifiedBy>
  <cp:revision/>
  <dcterms:created xsi:type="dcterms:W3CDTF">2025-08-31T13:54:13Z</dcterms:created>
  <dcterms:modified xsi:type="dcterms:W3CDTF">2026-06-22T07:05:30Z</dcterms:modified>
  <cp:category/>
  <cp:contentStatus/>
</cp:coreProperties>
</file>