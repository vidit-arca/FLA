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d6c9e8928e28eb49/process/Tech automation/sample data to arca/Use case/Common Error/"/>
    </mc:Choice>
  </mc:AlternateContent>
  <xr:revisionPtr revIDLastSave="109" documentId="8_{0328319B-2162-4ED8-9617-BA31723EA9A7}" xr6:coauthVersionLast="47" xr6:coauthVersionMax="47" xr10:uidLastSave="{590ABBFB-72B4-47E1-AE4A-86AAA4F9F86D}"/>
  <bookViews>
    <workbookView xWindow="-108" yWindow="-108" windowWidth="23256" windowHeight="12456" activeTab="1" xr2:uid="{5EA3D7FF-880D-4C8A-8F45-837263668CD1}"/>
  </bookViews>
  <sheets>
    <sheet name="Common Error" sheetId="1" r:id="rId1"/>
    <sheet name="Compliance sheet for private" sheetId="2" r:id="rId2"/>
    <sheet name="compliance sheet for public" sheetId="3" r:id="rId3"/>
    <sheet name="RPT and loans to Director"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7" i="2" l="1"/>
  <c r="C27" i="2"/>
  <c r="E26" i="2"/>
  <c r="C26" i="2"/>
  <c r="E25" i="2"/>
  <c r="C25" i="2"/>
  <c r="E24" i="2"/>
  <c r="C24" i="2"/>
  <c r="E23" i="2"/>
  <c r="C23" i="2"/>
  <c r="E22" i="2"/>
  <c r="C22" i="2"/>
  <c r="E21" i="2"/>
  <c r="C21" i="2"/>
  <c r="E20" i="2"/>
  <c r="C20" i="2"/>
  <c r="E19" i="2"/>
  <c r="C19" i="2"/>
  <c r="E18" i="2"/>
  <c r="C18" i="2"/>
  <c r="D17" i="2"/>
  <c r="E17" i="2" s="1"/>
  <c r="B17" i="2"/>
  <c r="C17" i="2" s="1"/>
  <c r="E16" i="2"/>
  <c r="C16" i="2"/>
  <c r="E15" i="2"/>
  <c r="C15" i="2"/>
  <c r="C14" i="2"/>
  <c r="E13" i="2"/>
  <c r="C13" i="2"/>
  <c r="E12" i="2"/>
  <c r="C12" i="2"/>
  <c r="E11" i="2"/>
  <c r="C11" i="2"/>
  <c r="E10" i="2"/>
  <c r="C10" i="2"/>
  <c r="E9" i="2"/>
  <c r="C9" i="2"/>
  <c r="E8" i="2"/>
  <c r="C8" i="2"/>
  <c r="E7" i="2"/>
  <c r="C7" i="2"/>
  <c r="E6" i="2"/>
  <c r="C6" i="2"/>
  <c r="E5" i="2"/>
  <c r="C5" i="2"/>
  <c r="E17" i="4"/>
  <c r="E16" i="4"/>
  <c r="E15" i="4"/>
  <c r="E18" i="4" s="1"/>
  <c r="E14" i="4"/>
  <c r="E13" i="4"/>
  <c r="E12" i="4"/>
  <c r="E11" i="4"/>
</calcChain>
</file>

<file path=xl/sharedStrings.xml><?xml version="1.0" encoding="utf-8"?>
<sst xmlns="http://schemas.openxmlformats.org/spreadsheetml/2006/main" count="233" uniqueCount="182">
  <si>
    <t>S.No</t>
  </si>
  <si>
    <t>Particulars</t>
  </si>
  <si>
    <t>Yes/No/NA</t>
  </si>
  <si>
    <t>Comments</t>
  </si>
  <si>
    <t>Rectified/Not rectified</t>
  </si>
  <si>
    <t xml:space="preserve">Whether audit report has the following fields 
a) Opinion of the Auditor
b) Basis of Opinion
c) Emphasis of matter
d) Key Audit Matters
e) Other Information (if any)
f) Responsibility of Management for the financial statement (FS)
g) Auditor's responsibility for the Audit of FS
h) Other matters
i) report on other legal and regulatory requirements 
j) reporting on Internal finanical Controls  (if applicable)
</t>
  </si>
  <si>
    <t xml:space="preserve">whether CARO/Companies (Auditor's Report) Order is as per  format given in Jamku&gt;Services&gt;ANNUAL FILING &gt;SAMPLE CARO </t>
  </si>
  <si>
    <t xml:space="preserve">whether Schedule III is as per format in Jamku&gt;Services&gt;ANNUAL FILING &gt;SAMPLE SCHEDULE III </t>
  </si>
  <si>
    <t>Whether the CIN Number, Address, DIN of the director, Name of the director, CEO , CFO, CS (if any) signing the financials mentioned</t>
  </si>
  <si>
    <t>Whether Previous year figures in Balance Sheet, PL are mentioned correctly. (Please refer last year filed Financials for Checking)</t>
  </si>
  <si>
    <t>Share capital Notes</t>
  </si>
  <si>
    <t>Whether Shareholding more than 5% is mentioned in Schedule.</t>
  </si>
  <si>
    <t>Whether the Shareholding given in the Schedule matched with Statutory Register</t>
  </si>
  <si>
    <t>Whether the Authorised Capital is mentioned correctly as per MCA(Including Face Value of the shares)</t>
  </si>
  <si>
    <t>Whether the and Paid up capital  is mentioned correctly as per MCA(Including Face Value of the shares)</t>
  </si>
  <si>
    <t xml:space="preserve">Whether reconciliation  of shares O/S at the beginning and end of the year is given 
</t>
  </si>
  <si>
    <t>Whether promoter holding is disclosed as per format in Jamku&gt;Services&gt;ANNUAL FILING &gt;PROMOTER HOLDING</t>
  </si>
  <si>
    <t>Check whether Cash flow statement is given for  company with Paid up Capital of more than 10 crore</t>
  </si>
  <si>
    <t>Whether there is Significant Accounting Policies</t>
  </si>
  <si>
    <t>Whether EPS &amp; Diluted EPS is mentioned in PL</t>
  </si>
  <si>
    <t>Check whether Notes to Accounts last page is Signed by both the directors and the Auditors.</t>
  </si>
  <si>
    <t>Check for UDIN</t>
  </si>
  <si>
    <t>Check if the financials and audit report has the seal of the auditor/firm</t>
  </si>
  <si>
    <t>Whether RPT transaction given in the Notes to Accounts matches with the figures given in PL and BS (For ex: Managerial Remuneration, Loan to directors, Loan from Directors)</t>
  </si>
  <si>
    <t>Whether Forex and RPT Transactions are mentioned in Notes to Accounts</t>
  </si>
  <si>
    <t>Whether the Company is using an Accounting software with Audit trail features from 1st April 2023</t>
  </si>
  <si>
    <t>Whether the Auditor report contains the views and comments of the auditor on the following features of the accounting software</t>
  </si>
  <si>
    <t>(a) whether the Accounting software has a feature of recording audit trail (edit log) facility</t>
  </si>
  <si>
    <t>(b) Whether the same has been operated throughout the year for all transactions recorded in the software</t>
  </si>
  <si>
    <t>© Whether the audit trail feature has not been tampered with</t>
  </si>
  <si>
    <t>(d) Whether the audit trail has been preserved by the company as per the statutory requirements for record retention.</t>
  </si>
  <si>
    <t>If any of the above points is No, Then send financials back to the company highlighting the "NO"</t>
  </si>
  <si>
    <t>To check only if CSR is applicable based on compliance sheet- If NIL, ignore the below items</t>
  </si>
  <si>
    <t>(a) amount required to be spent by the company during the year,</t>
  </si>
  <si>
    <t>(b) amount of expenditure incurred,</t>
  </si>
  <si>
    <t>(c) shortfall at the end of the year,</t>
  </si>
  <si>
    <t>(d) total of previous years shortfall,</t>
  </si>
  <si>
    <t>(e) reason for shortfall,</t>
  </si>
  <si>
    <t>(f) nature of CSR activities,</t>
  </si>
  <si>
    <t>(g) details of related party transactions, e.g., contribution to a trust controlled by the company in relation to CSR expenditure as per relevant Accounting Standard,</t>
  </si>
  <si>
    <t>(h) where a provision is made with respect to a liability incurred by entering into a contractual obligation, the movements in the provision during the year should be shown separately.</t>
  </si>
  <si>
    <t>TM to check with company if any Board Resolutions was issued during the FY or upto 6 months from the end of FY for which Annual filing is being done</t>
  </si>
  <si>
    <t>TM to check with company if Directors were abroad during any part of the FY or upto 6 months from the end of the FY</t>
  </si>
  <si>
    <t>Current Year</t>
  </si>
  <si>
    <t>Previous Year</t>
  </si>
  <si>
    <t>Requirement</t>
  </si>
  <si>
    <t>Complied or not</t>
  </si>
  <si>
    <t>Is it a Small Company?</t>
  </si>
  <si>
    <t>CARO</t>
  </si>
  <si>
    <t>Rotation of Auditors</t>
  </si>
  <si>
    <t>IND AS applicability</t>
  </si>
  <si>
    <t>XBRL filing</t>
  </si>
  <si>
    <t>Vigil Mechanism</t>
  </si>
  <si>
    <t>Internal Financial Controls</t>
  </si>
  <si>
    <t>Internal Audit</t>
  </si>
  <si>
    <t>Secretarial Audit</t>
  </si>
  <si>
    <t>KMP Appointment</t>
  </si>
  <si>
    <t>Loan and Investments</t>
  </si>
  <si>
    <t>Loan to Director or Related entities</t>
  </si>
  <si>
    <t>Cost Audit</t>
  </si>
  <si>
    <t>Date_______________, SRN_________________
Date_______________, SRN_________________</t>
  </si>
  <si>
    <t>Charge form</t>
  </si>
  <si>
    <t>AOC 1</t>
  </si>
  <si>
    <t>AOC 2</t>
  </si>
  <si>
    <t>RPT Resolution for omnibus approval</t>
  </si>
  <si>
    <t>Corporate Social Responsibility</t>
  </si>
  <si>
    <t>CSR Committee</t>
  </si>
  <si>
    <t>Deposit declaration</t>
  </si>
  <si>
    <t>DPT 3</t>
  </si>
  <si>
    <t>Date_______________, SRN_________________</t>
  </si>
  <si>
    <t>MSME</t>
  </si>
  <si>
    <t>Ben 2</t>
  </si>
  <si>
    <t>MGT 8 Applicability</t>
  </si>
  <si>
    <t>Certification of MGT 7</t>
  </si>
  <si>
    <t>Previous Year (Year 1)</t>
  </si>
  <si>
    <t>Applicability</t>
  </si>
  <si>
    <t>CS appointment</t>
  </si>
  <si>
    <t>KMP appointment</t>
  </si>
  <si>
    <t>Women Director</t>
  </si>
  <si>
    <t>Independent Director</t>
  </si>
  <si>
    <t>Audit Committee</t>
  </si>
  <si>
    <t>Nomination and Remuneration Committee</t>
  </si>
  <si>
    <t>Annual Board Evaluation</t>
  </si>
  <si>
    <t>SECTION 188</t>
  </si>
  <si>
    <t>SOURCE : Notes to Accounts - Related party transaction</t>
  </si>
  <si>
    <t>RELATED PARTY TRANSACTION</t>
  </si>
  <si>
    <t>Section 188 read with Rule 12.1.15 Companies (Meetings of Board and its Powers) Rules,2014</t>
  </si>
  <si>
    <t>Based on last year T.O and N.W</t>
  </si>
  <si>
    <t>Turnover @ 10% as per previous year</t>
  </si>
  <si>
    <t>Networth @ 10% as per previous year</t>
  </si>
  <si>
    <t>If there is Material Transaction, then AOC 2 is applicable. If the transaction is not material AOC 2 is Not applicable</t>
  </si>
  <si>
    <t>Transaction</t>
  </si>
  <si>
    <t>Criteria to be checked for Materiality</t>
  </si>
  <si>
    <t>Check RPT note for any of these transactions</t>
  </si>
  <si>
    <t>Limit as per rules</t>
  </si>
  <si>
    <t>Actuals</t>
  </si>
  <si>
    <t>Is this a material transaction (actuals &gt; limits) - Yes</t>
  </si>
  <si>
    <t>Sale of Goods</t>
  </si>
  <si>
    <t xml:space="preserve">10 % or more of turnover </t>
  </si>
  <si>
    <t>no</t>
  </si>
  <si>
    <t>Purchase or supply of goods or materials directly or through appointment of agents</t>
  </si>
  <si>
    <t>Sale of property</t>
  </si>
  <si>
    <t>10% or more of networth</t>
  </si>
  <si>
    <t>Purchase of property</t>
  </si>
  <si>
    <t>Dispose of Property</t>
  </si>
  <si>
    <t>Availing of service</t>
  </si>
  <si>
    <t xml:space="preserve">10% or more of turnover </t>
  </si>
  <si>
    <t>Rendering of Service</t>
  </si>
  <si>
    <t>Lease</t>
  </si>
  <si>
    <r>
      <t>Appointment to any office or place of profit in the company, its subsidiary company or </t>
    </r>
    <r>
      <rPr>
        <u/>
        <sz val="11"/>
        <color rgb="FFEA9629"/>
        <rFont val="Arial"/>
        <family val="2"/>
      </rPr>
      <t>associate company</t>
    </r>
  </si>
  <si>
    <t>monthly remuneration not exceeding two and half lakh rupees</t>
  </si>
  <si>
    <t>remuneration for underwriting the subscription of any securities or derivatives thereof, of the company</t>
  </si>
  <si>
    <t>1% of networth</t>
  </si>
  <si>
    <t>SEC 185 &amp; 186</t>
  </si>
  <si>
    <t>Balance sheet - Assets- Loans and advances/ Investments</t>
  </si>
  <si>
    <t>PROHIBITION</t>
  </si>
  <si>
    <t>Loans to directors or interested persons of directors</t>
  </si>
  <si>
    <t>APPLICABILITY</t>
  </si>
  <si>
    <t>Section 185</t>
  </si>
  <si>
    <t>(a)</t>
  </si>
  <si>
    <t>Has the company given any loan to Directors/ or of a company which is its holding company or any partner or relative of any such director; OR</t>
  </si>
  <si>
    <t>(b)</t>
  </si>
  <si>
    <t>Has the company given any loan to any firm in which any such director or relative is a partner</t>
  </si>
  <si>
    <t>G.S.R. 464E notification dated 5th June 2015</t>
  </si>
  <si>
    <t>If yes, check if the following conditions are met   incase of Private Limited company</t>
  </si>
  <si>
    <t>No other body corporate has invested in its share capital</t>
  </si>
  <si>
    <t>Its borrowings from banks/financial institutions/any Body Corporate is less than twice of its paid-up share capital or Rs. 50 crore, whichever is lower AND</t>
  </si>
  <si>
    <t xml:space="preserve">no default in repayment of such
borrowings subsisting at the time of making transactions under
this section
</t>
  </si>
  <si>
    <t>Even if one of the above conditions are YES,  Private companies cannot provide loan to its directors or of a company which is its holding company or any partner or relative of any such director</t>
  </si>
  <si>
    <t>Companies (Amendment) Act, 2017 dated 03.01.2018, Effective from 7th May,2018</t>
  </si>
  <si>
    <t>Has the company given loan including any loan represented by a book debt, or given any guarantee or provided any security in connection with any loan taken by any person in whom any of the director of the company is interested, being the following interested persons</t>
  </si>
  <si>
    <t>RESTRICTION</t>
  </si>
  <si>
    <t>any private company of which any such director is a director or member;</t>
  </si>
  <si>
    <t>any body corporate at a general meeting of which not less than twenty-five per cent. of the total voting power may be exercised or controlled by any such director, or by two or more such directors, together;</t>
  </si>
  <si>
    <t>any body corporate, the Board of directors, managing director or manager, whereof is accustomed to act in accordance with the directions or instructions of the Board, or of any director or directors, of the lending company.</t>
  </si>
  <si>
    <t>If yes, To check whether the following are complied with</t>
  </si>
  <si>
    <t>Special resolution is passed by the company in general meeting</t>
  </si>
  <si>
    <t>the loans are utilised by the borrowing company for its principal business activities.</t>
  </si>
  <si>
    <t>EXEMPTIONS</t>
  </si>
  <si>
    <t>the giving of any loan to a managing or whole-time director</t>
  </si>
  <si>
    <t>as a part of the conditions of service extended by the company to all its employees;  or</t>
  </si>
  <si>
    <t> pursuant to any scheme approved by the members by a special resolution; </t>
  </si>
  <si>
    <t>a company which in the ordinary course of its business provides loans or gives guarantees or securities for the due repayment of any loan and in respect of such loans an interest is charged at a rate not less than the rate of prevailing yield of one year, three year, five year or ten year Government security closest to the tenor of the loan;</t>
  </si>
  <si>
    <t>any loan made by a holding company to its wholly owned subsidiary company or any guarantee given or security provided by a holding company in respect of any loan made to its wholly owned subsidiary company; or</t>
  </si>
  <si>
    <t>any guarantee given or security provided by a holding company in respect of loan made by any bank or financial institution to its subsidiary company:</t>
  </si>
  <si>
    <t>Has the Company give loan, guarantee to any person or body corporate</t>
  </si>
  <si>
    <t>(c)</t>
  </si>
  <si>
    <t>Has the Company acquired by way of subscription, purchase or otherwise, the securities of any other body corporate,</t>
  </si>
  <si>
    <r>
      <t xml:space="preserve">If yes  whether it is within specified below, </t>
    </r>
    <r>
      <rPr>
        <b/>
        <sz val="12"/>
        <rFont val="Aptos Narrow"/>
        <family val="2"/>
        <scheme val="minor"/>
      </rPr>
      <t>whichever is more</t>
    </r>
  </si>
  <si>
    <t xml:space="preserve">60% of Paid up capital &amp; Free reserve and securities premium  or </t>
  </si>
  <si>
    <t xml:space="preserve">100% of Free reserves and securities premium  </t>
  </si>
  <si>
    <t>If within limits, include in Board report</t>
  </si>
  <si>
    <t>If exceeding limit, to mention in MGT 8 &amp; prior approval/ratification in next AGM/EGM</t>
  </si>
  <si>
    <t xml:space="preserve">Name of the Company: </t>
  </si>
  <si>
    <t>Current Year (Year 0)</t>
  </si>
  <si>
    <t>Financial Particulars</t>
  </si>
  <si>
    <t>Rs.</t>
  </si>
  <si>
    <t>in Cr</t>
  </si>
  <si>
    <t>Paidup capital</t>
  </si>
  <si>
    <t>Reserves and Surplus</t>
  </si>
  <si>
    <t>Total Borrowings</t>
  </si>
  <si>
    <t>Loangiven by Company to Directors or Director related entities (assets)</t>
  </si>
  <si>
    <t>Loans given by Company (assets)</t>
  </si>
  <si>
    <t>Investments made by Company (assets)</t>
  </si>
  <si>
    <t>Corporate Guarantees given by Company</t>
  </si>
  <si>
    <t>Loan from Directors or their relatives (Liabilities)</t>
  </si>
  <si>
    <t>Loan from Shareholders (Liabilities)</t>
  </si>
  <si>
    <t>Secured Loan</t>
  </si>
  <si>
    <t>Advance from Customers, Shareholders, Security Deposits (Liabilitys)</t>
  </si>
  <si>
    <t>Dues to MSME</t>
  </si>
  <si>
    <t>Networth</t>
  </si>
  <si>
    <t>Turnover</t>
  </si>
  <si>
    <t>Total Revenue</t>
  </si>
  <si>
    <t>Profit Before Tax</t>
  </si>
  <si>
    <t>ED / WTD - 1 Monthly Remuneration</t>
  </si>
  <si>
    <t>ED / WTD - 2 Monthly Remuneration</t>
  </si>
  <si>
    <t>Exprt</t>
  </si>
  <si>
    <t>ED / WTD - 5 Monthly Remuneration</t>
  </si>
  <si>
    <t>Sitting Fees to Directors</t>
  </si>
  <si>
    <t>Number of Bodies Corporate Shareholder holding more than 10%</t>
  </si>
  <si>
    <t xml:space="preserve">Is the Company a Holding or a Subsidiary Company </t>
  </si>
  <si>
    <t>Is the Company a Holding, Subsidiary or Associate of IND AS applicable Companies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</si>
</sst>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 #,##0.00_ ;_ * \-#,##0.00_ ;_ * &quot;-&quot;??_ ;_ @_ "/>
    <numFmt numFmtId="165" formatCode="_ * #,##0.0000_ ;_ * \-#,##0.0000_ ;_ * &quot;-&quot;??_ ;_ @_ "/>
    <numFmt numFmtId="166" formatCode="_ * #,##0_ ;_ * \-#,##0_ ;_ * &quot;-&quot;??_ ;_ @_ "/>
    <numFmt numFmtId="167" formatCode="_(* #,##0_);_(* \(#,##0\);_(* &quot;-&quot;??_);_(@_)"/>
    <numFmt numFmtId="168" formatCode="0.000"/>
  </numFmts>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sz val="12"/>
      <color theme="1"/>
      <name val="Aptos Narrow"/>
      <family val="2"/>
      <scheme val="minor"/>
    </font>
    <font>
      <sz val="12"/>
      <name val="Aptos Narrow"/>
      <family val="2"/>
      <scheme val="minor"/>
    </font>
    <font>
      <b/>
      <sz val="12"/>
      <name val="Aptos Narrow"/>
      <family val="2"/>
      <scheme val="minor"/>
    </font>
    <font>
      <sz val="11"/>
      <color rgb="FF333333"/>
      <name val="Arial"/>
      <family val="2"/>
    </font>
    <font>
      <u/>
      <sz val="11"/>
      <color rgb="FFEA9629"/>
      <name val="Arial"/>
      <family val="2"/>
    </font>
    <font>
      <b/>
      <sz val="12"/>
      <color rgb="FFFF0000"/>
      <name val="Aptos Narrow"/>
      <family val="2"/>
      <scheme val="minor"/>
    </font>
    <font>
      <sz val="12"/>
      <name val="Arial"/>
      <family val="2"/>
    </font>
    <font>
      <sz val="8"/>
      <name val="Arial"/>
      <family val="2"/>
    </font>
    <font>
      <sz val="12"/>
      <color theme="0"/>
      <name val="Aptos Narrow"/>
      <family val="2"/>
      <scheme val="minor"/>
    </font>
    <font>
      <sz val="12"/>
      <color rgb="FF00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58">
    <xf numFmtId="0" fontId="0" fillId="0" borderId="0" xfId="0"/>
    <xf numFmtId="0" fontId="3" fillId="0" borderId="1" xfId="0" applyFont="1" applyBorder="1"/>
    <xf numFmtId="0" fontId="3" fillId="0" borderId="1" xfId="0" applyFont="1" applyBorder="1" applyAlignment="1">
      <alignment wrapText="1"/>
    </xf>
    <xf numFmtId="0" fontId="3" fillId="0" borderId="1" xfId="0" applyFont="1" applyBorder="1" applyAlignment="1">
      <alignment vertical="center"/>
    </xf>
    <xf numFmtId="0" fontId="4" fillId="0" borderId="1" xfId="0" applyFont="1" applyBorder="1" applyAlignment="1">
      <alignment wrapText="1"/>
    </xf>
    <xf numFmtId="0" fontId="4" fillId="0" borderId="1" xfId="0" applyFont="1" applyBorder="1" applyAlignment="1">
      <alignment horizontal="right" vertical="center"/>
    </xf>
    <xf numFmtId="0" fontId="5" fillId="0" borderId="1" xfId="0" applyFont="1" applyBorder="1" applyAlignment="1">
      <alignment wrapText="1"/>
    </xf>
    <xf numFmtId="0" fontId="5" fillId="0" borderId="1" xfId="0" applyFont="1" applyBorder="1"/>
    <xf numFmtId="0" fontId="4" fillId="0" borderId="1" xfId="0" applyFont="1" applyBorder="1"/>
    <xf numFmtId="0" fontId="4" fillId="0" borderId="1" xfId="0" applyFont="1" applyBorder="1" applyAlignment="1">
      <alignment vertical="center"/>
    </xf>
    <xf numFmtId="0" fontId="0" fillId="0" borderId="1" xfId="0" applyBorder="1"/>
    <xf numFmtId="0" fontId="2" fillId="2" borderId="0" xfId="0" applyFont="1" applyFill="1"/>
    <xf numFmtId="0" fontId="0" fillId="2" borderId="0" xfId="0" applyFill="1"/>
    <xf numFmtId="0" fontId="6" fillId="0" borderId="0" xfId="0" applyFont="1"/>
    <xf numFmtId="0" fontId="5" fillId="0" borderId="0" xfId="0" applyFont="1"/>
    <xf numFmtId="0" fontId="6" fillId="0" borderId="0" xfId="0" applyFont="1" applyAlignment="1">
      <alignment vertical="top" wrapText="1"/>
    </xf>
    <xf numFmtId="43" fontId="5" fillId="0" borderId="0" xfId="1" applyFont="1"/>
    <xf numFmtId="0" fontId="6" fillId="0" borderId="1" xfId="0" applyFont="1" applyBorder="1" applyAlignment="1">
      <alignment wrapText="1"/>
    </xf>
    <xf numFmtId="164" fontId="5" fillId="0" borderId="1" xfId="0" applyNumberFormat="1" applyFont="1" applyBorder="1"/>
    <xf numFmtId="43" fontId="5" fillId="0" borderId="1" xfId="1" applyFont="1" applyBorder="1"/>
    <xf numFmtId="165" fontId="5" fillId="0" borderId="1" xfId="1" applyNumberFormat="1" applyFont="1" applyBorder="1"/>
    <xf numFmtId="0" fontId="7" fillId="0" borderId="1" xfId="0" applyFont="1" applyBorder="1" applyAlignment="1">
      <alignment wrapText="1"/>
    </xf>
    <xf numFmtId="166" fontId="5" fillId="0" borderId="1" xfId="0" applyNumberFormat="1" applyFont="1" applyBorder="1"/>
    <xf numFmtId="0" fontId="9" fillId="0" borderId="0" xfId="0" applyFont="1"/>
    <xf numFmtId="0" fontId="6" fillId="0" borderId="1" xfId="0" applyFont="1" applyBorder="1" applyAlignment="1">
      <alignment horizontal="center" wrapText="1"/>
    </xf>
    <xf numFmtId="0" fontId="5" fillId="0" borderId="1" xfId="0" applyFont="1" applyBorder="1" applyAlignment="1">
      <alignment vertical="top" wrapText="1"/>
    </xf>
    <xf numFmtId="0" fontId="10" fillId="0" borderId="0" xfId="0" applyFont="1" applyAlignment="1">
      <alignment wrapText="1"/>
    </xf>
    <xf numFmtId="0" fontId="11" fillId="0" borderId="0" xfId="0" applyFont="1" applyAlignment="1">
      <alignment wrapText="1"/>
    </xf>
    <xf numFmtId="0" fontId="9" fillId="0" borderId="1" xfId="0" applyFont="1" applyBorder="1"/>
    <xf numFmtId="0" fontId="5" fillId="0" borderId="1" xfId="0" applyFont="1" applyBorder="1" applyAlignment="1">
      <alignment horizontal="left" wrapText="1"/>
    </xf>
    <xf numFmtId="0" fontId="5" fillId="0" borderId="1" xfId="0" applyFont="1" applyBorder="1" applyAlignment="1">
      <alignment horizontal="right"/>
    </xf>
    <xf numFmtId="0" fontId="6" fillId="0" borderId="1" xfId="0" applyFont="1" applyBorder="1" applyAlignment="1">
      <alignment horizontal="left" wrapText="1"/>
    </xf>
    <xf numFmtId="0" fontId="2" fillId="0" borderId="0" xfId="0" applyFont="1"/>
    <xf numFmtId="0" fontId="0" fillId="0" borderId="0" xfId="0" applyAlignment="1">
      <alignment wrapText="1"/>
    </xf>
    <xf numFmtId="0" fontId="6" fillId="0" borderId="2" xfId="0" applyFont="1" applyBorder="1" applyAlignment="1">
      <alignment horizontal="center"/>
    </xf>
    <xf numFmtId="0" fontId="6" fillId="0" borderId="1" xfId="0" applyFont="1" applyBorder="1" applyAlignment="1">
      <alignment horizontal="left" wrapText="1"/>
    </xf>
    <xf numFmtId="0" fontId="3" fillId="0" borderId="0" xfId="0" applyFont="1"/>
    <xf numFmtId="0" fontId="4" fillId="0" borderId="0" xfId="0" applyFont="1" applyAlignment="1">
      <alignment wrapText="1"/>
    </xf>
    <xf numFmtId="0" fontId="4" fillId="0" borderId="0" xfId="0" applyFont="1"/>
    <xf numFmtId="0" fontId="4" fillId="0" borderId="3" xfId="0" applyFont="1" applyBorder="1"/>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xf numFmtId="0" fontId="3" fillId="0" borderId="7" xfId="0" applyFont="1" applyBorder="1"/>
    <xf numFmtId="0" fontId="4" fillId="0" borderId="6" xfId="0" applyFont="1" applyBorder="1" applyAlignment="1">
      <alignment wrapText="1"/>
    </xf>
    <xf numFmtId="167" fontId="12" fillId="3" borderId="1" xfId="2" applyNumberFormat="1" applyFont="1" applyFill="1" applyBorder="1" applyAlignment="1">
      <alignment wrapText="1"/>
    </xf>
    <xf numFmtId="168" fontId="4" fillId="0" borderId="1" xfId="0" applyNumberFormat="1" applyFont="1" applyBorder="1"/>
    <xf numFmtId="167" fontId="4" fillId="3" borderId="1" xfId="2" applyNumberFormat="1" applyFont="1" applyFill="1" applyBorder="1" applyAlignment="1">
      <alignment wrapText="1"/>
    </xf>
    <xf numFmtId="168" fontId="4" fillId="0" borderId="7" xfId="0" applyNumberFormat="1" applyFont="1" applyBorder="1"/>
    <xf numFmtId="0" fontId="5" fillId="0" borderId="6" xfId="0" applyFont="1" applyBorder="1" applyAlignment="1">
      <alignment horizontal="justify"/>
    </xf>
    <xf numFmtId="0" fontId="4" fillId="3" borderId="1" xfId="0" applyFont="1" applyFill="1" applyBorder="1" applyAlignment="1">
      <alignment wrapText="1"/>
    </xf>
    <xf numFmtId="0" fontId="12" fillId="3" borderId="1" xfId="0" applyFont="1" applyFill="1" applyBorder="1" applyAlignment="1">
      <alignment horizontal="right" wrapText="1"/>
    </xf>
    <xf numFmtId="0" fontId="4" fillId="2" borderId="6" xfId="0" applyFont="1" applyFill="1" applyBorder="1"/>
    <xf numFmtId="0" fontId="4" fillId="0" borderId="6" xfId="0" applyFont="1" applyBorder="1"/>
    <xf numFmtId="4" fontId="12" fillId="3" borderId="1" xfId="0" applyNumberFormat="1" applyFont="1" applyFill="1" applyBorder="1" applyAlignment="1">
      <alignment wrapText="1"/>
    </xf>
    <xf numFmtId="0" fontId="4" fillId="0" borderId="7" xfId="0" applyFont="1" applyBorder="1"/>
    <xf numFmtId="0" fontId="12" fillId="3" borderId="1" xfId="0" applyFont="1" applyFill="1" applyBorder="1" applyAlignment="1">
      <alignment wrapText="1"/>
    </xf>
    <xf numFmtId="0" fontId="13" fillId="0" borderId="1" xfId="0" applyFont="1" applyBorder="1" applyAlignment="1">
      <alignment wrapText="1"/>
    </xf>
  </cellXfs>
  <cellStyles count="3">
    <cellStyle name="Comma" xfId="2" builtinId="3"/>
    <cellStyle name="Comma 2" xfId="1" xr:uid="{A5D39A03-B88C-4E79-9A9A-6D28B1B6A26D}"/>
    <cellStyle name="Normal" xfId="0" builtinId="0"/>
  </cellStyles>
  <dxfs count="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2CB8-607D-4E93-B28C-4E356096108B}">
  <dimension ref="A1:E39"/>
  <sheetViews>
    <sheetView workbookViewId="0">
      <selection activeCell="B3" sqref="B3"/>
    </sheetView>
  </sheetViews>
  <sheetFormatPr defaultRowHeight="14.4" x14ac:dyDescent="0.3"/>
  <cols>
    <col min="1" max="1" width="6.33203125" customWidth="1"/>
    <col min="2" max="2" width="77" customWidth="1"/>
    <col min="3" max="3" width="19.6640625" customWidth="1"/>
    <col min="4" max="4" width="29" customWidth="1"/>
    <col min="5" max="5" width="22.6640625" customWidth="1"/>
  </cols>
  <sheetData>
    <row r="1" spans="1:5" ht="15.6" x14ac:dyDescent="0.3">
      <c r="A1" s="1" t="s">
        <v>0</v>
      </c>
      <c r="B1" s="2" t="s">
        <v>1</v>
      </c>
      <c r="C1" s="1" t="s">
        <v>2</v>
      </c>
      <c r="D1" s="1" t="s">
        <v>3</v>
      </c>
      <c r="E1" s="2" t="s">
        <v>4</v>
      </c>
    </row>
    <row r="2" spans="1:5" ht="187.2" x14ac:dyDescent="0.3">
      <c r="A2" s="3">
        <v>1</v>
      </c>
      <c r="B2" s="4" t="s">
        <v>5</v>
      </c>
      <c r="C2" s="1"/>
      <c r="D2" s="1"/>
      <c r="E2" s="2"/>
    </row>
    <row r="3" spans="1:5" ht="31.2" x14ac:dyDescent="0.3">
      <c r="A3" s="5">
        <v>2</v>
      </c>
      <c r="B3" s="6" t="s">
        <v>6</v>
      </c>
      <c r="C3" s="1"/>
      <c r="D3" s="8"/>
      <c r="E3" s="2"/>
    </row>
    <row r="4" spans="1:5" ht="31.2" x14ac:dyDescent="0.3">
      <c r="A4" s="5">
        <v>3</v>
      </c>
      <c r="B4" s="6" t="s">
        <v>7</v>
      </c>
      <c r="C4" s="8"/>
      <c r="D4" s="8"/>
      <c r="E4" s="2"/>
    </row>
    <row r="5" spans="1:5" ht="31.2" x14ac:dyDescent="0.3">
      <c r="A5" s="9">
        <v>4</v>
      </c>
      <c r="B5" s="4" t="s">
        <v>8</v>
      </c>
      <c r="C5" s="8"/>
      <c r="D5" s="8"/>
      <c r="E5" s="8"/>
    </row>
    <row r="6" spans="1:5" ht="31.2" x14ac:dyDescent="0.3">
      <c r="A6" s="9">
        <v>5</v>
      </c>
      <c r="B6" s="4" t="s">
        <v>9</v>
      </c>
      <c r="C6" s="8"/>
      <c r="D6" s="8"/>
      <c r="E6" s="8"/>
    </row>
    <row r="7" spans="1:5" ht="15.6" x14ac:dyDescent="0.3">
      <c r="A7" s="9">
        <v>6</v>
      </c>
      <c r="B7" s="2" t="s">
        <v>10</v>
      </c>
      <c r="C7" s="8"/>
      <c r="D7" s="8"/>
      <c r="E7" s="8"/>
    </row>
    <row r="8" spans="1:5" ht="15.6" x14ac:dyDescent="0.3">
      <c r="A8" s="9"/>
      <c r="B8" s="4" t="s">
        <v>11</v>
      </c>
      <c r="C8" s="8"/>
      <c r="D8" s="8"/>
      <c r="E8" s="8"/>
    </row>
    <row r="9" spans="1:5" ht="15.6" x14ac:dyDescent="0.3">
      <c r="A9" s="9"/>
      <c r="B9" s="4" t="s">
        <v>12</v>
      </c>
      <c r="C9" s="8"/>
      <c r="D9" s="8"/>
      <c r="E9" s="8"/>
    </row>
    <row r="10" spans="1:5" ht="31.2" x14ac:dyDescent="0.3">
      <c r="A10" s="9"/>
      <c r="B10" s="4" t="s">
        <v>13</v>
      </c>
      <c r="C10" s="8"/>
      <c r="D10" s="8"/>
      <c r="E10" s="8"/>
    </row>
    <row r="11" spans="1:5" ht="31.2" x14ac:dyDescent="0.3">
      <c r="A11" s="9"/>
      <c r="B11" s="4" t="s">
        <v>14</v>
      </c>
      <c r="C11" s="8"/>
      <c r="D11" s="8"/>
      <c r="E11" s="8"/>
    </row>
    <row r="12" spans="1:5" ht="31.2" x14ac:dyDescent="0.3">
      <c r="A12" s="9"/>
      <c r="B12" s="4" t="s">
        <v>15</v>
      </c>
      <c r="C12" s="8"/>
      <c r="D12" s="8"/>
      <c r="E12" s="8"/>
    </row>
    <row r="13" spans="1:5" ht="31.2" x14ac:dyDescent="0.3">
      <c r="A13" s="9"/>
      <c r="B13" s="4" t="s">
        <v>16</v>
      </c>
      <c r="C13" s="8"/>
      <c r="D13" s="8"/>
      <c r="E13" s="8"/>
    </row>
    <row r="14" spans="1:5" ht="31.2" x14ac:dyDescent="0.3">
      <c r="A14" s="9">
        <v>7</v>
      </c>
      <c r="B14" s="4" t="s">
        <v>17</v>
      </c>
      <c r="C14" s="8"/>
      <c r="D14" s="8"/>
      <c r="E14" s="8"/>
    </row>
    <row r="15" spans="1:5" ht="15.6" x14ac:dyDescent="0.3">
      <c r="A15" s="9">
        <v>8</v>
      </c>
      <c r="B15" s="4" t="s">
        <v>18</v>
      </c>
      <c r="C15" s="8"/>
      <c r="D15" s="8"/>
      <c r="E15" s="8"/>
    </row>
    <row r="16" spans="1:5" ht="15.6" x14ac:dyDescent="0.3">
      <c r="A16" s="9">
        <v>9</v>
      </c>
      <c r="B16" s="4" t="s">
        <v>19</v>
      </c>
      <c r="C16" s="8"/>
      <c r="D16" s="8"/>
      <c r="E16" s="8"/>
    </row>
    <row r="17" spans="1:5" ht="31.2" x14ac:dyDescent="0.3">
      <c r="A17" s="9">
        <v>10</v>
      </c>
      <c r="B17" s="4" t="s">
        <v>20</v>
      </c>
      <c r="C17" s="8"/>
      <c r="D17" s="8"/>
      <c r="E17" s="8"/>
    </row>
    <row r="18" spans="1:5" ht="15.6" x14ac:dyDescent="0.3">
      <c r="A18" s="9">
        <v>11</v>
      </c>
      <c r="B18" s="6" t="s">
        <v>21</v>
      </c>
      <c r="C18" s="8"/>
      <c r="D18" s="8"/>
      <c r="E18" s="8"/>
    </row>
    <row r="19" spans="1:5" ht="15.6" x14ac:dyDescent="0.3">
      <c r="A19" s="9">
        <v>12</v>
      </c>
      <c r="B19" s="6" t="s">
        <v>22</v>
      </c>
      <c r="C19" s="8"/>
      <c r="D19" s="8"/>
      <c r="E19" s="8"/>
    </row>
    <row r="20" spans="1:5" ht="46.8" x14ac:dyDescent="0.3">
      <c r="A20" s="9">
        <v>13</v>
      </c>
      <c r="B20" s="4" t="s">
        <v>23</v>
      </c>
      <c r="C20" s="8"/>
      <c r="D20" s="8"/>
      <c r="E20" s="8"/>
    </row>
    <row r="21" spans="1:5" ht="15.6" x14ac:dyDescent="0.3">
      <c r="A21" s="9">
        <v>14</v>
      </c>
      <c r="B21" s="4" t="s">
        <v>24</v>
      </c>
      <c r="C21" s="8"/>
      <c r="D21" s="8"/>
      <c r="E21" s="8"/>
    </row>
    <row r="22" spans="1:5" ht="31.2" x14ac:dyDescent="0.3">
      <c r="A22" s="9">
        <v>15</v>
      </c>
      <c r="B22" s="2" t="s">
        <v>25</v>
      </c>
      <c r="C22" s="8"/>
      <c r="D22" s="8"/>
      <c r="E22" s="8"/>
    </row>
    <row r="23" spans="1:5" ht="31.2" x14ac:dyDescent="0.3">
      <c r="A23" s="9"/>
      <c r="B23" s="4" t="s">
        <v>26</v>
      </c>
      <c r="C23" s="8"/>
      <c r="D23" s="8"/>
      <c r="E23" s="8"/>
    </row>
    <row r="24" spans="1:5" ht="31.2" x14ac:dyDescent="0.3">
      <c r="A24" s="9"/>
      <c r="B24" s="4" t="s">
        <v>27</v>
      </c>
      <c r="C24" s="8"/>
      <c r="D24" s="8"/>
      <c r="E24" s="8"/>
    </row>
    <row r="25" spans="1:5" ht="31.2" x14ac:dyDescent="0.3">
      <c r="A25" s="9"/>
      <c r="B25" s="4" t="s">
        <v>28</v>
      </c>
      <c r="C25" s="8"/>
      <c r="D25" s="8"/>
      <c r="E25" s="8"/>
    </row>
    <row r="26" spans="1:5" ht="15.6" x14ac:dyDescent="0.3">
      <c r="A26" s="9"/>
      <c r="B26" s="4" t="s">
        <v>29</v>
      </c>
      <c r="C26" s="8"/>
      <c r="D26" s="8"/>
      <c r="E26" s="8"/>
    </row>
    <row r="27" spans="1:5" ht="31.2" x14ac:dyDescent="0.3">
      <c r="A27" s="9"/>
      <c r="B27" s="4" t="s">
        <v>30</v>
      </c>
      <c r="C27" s="8"/>
      <c r="D27" s="8"/>
      <c r="E27" s="8"/>
    </row>
    <row r="28" spans="1:5" ht="31.2" x14ac:dyDescent="0.3">
      <c r="A28" s="9"/>
      <c r="B28" s="4" t="s">
        <v>31</v>
      </c>
      <c r="C28" s="8"/>
      <c r="D28" s="8"/>
      <c r="E28" s="8"/>
    </row>
    <row r="29" spans="1:5" ht="31.2" x14ac:dyDescent="0.3">
      <c r="A29" s="9">
        <v>16</v>
      </c>
      <c r="B29" s="2" t="s">
        <v>32</v>
      </c>
      <c r="C29" s="8"/>
      <c r="D29" s="8"/>
      <c r="E29" s="8"/>
    </row>
    <row r="30" spans="1:5" ht="15.6" x14ac:dyDescent="0.3">
      <c r="A30" s="9"/>
      <c r="B30" s="4" t="s">
        <v>33</v>
      </c>
      <c r="C30" s="8"/>
      <c r="D30" s="8"/>
      <c r="E30" s="8"/>
    </row>
    <row r="31" spans="1:5" ht="15.6" x14ac:dyDescent="0.3">
      <c r="A31" s="9"/>
      <c r="B31" s="4" t="s">
        <v>34</v>
      </c>
      <c r="C31" s="8"/>
      <c r="D31" s="8"/>
      <c r="E31" s="8"/>
    </row>
    <row r="32" spans="1:5" ht="15.6" x14ac:dyDescent="0.3">
      <c r="A32" s="9"/>
      <c r="B32" s="4" t="s">
        <v>35</v>
      </c>
      <c r="C32" s="8"/>
      <c r="D32" s="8"/>
      <c r="E32" s="8"/>
    </row>
    <row r="33" spans="1:5" ht="15.6" x14ac:dyDescent="0.3">
      <c r="A33" s="9"/>
      <c r="B33" s="4" t="s">
        <v>36</v>
      </c>
      <c r="C33" s="8"/>
      <c r="D33" s="8"/>
      <c r="E33" s="8"/>
    </row>
    <row r="34" spans="1:5" ht="15.6" x14ac:dyDescent="0.3">
      <c r="A34" s="9"/>
      <c r="B34" s="4" t="s">
        <v>37</v>
      </c>
      <c r="C34" s="8"/>
      <c r="D34" s="8"/>
      <c r="E34" s="8"/>
    </row>
    <row r="35" spans="1:5" ht="15.6" x14ac:dyDescent="0.3">
      <c r="A35" s="9"/>
      <c r="B35" s="4" t="s">
        <v>38</v>
      </c>
      <c r="C35" s="8"/>
      <c r="D35" s="8"/>
      <c r="E35" s="8"/>
    </row>
    <row r="36" spans="1:5" ht="31.2" x14ac:dyDescent="0.3">
      <c r="A36" s="9"/>
      <c r="B36" s="4" t="s">
        <v>39</v>
      </c>
      <c r="C36" s="8"/>
      <c r="D36" s="8"/>
      <c r="E36" s="8"/>
    </row>
    <row r="37" spans="1:5" ht="46.8" x14ac:dyDescent="0.3">
      <c r="A37" s="9"/>
      <c r="B37" s="4" t="s">
        <v>40</v>
      </c>
      <c r="C37" s="8"/>
      <c r="D37" s="8"/>
      <c r="E37" s="8"/>
    </row>
    <row r="38" spans="1:5" ht="31.2" x14ac:dyDescent="0.3">
      <c r="A38" s="8">
        <v>17</v>
      </c>
      <c r="B38" s="6" t="s">
        <v>41</v>
      </c>
      <c r="C38" s="10"/>
      <c r="D38" s="8"/>
      <c r="E38" s="8"/>
    </row>
    <row r="39" spans="1:5" ht="31.2" x14ac:dyDescent="0.3">
      <c r="A39" s="8">
        <v>18</v>
      </c>
      <c r="B39" s="6" t="s">
        <v>42</v>
      </c>
      <c r="C39" s="10"/>
      <c r="D39" s="8"/>
      <c r="E39" s="8"/>
    </row>
  </sheetData>
  <conditionalFormatting sqref="C5">
    <cfRule type="containsText" dxfId="2" priority="2" operator="containsText" text="NO">
      <formula>NOT(ISERROR(SEARCH("NO",C5)))</formula>
    </cfRule>
  </conditionalFormatting>
  <conditionalFormatting sqref="C5:C18">
    <cfRule type="containsText" dxfId="1" priority="1" operator="containsText" text="No">
      <formula>NOT(ISERROR(SEARCH("No",C5)))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73452-E6F6-43B1-B928-978D32056DA3}">
  <dimension ref="A2:E61"/>
  <sheetViews>
    <sheetView tabSelected="1" topLeftCell="A23" workbookViewId="0">
      <selection activeCell="B28" sqref="B28:B29"/>
    </sheetView>
  </sheetViews>
  <sheetFormatPr defaultRowHeight="14.4" x14ac:dyDescent="0.3"/>
  <cols>
    <col min="1" max="1" width="54.6640625" customWidth="1"/>
    <col min="2" max="2" width="27.33203125" customWidth="1"/>
    <col min="3" max="3" width="34.44140625" customWidth="1"/>
    <col min="4" max="4" width="25.33203125" customWidth="1"/>
    <col min="5" max="5" width="34.6640625" customWidth="1"/>
  </cols>
  <sheetData>
    <row r="2" spans="1:5" ht="16.2" thickBot="1" x14ac:dyDescent="0.35">
      <c r="A2" s="36" t="s">
        <v>153</v>
      </c>
      <c r="B2" s="36"/>
      <c r="C2" s="36"/>
      <c r="D2" s="37"/>
      <c r="E2" s="38"/>
    </row>
    <row r="3" spans="1:5" ht="15.6" x14ac:dyDescent="0.3">
      <c r="A3" s="39"/>
      <c r="B3" s="40" t="s">
        <v>154</v>
      </c>
      <c r="C3" s="40"/>
      <c r="D3" s="40" t="s">
        <v>74</v>
      </c>
      <c r="E3" s="41"/>
    </row>
    <row r="4" spans="1:5" ht="15.6" x14ac:dyDescent="0.3">
      <c r="A4" s="42" t="s">
        <v>155</v>
      </c>
      <c r="B4" s="2" t="s">
        <v>156</v>
      </c>
      <c r="C4" s="1" t="s">
        <v>157</v>
      </c>
      <c r="D4" s="2" t="s">
        <v>156</v>
      </c>
      <c r="E4" s="43" t="s">
        <v>157</v>
      </c>
    </row>
    <row r="5" spans="1:5" ht="15.6" x14ac:dyDescent="0.3">
      <c r="A5" s="44" t="s">
        <v>158</v>
      </c>
      <c r="B5" s="45"/>
      <c r="C5" s="46">
        <f>B5/10000000</f>
        <v>0</v>
      </c>
      <c r="D5" s="47"/>
      <c r="E5" s="48">
        <f t="shared" ref="E5:E13" si="0">D5/10000000</f>
        <v>0</v>
      </c>
    </row>
    <row r="6" spans="1:5" ht="15.6" x14ac:dyDescent="0.3">
      <c r="A6" s="44" t="s">
        <v>159</v>
      </c>
      <c r="B6" s="45"/>
      <c r="C6" s="46">
        <f t="shared" ref="C6:C27" si="1">B6/10000000</f>
        <v>0</v>
      </c>
      <c r="D6" s="47"/>
      <c r="E6" s="48">
        <f t="shared" si="0"/>
        <v>0</v>
      </c>
    </row>
    <row r="7" spans="1:5" ht="15.6" x14ac:dyDescent="0.3">
      <c r="A7" s="44" t="s">
        <v>160</v>
      </c>
      <c r="B7" s="45"/>
      <c r="C7" s="46">
        <f t="shared" si="1"/>
        <v>0</v>
      </c>
      <c r="D7" s="47"/>
      <c r="E7" s="48">
        <f t="shared" si="0"/>
        <v>0</v>
      </c>
    </row>
    <row r="8" spans="1:5" ht="31.2" x14ac:dyDescent="0.3">
      <c r="A8" s="44" t="s">
        <v>161</v>
      </c>
      <c r="B8" s="45"/>
      <c r="C8" s="46">
        <f t="shared" si="1"/>
        <v>0</v>
      </c>
      <c r="D8" s="47"/>
      <c r="E8" s="48">
        <f t="shared" si="0"/>
        <v>0</v>
      </c>
    </row>
    <row r="9" spans="1:5" ht="15.6" x14ac:dyDescent="0.3">
      <c r="A9" s="44" t="s">
        <v>162</v>
      </c>
      <c r="B9" s="45"/>
      <c r="C9" s="46">
        <f t="shared" si="1"/>
        <v>0</v>
      </c>
      <c r="D9" s="47"/>
      <c r="E9" s="48">
        <f t="shared" si="0"/>
        <v>0</v>
      </c>
    </row>
    <row r="10" spans="1:5" ht="15.6" x14ac:dyDescent="0.3">
      <c r="A10" s="44" t="s">
        <v>163</v>
      </c>
      <c r="B10" s="45"/>
      <c r="C10" s="46">
        <f t="shared" si="1"/>
        <v>0</v>
      </c>
      <c r="D10" s="47"/>
      <c r="E10" s="48">
        <f t="shared" si="0"/>
        <v>0</v>
      </c>
    </row>
    <row r="11" spans="1:5" ht="15.6" x14ac:dyDescent="0.3">
      <c r="A11" s="44" t="s">
        <v>164</v>
      </c>
      <c r="B11" s="45"/>
      <c r="C11" s="46">
        <f t="shared" si="1"/>
        <v>0</v>
      </c>
      <c r="D11" s="47"/>
      <c r="E11" s="48">
        <f t="shared" si="0"/>
        <v>0</v>
      </c>
    </row>
    <row r="12" spans="1:5" ht="15.6" x14ac:dyDescent="0.3">
      <c r="A12" s="49" t="s">
        <v>165</v>
      </c>
      <c r="B12" s="45"/>
      <c r="C12" s="46">
        <f t="shared" si="1"/>
        <v>0</v>
      </c>
      <c r="D12" s="47"/>
      <c r="E12" s="48">
        <f t="shared" si="0"/>
        <v>0</v>
      </c>
    </row>
    <row r="13" spans="1:5" ht="15.6" x14ac:dyDescent="0.3">
      <c r="A13" s="49" t="s">
        <v>166</v>
      </c>
      <c r="B13" s="45"/>
      <c r="C13" s="46">
        <f t="shared" si="1"/>
        <v>0</v>
      </c>
      <c r="D13" s="47"/>
      <c r="E13" s="48">
        <f t="shared" si="0"/>
        <v>0</v>
      </c>
    </row>
    <row r="14" spans="1:5" ht="15.6" x14ac:dyDescent="0.3">
      <c r="A14" s="49" t="s">
        <v>167</v>
      </c>
      <c r="B14" s="45"/>
      <c r="C14" s="46">
        <f t="shared" si="1"/>
        <v>0</v>
      </c>
      <c r="D14" s="50"/>
      <c r="E14" s="48">
        <v>0</v>
      </c>
    </row>
    <row r="15" spans="1:5" ht="31.2" x14ac:dyDescent="0.3">
      <c r="A15" s="44" t="s">
        <v>168</v>
      </c>
      <c r="B15" s="45"/>
      <c r="C15" s="46">
        <f t="shared" si="1"/>
        <v>0</v>
      </c>
      <c r="D15" s="50"/>
      <c r="E15" s="48">
        <f t="shared" ref="E15:E26" si="2">D15/10000000</f>
        <v>0</v>
      </c>
    </row>
    <row r="16" spans="1:5" ht="15.6" x14ac:dyDescent="0.3">
      <c r="A16" s="49" t="s">
        <v>169</v>
      </c>
      <c r="B16" s="51"/>
      <c r="C16" s="46">
        <f t="shared" si="1"/>
        <v>0</v>
      </c>
      <c r="D16" s="50"/>
      <c r="E16" s="48">
        <f t="shared" si="2"/>
        <v>0</v>
      </c>
    </row>
    <row r="17" spans="1:5" ht="15.6" x14ac:dyDescent="0.3">
      <c r="A17" s="52" t="s">
        <v>170</v>
      </c>
      <c r="B17" s="45">
        <f>+B5+B6</f>
        <v>0</v>
      </c>
      <c r="C17" s="46">
        <f>B17/10000000</f>
        <v>0</v>
      </c>
      <c r="D17" s="47">
        <f>+D5+D6</f>
        <v>0</v>
      </c>
      <c r="E17" s="48">
        <f t="shared" si="2"/>
        <v>0</v>
      </c>
    </row>
    <row r="18" spans="1:5" ht="15.6" x14ac:dyDescent="0.3">
      <c r="A18" s="44" t="s">
        <v>171</v>
      </c>
      <c r="B18" s="45"/>
      <c r="C18" s="46">
        <f t="shared" si="1"/>
        <v>0</v>
      </c>
      <c r="D18" s="47"/>
      <c r="E18" s="48">
        <f t="shared" si="2"/>
        <v>0</v>
      </c>
    </row>
    <row r="19" spans="1:5" ht="15.6" x14ac:dyDescent="0.3">
      <c r="A19" s="44" t="s">
        <v>172</v>
      </c>
      <c r="B19" s="45"/>
      <c r="C19" s="46">
        <f t="shared" si="1"/>
        <v>0</v>
      </c>
      <c r="D19" s="47"/>
      <c r="E19" s="48">
        <f t="shared" si="2"/>
        <v>0</v>
      </c>
    </row>
    <row r="20" spans="1:5" ht="15.6" x14ac:dyDescent="0.3">
      <c r="A20" s="44" t="s">
        <v>173</v>
      </c>
      <c r="B20" s="45"/>
      <c r="C20" s="46">
        <f t="shared" si="1"/>
        <v>0</v>
      </c>
      <c r="D20" s="47"/>
      <c r="E20" s="48">
        <f t="shared" si="2"/>
        <v>0</v>
      </c>
    </row>
    <row r="21" spans="1:5" ht="15.6" x14ac:dyDescent="0.3">
      <c r="A21" s="53" t="s">
        <v>174</v>
      </c>
      <c r="B21" s="54"/>
      <c r="C21" s="8">
        <f t="shared" si="1"/>
        <v>0</v>
      </c>
      <c r="D21" s="4"/>
      <c r="E21" s="55">
        <f t="shared" si="2"/>
        <v>0</v>
      </c>
    </row>
    <row r="22" spans="1:5" ht="15.6" x14ac:dyDescent="0.3">
      <c r="A22" s="53" t="s">
        <v>175</v>
      </c>
      <c r="B22" s="56"/>
      <c r="C22" s="8">
        <f t="shared" si="1"/>
        <v>0</v>
      </c>
      <c r="D22" s="4"/>
      <c r="E22" s="55">
        <f t="shared" si="2"/>
        <v>0</v>
      </c>
    </row>
    <row r="23" spans="1:5" ht="15.6" x14ac:dyDescent="0.3">
      <c r="A23" s="53" t="s">
        <v>176</v>
      </c>
      <c r="B23" s="56"/>
      <c r="C23" s="8">
        <f t="shared" si="1"/>
        <v>0</v>
      </c>
      <c r="D23" s="4"/>
      <c r="E23" s="55">
        <f t="shared" si="2"/>
        <v>0</v>
      </c>
    </row>
    <row r="24" spans="1:5" ht="15.6" x14ac:dyDescent="0.3">
      <c r="A24" s="53" t="s">
        <v>176</v>
      </c>
      <c r="B24" s="56"/>
      <c r="C24" s="8">
        <f t="shared" si="1"/>
        <v>0</v>
      </c>
      <c r="D24" s="4"/>
      <c r="E24" s="55">
        <f t="shared" si="2"/>
        <v>0</v>
      </c>
    </row>
    <row r="25" spans="1:5" ht="15.6" x14ac:dyDescent="0.3">
      <c r="A25" s="53" t="s">
        <v>177</v>
      </c>
      <c r="B25" s="56"/>
      <c r="C25" s="8">
        <f t="shared" si="1"/>
        <v>0</v>
      </c>
      <c r="D25" s="4"/>
      <c r="E25" s="55">
        <f t="shared" si="2"/>
        <v>0</v>
      </c>
    </row>
    <row r="26" spans="1:5" ht="15.6" x14ac:dyDescent="0.3">
      <c r="A26" s="53" t="s">
        <v>178</v>
      </c>
      <c r="B26" s="56"/>
      <c r="C26" s="8">
        <f t="shared" si="1"/>
        <v>0</v>
      </c>
      <c r="D26" s="4"/>
      <c r="E26" s="55">
        <f t="shared" si="2"/>
        <v>0</v>
      </c>
    </row>
    <row r="27" spans="1:5" ht="31.2" x14ac:dyDescent="0.3">
      <c r="A27" s="49" t="s">
        <v>179</v>
      </c>
      <c r="B27" s="51"/>
      <c r="C27" s="46">
        <f t="shared" si="1"/>
        <v>0</v>
      </c>
      <c r="D27" s="4"/>
      <c r="E27" s="48">
        <f>D27/10000000</f>
        <v>0</v>
      </c>
    </row>
    <row r="28" spans="1:5" ht="15.6" x14ac:dyDescent="0.3">
      <c r="A28" s="53" t="s">
        <v>180</v>
      </c>
      <c r="B28" s="57"/>
      <c r="C28" s="8"/>
      <c r="D28" s="4"/>
      <c r="E28" s="55"/>
    </row>
    <row r="29" spans="1:5" ht="31.2" x14ac:dyDescent="0.3">
      <c r="A29" s="37" t="s">
        <v>181</v>
      </c>
      <c r="B29" s="37"/>
      <c r="C29" s="38"/>
      <c r="D29" s="37"/>
      <c r="E29" s="38"/>
    </row>
    <row r="35" spans="1:5" x14ac:dyDescent="0.3">
      <c r="B35" t="s">
        <v>43</v>
      </c>
      <c r="D35" t="s">
        <v>44</v>
      </c>
    </row>
    <row r="36" spans="1:5" x14ac:dyDescent="0.3">
      <c r="A36" t="s">
        <v>45</v>
      </c>
      <c r="C36" t="s">
        <v>46</v>
      </c>
      <c r="E36" t="s">
        <v>46</v>
      </c>
    </row>
    <row r="37" spans="1:5" ht="16.2" customHeight="1" x14ac:dyDescent="0.3">
      <c r="A37" t="s">
        <v>47</v>
      </c>
    </row>
    <row r="38" spans="1:5" x14ac:dyDescent="0.3">
      <c r="A38" t="s">
        <v>48</v>
      </c>
    </row>
    <row r="39" spans="1:5" x14ac:dyDescent="0.3">
      <c r="A39" t="s">
        <v>49</v>
      </c>
    </row>
    <row r="40" spans="1:5" x14ac:dyDescent="0.3">
      <c r="A40" t="s">
        <v>50</v>
      </c>
    </row>
    <row r="41" spans="1:5" x14ac:dyDescent="0.3">
      <c r="A41" t="s">
        <v>51</v>
      </c>
    </row>
    <row r="42" spans="1:5" x14ac:dyDescent="0.3">
      <c r="A42" t="s">
        <v>52</v>
      </c>
    </row>
    <row r="43" spans="1:5" x14ac:dyDescent="0.3">
      <c r="A43" t="s">
        <v>53</v>
      </c>
    </row>
    <row r="44" spans="1:5" x14ac:dyDescent="0.3">
      <c r="A44" t="s">
        <v>54</v>
      </c>
    </row>
    <row r="45" spans="1:5" x14ac:dyDescent="0.3">
      <c r="A45" t="s">
        <v>55</v>
      </c>
    </row>
    <row r="46" spans="1:5" x14ac:dyDescent="0.3">
      <c r="A46" t="s">
        <v>56</v>
      </c>
    </row>
    <row r="47" spans="1:5" x14ac:dyDescent="0.3">
      <c r="A47" t="s">
        <v>57</v>
      </c>
    </row>
    <row r="48" spans="1:5" x14ac:dyDescent="0.3">
      <c r="A48" t="s">
        <v>58</v>
      </c>
    </row>
    <row r="49" spans="1:5" x14ac:dyDescent="0.3">
      <c r="A49" t="s">
        <v>59</v>
      </c>
      <c r="C49" t="s">
        <v>60</v>
      </c>
      <c r="E49" t="s">
        <v>60</v>
      </c>
    </row>
    <row r="50" spans="1:5" x14ac:dyDescent="0.3">
      <c r="A50" t="s">
        <v>61</v>
      </c>
      <c r="C50" t="s">
        <v>60</v>
      </c>
      <c r="E50" t="s">
        <v>60</v>
      </c>
    </row>
    <row r="51" spans="1:5" ht="15.6" customHeight="1" x14ac:dyDescent="0.3">
      <c r="A51" t="s">
        <v>62</v>
      </c>
    </row>
    <row r="52" spans="1:5" x14ac:dyDescent="0.3">
      <c r="A52" t="s">
        <v>63</v>
      </c>
    </row>
    <row r="53" spans="1:5" x14ac:dyDescent="0.3">
      <c r="A53" t="s">
        <v>64</v>
      </c>
    </row>
    <row r="54" spans="1:5" x14ac:dyDescent="0.3">
      <c r="A54" t="s">
        <v>65</v>
      </c>
    </row>
    <row r="55" spans="1:5" x14ac:dyDescent="0.3">
      <c r="A55" t="s">
        <v>66</v>
      </c>
    </row>
    <row r="56" spans="1:5" ht="15.6" customHeight="1" x14ac:dyDescent="0.3">
      <c r="A56" t="s">
        <v>67</v>
      </c>
    </row>
    <row r="57" spans="1:5" x14ac:dyDescent="0.3">
      <c r="A57" t="s">
        <v>68</v>
      </c>
      <c r="C57" t="s">
        <v>69</v>
      </c>
      <c r="E57" t="s">
        <v>69</v>
      </c>
    </row>
    <row r="58" spans="1:5" x14ac:dyDescent="0.3">
      <c r="A58" t="s">
        <v>70</v>
      </c>
      <c r="C58" t="s">
        <v>69</v>
      </c>
      <c r="E58" t="s">
        <v>69</v>
      </c>
    </row>
    <row r="59" spans="1:5" x14ac:dyDescent="0.3">
      <c r="A59" t="s">
        <v>71</v>
      </c>
      <c r="C59" t="s">
        <v>69</v>
      </c>
      <c r="E59" t="s">
        <v>69</v>
      </c>
    </row>
    <row r="60" spans="1:5" x14ac:dyDescent="0.3">
      <c r="A60" t="s">
        <v>72</v>
      </c>
    </row>
    <row r="61" spans="1:5" x14ac:dyDescent="0.3">
      <c r="A61" t="s">
        <v>73</v>
      </c>
    </row>
  </sheetData>
  <mergeCells count="2">
    <mergeCell ref="B3:C3"/>
    <mergeCell ref="D3:E3"/>
  </mergeCells>
  <dataValidations count="2">
    <dataValidation type="list" allowBlank="1" showInputMessage="1" showErrorMessage="1" sqref="B28" xr:uid="{EC25BFF7-A12E-4DDB-BFAD-D0F22453AC12}">
      <formula1>$I$8:$I$10</formula1>
    </dataValidation>
    <dataValidation type="list" allowBlank="1" showInputMessage="1" showErrorMessage="1" sqref="B29" xr:uid="{2A1E32FF-253E-4A51-AF04-B5FF416C34A0}">
      <formula1>$I$6:$I$7</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D6D27-6F3C-4660-955D-49F46C47FCF2}">
  <dimension ref="A1:F31"/>
  <sheetViews>
    <sheetView workbookViewId="0">
      <selection activeCell="E3" sqref="E3:E31"/>
    </sheetView>
  </sheetViews>
  <sheetFormatPr defaultRowHeight="14.4" x14ac:dyDescent="0.3"/>
  <cols>
    <col min="2" max="2" width="35.33203125" bestFit="1" customWidth="1"/>
    <col min="3" max="3" width="26.5546875" bestFit="1" customWidth="1"/>
    <col min="4" max="4" width="41" customWidth="1"/>
    <col min="5" max="5" width="35.109375" customWidth="1"/>
    <col min="6" max="6" width="22.33203125" customWidth="1"/>
  </cols>
  <sheetData>
    <row r="1" spans="1:6" x14ac:dyDescent="0.3">
      <c r="B1" s="32"/>
      <c r="C1" s="32" t="s">
        <v>43</v>
      </c>
      <c r="D1" s="32"/>
      <c r="E1" s="32" t="s">
        <v>74</v>
      </c>
      <c r="F1" s="32"/>
    </row>
    <row r="2" spans="1:6" x14ac:dyDescent="0.3">
      <c r="B2" s="32" t="s">
        <v>45</v>
      </c>
      <c r="C2" s="32" t="s">
        <v>75</v>
      </c>
      <c r="D2" s="32" t="s">
        <v>46</v>
      </c>
      <c r="E2" s="32" t="s">
        <v>75</v>
      </c>
      <c r="F2" s="32" t="s">
        <v>46</v>
      </c>
    </row>
    <row r="3" spans="1:6" x14ac:dyDescent="0.3">
      <c r="A3">
        <v>1</v>
      </c>
      <c r="B3" t="s">
        <v>47</v>
      </c>
    </row>
    <row r="4" spans="1:6" x14ac:dyDescent="0.3">
      <c r="A4">
        <v>2</v>
      </c>
      <c r="B4" t="s">
        <v>48</v>
      </c>
    </row>
    <row r="5" spans="1:6" x14ac:dyDescent="0.3">
      <c r="A5">
        <v>3</v>
      </c>
      <c r="B5" t="s">
        <v>49</v>
      </c>
    </row>
    <row r="6" spans="1:6" x14ac:dyDescent="0.3">
      <c r="A6">
        <v>4</v>
      </c>
      <c r="B6" t="s">
        <v>51</v>
      </c>
    </row>
    <row r="7" spans="1:6" x14ac:dyDescent="0.3">
      <c r="A7">
        <v>5</v>
      </c>
      <c r="B7" t="s">
        <v>52</v>
      </c>
    </row>
    <row r="8" spans="1:6" x14ac:dyDescent="0.3">
      <c r="A8">
        <v>6</v>
      </c>
      <c r="B8" t="s">
        <v>53</v>
      </c>
    </row>
    <row r="9" spans="1:6" x14ac:dyDescent="0.3">
      <c r="A9">
        <v>7</v>
      </c>
      <c r="B9" t="s">
        <v>54</v>
      </c>
    </row>
    <row r="10" spans="1:6" x14ac:dyDescent="0.3">
      <c r="A10">
        <v>8</v>
      </c>
      <c r="B10" t="s">
        <v>55</v>
      </c>
    </row>
    <row r="11" spans="1:6" x14ac:dyDescent="0.3">
      <c r="A11">
        <v>9</v>
      </c>
      <c r="B11" t="s">
        <v>76</v>
      </c>
    </row>
    <row r="12" spans="1:6" x14ac:dyDescent="0.3">
      <c r="A12">
        <v>10</v>
      </c>
      <c r="B12" t="s">
        <v>57</v>
      </c>
    </row>
    <row r="13" spans="1:6" x14ac:dyDescent="0.3">
      <c r="A13">
        <v>11</v>
      </c>
      <c r="B13" t="s">
        <v>58</v>
      </c>
    </row>
    <row r="14" spans="1:6" s="33" customFormat="1" ht="57.6" x14ac:dyDescent="0.3">
      <c r="A14" s="33">
        <v>12</v>
      </c>
      <c r="B14" s="33" t="s">
        <v>59</v>
      </c>
      <c r="D14" s="33" t="s">
        <v>60</v>
      </c>
      <c r="F14" s="33" t="s">
        <v>60</v>
      </c>
    </row>
    <row r="15" spans="1:6" x14ac:dyDescent="0.3">
      <c r="A15">
        <v>13</v>
      </c>
      <c r="B15" t="s">
        <v>62</v>
      </c>
    </row>
    <row r="16" spans="1:6" x14ac:dyDescent="0.3">
      <c r="A16">
        <v>14</v>
      </c>
      <c r="B16" t="s">
        <v>63</v>
      </c>
    </row>
    <row r="17" spans="1:4" x14ac:dyDescent="0.3">
      <c r="A17">
        <v>15</v>
      </c>
      <c r="B17" t="s">
        <v>64</v>
      </c>
    </row>
    <row r="18" spans="1:4" x14ac:dyDescent="0.3">
      <c r="A18">
        <v>16</v>
      </c>
      <c r="B18" t="s">
        <v>65</v>
      </c>
    </row>
    <row r="19" spans="1:4" x14ac:dyDescent="0.3">
      <c r="A19">
        <v>17</v>
      </c>
      <c r="B19" t="s">
        <v>66</v>
      </c>
    </row>
    <row r="20" spans="1:4" x14ac:dyDescent="0.3">
      <c r="A20">
        <v>18</v>
      </c>
      <c r="B20" t="s">
        <v>67</v>
      </c>
    </row>
    <row r="21" spans="1:4" x14ac:dyDescent="0.3">
      <c r="A21">
        <v>19</v>
      </c>
      <c r="B21" t="s">
        <v>68</v>
      </c>
      <c r="D21" t="s">
        <v>69</v>
      </c>
    </row>
    <row r="22" spans="1:4" x14ac:dyDescent="0.3">
      <c r="A22">
        <v>20</v>
      </c>
      <c r="B22" t="s">
        <v>70</v>
      </c>
      <c r="D22" t="s">
        <v>69</v>
      </c>
    </row>
    <row r="23" spans="1:4" x14ac:dyDescent="0.3">
      <c r="A23">
        <v>21</v>
      </c>
      <c r="B23" t="s">
        <v>71</v>
      </c>
      <c r="D23" t="s">
        <v>69</v>
      </c>
    </row>
    <row r="24" spans="1:4" x14ac:dyDescent="0.3">
      <c r="A24">
        <v>22</v>
      </c>
      <c r="B24" t="s">
        <v>72</v>
      </c>
    </row>
    <row r="25" spans="1:4" x14ac:dyDescent="0.3">
      <c r="A25">
        <v>23</v>
      </c>
      <c r="B25" t="s">
        <v>73</v>
      </c>
    </row>
    <row r="26" spans="1:4" x14ac:dyDescent="0.3">
      <c r="A26">
        <v>24</v>
      </c>
      <c r="B26" t="s">
        <v>77</v>
      </c>
    </row>
    <row r="27" spans="1:4" x14ac:dyDescent="0.3">
      <c r="A27">
        <v>25</v>
      </c>
      <c r="B27" t="s">
        <v>78</v>
      </c>
    </row>
    <row r="28" spans="1:4" x14ac:dyDescent="0.3">
      <c r="A28">
        <v>26</v>
      </c>
      <c r="B28" t="s">
        <v>79</v>
      </c>
    </row>
    <row r="29" spans="1:4" x14ac:dyDescent="0.3">
      <c r="A29">
        <v>27</v>
      </c>
      <c r="B29" t="s">
        <v>80</v>
      </c>
    </row>
    <row r="30" spans="1:4" x14ac:dyDescent="0.3">
      <c r="A30">
        <v>28</v>
      </c>
      <c r="B30" t="s">
        <v>81</v>
      </c>
    </row>
    <row r="31" spans="1:4" x14ac:dyDescent="0.3">
      <c r="A31">
        <v>29</v>
      </c>
      <c r="B31" t="s">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28B66-0713-4414-972D-18A97289BE1F}">
  <dimension ref="B2:G54"/>
  <sheetViews>
    <sheetView zoomScale="81" zoomScaleNormal="165" workbookViewId="0">
      <selection activeCell="D11" sqref="D11"/>
    </sheetView>
  </sheetViews>
  <sheetFormatPr defaultRowHeight="14.4" x14ac:dyDescent="0.3"/>
  <cols>
    <col min="2" max="2" width="53.6640625" customWidth="1"/>
    <col min="3" max="3" width="50.6640625" bestFit="1" customWidth="1"/>
    <col min="4" max="4" width="38" customWidth="1"/>
    <col min="5" max="5" width="18" customWidth="1"/>
    <col min="6" max="6" width="11.5546875" customWidth="1"/>
    <col min="7" max="7" width="18" customWidth="1"/>
  </cols>
  <sheetData>
    <row r="2" spans="2:7" x14ac:dyDescent="0.3">
      <c r="B2" s="11" t="s">
        <v>83</v>
      </c>
      <c r="C2" s="12" t="s">
        <v>84</v>
      </c>
    </row>
    <row r="4" spans="2:7" ht="46.8" x14ac:dyDescent="0.3">
      <c r="B4" s="13" t="s">
        <v>85</v>
      </c>
      <c r="C4" s="14"/>
      <c r="D4" s="15" t="s">
        <v>86</v>
      </c>
      <c r="E4" s="14"/>
      <c r="F4" s="14"/>
      <c r="G4" s="14"/>
    </row>
    <row r="5" spans="2:7" ht="15.6" x14ac:dyDescent="0.3">
      <c r="B5" s="13" t="s">
        <v>87</v>
      </c>
      <c r="C5" s="14"/>
      <c r="D5" s="14"/>
      <c r="E5" s="14"/>
      <c r="F5" s="14"/>
      <c r="G5" s="14"/>
    </row>
    <row r="6" spans="2:7" ht="15.6" x14ac:dyDescent="0.3">
      <c r="B6" s="13" t="s">
        <v>88</v>
      </c>
      <c r="C6" s="16"/>
      <c r="D6" s="14"/>
      <c r="E6" s="14"/>
      <c r="F6" s="14"/>
      <c r="G6" s="14"/>
    </row>
    <row r="7" spans="2:7" ht="15.6" x14ac:dyDescent="0.3">
      <c r="B7" s="13" t="s">
        <v>89</v>
      </c>
      <c r="C7" s="16"/>
      <c r="D7" s="14"/>
      <c r="E7" s="14"/>
      <c r="F7" s="14"/>
      <c r="G7" s="14"/>
    </row>
    <row r="8" spans="2:7" ht="15.6" x14ac:dyDescent="0.3">
      <c r="B8" s="34" t="s">
        <v>90</v>
      </c>
      <c r="C8" s="34"/>
      <c r="D8" s="34"/>
      <c r="E8" s="34"/>
      <c r="F8" s="34"/>
      <c r="G8" s="34"/>
    </row>
    <row r="9" spans="2:7" ht="62.4" x14ac:dyDescent="0.3">
      <c r="B9" s="17" t="s">
        <v>91</v>
      </c>
      <c r="C9" s="17" t="s">
        <v>92</v>
      </c>
      <c r="D9" s="17" t="s">
        <v>93</v>
      </c>
      <c r="E9" s="17" t="s">
        <v>94</v>
      </c>
      <c r="F9" s="17" t="s">
        <v>95</v>
      </c>
      <c r="G9" s="17" t="s">
        <v>96</v>
      </c>
    </row>
    <row r="10" spans="2:7" ht="15.6" x14ac:dyDescent="0.3">
      <c r="B10" s="6"/>
      <c r="C10" s="6"/>
      <c r="D10" s="7"/>
      <c r="E10" s="7"/>
      <c r="F10" s="7"/>
      <c r="G10" s="7"/>
    </row>
    <row r="11" spans="2:7" ht="15.6" x14ac:dyDescent="0.3">
      <c r="B11" s="6" t="s">
        <v>97</v>
      </c>
      <c r="C11" s="6" t="s">
        <v>98</v>
      </c>
      <c r="D11" s="7" t="s">
        <v>99</v>
      </c>
      <c r="E11" s="18">
        <f>+C6</f>
        <v>0</v>
      </c>
      <c r="F11" s="19"/>
      <c r="G11" s="7"/>
    </row>
    <row r="12" spans="2:7" ht="31.2" x14ac:dyDescent="0.3">
      <c r="B12" s="6" t="s">
        <v>100</v>
      </c>
      <c r="C12" s="6" t="s">
        <v>98</v>
      </c>
      <c r="D12" s="7"/>
      <c r="E12" s="18">
        <f>+C6</f>
        <v>0</v>
      </c>
      <c r="F12" s="7"/>
      <c r="G12" s="7"/>
    </row>
    <row r="13" spans="2:7" ht="15.6" x14ac:dyDescent="0.3">
      <c r="B13" s="6" t="s">
        <v>101</v>
      </c>
      <c r="C13" s="6" t="s">
        <v>102</v>
      </c>
      <c r="D13" s="7"/>
      <c r="E13" s="18">
        <f>+C7</f>
        <v>0</v>
      </c>
      <c r="F13" s="7"/>
      <c r="G13" s="7"/>
    </row>
    <row r="14" spans="2:7" ht="15.6" x14ac:dyDescent="0.3">
      <c r="B14" s="6" t="s">
        <v>103</v>
      </c>
      <c r="C14" s="6" t="s">
        <v>102</v>
      </c>
      <c r="D14" s="7"/>
      <c r="E14" s="18">
        <f>+C7</f>
        <v>0</v>
      </c>
      <c r="F14" s="7"/>
      <c r="G14" s="7"/>
    </row>
    <row r="15" spans="2:7" ht="15.6" x14ac:dyDescent="0.3">
      <c r="B15" s="6" t="s">
        <v>104</v>
      </c>
      <c r="C15" s="6" t="s">
        <v>102</v>
      </c>
      <c r="D15" s="7"/>
      <c r="E15" s="18">
        <f>+C7</f>
        <v>0</v>
      </c>
      <c r="F15" s="7"/>
      <c r="G15" s="7"/>
    </row>
    <row r="16" spans="2:7" ht="15.6" x14ac:dyDescent="0.3">
      <c r="B16" s="6" t="s">
        <v>105</v>
      </c>
      <c r="C16" s="6" t="s">
        <v>106</v>
      </c>
      <c r="D16" s="7"/>
      <c r="E16" s="20">
        <f>+C6</f>
        <v>0</v>
      </c>
      <c r="F16" s="20"/>
      <c r="G16" s="6"/>
    </row>
    <row r="17" spans="2:7" ht="15.6" x14ac:dyDescent="0.3">
      <c r="B17" s="6" t="s">
        <v>107</v>
      </c>
      <c r="C17" s="6" t="s">
        <v>106</v>
      </c>
      <c r="D17" s="7"/>
      <c r="E17" s="18">
        <f>+C6</f>
        <v>0</v>
      </c>
      <c r="F17" s="7"/>
      <c r="G17" s="7"/>
    </row>
    <row r="18" spans="2:7" ht="15.6" x14ac:dyDescent="0.3">
      <c r="B18" s="6" t="s">
        <v>108</v>
      </c>
      <c r="C18" s="6" t="s">
        <v>106</v>
      </c>
      <c r="D18" s="7"/>
      <c r="E18" s="18">
        <f>+E15</f>
        <v>0</v>
      </c>
      <c r="F18" s="7"/>
      <c r="G18" s="7"/>
    </row>
    <row r="19" spans="2:7" ht="28.2" x14ac:dyDescent="0.3">
      <c r="B19" s="21" t="s">
        <v>109</v>
      </c>
      <c r="C19" s="21" t="s">
        <v>110</v>
      </c>
      <c r="D19" s="7"/>
      <c r="E19" s="22"/>
      <c r="F19" s="7"/>
      <c r="G19" s="7"/>
    </row>
    <row r="20" spans="2:7" ht="28.2" x14ac:dyDescent="0.3">
      <c r="B20" s="21" t="s">
        <v>111</v>
      </c>
      <c r="C20" s="21" t="s">
        <v>112</v>
      </c>
      <c r="D20" s="7"/>
      <c r="E20" s="22"/>
      <c r="F20" s="7"/>
      <c r="G20" s="7"/>
    </row>
    <row r="24" spans="2:7" x14ac:dyDescent="0.3">
      <c r="B24" s="11" t="s">
        <v>113</v>
      </c>
      <c r="C24" s="12" t="s">
        <v>114</v>
      </c>
    </row>
    <row r="25" spans="2:7" ht="15.6" x14ac:dyDescent="0.3">
      <c r="B25" s="23" t="s">
        <v>115</v>
      </c>
      <c r="C25" s="24" t="s">
        <v>116</v>
      </c>
      <c r="D25" s="6" t="s">
        <v>117</v>
      </c>
      <c r="E25" s="17" t="s">
        <v>118</v>
      </c>
    </row>
    <row r="26" spans="2:7" ht="46.8" x14ac:dyDescent="0.3">
      <c r="B26" s="7" t="s">
        <v>119</v>
      </c>
      <c r="C26" s="6" t="s">
        <v>120</v>
      </c>
      <c r="D26" s="6"/>
      <c r="E26" s="6"/>
    </row>
    <row r="27" spans="2:7" ht="31.2" x14ac:dyDescent="0.3">
      <c r="B27" s="7" t="s">
        <v>121</v>
      </c>
      <c r="C27" s="6" t="s">
        <v>122</v>
      </c>
      <c r="D27" s="6"/>
      <c r="E27" s="6"/>
    </row>
    <row r="28" spans="2:7" ht="31.2" x14ac:dyDescent="0.3">
      <c r="B28" s="17" t="s">
        <v>123</v>
      </c>
      <c r="C28" s="17" t="s">
        <v>124</v>
      </c>
      <c r="D28" s="6"/>
      <c r="E28" s="17"/>
    </row>
    <row r="29" spans="2:7" ht="31.2" x14ac:dyDescent="0.3">
      <c r="B29" s="7"/>
      <c r="C29" s="6" t="s">
        <v>125</v>
      </c>
      <c r="D29" s="6"/>
      <c r="E29" s="6"/>
    </row>
    <row r="30" spans="2:7" ht="46.8" x14ac:dyDescent="0.3">
      <c r="B30" s="7"/>
      <c r="C30" s="6" t="s">
        <v>126</v>
      </c>
      <c r="D30" s="17"/>
      <c r="E30" s="6"/>
    </row>
    <row r="31" spans="2:7" ht="78" x14ac:dyDescent="0.3">
      <c r="B31" s="7"/>
      <c r="C31" s="25" t="s">
        <v>127</v>
      </c>
      <c r="D31" s="17"/>
      <c r="E31" s="6"/>
    </row>
    <row r="32" spans="2:7" ht="15.6" x14ac:dyDescent="0.3">
      <c r="B32" s="7"/>
      <c r="C32" s="35" t="s">
        <v>128</v>
      </c>
      <c r="D32" s="35"/>
      <c r="E32" s="35"/>
    </row>
    <row r="33" spans="2:5" ht="93.6" x14ac:dyDescent="0.3">
      <c r="B33" s="17" t="s">
        <v>129</v>
      </c>
      <c r="C33" s="31" t="s">
        <v>130</v>
      </c>
      <c r="D33" s="31"/>
      <c r="E33" s="31"/>
    </row>
    <row r="34" spans="2:5" ht="30.6" x14ac:dyDescent="0.3">
      <c r="B34" s="23" t="s">
        <v>131</v>
      </c>
      <c r="C34" s="26" t="s">
        <v>132</v>
      </c>
      <c r="D34" s="31"/>
      <c r="E34" s="31"/>
    </row>
    <row r="35" spans="2:5" ht="31.8" x14ac:dyDescent="0.3">
      <c r="B35" s="6"/>
      <c r="C35" s="27" t="s">
        <v>133</v>
      </c>
      <c r="D35" s="31"/>
      <c r="E35" s="31"/>
    </row>
    <row r="36" spans="2:5" ht="42" x14ac:dyDescent="0.3">
      <c r="B36" s="6"/>
      <c r="C36" s="27" t="s">
        <v>134</v>
      </c>
      <c r="D36" s="31"/>
      <c r="E36" s="31"/>
    </row>
    <row r="37" spans="2:5" ht="31.2" x14ac:dyDescent="0.3">
      <c r="B37" s="7"/>
      <c r="C37" s="31" t="s">
        <v>135</v>
      </c>
      <c r="D37" s="31"/>
      <c r="E37" s="31"/>
    </row>
    <row r="38" spans="2:5" ht="31.2" x14ac:dyDescent="0.3">
      <c r="B38" s="7"/>
      <c r="C38" s="6" t="s">
        <v>136</v>
      </c>
      <c r="D38" s="31"/>
      <c r="E38" s="31"/>
    </row>
    <row r="39" spans="2:5" ht="31.2" x14ac:dyDescent="0.3">
      <c r="B39" s="7"/>
      <c r="C39" s="6" t="s">
        <v>137</v>
      </c>
      <c r="D39" s="31"/>
      <c r="E39" s="31"/>
    </row>
    <row r="40" spans="2:5" ht="15.6" x14ac:dyDescent="0.3">
      <c r="B40" s="7"/>
      <c r="C40" s="31"/>
      <c r="D40" s="31"/>
      <c r="E40" s="31"/>
    </row>
    <row r="41" spans="2:5" ht="15.6" x14ac:dyDescent="0.3">
      <c r="B41" s="28" t="s">
        <v>138</v>
      </c>
      <c r="C41" s="31"/>
      <c r="D41" s="31"/>
      <c r="E41" s="31"/>
    </row>
    <row r="42" spans="2:5" ht="31.2" x14ac:dyDescent="0.3">
      <c r="B42" s="7"/>
      <c r="C42" s="31" t="s">
        <v>139</v>
      </c>
      <c r="D42" s="31"/>
      <c r="E42" s="31"/>
    </row>
    <row r="43" spans="2:5" ht="31.2" x14ac:dyDescent="0.3">
      <c r="B43" s="7"/>
      <c r="C43" s="29" t="s">
        <v>140</v>
      </c>
      <c r="D43" s="31"/>
      <c r="E43" s="31"/>
    </row>
    <row r="44" spans="2:5" ht="31.2" x14ac:dyDescent="0.3">
      <c r="B44" s="7"/>
      <c r="C44" s="29" t="s">
        <v>141</v>
      </c>
      <c r="D44" s="31"/>
      <c r="E44" s="31"/>
    </row>
    <row r="45" spans="2:5" ht="109.2" x14ac:dyDescent="0.3">
      <c r="B45" s="7"/>
      <c r="C45" s="29" t="s">
        <v>142</v>
      </c>
      <c r="D45" s="31"/>
      <c r="E45" s="31"/>
    </row>
    <row r="46" spans="2:5" ht="78" x14ac:dyDescent="0.3">
      <c r="B46" s="7"/>
      <c r="C46" s="31" t="s">
        <v>143</v>
      </c>
      <c r="D46" s="31"/>
      <c r="E46" s="31"/>
    </row>
    <row r="47" spans="2:5" ht="46.8" x14ac:dyDescent="0.3">
      <c r="B47" s="7"/>
      <c r="C47" s="29" t="s">
        <v>144</v>
      </c>
      <c r="D47" s="31"/>
      <c r="E47" s="31"/>
    </row>
    <row r="48" spans="2:5" ht="31.2" x14ac:dyDescent="0.3">
      <c r="B48" s="30" t="s">
        <v>121</v>
      </c>
      <c r="C48" s="6" t="s">
        <v>145</v>
      </c>
      <c r="D48" s="6"/>
      <c r="E48" s="6"/>
    </row>
    <row r="49" spans="2:5" ht="46.8" x14ac:dyDescent="0.3">
      <c r="B49" s="30" t="s">
        <v>146</v>
      </c>
      <c r="C49" s="6" t="s">
        <v>147</v>
      </c>
      <c r="D49" s="6"/>
      <c r="E49" s="6"/>
    </row>
    <row r="50" spans="2:5" ht="31.2" x14ac:dyDescent="0.3">
      <c r="B50" s="7"/>
      <c r="C50" s="6" t="s">
        <v>148</v>
      </c>
      <c r="D50" s="6"/>
      <c r="E50" s="6"/>
    </row>
    <row r="51" spans="2:5" ht="31.2" x14ac:dyDescent="0.3">
      <c r="B51" s="7"/>
      <c r="C51" s="6" t="s">
        <v>149</v>
      </c>
      <c r="D51" s="6"/>
      <c r="E51" s="6"/>
    </row>
    <row r="52" spans="2:5" ht="15.6" x14ac:dyDescent="0.3">
      <c r="B52" s="7"/>
      <c r="C52" s="6" t="s">
        <v>150</v>
      </c>
      <c r="D52" s="6"/>
      <c r="E52" s="6"/>
    </row>
    <row r="53" spans="2:5" ht="15.6" x14ac:dyDescent="0.3">
      <c r="B53" s="7"/>
      <c r="C53" s="6" t="s">
        <v>151</v>
      </c>
      <c r="D53" s="6"/>
      <c r="E53" s="6"/>
    </row>
    <row r="54" spans="2:5" ht="31.2" x14ac:dyDescent="0.3">
      <c r="B54" s="7"/>
      <c r="C54" s="6" t="s">
        <v>152</v>
      </c>
      <c r="D54" s="6"/>
      <c r="E54" s="6"/>
    </row>
  </sheetData>
  <mergeCells count="2">
    <mergeCell ref="B8:G8"/>
    <mergeCell ref="C32:E32"/>
  </mergeCells>
  <conditionalFormatting sqref="G11:G20">
    <cfRule type="containsText" dxfId="0" priority="1" operator="containsText" text="Yes">
      <formula>NOT(ISERROR(SEARCH("Yes",G11)))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Common Error</vt:lpstr>
      <vt:lpstr>Compliance sheet for private</vt:lpstr>
      <vt:lpstr>compliance sheet for public</vt:lpstr>
      <vt:lpstr>RPT and loans to Director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Akshayam Gayathri</dc:creator>
  <cp:keywords/>
  <dc:description/>
  <cp:lastModifiedBy>Akshayam Gayathri</cp:lastModifiedBy>
  <cp:revision/>
  <dcterms:created xsi:type="dcterms:W3CDTF">2026-06-29T06:38:59Z</dcterms:created>
  <dcterms:modified xsi:type="dcterms:W3CDTF">2026-08-03T07:26:33Z</dcterms:modified>
  <cp:category/>
  <cp:contentStatus/>
</cp:coreProperties>
</file>