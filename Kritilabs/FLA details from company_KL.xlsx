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551056DD-7CE7-42E2-96C5-0C4AEDD92A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tails" sheetId="1" r:id="rId1"/>
    <sheet name="OFBV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E5" i="1"/>
  <c r="E36" i="2"/>
  <c r="D36" i="2"/>
  <c r="E34" i="2"/>
  <c r="D34" i="2"/>
  <c r="D31" i="2"/>
  <c r="E29" i="2"/>
  <c r="E31" i="2" s="1"/>
  <c r="D29" i="2"/>
  <c r="E16" i="2" l="1"/>
  <c r="F16" i="2"/>
  <c r="G16" i="2"/>
  <c r="E10" i="2"/>
  <c r="E12" i="2" s="1"/>
  <c r="G8" i="2" l="1"/>
  <c r="F8" i="2"/>
  <c r="E8" i="2"/>
  <c r="G7" i="2"/>
  <c r="F7" i="2"/>
  <c r="E7" i="2"/>
  <c r="G19" i="2" l="1"/>
  <c r="F19" i="2"/>
  <c r="E19" i="2"/>
  <c r="D12" i="2"/>
  <c r="F11" i="2"/>
  <c r="F10" i="2"/>
</calcChain>
</file>

<file path=xl/sharedStrings.xml><?xml version="1.0" encoding="utf-8"?>
<sst xmlns="http://schemas.openxmlformats.org/spreadsheetml/2006/main" count="113" uniqueCount="74">
  <si>
    <t>S. No</t>
  </si>
  <si>
    <t>Particulars</t>
  </si>
  <si>
    <t>Details sought</t>
  </si>
  <si>
    <t>Remarks</t>
  </si>
  <si>
    <t>Whether the Company has Technical Foreign collaboration?*</t>
  </si>
  <si>
    <t>Yes or No.</t>
  </si>
  <si>
    <t xml:space="preserve">No. of employees on payroll (in actual) </t>
  </si>
  <si>
    <t>Sales</t>
  </si>
  <si>
    <t>Purchases</t>
  </si>
  <si>
    <t>Last year figures are 6009</t>
  </si>
  <si>
    <t>Please confirm if there are any exports. If yes, please provide he break-up</t>
  </si>
  <si>
    <t>Please confirm if there are any imports. If yes, please provide he break-up</t>
  </si>
  <si>
    <t>Other Investment (Outstanding liabilities with Foreign Unrelated Parties)</t>
  </si>
  <si>
    <t xml:space="preserve">Trade Credit </t>
  </si>
  <si>
    <t xml:space="preserve">Loans </t>
  </si>
  <si>
    <t xml:space="preserve">Currency &amp; Deposits </t>
  </si>
  <si>
    <t xml:space="preserve">Other receivable and payable accounts </t>
  </si>
  <si>
    <t>with foreign unrelated parties</t>
  </si>
  <si>
    <t>Please confirm if there are any transactions. If yes, please provide he break-up</t>
  </si>
  <si>
    <t>PBT</t>
  </si>
  <si>
    <t>PAT</t>
  </si>
  <si>
    <t>Dividend</t>
  </si>
  <si>
    <t>DDT</t>
  </si>
  <si>
    <t>other equity</t>
  </si>
  <si>
    <t>P&amp; L</t>
  </si>
  <si>
    <t>Valuation of Equity Capital using Own Fund Book Value (OFBV) Method</t>
  </si>
  <si>
    <t>a</t>
  </si>
  <si>
    <t>Equity share capital</t>
  </si>
  <si>
    <t>b</t>
  </si>
  <si>
    <t>Preference share capital</t>
  </si>
  <si>
    <t>c</t>
  </si>
  <si>
    <t>Total</t>
  </si>
  <si>
    <t>d</t>
  </si>
  <si>
    <t>Reserves &amp; surplus</t>
  </si>
  <si>
    <t>e</t>
  </si>
  <si>
    <t>Net worth</t>
  </si>
  <si>
    <t>f</t>
  </si>
  <si>
    <t>Equity held by NR</t>
  </si>
  <si>
    <t>g</t>
  </si>
  <si>
    <t>PS Held by NR</t>
  </si>
  <si>
    <t>h</t>
  </si>
  <si>
    <t>i</t>
  </si>
  <si>
    <t>ES &amp; PS Share %</t>
  </si>
  <si>
    <t>j</t>
  </si>
  <si>
    <t>FDI @ Market vlue</t>
  </si>
  <si>
    <t xml:space="preserve">Liabilities to Direct Investor </t>
  </si>
  <si>
    <t>Section II</t>
  </si>
  <si>
    <t>Company to confirm amount of Total liabilities to Direct Investor</t>
  </si>
  <si>
    <t>refer Workings sheet</t>
  </si>
  <si>
    <t>Amount modified. PCR's franchise Fee was also included here which has been now been removed</t>
  </si>
  <si>
    <t>Import</t>
  </si>
  <si>
    <t>End March PY</t>
  </si>
  <si>
    <t>End March FY</t>
  </si>
  <si>
    <t>Amount in Lakhs</t>
  </si>
  <si>
    <t>S No</t>
  </si>
  <si>
    <t>Month and Year of ODI made first time (by your company)</t>
  </si>
  <si>
    <t>Month and Year of FDI made first time (by your company)</t>
  </si>
  <si>
    <t>With Foreign Related Parties and/or Direct Investor holding less that 10%</t>
  </si>
  <si>
    <t xml:space="preserve">Claims on Direct Investor </t>
  </si>
  <si>
    <t>ODI</t>
  </si>
  <si>
    <t xml:space="preserve">Liabilities to Direct Investment Enterprise </t>
  </si>
  <si>
    <t>Claims on Direct Investment Enterprise (Reverse investment)</t>
  </si>
  <si>
    <t>Other Investment (Outstanding Claims with Foreign Unrelated Parties)</t>
  </si>
  <si>
    <t>From foreign unrelated parties</t>
  </si>
  <si>
    <t xml:space="preserve">Enter actual number of employees on payroll at the end of March FY </t>
  </si>
  <si>
    <t xml:space="preserve">current year </t>
  </si>
  <si>
    <t>previous yeasr</t>
  </si>
  <si>
    <t>Fill from previous year filed FLA</t>
  </si>
  <si>
    <t>No</t>
  </si>
  <si>
    <t>Yes</t>
  </si>
  <si>
    <t>Domestic Sales (Rs in lakhs)</t>
  </si>
  <si>
    <t>Export (Rs in lakhs)</t>
  </si>
  <si>
    <t>Domestic Purchases (Rs in lakhs)</t>
  </si>
  <si>
    <t>From foreign unrelated parties (Rs in 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</si>
</sst>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2"/>
      <color theme="1"/>
      <name val="Calibri"/>
      <family val="2"/>
      <scheme val="minor"/>
    </font>
    <font>
      <sz val="10"/>
      <color rgb="FF1D1D1C"/>
      <name val="Segoe U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164" fontId="0" fillId="0" borderId="0" xfId="1" applyFont="1"/>
    <xf numFmtId="164" fontId="0" fillId="0" borderId="0" xfId="0" applyNumberFormat="1"/>
    <xf numFmtId="165" fontId="3" fillId="0" borderId="2" xfId="1" applyNumberFormat="1" applyFont="1" applyFill="1" applyBorder="1"/>
    <xf numFmtId="14" fontId="1" fillId="0" borderId="0" xfId="0" applyNumberFormat="1" applyFont="1"/>
    <xf numFmtId="0" fontId="1" fillId="0" borderId="0" xfId="0" applyFont="1"/>
    <xf numFmtId="164" fontId="3" fillId="0" borderId="2" xfId="0" applyNumberFormat="1" applyFont="1" applyBorder="1"/>
    <xf numFmtId="0" fontId="0" fillId="0" borderId="1" xfId="0" applyBorder="1"/>
    <xf numFmtId="0" fontId="1" fillId="0" borderId="1" xfId="0" applyFont="1" applyBorder="1"/>
    <xf numFmtId="165" fontId="3" fillId="0" borderId="3" xfId="1" applyNumberFormat="1" applyFont="1" applyFill="1" applyBorder="1" applyProtection="1">
      <protection locked="0"/>
    </xf>
    <xf numFmtId="165" fontId="0" fillId="0" borderId="0" xfId="1" applyNumberFormat="1" applyFont="1"/>
    <xf numFmtId="0" fontId="5" fillId="0" borderId="0" xfId="0" applyFont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0" fillId="0" borderId="0" xfId="1" applyNumberFormat="1" applyFont="1" applyBorder="1"/>
    <xf numFmtId="164" fontId="0" fillId="0" borderId="0" xfId="1" applyFont="1" applyBorder="1"/>
    <xf numFmtId="0" fontId="1" fillId="0" borderId="0" xfId="0" applyFont="1" applyAlignment="1">
      <alignment wrapText="1"/>
    </xf>
    <xf numFmtId="4" fontId="1" fillId="0" borderId="0" xfId="0" applyNumberFormat="1" applyFont="1"/>
    <xf numFmtId="4" fontId="0" fillId="0" borderId="1" xfId="0" applyNumberFormat="1" applyBorder="1"/>
    <xf numFmtId="3" fontId="0" fillId="0" borderId="1" xfId="0" applyNumberFormat="1" applyBorder="1"/>
    <xf numFmtId="10" fontId="0" fillId="0" borderId="1" xfId="0" applyNumberFormat="1" applyBorder="1"/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5" fontId="7" fillId="0" borderId="1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7"/>
  <sheetViews>
    <sheetView tabSelected="1" topLeftCell="A2" workbookViewId="0">
      <selection activeCell="E8" sqref="E8"/>
    </sheetView>
  </sheetViews>
  <sheetFormatPr defaultColWidth="9.109375" defaultRowHeight="14.4" x14ac:dyDescent="0.3"/>
  <cols>
    <col min="1" max="1" width="9.109375" style="3"/>
    <col min="2" max="2" width="5.5546875" style="3" bestFit="1" customWidth="1"/>
    <col min="3" max="3" width="44" style="3" customWidth="1"/>
    <col min="4" max="4" width="39.33203125" style="3" customWidth="1"/>
    <col min="5" max="5" width="32.109375" style="3" customWidth="1"/>
    <col min="6" max="6" width="44.109375" style="3" customWidth="1"/>
    <col min="7" max="7" width="9.109375" style="3"/>
    <col min="8" max="8" width="28.6640625" style="3" hidden="1" customWidth="1"/>
    <col min="9" max="16384" width="9.109375" style="3"/>
  </cols>
  <sheetData>
    <row r="2" spans="2:8" ht="31.2" x14ac:dyDescent="0.3">
      <c r="B2" s="16" t="s">
        <v>0</v>
      </c>
      <c r="C2" s="16" t="s">
        <v>1</v>
      </c>
      <c r="D2" s="16" t="s">
        <v>2</v>
      </c>
      <c r="E2" s="16" t="s">
        <v>65</v>
      </c>
      <c r="F2" s="16" t="s">
        <v>66</v>
      </c>
      <c r="H2" s="2" t="s">
        <v>3</v>
      </c>
    </row>
    <row r="3" spans="2:8" ht="31.2" x14ac:dyDescent="0.3">
      <c r="B3" s="17">
        <v>1</v>
      </c>
      <c r="C3" s="17" t="s">
        <v>4</v>
      </c>
      <c r="D3" s="17" t="s">
        <v>5</v>
      </c>
      <c r="E3" s="33" t="s">
        <v>68</v>
      </c>
      <c r="F3" s="33" t="s">
        <v>68</v>
      </c>
      <c r="H3" s="1"/>
    </row>
    <row r="4" spans="2:8" ht="31.2" x14ac:dyDescent="0.3">
      <c r="B4" s="17">
        <v>2</v>
      </c>
      <c r="C4" s="17" t="s">
        <v>6</v>
      </c>
      <c r="D4" s="17" t="s">
        <v>64</v>
      </c>
      <c r="E4" s="33">
        <v>459</v>
      </c>
      <c r="F4" s="33">
        <v>462</v>
      </c>
      <c r="H4" s="1" t="s">
        <v>9</v>
      </c>
    </row>
    <row r="5" spans="2:8" ht="43.2" x14ac:dyDescent="0.3">
      <c r="B5" s="28">
        <v>3</v>
      </c>
      <c r="C5" s="28" t="s">
        <v>7</v>
      </c>
      <c r="D5" s="17" t="s">
        <v>70</v>
      </c>
      <c r="E5" s="33">
        <f>6709.15-E6</f>
        <v>6597.3099999999995</v>
      </c>
      <c r="F5" s="33">
        <v>5861.17</v>
      </c>
      <c r="H5" s="1" t="s">
        <v>10</v>
      </c>
    </row>
    <row r="6" spans="2:8" ht="15.6" x14ac:dyDescent="0.3">
      <c r="B6" s="28"/>
      <c r="C6" s="28"/>
      <c r="D6" s="17" t="s">
        <v>71</v>
      </c>
      <c r="E6" s="33">
        <v>111.84</v>
      </c>
      <c r="F6" s="33" t="s">
        <v>68</v>
      </c>
      <c r="H6" s="1"/>
    </row>
    <row r="7" spans="2:8" ht="43.2" x14ac:dyDescent="0.3">
      <c r="B7" s="28">
        <v>4</v>
      </c>
      <c r="C7" s="28" t="s">
        <v>8</v>
      </c>
      <c r="D7" s="17" t="s">
        <v>72</v>
      </c>
      <c r="E7" s="33">
        <f>1058.88-E8</f>
        <v>1035</v>
      </c>
      <c r="F7" s="33">
        <f>1096.03-F8</f>
        <v>1041.53</v>
      </c>
      <c r="H7" s="1" t="s">
        <v>11</v>
      </c>
    </row>
    <row r="8" spans="2:8" ht="15.6" x14ac:dyDescent="0.3">
      <c r="B8" s="28"/>
      <c r="C8" s="28"/>
      <c r="D8" s="17" t="s">
        <v>50</v>
      </c>
      <c r="E8" s="33">
        <v>23.88</v>
      </c>
      <c r="F8" s="33">
        <v>54.5</v>
      </c>
    </row>
    <row r="9" spans="2:8" ht="31.2" x14ac:dyDescent="0.3">
      <c r="B9" s="25">
        <v>5</v>
      </c>
      <c r="C9" s="15" t="s">
        <v>56</v>
      </c>
      <c r="D9" s="17" t="s">
        <v>67</v>
      </c>
      <c r="E9" s="17"/>
      <c r="F9" s="1"/>
    </row>
    <row r="10" spans="2:8" ht="31.2" x14ac:dyDescent="0.3">
      <c r="B10" s="17">
        <v>6</v>
      </c>
      <c r="C10" s="17" t="s">
        <v>45</v>
      </c>
      <c r="D10" s="17" t="s">
        <v>57</v>
      </c>
      <c r="E10" s="17" t="s">
        <v>68</v>
      </c>
      <c r="F10" s="17" t="s">
        <v>68</v>
      </c>
    </row>
    <row r="11" spans="2:8" ht="31.2" x14ac:dyDescent="0.3">
      <c r="B11" s="17">
        <v>7</v>
      </c>
      <c r="C11" s="17" t="s">
        <v>58</v>
      </c>
      <c r="D11" s="17" t="s">
        <v>57</v>
      </c>
      <c r="E11" s="17" t="s">
        <v>68</v>
      </c>
      <c r="F11" s="17" t="s">
        <v>68</v>
      </c>
    </row>
    <row r="12" spans="2:8" ht="13.8" customHeight="1" x14ac:dyDescent="0.3">
      <c r="B12" s="27" t="s">
        <v>12</v>
      </c>
      <c r="C12" s="27"/>
      <c r="D12" s="27"/>
      <c r="E12" s="27"/>
      <c r="F12" s="1"/>
    </row>
    <row r="13" spans="2:8" ht="15.6" x14ac:dyDescent="0.3">
      <c r="B13" s="17">
        <v>8</v>
      </c>
      <c r="C13" s="17" t="s">
        <v>13</v>
      </c>
      <c r="D13" s="17" t="s">
        <v>17</v>
      </c>
      <c r="E13" s="17" t="s">
        <v>68</v>
      </c>
      <c r="F13" s="17" t="s">
        <v>68</v>
      </c>
      <c r="H13" s="29" t="s">
        <v>18</v>
      </c>
    </row>
    <row r="14" spans="2:8" ht="15.6" x14ac:dyDescent="0.3">
      <c r="B14" s="17">
        <v>9</v>
      </c>
      <c r="C14" s="17" t="s">
        <v>14</v>
      </c>
      <c r="D14" s="17" t="s">
        <v>17</v>
      </c>
      <c r="E14" s="17"/>
      <c r="F14" s="1"/>
      <c r="H14" s="29"/>
    </row>
    <row r="15" spans="2:8" ht="15.6" x14ac:dyDescent="0.3">
      <c r="B15" s="17">
        <v>10</v>
      </c>
      <c r="C15" s="17" t="s">
        <v>15</v>
      </c>
      <c r="D15" s="17" t="s">
        <v>17</v>
      </c>
      <c r="E15" s="17" t="s">
        <v>68</v>
      </c>
      <c r="F15" s="17" t="s">
        <v>68</v>
      </c>
      <c r="H15" s="29"/>
    </row>
    <row r="16" spans="2:8" ht="27.75" customHeight="1" x14ac:dyDescent="0.3">
      <c r="B16" s="17">
        <v>11</v>
      </c>
      <c r="C16" s="17" t="s">
        <v>16</v>
      </c>
      <c r="D16" s="17" t="s">
        <v>17</v>
      </c>
      <c r="E16" s="17" t="s">
        <v>68</v>
      </c>
      <c r="F16" s="17" t="s">
        <v>68</v>
      </c>
      <c r="H16" s="29"/>
    </row>
    <row r="17" spans="2:6" ht="46.8" x14ac:dyDescent="0.3">
      <c r="B17" s="17">
        <v>12</v>
      </c>
      <c r="C17" s="17" t="s">
        <v>47</v>
      </c>
      <c r="D17" s="17" t="s">
        <v>48</v>
      </c>
      <c r="E17" s="17" t="s">
        <v>49</v>
      </c>
      <c r="F17" s="1"/>
    </row>
    <row r="18" spans="2:6" ht="15.6" x14ac:dyDescent="0.3">
      <c r="B18" s="27" t="s">
        <v>59</v>
      </c>
      <c r="C18" s="27"/>
      <c r="D18" s="27"/>
      <c r="E18" s="27"/>
      <c r="F18" s="1"/>
    </row>
    <row r="19" spans="2:6" ht="31.2" x14ac:dyDescent="0.3">
      <c r="B19" s="17">
        <v>14</v>
      </c>
      <c r="C19" s="15" t="s">
        <v>55</v>
      </c>
      <c r="D19" s="26" t="s">
        <v>67</v>
      </c>
      <c r="E19" s="1"/>
      <c r="F19" s="1"/>
    </row>
    <row r="20" spans="2:6" ht="31.2" x14ac:dyDescent="0.3">
      <c r="B20" s="17">
        <v>6</v>
      </c>
      <c r="C20" s="17" t="s">
        <v>60</v>
      </c>
      <c r="D20" s="17" t="s">
        <v>57</v>
      </c>
      <c r="E20" s="17"/>
      <c r="F20" s="1"/>
    </row>
    <row r="21" spans="2:6" ht="31.2" x14ac:dyDescent="0.3">
      <c r="B21" s="17">
        <v>7</v>
      </c>
      <c r="C21" s="17" t="s">
        <v>61</v>
      </c>
      <c r="D21" s="17" t="s">
        <v>57</v>
      </c>
      <c r="E21" s="17"/>
      <c r="F21" s="1"/>
    </row>
    <row r="22" spans="2:6" ht="15.6" customHeight="1" x14ac:dyDescent="0.3">
      <c r="B22" s="27" t="s">
        <v>62</v>
      </c>
      <c r="C22" s="28"/>
      <c r="D22" s="28"/>
      <c r="E22" s="28"/>
      <c r="F22" s="1"/>
    </row>
    <row r="23" spans="2:6" ht="15.6" x14ac:dyDescent="0.3">
      <c r="B23" s="17">
        <v>19</v>
      </c>
      <c r="C23" s="17" t="s">
        <v>13</v>
      </c>
      <c r="D23" s="17" t="s">
        <v>63</v>
      </c>
      <c r="E23" s="17" t="s">
        <v>68</v>
      </c>
      <c r="F23" s="17" t="s">
        <v>68</v>
      </c>
    </row>
    <row r="24" spans="2:6" ht="15.6" x14ac:dyDescent="0.3">
      <c r="B24" s="17">
        <v>20</v>
      </c>
      <c r="C24" s="17" t="s">
        <v>14</v>
      </c>
      <c r="D24" s="17" t="s">
        <v>63</v>
      </c>
      <c r="E24" s="26" t="s">
        <v>69</v>
      </c>
      <c r="F24" s="26" t="s">
        <v>69</v>
      </c>
    </row>
    <row r="25" spans="2:6" ht="15.6" x14ac:dyDescent="0.3">
      <c r="B25" s="17">
        <v>21</v>
      </c>
      <c r="C25" s="17" t="s">
        <v>15</v>
      </c>
      <c r="D25" s="17" t="s">
        <v>63</v>
      </c>
      <c r="E25" s="17" t="s">
        <v>68</v>
      </c>
      <c r="F25" s="17" t="s">
        <v>68</v>
      </c>
    </row>
    <row r="26" spans="2:6" ht="15.6" x14ac:dyDescent="0.3">
      <c r="B26" s="17">
        <v>22</v>
      </c>
      <c r="C26" s="17" t="s">
        <v>16</v>
      </c>
      <c r="D26" s="17" t="s">
        <v>63</v>
      </c>
      <c r="E26" s="17" t="s">
        <v>68</v>
      </c>
      <c r="F26" s="17" t="s">
        <v>68</v>
      </c>
    </row>
    <row r="27" spans="2:6" ht="31.2" x14ac:dyDescent="0.3">
      <c r="B27" s="17">
        <v>23</v>
      </c>
      <c r="C27" s="17" t="s">
        <v>47</v>
      </c>
      <c r="D27" s="17" t="s">
        <v>73</v>
      </c>
      <c r="E27" s="1">
        <v>7323</v>
      </c>
      <c r="F27" s="1">
        <v>7323</v>
      </c>
    </row>
  </sheetData>
  <mergeCells count="8">
    <mergeCell ref="B22:E22"/>
    <mergeCell ref="H13:H16"/>
    <mergeCell ref="C5:C6"/>
    <mergeCell ref="B5:B6"/>
    <mergeCell ref="C7:C8"/>
    <mergeCell ref="B7:B8"/>
    <mergeCell ref="B12:E12"/>
    <mergeCell ref="B18:E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42"/>
  <sheetViews>
    <sheetView zoomScale="115" zoomScaleNormal="115" workbookViewId="0">
      <selection activeCell="G28" sqref="G28"/>
    </sheetView>
  </sheetViews>
  <sheetFormatPr defaultRowHeight="14.4" x14ac:dyDescent="0.3"/>
  <cols>
    <col min="3" max="3" width="22.88671875" bestFit="1" customWidth="1"/>
    <col min="4" max="4" width="15.44140625" bestFit="1" customWidth="1"/>
    <col min="5" max="5" width="15.33203125" bestFit="1" customWidth="1"/>
    <col min="6" max="6" width="15.5546875" bestFit="1" customWidth="1"/>
    <col min="7" max="7" width="16.33203125" bestFit="1" customWidth="1"/>
  </cols>
  <sheetData>
    <row r="3" spans="4:7" hidden="1" x14ac:dyDescent="0.3">
      <c r="E3" s="7">
        <v>43555</v>
      </c>
      <c r="F3" s="7">
        <v>43921</v>
      </c>
      <c r="G3" s="7">
        <v>44286</v>
      </c>
    </row>
    <row r="4" spans="4:7" hidden="1" x14ac:dyDescent="0.3">
      <c r="D4" s="8" t="s">
        <v>19</v>
      </c>
      <c r="E4" s="13">
        <v>333817931</v>
      </c>
      <c r="F4" s="13">
        <v>274305934</v>
      </c>
      <c r="G4" s="12">
        <v>247594488</v>
      </c>
    </row>
    <row r="5" spans="4:7" hidden="1" x14ac:dyDescent="0.3">
      <c r="D5" s="8" t="s">
        <v>20</v>
      </c>
      <c r="E5" s="13">
        <v>228850016</v>
      </c>
      <c r="F5" s="13">
        <v>197281981</v>
      </c>
      <c r="G5" s="13">
        <v>186372450</v>
      </c>
    </row>
    <row r="6" spans="4:7" hidden="1" x14ac:dyDescent="0.3">
      <c r="D6" s="8"/>
    </row>
    <row r="7" spans="4:7" hidden="1" x14ac:dyDescent="0.3">
      <c r="D7" s="8" t="s">
        <v>19</v>
      </c>
      <c r="E7" s="5">
        <f t="shared" ref="E7:G8" si="0">+E4/100000</f>
        <v>3338.17931</v>
      </c>
      <c r="F7" s="5">
        <f t="shared" si="0"/>
        <v>2743.0593399999998</v>
      </c>
      <c r="G7" s="5">
        <f t="shared" si="0"/>
        <v>2475.94488</v>
      </c>
    </row>
    <row r="8" spans="4:7" hidden="1" x14ac:dyDescent="0.3">
      <c r="D8" s="8" t="s">
        <v>20</v>
      </c>
      <c r="E8" s="5">
        <f t="shared" si="0"/>
        <v>2288.5001600000001</v>
      </c>
      <c r="F8" s="5">
        <f t="shared" si="0"/>
        <v>1972.81981</v>
      </c>
      <c r="G8" s="5">
        <f t="shared" si="0"/>
        <v>1863.7245</v>
      </c>
    </row>
    <row r="9" spans="4:7" hidden="1" x14ac:dyDescent="0.3">
      <c r="D9" s="8"/>
    </row>
    <row r="10" spans="4:7" hidden="1" x14ac:dyDescent="0.3">
      <c r="D10" s="9" t="s">
        <v>21</v>
      </c>
      <c r="E10" s="13">
        <f>26664296</f>
        <v>26664296</v>
      </c>
      <c r="F10">
        <f>E10/100000</f>
        <v>266.64296000000002</v>
      </c>
    </row>
    <row r="11" spans="4:7" hidden="1" x14ac:dyDescent="0.3">
      <c r="D11" s="9" t="s">
        <v>22</v>
      </c>
      <c r="E11">
        <v>0</v>
      </c>
      <c r="F11">
        <f>E11/100000</f>
        <v>0</v>
      </c>
    </row>
    <row r="12" spans="4:7" hidden="1" x14ac:dyDescent="0.3">
      <c r="D12" s="6">
        <f>SUM(D10:D11)</f>
        <v>0</v>
      </c>
      <c r="E12" s="13">
        <f>+E10</f>
        <v>26664296</v>
      </c>
    </row>
    <row r="13" spans="4:7" hidden="1" x14ac:dyDescent="0.3">
      <c r="D13" s="8"/>
    </row>
    <row r="14" spans="4:7" hidden="1" x14ac:dyDescent="0.3">
      <c r="D14" s="8"/>
    </row>
    <row r="15" spans="4:7" hidden="1" x14ac:dyDescent="0.3">
      <c r="D15" s="8" t="s">
        <v>23</v>
      </c>
      <c r="E15" s="4">
        <v>749664158</v>
      </c>
      <c r="F15">
        <v>916982075</v>
      </c>
      <c r="G15" s="13">
        <v>1086740953</v>
      </c>
    </row>
    <row r="16" spans="4:7" hidden="1" x14ac:dyDescent="0.3">
      <c r="D16" s="8"/>
      <c r="E16">
        <f>+E15/100000</f>
        <v>7496.6415800000004</v>
      </c>
      <c r="F16" s="5">
        <f>+F15/100000</f>
        <v>9169.8207500000008</v>
      </c>
      <c r="G16" s="5">
        <f>+G15/100000</f>
        <v>10867.409530000001</v>
      </c>
    </row>
    <row r="17" spans="1:7" hidden="1" x14ac:dyDescent="0.3">
      <c r="D17" s="8"/>
    </row>
    <row r="18" spans="1:7" hidden="1" x14ac:dyDescent="0.3">
      <c r="D18" s="8" t="s">
        <v>24</v>
      </c>
      <c r="E18">
        <v>174525526.95076269</v>
      </c>
      <c r="F18">
        <v>231431042.89599273</v>
      </c>
      <c r="G18">
        <v>194906998</v>
      </c>
    </row>
    <row r="19" spans="1:7" hidden="1" x14ac:dyDescent="0.3">
      <c r="E19">
        <f>E18/100000</f>
        <v>1745.255269507627</v>
      </c>
      <c r="F19">
        <f>F18/100000</f>
        <v>2314.3104289599273</v>
      </c>
      <c r="G19">
        <f>G18/100000</f>
        <v>1949.06998</v>
      </c>
    </row>
    <row r="20" spans="1:7" hidden="1" x14ac:dyDescent="0.3"/>
    <row r="21" spans="1:7" ht="15.6" x14ac:dyDescent="0.3">
      <c r="A21" s="31" t="s">
        <v>46</v>
      </c>
      <c r="B21" s="31"/>
      <c r="C21" s="31"/>
    </row>
    <row r="22" spans="1:7" ht="16.5" customHeight="1" x14ac:dyDescent="0.3">
      <c r="A22" s="8">
        <v>2.1</v>
      </c>
      <c r="B22" s="30" t="s">
        <v>45</v>
      </c>
      <c r="C22" s="30"/>
    </row>
    <row r="23" spans="1:7" x14ac:dyDescent="0.3">
      <c r="B23" s="8" t="s">
        <v>25</v>
      </c>
    </row>
    <row r="25" spans="1:7" x14ac:dyDescent="0.3">
      <c r="B25" s="32" t="s">
        <v>54</v>
      </c>
      <c r="C25" s="32" t="s">
        <v>1</v>
      </c>
      <c r="D25" s="32" t="s">
        <v>53</v>
      </c>
      <c r="E25" s="32"/>
    </row>
    <row r="26" spans="1:7" x14ac:dyDescent="0.3">
      <c r="B26" s="32"/>
      <c r="C26" s="32"/>
      <c r="D26" s="11" t="s">
        <v>51</v>
      </c>
      <c r="E26" s="11" t="s">
        <v>52</v>
      </c>
    </row>
    <row r="27" spans="1:7" x14ac:dyDescent="0.3">
      <c r="B27" s="10" t="s">
        <v>26</v>
      </c>
      <c r="C27" s="10" t="s">
        <v>27</v>
      </c>
      <c r="D27" s="22"/>
      <c r="E27" s="22"/>
    </row>
    <row r="28" spans="1:7" x14ac:dyDescent="0.3">
      <c r="B28" s="10" t="s">
        <v>28</v>
      </c>
      <c r="C28" s="10" t="s">
        <v>29</v>
      </c>
      <c r="D28" s="10"/>
      <c r="E28" s="10"/>
    </row>
    <row r="29" spans="1:7" x14ac:dyDescent="0.3">
      <c r="B29" s="10" t="s">
        <v>30</v>
      </c>
      <c r="C29" s="10" t="s">
        <v>31</v>
      </c>
      <c r="D29" s="23">
        <f>SUM(D27:D28)</f>
        <v>0</v>
      </c>
      <c r="E29" s="23">
        <f>SUM(E27:E28)</f>
        <v>0</v>
      </c>
    </row>
    <row r="30" spans="1:7" x14ac:dyDescent="0.3">
      <c r="B30" s="10" t="s">
        <v>32</v>
      </c>
      <c r="C30" s="10" t="s">
        <v>33</v>
      </c>
      <c r="D30" s="23"/>
      <c r="E30" s="23"/>
    </row>
    <row r="31" spans="1:7" x14ac:dyDescent="0.3">
      <c r="B31" s="10" t="s">
        <v>34</v>
      </c>
      <c r="C31" s="10" t="s">
        <v>35</v>
      </c>
      <c r="D31" s="23">
        <f>SUM(D29:D30)</f>
        <v>0</v>
      </c>
      <c r="E31" s="23">
        <f>SUM(E29:E30)</f>
        <v>0</v>
      </c>
    </row>
    <row r="32" spans="1:7" x14ac:dyDescent="0.3">
      <c r="B32" s="10" t="s">
        <v>36</v>
      </c>
      <c r="C32" s="10" t="s">
        <v>37</v>
      </c>
      <c r="D32" s="22"/>
      <c r="E32" s="22"/>
    </row>
    <row r="33" spans="2:7" ht="14.4" customHeight="1" x14ac:dyDescent="0.35">
      <c r="B33" s="10" t="s">
        <v>38</v>
      </c>
      <c r="C33" s="10" t="s">
        <v>39</v>
      </c>
      <c r="D33" s="10"/>
      <c r="E33" s="10"/>
      <c r="G33" s="14"/>
    </row>
    <row r="34" spans="2:7" x14ac:dyDescent="0.3">
      <c r="B34" s="10" t="s">
        <v>40</v>
      </c>
      <c r="C34" s="10" t="s">
        <v>31</v>
      </c>
      <c r="D34" s="22">
        <f>SUM(D32:D33)</f>
        <v>0</v>
      </c>
      <c r="E34" s="22">
        <f>SUM(E32:E33)</f>
        <v>0</v>
      </c>
    </row>
    <row r="35" spans="2:7" x14ac:dyDescent="0.3">
      <c r="B35" s="10" t="s">
        <v>41</v>
      </c>
      <c r="C35" s="10" t="s">
        <v>42</v>
      </c>
      <c r="D35" s="24"/>
      <c r="E35" s="24"/>
    </row>
    <row r="36" spans="2:7" x14ac:dyDescent="0.3">
      <c r="B36" s="10" t="s">
        <v>43</v>
      </c>
      <c r="C36" s="10" t="s">
        <v>44</v>
      </c>
      <c r="D36" s="22">
        <f>D34*D35</f>
        <v>0</v>
      </c>
      <c r="E36" s="22">
        <f>E34*E35</f>
        <v>0</v>
      </c>
    </row>
    <row r="38" spans="2:7" x14ac:dyDescent="0.3">
      <c r="C38" s="8"/>
      <c r="D38" s="8"/>
      <c r="E38" s="8"/>
    </row>
    <row r="39" spans="2:7" x14ac:dyDescent="0.3">
      <c r="D39" s="18"/>
      <c r="E39" s="18"/>
    </row>
    <row r="40" spans="2:7" x14ac:dyDescent="0.3">
      <c r="D40" s="19"/>
      <c r="E40" s="19"/>
    </row>
    <row r="41" spans="2:7" x14ac:dyDescent="0.3">
      <c r="C41" s="20"/>
      <c r="D41" s="21"/>
      <c r="E41" s="21"/>
    </row>
    <row r="42" spans="2:7" x14ac:dyDescent="0.3">
      <c r="D42" s="19"/>
      <c r="E42" s="19"/>
    </row>
  </sheetData>
  <mergeCells count="5">
    <mergeCell ref="B22:C22"/>
    <mergeCell ref="A21:C21"/>
    <mergeCell ref="D25:E25"/>
    <mergeCell ref="C25:C26"/>
    <mergeCell ref="B25:B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OFBV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2026-07-08T11:59:02Z</dcterms:modified>
</cp:coreProperties>
</file>