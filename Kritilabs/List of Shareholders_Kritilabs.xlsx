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d6c9e8928e28eb49/process/Tech automation/sample data to arca/Kritilabs/"/>
    </mc:Choice>
  </mc:AlternateContent>
  <xr:revisionPtr revIDLastSave="69" documentId="13_ncr:1_{96A9F600-C7AA-485E-9701-0B9D40B14CE8}" xr6:coauthVersionLast="47" xr6:coauthVersionMax="47" xr10:uidLastSave="{9AAF8A37-A924-48D4-B613-EF51136AEB15}"/>
  <bookViews>
    <workbookView xWindow="-108" yWindow="-108" windowWidth="23256" windowHeight="12456" xr2:uid="{99B2F110-105B-4130-962A-1F30CE1F87C0}"/>
  </bookViews>
  <sheets>
    <sheet name="Sheet1" sheetId="1" r:id="rId1"/>
  </sheets>
  <definedNames>
    <definedName name="_xlnm._FilterDatabase" localSheetId="0" hidden="1">Sheet1!$A$1:$R$37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39" i="1" l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42" i="1" s="1"/>
  <c r="Q37" i="1"/>
  <c r="Q4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2" i="1"/>
  <c r="R37" i="1" l="1"/>
  <c r="R10" i="1"/>
  <c r="R18" i="1"/>
  <c r="R25" i="1"/>
  <c r="R26" i="1"/>
  <c r="R27" i="1"/>
  <c r="R28" i="1"/>
  <c r="R29" i="1"/>
  <c r="R30" i="1"/>
  <c r="R31" i="1"/>
  <c r="R32" i="1"/>
  <c r="R34" i="1"/>
  <c r="R35" i="1"/>
  <c r="R36" i="1"/>
  <c r="R42" i="1"/>
  <c r="R33" i="1"/>
  <c r="R3" i="1"/>
  <c r="R4" i="1"/>
  <c r="R5" i="1"/>
  <c r="R6" i="1"/>
  <c r="R7" i="1"/>
  <c r="R8" i="1"/>
  <c r="R9" i="1"/>
  <c r="R11" i="1"/>
  <c r="R12" i="1"/>
  <c r="R13" i="1"/>
  <c r="R14" i="1"/>
  <c r="R15" i="1"/>
  <c r="R16" i="1"/>
  <c r="R17" i="1"/>
  <c r="R19" i="1"/>
  <c r="R20" i="1"/>
  <c r="R21" i="1"/>
  <c r="R22" i="1"/>
  <c r="R23" i="1"/>
  <c r="R24" i="1"/>
  <c r="R2" i="1"/>
</calcChain>
</file>

<file path=xl/sharedStrings.xml><?xml version="1.0" encoding="utf-8"?>
<sst xmlns="http://schemas.openxmlformats.org/spreadsheetml/2006/main" count="451" uniqueCount="102">
  <si>
    <t xml:space="preserve">INDIVIDUAL </t>
  </si>
  <si>
    <t xml:space="preserve">PROMOTER </t>
  </si>
  <si>
    <t>Equity</t>
  </si>
  <si>
    <t>India</t>
  </si>
  <si>
    <t>Male</t>
  </si>
  <si>
    <t>PAN</t>
  </si>
  <si>
    <t>Business</t>
  </si>
  <si>
    <t>NON PROMOTER</t>
  </si>
  <si>
    <t>Debentures</t>
  </si>
  <si>
    <t>NA</t>
  </si>
  <si>
    <t>Sr. No.</t>
  </si>
  <si>
    <t>Type of shareholder/ debenture holder</t>
  </si>
  <si>
    <t>Category of shareholder</t>
  </si>
  <si>
    <t>Details of shareholder/ debenture holder</t>
  </si>
  <si>
    <t>Name of shareholder/ debenture holder</t>
  </si>
  <si>
    <t>Type of security held</t>
  </si>
  <si>
    <t>Class of security held</t>
  </si>
  <si>
    <t>Folio Number / Reference Number</t>
  </si>
  <si>
    <t>DP ID-Client Id-Account Number</t>
  </si>
  <si>
    <t>Nationality/ Country of incorporation</t>
  </si>
  <si>
    <t>Gender</t>
  </si>
  <si>
    <t>Type of Identifier</t>
  </si>
  <si>
    <t>Identification No.</t>
  </si>
  <si>
    <t>Occupation</t>
  </si>
  <si>
    <t>Number of security held</t>
  </si>
  <si>
    <t>Nominal value per security</t>
  </si>
  <si>
    <t>Total amount of securities held (in INR)</t>
  </si>
  <si>
    <t>Preference</t>
  </si>
  <si>
    <t>Mahesh N Iyer jointly Lalith M Iyer</t>
  </si>
  <si>
    <t>Jayalakshmi  Natarajan jointly with Natarajan</t>
  </si>
  <si>
    <t>Pontaq Nominees Limited</t>
  </si>
  <si>
    <t>Ankur agarwal jointly with Misha agarwal</t>
  </si>
  <si>
    <t>Ramachandran Subramanian jointly with Revathi subramanian</t>
  </si>
  <si>
    <t>Hari srinivasan jointy with Subha Srinivasan</t>
  </si>
  <si>
    <t>Ravi Kiran jointly with Latha Ganapathy</t>
  </si>
  <si>
    <t>Jayalakshmi Natarajan jointly with Mr. Roger Natarajan</t>
  </si>
  <si>
    <t>Kritilabs ESOP Trust</t>
  </si>
  <si>
    <t>Rajagopal jointly with Chandrika Shantaram</t>
  </si>
  <si>
    <t>Lalgudi Natarajan Rajaram</t>
  </si>
  <si>
    <t>Maroor Varadarajan Srikrishna</t>
  </si>
  <si>
    <t>Marur Krishnamurthy Suresh Kumar</t>
  </si>
  <si>
    <t>Sridhar Vutukuri</t>
  </si>
  <si>
    <t>Ramanadhan Shankar</t>
  </si>
  <si>
    <t>Vijayalakshmi Rao</t>
  </si>
  <si>
    <t>Venkatakrishnan R</t>
  </si>
  <si>
    <t>Subramanian Vijayalakshmi</t>
  </si>
  <si>
    <t>Rakesh K Hirani</t>
  </si>
  <si>
    <t>Kusum R Hirani</t>
  </si>
  <si>
    <t>Mahesh Ramachandran</t>
  </si>
  <si>
    <t>Vyjayanthi Sugavaneswaran</t>
  </si>
  <si>
    <t>Lalitha Rajaram</t>
  </si>
  <si>
    <t>Krishnan TV</t>
  </si>
  <si>
    <t>Sankaran S</t>
  </si>
  <si>
    <t>Sankara Venkataraman</t>
  </si>
  <si>
    <t>Mani Subramanian</t>
  </si>
  <si>
    <t>Raju Natarjan</t>
  </si>
  <si>
    <t>Ahsanul Akhtar</t>
  </si>
  <si>
    <t>Anbalagan P</t>
  </si>
  <si>
    <t>Kalpana S</t>
  </si>
  <si>
    <t>Subhrab Chakrabaty</t>
  </si>
  <si>
    <t>Venkatesan S</t>
  </si>
  <si>
    <t>Prasad DSL</t>
  </si>
  <si>
    <t>Shankaran Nair</t>
  </si>
  <si>
    <t>Rakesh Sehgal</t>
  </si>
  <si>
    <t>Female</t>
  </si>
  <si>
    <t>COMPANY</t>
  </si>
  <si>
    <t>TRUST</t>
  </si>
  <si>
    <t>Compulsorily Convertible Debenture</t>
  </si>
  <si>
    <t>Compulsorily Convertible Preference Shares</t>
  </si>
  <si>
    <t>AASPV5406D</t>
  </si>
  <si>
    <t>AEHPR2856L</t>
  </si>
  <si>
    <t>AAAPM5308F</t>
  </si>
  <si>
    <t>AABPS1677G</t>
  </si>
  <si>
    <t>ADBPS8866J</t>
  </si>
  <si>
    <t>APQPS7489N</t>
  </si>
  <si>
    <t>ACCPR4535M</t>
  </si>
  <si>
    <t>AAAPV4445N</t>
  </si>
  <si>
    <t>AABPR9635F</t>
  </si>
  <si>
    <t>AABPS6150Q</t>
  </si>
  <si>
    <t>AFSPK5316E</t>
  </si>
  <si>
    <t>ACRPC5360Q</t>
  </si>
  <si>
    <t>ABZPA8121C</t>
  </si>
  <si>
    <t>ACZPV8777G</t>
  </si>
  <si>
    <t>AEUPA3178H</t>
  </si>
  <si>
    <t>AAKPP1944Q</t>
  </si>
  <si>
    <t>AAETK9447R</t>
  </si>
  <si>
    <t>AAAPN9286D</t>
  </si>
  <si>
    <t>ALQPR8677P</t>
  </si>
  <si>
    <t>AAKPL6941R</t>
  </si>
  <si>
    <t>AEXPJ4585Q</t>
  </si>
  <si>
    <t>AENPR5642E</t>
  </si>
  <si>
    <t>ARPPK3882L</t>
  </si>
  <si>
    <t>Passport</t>
  </si>
  <si>
    <t>Other registration number</t>
  </si>
  <si>
    <t>GADL044657618</t>
  </si>
  <si>
    <t>SSN164407812</t>
  </si>
  <si>
    <t>SSN274823695</t>
  </si>
  <si>
    <t>D3062425</t>
  </si>
  <si>
    <t>Not Applicable</t>
  </si>
  <si>
    <t>Body Corporate (not mentioned above)</t>
  </si>
  <si>
    <t>United Kingdom</t>
  </si>
  <si>
    <t>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</si>
</sst>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-* #,##0.00_-;\-* #,##0.00_-;_-* &quot;-&quot;??_-;_-@_-"/>
    <numFmt numFmtId="165" formatCode="_ * #,##0.00_ ;_ * \-#,##0.00_ ;_ * &quot;-&quot;??_ ;_ @_ "/>
    <numFmt numFmtId="166" formatCode="_-* #,##0_-;\-* #,##0_-;_-* &quot;-&quot;??_-;_-@_-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0"/>
      <color theme="1"/>
      <name val="Calibri"/>
      <family val="2"/>
    </font>
    <font>
      <u/>
      <sz val="10"/>
      <color theme="10"/>
      <name val="Arial"/>
      <family val="2"/>
    </font>
    <font>
      <sz val="10"/>
      <name val="Arial"/>
      <family val="2"/>
    </font>
    <font>
      <sz val="11"/>
      <color rgb="FF000000"/>
      <name val="Arial"/>
      <family val="2"/>
    </font>
    <font>
      <sz val="11"/>
      <color theme="1"/>
      <name val="Arial"/>
      <family val="2"/>
    </font>
    <font>
      <u/>
      <sz val="11"/>
      <color theme="10"/>
      <name val="Calibri"/>
      <family val="2"/>
    </font>
    <font>
      <sz val="11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2">
    <xf numFmtId="0" fontId="0" fillId="0" borderId="0"/>
    <xf numFmtId="165" fontId="1" fillId="0" borderId="0" applyFont="0" applyFill="0" applyBorder="0" applyAlignment="0" applyProtection="0"/>
    <xf numFmtId="0" fontId="5" fillId="0" borderId="0" applyNumberForma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6" fillId="0" borderId="0"/>
    <xf numFmtId="0" fontId="3" fillId="0" borderId="0"/>
    <xf numFmtId="0" fontId="1" fillId="0" borderId="0"/>
    <xf numFmtId="164" fontId="1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20">
    <xf numFmtId="0" fontId="0" fillId="0" borderId="0" xfId="0"/>
    <xf numFmtId="49" fontId="2" fillId="2" borderId="1" xfId="0" applyNumberFormat="1" applyFont="1" applyFill="1" applyBorder="1" applyAlignment="1">
      <alignment horizontal="left" vertical="top" wrapText="1"/>
    </xf>
    <xf numFmtId="0" fontId="4" fillId="2" borderId="1" xfId="0" applyFont="1" applyFill="1" applyBorder="1" applyAlignment="1">
      <alignment horizontal="center" vertical="top" wrapText="1"/>
    </xf>
    <xf numFmtId="49" fontId="2" fillId="2" borderId="1" xfId="0" applyNumberFormat="1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center" vertical="top" wrapText="1"/>
    </xf>
    <xf numFmtId="0" fontId="0" fillId="0" borderId="1" xfId="0" applyBorder="1"/>
    <xf numFmtId="166" fontId="2" fillId="2" borderId="1" xfId="8" applyNumberFormat="1" applyFont="1" applyFill="1" applyBorder="1" applyAlignment="1">
      <alignment horizontal="center" vertical="top" wrapText="1"/>
    </xf>
    <xf numFmtId="166" fontId="0" fillId="0" borderId="0" xfId="8" applyNumberFormat="1" applyFont="1"/>
    <xf numFmtId="0" fontId="0" fillId="0" borderId="1" xfId="0" applyBorder="1" applyAlignment="1">
      <alignment wrapText="1"/>
    </xf>
    <xf numFmtId="0" fontId="7" fillId="0" borderId="1" xfId="0" applyFont="1" applyBorder="1" applyAlignment="1">
      <alignment vertical="center"/>
    </xf>
    <xf numFmtId="0" fontId="7" fillId="0" borderId="1" xfId="0" applyFont="1" applyBorder="1" applyAlignment="1">
      <alignment horizontal="right" vertical="center"/>
    </xf>
    <xf numFmtId="166" fontId="7" fillId="0" borderId="1" xfId="8" applyNumberFormat="1" applyFont="1" applyBorder="1" applyAlignment="1">
      <alignment horizontal="right" vertical="center"/>
    </xf>
    <xf numFmtId="166" fontId="0" fillId="0" borderId="1" xfId="8" applyNumberFormat="1" applyFont="1" applyBorder="1"/>
    <xf numFmtId="0" fontId="8" fillId="0" borderId="1" xfId="0" applyFont="1" applyBorder="1" applyAlignment="1">
      <alignment horizontal="right" vertical="center"/>
    </xf>
    <xf numFmtId="166" fontId="8" fillId="0" borderId="1" xfId="8" applyNumberFormat="1" applyFont="1" applyBorder="1" applyAlignment="1">
      <alignment horizontal="right" vertical="center"/>
    </xf>
    <xf numFmtId="0" fontId="10" fillId="0" borderId="1" xfId="0" applyFont="1" applyBorder="1" applyAlignment="1">
      <alignment horizontal="center" vertical="center"/>
    </xf>
    <xf numFmtId="0" fontId="6" fillId="0" borderId="0" xfId="0" applyFont="1"/>
    <xf numFmtId="166" fontId="7" fillId="3" borderId="1" xfId="8" applyNumberFormat="1" applyFont="1" applyFill="1" applyBorder="1" applyAlignment="1">
      <alignment horizontal="right" vertical="center"/>
    </xf>
    <xf numFmtId="0" fontId="0" fillId="3" borderId="1" xfId="0" applyFill="1" applyBorder="1" applyAlignment="1">
      <alignment wrapText="1"/>
    </xf>
    <xf numFmtId="43" fontId="0" fillId="0" borderId="0" xfId="0" applyNumberFormat="1"/>
  </cellXfs>
  <cellStyles count="12">
    <cellStyle name="Comma" xfId="8" builtinId="3"/>
    <cellStyle name="Comma 2" xfId="1" xr:uid="{21AD8DF5-CED3-453A-8D80-C1C8D32606E2}"/>
    <cellStyle name="Comma 2 2" xfId="11" xr:uid="{7EEF6D2B-D124-4ABC-BEB7-BBCB20AB6FFA}"/>
    <cellStyle name="Comma 3" xfId="10" xr:uid="{53F16447-83F8-41BF-A228-1475BE8E145C}"/>
    <cellStyle name="Comma 9" xfId="4" xr:uid="{18527FB8-9115-4339-8EB6-C9ABAD9AE13D}"/>
    <cellStyle name="Hyperlink 2" xfId="2" xr:uid="{2ABA9E71-CA8F-4478-BAE9-A9C8AFAD0315}"/>
    <cellStyle name="Hyperlink 3" xfId="9" xr:uid="{760EA171-C6E3-43CB-8F21-05A509F33DCA}"/>
    <cellStyle name="Normal" xfId="0" builtinId="0"/>
    <cellStyle name="Normal 11" xfId="5" xr:uid="{47863E70-A46A-4CCC-887D-1C35E78C863D}"/>
    <cellStyle name="Normal 15 3" xfId="7" xr:uid="{BC47558B-7FF0-4218-A319-F8C06C96AE08}"/>
    <cellStyle name="Normal 3 3" xfId="6" xr:uid="{5C398062-6037-4AB6-BF75-7F5FF5A167B9}"/>
    <cellStyle name="Normal 34" xfId="3" xr:uid="{FC0C5F53-18FA-4354-B339-E4316D80BB47}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9196F-D78D-44B2-9C89-C401A5E59AAB}">
  <sheetPr>
    <pageSetUpPr fitToPage="1"/>
  </sheetPr>
  <dimension ref="A1:R42"/>
  <sheetViews>
    <sheetView tabSelected="1" topLeftCell="E1" zoomScale="70" zoomScaleNormal="70" zoomScaleSheetLayoutView="35" workbookViewId="0">
      <selection activeCell="R10" sqref="R10"/>
    </sheetView>
  </sheetViews>
  <sheetFormatPr defaultRowHeight="14.4" x14ac:dyDescent="0.3"/>
  <cols>
    <col min="1" max="1" width="6.33203125" bestFit="1" customWidth="1"/>
    <col min="2" max="2" width="42.33203125" bestFit="1" customWidth="1"/>
    <col min="3" max="3" width="20.109375" bestFit="1" customWidth="1"/>
    <col min="4" max="4" width="41.77734375" customWidth="1"/>
    <col min="5" max="5" width="33.21875" bestFit="1" customWidth="1"/>
    <col min="6" max="6" width="24.5546875" bestFit="1" customWidth="1"/>
    <col min="7" max="7" width="19.44140625" customWidth="1"/>
    <col min="8" max="8" width="18.5546875" customWidth="1"/>
    <col min="9" max="9" width="34.44140625" hidden="1" customWidth="1"/>
    <col min="10" max="10" width="17.21875" customWidth="1"/>
    <col min="11" max="11" width="14.5546875" bestFit="1" customWidth="1"/>
    <col min="12" max="12" width="21.5546875" bestFit="1" customWidth="1"/>
    <col min="13" max="13" width="14.77734375" bestFit="1" customWidth="1"/>
    <col min="14" max="14" width="9.88671875" bestFit="1" customWidth="1"/>
    <col min="15" max="15" width="20.21875" style="7" bestFit="1" customWidth="1"/>
    <col min="16" max="16" width="22.33203125" bestFit="1" customWidth="1"/>
    <col min="17" max="17" width="32.21875" bestFit="1" customWidth="1"/>
    <col min="18" max="18" width="8.77734375"/>
  </cols>
  <sheetData>
    <row r="1" spans="1:18" ht="27.6" x14ac:dyDescent="0.3">
      <c r="A1" s="2" t="s">
        <v>10</v>
      </c>
      <c r="B1" s="4" t="s">
        <v>11</v>
      </c>
      <c r="C1" s="4" t="s">
        <v>12</v>
      </c>
      <c r="D1" s="4" t="s">
        <v>13</v>
      </c>
      <c r="E1" s="4" t="s">
        <v>14</v>
      </c>
      <c r="F1" s="4" t="s">
        <v>15</v>
      </c>
      <c r="G1" s="4" t="s">
        <v>16</v>
      </c>
      <c r="H1" s="4" t="s">
        <v>17</v>
      </c>
      <c r="I1" s="4" t="s">
        <v>18</v>
      </c>
      <c r="J1" s="4" t="s">
        <v>19</v>
      </c>
      <c r="K1" s="4" t="s">
        <v>20</v>
      </c>
      <c r="L1" s="4" t="s">
        <v>21</v>
      </c>
      <c r="M1" s="3" t="s">
        <v>22</v>
      </c>
      <c r="N1" s="3" t="s">
        <v>23</v>
      </c>
      <c r="O1" s="6" t="s">
        <v>24</v>
      </c>
      <c r="P1" s="1" t="s">
        <v>25</v>
      </c>
      <c r="Q1" s="1" t="s">
        <v>26</v>
      </c>
    </row>
    <row r="2" spans="1:18" x14ac:dyDescent="0.3">
      <c r="A2" s="8">
        <v>1</v>
      </c>
      <c r="B2" s="8" t="s">
        <v>0</v>
      </c>
      <c r="C2" s="8" t="s">
        <v>1</v>
      </c>
      <c r="D2" s="8" t="s">
        <v>98</v>
      </c>
      <c r="E2" s="9" t="s">
        <v>38</v>
      </c>
      <c r="F2" s="8" t="s">
        <v>2</v>
      </c>
      <c r="G2" s="8" t="s">
        <v>2</v>
      </c>
      <c r="H2" s="10">
        <v>1</v>
      </c>
      <c r="I2" s="8" t="s">
        <v>98</v>
      </c>
      <c r="J2" s="8" t="s">
        <v>3</v>
      </c>
      <c r="K2" s="8" t="s">
        <v>4</v>
      </c>
      <c r="L2" s="8" t="s">
        <v>5</v>
      </c>
      <c r="M2" s="8" t="s">
        <v>75</v>
      </c>
      <c r="N2" s="8" t="s">
        <v>6</v>
      </c>
      <c r="O2" s="11">
        <v>120000</v>
      </c>
      <c r="P2" s="8">
        <v>10</v>
      </c>
      <c r="Q2" s="8">
        <f>P2*O2</f>
        <v>1200000</v>
      </c>
      <c r="R2" s="19">
        <f>+O2/$O$39</f>
        <v>0.34213084794279575</v>
      </c>
    </row>
    <row r="3" spans="1:18" x14ac:dyDescent="0.3">
      <c r="A3" s="8">
        <f>A2+1</f>
        <v>2</v>
      </c>
      <c r="B3" s="8" t="s">
        <v>0</v>
      </c>
      <c r="C3" s="8" t="s">
        <v>1</v>
      </c>
      <c r="D3" s="8" t="s">
        <v>98</v>
      </c>
      <c r="E3" s="9" t="s">
        <v>39</v>
      </c>
      <c r="F3" s="8" t="s">
        <v>2</v>
      </c>
      <c r="G3" s="8" t="s">
        <v>2</v>
      </c>
      <c r="H3" s="10">
        <v>2</v>
      </c>
      <c r="I3" s="8" t="s">
        <v>98</v>
      </c>
      <c r="J3" s="8" t="s">
        <v>3</v>
      </c>
      <c r="K3" s="8" t="s">
        <v>4</v>
      </c>
      <c r="L3" s="8" t="s">
        <v>5</v>
      </c>
      <c r="M3" s="8" t="s">
        <v>74</v>
      </c>
      <c r="N3" s="8" t="s">
        <v>6</v>
      </c>
      <c r="O3" s="11">
        <v>179025</v>
      </c>
      <c r="P3" s="8">
        <v>10</v>
      </c>
      <c r="Q3" s="8">
        <f t="shared" ref="Q3:Q37" si="0">P3*O3</f>
        <v>1790250</v>
      </c>
      <c r="R3" s="19">
        <f t="shared" ref="R3:R36" si="1">+O3/$O$39</f>
        <v>0.51041645877465835</v>
      </c>
    </row>
    <row r="4" spans="1:18" x14ac:dyDescent="0.3">
      <c r="A4" s="8">
        <f t="shared" ref="A4:A37" si="2">A3+1</f>
        <v>3</v>
      </c>
      <c r="B4" s="8" t="s">
        <v>0</v>
      </c>
      <c r="C4" s="8" t="s">
        <v>7</v>
      </c>
      <c r="D4" s="8" t="s">
        <v>98</v>
      </c>
      <c r="E4" s="9" t="s">
        <v>40</v>
      </c>
      <c r="F4" s="8" t="s">
        <v>2</v>
      </c>
      <c r="G4" s="8" t="s">
        <v>2</v>
      </c>
      <c r="H4" s="13">
        <v>3</v>
      </c>
      <c r="I4" s="8" t="s">
        <v>98</v>
      </c>
      <c r="J4" s="8" t="s">
        <v>3</v>
      </c>
      <c r="K4" s="8" t="s">
        <v>4</v>
      </c>
      <c r="L4" s="8" t="s">
        <v>5</v>
      </c>
      <c r="M4" s="8" t="s">
        <v>73</v>
      </c>
      <c r="N4" s="8" t="s">
        <v>6</v>
      </c>
      <c r="O4" s="14">
        <v>364</v>
      </c>
      <c r="P4" s="8">
        <v>10</v>
      </c>
      <c r="Q4" s="8">
        <f t="shared" si="0"/>
        <v>3640</v>
      </c>
      <c r="R4" s="19">
        <f t="shared" si="1"/>
        <v>1.0377969054264804E-3</v>
      </c>
    </row>
    <row r="5" spans="1:18" x14ac:dyDescent="0.3">
      <c r="A5" s="8">
        <f t="shared" si="2"/>
        <v>4</v>
      </c>
      <c r="B5" s="8" t="s">
        <v>0</v>
      </c>
      <c r="C5" s="8" t="s">
        <v>7</v>
      </c>
      <c r="D5" s="8" t="s">
        <v>98</v>
      </c>
      <c r="E5" s="9" t="s">
        <v>41</v>
      </c>
      <c r="F5" s="8" t="s">
        <v>2</v>
      </c>
      <c r="G5" s="8" t="s">
        <v>2</v>
      </c>
      <c r="H5" s="13">
        <v>4</v>
      </c>
      <c r="I5" s="8" t="s">
        <v>98</v>
      </c>
      <c r="J5" s="8" t="s">
        <v>3</v>
      </c>
      <c r="K5" s="8" t="s">
        <v>4</v>
      </c>
      <c r="L5" s="8" t="s">
        <v>5</v>
      </c>
      <c r="M5" s="8" t="s">
        <v>72</v>
      </c>
      <c r="N5" s="8" t="s">
        <v>6</v>
      </c>
      <c r="O5" s="14">
        <v>728</v>
      </c>
      <c r="P5" s="8">
        <v>10</v>
      </c>
      <c r="Q5" s="8">
        <f t="shared" si="0"/>
        <v>7280</v>
      </c>
      <c r="R5" s="19">
        <f t="shared" si="1"/>
        <v>2.0755938108529609E-3</v>
      </c>
    </row>
    <row r="6" spans="1:18" x14ac:dyDescent="0.3">
      <c r="A6" s="8">
        <f t="shared" si="2"/>
        <v>5</v>
      </c>
      <c r="B6" s="8" t="s">
        <v>0</v>
      </c>
      <c r="C6" s="8" t="s">
        <v>7</v>
      </c>
      <c r="D6" s="8" t="s">
        <v>98</v>
      </c>
      <c r="E6" s="9" t="s">
        <v>28</v>
      </c>
      <c r="F6" s="8" t="s">
        <v>2</v>
      </c>
      <c r="G6" s="8" t="s">
        <v>2</v>
      </c>
      <c r="H6" s="10">
        <v>5</v>
      </c>
      <c r="I6" s="8" t="s">
        <v>98</v>
      </c>
      <c r="J6" s="8" t="s">
        <v>3</v>
      </c>
      <c r="K6" s="8" t="s">
        <v>4</v>
      </c>
      <c r="L6" s="8" t="s">
        <v>5</v>
      </c>
      <c r="M6" s="8" t="s">
        <v>71</v>
      </c>
      <c r="N6" s="8" t="s">
        <v>6</v>
      </c>
      <c r="O6" s="11">
        <v>750</v>
      </c>
      <c r="P6" s="8">
        <v>10</v>
      </c>
      <c r="Q6" s="8">
        <f t="shared" si="0"/>
        <v>7500</v>
      </c>
      <c r="R6" s="19">
        <f t="shared" si="1"/>
        <v>2.1383177996424732E-3</v>
      </c>
    </row>
    <row r="7" spans="1:18" x14ac:dyDescent="0.3">
      <c r="A7" s="8">
        <f t="shared" si="2"/>
        <v>6</v>
      </c>
      <c r="B7" s="8" t="s">
        <v>0</v>
      </c>
      <c r="C7" s="8" t="s">
        <v>7</v>
      </c>
      <c r="D7" s="8" t="s">
        <v>98</v>
      </c>
      <c r="E7" s="9" t="s">
        <v>42</v>
      </c>
      <c r="F7" s="8" t="s">
        <v>2</v>
      </c>
      <c r="G7" s="8" t="s">
        <v>2</v>
      </c>
      <c r="H7" s="10">
        <v>6</v>
      </c>
      <c r="I7" s="8" t="s">
        <v>98</v>
      </c>
      <c r="J7" s="8" t="s">
        <v>3</v>
      </c>
      <c r="K7" s="8" t="s">
        <v>4</v>
      </c>
      <c r="L7" s="8" t="s">
        <v>5</v>
      </c>
      <c r="M7" s="8" t="s">
        <v>70</v>
      </c>
      <c r="N7" s="8" t="s">
        <v>6</v>
      </c>
      <c r="O7" s="11">
        <v>364</v>
      </c>
      <c r="P7" s="8">
        <v>10</v>
      </c>
      <c r="Q7" s="8">
        <f t="shared" si="0"/>
        <v>3640</v>
      </c>
      <c r="R7" s="19">
        <f t="shared" si="1"/>
        <v>1.0377969054264804E-3</v>
      </c>
    </row>
    <row r="8" spans="1:18" x14ac:dyDescent="0.3">
      <c r="A8" s="8">
        <f t="shared" si="2"/>
        <v>7</v>
      </c>
      <c r="B8" s="8" t="s">
        <v>0</v>
      </c>
      <c r="C8" s="8" t="s">
        <v>7</v>
      </c>
      <c r="D8" s="8" t="s">
        <v>98</v>
      </c>
      <c r="E8" s="9" t="s">
        <v>43</v>
      </c>
      <c r="F8" s="8" t="s">
        <v>2</v>
      </c>
      <c r="G8" s="8" t="s">
        <v>2</v>
      </c>
      <c r="H8" s="10">
        <v>7</v>
      </c>
      <c r="I8" s="8" t="s">
        <v>98</v>
      </c>
      <c r="J8" s="8" t="s">
        <v>3</v>
      </c>
      <c r="K8" s="8" t="s">
        <v>64</v>
      </c>
      <c r="L8" s="8" t="s">
        <v>5</v>
      </c>
      <c r="M8" s="8" t="s">
        <v>69</v>
      </c>
      <c r="N8" s="8" t="s">
        <v>6</v>
      </c>
      <c r="O8" s="11">
        <v>182</v>
      </c>
      <c r="P8" s="8">
        <v>10</v>
      </c>
      <c r="Q8" s="8">
        <f t="shared" si="0"/>
        <v>1820</v>
      </c>
      <c r="R8" s="19">
        <f t="shared" si="1"/>
        <v>5.1889845271324022E-4</v>
      </c>
    </row>
    <row r="9" spans="1:18" x14ac:dyDescent="0.3">
      <c r="A9" s="8">
        <f t="shared" si="2"/>
        <v>8</v>
      </c>
      <c r="B9" s="8" t="s">
        <v>0</v>
      </c>
      <c r="C9" s="8" t="s">
        <v>7</v>
      </c>
      <c r="D9" s="8" t="s">
        <v>98</v>
      </c>
      <c r="E9" s="9" t="s">
        <v>29</v>
      </c>
      <c r="F9" s="8" t="s">
        <v>2</v>
      </c>
      <c r="G9" s="8" t="s">
        <v>2</v>
      </c>
      <c r="H9" s="10">
        <v>8</v>
      </c>
      <c r="I9" s="8" t="s">
        <v>98</v>
      </c>
      <c r="J9" s="5" t="s">
        <v>101</v>
      </c>
      <c r="K9" s="8" t="s">
        <v>64</v>
      </c>
      <c r="L9" s="8" t="s">
        <v>92</v>
      </c>
      <c r="M9" s="8">
        <v>417985058</v>
      </c>
      <c r="N9" s="8" t="s">
        <v>6</v>
      </c>
      <c r="O9" s="17">
        <v>1272</v>
      </c>
      <c r="P9" s="8">
        <v>10</v>
      </c>
      <c r="Q9" s="8">
        <f t="shared" si="0"/>
        <v>12720</v>
      </c>
      <c r="R9" s="19">
        <f t="shared" si="1"/>
        <v>3.6265869881936348E-3</v>
      </c>
    </row>
    <row r="10" spans="1:18" ht="28.8" x14ac:dyDescent="0.3">
      <c r="A10" s="8">
        <f t="shared" si="2"/>
        <v>9</v>
      </c>
      <c r="B10" s="8" t="s">
        <v>65</v>
      </c>
      <c r="C10" s="8" t="s">
        <v>7</v>
      </c>
      <c r="D10" s="8" t="s">
        <v>99</v>
      </c>
      <c r="E10" s="9" t="s">
        <v>30</v>
      </c>
      <c r="F10" s="8" t="s">
        <v>2</v>
      </c>
      <c r="G10" s="8" t="s">
        <v>2</v>
      </c>
      <c r="H10" s="10">
        <v>9</v>
      </c>
      <c r="I10" s="8" t="s">
        <v>98</v>
      </c>
      <c r="J10" s="5" t="s">
        <v>100</v>
      </c>
      <c r="K10" s="8" t="s">
        <v>9</v>
      </c>
      <c r="L10" s="8" t="s">
        <v>93</v>
      </c>
      <c r="M10" s="8">
        <v>11295566</v>
      </c>
      <c r="N10" s="8" t="s">
        <v>6</v>
      </c>
      <c r="O10" s="11">
        <v>10911</v>
      </c>
      <c r="P10" s="8">
        <v>10</v>
      </c>
      <c r="Q10" s="8">
        <f t="shared" si="0"/>
        <v>109110</v>
      </c>
      <c r="R10" s="19">
        <f>+O10/$O$39*100</f>
        <v>3.1108247349198699</v>
      </c>
    </row>
    <row r="11" spans="1:18" x14ac:dyDescent="0.3">
      <c r="A11" s="8">
        <f t="shared" si="2"/>
        <v>10</v>
      </c>
      <c r="B11" s="8" t="s">
        <v>0</v>
      </c>
      <c r="C11" s="8" t="s">
        <v>7</v>
      </c>
      <c r="D11" s="8" t="s">
        <v>98</v>
      </c>
      <c r="E11" s="9" t="s">
        <v>44</v>
      </c>
      <c r="F11" s="8" t="s">
        <v>2</v>
      </c>
      <c r="G11" s="8" t="s">
        <v>2</v>
      </c>
      <c r="H11" s="10">
        <v>10</v>
      </c>
      <c r="I11" s="8" t="s">
        <v>98</v>
      </c>
      <c r="J11" s="8" t="s">
        <v>3</v>
      </c>
      <c r="K11" s="8" t="s">
        <v>4</v>
      </c>
      <c r="L11" s="8" t="s">
        <v>5</v>
      </c>
      <c r="M11" s="8" t="s">
        <v>76</v>
      </c>
      <c r="N11" s="8" t="s">
        <v>6</v>
      </c>
      <c r="O11" s="11">
        <v>182</v>
      </c>
      <c r="P11" s="8">
        <v>10</v>
      </c>
      <c r="Q11" s="8">
        <f t="shared" si="0"/>
        <v>1820</v>
      </c>
      <c r="R11" s="19">
        <f t="shared" si="1"/>
        <v>5.1889845271324022E-4</v>
      </c>
    </row>
    <row r="12" spans="1:18" ht="28.8" x14ac:dyDescent="0.3">
      <c r="A12" s="8">
        <f t="shared" si="2"/>
        <v>11</v>
      </c>
      <c r="B12" s="8" t="s">
        <v>0</v>
      </c>
      <c r="C12" s="8" t="s">
        <v>7</v>
      </c>
      <c r="D12" s="8" t="s">
        <v>98</v>
      </c>
      <c r="E12" s="9" t="s">
        <v>45</v>
      </c>
      <c r="F12" s="8" t="s">
        <v>2</v>
      </c>
      <c r="G12" s="8" t="s">
        <v>2</v>
      </c>
      <c r="H12" s="10">
        <v>11</v>
      </c>
      <c r="I12" s="8" t="s">
        <v>98</v>
      </c>
      <c r="J12" s="5" t="s">
        <v>101</v>
      </c>
      <c r="K12" s="8" t="s">
        <v>64</v>
      </c>
      <c r="L12" s="8" t="s">
        <v>93</v>
      </c>
      <c r="M12" s="8">
        <v>510885184</v>
      </c>
      <c r="N12" s="8" t="s">
        <v>6</v>
      </c>
      <c r="O12" s="17">
        <v>727</v>
      </c>
      <c r="P12" s="8">
        <v>10</v>
      </c>
      <c r="Q12" s="8">
        <f t="shared" si="0"/>
        <v>7270</v>
      </c>
      <c r="R12" s="19">
        <f t="shared" si="1"/>
        <v>2.0727427204534376E-3</v>
      </c>
    </row>
    <row r="13" spans="1:18" x14ac:dyDescent="0.3">
      <c r="A13" s="8">
        <f t="shared" si="2"/>
        <v>12</v>
      </c>
      <c r="B13" s="8" t="s">
        <v>0</v>
      </c>
      <c r="C13" s="8" t="s">
        <v>7</v>
      </c>
      <c r="D13" s="8" t="s">
        <v>98</v>
      </c>
      <c r="E13" s="9" t="s">
        <v>31</v>
      </c>
      <c r="F13" s="8" t="s">
        <v>2</v>
      </c>
      <c r="G13" s="8" t="s">
        <v>2</v>
      </c>
      <c r="H13" s="10">
        <v>12</v>
      </c>
      <c r="I13" s="8" t="s">
        <v>98</v>
      </c>
      <c r="J13" s="5" t="s">
        <v>101</v>
      </c>
      <c r="K13" s="8" t="s">
        <v>4</v>
      </c>
      <c r="L13" s="8" t="s">
        <v>92</v>
      </c>
      <c r="M13" s="8">
        <v>566566778</v>
      </c>
      <c r="N13" s="8" t="s">
        <v>6</v>
      </c>
      <c r="O13" s="17">
        <v>1820</v>
      </c>
      <c r="P13" s="8">
        <v>10</v>
      </c>
      <c r="Q13" s="8">
        <f t="shared" si="0"/>
        <v>18200</v>
      </c>
      <c r="R13" s="19">
        <f t="shared" si="1"/>
        <v>5.1889845271324017E-3</v>
      </c>
    </row>
    <row r="14" spans="1:18" x14ac:dyDescent="0.3">
      <c r="A14" s="8">
        <f t="shared" si="2"/>
        <v>13</v>
      </c>
      <c r="B14" s="8" t="s">
        <v>0</v>
      </c>
      <c r="C14" s="8" t="s">
        <v>7</v>
      </c>
      <c r="D14" s="5" t="s">
        <v>98</v>
      </c>
      <c r="E14" s="9" t="s">
        <v>46</v>
      </c>
      <c r="F14" s="8" t="s">
        <v>2</v>
      </c>
      <c r="G14" s="8" t="s">
        <v>2</v>
      </c>
      <c r="H14" s="10">
        <v>13</v>
      </c>
      <c r="I14" s="8" t="s">
        <v>98</v>
      </c>
      <c r="J14" s="8" t="s">
        <v>3</v>
      </c>
      <c r="K14" s="8" t="s">
        <v>4</v>
      </c>
      <c r="L14" s="8" t="s">
        <v>5</v>
      </c>
      <c r="M14" s="8" t="s">
        <v>90</v>
      </c>
      <c r="N14" s="8" t="s">
        <v>6</v>
      </c>
      <c r="O14" s="11">
        <v>360</v>
      </c>
      <c r="P14" s="8">
        <v>10</v>
      </c>
      <c r="Q14" s="8">
        <f t="shared" si="0"/>
        <v>3600</v>
      </c>
      <c r="R14" s="19">
        <f t="shared" si="1"/>
        <v>1.0263925438283872E-3</v>
      </c>
    </row>
    <row r="15" spans="1:18" x14ac:dyDescent="0.3">
      <c r="A15" s="8">
        <f t="shared" si="2"/>
        <v>14</v>
      </c>
      <c r="B15" s="8" t="s">
        <v>0</v>
      </c>
      <c r="C15" s="8" t="s">
        <v>7</v>
      </c>
      <c r="D15" s="5" t="s">
        <v>98</v>
      </c>
      <c r="E15" s="9" t="s">
        <v>47</v>
      </c>
      <c r="F15" s="8" t="s">
        <v>2</v>
      </c>
      <c r="G15" s="8" t="s">
        <v>2</v>
      </c>
      <c r="H15" s="10">
        <v>14</v>
      </c>
      <c r="I15" s="8" t="s">
        <v>98</v>
      </c>
      <c r="J15" s="8" t="s">
        <v>3</v>
      </c>
      <c r="K15" s="8" t="s">
        <v>64</v>
      </c>
      <c r="L15" s="8" t="s">
        <v>5</v>
      </c>
      <c r="M15" s="8" t="s">
        <v>89</v>
      </c>
      <c r="N15" s="8" t="s">
        <v>6</v>
      </c>
      <c r="O15" s="11">
        <v>360</v>
      </c>
      <c r="P15" s="8">
        <v>10</v>
      </c>
      <c r="Q15" s="8">
        <f t="shared" si="0"/>
        <v>3600</v>
      </c>
      <c r="R15" s="19">
        <f t="shared" si="1"/>
        <v>1.0263925438283872E-3</v>
      </c>
    </row>
    <row r="16" spans="1:18" x14ac:dyDescent="0.3">
      <c r="A16" s="8">
        <f t="shared" si="2"/>
        <v>15</v>
      </c>
      <c r="B16" s="8" t="s">
        <v>0</v>
      </c>
      <c r="C16" s="8" t="s">
        <v>7</v>
      </c>
      <c r="D16" s="5" t="s">
        <v>98</v>
      </c>
      <c r="E16" s="9" t="s">
        <v>48</v>
      </c>
      <c r="F16" s="8" t="s">
        <v>2</v>
      </c>
      <c r="G16" s="8" t="s">
        <v>2</v>
      </c>
      <c r="H16" s="10">
        <v>16</v>
      </c>
      <c r="I16" s="8" t="s">
        <v>98</v>
      </c>
      <c r="J16" s="8" t="s">
        <v>3</v>
      </c>
      <c r="K16" s="8" t="s">
        <v>4</v>
      </c>
      <c r="L16" s="8" t="s">
        <v>5</v>
      </c>
      <c r="M16" s="8" t="s">
        <v>87</v>
      </c>
      <c r="N16" s="8" t="s">
        <v>6</v>
      </c>
      <c r="O16" s="11">
        <v>957</v>
      </c>
      <c r="P16" s="8">
        <v>10</v>
      </c>
      <c r="Q16" s="8">
        <f t="shared" si="0"/>
        <v>9570</v>
      </c>
      <c r="R16" s="19">
        <f t="shared" si="1"/>
        <v>2.7284935123437961E-3</v>
      </c>
    </row>
    <row r="17" spans="1:18" ht="28.8" x14ac:dyDescent="0.3">
      <c r="A17" s="8">
        <f t="shared" si="2"/>
        <v>16</v>
      </c>
      <c r="B17" s="8" t="s">
        <v>0</v>
      </c>
      <c r="C17" s="8" t="s">
        <v>7</v>
      </c>
      <c r="D17" s="5" t="s">
        <v>98</v>
      </c>
      <c r="E17" s="9" t="s">
        <v>32</v>
      </c>
      <c r="F17" s="8" t="s">
        <v>2</v>
      </c>
      <c r="G17" s="8" t="s">
        <v>2</v>
      </c>
      <c r="H17" s="10">
        <v>17</v>
      </c>
      <c r="I17" s="8" t="s">
        <v>98</v>
      </c>
      <c r="J17" s="18" t="s">
        <v>3</v>
      </c>
      <c r="K17" s="8" t="s">
        <v>4</v>
      </c>
      <c r="L17" s="8" t="s">
        <v>93</v>
      </c>
      <c r="M17" s="8" t="s">
        <v>96</v>
      </c>
      <c r="N17" s="8" t="s">
        <v>6</v>
      </c>
      <c r="O17" s="11">
        <v>1385</v>
      </c>
      <c r="P17" s="8">
        <v>10</v>
      </c>
      <c r="Q17" s="8">
        <f t="shared" si="0"/>
        <v>13850</v>
      </c>
      <c r="R17" s="19">
        <f t="shared" si="1"/>
        <v>3.9487602033397677E-3</v>
      </c>
    </row>
    <row r="18" spans="1:18" x14ac:dyDescent="0.3">
      <c r="A18" s="8">
        <f t="shared" si="2"/>
        <v>17</v>
      </c>
      <c r="B18" s="8" t="s">
        <v>0</v>
      </c>
      <c r="C18" s="8" t="s">
        <v>7</v>
      </c>
      <c r="D18" s="5" t="s">
        <v>98</v>
      </c>
      <c r="E18" s="9" t="s">
        <v>33</v>
      </c>
      <c r="F18" s="8" t="s">
        <v>2</v>
      </c>
      <c r="G18" s="8" t="s">
        <v>2</v>
      </c>
      <c r="H18" s="10">
        <v>18</v>
      </c>
      <c r="I18" s="8" t="s">
        <v>98</v>
      </c>
      <c r="J18" s="5" t="s">
        <v>101</v>
      </c>
      <c r="K18" s="8" t="s">
        <v>4</v>
      </c>
      <c r="L18" s="8" t="s">
        <v>92</v>
      </c>
      <c r="M18" s="8">
        <v>488376765</v>
      </c>
      <c r="N18" s="8" t="s">
        <v>6</v>
      </c>
      <c r="O18" s="17">
        <v>1394</v>
      </c>
      <c r="P18" s="8">
        <v>10</v>
      </c>
      <c r="Q18" s="8">
        <f t="shared" si="0"/>
        <v>13940</v>
      </c>
      <c r="R18" s="19">
        <f t="shared" si="1"/>
        <v>3.9744200169354767E-3</v>
      </c>
    </row>
    <row r="19" spans="1:18" x14ac:dyDescent="0.3">
      <c r="A19" s="8">
        <f t="shared" si="2"/>
        <v>18</v>
      </c>
      <c r="B19" s="8" t="s">
        <v>0</v>
      </c>
      <c r="C19" s="8" t="s">
        <v>7</v>
      </c>
      <c r="D19" s="5" t="s">
        <v>98</v>
      </c>
      <c r="E19" s="9" t="s">
        <v>34</v>
      </c>
      <c r="F19" s="8" t="s">
        <v>2</v>
      </c>
      <c r="G19" s="8" t="s">
        <v>2</v>
      </c>
      <c r="H19" s="10">
        <v>19</v>
      </c>
      <c r="I19" s="8" t="s">
        <v>98</v>
      </c>
      <c r="J19" s="8" t="s">
        <v>3</v>
      </c>
      <c r="K19" s="8" t="s">
        <v>4</v>
      </c>
      <c r="L19" s="8" t="s">
        <v>5</v>
      </c>
      <c r="M19" s="5" t="s">
        <v>77</v>
      </c>
      <c r="N19" s="8" t="s">
        <v>6</v>
      </c>
      <c r="O19" s="11">
        <v>766</v>
      </c>
      <c r="P19" s="8">
        <v>10</v>
      </c>
      <c r="Q19" s="8">
        <f t="shared" si="0"/>
        <v>7660</v>
      </c>
      <c r="R19" s="19">
        <f t="shared" si="1"/>
        <v>2.1839352460348458E-3</v>
      </c>
    </row>
    <row r="20" spans="1:18" ht="28.8" x14ac:dyDescent="0.3">
      <c r="A20" s="8">
        <f t="shared" si="2"/>
        <v>19</v>
      </c>
      <c r="B20" s="8" t="s">
        <v>0</v>
      </c>
      <c r="C20" s="8" t="s">
        <v>7</v>
      </c>
      <c r="D20" s="5" t="s">
        <v>98</v>
      </c>
      <c r="E20" s="9" t="s">
        <v>49</v>
      </c>
      <c r="F20" s="8" t="s">
        <v>2</v>
      </c>
      <c r="G20" s="8" t="s">
        <v>2</v>
      </c>
      <c r="H20" s="10">
        <v>20</v>
      </c>
      <c r="I20" s="8" t="s">
        <v>98</v>
      </c>
      <c r="J20" s="5" t="s">
        <v>101</v>
      </c>
      <c r="K20" s="8" t="s">
        <v>64</v>
      </c>
      <c r="L20" s="8" t="s">
        <v>93</v>
      </c>
      <c r="M20" s="8" t="s">
        <v>97</v>
      </c>
      <c r="N20" s="8" t="s">
        <v>6</v>
      </c>
      <c r="O20" s="17">
        <v>484</v>
      </c>
      <c r="P20" s="8">
        <v>10</v>
      </c>
      <c r="Q20" s="8">
        <f t="shared" si="0"/>
        <v>4840</v>
      </c>
      <c r="R20" s="19">
        <f t="shared" si="1"/>
        <v>1.379927753369276E-3</v>
      </c>
    </row>
    <row r="21" spans="1:18" x14ac:dyDescent="0.3">
      <c r="A21" s="8">
        <f t="shared" si="2"/>
        <v>20</v>
      </c>
      <c r="B21" s="8" t="s">
        <v>0</v>
      </c>
      <c r="C21" s="8" t="s">
        <v>7</v>
      </c>
      <c r="D21" s="5" t="s">
        <v>98</v>
      </c>
      <c r="E21" s="9" t="s">
        <v>50</v>
      </c>
      <c r="F21" s="8" t="s">
        <v>2</v>
      </c>
      <c r="G21" s="8" t="s">
        <v>2</v>
      </c>
      <c r="H21" s="10">
        <v>21</v>
      </c>
      <c r="I21" s="8" t="s">
        <v>98</v>
      </c>
      <c r="J21" s="8" t="s">
        <v>3</v>
      </c>
      <c r="K21" s="8" t="s">
        <v>64</v>
      </c>
      <c r="L21" s="8" t="s">
        <v>5</v>
      </c>
      <c r="M21" s="5" t="s">
        <v>88</v>
      </c>
      <c r="N21" s="8" t="s">
        <v>6</v>
      </c>
      <c r="O21" s="11">
        <v>1015</v>
      </c>
      <c r="P21" s="8">
        <v>10</v>
      </c>
      <c r="Q21" s="8">
        <f t="shared" si="0"/>
        <v>10150</v>
      </c>
      <c r="R21" s="19">
        <f t="shared" si="1"/>
        <v>2.8938567555161472E-3</v>
      </c>
    </row>
    <row r="22" spans="1:18" x14ac:dyDescent="0.3">
      <c r="A22" s="8">
        <f t="shared" si="2"/>
        <v>21</v>
      </c>
      <c r="B22" s="8" t="s">
        <v>0</v>
      </c>
      <c r="C22" s="8" t="s">
        <v>7</v>
      </c>
      <c r="D22" s="5" t="s">
        <v>98</v>
      </c>
      <c r="E22" s="9" t="s">
        <v>51</v>
      </c>
      <c r="F22" s="8" t="s">
        <v>2</v>
      </c>
      <c r="G22" s="8" t="s">
        <v>2</v>
      </c>
      <c r="H22" s="10">
        <v>22</v>
      </c>
      <c r="I22" s="8" t="s">
        <v>98</v>
      </c>
      <c r="J22" s="8" t="s">
        <v>3</v>
      </c>
      <c r="K22" s="8" t="s">
        <v>4</v>
      </c>
      <c r="L22" s="8" t="s">
        <v>5</v>
      </c>
      <c r="M22" s="8" t="s">
        <v>91</v>
      </c>
      <c r="N22" s="8" t="s">
        <v>6</v>
      </c>
      <c r="O22" s="11">
        <v>255</v>
      </c>
      <c r="P22" s="8">
        <v>10</v>
      </c>
      <c r="Q22" s="8">
        <f t="shared" si="0"/>
        <v>2550</v>
      </c>
      <c r="R22" s="19">
        <f t="shared" si="1"/>
        <v>7.2702805187844089E-4</v>
      </c>
    </row>
    <row r="23" spans="1:18" ht="28.8" x14ac:dyDescent="0.3">
      <c r="A23" s="8">
        <f t="shared" si="2"/>
        <v>22</v>
      </c>
      <c r="B23" s="8" t="s">
        <v>0</v>
      </c>
      <c r="C23" s="8" t="s">
        <v>7</v>
      </c>
      <c r="D23" s="5" t="s">
        <v>98</v>
      </c>
      <c r="E23" s="9" t="s">
        <v>53</v>
      </c>
      <c r="F23" s="8" t="s">
        <v>2</v>
      </c>
      <c r="G23" s="8" t="s">
        <v>2</v>
      </c>
      <c r="H23" s="10">
        <v>23</v>
      </c>
      <c r="I23" s="8" t="s">
        <v>98</v>
      </c>
      <c r="J23" s="5" t="s">
        <v>101</v>
      </c>
      <c r="K23" s="8" t="s">
        <v>4</v>
      </c>
      <c r="L23" s="8" t="s">
        <v>93</v>
      </c>
      <c r="M23" s="8">
        <v>28800654</v>
      </c>
      <c r="N23" s="8" t="s">
        <v>6</v>
      </c>
      <c r="O23" s="17">
        <v>574</v>
      </c>
      <c r="P23" s="8">
        <v>10</v>
      </c>
      <c r="Q23" s="8">
        <f t="shared" si="0"/>
        <v>5740</v>
      </c>
      <c r="R23" s="19">
        <f t="shared" si="1"/>
        <v>1.636525889326373E-3</v>
      </c>
    </row>
    <row r="24" spans="1:18" x14ac:dyDescent="0.3">
      <c r="A24" s="8">
        <f t="shared" si="2"/>
        <v>23</v>
      </c>
      <c r="B24" s="8" t="s">
        <v>0</v>
      </c>
      <c r="C24" s="8" t="s">
        <v>7</v>
      </c>
      <c r="D24" s="5" t="s">
        <v>98</v>
      </c>
      <c r="E24" s="9" t="s">
        <v>52</v>
      </c>
      <c r="F24" s="8" t="s">
        <v>2</v>
      </c>
      <c r="G24" s="8" t="s">
        <v>2</v>
      </c>
      <c r="H24" s="10">
        <v>24</v>
      </c>
      <c r="I24" s="8" t="s">
        <v>98</v>
      </c>
      <c r="J24" s="5" t="s">
        <v>101</v>
      </c>
      <c r="K24" s="8" t="s">
        <v>4</v>
      </c>
      <c r="L24" s="8" t="s">
        <v>92</v>
      </c>
      <c r="M24" s="8">
        <v>578195682</v>
      </c>
      <c r="N24" s="8" t="s">
        <v>6</v>
      </c>
      <c r="O24" s="17">
        <v>382</v>
      </c>
      <c r="P24" s="8">
        <v>10</v>
      </c>
      <c r="Q24" s="8">
        <f t="shared" si="0"/>
        <v>3820</v>
      </c>
      <c r="R24" s="19">
        <f t="shared" si="1"/>
        <v>1.0891165326178997E-3</v>
      </c>
    </row>
    <row r="25" spans="1:18" x14ac:dyDescent="0.3">
      <c r="A25" s="8">
        <f t="shared" si="2"/>
        <v>24</v>
      </c>
      <c r="B25" s="8" t="s">
        <v>0</v>
      </c>
      <c r="C25" s="8" t="s">
        <v>7</v>
      </c>
      <c r="D25" s="5" t="s">
        <v>98</v>
      </c>
      <c r="E25" s="9" t="s">
        <v>54</v>
      </c>
      <c r="F25" s="8" t="s">
        <v>2</v>
      </c>
      <c r="G25" s="8" t="s">
        <v>2</v>
      </c>
      <c r="H25" s="10">
        <v>25</v>
      </c>
      <c r="I25" s="8" t="s">
        <v>98</v>
      </c>
      <c r="J25" s="5" t="s">
        <v>101</v>
      </c>
      <c r="K25" s="8" t="s">
        <v>4</v>
      </c>
      <c r="L25" s="8" t="s">
        <v>92</v>
      </c>
      <c r="M25" s="8">
        <v>578768112</v>
      </c>
      <c r="N25" s="8" t="s">
        <v>6</v>
      </c>
      <c r="O25" s="17">
        <v>382</v>
      </c>
      <c r="P25" s="8">
        <v>10</v>
      </c>
      <c r="Q25" s="8">
        <f t="shared" si="0"/>
        <v>3820</v>
      </c>
      <c r="R25" s="19">
        <f t="shared" si="1"/>
        <v>1.0891165326178997E-3</v>
      </c>
    </row>
    <row r="26" spans="1:18" x14ac:dyDescent="0.3">
      <c r="A26" s="8">
        <f t="shared" si="2"/>
        <v>25</v>
      </c>
      <c r="B26" s="8" t="s">
        <v>0</v>
      </c>
      <c r="C26" s="8" t="s">
        <v>7</v>
      </c>
      <c r="D26" s="5" t="s">
        <v>98</v>
      </c>
      <c r="E26" s="9" t="s">
        <v>35</v>
      </c>
      <c r="F26" s="8" t="s">
        <v>2</v>
      </c>
      <c r="G26" s="8" t="s">
        <v>2</v>
      </c>
      <c r="H26" s="10">
        <v>26</v>
      </c>
      <c r="I26" s="8" t="s">
        <v>98</v>
      </c>
      <c r="J26" s="5" t="s">
        <v>101</v>
      </c>
      <c r="K26" s="8" t="s">
        <v>64</v>
      </c>
      <c r="L26" s="8" t="s">
        <v>92</v>
      </c>
      <c r="M26" s="8">
        <v>417985058</v>
      </c>
      <c r="N26" s="8" t="s">
        <v>6</v>
      </c>
      <c r="O26" s="17">
        <v>696</v>
      </c>
      <c r="P26" s="8">
        <v>10</v>
      </c>
      <c r="Q26" s="8">
        <f t="shared" si="0"/>
        <v>6960</v>
      </c>
      <c r="R26" s="19">
        <f t="shared" si="1"/>
        <v>1.9843589180682151E-3</v>
      </c>
    </row>
    <row r="27" spans="1:18" ht="28.8" x14ac:dyDescent="0.3">
      <c r="A27" s="8">
        <f t="shared" si="2"/>
        <v>26</v>
      </c>
      <c r="B27" s="8" t="s">
        <v>0</v>
      </c>
      <c r="C27" s="8" t="s">
        <v>7</v>
      </c>
      <c r="D27" s="5" t="s">
        <v>98</v>
      </c>
      <c r="E27" s="9" t="s">
        <v>55</v>
      </c>
      <c r="F27" s="8" t="s">
        <v>2</v>
      </c>
      <c r="G27" s="8" t="s">
        <v>2</v>
      </c>
      <c r="H27" s="10">
        <v>27</v>
      </c>
      <c r="I27" s="8" t="s">
        <v>98</v>
      </c>
      <c r="J27" s="5" t="s">
        <v>101</v>
      </c>
      <c r="K27" s="8" t="s">
        <v>4</v>
      </c>
      <c r="L27" s="8" t="s">
        <v>93</v>
      </c>
      <c r="M27" s="8" t="s">
        <v>94</v>
      </c>
      <c r="N27" s="8" t="s">
        <v>6</v>
      </c>
      <c r="O27" s="17">
        <v>700</v>
      </c>
      <c r="P27" s="8">
        <v>10</v>
      </c>
      <c r="Q27" s="8">
        <f t="shared" si="0"/>
        <v>7000</v>
      </c>
      <c r="R27" s="19">
        <f t="shared" si="1"/>
        <v>1.9957632796663086E-3</v>
      </c>
    </row>
    <row r="28" spans="1:18" x14ac:dyDescent="0.3">
      <c r="A28" s="8">
        <f t="shared" si="2"/>
        <v>27</v>
      </c>
      <c r="B28" s="8" t="s">
        <v>0</v>
      </c>
      <c r="C28" s="8" t="s">
        <v>7</v>
      </c>
      <c r="D28" s="5" t="s">
        <v>98</v>
      </c>
      <c r="E28" s="9" t="s">
        <v>56</v>
      </c>
      <c r="F28" s="8" t="s">
        <v>2</v>
      </c>
      <c r="G28" s="8" t="s">
        <v>2</v>
      </c>
      <c r="H28" s="10">
        <v>28</v>
      </c>
      <c r="I28" s="8" t="s">
        <v>98</v>
      </c>
      <c r="J28" s="8" t="s">
        <v>3</v>
      </c>
      <c r="K28" s="8" t="s">
        <v>4</v>
      </c>
      <c r="L28" s="8" t="s">
        <v>5</v>
      </c>
      <c r="M28" s="15" t="s">
        <v>81</v>
      </c>
      <c r="N28" s="8" t="s">
        <v>6</v>
      </c>
      <c r="O28" s="11">
        <v>72</v>
      </c>
      <c r="P28" s="8">
        <v>10</v>
      </c>
      <c r="Q28" s="8">
        <f t="shared" si="0"/>
        <v>720</v>
      </c>
      <c r="R28" s="19">
        <f t="shared" si="1"/>
        <v>2.0527850876567744E-4</v>
      </c>
    </row>
    <row r="29" spans="1:18" x14ac:dyDescent="0.3">
      <c r="A29" s="8">
        <f t="shared" si="2"/>
        <v>28</v>
      </c>
      <c r="B29" s="8" t="s">
        <v>0</v>
      </c>
      <c r="C29" s="8" t="s">
        <v>7</v>
      </c>
      <c r="D29" s="5" t="s">
        <v>98</v>
      </c>
      <c r="E29" s="9" t="s">
        <v>57</v>
      </c>
      <c r="F29" s="8" t="s">
        <v>2</v>
      </c>
      <c r="G29" s="8" t="s">
        <v>2</v>
      </c>
      <c r="H29" s="10">
        <v>29</v>
      </c>
      <c r="I29" s="8" t="s">
        <v>98</v>
      </c>
      <c r="J29" s="8" t="s">
        <v>3</v>
      </c>
      <c r="K29" s="8" t="s">
        <v>4</v>
      </c>
      <c r="L29" s="8" t="s">
        <v>5</v>
      </c>
      <c r="M29" s="15" t="s">
        <v>83</v>
      </c>
      <c r="N29" s="8" t="s">
        <v>6</v>
      </c>
      <c r="O29" s="11">
        <v>90</v>
      </c>
      <c r="P29" s="8">
        <v>10</v>
      </c>
      <c r="Q29" s="8">
        <f t="shared" si="0"/>
        <v>900</v>
      </c>
      <c r="R29" s="19">
        <f t="shared" si="1"/>
        <v>2.5659813595709679E-4</v>
      </c>
    </row>
    <row r="30" spans="1:18" x14ac:dyDescent="0.3">
      <c r="A30" s="8">
        <f t="shared" si="2"/>
        <v>29</v>
      </c>
      <c r="B30" s="8" t="s">
        <v>0</v>
      </c>
      <c r="C30" s="8" t="s">
        <v>7</v>
      </c>
      <c r="D30" s="5" t="s">
        <v>98</v>
      </c>
      <c r="E30" s="9" t="s">
        <v>58</v>
      </c>
      <c r="F30" s="8" t="s">
        <v>2</v>
      </c>
      <c r="G30" s="8" t="s">
        <v>2</v>
      </c>
      <c r="H30" s="10">
        <v>30</v>
      </c>
      <c r="I30" s="8" t="s">
        <v>98</v>
      </c>
      <c r="J30" s="8" t="s">
        <v>3</v>
      </c>
      <c r="K30" s="8" t="s">
        <v>64</v>
      </c>
      <c r="L30" s="8" t="s">
        <v>5</v>
      </c>
      <c r="M30" s="15" t="s">
        <v>79</v>
      </c>
      <c r="N30" s="8" t="s">
        <v>6</v>
      </c>
      <c r="O30" s="11">
        <v>72</v>
      </c>
      <c r="P30" s="8">
        <v>10</v>
      </c>
      <c r="Q30" s="8">
        <f t="shared" si="0"/>
        <v>720</v>
      </c>
      <c r="R30" s="19">
        <f t="shared" si="1"/>
        <v>2.0527850876567744E-4</v>
      </c>
    </row>
    <row r="31" spans="1:18" x14ac:dyDescent="0.3">
      <c r="A31" s="8">
        <f t="shared" si="2"/>
        <v>30</v>
      </c>
      <c r="B31" s="8" t="s">
        <v>0</v>
      </c>
      <c r="C31" s="8" t="s">
        <v>7</v>
      </c>
      <c r="D31" s="5" t="s">
        <v>98</v>
      </c>
      <c r="E31" s="9" t="s">
        <v>59</v>
      </c>
      <c r="F31" s="8" t="s">
        <v>2</v>
      </c>
      <c r="G31" s="8" t="s">
        <v>2</v>
      </c>
      <c r="H31" s="10">
        <v>31</v>
      </c>
      <c r="I31" s="8" t="s">
        <v>98</v>
      </c>
      <c r="J31" s="8" t="s">
        <v>3</v>
      </c>
      <c r="K31" s="8" t="s">
        <v>4</v>
      </c>
      <c r="L31" s="8" t="s">
        <v>5</v>
      </c>
      <c r="M31" s="15" t="s">
        <v>80</v>
      </c>
      <c r="N31" s="8" t="s">
        <v>6</v>
      </c>
      <c r="O31" s="11">
        <v>72</v>
      </c>
      <c r="P31" s="8">
        <v>10</v>
      </c>
      <c r="Q31" s="8">
        <f t="shared" si="0"/>
        <v>720</v>
      </c>
      <c r="R31" s="19">
        <f t="shared" si="1"/>
        <v>2.0527850876567744E-4</v>
      </c>
    </row>
    <row r="32" spans="1:18" x14ac:dyDescent="0.3">
      <c r="A32" s="8">
        <f t="shared" si="2"/>
        <v>31</v>
      </c>
      <c r="B32" s="8" t="s">
        <v>0</v>
      </c>
      <c r="C32" s="8" t="s">
        <v>7</v>
      </c>
      <c r="D32" s="5" t="s">
        <v>98</v>
      </c>
      <c r="E32" s="9" t="s">
        <v>60</v>
      </c>
      <c r="F32" s="8" t="s">
        <v>2</v>
      </c>
      <c r="G32" s="8" t="s">
        <v>2</v>
      </c>
      <c r="H32" s="10">
        <v>32</v>
      </c>
      <c r="I32" s="8" t="s">
        <v>98</v>
      </c>
      <c r="J32" s="8" t="s">
        <v>3</v>
      </c>
      <c r="K32" s="8" t="s">
        <v>4</v>
      </c>
      <c r="L32" s="8" t="s">
        <v>5</v>
      </c>
      <c r="M32" s="15" t="s">
        <v>82</v>
      </c>
      <c r="N32" s="8" t="s">
        <v>6</v>
      </c>
      <c r="O32" s="11">
        <v>36</v>
      </c>
      <c r="P32" s="8">
        <v>10</v>
      </c>
      <c r="Q32" s="8">
        <f t="shared" si="0"/>
        <v>360</v>
      </c>
      <c r="R32" s="19">
        <f t="shared" si="1"/>
        <v>1.0263925438283872E-4</v>
      </c>
    </row>
    <row r="33" spans="1:18" x14ac:dyDescent="0.3">
      <c r="A33" s="8">
        <f t="shared" si="2"/>
        <v>32</v>
      </c>
      <c r="B33" s="8" t="s">
        <v>0</v>
      </c>
      <c r="C33" s="8" t="s">
        <v>7</v>
      </c>
      <c r="D33" s="5" t="s">
        <v>98</v>
      </c>
      <c r="E33" s="9" t="s">
        <v>61</v>
      </c>
      <c r="F33" s="8" t="s">
        <v>2</v>
      </c>
      <c r="G33" s="8" t="s">
        <v>2</v>
      </c>
      <c r="H33" s="10">
        <v>33</v>
      </c>
      <c r="I33" s="8" t="s">
        <v>98</v>
      </c>
      <c r="J33" s="8" t="s">
        <v>3</v>
      </c>
      <c r="K33" s="8" t="s">
        <v>4</v>
      </c>
      <c r="L33" s="8" t="s">
        <v>5</v>
      </c>
      <c r="M33" s="15" t="s">
        <v>84</v>
      </c>
      <c r="N33" s="8" t="s">
        <v>6</v>
      </c>
      <c r="O33" s="11">
        <v>254</v>
      </c>
      <c r="P33" s="8">
        <v>10</v>
      </c>
      <c r="Q33" s="8">
        <f t="shared" si="0"/>
        <v>2540</v>
      </c>
      <c r="R33" s="19">
        <f t="shared" si="1"/>
        <v>7.2417696147891763E-4</v>
      </c>
    </row>
    <row r="34" spans="1:18" x14ac:dyDescent="0.3">
      <c r="A34" s="8">
        <f t="shared" si="2"/>
        <v>33</v>
      </c>
      <c r="B34" s="8" t="s">
        <v>0</v>
      </c>
      <c r="C34" s="8" t="s">
        <v>7</v>
      </c>
      <c r="D34" s="5" t="s">
        <v>98</v>
      </c>
      <c r="E34" s="9" t="s">
        <v>62</v>
      </c>
      <c r="F34" s="8" t="s">
        <v>2</v>
      </c>
      <c r="G34" s="8" t="s">
        <v>2</v>
      </c>
      <c r="H34" s="10">
        <v>34</v>
      </c>
      <c r="I34" s="8" t="s">
        <v>98</v>
      </c>
      <c r="J34" s="8" t="s">
        <v>3</v>
      </c>
      <c r="K34" s="8" t="s">
        <v>4</v>
      </c>
      <c r="L34" s="8" t="s">
        <v>5</v>
      </c>
      <c r="M34" s="16" t="s">
        <v>86</v>
      </c>
      <c r="N34" s="8" t="s">
        <v>6</v>
      </c>
      <c r="O34" s="11">
        <v>872</v>
      </c>
      <c r="P34" s="8">
        <v>10</v>
      </c>
      <c r="Q34" s="8">
        <f t="shared" si="0"/>
        <v>8720</v>
      </c>
      <c r="R34" s="19">
        <f t="shared" si="1"/>
        <v>2.4861508283843155E-3</v>
      </c>
    </row>
    <row r="35" spans="1:18" x14ac:dyDescent="0.3">
      <c r="A35" s="8">
        <f t="shared" si="2"/>
        <v>34</v>
      </c>
      <c r="B35" s="8" t="s">
        <v>66</v>
      </c>
      <c r="C35" s="8" t="s">
        <v>7</v>
      </c>
      <c r="D35" s="5" t="s">
        <v>99</v>
      </c>
      <c r="E35" s="9" t="s">
        <v>36</v>
      </c>
      <c r="F35" s="8" t="s">
        <v>2</v>
      </c>
      <c r="G35" s="8" t="s">
        <v>2</v>
      </c>
      <c r="H35" s="10">
        <v>35</v>
      </c>
      <c r="I35" s="8" t="s">
        <v>98</v>
      </c>
      <c r="J35" s="8" t="s">
        <v>3</v>
      </c>
      <c r="K35" s="8" t="s">
        <v>9</v>
      </c>
      <c r="L35" s="8" t="s">
        <v>9</v>
      </c>
      <c r="M35" s="15" t="s">
        <v>85</v>
      </c>
      <c r="N35" s="8" t="s">
        <v>6</v>
      </c>
      <c r="O35" s="11">
        <v>18182</v>
      </c>
      <c r="P35" s="8">
        <v>10</v>
      </c>
      <c r="Q35" s="8">
        <f t="shared" si="0"/>
        <v>181820</v>
      </c>
      <c r="R35" s="19">
        <f t="shared" si="1"/>
        <v>5.1838525644132598E-2</v>
      </c>
    </row>
    <row r="36" spans="1:18" x14ac:dyDescent="0.3">
      <c r="A36" s="8">
        <f t="shared" si="2"/>
        <v>35</v>
      </c>
      <c r="B36" s="8" t="s">
        <v>0</v>
      </c>
      <c r="C36" s="8" t="s">
        <v>7</v>
      </c>
      <c r="D36" s="5" t="s">
        <v>98</v>
      </c>
      <c r="E36" s="9" t="s">
        <v>63</v>
      </c>
      <c r="F36" s="8" t="s">
        <v>2</v>
      </c>
      <c r="G36" s="8" t="s">
        <v>2</v>
      </c>
      <c r="H36" s="10">
        <v>36</v>
      </c>
      <c r="I36" s="8" t="s">
        <v>98</v>
      </c>
      <c r="J36" s="8" t="s">
        <v>3</v>
      </c>
      <c r="K36" s="8" t="s">
        <v>4</v>
      </c>
      <c r="L36" s="8" t="s">
        <v>5</v>
      </c>
      <c r="M36" s="5" t="s">
        <v>78</v>
      </c>
      <c r="N36" s="8" t="s">
        <v>6</v>
      </c>
      <c r="O36" s="11">
        <v>28</v>
      </c>
      <c r="P36" s="8">
        <v>10</v>
      </c>
      <c r="Q36" s="8">
        <f t="shared" si="0"/>
        <v>280</v>
      </c>
      <c r="R36" s="19">
        <f t="shared" si="1"/>
        <v>7.9830531186652335E-5</v>
      </c>
    </row>
    <row r="37" spans="1:18" ht="28.8" x14ac:dyDescent="0.3">
      <c r="A37" s="8">
        <f t="shared" si="2"/>
        <v>36</v>
      </c>
      <c r="B37" s="8" t="s">
        <v>65</v>
      </c>
      <c r="C37" s="8" t="s">
        <v>7</v>
      </c>
      <c r="D37" s="5" t="s">
        <v>99</v>
      </c>
      <c r="E37" s="9" t="s">
        <v>30</v>
      </c>
      <c r="F37" s="8" t="s">
        <v>27</v>
      </c>
      <c r="G37" s="5" t="s">
        <v>68</v>
      </c>
      <c r="H37" s="10">
        <v>1</v>
      </c>
      <c r="I37" s="8" t="s">
        <v>98</v>
      </c>
      <c r="J37" s="5" t="s">
        <v>100</v>
      </c>
      <c r="K37" s="8" t="s">
        <v>9</v>
      </c>
      <c r="L37" s="8" t="s">
        <v>93</v>
      </c>
      <c r="M37" s="5">
        <v>11295566</v>
      </c>
      <c r="N37" s="8" t="s">
        <v>6</v>
      </c>
      <c r="O37" s="12">
        <v>5030</v>
      </c>
      <c r="P37" s="8">
        <v>10</v>
      </c>
      <c r="Q37" s="8">
        <f t="shared" si="0"/>
        <v>50300</v>
      </c>
      <c r="R37" s="19">
        <f>+O37/$O$39*100</f>
        <v>1.4340984709602187</v>
      </c>
    </row>
    <row r="39" spans="1:18" x14ac:dyDescent="0.3">
      <c r="O39" s="7">
        <f>SUM(O2:O37)</f>
        <v>350743</v>
      </c>
    </row>
    <row r="42" spans="1:18" ht="28.8" x14ac:dyDescent="0.3">
      <c r="A42" s="8">
        <f>A37+1</f>
        <v>37</v>
      </c>
      <c r="B42" s="8" t="s">
        <v>0</v>
      </c>
      <c r="C42" s="8" t="s">
        <v>7</v>
      </c>
      <c r="D42" s="5" t="s">
        <v>98</v>
      </c>
      <c r="E42" s="9" t="s">
        <v>37</v>
      </c>
      <c r="F42" s="8" t="s">
        <v>8</v>
      </c>
      <c r="G42" s="5" t="s">
        <v>67</v>
      </c>
      <c r="H42" s="10">
        <v>3</v>
      </c>
      <c r="I42" s="8" t="s">
        <v>98</v>
      </c>
      <c r="J42" s="8" t="s">
        <v>3</v>
      </c>
      <c r="K42" s="8" t="s">
        <v>4</v>
      </c>
      <c r="L42" s="8" t="s">
        <v>93</v>
      </c>
      <c r="M42" s="8" t="s">
        <v>95</v>
      </c>
      <c r="N42" s="8" t="s">
        <v>6</v>
      </c>
      <c r="O42" s="12">
        <v>7323</v>
      </c>
      <c r="P42" s="8">
        <v>1000</v>
      </c>
      <c r="Q42" s="8">
        <f>P42*O42</f>
        <v>7323000</v>
      </c>
      <c r="R42" s="19">
        <f>+O42/$O$39</f>
        <v>2.087853499570911E-2</v>
      </c>
    </row>
  </sheetData>
  <conditionalFormatting sqref="M28">
    <cfRule type="duplicateValues" dxfId="5" priority="4"/>
  </conditionalFormatting>
  <conditionalFormatting sqref="M29">
    <cfRule type="duplicateValues" dxfId="4" priority="2"/>
  </conditionalFormatting>
  <conditionalFormatting sqref="M30">
    <cfRule type="duplicateValues" dxfId="3" priority="6"/>
  </conditionalFormatting>
  <conditionalFormatting sqref="M31">
    <cfRule type="duplicateValues" dxfId="2" priority="5"/>
  </conditionalFormatting>
  <conditionalFormatting sqref="M32">
    <cfRule type="duplicateValues" dxfId="1" priority="3"/>
  </conditionalFormatting>
  <conditionalFormatting sqref="M35">
    <cfRule type="duplicateValues" dxfId="0" priority="1"/>
  </conditionalFormatting>
  <dataValidations disablePrompts="1" count="1">
    <dataValidation type="textLength" operator="equal" allowBlank="1" showInputMessage="1" promptTitle="PAN number" prompt="Mention Valid PAN of 10 Digit._x000a_No space between characters_x000a_In case of Invalid PAN mention following value:_x000a__x000a_PANINVALID_x000a_PANAPPLIED_x000a_PANNOTAVBL_x000a__x000a_ -KDK software" sqref="M34" xr:uid="{44D5E28B-352F-417F-AE4B-A65D2B3E3C6A}">
      <formula1>10</formula1>
    </dataValidation>
  </dataValidations>
  <pageMargins left="0.7" right="0.7" top="0.75" bottom="0.75" header="0.3" footer="0.3"/>
  <pageSetup paperSize="9" scale="32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Akshayam Mudith</dc:creator>
  <cp:lastModifiedBy>Akshayam Gayathri</cp:lastModifiedBy>
  <cp:lastPrinted>2025-09-26T04:42:16Z</cp:lastPrinted>
  <dcterms:created xsi:type="dcterms:W3CDTF">2025-09-23T13:44:24Z</dcterms:created>
  <dcterms:modified xsi:type="dcterms:W3CDTF">2026-06-04T06:47:08Z</dcterms:modified>
</cp:coreProperties>
</file>