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20730" windowHeight="11760" tabRatio="906" firstSheet="3" activeTab="4"/>
  </bookViews>
  <sheets>
    <sheet name="About Sheet" sheetId="1" state="hidden" r:id="rId1"/>
    <sheet name="Master Sheet" sheetId="2" state="hidden" r:id="rId2"/>
    <sheet name="TB" sheetId="20" state="hidden" r:id="rId3"/>
    <sheet name="Sheet1" sheetId="23" r:id="rId4"/>
    <sheet name="Working TB" sheetId="22" r:id="rId5"/>
    <sheet name="Balance Sheet" sheetId="4" r:id="rId6"/>
    <sheet name="Profit and Loss" sheetId="5" r:id="rId7"/>
    <sheet name="CFS" sheetId="6" r:id="rId8"/>
    <sheet name="Accounting Polices" sheetId="19" r:id="rId9"/>
    <sheet name="Balance Sheet Notes" sheetId="7" r:id="rId10"/>
    <sheet name="Profit and Loss Notes" sheetId="8" r:id="rId11"/>
    <sheet name="Other Notes" sheetId="17" r:id="rId12"/>
    <sheet name="Annexure BS" sheetId="9" r:id="rId13"/>
    <sheet name="Annexure PnL" sheetId="10" r:id="rId14"/>
    <sheet name="TB PY" sheetId="12" state="hidden" r:id="rId15"/>
    <sheet name="Deferred Tax" sheetId="13" r:id="rId16"/>
    <sheet name="IT Dep" sheetId="14" r:id="rId17"/>
    <sheet name="IT Computation" sheetId="16" r:id="rId18"/>
    <sheet name="TB CY" sheetId="11" state="hidden" r:id="rId19"/>
  </sheets>
  <definedNames>
    <definedName name="_xlnm._FilterDatabase" localSheetId="18" hidden="1">'TB CY'!$A$1:$S$100</definedName>
    <definedName name="_Hlk135152171" localSheetId="8">'Accounting Polices'!$C$26</definedName>
    <definedName name="_Hlk525235484" localSheetId="8">'Accounting Polices'!$C$44</definedName>
    <definedName name="OLE_LINK1" localSheetId="9">'Balance Sheet Notes'!#REF!</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6" l="1"/>
  <c r="F45" i="22"/>
  <c r="E87" i="22"/>
  <c r="D87" i="22"/>
  <c r="C45" i="22"/>
  <c r="E54" i="22" l="1"/>
  <c r="D139" i="22"/>
  <c r="F87" i="22" s="1"/>
  <c r="C54" i="22"/>
  <c r="C102" i="22"/>
  <c r="D75" i="8" l="1"/>
  <c r="D71" i="8"/>
  <c r="B74" i="17" l="1"/>
  <c r="B75" i="17" s="1"/>
  <c r="B76" i="17" s="1"/>
  <c r="B77" i="17" s="1"/>
  <c r="B78" i="17" s="1"/>
  <c r="B79" i="17" s="1"/>
  <c r="B80" i="17" s="1"/>
  <c r="B81" i="17" s="1"/>
  <c r="B82" i="17" s="1"/>
  <c r="B83" i="17" s="1"/>
  <c r="D61" i="8"/>
  <c r="B5" i="13"/>
  <c r="B4" i="13"/>
  <c r="D111" i="8"/>
  <c r="B4" i="8"/>
  <c r="B4" i="17" s="1"/>
  <c r="F159" i="7"/>
  <c r="D153" i="7" l="1"/>
  <c r="D154" i="7" s="1"/>
  <c r="D150" i="7"/>
  <c r="F149" i="16"/>
  <c r="G149" i="16" s="1"/>
  <c r="G158" i="16" l="1"/>
  <c r="F156" i="16"/>
  <c r="F159" i="16" s="1"/>
  <c r="F157" i="16"/>
  <c r="H141" i="16"/>
  <c r="I141" i="16" s="1"/>
  <c r="H140" i="16"/>
  <c r="I139" i="16"/>
  <c r="F38" i="16"/>
  <c r="F44" i="16"/>
  <c r="G27" i="17" l="1"/>
  <c r="D49" i="6" l="1"/>
  <c r="C109" i="9" l="1"/>
  <c r="D109" i="9"/>
  <c r="E83" i="22"/>
  <c r="E90" i="22"/>
  <c r="D124" i="22"/>
  <c r="F29" i="22" s="1"/>
  <c r="D119" i="22"/>
  <c r="F30" i="22" s="1"/>
  <c r="E74" i="22"/>
  <c r="D114" i="22"/>
  <c r="F79" i="22" s="1"/>
  <c r="H79" i="22" s="1"/>
  <c r="C20" i="10" s="1"/>
  <c r="D144" i="22"/>
  <c r="F94" i="22" s="1"/>
  <c r="D129" i="22"/>
  <c r="F39" i="22" s="1"/>
  <c r="E45" i="22"/>
  <c r="E58" i="22"/>
  <c r="F58" i="22"/>
  <c r="E59" i="22"/>
  <c r="F59" i="22"/>
  <c r="E60" i="22"/>
  <c r="F60" i="22"/>
  <c r="E61" i="22"/>
  <c r="F61" i="22"/>
  <c r="E62" i="22"/>
  <c r="F62" i="22"/>
  <c r="F57" i="22"/>
  <c r="E57" i="22"/>
  <c r="C58" i="22"/>
  <c r="C59" i="22"/>
  <c r="C60" i="22"/>
  <c r="C61" i="22"/>
  <c r="C62" i="22"/>
  <c r="C57" i="22"/>
  <c r="E25" i="22"/>
  <c r="F25" i="22"/>
  <c r="F24" i="22"/>
  <c r="E24" i="22"/>
  <c r="F23" i="17" l="1"/>
  <c r="G62" i="22"/>
  <c r="C126" i="9" s="1"/>
  <c r="G58" i="22"/>
  <c r="G60" i="22"/>
  <c r="C119" i="9" s="1"/>
  <c r="G57" i="22"/>
  <c r="G59" i="22"/>
  <c r="G61" i="22"/>
  <c r="C121" i="9" s="1"/>
  <c r="C33" i="8" l="1"/>
  <c r="D52" i="6"/>
  <c r="D50" i="6"/>
  <c r="E57" i="6"/>
  <c r="E50" i="6"/>
  <c r="E52" i="6" s="1"/>
  <c r="E53" i="6" s="1"/>
  <c r="E38" i="6"/>
  <c r="E22" i="6"/>
  <c r="E21" i="6"/>
  <c r="E17" i="6"/>
  <c r="E23" i="6"/>
  <c r="E19" i="6"/>
  <c r="E14" i="6"/>
  <c r="E12" i="6"/>
  <c r="E10" i="6"/>
  <c r="B2" i="6"/>
  <c r="D118" i="7"/>
  <c r="D115" i="7"/>
  <c r="D129" i="9"/>
  <c r="D128" i="9"/>
  <c r="D126" i="9"/>
  <c r="D122" i="9"/>
  <c r="D121" i="9"/>
  <c r="D120" i="9"/>
  <c r="D119" i="9"/>
  <c r="D118" i="9"/>
  <c r="D56" i="9"/>
  <c r="D54" i="9"/>
  <c r="D25" i="9"/>
  <c r="D118" i="10"/>
  <c r="D114" i="10"/>
  <c r="D109" i="10"/>
  <c r="D104" i="10"/>
  <c r="D91" i="10"/>
  <c r="D87" i="10"/>
  <c r="D58" i="8" s="1"/>
  <c r="D80" i="10"/>
  <c r="D79" i="10"/>
  <c r="D78" i="10"/>
  <c r="D76" i="10"/>
  <c r="D72" i="10"/>
  <c r="D67" i="10"/>
  <c r="D51" i="8" s="1"/>
  <c r="D66" i="10"/>
  <c r="D64" i="10"/>
  <c r="D63" i="10"/>
  <c r="D65" i="10"/>
  <c r="D57" i="10"/>
  <c r="D56" i="10"/>
  <c r="D50" i="10"/>
  <c r="D44" i="10"/>
  <c r="D38" i="10"/>
  <c r="D34" i="10"/>
  <c r="D33" i="10"/>
  <c r="D14" i="10"/>
  <c r="D19" i="10"/>
  <c r="D18" i="10"/>
  <c r="D25" i="10"/>
  <c r="D26" i="10" s="1"/>
  <c r="C18" i="10"/>
  <c r="D22" i="10" l="1"/>
  <c r="D69" i="10"/>
  <c r="C63" i="10"/>
  <c r="H162" i="7"/>
  <c r="H159" i="7"/>
  <c r="D139" i="7"/>
  <c r="C102" i="8"/>
  <c r="D102" i="8"/>
  <c r="D68" i="8"/>
  <c r="D67" i="8"/>
  <c r="D66" i="8"/>
  <c r="D59" i="8"/>
  <c r="D57" i="8"/>
  <c r="D56" i="8"/>
  <c r="D55" i="8"/>
  <c r="D54" i="8"/>
  <c r="D53" i="8"/>
  <c r="D52" i="8"/>
  <c r="C48" i="8"/>
  <c r="D50" i="8"/>
  <c r="D49" i="8"/>
  <c r="D48" i="8"/>
  <c r="D47" i="8"/>
  <c r="D46" i="8"/>
  <c r="C114" i="10"/>
  <c r="C58" i="8" s="1"/>
  <c r="D105" i="10"/>
  <c r="D100" i="10"/>
  <c r="D65" i="8" s="1"/>
  <c r="D96" i="10"/>
  <c r="D60" i="8" s="1"/>
  <c r="D95" i="10"/>
  <c r="D64" i="8" s="1"/>
  <c r="C76" i="10"/>
  <c r="D83" i="10"/>
  <c r="D77" i="10"/>
  <c r="C67" i="8" l="1"/>
  <c r="C67" i="10"/>
  <c r="D58" i="10"/>
  <c r="C34" i="10"/>
  <c r="C33" i="10"/>
  <c r="C14" i="10"/>
  <c r="D94" i="9" l="1"/>
  <c r="D96" i="9" s="1"/>
  <c r="D142" i="9"/>
  <c r="D112" i="9"/>
  <c r="D89" i="9"/>
  <c r="D13" i="9"/>
  <c r="F70" i="22"/>
  <c r="C68" i="22"/>
  <c r="D135" i="9" s="1"/>
  <c r="D169" i="7" s="1"/>
  <c r="G67" i="22"/>
  <c r="E67" i="22"/>
  <c r="F66" i="22"/>
  <c r="E66" i="22"/>
  <c r="C66" i="22"/>
  <c r="F54" i="22"/>
  <c r="G51" i="22"/>
  <c r="C129" i="9" s="1"/>
  <c r="C51" i="22"/>
  <c r="F50" i="22"/>
  <c r="E50" i="22"/>
  <c r="C50" i="22"/>
  <c r="F48" i="22"/>
  <c r="E48" i="22"/>
  <c r="F43" i="22"/>
  <c r="E43" i="22"/>
  <c r="D43" i="22"/>
  <c r="F42" i="22"/>
  <c r="E42" i="22"/>
  <c r="F41" i="22"/>
  <c r="E41" i="22"/>
  <c r="F40" i="22"/>
  <c r="E40" i="22"/>
  <c r="E39" i="22"/>
  <c r="F38" i="22"/>
  <c r="E38" i="22"/>
  <c r="F37" i="22"/>
  <c r="E37" i="22"/>
  <c r="F36" i="22"/>
  <c r="E36" i="22"/>
  <c r="F35" i="22"/>
  <c r="E35" i="22"/>
  <c r="F34" i="22"/>
  <c r="E34" i="22"/>
  <c r="D34" i="22"/>
  <c r="D57" i="9" s="1"/>
  <c r="F33" i="22"/>
  <c r="E33" i="22"/>
  <c r="D33" i="22"/>
  <c r="F32" i="22"/>
  <c r="E32" i="22"/>
  <c r="F31" i="22"/>
  <c r="E31" i="22"/>
  <c r="E30" i="22"/>
  <c r="D30" i="22"/>
  <c r="D68" i="9" s="1"/>
  <c r="E29" i="22"/>
  <c r="F28" i="22"/>
  <c r="E28" i="22"/>
  <c r="F27" i="22"/>
  <c r="E27" i="22"/>
  <c r="D27" i="22"/>
  <c r="D67" i="9" s="1"/>
  <c r="F22" i="22"/>
  <c r="E22" i="22"/>
  <c r="D22" i="22"/>
  <c r="D82" i="9" s="1"/>
  <c r="F21" i="22"/>
  <c r="E21" i="22"/>
  <c r="D21" i="22"/>
  <c r="D80" i="9" s="1"/>
  <c r="F19" i="22"/>
  <c r="E19" i="22"/>
  <c r="F18" i="22"/>
  <c r="E18" i="22"/>
  <c r="F17" i="22"/>
  <c r="E17" i="22"/>
  <c r="F16" i="22"/>
  <c r="E16" i="22"/>
  <c r="D16" i="22"/>
  <c r="D73" i="9" s="1"/>
  <c r="E13" i="22"/>
  <c r="F22" i="17" s="1"/>
  <c r="D13" i="22"/>
  <c r="D19" i="9" s="1"/>
  <c r="D126" i="7" s="1"/>
  <c r="D11" i="22"/>
  <c r="G39" i="22" l="1"/>
  <c r="C25" i="9" s="1"/>
  <c r="L159" i="7"/>
  <c r="D37" i="4" s="1"/>
  <c r="E96" i="22"/>
  <c r="E97" i="22"/>
  <c r="E98" i="22"/>
  <c r="H70" i="22"/>
  <c r="E101" i="22"/>
  <c r="E100" i="22"/>
  <c r="E99" i="22"/>
  <c r="E95" i="22"/>
  <c r="E94" i="22"/>
  <c r="E92" i="22"/>
  <c r="E91" i="22"/>
  <c r="E89" i="22"/>
  <c r="E88" i="22"/>
  <c r="G88" i="22" s="1"/>
  <c r="E85" i="22"/>
  <c r="E86" i="22"/>
  <c r="F82" i="22"/>
  <c r="E82" i="22"/>
  <c r="G87" i="22"/>
  <c r="C68" i="10" s="1"/>
  <c r="C61" i="8" s="1"/>
  <c r="F78" i="22"/>
  <c r="F77" i="22"/>
  <c r="E75" i="22"/>
  <c r="F74" i="22"/>
  <c r="F73" i="22"/>
  <c r="E73" i="22"/>
  <c r="F52" i="22"/>
  <c r="E52" i="22"/>
  <c r="C7" i="10" l="1"/>
  <c r="F25" i="17"/>
  <c r="H74" i="22"/>
  <c r="H41" i="22"/>
  <c r="H42" i="22"/>
  <c r="H40" i="22"/>
  <c r="H31" i="22"/>
  <c r="C14" i="7"/>
  <c r="C12" i="7"/>
  <c r="I140" i="16" l="1"/>
  <c r="E157" i="16"/>
  <c r="E148" i="16"/>
  <c r="F148" i="16" l="1"/>
  <c r="F151" i="16" s="1"/>
  <c r="G157" i="16"/>
  <c r="E159" i="16"/>
  <c r="G156" i="16"/>
  <c r="C49" i="8"/>
  <c r="E151" i="16"/>
  <c r="G148" i="16" l="1"/>
  <c r="D12" i="6"/>
  <c r="E42" i="7"/>
  <c r="F42" i="7"/>
  <c r="G42" i="7"/>
  <c r="D42" i="7"/>
  <c r="D170" i="7" l="1"/>
  <c r="E43" i="4" s="1"/>
  <c r="D166" i="7"/>
  <c r="D136" i="9"/>
  <c r="D19" i="8" l="1"/>
  <c r="B4" i="22"/>
  <c r="B4" i="4" s="1"/>
  <c r="B4" i="5" s="1"/>
  <c r="B4" i="6" s="1"/>
  <c r="C4" i="19" s="1"/>
  <c r="B3" i="22"/>
  <c r="B3" i="4" s="1"/>
  <c r="B3" i="5" s="1"/>
  <c r="B3" i="6" s="1"/>
  <c r="C3" i="19" s="1"/>
  <c r="C2" i="19" l="1"/>
  <c r="B30" i="8" l="1"/>
  <c r="B36" i="8"/>
  <c r="D110" i="10"/>
  <c r="D30" i="8"/>
  <c r="D45" i="10"/>
  <c r="D33" i="8" l="1"/>
  <c r="D34" i="8" s="1"/>
  <c r="E17" i="5" s="1"/>
  <c r="I82" i="17" l="1"/>
  <c r="D27" i="9" l="1"/>
  <c r="D5" i="7"/>
  <c r="B6" i="7"/>
  <c r="D16" i="7"/>
  <c r="E12" i="4" s="1"/>
  <c r="D19" i="7"/>
  <c r="C24" i="7"/>
  <c r="C23" i="7" s="1"/>
  <c r="D24" i="7"/>
  <c r="D23" i="7" s="1"/>
  <c r="D60" i="7"/>
  <c r="B61" i="7"/>
  <c r="C69" i="7"/>
  <c r="C75" i="7"/>
  <c r="C81" i="7"/>
  <c r="C87" i="7"/>
  <c r="C93" i="7"/>
  <c r="C99" i="7"/>
  <c r="C105" i="7"/>
  <c r="C111" i="7"/>
  <c r="D123" i="7"/>
  <c r="D127" i="7"/>
  <c r="D136" i="7"/>
  <c r="B136" i="7"/>
  <c r="D140" i="7"/>
  <c r="D142" i="7"/>
  <c r="B142" i="7"/>
  <c r="J159" i="7"/>
  <c r="C160" i="7"/>
  <c r="C162" i="7" s="1"/>
  <c r="D160" i="7"/>
  <c r="D162" i="7" s="1"/>
  <c r="E160" i="7"/>
  <c r="G160" i="7"/>
  <c r="G162" i="7" s="1"/>
  <c r="J162" i="7" s="1"/>
  <c r="H160" i="7"/>
  <c r="I160" i="7"/>
  <c r="L160" i="7"/>
  <c r="L162" i="7" s="1"/>
  <c r="E37" i="4" s="1"/>
  <c r="D172" i="7"/>
  <c r="B172" i="7"/>
  <c r="D184" i="7"/>
  <c r="B184" i="7"/>
  <c r="D130" i="9"/>
  <c r="D190" i="7" l="1"/>
  <c r="D192" i="7" s="1"/>
  <c r="E52" i="4" s="1"/>
  <c r="E46" i="4"/>
  <c r="J160" i="7"/>
  <c r="D115" i="10" l="1"/>
  <c r="D106" i="10" l="1"/>
  <c r="D101" i="10"/>
  <c r="D97" i="10"/>
  <c r="D60" i="10"/>
  <c r="G14" i="22"/>
  <c r="G15" i="22"/>
  <c r="G26" i="22"/>
  <c r="G46" i="22"/>
  <c r="G53" i="22"/>
  <c r="G65" i="22"/>
  <c r="H14" i="22"/>
  <c r="H15" i="22"/>
  <c r="H26" i="22"/>
  <c r="H49" i="22"/>
  <c r="H53" i="22"/>
  <c r="H65" i="22"/>
  <c r="H71" i="22"/>
  <c r="H76" i="22"/>
  <c r="H80" i="22"/>
  <c r="H44" i="22"/>
  <c r="H48" i="22"/>
  <c r="G63" i="22"/>
  <c r="H78" i="22"/>
  <c r="H81" i="22"/>
  <c r="H84" i="22"/>
  <c r="E12" i="22"/>
  <c r="F12" i="22"/>
  <c r="F11" i="22"/>
  <c r="E11" i="22"/>
  <c r="G49" i="22"/>
  <c r="G71" i="22"/>
  <c r="G72" i="22"/>
  <c r="G76" i="22"/>
  <c r="G80" i="22"/>
  <c r="G81" i="22"/>
  <c r="G84" i="22"/>
  <c r="G96" i="22"/>
  <c r="C82" i="10" s="1"/>
  <c r="C63" i="8" s="1"/>
  <c r="H38" i="22"/>
  <c r="H37" i="22"/>
  <c r="H35" i="22"/>
  <c r="H30" i="22"/>
  <c r="C68" i="9" s="1"/>
  <c r="H28" i="22"/>
  <c r="H22" i="22"/>
  <c r="C82" i="9" s="1"/>
  <c r="C19" i="10" l="1"/>
  <c r="H33" i="22"/>
  <c r="C54" i="9" s="1"/>
  <c r="H12" i="22"/>
  <c r="G48" i="22"/>
  <c r="G101" i="22"/>
  <c r="G86" i="22"/>
  <c r="G37" i="22"/>
  <c r="G35" i="22"/>
  <c r="G31" i="22"/>
  <c r="G28" i="22"/>
  <c r="H21" i="22"/>
  <c r="C80" i="9" s="1"/>
  <c r="H32" i="22"/>
  <c r="G90" i="22"/>
  <c r="C72" i="10" s="1"/>
  <c r="C52" i="8" s="1"/>
  <c r="G66" i="22"/>
  <c r="H23" i="22"/>
  <c r="H43" i="22"/>
  <c r="C56" i="9" s="1"/>
  <c r="G100" i="22"/>
  <c r="C38" i="10" s="1"/>
  <c r="C25" i="8" s="1"/>
  <c r="G93" i="22"/>
  <c r="C87" i="10" s="1"/>
  <c r="G89" i="22"/>
  <c r="C118" i="10" s="1"/>
  <c r="C57" i="8" s="1"/>
  <c r="G83" i="22"/>
  <c r="C57" i="10" s="1"/>
  <c r="C47" i="8" s="1"/>
  <c r="G64" i="22"/>
  <c r="C142" i="9" s="1"/>
  <c r="H29" i="22"/>
  <c r="C36" i="9" s="1"/>
  <c r="H36" i="22"/>
  <c r="G97" i="22"/>
  <c r="C104" i="10" s="1"/>
  <c r="C66" i="8" s="1"/>
  <c r="G94" i="22"/>
  <c r="C50" i="10" s="1"/>
  <c r="H16" i="22"/>
  <c r="C73" i="9" s="1"/>
  <c r="G99" i="22"/>
  <c r="C95" i="10" s="1"/>
  <c r="G95" i="22"/>
  <c r="G92" i="22"/>
  <c r="C81" i="10" s="1"/>
  <c r="C62" i="8" s="1"/>
  <c r="G11" i="22"/>
  <c r="D103" i="22"/>
  <c r="H27" i="22"/>
  <c r="C67" i="9" s="1"/>
  <c r="H34" i="22"/>
  <c r="C57" i="9" s="1"/>
  <c r="G82" i="22"/>
  <c r="C56" i="10" s="1"/>
  <c r="C46" i="8" s="1"/>
  <c r="G73" i="22"/>
  <c r="C96" i="10" s="1"/>
  <c r="C60" i="8" s="1"/>
  <c r="G50" i="22"/>
  <c r="C128" i="9" s="1"/>
  <c r="G38" i="22"/>
  <c r="G36" i="22"/>
  <c r="G32" i="22"/>
  <c r="G19" i="22"/>
  <c r="H19" i="22"/>
  <c r="C79" i="9" s="1"/>
  <c r="C103" i="22"/>
  <c r="H13" i="22"/>
  <c r="G98" i="22"/>
  <c r="C79" i="10" s="1"/>
  <c r="C55" i="8" s="1"/>
  <c r="G91" i="22"/>
  <c r="C91" i="10" s="1"/>
  <c r="C59" i="8" s="1"/>
  <c r="G85" i="22"/>
  <c r="C78" i="10" s="1"/>
  <c r="C54" i="8" s="1"/>
  <c r="C51" i="8"/>
  <c r="G54" i="22"/>
  <c r="C112" i="9" s="1"/>
  <c r="G12" i="22"/>
  <c r="G75" i="22"/>
  <c r="C66" i="10" s="1"/>
  <c r="G52" i="22"/>
  <c r="C102" i="9" s="1"/>
  <c r="H77" i="22"/>
  <c r="D14" i="6" s="1"/>
  <c r="G45" i="22"/>
  <c r="H11" i="22"/>
  <c r="H63" i="22"/>
  <c r="G44" i="22"/>
  <c r="I43" i="22"/>
  <c r="F53" i="16" l="1"/>
  <c r="C22" i="10"/>
  <c r="C50" i="8"/>
  <c r="C69" i="10"/>
  <c r="C25" i="10"/>
  <c r="F52" i="16" s="1"/>
  <c r="D38" i="6"/>
  <c r="C80" i="10"/>
  <c r="C56" i="8" s="1"/>
  <c r="C144" i="9"/>
  <c r="C122" i="9"/>
  <c r="C97" i="10"/>
  <c r="C64" i="8"/>
  <c r="C106" i="10"/>
  <c r="C100" i="10"/>
  <c r="C109" i="10"/>
  <c r="C68" i="8" s="1"/>
  <c r="C44" i="10"/>
  <c r="C89" i="9"/>
  <c r="I37" i="22"/>
  <c r="C19" i="9"/>
  <c r="E53" i="17"/>
  <c r="C83" i="9"/>
  <c r="C146" i="7" s="1"/>
  <c r="C115" i="10"/>
  <c r="D104" i="22"/>
  <c r="F31" i="17"/>
  <c r="G54" i="16" l="1"/>
  <c r="C26" i="10"/>
  <c r="C19" i="8" s="1"/>
  <c r="C45" i="10"/>
  <c r="C34" i="8" s="1"/>
  <c r="D17" i="5" s="1"/>
  <c r="C109" i="8"/>
  <c r="C111" i="8" s="1"/>
  <c r="C130" i="9"/>
  <c r="C190" i="7" s="1"/>
  <c r="C192" i="7" s="1"/>
  <c r="D52" i="4" s="1"/>
  <c r="F126" i="9"/>
  <c r="C110" i="10"/>
  <c r="C65" i="8"/>
  <c r="C101" i="10"/>
  <c r="C126" i="7"/>
  <c r="C127" i="7" s="1"/>
  <c r="F160" i="7"/>
  <c r="F162" i="7" s="1"/>
  <c r="K162" i="7" s="1"/>
  <c r="K159" i="7"/>
  <c r="K160" i="7" s="1"/>
  <c r="E20" i="16"/>
  <c r="F24" i="17"/>
  <c r="C53" i="8"/>
  <c r="F81" i="16" l="1"/>
  <c r="D104" i="8" l="1"/>
  <c r="C104" i="8"/>
  <c r="D81" i="8"/>
  <c r="E30" i="5" s="1"/>
  <c r="E28" i="5" s="1"/>
  <c r="D77" i="8"/>
  <c r="G32" i="17"/>
  <c r="F32" i="17"/>
  <c r="E5" i="4" l="1"/>
  <c r="B2" i="5"/>
  <c r="C27" i="9"/>
  <c r="E19" i="4" l="1"/>
  <c r="D19" i="4"/>
  <c r="H130" i="16"/>
  <c r="H131" i="16" s="1"/>
  <c r="H132" i="16" s="1"/>
  <c r="H133" i="16" s="1"/>
  <c r="F102" i="16"/>
  <c r="F86" i="16" s="1"/>
  <c r="G61" i="16"/>
  <c r="F28" i="16"/>
  <c r="F23" i="16"/>
  <c r="D48" i="6" l="1"/>
  <c r="G87" i="16"/>
  <c r="G84" i="16"/>
  <c r="E118" i="16" l="1"/>
  <c r="C60" i="10" l="1"/>
  <c r="C69" i="8"/>
  <c r="L12" i="14" l="1"/>
  <c r="I12" i="14"/>
  <c r="H12" i="14"/>
  <c r="G12" i="14"/>
  <c r="F12" i="14"/>
  <c r="E12" i="14"/>
  <c r="J10" i="14"/>
  <c r="J12" i="14" s="1"/>
  <c r="D21" i="13"/>
  <c r="M13" i="13"/>
  <c r="M15" i="13" s="1"/>
  <c r="K10" i="14" l="1"/>
  <c r="M16" i="13"/>
  <c r="M18" i="13" s="1"/>
  <c r="M10" i="14" l="1"/>
  <c r="K12" i="14"/>
  <c r="E15" i="13"/>
  <c r="E21" i="13"/>
  <c r="F22" i="13" s="1"/>
  <c r="M12" i="14" l="1"/>
  <c r="C14" i="13" s="1"/>
  <c r="N10" i="14"/>
  <c r="N12" i="14" s="1"/>
  <c r="D119" i="10"/>
  <c r="C119" i="10"/>
  <c r="D92" i="10"/>
  <c r="C92" i="10"/>
  <c r="D88" i="10"/>
  <c r="C88" i="10"/>
  <c r="D84" i="10"/>
  <c r="C84" i="10"/>
  <c r="D73" i="10"/>
  <c r="C73" i="10"/>
  <c r="D51" i="10"/>
  <c r="C51" i="10"/>
  <c r="D39" i="10"/>
  <c r="D25" i="8" s="1"/>
  <c r="C39" i="10"/>
  <c r="D35" i="10"/>
  <c r="D26" i="8" s="1"/>
  <c r="C35" i="10"/>
  <c r="C26" i="8" s="1"/>
  <c r="C28" i="8" s="1"/>
  <c r="D15" i="10"/>
  <c r="D17" i="8" s="1"/>
  <c r="C15" i="10"/>
  <c r="C17" i="8" s="1"/>
  <c r="D9" i="10"/>
  <c r="D10" i="8" s="1"/>
  <c r="D12" i="8" s="1"/>
  <c r="C9" i="10"/>
  <c r="C10" i="8" s="1"/>
  <c r="D145" i="9"/>
  <c r="C145" i="9"/>
  <c r="D113" i="9"/>
  <c r="D177" i="7" s="1"/>
  <c r="E69" i="6" s="1"/>
  <c r="E71" i="6" s="1"/>
  <c r="C113" i="9"/>
  <c r="C177" i="7" s="1"/>
  <c r="D103" i="9"/>
  <c r="C103" i="9"/>
  <c r="D91" i="9"/>
  <c r="C91" i="9"/>
  <c r="D83" i="9"/>
  <c r="D146" i="7" s="1"/>
  <c r="D69" i="9"/>
  <c r="D145" i="7" s="1"/>
  <c r="C69" i="9"/>
  <c r="C145" i="7" s="1"/>
  <c r="D64" i="9"/>
  <c r="D147" i="7" s="1"/>
  <c r="C64" i="9"/>
  <c r="C147" i="7" s="1"/>
  <c r="D33" i="9"/>
  <c r="C33" i="9"/>
  <c r="D20" i="9"/>
  <c r="C20" i="9"/>
  <c r="D14" i="9"/>
  <c r="D8" i="9"/>
  <c r="C8" i="9"/>
  <c r="B43" i="8"/>
  <c r="D43" i="8"/>
  <c r="D36" i="8"/>
  <c r="B22" i="8"/>
  <c r="D22" i="8"/>
  <c r="B14" i="8"/>
  <c r="D14" i="8"/>
  <c r="B6" i="8"/>
  <c r="D6" i="8"/>
  <c r="C87" i="6"/>
  <c r="B87" i="6"/>
  <c r="C75" i="6"/>
  <c r="B75" i="6"/>
  <c r="E40" i="6"/>
  <c r="D34" i="6"/>
  <c r="D33" i="6"/>
  <c r="D32" i="6"/>
  <c r="E24" i="6"/>
  <c r="E6" i="6"/>
  <c r="C2" i="6"/>
  <c r="C56" i="5"/>
  <c r="B56" i="5"/>
  <c r="C45" i="5"/>
  <c r="B45" i="5"/>
  <c r="E34" i="5"/>
  <c r="D34" i="5"/>
  <c r="E5" i="5"/>
  <c r="C72" i="4"/>
  <c r="B72" i="4"/>
  <c r="C60" i="4"/>
  <c r="B60" i="4"/>
  <c r="E20" i="4"/>
  <c r="E23" i="4" s="1"/>
  <c r="C6" i="2"/>
  <c r="D28" i="8" l="1"/>
  <c r="D148" i="7"/>
  <c r="E29" i="4" s="1"/>
  <c r="E11" i="16"/>
  <c r="F15" i="16" s="1"/>
  <c r="C39" i="8"/>
  <c r="D39" i="8"/>
  <c r="D41" i="8" s="1"/>
  <c r="C148" i="7"/>
  <c r="D29" i="4" s="1"/>
  <c r="D182" i="7"/>
  <c r="E51" i="4" s="1"/>
  <c r="E62" i="6" s="1"/>
  <c r="E64" i="6" s="1"/>
  <c r="C12" i="8"/>
  <c r="D9" i="5" s="1"/>
  <c r="F27" i="17"/>
  <c r="C16" i="7"/>
  <c r="D12" i="4" s="1"/>
  <c r="D69" i="8"/>
  <c r="E19" i="5" s="1"/>
  <c r="E9" i="5"/>
  <c r="E16" i="5"/>
  <c r="D21" i="6"/>
  <c r="D18" i="6"/>
  <c r="D20" i="6"/>
  <c r="D47" i="6"/>
  <c r="D37" i="6"/>
  <c r="D44" i="6"/>
  <c r="D36" i="6"/>
  <c r="E54" i="4" l="1"/>
  <c r="E56" i="4" s="1"/>
  <c r="E18" i="5"/>
  <c r="E11" i="6" s="1"/>
  <c r="E31" i="4"/>
  <c r="C182" i="7"/>
  <c r="D51" i="4" s="1"/>
  <c r="D69" i="6"/>
  <c r="D71" i="6" s="1"/>
  <c r="D19" i="5"/>
  <c r="D16" i="5"/>
  <c r="D23" i="6"/>
  <c r="C41" i="8"/>
  <c r="D18" i="5" s="1"/>
  <c r="E21" i="5" l="1"/>
  <c r="E13" i="6"/>
  <c r="E15" i="6" s="1"/>
  <c r="I78" i="17"/>
  <c r="D62" i="6"/>
  <c r="D64" i="6" s="1"/>
  <c r="D19" i="6"/>
  <c r="C13" i="13"/>
  <c r="D15" i="13" s="1"/>
  <c r="F16" i="13" s="1"/>
  <c r="G23" i="13" s="1"/>
  <c r="C80" i="8" s="1"/>
  <c r="D11" i="6"/>
  <c r="D43" i="6"/>
  <c r="D17" i="6"/>
  <c r="D22" i="6"/>
  <c r="C108" i="22" l="1"/>
  <c r="D53" i="6"/>
  <c r="D54" i="4"/>
  <c r="D40" i="6"/>
  <c r="G25" i="13"/>
  <c r="C13" i="9" s="1"/>
  <c r="D21" i="5"/>
  <c r="D109" i="22" l="1"/>
  <c r="F68" i="22" s="1"/>
  <c r="H68" i="22" s="1"/>
  <c r="C81" i="8"/>
  <c r="D30" i="5" s="1"/>
  <c r="C14" i="9"/>
  <c r="C139" i="7" s="1"/>
  <c r="C169" i="7"/>
  <c r="C170" i="7" s="1"/>
  <c r="C140" i="7" l="1"/>
  <c r="D20" i="4" s="1"/>
  <c r="D23" i="4" s="1"/>
  <c r="C136" i="9"/>
  <c r="D43" i="4"/>
  <c r="E25" i="6"/>
  <c r="D46" i="4" l="1"/>
  <c r="D56" i="4" s="1"/>
  <c r="E27" i="6"/>
  <c r="E55" i="6" s="1"/>
  <c r="G151" i="16" l="1"/>
  <c r="D57" i="6" l="1"/>
  <c r="D59" i="6" s="1"/>
  <c r="I143" i="16" l="1"/>
  <c r="G159" i="16"/>
  <c r="D119" i="7" l="1"/>
  <c r="D121" i="7" s="1"/>
  <c r="C115" i="7" s="1"/>
  <c r="E13" i="4" l="1"/>
  <c r="E15" i="4" s="1"/>
  <c r="E32" i="4" s="1"/>
  <c r="E57" i="4" s="1"/>
  <c r="C18" i="8"/>
  <c r="C20" i="8" s="1"/>
  <c r="D10" i="5" s="1"/>
  <c r="D11" i="5" s="1"/>
  <c r="D22" i="5" l="1"/>
  <c r="D25" i="5" l="1"/>
  <c r="D27" i="5" s="1"/>
  <c r="D10" i="6" s="1"/>
  <c r="F9" i="16" l="1"/>
  <c r="F17" i="16" s="1"/>
  <c r="E30" i="16" l="1"/>
  <c r="F32" i="16" s="1"/>
  <c r="F33" i="16" s="1"/>
  <c r="G45" i="16" s="1"/>
  <c r="G56" i="16" s="1"/>
  <c r="G63" i="16" s="1"/>
  <c r="G64" i="16" s="1"/>
  <c r="F68" i="16" s="1"/>
  <c r="G70" i="16" s="1"/>
  <c r="F71" i="16" l="1"/>
  <c r="G73" i="16" s="1"/>
  <c r="G75" i="16" s="1"/>
  <c r="F76" i="16" l="1"/>
  <c r="G78" i="16" s="1"/>
  <c r="G80" i="16" s="1"/>
  <c r="E116" i="16" l="1"/>
  <c r="E117" i="16" s="1"/>
  <c r="C133" i="22"/>
  <c r="G85" i="16"/>
  <c r="E132" i="16" l="1"/>
  <c r="G132" i="16" s="1"/>
  <c r="I132" i="16" s="1"/>
  <c r="K132" i="16" s="1"/>
  <c r="E130" i="16"/>
  <c r="G130" i="16" s="1"/>
  <c r="I130" i="16" s="1"/>
  <c r="E131" i="16"/>
  <c r="G131" i="16" s="1"/>
  <c r="I131" i="16" s="1"/>
  <c r="K131" i="16" s="1"/>
  <c r="E133" i="16"/>
  <c r="G133" i="16" s="1"/>
  <c r="I133" i="16" s="1"/>
  <c r="K133" i="16" s="1"/>
  <c r="G88" i="16"/>
  <c r="E102" i="22"/>
  <c r="D134" i="22"/>
  <c r="F20" i="22" s="1"/>
  <c r="D29" i="5"/>
  <c r="C74" i="8" s="1"/>
  <c r="C75" i="8" s="1"/>
  <c r="D122" i="16"/>
  <c r="E120" i="16"/>
  <c r="E124" i="16" s="1"/>
  <c r="F90" i="16" s="1"/>
  <c r="K134" i="16" l="1"/>
  <c r="F91" i="16" s="1"/>
  <c r="G92" i="16" s="1"/>
  <c r="D28" i="5"/>
  <c r="D31" i="5" s="1"/>
  <c r="F103" i="22"/>
  <c r="H20" i="22"/>
  <c r="E103" i="22"/>
  <c r="G102" i="22"/>
  <c r="G103" i="22" s="1"/>
  <c r="E107" i="16"/>
  <c r="G93" i="16" l="1"/>
  <c r="D93" i="16"/>
  <c r="F104" i="22"/>
  <c r="C118" i="7"/>
  <c r="C119" i="7" s="1"/>
  <c r="C121" i="7" s="1"/>
  <c r="D13" i="4" s="1"/>
  <c r="D15" i="4" s="1"/>
  <c r="G74" i="17" s="1"/>
  <c r="I74" i="17" s="1"/>
  <c r="E88" i="8"/>
  <c r="D35" i="5"/>
  <c r="C88" i="8"/>
  <c r="H103" i="22"/>
  <c r="H104" i="22" s="1"/>
  <c r="C94" i="9"/>
  <c r="G81" i="17" l="1"/>
  <c r="I81" i="17" s="1"/>
  <c r="G76" i="17"/>
  <c r="I76" i="17" s="1"/>
  <c r="G83" i="17"/>
  <c r="I83" i="17" s="1"/>
  <c r="C153" i="7"/>
  <c r="C96" i="9"/>
  <c r="E90" i="8"/>
  <c r="E92" i="8"/>
  <c r="E94" i="8" s="1"/>
  <c r="C90" i="8"/>
  <c r="D37" i="5" s="1"/>
  <c r="C92" i="8"/>
  <c r="C94" i="8" s="1"/>
  <c r="D38" i="5" s="1"/>
  <c r="D13" i="6" l="1"/>
  <c r="D30" i="4"/>
  <c r="C154" i="7"/>
  <c r="D31" i="4" l="1"/>
  <c r="G80" i="17" s="1"/>
  <c r="D24" i="6"/>
  <c r="D15" i="6"/>
  <c r="D25" i="6" l="1"/>
  <c r="D32" i="4"/>
  <c r="D57" i="4" s="1"/>
  <c r="G73" i="17"/>
  <c r="I73" i="17" s="1"/>
  <c r="I80" i="17"/>
  <c r="D27" i="6" l="1"/>
  <c r="D55" i="6" l="1"/>
  <c r="D73" i="6" l="1"/>
  <c r="D18" i="8"/>
  <c r="D20" i="8" s="1"/>
  <c r="E10" i="5" s="1"/>
  <c r="E11" i="5" s="1"/>
  <c r="E22" i="5" s="1"/>
  <c r="E25" i="5" s="1"/>
  <c r="E27" i="5" s="1"/>
  <c r="E31" i="5" s="1"/>
  <c r="D88" i="8" l="1"/>
  <c r="F88" i="8"/>
  <c r="E35" i="5"/>
  <c r="F90" i="8" l="1"/>
  <c r="F92" i="8"/>
  <c r="F94" i="8" s="1"/>
  <c r="D90" i="8"/>
  <c r="E37" i="5" s="1"/>
  <c r="D92" i="8"/>
  <c r="D94" i="8" s="1"/>
  <c r="E38" i="5" s="1"/>
</calcChain>
</file>

<file path=xl/comments1.xml><?xml version="1.0" encoding="utf-8"?>
<comments xmlns="http://schemas.openxmlformats.org/spreadsheetml/2006/main">
  <authors>
    <author>ismail - [2010]</author>
  </authors>
  <commentList>
    <comment ref="F74" authorId="0">
      <text>
        <r>
          <rPr>
            <b/>
            <sz val="9"/>
            <color indexed="81"/>
            <rFont val="Tahoma"/>
            <family val="2"/>
          </rPr>
          <t>pertaining to a expense voucher wrongly raised in previous year for which itc is reversed during current year</t>
        </r>
      </text>
    </comment>
  </commentList>
</comments>
</file>

<file path=xl/sharedStrings.xml><?xml version="1.0" encoding="utf-8"?>
<sst xmlns="http://schemas.openxmlformats.org/spreadsheetml/2006/main" count="2541" uniqueCount="1104">
  <si>
    <t>TallyOnWheels - Financial Report</t>
  </si>
  <si>
    <t>Thank you for using Tallyonwheels.</t>
  </si>
  <si>
    <t>This file is an Excel output of your Financial Report.</t>
  </si>
  <si>
    <t>Company Name</t>
  </si>
  <si>
    <t>K.U.M. India Private Limited - (from 1-Apr-23)</t>
  </si>
  <si>
    <t>Entity Name</t>
  </si>
  <si>
    <t>Ramanujam &amp; Boovarahan</t>
  </si>
  <si>
    <t>Financial year</t>
  </si>
  <si>
    <t>01-APR-2023 - 31-MAR-2024</t>
  </si>
  <si>
    <t>Last Synced</t>
  </si>
  <si>
    <t>16-MAY-2024 11:27:32AM</t>
  </si>
  <si>
    <t>Basic Details</t>
  </si>
  <si>
    <t>Data Entry</t>
  </si>
  <si>
    <t>Current Financial Year</t>
  </si>
  <si>
    <t xml:space="preserve">Assessment Year </t>
  </si>
  <si>
    <t>Rounding Off</t>
  </si>
  <si>
    <t>Amount in ₹.</t>
  </si>
  <si>
    <t>Divisor</t>
  </si>
  <si>
    <t>Name of the Auditee</t>
  </si>
  <si>
    <t>Nature of Organisation of the Auditee</t>
  </si>
  <si>
    <t>Address of the Auditee</t>
  </si>
  <si>
    <t>Line 1</t>
  </si>
  <si>
    <t>Line 2</t>
  </si>
  <si>
    <t>Line 3</t>
  </si>
  <si>
    <t>Line 4</t>
  </si>
  <si>
    <t>PAN</t>
  </si>
  <si>
    <t>Name of the Person Signing the Auditee's FS</t>
  </si>
  <si>
    <t>Signatory 1</t>
  </si>
  <si>
    <t>Signatory 2</t>
  </si>
  <si>
    <t>Signatory 3</t>
  </si>
  <si>
    <t>Designation of the Sigining Person</t>
  </si>
  <si>
    <t>DIN of</t>
  </si>
  <si>
    <t>Firm Name</t>
  </si>
  <si>
    <t>ICAI Firm Reg No.</t>
  </si>
  <si>
    <t>Name of the Signing Partner</t>
  </si>
  <si>
    <t>Designation of the Signing CA</t>
  </si>
  <si>
    <t>Membership Number of the Signing Partner</t>
  </si>
  <si>
    <t>UDIN</t>
  </si>
  <si>
    <t>Date of Signing the Financials by auditor</t>
  </si>
  <si>
    <t>Date of Signing the Financials by</t>
  </si>
  <si>
    <t>Place of Signing the Financials by auditor</t>
  </si>
  <si>
    <t>Place of Signing the Financials by signatories</t>
  </si>
  <si>
    <t>Sector (of the Auditee)</t>
  </si>
  <si>
    <t>Sub-Sector (of the Auditee)</t>
  </si>
  <si>
    <t>Code (as per Form 3CD)</t>
  </si>
  <si>
    <t>CIN of Company</t>
  </si>
  <si>
    <t>Date of Incorporation</t>
  </si>
  <si>
    <t>₹. In 00's</t>
  </si>
  <si>
    <t>₹. In 000 's</t>
  </si>
  <si>
    <t>₹. In Lacs</t>
  </si>
  <si>
    <t>₹. In Million</t>
  </si>
  <si>
    <t>₹. In Crores</t>
  </si>
  <si>
    <t>Cash flows are reported using the indirect method, whereby profit / (loss) before extraordinary items and tax is adjusted for the effects of transactions of non-cash nature and any deferrals or accruals of past or future cash receipts or payments. The cash flows from operating, investing and financing activities of the Company are segregated based on the available information.</t>
  </si>
  <si>
    <t>Particulars</t>
  </si>
  <si>
    <t>Note no</t>
  </si>
  <si>
    <t>I  EQUITY AND LIABILITIES</t>
  </si>
  <si>
    <t>1. Shareholder's funds</t>
  </si>
  <si>
    <t>(a) Share capital</t>
  </si>
  <si>
    <t>3</t>
  </si>
  <si>
    <t>(b) Reserves and surplus</t>
  </si>
  <si>
    <t>4</t>
  </si>
  <si>
    <t>(c) Money received against share warrants</t>
  </si>
  <si>
    <t>2. Share application money pending allotment</t>
  </si>
  <si>
    <t>3. Non-current liabilities</t>
  </si>
  <si>
    <t>(a) Long-term borrowings</t>
  </si>
  <si>
    <t>(b) Deferred tax liabilities (Net)</t>
  </si>
  <si>
    <t>(c) Other Long-term liabilities</t>
  </si>
  <si>
    <t>(d) Long-term provisions</t>
  </si>
  <si>
    <t>4. Current liabilities</t>
  </si>
  <si>
    <t>(a) Short-term borrowings</t>
  </si>
  <si>
    <t>(b) Trade payables</t>
  </si>
  <si>
    <t>(i) Total outstanding dues of micro enterprises and small enterprises</t>
  </si>
  <si>
    <t>(ii) Total outstanding dues of creditors other than micro enterprises and small enterprises</t>
  </si>
  <si>
    <t>(c) Other current liabilities</t>
  </si>
  <si>
    <t>(d) Short-term provisions</t>
  </si>
  <si>
    <t>TOTAL</t>
  </si>
  <si>
    <t>II  ASSETS</t>
  </si>
  <si>
    <t>1. Non-current assets</t>
  </si>
  <si>
    <t>(a) Property, Plant and Equipment and Intangible assets</t>
  </si>
  <si>
    <t>(i) Property, Plant and Equipment</t>
  </si>
  <si>
    <t>(ii) Intangible assets</t>
  </si>
  <si>
    <t>(iii) Capital work-in-progress</t>
  </si>
  <si>
    <t>(iv) Intangible assets under development</t>
  </si>
  <si>
    <t>(b) Non-current investments</t>
  </si>
  <si>
    <t>(c) Deferred tax assets (net)</t>
  </si>
  <si>
    <t>(d) Long-term loans and advances</t>
  </si>
  <si>
    <t>(e) Other non-current assets</t>
  </si>
  <si>
    <t>2. Current assets</t>
  </si>
  <si>
    <t>(a) Current investments</t>
  </si>
  <si>
    <t>(b) Inventories</t>
  </si>
  <si>
    <t>(c) Trade receivables</t>
  </si>
  <si>
    <t>(d) Cash and cash equivalents</t>
  </si>
  <si>
    <t>(e) Short-term loans &amp; advances</t>
  </si>
  <si>
    <t>(f) Other current assets</t>
  </si>
  <si>
    <t>See accompanying notes forming part of the financial statements</t>
  </si>
  <si>
    <t>As per our report of even date atttached</t>
  </si>
  <si>
    <t>Chartered Accountants</t>
  </si>
  <si>
    <t>INCOME</t>
  </si>
  <si>
    <t xml:space="preserve"> I.  Revenue from operations</t>
  </si>
  <si>
    <t>II.  Other Income</t>
  </si>
  <si>
    <t>III.  TOTAL INCOME (I+II)</t>
  </si>
  <si>
    <t>IV.  EXPENSES</t>
  </si>
  <si>
    <t>(a) Cost of materials consumed</t>
  </si>
  <si>
    <t>(b) Purchases of Stock-in-Trade</t>
  </si>
  <si>
    <t>(c)Changes in inventories of finished goods, work-in-progress and Stock-in-Trade</t>
  </si>
  <si>
    <t>(d) Employee benefit expenses</t>
  </si>
  <si>
    <t>(e) Finance costs</t>
  </si>
  <si>
    <t>(f) Depreciation and amortisation</t>
  </si>
  <si>
    <t>(g) Other expenses</t>
  </si>
  <si>
    <t>TOTAL EXPENSES</t>
  </si>
  <si>
    <t>V.  Profit/(Loss) before exceptional and extraordinary items and tax (III - IV)</t>
  </si>
  <si>
    <t>VI.  Exceptional items</t>
  </si>
  <si>
    <t>Loss on Sale of Tangible assets</t>
  </si>
  <si>
    <t>VII. Profit/(Loss) before extraordinary items and tax (V-VI)</t>
  </si>
  <si>
    <t>VIII.  Extraordinary Items</t>
  </si>
  <si>
    <t>IX.  Profit/(Loss) before tax (VII - VIII)</t>
  </si>
  <si>
    <t xml:space="preserve"> X.  Tax Expenses</t>
  </si>
  <si>
    <t>(a) Current tax</t>
  </si>
  <si>
    <t>(b) Deferred tax</t>
  </si>
  <si>
    <t>XI.  Profit/(Loss) for the period from continuing operations</t>
  </si>
  <si>
    <t>XII.  Profit/(Loss) for the period from discontinuing operations</t>
  </si>
  <si>
    <t>XIII.  Tax expense of discontinuing operations</t>
  </si>
  <si>
    <t>XIV.  Profit/(Loss) for the period from discontinuing operations (after tax)</t>
  </si>
  <si>
    <t>XV. Profit/(Loss) for the period</t>
  </si>
  <si>
    <t>Earnings per equity share</t>
  </si>
  <si>
    <t>(a) Basic</t>
  </si>
  <si>
    <t>(b) Diluted</t>
  </si>
  <si>
    <t>Number of Shares Used in Computing Earnings Per Share</t>
  </si>
  <si>
    <t>Cash flow from Operating Activities</t>
  </si>
  <si>
    <t>Net profit as per profit and loss a/c</t>
  </si>
  <si>
    <t>Add:  Depreciation and amortisation</t>
  </si>
  <si>
    <t>Less:  Dividend/Interest income received</t>
  </si>
  <si>
    <t>Operating profit before working capital changes</t>
  </si>
  <si>
    <t>Changes in working capital</t>
  </si>
  <si>
    <t>Increase/(Decrease) in Trade Payables</t>
  </si>
  <si>
    <t>Increase/(Decrease) in Long term Provisions</t>
  </si>
  <si>
    <t>Increase/(Decrease) in Other Current Liabilities</t>
  </si>
  <si>
    <t>(Increase)/Decrease in Inventories</t>
  </si>
  <si>
    <t>(Increase)/Decrease in Other Current Assets</t>
  </si>
  <si>
    <t>(Increase)/Decrease in Trade Receivables</t>
  </si>
  <si>
    <t>Net change in working capital</t>
  </si>
  <si>
    <t>Cash generated from operations</t>
  </si>
  <si>
    <t>Direct taxes paid</t>
  </si>
  <si>
    <t>Net cash from / (used in) Operating Activities (A)</t>
  </si>
  <si>
    <t>Cash flow from Investing Activities</t>
  </si>
  <si>
    <t xml:space="preserve">Purchase / (Sale) of  fixed assets </t>
  </si>
  <si>
    <t>(i) Tangible Assets</t>
  </si>
  <si>
    <t>(ii) Intangible Assets</t>
  </si>
  <si>
    <t>(iii) Capital work in progress</t>
  </si>
  <si>
    <t>Proceeds from sale of fixed assets</t>
  </si>
  <si>
    <t>Purchase / (Sale) of  Non Current Investments</t>
  </si>
  <si>
    <t>Purchase / (Sale) of  Current Investments</t>
  </si>
  <si>
    <t>Dividend/Interest income received</t>
  </si>
  <si>
    <t>Net cash from / (used in) Investing Activities (B)</t>
  </si>
  <si>
    <t>Cash flow from Financing Activities</t>
  </si>
  <si>
    <t>Share capital raised</t>
  </si>
  <si>
    <t>Money received from share warrants</t>
  </si>
  <si>
    <t>Changes in Reserves and surplus</t>
  </si>
  <si>
    <t>(Increase)/Decrease in Short term loans and advances</t>
  </si>
  <si>
    <t>Increase/(Decrease) in Long Term Loans and Advances</t>
  </si>
  <si>
    <t>Increase/(Decrease) in Long Term Borrowings</t>
  </si>
  <si>
    <t>Increase/(Decrease) in Short Term Borrowings</t>
  </si>
  <si>
    <t>Increase/(Decrease) in Long Term Liabilities</t>
  </si>
  <si>
    <t>Dividend paid including distribution tax</t>
  </si>
  <si>
    <t>Net cash from / (used in) Financing Activities ( C )</t>
  </si>
  <si>
    <t>Net Increase/(Decrease)  in cash and cash equivalents during the year (A+B+C)</t>
  </si>
  <si>
    <t>Cash and cash equivalents at the beginning of the year</t>
  </si>
  <si>
    <t>Cash and cash equivalents at the end of the year</t>
  </si>
  <si>
    <t>Share Capital</t>
  </si>
  <si>
    <t>(A) Authorized</t>
  </si>
  <si>
    <t xml:space="preserve">Equity Shares Of  Rs. 10/- Each </t>
  </si>
  <si>
    <t>(B) Issued , Subscribed And Fully Paid Up</t>
  </si>
  <si>
    <t>Reconciliation</t>
  </si>
  <si>
    <t>Opening Balance</t>
  </si>
  <si>
    <t>Add: Fresh Issue</t>
  </si>
  <si>
    <t>Add/(Less) Other Changes</t>
  </si>
  <si>
    <t>Closing Balance</t>
  </si>
  <si>
    <t>Reserves and Surplus</t>
  </si>
  <si>
    <t>Capital Redemption Reserve;</t>
  </si>
  <si>
    <t>Opening balance</t>
  </si>
  <si>
    <t>(+) Additions for the period</t>
  </si>
  <si>
    <t>( - ) utilisation for the period</t>
  </si>
  <si>
    <t>Closing Balance(CRR)</t>
  </si>
  <si>
    <t>Security Premium</t>
  </si>
  <si>
    <t>Closing Balance(SP)</t>
  </si>
  <si>
    <t>Revaluation Reserve</t>
  </si>
  <si>
    <t>Closing Balance(RR)</t>
  </si>
  <si>
    <t>Debenture Redemption Reserve;</t>
  </si>
  <si>
    <t>Closing Balance(DRR)</t>
  </si>
  <si>
    <t>Share Options Outstanding Account; and</t>
  </si>
  <si>
    <t>Closing Balance(SOA)</t>
  </si>
  <si>
    <t>General Reserve</t>
  </si>
  <si>
    <t>Closing Balance(GR)</t>
  </si>
  <si>
    <t>Statutory Reserve</t>
  </si>
  <si>
    <t>Closing Balance(SR)</t>
  </si>
  <si>
    <t>others- (specify the nature and purpose of each reserve and the amount in respect thereof);</t>
  </si>
  <si>
    <t>Closing Balance(OTH)</t>
  </si>
  <si>
    <t>Surplus</t>
  </si>
  <si>
    <t>Surplus i.e., balance in Statement of Profit and Loss</t>
  </si>
  <si>
    <t>(+) Net Profit/(Net Loss) For the current year</t>
  </si>
  <si>
    <t>Closing Balance(Surplus)</t>
  </si>
  <si>
    <t>Total</t>
  </si>
  <si>
    <t>Long-term Borrowings</t>
  </si>
  <si>
    <t>Deferred Tax Liabilities (Net)</t>
  </si>
  <si>
    <t>Deferred tax liabilities</t>
  </si>
  <si>
    <t>Short-term Borrowings</t>
  </si>
  <si>
    <t>(ii) from other parties(ST)</t>
  </si>
  <si>
    <t>Trade Payables</t>
  </si>
  <si>
    <t>(b) Total Outstanding dues of creditors other than Micro Enterprises and Small Enterprises</t>
  </si>
  <si>
    <t>Other Current Liabilities</t>
  </si>
  <si>
    <t>Income received in advance</t>
  </si>
  <si>
    <t>Other payables</t>
  </si>
  <si>
    <t>Statutory liabilities</t>
  </si>
  <si>
    <t>Other current Liabilities</t>
  </si>
  <si>
    <t>Property, Plant and Equipment</t>
  </si>
  <si>
    <t>Trade Receivables</t>
  </si>
  <si>
    <t>Cash and Cash Equivalents</t>
  </si>
  <si>
    <t>Balances with banks</t>
  </si>
  <si>
    <t>In current account</t>
  </si>
  <si>
    <t>In deposit accounts</t>
  </si>
  <si>
    <t>Cheques, drafts on hand</t>
  </si>
  <si>
    <t>Cash on hand</t>
  </si>
  <si>
    <t>Short-term Loans &amp; Advances</t>
  </si>
  <si>
    <t>Unsecured, considered good unless otherwise stated</t>
  </si>
  <si>
    <t>Balance with Government Authorities-IT Refund</t>
  </si>
  <si>
    <t>Other Current Assets</t>
  </si>
  <si>
    <t>Receivables</t>
  </si>
  <si>
    <t>Other current assets</t>
  </si>
  <si>
    <t>Revenue from Operations</t>
  </si>
  <si>
    <t>Sale of products</t>
  </si>
  <si>
    <t>Sale of services</t>
  </si>
  <si>
    <t>Other operating revenues</t>
  </si>
  <si>
    <t>Other Income</t>
  </si>
  <si>
    <t>Forex gains</t>
  </si>
  <si>
    <t>Other non-operating income</t>
  </si>
  <si>
    <t>Employee Benefits</t>
  </si>
  <si>
    <t>Salary and Wages</t>
  </si>
  <si>
    <t>Contribution to providend and other funds</t>
  </si>
  <si>
    <t>Forex loss</t>
  </si>
  <si>
    <t>Depreciation and Amortisation</t>
  </si>
  <si>
    <t>Depreciation</t>
  </si>
  <si>
    <t>Other Expenses</t>
  </si>
  <si>
    <t>Bank charges</t>
  </si>
  <si>
    <t>Bussiness support services</t>
  </si>
  <si>
    <t>Communication</t>
  </si>
  <si>
    <t>Legal and professional</t>
  </si>
  <si>
    <t>Postal and courier charges</t>
  </si>
  <si>
    <t>Rates and taxes</t>
  </si>
  <si>
    <t>Rent</t>
  </si>
  <si>
    <t>Security</t>
  </si>
  <si>
    <t>Travelling &amp; Conveyance</t>
  </si>
  <si>
    <t>Auditor Remuneration</t>
  </si>
  <si>
    <t>for audit</t>
  </si>
  <si>
    <t>1. Share Capital</t>
  </si>
  <si>
    <t xml:space="preserve">    Authorised Share Capital</t>
  </si>
  <si>
    <t xml:space="preserve">    Total</t>
  </si>
  <si>
    <t xml:space="preserve">    External Commercial Borrowings</t>
  </si>
  <si>
    <t xml:space="preserve">    K.U.M. Germany Creditors</t>
  </si>
  <si>
    <t xml:space="preserve">    SMPL - Advance</t>
  </si>
  <si>
    <t xml:space="preserve">    Airtel</t>
  </si>
  <si>
    <t xml:space="preserve">    CIPET</t>
  </si>
  <si>
    <t xml:space="preserve">    DB Schenker A/c</t>
  </si>
  <si>
    <t xml:space="preserve">    DHL Express</t>
  </si>
  <si>
    <t xml:space="preserve">    Darjen Tours &amp; Travels</t>
  </si>
  <si>
    <t xml:space="preserve">    Deepika</t>
  </si>
  <si>
    <t xml:space="preserve">    Delhivery Ltd</t>
  </si>
  <si>
    <t xml:space="preserve">    Dinesh A/c</t>
  </si>
  <si>
    <t xml:space="preserve">    EMudhra</t>
  </si>
  <si>
    <t xml:space="preserve">    GeM Portal</t>
  </si>
  <si>
    <t xml:space="preserve">    Greater Chennai Corporation</t>
  </si>
  <si>
    <t xml:space="preserve">    Hapag Lloyd A/c</t>
  </si>
  <si>
    <t xml:space="preserve">    ICEGATE</t>
  </si>
  <si>
    <t xml:space="preserve">    IPrime Consultancy Services</t>
  </si>
  <si>
    <t xml:space="preserve">    Jai Bharat Digital Prints</t>
  </si>
  <si>
    <t xml:space="preserve">    Jeena and Co A/c</t>
  </si>
  <si>
    <t xml:space="preserve">    Manish Shah &amp; Co</t>
  </si>
  <si>
    <t xml:space="preserve">    Matrics Consultancy</t>
  </si>
  <si>
    <t xml:space="preserve">    Ms.Subhashini</t>
  </si>
  <si>
    <t xml:space="preserve">    Praanha A./c</t>
  </si>
  <si>
    <t xml:space="preserve">    Professional Fees Payable A/c</t>
  </si>
  <si>
    <t xml:space="preserve">    Province Power System</t>
  </si>
  <si>
    <t xml:space="preserve">    RBCA</t>
  </si>
  <si>
    <t xml:space="preserve">    RBJV Associates</t>
  </si>
  <si>
    <t xml:space="preserve">    SMPL A/c</t>
  </si>
  <si>
    <t xml:space="preserve">    Vanitha A/c</t>
  </si>
  <si>
    <t xml:space="preserve">    Audit Fee Payable A/c</t>
  </si>
  <si>
    <t xml:space="preserve">    ECB2 Return Filing Charges Payable</t>
  </si>
  <si>
    <t xml:space="preserve">    GST Payable</t>
  </si>
  <si>
    <t xml:space="preserve">    GST RCM Payable</t>
  </si>
  <si>
    <t xml:space="preserve">    IGST @ 18%</t>
  </si>
  <si>
    <t xml:space="preserve">    Output CGST</t>
  </si>
  <si>
    <t xml:space="preserve">    Output CGST Payable A/c</t>
  </si>
  <si>
    <t xml:space="preserve">    Output SGST</t>
  </si>
  <si>
    <t xml:space="preserve">    Output SGST Payable A/c</t>
  </si>
  <si>
    <t xml:space="preserve">    Professional Tax</t>
  </si>
  <si>
    <t xml:space="preserve">    TDS-Payable Salary</t>
  </si>
  <si>
    <t xml:space="preserve">    TDS-Professional Services</t>
  </si>
  <si>
    <t xml:space="preserve">    Depreciation Reserve - Panasonic Phone</t>
  </si>
  <si>
    <t xml:space="preserve">    Laptop A/c</t>
  </si>
  <si>
    <t xml:space="preserve">    Panasonic Phone</t>
  </si>
  <si>
    <t xml:space="preserve">    K.U.M Germany</t>
  </si>
  <si>
    <t xml:space="preserve">    MRV Systems</t>
  </si>
  <si>
    <t xml:space="preserve">    SMPL Debtors</t>
  </si>
  <si>
    <t xml:space="preserve">    Cash</t>
  </si>
  <si>
    <t xml:space="preserve">    ICICI Bank</t>
  </si>
  <si>
    <t xml:space="preserve">    Duty IGST Receivable</t>
  </si>
  <si>
    <t xml:space="preserve">    Input CGST</t>
  </si>
  <si>
    <t xml:space="preserve">    Input CGST Receivable A/c</t>
  </si>
  <si>
    <t xml:space="preserve">    Input IGST</t>
  </si>
  <si>
    <t xml:space="preserve">    Input IGST Receivable A/c</t>
  </si>
  <si>
    <t xml:space="preserve">    Input SGST</t>
  </si>
  <si>
    <t xml:space="preserve">    Input SGST Receivable A/c</t>
  </si>
  <si>
    <t xml:space="preserve">    Superior Computer</t>
  </si>
  <si>
    <t>1. Revenue from Operations</t>
  </si>
  <si>
    <t xml:space="preserve">    Business Support Services</t>
  </si>
  <si>
    <t xml:space="preserve">    Service Charges - Domestic</t>
  </si>
  <si>
    <t>2. Other Income</t>
  </si>
  <si>
    <t xml:space="preserve">    Gain on Forex</t>
  </si>
  <si>
    <t xml:space="preserve">    Festival Bonus</t>
  </si>
  <si>
    <t xml:space="preserve">    Performance Incentive A/c</t>
  </si>
  <si>
    <t xml:space="preserve">    Salary A/c</t>
  </si>
  <si>
    <t xml:space="preserve">    Depreciation</t>
  </si>
  <si>
    <t xml:space="preserve">    Bank Charges</t>
  </si>
  <si>
    <t xml:space="preserve">    ECB2  Return Filing Charges</t>
  </si>
  <si>
    <t xml:space="preserve">    OBS Air Shipment Expense</t>
  </si>
  <si>
    <t xml:space="preserve">    OBS Sea Shipment Expense</t>
  </si>
  <si>
    <t xml:space="preserve">    Communication Expenses</t>
  </si>
  <si>
    <t xml:space="preserve">    Compliance Cost</t>
  </si>
  <si>
    <t xml:space="preserve">    Professional Fees</t>
  </si>
  <si>
    <t xml:space="preserve">    ROC Fees</t>
  </si>
  <si>
    <t xml:space="preserve">    Tender Fee &amp; Registration Charges</t>
  </si>
  <si>
    <t xml:space="preserve">    Courier Charges</t>
  </si>
  <si>
    <t xml:space="preserve">    Clearance Charges</t>
  </si>
  <si>
    <t xml:space="preserve">    Company Tax</t>
  </si>
  <si>
    <t xml:space="preserve">    Rent A/c</t>
  </si>
  <si>
    <t xml:space="preserve">    Audit Fees</t>
  </si>
  <si>
    <t>Ledger Name</t>
  </si>
  <si>
    <t>Ledger Parent Name</t>
  </si>
  <si>
    <t>Ledger Grandparent Name</t>
  </si>
  <si>
    <t>Primary Group Name</t>
  </si>
  <si>
    <t>Ledger Ultimate Parent Name</t>
  </si>
  <si>
    <t>Ledger Type</t>
  </si>
  <si>
    <t>Debit Transaction</t>
  </si>
  <si>
    <t>Credit Transaction</t>
  </si>
  <si>
    <t>Net Transaction</t>
  </si>
  <si>
    <t>Balance sheet Primary Classification Display Name</t>
  </si>
  <si>
    <t>Balance sheet Classification Display Name</t>
  </si>
  <si>
    <t>PNL Primary Classification Display Name</t>
  </si>
  <si>
    <t>PNL Classification Display Name</t>
  </si>
  <si>
    <t>Tally Company Name</t>
  </si>
  <si>
    <t>Balance sheet User Defined Classification (Update the customer defined value here)</t>
  </si>
  <si>
    <t>PnL User Defined Classfication</t>
  </si>
  <si>
    <t>guid</t>
  </si>
  <si>
    <t>Authorised Share Capital</t>
  </si>
  <si>
    <t>Capital Account</t>
  </si>
  <si>
    <t>_x0004_ Primary</t>
  </si>
  <si>
    <t>Liability</t>
  </si>
  <si>
    <t>e1c68af5-de76-4b79-88f9-add67b8d3461-000000ab</t>
  </si>
  <si>
    <t>ICICI Bank</t>
  </si>
  <si>
    <t>Bank Accounts</t>
  </si>
  <si>
    <t>Current Assets</t>
  </si>
  <si>
    <t>Asset</t>
  </si>
  <si>
    <t>e1c68af5-de76-4b79-88f9-add67b8d3461-000000c2</t>
  </si>
  <si>
    <t>Cash</t>
  </si>
  <si>
    <t>Cash-in-Hand</t>
  </si>
  <si>
    <t>e1c68af5-de76-4b79-88f9-add67b8d3461-0000001f</t>
  </si>
  <si>
    <t>ICICI FD A/c</t>
  </si>
  <si>
    <t>e1c68af5-de76-4b79-88f9-add67b8d3461-000000c3</t>
  </si>
  <si>
    <t>Superior Computer</t>
  </si>
  <si>
    <t>e1c68af5-de76-4b79-88f9-add67b8d3461-000000e7</t>
  </si>
  <si>
    <t>Duty IGST Receivable</t>
  </si>
  <si>
    <t>GST</t>
  </si>
  <si>
    <t>e1c68af5-de76-4b79-88f9-add67b8d3461-00000174</t>
  </si>
  <si>
    <t>Input CGST</t>
  </si>
  <si>
    <t>e1c68af5-de76-4b79-88f9-add67b8d3461-000000c4</t>
  </si>
  <si>
    <t>Input CGST Receivable A/c</t>
  </si>
  <si>
    <t>e1c68af5-de76-4b79-88f9-add67b8d3461-000000ea</t>
  </si>
  <si>
    <t>Input IGST</t>
  </si>
  <si>
    <t>e1c68af5-de76-4b79-88f9-add67b8d3461-000000c5</t>
  </si>
  <si>
    <t>Input IGST Receivable A/c</t>
  </si>
  <si>
    <t>e1c68af5-de76-4b79-88f9-add67b8d3461-00000183</t>
  </si>
  <si>
    <t>Input SGST</t>
  </si>
  <si>
    <t>e1c68af5-de76-4b79-88f9-add67b8d3461-000000c6</t>
  </si>
  <si>
    <t>Input SGST Receivable A/c</t>
  </si>
  <si>
    <t>e1c68af5-de76-4b79-88f9-add67b8d3461-000000eb</t>
  </si>
  <si>
    <t>K.U.M Germany</t>
  </si>
  <si>
    <t>Sundry Debtors</t>
  </si>
  <si>
    <t>e1c68af5-de76-4b79-88f9-add67b8d3461-000000ec</t>
  </si>
  <si>
    <t>MRV Systems</t>
  </si>
  <si>
    <t>e1c68af5-de76-4b79-88f9-add67b8d3461-000000ce</t>
  </si>
  <si>
    <t>SMPL Debtors</t>
  </si>
  <si>
    <t>e1c68af5-de76-4b79-88f9-add67b8d3461-0000017f</t>
  </si>
  <si>
    <t>Deepika</t>
  </si>
  <si>
    <t>Current Liabilities</t>
  </si>
  <si>
    <t>e1c68af5-de76-4b79-88f9-add67b8d3461-000000b5</t>
  </si>
  <si>
    <t>Deferred Tax Asset</t>
  </si>
  <si>
    <t>e1c68af5-de76-4b79-88f9-add67b8d3461-000000f4</t>
  </si>
  <si>
    <t>DHL Express</t>
  </si>
  <si>
    <t>e1c68af5-de76-4b79-88f9-add67b8d3461-000000b8</t>
  </si>
  <si>
    <t>Greater Chennai Corporation</t>
  </si>
  <si>
    <t>e1c68af5-de76-4b79-88f9-add67b8d3461-000000c0</t>
  </si>
  <si>
    <t>SMPL - Advance</t>
  </si>
  <si>
    <t>Advance Received</t>
  </si>
  <si>
    <t>e1c68af5-de76-4b79-88f9-add67b8d3461-00000175</t>
  </si>
  <si>
    <t>Airtel</t>
  </si>
  <si>
    <t>Expenses O/s</t>
  </si>
  <si>
    <t>e1c68af5-de76-4b79-88f9-add67b8d3461-000000a8</t>
  </si>
  <si>
    <t>Audit Fee Payable A/c</t>
  </si>
  <si>
    <t>e1c68af5-de76-4b79-88f9-add67b8d3461-000000a9</t>
  </si>
  <si>
    <t>CIPET</t>
  </si>
  <si>
    <t>e1c68af5-de76-4b79-88f9-add67b8d3461-000000af</t>
  </si>
  <si>
    <t>Darjen Tours &amp; Travels</t>
  </si>
  <si>
    <t>e1c68af5-de76-4b79-88f9-add67b8d3461-000000b4</t>
  </si>
  <si>
    <t>DB Schenker A/c</t>
  </si>
  <si>
    <t>e1c68af5-de76-4b79-88f9-add67b8d3461-0000017a</t>
  </si>
  <si>
    <t>Delhivery Ltd</t>
  </si>
  <si>
    <t>e1c68af5-de76-4b79-88f9-add67b8d3461-000000f2</t>
  </si>
  <si>
    <t>Dinesh A/c</t>
  </si>
  <si>
    <t>e1c68af5-de76-4b79-88f9-add67b8d3461-000000b9</t>
  </si>
  <si>
    <t>ECB2 Return Filing Charges Payable</t>
  </si>
  <si>
    <t>e1c68af5-de76-4b79-88f9-add67b8d3461-000000bc</t>
  </si>
  <si>
    <t>EMudhra</t>
  </si>
  <si>
    <t>e1c68af5-de76-4b79-88f9-add67b8d3461-00000177</t>
  </si>
  <si>
    <t>GeM Portal</t>
  </si>
  <si>
    <t>e1c68af5-de76-4b79-88f9-add67b8d3461-000000f3</t>
  </si>
  <si>
    <t>Hapag Lloyd A/c</t>
  </si>
  <si>
    <t>e1c68af5-de76-4b79-88f9-add67b8d3461-00000178</t>
  </si>
  <si>
    <t>ICEGATE</t>
  </si>
  <si>
    <t>e1c68af5-de76-4b79-88f9-add67b8d3461-00000173</t>
  </si>
  <si>
    <t>IPrime Consultancy Services</t>
  </si>
  <si>
    <t>e1c68af5-de76-4b79-88f9-add67b8d3461-000000c9</t>
  </si>
  <si>
    <t>Jai Bharat Digital Prints</t>
  </si>
  <si>
    <t>e1c68af5-de76-4b79-88f9-add67b8d3461-000000ca</t>
  </si>
  <si>
    <t>Jeena and Co A/c</t>
  </si>
  <si>
    <t>e1c68af5-de76-4b79-88f9-add67b8d3461-00000179</t>
  </si>
  <si>
    <t>Manish Shah &amp; Co</t>
  </si>
  <si>
    <t>e1c68af5-de76-4b79-88f9-add67b8d3461-000000cb</t>
  </si>
  <si>
    <t>Matrics Consultancy</t>
  </si>
  <si>
    <t>e1c68af5-de76-4b79-88f9-add67b8d3461-000000cc</t>
  </si>
  <si>
    <t>Ms.Subhashini</t>
  </si>
  <si>
    <t>e1c68af5-de76-4b79-88f9-add67b8d3461-000000cf</t>
  </si>
  <si>
    <t>Praanha A./c</t>
  </si>
  <si>
    <t>e1c68af5-de76-4b79-88f9-add67b8d3461-000000d4</t>
  </si>
  <si>
    <t>Professional Fees Payable A/c</t>
  </si>
  <si>
    <t>e1c68af5-de76-4b79-88f9-add67b8d3461-000000d7</t>
  </si>
  <si>
    <t>Province Power System</t>
  </si>
  <si>
    <t>e1c68af5-de76-4b79-88f9-add67b8d3461-000000e9</t>
  </si>
  <si>
    <t>RBCA</t>
  </si>
  <si>
    <t>e1c68af5-de76-4b79-88f9-add67b8d3461-000000f0</t>
  </si>
  <si>
    <t>RBJV Associates</t>
  </si>
  <si>
    <t>e1c68af5-de76-4b79-88f9-add67b8d3461-000000d9</t>
  </si>
  <si>
    <t>SMPL A/c</t>
  </si>
  <si>
    <t>e1c68af5-de76-4b79-88f9-add67b8d3461-000000de</t>
  </si>
  <si>
    <t>Vanitha A/c</t>
  </si>
  <si>
    <t>e1c68af5-de76-4b79-88f9-add67b8d3461-000000e4</t>
  </si>
  <si>
    <t>Walker Chandiok &amp; Co</t>
  </si>
  <si>
    <t>e1c68af5-de76-4b79-88f9-add67b8d3461-000000e5</t>
  </si>
  <si>
    <t>GST RCM Payable</t>
  </si>
  <si>
    <t>Duties &amp; Taxes</t>
  </si>
  <si>
    <t>e1c68af5-de76-4b79-88f9-add67b8d3461-000000ef</t>
  </si>
  <si>
    <t>Output CGST</t>
  </si>
  <si>
    <t>e1c68af5-de76-4b79-88f9-add67b8d3461-000000d1</t>
  </si>
  <si>
    <t>Output CGST Payable A/c</t>
  </si>
  <si>
    <t>e1c68af5-de76-4b79-88f9-add67b8d3461-0000017d</t>
  </si>
  <si>
    <t>Output SGST</t>
  </si>
  <si>
    <t>e1c68af5-de76-4b79-88f9-add67b8d3461-000000d2</t>
  </si>
  <si>
    <t>Output SGST Payable A/c</t>
  </si>
  <si>
    <t>e1c68af5-de76-4b79-88f9-add67b8d3461-0000017e</t>
  </si>
  <si>
    <t>Professional Tax</t>
  </si>
  <si>
    <t>e1c68af5-de76-4b79-88f9-add67b8d3461-000000d8</t>
  </si>
  <si>
    <t>TDS-Payable Salary</t>
  </si>
  <si>
    <t>e1c68af5-de76-4b79-88f9-add67b8d3461-000000e0</t>
  </si>
  <si>
    <t>TDS-Professional Services</t>
  </si>
  <si>
    <t>e1c68af5-de76-4b79-88f9-add67b8d3461-000000e1</t>
  </si>
  <si>
    <t>GST Payable</t>
  </si>
  <si>
    <t>GST Liability</t>
  </si>
  <si>
    <t>e1c68af5-de76-4b79-88f9-add67b8d3461-0000016e</t>
  </si>
  <si>
    <t>IGST @ 18%</t>
  </si>
  <si>
    <t>e1c68af5-de76-4b79-88f9-add67b8d3461-0000016d</t>
  </si>
  <si>
    <t>K.U.M. Germany Creditors</t>
  </si>
  <si>
    <t>Sundry Creditors</t>
  </si>
  <si>
    <t>e1c68af5-de76-4b79-88f9-add67b8d3461-00000182</t>
  </si>
  <si>
    <t>Clearance Charges</t>
  </si>
  <si>
    <t>Direct Expenses</t>
  </si>
  <si>
    <t>Expense</t>
  </si>
  <si>
    <t>e1c68af5-de76-4b79-88f9-add67b8d3461-0000016f</t>
  </si>
  <si>
    <t>OBS Rental A/c</t>
  </si>
  <si>
    <t>e1c68af5-de76-4b79-88f9-add67b8d3461-00000181</t>
  </si>
  <si>
    <t>Project Expenses A/c</t>
  </si>
  <si>
    <t>e1c68af5-de76-4b79-88f9-add67b8d3461-000000e8</t>
  </si>
  <si>
    <t>Tender Fee &amp; Registration Charges</t>
  </si>
  <si>
    <t>e1c68af5-de76-4b79-88f9-add67b8d3461-000000e2</t>
  </si>
  <si>
    <t>OBS Air Shipment Expense</t>
  </si>
  <si>
    <t>Project Expense A/c</t>
  </si>
  <si>
    <t>e1c68af5-de76-4b79-88f9-add67b8d3461-00000171</t>
  </si>
  <si>
    <t>OBS Sea Shipment Expense</t>
  </si>
  <si>
    <t>e1c68af5-de76-4b79-88f9-add67b8d3461-00000172</t>
  </si>
  <si>
    <t>Sales</t>
  </si>
  <si>
    <t>Direct Incomes</t>
  </si>
  <si>
    <t>Income</t>
  </si>
  <si>
    <t>e1c68af5-de76-4b79-88f9-add67b8d3461-000000ed</t>
  </si>
  <si>
    <t>Depreciation Reserve - Panasonic Phone</t>
  </si>
  <si>
    <t>Fixed Assets</t>
  </si>
  <si>
    <t>e1c68af5-de76-4b79-88f9-add67b8d3461-000000b7</t>
  </si>
  <si>
    <t>Laptop A/c</t>
  </si>
  <si>
    <t>e1c68af5-de76-4b79-88f9-add67b8d3461-000000e6</t>
  </si>
  <si>
    <t>Panasonic Phone</t>
  </si>
  <si>
    <t>e1c68af5-de76-4b79-88f9-add67b8d3461-000000d3</t>
  </si>
  <si>
    <t>Audit Fees</t>
  </si>
  <si>
    <t>Indirect Expenses</t>
  </si>
  <si>
    <t>e1c68af5-de76-4b79-88f9-add67b8d3461-000000aa</t>
  </si>
  <si>
    <t>Business Promotion Expenses</t>
  </si>
  <si>
    <t>e1c68af5-de76-4b79-88f9-add67b8d3461-000000ad</t>
  </si>
  <si>
    <t>Communication Expenses</t>
  </si>
  <si>
    <t>e1c68af5-de76-4b79-88f9-add67b8d3461-000000b0</t>
  </si>
  <si>
    <t>Company Tax</t>
  </si>
  <si>
    <t>e1c68af5-de76-4b79-88f9-add67b8d3461-000000b1</t>
  </si>
  <si>
    <t>Compliance Cost</t>
  </si>
  <si>
    <t>e1c68af5-de76-4b79-88f9-add67b8d3461-000000b2</t>
  </si>
  <si>
    <t>Courier Charges</t>
  </si>
  <si>
    <t>e1c68af5-de76-4b79-88f9-add67b8d3461-000000b3</t>
  </si>
  <si>
    <t>e1c68af5-de76-4b79-88f9-add67b8d3461-000000b6</t>
  </si>
  <si>
    <t>Festival Bonus</t>
  </si>
  <si>
    <t>e1c68af5-de76-4b79-88f9-add67b8d3461-000000be</t>
  </si>
  <si>
    <t>Interest on TDS</t>
  </si>
  <si>
    <t>e1c68af5-de76-4b79-88f9-add67b8d3461-000000c8</t>
  </si>
  <si>
    <t>Loss on Forex</t>
  </si>
  <si>
    <t>e1c68af5-de76-4b79-88f9-add67b8d3461-000000ee</t>
  </si>
  <si>
    <t>MGT Filing Fee</t>
  </si>
  <si>
    <t>e1c68af5-de76-4b79-88f9-add67b8d3461-000000cd</t>
  </si>
  <si>
    <t>Performance Incentive A/c</t>
  </si>
  <si>
    <t>e1c68af5-de76-4b79-88f9-add67b8d3461-00000184</t>
  </si>
  <si>
    <t>Printing &amp; Stationery</t>
  </si>
  <si>
    <t>e1c68af5-de76-4b79-88f9-add67b8d3461-000000d5</t>
  </si>
  <si>
    <t>Professional Fees</t>
  </si>
  <si>
    <t>e1c68af5-de76-4b79-88f9-add67b8d3461-000000d6</t>
  </si>
  <si>
    <t>Rent A/c</t>
  </si>
  <si>
    <t>e1c68af5-de76-4b79-88f9-add67b8d3461-000000da</t>
  </si>
  <si>
    <t>Salary A/c</t>
  </si>
  <si>
    <t>e1c68af5-de76-4b79-88f9-add67b8d3461-000000dd</t>
  </si>
  <si>
    <t>Software Expenses</t>
  </si>
  <si>
    <t>e1c68af5-de76-4b79-88f9-add67b8d3461-000000df</t>
  </si>
  <si>
    <t>Transportation Charges</t>
  </si>
  <si>
    <t>e1c68af5-de76-4b79-88f9-add67b8d3461-000000f1</t>
  </si>
  <si>
    <t>Travel Expenses</t>
  </si>
  <si>
    <t>e1c68af5-de76-4b79-88f9-add67b8d3461-000000e3</t>
  </si>
  <si>
    <t>Unavailed GST RCM</t>
  </si>
  <si>
    <t>e1c68af5-de76-4b79-88f9-add67b8d3461-000000c1</t>
  </si>
  <si>
    <t>Bank Charges</t>
  </si>
  <si>
    <t>e1c68af5-de76-4b79-88f9-add67b8d3461-000000ac</t>
  </si>
  <si>
    <t>ECB2  Return Filing Charges</t>
  </si>
  <si>
    <t>e1c68af5-de76-4b79-88f9-add67b8d3461-000000bb</t>
  </si>
  <si>
    <t>DSC Charges</t>
  </si>
  <si>
    <t>e1c68af5-de76-4b79-88f9-add67b8d3461-000000ba</t>
  </si>
  <si>
    <t>Other Compliance Cost</t>
  </si>
  <si>
    <t>e1c68af5-de76-4b79-88f9-add67b8d3461-000000d0</t>
  </si>
  <si>
    <t>ROC Fees</t>
  </si>
  <si>
    <t>e1c68af5-de76-4b79-88f9-add67b8d3461-000000db</t>
  </si>
  <si>
    <t>Gain on Forex</t>
  </si>
  <si>
    <t>Indirect Incomes</t>
  </si>
  <si>
    <t>e1c68af5-de76-4b79-88f9-add67b8d3461-000000bf</t>
  </si>
  <si>
    <t>Interest on ICICI FD A/c</t>
  </si>
  <si>
    <t>e1c68af5-de76-4b79-88f9-add67b8d3461-000000c7</t>
  </si>
  <si>
    <t>e1c68af5-de76-4b79-88f9-add67b8d3461-000000dc</t>
  </si>
  <si>
    <t>External Commercial Borrowings</t>
  </si>
  <si>
    <t>Loans (Liability)</t>
  </si>
  <si>
    <t>e1c68af5-de76-4b79-88f9-add67b8d3461-000000bd</t>
  </si>
  <si>
    <t>Profit &amp; Loss A/c</t>
  </si>
  <si>
    <t>Primary</t>
  </si>
  <si>
    <t>e1c68af5-de76-4b79-88f9-add67b8d3461-0000001e</t>
  </si>
  <si>
    <t>Business Support Services</t>
  </si>
  <si>
    <t>Sales Accounts</t>
  </si>
  <si>
    <t>e1c68af5-de76-4b79-88f9-add67b8d3461-000000ae</t>
  </si>
  <si>
    <t>Service Charges - Domestic</t>
  </si>
  <si>
    <t>e1c68af5-de76-4b79-88f9-add67b8d3461-0000017b</t>
  </si>
  <si>
    <t>Depreciation as per Books</t>
  </si>
  <si>
    <t>Surcharge @ 10%</t>
  </si>
  <si>
    <t>Depreciation as per Income Tax Act</t>
  </si>
  <si>
    <t>HEC @ 4%</t>
  </si>
  <si>
    <t>K.U.M India Private Limited</t>
  </si>
  <si>
    <t xml:space="preserve"> </t>
  </si>
  <si>
    <t>A5 Second Floor Rajeshwari Apartments, 45 Vellalar Street, Kodambakkam,</t>
  </si>
  <si>
    <t>Depreciation as per Income Tax Act, 1961</t>
  </si>
  <si>
    <t xml:space="preserve">S. No. </t>
  </si>
  <si>
    <t>Name of the Asset</t>
  </si>
  <si>
    <t>Rate</t>
  </si>
  <si>
    <t>Additions</t>
  </si>
  <si>
    <t>Deletions</t>
  </si>
  <si>
    <t>Total Depreciation</t>
  </si>
  <si>
    <t>More than 180 Days</t>
  </si>
  <si>
    <t>Less than 180 Days</t>
  </si>
  <si>
    <t xml:space="preserve">BLOCK I </t>
  </si>
  <si>
    <t xml:space="preserve">   Computers- Laptops</t>
  </si>
  <si>
    <t>Performance Incentivies</t>
  </si>
  <si>
    <t>Performance Incentivies as per Books</t>
  </si>
  <si>
    <t>Performance Incentivies as per Income Tax Act</t>
  </si>
  <si>
    <t>Trial Balance</t>
  </si>
  <si>
    <t/>
  </si>
  <si>
    <t>Opening</t>
  </si>
  <si>
    <t>Transactions</t>
  </si>
  <si>
    <t>Closing</t>
  </si>
  <si>
    <t>Balance</t>
  </si>
  <si>
    <t>Debit</t>
  </si>
  <si>
    <t>Credit</t>
  </si>
  <si>
    <t>Grand Total</t>
  </si>
  <si>
    <t xml:space="preserve">    TDS-Contracts</t>
  </si>
  <si>
    <t xml:space="preserve">    DARJEN TOURS &amp; TRAVEL ACCOUNT</t>
  </si>
  <si>
    <t xml:space="preserve">    DB SCHENKER ACCOUNT</t>
  </si>
  <si>
    <t xml:space="preserve">    Interest on TDS Paid</t>
  </si>
  <si>
    <t>Tax u/s 115BAC</t>
  </si>
  <si>
    <t>Assessment Year</t>
  </si>
  <si>
    <t>Opted for Taxation u/s Section 115BAA</t>
  </si>
  <si>
    <t>YES</t>
  </si>
  <si>
    <t>I</t>
  </si>
  <si>
    <t>Income from Business or Profession (Chapter IV D)</t>
  </si>
  <si>
    <t>Profit as per Profit and Loss Account</t>
  </si>
  <si>
    <t>Add: Depreciation debited in P&amp;L</t>
  </si>
  <si>
    <t>Add: Donation- Disallowed u/s 37</t>
  </si>
  <si>
    <t>Add: Provision for Gratuity -Disallowed u/s 43B</t>
  </si>
  <si>
    <t>Less: Incomes Considered seperately</t>
  </si>
  <si>
    <t xml:space="preserve">   (a) Interest Received</t>
  </si>
  <si>
    <t xml:space="preserve">   (b) Rent Received</t>
  </si>
  <si>
    <t>Less: Provision for Gratuity (Paid)</t>
  </si>
  <si>
    <t>Less: Profit on Sale of Fixed Asset</t>
  </si>
  <si>
    <t>Less: Depreciation as per Income Tax Act, 1961</t>
  </si>
  <si>
    <t>II</t>
  </si>
  <si>
    <t>Capital Gain</t>
  </si>
  <si>
    <t>III</t>
  </si>
  <si>
    <t>Income from Other Sources</t>
  </si>
  <si>
    <t>Interest Received on FD</t>
  </si>
  <si>
    <t>Interest on IT Refund</t>
  </si>
  <si>
    <t>Gross Total Income</t>
  </si>
  <si>
    <t>Less: Deduction</t>
  </si>
  <si>
    <t>U/s 80JJAA</t>
  </si>
  <si>
    <t>Employment of New Employees</t>
  </si>
  <si>
    <t xml:space="preserve">Total Income </t>
  </si>
  <si>
    <t>Total Income Rounded Off u/s 288A</t>
  </si>
  <si>
    <t>Add : Health and Education Cess @4%</t>
  </si>
  <si>
    <t>Less: TDS</t>
  </si>
  <si>
    <t>Less: TCS</t>
  </si>
  <si>
    <t>Less: Advance Tax</t>
  </si>
  <si>
    <t>Add: Interest u/s 234 A</t>
  </si>
  <si>
    <t>Add: Interest u/s 234 B</t>
  </si>
  <si>
    <t>Add: Interest u/s 234 C</t>
  </si>
  <si>
    <t>Q1</t>
  </si>
  <si>
    <t>Q2</t>
  </si>
  <si>
    <t>Q3</t>
  </si>
  <si>
    <t>Q4</t>
  </si>
  <si>
    <t>Interest u/s 234 A</t>
  </si>
  <si>
    <t>Tax Due</t>
  </si>
  <si>
    <t>If Tax Payable Exceeds Rs 1.00 lac,due date for the purpose of interest u/s 234A has not been extended(Original Due date - 31st October)</t>
  </si>
  <si>
    <t>Interest @ 1%(1 Month)</t>
  </si>
  <si>
    <t>Interest u/s 234 B</t>
  </si>
  <si>
    <t>90% of Tax due</t>
  </si>
  <si>
    <t>Tax Paid (TDS, TCS and Advance Tax)</t>
  </si>
  <si>
    <t xml:space="preserve">Difference </t>
  </si>
  <si>
    <t xml:space="preserve">Interest @ 1% </t>
  </si>
  <si>
    <t>Interest u/s 234 C</t>
  </si>
  <si>
    <t>Due Date</t>
  </si>
  <si>
    <t xml:space="preserve">Assessable Tax </t>
  </si>
  <si>
    <t>Advance Tax Due</t>
  </si>
  <si>
    <t>Advance Tax Paid</t>
  </si>
  <si>
    <t>Balance Unpaid</t>
  </si>
  <si>
    <t>Interest on default</t>
  </si>
  <si>
    <t>Amount</t>
  </si>
  <si>
    <t xml:space="preserve">Below 12% </t>
  </si>
  <si>
    <t>Add: Surcharge @ 10%</t>
  </si>
  <si>
    <t>AY 2022-23</t>
  </si>
  <si>
    <t>AY 2023-24</t>
  </si>
  <si>
    <t>Less:Brought Forward Loss adjsuted</t>
  </si>
  <si>
    <t>Brought Forward Loss Setoff</t>
  </si>
  <si>
    <t>Business Loss</t>
  </si>
  <si>
    <t>Unabsorbed Dep Loss</t>
  </si>
  <si>
    <t>Setoff in Current Year</t>
  </si>
  <si>
    <t>Balance Carry Forward</t>
  </si>
  <si>
    <t>Loss to be C/F</t>
  </si>
  <si>
    <t>Tranche-1</t>
  </si>
  <si>
    <t>Tranche-2</t>
  </si>
  <si>
    <t>Date of availment - term loan</t>
  </si>
  <si>
    <t>17 July 2020</t>
  </si>
  <si>
    <t>18 December 2020</t>
  </si>
  <si>
    <t>Principal (in Euros)</t>
  </si>
  <si>
    <t>30 March 2026</t>
  </si>
  <si>
    <t>Bonus &amp; Incentivies</t>
  </si>
  <si>
    <t xml:space="preserve">   Hapag Lloyd</t>
  </si>
  <si>
    <t>Equity Shares</t>
  </si>
  <si>
    <t>The Company has one class of equity shares having a par value of Rs.10/- per share. The equity shares are attached with voting rights. Each shareholder is eligible for one vote per share held.  In the event of liquidation, the equity shareholders are eligible to receive the remaining assets of the Company after distribution of all preferential amount, in proportion to their shareholding.</t>
  </si>
  <si>
    <t>Typoe of Shares</t>
  </si>
  <si>
    <t>Number of Shares held</t>
  </si>
  <si>
    <t>Percentage of Holding</t>
  </si>
  <si>
    <t>6Labs Europe GmbH (Holding Company)</t>
  </si>
  <si>
    <t>Equity</t>
  </si>
  <si>
    <t>Sutti Omnath Dinesh Babu</t>
  </si>
  <si>
    <t>Deferred Tax Caculation</t>
  </si>
  <si>
    <t xml:space="preserve">Rights, Preferences and Restrictions </t>
  </si>
  <si>
    <t xml:space="preserve"> Shares held by shareholders holding more than 5%</t>
  </si>
  <si>
    <t>Promoter Name</t>
  </si>
  <si>
    <t>Percentage Change during the year</t>
  </si>
  <si>
    <t xml:space="preserve"> 6Labs Europe GmbH (Holding Company)</t>
  </si>
  <si>
    <t>S. No.</t>
  </si>
  <si>
    <t>Name of the Related Party</t>
  </si>
  <si>
    <t>Nature of Relationship</t>
  </si>
  <si>
    <t>6Labs Europe GmbH</t>
  </si>
  <si>
    <t>Holding Company</t>
  </si>
  <si>
    <t>Director/KMP</t>
  </si>
  <si>
    <t>Vanitha S.D</t>
  </si>
  <si>
    <t>Relative of the Director</t>
  </si>
  <si>
    <t>Note: Related party relationships are as identified by the Management.</t>
  </si>
  <si>
    <t>Nature of the Transaction</t>
  </si>
  <si>
    <t>Long Term Borrowings</t>
  </si>
  <si>
    <t>Development Act, 2006</t>
  </si>
  <si>
    <t>Based on and to the extent of information received by the Company from the suppliers during the year</t>
  </si>
  <si>
    <t>regarding their status under the Micro Small and Medium Enterprises Development Act, 2006 (MSMED</t>
  </si>
  <si>
    <t>Principal amount remaining unpaid to any supplier as at the end of the accounting year.</t>
  </si>
  <si>
    <t>Interest due thereon remaining unpaid to any supplier as at the end of the accounting year.</t>
  </si>
  <si>
    <t>The amount of interest paid along with the amounts of the payment made to the supplier beyond the appointed day</t>
  </si>
  <si>
    <t>The amount of interest due and payable for the year.</t>
  </si>
  <si>
    <t>The amount of interest accrued and remaining unpaid at the end of the accounting year.</t>
  </si>
  <si>
    <t>The amount of further interest due and payable even in the succeeding year, until such date when the interest dues as above are actually paid.</t>
  </si>
  <si>
    <t>The Company do not have any Benami property, where any proceeding has been initiated or pending against the Company for holding any Benami property.</t>
  </si>
  <si>
    <t>The Company do not have any transactions with companies struck off.</t>
  </si>
  <si>
    <t>The Company do not have any charges or satisfaction which is yet to be registered with ROC beyond the statutory period.</t>
  </si>
  <si>
    <t>The Company have not traded or invested in Crypto currency or Virtual Currency during the financial year.</t>
  </si>
  <si>
    <t>The company has no transactions which are not recorded in the books of accounts, that has been surrendered or disclosed as income during the year under the Income Tax Act, 1961. (such as Search or Survey under the Income Tax Act, 1961)</t>
  </si>
  <si>
    <t>The Company has complied with the number of layers prescribed under clause (87) of section 2 of the Act read with the Companies (Restriction on number of Layers) Rules, 2017.</t>
  </si>
  <si>
    <t xml:space="preserve">The Company have not advanced or loaned or invested funds to any other person(s) or entity(ies), including foreign entities (Intermediaries) with the understanding that the Intermediary shall: </t>
  </si>
  <si>
    <t>(a) directly or indirectly lend or invest in other persons or entities identified in any manner whatsoever by or on behalf of the Company (Ultimate Beneficiaries); or</t>
  </si>
  <si>
    <t>(b) provide any guarantee, security or the like to or on behalf of the Ultimate Beneficiaries.</t>
  </si>
  <si>
    <t xml:space="preserve">The Company have not received any fund from any person(s) or entity(ies), including foreign entities (Funding Party) with the understanding (whether recorded in writing or otherwise) that the Company shall: </t>
  </si>
  <si>
    <t>(a) directly or indirectly lend or invest in other persons or entities identified in any manner whatsoever by or on behalf of the Funding Party (Ultimate Beneficiaries); or</t>
  </si>
  <si>
    <t>(b) provide any guarantee, security or the like on behalf of the Ultimate Beneficiaries.</t>
  </si>
  <si>
    <t>The company is not declared as a wilful defaulter by any bank or financial Institution or other lender.</t>
  </si>
  <si>
    <t>S.No</t>
  </si>
  <si>
    <t>Measurement</t>
  </si>
  <si>
    <t>Denominator</t>
  </si>
  <si>
    <t>% Change</t>
  </si>
  <si>
    <t>Current Ratio</t>
  </si>
  <si>
    <t>In Times</t>
  </si>
  <si>
    <t>Current Asset</t>
  </si>
  <si>
    <t>Debt - Equity Ratio</t>
  </si>
  <si>
    <t>Debt = Long Term Borrowings + Short Term Borrowings</t>
  </si>
  <si>
    <t>Total Equity</t>
  </si>
  <si>
    <t>Debt Service Coverage Ratio</t>
  </si>
  <si>
    <t>Earnings for Debt Service = Net Profit after Taxes + Non Cash Operating Expenses + Finance Cost</t>
  </si>
  <si>
    <t>Debt Service = Interest &amp; Lease Payments + Principal Payments</t>
  </si>
  <si>
    <t>Return on Equity Ratio</t>
  </si>
  <si>
    <t>In Percentage</t>
  </si>
  <si>
    <t>Profit after Tax</t>
  </si>
  <si>
    <t>Average Shareholder's Fund</t>
  </si>
  <si>
    <t>Inventory Turnover Ration</t>
  </si>
  <si>
    <t>Average Inventory</t>
  </si>
  <si>
    <t>Trade Receivables Turnover Ratio</t>
  </si>
  <si>
    <t>Net Credit Sales = Gross Credit Sales - Sales Return (Excluding Other Income)</t>
  </si>
  <si>
    <t>Average Trade Receivable</t>
  </si>
  <si>
    <t>Trade Payable Turnover Ratio</t>
  </si>
  <si>
    <t>Purchases and Other Services</t>
  </si>
  <si>
    <t>Average Trade Payable</t>
  </si>
  <si>
    <t>Net Capital Turnover Ratio</t>
  </si>
  <si>
    <t>Net Sales = Total Sales - Sales Return (Including Other Income)</t>
  </si>
  <si>
    <t>Working Capital = Current Assets - Current Liabilities</t>
  </si>
  <si>
    <t>Net Profit Ratio</t>
  </si>
  <si>
    <t>Profit After Tax</t>
  </si>
  <si>
    <t>Return on Capital Employed</t>
  </si>
  <si>
    <t>Earnings Before Interest and Tax</t>
  </si>
  <si>
    <t>Capital Employed = Net Worth + Total Debt</t>
  </si>
  <si>
    <t>Return on Investment</t>
  </si>
  <si>
    <t>Total Assets</t>
  </si>
  <si>
    <t xml:space="preserve">Explanation for Significant Change </t>
  </si>
  <si>
    <t>Due to Increase in profit during the year</t>
  </si>
  <si>
    <t xml:space="preserve">    ECB2 Filing Charges Payable</t>
  </si>
  <si>
    <t>Samhitha Marine Private Limited</t>
  </si>
  <si>
    <t>Common Director</t>
  </si>
  <si>
    <t>Revenue From Services</t>
  </si>
  <si>
    <t>Gross Block</t>
  </si>
  <si>
    <t xml:space="preserve">Accumulated Depreciation </t>
  </si>
  <si>
    <t>Net Block</t>
  </si>
  <si>
    <t>Disposals</t>
  </si>
  <si>
    <t>Depreciation for the year</t>
  </si>
  <si>
    <t>Write Off due to Sale of Assets</t>
  </si>
  <si>
    <t>Computers</t>
  </si>
  <si>
    <t>Previous Year</t>
  </si>
  <si>
    <t>Note number: 5</t>
  </si>
  <si>
    <t xml:space="preserve">K.U.M India Private Limited ('K.U.M'/'the Company') incorporated on 21 May 2020 under the Companies Act, 2013. </t>
  </si>
  <si>
    <t>The Company is a subsidiary of 6Labs Europe GmbH, Germany ('Holding Company'). The primary objective of the Company is to provide custom solutions in marine research and development, and innovative turnkey marine solutions.</t>
  </si>
  <si>
    <t>Note No. 1 Corporate Information</t>
  </si>
  <si>
    <t>Note No. 2 Significant Accounting Policies</t>
  </si>
  <si>
    <t>The financial statements have been prepared in accordance with the historical cost convention on an accrual basis and comply with the applicable Accounting Standards specified under section 133 of the Companies Act, 2013 read with Rule 7 of the Companies (Accounts) Rules, 2014.</t>
  </si>
  <si>
    <t>These financial statements have been prepared as required under relevant provision of the Companies Act, 2013 and the presentation is based on Schedule III of the Companies Act, 2013. All assets and liabilities are classified into current and non-current generally based on the criteria of realization / settlement within twelve months’ period from the balance sheet date</t>
  </si>
  <si>
    <t>The preparation of financial statements in conformity with Indian GAAP requires the Management to make estimates and assumptions considered in the reported amounts of assets and liabilities (including contingent liabilities) as of the date of the financial statements and the reported income and expenses during the reporting period like provision for employee benefits, provisioning for receivables, useful lives of fixed assets, provisioning for taxation etc. Management believes that the estimates used in the preparation of the financial statements are prudent and reasonable. Future results could differ from these estimates and the differences between the actual results and the estimates are recognised in the periods in which the results are known / materialise.</t>
  </si>
  <si>
    <t>Other operating revenue is usually recognised as the services performed, by the completed service contract method. The Company collects Goods and Service Tax (GST) on behalf of the government and, therefore, these are not economic benefits flowing to the Company. Hence, they are excluded from revenue.</t>
  </si>
  <si>
    <t>Tangible Assets are carried at cost of acquisition less accumulated depreciation and accumulated impairment loss, if any. Cost comprises the purchase price, non-refundable taxes, duties, freight and other incidental expenses incurred directly related to the acquisition and installation of the asset. All expenses on existing fixed assets, including day-to-day repair and maintenance expenditure and cost of replacing parts, are charged to the statement of profit and loss for the period during which such expenses are incurred other than expenses which increase the future benefit from such asset beyond its previously assessed standard of performance. Depreciation on tangible fixed assets is provided on pro-rata basis (i.e from the date the asset is ready to use) on Straight Line Value method. Depreciation is provided over management’s estimate of the useful life of such assets, which coincides with the useful life estimates prescribed in Part C of Schedule II to the Companies Act, 2013.</t>
  </si>
  <si>
    <t>Transactions in foreign currencies entered by the Company are accounted at the exchange rates prevailing on the date of the transaction.</t>
  </si>
  <si>
    <t>Exchange differences arising on the settlement of monetary items or on reporting such monetary items of company at rates different from those at which they were initially recorded during the year, or reported in previous financial statements, are recognized as income or as expenses in the year in which they arise.</t>
  </si>
  <si>
    <t>Foreign currency monetary items of the Company, outstanding at the balance sheet date are restated at the year-end rates. Non-monetary items of the Company are carried at historical cost.</t>
  </si>
  <si>
    <t>Borrowing costs include interest and ancillary costs that the Company incurs in connection with the borrowings. Costs in connection with the borrowing of funds to the extent not directly related to the acquisition of qualifying assets are charged to the Statement of Profit and Loss at the time of availment of the Loan.</t>
  </si>
  <si>
    <t xml:space="preserve">Basic earnings per share is computed by dividing the profit / (loss) after tax (including the post-tax effect of extraordinary items, if any) by the weighted average number of equity shares outstanding during the year. </t>
  </si>
  <si>
    <t xml:space="preserve">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 </t>
  </si>
  <si>
    <t xml:space="preserve">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
  </si>
  <si>
    <t>The dilutive potential equity shares are adjusted for the proceeds receivable had the shares been actually issued at fair value (i.e. average market value of the outstanding shares). Dilutive potential equity shares are determined independently for each period presented. The number of equity shares and potentially dilutive equity shares are adjusted for share splits / reverse share splits and bonus shares, as appropriate.</t>
  </si>
  <si>
    <t>Income-tax expense comprises current tax (i.e. amount of tax for the period determined in accordance with the income-tax law) and deferred tax charge or credit (reflecting the tax effects of timing differences between accounting income and taxable income for the period). Income-tax expense is recognised in statement of profit and loss except that tax expense relating to items recognised directly in reserves is also recognized in those reserves.Current tax is measured at the amount expected to be paid to (recovered from) the taxation authorities, using the applicable tax rates and tax laws.Deferred tax is recognised on timing differences, being the differences between the taxable income and the accounting income that originate in one period and are capable of reversal in one or more subsequent periods.  Deferred tax is measured using the tax rates and the tax laws enacted or substantively enacted as at the reporting date. Deferred tax liabilities are recognised for all timing differences. Deferred tax assets are recognised for timing differences of items other than unabsorbed depreciation and carry forward losses only to the extent that reasonable certainty exists that sufficient future taxable income will be available against which these can be realised. However, if there are unabsorbed depreciation and carry forward of losses, deferred tax assets are recognised only if there is virtual certainty that there will be sufficient future taxable income available to realise the assets. Deferred tax assets and liabilities are offset if such items relate to taxes on income levied by the same governing tax laws and the Company has a legally enforceable right for such set off. Deferred tax assets are reviewed at each Balance Sheet date for their realisability.</t>
  </si>
  <si>
    <t>Assets and Liabilities are classified as Current and Non-Current based on the Operating Cycle which has been estimated to be 12 months. All assets and liabilities which are expected to be realised and settled, within a period of 12 months from the date of Balance Sheet have been classified as Current and other assets and liabilities are classified as Non-current.</t>
  </si>
  <si>
    <t>2.1 Accounting Conversion</t>
  </si>
  <si>
    <t>2.3 Cash Flow Statement</t>
  </si>
  <si>
    <t>2.4 Revenue Recognition</t>
  </si>
  <si>
    <t>2.2 Use of Estimates</t>
  </si>
  <si>
    <t>2.10 Operating Cycle</t>
  </si>
  <si>
    <t xml:space="preserve">Rate of Interest </t>
  </si>
  <si>
    <t>Note No:5(a)</t>
  </si>
  <si>
    <t>Secured, considered good unless otherwise stated</t>
  </si>
  <si>
    <t>K.U.M. Unwelt- und Meerestechnik Kiel GmbH</t>
  </si>
  <si>
    <t>Revenue From Operations</t>
  </si>
  <si>
    <t>Deferred Tax</t>
  </si>
  <si>
    <t>Deferred Tax Liability</t>
  </si>
  <si>
    <t>Basic</t>
  </si>
  <si>
    <t>Profit after tax (A)</t>
  </si>
  <si>
    <t>Weighted average number of shares outstanding (B)</t>
  </si>
  <si>
    <t>Basic EPS (A / B)</t>
  </si>
  <si>
    <t>Diluted</t>
  </si>
  <si>
    <t>Diluted EPS (A / B)</t>
  </si>
  <si>
    <t>Face value per share</t>
  </si>
  <si>
    <t>Sale Of Services</t>
  </si>
  <si>
    <t>In EUR</t>
  </si>
  <si>
    <t>in Rupee equivalent</t>
  </si>
  <si>
    <t>a) External commercial borrowings</t>
  </si>
  <si>
    <t>The amounts for the previous year have been regrouped wherever necessary.</t>
  </si>
  <si>
    <t>For RAMANUJAM and BOOVARAHAN</t>
  </si>
  <si>
    <t>For and on behalf of the Board of Directors</t>
  </si>
  <si>
    <t>Firm's Registration No.002945S</t>
  </si>
  <si>
    <t>N.R. BOOVARAHAN</t>
  </si>
  <si>
    <t>SUTTI OMNATH DINESH</t>
  </si>
  <si>
    <t xml:space="preserve">Partner
 </t>
  </si>
  <si>
    <t xml:space="preserve">Director                             </t>
  </si>
  <si>
    <t xml:space="preserve"> Director                             </t>
  </si>
  <si>
    <t>Membership No. 027801</t>
  </si>
  <si>
    <t xml:space="preserve">DIN: 07747125 </t>
  </si>
  <si>
    <t>Place:  Chennai</t>
  </si>
  <si>
    <t>Date:</t>
  </si>
  <si>
    <t xml:space="preserve">In terms of our report attached. </t>
  </si>
  <si>
    <t>Director</t>
  </si>
  <si>
    <t>TDS RECEIVABLE</t>
  </si>
  <si>
    <t>(Increase)/Decrease in Short Term Loans And Advance</t>
  </si>
  <si>
    <t>K.U.M. India Private Limited 24-25</t>
  </si>
  <si>
    <t>1-Apr-24 to 31-Mar-25</t>
  </si>
  <si>
    <t>will be repaid after 5 years</t>
  </si>
  <si>
    <t>TDS - Contracts</t>
  </si>
  <si>
    <t>He is not taking any remuneration</t>
  </si>
  <si>
    <t>customs duty</t>
  </si>
  <si>
    <t>Integrated Registry Management Services</t>
  </si>
  <si>
    <t>Ms Rajarajeshwari</t>
  </si>
  <si>
    <t>Ms Subhashini - Reimbursement</t>
  </si>
  <si>
    <t>Deposits (Asset)</t>
  </si>
  <si>
    <t>ICICI Fixed Deposit</t>
  </si>
  <si>
    <t>Loans &amp; Advances (Asset)</t>
  </si>
  <si>
    <t>Advance Tax A/c</t>
  </si>
  <si>
    <t>NSDL - Advance</t>
  </si>
  <si>
    <t>Receivable From DB Schenker</t>
  </si>
  <si>
    <t>TDS Receivable</t>
  </si>
  <si>
    <t>TDS Receivable - ICICI</t>
  </si>
  <si>
    <t>TDS Receivable - SMPL</t>
  </si>
  <si>
    <t>Return Air Shipment</t>
  </si>
  <si>
    <t>Discount A/c</t>
  </si>
  <si>
    <t>just like credit points discount is being provided here</t>
  </si>
  <si>
    <t>Interest Received on IT Refund</t>
  </si>
  <si>
    <t>Demat account documentation charges</t>
  </si>
  <si>
    <t>K.U.M. India Private Limited - 01.04.2024-31.3.2025</t>
  </si>
  <si>
    <t>As at 31st Mar 2025</t>
  </si>
  <si>
    <t>Issued and Paidup Share Capital</t>
  </si>
  <si>
    <t>K.U.M. India Private Limited - (from 1-Apr-24)</t>
  </si>
  <si>
    <t>01-Apr-2024 - 31-Mar-2025</t>
  </si>
  <si>
    <t>As at 31 March 2025</t>
  </si>
  <si>
    <t>Balance 
as at 
31 March, 2025</t>
  </si>
  <si>
    <t>For the Year Ended 31st Mar 2025</t>
  </si>
  <si>
    <t xml:space="preserve">    Other Complience Cost</t>
  </si>
  <si>
    <t xml:space="preserve">    Other Compliance Cost</t>
  </si>
  <si>
    <t>Assessment Year 2025-26</t>
  </si>
  <si>
    <t xml:space="preserve">     OBS rental A/C</t>
  </si>
  <si>
    <t>Darjen Tours and Travel</t>
  </si>
  <si>
    <t xml:space="preserve">   Total</t>
  </si>
  <si>
    <t>For the year ended 31 March 2025</t>
  </si>
  <si>
    <t xml:space="preserve"> As at 31 March 2025</t>
  </si>
  <si>
    <t>JOURNAL ENTRIES</t>
  </si>
  <si>
    <t>1)</t>
  </si>
  <si>
    <t>DEBIT</t>
  </si>
  <si>
    <t>CREDIT</t>
  </si>
  <si>
    <t>2)</t>
  </si>
  <si>
    <t>3)</t>
  </si>
  <si>
    <t xml:space="preserve">    GST</t>
  </si>
  <si>
    <t xml:space="preserve">    Advance tax</t>
  </si>
  <si>
    <t xml:space="preserve">    NSDL - Advance</t>
  </si>
  <si>
    <t xml:space="preserve">    Ms Subhashini - Reimbursement</t>
  </si>
  <si>
    <t>Before Extraordinary Item</t>
  </si>
  <si>
    <t>After Extraordinary Item</t>
  </si>
  <si>
    <t>Numerator</t>
  </si>
  <si>
    <t>Advance Tax Schedule</t>
  </si>
  <si>
    <t>Total Loss set off in Previous years</t>
  </si>
  <si>
    <t>Reconciliation of Cash and cash equivalents with the Balance Sheet:</t>
  </si>
  <si>
    <t>Less: Bank Balances not considered as Cash and Cash Equivalents
as defined in AS 3 Cash Flow Statements</t>
  </si>
  <si>
    <t>Cash and cash equivalents at the end of the year Comprises:</t>
  </si>
  <si>
    <t>(a) Cash on Hand</t>
  </si>
  <si>
    <t>(b) Balances with banks</t>
  </si>
  <si>
    <t>(i) In Current Accounts</t>
  </si>
  <si>
    <t>For the year ended 31st March 2025</t>
  </si>
  <si>
    <t>Unrealised Loss On Forex</t>
  </si>
  <si>
    <t>Add: Unrealised Forex Loss</t>
  </si>
  <si>
    <t>Finance Cost</t>
  </si>
  <si>
    <t>Loss On Forex</t>
  </si>
  <si>
    <r>
      <t>a)</t>
    </r>
    <r>
      <rPr>
        <sz val="10"/>
        <color theme="1"/>
        <rFont val="Arial"/>
        <family val="2"/>
      </rPr>
      <t>     The Company did not have any derivative contracts during the current year and previous period.</t>
    </r>
  </si>
  <si>
    <r>
      <t>b)</t>
    </r>
    <r>
      <rPr>
        <sz val="10"/>
        <color theme="1"/>
        <rFont val="Arial"/>
        <family val="2"/>
      </rPr>
      <t>     Particulars of unhedged foreign currency exposure as at the reporting date</t>
    </r>
  </si>
  <si>
    <r>
      <t>2.5  Property, Plant and Equipment</t>
    </r>
    <r>
      <rPr>
        <b/>
        <sz val="10"/>
        <color theme="1"/>
        <rFont val="Arial"/>
        <family val="2"/>
      </rPr>
      <t xml:space="preserve">      </t>
    </r>
  </si>
  <si>
    <r>
      <t>2.6 Foreign Currency Translation</t>
    </r>
    <r>
      <rPr>
        <b/>
        <sz val="10"/>
        <color theme="1"/>
        <rFont val="Arial"/>
        <family val="2"/>
      </rPr>
      <t xml:space="preserve">       </t>
    </r>
  </si>
  <si>
    <r>
      <t>(a) Initial Recognition</t>
    </r>
    <r>
      <rPr>
        <b/>
        <sz val="10"/>
        <color theme="1"/>
        <rFont val="Arial"/>
        <family val="2"/>
      </rPr>
      <t xml:space="preserve">    </t>
    </r>
  </si>
  <si>
    <r>
      <t>(b) Exchange differences</t>
    </r>
    <r>
      <rPr>
        <b/>
        <sz val="10"/>
        <color theme="1"/>
        <rFont val="Arial"/>
        <family val="2"/>
      </rPr>
      <t xml:space="preserve">   </t>
    </r>
  </si>
  <si>
    <r>
      <t>(c) Measurement at the balance sheet date</t>
    </r>
    <r>
      <rPr>
        <b/>
        <sz val="10"/>
        <color theme="1"/>
        <rFont val="Arial"/>
        <family val="2"/>
      </rPr>
      <t xml:space="preserve">    </t>
    </r>
  </si>
  <si>
    <r>
      <t>2.7 Borrowing Costs</t>
    </r>
    <r>
      <rPr>
        <b/>
        <sz val="10"/>
        <color theme="1"/>
        <rFont val="Arial"/>
        <family val="2"/>
      </rPr>
      <t>          </t>
    </r>
  </si>
  <si>
    <r>
      <t>2.8 Earnings per Share</t>
    </r>
    <r>
      <rPr>
        <b/>
        <sz val="10"/>
        <color theme="1"/>
        <rFont val="Arial"/>
        <family val="2"/>
      </rPr>
      <t xml:space="preserve">   </t>
    </r>
  </si>
  <si>
    <r>
      <t>2.9 Taxes on Income</t>
    </r>
    <r>
      <rPr>
        <b/>
        <sz val="10"/>
        <color theme="1"/>
        <rFont val="Arial"/>
        <family val="2"/>
      </rPr>
      <t xml:space="preserve">   </t>
    </r>
  </si>
  <si>
    <t xml:space="preserve"> Clearance Charges</t>
  </si>
  <si>
    <t xml:space="preserve"> Communication</t>
  </si>
  <si>
    <t xml:space="preserve">    Auditors Remuneration</t>
  </si>
  <si>
    <t xml:space="preserve">    Postal and courier charges</t>
  </si>
  <si>
    <t xml:space="preserve">    Rates and taxes</t>
  </si>
  <si>
    <t xml:space="preserve">   OBS Rental A/c</t>
  </si>
  <si>
    <t xml:space="preserve">   Rent A/c</t>
  </si>
  <si>
    <t xml:space="preserve">   Software Expenses</t>
  </si>
  <si>
    <t xml:space="preserve">  Travelling &amp; Conveyance</t>
  </si>
  <si>
    <t xml:space="preserve">  Printing &amp; Stationery</t>
  </si>
  <si>
    <t>AY 2025-26</t>
  </si>
  <si>
    <t>U29100TN2020PTC135386</t>
  </si>
  <si>
    <t>A5 second floor,</t>
  </si>
  <si>
    <t>Rajeswari Apartments, 45 Vellalar street,</t>
  </si>
  <si>
    <t xml:space="preserve"> Kodambakkam,</t>
  </si>
  <si>
    <t>Chennai- 600024.</t>
  </si>
  <si>
    <t>Interest on FD</t>
  </si>
  <si>
    <t>Interest on ICICI FD</t>
  </si>
  <si>
    <t xml:space="preserve">   Interest on FD</t>
  </si>
  <si>
    <t xml:space="preserve"> Forex gains</t>
  </si>
  <si>
    <t xml:space="preserve"> Other non-operating income</t>
  </si>
  <si>
    <t>Cash and Bank Balances as per Balance Sheet - Refer Note No. 11</t>
  </si>
  <si>
    <t>Repayment to Sundry Creditors</t>
  </si>
  <si>
    <t>2. Deferred Tax Liabilities (Net)</t>
  </si>
  <si>
    <t>3. Short-term Borrowings</t>
  </si>
  <si>
    <t>4. Trade Payables</t>
  </si>
  <si>
    <t>5. Other Current Liabilities</t>
  </si>
  <si>
    <t>6. Property, Plant and Equipment</t>
  </si>
  <si>
    <t>7. Short Term Provisions</t>
  </si>
  <si>
    <t>8. Trade Receivables</t>
  </si>
  <si>
    <t>9. Cash and Cash Equivalents</t>
  </si>
  <si>
    <t>10. Short-term Loans &amp; Advances</t>
  </si>
  <si>
    <t>3. Employee Benefits</t>
  </si>
  <si>
    <t>4. Finance Costs</t>
  </si>
  <si>
    <t>5. Depreciation and Amortisation</t>
  </si>
  <si>
    <t>6. Other Expenses</t>
  </si>
  <si>
    <t>7. Auditor Remuneration</t>
  </si>
  <si>
    <t xml:space="preserve">    Deferred Tax Liabilities</t>
  </si>
  <si>
    <t>Deferred tax assets</t>
  </si>
  <si>
    <t xml:space="preserve">    Deferred Tax assets</t>
  </si>
  <si>
    <t>11. Deferred Tax Assets (Net)</t>
  </si>
  <si>
    <t>12. Other Current Assets</t>
  </si>
  <si>
    <t>Deferred Tax Assets (Net)</t>
  </si>
  <si>
    <t>Note no. 10</t>
  </si>
  <si>
    <t xml:space="preserve">                                               Current Transactions</t>
  </si>
  <si>
    <t>Employee Benefits expenses</t>
  </si>
  <si>
    <t>Depreciation and Amortisation expenses</t>
  </si>
  <si>
    <t>Earnings In Foreign Currency</t>
  </si>
  <si>
    <t xml:space="preserve">    Project Expenses A/c</t>
  </si>
  <si>
    <t xml:space="preserve">    DSC Charges</t>
  </si>
  <si>
    <t>Employee benefits and compensation</t>
  </si>
  <si>
    <t xml:space="preserve">Revenue is recognized to the extent that it is probable that the economic benefits will flow to the Company and the revenue can be reliably measured. </t>
  </si>
  <si>
    <t>Balance with Government Authorities</t>
  </si>
  <si>
    <t>ONNO NICO HANNES BLISS</t>
  </si>
  <si>
    <t>DIN:10105885</t>
  </si>
  <si>
    <t>Statement of Unabsorbed Depreciation Brought/Carried Forward</t>
  </si>
  <si>
    <t>Brought Forward</t>
  </si>
  <si>
    <t>Set off</t>
  </si>
  <si>
    <t>Carried Forward</t>
  </si>
  <si>
    <t>AY 23-24</t>
  </si>
  <si>
    <t>Statement of Business losses Brought/Carried Forward</t>
  </si>
  <si>
    <t>As at 31st Mar 2026</t>
  </si>
  <si>
    <t>K.U.M. India Private Limited 25-26</t>
  </si>
  <si>
    <t>1-Apr-25 to 31-Mar-26</t>
  </si>
  <si>
    <t>6 LABS EUROPE GMBH</t>
  </si>
  <si>
    <t>KUM Germany Creditors- Mobilisation Charges Payable</t>
  </si>
  <si>
    <t>NSDL</t>
  </si>
  <si>
    <t>Tripadam Logistics Private Limited</t>
  </si>
  <si>
    <t>Virogreen</t>
  </si>
  <si>
    <t>Return Sea Shipment - Complete OBS</t>
  </si>
  <si>
    <t>Condonation Charges</t>
  </si>
  <si>
    <t>Local Conveyance</t>
  </si>
  <si>
    <t>As at 31 March 2026</t>
  </si>
  <si>
    <t>Shares held by promoters at the end of the year 31st March 2026</t>
  </si>
  <si>
    <t>Trial Balance for the Year ended March 31, 2026</t>
  </si>
  <si>
    <t xml:space="preserve">               Opening Balance as on 01.04.2025</t>
  </si>
  <si>
    <t xml:space="preserve">                Closing Balance as on 31.03.2026</t>
  </si>
  <si>
    <t>Output CGST Payable</t>
  </si>
  <si>
    <t>Output SGST Payable</t>
  </si>
  <si>
    <t>6LABS EUROPH GMBH</t>
  </si>
  <si>
    <t>AIRTEL</t>
  </si>
  <si>
    <t>KUM Germany Creditors-Mobalisation Charges Payable</t>
  </si>
  <si>
    <t xml:space="preserve"> Loss On Forex</t>
  </si>
  <si>
    <t>Fixed Deposits</t>
  </si>
  <si>
    <t>For the Year Ended 31st Mar 2026</t>
  </si>
  <si>
    <t>Balance Sheet as on 31st March 2026</t>
  </si>
  <si>
    <t>Note number: 9  Property, Plant and Equipment and Intangible assets as on 31st March 2026</t>
  </si>
  <si>
    <t>Balance 
as at 
1 April, 2025</t>
  </si>
  <si>
    <t>Balance 
as at 
31 March, 2026</t>
  </si>
  <si>
    <t>Profit &amp; Loss for the year ended 31st March 2026</t>
  </si>
  <si>
    <t>For the year ended 31st March 2026</t>
  </si>
  <si>
    <t>Business support services</t>
  </si>
  <si>
    <t>4)</t>
  </si>
  <si>
    <t>5)</t>
  </si>
  <si>
    <t>Shares held by promoters at the end of the year 31st March 2025</t>
  </si>
  <si>
    <t>KUM Germany Creditors-Mobalisation Charges</t>
  </si>
  <si>
    <t>KUM Germany Creditors-Lease Charges</t>
  </si>
  <si>
    <t>GST Receivable</t>
  </si>
  <si>
    <t>WDV As at 31 March 2025</t>
  </si>
  <si>
    <t>WDV as on 31 March 2026</t>
  </si>
  <si>
    <t>Closing Deffered Tax Liability on account of depreciation and Gratuity</t>
  </si>
  <si>
    <t>Opening Deffered Tax Asset on account of depreciation and Gratuity</t>
  </si>
  <si>
    <t>Deferred Tax Expense for the year 2024-25</t>
  </si>
  <si>
    <t>Profit &amp; Loss a/c</t>
  </si>
  <si>
    <t>To Deferred Tax Asset a/c</t>
  </si>
  <si>
    <t xml:space="preserve">    Return Sea Shipment</t>
  </si>
  <si>
    <t xml:space="preserve">    Condonation Charges</t>
  </si>
  <si>
    <t xml:space="preserve">    Interest on TDS</t>
  </si>
  <si>
    <t xml:space="preserve">   Interest on TDS</t>
  </si>
  <si>
    <t>Cash Flow Statements For The Year Ended 31st March 2026</t>
  </si>
  <si>
    <t>Notes to Financial statements for the year ended 31st March 2026</t>
  </si>
  <si>
    <t xml:space="preserve">K.U.M. India Private Limited </t>
  </si>
  <si>
    <t>A5 second floor,Rajeswari Apartments, 45 Vellalar street, Kodambakkam,Chennai- 600024.</t>
  </si>
  <si>
    <t>Date for repayment - term loan</t>
  </si>
  <si>
    <t>17 October 2025</t>
  </si>
  <si>
    <t>To Depreciation a/c</t>
  </si>
  <si>
    <t>KUM Germany Creditors-Mobalisation Charges a/c</t>
  </si>
  <si>
    <t>To KUM Germany Creditors-Mobalisation Charges Payable a/c</t>
  </si>
  <si>
    <t>( Being Deferred Tax Liability is adjusting against Deferred Tax asset)</t>
  </si>
  <si>
    <t>( Transfering to Payable Account )</t>
  </si>
  <si>
    <t>( Depreciation is Received as Asset Cannot be Nil Balance until Sale)</t>
  </si>
  <si>
    <t>OBS Sea Shipment Expense a/c</t>
  </si>
  <si>
    <t>To Other Income a/c</t>
  </si>
  <si>
    <t>( Duty Drawback refund is transferred to Other income)</t>
  </si>
  <si>
    <t xml:space="preserve">  Discount Received</t>
  </si>
  <si>
    <t>Duty Drawback Refund</t>
  </si>
  <si>
    <t>To ECB2 Return Filing Charges Payable a/c</t>
  </si>
  <si>
    <t>ECB2  Return Filing Charges a/c</t>
  </si>
  <si>
    <t>( Towards ECB2 Return filing charges for February &amp; March)</t>
  </si>
  <si>
    <t>Communication Expenses a/c</t>
  </si>
  <si>
    <t>( Towards Airtel Broad band charges)</t>
  </si>
  <si>
    <t>6)</t>
  </si>
  <si>
    <t>Provision For Tax FY 25-26</t>
  </si>
  <si>
    <t>2026-2027</t>
  </si>
  <si>
    <t>For the year ended 31 March 2026</t>
  </si>
  <si>
    <t xml:space="preserve"> As at 31 March 2026</t>
  </si>
  <si>
    <t>Repayment of External Commercial Borrowings</t>
  </si>
  <si>
    <t>Due to the Repayment of long term Borrowings</t>
  </si>
  <si>
    <t>Due to decrease in Bank Balance.</t>
  </si>
  <si>
    <t>Due to Increase in profit for the current year</t>
  </si>
  <si>
    <t xml:space="preserve">Due to increase in sales </t>
  </si>
  <si>
    <t>Due to the increase in profit</t>
  </si>
  <si>
    <t xml:space="preserve">The difference is due to increase in profit </t>
  </si>
  <si>
    <t xml:space="preserve">Due to the Nil trade payables in current year. </t>
  </si>
  <si>
    <t>Due to the Nil trade receivables in current year.</t>
  </si>
  <si>
    <t>AY 25-26</t>
  </si>
  <si>
    <t>Less:Brought Forward Unabsorbed Depreciation</t>
  </si>
  <si>
    <t>Tax Due u/s 115BAA @ 22% of Total Income</t>
  </si>
  <si>
    <t>Current Year</t>
  </si>
  <si>
    <t>To Airtel a/c</t>
  </si>
  <si>
    <t>( Current year tax Provision made )</t>
  </si>
  <si>
    <t>7)</t>
  </si>
  <si>
    <t>Provision for Tax FY 25-26</t>
  </si>
  <si>
    <t>Note no. 8</t>
  </si>
  <si>
    <t>Short term Provision</t>
  </si>
  <si>
    <t>To Provision for Tax FY 25-26</t>
  </si>
  <si>
    <t xml:space="preserve">1,50,000 Equity Shares Of  Rs. 10/- Each </t>
  </si>
  <si>
    <t>1,50,000 Equity Shares of Rs. 10/- Each</t>
  </si>
  <si>
    <t>Note number: 19</t>
  </si>
  <si>
    <t xml:space="preserve">Expenditure in Foreign Currency                                       </t>
  </si>
  <si>
    <t>Realised Loss On Forex</t>
  </si>
  <si>
    <t xml:space="preserve"> Condonation Charges</t>
  </si>
  <si>
    <t xml:space="preserve"> Rounding Off</t>
  </si>
  <si>
    <t>Notes forming part of the Financial Statements for the Year ended 31 March 2026</t>
  </si>
  <si>
    <t>Forex Loss</t>
  </si>
  <si>
    <t xml:space="preserve">Deferred Tax </t>
  </si>
  <si>
    <t>Note number: 20</t>
  </si>
  <si>
    <t>Current Tax</t>
  </si>
  <si>
    <t>Current tax</t>
  </si>
  <si>
    <t>Note No. 21 Earning Per Share</t>
  </si>
  <si>
    <t>Note No. 22 Earnings In Foreign Currency</t>
  </si>
  <si>
    <t xml:space="preserve">Note No. 23 Expenditure in Foreign Currency                                       </t>
  </si>
  <si>
    <t>Note No. 24 Related Party Disclosures as per AS-18</t>
  </si>
  <si>
    <t>Note No. 24 (a) Names of Related Parties and Nature of Relationship</t>
  </si>
  <si>
    <t xml:space="preserve">Note No. 24 (b) Transactions with Related Parties </t>
  </si>
  <si>
    <t>Note No. 24 (c) Outstanding Balance with the Related Parties</t>
  </si>
  <si>
    <t>Note No. 25 Disclosures required under Section 22 of the Micro, Small and Medium Enterprises</t>
  </si>
  <si>
    <t>Note No. 26 Derivative instruments and unhedged foreign currency exposure</t>
  </si>
  <si>
    <t>Note No. 27 Other Statutory Information</t>
  </si>
  <si>
    <t>Note No. 28 Ratio Analysis</t>
  </si>
  <si>
    <t xml:space="preserve">Note No. 29 Previous Year’s Figures   </t>
  </si>
  <si>
    <t>See accompanying notes forming part of the financial statements 1 &amp; 2</t>
  </si>
  <si>
    <t>Loss on Forex Repayment of Borrowings &amp; Lease rentals</t>
  </si>
  <si>
    <t>Act), the relevant particulars for the period ended March 31, 2026 is furnished below:</t>
  </si>
  <si>
    <t xml:space="preserve">To Rounding Off </t>
  </si>
  <si>
    <t>( According to Bank statement Closing)</t>
  </si>
  <si>
    <t>8)</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</si>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</sst>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1" formatCode="_ * #,##0_ ;_ * \-#,##0_ ;_ * &quot;-&quot;_ ;_ @_ "/>
    <numFmt numFmtId="43" formatCode="_ * #,##0.00_ ;_ * \-#,##0.00_ ;_ * &quot;-&quot;??_ ;_ @_ "/>
    <numFmt numFmtId="164" formatCode="_(* #,##0.00_);_(* \(#,##0.00\);_(* &quot;-&quot;??_);_(@_)"/>
    <numFmt numFmtId="165" formatCode="_ * #,##0.00\ _ ;[Red]\ * \(#,##0.00\)_ ;_ * &quot;-&quot;??\ _ ;_ @_ "/>
    <numFmt numFmtId="166" formatCode="dd\-mmm\-yyyy"/>
    <numFmt numFmtId="167" formatCode="&quot;&quot;0"/>
    <numFmt numFmtId="168" formatCode="&quot;&quot;0.00"/>
    <numFmt numFmtId="169" formatCode="&quot;&quot;0.00&quot; Cr&quot;"/>
    <numFmt numFmtId="170" formatCode="&quot;&quot;0.00&quot; Dr&quot;"/>
    <numFmt numFmtId="171" formatCode="dd\/mm\/yyyy"/>
    <numFmt numFmtId="172" formatCode="_-* #,##0_-;\-* #,##0_-;_-* &quot;-&quot;??_-;_-@_-"/>
    <numFmt numFmtId="173" formatCode="0.000"/>
    <numFmt numFmtId="174" formatCode="_(* #,##0_);_(* \(#,##0\);_(* \-??_);_(@_)"/>
    <numFmt numFmtId="175" formatCode="_ * #,##0_ ;_ * \-#,##0_ ;_ * &quot;-&quot;??_ ;_ @_ "/>
    <numFmt numFmtId="176" formatCode="_ * #,##0.00_)\ _$_ ;_ * \(#,##0.00&quot;) &quot;_$_ ;_ * \-??_)\ _$_ ;_ @_ "/>
    <numFmt numFmtId="177" formatCode="0.0000000000000000"/>
    <numFmt numFmtId="178" formatCode="&quot;$&quot;#,##0.00"/>
    <numFmt numFmtId="179" formatCode="_ * #,##0.00000_ ;_ * \-#,##0.00000_ ;_ * &quot;-&quot;??_ ;_ @_ "/>
    <numFmt numFmtId="180" formatCode="_ * #,##0.000000_ ;_ * \-#,##0.000000_ ;_ * &quot;-&quot;??_ ;_ @_ "/>
    <numFmt numFmtId="181" formatCode="_(* #,##0.000000_);_(* \(#,##0.000000\);_(* &quot;-&quot;??_);_(@_)"/>
    <numFmt numFmtId="182" formatCode="0.00000000000000000%"/>
  </numFmts>
  <fonts count="20" x14ac:knownFonts="1">
    <font>
      <sz val="11"/>
      <color theme="1"/>
      <name val="Calibri"/>
      <family val="2"/>
      <scheme val="minor"/>
    </font>
    <font>
      <b/>
      <sz val="18"/>
      <color theme="1"/>
      <name val="Calibri"/>
      <family val="2"/>
      <scheme val="minor"/>
    </font>
    <font>
      <sz val="14"/>
      <color theme="1"/>
      <name val="Calibri"/>
      <family val="2"/>
      <scheme val="minor"/>
    </font>
    <font>
      <b/>
      <sz val="11"/>
      <color theme="1"/>
      <name val="Calibri"/>
      <family val="2"/>
      <scheme val="minor"/>
    </font>
    <font>
      <sz val="11"/>
      <color theme="1"/>
      <name val="Calibri"/>
      <family val="2"/>
      <scheme val="minor"/>
    </font>
    <font>
      <sz val="11"/>
      <color indexed="8"/>
      <name val="Calibri"/>
      <family val="2"/>
    </font>
    <font>
      <sz val="10"/>
      <name val="Arial"/>
      <family val="2"/>
    </font>
    <font>
      <sz val="11"/>
      <color theme="1"/>
      <name val="Trebuchet MS"/>
      <family val="2"/>
    </font>
    <font>
      <sz val="9"/>
      <color theme="1"/>
      <name val="Arial"/>
      <family val="2"/>
    </font>
    <font>
      <i/>
      <sz val="9"/>
      <color theme="1"/>
      <name val="Arial"/>
      <family val="2"/>
    </font>
    <font>
      <b/>
      <sz val="9"/>
      <color theme="1"/>
      <name val="Arial"/>
      <family val="2"/>
    </font>
    <font>
      <sz val="10"/>
      <color theme="1"/>
      <name val="Arial"/>
      <family val="2"/>
    </font>
    <font>
      <b/>
      <sz val="12"/>
      <color theme="1"/>
      <name val="Arial"/>
      <family val="2"/>
    </font>
    <font>
      <b/>
      <i/>
      <sz val="9"/>
      <color theme="1"/>
      <name val="Arial"/>
      <family val="2"/>
    </font>
    <font>
      <b/>
      <sz val="9"/>
      <color indexed="81"/>
      <name val="Tahoma"/>
      <family val="2"/>
    </font>
    <font>
      <b/>
      <i/>
      <sz val="10"/>
      <color theme="1"/>
      <name val="Arial"/>
      <family val="2"/>
    </font>
    <font>
      <b/>
      <sz val="10"/>
      <color theme="1"/>
      <name val="Arial"/>
      <family val="2"/>
    </font>
    <font>
      <b/>
      <sz val="10"/>
      <name val="Arial"/>
      <family val="2"/>
    </font>
    <font>
      <b/>
      <i/>
      <sz val="10"/>
      <name val="Arial"/>
      <family val="2"/>
    </font>
    <font>
      <i/>
      <sz val="10"/>
      <color theme="1"/>
      <name val="Arial"/>
      <family val="2"/>
    </font>
  </fonts>
  <fills count="7">
    <fill>
      <patternFill patternType="none"/>
    </fill>
    <fill>
      <patternFill patternType="gray125"/>
    </fill>
    <fill>
      <patternFill patternType="solid">
        <fgColor rgb="FFBDE0FF"/>
        <bgColor indexed="64"/>
      </patternFill>
    </fill>
    <fill>
      <patternFill patternType="solid">
        <fgColor rgb="FFCCCCCC"/>
        <bgColor indexed="64"/>
      </patternFill>
    </fill>
    <fill>
      <patternFill patternType="solid">
        <fgColor rgb="FF00C1FC"/>
        <bgColor indexed="64"/>
      </patternFill>
    </fill>
    <fill>
      <patternFill patternType="solid">
        <fgColor theme="0"/>
        <bgColor indexed="64"/>
      </patternFill>
    </fill>
    <fill>
      <patternFill patternType="solid">
        <fgColor rgb="FF92D050"/>
        <bgColor indexed="64"/>
      </patternFill>
    </fill>
  </fills>
  <borders count="94">
    <border>
      <left/>
      <right/>
      <top/>
      <bottom/>
      <diagonal/>
    </border>
    <border>
      <left/>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top/>
      <bottom/>
      <diagonal/>
    </border>
    <border>
      <left/>
      <right/>
      <top style="thin">
        <color auto="1"/>
      </top>
      <bottom/>
      <diagonal/>
    </border>
    <border>
      <left/>
      <right/>
      <top/>
      <bottom style="thin">
        <color auto="1"/>
      </bottom>
      <diagonal/>
    </border>
    <border>
      <left/>
      <right/>
      <top style="thin">
        <color indexed="64"/>
      </top>
      <bottom style="double">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bottom style="double">
        <color indexed="64"/>
      </bottom>
      <diagonal/>
    </border>
    <border>
      <left/>
      <right style="medium">
        <color indexed="64"/>
      </right>
      <top style="double">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right/>
      <top style="thin">
        <color indexed="64"/>
      </top>
      <bottom style="medium">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diagonal/>
    </border>
    <border>
      <left style="thin">
        <color auto="1"/>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top/>
      <bottom style="thin">
        <color auto="1"/>
      </bottom>
      <diagonal/>
    </border>
  </borders>
  <cellStyleXfs count="42">
    <xf numFmtId="0" fontId="0" fillId="0" borderId="0"/>
    <xf numFmtId="0" fontId="4" fillId="0" borderId="1"/>
    <xf numFmtId="43" fontId="4" fillId="0" borderId="1" applyFont="0" applyFill="0" applyBorder="0" applyAlignment="0" applyProtection="0"/>
    <xf numFmtId="164" fontId="6" fillId="0" borderId="1" applyFont="0" applyFill="0" applyBorder="0" applyAlignment="0" applyProtection="0"/>
    <xf numFmtId="43" fontId="6" fillId="0" borderId="1" applyFont="0" applyFill="0" applyBorder="0" applyAlignment="0" applyProtection="0"/>
    <xf numFmtId="0" fontId="6" fillId="0" borderId="1" applyFont="0" applyFill="0" applyBorder="0" applyAlignment="0" applyProtection="0"/>
    <xf numFmtId="43" fontId="6" fillId="0" borderId="1" applyFont="0" applyFill="0" applyBorder="0" applyAlignment="0" applyProtection="0"/>
    <xf numFmtId="43" fontId="4" fillId="0" borderId="1" applyFont="0" applyFill="0" applyBorder="0" applyAlignment="0" applyProtection="0"/>
    <xf numFmtId="43" fontId="6" fillId="0" borderId="1" applyFont="0" applyFill="0" applyBorder="0" applyAlignment="0" applyProtection="0"/>
    <xf numFmtId="0" fontId="5" fillId="0" borderId="1">
      <alignment vertical="center"/>
    </xf>
    <xf numFmtId="0" fontId="4" fillId="0" borderId="1"/>
    <xf numFmtId="0" fontId="7" fillId="0" borderId="1"/>
    <xf numFmtId="0" fontId="6" fillId="0" borderId="1"/>
    <xf numFmtId="0" fontId="6" fillId="0" borderId="1"/>
    <xf numFmtId="0" fontId="6" fillId="0" borderId="1"/>
    <xf numFmtId="0" fontId="4" fillId="0" borderId="1"/>
    <xf numFmtId="0" fontId="4" fillId="0" borderId="1"/>
    <xf numFmtId="0" fontId="4" fillId="0" borderId="1"/>
    <xf numFmtId="0" fontId="5" fillId="0" borderId="1"/>
    <xf numFmtId="9" fontId="4" fillId="0" borderId="1" applyFont="0" applyFill="0" applyBorder="0" applyAlignment="0" applyProtection="0"/>
    <xf numFmtId="43" fontId="4" fillId="0" borderId="0" applyFont="0" applyFill="0" applyBorder="0" applyAlignment="0" applyProtection="0"/>
    <xf numFmtId="0" fontId="4" fillId="0" borderId="1"/>
    <xf numFmtId="0" fontId="4" fillId="0" borderId="1"/>
    <xf numFmtId="9" fontId="4" fillId="0" borderId="0" applyFont="0" applyFill="0" applyBorder="0" applyAlignment="0" applyProtection="0"/>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0" fontId="4" fillId="0" borderId="1"/>
    <xf numFmtId="173" fontId="6" fillId="0" borderId="1" applyFill="0" applyBorder="0" applyAlignment="0" applyProtection="0"/>
    <xf numFmtId="176" fontId="5" fillId="0" borderId="1" applyFill="0" applyBorder="0" applyAlignment="0" applyProtection="0"/>
    <xf numFmtId="0" fontId="4" fillId="0" borderId="1"/>
    <xf numFmtId="0" fontId="4" fillId="0" borderId="1"/>
    <xf numFmtId="0" fontId="4" fillId="0" borderId="1"/>
  </cellStyleXfs>
  <cellXfs count="786">
    <xf numFmtId="0" fontId="0" fillId="0" borderId="0" xfId="0"/>
    <xf numFmtId="0" fontId="1" fillId="2" borderId="1" xfId="0" applyFont="1" applyFill="1" applyBorder="1" applyAlignment="1">
      <alignment horizontal="centerContinuous" vertical="center" wrapText="1"/>
    </xf>
    <xf numFmtId="0" fontId="2" fillId="0" borderId="0" xfId="0" applyFont="1" applyAlignment="1">
      <alignment horizontal="centerContinuous"/>
    </xf>
    <xf numFmtId="0" fontId="3" fillId="0" borderId="0" xfId="0" applyFont="1"/>
    <xf numFmtId="0" fontId="3" fillId="4"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horizontal="center"/>
    </xf>
    <xf numFmtId="4" fontId="0" fillId="0" borderId="0" xfId="0" applyNumberFormat="1" applyAlignment="1">
      <alignment horizontal="right"/>
    </xf>
    <xf numFmtId="0" fontId="11" fillId="0" borderId="0" xfId="0" applyFont="1" applyAlignment="1">
      <alignment vertical="top"/>
    </xf>
    <xf numFmtId="49" fontId="10" fillId="0" borderId="8" xfId="0" applyNumberFormat="1" applyFont="1" applyBorder="1" applyAlignment="1">
      <alignment horizontal="center" vertical="top"/>
    </xf>
    <xf numFmtId="49" fontId="8" fillId="0" borderId="4" xfId="0" applyNumberFormat="1" applyFont="1" applyBorder="1" applyAlignment="1">
      <alignment horizontal="center" vertical="top"/>
    </xf>
    <xf numFmtId="49" fontId="10" fillId="0" borderId="0" xfId="0" applyNumberFormat="1" applyFont="1" applyAlignment="1">
      <alignment vertical="top"/>
    </xf>
    <xf numFmtId="169" fontId="10" fillId="0" borderId="49" xfId="0" applyNumberFormat="1" applyFont="1" applyBorder="1" applyAlignment="1">
      <alignment horizontal="right" vertical="top"/>
    </xf>
    <xf numFmtId="167" fontId="9" fillId="0" borderId="49" xfId="0" applyNumberFormat="1" applyFont="1" applyBorder="1" applyAlignment="1">
      <alignment horizontal="right" vertical="top"/>
    </xf>
    <xf numFmtId="169" fontId="9" fillId="0" borderId="0" xfId="0" applyNumberFormat="1" applyFont="1" applyAlignment="1">
      <alignment horizontal="right" vertical="top"/>
    </xf>
    <xf numFmtId="167" fontId="8" fillId="0" borderId="0" xfId="0" applyNumberFormat="1" applyFont="1" applyAlignment="1">
      <alignment horizontal="right" vertical="top"/>
    </xf>
    <xf numFmtId="169" fontId="10" fillId="0" borderId="13" xfId="0" applyNumberFormat="1" applyFont="1" applyBorder="1" applyAlignment="1">
      <alignment horizontal="right" vertical="top"/>
    </xf>
    <xf numFmtId="167" fontId="9" fillId="0" borderId="13" xfId="0" applyNumberFormat="1" applyFont="1" applyBorder="1" applyAlignment="1">
      <alignment horizontal="right" vertical="top"/>
    </xf>
    <xf numFmtId="49" fontId="9" fillId="0" borderId="0" xfId="0" applyNumberFormat="1" applyFont="1" applyAlignment="1">
      <alignment horizontal="left" vertical="top" indent="4"/>
    </xf>
    <xf numFmtId="49" fontId="10" fillId="0" borderId="15" xfId="0" applyNumberFormat="1" applyFont="1" applyBorder="1" applyAlignment="1">
      <alignment horizontal="center" vertical="top"/>
    </xf>
    <xf numFmtId="49" fontId="10" fillId="0" borderId="12" xfId="0" applyNumberFormat="1" applyFont="1" applyBorder="1" applyAlignment="1">
      <alignment horizontal="left" vertical="top" indent="4"/>
    </xf>
    <xf numFmtId="49" fontId="10" fillId="0" borderId="5" xfId="0" applyNumberFormat="1" applyFont="1" applyBorder="1" applyAlignment="1">
      <alignment horizontal="left" vertical="top" indent="4"/>
    </xf>
    <xf numFmtId="49" fontId="10" fillId="0" borderId="8" xfId="0" applyNumberFormat="1" applyFont="1" applyBorder="1" applyAlignment="1">
      <alignment horizontal="left" vertical="top" indent="4"/>
    </xf>
    <xf numFmtId="49" fontId="9" fillId="0" borderId="0" xfId="0" applyNumberFormat="1" applyFont="1" applyAlignment="1">
      <alignment horizontal="left" vertical="top" indent="5"/>
    </xf>
    <xf numFmtId="168" fontId="9" fillId="0" borderId="0" xfId="0" applyNumberFormat="1" applyFont="1" applyAlignment="1">
      <alignment horizontal="right" vertical="top"/>
    </xf>
    <xf numFmtId="167" fontId="9" fillId="0" borderId="0" xfId="0" applyNumberFormat="1" applyFont="1" applyAlignment="1">
      <alignment horizontal="right" vertical="top"/>
    </xf>
    <xf numFmtId="168" fontId="8" fillId="0" borderId="0" xfId="0" applyNumberFormat="1" applyFont="1" applyAlignment="1">
      <alignment horizontal="right" vertical="top"/>
    </xf>
    <xf numFmtId="170" fontId="9" fillId="0" borderId="0" xfId="0" applyNumberFormat="1" applyFont="1" applyAlignment="1">
      <alignment horizontal="right" vertical="top"/>
    </xf>
    <xf numFmtId="168" fontId="9" fillId="0" borderId="13" xfId="0" applyNumberFormat="1" applyFont="1" applyBorder="1" applyAlignment="1">
      <alignment horizontal="right" vertical="top"/>
    </xf>
    <xf numFmtId="49" fontId="8" fillId="0" borderId="0" xfId="0" applyNumberFormat="1" applyFont="1" applyAlignment="1">
      <alignment horizontal="left" vertical="top" indent="4"/>
    </xf>
    <xf numFmtId="169" fontId="8" fillId="0" borderId="49" xfId="0" applyNumberFormat="1" applyFont="1" applyBorder="1" applyAlignment="1">
      <alignment horizontal="right" vertical="top"/>
    </xf>
    <xf numFmtId="168" fontId="8" fillId="0" borderId="49" xfId="0" applyNumberFormat="1" applyFont="1" applyBorder="1" applyAlignment="1">
      <alignment horizontal="right" vertical="top"/>
    </xf>
    <xf numFmtId="49" fontId="8" fillId="0" borderId="0" xfId="0" applyNumberFormat="1" applyFont="1" applyAlignment="1">
      <alignment horizontal="left" vertical="top" indent="6"/>
    </xf>
    <xf numFmtId="49" fontId="9" fillId="0" borderId="0" xfId="0" applyNumberFormat="1" applyFont="1" applyAlignment="1">
      <alignment horizontal="left" vertical="top" indent="6"/>
    </xf>
    <xf numFmtId="169" fontId="8" fillId="0" borderId="0" xfId="0" applyNumberFormat="1" applyFont="1" applyAlignment="1">
      <alignment horizontal="right" vertical="top"/>
    </xf>
    <xf numFmtId="49" fontId="9" fillId="0" borderId="0" xfId="0" applyNumberFormat="1" applyFont="1" applyAlignment="1">
      <alignment horizontal="left" vertical="top" indent="7"/>
    </xf>
    <xf numFmtId="169" fontId="8" fillId="0" borderId="13" xfId="0" applyNumberFormat="1" applyFont="1" applyBorder="1" applyAlignment="1">
      <alignment horizontal="right" vertical="top"/>
    </xf>
    <xf numFmtId="168" fontId="8" fillId="0" borderId="13" xfId="0" applyNumberFormat="1" applyFont="1" applyBorder="1" applyAlignment="1">
      <alignment horizontal="right" vertical="top"/>
    </xf>
    <xf numFmtId="170" fontId="10" fillId="0" borderId="13" xfId="0" applyNumberFormat="1" applyFont="1" applyBorder="1" applyAlignment="1">
      <alignment horizontal="right" vertical="top"/>
    </xf>
    <xf numFmtId="49" fontId="9" fillId="0" borderId="0" xfId="0" applyNumberFormat="1" applyFont="1" applyAlignment="1">
      <alignment horizontal="left" vertical="top" indent="3"/>
    </xf>
    <xf numFmtId="167" fontId="8" fillId="0" borderId="49" xfId="0" applyNumberFormat="1" applyFont="1" applyBorder="1" applyAlignment="1">
      <alignment horizontal="right" vertical="top"/>
    </xf>
    <xf numFmtId="167" fontId="8" fillId="0" borderId="13" xfId="0" applyNumberFormat="1" applyFont="1" applyBorder="1" applyAlignment="1">
      <alignment horizontal="right" vertical="top"/>
    </xf>
    <xf numFmtId="170" fontId="8" fillId="0" borderId="13" xfId="0" applyNumberFormat="1" applyFont="1" applyBorder="1" applyAlignment="1">
      <alignment horizontal="right" vertical="top"/>
    </xf>
    <xf numFmtId="170" fontId="8" fillId="0" borderId="0" xfId="0" applyNumberFormat="1" applyFont="1" applyAlignment="1">
      <alignment horizontal="right" vertical="top"/>
    </xf>
    <xf numFmtId="49" fontId="8" fillId="0" borderId="0" xfId="0" applyNumberFormat="1" applyFont="1" applyAlignment="1">
      <alignment horizontal="left" vertical="top" indent="3"/>
    </xf>
    <xf numFmtId="167" fontId="10" fillId="0" borderId="13" xfId="0" applyNumberFormat="1" applyFont="1" applyBorder="1" applyAlignment="1">
      <alignment horizontal="right" vertical="top"/>
    </xf>
    <xf numFmtId="170" fontId="8" fillId="0" borderId="49" xfId="0" applyNumberFormat="1" applyFont="1" applyBorder="1" applyAlignment="1">
      <alignment horizontal="right" vertical="top"/>
    </xf>
    <xf numFmtId="49" fontId="8" fillId="0" borderId="0" xfId="0" applyNumberFormat="1" applyFont="1" applyAlignment="1">
      <alignment vertical="top"/>
    </xf>
    <xf numFmtId="49" fontId="10" fillId="0" borderId="49" xfId="0" applyNumberFormat="1" applyFont="1" applyBorder="1" applyAlignment="1">
      <alignment horizontal="left" vertical="top" indent="4"/>
    </xf>
    <xf numFmtId="167" fontId="10" fillId="0" borderId="49" xfId="0" applyNumberFormat="1" applyFont="1" applyBorder="1" applyAlignment="1">
      <alignment horizontal="right" vertical="top"/>
    </xf>
    <xf numFmtId="168" fontId="13" fillId="0" borderId="49" xfId="0" applyNumberFormat="1" applyFont="1" applyBorder="1" applyAlignment="1">
      <alignment horizontal="right" vertical="top"/>
    </xf>
    <xf numFmtId="49" fontId="15" fillId="0" borderId="1" xfId="1" applyNumberFormat="1" applyFont="1"/>
    <xf numFmtId="0" fontId="11" fillId="0" borderId="1" xfId="1" applyFont="1"/>
    <xf numFmtId="43" fontId="11" fillId="0" borderId="1" xfId="1" applyNumberFormat="1" applyFont="1"/>
    <xf numFmtId="0" fontId="16" fillId="0" borderId="1" xfId="1" applyFont="1" applyAlignment="1">
      <alignment horizontal="left"/>
    </xf>
    <xf numFmtId="43" fontId="16" fillId="0" borderId="28" xfId="1" applyNumberFormat="1" applyFont="1" applyBorder="1" applyAlignment="1">
      <alignment horizontal="center" vertical="center" wrapText="1"/>
    </xf>
    <xf numFmtId="43" fontId="16" fillId="0" borderId="30" xfId="1" applyNumberFormat="1" applyFont="1" applyBorder="1" applyAlignment="1">
      <alignment horizontal="center" vertical="center" wrapText="1"/>
    </xf>
    <xf numFmtId="0" fontId="16" fillId="0" borderId="29" xfId="1" applyFont="1" applyBorder="1" applyAlignment="1">
      <alignment horizontal="center" vertical="center" wrapText="1"/>
    </xf>
    <xf numFmtId="0" fontId="11" fillId="0" borderId="16" xfId="1" applyFont="1" applyBorder="1" applyAlignment="1">
      <alignment horizontal="center" vertical="center"/>
    </xf>
    <xf numFmtId="0" fontId="11" fillId="0" borderId="41" xfId="1" applyFont="1" applyBorder="1"/>
    <xf numFmtId="0" fontId="11" fillId="0" borderId="17" xfId="1" applyFont="1" applyBorder="1" applyAlignment="1">
      <alignment horizontal="center" vertical="center"/>
    </xf>
    <xf numFmtId="43" fontId="11" fillId="0" borderId="18" xfId="1" applyNumberFormat="1" applyFont="1" applyBorder="1"/>
    <xf numFmtId="43" fontId="11" fillId="0" borderId="16" xfId="1" applyNumberFormat="1" applyFont="1" applyBorder="1" applyAlignment="1">
      <alignment horizontal="center" vertical="center"/>
    </xf>
    <xf numFmtId="43" fontId="11" fillId="0" borderId="42" xfId="1" applyNumberFormat="1" applyFont="1" applyBorder="1" applyAlignment="1">
      <alignment horizontal="center" vertical="center"/>
    </xf>
    <xf numFmtId="43" fontId="11" fillId="0" borderId="43" xfId="1" applyNumberFormat="1" applyFont="1" applyBorder="1" applyAlignment="1">
      <alignment horizontal="center" vertical="center" wrapText="1"/>
    </xf>
    <xf numFmtId="43" fontId="11" fillId="0" borderId="32" xfId="1" applyNumberFormat="1" applyFont="1" applyBorder="1" applyAlignment="1">
      <alignment horizontal="center" vertical="center" wrapText="1"/>
    </xf>
    <xf numFmtId="0" fontId="11" fillId="0" borderId="44" xfId="1" applyFont="1" applyBorder="1" applyAlignment="1">
      <alignment horizontal="center" vertical="center" wrapText="1"/>
    </xf>
    <xf numFmtId="43" fontId="11" fillId="0" borderId="35" xfId="1" applyNumberFormat="1" applyFont="1" applyBorder="1"/>
    <xf numFmtId="43" fontId="11" fillId="0" borderId="42" xfId="1" applyNumberFormat="1" applyFont="1" applyBorder="1"/>
    <xf numFmtId="0" fontId="11" fillId="0" borderId="19" xfId="1" applyFont="1" applyBorder="1" applyAlignment="1">
      <alignment horizontal="center" vertical="center"/>
    </xf>
    <xf numFmtId="0" fontId="16" fillId="0" borderId="6" xfId="1" applyFont="1" applyBorder="1"/>
    <xf numFmtId="10" fontId="11" fillId="0" borderId="1" xfId="1" applyNumberFormat="1" applyFont="1" applyAlignment="1">
      <alignment horizontal="center" vertical="center"/>
    </xf>
    <xf numFmtId="43" fontId="11" fillId="0" borderId="20" xfId="1" applyNumberFormat="1" applyFont="1" applyBorder="1"/>
    <xf numFmtId="43" fontId="11" fillId="0" borderId="19" xfId="1" applyNumberFormat="1" applyFont="1" applyBorder="1"/>
    <xf numFmtId="43" fontId="11" fillId="0" borderId="45" xfId="1" applyNumberFormat="1" applyFont="1" applyBorder="1"/>
    <xf numFmtId="43" fontId="11" fillId="0" borderId="36" xfId="1" applyNumberFormat="1" applyFont="1" applyBorder="1"/>
    <xf numFmtId="43" fontId="11" fillId="0" borderId="7" xfId="1" applyNumberFormat="1" applyFont="1" applyBorder="1"/>
    <xf numFmtId="43" fontId="11" fillId="0" borderId="5" xfId="1" applyNumberFormat="1" applyFont="1" applyBorder="1"/>
    <xf numFmtId="0" fontId="11" fillId="0" borderId="6" xfId="1" applyFont="1" applyBorder="1"/>
    <xf numFmtId="43" fontId="16" fillId="0" borderId="21" xfId="1" applyNumberFormat="1" applyFont="1" applyBorder="1"/>
    <xf numFmtId="0" fontId="11" fillId="0" borderId="37" xfId="1" applyFont="1" applyBorder="1"/>
    <xf numFmtId="10" fontId="11" fillId="0" borderId="26" xfId="1" applyNumberFormat="1" applyFont="1" applyBorder="1" applyAlignment="1">
      <alignment horizontal="center" vertical="center"/>
    </xf>
    <xf numFmtId="43" fontId="11" fillId="0" borderId="34" xfId="1" applyNumberFormat="1" applyFont="1" applyBorder="1"/>
    <xf numFmtId="43" fontId="11" fillId="0" borderId="25" xfId="1" applyNumberFormat="1" applyFont="1" applyBorder="1"/>
    <xf numFmtId="43" fontId="11" fillId="0" borderId="46" xfId="1" applyNumberFormat="1" applyFont="1" applyBorder="1"/>
    <xf numFmtId="43" fontId="11" fillId="0" borderId="37" xfId="1" applyNumberFormat="1" applyFont="1" applyBorder="1"/>
    <xf numFmtId="43" fontId="11" fillId="0" borderId="48" xfId="1" applyNumberFormat="1" applyFont="1" applyBorder="1"/>
    <xf numFmtId="43" fontId="11" fillId="0" borderId="33" xfId="1" applyNumberFormat="1" applyFont="1" applyBorder="1"/>
    <xf numFmtId="0" fontId="17" fillId="0" borderId="1" xfId="17" applyFont="1" applyAlignment="1">
      <alignment vertical="top"/>
    </xf>
    <xf numFmtId="0" fontId="17" fillId="0" borderId="1" xfId="17" applyFont="1" applyAlignment="1">
      <alignment horizontal="left" vertical="top"/>
    </xf>
    <xf numFmtId="0" fontId="6" fillId="0" borderId="1" xfId="0" applyFont="1" applyBorder="1"/>
    <xf numFmtId="0" fontId="6" fillId="0" borderId="1" xfId="17" applyFont="1" applyAlignment="1">
      <alignment vertical="top"/>
    </xf>
    <xf numFmtId="49" fontId="6" fillId="0" borderId="1" xfId="0" applyNumberFormat="1" applyFont="1" applyBorder="1"/>
    <xf numFmtId="175" fontId="17" fillId="0" borderId="1" xfId="0" applyNumberFormat="1" applyFont="1" applyBorder="1" applyAlignment="1">
      <alignment horizontal="left" vertical="top"/>
    </xf>
    <xf numFmtId="175" fontId="17" fillId="0" borderId="1" xfId="0" applyNumberFormat="1" applyFont="1" applyBorder="1" applyAlignment="1">
      <alignment horizontal="center" vertical="center"/>
    </xf>
    <xf numFmtId="0" fontId="17" fillId="0" borderId="1" xfId="0" applyFont="1" applyBorder="1" applyAlignment="1">
      <alignment horizontal="left"/>
    </xf>
    <xf numFmtId="176" fontId="6" fillId="0" borderId="1" xfId="38" applyFont="1" applyFill="1" applyBorder="1" applyAlignment="1" applyProtection="1">
      <alignment vertical="top"/>
    </xf>
    <xf numFmtId="0" fontId="17" fillId="0" borderId="1" xfId="0" applyFont="1" applyBorder="1"/>
    <xf numFmtId="0" fontId="11" fillId="0" borderId="1" xfId="0" applyFont="1" applyBorder="1"/>
    <xf numFmtId="49" fontId="17" fillId="0" borderId="1" xfId="0" applyNumberFormat="1" applyFont="1" applyBorder="1"/>
    <xf numFmtId="0" fontId="11" fillId="0" borderId="22" xfId="0" applyFont="1" applyBorder="1"/>
    <xf numFmtId="43" fontId="17" fillId="0" borderId="29" xfId="36" applyNumberFormat="1" applyFont="1" applyBorder="1" applyAlignment="1">
      <alignment horizontal="center" vertical="center" wrapText="1"/>
    </xf>
    <xf numFmtId="43" fontId="6" fillId="0" borderId="68" xfId="36" applyNumberFormat="1" applyFont="1" applyBorder="1" applyAlignment="1">
      <alignment horizontal="center" vertical="center"/>
    </xf>
    <xf numFmtId="43" fontId="6" fillId="0" borderId="29" xfId="36" applyNumberFormat="1" applyFont="1" applyBorder="1" applyAlignment="1">
      <alignment horizontal="center" vertical="center"/>
    </xf>
    <xf numFmtId="43" fontId="6" fillId="0" borderId="29" xfId="36" applyNumberFormat="1" applyFont="1" applyBorder="1" applyAlignment="1">
      <alignment horizontal="center" vertical="center" wrapText="1"/>
    </xf>
    <xf numFmtId="43" fontId="17" fillId="0" borderId="68" xfId="36" applyNumberFormat="1" applyFont="1" applyBorder="1" applyAlignment="1">
      <alignment horizontal="center" vertical="center" wrapText="1"/>
    </xf>
    <xf numFmtId="43" fontId="6" fillId="0" borderId="68" xfId="36" applyNumberFormat="1" applyFont="1" applyBorder="1" applyAlignment="1">
      <alignment horizontal="center" vertical="center" wrapText="1"/>
    </xf>
    <xf numFmtId="43" fontId="17" fillId="0" borderId="30" xfId="36" applyNumberFormat="1" applyFont="1" applyBorder="1" applyAlignment="1">
      <alignment horizontal="center" vertical="center" wrapText="1"/>
    </xf>
    <xf numFmtId="0" fontId="17" fillId="0" borderId="69" xfId="36" applyFont="1" applyBorder="1"/>
    <xf numFmtId="43" fontId="17" fillId="0" borderId="39" xfId="36" applyNumberFormat="1" applyFont="1" applyBorder="1"/>
    <xf numFmtId="0" fontId="17" fillId="0" borderId="70" xfId="36" applyFont="1" applyBorder="1"/>
    <xf numFmtId="43" fontId="17" fillId="0" borderId="71" xfId="36" applyNumberFormat="1" applyFont="1" applyBorder="1"/>
    <xf numFmtId="43" fontId="17" fillId="0" borderId="57" xfId="36" applyNumberFormat="1" applyFont="1" applyBorder="1"/>
    <xf numFmtId="43" fontId="17" fillId="0" borderId="63" xfId="36" applyNumberFormat="1" applyFont="1" applyBorder="1"/>
    <xf numFmtId="0" fontId="6" fillId="0" borderId="22" xfId="36" applyFont="1" applyBorder="1"/>
    <xf numFmtId="43" fontId="6" fillId="0" borderId="23" xfId="36" applyNumberFormat="1" applyFont="1" applyBorder="1"/>
    <xf numFmtId="43" fontId="6" fillId="0" borderId="31" xfId="36" applyNumberFormat="1" applyFont="1" applyBorder="1"/>
    <xf numFmtId="0" fontId="17" fillId="0" borderId="5" xfId="17" applyFont="1" applyBorder="1" applyAlignment="1">
      <alignment vertical="top"/>
    </xf>
    <xf numFmtId="0" fontId="6" fillId="0" borderId="5" xfId="17" applyFont="1" applyBorder="1" applyAlignment="1">
      <alignment vertical="top"/>
    </xf>
    <xf numFmtId="49" fontId="6" fillId="0" borderId="5" xfId="0" applyNumberFormat="1" applyFont="1" applyBorder="1"/>
    <xf numFmtId="176" fontId="6" fillId="0" borderId="5" xfId="38" applyFont="1" applyFill="1" applyBorder="1" applyAlignment="1" applyProtection="1">
      <alignment vertical="top"/>
    </xf>
    <xf numFmtId="43" fontId="11" fillId="0" borderId="89" xfId="20" applyFont="1" applyBorder="1"/>
    <xf numFmtId="43" fontId="11" fillId="0" borderId="52" xfId="20" applyFont="1" applyBorder="1"/>
    <xf numFmtId="43" fontId="11" fillId="0" borderId="53" xfId="20" applyFont="1" applyBorder="1"/>
    <xf numFmtId="43" fontId="11" fillId="0" borderId="85" xfId="20" applyFont="1" applyBorder="1"/>
    <xf numFmtId="43" fontId="11" fillId="0" borderId="47" xfId="20" applyFont="1" applyBorder="1"/>
    <xf numFmtId="43" fontId="11" fillId="0" borderId="61" xfId="20" applyFont="1" applyFill="1" applyBorder="1"/>
    <xf numFmtId="43" fontId="11" fillId="0" borderId="85" xfId="20" applyFont="1" applyFill="1" applyBorder="1"/>
    <xf numFmtId="43" fontId="11" fillId="0" borderId="47" xfId="20" applyFont="1" applyFill="1" applyBorder="1"/>
    <xf numFmtId="43" fontId="11" fillId="0" borderId="87" xfId="20" applyFont="1" applyBorder="1"/>
    <xf numFmtId="43" fontId="11" fillId="0" borderId="86" xfId="20" applyFont="1" applyBorder="1"/>
    <xf numFmtId="43" fontId="11" fillId="0" borderId="88" xfId="20" applyFont="1" applyFill="1" applyBorder="1"/>
    <xf numFmtId="43" fontId="16" fillId="0" borderId="34" xfId="0" applyNumberFormat="1" applyFont="1" applyBorder="1"/>
    <xf numFmtId="43" fontId="16" fillId="0" borderId="34" xfId="20" applyFont="1" applyBorder="1"/>
    <xf numFmtId="43" fontId="11" fillId="0" borderId="1" xfId="20" applyFont="1" applyBorder="1"/>
    <xf numFmtId="0" fontId="16" fillId="0" borderId="0" xfId="0" applyFont="1" applyAlignment="1">
      <alignment horizontal="centerContinuous"/>
    </xf>
    <xf numFmtId="0" fontId="11" fillId="0" borderId="0" xfId="0" applyFont="1"/>
    <xf numFmtId="0" fontId="16" fillId="0" borderId="0" xfId="0" applyFont="1"/>
    <xf numFmtId="0" fontId="11" fillId="0" borderId="0" xfId="0" applyFont="1" applyAlignment="1">
      <alignment horizontal="right"/>
    </xf>
    <xf numFmtId="0" fontId="16" fillId="0" borderId="3" xfId="0" applyFont="1" applyBorder="1" applyAlignment="1">
      <alignment horizontal="centerContinuous" vertical="center" wrapText="1"/>
    </xf>
    <xf numFmtId="0" fontId="16" fillId="0" borderId="4" xfId="0" applyFont="1" applyBorder="1" applyAlignment="1">
      <alignment horizontal="center" vertical="center" wrapText="1"/>
    </xf>
    <xf numFmtId="0" fontId="11" fillId="0" borderId="5" xfId="0" applyFont="1" applyBorder="1" applyAlignment="1">
      <alignment horizontal="left" wrapText="1" indent="1"/>
    </xf>
    <xf numFmtId="165" fontId="11" fillId="0" borderId="6" xfId="0" applyNumberFormat="1" applyFont="1" applyBorder="1" applyAlignment="1">
      <alignment horizontal="right"/>
    </xf>
    <xf numFmtId="165" fontId="11" fillId="0" borderId="7" xfId="0" applyNumberFormat="1" applyFont="1" applyBorder="1" applyAlignment="1">
      <alignment horizontal="right"/>
    </xf>
    <xf numFmtId="0" fontId="11" fillId="0" borderId="5" xfId="0" applyFont="1" applyBorder="1" applyAlignment="1">
      <alignment horizontal="left" wrapText="1"/>
    </xf>
    <xf numFmtId="0" fontId="16" fillId="0" borderId="8" xfId="0" applyFont="1" applyBorder="1" applyAlignment="1">
      <alignment horizontal="left" wrapText="1"/>
    </xf>
    <xf numFmtId="0" fontId="11" fillId="0" borderId="6" xfId="0" applyFont="1" applyBorder="1"/>
    <xf numFmtId="0" fontId="11" fillId="0" borderId="7" xfId="0" applyFont="1" applyBorder="1"/>
    <xf numFmtId="0" fontId="16" fillId="0" borderId="1" xfId="0" applyFont="1" applyBorder="1" applyAlignment="1">
      <alignment horizontal="left" wrapText="1"/>
    </xf>
    <xf numFmtId="165" fontId="16" fillId="0" borderId="1" xfId="0" applyNumberFormat="1" applyFont="1" applyBorder="1" applyAlignment="1">
      <alignment horizontal="right"/>
    </xf>
    <xf numFmtId="165" fontId="11" fillId="0" borderId="0" xfId="0" applyNumberFormat="1" applyFont="1"/>
    <xf numFmtId="43" fontId="11" fillId="0" borderId="0" xfId="20" applyFont="1"/>
    <xf numFmtId="43" fontId="11" fillId="0" borderId="0" xfId="0" applyNumberFormat="1" applyFont="1"/>
    <xf numFmtId="0" fontId="6" fillId="0" borderId="17" xfId="30" applyFont="1" applyBorder="1"/>
    <xf numFmtId="0" fontId="6" fillId="0" borderId="1" xfId="30" applyFont="1"/>
    <xf numFmtId="43" fontId="6" fillId="0" borderId="19" xfId="20" applyFont="1" applyFill="1" applyBorder="1"/>
    <xf numFmtId="43" fontId="6" fillId="0" borderId="20" xfId="20" applyFont="1" applyFill="1" applyBorder="1"/>
    <xf numFmtId="43" fontId="6" fillId="0" borderId="1" xfId="20" applyFont="1" applyFill="1" applyBorder="1"/>
    <xf numFmtId="43" fontId="17" fillId="0" borderId="19" xfId="20" applyFont="1" applyFill="1" applyBorder="1"/>
    <xf numFmtId="43" fontId="17" fillId="0" borderId="20" xfId="20" applyFont="1" applyFill="1" applyBorder="1"/>
    <xf numFmtId="43" fontId="17" fillId="0" borderId="1" xfId="20" applyFont="1" applyFill="1" applyBorder="1"/>
    <xf numFmtId="0" fontId="6" fillId="0" borderId="0" xfId="0" applyFont="1" applyAlignment="1">
      <alignment vertical="center"/>
    </xf>
    <xf numFmtId="41" fontId="6" fillId="0" borderId="0" xfId="0" applyNumberFormat="1" applyFont="1" applyAlignment="1">
      <alignment vertical="center"/>
    </xf>
    <xf numFmtId="43" fontId="6" fillId="0" borderId="0" xfId="0" applyNumberFormat="1" applyFont="1" applyAlignment="1">
      <alignment vertical="center"/>
    </xf>
    <xf numFmtId="0" fontId="17" fillId="0" borderId="16" xfId="0" applyFont="1" applyBorder="1" applyAlignment="1">
      <alignment horizontal="left" vertical="center"/>
    </xf>
    <xf numFmtId="0" fontId="17" fillId="0" borderId="17" xfId="0" applyFont="1" applyBorder="1" applyAlignment="1">
      <alignment horizontal="left" vertical="center"/>
    </xf>
    <xf numFmtId="41" fontId="17" fillId="0" borderId="17" xfId="0" applyNumberFormat="1" applyFont="1" applyBorder="1" applyAlignment="1">
      <alignment horizontal="left" vertical="center"/>
    </xf>
    <xf numFmtId="43" fontId="17" fillId="0" borderId="17" xfId="0" applyNumberFormat="1" applyFont="1" applyBorder="1" applyAlignment="1">
      <alignment horizontal="left" vertical="center"/>
    </xf>
    <xf numFmtId="43" fontId="6" fillId="0" borderId="32" xfId="0" applyNumberFormat="1" applyFont="1" applyBorder="1" applyAlignment="1">
      <alignment vertical="center"/>
    </xf>
    <xf numFmtId="0" fontId="17" fillId="0" borderId="0" xfId="0" applyFont="1" applyAlignment="1">
      <alignment horizontal="left" vertical="center"/>
    </xf>
    <xf numFmtId="0" fontId="17" fillId="0" borderId="19" xfId="0" applyFont="1" applyBorder="1" applyAlignment="1">
      <alignment horizontal="left" vertical="center"/>
    </xf>
    <xf numFmtId="0" fontId="17" fillId="0" borderId="1" xfId="0" applyFont="1" applyBorder="1" applyAlignment="1">
      <alignment horizontal="left" vertical="center"/>
    </xf>
    <xf numFmtId="41" fontId="17" fillId="0" borderId="1" xfId="0" applyNumberFormat="1" applyFont="1" applyBorder="1" applyAlignment="1">
      <alignment horizontal="left" vertical="center"/>
    </xf>
    <xf numFmtId="171" fontId="17" fillId="0" borderId="1" xfId="0" applyNumberFormat="1" applyFont="1" applyBorder="1" applyAlignment="1">
      <alignment horizontal="left" vertical="center"/>
    </xf>
    <xf numFmtId="43" fontId="6" fillId="0" borderId="54" xfId="0" applyNumberFormat="1" applyFont="1" applyBorder="1" applyAlignment="1">
      <alignment vertical="center"/>
    </xf>
    <xf numFmtId="0" fontId="6" fillId="0" borderId="19" xfId="0" applyFont="1" applyBorder="1" applyAlignment="1">
      <alignment vertical="center"/>
    </xf>
    <xf numFmtId="0" fontId="6" fillId="0" borderId="1" xfId="0" applyFont="1" applyBorder="1" applyAlignment="1">
      <alignment vertical="center"/>
    </xf>
    <xf numFmtId="41" fontId="6" fillId="0" borderId="1" xfId="0" applyNumberFormat="1" applyFont="1" applyBorder="1" applyAlignment="1">
      <alignment vertical="center"/>
    </xf>
    <xf numFmtId="43" fontId="6" fillId="0" borderId="1" xfId="0" applyNumberFormat="1" applyFont="1" applyBorder="1" applyAlignment="1">
      <alignment vertical="center"/>
    </xf>
    <xf numFmtId="0" fontId="17" fillId="0" borderId="19" xfId="0" applyFont="1" applyBorder="1" applyAlignment="1">
      <alignment horizontal="center" vertical="center"/>
    </xf>
    <xf numFmtId="0" fontId="17" fillId="0" borderId="1" xfId="0" applyFont="1" applyBorder="1" applyAlignment="1">
      <alignment vertical="center"/>
    </xf>
    <xf numFmtId="0" fontId="6" fillId="0" borderId="19" xfId="0" applyFont="1" applyBorder="1" applyAlignment="1">
      <alignment horizontal="center" vertical="center"/>
    </xf>
    <xf numFmtId="0" fontId="6" fillId="0" borderId="1" xfId="0" applyFont="1" applyBorder="1" applyAlignment="1">
      <alignment horizontal="center" vertical="center"/>
    </xf>
    <xf numFmtId="43" fontId="6" fillId="0" borderId="13" xfId="0" applyNumberFormat="1" applyFont="1" applyBorder="1" applyAlignment="1">
      <alignment vertical="center"/>
    </xf>
    <xf numFmtId="43" fontId="17" fillId="0" borderId="54" xfId="0" applyNumberFormat="1" applyFont="1" applyBorder="1" applyAlignment="1">
      <alignment vertical="center"/>
    </xf>
    <xf numFmtId="43" fontId="6" fillId="0" borderId="55" xfId="0" applyNumberFormat="1" applyFont="1" applyBorder="1" applyAlignment="1">
      <alignment vertical="center"/>
    </xf>
    <xf numFmtId="0" fontId="17" fillId="0" borderId="19" xfId="0" applyFont="1" applyBorder="1" applyAlignment="1">
      <alignment vertical="center"/>
    </xf>
    <xf numFmtId="43" fontId="17" fillId="0" borderId="55" xfId="0" applyNumberFormat="1" applyFont="1" applyBorder="1" applyAlignment="1">
      <alignment vertical="center"/>
    </xf>
    <xf numFmtId="43" fontId="17" fillId="0" borderId="56" xfId="0" applyNumberFormat="1" applyFont="1" applyBorder="1" applyAlignment="1">
      <alignment vertical="center"/>
    </xf>
    <xf numFmtId="43" fontId="17" fillId="0" borderId="57" xfId="0" applyNumberFormat="1" applyFont="1" applyBorder="1" applyAlignment="1">
      <alignment vertical="center"/>
    </xf>
    <xf numFmtId="43" fontId="6" fillId="0" borderId="54" xfId="7" applyFont="1" applyFill="1" applyBorder="1" applyAlignment="1">
      <alignment vertical="center"/>
    </xf>
    <xf numFmtId="43" fontId="6" fillId="0" borderId="55" xfId="7" applyFont="1" applyFill="1" applyBorder="1" applyAlignment="1">
      <alignment vertical="center"/>
    </xf>
    <xf numFmtId="43" fontId="17" fillId="0" borderId="54" xfId="7" applyFont="1" applyFill="1" applyBorder="1" applyAlignment="1">
      <alignment vertical="center"/>
    </xf>
    <xf numFmtId="43" fontId="17" fillId="0" borderId="58" xfId="7" applyFont="1" applyFill="1" applyBorder="1" applyAlignment="1">
      <alignment vertical="center"/>
    </xf>
    <xf numFmtId="43" fontId="17" fillId="0" borderId="56" xfId="7" applyFont="1" applyFill="1" applyBorder="1" applyAlignment="1">
      <alignment vertical="center"/>
    </xf>
    <xf numFmtId="0" fontId="17" fillId="0" borderId="22" xfId="0" applyFont="1" applyBorder="1" applyAlignment="1">
      <alignment vertical="center"/>
    </xf>
    <xf numFmtId="0" fontId="17" fillId="0" borderId="23" xfId="0" applyFont="1" applyBorder="1" applyAlignment="1">
      <alignment vertical="center"/>
    </xf>
    <xf numFmtId="0" fontId="6" fillId="0" borderId="23" xfId="0" applyFont="1" applyBorder="1" applyAlignment="1">
      <alignment vertical="center"/>
    </xf>
    <xf numFmtId="43" fontId="6" fillId="0" borderId="23" xfId="0" applyNumberFormat="1" applyFont="1" applyBorder="1" applyAlignment="1">
      <alignment vertical="center"/>
    </xf>
    <xf numFmtId="43" fontId="6" fillId="0" borderId="31" xfId="0" applyNumberFormat="1" applyFont="1" applyBorder="1" applyAlignment="1">
      <alignment vertical="center"/>
    </xf>
    <xf numFmtId="10" fontId="6" fillId="0" borderId="0" xfId="0" applyNumberFormat="1" applyFont="1" applyAlignment="1">
      <alignment vertical="center"/>
    </xf>
    <xf numFmtId="0" fontId="17" fillId="0" borderId="0" xfId="0" applyFont="1" applyAlignment="1">
      <alignment vertical="center"/>
    </xf>
    <xf numFmtId="171" fontId="6" fillId="0" borderId="0" xfId="0" applyNumberFormat="1" applyFont="1" applyAlignment="1">
      <alignment horizontal="center" vertical="center"/>
    </xf>
    <xf numFmtId="43" fontId="17" fillId="0" borderId="14" xfId="0" applyNumberFormat="1" applyFont="1" applyBorder="1" applyAlignment="1">
      <alignment vertical="center"/>
    </xf>
    <xf numFmtId="43" fontId="17" fillId="0" borderId="0" xfId="0" applyNumberFormat="1" applyFont="1" applyAlignment="1">
      <alignment vertical="center"/>
    </xf>
    <xf numFmtId="41" fontId="17" fillId="0" borderId="0" xfId="0" applyNumberFormat="1" applyFont="1" applyAlignment="1">
      <alignment vertical="center"/>
    </xf>
    <xf numFmtId="43" fontId="17" fillId="0" borderId="14" xfId="0" applyNumberFormat="1" applyFont="1" applyBorder="1" applyAlignment="1">
      <alignment horizontal="right" vertical="center"/>
    </xf>
    <xf numFmtId="0" fontId="17" fillId="0" borderId="0" xfId="0" applyFont="1" applyAlignment="1">
      <alignment horizontal="center" vertical="center"/>
    </xf>
    <xf numFmtId="41" fontId="17" fillId="0" borderId="0" xfId="0" applyNumberFormat="1" applyFont="1" applyAlignment="1">
      <alignment horizontal="center" vertical="center"/>
    </xf>
    <xf numFmtId="0" fontId="17" fillId="0" borderId="0" xfId="0" applyFont="1" applyAlignment="1">
      <alignment horizontal="center" vertical="center" wrapText="1"/>
    </xf>
    <xf numFmtId="43" fontId="17" fillId="0" borderId="0" xfId="0" applyNumberFormat="1" applyFont="1" applyAlignment="1">
      <alignment horizontal="center" vertical="center"/>
    </xf>
    <xf numFmtId="15" fontId="6" fillId="0" borderId="0" xfId="0" applyNumberFormat="1" applyFont="1" applyAlignment="1">
      <alignment horizontal="left" vertical="center"/>
    </xf>
    <xf numFmtId="10" fontId="6" fillId="0" borderId="0" xfId="0" applyNumberFormat="1" applyFont="1" applyAlignment="1">
      <alignment horizontal="center" vertical="center"/>
    </xf>
    <xf numFmtId="49" fontId="18" fillId="0" borderId="0" xfId="0" applyNumberFormat="1" applyFont="1" applyAlignment="1">
      <alignment vertical="center"/>
    </xf>
    <xf numFmtId="41" fontId="6" fillId="0" borderId="13" xfId="0" applyNumberFormat="1" applyFont="1" applyBorder="1" applyAlignment="1">
      <alignment vertical="center"/>
    </xf>
    <xf numFmtId="41" fontId="17" fillId="0" borderId="13" xfId="0" applyNumberFormat="1" applyFont="1" applyBorder="1" applyAlignment="1">
      <alignment vertical="center"/>
    </xf>
    <xf numFmtId="0" fontId="16" fillId="0" borderId="0" xfId="0" applyFont="1" applyAlignment="1">
      <alignment horizontal="center" vertical="center" wrapText="1"/>
    </xf>
    <xf numFmtId="0" fontId="11" fillId="0" borderId="1" xfId="0" applyFont="1" applyBorder="1" applyAlignment="1">
      <alignment horizontal="centerContinuous" vertical="center" wrapText="1"/>
    </xf>
    <xf numFmtId="165" fontId="16" fillId="0" borderId="0" xfId="0" applyNumberFormat="1" applyFont="1" applyAlignment="1">
      <alignment horizontal="right"/>
    </xf>
    <xf numFmtId="0" fontId="16" fillId="0" borderId="1" xfId="34" applyFont="1"/>
    <xf numFmtId="0" fontId="11" fillId="0" borderId="1" xfId="34" applyFont="1"/>
    <xf numFmtId="9" fontId="11" fillId="0" borderId="0" xfId="23" applyFont="1"/>
    <xf numFmtId="0" fontId="16" fillId="0" borderId="37" xfId="34" applyFont="1" applyBorder="1" applyAlignment="1">
      <alignment horizontal="center" vertical="center"/>
    </xf>
    <xf numFmtId="0" fontId="11" fillId="0" borderId="19" xfId="34" applyFont="1" applyBorder="1" applyAlignment="1">
      <alignment horizontal="center" vertical="center"/>
    </xf>
    <xf numFmtId="0" fontId="11" fillId="0" borderId="19" xfId="34" applyFont="1" applyBorder="1" applyAlignment="1">
      <alignment horizontal="center"/>
    </xf>
    <xf numFmtId="0" fontId="11" fillId="0" borderId="22" xfId="34" applyFont="1" applyBorder="1" applyAlignment="1">
      <alignment horizontal="center"/>
    </xf>
    <xf numFmtId="0" fontId="11" fillId="0" borderId="1" xfId="34" applyFont="1" applyAlignment="1">
      <alignment horizontal="center"/>
    </xf>
    <xf numFmtId="0" fontId="16" fillId="0" borderId="1" xfId="34" applyFont="1" applyAlignment="1">
      <alignment horizontal="center"/>
    </xf>
    <xf numFmtId="0" fontId="16" fillId="0" borderId="17" xfId="34" applyFont="1" applyBorder="1" applyAlignment="1">
      <alignment horizontal="center" vertical="center" wrapText="1"/>
    </xf>
    <xf numFmtId="0" fontId="16" fillId="0" borderId="41" xfId="34" applyFont="1" applyBorder="1" applyAlignment="1">
      <alignment horizontal="center" vertical="center" wrapText="1"/>
    </xf>
    <xf numFmtId="43" fontId="16" fillId="0" borderId="17" xfId="34" applyNumberFormat="1" applyFont="1" applyBorder="1" applyAlignment="1">
      <alignment horizontal="center" vertical="center" wrapText="1"/>
    </xf>
    <xf numFmtId="43" fontId="16" fillId="0" borderId="42" xfId="34" applyNumberFormat="1" applyFont="1" applyBorder="1" applyAlignment="1">
      <alignment horizontal="center" vertical="center" wrapText="1"/>
    </xf>
    <xf numFmtId="0" fontId="11" fillId="0" borderId="20" xfId="34" applyFont="1" applyBorder="1" applyAlignment="1">
      <alignment horizontal="center" vertical="center" wrapText="1"/>
    </xf>
    <xf numFmtId="43" fontId="11" fillId="0" borderId="20" xfId="34" applyNumberFormat="1" applyFont="1" applyBorder="1"/>
    <xf numFmtId="43" fontId="16" fillId="0" borderId="21" xfId="34" applyNumberFormat="1" applyFont="1" applyBorder="1"/>
    <xf numFmtId="0" fontId="11" fillId="0" borderId="1" xfId="34" applyFont="1" applyAlignment="1">
      <alignment wrapText="1"/>
    </xf>
    <xf numFmtId="0" fontId="16" fillId="0" borderId="26" xfId="34" applyFont="1" applyBorder="1" applyAlignment="1">
      <alignment horizontal="center" vertical="center" wrapText="1"/>
    </xf>
    <xf numFmtId="43" fontId="16" fillId="0" borderId="27" xfId="34" applyNumberFormat="1" applyFont="1" applyBorder="1" applyAlignment="1">
      <alignment horizontal="center" vertical="center" wrapText="1"/>
    </xf>
    <xf numFmtId="0" fontId="11" fillId="0" borderId="20" xfId="34" applyFont="1" applyBorder="1" applyAlignment="1">
      <alignment horizontal="center" vertical="center"/>
    </xf>
    <xf numFmtId="43" fontId="17" fillId="0" borderId="1" xfId="34" applyNumberFormat="1" applyFont="1"/>
    <xf numFmtId="43" fontId="6" fillId="0" borderId="1" xfId="34" applyNumberFormat="1" applyFont="1"/>
    <xf numFmtId="0" fontId="6" fillId="0" borderId="1" xfId="34" applyFont="1"/>
    <xf numFmtId="43" fontId="6" fillId="0" borderId="45" xfId="34" applyNumberFormat="1" applyFont="1" applyBorder="1"/>
    <xf numFmtId="43" fontId="17" fillId="0" borderId="63" xfId="34" applyNumberFormat="1" applyFont="1" applyBorder="1"/>
    <xf numFmtId="43" fontId="6" fillId="0" borderId="1" xfId="34" applyNumberFormat="1" applyFont="1" applyAlignment="1">
      <alignment wrapText="1"/>
    </xf>
    <xf numFmtId="9" fontId="11" fillId="0" borderId="1" xfId="23" applyFont="1" applyBorder="1"/>
    <xf numFmtId="0" fontId="6" fillId="0" borderId="4" xfId="34" applyFont="1" applyBorder="1" applyAlignment="1">
      <alignment horizontal="center" vertical="center"/>
    </xf>
    <xf numFmtId="9" fontId="6" fillId="0" borderId="0" xfId="23" applyFont="1" applyAlignment="1">
      <alignment vertical="center"/>
    </xf>
    <xf numFmtId="0" fontId="17" fillId="0" borderId="72" xfId="18" applyFont="1" applyBorder="1" applyAlignment="1">
      <alignment horizontal="center" vertical="center" wrapText="1"/>
    </xf>
    <xf numFmtId="0" fontId="17" fillId="0" borderId="50" xfId="18" applyFont="1" applyBorder="1" applyAlignment="1">
      <alignment horizontal="center" vertical="center" wrapText="1"/>
    </xf>
    <xf numFmtId="43" fontId="17" fillId="0" borderId="50" xfId="18" applyNumberFormat="1" applyFont="1" applyBorder="1" applyAlignment="1">
      <alignment horizontal="center" vertical="center" wrapText="1"/>
    </xf>
    <xf numFmtId="9" fontId="17" fillId="0" borderId="50" xfId="23" applyFont="1" applyBorder="1" applyAlignment="1">
      <alignment horizontal="center" vertical="center" wrapText="1"/>
    </xf>
    <xf numFmtId="0" fontId="17" fillId="0" borderId="73" xfId="18" applyFont="1" applyBorder="1" applyAlignment="1">
      <alignment horizontal="center" vertical="center" wrapText="1"/>
    </xf>
    <xf numFmtId="0" fontId="6" fillId="0" borderId="60" xfId="18" applyFont="1" applyBorder="1" applyAlignment="1">
      <alignment horizontal="center" vertical="center"/>
    </xf>
    <xf numFmtId="0" fontId="6" fillId="0" borderId="4" xfId="18" applyFont="1" applyBorder="1" applyAlignment="1">
      <alignment horizontal="center" vertical="center" wrapText="1"/>
    </xf>
    <xf numFmtId="0" fontId="6" fillId="0" borderId="4" xfId="18" applyFont="1" applyBorder="1" applyAlignment="1">
      <alignment horizontal="center" vertical="center"/>
    </xf>
    <xf numFmtId="2" fontId="6" fillId="0" borderId="4" xfId="18" applyNumberFormat="1" applyFont="1" applyBorder="1" applyAlignment="1">
      <alignment vertical="center"/>
    </xf>
    <xf numFmtId="9" fontId="6" fillId="0" borderId="4" xfId="23" applyFont="1" applyFill="1" applyBorder="1" applyAlignment="1">
      <alignment horizontal="center" vertical="center"/>
    </xf>
    <xf numFmtId="0" fontId="6" fillId="0" borderId="83" xfId="18" applyFont="1" applyBorder="1" applyAlignment="1">
      <alignment horizontal="left" vertical="center" wrapText="1"/>
    </xf>
    <xf numFmtId="177" fontId="11" fillId="0" borderId="0" xfId="0" applyNumberFormat="1" applyFont="1"/>
    <xf numFmtId="0" fontId="6" fillId="0" borderId="83" xfId="18" applyFont="1" applyBorder="1" applyAlignment="1">
      <alignment horizontal="center" vertical="center"/>
    </xf>
    <xf numFmtId="43" fontId="6" fillId="0" borderId="4" xfId="20" applyFont="1" applyFill="1" applyBorder="1" applyAlignment="1">
      <alignment vertical="center"/>
    </xf>
    <xf numFmtId="0" fontId="6" fillId="0" borderId="83" xfId="18" applyFont="1" applyBorder="1" applyAlignment="1">
      <alignment horizontal="center" vertical="center" wrapText="1"/>
    </xf>
    <xf numFmtId="0" fontId="16" fillId="0" borderId="5" xfId="0" applyFont="1" applyBorder="1" applyAlignment="1">
      <alignment horizontal="left" wrapText="1"/>
    </xf>
    <xf numFmtId="43" fontId="11" fillId="0" borderId="6" xfId="20" applyFont="1" applyFill="1" applyBorder="1"/>
    <xf numFmtId="0" fontId="16" fillId="0" borderId="77" xfId="0" applyFont="1" applyBorder="1" applyAlignment="1">
      <alignment horizontal="centerContinuous" vertical="center" wrapText="1"/>
    </xf>
    <xf numFmtId="0" fontId="16" fillId="0" borderId="78" xfId="0" applyFont="1" applyBorder="1" applyAlignment="1">
      <alignment horizontal="centerContinuous" vertical="center" wrapText="1"/>
    </xf>
    <xf numFmtId="0" fontId="16" fillId="0" borderId="79" xfId="0" applyFont="1" applyBorder="1" applyAlignment="1">
      <alignment horizontal="centerContinuous" vertical="center" wrapText="1"/>
    </xf>
    <xf numFmtId="165" fontId="16" fillId="0" borderId="6" xfId="0" applyNumberFormat="1" applyFont="1" applyBorder="1" applyAlignment="1">
      <alignment horizontal="right"/>
    </xf>
    <xf numFmtId="0" fontId="11" fillId="0" borderId="8" xfId="0" applyFont="1" applyBorder="1" applyAlignment="1">
      <alignment horizontal="left" wrapText="1" indent="1"/>
    </xf>
    <xf numFmtId="165" fontId="11" fillId="0" borderId="9" xfId="0" applyNumberFormat="1" applyFont="1" applyBorder="1" applyAlignment="1">
      <alignment horizontal="right"/>
    </xf>
    <xf numFmtId="165" fontId="11" fillId="0" borderId="10" xfId="0" applyNumberFormat="1" applyFont="1" applyBorder="1" applyAlignment="1">
      <alignment horizontal="right"/>
    </xf>
    <xf numFmtId="0" fontId="11" fillId="0" borderId="1" xfId="0" applyFont="1" applyBorder="1" applyAlignment="1">
      <alignment horizontal="left" wrapText="1" indent="1"/>
    </xf>
    <xf numFmtId="165" fontId="11" fillId="0" borderId="1" xfId="0" applyNumberFormat="1" applyFont="1" applyBorder="1" applyAlignment="1">
      <alignment horizontal="right"/>
    </xf>
    <xf numFmtId="0" fontId="17" fillId="0" borderId="1" xfId="27" applyFont="1"/>
    <xf numFmtId="0" fontId="17" fillId="0" borderId="1" xfId="28" applyFont="1"/>
    <xf numFmtId="0" fontId="11" fillId="0" borderId="1" xfId="30" applyFont="1"/>
    <xf numFmtId="0" fontId="17" fillId="0" borderId="1" xfId="30" applyFont="1"/>
    <xf numFmtId="43" fontId="17" fillId="0" borderId="38" xfId="30" applyNumberFormat="1" applyFont="1" applyBorder="1" applyAlignment="1">
      <alignment horizontal="center" wrapText="1"/>
    </xf>
    <xf numFmtId="43" fontId="17" fillId="0" borderId="64" xfId="30" applyNumberFormat="1" applyFont="1" applyBorder="1" applyAlignment="1">
      <alignment horizontal="center" wrapText="1"/>
    </xf>
    <xf numFmtId="0" fontId="17" fillId="0" borderId="67" xfId="30" applyFont="1" applyBorder="1" applyAlignment="1">
      <alignment horizontal="center" wrapText="1"/>
    </xf>
    <xf numFmtId="0" fontId="17" fillId="0" borderId="64" xfId="30" applyFont="1" applyBorder="1" applyAlignment="1">
      <alignment horizontal="center" wrapText="1"/>
    </xf>
    <xf numFmtId="0" fontId="6" fillId="0" borderId="16" xfId="30" applyFont="1" applyBorder="1"/>
    <xf numFmtId="41" fontId="6" fillId="0" borderId="36" xfId="30" applyNumberFormat="1" applyFont="1" applyBorder="1"/>
    <xf numFmtId="10" fontId="6" fillId="0" borderId="54" xfId="30" applyNumberFormat="1" applyFont="1" applyBorder="1"/>
    <xf numFmtId="0" fontId="6" fillId="0" borderId="44" xfId="30" applyFont="1" applyBorder="1"/>
    <xf numFmtId="0" fontId="6" fillId="0" borderId="32" xfId="30" applyFont="1" applyBorder="1"/>
    <xf numFmtId="0" fontId="6" fillId="0" borderId="19" xfId="30" applyFont="1" applyBorder="1"/>
    <xf numFmtId="0" fontId="6" fillId="0" borderId="19" xfId="30" applyFont="1" applyBorder="1" applyAlignment="1">
      <alignment horizontal="center" vertical="center"/>
    </xf>
    <xf numFmtId="41" fontId="17" fillId="0" borderId="36" xfId="30" applyNumberFormat="1" applyFont="1" applyBorder="1"/>
    <xf numFmtId="10" fontId="17" fillId="0" borderId="54" xfId="30" applyNumberFormat="1" applyFont="1" applyBorder="1"/>
    <xf numFmtId="41" fontId="17" fillId="0" borderId="7" xfId="30" applyNumberFormat="1" applyFont="1" applyBorder="1"/>
    <xf numFmtId="0" fontId="17" fillId="0" borderId="1" xfId="32" applyFont="1"/>
    <xf numFmtId="0" fontId="6" fillId="0" borderId="1" xfId="32" applyFont="1"/>
    <xf numFmtId="43" fontId="6" fillId="0" borderId="1" xfId="32" applyNumberFormat="1" applyFont="1"/>
    <xf numFmtId="0" fontId="11" fillId="0" borderId="1" xfId="32" applyFont="1"/>
    <xf numFmtId="43" fontId="17" fillId="0" borderId="48" xfId="32" applyNumberFormat="1" applyFont="1" applyBorder="1" applyAlignment="1">
      <alignment horizontal="center" vertical="center" wrapText="1"/>
    </xf>
    <xf numFmtId="43" fontId="17" fillId="0" borderId="46" xfId="32" applyNumberFormat="1" applyFont="1" applyBorder="1" applyAlignment="1">
      <alignment horizontal="center" vertical="center" wrapText="1"/>
    </xf>
    <xf numFmtId="43" fontId="17" fillId="0" borderId="34" xfId="32" applyNumberFormat="1" applyFont="1" applyBorder="1" applyAlignment="1">
      <alignment horizontal="center" vertical="center" wrapText="1"/>
    </xf>
    <xf numFmtId="0" fontId="6" fillId="0" borderId="44" xfId="32" applyFont="1" applyBorder="1"/>
    <xf numFmtId="43" fontId="6" fillId="0" borderId="44" xfId="32" applyNumberFormat="1" applyFont="1" applyBorder="1"/>
    <xf numFmtId="43" fontId="6" fillId="0" borderId="42" xfId="32" applyNumberFormat="1" applyFont="1" applyBorder="1" applyAlignment="1">
      <alignment vertical="center"/>
    </xf>
    <xf numFmtId="43" fontId="6" fillId="0" borderId="7" xfId="32" applyNumberFormat="1" applyFont="1" applyBorder="1"/>
    <xf numFmtId="10" fontId="6" fillId="0" borderId="7" xfId="32" applyNumberFormat="1" applyFont="1" applyBorder="1"/>
    <xf numFmtId="43" fontId="6" fillId="0" borderId="45" xfId="32" applyNumberFormat="1" applyFont="1" applyBorder="1" applyAlignment="1">
      <alignment vertical="center"/>
    </xf>
    <xf numFmtId="41" fontId="6" fillId="0" borderId="36" xfId="32" applyNumberFormat="1" applyFont="1" applyBorder="1"/>
    <xf numFmtId="10" fontId="6" fillId="0" borderId="54" xfId="32" applyNumberFormat="1" applyFont="1" applyBorder="1"/>
    <xf numFmtId="43" fontId="6" fillId="0" borderId="45" xfId="32" applyNumberFormat="1" applyFont="1" applyBorder="1" applyAlignment="1">
      <alignment horizontal="center"/>
    </xf>
    <xf numFmtId="0" fontId="6" fillId="0" borderId="67" xfId="32" applyFont="1" applyBorder="1"/>
    <xf numFmtId="43" fontId="6" fillId="0" borderId="67" xfId="32" applyNumberFormat="1" applyFont="1" applyBorder="1"/>
    <xf numFmtId="43" fontId="6" fillId="0" borderId="64" xfId="32" applyNumberFormat="1" applyFont="1" applyBorder="1" applyAlignment="1">
      <alignment vertical="center"/>
    </xf>
    <xf numFmtId="0" fontId="6" fillId="0" borderId="0" xfId="0" applyFont="1"/>
    <xf numFmtId="0" fontId="11" fillId="0" borderId="5" xfId="0" applyFont="1" applyBorder="1" applyAlignment="1">
      <alignment horizontal="left" wrapText="1" indent="2"/>
    </xf>
    <xf numFmtId="0" fontId="16" fillId="0" borderId="1" xfId="15" applyFont="1"/>
    <xf numFmtId="0" fontId="16" fillId="0" borderId="59" xfId="15" applyFont="1" applyBorder="1"/>
    <xf numFmtId="172" fontId="16" fillId="0" borderId="4" xfId="4" applyNumberFormat="1" applyFont="1" applyFill="1" applyBorder="1" applyAlignment="1">
      <alignment horizontal="center"/>
    </xf>
    <xf numFmtId="0" fontId="11" fillId="0" borderId="15" xfId="0" applyFont="1" applyBorder="1" applyAlignment="1">
      <alignment horizontal="left" wrapText="1" indent="1"/>
    </xf>
    <xf numFmtId="15" fontId="11" fillId="0" borderId="6" xfId="4" quotePrefix="1" applyNumberFormat="1" applyFont="1" applyFill="1" applyBorder="1" applyAlignment="1">
      <alignment horizontal="right" vertical="top"/>
    </xf>
    <xf numFmtId="15" fontId="11" fillId="0" borderId="6" xfId="21" quotePrefix="1" applyNumberFormat="1" applyFont="1" applyBorder="1" applyAlignment="1">
      <alignment horizontal="right" vertical="top"/>
    </xf>
    <xf numFmtId="15" fontId="11" fillId="0" borderId="9" xfId="4" quotePrefix="1" applyNumberFormat="1" applyFont="1" applyFill="1" applyBorder="1" applyAlignment="1">
      <alignment horizontal="right" vertical="top"/>
    </xf>
    <xf numFmtId="0" fontId="11" fillId="0" borderId="4" xfId="0" applyFont="1" applyBorder="1"/>
    <xf numFmtId="165" fontId="11" fillId="0" borderId="4" xfId="0" applyNumberFormat="1" applyFont="1" applyBorder="1" applyAlignment="1">
      <alignment horizontal="right"/>
    </xf>
    <xf numFmtId="43" fontId="11" fillId="0" borderId="0" xfId="20" applyFont="1" applyFill="1"/>
    <xf numFmtId="0" fontId="16" fillId="0" borderId="5" xfId="0" applyFont="1" applyBorder="1" applyAlignment="1">
      <alignment horizontal="left" wrapText="1" indent="1"/>
    </xf>
    <xf numFmtId="43" fontId="11" fillId="0" borderId="7" xfId="20" applyFont="1" applyFill="1" applyBorder="1"/>
    <xf numFmtId="0" fontId="16" fillId="0" borderId="1" xfId="35" applyFont="1"/>
    <xf numFmtId="0" fontId="11" fillId="0" borderId="0" xfId="0" applyFont="1" applyAlignment="1">
      <alignment vertical="top" wrapText="1"/>
    </xf>
    <xf numFmtId="0" fontId="16" fillId="0" borderId="0" xfId="0" applyFont="1" applyAlignment="1">
      <alignment horizontal="left"/>
    </xf>
    <xf numFmtId="0" fontId="16" fillId="0" borderId="1" xfId="0" applyFont="1" applyBorder="1" applyAlignment="1">
      <alignment horizontal="left" wrapText="1" indent="1"/>
    </xf>
    <xf numFmtId="0" fontId="11" fillId="0" borderId="5" xfId="0" applyFont="1" applyBorder="1"/>
    <xf numFmtId="0" fontId="11" fillId="0" borderId="12" xfId="0" applyFont="1" applyBorder="1"/>
    <xf numFmtId="0" fontId="16" fillId="0" borderId="5" xfId="0" applyFont="1" applyBorder="1" applyAlignment="1">
      <alignment horizontal="left"/>
    </xf>
    <xf numFmtId="166" fontId="11" fillId="0" borderId="8" xfId="0" applyNumberFormat="1" applyFont="1" applyBorder="1" applyAlignment="1">
      <alignment horizontal="left"/>
    </xf>
    <xf numFmtId="166" fontId="11" fillId="0" borderId="13" xfId="0" applyNumberFormat="1" applyFont="1" applyBorder="1" applyAlignment="1">
      <alignment horizontal="left"/>
    </xf>
    <xf numFmtId="164" fontId="11" fillId="0" borderId="0" xfId="0" applyNumberFormat="1" applyFont="1"/>
    <xf numFmtId="43" fontId="6" fillId="0" borderId="0" xfId="0" applyNumberFormat="1" applyFont="1"/>
    <xf numFmtId="43" fontId="16" fillId="5" borderId="16" xfId="20" applyFont="1" applyFill="1" applyBorder="1" applyAlignment="1">
      <alignment horizontal="left"/>
    </xf>
    <xf numFmtId="43" fontId="16" fillId="5" borderId="17" xfId="20" applyFont="1" applyFill="1" applyBorder="1" applyAlignment="1">
      <alignment horizontal="left"/>
    </xf>
    <xf numFmtId="43" fontId="16" fillId="5" borderId="32" xfId="20" applyFont="1" applyFill="1" applyBorder="1" applyAlignment="1">
      <alignment horizontal="left"/>
    </xf>
    <xf numFmtId="43" fontId="16" fillId="5" borderId="19" xfId="20" applyFont="1" applyFill="1" applyBorder="1" applyAlignment="1">
      <alignment horizontal="left"/>
    </xf>
    <xf numFmtId="43" fontId="16" fillId="5" borderId="1" xfId="20" applyFont="1" applyFill="1" applyBorder="1" applyAlignment="1">
      <alignment horizontal="left"/>
    </xf>
    <xf numFmtId="43" fontId="16" fillId="5" borderId="54" xfId="20" applyFont="1" applyFill="1" applyBorder="1" applyAlignment="1">
      <alignment horizontal="left"/>
    </xf>
    <xf numFmtId="43" fontId="6" fillId="5" borderId="0" xfId="0" applyNumberFormat="1" applyFont="1" applyFill="1"/>
    <xf numFmtId="0" fontId="16" fillId="0" borderId="22" xfId="0" applyFont="1" applyBorder="1" applyAlignment="1">
      <alignment horizontal="left"/>
    </xf>
    <xf numFmtId="0" fontId="16" fillId="0" borderId="23" xfId="0" applyFont="1" applyBorder="1" applyAlignment="1">
      <alignment horizontal="left"/>
    </xf>
    <xf numFmtId="0" fontId="16" fillId="0" borderId="31" xfId="0" applyFont="1" applyBorder="1" applyAlignment="1">
      <alignment horizontal="left"/>
    </xf>
    <xf numFmtId="0" fontId="16" fillId="0" borderId="22" xfId="0" applyFont="1" applyBorder="1" applyAlignment="1">
      <alignment horizontal="center"/>
    </xf>
    <xf numFmtId="0" fontId="11" fillId="0" borderId="34" xfId="0" applyFont="1" applyBorder="1"/>
    <xf numFmtId="0" fontId="16" fillId="3" borderId="1" xfId="0" applyFont="1" applyFill="1" applyBorder="1"/>
    <xf numFmtId="0" fontId="11" fillId="3" borderId="1" xfId="0" applyFont="1" applyFill="1" applyBorder="1"/>
    <xf numFmtId="0" fontId="16" fillId="0" borderId="90" xfId="0" applyFont="1" applyBorder="1" applyAlignment="1">
      <alignment horizontal="centerContinuous" vertical="center" wrapText="1"/>
    </xf>
    <xf numFmtId="0" fontId="11" fillId="0" borderId="15" xfId="0" applyFont="1" applyBorder="1" applyAlignment="1">
      <alignment horizontal="left" wrapText="1"/>
    </xf>
    <xf numFmtId="0" fontId="11" fillId="0" borderId="84" xfId="0" applyFont="1" applyBorder="1"/>
    <xf numFmtId="0" fontId="16" fillId="0" borderId="1" xfId="0" applyFont="1" applyBorder="1" applyAlignment="1">
      <alignment horizontal="centerContinuous"/>
    </xf>
    <xf numFmtId="0" fontId="16" fillId="0" borderId="13" xfId="0" applyFont="1" applyBorder="1" applyAlignment="1">
      <alignment horizontal="centerContinuous"/>
    </xf>
    <xf numFmtId="0" fontId="17" fillId="0" borderId="15" xfId="0" applyFont="1" applyBorder="1" applyAlignment="1">
      <alignment horizontal="left" vertical="center"/>
    </xf>
    <xf numFmtId="0" fontId="16" fillId="0" borderId="12" xfId="0" applyFont="1" applyBorder="1" applyAlignment="1">
      <alignment horizontal="centerContinuous"/>
    </xf>
    <xf numFmtId="0" fontId="6" fillId="0" borderId="5" xfId="0" applyFont="1" applyBorder="1" applyAlignment="1">
      <alignment vertical="center"/>
    </xf>
    <xf numFmtId="43" fontId="6" fillId="0" borderId="6" xfId="20" applyFont="1" applyFill="1" applyBorder="1" applyAlignment="1">
      <alignment vertical="center"/>
    </xf>
    <xf numFmtId="43" fontId="6" fillId="0" borderId="7" xfId="20" applyFont="1" applyFill="1" applyBorder="1" applyAlignment="1">
      <alignment vertical="center"/>
    </xf>
    <xf numFmtId="0" fontId="6" fillId="0" borderId="5" xfId="0" applyFont="1" applyBorder="1" applyAlignment="1">
      <alignment vertical="center" wrapText="1"/>
    </xf>
    <xf numFmtId="43" fontId="6" fillId="0" borderId="9" xfId="20" applyFont="1" applyFill="1" applyBorder="1" applyAlignment="1">
      <alignment vertical="center"/>
    </xf>
    <xf numFmtId="43" fontId="16" fillId="0" borderId="39" xfId="20" applyFont="1" applyFill="1" applyBorder="1" applyAlignment="1">
      <alignment horizontal="right"/>
    </xf>
    <xf numFmtId="43" fontId="16" fillId="0" borderId="6" xfId="20" applyFont="1" applyFill="1" applyBorder="1" applyAlignment="1">
      <alignment horizontal="right"/>
    </xf>
    <xf numFmtId="0" fontId="17" fillId="0" borderId="5" xfId="0" applyFont="1" applyBorder="1" applyAlignment="1">
      <alignment vertical="center"/>
    </xf>
    <xf numFmtId="0" fontId="6" fillId="0" borderId="5" xfId="0" applyFont="1" applyBorder="1" applyAlignment="1">
      <alignment horizontal="left" vertical="center" indent="2"/>
    </xf>
    <xf numFmtId="43" fontId="6" fillId="0" borderId="24" xfId="34" applyNumberFormat="1" applyFont="1" applyBorder="1" applyAlignment="1">
      <alignment horizontal="left" vertical="center"/>
    </xf>
    <xf numFmtId="43" fontId="6" fillId="0" borderId="23" xfId="34" applyNumberFormat="1" applyFont="1" applyBorder="1" applyAlignment="1">
      <alignment horizontal="left" vertical="center"/>
    </xf>
    <xf numFmtId="43" fontId="6" fillId="0" borderId="34" xfId="34" applyNumberFormat="1" applyFont="1" applyBorder="1" applyAlignment="1">
      <alignment horizontal="left" vertical="center"/>
    </xf>
    <xf numFmtId="175" fontId="17" fillId="0" borderId="1" xfId="0" applyNumberFormat="1" applyFont="1" applyBorder="1" applyAlignment="1">
      <alignment horizontal="center" vertical="top"/>
    </xf>
    <xf numFmtId="43" fontId="6" fillId="0" borderId="0" xfId="20" applyFont="1" applyAlignment="1">
      <alignment vertical="center"/>
    </xf>
    <xf numFmtId="14" fontId="11" fillId="3" borderId="1" xfId="0" applyNumberFormat="1" applyFont="1" applyFill="1" applyBorder="1" applyAlignment="1">
      <alignment horizontal="left" vertical="center"/>
    </xf>
    <xf numFmtId="43" fontId="11" fillId="0" borderId="6" xfId="20" applyFont="1" applyBorder="1"/>
    <xf numFmtId="43" fontId="6" fillId="0" borderId="6" xfId="20" applyFont="1" applyFill="1" applyBorder="1"/>
    <xf numFmtId="0" fontId="11" fillId="0" borderId="34" xfId="1" applyFont="1" applyBorder="1" applyAlignment="1">
      <alignment horizontal="center" vertical="center"/>
    </xf>
    <xf numFmtId="39" fontId="6" fillId="0" borderId="6" xfId="0" applyNumberFormat="1" applyFont="1" applyBorder="1" applyAlignment="1">
      <alignment horizontal="right"/>
    </xf>
    <xf numFmtId="39" fontId="6" fillId="0" borderId="7" xfId="0" applyNumberFormat="1" applyFont="1" applyBorder="1" applyAlignment="1">
      <alignment horizontal="right"/>
    </xf>
    <xf numFmtId="39" fontId="6" fillId="0" borderId="6" xfId="0" applyNumberFormat="1" applyFont="1" applyBorder="1"/>
    <xf numFmtId="39" fontId="6" fillId="0" borderId="7" xfId="0" applyNumberFormat="1" applyFont="1" applyBorder="1"/>
    <xf numFmtId="39" fontId="6" fillId="0" borderId="0" xfId="0" applyNumberFormat="1" applyFont="1"/>
    <xf numFmtId="0" fontId="16" fillId="0" borderId="0" xfId="0" applyFont="1" applyAlignment="1">
      <alignment vertical="top" wrapText="1"/>
    </xf>
    <xf numFmtId="43" fontId="6" fillId="0" borderId="17" xfId="30" applyNumberFormat="1" applyFont="1" applyBorder="1"/>
    <xf numFmtId="0" fontId="17" fillId="0" borderId="34" xfId="30" applyFont="1" applyBorder="1"/>
    <xf numFmtId="0" fontId="6" fillId="0" borderId="34" xfId="30" applyFont="1" applyBorder="1"/>
    <xf numFmtId="41" fontId="17" fillId="0" borderId="34" xfId="30" applyNumberFormat="1" applyFont="1" applyBorder="1"/>
    <xf numFmtId="9" fontId="17" fillId="0" borderId="34" xfId="23" applyFont="1" applyBorder="1"/>
    <xf numFmtId="0" fontId="16" fillId="0" borderId="4" xfId="0" applyFont="1" applyBorder="1" applyAlignment="1">
      <alignment horizontal="left" wrapText="1"/>
    </xf>
    <xf numFmtId="39" fontId="6" fillId="0" borderId="4" xfId="0" applyNumberFormat="1" applyFont="1" applyBorder="1" applyAlignment="1">
      <alignment horizontal="right"/>
    </xf>
    <xf numFmtId="165" fontId="16" fillId="0" borderId="4" xfId="0" applyNumberFormat="1" applyFont="1" applyBorder="1" applyAlignment="1">
      <alignment horizontal="right"/>
    </xf>
    <xf numFmtId="0" fontId="11" fillId="0" borderId="21" xfId="34" applyFont="1" applyBorder="1"/>
    <xf numFmtId="0" fontId="11" fillId="0" borderId="21" xfId="34" applyFont="1" applyBorder="1" applyAlignment="1">
      <alignment wrapText="1"/>
    </xf>
    <xf numFmtId="43" fontId="16" fillId="0" borderId="31" xfId="20" applyFont="1" applyBorder="1" applyAlignment="1">
      <alignment horizontal="center"/>
    </xf>
    <xf numFmtId="43" fontId="16" fillId="0" borderId="1" xfId="20" applyFont="1" applyBorder="1" applyAlignment="1">
      <alignment horizontal="left"/>
    </xf>
    <xf numFmtId="43" fontId="16" fillId="0" borderId="24" xfId="20" applyFont="1" applyBorder="1" applyAlignment="1">
      <alignment horizontal="center"/>
    </xf>
    <xf numFmtId="43" fontId="16" fillId="0" borderId="22" xfId="20" applyFont="1" applyBorder="1" applyAlignment="1">
      <alignment horizontal="center"/>
    </xf>
    <xf numFmtId="43" fontId="16" fillId="0" borderId="27" xfId="20" applyFont="1" applyBorder="1" applyAlignment="1">
      <alignment horizontal="right"/>
    </xf>
    <xf numFmtId="0" fontId="16" fillId="0" borderId="34" xfId="0" applyFont="1" applyBorder="1" applyAlignment="1">
      <alignment horizontal="center"/>
    </xf>
    <xf numFmtId="43" fontId="11" fillId="0" borderId="6" xfId="20" applyFont="1" applyBorder="1" applyAlignment="1">
      <alignment horizontal="right"/>
    </xf>
    <xf numFmtId="43" fontId="16" fillId="0" borderId="0" xfId="20" applyFont="1" applyAlignment="1">
      <alignment horizontal="centerContinuous"/>
    </xf>
    <xf numFmtId="43" fontId="16" fillId="0" borderId="90" xfId="20" applyFont="1" applyBorder="1" applyAlignment="1">
      <alignment horizontal="center" vertical="center" wrapText="1"/>
    </xf>
    <xf numFmtId="43" fontId="11" fillId="0" borderId="84" xfId="20" applyFont="1" applyBorder="1"/>
    <xf numFmtId="43" fontId="16" fillId="0" borderId="6" xfId="20" applyFont="1" applyBorder="1" applyAlignment="1">
      <alignment horizontal="right"/>
    </xf>
    <xf numFmtId="43" fontId="11" fillId="0" borderId="7" xfId="20" applyFont="1" applyBorder="1"/>
    <xf numFmtId="43" fontId="16" fillId="0" borderId="39" xfId="20" applyFont="1" applyBorder="1" applyAlignment="1">
      <alignment horizontal="right"/>
    </xf>
    <xf numFmtId="43" fontId="16" fillId="0" borderId="9" xfId="20" applyFont="1" applyBorder="1" applyAlignment="1">
      <alignment horizontal="right"/>
    </xf>
    <xf numFmtId="43" fontId="16" fillId="0" borderId="66" xfId="20" applyFont="1" applyBorder="1" applyAlignment="1">
      <alignment horizontal="right"/>
    </xf>
    <xf numFmtId="43" fontId="11" fillId="0" borderId="9" xfId="20" applyFont="1" applyBorder="1" applyAlignment="1">
      <alignment horizontal="right"/>
    </xf>
    <xf numFmtId="43" fontId="11" fillId="0" borderId="1" xfId="20" applyFont="1" applyBorder="1" applyAlignment="1">
      <alignment horizontal="right"/>
    </xf>
    <xf numFmtId="43" fontId="17" fillId="0" borderId="1" xfId="20" applyFont="1" applyBorder="1" applyAlignment="1">
      <alignment horizontal="left" vertical="top"/>
    </xf>
    <xf numFmtId="43" fontId="17" fillId="0" borderId="1" xfId="20" applyFont="1" applyBorder="1" applyAlignment="1">
      <alignment vertical="top"/>
    </xf>
    <xf numFmtId="43" fontId="6" fillId="0" borderId="1" xfId="20" applyFont="1" applyBorder="1" applyAlignment="1">
      <alignment vertical="top"/>
    </xf>
    <xf numFmtId="43" fontId="6" fillId="0" borderId="1" xfId="20" applyFont="1" applyBorder="1"/>
    <xf numFmtId="43" fontId="6" fillId="0" borderId="1" xfId="20" applyFont="1" applyFill="1" applyBorder="1" applyAlignment="1" applyProtection="1">
      <alignment vertical="top"/>
    </xf>
    <xf numFmtId="43" fontId="11" fillId="0" borderId="13" xfId="20" applyFont="1" applyBorder="1" applyAlignment="1">
      <alignment horizontal="left"/>
    </xf>
    <xf numFmtId="43" fontId="11" fillId="0" borderId="0" xfId="20" applyFont="1" applyAlignment="1">
      <alignment horizontal="right"/>
    </xf>
    <xf numFmtId="43" fontId="16" fillId="0" borderId="84" xfId="20" applyFont="1" applyBorder="1" applyAlignment="1">
      <alignment horizontal="right"/>
    </xf>
    <xf numFmtId="43" fontId="6" fillId="0" borderId="7" xfId="20" applyFont="1" applyBorder="1"/>
    <xf numFmtId="43" fontId="6" fillId="0" borderId="7" xfId="20" applyFont="1" applyBorder="1" applyAlignment="1">
      <alignment vertical="top"/>
    </xf>
    <xf numFmtId="43" fontId="17" fillId="0" borderId="7" xfId="20" applyFont="1" applyBorder="1"/>
    <xf numFmtId="43" fontId="17" fillId="0" borderId="7" xfId="20" applyFont="1" applyBorder="1" applyAlignment="1">
      <alignment horizontal="left" vertical="top"/>
    </xf>
    <xf numFmtId="43" fontId="11" fillId="0" borderId="10" xfId="20" applyFont="1" applyBorder="1" applyAlignment="1">
      <alignment horizontal="left"/>
    </xf>
    <xf numFmtId="165" fontId="16" fillId="0" borderId="62" xfId="0" applyNumberFormat="1" applyFont="1" applyBorder="1" applyAlignment="1">
      <alignment horizontal="right"/>
    </xf>
    <xf numFmtId="0" fontId="6" fillId="0" borderId="1" xfId="29" applyFont="1" applyAlignment="1">
      <alignment vertical="top" wrapText="1"/>
    </xf>
    <xf numFmtId="43" fontId="16" fillId="0" borderId="4" xfId="20" applyFont="1" applyBorder="1" applyAlignment="1">
      <alignment horizontal="right"/>
    </xf>
    <xf numFmtId="43" fontId="11" fillId="0" borderId="54" xfId="20" applyFont="1" applyBorder="1"/>
    <xf numFmtId="43" fontId="11" fillId="0" borderId="31" xfId="20" applyFont="1" applyBorder="1"/>
    <xf numFmtId="0" fontId="11" fillId="0" borderId="19" xfId="0" applyFont="1" applyBorder="1"/>
    <xf numFmtId="0" fontId="16" fillId="0" borderId="26" xfId="0" applyFont="1" applyBorder="1"/>
    <xf numFmtId="0" fontId="11" fillId="0" borderId="86" xfId="0" applyFont="1" applyBorder="1"/>
    <xf numFmtId="43" fontId="11" fillId="0" borderId="88" xfId="20" applyFont="1" applyBorder="1"/>
    <xf numFmtId="0" fontId="11" fillId="0" borderId="66" xfId="0" applyFont="1" applyBorder="1"/>
    <xf numFmtId="0" fontId="11" fillId="0" borderId="6" xfId="40" applyFont="1" applyBorder="1"/>
    <xf numFmtId="43" fontId="11" fillId="0" borderId="66" xfId="20" applyFont="1" applyBorder="1"/>
    <xf numFmtId="0" fontId="11" fillId="0" borderId="51" xfId="40" applyFont="1" applyBorder="1"/>
    <xf numFmtId="43" fontId="11" fillId="0" borderId="51" xfId="20" applyFont="1" applyBorder="1"/>
    <xf numFmtId="43" fontId="16" fillId="0" borderId="34" xfId="20" applyFont="1" applyBorder="1" applyAlignment="1">
      <alignment horizontal="right"/>
    </xf>
    <xf numFmtId="0" fontId="11" fillId="0" borderId="17" xfId="0" applyFont="1" applyBorder="1"/>
    <xf numFmtId="179" fontId="11" fillId="0" borderId="1" xfId="20" applyNumberFormat="1" applyFont="1" applyBorder="1"/>
    <xf numFmtId="180" fontId="11" fillId="0" borderId="17" xfId="20" applyNumberFormat="1" applyFont="1" applyBorder="1"/>
    <xf numFmtId="181" fontId="11" fillId="0" borderId="17" xfId="0" applyNumberFormat="1" applyFont="1" applyBorder="1"/>
    <xf numFmtId="43" fontId="6" fillId="0" borderId="6" xfId="20" applyFont="1" applyFill="1" applyBorder="1" applyAlignment="1">
      <alignment horizontal="right"/>
    </xf>
    <xf numFmtId="49" fontId="16" fillId="0" borderId="20" xfId="0" applyNumberFormat="1" applyFont="1" applyBorder="1"/>
    <xf numFmtId="49" fontId="11" fillId="0" borderId="20" xfId="0" applyNumberFormat="1" applyFont="1" applyBorder="1"/>
    <xf numFmtId="49" fontId="16" fillId="0" borderId="20" xfId="0" applyNumberFormat="1" applyFont="1" applyBorder="1" applyAlignment="1">
      <alignment vertical="top"/>
    </xf>
    <xf numFmtId="49" fontId="11" fillId="0" borderId="20" xfId="0" applyNumberFormat="1" applyFont="1" applyBorder="1" applyAlignment="1">
      <alignment horizontal="left" vertical="top" indent="3"/>
    </xf>
    <xf numFmtId="49" fontId="11" fillId="0" borderId="20" xfId="0" applyNumberFormat="1" applyFont="1" applyBorder="1" applyAlignment="1">
      <alignment horizontal="left" vertical="top" indent="4"/>
    </xf>
    <xf numFmtId="49" fontId="11" fillId="0" borderId="20" xfId="0" applyNumberFormat="1" applyFont="1" applyBorder="1" applyAlignment="1">
      <alignment horizontal="left" vertical="top" indent="6"/>
    </xf>
    <xf numFmtId="49" fontId="16" fillId="0" borderId="20" xfId="0" applyNumberFormat="1" applyFont="1" applyBorder="1" applyAlignment="1">
      <alignment horizontal="left" vertical="top" indent="4"/>
    </xf>
    <xf numFmtId="49" fontId="11" fillId="0" borderId="20" xfId="0" applyNumberFormat="1" applyFont="1" applyBorder="1" applyAlignment="1">
      <alignment horizontal="left" vertical="top" indent="5"/>
    </xf>
    <xf numFmtId="49" fontId="16" fillId="0" borderId="20" xfId="0" applyNumberFormat="1" applyFont="1" applyBorder="1" applyAlignment="1">
      <alignment horizontal="left" vertical="top" indent="3"/>
    </xf>
    <xf numFmtId="49" fontId="11" fillId="0" borderId="20" xfId="0" applyNumberFormat="1" applyFont="1" applyBorder="1" applyAlignment="1">
      <alignment horizontal="left" vertical="top" indent="7"/>
    </xf>
    <xf numFmtId="49" fontId="11" fillId="0" borderId="20" xfId="0" applyNumberFormat="1" applyFont="1" applyBorder="1" applyAlignment="1">
      <alignment horizontal="left" vertical="top" indent="2"/>
    </xf>
    <xf numFmtId="49" fontId="16" fillId="0" borderId="20" xfId="0" applyNumberFormat="1" applyFont="1" applyBorder="1" applyAlignment="1">
      <alignment horizontal="left" vertical="top" indent="2"/>
    </xf>
    <xf numFmtId="0" fontId="11" fillId="0" borderId="16" xfId="0" applyFont="1" applyBorder="1"/>
    <xf numFmtId="49" fontId="16" fillId="0" borderId="18" xfId="0" applyNumberFormat="1" applyFont="1" applyBorder="1"/>
    <xf numFmtId="43" fontId="16" fillId="0" borderId="1" xfId="20" applyFont="1" applyBorder="1" applyAlignment="1">
      <alignment horizontal="center"/>
    </xf>
    <xf numFmtId="43" fontId="16" fillId="0" borderId="1" xfId="20" applyFont="1" applyBorder="1" applyAlignment="1">
      <alignment wrapText="1"/>
    </xf>
    <xf numFmtId="43" fontId="6" fillId="0" borderId="45" xfId="32" applyNumberFormat="1" applyFont="1" applyBorder="1" applyAlignment="1">
      <alignment horizontal="right"/>
    </xf>
    <xf numFmtId="43" fontId="11" fillId="6" borderId="61" xfId="20" applyFont="1" applyFill="1" applyBorder="1"/>
    <xf numFmtId="0" fontId="17" fillId="0" borderId="0" xfId="0" applyFont="1"/>
    <xf numFmtId="0" fontId="6" fillId="0" borderId="7" xfId="0" applyFont="1" applyBorder="1"/>
    <xf numFmtId="0" fontId="6" fillId="0" borderId="7" xfId="17" applyFont="1" applyBorder="1" applyAlignment="1">
      <alignment vertical="top"/>
    </xf>
    <xf numFmtId="175" fontId="17" fillId="0" borderId="7" xfId="0" applyNumberFormat="1" applyFont="1" applyBorder="1"/>
    <xf numFmtId="0" fontId="17" fillId="0" borderId="7" xfId="17" applyFont="1" applyBorder="1" applyAlignment="1">
      <alignment horizontal="left" vertical="top"/>
    </xf>
    <xf numFmtId="0" fontId="17" fillId="0" borderId="7" xfId="0" applyFont="1" applyBorder="1"/>
    <xf numFmtId="49" fontId="16" fillId="0" borderId="24" xfId="0" applyNumberFormat="1" applyFont="1" applyBorder="1" applyAlignment="1">
      <alignment vertical="top"/>
    </xf>
    <xf numFmtId="0" fontId="16" fillId="0" borderId="11" xfId="0" applyFont="1" applyBorder="1" applyAlignment="1">
      <alignment horizontal="left" wrapText="1"/>
    </xf>
    <xf numFmtId="0" fontId="16" fillId="0" borderId="6" xfId="0" applyFont="1" applyBorder="1" applyAlignment="1">
      <alignment horizontal="center"/>
    </xf>
    <xf numFmtId="165" fontId="16" fillId="0" borderId="39" xfId="0" applyNumberFormat="1" applyFont="1" applyBorder="1" applyAlignment="1">
      <alignment horizontal="right"/>
    </xf>
    <xf numFmtId="39" fontId="16" fillId="0" borderId="39" xfId="0" applyNumberFormat="1" applyFont="1" applyBorder="1" applyAlignment="1">
      <alignment horizontal="right"/>
    </xf>
    <xf numFmtId="39" fontId="11" fillId="0" borderId="6" xfId="0" applyNumberFormat="1" applyFont="1" applyBorder="1" applyAlignment="1">
      <alignment horizontal="right"/>
    </xf>
    <xf numFmtId="39" fontId="11" fillId="0" borderId="7" xfId="0" applyNumberFormat="1" applyFont="1" applyBorder="1" applyAlignment="1">
      <alignment horizontal="right"/>
    </xf>
    <xf numFmtId="165" fontId="11" fillId="0" borderId="39" xfId="0" applyNumberFormat="1" applyFont="1" applyBorder="1" applyAlignment="1">
      <alignment horizontal="right"/>
    </xf>
    <xf numFmtId="0" fontId="11" fillId="0" borderId="8" xfId="0" applyFont="1" applyBorder="1" applyAlignment="1">
      <alignment horizontal="left" wrapText="1" indent="2"/>
    </xf>
    <xf numFmtId="0" fontId="16" fillId="0" borderId="9" xfId="0" applyFont="1" applyBorder="1" applyAlignment="1">
      <alignment horizontal="center"/>
    </xf>
    <xf numFmtId="0" fontId="11" fillId="0" borderId="13" xfId="0" applyFont="1" applyBorder="1" applyAlignment="1">
      <alignment horizontal="left"/>
    </xf>
    <xf numFmtId="0" fontId="11" fillId="0" borderId="10" xfId="0" applyFont="1" applyBorder="1" applyAlignment="1">
      <alignment horizontal="left"/>
    </xf>
    <xf numFmtId="15" fontId="11" fillId="0" borderId="9" xfId="21" quotePrefix="1" applyNumberFormat="1" applyFont="1" applyBorder="1" applyAlignment="1">
      <alignment horizontal="right" vertical="top"/>
    </xf>
    <xf numFmtId="43" fontId="11" fillId="0" borderId="4" xfId="20" applyFont="1" applyBorder="1"/>
    <xf numFmtId="0" fontId="11" fillId="0" borderId="66" xfId="40" applyFont="1" applyBorder="1"/>
    <xf numFmtId="0" fontId="11" fillId="0" borderId="9" xfId="40" applyFont="1" applyBorder="1"/>
    <xf numFmtId="43" fontId="11" fillId="0" borderId="9" xfId="20" applyFont="1" applyBorder="1"/>
    <xf numFmtId="0" fontId="11" fillId="0" borderId="41" xfId="0" applyFont="1" applyBorder="1"/>
    <xf numFmtId="43" fontId="11" fillId="0" borderId="41" xfId="20" applyFont="1" applyBorder="1"/>
    <xf numFmtId="43" fontId="11" fillId="0" borderId="32" xfId="20" applyFont="1" applyBorder="1"/>
    <xf numFmtId="0" fontId="11" fillId="0" borderId="93" xfId="0" applyFont="1" applyBorder="1"/>
    <xf numFmtId="43" fontId="11" fillId="0" borderId="55" xfId="20" applyFont="1" applyBorder="1"/>
    <xf numFmtId="0" fontId="16" fillId="0" borderId="3" xfId="0" applyFont="1" applyBorder="1" applyAlignment="1">
      <alignment horizontal="centerContinuous" vertical="center"/>
    </xf>
    <xf numFmtId="43" fontId="16" fillId="0" borderId="0" xfId="20" applyFont="1" applyFill="1" applyAlignment="1">
      <alignment horizontal="centerContinuous"/>
    </xf>
    <xf numFmtId="43" fontId="16" fillId="0" borderId="3" xfId="20" applyFont="1" applyFill="1" applyBorder="1" applyAlignment="1">
      <alignment horizontal="centerContinuous" vertical="center" wrapText="1"/>
    </xf>
    <xf numFmtId="43" fontId="16" fillId="0" borderId="4" xfId="20" applyFont="1" applyFill="1" applyBorder="1" applyAlignment="1">
      <alignment horizontal="center" vertical="center" wrapText="1"/>
    </xf>
    <xf numFmtId="43" fontId="11" fillId="0" borderId="6" xfId="20" applyFont="1" applyFill="1" applyBorder="1" applyAlignment="1">
      <alignment horizontal="right"/>
    </xf>
    <xf numFmtId="43" fontId="16" fillId="0" borderId="4" xfId="20" applyFont="1" applyFill="1" applyBorder="1" applyAlignment="1">
      <alignment horizontal="right"/>
    </xf>
    <xf numFmtId="43" fontId="11" fillId="0" borderId="6" xfId="20" applyFont="1" applyFill="1" applyBorder="1" applyAlignment="1">
      <alignment horizontal="right" vertical="top"/>
    </xf>
    <xf numFmtId="43" fontId="16" fillId="0" borderId="1" xfId="20" applyFont="1" applyFill="1" applyBorder="1" applyAlignment="1">
      <alignment horizontal="right"/>
    </xf>
    <xf numFmtId="0" fontId="11" fillId="0" borderId="5" xfId="0" applyFont="1" applyBorder="1" applyAlignment="1">
      <alignment horizontal="left" vertical="center" wrapText="1"/>
    </xf>
    <xf numFmtId="43" fontId="17" fillId="0" borderId="25" xfId="20" applyFont="1" applyFill="1" applyBorder="1" applyAlignment="1">
      <alignment vertical="center" wrapText="1"/>
    </xf>
    <xf numFmtId="41" fontId="17" fillId="0" borderId="25" xfId="30" applyNumberFormat="1" applyFont="1" applyBorder="1" applyAlignment="1">
      <alignment vertical="center" wrapText="1"/>
    </xf>
    <xf numFmtId="43" fontId="17" fillId="0" borderId="25" xfId="30" applyNumberFormat="1" applyFont="1" applyBorder="1" applyAlignment="1">
      <alignment vertical="center" wrapText="1"/>
    </xf>
    <xf numFmtId="41" fontId="17" fillId="0" borderId="34" xfId="30" applyNumberFormat="1" applyFont="1" applyBorder="1" applyAlignment="1">
      <alignment vertical="center" wrapText="1"/>
    </xf>
    <xf numFmtId="0" fontId="6" fillId="0" borderId="18" xfId="30" applyFont="1" applyBorder="1"/>
    <xf numFmtId="10" fontId="6" fillId="0" borderId="18" xfId="30" applyNumberFormat="1" applyFont="1" applyBorder="1"/>
    <xf numFmtId="0" fontId="16" fillId="0" borderId="20" xfId="0" applyFont="1" applyBorder="1" applyAlignment="1">
      <alignment horizontal="left" wrapText="1" indent="1"/>
    </xf>
    <xf numFmtId="10" fontId="6" fillId="0" borderId="20" xfId="30" applyNumberFormat="1" applyFont="1" applyBorder="1"/>
    <xf numFmtId="0" fontId="6" fillId="0" borderId="20" xfId="30" applyFont="1" applyBorder="1"/>
    <xf numFmtId="0" fontId="11" fillId="0" borderId="20" xfId="0" applyFont="1" applyBorder="1" applyAlignment="1">
      <alignment horizontal="left" wrapText="1" indent="1"/>
    </xf>
    <xf numFmtId="41" fontId="6" fillId="0" borderId="20" xfId="30" applyNumberFormat="1" applyFont="1" applyBorder="1"/>
    <xf numFmtId="41" fontId="6" fillId="0" borderId="19" xfId="30" applyNumberFormat="1" applyFont="1" applyBorder="1"/>
    <xf numFmtId="0" fontId="6" fillId="0" borderId="24" xfId="30" applyFont="1" applyBorder="1"/>
    <xf numFmtId="43" fontId="6" fillId="0" borderId="22" xfId="20" applyFont="1" applyFill="1" applyBorder="1"/>
    <xf numFmtId="43" fontId="6" fillId="0" borderId="24" xfId="30" applyNumberFormat="1" applyFont="1" applyBorder="1"/>
    <xf numFmtId="0" fontId="6" fillId="0" borderId="23" xfId="30" applyFont="1" applyBorder="1"/>
    <xf numFmtId="0" fontId="16" fillId="0" borderId="1" xfId="0" applyFont="1" applyBorder="1" applyAlignment="1">
      <alignment horizontal="left" vertical="center" wrapText="1"/>
    </xf>
    <xf numFmtId="0" fontId="16" fillId="0" borderId="4" xfId="0" applyFont="1" applyBorder="1" applyAlignment="1">
      <alignment vertical="center" wrapText="1"/>
    </xf>
    <xf numFmtId="0" fontId="16" fillId="0" borderId="4" xfId="0" applyFont="1" applyBorder="1"/>
    <xf numFmtId="0" fontId="16" fillId="0" borderId="4" xfId="0" applyFont="1" applyBorder="1" applyAlignment="1">
      <alignment horizontal="left" vertical="center" wrapText="1"/>
    </xf>
    <xf numFmtId="43" fontId="11" fillId="0" borderId="4" xfId="0" applyNumberFormat="1" applyFont="1" applyBorder="1"/>
    <xf numFmtId="43" fontId="16" fillId="0" borderId="4" xfId="0" applyNumberFormat="1" applyFont="1" applyBorder="1"/>
    <xf numFmtId="0" fontId="11" fillId="0" borderId="4" xfId="0" applyFont="1" applyBorder="1" applyAlignment="1">
      <alignment horizontal="left"/>
    </xf>
    <xf numFmtId="0" fontId="16" fillId="0" borderId="4" xfId="0" applyFont="1" applyBorder="1" applyAlignment="1">
      <alignment horizontal="left"/>
    </xf>
    <xf numFmtId="49" fontId="11" fillId="0" borderId="4" xfId="0" applyNumberFormat="1" applyFont="1" applyBorder="1" applyAlignment="1">
      <alignment horizontal="left" vertical="top" indent="3"/>
    </xf>
    <xf numFmtId="49" fontId="11" fillId="0" borderId="4" xfId="0" applyNumberFormat="1" applyFont="1" applyBorder="1" applyAlignment="1">
      <alignment horizontal="left" vertical="top" indent="4"/>
    </xf>
    <xf numFmtId="0" fontId="16" fillId="0" borderId="4" xfId="0" applyFont="1" applyBorder="1" applyAlignment="1">
      <alignment horizontal="center"/>
    </xf>
    <xf numFmtId="43" fontId="16" fillId="0" borderId="4" xfId="20" applyFont="1" applyBorder="1"/>
    <xf numFmtId="39" fontId="11" fillId="0" borderId="4" xfId="0" applyNumberFormat="1" applyFont="1" applyBorder="1" applyAlignment="1">
      <alignment horizontal="right"/>
    </xf>
    <xf numFmtId="49" fontId="11" fillId="0" borderId="4" xfId="0" applyNumberFormat="1" applyFont="1" applyBorder="1" applyAlignment="1">
      <alignment vertical="center"/>
    </xf>
    <xf numFmtId="49" fontId="11" fillId="0" borderId="4" xfId="0" applyNumberFormat="1" applyFont="1" applyBorder="1" applyAlignment="1">
      <alignment horizontal="left"/>
    </xf>
    <xf numFmtId="0" fontId="16" fillId="0" borderId="4" xfId="0" applyFont="1" applyBorder="1" applyAlignment="1">
      <alignment horizontal="left" vertical="top"/>
    </xf>
    <xf numFmtId="0" fontId="11" fillId="0" borderId="54" xfId="34" applyFont="1" applyBorder="1"/>
    <xf numFmtId="0" fontId="11" fillId="0" borderId="20" xfId="34" applyFont="1" applyBorder="1"/>
    <xf numFmtId="0" fontId="11" fillId="0" borderId="19" xfId="34" applyFont="1" applyBorder="1" applyAlignment="1">
      <alignment vertical="center"/>
    </xf>
    <xf numFmtId="2" fontId="6" fillId="0" borderId="4" xfId="20" applyNumberFormat="1" applyFont="1" applyFill="1" applyBorder="1" applyAlignment="1">
      <alignment vertical="center"/>
    </xf>
    <xf numFmtId="182" fontId="11" fillId="0" borderId="0" xfId="0" applyNumberFormat="1" applyFont="1"/>
    <xf numFmtId="2" fontId="11" fillId="0" borderId="0" xfId="20" applyNumberFormat="1" applyFont="1"/>
    <xf numFmtId="2" fontId="11" fillId="0" borderId="0" xfId="20" applyNumberFormat="1" applyFont="1" applyFill="1"/>
    <xf numFmtId="0" fontId="16" fillId="0" borderId="65" xfId="34" applyFont="1" applyBorder="1" applyAlignment="1">
      <alignment horizontal="center" vertical="center" wrapText="1"/>
    </xf>
    <xf numFmtId="0" fontId="16" fillId="0" borderId="25" xfId="0" applyFont="1" applyBorder="1" applyAlignment="1">
      <alignment vertical="top" wrapText="1"/>
    </xf>
    <xf numFmtId="41" fontId="16" fillId="0" borderId="26" xfId="0" applyNumberFormat="1" applyFont="1" applyBorder="1" applyAlignment="1">
      <alignment horizontal="center" vertical="top" wrapText="1"/>
    </xf>
    <xf numFmtId="175" fontId="16" fillId="0" borderId="26" xfId="0" applyNumberFormat="1" applyFont="1" applyBorder="1" applyAlignment="1">
      <alignment horizontal="center" vertical="top"/>
    </xf>
    <xf numFmtId="175" fontId="16" fillId="0" borderId="27" xfId="0" applyNumberFormat="1" applyFont="1" applyBorder="1" applyAlignment="1">
      <alignment vertical="top"/>
    </xf>
    <xf numFmtId="0" fontId="11" fillId="0" borderId="19" xfId="0" applyFont="1" applyBorder="1" applyAlignment="1">
      <alignment vertical="top" wrapText="1"/>
    </xf>
    <xf numFmtId="41" fontId="11" fillId="0" borderId="1" xfId="7" applyNumberFormat="1" applyFont="1" applyBorder="1" applyAlignment="1">
      <alignment horizontal="center" vertical="top" wrapText="1"/>
    </xf>
    <xf numFmtId="0" fontId="16" fillId="0" borderId="34" xfId="0" applyFont="1" applyBorder="1" applyAlignment="1">
      <alignment vertical="top" wrapText="1"/>
    </xf>
    <xf numFmtId="41" fontId="16" fillId="0" borderId="34" xfId="7" applyNumberFormat="1" applyFont="1" applyBorder="1" applyAlignment="1">
      <alignment horizontal="center" vertical="top" wrapText="1"/>
    </xf>
    <xf numFmtId="175" fontId="16" fillId="0" borderId="27" xfId="0" applyNumberFormat="1" applyFont="1" applyBorder="1" applyAlignment="1">
      <alignment horizontal="right" vertical="top" wrapText="1"/>
    </xf>
    <xf numFmtId="175" fontId="16" fillId="0" borderId="26" xfId="0" applyNumberFormat="1" applyFont="1" applyBorder="1" applyAlignment="1">
      <alignment horizontal="center" vertical="top" wrapText="1"/>
    </xf>
    <xf numFmtId="175" fontId="16" fillId="0" borderId="27" xfId="0" applyNumberFormat="1" applyFont="1" applyBorder="1" applyAlignment="1">
      <alignment vertical="top" wrapText="1"/>
    </xf>
    <xf numFmtId="41" fontId="11" fillId="0" borderId="1" xfId="0" applyNumberFormat="1" applyFont="1" applyBorder="1" applyAlignment="1">
      <alignment horizontal="center" vertical="top" wrapText="1"/>
    </xf>
    <xf numFmtId="175" fontId="11" fillId="0" borderId="17" xfId="0" applyNumberFormat="1" applyFont="1" applyBorder="1" applyAlignment="1">
      <alignment horizontal="center" vertical="top" wrapText="1"/>
    </xf>
    <xf numFmtId="175" fontId="11" fillId="0" borderId="54" xfId="0" applyNumberFormat="1" applyFont="1" applyBorder="1" applyAlignment="1">
      <alignment vertical="top" wrapText="1"/>
    </xf>
    <xf numFmtId="175" fontId="11" fillId="0" borderId="1" xfId="0" applyNumberFormat="1" applyFont="1" applyBorder="1" applyAlignment="1">
      <alignment horizontal="center" vertical="top" wrapText="1"/>
    </xf>
    <xf numFmtId="175" fontId="11" fillId="0" borderId="23" xfId="7" applyNumberFormat="1" applyFont="1" applyBorder="1" applyAlignment="1">
      <alignment horizontal="center" vertical="top" wrapText="1"/>
    </xf>
    <xf numFmtId="175" fontId="16" fillId="0" borderId="26" xfId="7" applyNumberFormat="1" applyFont="1" applyBorder="1" applyAlignment="1">
      <alignment horizontal="center" vertical="top" wrapText="1"/>
    </xf>
    <xf numFmtId="174" fontId="6" fillId="0" borderId="19" xfId="37" applyNumberFormat="1" applyFill="1" applyBorder="1" applyAlignment="1" applyProtection="1"/>
    <xf numFmtId="43" fontId="6" fillId="0" borderId="6" xfId="37" applyNumberFormat="1" applyFill="1" applyBorder="1" applyAlignment="1" applyProtection="1"/>
    <xf numFmtId="43" fontId="6" fillId="0" borderId="54" xfId="37" applyNumberFormat="1" applyFill="1" applyBorder="1" applyAlignment="1" applyProtection="1"/>
    <xf numFmtId="49" fontId="19" fillId="0" borderId="20" xfId="0" applyNumberFormat="1" applyFont="1" applyBorder="1" applyAlignment="1">
      <alignment horizontal="left" vertical="top" indent="2"/>
    </xf>
    <xf numFmtId="0" fontId="17" fillId="0" borderId="0" xfId="0" applyFont="1" applyAlignment="1">
      <alignment horizontal="centerContinuous"/>
    </xf>
    <xf numFmtId="43" fontId="6" fillId="0" borderId="0" xfId="20" applyFont="1" applyFill="1"/>
    <xf numFmtId="0" fontId="6" fillId="0" borderId="0" xfId="0" applyFont="1" applyAlignment="1">
      <alignment horizontal="right"/>
    </xf>
    <xf numFmtId="0" fontId="17" fillId="0" borderId="4" xfId="0" applyFont="1" applyBorder="1" applyAlignment="1">
      <alignment horizontal="center" vertical="center" wrapText="1"/>
    </xf>
    <xf numFmtId="9" fontId="6" fillId="0" borderId="0" xfId="23" applyFont="1" applyFill="1"/>
    <xf numFmtId="0" fontId="6" fillId="0" borderId="5" xfId="0" applyFont="1" applyBorder="1"/>
    <xf numFmtId="0" fontId="6" fillId="0" borderId="6" xfId="0" applyFont="1" applyBorder="1"/>
    <xf numFmtId="0" fontId="17" fillId="0" borderId="11" xfId="0" applyFont="1" applyBorder="1" applyAlignment="1">
      <alignment horizontal="left" wrapText="1"/>
    </xf>
    <xf numFmtId="0" fontId="17" fillId="0" borderId="6" xfId="0" applyFont="1" applyBorder="1" applyAlignment="1">
      <alignment horizontal="center"/>
    </xf>
    <xf numFmtId="165" fontId="6" fillId="0" borderId="6" xfId="0" applyNumberFormat="1" applyFont="1" applyBorder="1" applyAlignment="1">
      <alignment horizontal="right"/>
    </xf>
    <xf numFmtId="165" fontId="6" fillId="0" borderId="7" xfId="0" applyNumberFormat="1" applyFont="1" applyBorder="1" applyAlignment="1">
      <alignment horizontal="right"/>
    </xf>
    <xf numFmtId="165" fontId="17" fillId="0" borderId="6" xfId="0" applyNumberFormat="1" applyFont="1" applyBorder="1" applyAlignment="1">
      <alignment horizontal="right"/>
    </xf>
    <xf numFmtId="165" fontId="17" fillId="0" borderId="7" xfId="0" applyNumberFormat="1" applyFont="1" applyBorder="1" applyAlignment="1">
      <alignment horizontal="right"/>
    </xf>
    <xf numFmtId="0" fontId="6" fillId="0" borderId="5" xfId="0" applyFont="1" applyBorder="1" applyAlignment="1">
      <alignment horizontal="left" wrapText="1" indent="2"/>
    </xf>
    <xf numFmtId="39" fontId="17" fillId="0" borderId="4" xfId="0" applyNumberFormat="1" applyFont="1" applyBorder="1"/>
    <xf numFmtId="165" fontId="6" fillId="0" borderId="0" xfId="0" applyNumberFormat="1" applyFont="1"/>
    <xf numFmtId="165" fontId="17" fillId="0" borderId="4" xfId="0" applyNumberFormat="1" applyFont="1" applyBorder="1"/>
    <xf numFmtId="165" fontId="17" fillId="0" borderId="66" xfId="0" applyNumberFormat="1" applyFont="1" applyBorder="1"/>
    <xf numFmtId="0" fontId="17" fillId="0" borderId="91" xfId="0" applyFont="1" applyBorder="1" applyAlignment="1">
      <alignment horizontal="left" wrapText="1" indent="2"/>
    </xf>
    <xf numFmtId="0" fontId="17" fillId="0" borderId="39" xfId="0" applyFont="1" applyBorder="1" applyAlignment="1">
      <alignment horizontal="center"/>
    </xf>
    <xf numFmtId="165" fontId="17" fillId="0" borderId="39" xfId="0" applyNumberFormat="1" applyFont="1" applyBorder="1" applyAlignment="1">
      <alignment horizontal="right"/>
    </xf>
    <xf numFmtId="165" fontId="6" fillId="0" borderId="7" xfId="0" applyNumberFormat="1" applyFont="1" applyBorder="1"/>
    <xf numFmtId="0" fontId="17" fillId="0" borderId="5" xfId="0" applyFont="1" applyBorder="1" applyAlignment="1">
      <alignment horizontal="left"/>
    </xf>
    <xf numFmtId="166" fontId="6" fillId="0" borderId="8" xfId="0" applyNumberFormat="1" applyFont="1" applyBorder="1" applyAlignment="1">
      <alignment horizontal="left"/>
    </xf>
    <xf numFmtId="166" fontId="6" fillId="0" borderId="13" xfId="0" applyNumberFormat="1" applyFont="1" applyBorder="1" applyAlignment="1">
      <alignment horizontal="left"/>
    </xf>
    <xf numFmtId="0" fontId="6" fillId="0" borderId="13" xfId="0" applyFont="1" applyBorder="1" applyAlignment="1">
      <alignment horizontal="left"/>
    </xf>
    <xf numFmtId="0" fontId="6" fillId="0" borderId="10" xfId="0" applyFont="1" applyBorder="1" applyAlignment="1">
      <alignment horizontal="left"/>
    </xf>
    <xf numFmtId="49" fontId="16" fillId="0" borderId="4" xfId="0" applyNumberFormat="1" applyFont="1" applyBorder="1" applyAlignment="1">
      <alignment horizontal="left" vertical="top" indent="2"/>
    </xf>
    <xf numFmtId="49" fontId="16" fillId="0" borderId="4" xfId="0" applyNumberFormat="1" applyFont="1" applyBorder="1" applyAlignment="1">
      <alignment horizontal="center" vertical="top"/>
    </xf>
    <xf numFmtId="49" fontId="11" fillId="0" borderId="4" xfId="0" applyNumberFormat="1" applyFont="1" applyBorder="1" applyAlignment="1">
      <alignment horizontal="center" vertical="top"/>
    </xf>
    <xf numFmtId="49" fontId="16" fillId="0" borderId="4" xfId="0" applyNumberFormat="1" applyFont="1" applyBorder="1" applyAlignment="1">
      <alignment vertical="top"/>
    </xf>
    <xf numFmtId="169" fontId="16" fillId="0" borderId="4" xfId="0" applyNumberFormat="1" applyFont="1" applyBorder="1" applyAlignment="1">
      <alignment horizontal="right" vertical="top"/>
    </xf>
    <xf numFmtId="167" fontId="19" fillId="0" borderId="4" xfId="0" applyNumberFormat="1" applyFont="1" applyBorder="1" applyAlignment="1">
      <alignment horizontal="right" vertical="top"/>
    </xf>
    <xf numFmtId="49" fontId="19" fillId="0" borderId="4" xfId="0" applyNumberFormat="1" applyFont="1" applyBorder="1" applyAlignment="1">
      <alignment horizontal="left" vertical="top" indent="2"/>
    </xf>
    <xf numFmtId="169" fontId="19" fillId="0" borderId="4" xfId="0" applyNumberFormat="1" applyFont="1" applyBorder="1" applyAlignment="1">
      <alignment horizontal="right" vertical="top"/>
    </xf>
    <xf numFmtId="167" fontId="11" fillId="0" borderId="4" xfId="0" applyNumberFormat="1" applyFont="1" applyBorder="1" applyAlignment="1">
      <alignment horizontal="right" vertical="top"/>
    </xf>
    <xf numFmtId="168" fontId="19" fillId="0" borderId="4" xfId="0" applyNumberFormat="1" applyFont="1" applyBorder="1" applyAlignment="1">
      <alignment horizontal="right" vertical="top"/>
    </xf>
    <xf numFmtId="167" fontId="16" fillId="0" borderId="4" xfId="0" applyNumberFormat="1" applyFont="1" applyBorder="1" applyAlignment="1">
      <alignment horizontal="right" vertical="top"/>
    </xf>
    <xf numFmtId="168" fontId="11" fillId="0" borderId="4" xfId="0" applyNumberFormat="1" applyFont="1" applyBorder="1" applyAlignment="1">
      <alignment horizontal="right" vertical="top"/>
    </xf>
    <xf numFmtId="49" fontId="11" fillId="0" borderId="4" xfId="0" applyNumberFormat="1" applyFont="1" applyBorder="1" applyAlignment="1">
      <alignment horizontal="left" vertical="top" indent="2"/>
    </xf>
    <xf numFmtId="169" fontId="11" fillId="0" borderId="4" xfId="0" applyNumberFormat="1" applyFont="1" applyBorder="1" applyAlignment="1">
      <alignment horizontal="right" vertical="top"/>
    </xf>
    <xf numFmtId="49" fontId="19" fillId="0" borderId="4" xfId="0" applyNumberFormat="1" applyFont="1" applyBorder="1" applyAlignment="1">
      <alignment horizontal="left" vertical="top" indent="3"/>
    </xf>
    <xf numFmtId="49" fontId="19" fillId="0" borderId="4" xfId="0" applyNumberFormat="1" applyFont="1" applyBorder="1" applyAlignment="1">
      <alignment horizontal="left" vertical="top" indent="4"/>
    </xf>
    <xf numFmtId="170" fontId="11" fillId="0" borderId="4" xfId="0" applyNumberFormat="1" applyFont="1" applyBorder="1" applyAlignment="1">
      <alignment horizontal="right" vertical="top"/>
    </xf>
    <xf numFmtId="168" fontId="11" fillId="0" borderId="0" xfId="0" applyNumberFormat="1" applyFont="1"/>
    <xf numFmtId="170" fontId="16" fillId="0" borderId="4" xfId="0" applyNumberFormat="1" applyFont="1" applyBorder="1" applyAlignment="1">
      <alignment horizontal="right" vertical="top"/>
    </xf>
    <xf numFmtId="170" fontId="19" fillId="0" borderId="4" xfId="0" applyNumberFormat="1" applyFont="1" applyBorder="1" applyAlignment="1">
      <alignment horizontal="right" vertical="top"/>
    </xf>
    <xf numFmtId="170" fontId="11" fillId="0" borderId="0" xfId="0" applyNumberFormat="1" applyFont="1"/>
    <xf numFmtId="49" fontId="11" fillId="0" borderId="4" xfId="0" applyNumberFormat="1" applyFont="1" applyBorder="1" applyAlignment="1">
      <alignment horizontal="left" vertical="top" indent="1"/>
    </xf>
    <xf numFmtId="49" fontId="11" fillId="0" borderId="4" xfId="0" applyNumberFormat="1" applyFont="1" applyBorder="1" applyAlignment="1">
      <alignment vertical="top"/>
    </xf>
    <xf numFmtId="168" fontId="15" fillId="0" borderId="4" xfId="0" applyNumberFormat="1" applyFont="1" applyBorder="1" applyAlignment="1">
      <alignment horizontal="right" vertical="top"/>
    </xf>
    <xf numFmtId="39" fontId="17" fillId="0" borderId="6" xfId="0" applyNumberFormat="1" applyFont="1" applyBorder="1" applyAlignment="1">
      <alignment horizontal="right"/>
    </xf>
    <xf numFmtId="39" fontId="17" fillId="0" borderId="7" xfId="0" applyNumberFormat="1" applyFont="1" applyBorder="1" applyAlignment="1">
      <alignment horizontal="right"/>
    </xf>
    <xf numFmtId="165" fontId="16" fillId="0" borderId="7" xfId="0" applyNumberFormat="1" applyFont="1" applyBorder="1" applyAlignment="1">
      <alignment horizontal="right"/>
    </xf>
    <xf numFmtId="178" fontId="16" fillId="0" borderId="0" xfId="0" applyNumberFormat="1" applyFont="1"/>
    <xf numFmtId="41" fontId="11" fillId="0" borderId="1" xfId="7" applyNumberFormat="1" applyFont="1" applyFill="1" applyBorder="1" applyAlignment="1">
      <alignment horizontal="center" vertical="top" wrapText="1"/>
    </xf>
    <xf numFmtId="175" fontId="11" fillId="0" borderId="17" xfId="0" applyNumberFormat="1" applyFont="1" applyBorder="1" applyAlignment="1">
      <alignment horizontal="right" vertical="top" wrapText="1"/>
    </xf>
    <xf numFmtId="175" fontId="11" fillId="0" borderId="54" xfId="0" applyNumberFormat="1" applyFont="1" applyBorder="1" applyAlignment="1">
      <alignment horizontal="right" vertical="top" wrapText="1"/>
    </xf>
    <xf numFmtId="175" fontId="11" fillId="0" borderId="1" xfId="0" applyNumberFormat="1" applyFont="1" applyBorder="1" applyAlignment="1">
      <alignment horizontal="right" vertical="top" wrapText="1"/>
    </xf>
    <xf numFmtId="175" fontId="11" fillId="0" borderId="23" xfId="0" applyNumberFormat="1" applyFont="1" applyBorder="1" applyAlignment="1">
      <alignment horizontal="right" vertical="top" wrapText="1"/>
    </xf>
    <xf numFmtId="41" fontId="16" fillId="0" borderId="34" xfId="7" applyNumberFormat="1" applyFont="1" applyFill="1" applyBorder="1" applyAlignment="1">
      <alignment horizontal="center" vertical="top" wrapText="1"/>
    </xf>
    <xf numFmtId="175" fontId="16" fillId="0" borderId="26" xfId="0" applyNumberFormat="1" applyFont="1" applyBorder="1" applyAlignment="1">
      <alignment horizontal="right" vertical="top" wrapText="1"/>
    </xf>
    <xf numFmtId="43" fontId="16" fillId="0" borderId="37" xfId="20" applyFont="1" applyBorder="1" applyAlignment="1">
      <alignment horizontal="center"/>
    </xf>
    <xf numFmtId="43" fontId="16" fillId="0" borderId="46" xfId="20" applyFont="1" applyBorder="1" applyAlignment="1">
      <alignment horizontal="center"/>
    </xf>
    <xf numFmtId="43" fontId="16" fillId="0" borderId="25" xfId="20" applyFont="1" applyBorder="1" applyAlignment="1">
      <alignment horizontal="left" vertical="center"/>
    </xf>
    <xf numFmtId="43" fontId="16" fillId="0" borderId="34" xfId="20" applyFont="1" applyBorder="1" applyAlignment="1">
      <alignment horizontal="left" vertical="center"/>
    </xf>
    <xf numFmtId="0" fontId="11" fillId="0" borderId="5" xfId="0" applyFont="1" applyBorder="1" applyAlignment="1">
      <alignment horizontal="left" vertical="center" wrapText="1" indent="1"/>
    </xf>
    <xf numFmtId="165" fontId="6" fillId="0" borderId="4" xfId="0" applyNumberFormat="1" applyFont="1" applyBorder="1" applyAlignment="1">
      <alignment horizontal="right"/>
    </xf>
    <xf numFmtId="0" fontId="11" fillId="0" borderId="5" xfId="0" applyFont="1" applyBorder="1" applyAlignment="1">
      <alignment horizontal="left" vertical="center"/>
    </xf>
    <xf numFmtId="0" fontId="16" fillId="0" borderId="1" xfId="0" applyFont="1" applyBorder="1" applyAlignment="1">
      <alignment horizontal="left" vertical="center"/>
    </xf>
    <xf numFmtId="0" fontId="16" fillId="0" borderId="0" xfId="0" applyFont="1" applyAlignment="1">
      <alignment horizontal="left" vertical="center"/>
    </xf>
    <xf numFmtId="0" fontId="18" fillId="0" borderId="0" xfId="0" applyFont="1" applyAlignment="1">
      <alignment vertical="center"/>
    </xf>
    <xf numFmtId="0" fontId="6" fillId="0" borderId="16" xfId="0" applyFont="1" applyBorder="1" applyAlignment="1">
      <alignment vertical="center"/>
    </xf>
    <xf numFmtId="0" fontId="6" fillId="0" borderId="17" xfId="0" applyFont="1" applyBorder="1" applyAlignment="1">
      <alignment vertical="center"/>
    </xf>
    <xf numFmtId="41" fontId="17" fillId="0" borderId="1" xfId="0" applyNumberFormat="1" applyFont="1" applyBorder="1" applyAlignment="1">
      <alignment vertical="center"/>
    </xf>
    <xf numFmtId="10" fontId="6" fillId="0" borderId="1" xfId="0" applyNumberFormat="1" applyFont="1" applyBorder="1" applyAlignment="1">
      <alignment vertical="center"/>
    </xf>
    <xf numFmtId="0" fontId="6" fillId="0" borderId="22" xfId="0" applyFont="1" applyBorder="1" applyAlignment="1">
      <alignment vertical="center"/>
    </xf>
    <xf numFmtId="41" fontId="6" fillId="0" borderId="26" xfId="0" applyNumberFormat="1" applyFont="1" applyBorder="1" applyAlignment="1">
      <alignment vertical="center"/>
    </xf>
    <xf numFmtId="0" fontId="6" fillId="0" borderId="26" xfId="0" applyFont="1" applyBorder="1" applyAlignment="1">
      <alignment vertical="center"/>
    </xf>
    <xf numFmtId="41" fontId="17" fillId="0" borderId="26" xfId="0" applyNumberFormat="1" applyFont="1" applyBorder="1" applyAlignment="1">
      <alignment vertical="center"/>
    </xf>
    <xf numFmtId="41" fontId="17" fillId="0" borderId="34" xfId="0" applyNumberFormat="1" applyFont="1" applyBorder="1" applyAlignment="1">
      <alignment vertical="center"/>
    </xf>
    <xf numFmtId="41" fontId="6" fillId="0" borderId="20" xfId="0" applyNumberFormat="1" applyFont="1" applyBorder="1" applyAlignment="1">
      <alignment vertical="center"/>
    </xf>
    <xf numFmtId="41" fontId="17" fillId="0" borderId="20" xfId="0" applyNumberFormat="1" applyFont="1" applyBorder="1" applyAlignment="1">
      <alignment vertical="center"/>
    </xf>
    <xf numFmtId="10" fontId="6" fillId="0" borderId="32" xfId="0" applyNumberFormat="1" applyFont="1" applyBorder="1" applyAlignment="1">
      <alignment vertical="center"/>
    </xf>
    <xf numFmtId="10" fontId="6" fillId="0" borderId="54" xfId="0" applyNumberFormat="1" applyFont="1" applyBorder="1" applyAlignment="1">
      <alignment vertical="center"/>
    </xf>
    <xf numFmtId="10" fontId="6" fillId="0" borderId="55" xfId="0" applyNumberFormat="1" applyFont="1" applyBorder="1" applyAlignment="1">
      <alignment vertical="center"/>
    </xf>
    <xf numFmtId="10" fontId="6" fillId="0" borderId="19" xfId="0" applyNumberFormat="1" applyFont="1" applyBorder="1" applyAlignment="1">
      <alignment vertical="center"/>
    </xf>
    <xf numFmtId="10" fontId="17" fillId="0" borderId="58" xfId="0" applyNumberFormat="1" applyFont="1" applyBorder="1" applyAlignment="1">
      <alignment vertical="center"/>
    </xf>
    <xf numFmtId="0" fontId="6" fillId="0" borderId="31" xfId="0" applyFont="1" applyBorder="1" applyAlignment="1">
      <alignment vertical="center"/>
    </xf>
    <xf numFmtId="0" fontId="17" fillId="0" borderId="25" xfId="0" applyFont="1" applyBorder="1" applyAlignment="1">
      <alignment vertical="center"/>
    </xf>
    <xf numFmtId="2" fontId="6" fillId="0" borderId="4" xfId="19" applyNumberFormat="1" applyFont="1" applyFill="1" applyBorder="1" applyAlignment="1">
      <alignment vertical="center"/>
    </xf>
    <xf numFmtId="0" fontId="16" fillId="0" borderId="0" xfId="0" applyFont="1" applyAlignment="1">
      <alignment horizontal="right"/>
    </xf>
    <xf numFmtId="43" fontId="17" fillId="0" borderId="7" xfId="20" applyFont="1" applyFill="1" applyBorder="1"/>
    <xf numFmtId="0" fontId="16" fillId="0" borderId="12" xfId="0" applyFont="1" applyBorder="1"/>
    <xf numFmtId="43" fontId="17" fillId="0" borderId="34" xfId="34" applyNumberFormat="1" applyFont="1" applyBorder="1" applyAlignment="1">
      <alignment horizontal="right" vertical="center"/>
    </xf>
    <xf numFmtId="43" fontId="17" fillId="0" borderId="26" xfId="34" applyNumberFormat="1" applyFont="1" applyBorder="1" applyAlignment="1">
      <alignment horizontal="left" vertical="center"/>
    </xf>
    <xf numFmtId="43" fontId="17" fillId="0" borderId="27" xfId="34" applyNumberFormat="1" applyFont="1" applyBorder="1" applyAlignment="1">
      <alignment horizontal="left" vertical="center"/>
    </xf>
    <xf numFmtId="43" fontId="6" fillId="0" borderId="1" xfId="0" applyNumberFormat="1" applyFont="1" applyBorder="1"/>
    <xf numFmtId="171" fontId="17" fillId="0" borderId="1" xfId="17" applyNumberFormat="1" applyFont="1" applyAlignment="1">
      <alignment horizontal="left" vertical="top"/>
    </xf>
    <xf numFmtId="14" fontId="17" fillId="0" borderId="46" xfId="34" applyNumberFormat="1" applyFont="1" applyBorder="1" applyAlignment="1">
      <alignment horizontal="center" vertical="center" wrapText="1"/>
    </xf>
    <xf numFmtId="0" fontId="11" fillId="0" borderId="9" xfId="0" applyFont="1" applyBorder="1"/>
    <xf numFmtId="49" fontId="10" fillId="0" borderId="15" xfId="0" applyNumberFormat="1" applyFont="1" applyBorder="1" applyAlignment="1">
      <alignment horizontal="center" vertical="top"/>
    </xf>
    <xf numFmtId="49" fontId="10" fillId="0" borderId="12" xfId="0" applyNumberFormat="1" applyFont="1" applyBorder="1" applyAlignment="1">
      <alignment horizontal="center" vertical="top"/>
    </xf>
    <xf numFmtId="49" fontId="12" fillId="0" borderId="0" xfId="0" applyNumberFormat="1" applyFont="1" applyAlignment="1">
      <alignment vertical="top"/>
    </xf>
    <xf numFmtId="49" fontId="11" fillId="0" borderId="0" xfId="0" applyNumberFormat="1" applyFont="1" applyAlignment="1">
      <alignment vertical="top"/>
    </xf>
    <xf numFmtId="49" fontId="10" fillId="0" borderId="15" xfId="0" applyNumberFormat="1" applyFont="1" applyBorder="1" applyAlignment="1">
      <alignment horizontal="center" vertical="top" wrapText="1"/>
    </xf>
    <xf numFmtId="49" fontId="10" fillId="0" borderId="12" xfId="0" applyNumberFormat="1" applyFont="1" applyBorder="1" applyAlignment="1">
      <alignment horizontal="center" vertical="top" wrapText="1"/>
    </xf>
    <xf numFmtId="49" fontId="8" fillId="0" borderId="5" xfId="0" applyNumberFormat="1" applyFont="1" applyBorder="1" applyAlignment="1">
      <alignment horizontal="center" vertical="top" wrapText="1"/>
    </xf>
    <xf numFmtId="49" fontId="8" fillId="0" borderId="0" xfId="0" applyNumberFormat="1" applyFont="1" applyAlignment="1">
      <alignment horizontal="center" vertical="top" wrapText="1"/>
    </xf>
    <xf numFmtId="49" fontId="16" fillId="0" borderId="4" xfId="0" applyNumberFormat="1" applyFont="1" applyBorder="1" applyAlignment="1">
      <alignment horizontal="center" vertical="top"/>
    </xf>
    <xf numFmtId="49" fontId="16" fillId="0" borderId="0" xfId="0" applyNumberFormat="1" applyFont="1" applyAlignment="1">
      <alignment vertical="top"/>
    </xf>
    <xf numFmtId="49" fontId="16" fillId="0" borderId="4" xfId="0" applyNumberFormat="1" applyFont="1" applyBorder="1" applyAlignment="1">
      <alignment horizontal="center" vertical="top" wrapText="1"/>
    </xf>
    <xf numFmtId="49" fontId="11" fillId="0" borderId="4" xfId="0" applyNumberFormat="1" applyFont="1" applyBorder="1" applyAlignment="1">
      <alignment horizontal="center" vertical="top" wrapText="1"/>
    </xf>
    <xf numFmtId="43" fontId="16" fillId="0" borderId="1" xfId="20" applyFont="1" applyBorder="1" applyAlignment="1">
      <alignment wrapText="1"/>
    </xf>
    <xf numFmtId="43" fontId="16" fillId="0" borderId="26" xfId="20" applyFont="1" applyBorder="1" applyAlignment="1">
      <alignment horizontal="right"/>
    </xf>
    <xf numFmtId="43" fontId="16" fillId="0" borderId="27" xfId="20" applyFont="1" applyBorder="1" applyAlignment="1">
      <alignment horizontal="right"/>
    </xf>
    <xf numFmtId="171" fontId="17" fillId="0" borderId="1" xfId="17" applyNumberFormat="1" applyFont="1" applyAlignment="1">
      <alignment horizontal="left" vertical="top"/>
    </xf>
    <xf numFmtId="171" fontId="17" fillId="0" borderId="7" xfId="17" applyNumberFormat="1" applyFont="1" applyBorder="1" applyAlignment="1">
      <alignment horizontal="left" vertical="top"/>
    </xf>
    <xf numFmtId="0" fontId="17" fillId="0" borderId="80" xfId="0" applyFont="1" applyBorder="1" applyAlignment="1">
      <alignment horizontal="left" vertical="center" wrapText="1"/>
    </xf>
    <xf numFmtId="0" fontId="17" fillId="0" borderId="81" xfId="0" applyFont="1" applyBorder="1" applyAlignment="1">
      <alignment horizontal="left" vertical="center" wrapText="1"/>
    </xf>
    <xf numFmtId="0" fontId="17" fillId="0" borderId="82" xfId="0" applyFont="1" applyBorder="1" applyAlignment="1">
      <alignment horizontal="left" vertical="center" wrapText="1"/>
    </xf>
    <xf numFmtId="0" fontId="16" fillId="0" borderId="80" xfId="0" applyFont="1" applyBorder="1" applyAlignment="1">
      <alignment horizontal="left" vertical="center" wrapText="1"/>
    </xf>
    <xf numFmtId="0" fontId="16" fillId="0" borderId="81" xfId="0" applyFont="1" applyBorder="1" applyAlignment="1">
      <alignment horizontal="left" vertical="center" wrapText="1"/>
    </xf>
    <xf numFmtId="0" fontId="16" fillId="0" borderId="82" xfId="0" applyFont="1" applyBorder="1" applyAlignment="1">
      <alignment horizontal="left" vertical="center" wrapText="1"/>
    </xf>
    <xf numFmtId="43" fontId="17" fillId="0" borderId="75" xfId="36" applyNumberFormat="1" applyFont="1" applyBorder="1" applyAlignment="1">
      <alignment horizontal="center"/>
    </xf>
    <xf numFmtId="43" fontId="17" fillId="0" borderId="53" xfId="36" applyNumberFormat="1" applyFont="1" applyBorder="1" applyAlignment="1">
      <alignment horizontal="center"/>
    </xf>
    <xf numFmtId="41" fontId="17" fillId="0" borderId="25" xfId="30" applyNumberFormat="1" applyFont="1" applyBorder="1" applyAlignment="1">
      <alignment horizontal="center" vertical="center" wrapText="1"/>
    </xf>
    <xf numFmtId="41" fontId="17" fillId="0" borderId="27" xfId="30" applyNumberFormat="1" applyFont="1" applyBorder="1" applyAlignment="1">
      <alignment horizontal="center" vertical="center" wrapText="1"/>
    </xf>
    <xf numFmtId="0" fontId="17" fillId="0" borderId="18" xfId="30" applyFont="1" applyBorder="1" applyAlignment="1">
      <alignment horizontal="center" vertical="center" wrapText="1"/>
    </xf>
    <xf numFmtId="0" fontId="17" fillId="0" borderId="24" xfId="30" applyFont="1" applyBorder="1" applyAlignment="1">
      <alignment horizontal="center" vertical="center" wrapText="1"/>
    </xf>
    <xf numFmtId="0" fontId="6" fillId="0" borderId="1" xfId="29" applyFont="1" applyAlignment="1">
      <alignment horizontal="left" vertical="top" wrapText="1"/>
    </xf>
    <xf numFmtId="0" fontId="6" fillId="0" borderId="22" xfId="32" applyFont="1" applyBorder="1"/>
    <xf numFmtId="0" fontId="6" fillId="0" borderId="23" xfId="32" applyFont="1" applyBorder="1"/>
    <xf numFmtId="0" fontId="6" fillId="0" borderId="31" xfId="32" applyFont="1" applyBorder="1"/>
    <xf numFmtId="0" fontId="6" fillId="0" borderId="19" xfId="32" applyFont="1" applyBorder="1" applyAlignment="1">
      <alignment horizontal="left" indent="1"/>
    </xf>
    <xf numFmtId="0" fontId="6" fillId="0" borderId="1" xfId="32" applyFont="1" applyAlignment="1">
      <alignment horizontal="left" indent="1"/>
    </xf>
    <xf numFmtId="0" fontId="6" fillId="0" borderId="54" xfId="32" applyFont="1" applyBorder="1" applyAlignment="1">
      <alignment horizontal="left" indent="1"/>
    </xf>
    <xf numFmtId="0" fontId="17" fillId="0" borderId="25" xfId="32" applyFont="1" applyBorder="1" applyAlignment="1">
      <alignment horizontal="center" vertical="center"/>
    </xf>
    <xf numFmtId="0" fontId="17" fillId="0" borderId="26" xfId="32" applyFont="1" applyBorder="1" applyAlignment="1">
      <alignment horizontal="center" vertical="center"/>
    </xf>
    <xf numFmtId="0" fontId="17" fillId="0" borderId="27" xfId="32" applyFont="1" applyBorder="1" applyAlignment="1">
      <alignment horizontal="center" vertical="center"/>
    </xf>
    <xf numFmtId="0" fontId="17" fillId="0" borderId="16" xfId="32" applyFont="1" applyBorder="1"/>
    <xf numFmtId="0" fontId="17" fillId="0" borderId="17" xfId="32" applyFont="1" applyBorder="1"/>
    <xf numFmtId="0" fontId="17" fillId="0" borderId="32" xfId="32" applyFont="1" applyBorder="1"/>
    <xf numFmtId="43" fontId="17" fillId="0" borderId="25" xfId="30" applyNumberFormat="1" applyFont="1" applyBorder="1" applyAlignment="1">
      <alignment horizontal="center" vertical="center" wrapText="1"/>
    </xf>
    <xf numFmtId="43" fontId="17" fillId="0" borderId="27" xfId="30" applyNumberFormat="1" applyFont="1" applyBorder="1" applyAlignment="1">
      <alignment horizontal="center" vertical="center" wrapText="1"/>
    </xf>
    <xf numFmtId="0" fontId="16" fillId="0" borderId="80" xfId="0" applyFont="1" applyBorder="1" applyAlignment="1">
      <alignment horizontal="center" vertical="center" wrapText="1"/>
    </xf>
    <xf numFmtId="0" fontId="16" fillId="0" borderId="81" xfId="0" applyFont="1" applyBorder="1" applyAlignment="1">
      <alignment horizontal="center" vertical="center" wrapText="1"/>
    </xf>
    <xf numFmtId="0" fontId="16" fillId="0" borderId="82" xfId="0" applyFont="1" applyBorder="1" applyAlignment="1">
      <alignment horizontal="center" vertical="center" wrapText="1"/>
    </xf>
    <xf numFmtId="0" fontId="6" fillId="0" borderId="1" xfId="25" applyFont="1" applyAlignment="1">
      <alignment horizontal="left" vertical="top" wrapText="1"/>
    </xf>
    <xf numFmtId="0" fontId="17" fillId="0" borderId="72" xfId="36" applyFont="1" applyBorder="1" applyAlignment="1">
      <alignment horizontal="center" vertical="center"/>
    </xf>
    <xf numFmtId="0" fontId="17" fillId="0" borderId="28" xfId="36" applyFont="1" applyBorder="1" applyAlignment="1">
      <alignment horizontal="center" vertical="center"/>
    </xf>
    <xf numFmtId="43" fontId="17" fillId="0" borderId="76" xfId="36" applyNumberFormat="1" applyFont="1" applyBorder="1" applyAlignment="1">
      <alignment horizontal="center"/>
    </xf>
    <xf numFmtId="43" fontId="17" fillId="0" borderId="74" xfId="36" applyNumberFormat="1" applyFont="1" applyBorder="1" applyAlignment="1">
      <alignment horizontal="center"/>
    </xf>
    <xf numFmtId="43" fontId="6" fillId="0" borderId="59" xfId="34" applyNumberFormat="1" applyFont="1" applyBorder="1" applyAlignment="1">
      <alignment horizontal="left" vertical="top" wrapText="1"/>
    </xf>
    <xf numFmtId="43" fontId="6" fillId="0" borderId="49" xfId="34" applyNumberFormat="1" applyFont="1" applyBorder="1" applyAlignment="1">
      <alignment horizontal="left" vertical="top" wrapText="1"/>
    </xf>
    <xf numFmtId="43" fontId="6" fillId="0" borderId="62" xfId="34" applyNumberFormat="1" applyFont="1" applyBorder="1" applyAlignment="1">
      <alignment horizontal="left" vertical="top" wrapText="1"/>
    </xf>
    <xf numFmtId="43" fontId="6" fillId="0" borderId="19" xfId="34" applyNumberFormat="1" applyFont="1" applyBorder="1" applyAlignment="1">
      <alignment wrapText="1"/>
    </xf>
    <xf numFmtId="43" fontId="6" fillId="0" borderId="1" xfId="34" applyNumberFormat="1" applyFont="1" applyAlignment="1">
      <alignment wrapText="1"/>
    </xf>
    <xf numFmtId="43" fontId="17" fillId="0" borderId="69" xfId="34" applyNumberFormat="1" applyFont="1" applyBorder="1" applyAlignment="1">
      <alignment wrapText="1"/>
    </xf>
    <xf numFmtId="43" fontId="17" fillId="0" borderId="14" xfId="34" applyNumberFormat="1" applyFont="1" applyBorder="1" applyAlignment="1">
      <alignment wrapText="1"/>
    </xf>
    <xf numFmtId="43" fontId="17" fillId="0" borderId="92" xfId="34" applyNumberFormat="1" applyFont="1" applyBorder="1" applyAlignment="1">
      <alignment wrapText="1"/>
    </xf>
    <xf numFmtId="43" fontId="6" fillId="0" borderId="13" xfId="34" applyNumberFormat="1" applyFont="1" applyBorder="1"/>
    <xf numFmtId="43" fontId="6" fillId="0" borderId="25" xfId="34" applyNumberFormat="1" applyFont="1" applyBorder="1" applyAlignment="1">
      <alignment horizontal="left" vertical="center" wrapText="1"/>
    </xf>
    <xf numFmtId="43" fontId="6" fillId="0" borderId="27" xfId="34" applyNumberFormat="1" applyFont="1" applyBorder="1" applyAlignment="1">
      <alignment horizontal="left" vertical="center" wrapText="1"/>
    </xf>
    <xf numFmtId="43" fontId="17" fillId="0" borderId="25" xfId="34" applyNumberFormat="1" applyFont="1" applyBorder="1" applyAlignment="1">
      <alignment horizontal="center" vertical="center"/>
    </xf>
    <xf numFmtId="43" fontId="17" fillId="0" borderId="27" xfId="34" applyNumberFormat="1" applyFont="1" applyBorder="1" applyAlignment="1">
      <alignment horizontal="center" vertical="center"/>
    </xf>
    <xf numFmtId="43" fontId="17" fillId="0" borderId="1" xfId="34" applyNumberFormat="1" applyFont="1" applyAlignment="1">
      <alignment horizontal="center"/>
    </xf>
    <xf numFmtId="43" fontId="6" fillId="0" borderId="1" xfId="34" applyNumberFormat="1" applyFont="1" applyAlignment="1">
      <alignment horizontal="left" vertical="top"/>
    </xf>
    <xf numFmtId="43" fontId="17" fillId="0" borderId="1" xfId="34" applyNumberFormat="1" applyFont="1" applyAlignment="1">
      <alignment horizontal="left" vertical="top"/>
    </xf>
    <xf numFmtId="0" fontId="6" fillId="0" borderId="66" xfId="34" applyFont="1" applyBorder="1" applyAlignment="1">
      <alignment horizontal="center" vertical="center"/>
    </xf>
    <xf numFmtId="0" fontId="6" fillId="0" borderId="6" xfId="34" applyFont="1" applyBorder="1" applyAlignment="1">
      <alignment horizontal="center" vertical="center"/>
    </xf>
    <xf numFmtId="0" fontId="6" fillId="0" borderId="9" xfId="34" applyFont="1" applyBorder="1" applyAlignment="1">
      <alignment horizontal="center" vertical="center"/>
    </xf>
    <xf numFmtId="0" fontId="11" fillId="0" borderId="19" xfId="34" applyFont="1" applyBorder="1" applyAlignment="1">
      <alignment horizontal="left" vertical="center" wrapText="1"/>
    </xf>
    <xf numFmtId="0" fontId="11" fillId="0" borderId="54" xfId="34" applyFont="1" applyBorder="1" applyAlignment="1">
      <alignment horizontal="left" vertical="center" wrapText="1"/>
    </xf>
    <xf numFmtId="0" fontId="11" fillId="0" borderId="19" xfId="34" applyFont="1" applyBorder="1" applyAlignment="1">
      <alignment vertical="center" wrapText="1"/>
    </xf>
    <xf numFmtId="0" fontId="11" fillId="0" borderId="54" xfId="34" applyFont="1" applyBorder="1" applyAlignment="1">
      <alignment vertical="center" wrapText="1"/>
    </xf>
    <xf numFmtId="0" fontId="16" fillId="0" borderId="69" xfId="34" applyFont="1" applyBorder="1" applyAlignment="1">
      <alignment horizontal="center" vertical="center"/>
    </xf>
    <xf numFmtId="0" fontId="16" fillId="0" borderId="58" xfId="34" applyFont="1" applyBorder="1" applyAlignment="1">
      <alignment horizontal="center" vertical="center"/>
    </xf>
    <xf numFmtId="0" fontId="16" fillId="0" borderId="37" xfId="34" applyFont="1" applyBorder="1" applyAlignment="1">
      <alignment horizontal="center" vertical="center" wrapText="1"/>
    </xf>
    <xf numFmtId="0" fontId="16" fillId="0" borderId="65" xfId="34" applyFont="1" applyBorder="1" applyAlignment="1">
      <alignment horizontal="center" vertical="center" wrapText="1"/>
    </xf>
    <xf numFmtId="43" fontId="17" fillId="0" borderId="37" xfId="34" applyNumberFormat="1" applyFont="1" applyBorder="1" applyAlignment="1">
      <alignment horizontal="center" vertical="center" wrapText="1"/>
    </xf>
    <xf numFmtId="43" fontId="17" fillId="0" borderId="65" xfId="34" applyNumberFormat="1" applyFont="1" applyBorder="1" applyAlignment="1">
      <alignment horizontal="center" vertical="center" wrapText="1"/>
    </xf>
    <xf numFmtId="0" fontId="16" fillId="0" borderId="33" xfId="34" applyFont="1" applyBorder="1" applyAlignment="1">
      <alignment horizontal="center" vertical="center"/>
    </xf>
    <xf numFmtId="0" fontId="16" fillId="0" borderId="26" xfId="34" applyFont="1" applyBorder="1" applyAlignment="1">
      <alignment horizontal="center" vertical="center"/>
    </xf>
    <xf numFmtId="0" fontId="16" fillId="0" borderId="48" xfId="34" applyFont="1" applyBorder="1" applyAlignment="1">
      <alignment horizontal="center" vertical="center"/>
    </xf>
    <xf numFmtId="0" fontId="16" fillId="0" borderId="27" xfId="34" applyFont="1" applyBorder="1" applyAlignment="1">
      <alignment horizontal="center" vertical="center"/>
    </xf>
    <xf numFmtId="0" fontId="11" fillId="0" borderId="19" xfId="34" applyFont="1" applyBorder="1"/>
    <xf numFmtId="0" fontId="11" fillId="0" borderId="1" xfId="34" applyFont="1"/>
    <xf numFmtId="0" fontId="11" fillId="0" borderId="54" xfId="34" applyFont="1" applyBorder="1"/>
    <xf numFmtId="0" fontId="11" fillId="0" borderId="19" xfId="34" applyFont="1" applyBorder="1" applyAlignment="1">
      <alignment horizontal="left"/>
    </xf>
    <xf numFmtId="0" fontId="11" fillId="0" borderId="54" xfId="34" applyFont="1" applyBorder="1" applyAlignment="1">
      <alignment horizontal="left"/>
    </xf>
    <xf numFmtId="0" fontId="16" fillId="0" borderId="43" xfId="34" applyFont="1" applyBorder="1" applyAlignment="1">
      <alignment horizontal="center" vertical="center" wrapText="1"/>
    </xf>
    <xf numFmtId="0" fontId="16" fillId="0" borderId="41" xfId="34" applyFont="1" applyBorder="1" applyAlignment="1">
      <alignment horizontal="center" vertical="center" wrapText="1"/>
    </xf>
    <xf numFmtId="0" fontId="11" fillId="0" borderId="19" xfId="34" applyFont="1" applyBorder="1" applyAlignment="1">
      <alignment horizontal="left" vertical="center"/>
    </xf>
    <xf numFmtId="0" fontId="11" fillId="0" borderId="1" xfId="34" applyFont="1" applyAlignment="1">
      <alignment horizontal="left" vertical="center"/>
    </xf>
    <xf numFmtId="0" fontId="11" fillId="0" borderId="54" xfId="34" applyFont="1" applyBorder="1" applyAlignment="1">
      <alignment horizontal="left" vertical="center"/>
    </xf>
    <xf numFmtId="0" fontId="11" fillId="0" borderId="22" xfId="34" applyFont="1" applyBorder="1"/>
    <xf numFmtId="0" fontId="11" fillId="0" borderId="23" xfId="34" applyFont="1" applyBorder="1"/>
    <xf numFmtId="0" fontId="11" fillId="0" borderId="31" xfId="34" applyFont="1" applyBorder="1"/>
    <xf numFmtId="0" fontId="11" fillId="0" borderId="22" xfId="34" applyFont="1" applyBorder="1" applyAlignment="1">
      <alignment horizontal="left"/>
    </xf>
    <xf numFmtId="0" fontId="11" fillId="0" borderId="31" xfId="34" applyFont="1" applyBorder="1" applyAlignment="1">
      <alignment horizontal="left"/>
    </xf>
    <xf numFmtId="0" fontId="16" fillId="0" borderId="69" xfId="34" applyFont="1" applyBorder="1" applyAlignment="1">
      <alignment horizontal="center" vertical="center" wrapText="1"/>
    </xf>
    <xf numFmtId="0" fontId="16" fillId="0" borderId="58" xfId="34" applyFont="1" applyBorder="1" applyAlignment="1">
      <alignment horizontal="center" vertical="center" wrapText="1"/>
    </xf>
    <xf numFmtId="0" fontId="16" fillId="0" borderId="50" xfId="1" applyFont="1" applyBorder="1" applyAlignment="1">
      <alignment horizontal="center" vertical="center" wrapText="1"/>
    </xf>
    <xf numFmtId="0" fontId="16" fillId="0" borderId="29" xfId="1" applyFont="1" applyBorder="1" applyAlignment="1">
      <alignment horizontal="center" vertical="center" wrapText="1"/>
    </xf>
    <xf numFmtId="0" fontId="16" fillId="0" borderId="32" xfId="1" applyFont="1" applyBorder="1" applyAlignment="1">
      <alignment horizontal="center" vertical="center" wrapText="1"/>
    </xf>
    <xf numFmtId="0" fontId="16" fillId="0" borderId="31" xfId="1" applyFont="1" applyBorder="1" applyAlignment="1">
      <alignment horizontal="center" vertical="center" wrapText="1"/>
    </xf>
    <xf numFmtId="0" fontId="16" fillId="0" borderId="50" xfId="1" applyFont="1" applyBorder="1" applyAlignment="1">
      <alignment horizontal="center" vertical="center"/>
    </xf>
    <xf numFmtId="0" fontId="16" fillId="0" borderId="17" xfId="1" applyFont="1" applyBorder="1" applyAlignment="1">
      <alignment horizontal="center" vertical="center"/>
    </xf>
    <xf numFmtId="0" fontId="16" fillId="0" borderId="23" xfId="1" applyFont="1" applyBorder="1" applyAlignment="1">
      <alignment horizontal="center" vertical="center"/>
    </xf>
    <xf numFmtId="0" fontId="16" fillId="0" borderId="43" xfId="1" applyFont="1" applyBorder="1" applyAlignment="1">
      <alignment horizontal="center" vertical="center"/>
    </xf>
    <xf numFmtId="0" fontId="16" fillId="0" borderId="38" xfId="1" applyFont="1" applyBorder="1" applyAlignment="1">
      <alignment horizontal="center" vertical="center"/>
    </xf>
    <xf numFmtId="0" fontId="16" fillId="0" borderId="41" xfId="1" applyFont="1" applyBorder="1" applyAlignment="1">
      <alignment horizontal="center" vertical="center"/>
    </xf>
    <xf numFmtId="0" fontId="16" fillId="0" borderId="51" xfId="1" applyFont="1" applyBorder="1" applyAlignment="1">
      <alignment horizontal="center" vertical="center"/>
    </xf>
    <xf numFmtId="0" fontId="16" fillId="0" borderId="35" xfId="1" applyFont="1" applyBorder="1" applyAlignment="1">
      <alignment horizontal="center" vertical="center"/>
    </xf>
    <xf numFmtId="0" fontId="16" fillId="0" borderId="40" xfId="1" applyFont="1" applyBorder="1" applyAlignment="1">
      <alignment horizontal="center" vertical="center"/>
    </xf>
    <xf numFmtId="43" fontId="16" fillId="0" borderId="18" xfId="1" applyNumberFormat="1" applyFont="1" applyBorder="1" applyAlignment="1">
      <alignment horizontal="center" vertical="center" wrapText="1"/>
    </xf>
    <xf numFmtId="43" fontId="16" fillId="0" borderId="24" xfId="1" applyNumberFormat="1" applyFont="1" applyBorder="1" applyAlignment="1">
      <alignment horizontal="center" vertical="center" wrapText="1"/>
    </xf>
    <xf numFmtId="43" fontId="16" fillId="0" borderId="52" xfId="1" applyNumberFormat="1" applyFont="1" applyBorder="1" applyAlignment="1">
      <alignment horizontal="center" vertical="center"/>
    </xf>
    <xf numFmtId="43" fontId="16" fillId="0" borderId="53" xfId="1" applyNumberFormat="1" applyFont="1" applyBorder="1" applyAlignment="1">
      <alignment horizontal="center" vertical="center"/>
    </xf>
    <xf numFmtId="43" fontId="17" fillId="0" borderId="0" xfId="0" applyNumberFormat="1" applyFont="1" applyAlignment="1">
      <alignment horizontal="center" vertical="center"/>
    </xf>
    <xf numFmtId="0" fontId="17" fillId="0" borderId="0" xfId="0" applyFont="1" applyAlignment="1">
      <alignment horizontal="center" vertical="center"/>
    </xf>
    <xf numFmtId="0" fontId="16" fillId="0" borderId="25" xfId="0" applyFont="1" applyBorder="1" applyAlignment="1">
      <alignment horizontal="left"/>
    </xf>
    <xf numFmtId="0" fontId="16" fillId="0" borderId="26" xfId="0" applyFont="1" applyBorder="1" applyAlignment="1">
      <alignment horizontal="left"/>
    </xf>
    <xf numFmtId="0" fontId="16" fillId="0" borderId="27" xfId="0" applyFont="1" applyBorder="1" applyAlignment="1">
      <alignment horizontal="left"/>
    </xf>
    <xf numFmtId="0" fontId="16" fillId="0" borderId="25" xfId="0" applyFont="1" applyBorder="1" applyAlignment="1">
      <alignment horizontal="left" vertical="top" wrapText="1"/>
    </xf>
    <xf numFmtId="0" fontId="16" fillId="0" borderId="26" xfId="0" applyFont="1" applyBorder="1" applyAlignment="1">
      <alignment horizontal="left" vertical="top" wrapText="1"/>
    </xf>
    <xf numFmtId="0" fontId="16" fillId="0" borderId="27" xfId="0" applyFont="1" applyBorder="1" applyAlignment="1">
      <alignment horizontal="left" vertical="top" wrapText="1"/>
    </xf>
    <xf numFmtId="43" fontId="11" fillId="0" borderId="84" xfId="20" applyFont="1" applyBorder="1" applyAlignment="1">
      <alignment horizontal="right"/>
    </xf>
  </cellXfs>
  <cellStyles count="42">
    <cellStyle name="Comma" xfId="20" builtinId="3"/>
    <cellStyle name="Comma 2" xfId="3"/>
    <cellStyle name="Comma 2 2" xfId="4"/>
    <cellStyle name="Comma 2 2 2" xfId="5"/>
    <cellStyle name="Comma 2 2 2 2" xfId="6"/>
    <cellStyle name="Comma 3" xfId="7"/>
    <cellStyle name="Comma 4" xfId="2"/>
    <cellStyle name="Comma 4 2" xfId="8"/>
    <cellStyle name="Comma_BALANCE SHEET FHI 03-04 DEC 2" xfId="38"/>
    <cellStyle name="Comma_Financials FY 09-10 AY 10-11.xls" xfId="37"/>
    <cellStyle name="Normal" xfId="0" builtinId="0"/>
    <cellStyle name="Normal 10" xfId="9"/>
    <cellStyle name="Normal 11" xfId="26"/>
    <cellStyle name="Normal 12" xfId="29"/>
    <cellStyle name="Normal 13" xfId="25"/>
    <cellStyle name="Normal 14" xfId="30"/>
    <cellStyle name="Normal 15" xfId="31"/>
    <cellStyle name="Normal 15 3" xfId="10"/>
    <cellStyle name="Normal 16" xfId="32"/>
    <cellStyle name="Normal 17" xfId="33"/>
    <cellStyle name="Normal 18" xfId="11"/>
    <cellStyle name="Normal 19" xfId="34"/>
    <cellStyle name="Normal 2" xfId="12"/>
    <cellStyle name="Normal 2 2" xfId="13"/>
    <cellStyle name="Normal 2 2 2" xfId="14"/>
    <cellStyle name="Normal 2 5" xfId="15"/>
    <cellStyle name="Normal 20" xfId="35"/>
    <cellStyle name="Normal 21" xfId="36"/>
    <cellStyle name="Normal 22" xfId="16"/>
    <cellStyle name="Normal 23" xfId="39"/>
    <cellStyle name="Normal 24" xfId="40"/>
    <cellStyle name="Normal 25" xfId="41"/>
    <cellStyle name="Normal 3" xfId="1"/>
    <cellStyle name="Normal 3 2" xfId="17"/>
    <cellStyle name="Normal 4" xfId="21"/>
    <cellStyle name="Normal 5" xfId="18"/>
    <cellStyle name="Normal 6" xfId="22"/>
    <cellStyle name="Normal 7" xfId="24"/>
    <cellStyle name="Normal 8" xfId="27"/>
    <cellStyle name="Normal 9" xfId="28"/>
    <cellStyle name="Percent" xfId="23" builtinId="5"/>
    <cellStyle name="Percent 2" xfId="1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showGridLines="0" workbookViewId="0"/>
  </sheetViews>
  <sheetFormatPr defaultRowHeight="15" x14ac:dyDescent="0.25"/>
  <cols>
    <col min="1" max="2" width="42.5703125" customWidth="1"/>
  </cols>
  <sheetData>
    <row r="1" spans="1:2" ht="40.15" customHeight="1" x14ac:dyDescent="0.25">
      <c r="A1" s="1" t="s">
        <v>0</v>
      </c>
      <c r="B1" s="1"/>
    </row>
    <row r="2" spans="1:2" ht="18.75" x14ac:dyDescent="0.3">
      <c r="A2" s="2" t="s">
        <v>1</v>
      </c>
      <c r="B2" s="2"/>
    </row>
    <row r="3" spans="1:2" ht="18.75" x14ac:dyDescent="0.3">
      <c r="A3" s="2" t="s">
        <v>2</v>
      </c>
      <c r="B3" s="2"/>
    </row>
    <row r="5" spans="1:2" x14ac:dyDescent="0.25">
      <c r="A5" t="s">
        <v>3</v>
      </c>
      <c r="B5" s="3" t="s">
        <v>4</v>
      </c>
    </row>
    <row r="6" spans="1:2" x14ac:dyDescent="0.25">
      <c r="A6" t="s">
        <v>5</v>
      </c>
      <c r="B6" s="3" t="s">
        <v>6</v>
      </c>
    </row>
    <row r="7" spans="1:2" x14ac:dyDescent="0.25">
      <c r="A7" t="s">
        <v>7</v>
      </c>
      <c r="B7" s="3" t="s">
        <v>8</v>
      </c>
    </row>
    <row r="8" spans="1:2" x14ac:dyDescent="0.25">
      <c r="A8" t="s">
        <v>9</v>
      </c>
      <c r="B8" s="3"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GridLines="0" topLeftCell="A22" workbookViewId="0">
      <selection activeCell="A56" sqref="A56"/>
    </sheetView>
  </sheetViews>
  <sheetFormatPr defaultColWidth="8.7109375" defaultRowHeight="12.75" outlineLevelRow="1" x14ac:dyDescent="0.2"/>
  <cols>
    <col min="1" max="1" width="40.5703125" style="136" customWidth="1"/>
    <col min="2" max="2" width="30.5703125" style="136" customWidth="1"/>
    <col min="3" max="3" width="50.5703125" style="136" customWidth="1"/>
    <col min="4" max="16384" width="8.7109375" style="136"/>
  </cols>
  <sheetData>
    <row r="1" spans="1:3" ht="35.1" customHeight="1" x14ac:dyDescent="0.2">
      <c r="A1" s="137" t="s">
        <v>11</v>
      </c>
      <c r="C1" s="348" t="s">
        <v>12</v>
      </c>
    </row>
    <row r="2" spans="1:3" x14ac:dyDescent="0.2">
      <c r="A2" s="136" t="s">
        <v>3</v>
      </c>
      <c r="C2" s="349" t="s">
        <v>867</v>
      </c>
    </row>
    <row r="3" spans="1:3" x14ac:dyDescent="0.2">
      <c r="A3" s="136" t="s">
        <v>13</v>
      </c>
      <c r="C3" s="349" t="s">
        <v>868</v>
      </c>
    </row>
    <row r="4" spans="1:3" x14ac:dyDescent="0.2">
      <c r="A4" s="136" t="s">
        <v>14</v>
      </c>
      <c r="C4" s="349"/>
    </row>
    <row r="5" spans="1:3" x14ac:dyDescent="0.2">
      <c r="A5" s="136" t="s">
        <v>15</v>
      </c>
      <c r="C5" s="349" t="s">
        <v>16</v>
      </c>
    </row>
    <row r="6" spans="1:3" x14ac:dyDescent="0.2">
      <c r="A6" s="136" t="s">
        <v>17</v>
      </c>
      <c r="C6" s="349">
        <f>VLOOKUP(C5,A40:B45,2,0)</f>
        <v>1</v>
      </c>
    </row>
    <row r="7" spans="1:3" x14ac:dyDescent="0.2">
      <c r="A7" s="136" t="s">
        <v>18</v>
      </c>
      <c r="C7" s="349"/>
    </row>
    <row r="8" spans="1:3" x14ac:dyDescent="0.2">
      <c r="A8" s="136" t="s">
        <v>19</v>
      </c>
      <c r="C8" s="349"/>
    </row>
    <row r="9" spans="1:3" x14ac:dyDescent="0.2">
      <c r="A9" s="136" t="s">
        <v>20</v>
      </c>
      <c r="B9" s="136" t="s">
        <v>21</v>
      </c>
      <c r="C9" s="349" t="s">
        <v>928</v>
      </c>
    </row>
    <row r="10" spans="1:3" x14ac:dyDescent="0.2">
      <c r="B10" s="136" t="s">
        <v>22</v>
      </c>
      <c r="C10" s="349" t="s">
        <v>929</v>
      </c>
    </row>
    <row r="11" spans="1:3" x14ac:dyDescent="0.2">
      <c r="B11" s="136" t="s">
        <v>23</v>
      </c>
      <c r="C11" s="349" t="s">
        <v>930</v>
      </c>
    </row>
    <row r="12" spans="1:3" x14ac:dyDescent="0.2">
      <c r="B12" s="136" t="s">
        <v>24</v>
      </c>
      <c r="C12" s="349" t="s">
        <v>931</v>
      </c>
    </row>
    <row r="13" spans="1:3" x14ac:dyDescent="0.2">
      <c r="A13" s="136" t="s">
        <v>25</v>
      </c>
      <c r="C13" s="349"/>
    </row>
    <row r="14" spans="1:3" x14ac:dyDescent="0.2">
      <c r="A14" s="136" t="s">
        <v>26</v>
      </c>
      <c r="B14" s="136" t="s">
        <v>27</v>
      </c>
      <c r="C14" s="349"/>
    </row>
    <row r="15" spans="1:3" x14ac:dyDescent="0.2">
      <c r="B15" s="136" t="s">
        <v>28</v>
      </c>
      <c r="C15" s="349"/>
    </row>
    <row r="16" spans="1:3" x14ac:dyDescent="0.2">
      <c r="B16" s="136" t="s">
        <v>29</v>
      </c>
      <c r="C16" s="349"/>
    </row>
    <row r="17" spans="1:3" x14ac:dyDescent="0.2">
      <c r="A17" s="136" t="s">
        <v>30</v>
      </c>
      <c r="B17" s="136" t="s">
        <v>27</v>
      </c>
      <c r="C17" s="349"/>
    </row>
    <row r="18" spans="1:3" x14ac:dyDescent="0.2">
      <c r="B18" s="136" t="s">
        <v>28</v>
      </c>
      <c r="C18" s="349"/>
    </row>
    <row r="19" spans="1:3" x14ac:dyDescent="0.2">
      <c r="B19" s="136" t="s">
        <v>29</v>
      </c>
      <c r="C19" s="349"/>
    </row>
    <row r="20" spans="1:3" x14ac:dyDescent="0.2">
      <c r="A20" s="136" t="s">
        <v>31</v>
      </c>
      <c r="B20" s="136" t="s">
        <v>27</v>
      </c>
      <c r="C20" s="349"/>
    </row>
    <row r="21" spans="1:3" x14ac:dyDescent="0.2">
      <c r="B21" s="136" t="s">
        <v>28</v>
      </c>
      <c r="C21" s="349"/>
    </row>
    <row r="22" spans="1:3" x14ac:dyDescent="0.2">
      <c r="B22" s="136" t="s">
        <v>29</v>
      </c>
      <c r="C22" s="349"/>
    </row>
    <row r="23" spans="1:3" x14ac:dyDescent="0.2">
      <c r="A23" s="136" t="s">
        <v>32</v>
      </c>
      <c r="C23" s="349"/>
    </row>
    <row r="24" spans="1:3" x14ac:dyDescent="0.2">
      <c r="A24" s="136" t="s">
        <v>33</v>
      </c>
      <c r="C24" s="349"/>
    </row>
    <row r="25" spans="1:3" x14ac:dyDescent="0.2">
      <c r="A25" s="136" t="s">
        <v>34</v>
      </c>
      <c r="C25" s="349"/>
    </row>
    <row r="26" spans="1:3" x14ac:dyDescent="0.2">
      <c r="A26" s="136" t="s">
        <v>35</v>
      </c>
      <c r="C26" s="349"/>
    </row>
    <row r="27" spans="1:3" x14ac:dyDescent="0.2">
      <c r="A27" s="136" t="s">
        <v>36</v>
      </c>
      <c r="C27" s="349"/>
    </row>
    <row r="28" spans="1:3" x14ac:dyDescent="0.2">
      <c r="A28" s="136" t="s">
        <v>37</v>
      </c>
      <c r="C28" s="349"/>
    </row>
    <row r="29" spans="1:3" x14ac:dyDescent="0.2">
      <c r="A29" s="136" t="s">
        <v>38</v>
      </c>
      <c r="C29" s="349"/>
    </row>
    <row r="30" spans="1:3" x14ac:dyDescent="0.2">
      <c r="A30" s="136" t="s">
        <v>39</v>
      </c>
      <c r="B30" s="136" t="s">
        <v>27</v>
      </c>
      <c r="C30" s="349"/>
    </row>
    <row r="31" spans="1:3" x14ac:dyDescent="0.2">
      <c r="B31" s="136" t="s">
        <v>28</v>
      </c>
      <c r="C31" s="349"/>
    </row>
    <row r="32" spans="1:3" x14ac:dyDescent="0.2">
      <c r="B32" s="136" t="s">
        <v>29</v>
      </c>
      <c r="C32" s="349"/>
    </row>
    <row r="33" spans="1:3" x14ac:dyDescent="0.2">
      <c r="A33" s="136" t="s">
        <v>40</v>
      </c>
      <c r="C33" s="349"/>
    </row>
    <row r="34" spans="1:3" x14ac:dyDescent="0.2">
      <c r="A34" s="136" t="s">
        <v>41</v>
      </c>
      <c r="C34" s="349"/>
    </row>
    <row r="35" spans="1:3" x14ac:dyDescent="0.2">
      <c r="A35" s="136" t="s">
        <v>42</v>
      </c>
      <c r="C35" s="349"/>
    </row>
    <row r="36" spans="1:3" x14ac:dyDescent="0.2">
      <c r="A36" s="136" t="s">
        <v>43</v>
      </c>
      <c r="C36" s="349"/>
    </row>
    <row r="37" spans="1:3" x14ac:dyDescent="0.2">
      <c r="A37" s="136" t="s">
        <v>44</v>
      </c>
      <c r="C37" s="349"/>
    </row>
    <row r="38" spans="1:3" x14ac:dyDescent="0.2">
      <c r="A38" s="136" t="s">
        <v>45</v>
      </c>
      <c r="C38" s="349" t="s">
        <v>927</v>
      </c>
    </row>
    <row r="39" spans="1:3" x14ac:dyDescent="0.2">
      <c r="A39" s="136" t="s">
        <v>46</v>
      </c>
      <c r="C39" s="371">
        <v>43972</v>
      </c>
    </row>
    <row r="40" spans="1:3" hidden="1" outlineLevel="1" x14ac:dyDescent="0.2">
      <c r="A40" s="136" t="s">
        <v>16</v>
      </c>
      <c r="B40" s="136">
        <v>1</v>
      </c>
    </row>
    <row r="41" spans="1:3" hidden="1" outlineLevel="1" x14ac:dyDescent="0.2">
      <c r="A41" s="136" t="s">
        <v>47</v>
      </c>
      <c r="B41" s="136">
        <v>100</v>
      </c>
    </row>
    <row r="42" spans="1:3" hidden="1" outlineLevel="1" x14ac:dyDescent="0.2">
      <c r="A42" s="136" t="s">
        <v>48</v>
      </c>
      <c r="B42" s="136">
        <v>1000</v>
      </c>
    </row>
    <row r="43" spans="1:3" hidden="1" outlineLevel="1" x14ac:dyDescent="0.2">
      <c r="A43" s="136" t="s">
        <v>49</v>
      </c>
      <c r="B43" s="136">
        <v>100000</v>
      </c>
    </row>
    <row r="44" spans="1:3" hidden="1" outlineLevel="1" x14ac:dyDescent="0.2">
      <c r="A44" s="136" t="s">
        <v>50</v>
      </c>
      <c r="B44" s="136">
        <v>1000000</v>
      </c>
    </row>
    <row r="45" spans="1:3" hidden="1" outlineLevel="1" x14ac:dyDescent="0.2">
      <c r="A45" s="136" t="s">
        <v>51</v>
      </c>
      <c r="B45" s="136">
        <v>10000000</v>
      </c>
    </row>
    <row r="46" spans="1:3" collapsed="1" x14ac:dyDescent="0.2"/>
  </sheetData>
  <dataValidations count="1">
    <dataValidation type="list" allowBlank="1" showInputMessage="1" showErrorMessage="1" sqref="C5">
      <formula1>"Amount in ₹.,₹. In 00's,₹. In 000 's,₹. In Lacs,₹. In Million,₹. In Crores"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0"/>
  <sheetViews>
    <sheetView workbookViewId="0">
      <selection activeCell="A22" sqref="A22"/>
    </sheetView>
  </sheetViews>
  <sheetFormatPr defaultRowHeight="15" x14ac:dyDescent="0.25"/>
  <cols>
    <col min="1" max="1" width="44.42578125" bestFit="1" customWidth="1"/>
    <col min="2" max="2" width="14.42578125" bestFit="1" customWidth="1"/>
    <col min="3" max="4" width="13" bestFit="1" customWidth="1"/>
    <col min="5" max="5" width="14.42578125" bestFit="1" customWidth="1"/>
    <col min="7" max="7" width="67.28515625" bestFit="1" customWidth="1"/>
    <col min="11" max="11" width="49.140625" bestFit="1" customWidth="1"/>
    <col min="12" max="12" width="31.5703125" bestFit="1" customWidth="1"/>
  </cols>
  <sheetData>
    <row r="1" spans="1:11" ht="15.75" x14ac:dyDescent="0.25">
      <c r="A1" s="660" t="s">
        <v>841</v>
      </c>
      <c r="B1" s="660"/>
      <c r="C1" s="660"/>
      <c r="D1" s="8"/>
      <c r="E1" s="8"/>
    </row>
    <row r="2" spans="1:11" ht="15.75" x14ac:dyDescent="0.25">
      <c r="A2" s="660" t="s">
        <v>596</v>
      </c>
      <c r="B2" s="660"/>
      <c r="C2" s="660"/>
      <c r="D2" s="8"/>
      <c r="E2" s="8"/>
    </row>
    <row r="3" spans="1:11" x14ac:dyDescent="0.25">
      <c r="A3" s="661" t="s">
        <v>842</v>
      </c>
      <c r="B3" s="661"/>
      <c r="C3" s="661"/>
      <c r="D3" s="8"/>
      <c r="E3" s="8"/>
    </row>
    <row r="4" spans="1:11" x14ac:dyDescent="0.25">
      <c r="A4" s="20" t="s">
        <v>597</v>
      </c>
      <c r="B4" s="662" t="s">
        <v>841</v>
      </c>
      <c r="C4" s="663"/>
      <c r="D4" s="663"/>
      <c r="E4" s="663"/>
    </row>
    <row r="5" spans="1:11" x14ac:dyDescent="0.25">
      <c r="A5" s="21" t="s">
        <v>53</v>
      </c>
      <c r="B5" s="664" t="s">
        <v>842</v>
      </c>
      <c r="C5" s="665"/>
      <c r="D5" s="665"/>
      <c r="E5" s="665"/>
    </row>
    <row r="6" spans="1:11" x14ac:dyDescent="0.25">
      <c r="A6" s="21" t="s">
        <v>597</v>
      </c>
      <c r="B6" s="19" t="s">
        <v>598</v>
      </c>
      <c r="C6" s="658" t="s">
        <v>599</v>
      </c>
      <c r="D6" s="659"/>
      <c r="E6" s="19" t="s">
        <v>600</v>
      </c>
    </row>
    <row r="7" spans="1:11" x14ac:dyDescent="0.25">
      <c r="A7" s="22" t="s">
        <v>597</v>
      </c>
      <c r="B7" s="9" t="s">
        <v>601</v>
      </c>
      <c r="C7" s="10" t="s">
        <v>602</v>
      </c>
      <c r="D7" s="10" t="s">
        <v>603</v>
      </c>
      <c r="E7" s="9" t="s">
        <v>601</v>
      </c>
    </row>
    <row r="8" spans="1:11" x14ac:dyDescent="0.25">
      <c r="A8" s="11" t="s">
        <v>354</v>
      </c>
      <c r="B8" s="12">
        <v>1500000</v>
      </c>
      <c r="C8" s="13"/>
      <c r="D8" s="13"/>
      <c r="E8" s="12">
        <v>1500000</v>
      </c>
    </row>
    <row r="9" spans="1:11" x14ac:dyDescent="0.25">
      <c r="A9" s="18" t="s">
        <v>353</v>
      </c>
      <c r="B9" s="14">
        <v>1500000</v>
      </c>
      <c r="C9" s="15"/>
      <c r="D9" s="15"/>
      <c r="E9" s="14">
        <v>1500000</v>
      </c>
    </row>
    <row r="10" spans="1:11" x14ac:dyDescent="0.25">
      <c r="A10" s="11" t="s">
        <v>565</v>
      </c>
      <c r="B10" s="16">
        <v>11277225</v>
      </c>
      <c r="C10" s="17"/>
      <c r="D10" s="17"/>
      <c r="E10" s="16">
        <v>11277225</v>
      </c>
    </row>
    <row r="11" spans="1:11" x14ac:dyDescent="0.25">
      <c r="A11" s="18" t="s">
        <v>564</v>
      </c>
      <c r="B11" s="14">
        <v>11277225</v>
      </c>
      <c r="C11" s="15"/>
      <c r="D11" s="15"/>
      <c r="E11" s="14">
        <v>11277225</v>
      </c>
      <c r="K11" t="s">
        <v>843</v>
      </c>
    </row>
    <row r="12" spans="1:11" x14ac:dyDescent="0.25">
      <c r="A12" s="11" t="s">
        <v>393</v>
      </c>
      <c r="B12" s="16">
        <v>22642240.140000001</v>
      </c>
      <c r="C12" s="28">
        <v>24428650.969999999</v>
      </c>
      <c r="D12" s="28">
        <v>1840733.91</v>
      </c>
      <c r="E12" s="16">
        <v>54323.08</v>
      </c>
    </row>
    <row r="13" spans="1:11" x14ac:dyDescent="0.25">
      <c r="A13" s="29" t="s">
        <v>458</v>
      </c>
      <c r="B13" s="30">
        <v>3433207.74</v>
      </c>
      <c r="C13" s="31">
        <v>3754082.74</v>
      </c>
      <c r="D13" s="31">
        <v>326355.5</v>
      </c>
      <c r="E13" s="30">
        <v>5480.5</v>
      </c>
    </row>
    <row r="14" spans="1:11" x14ac:dyDescent="0.25">
      <c r="A14" s="32" t="s">
        <v>475</v>
      </c>
      <c r="B14" s="25"/>
      <c r="C14" s="24">
        <v>284050</v>
      </c>
      <c r="D14" s="24">
        <v>284050</v>
      </c>
      <c r="E14" s="25"/>
    </row>
    <row r="15" spans="1:11" x14ac:dyDescent="0.25">
      <c r="A15" s="33" t="s">
        <v>457</v>
      </c>
      <c r="B15" s="34">
        <v>3421681.74</v>
      </c>
      <c r="C15" s="24">
        <v>3441481.74</v>
      </c>
      <c r="D15" s="24">
        <v>21600</v>
      </c>
      <c r="E15" s="34">
        <v>1800</v>
      </c>
    </row>
    <row r="16" spans="1:11" x14ac:dyDescent="0.25">
      <c r="A16" s="33" t="s">
        <v>468</v>
      </c>
      <c r="B16" s="15"/>
      <c r="C16" s="24">
        <v>2500</v>
      </c>
      <c r="D16" s="24">
        <v>2500</v>
      </c>
      <c r="E16" s="15"/>
    </row>
    <row r="17" spans="1:12" x14ac:dyDescent="0.25">
      <c r="A17" s="33" t="s">
        <v>844</v>
      </c>
      <c r="B17" s="34">
        <v>616</v>
      </c>
      <c r="C17" s="24">
        <v>2241</v>
      </c>
      <c r="D17" s="24">
        <v>1855.5</v>
      </c>
      <c r="E17" s="34">
        <v>230.5</v>
      </c>
    </row>
    <row r="18" spans="1:12" x14ac:dyDescent="0.25">
      <c r="A18" s="35" t="s">
        <v>472</v>
      </c>
      <c r="B18" s="34">
        <v>10910</v>
      </c>
      <c r="C18" s="24">
        <v>23810</v>
      </c>
      <c r="D18" s="24">
        <v>16350</v>
      </c>
      <c r="E18" s="34">
        <v>3450</v>
      </c>
    </row>
    <row r="19" spans="1:12" x14ac:dyDescent="0.25">
      <c r="A19" s="29" t="s">
        <v>480</v>
      </c>
      <c r="B19" s="34">
        <v>18999343</v>
      </c>
      <c r="C19" s="26">
        <v>19207390.329999998</v>
      </c>
      <c r="D19" s="26">
        <v>208047.33</v>
      </c>
      <c r="E19" s="15"/>
    </row>
    <row r="20" spans="1:12" x14ac:dyDescent="0.25">
      <c r="A20" s="29" t="s">
        <v>405</v>
      </c>
      <c r="B20" s="36">
        <v>208082.4</v>
      </c>
      <c r="C20" s="37">
        <v>1443321.92</v>
      </c>
      <c r="D20" s="37">
        <v>1282239.1000000001</v>
      </c>
      <c r="E20" s="36">
        <v>46999.58</v>
      </c>
    </row>
    <row r="21" spans="1:12" x14ac:dyDescent="0.25">
      <c r="A21" s="33" t="s">
        <v>407</v>
      </c>
      <c r="B21" s="34">
        <v>67500</v>
      </c>
      <c r="C21" s="24">
        <v>67500</v>
      </c>
      <c r="D21" s="25"/>
      <c r="E21" s="15"/>
    </row>
    <row r="22" spans="1:12" x14ac:dyDescent="0.25">
      <c r="A22" s="33" t="s">
        <v>413</v>
      </c>
      <c r="B22" s="15"/>
      <c r="C22" s="24">
        <v>133884.1</v>
      </c>
      <c r="D22" s="24">
        <v>133884.1</v>
      </c>
      <c r="E22" s="15"/>
    </row>
    <row r="23" spans="1:12" x14ac:dyDescent="0.25">
      <c r="A23" s="23" t="s">
        <v>417</v>
      </c>
      <c r="B23" s="15"/>
      <c r="C23" s="24">
        <v>162604</v>
      </c>
      <c r="D23" s="24">
        <v>162604</v>
      </c>
      <c r="E23" s="15"/>
      <c r="L23" t="s">
        <v>845</v>
      </c>
    </row>
    <row r="24" spans="1:12" x14ac:dyDescent="0.25">
      <c r="A24" s="35" t="s">
        <v>419</v>
      </c>
      <c r="B24" s="34">
        <v>1500</v>
      </c>
      <c r="C24" s="24">
        <v>1500</v>
      </c>
      <c r="D24" s="24">
        <v>1000</v>
      </c>
      <c r="E24" s="34">
        <v>1000</v>
      </c>
    </row>
    <row r="25" spans="1:12" x14ac:dyDescent="0.25">
      <c r="A25" s="33" t="s">
        <v>425</v>
      </c>
      <c r="B25" s="34">
        <v>85904</v>
      </c>
      <c r="C25" s="24">
        <v>85904</v>
      </c>
      <c r="D25" s="25"/>
      <c r="E25" s="15"/>
    </row>
    <row r="26" spans="1:12" x14ac:dyDescent="0.25">
      <c r="A26" s="23" t="s">
        <v>427</v>
      </c>
      <c r="B26" s="15"/>
      <c r="C26" s="24">
        <v>53732</v>
      </c>
      <c r="D26" s="24">
        <v>53732</v>
      </c>
      <c r="E26" s="15"/>
      <c r="L26" t="s">
        <v>846</v>
      </c>
    </row>
    <row r="27" spans="1:12" x14ac:dyDescent="0.25">
      <c r="A27" s="35" t="s">
        <v>847</v>
      </c>
      <c r="B27" s="15"/>
      <c r="C27" s="24">
        <v>5900</v>
      </c>
      <c r="D27" s="24">
        <v>5900</v>
      </c>
      <c r="E27" s="15"/>
    </row>
    <row r="28" spans="1:12" x14ac:dyDescent="0.25">
      <c r="A28" s="33" t="s">
        <v>439</v>
      </c>
      <c r="B28" s="34">
        <v>41178.400000000001</v>
      </c>
      <c r="C28" s="24">
        <v>538678.81999999995</v>
      </c>
      <c r="D28" s="24">
        <v>537500</v>
      </c>
      <c r="E28" s="34">
        <v>39999.58</v>
      </c>
    </row>
    <row r="29" spans="1:12" x14ac:dyDescent="0.25">
      <c r="A29" s="35" t="s">
        <v>443</v>
      </c>
      <c r="B29" s="34">
        <v>12000</v>
      </c>
      <c r="C29" s="24">
        <v>12000</v>
      </c>
      <c r="D29" s="24">
        <v>6000</v>
      </c>
      <c r="E29" s="34">
        <v>6000</v>
      </c>
    </row>
    <row r="30" spans="1:12" x14ac:dyDescent="0.25">
      <c r="A30" s="18" t="s">
        <v>447</v>
      </c>
      <c r="B30" s="15"/>
      <c r="C30" s="24">
        <v>103140</v>
      </c>
      <c r="D30" s="24">
        <v>103140</v>
      </c>
      <c r="E30" s="15"/>
    </row>
    <row r="31" spans="1:12" x14ac:dyDescent="0.25">
      <c r="A31" s="33" t="s">
        <v>449</v>
      </c>
      <c r="B31" s="15"/>
      <c r="C31" s="24">
        <v>158479</v>
      </c>
      <c r="D31" s="24">
        <v>158479</v>
      </c>
      <c r="E31" s="15"/>
    </row>
    <row r="32" spans="1:12" x14ac:dyDescent="0.25">
      <c r="A32" s="23" t="s">
        <v>453</v>
      </c>
      <c r="B32" s="15"/>
      <c r="C32" s="24">
        <v>120000</v>
      </c>
      <c r="D32" s="24">
        <v>120000</v>
      </c>
      <c r="E32" s="15"/>
    </row>
    <row r="33" spans="1:5" x14ac:dyDescent="0.25">
      <c r="A33" s="18" t="s">
        <v>812</v>
      </c>
      <c r="B33" s="14">
        <v>1607</v>
      </c>
      <c r="C33" s="15"/>
      <c r="D33" s="15"/>
      <c r="E33" s="14">
        <v>1607</v>
      </c>
    </row>
    <row r="34" spans="1:5" x14ac:dyDescent="0.25">
      <c r="A34" s="18" t="s">
        <v>397</v>
      </c>
      <c r="B34" s="25"/>
      <c r="C34" s="26">
        <v>5310</v>
      </c>
      <c r="D34" s="26">
        <v>5310</v>
      </c>
      <c r="E34" s="25"/>
    </row>
    <row r="35" spans="1:5" x14ac:dyDescent="0.25">
      <c r="A35" s="18" t="s">
        <v>848</v>
      </c>
      <c r="B35" s="25"/>
      <c r="C35" s="26">
        <v>2000</v>
      </c>
      <c r="D35" s="26">
        <v>2000</v>
      </c>
      <c r="E35" s="25"/>
    </row>
    <row r="36" spans="1:5" x14ac:dyDescent="0.25">
      <c r="A36" s="18" t="s">
        <v>849</v>
      </c>
      <c r="B36" s="25"/>
      <c r="C36" s="26">
        <v>16545.98</v>
      </c>
      <c r="D36" s="26">
        <v>16781.98</v>
      </c>
      <c r="E36" s="14">
        <v>236</v>
      </c>
    </row>
    <row r="37" spans="1:5" x14ac:dyDescent="0.25">
      <c r="A37" s="11" t="s">
        <v>502</v>
      </c>
      <c r="B37" s="38">
        <v>18426.28</v>
      </c>
      <c r="C37" s="17"/>
      <c r="D37" s="28">
        <v>15914</v>
      </c>
      <c r="E37" s="38">
        <v>2512.2800000000002</v>
      </c>
    </row>
    <row r="38" spans="1:5" x14ac:dyDescent="0.25">
      <c r="A38" s="39" t="s">
        <v>504</v>
      </c>
      <c r="B38" s="27">
        <v>18426.28</v>
      </c>
      <c r="C38" s="15"/>
      <c r="D38" s="26">
        <v>15914</v>
      </c>
      <c r="E38" s="27">
        <v>2512.2800000000002</v>
      </c>
    </row>
    <row r="39" spans="1:5" x14ac:dyDescent="0.25">
      <c r="A39" s="11" t="s">
        <v>360</v>
      </c>
      <c r="B39" s="38">
        <v>31634446.43</v>
      </c>
      <c r="C39" s="28">
        <v>416668630.66000003</v>
      </c>
      <c r="D39" s="28">
        <v>438912413.51999998</v>
      </c>
      <c r="E39" s="38">
        <v>9390663.5700000003</v>
      </c>
    </row>
    <row r="40" spans="1:5" x14ac:dyDescent="0.25">
      <c r="A40" s="29" t="s">
        <v>850</v>
      </c>
      <c r="B40" s="40"/>
      <c r="C40" s="31">
        <v>191200000</v>
      </c>
      <c r="D40" s="31">
        <v>191200000</v>
      </c>
      <c r="E40" s="40"/>
    </row>
    <row r="41" spans="1:5" x14ac:dyDescent="0.25">
      <c r="A41" s="33" t="s">
        <v>851</v>
      </c>
      <c r="B41" s="15"/>
      <c r="C41" s="24">
        <v>191200000</v>
      </c>
      <c r="D41" s="24">
        <v>191200000</v>
      </c>
      <c r="E41" s="15"/>
    </row>
    <row r="42" spans="1:5" x14ac:dyDescent="0.25">
      <c r="A42" s="29" t="s">
        <v>852</v>
      </c>
      <c r="B42" s="41"/>
      <c r="C42" s="37">
        <v>1032125</v>
      </c>
      <c r="D42" s="37">
        <v>31633</v>
      </c>
      <c r="E42" s="42">
        <v>1000492</v>
      </c>
    </row>
    <row r="43" spans="1:5" x14ac:dyDescent="0.25">
      <c r="A43" s="33" t="s">
        <v>853</v>
      </c>
      <c r="B43" s="15"/>
      <c r="C43" s="24">
        <v>1000000</v>
      </c>
      <c r="D43" s="25"/>
      <c r="E43" s="43">
        <v>1000000</v>
      </c>
    </row>
    <row r="44" spans="1:5" x14ac:dyDescent="0.25">
      <c r="A44" s="33" t="s">
        <v>854</v>
      </c>
      <c r="B44" s="15"/>
      <c r="C44" s="24">
        <v>32125</v>
      </c>
      <c r="D44" s="24">
        <v>31633</v>
      </c>
      <c r="E44" s="43">
        <v>492</v>
      </c>
    </row>
    <row r="45" spans="1:5" x14ac:dyDescent="0.25">
      <c r="A45" s="29" t="s">
        <v>386</v>
      </c>
      <c r="B45" s="43">
        <v>28248000</v>
      </c>
      <c r="C45" s="26">
        <v>1862109</v>
      </c>
      <c r="D45" s="26">
        <v>30110109</v>
      </c>
      <c r="E45" s="15"/>
    </row>
    <row r="46" spans="1:5" x14ac:dyDescent="0.25">
      <c r="A46" s="29" t="s">
        <v>359</v>
      </c>
      <c r="B46" s="42">
        <v>1677070.09</v>
      </c>
      <c r="C46" s="37">
        <v>222282278.03999999</v>
      </c>
      <c r="D46" s="37">
        <v>216594049.15000001</v>
      </c>
      <c r="E46" s="42">
        <v>7365298.9800000004</v>
      </c>
    </row>
    <row r="47" spans="1:5" x14ac:dyDescent="0.25">
      <c r="A47" s="23" t="s">
        <v>358</v>
      </c>
      <c r="B47" s="43">
        <v>1677070.09</v>
      </c>
      <c r="C47" s="24">
        <v>222282278.03999999</v>
      </c>
      <c r="D47" s="24">
        <v>216594049.15000001</v>
      </c>
      <c r="E47" s="43">
        <v>7365298.9800000004</v>
      </c>
    </row>
    <row r="48" spans="1:5" x14ac:dyDescent="0.25">
      <c r="A48" s="44" t="s">
        <v>371</v>
      </c>
      <c r="B48" s="43">
        <v>1152769.3400000001</v>
      </c>
      <c r="C48" s="26">
        <v>245721.62</v>
      </c>
      <c r="D48" s="26">
        <v>420015.37</v>
      </c>
      <c r="E48" s="43">
        <v>978475.59</v>
      </c>
    </row>
    <row r="49" spans="1:11" x14ac:dyDescent="0.25">
      <c r="A49" s="44" t="s">
        <v>226</v>
      </c>
      <c r="B49" s="42">
        <v>607</v>
      </c>
      <c r="C49" s="41"/>
      <c r="D49" s="37">
        <v>607</v>
      </c>
      <c r="E49" s="41"/>
    </row>
    <row r="50" spans="1:11" x14ac:dyDescent="0.25">
      <c r="A50" s="35" t="s">
        <v>855</v>
      </c>
      <c r="B50" s="43">
        <v>607</v>
      </c>
      <c r="C50" s="25"/>
      <c r="D50" s="24">
        <v>607</v>
      </c>
      <c r="E50" s="15"/>
    </row>
    <row r="51" spans="1:11" x14ac:dyDescent="0.25">
      <c r="A51" s="29" t="s">
        <v>856</v>
      </c>
      <c r="B51" s="42">
        <v>556000</v>
      </c>
      <c r="C51" s="37">
        <v>46397</v>
      </c>
      <c r="D51" s="37">
        <v>556000</v>
      </c>
      <c r="E51" s="42">
        <v>46397</v>
      </c>
    </row>
    <row r="52" spans="1:11" x14ac:dyDescent="0.25">
      <c r="A52" s="35" t="s">
        <v>857</v>
      </c>
      <c r="B52" s="15"/>
      <c r="C52" s="24">
        <v>46397</v>
      </c>
      <c r="D52" s="25"/>
      <c r="E52" s="43">
        <v>46397</v>
      </c>
    </row>
    <row r="53" spans="1:11" x14ac:dyDescent="0.25">
      <c r="A53" s="35" t="s">
        <v>858</v>
      </c>
      <c r="B53" s="43">
        <v>556000</v>
      </c>
      <c r="C53" s="25"/>
      <c r="D53" s="24">
        <v>556000</v>
      </c>
      <c r="E53" s="15"/>
    </row>
    <row r="54" spans="1:11" x14ac:dyDescent="0.25">
      <c r="A54" s="11" t="s">
        <v>571</v>
      </c>
      <c r="B54" s="45"/>
      <c r="C54" s="17"/>
      <c r="D54" s="28">
        <v>1578059</v>
      </c>
      <c r="E54" s="16">
        <v>1578059</v>
      </c>
    </row>
    <row r="55" spans="1:11" x14ac:dyDescent="0.25">
      <c r="A55" s="18" t="s">
        <v>570</v>
      </c>
      <c r="B55" s="25"/>
      <c r="C55" s="15"/>
      <c r="D55" s="26">
        <v>1578059</v>
      </c>
      <c r="E55" s="14">
        <v>1578059</v>
      </c>
    </row>
    <row r="56" spans="1:11" x14ac:dyDescent="0.25">
      <c r="A56" s="11" t="s">
        <v>483</v>
      </c>
      <c r="B56" s="45"/>
      <c r="C56" s="28">
        <v>142121</v>
      </c>
      <c r="D56" s="28">
        <v>72800</v>
      </c>
      <c r="E56" s="38">
        <v>69321</v>
      </c>
    </row>
    <row r="57" spans="1:11" x14ac:dyDescent="0.25">
      <c r="A57" s="29" t="s">
        <v>493</v>
      </c>
      <c r="B57" s="40"/>
      <c r="C57" s="31">
        <v>137621</v>
      </c>
      <c r="D57" s="31">
        <v>72800</v>
      </c>
      <c r="E57" s="46">
        <v>64821</v>
      </c>
    </row>
    <row r="58" spans="1:11" x14ac:dyDescent="0.25">
      <c r="A58" s="35" t="s">
        <v>492</v>
      </c>
      <c r="B58" s="15"/>
      <c r="C58" s="24">
        <v>27508</v>
      </c>
      <c r="D58" s="25"/>
      <c r="E58" s="43">
        <v>27508</v>
      </c>
    </row>
    <row r="59" spans="1:11" x14ac:dyDescent="0.25">
      <c r="A59" s="35" t="s">
        <v>495</v>
      </c>
      <c r="B59" s="15"/>
      <c r="C59" s="24">
        <v>67345</v>
      </c>
      <c r="D59" s="24">
        <v>72800</v>
      </c>
      <c r="E59" s="34">
        <v>5455</v>
      </c>
    </row>
    <row r="60" spans="1:11" x14ac:dyDescent="0.25">
      <c r="A60" s="33" t="s">
        <v>859</v>
      </c>
      <c r="B60" s="15"/>
      <c r="C60" s="24">
        <v>42768</v>
      </c>
      <c r="D60" s="25"/>
      <c r="E60" s="43">
        <v>42768</v>
      </c>
    </row>
    <row r="61" spans="1:11" x14ac:dyDescent="0.25">
      <c r="A61" s="18" t="s">
        <v>482</v>
      </c>
      <c r="B61" s="25"/>
      <c r="C61" s="26">
        <v>4500</v>
      </c>
      <c r="D61" s="15"/>
      <c r="E61" s="27">
        <v>4500</v>
      </c>
    </row>
    <row r="62" spans="1:11" x14ac:dyDescent="0.25">
      <c r="A62" s="11" t="s">
        <v>559</v>
      </c>
      <c r="B62" s="45"/>
      <c r="C62" s="28">
        <v>1.83</v>
      </c>
      <c r="D62" s="28">
        <v>492265.71</v>
      </c>
      <c r="E62" s="16">
        <v>492263.88</v>
      </c>
    </row>
    <row r="63" spans="1:11" x14ac:dyDescent="0.25">
      <c r="A63" s="39" t="s">
        <v>860</v>
      </c>
      <c r="B63" s="25"/>
      <c r="C63" s="15"/>
      <c r="D63" s="26">
        <v>6870</v>
      </c>
      <c r="E63" s="14">
        <v>6870</v>
      </c>
      <c r="K63" t="s">
        <v>861</v>
      </c>
    </row>
    <row r="64" spans="1:11" x14ac:dyDescent="0.25">
      <c r="A64" s="18" t="s">
        <v>558</v>
      </c>
      <c r="B64" s="25"/>
      <c r="C64" s="15"/>
      <c r="D64" s="26">
        <v>4747.33</v>
      </c>
      <c r="E64" s="14">
        <v>4747.33</v>
      </c>
    </row>
    <row r="65" spans="1:11" x14ac:dyDescent="0.25">
      <c r="A65" s="18" t="s">
        <v>561</v>
      </c>
      <c r="B65" s="25"/>
      <c r="C65" s="15"/>
      <c r="D65" s="26">
        <v>463966</v>
      </c>
      <c r="E65" s="14">
        <v>463966</v>
      </c>
    </row>
    <row r="66" spans="1:11" x14ac:dyDescent="0.25">
      <c r="A66" s="18" t="s">
        <v>862</v>
      </c>
      <c r="B66" s="25"/>
      <c r="C66" s="15"/>
      <c r="D66" s="26">
        <v>16680</v>
      </c>
      <c r="E66" s="14">
        <v>16680</v>
      </c>
    </row>
    <row r="67" spans="1:11" x14ac:dyDescent="0.25">
      <c r="A67" s="18" t="s">
        <v>15</v>
      </c>
      <c r="B67" s="25"/>
      <c r="C67" s="26">
        <v>1.83</v>
      </c>
      <c r="D67" s="26">
        <v>2.38</v>
      </c>
      <c r="E67" s="14">
        <v>0.55000000000000004</v>
      </c>
    </row>
    <row r="68" spans="1:11" x14ac:dyDescent="0.25">
      <c r="A68" s="11" t="s">
        <v>509</v>
      </c>
      <c r="B68" s="45"/>
      <c r="C68" s="28">
        <v>1672781.68</v>
      </c>
      <c r="D68" s="17"/>
      <c r="E68" s="38">
        <v>1672781.68</v>
      </c>
    </row>
    <row r="69" spans="1:11" x14ac:dyDescent="0.25">
      <c r="A69" s="29" t="s">
        <v>548</v>
      </c>
      <c r="B69" s="40"/>
      <c r="C69" s="31">
        <v>41615.74</v>
      </c>
      <c r="D69" s="40"/>
      <c r="E69" s="46">
        <v>41615.74</v>
      </c>
    </row>
    <row r="70" spans="1:11" x14ac:dyDescent="0.25">
      <c r="A70" s="33" t="s">
        <v>548</v>
      </c>
      <c r="B70" s="15"/>
      <c r="C70" s="24">
        <v>35615.74</v>
      </c>
      <c r="D70" s="25"/>
      <c r="E70" s="43">
        <v>35615.74</v>
      </c>
    </row>
    <row r="71" spans="1:11" x14ac:dyDescent="0.25">
      <c r="A71" s="35" t="s">
        <v>550</v>
      </c>
      <c r="B71" s="15"/>
      <c r="C71" s="24">
        <v>6000</v>
      </c>
      <c r="D71" s="25"/>
      <c r="E71" s="43">
        <v>6000</v>
      </c>
    </row>
    <row r="72" spans="1:11" x14ac:dyDescent="0.25">
      <c r="A72" s="29" t="s">
        <v>517</v>
      </c>
      <c r="B72" s="41"/>
      <c r="C72" s="37">
        <v>255281.33</v>
      </c>
      <c r="D72" s="41"/>
      <c r="E72" s="42">
        <v>255281.33</v>
      </c>
    </row>
    <row r="73" spans="1:11" x14ac:dyDescent="0.25">
      <c r="A73" s="35" t="s">
        <v>554</v>
      </c>
      <c r="B73" s="15"/>
      <c r="C73" s="24">
        <v>252397.33</v>
      </c>
      <c r="D73" s="25"/>
      <c r="E73" s="43">
        <v>252397.33</v>
      </c>
      <c r="K73" t="s">
        <v>863</v>
      </c>
    </row>
    <row r="74" spans="1:11" x14ac:dyDescent="0.25">
      <c r="A74" s="23" t="s">
        <v>556</v>
      </c>
      <c r="B74" s="15"/>
      <c r="C74" s="24">
        <v>2884</v>
      </c>
      <c r="D74" s="25"/>
      <c r="E74" s="43">
        <v>2884</v>
      </c>
    </row>
    <row r="75" spans="1:11" x14ac:dyDescent="0.25">
      <c r="A75" s="39" t="s">
        <v>508</v>
      </c>
      <c r="B75" s="25"/>
      <c r="C75" s="26">
        <v>20500</v>
      </c>
      <c r="D75" s="15"/>
      <c r="E75" s="27">
        <v>20500</v>
      </c>
    </row>
    <row r="76" spans="1:11" x14ac:dyDescent="0.25">
      <c r="A76" s="18" t="s">
        <v>513</v>
      </c>
      <c r="B76" s="25"/>
      <c r="C76" s="26">
        <v>13101.98</v>
      </c>
      <c r="D76" s="15"/>
      <c r="E76" s="27">
        <v>13101.98</v>
      </c>
    </row>
    <row r="77" spans="1:11" x14ac:dyDescent="0.25">
      <c r="A77" s="18" t="s">
        <v>515</v>
      </c>
      <c r="B77" s="25"/>
      <c r="C77" s="26">
        <v>8000</v>
      </c>
      <c r="D77" s="15"/>
      <c r="E77" s="27">
        <v>8000</v>
      </c>
    </row>
    <row r="78" spans="1:11" x14ac:dyDescent="0.25">
      <c r="A78" s="18" t="s">
        <v>517</v>
      </c>
      <c r="B78" s="25"/>
      <c r="C78" s="26">
        <v>500</v>
      </c>
      <c r="D78" s="15"/>
      <c r="E78" s="27">
        <v>500</v>
      </c>
    </row>
    <row r="79" spans="1:11" x14ac:dyDescent="0.25">
      <c r="A79" s="18" t="s">
        <v>519</v>
      </c>
      <c r="B79" s="25"/>
      <c r="C79" s="26">
        <v>280</v>
      </c>
      <c r="D79" s="15"/>
      <c r="E79" s="27">
        <v>280</v>
      </c>
    </row>
    <row r="80" spans="1:11" x14ac:dyDescent="0.25">
      <c r="A80" s="18" t="s">
        <v>240</v>
      </c>
      <c r="B80" s="25"/>
      <c r="C80" s="26">
        <v>15914</v>
      </c>
      <c r="D80" s="15"/>
      <c r="E80" s="27">
        <v>15914</v>
      </c>
    </row>
    <row r="81" spans="1:5" x14ac:dyDescent="0.25">
      <c r="A81" s="18" t="s">
        <v>522</v>
      </c>
      <c r="B81" s="25"/>
      <c r="C81" s="26">
        <v>20000</v>
      </c>
      <c r="D81" s="15"/>
      <c r="E81" s="27">
        <v>20000</v>
      </c>
    </row>
    <row r="82" spans="1:5" x14ac:dyDescent="0.25">
      <c r="A82" s="18" t="s">
        <v>526</v>
      </c>
      <c r="B82" s="25"/>
      <c r="C82" s="26">
        <v>320849.63</v>
      </c>
      <c r="D82" s="15"/>
      <c r="E82" s="27">
        <v>320849.63</v>
      </c>
    </row>
    <row r="83" spans="1:5" x14ac:dyDescent="0.25">
      <c r="A83" s="18" t="s">
        <v>530</v>
      </c>
      <c r="B83" s="25"/>
      <c r="C83" s="26">
        <v>40000</v>
      </c>
      <c r="D83" s="15"/>
      <c r="E83" s="27">
        <v>40000</v>
      </c>
    </row>
    <row r="84" spans="1:5" x14ac:dyDescent="0.25">
      <c r="A84" s="18" t="s">
        <v>532</v>
      </c>
      <c r="B84" s="25"/>
      <c r="C84" s="26">
        <v>875</v>
      </c>
      <c r="D84" s="15"/>
      <c r="E84" s="27">
        <v>875</v>
      </c>
    </row>
    <row r="85" spans="1:5" x14ac:dyDescent="0.25">
      <c r="A85" s="18" t="s">
        <v>534</v>
      </c>
      <c r="B85" s="25"/>
      <c r="C85" s="26">
        <v>151000</v>
      </c>
      <c r="D85" s="15"/>
      <c r="E85" s="27">
        <v>151000</v>
      </c>
    </row>
    <row r="86" spans="1:5" x14ac:dyDescent="0.25">
      <c r="A86" s="39" t="s">
        <v>536</v>
      </c>
      <c r="B86" s="25"/>
      <c r="C86" s="26">
        <v>141600</v>
      </c>
      <c r="D86" s="15"/>
      <c r="E86" s="27">
        <v>141600</v>
      </c>
    </row>
    <row r="87" spans="1:5" x14ac:dyDescent="0.25">
      <c r="A87" s="39" t="s">
        <v>538</v>
      </c>
      <c r="B87" s="25"/>
      <c r="C87" s="26">
        <v>480000</v>
      </c>
      <c r="D87" s="15"/>
      <c r="E87" s="27">
        <v>480000</v>
      </c>
    </row>
    <row r="88" spans="1:5" x14ac:dyDescent="0.25">
      <c r="A88" s="18" t="s">
        <v>544</v>
      </c>
      <c r="B88" s="25"/>
      <c r="C88" s="26">
        <v>163264</v>
      </c>
      <c r="D88" s="15"/>
      <c r="E88" s="27">
        <v>163264</v>
      </c>
    </row>
    <row r="89" spans="1:5" x14ac:dyDescent="0.25">
      <c r="A89" s="47" t="s">
        <v>567</v>
      </c>
      <c r="B89" s="43">
        <v>3766592.43</v>
      </c>
      <c r="C89" s="25"/>
      <c r="D89" s="25"/>
      <c r="E89" s="43">
        <v>3766592.43</v>
      </c>
    </row>
    <row r="90" spans="1:5" x14ac:dyDescent="0.25">
      <c r="A90" s="48" t="s">
        <v>604</v>
      </c>
      <c r="B90" s="49"/>
      <c r="C90" s="50">
        <v>442912186.13999999</v>
      </c>
      <c r="D90" s="50">
        <v>442912186.13999999</v>
      </c>
      <c r="E90" s="49"/>
    </row>
  </sheetData>
  <mergeCells count="6">
    <mergeCell ref="C6:D6"/>
    <mergeCell ref="A1:C1"/>
    <mergeCell ref="A2:C2"/>
    <mergeCell ref="A3:C3"/>
    <mergeCell ref="B4:E4"/>
    <mergeCell ref="B5: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97"/>
  <sheetViews>
    <sheetView topLeftCell="A82" workbookViewId="0">
      <selection activeCell="I87" sqref="I87"/>
    </sheetView>
  </sheetViews>
  <sheetFormatPr defaultColWidth="9.140625" defaultRowHeight="12.75" x14ac:dyDescent="0.2"/>
  <cols>
    <col min="1" max="1" width="9.140625" style="136"/>
    <col min="2" max="2" width="51.5703125" style="136" customWidth="1"/>
    <col min="3" max="3" width="15.42578125" style="136" customWidth="1"/>
    <col min="4" max="4" width="15.28515625" style="136" customWidth="1"/>
    <col min="5" max="5" width="18.140625" style="136" customWidth="1"/>
    <col min="6" max="6" width="14.7109375" style="136" customWidth="1"/>
    <col min="7" max="8" width="9.140625" style="136"/>
    <col min="9" max="9" width="13.140625" style="136" bestFit="1" customWidth="1"/>
    <col min="10" max="10" width="9.140625" style="136"/>
    <col min="11" max="11" width="10.5703125" style="136" bestFit="1" customWidth="1"/>
    <col min="12" max="16384" width="9.140625" style="136"/>
  </cols>
  <sheetData>
    <row r="2" spans="2:6" x14ac:dyDescent="0.2">
      <c r="B2" s="667" t="s">
        <v>978</v>
      </c>
      <c r="C2" s="667"/>
      <c r="D2" s="667"/>
      <c r="E2" s="8"/>
      <c r="F2" s="8"/>
    </row>
    <row r="3" spans="2:6" x14ac:dyDescent="0.2">
      <c r="B3" s="667" t="s">
        <v>596</v>
      </c>
      <c r="C3" s="667"/>
      <c r="D3" s="667"/>
      <c r="E3" s="8"/>
      <c r="F3" s="8"/>
    </row>
    <row r="4" spans="2:6" x14ac:dyDescent="0.2">
      <c r="B4" s="661" t="s">
        <v>979</v>
      </c>
      <c r="C4" s="661"/>
      <c r="D4" s="661"/>
      <c r="E4" s="8"/>
      <c r="F4" s="8"/>
    </row>
    <row r="5" spans="2:6" ht="15" customHeight="1" x14ac:dyDescent="0.2">
      <c r="B5" s="584" t="s">
        <v>597</v>
      </c>
      <c r="C5" s="668" t="s">
        <v>978</v>
      </c>
      <c r="D5" s="668"/>
      <c r="E5" s="668"/>
      <c r="F5" s="668"/>
    </row>
    <row r="6" spans="2:6" ht="15" customHeight="1" x14ac:dyDescent="0.2">
      <c r="B6" s="584" t="s">
        <v>53</v>
      </c>
      <c r="C6" s="669" t="s">
        <v>979</v>
      </c>
      <c r="D6" s="669"/>
      <c r="E6" s="669"/>
      <c r="F6" s="669"/>
    </row>
    <row r="7" spans="2:6" x14ac:dyDescent="0.2">
      <c r="B7" s="584" t="s">
        <v>597</v>
      </c>
      <c r="C7" s="585" t="s">
        <v>598</v>
      </c>
      <c r="D7" s="666" t="s">
        <v>599</v>
      </c>
      <c r="E7" s="666"/>
      <c r="F7" s="585" t="s">
        <v>600</v>
      </c>
    </row>
    <row r="8" spans="2:6" x14ac:dyDescent="0.2">
      <c r="B8" s="584" t="s">
        <v>597</v>
      </c>
      <c r="C8" s="585" t="s">
        <v>601</v>
      </c>
      <c r="D8" s="586" t="s">
        <v>602</v>
      </c>
      <c r="E8" s="586" t="s">
        <v>603</v>
      </c>
      <c r="F8" s="585" t="s">
        <v>601</v>
      </c>
    </row>
    <row r="9" spans="2:6" x14ac:dyDescent="0.2">
      <c r="B9" s="587" t="s">
        <v>354</v>
      </c>
      <c r="C9" s="588">
        <v>1500000</v>
      </c>
      <c r="D9" s="589"/>
      <c r="E9" s="589"/>
      <c r="F9" s="588">
        <v>1500000</v>
      </c>
    </row>
    <row r="10" spans="2:6" x14ac:dyDescent="0.2">
      <c r="B10" s="590" t="s">
        <v>353</v>
      </c>
      <c r="C10" s="591">
        <v>1500000</v>
      </c>
      <c r="D10" s="592"/>
      <c r="E10" s="592"/>
      <c r="F10" s="591">
        <v>1500000</v>
      </c>
    </row>
    <row r="11" spans="2:6" x14ac:dyDescent="0.2">
      <c r="B11" s="587" t="s">
        <v>565</v>
      </c>
      <c r="C11" s="588">
        <v>11540575</v>
      </c>
      <c r="D11" s="593">
        <v>11540575</v>
      </c>
      <c r="E11" s="589"/>
      <c r="F11" s="594"/>
    </row>
    <row r="12" spans="2:6" x14ac:dyDescent="0.2">
      <c r="B12" s="590" t="s">
        <v>564</v>
      </c>
      <c r="C12" s="591">
        <v>11540575</v>
      </c>
      <c r="D12" s="595">
        <v>11540575</v>
      </c>
      <c r="E12" s="592"/>
      <c r="F12" s="589"/>
    </row>
    <row r="13" spans="2:6" x14ac:dyDescent="0.2">
      <c r="B13" s="587" t="s">
        <v>393</v>
      </c>
      <c r="C13" s="588">
        <v>135216.5</v>
      </c>
      <c r="D13" s="593">
        <v>52555948.159999996</v>
      </c>
      <c r="E13" s="593">
        <v>52557031.659999996</v>
      </c>
      <c r="F13" s="588">
        <v>136300</v>
      </c>
    </row>
    <row r="14" spans="2:6" x14ac:dyDescent="0.2">
      <c r="B14" s="596" t="s">
        <v>458</v>
      </c>
      <c r="C14" s="597">
        <v>13730.5</v>
      </c>
      <c r="D14" s="595">
        <v>13450597.5</v>
      </c>
      <c r="E14" s="595">
        <v>13454667</v>
      </c>
      <c r="F14" s="597">
        <v>17800</v>
      </c>
    </row>
    <row r="15" spans="2:6" x14ac:dyDescent="0.2">
      <c r="B15" s="598" t="s">
        <v>457</v>
      </c>
      <c r="C15" s="597">
        <v>1800</v>
      </c>
      <c r="D15" s="593">
        <v>5616712</v>
      </c>
      <c r="E15" s="593">
        <v>5616712</v>
      </c>
      <c r="F15" s="597">
        <v>1800</v>
      </c>
    </row>
    <row r="16" spans="2:6" x14ac:dyDescent="0.2">
      <c r="B16" s="599" t="s">
        <v>462</v>
      </c>
      <c r="C16" s="592"/>
      <c r="D16" s="593">
        <v>3897000</v>
      </c>
      <c r="E16" s="593">
        <v>3897000</v>
      </c>
      <c r="F16" s="592"/>
    </row>
    <row r="17" spans="2:11" x14ac:dyDescent="0.2">
      <c r="B17" s="599" t="s">
        <v>466</v>
      </c>
      <c r="C17" s="592"/>
      <c r="D17" s="593">
        <v>3897000</v>
      </c>
      <c r="E17" s="593">
        <v>3897000</v>
      </c>
      <c r="F17" s="592"/>
    </row>
    <row r="18" spans="2:11" x14ac:dyDescent="0.2">
      <c r="B18" s="598" t="s">
        <v>468</v>
      </c>
      <c r="C18" s="592"/>
      <c r="D18" s="593">
        <v>2500</v>
      </c>
      <c r="E18" s="593">
        <v>2500</v>
      </c>
      <c r="F18" s="592"/>
    </row>
    <row r="19" spans="2:11" x14ac:dyDescent="0.2">
      <c r="B19" s="598" t="s">
        <v>844</v>
      </c>
      <c r="C19" s="597">
        <v>230.5</v>
      </c>
      <c r="D19" s="593">
        <v>10185.5</v>
      </c>
      <c r="E19" s="593">
        <v>9955</v>
      </c>
      <c r="F19" s="592"/>
    </row>
    <row r="20" spans="2:11" x14ac:dyDescent="0.2">
      <c r="B20" s="599" t="s">
        <v>472</v>
      </c>
      <c r="C20" s="597">
        <v>11700</v>
      </c>
      <c r="D20" s="593">
        <v>27200</v>
      </c>
      <c r="E20" s="593">
        <v>31500</v>
      </c>
      <c r="F20" s="597">
        <v>16000</v>
      </c>
    </row>
    <row r="21" spans="2:11" x14ac:dyDescent="0.2">
      <c r="B21" s="584" t="s">
        <v>480</v>
      </c>
      <c r="C21" s="592"/>
      <c r="D21" s="595">
        <v>27181386.120000001</v>
      </c>
      <c r="E21" s="595">
        <v>31083954.120000001</v>
      </c>
      <c r="F21" s="597">
        <v>3902568</v>
      </c>
    </row>
    <row r="22" spans="2:11" x14ac:dyDescent="0.2">
      <c r="B22" s="596" t="s">
        <v>1012</v>
      </c>
      <c r="C22" s="592"/>
      <c r="D22" s="595">
        <v>27181386.120000001</v>
      </c>
      <c r="E22" s="595">
        <v>27181386.120000001</v>
      </c>
      <c r="F22" s="597"/>
    </row>
    <row r="23" spans="2:11" x14ac:dyDescent="0.2">
      <c r="B23" s="596" t="s">
        <v>1011</v>
      </c>
      <c r="C23" s="592"/>
      <c r="D23" s="595"/>
      <c r="E23" s="593">
        <v>3902568</v>
      </c>
      <c r="F23" s="597"/>
    </row>
    <row r="24" spans="2:11" x14ac:dyDescent="0.2">
      <c r="B24" s="596" t="s">
        <v>405</v>
      </c>
      <c r="C24" s="597">
        <v>121250</v>
      </c>
      <c r="D24" s="595">
        <v>11906635.08</v>
      </c>
      <c r="E24" s="595">
        <v>8001317.0800000001</v>
      </c>
      <c r="F24" s="600">
        <v>3784068</v>
      </c>
    </row>
    <row r="25" spans="2:11" x14ac:dyDescent="0.2">
      <c r="B25" s="599" t="s">
        <v>980</v>
      </c>
      <c r="C25" s="592"/>
      <c r="D25" s="593">
        <v>6558750</v>
      </c>
      <c r="E25" s="593">
        <v>6558750</v>
      </c>
      <c r="F25" s="592"/>
    </row>
    <row r="26" spans="2:11" x14ac:dyDescent="0.2">
      <c r="B26" s="590" t="s">
        <v>404</v>
      </c>
      <c r="C26" s="592"/>
      <c r="D26" s="593">
        <v>236</v>
      </c>
      <c r="E26" s="593">
        <v>236</v>
      </c>
      <c r="F26" s="592"/>
    </row>
    <row r="27" spans="2:11" x14ac:dyDescent="0.2">
      <c r="B27" s="599" t="s">
        <v>407</v>
      </c>
      <c r="C27" s="597">
        <v>74250</v>
      </c>
      <c r="D27" s="593">
        <v>74250</v>
      </c>
      <c r="E27" s="593">
        <v>112500</v>
      </c>
      <c r="F27" s="597">
        <v>112500</v>
      </c>
      <c r="I27" s="601"/>
      <c r="K27" s="601"/>
    </row>
    <row r="28" spans="2:11" x14ac:dyDescent="0.2">
      <c r="B28" s="599" t="s">
        <v>419</v>
      </c>
      <c r="C28" s="597">
        <v>1000</v>
      </c>
      <c r="D28" s="593">
        <v>1000</v>
      </c>
      <c r="E28" s="589"/>
      <c r="F28" s="592"/>
    </row>
    <row r="29" spans="2:11" x14ac:dyDescent="0.2">
      <c r="B29" s="598" t="s">
        <v>427</v>
      </c>
      <c r="C29" s="592"/>
      <c r="D29" s="593">
        <v>1000</v>
      </c>
      <c r="E29" s="593">
        <v>1000</v>
      </c>
      <c r="F29" s="592"/>
    </row>
    <row r="30" spans="2:11" x14ac:dyDescent="0.2">
      <c r="B30" s="599" t="s">
        <v>847</v>
      </c>
      <c r="C30" s="592"/>
      <c r="D30" s="593">
        <v>5900</v>
      </c>
      <c r="E30" s="593">
        <v>5900</v>
      </c>
      <c r="F30" s="592"/>
    </row>
    <row r="31" spans="2:11" x14ac:dyDescent="0.2">
      <c r="B31" s="599" t="s">
        <v>981</v>
      </c>
      <c r="C31" s="592"/>
      <c r="D31" s="593">
        <v>3902568</v>
      </c>
      <c r="E31" s="589"/>
      <c r="F31" s="600">
        <v>3902568</v>
      </c>
      <c r="I31" s="601"/>
      <c r="K31" s="601"/>
    </row>
    <row r="32" spans="2:11" x14ac:dyDescent="0.2">
      <c r="B32" s="598" t="s">
        <v>439</v>
      </c>
      <c r="C32" s="597">
        <v>40000</v>
      </c>
      <c r="D32" s="593">
        <v>357500</v>
      </c>
      <c r="E32" s="593">
        <v>317500</v>
      </c>
      <c r="F32" s="592"/>
    </row>
    <row r="33" spans="2:9" x14ac:dyDescent="0.2">
      <c r="B33" s="590" t="s">
        <v>982</v>
      </c>
      <c r="C33" s="592"/>
      <c r="D33" s="593">
        <v>5900</v>
      </c>
      <c r="E33" s="593">
        <v>5900</v>
      </c>
      <c r="F33" s="592"/>
    </row>
    <row r="34" spans="2:9" x14ac:dyDescent="0.2">
      <c r="B34" s="599" t="s">
        <v>443</v>
      </c>
      <c r="C34" s="597">
        <v>6000</v>
      </c>
      <c r="D34" s="593">
        <v>6000</v>
      </c>
      <c r="E34" s="593">
        <v>6000</v>
      </c>
      <c r="F34" s="597">
        <v>6000</v>
      </c>
    </row>
    <row r="35" spans="2:9" x14ac:dyDescent="0.2">
      <c r="B35" s="590" t="s">
        <v>447</v>
      </c>
      <c r="C35" s="592"/>
      <c r="D35" s="593">
        <v>89100</v>
      </c>
      <c r="E35" s="593">
        <v>89100</v>
      </c>
      <c r="F35" s="592"/>
    </row>
    <row r="36" spans="2:9" x14ac:dyDescent="0.2">
      <c r="B36" s="598" t="s">
        <v>449</v>
      </c>
      <c r="C36" s="592"/>
      <c r="D36" s="593">
        <v>207054</v>
      </c>
      <c r="E36" s="593">
        <v>207054</v>
      </c>
      <c r="F36" s="592"/>
    </row>
    <row r="37" spans="2:9" x14ac:dyDescent="0.2">
      <c r="B37" s="599" t="s">
        <v>983</v>
      </c>
      <c r="C37" s="592"/>
      <c r="D37" s="593">
        <v>484577.08</v>
      </c>
      <c r="E37" s="593">
        <v>484577.08</v>
      </c>
      <c r="F37" s="592"/>
    </row>
    <row r="38" spans="2:9" x14ac:dyDescent="0.2">
      <c r="B38" s="598" t="s">
        <v>453</v>
      </c>
      <c r="C38" s="592"/>
      <c r="D38" s="593">
        <v>120000</v>
      </c>
      <c r="E38" s="593">
        <v>120000</v>
      </c>
      <c r="F38" s="592"/>
    </row>
    <row r="39" spans="2:9" x14ac:dyDescent="0.2">
      <c r="B39" s="598" t="s">
        <v>984</v>
      </c>
      <c r="C39" s="592"/>
      <c r="D39" s="593">
        <v>92800</v>
      </c>
      <c r="E39" s="593">
        <v>92800</v>
      </c>
      <c r="F39" s="592"/>
    </row>
    <row r="40" spans="2:9" x14ac:dyDescent="0.2">
      <c r="B40" s="590" t="s">
        <v>392</v>
      </c>
      <c r="C40" s="589"/>
      <c r="D40" s="595">
        <v>10000</v>
      </c>
      <c r="E40" s="595">
        <v>10000</v>
      </c>
      <c r="F40" s="589"/>
    </row>
    <row r="41" spans="2:9" x14ac:dyDescent="0.2">
      <c r="B41" s="590" t="s">
        <v>849</v>
      </c>
      <c r="C41" s="591">
        <v>236</v>
      </c>
      <c r="D41" s="595">
        <v>7329.46</v>
      </c>
      <c r="E41" s="595">
        <v>7093.46</v>
      </c>
      <c r="F41" s="589"/>
    </row>
    <row r="42" spans="2:9" x14ac:dyDescent="0.2">
      <c r="B42" s="587" t="s">
        <v>502</v>
      </c>
      <c r="C42" s="602">
        <v>2512.2800000000002</v>
      </c>
      <c r="D42" s="589"/>
      <c r="E42" s="593">
        <v>2512.2800000000002</v>
      </c>
      <c r="F42" s="594"/>
    </row>
    <row r="43" spans="2:9" x14ac:dyDescent="0.2">
      <c r="B43" s="590" t="s">
        <v>504</v>
      </c>
      <c r="C43" s="603">
        <v>2512.2800000000002</v>
      </c>
      <c r="D43" s="592"/>
      <c r="E43" s="595">
        <v>2512.2800000000002</v>
      </c>
      <c r="F43" s="589"/>
    </row>
    <row r="44" spans="2:9" x14ac:dyDescent="0.2">
      <c r="B44" s="587" t="s">
        <v>360</v>
      </c>
      <c r="C44" s="602">
        <v>9390912.5299999993</v>
      </c>
      <c r="D44" s="593">
        <v>135897082.16999999</v>
      </c>
      <c r="E44" s="593">
        <v>138748823.16999999</v>
      </c>
      <c r="F44" s="602">
        <v>6539171.5300000003</v>
      </c>
      <c r="I44" s="604"/>
    </row>
    <row r="45" spans="2:9" x14ac:dyDescent="0.2">
      <c r="B45" s="596" t="s">
        <v>850</v>
      </c>
      <c r="C45" s="592"/>
      <c r="D45" s="595">
        <v>9800000</v>
      </c>
      <c r="E45" s="595">
        <v>9800000</v>
      </c>
      <c r="F45" s="592"/>
    </row>
    <row r="46" spans="2:9" x14ac:dyDescent="0.2">
      <c r="B46" s="598" t="s">
        <v>851</v>
      </c>
      <c r="C46" s="592"/>
      <c r="D46" s="593">
        <v>9800000</v>
      </c>
      <c r="E46" s="593">
        <v>9800000</v>
      </c>
      <c r="F46" s="592"/>
    </row>
    <row r="47" spans="2:9" x14ac:dyDescent="0.2">
      <c r="B47" s="596" t="s">
        <v>852</v>
      </c>
      <c r="C47" s="600">
        <v>1000492</v>
      </c>
      <c r="D47" s="595">
        <v>1450000</v>
      </c>
      <c r="E47" s="595">
        <v>1000000</v>
      </c>
      <c r="F47" s="600">
        <v>1450492</v>
      </c>
    </row>
    <row r="48" spans="2:9" x14ac:dyDescent="0.2">
      <c r="B48" s="598" t="s">
        <v>853</v>
      </c>
      <c r="C48" s="600">
        <v>1000000</v>
      </c>
      <c r="D48" s="593">
        <v>1450000</v>
      </c>
      <c r="E48" s="593">
        <v>1000000</v>
      </c>
      <c r="F48" s="600">
        <v>1450000</v>
      </c>
    </row>
    <row r="49" spans="2:6" x14ac:dyDescent="0.2">
      <c r="B49" s="598" t="s">
        <v>854</v>
      </c>
      <c r="C49" s="600">
        <v>492</v>
      </c>
      <c r="D49" s="589"/>
      <c r="E49" s="589"/>
      <c r="F49" s="600">
        <v>492</v>
      </c>
    </row>
    <row r="50" spans="2:6" x14ac:dyDescent="0.2">
      <c r="B50" s="596" t="s">
        <v>386</v>
      </c>
      <c r="C50" s="592"/>
      <c r="D50" s="595">
        <v>50228000</v>
      </c>
      <c r="E50" s="595">
        <v>50228000</v>
      </c>
      <c r="F50" s="592"/>
    </row>
    <row r="51" spans="2:6" x14ac:dyDescent="0.2">
      <c r="B51" s="596" t="s">
        <v>359</v>
      </c>
      <c r="C51" s="600">
        <v>7365298.9400000004</v>
      </c>
      <c r="D51" s="595">
        <v>62013067</v>
      </c>
      <c r="E51" s="595">
        <v>65309755.689999998</v>
      </c>
      <c r="F51" s="600">
        <v>4068610.25</v>
      </c>
    </row>
    <row r="52" spans="2:6" x14ac:dyDescent="0.2">
      <c r="B52" s="598" t="s">
        <v>358</v>
      </c>
      <c r="C52" s="600">
        <v>7365298.9400000004</v>
      </c>
      <c r="D52" s="593">
        <v>62013067</v>
      </c>
      <c r="E52" s="593">
        <v>65309755.689999998</v>
      </c>
      <c r="F52" s="600">
        <v>4068610.25</v>
      </c>
    </row>
    <row r="53" spans="2:6" x14ac:dyDescent="0.2">
      <c r="B53" s="605" t="s">
        <v>371</v>
      </c>
      <c r="C53" s="600">
        <v>978475.59</v>
      </c>
      <c r="D53" s="595">
        <v>11523352.17</v>
      </c>
      <c r="E53" s="595">
        <v>12364670.48</v>
      </c>
      <c r="F53" s="600">
        <v>137157.28</v>
      </c>
    </row>
    <row r="54" spans="2:6" x14ac:dyDescent="0.2">
      <c r="B54" s="605" t="s">
        <v>1013</v>
      </c>
      <c r="C54" s="600">
        <v>0.02</v>
      </c>
      <c r="D54" s="595">
        <v>5761676.46</v>
      </c>
      <c r="E54" s="595">
        <v>5761676.4800000004</v>
      </c>
      <c r="F54" s="600"/>
    </row>
    <row r="55" spans="2:6" x14ac:dyDescent="0.2">
      <c r="B55" s="605" t="s">
        <v>375</v>
      </c>
      <c r="C55" s="600">
        <v>0.01</v>
      </c>
      <c r="D55" s="595">
        <v>82437.73</v>
      </c>
      <c r="E55" s="595">
        <v>82437.740000000005</v>
      </c>
      <c r="F55" s="600"/>
    </row>
    <row r="56" spans="2:6" x14ac:dyDescent="0.2">
      <c r="B56" s="605" t="s">
        <v>379</v>
      </c>
      <c r="C56" s="600"/>
      <c r="D56" s="595">
        <v>5596802</v>
      </c>
      <c r="E56" s="595">
        <v>5596802</v>
      </c>
      <c r="F56" s="600"/>
    </row>
    <row r="57" spans="2:6" x14ac:dyDescent="0.2">
      <c r="B57" s="605" t="s">
        <v>383</v>
      </c>
      <c r="C57" s="600">
        <v>0.01</v>
      </c>
      <c r="D57" s="595">
        <v>82436.73</v>
      </c>
      <c r="E57" s="595">
        <v>82436.740000000005</v>
      </c>
      <c r="F57" s="600"/>
    </row>
    <row r="58" spans="2:6" x14ac:dyDescent="0.2">
      <c r="B58" s="605" t="s">
        <v>373</v>
      </c>
      <c r="C58" s="600">
        <v>53010.81</v>
      </c>
      <c r="D58" s="595">
        <v>82437.33</v>
      </c>
      <c r="E58" s="595">
        <v>67062</v>
      </c>
      <c r="F58" s="600">
        <v>68386.14</v>
      </c>
    </row>
    <row r="59" spans="2:6" x14ac:dyDescent="0.2">
      <c r="B59" s="605" t="s">
        <v>377</v>
      </c>
      <c r="C59" s="600">
        <v>872453.95</v>
      </c>
      <c r="D59" s="595">
        <v>5596801.0499999998</v>
      </c>
      <c r="E59" s="595">
        <v>6468870</v>
      </c>
      <c r="F59" s="600">
        <v>385</v>
      </c>
    </row>
    <row r="60" spans="2:6" x14ac:dyDescent="0.2">
      <c r="B60" s="605" t="s">
        <v>381</v>
      </c>
      <c r="C60" s="600">
        <v>53010.81</v>
      </c>
      <c r="D60" s="595">
        <v>82437.33</v>
      </c>
      <c r="E60" s="595">
        <v>67062</v>
      </c>
      <c r="F60" s="600">
        <v>68386.14</v>
      </c>
    </row>
    <row r="61" spans="2:6" x14ac:dyDescent="0.2">
      <c r="B61" s="596" t="s">
        <v>856</v>
      </c>
      <c r="C61" s="600">
        <v>46397</v>
      </c>
      <c r="D61" s="595">
        <v>882663</v>
      </c>
      <c r="E61" s="595">
        <v>46397</v>
      </c>
      <c r="F61" s="600">
        <v>882663</v>
      </c>
    </row>
    <row r="62" spans="2:6" x14ac:dyDescent="0.2">
      <c r="B62" s="599" t="s">
        <v>857</v>
      </c>
      <c r="C62" s="600">
        <v>46397</v>
      </c>
      <c r="D62" s="593">
        <v>16663</v>
      </c>
      <c r="E62" s="593">
        <v>46397</v>
      </c>
      <c r="F62" s="600">
        <v>16663</v>
      </c>
    </row>
    <row r="63" spans="2:6" x14ac:dyDescent="0.2">
      <c r="B63" s="599" t="s">
        <v>858</v>
      </c>
      <c r="C63" s="592"/>
      <c r="D63" s="593">
        <v>866000</v>
      </c>
      <c r="E63" s="589"/>
      <c r="F63" s="600">
        <v>866000</v>
      </c>
    </row>
    <row r="64" spans="2:6" x14ac:dyDescent="0.2">
      <c r="B64" s="590" t="s">
        <v>395</v>
      </c>
      <c r="C64" s="603">
        <v>249</v>
      </c>
      <c r="D64" s="592"/>
      <c r="E64" s="592"/>
      <c r="F64" s="603">
        <v>249</v>
      </c>
    </row>
    <row r="65" spans="2:6" x14ac:dyDescent="0.2">
      <c r="B65" s="587" t="s">
        <v>571</v>
      </c>
      <c r="C65" s="594"/>
      <c r="D65" s="589"/>
      <c r="E65" s="593">
        <v>43300000</v>
      </c>
      <c r="F65" s="588">
        <v>43300000</v>
      </c>
    </row>
    <row r="66" spans="2:6" x14ac:dyDescent="0.2">
      <c r="B66" s="590" t="s">
        <v>573</v>
      </c>
      <c r="C66" s="589"/>
      <c r="D66" s="592"/>
      <c r="E66" s="595">
        <v>43300000</v>
      </c>
      <c r="F66" s="591">
        <v>43300000</v>
      </c>
    </row>
    <row r="67" spans="2:6" x14ac:dyDescent="0.2">
      <c r="B67" s="587" t="s">
        <v>483</v>
      </c>
      <c r="C67" s="594"/>
      <c r="D67" s="593">
        <v>37201440.259999998</v>
      </c>
      <c r="E67" s="593">
        <v>6834420</v>
      </c>
      <c r="F67" s="602">
        <v>30367020.260000002</v>
      </c>
    </row>
    <row r="68" spans="2:6" x14ac:dyDescent="0.2">
      <c r="B68" s="596" t="s">
        <v>493</v>
      </c>
      <c r="C68" s="592"/>
      <c r="D68" s="595">
        <v>37201440.259999998</v>
      </c>
      <c r="E68" s="595">
        <v>6834420</v>
      </c>
      <c r="F68" s="600">
        <v>30367020.260000002</v>
      </c>
    </row>
    <row r="69" spans="2:6" x14ac:dyDescent="0.2">
      <c r="B69" s="598" t="s">
        <v>486</v>
      </c>
      <c r="C69" s="592"/>
      <c r="D69" s="593">
        <v>36679066</v>
      </c>
      <c r="E69" s="593">
        <v>6103260</v>
      </c>
      <c r="F69" s="600">
        <v>30575806</v>
      </c>
    </row>
    <row r="70" spans="2:6" x14ac:dyDescent="0.2">
      <c r="B70" s="599" t="s">
        <v>495</v>
      </c>
      <c r="C70" s="592"/>
      <c r="D70" s="593">
        <v>58493.26</v>
      </c>
      <c r="E70" s="593">
        <v>731160</v>
      </c>
      <c r="F70" s="597">
        <v>672666.74</v>
      </c>
    </row>
    <row r="71" spans="2:6" x14ac:dyDescent="0.2">
      <c r="B71" s="320"/>
      <c r="C71" s="592"/>
      <c r="D71" s="593">
        <v>463881</v>
      </c>
      <c r="E71" s="589"/>
      <c r="F71" s="600">
        <v>463881</v>
      </c>
    </row>
    <row r="72" spans="2:6" x14ac:dyDescent="0.2">
      <c r="B72" s="587" t="s">
        <v>559</v>
      </c>
      <c r="C72" s="594"/>
      <c r="D72" s="593">
        <v>7.37</v>
      </c>
      <c r="E72" s="593">
        <v>224177.18</v>
      </c>
      <c r="F72" s="588">
        <v>224169.81</v>
      </c>
    </row>
    <row r="73" spans="2:6" x14ac:dyDescent="0.2">
      <c r="B73" s="590" t="s">
        <v>561</v>
      </c>
      <c r="C73" s="589"/>
      <c r="D73" s="592"/>
      <c r="E73" s="595">
        <v>166630</v>
      </c>
      <c r="F73" s="591">
        <v>166630</v>
      </c>
    </row>
    <row r="74" spans="2:6" x14ac:dyDescent="0.2">
      <c r="B74" s="590" t="s">
        <v>862</v>
      </c>
      <c r="C74" s="589"/>
      <c r="D74" s="592"/>
      <c r="E74" s="595">
        <v>57547</v>
      </c>
      <c r="F74" s="591">
        <v>57547</v>
      </c>
    </row>
    <row r="75" spans="2:6" x14ac:dyDescent="0.2">
      <c r="B75" s="590" t="s">
        <v>15</v>
      </c>
      <c r="C75" s="589"/>
      <c r="D75" s="595">
        <v>7.37</v>
      </c>
      <c r="E75" s="595">
        <v>0.18</v>
      </c>
      <c r="F75" s="603">
        <v>7.19</v>
      </c>
    </row>
    <row r="76" spans="2:6" x14ac:dyDescent="0.2">
      <c r="B76" s="587" t="s">
        <v>509</v>
      </c>
      <c r="C76" s="594"/>
      <c r="D76" s="593">
        <v>4473911.33</v>
      </c>
      <c r="E76" s="593">
        <v>2000</v>
      </c>
      <c r="F76" s="602">
        <v>4471911.33</v>
      </c>
    </row>
    <row r="77" spans="2:6" x14ac:dyDescent="0.2">
      <c r="B77" s="596" t="s">
        <v>548</v>
      </c>
      <c r="C77" s="592"/>
      <c r="D77" s="595">
        <v>53387.17</v>
      </c>
      <c r="E77" s="595">
        <v>2000</v>
      </c>
      <c r="F77" s="600">
        <v>51387.17</v>
      </c>
    </row>
    <row r="78" spans="2:6" x14ac:dyDescent="0.2">
      <c r="B78" s="598" t="s">
        <v>548</v>
      </c>
      <c r="C78" s="592"/>
      <c r="D78" s="593">
        <v>48387.17</v>
      </c>
      <c r="E78" s="593">
        <v>2000</v>
      </c>
      <c r="F78" s="600">
        <v>46387.17</v>
      </c>
    </row>
    <row r="79" spans="2:6" x14ac:dyDescent="0.2">
      <c r="B79" s="599" t="s">
        <v>550</v>
      </c>
      <c r="C79" s="592"/>
      <c r="D79" s="593">
        <v>5000</v>
      </c>
      <c r="E79" s="589"/>
      <c r="F79" s="600">
        <v>5000</v>
      </c>
    </row>
    <row r="80" spans="2:6" x14ac:dyDescent="0.2">
      <c r="B80" s="596" t="s">
        <v>517</v>
      </c>
      <c r="C80" s="592"/>
      <c r="D80" s="595">
        <v>11854</v>
      </c>
      <c r="E80" s="592"/>
      <c r="F80" s="600">
        <v>11854</v>
      </c>
    </row>
    <row r="81" spans="2:6" x14ac:dyDescent="0.2">
      <c r="B81" s="598" t="s">
        <v>528</v>
      </c>
      <c r="C81" s="592"/>
      <c r="D81" s="593">
        <v>824</v>
      </c>
      <c r="E81" s="589"/>
      <c r="F81" s="600">
        <v>824</v>
      </c>
    </row>
    <row r="82" spans="2:6" x14ac:dyDescent="0.2">
      <c r="B82" s="599" t="s">
        <v>554</v>
      </c>
      <c r="C82" s="592"/>
      <c r="D82" s="593">
        <v>10000</v>
      </c>
      <c r="E82" s="589"/>
      <c r="F82" s="600">
        <v>10000</v>
      </c>
    </row>
    <row r="83" spans="2:6" x14ac:dyDescent="0.2">
      <c r="B83" s="598" t="s">
        <v>556</v>
      </c>
      <c r="C83" s="592"/>
      <c r="D83" s="593">
        <v>1030</v>
      </c>
      <c r="E83" s="589"/>
      <c r="F83" s="600">
        <v>1030</v>
      </c>
    </row>
    <row r="84" spans="2:6" x14ac:dyDescent="0.2">
      <c r="B84" s="590" t="s">
        <v>508</v>
      </c>
      <c r="C84" s="589"/>
      <c r="D84" s="595">
        <v>125000</v>
      </c>
      <c r="E84" s="592"/>
      <c r="F84" s="603">
        <v>125000</v>
      </c>
    </row>
    <row r="85" spans="2:6" x14ac:dyDescent="0.2">
      <c r="B85" s="590" t="s">
        <v>513</v>
      </c>
      <c r="C85" s="589"/>
      <c r="D85" s="595">
        <v>8252.92</v>
      </c>
      <c r="E85" s="592"/>
      <c r="F85" s="603">
        <v>8252.92</v>
      </c>
    </row>
    <row r="86" spans="2:6" x14ac:dyDescent="0.2">
      <c r="B86" s="590" t="s">
        <v>515</v>
      </c>
      <c r="C86" s="589"/>
      <c r="D86" s="595">
        <v>6000</v>
      </c>
      <c r="E86" s="592"/>
      <c r="F86" s="603">
        <v>6000</v>
      </c>
    </row>
    <row r="87" spans="2:6" x14ac:dyDescent="0.2">
      <c r="B87" s="590" t="s">
        <v>986</v>
      </c>
      <c r="C87" s="589"/>
      <c r="D87" s="595">
        <v>1000</v>
      </c>
      <c r="E87" s="592"/>
      <c r="F87" s="603">
        <v>1000</v>
      </c>
    </row>
    <row r="88" spans="2:6" x14ac:dyDescent="0.2">
      <c r="B88" s="590" t="s">
        <v>240</v>
      </c>
      <c r="C88" s="589"/>
      <c r="D88" s="595">
        <v>2512.2800000000002</v>
      </c>
      <c r="E88" s="592"/>
      <c r="F88" s="603">
        <v>2512.2800000000002</v>
      </c>
    </row>
    <row r="89" spans="2:6" x14ac:dyDescent="0.2">
      <c r="B89" s="590" t="s">
        <v>524</v>
      </c>
      <c r="C89" s="589"/>
      <c r="D89" s="595">
        <v>60</v>
      </c>
      <c r="E89" s="592"/>
      <c r="F89" s="603">
        <v>60</v>
      </c>
    </row>
    <row r="90" spans="2:6" x14ac:dyDescent="0.2">
      <c r="B90" s="590" t="s">
        <v>987</v>
      </c>
      <c r="C90" s="589"/>
      <c r="D90" s="595">
        <v>194</v>
      </c>
      <c r="E90" s="592"/>
      <c r="F90" s="603">
        <v>194</v>
      </c>
    </row>
    <row r="91" spans="2:6" x14ac:dyDescent="0.2">
      <c r="B91" s="590" t="s">
        <v>526</v>
      </c>
      <c r="C91" s="589"/>
      <c r="D91" s="595">
        <v>3593663.96</v>
      </c>
      <c r="E91" s="592"/>
      <c r="F91" s="603">
        <v>3593663.96</v>
      </c>
    </row>
    <row r="92" spans="2:6" x14ac:dyDescent="0.2">
      <c r="B92" s="590" t="s">
        <v>534</v>
      </c>
      <c r="C92" s="589"/>
      <c r="D92" s="595">
        <v>206000</v>
      </c>
      <c r="E92" s="592"/>
      <c r="F92" s="603">
        <v>206000</v>
      </c>
    </row>
    <row r="93" spans="2:6" x14ac:dyDescent="0.2">
      <c r="B93" s="590" t="s">
        <v>536</v>
      </c>
      <c r="C93" s="589"/>
      <c r="D93" s="595">
        <v>141600</v>
      </c>
      <c r="E93" s="592"/>
      <c r="F93" s="603">
        <v>141600</v>
      </c>
    </row>
    <row r="94" spans="2:6" x14ac:dyDescent="0.2">
      <c r="B94" s="590" t="s">
        <v>538</v>
      </c>
      <c r="C94" s="589"/>
      <c r="D94" s="595">
        <v>320000</v>
      </c>
      <c r="E94" s="592"/>
      <c r="F94" s="603">
        <v>320000</v>
      </c>
    </row>
    <row r="95" spans="2:6" x14ac:dyDescent="0.2">
      <c r="B95" s="590" t="s">
        <v>540</v>
      </c>
      <c r="C95" s="589"/>
      <c r="D95" s="595">
        <v>4387</v>
      </c>
      <c r="E95" s="592"/>
      <c r="F95" s="603">
        <v>4387</v>
      </c>
    </row>
    <row r="96" spans="2:6" x14ac:dyDescent="0.2">
      <c r="B96" s="606" t="s">
        <v>567</v>
      </c>
      <c r="C96" s="600">
        <v>3782366.69</v>
      </c>
      <c r="D96" s="589"/>
      <c r="E96" s="589"/>
      <c r="F96" s="600">
        <v>3782366.69</v>
      </c>
    </row>
    <row r="97" spans="2:6" x14ac:dyDescent="0.2">
      <c r="B97" s="584" t="s">
        <v>604</v>
      </c>
      <c r="C97" s="594"/>
      <c r="D97" s="607">
        <v>241668964.28999999</v>
      </c>
      <c r="E97" s="607">
        <v>241668964.28999999</v>
      </c>
      <c r="F97" s="594"/>
    </row>
  </sheetData>
  <mergeCells count="6">
    <mergeCell ref="D7:E7"/>
    <mergeCell ref="B2:D2"/>
    <mergeCell ref="B3:D3"/>
    <mergeCell ref="B4:D4"/>
    <mergeCell ref="C5:F5"/>
    <mergeCell ref="C6:F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03"/>
  <sheetViews>
    <sheetView showGridLines="0" tabSelected="1" zoomScale="90" zoomScaleNormal="90" workbookViewId="0">
      <selection activeCell="G1" sqref="G1"/>
    </sheetView>
  </sheetViews>
  <sheetFormatPr defaultColWidth="9.140625" defaultRowHeight="18.75" customHeight="1" x14ac:dyDescent="0.2"/>
  <cols>
    <col min="1" max="1" width="2.85546875" style="136" bestFit="1" customWidth="1"/>
    <col min="2" max="2" width="86.28515625" style="136" bestFit="1" customWidth="1"/>
    <col min="3" max="3" width="23.140625" style="151" customWidth="1"/>
    <col min="4" max="4" width="20.42578125" style="151" customWidth="1"/>
    <col min="5" max="5" width="19.85546875" style="151" customWidth="1"/>
    <col min="6" max="6" width="16.28515625" style="151" bestFit="1" customWidth="1"/>
    <col min="7" max="7" width="15.7109375" style="151" customWidth="1"/>
    <col min="8" max="8" width="19.85546875" style="151" customWidth="1"/>
    <col min="9" max="9" width="6.140625" style="136" bestFit="1" customWidth="1"/>
    <col min="10" max="10" width="18.42578125" style="136" bestFit="1" customWidth="1"/>
    <col min="11" max="16384" width="9.140625" style="136"/>
  </cols>
  <sheetData>
    <row r="1" spans="2:9" ht="18.75" customHeight="1" thickBot="1" x14ac:dyDescent="0.25"/>
    <row r="2" spans="2:9" ht="18.75" customHeight="1" x14ac:dyDescent="0.2">
      <c r="B2" s="336" t="s">
        <v>579</v>
      </c>
      <c r="C2" s="337"/>
      <c r="D2" s="337"/>
      <c r="E2" s="337"/>
      <c r="F2" s="337"/>
      <c r="G2" s="337"/>
      <c r="H2" s="338"/>
    </row>
    <row r="3" spans="2:9" ht="18.75" customHeight="1" x14ac:dyDescent="0.2">
      <c r="B3" s="339" t="str">
        <f>'Master Sheet'!C9&amp;'Master Sheet'!C10&amp;'Master Sheet'!C11&amp;'Master Sheet'!C12</f>
        <v>A5 second floor,Rajeswari Apartments, 45 Vellalar street, Kodambakkam,Chennai- 600024.</v>
      </c>
      <c r="C3" s="340"/>
      <c r="D3" s="340"/>
      <c r="E3" s="340"/>
      <c r="F3" s="340"/>
      <c r="G3" s="340"/>
      <c r="H3" s="341"/>
      <c r="I3" s="342"/>
    </row>
    <row r="4" spans="2:9" ht="18.75" customHeight="1" x14ac:dyDescent="0.2">
      <c r="B4" s="339" t="str">
        <f>'Master Sheet'!C38</f>
        <v>U29100TN2020PTC135386</v>
      </c>
      <c r="C4" s="340"/>
      <c r="D4" s="340"/>
      <c r="E4" s="340"/>
      <c r="F4" s="340"/>
      <c r="G4" s="340"/>
      <c r="H4" s="341"/>
      <c r="I4" s="342"/>
    </row>
    <row r="5" spans="2:9" ht="18.75" customHeight="1" thickBot="1" x14ac:dyDescent="0.25">
      <c r="B5" s="343" t="s">
        <v>990</v>
      </c>
      <c r="C5" s="344"/>
      <c r="D5" s="344"/>
      <c r="E5" s="344"/>
      <c r="F5" s="344"/>
      <c r="G5" s="344"/>
      <c r="H5" s="345"/>
    </row>
    <row r="6" spans="2:9" ht="18.75" customHeight="1" thickBot="1" x14ac:dyDescent="0.25">
      <c r="I6" s="98"/>
    </row>
    <row r="7" spans="2:9" ht="18.75" customHeight="1" thickBot="1" x14ac:dyDescent="0.25">
      <c r="B7" s="396" t="s">
        <v>53</v>
      </c>
      <c r="C7" s="621" t="s">
        <v>991</v>
      </c>
      <c r="D7" s="622"/>
      <c r="E7" s="619" t="s">
        <v>960</v>
      </c>
      <c r="F7" s="620"/>
      <c r="G7" s="671" t="s">
        <v>992</v>
      </c>
      <c r="H7" s="672"/>
      <c r="I7" s="392"/>
    </row>
    <row r="8" spans="2:9" ht="18.75" customHeight="1" thickBot="1" x14ac:dyDescent="0.25">
      <c r="B8" s="346"/>
      <c r="C8" s="393" t="s">
        <v>602</v>
      </c>
      <c r="D8" s="394" t="s">
        <v>603</v>
      </c>
      <c r="E8" s="393" t="s">
        <v>602</v>
      </c>
      <c r="F8" s="393" t="s">
        <v>603</v>
      </c>
      <c r="G8" s="391" t="s">
        <v>602</v>
      </c>
      <c r="H8" s="393" t="s">
        <v>603</v>
      </c>
    </row>
    <row r="9" spans="2:9" ht="18.75" customHeight="1" thickBot="1" x14ac:dyDescent="0.25">
      <c r="B9" s="453"/>
      <c r="C9" s="121"/>
      <c r="D9" s="122"/>
      <c r="E9" s="121"/>
      <c r="F9" s="121"/>
      <c r="G9" s="123"/>
      <c r="H9" s="123"/>
    </row>
    <row r="10" spans="2:9" ht="18.75" customHeight="1" x14ac:dyDescent="0.2">
      <c r="B10" s="454" t="s">
        <v>354</v>
      </c>
      <c r="C10" s="124"/>
      <c r="D10" s="125"/>
      <c r="E10" s="124"/>
      <c r="F10" s="124"/>
      <c r="G10" s="126"/>
      <c r="H10" s="126"/>
    </row>
    <row r="11" spans="2:9" ht="18.75" customHeight="1" x14ac:dyDescent="0.2">
      <c r="B11" s="442" t="s">
        <v>866</v>
      </c>
      <c r="C11" s="124"/>
      <c r="D11" s="125">
        <f>Sheet1!C10</f>
        <v>1500000</v>
      </c>
      <c r="E11" s="124">
        <f>TB!C8</f>
        <v>0</v>
      </c>
      <c r="F11" s="124">
        <f>TB!D8</f>
        <v>0</v>
      </c>
      <c r="G11" s="458">
        <f>C11+E11-F11</f>
        <v>0</v>
      </c>
      <c r="H11" s="458">
        <f>D11+F11-E11</f>
        <v>1500000</v>
      </c>
    </row>
    <row r="12" spans="2:9" ht="18.75" customHeight="1" x14ac:dyDescent="0.2">
      <c r="B12" s="441" t="s">
        <v>565</v>
      </c>
      <c r="C12" s="124"/>
      <c r="D12" s="125"/>
      <c r="E12" s="124">
        <f>TB!C9</f>
        <v>0</v>
      </c>
      <c r="F12" s="124">
        <f>TB!D9</f>
        <v>0</v>
      </c>
      <c r="G12" s="126">
        <f t="shared" ref="G12:G85" si="0">C12+E12-F12</f>
        <v>0</v>
      </c>
      <c r="H12" s="126">
        <f t="shared" ref="H12:H84" si="1">D12+F12-E12</f>
        <v>0</v>
      </c>
    </row>
    <row r="13" spans="2:9" ht="18.75" customHeight="1" x14ac:dyDescent="0.2">
      <c r="B13" s="442" t="s">
        <v>564</v>
      </c>
      <c r="C13" s="124"/>
      <c r="D13" s="125">
        <f>Sheet1!C12</f>
        <v>11540575</v>
      </c>
      <c r="E13" s="124">
        <f>Sheet1!D12</f>
        <v>11540575</v>
      </c>
      <c r="F13" s="124"/>
      <c r="G13" s="126">
        <v>0</v>
      </c>
      <c r="H13" s="126">
        <f t="shared" si="1"/>
        <v>0</v>
      </c>
    </row>
    <row r="14" spans="2:9" ht="18.75" customHeight="1" x14ac:dyDescent="0.2">
      <c r="B14" s="441" t="s">
        <v>393</v>
      </c>
      <c r="C14" s="124"/>
      <c r="D14" s="125"/>
      <c r="E14" s="124"/>
      <c r="F14" s="124"/>
      <c r="G14" s="126">
        <f t="shared" si="0"/>
        <v>0</v>
      </c>
      <c r="H14" s="126">
        <f t="shared" si="1"/>
        <v>0</v>
      </c>
    </row>
    <row r="15" spans="2:9" ht="18.75" customHeight="1" x14ac:dyDescent="0.2">
      <c r="B15" s="441" t="s">
        <v>458</v>
      </c>
      <c r="C15" s="124"/>
      <c r="D15" s="125"/>
      <c r="E15" s="124"/>
      <c r="F15" s="124"/>
      <c r="G15" s="126">
        <f t="shared" si="0"/>
        <v>0</v>
      </c>
      <c r="H15" s="126">
        <f t="shared" si="1"/>
        <v>0</v>
      </c>
    </row>
    <row r="16" spans="2:9" ht="18.75" customHeight="1" x14ac:dyDescent="0.2">
      <c r="B16" s="441" t="s">
        <v>457</v>
      </c>
      <c r="C16" s="124"/>
      <c r="D16" s="125">
        <f>Sheet1!C15</f>
        <v>1800</v>
      </c>
      <c r="E16" s="124">
        <f>Sheet1!D15</f>
        <v>5616712</v>
      </c>
      <c r="F16" s="124">
        <f>Sheet1!E15</f>
        <v>5616712</v>
      </c>
      <c r="G16" s="126"/>
      <c r="H16" s="458">
        <f t="shared" si="1"/>
        <v>1800</v>
      </c>
    </row>
    <row r="17" spans="2:9" ht="18.75" customHeight="1" x14ac:dyDescent="0.2">
      <c r="B17" s="442" t="s">
        <v>993</v>
      </c>
      <c r="C17" s="124"/>
      <c r="D17" s="125"/>
      <c r="E17" s="124">
        <f>Sheet1!D16</f>
        <v>3897000</v>
      </c>
      <c r="F17" s="124">
        <f>Sheet1!E16</f>
        <v>3897000</v>
      </c>
      <c r="G17" s="126"/>
      <c r="H17" s="126"/>
    </row>
    <row r="18" spans="2:9" ht="18.75" customHeight="1" x14ac:dyDescent="0.2">
      <c r="B18" s="442" t="s">
        <v>994</v>
      </c>
      <c r="C18" s="124"/>
      <c r="D18" s="125"/>
      <c r="E18" s="124">
        <f>Sheet1!D17</f>
        <v>3897000</v>
      </c>
      <c r="F18" s="124">
        <f>Sheet1!E17</f>
        <v>3897000</v>
      </c>
      <c r="G18" s="126"/>
      <c r="H18" s="126"/>
    </row>
    <row r="19" spans="2:9" ht="18.75" customHeight="1" x14ac:dyDescent="0.2">
      <c r="B19" s="442" t="s">
        <v>468</v>
      </c>
      <c r="C19" s="124"/>
      <c r="D19" s="125"/>
      <c r="E19" s="124">
        <f>Sheet1!D18</f>
        <v>2500</v>
      </c>
      <c r="F19" s="124">
        <f>Sheet1!E18</f>
        <v>2500</v>
      </c>
      <c r="G19" s="126">
        <f t="shared" si="0"/>
        <v>0</v>
      </c>
      <c r="H19" s="126">
        <f t="shared" si="1"/>
        <v>0</v>
      </c>
    </row>
    <row r="20" spans="2:9" ht="18.75" customHeight="1" x14ac:dyDescent="0.2">
      <c r="B20" s="442" t="s">
        <v>1068</v>
      </c>
      <c r="C20" s="124">
        <v>0</v>
      </c>
      <c r="D20" s="125">
        <v>0</v>
      </c>
      <c r="E20" s="124"/>
      <c r="F20" s="124">
        <f>D134</f>
        <v>1255554</v>
      </c>
      <c r="G20" s="126">
        <v>0</v>
      </c>
      <c r="H20" s="126">
        <f t="shared" si="1"/>
        <v>1255554</v>
      </c>
    </row>
    <row r="21" spans="2:9" ht="18.75" customHeight="1" x14ac:dyDescent="0.2">
      <c r="B21" s="442" t="s">
        <v>844</v>
      </c>
      <c r="C21" s="124"/>
      <c r="D21" s="125">
        <f>Sheet1!C19</f>
        <v>230.5</v>
      </c>
      <c r="E21" s="124">
        <f>Sheet1!D19</f>
        <v>10185.5</v>
      </c>
      <c r="F21" s="124">
        <f>Sheet1!E19</f>
        <v>9955</v>
      </c>
      <c r="G21" s="126"/>
      <c r="H21" s="126">
        <f t="shared" si="1"/>
        <v>0</v>
      </c>
    </row>
    <row r="22" spans="2:9" ht="18.75" customHeight="1" x14ac:dyDescent="0.2">
      <c r="B22" s="442" t="s">
        <v>472</v>
      </c>
      <c r="C22" s="124"/>
      <c r="D22" s="125">
        <f>Sheet1!C20</f>
        <v>11700</v>
      </c>
      <c r="E22" s="124">
        <f>Sheet1!D20</f>
        <v>27200</v>
      </c>
      <c r="F22" s="124">
        <f>Sheet1!E20</f>
        <v>31500</v>
      </c>
      <c r="G22" s="126"/>
      <c r="H22" s="458">
        <f t="shared" si="1"/>
        <v>16000</v>
      </c>
    </row>
    <row r="23" spans="2:9" ht="18.75" customHeight="1" x14ac:dyDescent="0.2">
      <c r="B23" s="441" t="s">
        <v>480</v>
      </c>
      <c r="C23" s="124"/>
      <c r="D23" s="125"/>
      <c r="E23" s="124"/>
      <c r="F23" s="124"/>
      <c r="G23" s="126"/>
      <c r="H23" s="126">
        <f t="shared" si="1"/>
        <v>0</v>
      </c>
    </row>
    <row r="24" spans="2:9" ht="18.75" customHeight="1" x14ac:dyDescent="0.2">
      <c r="B24" s="442" t="s">
        <v>1012</v>
      </c>
      <c r="C24" s="124"/>
      <c r="D24" s="125"/>
      <c r="E24" s="124">
        <f>Sheet1!D22</f>
        <v>27181386.120000001</v>
      </c>
      <c r="F24" s="124">
        <f>Sheet1!E22</f>
        <v>27181386.120000001</v>
      </c>
      <c r="G24" s="126"/>
      <c r="H24" s="126"/>
    </row>
    <row r="25" spans="2:9" ht="18.75" customHeight="1" x14ac:dyDescent="0.2">
      <c r="B25" s="442" t="s">
        <v>1011</v>
      </c>
      <c r="C25" s="124"/>
      <c r="D25" s="125"/>
      <c r="E25" s="124">
        <f>C128</f>
        <v>3902568</v>
      </c>
      <c r="F25" s="124">
        <f>Sheet1!E23</f>
        <v>3902568</v>
      </c>
      <c r="G25" s="126"/>
      <c r="H25" s="126"/>
    </row>
    <row r="26" spans="2:9" ht="18.75" customHeight="1" x14ac:dyDescent="0.2">
      <c r="B26" s="441" t="s">
        <v>405</v>
      </c>
      <c r="C26" s="124"/>
      <c r="D26" s="125"/>
      <c r="E26" s="124"/>
      <c r="F26" s="124"/>
      <c r="G26" s="126">
        <f t="shared" si="0"/>
        <v>0</v>
      </c>
      <c r="H26" s="126">
        <f t="shared" si="1"/>
        <v>0</v>
      </c>
    </row>
    <row r="27" spans="2:9" ht="18.75" customHeight="1" x14ac:dyDescent="0.2">
      <c r="B27" s="442" t="s">
        <v>407</v>
      </c>
      <c r="C27" s="124"/>
      <c r="D27" s="125">
        <f>Sheet1!C27</f>
        <v>74250</v>
      </c>
      <c r="E27" s="124">
        <f>Sheet1!D27</f>
        <v>74250</v>
      </c>
      <c r="F27" s="124">
        <f>Sheet1!E27</f>
        <v>112500</v>
      </c>
      <c r="G27" s="126"/>
      <c r="H27" s="458">
        <f t="shared" si="1"/>
        <v>112500</v>
      </c>
    </row>
    <row r="28" spans="2:9" ht="18.75" customHeight="1" x14ac:dyDescent="0.2">
      <c r="B28" s="442" t="s">
        <v>995</v>
      </c>
      <c r="C28" s="124"/>
      <c r="D28" s="125"/>
      <c r="E28" s="124">
        <f>Sheet1!D25</f>
        <v>6558750</v>
      </c>
      <c r="F28" s="124">
        <f>Sheet1!E25</f>
        <v>6558750</v>
      </c>
      <c r="G28" s="126">
        <f t="shared" si="0"/>
        <v>0</v>
      </c>
      <c r="H28" s="126">
        <f t="shared" si="1"/>
        <v>0</v>
      </c>
    </row>
    <row r="29" spans="2:9" ht="18.75" customHeight="1" x14ac:dyDescent="0.2">
      <c r="B29" s="442" t="s">
        <v>996</v>
      </c>
      <c r="C29" s="124"/>
      <c r="D29" s="125"/>
      <c r="E29" s="124">
        <f>Sheet1!D26</f>
        <v>236</v>
      </c>
      <c r="F29" s="124">
        <f>Sheet1!E26+D124</f>
        <v>1414.82</v>
      </c>
      <c r="G29" s="126"/>
      <c r="H29" s="126">
        <f t="shared" si="1"/>
        <v>1178.82</v>
      </c>
    </row>
    <row r="30" spans="2:9" ht="18.75" customHeight="1" x14ac:dyDescent="0.2">
      <c r="B30" s="442" t="s">
        <v>419</v>
      </c>
      <c r="C30" s="124"/>
      <c r="D30" s="125">
        <f>Sheet1!C28</f>
        <v>1000</v>
      </c>
      <c r="E30" s="124">
        <f>Sheet1!D28</f>
        <v>1000</v>
      </c>
      <c r="F30" s="124">
        <f>D119</f>
        <v>1000</v>
      </c>
      <c r="G30" s="126"/>
      <c r="H30" s="126">
        <f t="shared" si="1"/>
        <v>1000</v>
      </c>
    </row>
    <row r="31" spans="2:9" ht="18.75" customHeight="1" x14ac:dyDescent="0.2">
      <c r="B31" s="442" t="s">
        <v>427</v>
      </c>
      <c r="C31" s="124"/>
      <c r="D31" s="125"/>
      <c r="E31" s="124">
        <f>Sheet1!D29</f>
        <v>1000</v>
      </c>
      <c r="F31" s="124">
        <f>Sheet1!E29</f>
        <v>1000</v>
      </c>
      <c r="G31" s="126">
        <f t="shared" si="0"/>
        <v>0</v>
      </c>
      <c r="H31" s="126">
        <f>D31+F31-E31</f>
        <v>0</v>
      </c>
    </row>
    <row r="32" spans="2:9" ht="18.75" customHeight="1" x14ac:dyDescent="0.2">
      <c r="B32" s="442" t="s">
        <v>847</v>
      </c>
      <c r="C32" s="124"/>
      <c r="D32" s="125"/>
      <c r="E32" s="124">
        <f>Sheet1!D30</f>
        <v>5900</v>
      </c>
      <c r="F32" s="124">
        <f>Sheet1!E30</f>
        <v>5900</v>
      </c>
      <c r="G32" s="126">
        <f t="shared" si="0"/>
        <v>0</v>
      </c>
      <c r="H32" s="126">
        <f t="shared" si="1"/>
        <v>0</v>
      </c>
      <c r="I32" s="334"/>
    </row>
    <row r="33" spans="2:9" ht="18.75" customHeight="1" x14ac:dyDescent="0.2">
      <c r="B33" s="442" t="s">
        <v>439</v>
      </c>
      <c r="C33" s="124"/>
      <c r="D33" s="125">
        <f>Sheet1!C32</f>
        <v>40000</v>
      </c>
      <c r="E33" s="124">
        <f>Sheet1!D32</f>
        <v>357500</v>
      </c>
      <c r="F33" s="124">
        <f>Sheet1!E32</f>
        <v>317500</v>
      </c>
      <c r="G33" s="126"/>
      <c r="H33" s="126">
        <f t="shared" si="1"/>
        <v>0</v>
      </c>
    </row>
    <row r="34" spans="2:9" ht="18.75" customHeight="1" x14ac:dyDescent="0.2">
      <c r="B34" s="442" t="s">
        <v>443</v>
      </c>
      <c r="C34" s="124"/>
      <c r="D34" s="125">
        <f>Sheet1!C34</f>
        <v>6000</v>
      </c>
      <c r="E34" s="124">
        <f>Sheet1!D34</f>
        <v>6000</v>
      </c>
      <c r="F34" s="124">
        <f>Sheet1!E34</f>
        <v>6000</v>
      </c>
      <c r="G34" s="126"/>
      <c r="H34" s="458">
        <f t="shared" si="1"/>
        <v>6000</v>
      </c>
      <c r="I34" s="152"/>
    </row>
    <row r="35" spans="2:9" ht="18.75" customHeight="1" x14ac:dyDescent="0.2">
      <c r="B35" s="442" t="s">
        <v>447</v>
      </c>
      <c r="C35" s="124"/>
      <c r="D35" s="125">
        <v>0</v>
      </c>
      <c r="E35" s="124">
        <f>Sheet1!D35</f>
        <v>89100</v>
      </c>
      <c r="F35" s="124">
        <f>Sheet1!E35</f>
        <v>89100</v>
      </c>
      <c r="G35" s="126">
        <f t="shared" si="0"/>
        <v>0</v>
      </c>
      <c r="H35" s="126">
        <f t="shared" si="1"/>
        <v>0</v>
      </c>
    </row>
    <row r="36" spans="2:9" ht="18.75" customHeight="1" x14ac:dyDescent="0.2">
      <c r="B36" s="442" t="s">
        <v>449</v>
      </c>
      <c r="C36" s="124"/>
      <c r="D36" s="125">
        <v>0</v>
      </c>
      <c r="E36" s="124">
        <f>Sheet1!D36</f>
        <v>207054</v>
      </c>
      <c r="F36" s="124">
        <f>Sheet1!E36</f>
        <v>207054</v>
      </c>
      <c r="G36" s="126">
        <f t="shared" si="0"/>
        <v>0</v>
      </c>
      <c r="H36" s="126">
        <f t="shared" si="1"/>
        <v>0</v>
      </c>
    </row>
    <row r="37" spans="2:9" ht="18.75" customHeight="1" x14ac:dyDescent="0.2">
      <c r="B37" s="442" t="s">
        <v>453</v>
      </c>
      <c r="C37" s="124"/>
      <c r="D37" s="125"/>
      <c r="E37" s="124">
        <f>Sheet1!D38</f>
        <v>120000</v>
      </c>
      <c r="F37" s="124">
        <f>Sheet1!E38</f>
        <v>120000</v>
      </c>
      <c r="G37" s="126">
        <f t="shared" si="0"/>
        <v>0</v>
      </c>
      <c r="H37" s="126">
        <f t="shared" si="1"/>
        <v>0</v>
      </c>
      <c r="I37" s="334">
        <f>G36+G37</f>
        <v>0</v>
      </c>
    </row>
    <row r="38" spans="2:9" ht="18.75" customHeight="1" x14ac:dyDescent="0.2">
      <c r="B38" s="442" t="s">
        <v>984</v>
      </c>
      <c r="C38" s="124"/>
      <c r="D38" s="125"/>
      <c r="E38" s="124">
        <f>Sheet1!D39</f>
        <v>92800</v>
      </c>
      <c r="F38" s="124">
        <f>Sheet1!E39</f>
        <v>92800</v>
      </c>
      <c r="G38" s="126">
        <f t="shared" si="0"/>
        <v>0</v>
      </c>
      <c r="H38" s="126">
        <f t="shared" si="1"/>
        <v>0</v>
      </c>
    </row>
    <row r="39" spans="2:9" ht="18.75" customHeight="1" x14ac:dyDescent="0.2">
      <c r="B39" s="442" t="s">
        <v>997</v>
      </c>
      <c r="C39" s="124"/>
      <c r="D39" s="125"/>
      <c r="E39" s="124">
        <f>Sheet1!D31</f>
        <v>3902568</v>
      </c>
      <c r="F39" s="124">
        <f>D129</f>
        <v>3902568</v>
      </c>
      <c r="G39" s="126">
        <f>E39-F39</f>
        <v>0</v>
      </c>
      <c r="H39" s="126"/>
    </row>
    <row r="40" spans="2:9" ht="18.75" customHeight="1" x14ac:dyDescent="0.2">
      <c r="B40" s="442" t="s">
        <v>982</v>
      </c>
      <c r="C40" s="124"/>
      <c r="D40" s="125"/>
      <c r="E40" s="124">
        <f>Sheet1!D33</f>
        <v>5900</v>
      </c>
      <c r="F40" s="124">
        <f>Sheet1!E33</f>
        <v>5900</v>
      </c>
      <c r="G40" s="126"/>
      <c r="H40" s="126">
        <f>D40+F40-E40</f>
        <v>0</v>
      </c>
    </row>
    <row r="41" spans="2:9" ht="18.75" customHeight="1" x14ac:dyDescent="0.2">
      <c r="B41" s="442" t="s">
        <v>983</v>
      </c>
      <c r="C41" s="124"/>
      <c r="D41" s="125"/>
      <c r="E41" s="124">
        <f>Sheet1!D37</f>
        <v>484577.08</v>
      </c>
      <c r="F41" s="124">
        <f>Sheet1!E37</f>
        <v>484577.08</v>
      </c>
      <c r="G41" s="126"/>
      <c r="H41" s="126">
        <f>D41+F41-E41</f>
        <v>0</v>
      </c>
    </row>
    <row r="42" spans="2:9" ht="18.75" customHeight="1" x14ac:dyDescent="0.2">
      <c r="B42" s="442" t="s">
        <v>392</v>
      </c>
      <c r="C42" s="124"/>
      <c r="D42" s="125"/>
      <c r="E42" s="124">
        <f>Sheet1!D40</f>
        <v>10000</v>
      </c>
      <c r="F42" s="124">
        <f>Sheet1!E40</f>
        <v>10000</v>
      </c>
      <c r="G42" s="126"/>
      <c r="H42" s="126">
        <f>D42+F42-E42</f>
        <v>0</v>
      </c>
    </row>
    <row r="43" spans="2:9" ht="18.75" customHeight="1" x14ac:dyDescent="0.2">
      <c r="B43" s="442" t="s">
        <v>849</v>
      </c>
      <c r="C43" s="124"/>
      <c r="D43" s="125">
        <f>Sheet1!C41</f>
        <v>236</v>
      </c>
      <c r="E43" s="124">
        <f>Sheet1!D41</f>
        <v>7329.46</v>
      </c>
      <c r="F43" s="124">
        <f>Sheet1!E41</f>
        <v>7093.46</v>
      </c>
      <c r="G43" s="126"/>
      <c r="H43" s="126">
        <f t="shared" si="1"/>
        <v>0</v>
      </c>
      <c r="I43" s="334">
        <f>G43-H38</f>
        <v>0</v>
      </c>
    </row>
    <row r="44" spans="2:9" ht="18.75" customHeight="1" x14ac:dyDescent="0.2">
      <c r="B44" s="443" t="s">
        <v>502</v>
      </c>
      <c r="C44" s="124"/>
      <c r="D44" s="125"/>
      <c r="E44" s="124"/>
      <c r="F44" s="124"/>
      <c r="G44" s="126">
        <f t="shared" si="0"/>
        <v>0</v>
      </c>
      <c r="H44" s="126">
        <f t="shared" si="1"/>
        <v>0</v>
      </c>
    </row>
    <row r="45" spans="2:9" ht="18.75" customHeight="1" x14ac:dyDescent="0.2">
      <c r="B45" s="444" t="s">
        <v>504</v>
      </c>
      <c r="C45" s="124">
        <f>Sheet1!C42-0.28</f>
        <v>2512</v>
      </c>
      <c r="D45" s="125"/>
      <c r="E45" s="124">
        <f>C143</f>
        <v>2512.2800000000002</v>
      </c>
      <c r="F45" s="124">
        <f>Sheet1!E43</f>
        <v>2512.2800000000002</v>
      </c>
      <c r="G45" s="458">
        <f t="shared" si="0"/>
        <v>2512.0000000000005</v>
      </c>
      <c r="H45" s="126"/>
      <c r="I45" s="334"/>
    </row>
    <row r="46" spans="2:9" ht="18.75" customHeight="1" x14ac:dyDescent="0.2">
      <c r="B46" s="443" t="s">
        <v>360</v>
      </c>
      <c r="C46" s="124"/>
      <c r="D46" s="125"/>
      <c r="E46" s="124"/>
      <c r="F46" s="124"/>
      <c r="G46" s="126">
        <f t="shared" si="0"/>
        <v>0</v>
      </c>
      <c r="H46" s="126"/>
    </row>
    <row r="47" spans="2:9" ht="18.75" customHeight="1" x14ac:dyDescent="0.2">
      <c r="B47" s="445" t="s">
        <v>999</v>
      </c>
      <c r="C47" s="124"/>
      <c r="D47" s="125"/>
      <c r="E47" s="124"/>
      <c r="F47" s="124"/>
      <c r="G47" s="126"/>
      <c r="H47" s="126"/>
    </row>
    <row r="48" spans="2:9" ht="18.75" customHeight="1" x14ac:dyDescent="0.2">
      <c r="B48" s="446" t="s">
        <v>851</v>
      </c>
      <c r="C48" s="124">
        <v>0</v>
      </c>
      <c r="D48" s="125"/>
      <c r="E48" s="124">
        <f>Sheet1!D46</f>
        <v>9800000</v>
      </c>
      <c r="F48" s="124">
        <f>Sheet1!E46</f>
        <v>9800000</v>
      </c>
      <c r="G48" s="126">
        <f t="shared" si="0"/>
        <v>0</v>
      </c>
      <c r="H48" s="126">
        <f t="shared" si="1"/>
        <v>0</v>
      </c>
      <c r="I48" s="152"/>
    </row>
    <row r="49" spans="2:10" ht="18.75" customHeight="1" x14ac:dyDescent="0.2">
      <c r="B49" s="445" t="s">
        <v>852</v>
      </c>
      <c r="C49" s="124">
        <v>0</v>
      </c>
      <c r="D49" s="125"/>
      <c r="E49" s="124"/>
      <c r="F49" s="124"/>
      <c r="G49" s="126">
        <f t="shared" si="0"/>
        <v>0</v>
      </c>
      <c r="H49" s="126">
        <f t="shared" si="1"/>
        <v>0</v>
      </c>
    </row>
    <row r="50" spans="2:10" ht="18.75" customHeight="1" x14ac:dyDescent="0.2">
      <c r="B50" s="446" t="s">
        <v>853</v>
      </c>
      <c r="C50" s="124">
        <f>Sheet1!C48</f>
        <v>1000000</v>
      </c>
      <c r="D50" s="125"/>
      <c r="E50" s="124">
        <f>Sheet1!D48</f>
        <v>1450000</v>
      </c>
      <c r="F50" s="124">
        <f>Sheet1!E48</f>
        <v>1000000</v>
      </c>
      <c r="G50" s="458">
        <f t="shared" si="0"/>
        <v>1450000</v>
      </c>
      <c r="H50" s="126"/>
    </row>
    <row r="51" spans="2:10" ht="18.75" customHeight="1" x14ac:dyDescent="0.2">
      <c r="B51" s="446" t="s">
        <v>854</v>
      </c>
      <c r="C51" s="124">
        <f>Sheet1!C49</f>
        <v>492</v>
      </c>
      <c r="D51" s="125"/>
      <c r="E51" s="124"/>
      <c r="F51" s="124"/>
      <c r="G51" s="458">
        <f>Sheet1!F49</f>
        <v>492</v>
      </c>
      <c r="H51" s="126"/>
    </row>
    <row r="52" spans="2:10" ht="18.75" customHeight="1" x14ac:dyDescent="0.2">
      <c r="B52" s="445" t="s">
        <v>386</v>
      </c>
      <c r="C52" s="124"/>
      <c r="D52" s="125"/>
      <c r="E52" s="124">
        <f>Sheet1!D50</f>
        <v>50228000</v>
      </c>
      <c r="F52" s="124">
        <f>Sheet1!E50</f>
        <v>50228000</v>
      </c>
      <c r="G52" s="126">
        <f t="shared" si="0"/>
        <v>0</v>
      </c>
      <c r="H52" s="126"/>
    </row>
    <row r="53" spans="2:10" ht="18.75" customHeight="1" x14ac:dyDescent="0.2">
      <c r="B53" s="447" t="s">
        <v>359</v>
      </c>
      <c r="C53" s="124"/>
      <c r="D53" s="125"/>
      <c r="E53" s="124"/>
      <c r="F53" s="124"/>
      <c r="G53" s="126">
        <f t="shared" si="0"/>
        <v>0</v>
      </c>
      <c r="H53" s="126">
        <f t="shared" si="1"/>
        <v>0</v>
      </c>
    </row>
    <row r="54" spans="2:10" ht="18.75" customHeight="1" x14ac:dyDescent="0.2">
      <c r="B54" s="448" t="s">
        <v>358</v>
      </c>
      <c r="C54" s="124">
        <f>Sheet1!C52-0.05</f>
        <v>7365298.8900000006</v>
      </c>
      <c r="D54" s="125"/>
      <c r="E54" s="124">
        <f>Sheet1!D52+C138</f>
        <v>62013067.049999997</v>
      </c>
      <c r="F54" s="124">
        <f>Sheet1!E52</f>
        <v>65309755.689999998</v>
      </c>
      <c r="G54" s="458">
        <f t="shared" si="0"/>
        <v>4068610.25</v>
      </c>
      <c r="H54" s="126"/>
      <c r="J54" s="334"/>
    </row>
    <row r="55" spans="2:10" ht="18.75" customHeight="1" x14ac:dyDescent="0.2">
      <c r="B55" s="449" t="s">
        <v>886</v>
      </c>
      <c r="C55" s="124"/>
      <c r="D55" s="125"/>
      <c r="E55" s="124"/>
      <c r="F55" s="124"/>
      <c r="G55" s="126"/>
      <c r="H55" s="126"/>
    </row>
    <row r="56" spans="2:10" ht="18.75" customHeight="1" x14ac:dyDescent="0.2">
      <c r="B56" s="449" t="s">
        <v>1013</v>
      </c>
      <c r="C56" s="124"/>
      <c r="D56" s="125"/>
      <c r="E56" s="124"/>
      <c r="F56" s="124"/>
      <c r="G56" s="126"/>
      <c r="H56" s="126"/>
    </row>
    <row r="57" spans="2:10" ht="18.75" customHeight="1" x14ac:dyDescent="0.2">
      <c r="B57" s="444" t="s">
        <v>375</v>
      </c>
      <c r="C57" s="124">
        <f>Sheet1!C55</f>
        <v>0.01</v>
      </c>
      <c r="D57" s="125"/>
      <c r="E57" s="124">
        <f>Sheet1!D55</f>
        <v>82437.73</v>
      </c>
      <c r="F57" s="124">
        <f>Sheet1!E55</f>
        <v>82437.740000000005</v>
      </c>
      <c r="G57" s="126">
        <f>C57+E57-F57</f>
        <v>0</v>
      </c>
      <c r="H57" s="126"/>
    </row>
    <row r="58" spans="2:10" ht="18.75" customHeight="1" x14ac:dyDescent="0.2">
      <c r="B58" s="444" t="s">
        <v>379</v>
      </c>
      <c r="C58" s="124">
        <f>Sheet1!C56</f>
        <v>0</v>
      </c>
      <c r="D58" s="125"/>
      <c r="E58" s="124">
        <f>Sheet1!D56</f>
        <v>5596802</v>
      </c>
      <c r="F58" s="124">
        <f>Sheet1!E56</f>
        <v>5596802</v>
      </c>
      <c r="G58" s="126">
        <f t="shared" ref="G58:G62" si="2">C58+E58-F58</f>
        <v>0</v>
      </c>
      <c r="H58" s="126"/>
    </row>
    <row r="59" spans="2:10" ht="18.75" customHeight="1" x14ac:dyDescent="0.2">
      <c r="B59" s="444" t="s">
        <v>383</v>
      </c>
      <c r="C59" s="124">
        <f>Sheet1!C57</f>
        <v>0.01</v>
      </c>
      <c r="D59" s="125"/>
      <c r="E59" s="124">
        <f>Sheet1!D57</f>
        <v>82436.73</v>
      </c>
      <c r="F59" s="124">
        <f>Sheet1!E57</f>
        <v>82436.740000000005</v>
      </c>
      <c r="G59" s="126">
        <f t="shared" si="2"/>
        <v>0</v>
      </c>
      <c r="H59" s="126"/>
    </row>
    <row r="60" spans="2:10" ht="18.75" customHeight="1" x14ac:dyDescent="0.2">
      <c r="B60" s="444" t="s">
        <v>373</v>
      </c>
      <c r="C60" s="124">
        <f>Sheet1!C58</f>
        <v>53010.81</v>
      </c>
      <c r="D60" s="125"/>
      <c r="E60" s="124">
        <f>Sheet1!D58</f>
        <v>82437.33</v>
      </c>
      <c r="F60" s="124">
        <f>Sheet1!E58</f>
        <v>67062</v>
      </c>
      <c r="G60" s="458">
        <f t="shared" si="2"/>
        <v>68386.140000000014</v>
      </c>
      <c r="H60" s="126"/>
    </row>
    <row r="61" spans="2:10" ht="18.75" customHeight="1" x14ac:dyDescent="0.2">
      <c r="B61" s="444" t="s">
        <v>377</v>
      </c>
      <c r="C61" s="124">
        <f>Sheet1!C59</f>
        <v>872453.95</v>
      </c>
      <c r="D61" s="125"/>
      <c r="E61" s="124">
        <f>Sheet1!D59</f>
        <v>5596801.0499999998</v>
      </c>
      <c r="F61" s="124">
        <f>Sheet1!E59</f>
        <v>6468870</v>
      </c>
      <c r="G61" s="458">
        <f t="shared" si="2"/>
        <v>385</v>
      </c>
      <c r="H61" s="126"/>
    </row>
    <row r="62" spans="2:10" ht="18.75" customHeight="1" x14ac:dyDescent="0.2">
      <c r="B62" s="444" t="s">
        <v>381</v>
      </c>
      <c r="C62" s="124">
        <f>Sheet1!C60</f>
        <v>53010.81</v>
      </c>
      <c r="D62" s="125"/>
      <c r="E62" s="124">
        <f>Sheet1!D60</f>
        <v>82437.33</v>
      </c>
      <c r="F62" s="124">
        <f>Sheet1!E60</f>
        <v>67062</v>
      </c>
      <c r="G62" s="458">
        <f t="shared" si="2"/>
        <v>68386.140000000014</v>
      </c>
      <c r="H62" s="126"/>
    </row>
    <row r="63" spans="2:10" ht="18.75" customHeight="1" x14ac:dyDescent="0.2">
      <c r="B63" s="449" t="s">
        <v>226</v>
      </c>
      <c r="C63" s="124"/>
      <c r="D63" s="125"/>
      <c r="E63" s="124"/>
      <c r="F63" s="124"/>
      <c r="G63" s="126">
        <f t="shared" si="0"/>
        <v>0</v>
      </c>
      <c r="H63" s="126">
        <f t="shared" si="1"/>
        <v>0</v>
      </c>
    </row>
    <row r="64" spans="2:10" ht="18.75" customHeight="1" x14ac:dyDescent="0.2">
      <c r="B64" s="450" t="s">
        <v>855</v>
      </c>
      <c r="C64" s="124"/>
      <c r="D64" s="125"/>
      <c r="E64" s="124"/>
      <c r="F64" s="124"/>
      <c r="G64" s="126">
        <f t="shared" si="0"/>
        <v>0</v>
      </c>
      <c r="H64" s="126"/>
    </row>
    <row r="65" spans="2:8" ht="18.75" customHeight="1" x14ac:dyDescent="0.2">
      <c r="B65" s="447" t="s">
        <v>856</v>
      </c>
      <c r="C65" s="124"/>
      <c r="D65" s="125"/>
      <c r="E65" s="124"/>
      <c r="F65" s="124"/>
      <c r="G65" s="126">
        <f t="shared" si="0"/>
        <v>0</v>
      </c>
      <c r="H65" s="126">
        <f t="shared" si="1"/>
        <v>0</v>
      </c>
    </row>
    <row r="66" spans="2:8" ht="18.75" customHeight="1" x14ac:dyDescent="0.2">
      <c r="B66" s="450" t="s">
        <v>857</v>
      </c>
      <c r="C66" s="124">
        <f>Sheet1!C62</f>
        <v>46397</v>
      </c>
      <c r="D66" s="125"/>
      <c r="E66" s="124">
        <f>Sheet1!D62</f>
        <v>16663</v>
      </c>
      <c r="F66" s="124">
        <f>Sheet1!E62</f>
        <v>46397</v>
      </c>
      <c r="G66" s="458">
        <f t="shared" si="0"/>
        <v>16663</v>
      </c>
      <c r="H66" s="126"/>
    </row>
    <row r="67" spans="2:8" ht="18.75" customHeight="1" x14ac:dyDescent="0.2">
      <c r="B67" s="450" t="s">
        <v>858</v>
      </c>
      <c r="C67" s="124"/>
      <c r="D67" s="125"/>
      <c r="E67" s="124">
        <f>Sheet1!D63</f>
        <v>866000</v>
      </c>
      <c r="F67" s="124"/>
      <c r="G67" s="458">
        <f>Sheet1!F63</f>
        <v>866000</v>
      </c>
      <c r="H67" s="126"/>
    </row>
    <row r="68" spans="2:8" ht="18.75" customHeight="1" x14ac:dyDescent="0.2">
      <c r="B68" s="451" t="s">
        <v>395</v>
      </c>
      <c r="C68" s="124">
        <f>Sheet1!C64</f>
        <v>249</v>
      </c>
      <c r="D68" s="125"/>
      <c r="E68" s="124"/>
      <c r="F68" s="124">
        <f>D109</f>
        <v>1289</v>
      </c>
      <c r="G68" s="126">
        <v>0</v>
      </c>
      <c r="H68" s="458">
        <f>F68-C68</f>
        <v>1040</v>
      </c>
    </row>
    <row r="69" spans="2:8" ht="18.75" customHeight="1" x14ac:dyDescent="0.2">
      <c r="B69" s="443" t="s">
        <v>571</v>
      </c>
      <c r="C69" s="124"/>
      <c r="D69" s="125"/>
      <c r="E69" s="124"/>
      <c r="F69" s="124"/>
      <c r="G69" s="126"/>
      <c r="H69" s="126"/>
    </row>
    <row r="70" spans="2:8" ht="18.75" customHeight="1" x14ac:dyDescent="0.2">
      <c r="B70" s="556" t="s">
        <v>573</v>
      </c>
      <c r="C70" s="124"/>
      <c r="D70" s="125"/>
      <c r="E70" s="124"/>
      <c r="F70" s="124">
        <f>Sheet1!E66</f>
        <v>43300000</v>
      </c>
      <c r="G70" s="126"/>
      <c r="H70" s="458">
        <f t="shared" si="1"/>
        <v>43300000</v>
      </c>
    </row>
    <row r="71" spans="2:8" ht="18.75" customHeight="1" x14ac:dyDescent="0.2">
      <c r="B71" s="443" t="s">
        <v>483</v>
      </c>
      <c r="C71" s="124">
        <v>0</v>
      </c>
      <c r="D71" s="125"/>
      <c r="E71" s="124"/>
      <c r="F71" s="124"/>
      <c r="G71" s="126">
        <f t="shared" si="0"/>
        <v>0</v>
      </c>
      <c r="H71" s="126">
        <f t="shared" si="1"/>
        <v>0</v>
      </c>
    </row>
    <row r="72" spans="2:8" ht="18.75" customHeight="1" x14ac:dyDescent="0.2">
      <c r="B72" s="452" t="s">
        <v>493</v>
      </c>
      <c r="C72" s="124">
        <v>0</v>
      </c>
      <c r="D72" s="125"/>
      <c r="E72" s="124"/>
      <c r="F72" s="124"/>
      <c r="G72" s="126">
        <f t="shared" si="0"/>
        <v>0</v>
      </c>
      <c r="H72" s="126"/>
    </row>
    <row r="73" spans="2:8" ht="18.75" customHeight="1" x14ac:dyDescent="0.2">
      <c r="B73" s="444" t="s">
        <v>486</v>
      </c>
      <c r="C73" s="124">
        <v>0</v>
      </c>
      <c r="D73" s="125"/>
      <c r="E73" s="124">
        <f>Sheet1!D69</f>
        <v>36679066</v>
      </c>
      <c r="F73" s="124">
        <f>Sheet1!E69</f>
        <v>6103260</v>
      </c>
      <c r="G73" s="458">
        <f t="shared" si="0"/>
        <v>30575806</v>
      </c>
      <c r="H73" s="126"/>
    </row>
    <row r="74" spans="2:8" ht="18.75" customHeight="1" x14ac:dyDescent="0.2">
      <c r="B74" s="445" t="s">
        <v>495</v>
      </c>
      <c r="C74" s="127">
        <v>0</v>
      </c>
      <c r="D74" s="128"/>
      <c r="E74" s="127">
        <f>Sheet1!D70+C113</f>
        <v>731160</v>
      </c>
      <c r="F74" s="127">
        <f>Sheet1!E70</f>
        <v>731160</v>
      </c>
      <c r="G74" s="126"/>
      <c r="H74" s="458">
        <f>D74+F74-E74</f>
        <v>0</v>
      </c>
    </row>
    <row r="75" spans="2:8" ht="18.75" customHeight="1" x14ac:dyDescent="0.2">
      <c r="B75" s="445" t="s">
        <v>985</v>
      </c>
      <c r="C75" s="124">
        <v>0</v>
      </c>
      <c r="D75" s="125"/>
      <c r="E75" s="124">
        <f>Sheet1!D71</f>
        <v>463881</v>
      </c>
      <c r="F75" s="124"/>
      <c r="G75" s="458">
        <f t="shared" si="0"/>
        <v>463881</v>
      </c>
      <c r="H75" s="126"/>
    </row>
    <row r="76" spans="2:8" ht="18.75" customHeight="1" x14ac:dyDescent="0.2">
      <c r="B76" s="443" t="s">
        <v>559</v>
      </c>
      <c r="C76" s="124">
        <v>0</v>
      </c>
      <c r="D76" s="125"/>
      <c r="E76" s="124"/>
      <c r="F76" s="124"/>
      <c r="G76" s="126">
        <f t="shared" si="0"/>
        <v>0</v>
      </c>
      <c r="H76" s="126">
        <f t="shared" si="1"/>
        <v>0</v>
      </c>
    </row>
    <row r="77" spans="2:8" ht="18.75" customHeight="1" x14ac:dyDescent="0.2">
      <c r="B77" s="445" t="s">
        <v>561</v>
      </c>
      <c r="C77" s="124">
        <v>0</v>
      </c>
      <c r="D77" s="125"/>
      <c r="E77" s="124"/>
      <c r="F77" s="124">
        <f>Sheet1!E73</f>
        <v>166630</v>
      </c>
      <c r="G77" s="126"/>
      <c r="H77" s="458">
        <f t="shared" si="1"/>
        <v>166630</v>
      </c>
    </row>
    <row r="78" spans="2:8" ht="18.75" customHeight="1" x14ac:dyDescent="0.2">
      <c r="B78" s="445" t="s">
        <v>862</v>
      </c>
      <c r="C78" s="124">
        <v>0</v>
      </c>
      <c r="D78" s="125"/>
      <c r="E78" s="124"/>
      <c r="F78" s="124">
        <f>Sheet1!E74</f>
        <v>57547</v>
      </c>
      <c r="G78" s="126"/>
      <c r="H78" s="458">
        <f t="shared" si="1"/>
        <v>57547</v>
      </c>
    </row>
    <row r="79" spans="2:8" ht="18.75" customHeight="1" x14ac:dyDescent="0.2">
      <c r="B79" s="445" t="s">
        <v>232</v>
      </c>
      <c r="C79" s="124"/>
      <c r="D79" s="125"/>
      <c r="E79" s="124"/>
      <c r="F79" s="124">
        <f>D114</f>
        <v>672666.74</v>
      </c>
      <c r="G79" s="126"/>
      <c r="H79" s="458">
        <f t="shared" si="1"/>
        <v>672666.74</v>
      </c>
    </row>
    <row r="80" spans="2:8" ht="18.75" customHeight="1" x14ac:dyDescent="0.2">
      <c r="B80" s="443" t="s">
        <v>509</v>
      </c>
      <c r="C80" s="124">
        <v>0</v>
      </c>
      <c r="D80" s="125"/>
      <c r="E80" s="124"/>
      <c r="F80" s="124"/>
      <c r="G80" s="126">
        <f t="shared" si="0"/>
        <v>0</v>
      </c>
      <c r="H80" s="126">
        <f t="shared" si="1"/>
        <v>0</v>
      </c>
    </row>
    <row r="81" spans="2:8" ht="18.75" customHeight="1" x14ac:dyDescent="0.2">
      <c r="B81" s="447" t="s">
        <v>548</v>
      </c>
      <c r="C81" s="124">
        <v>0</v>
      </c>
      <c r="D81" s="125"/>
      <c r="E81" s="124"/>
      <c r="F81" s="124"/>
      <c r="G81" s="126">
        <f t="shared" si="0"/>
        <v>0</v>
      </c>
      <c r="H81" s="126">
        <f t="shared" si="1"/>
        <v>0</v>
      </c>
    </row>
    <row r="82" spans="2:8" ht="18.75" customHeight="1" x14ac:dyDescent="0.2">
      <c r="B82" s="446" t="s">
        <v>548</v>
      </c>
      <c r="C82" s="124">
        <v>0</v>
      </c>
      <c r="D82" s="125"/>
      <c r="E82" s="124">
        <f>Sheet1!D78</f>
        <v>48387.17</v>
      </c>
      <c r="F82" s="124">
        <f>Sheet1!E78</f>
        <v>2000</v>
      </c>
      <c r="G82" s="458">
        <f t="shared" si="0"/>
        <v>46387.17</v>
      </c>
      <c r="H82" s="126"/>
    </row>
    <row r="83" spans="2:8" ht="18.75" customHeight="1" x14ac:dyDescent="0.2">
      <c r="B83" s="450" t="s">
        <v>550</v>
      </c>
      <c r="C83" s="124">
        <v>0</v>
      </c>
      <c r="D83" s="125"/>
      <c r="E83" s="124">
        <f>Sheet1!D79+C118</f>
        <v>6000</v>
      </c>
      <c r="F83" s="124"/>
      <c r="G83" s="458">
        <f t="shared" si="0"/>
        <v>6000</v>
      </c>
      <c r="H83" s="126"/>
    </row>
    <row r="84" spans="2:8" ht="18.75" customHeight="1" x14ac:dyDescent="0.2">
      <c r="B84" s="447" t="s">
        <v>517</v>
      </c>
      <c r="C84" s="124">
        <v>0</v>
      </c>
      <c r="D84" s="125"/>
      <c r="E84" s="124"/>
      <c r="F84" s="124"/>
      <c r="G84" s="126">
        <f t="shared" si="0"/>
        <v>0</v>
      </c>
      <c r="H84" s="126">
        <f t="shared" si="1"/>
        <v>0</v>
      </c>
    </row>
    <row r="85" spans="2:8" ht="18.75" customHeight="1" x14ac:dyDescent="0.2">
      <c r="B85" s="450" t="s">
        <v>554</v>
      </c>
      <c r="C85" s="124">
        <v>0</v>
      </c>
      <c r="D85" s="125"/>
      <c r="E85" s="124">
        <f>Sheet1!D82</f>
        <v>10000</v>
      </c>
      <c r="F85" s="124"/>
      <c r="G85" s="458">
        <f t="shared" si="0"/>
        <v>10000</v>
      </c>
      <c r="H85" s="126"/>
    </row>
    <row r="86" spans="2:8" ht="18.75" customHeight="1" x14ac:dyDescent="0.2">
      <c r="B86" s="448" t="s">
        <v>556</v>
      </c>
      <c r="C86" s="124">
        <v>0</v>
      </c>
      <c r="D86" s="125"/>
      <c r="E86" s="124">
        <f>Sheet1!D83</f>
        <v>1030</v>
      </c>
      <c r="F86" s="124"/>
      <c r="G86" s="458">
        <f t="shared" ref="G86:G102" si="3">C86+E86-F86</f>
        <v>1030</v>
      </c>
      <c r="H86" s="126"/>
    </row>
    <row r="87" spans="2:8" ht="18.75" customHeight="1" x14ac:dyDescent="0.2">
      <c r="B87" s="445" t="s">
        <v>15</v>
      </c>
      <c r="C87" s="124">
        <v>0</v>
      </c>
      <c r="D87" s="125">
        <f>-0.33-0.89</f>
        <v>-1.22</v>
      </c>
      <c r="E87" s="124">
        <f>Sheet1!D75</f>
        <v>7.37</v>
      </c>
      <c r="F87" s="124">
        <f>Sheet1!E75+D139</f>
        <v>0.22999999999999998</v>
      </c>
      <c r="G87" s="126">
        <f>E87-F87-D87</f>
        <v>8.3600000000000012</v>
      </c>
      <c r="H87" s="458"/>
    </row>
    <row r="88" spans="2:8" ht="18.75" customHeight="1" x14ac:dyDescent="0.2">
      <c r="B88" s="444" t="s">
        <v>528</v>
      </c>
      <c r="C88" s="124"/>
      <c r="D88" s="125"/>
      <c r="E88" s="124">
        <f>Sheet1!D81</f>
        <v>824</v>
      </c>
      <c r="F88" s="124"/>
      <c r="G88" s="458">
        <f>C88+E88-F88</f>
        <v>824</v>
      </c>
      <c r="H88" s="126"/>
    </row>
    <row r="89" spans="2:8" ht="18.75" customHeight="1" x14ac:dyDescent="0.2">
      <c r="B89" s="444" t="s">
        <v>508</v>
      </c>
      <c r="C89" s="124">
        <v>0</v>
      </c>
      <c r="D89" s="125"/>
      <c r="E89" s="124">
        <f>Sheet1!D84</f>
        <v>125000</v>
      </c>
      <c r="F89" s="124"/>
      <c r="G89" s="458">
        <f t="shared" si="3"/>
        <v>125000</v>
      </c>
      <c r="H89" s="126"/>
    </row>
    <row r="90" spans="2:8" ht="18.75" customHeight="1" x14ac:dyDescent="0.2">
      <c r="B90" s="445" t="s">
        <v>513</v>
      </c>
      <c r="C90" s="124">
        <v>0</v>
      </c>
      <c r="D90" s="125"/>
      <c r="E90" s="124">
        <f>Sheet1!D85+C123</f>
        <v>9431.74</v>
      </c>
      <c r="F90" s="124"/>
      <c r="G90" s="458">
        <f t="shared" si="3"/>
        <v>9431.74</v>
      </c>
      <c r="H90" s="126"/>
    </row>
    <row r="91" spans="2:8" ht="18.75" customHeight="1" x14ac:dyDescent="0.2">
      <c r="B91" s="445" t="s">
        <v>515</v>
      </c>
      <c r="C91" s="124">
        <v>0</v>
      </c>
      <c r="D91" s="125"/>
      <c r="E91" s="124">
        <f>Sheet1!D86</f>
        <v>6000</v>
      </c>
      <c r="F91" s="124"/>
      <c r="G91" s="458">
        <f t="shared" si="3"/>
        <v>6000</v>
      </c>
      <c r="H91" s="126"/>
    </row>
    <row r="92" spans="2:8" ht="18.75" customHeight="1" x14ac:dyDescent="0.2">
      <c r="B92" s="451" t="s">
        <v>986</v>
      </c>
      <c r="C92" s="124">
        <v>0</v>
      </c>
      <c r="D92" s="125"/>
      <c r="E92" s="124">
        <f>Sheet1!D87</f>
        <v>1000</v>
      </c>
      <c r="F92" s="124"/>
      <c r="G92" s="458">
        <f t="shared" si="3"/>
        <v>1000</v>
      </c>
      <c r="H92" s="126"/>
    </row>
    <row r="93" spans="2:8" ht="18.75" customHeight="1" x14ac:dyDescent="0.2">
      <c r="B93" s="445" t="s">
        <v>519</v>
      </c>
      <c r="C93" s="124">
        <v>0</v>
      </c>
      <c r="D93" s="125"/>
      <c r="E93" s="124"/>
      <c r="F93" s="124"/>
      <c r="G93" s="126">
        <f t="shared" si="3"/>
        <v>0</v>
      </c>
      <c r="H93" s="126"/>
    </row>
    <row r="94" spans="2:8" ht="18.75" customHeight="1" x14ac:dyDescent="0.2">
      <c r="B94" s="445" t="s">
        <v>240</v>
      </c>
      <c r="C94" s="124">
        <v>0</v>
      </c>
      <c r="D94" s="125"/>
      <c r="E94" s="124">
        <f>Sheet1!D88</f>
        <v>2512.2800000000002</v>
      </c>
      <c r="F94" s="124">
        <f>D144</f>
        <v>2512.2800000000002</v>
      </c>
      <c r="G94" s="458">
        <f t="shared" si="3"/>
        <v>0</v>
      </c>
      <c r="H94" s="126"/>
    </row>
    <row r="95" spans="2:8" ht="18.75" customHeight="1" x14ac:dyDescent="0.2">
      <c r="B95" s="445" t="s">
        <v>998</v>
      </c>
      <c r="C95" s="127">
        <v>0</v>
      </c>
      <c r="D95" s="128"/>
      <c r="E95" s="127">
        <f>Sheet1!D91</f>
        <v>3593663.96</v>
      </c>
      <c r="F95" s="127"/>
      <c r="G95" s="458">
        <f t="shared" si="3"/>
        <v>3593663.96</v>
      </c>
      <c r="H95" s="126"/>
    </row>
    <row r="96" spans="2:8" ht="18.75" customHeight="1" x14ac:dyDescent="0.2">
      <c r="B96" s="445" t="s">
        <v>524</v>
      </c>
      <c r="C96" s="124">
        <v>0</v>
      </c>
      <c r="D96" s="125"/>
      <c r="E96" s="124">
        <f>Sheet1!D89</f>
        <v>60</v>
      </c>
      <c r="F96" s="124"/>
      <c r="G96" s="458">
        <f t="shared" si="3"/>
        <v>60</v>
      </c>
      <c r="H96" s="126"/>
    </row>
    <row r="97" spans="1:10" ht="18.75" customHeight="1" x14ac:dyDescent="0.2">
      <c r="B97" s="445" t="s">
        <v>987</v>
      </c>
      <c r="C97" s="124">
        <v>0</v>
      </c>
      <c r="D97" s="125"/>
      <c r="E97" s="124">
        <f>Sheet1!D90</f>
        <v>194</v>
      </c>
      <c r="F97" s="124"/>
      <c r="G97" s="458">
        <f t="shared" si="3"/>
        <v>194</v>
      </c>
      <c r="H97" s="126"/>
    </row>
    <row r="98" spans="1:10" ht="18.75" customHeight="1" x14ac:dyDescent="0.2">
      <c r="B98" s="445" t="s">
        <v>534</v>
      </c>
      <c r="C98" s="124">
        <v>0</v>
      </c>
      <c r="D98" s="125"/>
      <c r="E98" s="124">
        <f>Sheet1!D92</f>
        <v>206000</v>
      </c>
      <c r="F98" s="124"/>
      <c r="G98" s="458">
        <f t="shared" si="3"/>
        <v>206000</v>
      </c>
      <c r="H98" s="126"/>
    </row>
    <row r="99" spans="1:10" ht="18.75" customHeight="1" x14ac:dyDescent="0.2">
      <c r="B99" s="444" t="s">
        <v>536</v>
      </c>
      <c r="C99" s="124">
        <v>0</v>
      </c>
      <c r="D99" s="125"/>
      <c r="E99" s="124">
        <f>Sheet1!D93</f>
        <v>141600</v>
      </c>
      <c r="F99" s="124"/>
      <c r="G99" s="458">
        <f t="shared" si="3"/>
        <v>141600</v>
      </c>
      <c r="H99" s="126"/>
    </row>
    <row r="100" spans="1:10" ht="18.75" customHeight="1" x14ac:dyDescent="0.2">
      <c r="B100" s="444" t="s">
        <v>538</v>
      </c>
      <c r="C100" s="124">
        <v>0</v>
      </c>
      <c r="D100" s="125"/>
      <c r="E100" s="124">
        <f>Sheet1!D94</f>
        <v>320000</v>
      </c>
      <c r="F100" s="124"/>
      <c r="G100" s="458">
        <f t="shared" si="3"/>
        <v>320000</v>
      </c>
      <c r="H100" s="126"/>
    </row>
    <row r="101" spans="1:10" ht="18.75" customHeight="1" x14ac:dyDescent="0.2">
      <c r="B101" s="451" t="s">
        <v>540</v>
      </c>
      <c r="C101" s="124">
        <v>0</v>
      </c>
      <c r="D101" s="125"/>
      <c r="E101" s="124">
        <f>Sheet1!D95</f>
        <v>4387</v>
      </c>
      <c r="F101" s="124"/>
      <c r="G101" s="458">
        <f t="shared" si="3"/>
        <v>4387</v>
      </c>
      <c r="H101" s="126"/>
    </row>
    <row r="102" spans="1:10" ht="18.75" customHeight="1" thickBot="1" x14ac:dyDescent="0.25">
      <c r="B102" s="465" t="s">
        <v>567</v>
      </c>
      <c r="C102" s="129">
        <f>Sheet1!C96-0.89</f>
        <v>3782365.8</v>
      </c>
      <c r="D102" s="130"/>
      <c r="E102" s="129">
        <f>C108+C133</f>
        <v>1256843</v>
      </c>
      <c r="F102" s="129"/>
      <c r="G102" s="131">
        <f t="shared" si="3"/>
        <v>5039208.8</v>
      </c>
      <c r="H102" s="131"/>
    </row>
    <row r="103" spans="1:10" ht="18.75" customHeight="1" thickBot="1" x14ac:dyDescent="0.25">
      <c r="B103" s="347"/>
      <c r="C103" s="132">
        <f>SUM(C45:C102)</f>
        <v>13175790.280000001</v>
      </c>
      <c r="D103" s="133">
        <f>SUM(D11:D102)</f>
        <v>13175790.279999999</v>
      </c>
      <c r="E103" s="132">
        <f>SUM(E11:E102)</f>
        <v>247505733.18000004</v>
      </c>
      <c r="F103" s="132">
        <f>SUM(F11:F102)</f>
        <v>247505733.18000001</v>
      </c>
      <c r="G103" s="132">
        <f>SUM(G11:G102)</f>
        <v>47091916.560000002</v>
      </c>
      <c r="H103" s="132">
        <f>SUM(H11:H102)</f>
        <v>47091916.560000002</v>
      </c>
      <c r="I103" s="98"/>
      <c r="J103" s="152"/>
    </row>
    <row r="104" spans="1:10" ht="18.75" customHeight="1" x14ac:dyDescent="0.2">
      <c r="C104" s="98"/>
      <c r="D104" s="437">
        <f>C103-D103</f>
        <v>0</v>
      </c>
      <c r="E104" s="98"/>
      <c r="F104" s="439">
        <f>E103-F103</f>
        <v>0</v>
      </c>
      <c r="G104" s="436"/>
      <c r="H104" s="438">
        <f>G103-H103</f>
        <v>0</v>
      </c>
      <c r="I104" s="98"/>
      <c r="J104" s="98"/>
    </row>
    <row r="105" spans="1:10" ht="18.75" customHeight="1" thickBot="1" x14ac:dyDescent="0.25">
      <c r="C105" s="134"/>
      <c r="D105" s="134"/>
      <c r="E105" s="134"/>
      <c r="F105" s="134"/>
      <c r="G105" s="134"/>
      <c r="H105" s="134"/>
      <c r="I105" s="98"/>
    </row>
    <row r="106" spans="1:10" ht="18.75" customHeight="1" thickBot="1" x14ac:dyDescent="0.25">
      <c r="A106" s="347"/>
      <c r="B106" s="427" t="s">
        <v>880</v>
      </c>
      <c r="C106" s="435" t="s">
        <v>882</v>
      </c>
      <c r="D106" s="395" t="s">
        <v>883</v>
      </c>
      <c r="E106" s="134"/>
      <c r="F106" s="455"/>
      <c r="G106" s="455"/>
      <c r="H106" s="455"/>
      <c r="I106" s="98"/>
    </row>
    <row r="107" spans="1:10" ht="18.75" customHeight="1" x14ac:dyDescent="0.2">
      <c r="A107" s="453"/>
      <c r="B107" s="482"/>
      <c r="C107" s="483"/>
      <c r="D107" s="484"/>
      <c r="F107" s="670"/>
      <c r="G107" s="670"/>
      <c r="H107" s="456"/>
    </row>
    <row r="108" spans="1:10" ht="18.75" customHeight="1" x14ac:dyDescent="0.2">
      <c r="A108" s="426" t="s">
        <v>881</v>
      </c>
      <c r="B108" s="431" t="s">
        <v>1019</v>
      </c>
      <c r="C108" s="372">
        <f>-'Deferred Tax'!G23</f>
        <v>1289</v>
      </c>
      <c r="D108" s="424"/>
    </row>
    <row r="109" spans="1:10" ht="18.75" customHeight="1" x14ac:dyDescent="0.2">
      <c r="A109" s="426"/>
      <c r="B109" s="431" t="s">
        <v>1020</v>
      </c>
      <c r="C109" s="372"/>
      <c r="D109" s="424">
        <f>C108</f>
        <v>1289</v>
      </c>
    </row>
    <row r="110" spans="1:10" ht="18.75" customHeight="1" x14ac:dyDescent="0.2">
      <c r="A110" s="426"/>
      <c r="B110" s="431" t="s">
        <v>1034</v>
      </c>
      <c r="C110" s="372"/>
      <c r="D110" s="424"/>
    </row>
    <row r="111" spans="1:10" ht="18.75" customHeight="1" x14ac:dyDescent="0.2">
      <c r="A111" s="426"/>
      <c r="B111" s="431"/>
      <c r="C111" s="372"/>
      <c r="D111" s="424"/>
    </row>
    <row r="112" spans="1:10" ht="18.75" customHeight="1" x14ac:dyDescent="0.2">
      <c r="A112" s="428"/>
      <c r="B112" s="479"/>
      <c r="C112" s="432"/>
      <c r="D112" s="429"/>
    </row>
    <row r="113" spans="1:4" ht="18.75" customHeight="1" x14ac:dyDescent="0.2">
      <c r="A113" s="426" t="s">
        <v>884</v>
      </c>
      <c r="B113" s="431" t="s">
        <v>1037</v>
      </c>
      <c r="C113" s="372">
        <v>672666.74</v>
      </c>
      <c r="D113" s="424"/>
    </row>
    <row r="114" spans="1:4" ht="18.75" customHeight="1" x14ac:dyDescent="0.2">
      <c r="A114" s="426"/>
      <c r="B114" s="431" t="s">
        <v>1038</v>
      </c>
      <c r="C114" s="372"/>
      <c r="D114" s="424">
        <f>C113</f>
        <v>672666.74</v>
      </c>
    </row>
    <row r="115" spans="1:4" ht="18.75" customHeight="1" x14ac:dyDescent="0.2">
      <c r="A115" s="426"/>
      <c r="B115" s="431" t="s">
        <v>1039</v>
      </c>
      <c r="C115" s="372"/>
      <c r="D115" s="424"/>
    </row>
    <row r="116" spans="1:4" ht="18.75" customHeight="1" x14ac:dyDescent="0.2">
      <c r="A116" s="485"/>
      <c r="B116" s="480"/>
      <c r="C116" s="481"/>
      <c r="D116" s="486"/>
    </row>
    <row r="117" spans="1:4" ht="18.75" customHeight="1" x14ac:dyDescent="0.2">
      <c r="A117" s="428"/>
      <c r="B117" s="479"/>
      <c r="C117" s="432"/>
      <c r="D117" s="429"/>
    </row>
    <row r="118" spans="1:4" ht="18.75" customHeight="1" x14ac:dyDescent="0.2">
      <c r="A118" s="426" t="s">
        <v>885</v>
      </c>
      <c r="B118" s="431" t="s">
        <v>1043</v>
      </c>
      <c r="C118" s="372">
        <v>1000</v>
      </c>
      <c r="D118" s="424"/>
    </row>
    <row r="119" spans="1:4" ht="18.75" customHeight="1" x14ac:dyDescent="0.2">
      <c r="A119" s="426"/>
      <c r="B119" s="431" t="s">
        <v>1042</v>
      </c>
      <c r="C119" s="372"/>
      <c r="D119" s="424">
        <f>C118</f>
        <v>1000</v>
      </c>
    </row>
    <row r="120" spans="1:4" ht="18.75" customHeight="1" x14ac:dyDescent="0.2">
      <c r="A120" s="426"/>
      <c r="B120" s="431" t="s">
        <v>1044</v>
      </c>
      <c r="C120" s="372"/>
      <c r="D120" s="424"/>
    </row>
    <row r="121" spans="1:4" ht="18.75" customHeight="1" x14ac:dyDescent="0.2">
      <c r="A121" s="485"/>
      <c r="B121" s="480"/>
      <c r="C121" s="481"/>
      <c r="D121" s="486"/>
    </row>
    <row r="122" spans="1:4" ht="18.75" customHeight="1" x14ac:dyDescent="0.2">
      <c r="A122" s="426"/>
      <c r="B122" s="431"/>
      <c r="C122" s="372"/>
      <c r="D122" s="424"/>
    </row>
    <row r="123" spans="1:4" ht="18.75" customHeight="1" x14ac:dyDescent="0.2">
      <c r="A123" s="426" t="s">
        <v>1008</v>
      </c>
      <c r="B123" s="431" t="s">
        <v>1045</v>
      </c>
      <c r="C123" s="372">
        <v>1178.82</v>
      </c>
      <c r="D123" s="424"/>
    </row>
    <row r="124" spans="1:4" ht="18.75" customHeight="1" x14ac:dyDescent="0.2">
      <c r="A124" s="426"/>
      <c r="B124" s="431" t="s">
        <v>1065</v>
      </c>
      <c r="C124" s="372"/>
      <c r="D124" s="424">
        <f>C123</f>
        <v>1178.82</v>
      </c>
    </row>
    <row r="125" spans="1:4" ht="18.75" customHeight="1" x14ac:dyDescent="0.2">
      <c r="A125" s="426"/>
      <c r="B125" s="431" t="s">
        <v>1046</v>
      </c>
      <c r="C125" s="372"/>
      <c r="D125" s="424"/>
    </row>
    <row r="126" spans="1:4" ht="18.75" customHeight="1" x14ac:dyDescent="0.2">
      <c r="A126" s="426"/>
      <c r="B126" s="431"/>
      <c r="C126" s="372"/>
      <c r="D126" s="424"/>
    </row>
    <row r="127" spans="1:4" ht="18.75" customHeight="1" x14ac:dyDescent="0.2">
      <c r="A127" s="428"/>
      <c r="B127" s="430"/>
      <c r="C127" s="432"/>
      <c r="D127" s="429"/>
    </row>
    <row r="128" spans="1:4" ht="18.75" customHeight="1" x14ac:dyDescent="0.2">
      <c r="A128" s="426" t="s">
        <v>1009</v>
      </c>
      <c r="B128" s="431" t="s">
        <v>1032</v>
      </c>
      <c r="C128" s="372">
        <v>3902568</v>
      </c>
      <c r="D128" s="424"/>
    </row>
    <row r="129" spans="1:4" ht="18.75" customHeight="1" x14ac:dyDescent="0.2">
      <c r="A129" s="426"/>
      <c r="B129" s="431" t="s">
        <v>1033</v>
      </c>
      <c r="C129" s="372"/>
      <c r="D129" s="424">
        <f>C128</f>
        <v>3902568</v>
      </c>
    </row>
    <row r="130" spans="1:4" ht="18.75" customHeight="1" x14ac:dyDescent="0.2">
      <c r="A130" s="426"/>
      <c r="B130" s="431" t="s">
        <v>1035</v>
      </c>
      <c r="C130" s="372"/>
      <c r="D130" s="424"/>
    </row>
    <row r="131" spans="1:4" ht="18.75" customHeight="1" x14ac:dyDescent="0.2">
      <c r="A131" s="485"/>
      <c r="B131" s="480"/>
      <c r="C131" s="481"/>
      <c r="D131" s="486"/>
    </row>
    <row r="132" spans="1:4" ht="18.75" customHeight="1" x14ac:dyDescent="0.2">
      <c r="A132" s="428"/>
      <c r="B132" s="479"/>
      <c r="C132" s="432"/>
      <c r="D132" s="429"/>
    </row>
    <row r="133" spans="1:4" ht="18.75" customHeight="1" x14ac:dyDescent="0.2">
      <c r="A133" s="426" t="s">
        <v>1047</v>
      </c>
      <c r="B133" s="431" t="s">
        <v>567</v>
      </c>
      <c r="C133" s="372">
        <f>'IT Computation'!G80</f>
        <v>1255554</v>
      </c>
      <c r="D133" s="424"/>
    </row>
    <row r="134" spans="1:4" ht="18.75" customHeight="1" x14ac:dyDescent="0.2">
      <c r="A134" s="426"/>
      <c r="B134" s="431" t="s">
        <v>1071</v>
      </c>
      <c r="C134" s="372"/>
      <c r="D134" s="424">
        <f>C133</f>
        <v>1255554</v>
      </c>
    </row>
    <row r="135" spans="1:4" ht="18.75" customHeight="1" x14ac:dyDescent="0.2">
      <c r="A135" s="426"/>
      <c r="B135" s="431" t="s">
        <v>1066</v>
      </c>
      <c r="C135" s="372"/>
      <c r="D135" s="424"/>
    </row>
    <row r="136" spans="1:4" ht="18.75" customHeight="1" x14ac:dyDescent="0.2">
      <c r="A136" s="485"/>
      <c r="B136" s="480"/>
      <c r="C136" s="481"/>
      <c r="D136" s="486"/>
    </row>
    <row r="137" spans="1:4" ht="18.75" customHeight="1" x14ac:dyDescent="0.2">
      <c r="A137" s="426"/>
      <c r="B137" s="146"/>
      <c r="C137" s="372"/>
      <c r="D137" s="424"/>
    </row>
    <row r="138" spans="1:4" ht="18.75" customHeight="1" x14ac:dyDescent="0.2">
      <c r="A138" s="426" t="s">
        <v>1067</v>
      </c>
      <c r="B138" s="146" t="s">
        <v>358</v>
      </c>
      <c r="C138" s="372">
        <v>0.05</v>
      </c>
      <c r="D138" s="424"/>
    </row>
    <row r="139" spans="1:4" ht="18.75" customHeight="1" x14ac:dyDescent="0.2">
      <c r="A139" s="426"/>
      <c r="B139" s="146" t="s">
        <v>1100</v>
      </c>
      <c r="C139" s="372"/>
      <c r="D139" s="424">
        <f>C138</f>
        <v>0.05</v>
      </c>
    </row>
    <row r="140" spans="1:4" ht="18.75" customHeight="1" x14ac:dyDescent="0.2">
      <c r="A140" s="426"/>
      <c r="B140" s="146" t="s">
        <v>1101</v>
      </c>
      <c r="C140" s="372"/>
      <c r="D140" s="424"/>
    </row>
    <row r="141" spans="1:4" ht="18.75" customHeight="1" x14ac:dyDescent="0.2">
      <c r="A141" s="485"/>
      <c r="B141" s="657"/>
      <c r="C141" s="481"/>
      <c r="D141" s="486"/>
    </row>
    <row r="142" spans="1:4" s="136" customFormat="1" ht="18.75" customHeight="1" x14ac:dyDescent="0.2">
      <c r="A142" s="426"/>
      <c r="B142" s="146"/>
      <c r="C142" s="372"/>
      <c r="D142" s="424"/>
    </row>
    <row r="143" spans="1:4" s="136" customFormat="1" ht="18.75" customHeight="1" x14ac:dyDescent="0.2">
      <c r="A143" s="426" t="s">
        <v>1102</v>
      </c>
      <c r="B143" s="431" t="s">
        <v>504</v>
      </c>
      <c r="C143" s="372">
        <v>2512.2800000000002</v>
      </c>
      <c r="D143" s="424"/>
    </row>
    <row r="144" spans="1:4" s="136" customFormat="1" ht="18.75" customHeight="1" x14ac:dyDescent="0.2">
      <c r="A144" s="426"/>
      <c r="B144" s="431" t="s">
        <v>1031</v>
      </c>
      <c r="C144" s="372"/>
      <c r="D144" s="424">
        <f>C143</f>
        <v>2512.2800000000002</v>
      </c>
    </row>
    <row r="145" spans="1:4" s="136" customFormat="1" ht="18.75" customHeight="1" x14ac:dyDescent="0.2">
      <c r="A145" s="426"/>
      <c r="B145" s="431" t="s">
        <v>1036</v>
      </c>
      <c r="C145" s="372"/>
      <c r="D145" s="424"/>
    </row>
    <row r="146" spans="1:4" s="136" customFormat="1" ht="18.75" customHeight="1" thickBot="1" x14ac:dyDescent="0.25">
      <c r="A146" s="100"/>
      <c r="B146" s="433"/>
      <c r="C146" s="434"/>
      <c r="D146" s="425"/>
    </row>
    <row r="147" spans="1:4" s="136" customFormat="1" ht="18.75" customHeight="1" x14ac:dyDescent="0.2">
      <c r="B147" s="134"/>
      <c r="C147" s="134"/>
      <c r="D147" s="134"/>
    </row>
    <row r="148" spans="1:4" s="136" customFormat="1" ht="18.75" customHeight="1" x14ac:dyDescent="0.2">
      <c r="B148" s="134"/>
      <c r="C148" s="134"/>
      <c r="D148" s="134"/>
    </row>
    <row r="149" spans="1:4" s="136" customFormat="1" ht="18.75" customHeight="1" x14ac:dyDescent="0.2">
      <c r="B149" s="134"/>
      <c r="C149" s="134"/>
      <c r="D149" s="134"/>
    </row>
    <row r="150" spans="1:4" s="136" customFormat="1" ht="18.75" customHeight="1" x14ac:dyDescent="0.2">
      <c r="B150" s="134"/>
      <c r="C150" s="134"/>
      <c r="D150" s="134"/>
    </row>
    <row r="151" spans="1:4" s="136" customFormat="1" ht="18.75" customHeight="1" x14ac:dyDescent="0.2">
      <c r="B151" s="134"/>
      <c r="C151" s="134"/>
      <c r="D151" s="134"/>
    </row>
    <row r="152" spans="1:4" s="136" customFormat="1" ht="18.75" customHeight="1" x14ac:dyDescent="0.2">
      <c r="B152" s="134"/>
      <c r="C152" s="134"/>
      <c r="D152" s="134"/>
    </row>
    <row r="153" spans="1:4" s="136" customFormat="1" ht="18.75" customHeight="1" x14ac:dyDescent="0.2">
      <c r="B153" s="134"/>
      <c r="C153" s="134"/>
      <c r="D153" s="134"/>
    </row>
    <row r="154" spans="1:4" s="136" customFormat="1" ht="18.75" customHeight="1" x14ac:dyDescent="0.2">
      <c r="B154" s="134"/>
      <c r="C154" s="134"/>
      <c r="D154" s="134"/>
    </row>
    <row r="155" spans="1:4" s="136" customFormat="1" ht="18.75" customHeight="1" x14ac:dyDescent="0.2">
      <c r="B155" s="134"/>
      <c r="C155" s="134"/>
      <c r="D155" s="134"/>
    </row>
    <row r="156" spans="1:4" s="136" customFormat="1" ht="18.75" customHeight="1" x14ac:dyDescent="0.2">
      <c r="B156" s="134"/>
      <c r="C156" s="134"/>
      <c r="D156" s="134"/>
    </row>
    <row r="157" spans="1:4" s="136" customFormat="1" ht="18.75" customHeight="1" x14ac:dyDescent="0.2">
      <c r="B157" s="134"/>
      <c r="C157" s="134"/>
      <c r="D157" s="134"/>
    </row>
    <row r="158" spans="1:4" s="136" customFormat="1" ht="18.75" customHeight="1" x14ac:dyDescent="0.2">
      <c r="B158" s="134"/>
      <c r="C158" s="134"/>
      <c r="D158" s="134"/>
    </row>
    <row r="159" spans="1:4" s="136" customFormat="1" ht="18.75" customHeight="1" x14ac:dyDescent="0.2">
      <c r="B159" s="134"/>
      <c r="C159" s="134"/>
      <c r="D159" s="134"/>
    </row>
    <row r="160" spans="1:4" s="136" customFormat="1" ht="18.75" customHeight="1" x14ac:dyDescent="0.2">
      <c r="B160" s="134"/>
      <c r="C160" s="134"/>
      <c r="D160" s="134"/>
    </row>
    <row r="161" spans="2:4" s="136" customFormat="1" ht="18.75" customHeight="1" x14ac:dyDescent="0.2">
      <c r="B161" s="134"/>
      <c r="C161" s="134"/>
      <c r="D161" s="134"/>
    </row>
    <row r="162" spans="2:4" s="136" customFormat="1" ht="18.75" customHeight="1" x14ac:dyDescent="0.2">
      <c r="B162" s="134"/>
      <c r="C162" s="134"/>
      <c r="D162" s="134"/>
    </row>
    <row r="163" spans="2:4" s="136" customFormat="1" ht="18.75" customHeight="1" x14ac:dyDescent="0.2">
      <c r="B163" s="134"/>
      <c r="C163" s="134"/>
      <c r="D163" s="134"/>
    </row>
    <row r="164" spans="2:4" s="136" customFormat="1" ht="18.75" customHeight="1" x14ac:dyDescent="0.2">
      <c r="B164" s="134"/>
      <c r="C164" s="134"/>
      <c r="D164" s="134"/>
    </row>
    <row r="165" spans="2:4" s="136" customFormat="1" ht="18.75" customHeight="1" x14ac:dyDescent="0.2">
      <c r="B165" s="134"/>
      <c r="C165" s="134"/>
      <c r="D165" s="134"/>
    </row>
    <row r="166" spans="2:4" s="136" customFormat="1" ht="18.75" customHeight="1" x14ac:dyDescent="0.2">
      <c r="B166" s="134"/>
      <c r="C166" s="134"/>
      <c r="D166" s="134"/>
    </row>
    <row r="167" spans="2:4" s="136" customFormat="1" ht="18.75" customHeight="1" x14ac:dyDescent="0.2">
      <c r="B167" s="134"/>
      <c r="C167" s="134"/>
      <c r="D167" s="134"/>
    </row>
    <row r="168" spans="2:4" s="136" customFormat="1" ht="18.75" customHeight="1" x14ac:dyDescent="0.2">
      <c r="B168" s="134"/>
      <c r="C168" s="134"/>
      <c r="D168" s="134"/>
    </row>
    <row r="169" spans="2:4" s="136" customFormat="1" ht="18.75" customHeight="1" x14ac:dyDescent="0.2">
      <c r="B169" s="134"/>
      <c r="C169" s="134"/>
      <c r="D169" s="134"/>
    </row>
    <row r="170" spans="2:4" s="136" customFormat="1" ht="18.75" customHeight="1" x14ac:dyDescent="0.2">
      <c r="B170" s="134"/>
      <c r="C170" s="134"/>
      <c r="D170" s="134"/>
    </row>
    <row r="171" spans="2:4" s="136" customFormat="1" ht="18.75" customHeight="1" x14ac:dyDescent="0.2">
      <c r="B171" s="134"/>
      <c r="C171" s="134"/>
      <c r="D171" s="134"/>
    </row>
    <row r="172" spans="2:4" s="136" customFormat="1" ht="18.75" customHeight="1" x14ac:dyDescent="0.2">
      <c r="B172" s="134"/>
      <c r="C172" s="134"/>
      <c r="D172" s="134"/>
    </row>
    <row r="173" spans="2:4" s="136" customFormat="1" ht="18.75" customHeight="1" x14ac:dyDescent="0.2">
      <c r="B173" s="134"/>
      <c r="C173" s="134"/>
      <c r="D173" s="134"/>
    </row>
    <row r="174" spans="2:4" s="136" customFormat="1" ht="18.75" customHeight="1" x14ac:dyDescent="0.2">
      <c r="B174" s="134"/>
      <c r="C174" s="134"/>
      <c r="D174" s="134"/>
    </row>
    <row r="175" spans="2:4" s="136" customFormat="1" ht="18.75" customHeight="1" x14ac:dyDescent="0.2">
      <c r="B175" s="134"/>
      <c r="C175" s="134"/>
      <c r="D175" s="134"/>
    </row>
    <row r="176" spans="2:4" s="136" customFormat="1" ht="18.75" customHeight="1" x14ac:dyDescent="0.2">
      <c r="B176" s="134"/>
      <c r="C176" s="134"/>
      <c r="D176" s="134"/>
    </row>
    <row r="177" spans="2:4" s="136" customFormat="1" ht="18.75" customHeight="1" x14ac:dyDescent="0.2">
      <c r="B177" s="134"/>
      <c r="C177" s="134"/>
      <c r="D177" s="134"/>
    </row>
    <row r="178" spans="2:4" s="136" customFormat="1" ht="18.75" customHeight="1" x14ac:dyDescent="0.2">
      <c r="B178" s="134"/>
      <c r="C178" s="134"/>
      <c r="D178" s="134"/>
    </row>
    <row r="179" spans="2:4" s="136" customFormat="1" ht="18.75" customHeight="1" x14ac:dyDescent="0.2">
      <c r="B179" s="134"/>
      <c r="C179" s="134"/>
      <c r="D179" s="134"/>
    </row>
    <row r="180" spans="2:4" s="136" customFormat="1" ht="18.75" customHeight="1" x14ac:dyDescent="0.2">
      <c r="B180" s="134"/>
      <c r="C180" s="134"/>
      <c r="D180" s="134"/>
    </row>
    <row r="181" spans="2:4" s="136" customFormat="1" ht="18.75" customHeight="1" x14ac:dyDescent="0.2">
      <c r="B181" s="134"/>
      <c r="C181" s="134"/>
      <c r="D181" s="134"/>
    </row>
    <row r="182" spans="2:4" s="136" customFormat="1" ht="18.75" customHeight="1" x14ac:dyDescent="0.2">
      <c r="B182" s="134"/>
      <c r="C182" s="134"/>
      <c r="D182" s="134"/>
    </row>
    <row r="183" spans="2:4" s="136" customFormat="1" ht="18.75" customHeight="1" x14ac:dyDescent="0.2">
      <c r="B183" s="134"/>
      <c r="C183" s="134"/>
      <c r="D183" s="134"/>
    </row>
    <row r="184" spans="2:4" s="136" customFormat="1" ht="18.75" customHeight="1" x14ac:dyDescent="0.2">
      <c r="B184" s="134"/>
      <c r="C184" s="134"/>
      <c r="D184" s="134"/>
    </row>
    <row r="185" spans="2:4" s="136" customFormat="1" ht="18.75" customHeight="1" x14ac:dyDescent="0.2">
      <c r="B185" s="134"/>
      <c r="C185" s="134"/>
      <c r="D185" s="134"/>
    </row>
    <row r="186" spans="2:4" s="136" customFormat="1" ht="18.75" customHeight="1" x14ac:dyDescent="0.2">
      <c r="B186" s="134"/>
      <c r="C186" s="134"/>
      <c r="D186" s="134"/>
    </row>
    <row r="187" spans="2:4" s="136" customFormat="1" ht="18.75" customHeight="1" x14ac:dyDescent="0.2">
      <c r="B187" s="134"/>
      <c r="C187" s="134"/>
      <c r="D187" s="134"/>
    </row>
    <row r="188" spans="2:4" s="136" customFormat="1" ht="18.75" customHeight="1" x14ac:dyDescent="0.2">
      <c r="B188" s="134"/>
      <c r="C188" s="134"/>
      <c r="D188" s="134"/>
    </row>
    <row r="189" spans="2:4" s="136" customFormat="1" ht="18.75" customHeight="1" x14ac:dyDescent="0.2">
      <c r="B189" s="134"/>
      <c r="C189" s="134"/>
      <c r="D189" s="134"/>
    </row>
    <row r="190" spans="2:4" s="136" customFormat="1" ht="18.75" customHeight="1" x14ac:dyDescent="0.2">
      <c r="B190" s="134"/>
      <c r="C190" s="134"/>
      <c r="D190" s="134"/>
    </row>
    <row r="191" spans="2:4" s="136" customFormat="1" ht="18.75" customHeight="1" x14ac:dyDescent="0.2">
      <c r="B191" s="134"/>
      <c r="C191" s="134"/>
      <c r="D191" s="134"/>
    </row>
    <row r="192" spans="2:4" s="136" customFormat="1" ht="18.75" customHeight="1" x14ac:dyDescent="0.2">
      <c r="B192" s="134"/>
      <c r="C192" s="134"/>
      <c r="D192" s="134"/>
    </row>
    <row r="193" spans="2:4" s="136" customFormat="1" ht="18.75" customHeight="1" x14ac:dyDescent="0.2">
      <c r="B193" s="134"/>
      <c r="C193" s="134"/>
      <c r="D193" s="134"/>
    </row>
    <row r="194" spans="2:4" s="136" customFormat="1" ht="18.75" customHeight="1" x14ac:dyDescent="0.2">
      <c r="B194" s="134"/>
      <c r="C194" s="134"/>
      <c r="D194" s="134"/>
    </row>
    <row r="195" spans="2:4" s="136" customFormat="1" ht="18.75" customHeight="1" x14ac:dyDescent="0.2">
      <c r="B195" s="134"/>
      <c r="C195" s="134"/>
      <c r="D195" s="134"/>
    </row>
    <row r="196" spans="2:4" s="136" customFormat="1" ht="18.75" customHeight="1" x14ac:dyDescent="0.2">
      <c r="B196" s="134"/>
      <c r="C196" s="134"/>
      <c r="D196" s="134"/>
    </row>
    <row r="197" spans="2:4" s="136" customFormat="1" ht="18.75" customHeight="1" x14ac:dyDescent="0.2">
      <c r="B197" s="134"/>
      <c r="C197" s="134"/>
      <c r="D197" s="134"/>
    </row>
    <row r="198" spans="2:4" s="136" customFormat="1" ht="18.75" customHeight="1" x14ac:dyDescent="0.2">
      <c r="B198" s="134"/>
      <c r="C198" s="134"/>
      <c r="D198" s="134"/>
    </row>
    <row r="199" spans="2:4" s="136" customFormat="1" ht="18.75" customHeight="1" x14ac:dyDescent="0.2">
      <c r="B199" s="134"/>
      <c r="C199" s="134"/>
      <c r="D199" s="134"/>
    </row>
    <row r="200" spans="2:4" s="136" customFormat="1" ht="18.75" customHeight="1" x14ac:dyDescent="0.2">
      <c r="B200" s="134"/>
      <c r="C200" s="134"/>
      <c r="D200" s="134"/>
    </row>
    <row r="201" spans="2:4" s="136" customFormat="1" ht="18.75" customHeight="1" x14ac:dyDescent="0.2">
      <c r="B201" s="134"/>
      <c r="C201" s="134"/>
      <c r="D201" s="134"/>
    </row>
    <row r="202" spans="2:4" s="136" customFormat="1" ht="18.75" customHeight="1" x14ac:dyDescent="0.2">
      <c r="B202" s="134"/>
      <c r="C202" s="134"/>
      <c r="D202" s="134"/>
    </row>
    <row r="203" spans="2:4" s="136" customFormat="1" ht="18.75" customHeight="1" x14ac:dyDescent="0.2">
      <c r="B203" s="134"/>
      <c r="C203" s="134"/>
      <c r="D203" s="134"/>
    </row>
  </sheetData>
  <mergeCells count="2">
    <mergeCell ref="F107:G107"/>
    <mergeCell ref="G7:H7"/>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72"/>
  <sheetViews>
    <sheetView showGridLines="0" zoomScaleNormal="100" workbookViewId="0">
      <selection activeCell="D1" sqref="D1"/>
    </sheetView>
  </sheetViews>
  <sheetFormatPr defaultColWidth="9.28515625" defaultRowHeight="17.25" customHeight="1" x14ac:dyDescent="0.2"/>
  <cols>
    <col min="1" max="1" width="9.28515625" style="311"/>
    <col min="2" max="2" width="50.5703125" style="311" customWidth="1"/>
    <col min="3" max="3" width="7.5703125" style="311" bestFit="1" customWidth="1"/>
    <col min="4" max="4" width="32.28515625" style="311" customWidth="1"/>
    <col min="5" max="5" width="35.85546875" style="311" customWidth="1"/>
    <col min="6" max="6" width="22.42578125" style="311" bestFit="1" customWidth="1"/>
    <col min="7" max="7" width="25.42578125" style="558" bestFit="1" customWidth="1"/>
    <col min="8" max="8" width="20.28515625" style="558" bestFit="1" customWidth="1"/>
    <col min="9" max="16384" width="9.28515625" style="311"/>
  </cols>
  <sheetData>
    <row r="1" spans="2:6" ht="17.25" customHeight="1" x14ac:dyDescent="0.2">
      <c r="B1" s="557"/>
      <c r="C1" s="557"/>
      <c r="D1" s="557"/>
      <c r="E1" s="557"/>
    </row>
    <row r="2" spans="2:6" ht="17.25" customHeight="1" x14ac:dyDescent="0.2">
      <c r="B2" s="459" t="s">
        <v>1027</v>
      </c>
      <c r="C2" s="557"/>
    </row>
    <row r="3" spans="2:6" ht="17.25" customHeight="1" x14ac:dyDescent="0.2">
      <c r="B3" s="137" t="str">
        <f>'Working TB'!B3</f>
        <v>A5 second floor,Rajeswari Apartments, 45 Vellalar street, Kodambakkam,Chennai- 600024.</v>
      </c>
      <c r="C3" s="459"/>
    </row>
    <row r="4" spans="2:6" ht="17.25" customHeight="1" x14ac:dyDescent="0.2">
      <c r="B4" s="137" t="str">
        <f>'Working TB'!B4</f>
        <v>U29100TN2020PTC135386</v>
      </c>
      <c r="C4" s="459"/>
    </row>
    <row r="5" spans="2:6" ht="17.25" customHeight="1" x14ac:dyDescent="0.2">
      <c r="E5" s="559" t="str">
        <f>'Master Sheet'!$C$5</f>
        <v>Amount in ₹.</v>
      </c>
    </row>
    <row r="6" spans="2:6" ht="17.25" customHeight="1" x14ac:dyDescent="0.2">
      <c r="B6" s="675" t="s">
        <v>1001</v>
      </c>
      <c r="C6" s="676"/>
      <c r="D6" s="676"/>
      <c r="E6" s="677"/>
    </row>
    <row r="7" spans="2:6" ht="23.25" customHeight="1" x14ac:dyDescent="0.2">
      <c r="B7" s="560" t="s">
        <v>53</v>
      </c>
      <c r="C7" s="560" t="s">
        <v>54</v>
      </c>
      <c r="D7" s="560" t="s">
        <v>977</v>
      </c>
      <c r="E7" s="560" t="s">
        <v>865</v>
      </c>
      <c r="F7" s="561"/>
    </row>
    <row r="8" spans="2:6" ht="17.25" customHeight="1" x14ac:dyDescent="0.2">
      <c r="B8" s="562"/>
      <c r="C8" s="563"/>
      <c r="D8" s="563"/>
      <c r="E8" s="460"/>
    </row>
    <row r="9" spans="2:6" ht="17.25" customHeight="1" x14ac:dyDescent="0.2">
      <c r="B9" s="564" t="s">
        <v>55</v>
      </c>
      <c r="C9" s="565"/>
      <c r="D9" s="566"/>
      <c r="E9" s="567"/>
    </row>
    <row r="10" spans="2:6" ht="17.25" customHeight="1" x14ac:dyDescent="0.2">
      <c r="B10" s="562"/>
      <c r="C10" s="563"/>
      <c r="D10" s="563"/>
      <c r="E10" s="460"/>
    </row>
    <row r="11" spans="2:6" ht="17.25" customHeight="1" x14ac:dyDescent="0.2">
      <c r="B11" s="564" t="s">
        <v>56</v>
      </c>
      <c r="C11" s="565"/>
      <c r="D11" s="568"/>
      <c r="E11" s="569"/>
      <c r="F11" s="335"/>
    </row>
    <row r="12" spans="2:6" ht="17.25" customHeight="1" x14ac:dyDescent="0.2">
      <c r="B12" s="570" t="s">
        <v>57</v>
      </c>
      <c r="C12" s="565" t="s">
        <v>58</v>
      </c>
      <c r="D12" s="566">
        <f>'Balance Sheet Notes'!C16</f>
        <v>1500000</v>
      </c>
      <c r="E12" s="567">
        <f>'Balance Sheet Notes'!D16</f>
        <v>1500000</v>
      </c>
      <c r="F12" s="335"/>
    </row>
    <row r="13" spans="2:6" ht="17.25" customHeight="1" x14ac:dyDescent="0.2">
      <c r="B13" s="570" t="s">
        <v>59</v>
      </c>
      <c r="C13" s="565" t="s">
        <v>60</v>
      </c>
      <c r="D13" s="440">
        <f>('Balance Sheet Notes'!C121)</f>
        <v>3646361.7100000056</v>
      </c>
      <c r="E13" s="376">
        <f>'Balance Sheet Notes'!D121</f>
        <v>-3782365.8</v>
      </c>
      <c r="F13" s="335"/>
    </row>
    <row r="14" spans="2:6" ht="17.25" customHeight="1" x14ac:dyDescent="0.2">
      <c r="B14" s="570" t="s">
        <v>61</v>
      </c>
      <c r="C14" s="565"/>
      <c r="D14" s="566">
        <v>0</v>
      </c>
      <c r="E14" s="567">
        <v>0</v>
      </c>
    </row>
    <row r="15" spans="2:6" ht="17.25" customHeight="1" x14ac:dyDescent="0.2">
      <c r="B15" s="562"/>
      <c r="C15" s="563"/>
      <c r="D15" s="571">
        <f>SUM(D12:D14)</f>
        <v>5146361.7100000056</v>
      </c>
      <c r="E15" s="571">
        <f>SUM(E12:E13)</f>
        <v>-2282365.7999999998</v>
      </c>
    </row>
    <row r="16" spans="2:6" ht="17.25" customHeight="1" x14ac:dyDescent="0.2">
      <c r="B16" s="564" t="s">
        <v>62</v>
      </c>
      <c r="C16" s="565"/>
      <c r="D16" s="566"/>
      <c r="E16" s="567"/>
    </row>
    <row r="17" spans="2:6" ht="17.25" customHeight="1" x14ac:dyDescent="0.2">
      <c r="B17" s="562"/>
      <c r="C17" s="563"/>
      <c r="D17" s="563"/>
      <c r="E17" s="460"/>
    </row>
    <row r="18" spans="2:6" ht="17.25" customHeight="1" x14ac:dyDescent="0.2">
      <c r="B18" s="564" t="s">
        <v>63</v>
      </c>
      <c r="C18" s="565"/>
      <c r="D18" s="568"/>
      <c r="E18" s="568"/>
      <c r="F18" s="335"/>
    </row>
    <row r="19" spans="2:6" ht="17.25" customHeight="1" x14ac:dyDescent="0.2">
      <c r="B19" s="570" t="s">
        <v>64</v>
      </c>
      <c r="C19" s="565">
        <v>5</v>
      </c>
      <c r="D19" s="566">
        <f>+'Balance Sheet Notes'!C127</f>
        <v>0</v>
      </c>
      <c r="E19" s="567">
        <f>+'Balance Sheet Notes'!D127</f>
        <v>11540575</v>
      </c>
      <c r="F19" s="572"/>
    </row>
    <row r="20" spans="2:6" ht="17.25" customHeight="1" x14ac:dyDescent="0.2">
      <c r="B20" s="570" t="s">
        <v>65</v>
      </c>
      <c r="C20" s="565">
        <v>6</v>
      </c>
      <c r="D20" s="566">
        <f>'Balance Sheet Notes'!C140</f>
        <v>1040</v>
      </c>
      <c r="E20" s="567">
        <f>'Balance Sheet Notes'!D139</f>
        <v>0</v>
      </c>
      <c r="F20" s="572"/>
    </row>
    <row r="21" spans="2:6" ht="17.25" customHeight="1" x14ac:dyDescent="0.2">
      <c r="B21" s="570" t="s">
        <v>66</v>
      </c>
      <c r="C21" s="565"/>
      <c r="D21" s="566">
        <v>0</v>
      </c>
      <c r="E21" s="567">
        <v>0</v>
      </c>
      <c r="F21" s="572"/>
    </row>
    <row r="22" spans="2:6" ht="17.25" customHeight="1" x14ac:dyDescent="0.2">
      <c r="B22" s="570" t="s">
        <v>67</v>
      </c>
      <c r="C22" s="565"/>
      <c r="D22" s="566">
        <v>0</v>
      </c>
      <c r="E22" s="567">
        <v>0</v>
      </c>
      <c r="F22" s="572"/>
    </row>
    <row r="23" spans="2:6" ht="17.25" customHeight="1" x14ac:dyDescent="0.2">
      <c r="B23" s="562"/>
      <c r="C23" s="563"/>
      <c r="D23" s="573">
        <f>SUM(D19:D22)</f>
        <v>1040</v>
      </c>
      <c r="E23" s="573">
        <f>SUM(E19:E22)</f>
        <v>11540575</v>
      </c>
      <c r="F23" s="572"/>
    </row>
    <row r="24" spans="2:6" ht="17.25" customHeight="1" x14ac:dyDescent="0.2">
      <c r="B24" s="564" t="s">
        <v>68</v>
      </c>
      <c r="C24" s="565"/>
      <c r="D24" s="568"/>
      <c r="E24" s="568"/>
      <c r="F24" s="572"/>
    </row>
    <row r="25" spans="2:6" ht="12.75" x14ac:dyDescent="0.2">
      <c r="B25" s="570" t="s">
        <v>69</v>
      </c>
      <c r="C25" s="565"/>
      <c r="D25" s="566">
        <v>0</v>
      </c>
      <c r="E25" s="567">
        <v>0</v>
      </c>
      <c r="F25" s="572"/>
    </row>
    <row r="26" spans="2:6" ht="12.75" x14ac:dyDescent="0.2">
      <c r="B26" s="570" t="s">
        <v>70</v>
      </c>
      <c r="C26" s="565"/>
      <c r="D26" s="566">
        <v>0</v>
      </c>
      <c r="E26" s="567">
        <v>0</v>
      </c>
      <c r="F26" s="572"/>
    </row>
    <row r="27" spans="2:6" ht="27.75" customHeight="1" x14ac:dyDescent="0.2">
      <c r="B27" s="570" t="s">
        <v>71</v>
      </c>
      <c r="C27" s="565"/>
      <c r="D27" s="566">
        <v>0</v>
      </c>
      <c r="E27" s="567">
        <v>0</v>
      </c>
      <c r="F27" s="572"/>
    </row>
    <row r="28" spans="2:6" ht="27" customHeight="1" x14ac:dyDescent="0.2">
      <c r="B28" s="570" t="s">
        <v>72</v>
      </c>
      <c r="C28" s="565"/>
      <c r="D28" s="566">
        <v>0</v>
      </c>
      <c r="E28" s="567">
        <v>0</v>
      </c>
      <c r="F28" s="572"/>
    </row>
    <row r="29" spans="2:6" ht="12.75" x14ac:dyDescent="0.2">
      <c r="B29" s="570" t="s">
        <v>73</v>
      </c>
      <c r="C29" s="565">
        <v>7</v>
      </c>
      <c r="D29" s="566">
        <f>'Balance Sheet Notes'!C148</f>
        <v>138478.82</v>
      </c>
      <c r="E29" s="567">
        <f>'Balance Sheet Notes'!D148</f>
        <v>135214.94</v>
      </c>
      <c r="F29" s="572"/>
    </row>
    <row r="30" spans="2:6" ht="12.75" x14ac:dyDescent="0.2">
      <c r="B30" s="570" t="s">
        <v>74</v>
      </c>
      <c r="C30" s="565">
        <v>8</v>
      </c>
      <c r="D30" s="566">
        <f>'Balance Sheet Notes'!C153</f>
        <v>1255554</v>
      </c>
      <c r="E30" s="567">
        <v>0</v>
      </c>
      <c r="F30" s="572"/>
    </row>
    <row r="31" spans="2:6" ht="17.25" customHeight="1" x14ac:dyDescent="0.2">
      <c r="B31" s="562"/>
      <c r="C31" s="563"/>
      <c r="D31" s="573">
        <f>SUM(D25:D30)</f>
        <v>1394032.82</v>
      </c>
      <c r="E31" s="573">
        <f>SUM(E25:E30)</f>
        <v>135214.94</v>
      </c>
      <c r="F31" s="572"/>
    </row>
    <row r="32" spans="2:6" ht="17.25" customHeight="1" thickBot="1" x14ac:dyDescent="0.25">
      <c r="B32" s="575" t="s">
        <v>75</v>
      </c>
      <c r="C32" s="576"/>
      <c r="D32" s="577">
        <f>D31+D23+D15</f>
        <v>6541434.5300000058</v>
      </c>
      <c r="E32" s="577">
        <f>(E31+E23+E15)</f>
        <v>9393424.1400000006</v>
      </c>
      <c r="F32" s="572"/>
    </row>
    <row r="33" spans="2:6" ht="17.25" customHeight="1" thickTop="1" x14ac:dyDescent="0.2">
      <c r="B33" s="562"/>
      <c r="C33" s="563"/>
      <c r="D33" s="563"/>
      <c r="E33" s="460"/>
      <c r="F33" s="572"/>
    </row>
    <row r="34" spans="2:6" ht="17.25" customHeight="1" x14ac:dyDescent="0.2">
      <c r="B34" s="564" t="s">
        <v>76</v>
      </c>
      <c r="C34" s="565"/>
      <c r="D34" s="566"/>
      <c r="E34" s="567"/>
      <c r="F34" s="572"/>
    </row>
    <row r="35" spans="2:6" ht="12.75" x14ac:dyDescent="0.2">
      <c r="B35" s="562"/>
      <c r="C35" s="563"/>
      <c r="D35" s="563"/>
      <c r="E35" s="460"/>
      <c r="F35" s="572"/>
    </row>
    <row r="36" spans="2:6" ht="17.25" customHeight="1" x14ac:dyDescent="0.2">
      <c r="B36" s="564" t="s">
        <v>77</v>
      </c>
      <c r="C36" s="565"/>
      <c r="D36" s="568"/>
      <c r="E36" s="568"/>
      <c r="F36" s="572"/>
    </row>
    <row r="37" spans="2:6" ht="17.25" customHeight="1" x14ac:dyDescent="0.2">
      <c r="B37" s="570" t="s">
        <v>78</v>
      </c>
      <c r="C37" s="565">
        <v>9</v>
      </c>
      <c r="D37" s="566">
        <f>'Balance Sheet Notes'!L159</f>
        <v>2512</v>
      </c>
      <c r="E37" s="567">
        <f>'Balance Sheet Notes'!L162</f>
        <v>2512</v>
      </c>
      <c r="F37" s="572"/>
    </row>
    <row r="38" spans="2:6" ht="17.25" customHeight="1" x14ac:dyDescent="0.2">
      <c r="B38" s="570" t="s">
        <v>79</v>
      </c>
      <c r="C38" s="565"/>
      <c r="D38" s="566">
        <v>0</v>
      </c>
      <c r="E38" s="567">
        <v>0</v>
      </c>
      <c r="F38" s="572"/>
    </row>
    <row r="39" spans="2:6" ht="17.25" customHeight="1" x14ac:dyDescent="0.2">
      <c r="B39" s="570" t="s">
        <v>80</v>
      </c>
      <c r="C39" s="565"/>
      <c r="D39" s="566">
        <v>0</v>
      </c>
      <c r="E39" s="567">
        <v>0</v>
      </c>
      <c r="F39" s="572"/>
    </row>
    <row r="40" spans="2:6" ht="17.25" customHeight="1" x14ac:dyDescent="0.2">
      <c r="B40" s="570" t="s">
        <v>81</v>
      </c>
      <c r="C40" s="565"/>
      <c r="D40" s="566"/>
      <c r="E40" s="567">
        <v>0</v>
      </c>
      <c r="F40" s="572"/>
    </row>
    <row r="41" spans="2:6" ht="17.25" customHeight="1" x14ac:dyDescent="0.2">
      <c r="B41" s="570" t="s">
        <v>82</v>
      </c>
      <c r="C41" s="565"/>
      <c r="D41" s="566">
        <v>0</v>
      </c>
      <c r="E41" s="567">
        <v>0</v>
      </c>
      <c r="F41" s="572"/>
    </row>
    <row r="42" spans="2:6" ht="17.25" customHeight="1" x14ac:dyDescent="0.2">
      <c r="B42" s="570" t="s">
        <v>83</v>
      </c>
      <c r="C42" s="565"/>
      <c r="D42" s="566">
        <v>0</v>
      </c>
      <c r="E42" s="567">
        <v>0</v>
      </c>
      <c r="F42" s="572"/>
    </row>
    <row r="43" spans="2:6" ht="17.25" customHeight="1" x14ac:dyDescent="0.2">
      <c r="B43" s="570" t="s">
        <v>84</v>
      </c>
      <c r="C43" s="565">
        <v>10</v>
      </c>
      <c r="D43" s="566">
        <f>'Balance Sheet Notes'!C169</f>
        <v>0</v>
      </c>
      <c r="E43" s="567">
        <f>'Balance Sheet Notes'!D170</f>
        <v>249</v>
      </c>
      <c r="F43" s="572"/>
    </row>
    <row r="44" spans="2:6" ht="17.25" customHeight="1" x14ac:dyDescent="0.2">
      <c r="B44" s="570" t="s">
        <v>85</v>
      </c>
      <c r="C44" s="565"/>
      <c r="D44" s="566">
        <v>0</v>
      </c>
      <c r="E44" s="567">
        <v>0</v>
      </c>
      <c r="F44" s="572"/>
    </row>
    <row r="45" spans="2:6" ht="17.25" customHeight="1" x14ac:dyDescent="0.2">
      <c r="B45" s="570" t="s">
        <v>86</v>
      </c>
      <c r="C45" s="565"/>
      <c r="D45" s="566">
        <v>0</v>
      </c>
      <c r="E45" s="567">
        <v>0</v>
      </c>
      <c r="F45" s="572"/>
    </row>
    <row r="46" spans="2:6" ht="17.25" customHeight="1" x14ac:dyDescent="0.2">
      <c r="B46" s="562"/>
      <c r="C46" s="563"/>
      <c r="D46" s="573">
        <f>SUM(D37:D45)</f>
        <v>2512</v>
      </c>
      <c r="E46" s="573">
        <f>SUM(E37:E45)</f>
        <v>2761</v>
      </c>
      <c r="F46" s="572"/>
    </row>
    <row r="47" spans="2:6" ht="17.25" customHeight="1" x14ac:dyDescent="0.2">
      <c r="B47" s="564" t="s">
        <v>87</v>
      </c>
      <c r="C47" s="565"/>
      <c r="D47" s="568"/>
      <c r="E47" s="569"/>
      <c r="F47" s="572"/>
    </row>
    <row r="48" spans="2:6" ht="17.25" customHeight="1" x14ac:dyDescent="0.2">
      <c r="B48" s="570" t="s">
        <v>88</v>
      </c>
      <c r="C48" s="565"/>
      <c r="D48" s="566">
        <v>0</v>
      </c>
      <c r="E48" s="567">
        <v>0</v>
      </c>
      <c r="F48" s="572"/>
    </row>
    <row r="49" spans="2:8" ht="17.25" customHeight="1" x14ac:dyDescent="0.2">
      <c r="B49" s="570" t="s">
        <v>89</v>
      </c>
      <c r="C49" s="565"/>
      <c r="D49" s="566">
        <v>0</v>
      </c>
      <c r="E49" s="567">
        <v>0</v>
      </c>
      <c r="F49" s="572"/>
    </row>
    <row r="50" spans="2:8" ht="17.25" customHeight="1" x14ac:dyDescent="0.2">
      <c r="B50" s="570" t="s">
        <v>90</v>
      </c>
      <c r="C50" s="565"/>
      <c r="D50" s="566">
        <v>0</v>
      </c>
      <c r="E50" s="567">
        <v>0</v>
      </c>
      <c r="F50" s="572"/>
    </row>
    <row r="51" spans="2:8" ht="17.25" customHeight="1" x14ac:dyDescent="0.2">
      <c r="B51" s="570" t="s">
        <v>91</v>
      </c>
      <c r="C51" s="565">
        <v>11</v>
      </c>
      <c r="D51" s="566">
        <f>'Balance Sheet Notes'!C182</f>
        <v>4068610.25</v>
      </c>
      <c r="E51" s="567">
        <f>'Balance Sheet Notes'!D182</f>
        <v>7365298.8900000006</v>
      </c>
      <c r="F51" s="572"/>
    </row>
    <row r="52" spans="2:8" ht="17.25" customHeight="1" x14ac:dyDescent="0.2">
      <c r="B52" s="570" t="s">
        <v>92</v>
      </c>
      <c r="C52" s="565">
        <v>12</v>
      </c>
      <c r="D52" s="566">
        <f>('Balance Sheet Notes'!C192)</f>
        <v>2470312.2800000003</v>
      </c>
      <c r="E52" s="567">
        <f>'Balance Sheet Notes'!D192</f>
        <v>2025364.25</v>
      </c>
      <c r="F52" s="572"/>
    </row>
    <row r="53" spans="2:8" ht="17.25" customHeight="1" x14ac:dyDescent="0.2">
      <c r="B53" s="570" t="s">
        <v>93</v>
      </c>
      <c r="C53" s="565"/>
      <c r="D53" s="566">
        <v>0</v>
      </c>
      <c r="E53" s="567">
        <v>0</v>
      </c>
      <c r="F53" s="572"/>
    </row>
    <row r="54" spans="2:8" ht="17.25" customHeight="1" x14ac:dyDescent="0.2">
      <c r="B54" s="562"/>
      <c r="C54" s="563"/>
      <c r="D54" s="573">
        <f>SUM(D48:D53)</f>
        <v>6538922.5300000003</v>
      </c>
      <c r="E54" s="573">
        <f>SUM(E48:E53)</f>
        <v>9390663.1400000006</v>
      </c>
    </row>
    <row r="55" spans="2:8" ht="17.25" customHeight="1" x14ac:dyDescent="0.2">
      <c r="B55" s="562"/>
      <c r="C55" s="563"/>
      <c r="D55" s="574"/>
      <c r="E55" s="574"/>
    </row>
    <row r="56" spans="2:8" ht="17.25" customHeight="1" thickBot="1" x14ac:dyDescent="0.25">
      <c r="B56" s="575" t="s">
        <v>75</v>
      </c>
      <c r="C56" s="576"/>
      <c r="D56" s="577">
        <f>D54+D46</f>
        <v>6541434.5300000003</v>
      </c>
      <c r="E56" s="577">
        <f>E54+E46</f>
        <v>9393424.1400000006</v>
      </c>
    </row>
    <row r="57" spans="2:8" ht="17.25" customHeight="1" thickTop="1" x14ac:dyDescent="0.2">
      <c r="B57" s="562" t="s">
        <v>1097</v>
      </c>
      <c r="C57" s="90"/>
      <c r="D57" s="649">
        <f>D56-D32</f>
        <v>0</v>
      </c>
      <c r="E57" s="578">
        <f>E32-E56</f>
        <v>0</v>
      </c>
    </row>
    <row r="58" spans="2:8" ht="17.25" customHeight="1" x14ac:dyDescent="0.2">
      <c r="B58" s="562"/>
      <c r="C58" s="90"/>
      <c r="D58" s="90"/>
      <c r="E58" s="460"/>
    </row>
    <row r="59" spans="2:8" ht="17.25" customHeight="1" x14ac:dyDescent="0.2">
      <c r="B59" s="562" t="s">
        <v>95</v>
      </c>
      <c r="C59" s="90"/>
      <c r="D59" s="90"/>
      <c r="E59" s="460"/>
    </row>
    <row r="60" spans="2:8" ht="17.25" customHeight="1" x14ac:dyDescent="0.2">
      <c r="B60" s="579" t="str">
        <f>IF('Master Sheet'!$C$23="", "", "For "&amp;'Master Sheet'!$C$23)</f>
        <v/>
      </c>
      <c r="C60" s="95" t="str">
        <f>IF('Master Sheet'!$C$7="", "", "For "&amp;'Master Sheet'!$C$7)</f>
        <v/>
      </c>
      <c r="D60" s="90"/>
      <c r="E60" s="460"/>
      <c r="G60" s="311"/>
      <c r="H60" s="311"/>
    </row>
    <row r="61" spans="2:8" ht="12.75" x14ac:dyDescent="0.2">
      <c r="B61" s="117" t="s">
        <v>825</v>
      </c>
      <c r="C61" s="88"/>
      <c r="D61" s="89" t="s">
        <v>826</v>
      </c>
      <c r="E61" s="460"/>
      <c r="G61" s="311"/>
      <c r="H61" s="311"/>
    </row>
    <row r="62" spans="2:8" ht="12.75" x14ac:dyDescent="0.2">
      <c r="B62" s="117" t="s">
        <v>827</v>
      </c>
      <c r="C62" s="88"/>
      <c r="D62" s="88"/>
      <c r="E62" s="460"/>
      <c r="F62" s="90"/>
      <c r="G62" s="311"/>
      <c r="H62" s="311"/>
    </row>
    <row r="63" spans="2:8" ht="12.75" x14ac:dyDescent="0.2">
      <c r="B63" s="118" t="s">
        <v>96</v>
      </c>
      <c r="C63" s="91"/>
      <c r="D63" s="91"/>
      <c r="E63" s="460"/>
      <c r="F63" s="90"/>
      <c r="G63" s="311"/>
      <c r="H63" s="311"/>
    </row>
    <row r="64" spans="2:8" ht="17.25" customHeight="1" x14ac:dyDescent="0.2">
      <c r="B64" s="119"/>
      <c r="C64" s="92"/>
      <c r="D64" s="92"/>
      <c r="E64" s="461"/>
      <c r="F64" s="90"/>
      <c r="G64" s="311"/>
      <c r="H64" s="311"/>
    </row>
    <row r="65" spans="2:8" ht="17.25" customHeight="1" x14ac:dyDescent="0.2">
      <c r="B65" s="119"/>
      <c r="C65" s="92"/>
      <c r="D65" s="92"/>
      <c r="E65" s="460"/>
      <c r="F65" s="90"/>
      <c r="G65" s="311"/>
      <c r="H65" s="311"/>
    </row>
    <row r="66" spans="2:8" ht="12.75" x14ac:dyDescent="0.2">
      <c r="B66" s="117" t="s">
        <v>828</v>
      </c>
      <c r="D66" s="97" t="s">
        <v>969</v>
      </c>
      <c r="E66" s="462" t="s">
        <v>829</v>
      </c>
      <c r="G66" s="311"/>
      <c r="H66" s="311"/>
    </row>
    <row r="67" spans="2:8" ht="12.75" x14ac:dyDescent="0.2">
      <c r="B67" s="117" t="s">
        <v>830</v>
      </c>
      <c r="D67" s="89" t="s">
        <v>831</v>
      </c>
      <c r="E67" s="463" t="s">
        <v>832</v>
      </c>
      <c r="G67" s="311"/>
      <c r="H67" s="311"/>
    </row>
    <row r="68" spans="2:8" ht="12.75" x14ac:dyDescent="0.2">
      <c r="B68" s="117" t="s">
        <v>833</v>
      </c>
      <c r="D68" s="95" t="s">
        <v>970</v>
      </c>
      <c r="E68" s="462" t="s">
        <v>834</v>
      </c>
      <c r="G68" s="311"/>
      <c r="H68" s="311"/>
    </row>
    <row r="69" spans="2:8" ht="17.25" customHeight="1" x14ac:dyDescent="0.2">
      <c r="B69" s="120" t="s">
        <v>580</v>
      </c>
      <c r="C69" s="96"/>
      <c r="D69" s="96"/>
      <c r="E69" s="460"/>
      <c r="F69" s="90"/>
      <c r="G69" s="311"/>
      <c r="H69" s="311"/>
    </row>
    <row r="70" spans="2:8" ht="17.25" customHeight="1" x14ac:dyDescent="0.2">
      <c r="B70" s="117" t="s">
        <v>835</v>
      </c>
      <c r="C70" s="88"/>
      <c r="D70" s="88"/>
      <c r="E70" s="464"/>
      <c r="F70" s="91"/>
      <c r="G70" s="311"/>
      <c r="H70" s="311"/>
    </row>
    <row r="71" spans="2:8" ht="17.25" customHeight="1" x14ac:dyDescent="0.2">
      <c r="B71" s="117" t="s">
        <v>836</v>
      </c>
      <c r="C71" s="88"/>
      <c r="D71" s="673"/>
      <c r="E71" s="674"/>
      <c r="F71" s="91"/>
      <c r="G71" s="311"/>
      <c r="H71" s="311"/>
    </row>
    <row r="72" spans="2:8" ht="17.25" customHeight="1" x14ac:dyDescent="0.2">
      <c r="B72" s="580" t="str">
        <f>IF('Master Sheet'!$C$29="", "", "Date: " &amp; TEXT('Master Sheet'!$C$29, "DD-MM-YYYY"))</f>
        <v/>
      </c>
      <c r="C72" s="581" t="str">
        <f>IF('Master Sheet'!$C$30="", "","Date: " &amp; TEXT('Master Sheet'!$C$30, "DD-MM-YYYY"))</f>
        <v/>
      </c>
      <c r="D72" s="582"/>
      <c r="E72" s="583"/>
      <c r="G72" s="311"/>
      <c r="H72" s="311"/>
    </row>
  </sheetData>
  <mergeCells count="2">
    <mergeCell ref="D71:E71"/>
    <mergeCell ref="B6:E6"/>
  </mergeCells>
  <hyperlinks>
    <hyperlink ref="B19" location="'Balance Sheet Notes'!B104" display="(a) Long-term borrowings"/>
    <hyperlink ref="B20" location="'Balance Sheet Notes'!B132" display="(b) Deferred tax liabilities (Net)"/>
    <hyperlink ref="B21" location="'Balance Sheet Notes'!B141" display="(c) Other Long-term liabilities"/>
    <hyperlink ref="B22" location="'Balance Sheet Notes'!B151" display="(d) Long-term provisions"/>
    <hyperlink ref="B25" location="'Balance Sheet Notes'!B161" display="(a) Short-term borrowings"/>
    <hyperlink ref="B26" location="'Balance Sheet Notes'!B185" display="(b) Trade payables"/>
    <hyperlink ref="B29" location="'Balance Sheet Notes'!B207" display="(c) Other current liabilities"/>
    <hyperlink ref="B30" location="'Balance Sheet Notes'!B231" display="(d) Short-term provisions"/>
    <hyperlink ref="B37" location="'Balance Sheet Notes'!B241" display="(a) Property, Plant and Equipment and Intangible assets"/>
    <hyperlink ref="B42" location="'Balance Sheet Notes'!B253" display="(b) Non-current investments"/>
    <hyperlink ref="B43" location="'None'!None" display="(c) Deferred tax assets (net)"/>
    <hyperlink ref="B44" location="'Balance Sheet Notes'!B292" display="(d) Long-term loans and advances"/>
    <hyperlink ref="B45" location="'Balance Sheet Notes'!B306" display="(e) Other non-current assets"/>
    <hyperlink ref="B48" location="'Balance Sheet Notes'!B321" display="(a) Current investments"/>
    <hyperlink ref="B49" location="'Balance Sheet Notes'!B348" display="(b) Inventories"/>
    <hyperlink ref="B50" location="'Balance Sheet Notes'!B364" display="(c) Trade receivables"/>
    <hyperlink ref="B51" location="'Balance Sheet Notes'!B388" display="(d) Cash and cash equivalents"/>
    <hyperlink ref="B52" location="'Balance Sheet Notes'!B402" display="(e) Short-term loans &amp; advances"/>
    <hyperlink ref="B53" location="'Balance Sheet Notes'!B424" display="(f) Other current assets"/>
    <hyperlink ref="B14" location="'Balance Sheet Notes'!B95" display="(c) Money received against share warrants"/>
    <hyperlink ref="B13" location="'Balance Sheet Notes'!B31" display="(b) Reserves and surplus"/>
    <hyperlink ref="B12" location="'Balance Sheet Notes'!B6" display="(a) Share capital"/>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6"/>
  <sheetViews>
    <sheetView showGridLines="0" topLeftCell="A26" zoomScaleNormal="100" workbookViewId="0">
      <selection activeCell="D29" sqref="D29"/>
    </sheetView>
  </sheetViews>
  <sheetFormatPr defaultColWidth="9.28515625" defaultRowHeight="21" customHeight="1" x14ac:dyDescent="0.2"/>
  <cols>
    <col min="1" max="1" width="9.28515625" style="136"/>
    <col min="2" max="2" width="50.5703125" style="136" customWidth="1"/>
    <col min="3" max="3" width="7.5703125" style="136" bestFit="1" customWidth="1"/>
    <col min="4" max="5" width="25.5703125" style="136" customWidth="1"/>
    <col min="6" max="6" width="17.5703125" style="136" customWidth="1"/>
    <col min="7" max="7" width="30.5703125" style="322" bestFit="1" customWidth="1"/>
    <col min="8" max="16384" width="9.28515625" style="136"/>
  </cols>
  <sheetData>
    <row r="1" spans="2:5" ht="21" customHeight="1" x14ac:dyDescent="0.2">
      <c r="B1" s="135"/>
      <c r="C1" s="135"/>
      <c r="D1" s="135"/>
      <c r="E1" s="135"/>
    </row>
    <row r="2" spans="2:5" ht="21" customHeight="1" x14ac:dyDescent="0.2">
      <c r="B2" s="137" t="str">
        <f>+'Balance Sheet'!B2</f>
        <v xml:space="preserve">K.U.M. India Private Limited </v>
      </c>
      <c r="C2" s="135"/>
    </row>
    <row r="3" spans="2:5" ht="21" customHeight="1" x14ac:dyDescent="0.2">
      <c r="B3" s="137" t="str">
        <f>'Balance Sheet'!B3</f>
        <v>A5 second floor,Rajeswari Apartments, 45 Vellalar street, Kodambakkam,Chennai- 600024.</v>
      </c>
    </row>
    <row r="4" spans="2:5" ht="21" customHeight="1" x14ac:dyDescent="0.2">
      <c r="B4" s="137" t="str">
        <f>'Balance Sheet'!B4</f>
        <v>U29100TN2020PTC135386</v>
      </c>
    </row>
    <row r="5" spans="2:5" ht="21" customHeight="1" x14ac:dyDescent="0.2">
      <c r="E5" s="138" t="str">
        <f>'Master Sheet'!$C$5</f>
        <v>Amount in ₹.</v>
      </c>
    </row>
    <row r="6" spans="2:5" ht="21" customHeight="1" x14ac:dyDescent="0.2">
      <c r="B6" s="678" t="s">
        <v>1005</v>
      </c>
      <c r="C6" s="679"/>
      <c r="D6" s="679"/>
      <c r="E6" s="680"/>
    </row>
    <row r="7" spans="2:5" ht="25.5" x14ac:dyDescent="0.2">
      <c r="B7" s="140" t="s">
        <v>53</v>
      </c>
      <c r="C7" s="140" t="s">
        <v>54</v>
      </c>
      <c r="D7" s="140" t="s">
        <v>1000</v>
      </c>
      <c r="E7" s="140" t="s">
        <v>871</v>
      </c>
    </row>
    <row r="8" spans="2:5" ht="21" customHeight="1" x14ac:dyDescent="0.2">
      <c r="B8" s="466" t="s">
        <v>97</v>
      </c>
      <c r="C8" s="467"/>
      <c r="D8" s="142"/>
      <c r="E8" s="143"/>
    </row>
    <row r="9" spans="2:5" ht="17.25" customHeight="1" x14ac:dyDescent="0.2">
      <c r="B9" s="312" t="s">
        <v>98</v>
      </c>
      <c r="C9" s="467">
        <v>13</v>
      </c>
      <c r="D9" s="142">
        <f>+'Profit and Loss Notes'!C12</f>
        <v>43300000</v>
      </c>
      <c r="E9" s="143">
        <f>'Profit and Loss Notes'!D9+'Profit and Loss Notes'!D10+'Profit and Loss Notes'!D11</f>
        <v>1578059</v>
      </c>
    </row>
    <row r="10" spans="2:5" ht="16.5" customHeight="1" x14ac:dyDescent="0.2">
      <c r="B10" s="312" t="s">
        <v>99</v>
      </c>
      <c r="C10" s="467">
        <v>14</v>
      </c>
      <c r="D10" s="142">
        <f>'Profit and Loss Notes'!C20</f>
        <v>896843.74</v>
      </c>
      <c r="E10" s="143">
        <f>'Profit and Loss Notes'!D20</f>
        <v>492263.33</v>
      </c>
    </row>
    <row r="11" spans="2:5" ht="21" customHeight="1" thickBot="1" x14ac:dyDescent="0.25">
      <c r="B11" s="466" t="s">
        <v>100</v>
      </c>
      <c r="C11" s="467"/>
      <c r="D11" s="468">
        <f>'Profit and Loss'!D9+'Profit and Loss'!D10</f>
        <v>44196843.740000002</v>
      </c>
      <c r="E11" s="468">
        <f>'Profit and Loss'!E9+'Profit and Loss'!E10</f>
        <v>2070322.33</v>
      </c>
    </row>
    <row r="12" spans="2:5" ht="21" customHeight="1" thickTop="1" x14ac:dyDescent="0.2">
      <c r="B12" s="466" t="s">
        <v>101</v>
      </c>
      <c r="C12" s="467"/>
      <c r="D12" s="142"/>
      <c r="E12" s="143"/>
    </row>
    <row r="13" spans="2:5" ht="21" customHeight="1" x14ac:dyDescent="0.2">
      <c r="B13" s="312" t="s">
        <v>102</v>
      </c>
      <c r="C13" s="467"/>
      <c r="D13" s="142">
        <v>0</v>
      </c>
      <c r="E13" s="143">
        <v>0</v>
      </c>
    </row>
    <row r="14" spans="2:5" ht="18" customHeight="1" x14ac:dyDescent="0.2">
      <c r="B14" s="312" t="s">
        <v>103</v>
      </c>
      <c r="C14" s="467"/>
      <c r="D14" s="142">
        <v>0</v>
      </c>
      <c r="E14" s="143">
        <v>0</v>
      </c>
    </row>
    <row r="15" spans="2:5" ht="27" customHeight="1" x14ac:dyDescent="0.2">
      <c r="B15" s="312" t="s">
        <v>104</v>
      </c>
      <c r="C15" s="467"/>
      <c r="D15" s="142">
        <v>0</v>
      </c>
      <c r="E15" s="143">
        <v>0</v>
      </c>
    </row>
    <row r="16" spans="2:5" ht="12.75" x14ac:dyDescent="0.2">
      <c r="B16" s="312" t="s">
        <v>105</v>
      </c>
      <c r="C16" s="467">
        <v>15</v>
      </c>
      <c r="D16" s="142">
        <f>'Profit and Loss Notes'!C28</f>
        <v>320000</v>
      </c>
      <c r="E16" s="143">
        <f>'Profit and Loss Notes'!D28</f>
        <v>540000</v>
      </c>
    </row>
    <row r="17" spans="2:6" ht="12.75" x14ac:dyDescent="0.2">
      <c r="B17" s="312" t="s">
        <v>106</v>
      </c>
      <c r="C17" s="467">
        <v>16</v>
      </c>
      <c r="D17" s="142">
        <f>'Profit and Loss Notes'!C34</f>
        <v>0</v>
      </c>
      <c r="E17" s="142">
        <f>'Profit and Loss Notes'!D34</f>
        <v>263350</v>
      </c>
    </row>
    <row r="18" spans="2:6" ht="12.75" x14ac:dyDescent="0.2">
      <c r="B18" s="312" t="s">
        <v>107</v>
      </c>
      <c r="C18" s="467">
        <v>17</v>
      </c>
      <c r="D18" s="142">
        <f>'Profit and Loss Notes'!C41</f>
        <v>0</v>
      </c>
      <c r="E18" s="143">
        <f>'Profit and Loss Notes'!D41</f>
        <v>15914</v>
      </c>
    </row>
    <row r="19" spans="2:6" ht="12.75" x14ac:dyDescent="0.2">
      <c r="B19" s="312" t="s">
        <v>108</v>
      </c>
      <c r="C19" s="467">
        <v>18</v>
      </c>
      <c r="D19" s="142">
        <f>+'Profit and Loss Notes'!C69</f>
        <v>35191273.229999997</v>
      </c>
      <c r="E19" s="143">
        <f>'Profit and Loss Notes'!D69</f>
        <v>1268688.1299999999</v>
      </c>
    </row>
    <row r="20" spans="2:6" ht="21" customHeight="1" x14ac:dyDescent="0.2">
      <c r="B20" s="329"/>
      <c r="C20" s="146"/>
      <c r="D20" s="146"/>
      <c r="E20" s="147"/>
    </row>
    <row r="21" spans="2:6" ht="21" customHeight="1" thickBot="1" x14ac:dyDescent="0.25">
      <c r="B21" s="466" t="s">
        <v>109</v>
      </c>
      <c r="C21" s="467"/>
      <c r="D21" s="468">
        <f>'Profit and Loss'!D13+'Profit and Loss'!D14+'Profit and Loss'!D15+'Profit and Loss'!D16+'Profit and Loss'!D17+'Profit and Loss'!D18+'Profit and Loss'!D19</f>
        <v>35511273.229999997</v>
      </c>
      <c r="E21" s="468">
        <f>'Profit and Loss'!E13+'Profit and Loss'!E14+'Profit and Loss'!E15+'Profit and Loss'!E16+'Profit and Loss'!E17+'Profit and Loss'!E18+'Profit and Loss'!E19</f>
        <v>2087952.13</v>
      </c>
    </row>
    <row r="22" spans="2:6" ht="27" thickTop="1" thickBot="1" x14ac:dyDescent="0.25">
      <c r="B22" s="466" t="s">
        <v>110</v>
      </c>
      <c r="C22" s="467"/>
      <c r="D22" s="469">
        <f>'Profit and Loss'!D11-'Profit and Loss'!D21</f>
        <v>8685570.5100000054</v>
      </c>
      <c r="E22" s="468">
        <f>'Profit and Loss'!E11-'Profit and Loss'!E21</f>
        <v>-17629.799999999814</v>
      </c>
      <c r="F22" s="334"/>
    </row>
    <row r="23" spans="2:6" ht="21" customHeight="1" thickTop="1" x14ac:dyDescent="0.2">
      <c r="B23" s="144" t="s">
        <v>111</v>
      </c>
      <c r="C23" s="467"/>
      <c r="D23" s="142"/>
      <c r="E23" s="143"/>
    </row>
    <row r="24" spans="2:6" ht="21" customHeight="1" x14ac:dyDescent="0.2">
      <c r="B24" s="141" t="s">
        <v>112</v>
      </c>
      <c r="C24" s="467"/>
      <c r="D24" s="142"/>
      <c r="E24" s="143"/>
    </row>
    <row r="25" spans="2:6" ht="26.65" customHeight="1" thickBot="1" x14ac:dyDescent="0.25">
      <c r="B25" s="466" t="s">
        <v>113</v>
      </c>
      <c r="C25" s="467"/>
      <c r="D25" s="469">
        <f>'Profit and Loss'!D22-'Profit and Loss'!D24</f>
        <v>8685570.5100000054</v>
      </c>
      <c r="E25" s="468">
        <f>'Profit and Loss'!E22-'Profit and Loss'!E24</f>
        <v>-17629.799999999814</v>
      </c>
    </row>
    <row r="26" spans="2:6" ht="21" customHeight="1" thickTop="1" x14ac:dyDescent="0.2">
      <c r="B26" s="144" t="s">
        <v>114</v>
      </c>
      <c r="C26" s="467"/>
      <c r="D26" s="142"/>
      <c r="E26" s="143"/>
    </row>
    <row r="27" spans="2:6" ht="21" customHeight="1" thickBot="1" x14ac:dyDescent="0.25">
      <c r="B27" s="466" t="s">
        <v>115</v>
      </c>
      <c r="C27" s="467"/>
      <c r="D27" s="469">
        <f>'Profit and Loss'!D25-'Profit and Loss'!D26</f>
        <v>8685570.5100000054</v>
      </c>
      <c r="E27" s="468">
        <f>'Profit and Loss'!E25-'Profit and Loss'!E26</f>
        <v>-17629.799999999814</v>
      </c>
    </row>
    <row r="28" spans="2:6" ht="21" customHeight="1" thickTop="1" x14ac:dyDescent="0.2">
      <c r="B28" s="263" t="s">
        <v>116</v>
      </c>
      <c r="C28" s="467"/>
      <c r="D28" s="470">
        <f>+D29+D30</f>
        <v>1256843</v>
      </c>
      <c r="E28" s="471">
        <f>(+E29+E30)</f>
        <v>-1856</v>
      </c>
    </row>
    <row r="29" spans="2:6" ht="21" customHeight="1" x14ac:dyDescent="0.2">
      <c r="B29" s="141" t="s">
        <v>117</v>
      </c>
      <c r="C29" s="467">
        <v>19</v>
      </c>
      <c r="D29" s="470">
        <f>'Working TB'!C133</f>
        <v>1255554</v>
      </c>
      <c r="E29" s="143"/>
    </row>
    <row r="30" spans="2:6" ht="21" customHeight="1" x14ac:dyDescent="0.2">
      <c r="B30" s="141" t="s">
        <v>118</v>
      </c>
      <c r="C30" s="467">
        <v>20</v>
      </c>
      <c r="D30" s="470">
        <f>'Profit and Loss Notes'!C81</f>
        <v>1289</v>
      </c>
      <c r="E30" s="471">
        <f>-'Profit and Loss Notes'!D81</f>
        <v>-1856</v>
      </c>
    </row>
    <row r="31" spans="2:6" ht="27" customHeight="1" thickBot="1" x14ac:dyDescent="0.25">
      <c r="B31" s="466" t="s">
        <v>119</v>
      </c>
      <c r="C31" s="467"/>
      <c r="D31" s="469">
        <f>'Profit and Loss'!D27-'Profit and Loss'!D28</f>
        <v>7428727.5100000054</v>
      </c>
      <c r="E31" s="468">
        <f>'Profit and Loss'!E27-'Profit and Loss'!E28</f>
        <v>-15773.799999999814</v>
      </c>
    </row>
    <row r="32" spans="2:6" ht="21" customHeight="1" thickTop="1" x14ac:dyDescent="0.2">
      <c r="B32" s="144" t="s">
        <v>120</v>
      </c>
      <c r="C32" s="467"/>
      <c r="D32" s="142">
        <v>0</v>
      </c>
      <c r="E32" s="143">
        <v>0</v>
      </c>
    </row>
    <row r="33" spans="2:5" ht="12.75" x14ac:dyDescent="0.2">
      <c r="B33" s="144" t="s">
        <v>121</v>
      </c>
      <c r="C33" s="467"/>
      <c r="D33" s="142">
        <v>0</v>
      </c>
      <c r="E33" s="143">
        <v>0</v>
      </c>
    </row>
    <row r="34" spans="2:5" ht="29.45" customHeight="1" thickBot="1" x14ac:dyDescent="0.25">
      <c r="B34" s="466" t="s">
        <v>122</v>
      </c>
      <c r="C34" s="467"/>
      <c r="D34" s="472">
        <f>'Profit and Loss'!D32-'Profit and Loss'!D33</f>
        <v>0</v>
      </c>
      <c r="E34" s="472">
        <f>'Profit and Loss'!E32-'Profit and Loss'!E33</f>
        <v>0</v>
      </c>
    </row>
    <row r="35" spans="2:5" ht="21" customHeight="1" thickTop="1" thickBot="1" x14ac:dyDescent="0.25">
      <c r="B35" s="466" t="s">
        <v>123</v>
      </c>
      <c r="C35" s="467"/>
      <c r="D35" s="469">
        <f>'Profit and Loss'!D31+'Profit and Loss'!D34</f>
        <v>7428727.5100000054</v>
      </c>
      <c r="E35" s="468">
        <f>'Profit and Loss'!E31+'Profit and Loss'!E34</f>
        <v>-15773.799999999814</v>
      </c>
    </row>
    <row r="36" spans="2:5" ht="21" customHeight="1" thickTop="1" x14ac:dyDescent="0.2">
      <c r="B36" s="141" t="s">
        <v>124</v>
      </c>
      <c r="C36" s="467">
        <v>21</v>
      </c>
      <c r="D36" s="142"/>
      <c r="E36" s="143"/>
    </row>
    <row r="37" spans="2:5" ht="12.75" x14ac:dyDescent="0.2">
      <c r="B37" s="312" t="s">
        <v>125</v>
      </c>
      <c r="C37" s="467"/>
      <c r="D37" s="470">
        <f>+'Profit and Loss Notes'!C90</f>
        <v>49.524850066666701</v>
      </c>
      <c r="E37" s="143">
        <f>+'Profit and Loss Notes'!D90</f>
        <v>-0.10515866666666543</v>
      </c>
    </row>
    <row r="38" spans="2:5" ht="12.75" x14ac:dyDescent="0.2">
      <c r="B38" s="312" t="s">
        <v>126</v>
      </c>
      <c r="C38" s="467"/>
      <c r="D38" s="470">
        <f>+'Profit and Loss Notes'!C94</f>
        <v>49.524850066666701</v>
      </c>
      <c r="E38" s="143">
        <f>+'Profit and Loss Notes'!D94</f>
        <v>-0.10515866666666543</v>
      </c>
    </row>
    <row r="39" spans="2:5" ht="25.5" x14ac:dyDescent="0.2">
      <c r="B39" s="141" t="s">
        <v>127</v>
      </c>
      <c r="C39" s="467"/>
      <c r="D39" s="142"/>
      <c r="E39" s="143"/>
    </row>
    <row r="40" spans="2:5" ht="12.75" x14ac:dyDescent="0.2">
      <c r="B40" s="312" t="s">
        <v>125</v>
      </c>
      <c r="C40" s="467"/>
      <c r="D40" s="142">
        <v>150000</v>
      </c>
      <c r="E40" s="142">
        <v>150000</v>
      </c>
    </row>
    <row r="41" spans="2:5" ht="12.75" x14ac:dyDescent="0.2">
      <c r="B41" s="473" t="s">
        <v>126</v>
      </c>
      <c r="C41" s="474"/>
      <c r="D41" s="270">
        <v>150000</v>
      </c>
      <c r="E41" s="270">
        <v>150000</v>
      </c>
    </row>
    <row r="42" spans="2:5" ht="21" customHeight="1" x14ac:dyDescent="0.2">
      <c r="B42" s="329" t="s">
        <v>1097</v>
      </c>
      <c r="C42" s="650"/>
      <c r="E42" s="147"/>
    </row>
    <row r="43" spans="2:5" ht="21" customHeight="1" x14ac:dyDescent="0.2">
      <c r="B43" s="329"/>
      <c r="E43" s="147"/>
    </row>
    <row r="44" spans="2:5" ht="21" customHeight="1" x14ac:dyDescent="0.2">
      <c r="B44" s="329" t="s">
        <v>95</v>
      </c>
      <c r="E44" s="147"/>
    </row>
    <row r="45" spans="2:5" ht="21" customHeight="1" x14ac:dyDescent="0.2">
      <c r="B45" s="331" t="str">
        <f>IF('Master Sheet'!$C$23="", "", "For "&amp;'Master Sheet'!$C$23)</f>
        <v/>
      </c>
      <c r="C45" s="327" t="str">
        <f>IF('Master Sheet'!$C$7="", "", "For "&amp;'Master Sheet'!$C$7)</f>
        <v/>
      </c>
      <c r="E45" s="147"/>
    </row>
    <row r="46" spans="2:5" ht="12.75" x14ac:dyDescent="0.2">
      <c r="B46" s="117" t="s">
        <v>825</v>
      </c>
      <c r="C46" s="88"/>
      <c r="D46" s="89" t="s">
        <v>826</v>
      </c>
      <c r="E46" s="460"/>
    </row>
    <row r="47" spans="2:5" ht="12.75" x14ac:dyDescent="0.2">
      <c r="B47" s="117" t="s">
        <v>827</v>
      </c>
      <c r="C47" s="88"/>
      <c r="D47" s="88"/>
      <c r="E47" s="460"/>
    </row>
    <row r="48" spans="2:5" ht="12.75" x14ac:dyDescent="0.2">
      <c r="B48" s="118" t="s">
        <v>96</v>
      </c>
      <c r="C48" s="91"/>
      <c r="D48" s="91"/>
      <c r="E48" s="460"/>
    </row>
    <row r="49" spans="2:5" ht="21" customHeight="1" x14ac:dyDescent="0.2">
      <c r="B49" s="119"/>
      <c r="C49" s="92"/>
      <c r="D49" s="92"/>
      <c r="E49" s="461"/>
    </row>
    <row r="50" spans="2:5" ht="21" customHeight="1" x14ac:dyDescent="0.2">
      <c r="B50" s="119"/>
      <c r="C50" s="92"/>
      <c r="D50" s="92"/>
      <c r="E50" s="460"/>
    </row>
    <row r="51" spans="2:5" ht="12.75" x14ac:dyDescent="0.2">
      <c r="B51" s="117" t="s">
        <v>828</v>
      </c>
      <c r="D51" s="97" t="s">
        <v>969</v>
      </c>
      <c r="E51" s="462" t="s">
        <v>829</v>
      </c>
    </row>
    <row r="52" spans="2:5" ht="12.75" x14ac:dyDescent="0.2">
      <c r="B52" s="117" t="s">
        <v>830</v>
      </c>
      <c r="D52" s="89" t="s">
        <v>831</v>
      </c>
      <c r="E52" s="463" t="s">
        <v>832</v>
      </c>
    </row>
    <row r="53" spans="2:5" ht="12.75" x14ac:dyDescent="0.2">
      <c r="B53" s="117" t="s">
        <v>833</v>
      </c>
      <c r="D53" s="95" t="s">
        <v>970</v>
      </c>
      <c r="E53" s="462" t="s">
        <v>834</v>
      </c>
    </row>
    <row r="54" spans="2:5" ht="21" customHeight="1" x14ac:dyDescent="0.2">
      <c r="B54" s="117" t="s">
        <v>835</v>
      </c>
      <c r="C54" s="88"/>
      <c r="D54" s="88"/>
      <c r="E54" s="464"/>
    </row>
    <row r="55" spans="2:5" ht="21" customHeight="1" x14ac:dyDescent="0.2">
      <c r="B55" s="117" t="s">
        <v>836</v>
      </c>
      <c r="C55" s="88"/>
      <c r="D55" s="673"/>
      <c r="E55" s="674"/>
    </row>
    <row r="56" spans="2:5" ht="21" customHeight="1" x14ac:dyDescent="0.2">
      <c r="B56" s="332" t="str">
        <f>IF('Master Sheet'!$C$29="", "", "Date: " &amp; TEXT('Master Sheet'!$C$29, "DD-MM-YYYY"))</f>
        <v/>
      </c>
      <c r="C56" s="333" t="str">
        <f>IF('Master Sheet'!$C$30="", "","Date: " &amp; TEXT('Master Sheet'!$C$30, "DD-MM-YYYY"))</f>
        <v/>
      </c>
      <c r="D56" s="475"/>
      <c r="E56" s="476"/>
    </row>
  </sheetData>
  <mergeCells count="2">
    <mergeCell ref="D55:E55"/>
    <mergeCell ref="B6:E6"/>
  </mergeCells>
  <hyperlinks>
    <hyperlink ref="B9" location="'Profit and Loss Notes'!B6" display=" I.  Revenue from operations"/>
    <hyperlink ref="B10" location="'Profit and Loss Notes'!B17" display="II.  Other Income"/>
    <hyperlink ref="B13" location="'Profit and Loss Notes'!B30" display="(a) Cost of materials consumed"/>
    <hyperlink ref="B14" location="'Profit and Loss Notes'!B43" display="(b) Purchases of Stock-in-Trade"/>
    <hyperlink ref="B15" location="'Profit and Loss Notes'!B54" display="(c)Changes in inventories of finished goods, work-in-progress and Stock-in-Trade"/>
    <hyperlink ref="B16" location="'Profit and Loss Notes'!B69" display="(d) Employee benefit expenses"/>
    <hyperlink ref="B17" location="'Profit and Loss Notes'!B80" display="(e) Finance costs"/>
    <hyperlink ref="B18" location="'Profit and Loss Notes'!B90" display="(f) Depreciation and amortisation"/>
    <hyperlink ref="B19" location="'Profit and Loss Notes'!B99" display="(g) Other expenses"/>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showGridLines="0" topLeftCell="A60" zoomScale="112" zoomScaleNormal="112" workbookViewId="0">
      <selection activeCell="D74" sqref="D74"/>
    </sheetView>
  </sheetViews>
  <sheetFormatPr defaultColWidth="9.28515625" defaultRowHeight="21.75" customHeight="1" x14ac:dyDescent="0.2"/>
  <cols>
    <col min="1" max="1" width="9.28515625" style="136"/>
    <col min="2" max="2" width="58.28515625" style="136" customWidth="1"/>
    <col min="3" max="3" width="8.7109375" style="136" customWidth="1"/>
    <col min="4" max="4" width="19" style="151" customWidth="1"/>
    <col min="5" max="5" width="24.42578125" style="151" customWidth="1"/>
    <col min="6" max="6" width="9.28515625" style="136"/>
    <col min="7" max="7" width="12" style="136" bestFit="1" customWidth="1"/>
    <col min="8" max="8" width="13.5703125" style="136" customWidth="1"/>
    <col min="9" max="16384" width="9.28515625" style="136"/>
  </cols>
  <sheetData>
    <row r="1" spans="2:8" ht="21.75" customHeight="1" x14ac:dyDescent="0.2">
      <c r="B1" s="135"/>
      <c r="C1" s="135"/>
      <c r="D1" s="398"/>
      <c r="E1" s="398"/>
    </row>
    <row r="2" spans="2:8" ht="21.75" customHeight="1" x14ac:dyDescent="0.2">
      <c r="B2" s="137" t="str">
        <f>+'Balance Sheet'!B2</f>
        <v xml:space="preserve">K.U.M. India Private Limited </v>
      </c>
      <c r="C2" s="327" t="str">
        <f>IF('Master Sheet'!$C$34="", "", "CIN: "&amp;'Master Sheet'!$C$34)</f>
        <v/>
      </c>
    </row>
    <row r="3" spans="2:8" ht="21.75" customHeight="1" x14ac:dyDescent="0.2">
      <c r="B3" s="137" t="str">
        <f>'Profit and Loss'!B3</f>
        <v>A5 second floor,Rajeswari Apartments, 45 Vellalar street, Kodambakkam,Chennai- 600024.</v>
      </c>
      <c r="C3" s="327"/>
    </row>
    <row r="4" spans="2:8" ht="21.75" customHeight="1" x14ac:dyDescent="0.2">
      <c r="B4" s="137" t="str">
        <f>'Profit and Loss'!B4</f>
        <v>U29100TN2020PTC135386</v>
      </c>
      <c r="C4" s="327"/>
    </row>
    <row r="5" spans="2:8" ht="21.75" customHeight="1" x14ac:dyDescent="0.2">
      <c r="B5" s="327"/>
      <c r="C5" s="135"/>
      <c r="D5" s="398"/>
      <c r="E5" s="398"/>
      <c r="H5" s="152"/>
    </row>
    <row r="6" spans="2:8" ht="21.75" customHeight="1" x14ac:dyDescent="0.2">
      <c r="B6" s="137" t="s">
        <v>1025</v>
      </c>
      <c r="E6" s="414" t="str">
        <f>'Master Sheet'!$C$5</f>
        <v>Amount in ₹.</v>
      </c>
    </row>
    <row r="7" spans="2:8" ht="21.75" customHeight="1" x14ac:dyDescent="0.2">
      <c r="B7" s="350" t="s">
        <v>53</v>
      </c>
      <c r="C7" s="350"/>
      <c r="D7" s="399" t="s">
        <v>1006</v>
      </c>
      <c r="E7" s="399" t="s">
        <v>901</v>
      </c>
    </row>
    <row r="8" spans="2:8" ht="21.75" customHeight="1" x14ac:dyDescent="0.2">
      <c r="B8" s="351"/>
      <c r="C8" s="352"/>
      <c r="D8" s="400"/>
      <c r="E8" s="400"/>
    </row>
    <row r="9" spans="2:8" ht="21.75" customHeight="1" x14ac:dyDescent="0.2">
      <c r="B9" s="323" t="s">
        <v>128</v>
      </c>
      <c r="C9" s="353"/>
      <c r="D9" s="397"/>
      <c r="E9" s="397"/>
    </row>
    <row r="10" spans="2:8" ht="21.75" customHeight="1" x14ac:dyDescent="0.2">
      <c r="B10" s="323" t="s">
        <v>129</v>
      </c>
      <c r="C10" s="353"/>
      <c r="D10" s="397">
        <f>'Profit and Loss'!D27</f>
        <v>8685570.5100000054</v>
      </c>
      <c r="E10" s="397">
        <f>-17630</f>
        <v>-17630</v>
      </c>
      <c r="G10" s="152"/>
      <c r="H10" s="152"/>
    </row>
    <row r="11" spans="2:8" ht="21.75" customHeight="1" x14ac:dyDescent="0.2">
      <c r="B11" s="312" t="s">
        <v>130</v>
      </c>
      <c r="C11" s="353"/>
      <c r="D11" s="397">
        <f>'Profit and Loss'!D18</f>
        <v>0</v>
      </c>
      <c r="E11" s="397">
        <f>'Profit and Loss'!E18</f>
        <v>15914</v>
      </c>
      <c r="G11" s="152"/>
      <c r="H11" s="152"/>
    </row>
    <row r="12" spans="2:8" ht="21.75" customHeight="1" x14ac:dyDescent="0.2">
      <c r="B12" s="312" t="s">
        <v>903</v>
      </c>
      <c r="C12" s="353"/>
      <c r="D12" s="397">
        <f>'Working TB'!H107</f>
        <v>0</v>
      </c>
      <c r="E12" s="397">
        <f>263350</f>
        <v>263350</v>
      </c>
      <c r="G12" s="152"/>
      <c r="H12" s="152"/>
    </row>
    <row r="13" spans="2:8" ht="21.75" customHeight="1" x14ac:dyDescent="0.2">
      <c r="B13" s="312"/>
      <c r="C13" s="353"/>
      <c r="D13" s="423">
        <f>SUM(D10:D12)</f>
        <v>8685570.5100000054</v>
      </c>
      <c r="E13" s="423">
        <f>SUM(E10:E12)</f>
        <v>261634</v>
      </c>
      <c r="G13" s="152"/>
      <c r="H13" s="152"/>
    </row>
    <row r="14" spans="2:8" ht="21.75" customHeight="1" x14ac:dyDescent="0.2">
      <c r="B14" s="312" t="s">
        <v>131</v>
      </c>
      <c r="C14" s="353"/>
      <c r="D14" s="397">
        <f>-'Working TB'!H77-'Working TB'!H78</f>
        <v>-224177</v>
      </c>
      <c r="E14" s="397">
        <f>-463966</f>
        <v>-463966</v>
      </c>
    </row>
    <row r="15" spans="2:8" ht="21.75" customHeight="1" x14ac:dyDescent="0.2">
      <c r="B15" s="323" t="s">
        <v>132</v>
      </c>
      <c r="C15" s="353"/>
      <c r="D15" s="401">
        <f>D14+D13</f>
        <v>8461393.5100000054</v>
      </c>
      <c r="E15" s="401">
        <f>SUM(E13:E14)</f>
        <v>-202332</v>
      </c>
      <c r="G15" s="152"/>
      <c r="H15" s="152"/>
    </row>
    <row r="16" spans="2:8" ht="21.75" customHeight="1" x14ac:dyDescent="0.2">
      <c r="B16" s="323" t="s">
        <v>133</v>
      </c>
      <c r="C16" s="353"/>
      <c r="D16" s="397"/>
      <c r="E16" s="397"/>
      <c r="G16" s="150"/>
    </row>
    <row r="17" spans="2:8" ht="21.75" customHeight="1" x14ac:dyDescent="0.2">
      <c r="B17" s="141" t="s">
        <v>134</v>
      </c>
      <c r="C17" s="353"/>
      <c r="D17" s="397">
        <f>'Balance Sheet'!D26-'Balance Sheet'!E26</f>
        <v>0</v>
      </c>
      <c r="E17" s="397">
        <f>-19085247</f>
        <v>-19085247</v>
      </c>
      <c r="G17" s="379"/>
      <c r="H17" s="152"/>
    </row>
    <row r="18" spans="2:8" ht="21.75" customHeight="1" x14ac:dyDescent="0.2">
      <c r="B18" s="141" t="s">
        <v>135</v>
      </c>
      <c r="C18" s="353"/>
      <c r="D18" s="397">
        <f>'Balance Sheet'!D22-'Balance Sheet'!E22</f>
        <v>0</v>
      </c>
      <c r="E18" s="397"/>
      <c r="G18" s="150"/>
    </row>
    <row r="19" spans="2:8" ht="21.75" customHeight="1" x14ac:dyDescent="0.2">
      <c r="B19" s="141" t="s">
        <v>136</v>
      </c>
      <c r="C19" s="353"/>
      <c r="D19" s="397">
        <f>'Balance Sheet'!D29-'Balance Sheet'!E29</f>
        <v>3263.8800000000047</v>
      </c>
      <c r="E19" s="397">
        <f>-3420170.06</f>
        <v>-3420170.06</v>
      </c>
      <c r="G19" s="335"/>
      <c r="H19" s="152"/>
    </row>
    <row r="20" spans="2:8" ht="21.75" customHeight="1" x14ac:dyDescent="0.2">
      <c r="B20" s="141" t="s">
        <v>137</v>
      </c>
      <c r="C20" s="353"/>
      <c r="D20" s="397">
        <f>'Balance Sheet'!E49-'Balance Sheet'!D49</f>
        <v>0</v>
      </c>
      <c r="E20" s="397"/>
    </row>
    <row r="21" spans="2:8" ht="21.75" customHeight="1" x14ac:dyDescent="0.2">
      <c r="B21" s="141" t="s">
        <v>138</v>
      </c>
      <c r="C21" s="353"/>
      <c r="D21" s="397">
        <f>'Balance Sheet'!E53-'Balance Sheet'!D53</f>
        <v>0</v>
      </c>
      <c r="E21" s="397">
        <f>607</f>
        <v>607</v>
      </c>
      <c r="G21" s="335"/>
      <c r="H21" s="152"/>
    </row>
    <row r="22" spans="2:8" ht="21.75" customHeight="1" x14ac:dyDescent="0.2">
      <c r="B22" s="141" t="s">
        <v>139</v>
      </c>
      <c r="C22" s="353"/>
      <c r="D22" s="397">
        <f>'Balance Sheet'!E50-'Balance Sheet'!D50</f>
        <v>0</v>
      </c>
      <c r="E22" s="397">
        <f>28248000</f>
        <v>28248000</v>
      </c>
      <c r="G22" s="335"/>
      <c r="H22" s="152"/>
    </row>
    <row r="23" spans="2:8" ht="21.75" customHeight="1" x14ac:dyDescent="0.2">
      <c r="B23" s="141" t="s">
        <v>840</v>
      </c>
      <c r="C23" s="353"/>
      <c r="D23" s="397">
        <f>'Balance Sheet'!$E$52-'Balance Sheet'!$D$52</f>
        <v>-444948.03000000026</v>
      </c>
      <c r="E23" s="397">
        <f>-316595.25</f>
        <v>-316595.25</v>
      </c>
    </row>
    <row r="24" spans="2:8" ht="21.75" customHeight="1" x14ac:dyDescent="0.2">
      <c r="B24" s="323" t="s">
        <v>140</v>
      </c>
      <c r="C24" s="353"/>
      <c r="D24" s="423">
        <f>SUM(D17:D23)</f>
        <v>-441684.15000000026</v>
      </c>
      <c r="E24" s="423">
        <f>SUM(E17:E23)</f>
        <v>5426594.6900000013</v>
      </c>
      <c r="G24" s="152"/>
      <c r="H24" s="152"/>
    </row>
    <row r="25" spans="2:8" ht="21.75" customHeight="1" x14ac:dyDescent="0.2">
      <c r="B25" s="323" t="s">
        <v>141</v>
      </c>
      <c r="C25" s="353"/>
      <c r="D25" s="423">
        <f>D15+D24</f>
        <v>8019709.360000005</v>
      </c>
      <c r="E25" s="423">
        <f>E15+E24</f>
        <v>5224262.6900000013</v>
      </c>
      <c r="G25" s="152"/>
      <c r="H25" s="152"/>
    </row>
    <row r="26" spans="2:8" ht="21.75" customHeight="1" x14ac:dyDescent="0.2">
      <c r="B26" s="141" t="s">
        <v>142</v>
      </c>
      <c r="C26" s="353"/>
      <c r="D26" s="397"/>
      <c r="E26" s="397"/>
    </row>
    <row r="27" spans="2:8" ht="21.75" customHeight="1" thickBot="1" x14ac:dyDescent="0.25">
      <c r="B27" s="323" t="s">
        <v>143</v>
      </c>
      <c r="C27" s="353"/>
      <c r="D27" s="403">
        <f>D25-D26</f>
        <v>8019709.360000005</v>
      </c>
      <c r="E27" s="403">
        <f>SUM(E25:E26)</f>
        <v>5224262.6900000013</v>
      </c>
      <c r="G27" s="152"/>
      <c r="H27" s="152"/>
    </row>
    <row r="28" spans="2:8" ht="21.75" customHeight="1" thickTop="1" x14ac:dyDescent="0.2">
      <c r="B28" s="144"/>
      <c r="C28" s="147"/>
      <c r="D28" s="402"/>
      <c r="E28" s="402"/>
    </row>
    <row r="29" spans="2:8" ht="21.75" customHeight="1" x14ac:dyDescent="0.2">
      <c r="B29" s="323" t="s">
        <v>144</v>
      </c>
      <c r="C29" s="353"/>
      <c r="D29" s="397"/>
      <c r="E29" s="397"/>
    </row>
    <row r="30" spans="2:8" ht="21.75" customHeight="1" x14ac:dyDescent="0.2">
      <c r="B30" s="141" t="s">
        <v>145</v>
      </c>
      <c r="C30" s="353"/>
      <c r="D30" s="397"/>
      <c r="E30" s="397"/>
    </row>
    <row r="31" spans="2:8" ht="21.75" customHeight="1" x14ac:dyDescent="0.2">
      <c r="B31" s="312" t="s">
        <v>146</v>
      </c>
      <c r="C31" s="353"/>
      <c r="D31" s="397">
        <v>0</v>
      </c>
      <c r="E31" s="397">
        <v>0</v>
      </c>
      <c r="G31" s="152"/>
      <c r="H31" s="152"/>
    </row>
    <row r="32" spans="2:8" ht="21.75" customHeight="1" x14ac:dyDescent="0.2">
      <c r="B32" s="312" t="s">
        <v>147</v>
      </c>
      <c r="C32" s="353"/>
      <c r="D32" s="397">
        <f>-('Balance Sheet'!D39-'Balance Sheet'!E39)</f>
        <v>0</v>
      </c>
      <c r="E32" s="397">
        <v>0</v>
      </c>
    </row>
    <row r="33" spans="2:8" ht="21.75" customHeight="1" x14ac:dyDescent="0.2">
      <c r="B33" s="312" t="s">
        <v>148</v>
      </c>
      <c r="C33" s="353"/>
      <c r="D33" s="397">
        <f>-('Balance Sheet'!D40-'Balance Sheet'!E40)</f>
        <v>0</v>
      </c>
      <c r="E33" s="397">
        <v>0</v>
      </c>
    </row>
    <row r="34" spans="2:8" ht="21.75" customHeight="1" x14ac:dyDescent="0.2">
      <c r="B34" s="312" t="s">
        <v>82</v>
      </c>
      <c r="C34" s="353"/>
      <c r="D34" s="397">
        <f>-('Balance Sheet'!D41-'Balance Sheet'!E41)</f>
        <v>0</v>
      </c>
      <c r="E34" s="397">
        <v>0</v>
      </c>
    </row>
    <row r="35" spans="2:8" ht="21.75" customHeight="1" x14ac:dyDescent="0.2">
      <c r="B35" s="141" t="s">
        <v>149</v>
      </c>
      <c r="C35" s="353"/>
      <c r="D35" s="397"/>
      <c r="E35" s="397"/>
    </row>
    <row r="36" spans="2:8" ht="21.75" customHeight="1" x14ac:dyDescent="0.2">
      <c r="B36" s="141" t="s">
        <v>150</v>
      </c>
      <c r="C36" s="353"/>
      <c r="D36" s="397">
        <f>'Balance Sheet'!E42-'Balance Sheet'!D42</f>
        <v>0</v>
      </c>
      <c r="E36" s="397">
        <v>0</v>
      </c>
    </row>
    <row r="37" spans="2:8" ht="21.75" customHeight="1" x14ac:dyDescent="0.2">
      <c r="B37" s="141" t="s">
        <v>151</v>
      </c>
      <c r="C37" s="353"/>
      <c r="D37" s="397">
        <f>'Balance Sheet'!E48-'Balance Sheet'!D48</f>
        <v>0</v>
      </c>
      <c r="E37" s="397">
        <v>0</v>
      </c>
    </row>
    <row r="38" spans="2:8" ht="21.75" customHeight="1" x14ac:dyDescent="0.2">
      <c r="B38" s="141" t="s">
        <v>152</v>
      </c>
      <c r="C38" s="353"/>
      <c r="D38" s="397">
        <f>'Working TB'!H77+'Working TB'!H78</f>
        <v>224177</v>
      </c>
      <c r="E38" s="397">
        <f>463966</f>
        <v>463966</v>
      </c>
    </row>
    <row r="39" spans="2:8" ht="21.75" customHeight="1" x14ac:dyDescent="0.2">
      <c r="B39" s="144"/>
      <c r="C39" s="147"/>
      <c r="D39" s="402"/>
      <c r="E39" s="402"/>
    </row>
    <row r="40" spans="2:8" ht="21.75" customHeight="1" thickBot="1" x14ac:dyDescent="0.25">
      <c r="B40" s="323" t="s">
        <v>153</v>
      </c>
      <c r="C40" s="353"/>
      <c r="D40" s="403">
        <f>SUM(D31:D38)</f>
        <v>224177</v>
      </c>
      <c r="E40" s="403">
        <f>SUM(E31:E38)</f>
        <v>463966</v>
      </c>
      <c r="G40" s="152"/>
      <c r="H40" s="152"/>
    </row>
    <row r="41" spans="2:8" ht="21.75" customHeight="1" thickTop="1" x14ac:dyDescent="0.2">
      <c r="B41" s="144"/>
      <c r="C41" s="147"/>
      <c r="D41" s="402"/>
      <c r="E41" s="402"/>
    </row>
    <row r="42" spans="2:8" ht="21.75" customHeight="1" x14ac:dyDescent="0.2">
      <c r="B42" s="323" t="s">
        <v>154</v>
      </c>
      <c r="C42" s="353"/>
      <c r="D42" s="397"/>
      <c r="E42" s="397"/>
    </row>
    <row r="43" spans="2:8" ht="21.75" customHeight="1" x14ac:dyDescent="0.2">
      <c r="B43" s="141" t="s">
        <v>155</v>
      </c>
      <c r="C43" s="353"/>
      <c r="D43" s="397">
        <f>'Balance Sheet'!D12-'Balance Sheet'!E12</f>
        <v>0</v>
      </c>
      <c r="E43" s="397"/>
    </row>
    <row r="44" spans="2:8" ht="21.75" customHeight="1" x14ac:dyDescent="0.2">
      <c r="B44" s="141" t="s">
        <v>156</v>
      </c>
      <c r="C44" s="353"/>
      <c r="D44" s="397">
        <f>'Balance Sheet'!D14-'Balance Sheet'!E14</f>
        <v>0</v>
      </c>
      <c r="E44" s="397"/>
    </row>
    <row r="45" spans="2:8" ht="21.75" customHeight="1" x14ac:dyDescent="0.2">
      <c r="B45" s="141" t="s">
        <v>157</v>
      </c>
      <c r="C45" s="353"/>
      <c r="D45" s="397"/>
      <c r="E45" s="397"/>
    </row>
    <row r="46" spans="2:8" ht="21.75" customHeight="1" x14ac:dyDescent="0.2">
      <c r="B46" s="141" t="s">
        <v>158</v>
      </c>
      <c r="C46" s="353"/>
      <c r="D46" s="397"/>
      <c r="E46" s="397"/>
      <c r="G46" s="335"/>
      <c r="H46" s="152"/>
    </row>
    <row r="47" spans="2:8" ht="21.75" customHeight="1" x14ac:dyDescent="0.2">
      <c r="B47" s="141" t="s">
        <v>159</v>
      </c>
      <c r="C47" s="353"/>
      <c r="D47" s="397">
        <f>-('Balance Sheet'!D44-'Balance Sheet'!E44)</f>
        <v>0</v>
      </c>
      <c r="E47" s="397"/>
    </row>
    <row r="48" spans="2:8" ht="21.75" customHeight="1" x14ac:dyDescent="0.2">
      <c r="B48" s="141" t="s">
        <v>160</v>
      </c>
      <c r="C48" s="353"/>
      <c r="D48" s="397">
        <f>'Balance Sheet'!D19-'Balance Sheet'!E19</f>
        <v>-11540575</v>
      </c>
      <c r="E48" s="397"/>
      <c r="G48" s="152"/>
      <c r="H48" s="152"/>
    </row>
    <row r="49" spans="1:8" ht="21.75" customHeight="1" x14ac:dyDescent="0.2">
      <c r="B49" s="141" t="s">
        <v>161</v>
      </c>
      <c r="C49" s="353"/>
      <c r="D49" s="397">
        <f>'Balance Sheet'!D25-'Balance Sheet'!E25</f>
        <v>0</v>
      </c>
      <c r="E49" s="397"/>
    </row>
    <row r="50" spans="1:8" ht="21.75" customHeight="1" x14ac:dyDescent="0.2">
      <c r="B50" s="141" t="s">
        <v>162</v>
      </c>
      <c r="C50" s="353"/>
      <c r="D50" s="397">
        <f>0</f>
        <v>0</v>
      </c>
      <c r="E50" s="397">
        <f>263350</f>
        <v>263350</v>
      </c>
    </row>
    <row r="51" spans="1:8" ht="21.75" customHeight="1" x14ac:dyDescent="0.2">
      <c r="B51" s="141" t="s">
        <v>163</v>
      </c>
      <c r="C51" s="353"/>
      <c r="D51" s="397"/>
      <c r="E51" s="397"/>
    </row>
    <row r="52" spans="1:8" ht="21.75" customHeight="1" x14ac:dyDescent="0.2">
      <c r="B52" s="141" t="s">
        <v>904</v>
      </c>
      <c r="C52" s="147"/>
      <c r="D52" s="402">
        <f>0</f>
        <v>0</v>
      </c>
      <c r="E52" s="402">
        <f>-E50</f>
        <v>-263350</v>
      </c>
    </row>
    <row r="53" spans="1:8" ht="21.75" customHeight="1" thickBot="1" x14ac:dyDescent="0.25">
      <c r="B53" s="323" t="s">
        <v>164</v>
      </c>
      <c r="C53" s="353"/>
      <c r="D53" s="403">
        <f>SUM(D43:D52)</f>
        <v>-11540575</v>
      </c>
      <c r="E53" s="403">
        <f>SUM(E43:E52)</f>
        <v>0</v>
      </c>
      <c r="G53" s="152"/>
      <c r="H53" s="152"/>
    </row>
    <row r="54" spans="1:8" ht="21.75" customHeight="1" thickTop="1" x14ac:dyDescent="0.2">
      <c r="B54" s="144"/>
      <c r="C54" s="147"/>
      <c r="D54" s="402"/>
      <c r="E54" s="402"/>
    </row>
    <row r="55" spans="1:8" ht="21.75" customHeight="1" thickBot="1" x14ac:dyDescent="0.25">
      <c r="B55" s="323" t="s">
        <v>165</v>
      </c>
      <c r="C55" s="353"/>
      <c r="D55" s="403">
        <f>(D27+D40+D53)</f>
        <v>-3296688.639999995</v>
      </c>
      <c r="E55" s="403">
        <f>+E53+E40+E27</f>
        <v>5688228.6900000013</v>
      </c>
      <c r="G55" s="152"/>
      <c r="H55" s="152"/>
    </row>
    <row r="56" spans="1:8" ht="21.75" customHeight="1" thickTop="1" x14ac:dyDescent="0.2">
      <c r="B56" s="144"/>
      <c r="C56" s="147"/>
      <c r="D56" s="402"/>
      <c r="E56" s="402"/>
    </row>
    <row r="57" spans="1:8" ht="21.75" customHeight="1" x14ac:dyDescent="0.2">
      <c r="B57" s="141" t="s">
        <v>166</v>
      </c>
      <c r="C57" s="353"/>
      <c r="D57" s="401">
        <f>+E59</f>
        <v>7365298.8900000015</v>
      </c>
      <c r="E57" s="401">
        <f>1677070</f>
        <v>1677070</v>
      </c>
      <c r="G57" s="152"/>
      <c r="H57" s="152"/>
    </row>
    <row r="58" spans="1:8" ht="21.75" customHeight="1" x14ac:dyDescent="0.2">
      <c r="B58" s="144"/>
      <c r="C58" s="147"/>
      <c r="D58" s="402"/>
      <c r="E58" s="402"/>
    </row>
    <row r="59" spans="1:8" ht="21.75" customHeight="1" x14ac:dyDescent="0.2">
      <c r="B59" s="269" t="s">
        <v>167</v>
      </c>
      <c r="C59" s="354"/>
      <c r="D59" s="404">
        <f>D55+D57</f>
        <v>4068610.2500000065</v>
      </c>
      <c r="E59" s="404">
        <f>SUM(E55:E57)+0.2</f>
        <v>7365298.8900000015</v>
      </c>
      <c r="G59" s="152"/>
      <c r="H59" s="152"/>
    </row>
    <row r="60" spans="1:8" ht="21.75" customHeight="1" x14ac:dyDescent="0.2">
      <c r="B60" s="328"/>
      <c r="C60" s="135"/>
      <c r="D60" s="401"/>
      <c r="E60" s="401"/>
      <c r="G60" s="152"/>
      <c r="H60" s="152"/>
    </row>
    <row r="61" spans="1:8" ht="21.75" customHeight="1" x14ac:dyDescent="0.2">
      <c r="A61" s="181"/>
      <c r="B61" s="355" t="s">
        <v>895</v>
      </c>
      <c r="C61" s="356"/>
      <c r="D61" s="405"/>
      <c r="E61" s="415"/>
      <c r="G61" s="152"/>
      <c r="H61" s="152"/>
    </row>
    <row r="62" spans="1:8" ht="21.75" customHeight="1" x14ac:dyDescent="0.2">
      <c r="B62" s="357" t="s">
        <v>937</v>
      </c>
      <c r="C62" s="176"/>
      <c r="D62" s="358">
        <f>'Balance Sheet Notes'!C182</f>
        <v>4068610.25</v>
      </c>
      <c r="E62" s="359">
        <f>'Balance Sheet'!E51</f>
        <v>7365298.8900000006</v>
      </c>
      <c r="G62" s="152"/>
      <c r="H62" s="152"/>
    </row>
    <row r="63" spans="1:8" ht="21.75" customHeight="1" x14ac:dyDescent="0.2">
      <c r="B63" s="360" t="s">
        <v>896</v>
      </c>
      <c r="C63" s="176"/>
      <c r="D63" s="361">
        <v>0</v>
      </c>
      <c r="E63" s="359"/>
      <c r="G63" s="152"/>
      <c r="H63" s="152"/>
    </row>
    <row r="64" spans="1:8" ht="21.75" customHeight="1" thickBot="1" x14ac:dyDescent="0.25">
      <c r="B64" s="323"/>
      <c r="C64" s="353"/>
      <c r="D64" s="362">
        <f>D62-D63</f>
        <v>4068610.25</v>
      </c>
      <c r="E64" s="362">
        <f>E62-E63</f>
        <v>7365298.8900000006</v>
      </c>
      <c r="G64" s="152"/>
      <c r="H64" s="152"/>
    </row>
    <row r="65" spans="2:8" ht="21.75" customHeight="1" thickTop="1" x14ac:dyDescent="0.2">
      <c r="B65" s="323"/>
      <c r="C65" s="353"/>
      <c r="D65" s="363"/>
      <c r="E65" s="363"/>
      <c r="G65" s="152"/>
      <c r="H65" s="152"/>
    </row>
    <row r="66" spans="2:8" ht="21.75" customHeight="1" x14ac:dyDescent="0.2">
      <c r="B66" s="364" t="s">
        <v>897</v>
      </c>
      <c r="C66" s="176"/>
      <c r="D66" s="363"/>
      <c r="E66" s="363"/>
      <c r="G66" s="152"/>
      <c r="H66" s="152"/>
    </row>
    <row r="67" spans="2:8" ht="21.75" customHeight="1" x14ac:dyDescent="0.2">
      <c r="B67" s="357" t="s">
        <v>898</v>
      </c>
      <c r="C67" s="176"/>
      <c r="D67" s="363">
        <v>0</v>
      </c>
      <c r="E67" s="363">
        <v>0</v>
      </c>
      <c r="G67" s="152"/>
      <c r="H67" s="152"/>
    </row>
    <row r="68" spans="2:8" ht="21.75" customHeight="1" x14ac:dyDescent="0.2">
      <c r="B68" s="357" t="s">
        <v>899</v>
      </c>
      <c r="C68" s="176"/>
      <c r="D68" s="363"/>
      <c r="E68" s="363"/>
      <c r="G68" s="152"/>
      <c r="H68" s="152"/>
    </row>
    <row r="69" spans="2:8" ht="21.75" customHeight="1" x14ac:dyDescent="0.2">
      <c r="B69" s="365" t="s">
        <v>900</v>
      </c>
      <c r="C69" s="98"/>
      <c r="D69" s="363">
        <f>'Balance Sheet Notes'!C177</f>
        <v>4068610.25</v>
      </c>
      <c r="E69" s="363">
        <f>ROUNDDOWN('Balance Sheet Notes'!D177,0)</f>
        <v>7365298</v>
      </c>
      <c r="G69" s="152"/>
      <c r="H69" s="152"/>
    </row>
    <row r="70" spans="2:8" ht="21.75" customHeight="1" x14ac:dyDescent="0.2">
      <c r="B70" s="323"/>
      <c r="C70" s="353"/>
      <c r="D70" s="363"/>
      <c r="E70" s="363"/>
      <c r="G70" s="152"/>
      <c r="H70" s="152"/>
    </row>
    <row r="71" spans="2:8" ht="21.75" customHeight="1" thickBot="1" x14ac:dyDescent="0.25">
      <c r="B71" s="323"/>
      <c r="C71" s="353"/>
      <c r="D71" s="362">
        <f>D69+D67</f>
        <v>4068610.25</v>
      </c>
      <c r="E71" s="362">
        <f>ROUNDDOWN((E69+E67),0)</f>
        <v>7365298</v>
      </c>
      <c r="G71" s="152"/>
      <c r="H71" s="152"/>
    </row>
    <row r="72" spans="2:8" ht="21.75" customHeight="1" thickTop="1" x14ac:dyDescent="0.2">
      <c r="B72" s="145"/>
      <c r="C72" s="354"/>
      <c r="D72" s="406"/>
      <c r="E72" s="406"/>
    </row>
    <row r="73" spans="2:8" ht="21.75" customHeight="1" x14ac:dyDescent="0.2">
      <c r="B73" s="329" t="s">
        <v>94</v>
      </c>
      <c r="C73" s="330"/>
      <c r="D73" s="151">
        <f>+D55+D57-D59</f>
        <v>0</v>
      </c>
      <c r="E73" s="785" t="s">
        <v>1103</v>
      </c>
    </row>
    <row r="74" spans="2:8" ht="21.75" customHeight="1" x14ac:dyDescent="0.2">
      <c r="B74" s="329" t="s">
        <v>95</v>
      </c>
      <c r="D74" s="407"/>
      <c r="E74" s="402"/>
    </row>
    <row r="75" spans="2:8" ht="21.75" customHeight="1" x14ac:dyDescent="0.2">
      <c r="B75" s="331" t="str">
        <f>IF('Master Sheet'!$C$23="", "", "For "&amp;'Master Sheet'!$C$23)</f>
        <v/>
      </c>
      <c r="C75" s="327" t="str">
        <f>IF('Master Sheet'!$C$7="", "", "For "&amp;'Master Sheet'!$C$7)</f>
        <v/>
      </c>
      <c r="E75" s="402"/>
    </row>
    <row r="76" spans="2:8" ht="21.75" customHeight="1" x14ac:dyDescent="0.2">
      <c r="B76" s="117" t="s">
        <v>825</v>
      </c>
      <c r="C76" s="88"/>
      <c r="D76" s="408" t="s">
        <v>826</v>
      </c>
      <c r="E76" s="416"/>
    </row>
    <row r="77" spans="2:8" ht="21.75" customHeight="1" x14ac:dyDescent="0.2">
      <c r="B77" s="117" t="s">
        <v>827</v>
      </c>
      <c r="C77" s="88"/>
      <c r="D77" s="409"/>
      <c r="E77" s="416"/>
    </row>
    <row r="78" spans="2:8" ht="21.75" customHeight="1" x14ac:dyDescent="0.2">
      <c r="B78" s="118" t="s">
        <v>96</v>
      </c>
      <c r="C78" s="91"/>
      <c r="D78" s="410"/>
      <c r="E78" s="416"/>
    </row>
    <row r="79" spans="2:8" ht="21.75" customHeight="1" x14ac:dyDescent="0.2">
      <c r="B79" s="119"/>
      <c r="C79" s="92"/>
      <c r="D79" s="411"/>
      <c r="E79" s="417"/>
    </row>
    <row r="80" spans="2:8" ht="21.75" customHeight="1" x14ac:dyDescent="0.2">
      <c r="B80" s="119"/>
      <c r="C80" s="92"/>
      <c r="D80" s="411"/>
      <c r="E80" s="416"/>
    </row>
    <row r="81" spans="2:5" ht="21.75" customHeight="1" x14ac:dyDescent="0.2">
      <c r="B81" s="117" t="s">
        <v>828</v>
      </c>
      <c r="C81" s="97" t="s">
        <v>969</v>
      </c>
      <c r="D81" s="411"/>
      <c r="E81" s="418" t="s">
        <v>829</v>
      </c>
    </row>
    <row r="82" spans="2:5" ht="21.75" customHeight="1" x14ac:dyDescent="0.2">
      <c r="B82" s="117" t="s">
        <v>830</v>
      </c>
      <c r="C82" s="89" t="s">
        <v>831</v>
      </c>
      <c r="D82" s="411"/>
      <c r="E82" s="419" t="s">
        <v>832</v>
      </c>
    </row>
    <row r="83" spans="2:5" ht="21.75" customHeight="1" x14ac:dyDescent="0.2">
      <c r="B83" s="117" t="s">
        <v>833</v>
      </c>
      <c r="C83" s="95" t="s">
        <v>970</v>
      </c>
      <c r="D83" s="411"/>
      <c r="E83" s="418" t="s">
        <v>834</v>
      </c>
    </row>
    <row r="84" spans="2:5" ht="21.75" customHeight="1" x14ac:dyDescent="0.2">
      <c r="B84" s="120" t="s">
        <v>580</v>
      </c>
      <c r="C84" s="96"/>
      <c r="D84" s="412"/>
      <c r="E84" s="416"/>
    </row>
    <row r="85" spans="2:5" ht="21.75" customHeight="1" x14ac:dyDescent="0.2">
      <c r="B85" s="117" t="s">
        <v>835</v>
      </c>
      <c r="C85" s="88"/>
      <c r="D85" s="409"/>
      <c r="E85" s="418"/>
    </row>
    <row r="86" spans="2:5" ht="21.75" customHeight="1" x14ac:dyDescent="0.2">
      <c r="B86" s="117" t="s">
        <v>836</v>
      </c>
      <c r="C86" s="88"/>
      <c r="D86" s="673"/>
      <c r="E86" s="674"/>
    </row>
    <row r="87" spans="2:5" ht="21.75" customHeight="1" x14ac:dyDescent="0.2">
      <c r="B87" s="332" t="str">
        <f>IF('Master Sheet'!$C$29="", "", "Date: " &amp; TEXT('Master Sheet'!$C$29, "DD-MM-YYYY"))</f>
        <v/>
      </c>
      <c r="C87" s="333" t="str">
        <f>IF('Master Sheet'!$C$30="", "","Date: " &amp; TEXT('Master Sheet'!$C$30, "DD-MM-YYYY"))</f>
        <v/>
      </c>
      <c r="D87" s="413"/>
      <c r="E87" s="420"/>
    </row>
  </sheetData>
  <mergeCells count="1">
    <mergeCell ref="D86:E86"/>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C55"/>
  <sheetViews>
    <sheetView showGridLines="0" topLeftCell="A19" zoomScale="115" zoomScaleNormal="115" workbookViewId="0">
      <selection activeCell="C17" sqref="C17"/>
    </sheetView>
  </sheetViews>
  <sheetFormatPr defaultColWidth="9.28515625" defaultRowHeight="12.75" x14ac:dyDescent="0.25"/>
  <cols>
    <col min="1" max="2" width="9.28515625" style="326"/>
    <col min="3" max="3" width="118.140625" style="326" customWidth="1"/>
    <col min="4" max="16384" width="9.28515625" style="326"/>
  </cols>
  <sheetData>
    <row r="2" spans="3:3" x14ac:dyDescent="0.2">
      <c r="C2" s="137" t="str">
        <f>'Balance Sheet'!B2</f>
        <v xml:space="preserve">K.U.M. India Private Limited </v>
      </c>
    </row>
    <row r="3" spans="3:3" x14ac:dyDescent="0.2">
      <c r="C3" s="137" t="str">
        <f>CFS!B3</f>
        <v>A5 second floor,Rajeswari Apartments, 45 Vellalar street, Kodambakkam,Chennai- 600024.</v>
      </c>
    </row>
    <row r="4" spans="3:3" x14ac:dyDescent="0.2">
      <c r="C4" s="137" t="str">
        <f>CFS!B4</f>
        <v>U29100TN2020PTC135386</v>
      </c>
    </row>
    <row r="6" spans="3:3" ht="18.75" customHeight="1" x14ac:dyDescent="0.25">
      <c r="C6" s="380" t="s">
        <v>1026</v>
      </c>
    </row>
    <row r="8" spans="3:3" x14ac:dyDescent="0.25">
      <c r="C8" s="380" t="s">
        <v>784</v>
      </c>
    </row>
    <row r="10" spans="3:3" x14ac:dyDescent="0.25">
      <c r="C10" s="326" t="s">
        <v>782</v>
      </c>
    </row>
    <row r="11" spans="3:3" ht="39.6" customHeight="1" x14ac:dyDescent="0.25">
      <c r="C11" s="326" t="s">
        <v>783</v>
      </c>
    </row>
    <row r="13" spans="3:3" x14ac:dyDescent="0.25">
      <c r="C13" s="380" t="s">
        <v>785</v>
      </c>
    </row>
    <row r="15" spans="3:3" x14ac:dyDescent="0.25">
      <c r="C15" s="326" t="s">
        <v>801</v>
      </c>
    </row>
    <row r="16" spans="3:3" ht="39.6" customHeight="1" x14ac:dyDescent="0.25">
      <c r="C16" s="326" t="s">
        <v>786</v>
      </c>
    </row>
    <row r="17" spans="3:3" ht="44.45" customHeight="1" x14ac:dyDescent="0.25">
      <c r="C17" s="326" t="s">
        <v>787</v>
      </c>
    </row>
    <row r="19" spans="3:3" x14ac:dyDescent="0.25">
      <c r="C19" s="326" t="s">
        <v>804</v>
      </c>
    </row>
    <row r="20" spans="3:3" ht="69.95" customHeight="1" x14ac:dyDescent="0.25">
      <c r="C20" s="326" t="s">
        <v>788</v>
      </c>
    </row>
    <row r="22" spans="3:3" x14ac:dyDescent="0.25">
      <c r="C22" s="326" t="s">
        <v>802</v>
      </c>
    </row>
    <row r="23" spans="3:3" ht="38.25" x14ac:dyDescent="0.25">
      <c r="C23" s="326" t="s">
        <v>52</v>
      </c>
    </row>
    <row r="25" spans="3:3" x14ac:dyDescent="0.25">
      <c r="C25" s="326" t="s">
        <v>803</v>
      </c>
    </row>
    <row r="26" spans="3:3" ht="31.15" customHeight="1" x14ac:dyDescent="0.25">
      <c r="C26" s="326" t="s">
        <v>967</v>
      </c>
    </row>
    <row r="27" spans="3:3" ht="43.9" customHeight="1" x14ac:dyDescent="0.25">
      <c r="C27" s="326" t="s">
        <v>789</v>
      </c>
    </row>
    <row r="29" spans="3:3" ht="15.6" customHeight="1" x14ac:dyDescent="0.25">
      <c r="C29" s="326" t="s">
        <v>908</v>
      </c>
    </row>
    <row r="30" spans="3:3" ht="97.9" customHeight="1" x14ac:dyDescent="0.25">
      <c r="C30" s="326" t="s">
        <v>790</v>
      </c>
    </row>
    <row r="32" spans="3:3" x14ac:dyDescent="0.25">
      <c r="C32" s="326" t="s">
        <v>909</v>
      </c>
    </row>
    <row r="34" spans="3:3" x14ac:dyDescent="0.25">
      <c r="C34" s="326" t="s">
        <v>910</v>
      </c>
    </row>
    <row r="35" spans="3:3" x14ac:dyDescent="0.25">
      <c r="C35" s="326" t="s">
        <v>791</v>
      </c>
    </row>
    <row r="36" spans="3:3" x14ac:dyDescent="0.25">
      <c r="C36" s="326" t="s">
        <v>911</v>
      </c>
    </row>
    <row r="37" spans="3:3" ht="38.25" x14ac:dyDescent="0.25">
      <c r="C37" s="326" t="s">
        <v>792</v>
      </c>
    </row>
    <row r="38" spans="3:3" x14ac:dyDescent="0.25">
      <c r="C38" s="326" t="s">
        <v>912</v>
      </c>
    </row>
    <row r="39" spans="3:3" ht="25.5" x14ac:dyDescent="0.25">
      <c r="C39" s="326" t="s">
        <v>793</v>
      </c>
    </row>
    <row r="41" spans="3:3" x14ac:dyDescent="0.25">
      <c r="C41" s="326" t="s">
        <v>913</v>
      </c>
    </row>
    <row r="42" spans="3:3" ht="38.25" x14ac:dyDescent="0.25">
      <c r="C42" s="326" t="s">
        <v>794</v>
      </c>
    </row>
    <row r="44" spans="3:3" x14ac:dyDescent="0.25">
      <c r="C44" s="326" t="s">
        <v>914</v>
      </c>
    </row>
    <row r="45" spans="3:3" ht="25.5" x14ac:dyDescent="0.25">
      <c r="C45" s="326" t="s">
        <v>795</v>
      </c>
    </row>
    <row r="46" spans="3:3" ht="56.45" customHeight="1" x14ac:dyDescent="0.25">
      <c r="C46" s="326" t="s">
        <v>796</v>
      </c>
    </row>
    <row r="47" spans="3:3" ht="44.45" customHeight="1" x14ac:dyDescent="0.25">
      <c r="C47" s="326" t="s">
        <v>797</v>
      </c>
    </row>
    <row r="48" spans="3:3" ht="46.15" customHeight="1" x14ac:dyDescent="0.25">
      <c r="C48" s="326" t="s">
        <v>798</v>
      </c>
    </row>
    <row r="50" spans="3:3" x14ac:dyDescent="0.25">
      <c r="C50" s="326" t="s">
        <v>915</v>
      </c>
    </row>
    <row r="52" spans="3:3" ht="179.45" customHeight="1" x14ac:dyDescent="0.25">
      <c r="C52" s="326" t="s">
        <v>799</v>
      </c>
    </row>
    <row r="54" spans="3:3" x14ac:dyDescent="0.25">
      <c r="C54" s="326" t="s">
        <v>805</v>
      </c>
    </row>
    <row r="55" spans="3:3" ht="38.25" x14ac:dyDescent="0.25">
      <c r="C55" s="326" t="s">
        <v>800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4"/>
  <sheetViews>
    <sheetView showGridLines="0" topLeftCell="A111" zoomScaleNormal="100" workbookViewId="0">
      <selection activeCell="C121" sqref="C121"/>
    </sheetView>
  </sheetViews>
  <sheetFormatPr defaultColWidth="9.28515625" defaultRowHeight="18.75" customHeight="1" x14ac:dyDescent="0.2"/>
  <cols>
    <col min="1" max="1" width="9.28515625" style="136"/>
    <col min="2" max="2" width="50.5703125" style="136" customWidth="1"/>
    <col min="3" max="4" width="25.5703125" style="136" customWidth="1"/>
    <col min="5" max="5" width="30.42578125" style="136" customWidth="1"/>
    <col min="6" max="6" width="24.5703125" style="136" bestFit="1" customWidth="1"/>
    <col min="7" max="7" width="28.5703125" style="136" bestFit="1" customWidth="1"/>
    <col min="8" max="8" width="30.5703125" style="136" customWidth="1"/>
    <col min="9" max="9" width="20.28515625" style="136" customWidth="1"/>
    <col min="10" max="10" width="14.85546875" style="136" customWidth="1"/>
    <col min="11" max="11" width="14.5703125" style="136" customWidth="1"/>
    <col min="12" max="12" width="17.28515625" style="136" customWidth="1"/>
    <col min="13" max="14" width="13.42578125" style="136" bestFit="1" customWidth="1"/>
    <col min="15" max="16384" width="9.28515625" style="136"/>
  </cols>
  <sheetData>
    <row r="1" spans="2:4" ht="18.75" customHeight="1" x14ac:dyDescent="0.2">
      <c r="B1" s="459" t="s">
        <v>1027</v>
      </c>
      <c r="C1" s="135"/>
      <c r="D1" s="135"/>
    </row>
    <row r="2" spans="2:4" ht="18.75" customHeight="1" x14ac:dyDescent="0.2">
      <c r="B2" s="137" t="s">
        <v>1028</v>
      </c>
    </row>
    <row r="3" spans="2:4" ht="18.75" customHeight="1" x14ac:dyDescent="0.2">
      <c r="B3" s="137" t="s">
        <v>927</v>
      </c>
    </row>
    <row r="4" spans="2:4" ht="18.75" customHeight="1" x14ac:dyDescent="0.2">
      <c r="B4" s="137" t="s">
        <v>1079</v>
      </c>
    </row>
    <row r="5" spans="2:4" ht="18.75" customHeight="1" x14ac:dyDescent="0.2">
      <c r="D5" s="138" t="str">
        <f>'Master Sheet'!$C$5</f>
        <v>Amount in ₹.</v>
      </c>
    </row>
    <row r="6" spans="2:4" ht="18.75" customHeight="1" x14ac:dyDescent="0.2">
      <c r="B6" s="137" t="str">
        <f>IF(ISBLANK('Balance Sheet'!C12), "", "Note number: "&amp; 'Balance Sheet'!C12)</f>
        <v>Note number: 3</v>
      </c>
    </row>
    <row r="7" spans="2:4" ht="18.75" customHeight="1" x14ac:dyDescent="0.2">
      <c r="B7" s="139" t="s">
        <v>168</v>
      </c>
      <c r="C7" s="139"/>
      <c r="D7" s="139"/>
    </row>
    <row r="8" spans="2:4" ht="18.75" customHeight="1" x14ac:dyDescent="0.2">
      <c r="B8" s="140" t="s">
        <v>53</v>
      </c>
      <c r="C8" s="140" t="s">
        <v>977</v>
      </c>
      <c r="D8" s="140" t="s">
        <v>865</v>
      </c>
    </row>
    <row r="9" spans="2:4" ht="18.75" customHeight="1" x14ac:dyDescent="0.2">
      <c r="B9" s="144"/>
      <c r="C9" s="146"/>
      <c r="D9" s="147"/>
    </row>
    <row r="10" spans="2:4" ht="18.75" customHeight="1" x14ac:dyDescent="0.2">
      <c r="B10" s="263" t="s">
        <v>169</v>
      </c>
      <c r="C10" s="142"/>
      <c r="D10" s="143"/>
    </row>
    <row r="11" spans="2:4" ht="18.75" customHeight="1" x14ac:dyDescent="0.2">
      <c r="B11" s="141"/>
      <c r="C11" s="142"/>
      <c r="D11" s="143"/>
    </row>
    <row r="12" spans="2:4" ht="18.75" customHeight="1" x14ac:dyDescent="0.2">
      <c r="B12" s="623" t="s">
        <v>1072</v>
      </c>
      <c r="C12" s="264">
        <f>Sheet1!C9</f>
        <v>1500000</v>
      </c>
      <c r="D12" s="264">
        <v>1500000</v>
      </c>
    </row>
    <row r="13" spans="2:4" ht="18.75" customHeight="1" x14ac:dyDescent="0.2">
      <c r="B13" s="263" t="s">
        <v>171</v>
      </c>
      <c r="C13" s="142"/>
      <c r="D13" s="143"/>
    </row>
    <row r="14" spans="2:4" ht="18.75" customHeight="1" x14ac:dyDescent="0.2">
      <c r="B14" s="141" t="s">
        <v>1072</v>
      </c>
      <c r="C14" s="142">
        <f>Sheet1!F9</f>
        <v>1500000</v>
      </c>
      <c r="D14" s="264">
        <v>1500000</v>
      </c>
    </row>
    <row r="15" spans="2:4" ht="18.75" customHeight="1" x14ac:dyDescent="0.2">
      <c r="B15" s="144"/>
      <c r="C15" s="146"/>
      <c r="D15" s="147"/>
    </row>
    <row r="16" spans="2:4" ht="18.75" customHeight="1" x14ac:dyDescent="0.2">
      <c r="B16" s="145" t="s">
        <v>75</v>
      </c>
      <c r="C16" s="388">
        <f>'Balance Sheet Notes'!C11+'Balance Sheet Notes'!C14</f>
        <v>1500000</v>
      </c>
      <c r="D16" s="421">
        <f>'Balance Sheet Notes'!D11+'Balance Sheet Notes'!D14</f>
        <v>1500000</v>
      </c>
    </row>
    <row r="19" spans="2:7" ht="18.75" customHeight="1" x14ac:dyDescent="0.2">
      <c r="D19" s="138" t="str">
        <f>'Master Sheet'!$C$5</f>
        <v>Amount in ₹.</v>
      </c>
    </row>
    <row r="20" spans="2:7" ht="18.75" customHeight="1" x14ac:dyDescent="0.2">
      <c r="B20" s="265" t="s">
        <v>172</v>
      </c>
      <c r="C20" s="266"/>
      <c r="D20" s="267"/>
    </row>
    <row r="21" spans="2:7" ht="18.75" customHeight="1" x14ac:dyDescent="0.2">
      <c r="B21" s="140" t="s">
        <v>53</v>
      </c>
      <c r="C21" s="140" t="s">
        <v>977</v>
      </c>
      <c r="D21" s="140" t="s">
        <v>865</v>
      </c>
    </row>
    <row r="22" spans="2:7" ht="18.75" customHeight="1" x14ac:dyDescent="0.2">
      <c r="B22" s="144"/>
      <c r="C22" s="146"/>
      <c r="D22" s="147"/>
    </row>
    <row r="23" spans="2:7" ht="18.75" customHeight="1" x14ac:dyDescent="0.2">
      <c r="B23" s="263" t="s">
        <v>1073</v>
      </c>
      <c r="C23" s="268">
        <f>+C24+C25-C26</f>
        <v>1500000</v>
      </c>
      <c r="D23" s="268">
        <f>+D24+D25-D26</f>
        <v>1500000</v>
      </c>
    </row>
    <row r="24" spans="2:7" ht="18.75" customHeight="1" x14ac:dyDescent="0.2">
      <c r="B24" s="141" t="s">
        <v>173</v>
      </c>
      <c r="C24" s="142">
        <f>150000*10</f>
        <v>1500000</v>
      </c>
      <c r="D24" s="142">
        <f>150000*10</f>
        <v>1500000</v>
      </c>
    </row>
    <row r="25" spans="2:7" ht="18.75" customHeight="1" x14ac:dyDescent="0.2">
      <c r="B25" s="141" t="s">
        <v>174</v>
      </c>
      <c r="C25" s="142">
        <v>0</v>
      </c>
      <c r="D25" s="143">
        <v>0</v>
      </c>
    </row>
    <row r="26" spans="2:7" ht="18.75" customHeight="1" x14ac:dyDescent="0.2">
      <c r="B26" s="269" t="s">
        <v>175</v>
      </c>
      <c r="C26" s="270">
        <v>0</v>
      </c>
      <c r="D26" s="271">
        <v>0</v>
      </c>
    </row>
    <row r="27" spans="2:7" ht="18.75" customHeight="1" x14ac:dyDescent="0.2">
      <c r="B27" s="272"/>
      <c r="C27" s="273"/>
      <c r="D27" s="273"/>
    </row>
    <row r="28" spans="2:7" ht="18.75" customHeight="1" x14ac:dyDescent="0.2">
      <c r="B28" s="274" t="s">
        <v>694</v>
      </c>
      <c r="C28" s="273"/>
      <c r="D28" s="273"/>
    </row>
    <row r="29" spans="2:7" ht="18.75" customHeight="1" x14ac:dyDescent="0.2">
      <c r="B29" s="272"/>
      <c r="C29" s="273"/>
      <c r="D29" s="273"/>
    </row>
    <row r="30" spans="2:7" ht="18.75" customHeight="1" x14ac:dyDescent="0.2">
      <c r="B30" s="275" t="s">
        <v>685</v>
      </c>
      <c r="C30" s="273"/>
      <c r="D30" s="273"/>
    </row>
    <row r="31" spans="2:7" ht="18.75" customHeight="1" x14ac:dyDescent="0.2">
      <c r="B31" s="272"/>
      <c r="C31" s="273"/>
      <c r="D31" s="273"/>
    </row>
    <row r="32" spans="2:7" ht="36" customHeight="1" x14ac:dyDescent="0.2">
      <c r="B32" s="687" t="s">
        <v>686</v>
      </c>
      <c r="C32" s="687"/>
      <c r="D32" s="687"/>
      <c r="E32" s="422"/>
      <c r="F32" s="422"/>
      <c r="G32" s="422"/>
    </row>
    <row r="33" spans="2:8" ht="18.75" customHeight="1" x14ac:dyDescent="0.2">
      <c r="B33" s="705"/>
      <c r="C33" s="705"/>
      <c r="D33" s="705"/>
      <c r="E33" s="705"/>
      <c r="F33" s="705"/>
      <c r="G33" s="705"/>
    </row>
    <row r="34" spans="2:8" ht="18.75" customHeight="1" x14ac:dyDescent="0.2">
      <c r="C34" s="276"/>
      <c r="D34" s="276"/>
      <c r="E34" s="276"/>
      <c r="F34" s="276"/>
      <c r="G34" s="276"/>
    </row>
    <row r="35" spans="2:8" ht="18.75" customHeight="1" thickBot="1" x14ac:dyDescent="0.25">
      <c r="B35" s="277" t="s">
        <v>695</v>
      </c>
      <c r="C35" s="273"/>
      <c r="D35" s="273"/>
    </row>
    <row r="36" spans="2:8" ht="18.75" customHeight="1" thickBot="1" x14ac:dyDescent="0.25">
      <c r="B36" s="685" t="s">
        <v>53</v>
      </c>
      <c r="C36" s="685" t="s">
        <v>687</v>
      </c>
      <c r="D36" s="700" t="s">
        <v>988</v>
      </c>
      <c r="E36" s="701"/>
      <c r="F36" s="683" t="s">
        <v>869</v>
      </c>
      <c r="G36" s="684"/>
    </row>
    <row r="37" spans="2:8" ht="18.75" customHeight="1" thickBot="1" x14ac:dyDescent="0.25">
      <c r="B37" s="686"/>
      <c r="C37" s="686"/>
      <c r="D37" s="278" t="s">
        <v>688</v>
      </c>
      <c r="E37" s="279" t="s">
        <v>689</v>
      </c>
      <c r="F37" s="280" t="s">
        <v>688</v>
      </c>
      <c r="G37" s="281" t="s">
        <v>689</v>
      </c>
    </row>
    <row r="38" spans="2:8" ht="18.75" customHeight="1" x14ac:dyDescent="0.2">
      <c r="B38" s="282"/>
      <c r="C38" s="282"/>
      <c r="D38" s="283"/>
      <c r="E38" s="284"/>
      <c r="F38" s="285"/>
      <c r="G38" s="286"/>
    </row>
    <row r="39" spans="2:8" ht="18.75" customHeight="1" x14ac:dyDescent="0.2">
      <c r="B39" s="287" t="s">
        <v>690</v>
      </c>
      <c r="C39" s="288" t="s">
        <v>691</v>
      </c>
      <c r="D39" s="283">
        <v>112500</v>
      </c>
      <c r="E39" s="284">
        <v>0.75</v>
      </c>
      <c r="F39" s="283">
        <v>112500</v>
      </c>
      <c r="G39" s="284">
        <v>0.75</v>
      </c>
    </row>
    <row r="40" spans="2:8" ht="18.75" customHeight="1" x14ac:dyDescent="0.2">
      <c r="B40" s="287" t="s">
        <v>692</v>
      </c>
      <c r="C40" s="288" t="s">
        <v>691</v>
      </c>
      <c r="D40" s="283">
        <v>37500</v>
      </c>
      <c r="E40" s="284">
        <v>0.25</v>
      </c>
      <c r="F40" s="283">
        <v>37500</v>
      </c>
      <c r="G40" s="284">
        <v>0.25</v>
      </c>
    </row>
    <row r="41" spans="2:8" ht="18.75" customHeight="1" thickBot="1" x14ac:dyDescent="0.25">
      <c r="B41" s="287"/>
      <c r="C41" s="288"/>
      <c r="D41" s="289"/>
      <c r="E41" s="290"/>
      <c r="F41" s="291"/>
      <c r="G41" s="290"/>
    </row>
    <row r="42" spans="2:8" ht="18.75" customHeight="1" thickBot="1" x14ac:dyDescent="0.25">
      <c r="B42" s="382" t="s">
        <v>201</v>
      </c>
      <c r="C42" s="383"/>
      <c r="D42" s="384">
        <f>SUM(D39:D40)</f>
        <v>150000</v>
      </c>
      <c r="E42" s="385">
        <f>SUM(E39:E40)</f>
        <v>1</v>
      </c>
      <c r="F42" s="384">
        <f>SUM(F39:F40)</f>
        <v>150000</v>
      </c>
      <c r="G42" s="385">
        <f>SUM(G39:G40)</f>
        <v>1</v>
      </c>
    </row>
    <row r="43" spans="2:8" ht="18.75" customHeight="1" x14ac:dyDescent="0.2">
      <c r="B43" s="153"/>
      <c r="C43" s="154"/>
      <c r="D43" s="381"/>
      <c r="E43" s="381"/>
      <c r="F43" s="153"/>
      <c r="G43" s="154"/>
      <c r="H43" s="98"/>
    </row>
    <row r="44" spans="2:8" ht="18.75" customHeight="1" x14ac:dyDescent="0.2">
      <c r="B44" s="292" t="s">
        <v>989</v>
      </c>
      <c r="C44" s="292"/>
      <c r="D44" s="293"/>
      <c r="E44" s="294"/>
      <c r="F44" s="294"/>
      <c r="G44" s="295"/>
    </row>
    <row r="45" spans="2:8" ht="18.75" customHeight="1" thickBot="1" x14ac:dyDescent="0.25">
      <c r="B45" s="292"/>
      <c r="C45" s="292"/>
      <c r="D45" s="293"/>
      <c r="E45" s="294"/>
      <c r="F45" s="294"/>
      <c r="G45" s="295"/>
    </row>
    <row r="46" spans="2:8" ht="18.75" customHeight="1" thickBot="1" x14ac:dyDescent="0.25">
      <c r="B46" s="694" t="s">
        <v>696</v>
      </c>
      <c r="C46" s="695"/>
      <c r="D46" s="696"/>
      <c r="E46" s="296" t="s">
        <v>688</v>
      </c>
      <c r="F46" s="297" t="s">
        <v>689</v>
      </c>
      <c r="G46" s="298" t="s">
        <v>697</v>
      </c>
    </row>
    <row r="47" spans="2:8" ht="18.75" customHeight="1" x14ac:dyDescent="0.2">
      <c r="B47" s="697"/>
      <c r="C47" s="698"/>
      <c r="D47" s="699"/>
      <c r="E47" s="299"/>
      <c r="F47" s="300"/>
      <c r="G47" s="301"/>
    </row>
    <row r="48" spans="2:8" ht="18.75" customHeight="1" x14ac:dyDescent="0.2">
      <c r="B48" s="691" t="s">
        <v>698</v>
      </c>
      <c r="C48" s="692"/>
      <c r="D48" s="693"/>
      <c r="E48" s="302">
        <v>112500</v>
      </c>
      <c r="F48" s="303">
        <v>0.75</v>
      </c>
      <c r="G48" s="304">
        <v>0</v>
      </c>
    </row>
    <row r="49" spans="2:7" ht="18.75" customHeight="1" x14ac:dyDescent="0.2">
      <c r="B49" s="691" t="s">
        <v>692</v>
      </c>
      <c r="C49" s="692"/>
      <c r="D49" s="693"/>
      <c r="E49" s="305">
        <v>37500</v>
      </c>
      <c r="F49" s="306">
        <v>0.25</v>
      </c>
      <c r="G49" s="307">
        <v>0</v>
      </c>
    </row>
    <row r="50" spans="2:7" ht="18.75" customHeight="1" thickBot="1" x14ac:dyDescent="0.25">
      <c r="B50" s="688"/>
      <c r="C50" s="689"/>
      <c r="D50" s="690"/>
      <c r="E50" s="308"/>
      <c r="F50" s="309"/>
      <c r="G50" s="310"/>
    </row>
    <row r="51" spans="2:7" ht="18.75" customHeight="1" x14ac:dyDescent="0.2">
      <c r="B51" s="295"/>
      <c r="C51" s="293"/>
      <c r="D51" s="293"/>
      <c r="E51" s="294"/>
      <c r="F51" s="294"/>
      <c r="G51" s="294"/>
    </row>
    <row r="52" spans="2:7" ht="18.75" customHeight="1" x14ac:dyDescent="0.2">
      <c r="B52" s="292" t="s">
        <v>1010</v>
      </c>
      <c r="C52" s="292"/>
      <c r="D52" s="293"/>
      <c r="E52" s="294"/>
      <c r="F52" s="294"/>
      <c r="G52" s="294"/>
    </row>
    <row r="53" spans="2:7" ht="18.75" customHeight="1" thickBot="1" x14ac:dyDescent="0.25">
      <c r="B53" s="292"/>
      <c r="C53" s="292"/>
      <c r="D53" s="293"/>
      <c r="E53" s="294"/>
      <c r="F53" s="294"/>
      <c r="G53" s="294"/>
    </row>
    <row r="54" spans="2:7" ht="18.75" customHeight="1" thickBot="1" x14ac:dyDescent="0.25">
      <c r="B54" s="694" t="s">
        <v>696</v>
      </c>
      <c r="C54" s="695"/>
      <c r="D54" s="696"/>
      <c r="E54" s="296" t="s">
        <v>688</v>
      </c>
      <c r="F54" s="297" t="s">
        <v>689</v>
      </c>
      <c r="G54" s="297" t="s">
        <v>697</v>
      </c>
    </row>
    <row r="55" spans="2:7" ht="18.75" customHeight="1" x14ac:dyDescent="0.2">
      <c r="B55" s="697"/>
      <c r="C55" s="698"/>
      <c r="D55" s="699"/>
      <c r="E55" s="299"/>
      <c r="F55" s="300"/>
      <c r="G55" s="301"/>
    </row>
    <row r="56" spans="2:7" ht="18.75" customHeight="1" x14ac:dyDescent="0.2">
      <c r="B56" s="691" t="s">
        <v>698</v>
      </c>
      <c r="C56" s="692"/>
      <c r="D56" s="693"/>
      <c r="E56" s="302">
        <v>112500</v>
      </c>
      <c r="F56" s="306">
        <v>0.75</v>
      </c>
      <c r="G56" s="304">
        <v>0</v>
      </c>
    </row>
    <row r="57" spans="2:7" ht="18.75" customHeight="1" x14ac:dyDescent="0.2">
      <c r="B57" s="691" t="s">
        <v>692</v>
      </c>
      <c r="C57" s="692"/>
      <c r="D57" s="693"/>
      <c r="E57" s="305">
        <v>37500</v>
      </c>
      <c r="F57" s="306">
        <v>0.25</v>
      </c>
      <c r="G57" s="457">
        <v>0</v>
      </c>
    </row>
    <row r="58" spans="2:7" ht="18.75" customHeight="1" thickBot="1" x14ac:dyDescent="0.25">
      <c r="B58" s="688"/>
      <c r="C58" s="689"/>
      <c r="D58" s="690"/>
      <c r="E58" s="308"/>
      <c r="F58" s="309"/>
      <c r="G58" s="310"/>
    </row>
    <row r="59" spans="2:7" ht="18.75" customHeight="1" x14ac:dyDescent="0.2">
      <c r="B59" s="272"/>
      <c r="C59" s="273"/>
      <c r="D59" s="273"/>
    </row>
    <row r="60" spans="2:7" ht="18.75" customHeight="1" x14ac:dyDescent="0.2">
      <c r="D60" s="138" t="str">
        <f>'Master Sheet'!$C$5</f>
        <v>Amount in ₹.</v>
      </c>
    </row>
    <row r="61" spans="2:7" ht="18.75" customHeight="1" x14ac:dyDescent="0.2">
      <c r="B61" s="137" t="str">
        <f>IF(ISBLANK('Balance Sheet'!C13), "", "Note number: "&amp; 'Balance Sheet'!C13)</f>
        <v>Note number: 4</v>
      </c>
    </row>
    <row r="62" spans="2:7" ht="18.75" customHeight="1" x14ac:dyDescent="0.2">
      <c r="B62" s="139" t="s">
        <v>177</v>
      </c>
      <c r="C62" s="139"/>
      <c r="D62" s="139"/>
    </row>
    <row r="63" spans="2:7" ht="18.75" customHeight="1" x14ac:dyDescent="0.2">
      <c r="B63" s="140" t="s">
        <v>53</v>
      </c>
      <c r="C63" s="140" t="s">
        <v>977</v>
      </c>
      <c r="D63" s="140" t="s">
        <v>865</v>
      </c>
    </row>
    <row r="64" spans="2:7" ht="18.75" customHeight="1" x14ac:dyDescent="0.2">
      <c r="B64" s="144"/>
      <c r="C64" s="146"/>
      <c r="D64" s="147"/>
    </row>
    <row r="65" spans="2:4" ht="18.75" customHeight="1" x14ac:dyDescent="0.2">
      <c r="B65" s="263" t="s">
        <v>178</v>
      </c>
      <c r="C65" s="142"/>
      <c r="D65" s="143"/>
    </row>
    <row r="66" spans="2:4" ht="18.75" customHeight="1" x14ac:dyDescent="0.2">
      <c r="B66" s="141" t="s">
        <v>179</v>
      </c>
      <c r="C66" s="142">
        <v>0</v>
      </c>
      <c r="D66" s="143">
        <v>0</v>
      </c>
    </row>
    <row r="67" spans="2:4" ht="18.75" customHeight="1" x14ac:dyDescent="0.2">
      <c r="B67" s="141" t="s">
        <v>180</v>
      </c>
      <c r="C67" s="142">
        <v>0</v>
      </c>
      <c r="D67" s="143">
        <v>0</v>
      </c>
    </row>
    <row r="68" spans="2:4" ht="18.75" customHeight="1" x14ac:dyDescent="0.2">
      <c r="B68" s="141" t="s">
        <v>181</v>
      </c>
      <c r="C68" s="142">
        <v>0</v>
      </c>
      <c r="D68" s="143">
        <v>0</v>
      </c>
    </row>
    <row r="69" spans="2:4" s="137" customFormat="1" ht="18.75" customHeight="1" x14ac:dyDescent="0.2">
      <c r="B69" s="323" t="s">
        <v>182</v>
      </c>
      <c r="C69" s="268">
        <f>SUM(C66:C68)</f>
        <v>0</v>
      </c>
      <c r="D69" s="610">
        <v>0</v>
      </c>
    </row>
    <row r="70" spans="2:4" ht="18.75" customHeight="1" x14ac:dyDescent="0.2">
      <c r="B70" s="144"/>
      <c r="C70" s="146"/>
      <c r="D70" s="147"/>
    </row>
    <row r="71" spans="2:4" ht="18.75" customHeight="1" x14ac:dyDescent="0.2">
      <c r="B71" s="263" t="s">
        <v>183</v>
      </c>
      <c r="C71" s="142"/>
      <c r="D71" s="143"/>
    </row>
    <row r="72" spans="2:4" ht="18.75" customHeight="1" x14ac:dyDescent="0.2">
      <c r="B72" s="141" t="s">
        <v>179</v>
      </c>
      <c r="C72" s="142">
        <v>0</v>
      </c>
      <c r="D72" s="143">
        <v>0</v>
      </c>
    </row>
    <row r="73" spans="2:4" ht="18.75" customHeight="1" x14ac:dyDescent="0.2">
      <c r="B73" s="141" t="s">
        <v>180</v>
      </c>
      <c r="C73" s="142">
        <v>0</v>
      </c>
      <c r="D73" s="143">
        <v>0</v>
      </c>
    </row>
    <row r="74" spans="2:4" ht="18.75" customHeight="1" x14ac:dyDescent="0.2">
      <c r="B74" s="141" t="s">
        <v>181</v>
      </c>
      <c r="C74" s="142">
        <v>0</v>
      </c>
      <c r="D74" s="143">
        <v>0</v>
      </c>
    </row>
    <row r="75" spans="2:4" s="137" customFormat="1" ht="18.75" customHeight="1" x14ac:dyDescent="0.2">
      <c r="B75" s="323" t="s">
        <v>184</v>
      </c>
      <c r="C75" s="268">
        <f>SUM(C72:C74)</f>
        <v>0</v>
      </c>
      <c r="D75" s="610">
        <v>0</v>
      </c>
    </row>
    <row r="76" spans="2:4" ht="18.75" customHeight="1" x14ac:dyDescent="0.2">
      <c r="B76" s="144"/>
      <c r="C76" s="146"/>
      <c r="D76" s="147"/>
    </row>
    <row r="77" spans="2:4" ht="18.75" customHeight="1" x14ac:dyDescent="0.2">
      <c r="B77" s="263" t="s">
        <v>185</v>
      </c>
      <c r="C77" s="142"/>
      <c r="D77" s="143"/>
    </row>
    <row r="78" spans="2:4" ht="18.75" customHeight="1" x14ac:dyDescent="0.2">
      <c r="B78" s="141" t="s">
        <v>179</v>
      </c>
      <c r="C78" s="142">
        <v>0</v>
      </c>
      <c r="D78" s="143">
        <v>0</v>
      </c>
    </row>
    <row r="79" spans="2:4" ht="18.75" customHeight="1" x14ac:dyDescent="0.2">
      <c r="B79" s="141" t="s">
        <v>180</v>
      </c>
      <c r="C79" s="142">
        <v>0</v>
      </c>
      <c r="D79" s="143">
        <v>0</v>
      </c>
    </row>
    <row r="80" spans="2:4" ht="18.75" customHeight="1" x14ac:dyDescent="0.2">
      <c r="B80" s="141" t="s">
        <v>181</v>
      </c>
      <c r="C80" s="142">
        <v>0</v>
      </c>
      <c r="D80" s="143">
        <v>0</v>
      </c>
    </row>
    <row r="81" spans="2:4" s="137" customFormat="1" ht="18.75" customHeight="1" x14ac:dyDescent="0.2">
      <c r="B81" s="323" t="s">
        <v>186</v>
      </c>
      <c r="C81" s="268">
        <f>SUM(C78:C80)</f>
        <v>0</v>
      </c>
      <c r="D81" s="610">
        <v>0</v>
      </c>
    </row>
    <row r="82" spans="2:4" ht="18.75" customHeight="1" x14ac:dyDescent="0.2">
      <c r="B82" s="144"/>
      <c r="C82" s="146"/>
      <c r="D82" s="147"/>
    </row>
    <row r="83" spans="2:4" ht="18.75" customHeight="1" x14ac:dyDescent="0.2">
      <c r="B83" s="263" t="s">
        <v>187</v>
      </c>
      <c r="C83" s="142"/>
      <c r="D83" s="143"/>
    </row>
    <row r="84" spans="2:4" ht="18.75" customHeight="1" x14ac:dyDescent="0.2">
      <c r="B84" s="141" t="s">
        <v>179</v>
      </c>
      <c r="C84" s="142">
        <v>0</v>
      </c>
      <c r="D84" s="143">
        <v>0</v>
      </c>
    </row>
    <row r="85" spans="2:4" ht="18.75" customHeight="1" x14ac:dyDescent="0.2">
      <c r="B85" s="141" t="s">
        <v>180</v>
      </c>
      <c r="C85" s="142">
        <v>0</v>
      </c>
      <c r="D85" s="143">
        <v>0</v>
      </c>
    </row>
    <row r="86" spans="2:4" ht="18.75" customHeight="1" x14ac:dyDescent="0.2">
      <c r="B86" s="141" t="s">
        <v>181</v>
      </c>
      <c r="C86" s="142">
        <v>0</v>
      </c>
      <c r="D86" s="143">
        <v>0</v>
      </c>
    </row>
    <row r="87" spans="2:4" s="137" customFormat="1" ht="18.75" customHeight="1" x14ac:dyDescent="0.2">
      <c r="B87" s="323" t="s">
        <v>188</v>
      </c>
      <c r="C87" s="268">
        <f>SUM(C84:C86)</f>
        <v>0</v>
      </c>
      <c r="D87" s="610">
        <v>0</v>
      </c>
    </row>
    <row r="88" spans="2:4" ht="18.75" customHeight="1" x14ac:dyDescent="0.2">
      <c r="B88" s="144"/>
      <c r="C88" s="146"/>
      <c r="D88" s="147"/>
    </row>
    <row r="89" spans="2:4" ht="18.75" customHeight="1" x14ac:dyDescent="0.2">
      <c r="B89" s="263" t="s">
        <v>189</v>
      </c>
      <c r="C89" s="142"/>
      <c r="D89" s="143"/>
    </row>
    <row r="90" spans="2:4" ht="18.75" customHeight="1" x14ac:dyDescent="0.2">
      <c r="B90" s="141" t="s">
        <v>179</v>
      </c>
      <c r="C90" s="142">
        <v>0</v>
      </c>
      <c r="D90" s="143">
        <v>0</v>
      </c>
    </row>
    <row r="91" spans="2:4" ht="18.75" customHeight="1" x14ac:dyDescent="0.2">
      <c r="B91" s="141" t="s">
        <v>180</v>
      </c>
      <c r="C91" s="142">
        <v>0</v>
      </c>
      <c r="D91" s="143">
        <v>0</v>
      </c>
    </row>
    <row r="92" spans="2:4" ht="18.75" customHeight="1" x14ac:dyDescent="0.2">
      <c r="B92" s="141" t="s">
        <v>181</v>
      </c>
      <c r="C92" s="142">
        <v>0</v>
      </c>
      <c r="D92" s="143">
        <v>0</v>
      </c>
    </row>
    <row r="93" spans="2:4" s="137" customFormat="1" ht="18.75" customHeight="1" x14ac:dyDescent="0.2">
      <c r="B93" s="323" t="s">
        <v>190</v>
      </c>
      <c r="C93" s="268">
        <f>SUM(C90:C92)</f>
        <v>0</v>
      </c>
      <c r="D93" s="610">
        <v>0</v>
      </c>
    </row>
    <row r="94" spans="2:4" ht="18.75" customHeight="1" x14ac:dyDescent="0.2">
      <c r="B94" s="144"/>
      <c r="C94" s="146"/>
      <c r="D94" s="147"/>
    </row>
    <row r="95" spans="2:4" ht="18.75" customHeight="1" x14ac:dyDescent="0.2">
      <c r="B95" s="263" t="s">
        <v>191</v>
      </c>
      <c r="C95" s="142"/>
      <c r="D95" s="143"/>
    </row>
    <row r="96" spans="2:4" ht="18.75" customHeight="1" x14ac:dyDescent="0.2">
      <c r="B96" s="141" t="s">
        <v>179</v>
      </c>
      <c r="C96" s="142">
        <v>0</v>
      </c>
      <c r="D96" s="143">
        <v>0</v>
      </c>
    </row>
    <row r="97" spans="1:4" ht="18.75" customHeight="1" x14ac:dyDescent="0.2">
      <c r="B97" s="141" t="s">
        <v>180</v>
      </c>
      <c r="C97" s="142">
        <v>0</v>
      </c>
      <c r="D97" s="143">
        <v>0</v>
      </c>
    </row>
    <row r="98" spans="1:4" ht="18.75" customHeight="1" x14ac:dyDescent="0.2">
      <c r="B98" s="141" t="s">
        <v>181</v>
      </c>
      <c r="C98" s="142">
        <v>0</v>
      </c>
      <c r="D98" s="143">
        <v>0</v>
      </c>
    </row>
    <row r="99" spans="1:4" s="137" customFormat="1" ht="18.75" customHeight="1" x14ac:dyDescent="0.2">
      <c r="A99" s="611"/>
      <c r="B99" s="323" t="s">
        <v>192</v>
      </c>
      <c r="C99" s="268">
        <f>SUM(C96:C98)</f>
        <v>0</v>
      </c>
      <c r="D99" s="610">
        <v>0</v>
      </c>
    </row>
    <row r="100" spans="1:4" ht="18.75" customHeight="1" x14ac:dyDescent="0.2">
      <c r="B100" s="144"/>
      <c r="C100" s="146"/>
      <c r="D100" s="147"/>
    </row>
    <row r="101" spans="1:4" ht="18.75" customHeight="1" x14ac:dyDescent="0.2">
      <c r="B101" s="263" t="s">
        <v>193</v>
      </c>
      <c r="C101" s="142"/>
      <c r="D101" s="143"/>
    </row>
    <row r="102" spans="1:4" ht="18.75" customHeight="1" x14ac:dyDescent="0.2">
      <c r="B102" s="141" t="s">
        <v>179</v>
      </c>
      <c r="C102" s="142">
        <v>0</v>
      </c>
      <c r="D102" s="143">
        <v>0</v>
      </c>
    </row>
    <row r="103" spans="1:4" ht="18.75" customHeight="1" x14ac:dyDescent="0.2">
      <c r="B103" s="141" t="s">
        <v>180</v>
      </c>
      <c r="C103" s="142">
        <v>0</v>
      </c>
      <c r="D103" s="143">
        <v>0</v>
      </c>
    </row>
    <row r="104" spans="1:4" ht="18.75" customHeight="1" x14ac:dyDescent="0.2">
      <c r="B104" s="141" t="s">
        <v>181</v>
      </c>
      <c r="C104" s="142">
        <v>0</v>
      </c>
      <c r="D104" s="143">
        <v>0</v>
      </c>
    </row>
    <row r="105" spans="1:4" s="137" customFormat="1" ht="18.75" customHeight="1" x14ac:dyDescent="0.2">
      <c r="B105" s="323" t="s">
        <v>194</v>
      </c>
      <c r="C105" s="268">
        <f>SUM(C102:C104)</f>
        <v>0</v>
      </c>
      <c r="D105" s="610">
        <v>0</v>
      </c>
    </row>
    <row r="106" spans="1:4" ht="18.75" customHeight="1" x14ac:dyDescent="0.2">
      <c r="B106" s="144"/>
      <c r="C106" s="146"/>
      <c r="D106" s="147"/>
    </row>
    <row r="107" spans="1:4" ht="25.5" customHeight="1" x14ac:dyDescent="0.2">
      <c r="B107" s="263" t="s">
        <v>195</v>
      </c>
      <c r="C107" s="142"/>
      <c r="D107" s="143"/>
    </row>
    <row r="108" spans="1:4" ht="18.75" customHeight="1" x14ac:dyDescent="0.2">
      <c r="B108" s="141" t="s">
        <v>179</v>
      </c>
      <c r="C108" s="142">
        <v>0</v>
      </c>
      <c r="D108" s="143">
        <v>0</v>
      </c>
    </row>
    <row r="109" spans="1:4" ht="18.75" customHeight="1" x14ac:dyDescent="0.2">
      <c r="B109" s="141" t="s">
        <v>180</v>
      </c>
      <c r="C109" s="142">
        <v>0</v>
      </c>
      <c r="D109" s="143">
        <v>0</v>
      </c>
    </row>
    <row r="110" spans="1:4" ht="18.75" customHeight="1" x14ac:dyDescent="0.2">
      <c r="B110" s="141" t="s">
        <v>181</v>
      </c>
      <c r="C110" s="142">
        <v>0</v>
      </c>
      <c r="D110" s="143">
        <v>0</v>
      </c>
    </row>
    <row r="111" spans="1:4" s="137" customFormat="1" ht="18.75" customHeight="1" x14ac:dyDescent="0.2">
      <c r="B111" s="323" t="s">
        <v>196</v>
      </c>
      <c r="C111" s="268">
        <f>SUM(C108:C110)</f>
        <v>0</v>
      </c>
      <c r="D111" s="610">
        <v>0</v>
      </c>
    </row>
    <row r="112" spans="1:4" ht="18.75" customHeight="1" x14ac:dyDescent="0.2">
      <c r="B112" s="144"/>
      <c r="C112" s="146"/>
      <c r="D112" s="147"/>
    </row>
    <row r="113" spans="2:4" ht="18.75" customHeight="1" x14ac:dyDescent="0.2">
      <c r="B113" s="263" t="s">
        <v>197</v>
      </c>
      <c r="C113" s="142"/>
      <c r="D113" s="143"/>
    </row>
    <row r="114" spans="2:4" ht="18.75" customHeight="1" x14ac:dyDescent="0.2">
      <c r="B114" s="263" t="s">
        <v>198</v>
      </c>
      <c r="C114" s="142"/>
      <c r="D114" s="143"/>
    </row>
    <row r="115" spans="2:4" ht="18.75" customHeight="1" x14ac:dyDescent="0.2">
      <c r="B115" s="141" t="s">
        <v>179</v>
      </c>
      <c r="C115" s="375">
        <f>(D121)</f>
        <v>-3782365.8</v>
      </c>
      <c r="D115" s="376">
        <f>-3766592</f>
        <v>-3766592</v>
      </c>
    </row>
    <row r="116" spans="2:4" ht="18.75" customHeight="1" x14ac:dyDescent="0.2">
      <c r="B116" s="141" t="s">
        <v>180</v>
      </c>
      <c r="C116" s="375"/>
      <c r="D116" s="376"/>
    </row>
    <row r="117" spans="2:4" ht="18.75" customHeight="1" x14ac:dyDescent="0.2">
      <c r="B117" s="141" t="s">
        <v>181</v>
      </c>
      <c r="C117" s="375"/>
      <c r="D117" s="376"/>
    </row>
    <row r="118" spans="2:4" ht="18.75" customHeight="1" x14ac:dyDescent="0.2">
      <c r="B118" s="141" t="s">
        <v>199</v>
      </c>
      <c r="C118" s="375">
        <f>+'Profit and Loss'!D31</f>
        <v>7428727.5100000054</v>
      </c>
      <c r="D118" s="376">
        <f>-15773.8</f>
        <v>-15773.8</v>
      </c>
    </row>
    <row r="119" spans="2:4" s="137" customFormat="1" ht="18.75" customHeight="1" x14ac:dyDescent="0.2">
      <c r="B119" s="323" t="s">
        <v>200</v>
      </c>
      <c r="C119" s="608">
        <f>'Balance Sheet Notes'!C115+'Balance Sheet Notes'!C116+'Balance Sheet Notes'!C117+'Balance Sheet Notes'!C118</f>
        <v>3646361.7100000056</v>
      </c>
      <c r="D119" s="609">
        <f>'Balance Sheet Notes'!D115+'Balance Sheet Notes'!D116+'Balance Sheet Notes'!D117+'Balance Sheet Notes'!D118</f>
        <v>-3782365.8</v>
      </c>
    </row>
    <row r="120" spans="2:4" ht="18.75" customHeight="1" x14ac:dyDescent="0.2">
      <c r="B120" s="144"/>
      <c r="C120" s="377"/>
      <c r="D120" s="378"/>
    </row>
    <row r="121" spans="2:4" ht="18.75" customHeight="1" x14ac:dyDescent="0.2">
      <c r="B121" s="386" t="s">
        <v>201</v>
      </c>
      <c r="C121" s="387">
        <f>('Balance Sheet Notes'!C69+'Balance Sheet Notes'!C75+'Balance Sheet Notes'!C81+'Balance Sheet Notes'!C87+'Balance Sheet Notes'!C93+'Balance Sheet Notes'!C99+'Balance Sheet Notes'!C105+'Balance Sheet Notes'!C111+'Balance Sheet Notes'!C119)</f>
        <v>3646361.7100000056</v>
      </c>
      <c r="D121" s="387">
        <f>'Balance Sheet Notes'!D69+'Balance Sheet Notes'!D75+'Balance Sheet Notes'!D81+'Balance Sheet Notes'!D87+'Balance Sheet Notes'!D93+'Balance Sheet Notes'!D99+'Balance Sheet Notes'!D105+'Balance Sheet Notes'!D111+'Balance Sheet Notes'!D119</f>
        <v>-3782365.8</v>
      </c>
    </row>
    <row r="123" spans="2:4" ht="18.75" customHeight="1" x14ac:dyDescent="0.2">
      <c r="B123" s="137" t="s">
        <v>781</v>
      </c>
      <c r="D123" s="138" t="str">
        <f>'Master Sheet'!$C$5</f>
        <v>Amount in ₹.</v>
      </c>
    </row>
    <row r="124" spans="2:4" ht="18.75" customHeight="1" x14ac:dyDescent="0.2">
      <c r="B124" s="139" t="s">
        <v>202</v>
      </c>
      <c r="C124" s="139"/>
      <c r="D124" s="139"/>
    </row>
    <row r="125" spans="2:4" ht="18.75" customHeight="1" x14ac:dyDescent="0.2">
      <c r="B125" s="140" t="s">
        <v>53</v>
      </c>
      <c r="C125" s="140" t="s">
        <v>977</v>
      </c>
      <c r="D125" s="140" t="s">
        <v>865</v>
      </c>
    </row>
    <row r="126" spans="2:4" ht="18.75" customHeight="1" x14ac:dyDescent="0.2">
      <c r="B126" s="141" t="s">
        <v>564</v>
      </c>
      <c r="C126" s="142">
        <f>'Annexure BS'!C19</f>
        <v>0</v>
      </c>
      <c r="D126" s="143">
        <f>'Annexure BS'!D19</f>
        <v>11540575</v>
      </c>
    </row>
    <row r="127" spans="2:4" ht="18.75" customHeight="1" x14ac:dyDescent="0.2">
      <c r="B127" s="386" t="s">
        <v>201</v>
      </c>
      <c r="C127" s="388">
        <f>SUM(C126:C126)</f>
        <v>0</v>
      </c>
      <c r="D127" s="388">
        <f>SUM(D126:D126)</f>
        <v>11540575</v>
      </c>
    </row>
    <row r="129" spans="2:4" ht="18.75" customHeight="1" x14ac:dyDescent="0.2">
      <c r="B129" s="313" t="s">
        <v>807</v>
      </c>
      <c r="C129" s="313"/>
      <c r="D129" s="313"/>
    </row>
    <row r="130" spans="2:4" ht="18.75" customHeight="1" x14ac:dyDescent="0.2">
      <c r="B130" s="314" t="s">
        <v>53</v>
      </c>
      <c r="C130" s="315" t="s">
        <v>676</v>
      </c>
      <c r="D130" s="315" t="s">
        <v>677</v>
      </c>
    </row>
    <row r="131" spans="2:4" ht="18.75" customHeight="1" x14ac:dyDescent="0.2">
      <c r="B131" s="316" t="s">
        <v>678</v>
      </c>
      <c r="C131" s="317" t="s">
        <v>679</v>
      </c>
      <c r="D131" s="318" t="s">
        <v>680</v>
      </c>
    </row>
    <row r="132" spans="2:4" ht="18.75" customHeight="1" x14ac:dyDescent="0.2">
      <c r="B132" s="141" t="s">
        <v>681</v>
      </c>
      <c r="C132" s="142">
        <v>62500</v>
      </c>
      <c r="D132" s="142">
        <v>62500</v>
      </c>
    </row>
    <row r="133" spans="2:4" ht="18.75" customHeight="1" x14ac:dyDescent="0.2">
      <c r="B133" s="141" t="s">
        <v>806</v>
      </c>
      <c r="C133" s="142">
        <v>0</v>
      </c>
      <c r="D133" s="142">
        <v>0</v>
      </c>
    </row>
    <row r="134" spans="2:4" ht="18.75" customHeight="1" x14ac:dyDescent="0.2">
      <c r="B134" s="269" t="s">
        <v>1029</v>
      </c>
      <c r="C134" s="319" t="s">
        <v>1030</v>
      </c>
      <c r="D134" s="477" t="s">
        <v>682</v>
      </c>
    </row>
    <row r="136" spans="2:4" ht="18.75" customHeight="1" x14ac:dyDescent="0.2">
      <c r="B136" s="137" t="str">
        <f>IF(ISBLANK('Balance Sheet'!C20), "", "Note number: "&amp; 'Balance Sheet'!C20)</f>
        <v>Note number: 6</v>
      </c>
      <c r="D136" s="138" t="str">
        <f>'Master Sheet'!$C$5</f>
        <v>Amount in ₹.</v>
      </c>
    </row>
    <row r="137" spans="2:4" ht="18.75" customHeight="1" x14ac:dyDescent="0.2">
      <c r="B137" s="139" t="s">
        <v>203</v>
      </c>
      <c r="C137" s="139"/>
      <c r="D137" s="139"/>
    </row>
    <row r="138" spans="2:4" ht="18.75" customHeight="1" x14ac:dyDescent="0.2">
      <c r="B138" s="140" t="s">
        <v>53</v>
      </c>
      <c r="C138" s="140" t="s">
        <v>977</v>
      </c>
      <c r="D138" s="140" t="s">
        <v>865</v>
      </c>
    </row>
    <row r="139" spans="2:4" ht="18.75" customHeight="1" x14ac:dyDescent="0.2">
      <c r="B139" s="141" t="s">
        <v>204</v>
      </c>
      <c r="C139" s="142">
        <f>'Annexure BS'!C14</f>
        <v>1040</v>
      </c>
      <c r="D139" s="143">
        <f>0</f>
        <v>0</v>
      </c>
    </row>
    <row r="140" spans="2:4" ht="18.75" customHeight="1" x14ac:dyDescent="0.2">
      <c r="B140" s="386" t="s">
        <v>201</v>
      </c>
      <c r="C140" s="388">
        <f>'Balance Sheet Notes'!C139</f>
        <v>1040</v>
      </c>
      <c r="D140" s="388">
        <f>'Balance Sheet Notes'!D139</f>
        <v>0</v>
      </c>
    </row>
    <row r="142" spans="2:4" ht="18.75" customHeight="1" x14ac:dyDescent="0.2">
      <c r="B142" s="137" t="str">
        <f>IF(ISBLANK('Balance Sheet'!C29), "", "Note number: "&amp; 'Balance Sheet'!C29)</f>
        <v>Note number: 7</v>
      </c>
      <c r="D142" s="648" t="str">
        <f>'Master Sheet'!$C$5</f>
        <v>Amount in ₹.</v>
      </c>
    </row>
    <row r="143" spans="2:4" ht="18.75" customHeight="1" x14ac:dyDescent="0.2">
      <c r="B143" s="139" t="s">
        <v>209</v>
      </c>
      <c r="C143" s="139"/>
      <c r="D143" s="139"/>
    </row>
    <row r="144" spans="2:4" ht="18.75" customHeight="1" x14ac:dyDescent="0.2">
      <c r="B144" s="140" t="s">
        <v>53</v>
      </c>
      <c r="C144" s="140" t="s">
        <v>977</v>
      </c>
      <c r="D144" s="140" t="s">
        <v>865</v>
      </c>
    </row>
    <row r="145" spans="2:12" ht="18.75" customHeight="1" x14ac:dyDescent="0.2">
      <c r="B145" s="141" t="s">
        <v>211</v>
      </c>
      <c r="C145" s="142">
        <f>'Annexure BS'!C69</f>
        <v>113500</v>
      </c>
      <c r="D145" s="143">
        <f>'Annexure BS'!D69</f>
        <v>75250</v>
      </c>
    </row>
    <row r="146" spans="2:12" ht="18.75" customHeight="1" x14ac:dyDescent="0.2">
      <c r="B146" s="141" t="s">
        <v>212</v>
      </c>
      <c r="C146" s="142">
        <f>'Annexure BS'!C83</f>
        <v>17800</v>
      </c>
      <c r="D146" s="143">
        <f>'Annexure BS'!D83</f>
        <v>13729.76</v>
      </c>
    </row>
    <row r="147" spans="2:12" ht="18.75" customHeight="1" x14ac:dyDescent="0.2">
      <c r="B147" s="141" t="s">
        <v>213</v>
      </c>
      <c r="C147" s="142">
        <f>'Annexure BS'!C64</f>
        <v>7178.82</v>
      </c>
      <c r="D147" s="143">
        <f>'Annexure BS'!D64</f>
        <v>46235.18</v>
      </c>
    </row>
    <row r="148" spans="2:12" ht="18.75" customHeight="1" x14ac:dyDescent="0.2">
      <c r="B148" s="386" t="s">
        <v>201</v>
      </c>
      <c r="C148" s="388">
        <f>SUM(C145:C147)</f>
        <v>138478.82</v>
      </c>
      <c r="D148" s="388">
        <f>SUM(D145:D147)</f>
        <v>135214.94</v>
      </c>
    </row>
    <row r="149" spans="2:12" ht="18.75" customHeight="1" x14ac:dyDescent="0.2">
      <c r="B149" s="148"/>
      <c r="C149" s="149"/>
      <c r="D149" s="149"/>
    </row>
    <row r="150" spans="2:12" ht="18.75" customHeight="1" x14ac:dyDescent="0.2">
      <c r="B150" s="137" t="s">
        <v>1069</v>
      </c>
      <c r="D150" s="138" t="str">
        <f>'Master Sheet'!$C$5</f>
        <v>Amount in ₹.</v>
      </c>
    </row>
    <row r="151" spans="2:12" ht="18.75" customHeight="1" x14ac:dyDescent="0.2">
      <c r="B151" s="487" t="s">
        <v>1070</v>
      </c>
      <c r="C151" s="139"/>
      <c r="D151" s="139"/>
    </row>
    <row r="152" spans="2:12" ht="18.75" customHeight="1" x14ac:dyDescent="0.2">
      <c r="B152" s="140" t="s">
        <v>53</v>
      </c>
      <c r="C152" s="140" t="s">
        <v>977</v>
      </c>
      <c r="D152" s="140" t="s">
        <v>865</v>
      </c>
    </row>
    <row r="153" spans="2:12" ht="18.75" customHeight="1" x14ac:dyDescent="0.2">
      <c r="B153" s="141" t="s">
        <v>1068</v>
      </c>
      <c r="C153" s="142">
        <f>'Annexure BS'!C94</f>
        <v>1255554</v>
      </c>
      <c r="D153" s="143">
        <f>'Annexure BS'!D115</f>
        <v>0</v>
      </c>
    </row>
    <row r="154" spans="2:12" ht="18.75" customHeight="1" x14ac:dyDescent="0.2">
      <c r="B154" s="386" t="s">
        <v>201</v>
      </c>
      <c r="C154" s="388">
        <f>'Balance Sheet Notes'!C153</f>
        <v>1255554</v>
      </c>
      <c r="D154" s="388">
        <f>'Balance Sheet Notes'!D153</f>
        <v>0</v>
      </c>
    </row>
    <row r="155" spans="2:12" ht="18.75" customHeight="1" x14ac:dyDescent="0.2">
      <c r="B155" s="148"/>
      <c r="C155" s="149"/>
      <c r="D155" s="149"/>
    </row>
    <row r="156" spans="2:12" ht="31.5" customHeight="1" thickBot="1" x14ac:dyDescent="0.25">
      <c r="B156" s="148" t="s">
        <v>1002</v>
      </c>
      <c r="C156" s="149"/>
      <c r="D156" s="149"/>
    </row>
    <row r="157" spans="2:12" ht="18.75" customHeight="1" x14ac:dyDescent="0.2">
      <c r="B157" s="706" t="s">
        <v>361</v>
      </c>
      <c r="C157" s="681" t="s">
        <v>773</v>
      </c>
      <c r="D157" s="708"/>
      <c r="E157" s="708"/>
      <c r="F157" s="709"/>
      <c r="G157" s="681" t="s">
        <v>774</v>
      </c>
      <c r="H157" s="708"/>
      <c r="I157" s="708"/>
      <c r="J157" s="709"/>
      <c r="K157" s="681" t="s">
        <v>775</v>
      </c>
      <c r="L157" s="682"/>
    </row>
    <row r="158" spans="2:12" ht="36.75" customHeight="1" thickBot="1" x14ac:dyDescent="0.25">
      <c r="B158" s="707"/>
      <c r="C158" s="101" t="s">
        <v>1003</v>
      </c>
      <c r="D158" s="102" t="s">
        <v>586</v>
      </c>
      <c r="E158" s="103" t="s">
        <v>776</v>
      </c>
      <c r="F158" s="105" t="s">
        <v>1004</v>
      </c>
      <c r="G158" s="101" t="s">
        <v>1003</v>
      </c>
      <c r="H158" s="106" t="s">
        <v>777</v>
      </c>
      <c r="I158" s="104" t="s">
        <v>778</v>
      </c>
      <c r="J158" s="101" t="s">
        <v>1004</v>
      </c>
      <c r="K158" s="105" t="s">
        <v>1004</v>
      </c>
      <c r="L158" s="107" t="s">
        <v>870</v>
      </c>
    </row>
    <row r="159" spans="2:12" ht="18.75" customHeight="1" x14ac:dyDescent="0.2">
      <c r="B159" s="553" t="s">
        <v>779</v>
      </c>
      <c r="C159" s="554">
        <v>50254</v>
      </c>
      <c r="D159" s="554">
        <v>0</v>
      </c>
      <c r="E159" s="554">
        <v>0</v>
      </c>
      <c r="F159" s="554">
        <f>C159+D159-E159</f>
        <v>50254</v>
      </c>
      <c r="G159" s="554">
        <v>47742</v>
      </c>
      <c r="H159" s="554">
        <f>0</f>
        <v>0</v>
      </c>
      <c r="I159" s="554">
        <v>0</v>
      </c>
      <c r="J159" s="554">
        <f>+G159+H159</f>
        <v>47742</v>
      </c>
      <c r="K159" s="554">
        <f>F159-J159</f>
        <v>2512</v>
      </c>
      <c r="L159" s="555">
        <f>'Annexure BS'!D89</f>
        <v>2512</v>
      </c>
    </row>
    <row r="160" spans="2:12" ht="18.75" customHeight="1" thickBot="1" x14ac:dyDescent="0.25">
      <c r="B160" s="108" t="s">
        <v>201</v>
      </c>
      <c r="C160" s="109">
        <f t="shared" ref="C160:L160" si="0">SUM(C159:C159)</f>
        <v>50254</v>
      </c>
      <c r="D160" s="109">
        <f t="shared" si="0"/>
        <v>0</v>
      </c>
      <c r="E160" s="109">
        <f t="shared" si="0"/>
        <v>0</v>
      </c>
      <c r="F160" s="109">
        <f t="shared" si="0"/>
        <v>50254</v>
      </c>
      <c r="G160" s="109">
        <f t="shared" si="0"/>
        <v>47742</v>
      </c>
      <c r="H160" s="109">
        <f t="shared" si="0"/>
        <v>0</v>
      </c>
      <c r="I160" s="109">
        <f t="shared" si="0"/>
        <v>0</v>
      </c>
      <c r="J160" s="109">
        <f t="shared" si="0"/>
        <v>47742</v>
      </c>
      <c r="K160" s="109">
        <f t="shared" si="0"/>
        <v>2512</v>
      </c>
      <c r="L160" s="109">
        <f t="shared" si="0"/>
        <v>2512</v>
      </c>
    </row>
    <row r="161" spans="2:12" ht="18.75" customHeight="1" thickTop="1" thickBot="1" x14ac:dyDescent="0.25">
      <c r="B161" s="110"/>
      <c r="C161" s="111"/>
      <c r="D161" s="111"/>
      <c r="E161" s="111"/>
      <c r="F161" s="111"/>
      <c r="G161" s="111"/>
      <c r="H161" s="111"/>
      <c r="I161" s="111"/>
      <c r="J161" s="111"/>
      <c r="K161" s="111"/>
      <c r="L161" s="112"/>
    </row>
    <row r="162" spans="2:12" ht="18.75" customHeight="1" thickTop="1" thickBot="1" x14ac:dyDescent="0.25">
      <c r="B162" s="108" t="s">
        <v>780</v>
      </c>
      <c r="C162" s="109">
        <f>C160</f>
        <v>50254</v>
      </c>
      <c r="D162" s="109">
        <f>D160</f>
        <v>0</v>
      </c>
      <c r="E162" s="109">
        <v>0</v>
      </c>
      <c r="F162" s="109">
        <f>F160</f>
        <v>50254</v>
      </c>
      <c r="G162" s="109">
        <f>G160</f>
        <v>47742</v>
      </c>
      <c r="H162" s="109">
        <f>0</f>
        <v>0</v>
      </c>
      <c r="I162" s="109">
        <v>0</v>
      </c>
      <c r="J162" s="109">
        <f>G162+H162-I162</f>
        <v>47742</v>
      </c>
      <c r="K162" s="109">
        <f>F162-J162</f>
        <v>2512</v>
      </c>
      <c r="L162" s="113">
        <f>L160</f>
        <v>2512</v>
      </c>
    </row>
    <row r="163" spans="2:12" ht="18.75" customHeight="1" thickTop="1" thickBot="1" x14ac:dyDescent="0.25">
      <c r="B163" s="114"/>
      <c r="C163" s="115"/>
      <c r="D163" s="115"/>
      <c r="E163" s="115"/>
      <c r="F163" s="115"/>
      <c r="G163" s="115"/>
      <c r="H163" s="115"/>
      <c r="I163" s="115"/>
      <c r="J163" s="115"/>
      <c r="K163" s="115"/>
      <c r="L163" s="116"/>
    </row>
    <row r="164" spans="2:12" ht="18.75" customHeight="1" x14ac:dyDescent="0.2">
      <c r="B164" s="148"/>
      <c r="C164" s="149"/>
      <c r="D164" s="149"/>
    </row>
    <row r="166" spans="2:12" ht="18.75" customHeight="1" x14ac:dyDescent="0.2">
      <c r="B166" s="137" t="s">
        <v>959</v>
      </c>
      <c r="D166" s="138" t="str">
        <f>'Master Sheet'!$C$5</f>
        <v>Amount in ₹.</v>
      </c>
    </row>
    <row r="167" spans="2:12" ht="18.75" customHeight="1" x14ac:dyDescent="0.2">
      <c r="B167" s="487" t="s">
        <v>958</v>
      </c>
      <c r="C167" s="139"/>
      <c r="D167" s="139"/>
    </row>
    <row r="168" spans="2:12" ht="18.75" customHeight="1" x14ac:dyDescent="0.2">
      <c r="B168" s="140" t="s">
        <v>53</v>
      </c>
      <c r="C168" s="140" t="s">
        <v>977</v>
      </c>
      <c r="D168" s="140" t="s">
        <v>865</v>
      </c>
    </row>
    <row r="169" spans="2:12" ht="18.75" customHeight="1" x14ac:dyDescent="0.2">
      <c r="B169" s="141" t="s">
        <v>958</v>
      </c>
      <c r="C169" s="142">
        <f>'Annexure BS'!C135</f>
        <v>0</v>
      </c>
      <c r="D169" s="143">
        <f>'Annexure BS'!D135</f>
        <v>249</v>
      </c>
    </row>
    <row r="170" spans="2:12" ht="18.75" customHeight="1" x14ac:dyDescent="0.2">
      <c r="B170" s="386" t="s">
        <v>201</v>
      </c>
      <c r="C170" s="388">
        <f>'Balance Sheet Notes'!C169</f>
        <v>0</v>
      </c>
      <c r="D170" s="388">
        <f>'Balance Sheet Notes'!D169</f>
        <v>249</v>
      </c>
    </row>
    <row r="172" spans="2:12" ht="18.75" customHeight="1" x14ac:dyDescent="0.2">
      <c r="B172" s="137" t="str">
        <f>IF(ISBLANK('Balance Sheet'!C51), "", "Note number: "&amp; 'Balance Sheet'!C51)</f>
        <v>Note number: 11</v>
      </c>
      <c r="D172" s="138" t="str">
        <f>'Master Sheet'!$C$5</f>
        <v>Amount in ₹.</v>
      </c>
    </row>
    <row r="173" spans="2:12" ht="18.75" customHeight="1" x14ac:dyDescent="0.2">
      <c r="B173" s="702" t="s">
        <v>216</v>
      </c>
      <c r="C173" s="703"/>
      <c r="D173" s="704"/>
    </row>
    <row r="174" spans="2:12" ht="18.75" customHeight="1" x14ac:dyDescent="0.2">
      <c r="B174" s="140" t="s">
        <v>53</v>
      </c>
      <c r="C174" s="140" t="s">
        <v>977</v>
      </c>
      <c r="D174" s="140" t="s">
        <v>865</v>
      </c>
    </row>
    <row r="175" spans="2:12" ht="18.75" customHeight="1" x14ac:dyDescent="0.2">
      <c r="B175" s="144"/>
      <c r="C175" s="146"/>
      <c r="D175" s="147"/>
    </row>
    <row r="176" spans="2:12" ht="18.75" customHeight="1" x14ac:dyDescent="0.2">
      <c r="B176" s="323" t="s">
        <v>217</v>
      </c>
      <c r="C176" s="142"/>
      <c r="D176" s="143"/>
    </row>
    <row r="177" spans="2:4" ht="18.75" customHeight="1" x14ac:dyDescent="0.2">
      <c r="B177" s="312" t="s">
        <v>218</v>
      </c>
      <c r="C177" s="142">
        <f>('Annexure BS'!C113)</f>
        <v>4068610.25</v>
      </c>
      <c r="D177" s="143">
        <f>'Annexure BS'!D113</f>
        <v>7365298.8900000006</v>
      </c>
    </row>
    <row r="178" spans="2:4" ht="18.75" customHeight="1" x14ac:dyDescent="0.2">
      <c r="B178" s="312" t="s">
        <v>219</v>
      </c>
      <c r="C178" s="142">
        <v>0</v>
      </c>
      <c r="D178" s="143">
        <v>0</v>
      </c>
    </row>
    <row r="179" spans="2:4" ht="18.75" customHeight="1" x14ac:dyDescent="0.2">
      <c r="B179" s="141" t="s">
        <v>220</v>
      </c>
      <c r="C179" s="142">
        <v>0</v>
      </c>
      <c r="D179" s="143">
        <v>0</v>
      </c>
    </row>
    <row r="180" spans="2:4" ht="18.75" customHeight="1" x14ac:dyDescent="0.2">
      <c r="B180" s="141" t="s">
        <v>221</v>
      </c>
      <c r="C180" s="142">
        <v>0</v>
      </c>
      <c r="D180" s="143">
        <v>0</v>
      </c>
    </row>
    <row r="181" spans="2:4" ht="18.75" customHeight="1" x14ac:dyDescent="0.2">
      <c r="B181" s="144"/>
      <c r="C181" s="146"/>
      <c r="D181" s="147"/>
    </row>
    <row r="182" spans="2:4" ht="18.75" customHeight="1" x14ac:dyDescent="0.2">
      <c r="B182" s="386" t="s">
        <v>201</v>
      </c>
      <c r="C182" s="388">
        <f>'Balance Sheet Notes'!C177+'Balance Sheet Notes'!C178+'Balance Sheet Notes'!C179+'Balance Sheet Notes'!C180</f>
        <v>4068610.25</v>
      </c>
      <c r="D182" s="388">
        <f>'Balance Sheet Notes'!D177+'Balance Sheet Notes'!D178+'Balance Sheet Notes'!D179+'Balance Sheet Notes'!D180</f>
        <v>7365298.8900000006</v>
      </c>
    </row>
    <row r="184" spans="2:4" ht="18.75" customHeight="1" x14ac:dyDescent="0.2">
      <c r="B184" s="137" t="str">
        <f>IF(ISBLANK('Balance Sheet'!C52), "", "Note number: "&amp; 'Balance Sheet'!C52)</f>
        <v>Note number: 12</v>
      </c>
      <c r="D184" s="138" t="str">
        <f>'Master Sheet'!$C$5</f>
        <v>Amount in ₹.</v>
      </c>
    </row>
    <row r="185" spans="2:4" ht="18.75" customHeight="1" x14ac:dyDescent="0.2">
      <c r="B185" s="139" t="s">
        <v>222</v>
      </c>
      <c r="C185" s="139"/>
      <c r="D185" s="139"/>
    </row>
    <row r="186" spans="2:4" ht="18.75" customHeight="1" x14ac:dyDescent="0.2">
      <c r="B186" s="140" t="s">
        <v>53</v>
      </c>
      <c r="C186" s="140" t="s">
        <v>977</v>
      </c>
      <c r="D186" s="140" t="s">
        <v>865</v>
      </c>
    </row>
    <row r="187" spans="2:4" ht="18.75" customHeight="1" x14ac:dyDescent="0.2">
      <c r="B187" s="144"/>
      <c r="C187" s="146"/>
      <c r="D187" s="147"/>
    </row>
    <row r="188" spans="2:4" ht="18.75" customHeight="1" x14ac:dyDescent="0.2">
      <c r="B188" s="263" t="s">
        <v>808</v>
      </c>
      <c r="C188" s="264">
        <v>0</v>
      </c>
      <c r="D188" s="324">
        <v>0</v>
      </c>
    </row>
    <row r="189" spans="2:4" ht="18.75" customHeight="1" x14ac:dyDescent="0.2">
      <c r="B189" s="263" t="s">
        <v>223</v>
      </c>
      <c r="C189" s="142"/>
      <c r="D189" s="143"/>
    </row>
    <row r="190" spans="2:4" ht="18.75" customHeight="1" x14ac:dyDescent="0.2">
      <c r="B190" s="141" t="s">
        <v>968</v>
      </c>
      <c r="C190" s="142">
        <f>'Annexure BS'!C130</f>
        <v>2470312.2800000003</v>
      </c>
      <c r="D190" s="143">
        <f>'Annexure BS'!D130</f>
        <v>2025364.25</v>
      </c>
    </row>
    <row r="191" spans="2:4" ht="18.75" customHeight="1" x14ac:dyDescent="0.2">
      <c r="B191" s="144"/>
      <c r="C191" s="146"/>
      <c r="D191" s="147"/>
    </row>
    <row r="192" spans="2:4" ht="18.75" customHeight="1" x14ac:dyDescent="0.2">
      <c r="B192" s="386" t="s">
        <v>201</v>
      </c>
      <c r="C192" s="388">
        <f>(SUM(C190:C191))</f>
        <v>2470312.2800000003</v>
      </c>
      <c r="D192" s="388">
        <f>SUM(D190:D191)</f>
        <v>2025364.25</v>
      </c>
    </row>
    <row r="264" spans="2:2" ht="18.75" customHeight="1" x14ac:dyDescent="0.2">
      <c r="B264" s="325"/>
    </row>
  </sheetData>
  <mergeCells count="21">
    <mergeCell ref="B173:D173"/>
    <mergeCell ref="B33:G33"/>
    <mergeCell ref="B157:B158"/>
    <mergeCell ref="C157:F157"/>
    <mergeCell ref="G157:J157"/>
    <mergeCell ref="K157:L157"/>
    <mergeCell ref="F36:G36"/>
    <mergeCell ref="B36:B37"/>
    <mergeCell ref="C36:C37"/>
    <mergeCell ref="B32:D32"/>
    <mergeCell ref="B58:D58"/>
    <mergeCell ref="B56:D56"/>
    <mergeCell ref="B54:D54"/>
    <mergeCell ref="B55:D55"/>
    <mergeCell ref="B46:D46"/>
    <mergeCell ref="B47:D47"/>
    <mergeCell ref="B48:D48"/>
    <mergeCell ref="B50:D50"/>
    <mergeCell ref="B49:D49"/>
    <mergeCell ref="B57:D57"/>
    <mergeCell ref="D36:E36"/>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1"/>
  <sheetViews>
    <sheetView showGridLines="0" topLeftCell="A57" zoomScaleNormal="100" workbookViewId="0">
      <selection activeCell="D73" sqref="D73"/>
    </sheetView>
  </sheetViews>
  <sheetFormatPr defaultColWidth="9.28515625" defaultRowHeight="18.75" customHeight="1" x14ac:dyDescent="0.2"/>
  <cols>
    <col min="1" max="1" width="9.28515625" style="136"/>
    <col min="2" max="2" width="50.5703125" style="136" customWidth="1"/>
    <col min="3" max="3" width="25.5703125" style="322" customWidth="1"/>
    <col min="4" max="4" width="25.5703125" style="136" customWidth="1"/>
    <col min="5" max="5" width="21.42578125" style="136" customWidth="1"/>
    <col min="6" max="6" width="20.5703125" style="136" customWidth="1"/>
    <col min="7" max="16384" width="9.28515625" style="136"/>
  </cols>
  <sheetData>
    <row r="1" spans="2:4" ht="18.75" customHeight="1" x14ac:dyDescent="0.2">
      <c r="B1" s="459" t="s">
        <v>1027</v>
      </c>
      <c r="C1" s="488"/>
      <c r="D1" s="135"/>
    </row>
    <row r="2" spans="2:4" ht="18.75" customHeight="1" x14ac:dyDescent="0.2">
      <c r="B2" s="137" t="s">
        <v>1028</v>
      </c>
    </row>
    <row r="3" spans="2:4" ht="18.75" customHeight="1" x14ac:dyDescent="0.2">
      <c r="B3" s="137" t="s">
        <v>927</v>
      </c>
    </row>
    <row r="4" spans="2:4" ht="18.75" customHeight="1" x14ac:dyDescent="0.2">
      <c r="B4" s="137" t="str">
        <f>'Balance Sheet Notes'!B4</f>
        <v>Notes forming part of the Financial Statements for the Year ended 31 March 2026</v>
      </c>
    </row>
    <row r="6" spans="2:4" ht="18.75" customHeight="1" x14ac:dyDescent="0.2">
      <c r="B6" s="137" t="str">
        <f>IF(ISBLANK('Profit and Loss'!C9), "", "Note number: "&amp; 'Profit and Loss'!C9)</f>
        <v>Note number: 13</v>
      </c>
      <c r="D6" s="138" t="str">
        <f>'Master Sheet'!$C$5</f>
        <v>Amount in ₹.</v>
      </c>
    </row>
    <row r="7" spans="2:4" ht="18.75" customHeight="1" x14ac:dyDescent="0.2">
      <c r="B7" s="139" t="s">
        <v>228</v>
      </c>
      <c r="C7" s="489"/>
      <c r="D7" s="139"/>
    </row>
    <row r="8" spans="2:4" ht="25.5" x14ac:dyDescent="0.2">
      <c r="B8" s="140" t="s">
        <v>53</v>
      </c>
      <c r="C8" s="490" t="s">
        <v>1000</v>
      </c>
      <c r="D8" s="140" t="s">
        <v>871</v>
      </c>
    </row>
    <row r="9" spans="2:4" ht="18.75" customHeight="1" x14ac:dyDescent="0.2">
      <c r="B9" s="141" t="s">
        <v>229</v>
      </c>
      <c r="C9" s="491">
        <v>0</v>
      </c>
      <c r="D9" s="143">
        <v>0</v>
      </c>
    </row>
    <row r="10" spans="2:4" ht="18.75" customHeight="1" x14ac:dyDescent="0.2">
      <c r="B10" s="141" t="s">
        <v>772</v>
      </c>
      <c r="C10" s="491">
        <f>+'Annexure PnL'!C9</f>
        <v>43300000</v>
      </c>
      <c r="D10" s="143">
        <f>+'Annexure PnL'!D9</f>
        <v>1578059</v>
      </c>
    </row>
    <row r="11" spans="2:4" ht="18.75" customHeight="1" x14ac:dyDescent="0.2">
      <c r="B11" s="141" t="s">
        <v>231</v>
      </c>
      <c r="C11" s="491">
        <v>0</v>
      </c>
      <c r="D11" s="143">
        <v>0</v>
      </c>
    </row>
    <row r="12" spans="2:4" ht="18.75" customHeight="1" x14ac:dyDescent="0.2">
      <c r="B12" s="386" t="s">
        <v>201</v>
      </c>
      <c r="C12" s="492">
        <f>'Profit and Loss Notes'!C9+'Profit and Loss Notes'!C10+'Profit and Loss Notes'!C11</f>
        <v>43300000</v>
      </c>
      <c r="D12" s="388">
        <f>'Profit and Loss Notes'!D9+'Profit and Loss Notes'!D10+'Profit and Loss Notes'!D11</f>
        <v>1578059</v>
      </c>
    </row>
    <row r="14" spans="2:4" ht="18.75" customHeight="1" x14ac:dyDescent="0.2">
      <c r="B14" s="137" t="str">
        <f>IF(ISBLANK('Profit and Loss'!C10), "", "Note number: "&amp; 'Profit and Loss'!C10)</f>
        <v>Note number: 14</v>
      </c>
      <c r="D14" s="138" t="str">
        <f>'Master Sheet'!$C$5</f>
        <v>Amount in ₹.</v>
      </c>
    </row>
    <row r="15" spans="2:4" ht="18.75" customHeight="1" x14ac:dyDescent="0.2">
      <c r="B15" s="139" t="s">
        <v>232</v>
      </c>
      <c r="C15" s="489"/>
      <c r="D15" s="139"/>
    </row>
    <row r="16" spans="2:4" ht="27.75" customHeight="1" x14ac:dyDescent="0.2">
      <c r="B16" s="140" t="s">
        <v>53</v>
      </c>
      <c r="C16" s="490" t="s">
        <v>1000</v>
      </c>
      <c r="D16" s="140" t="s">
        <v>871</v>
      </c>
    </row>
    <row r="17" spans="2:5" ht="17.25" customHeight="1" x14ac:dyDescent="0.2">
      <c r="B17" s="623" t="s">
        <v>935</v>
      </c>
      <c r="C17" s="491">
        <f>'Annexure PnL'!C15</f>
        <v>0</v>
      </c>
      <c r="D17" s="142">
        <f>'Annexure PnL'!D15</f>
        <v>4747.33</v>
      </c>
    </row>
    <row r="18" spans="2:5" ht="18.75" customHeight="1" x14ac:dyDescent="0.2">
      <c r="B18" s="623" t="s">
        <v>936</v>
      </c>
      <c r="C18" s="491">
        <f>'Annexure PnL'!C22</f>
        <v>730213.74</v>
      </c>
      <c r="D18" s="142">
        <f>'Annexure PnL'!D22</f>
        <v>23550</v>
      </c>
      <c r="E18" s="137"/>
    </row>
    <row r="19" spans="2:5" ht="18.75" customHeight="1" x14ac:dyDescent="0.2">
      <c r="B19" s="495" t="s">
        <v>934</v>
      </c>
      <c r="C19" s="493">
        <f>'Annexure PnL'!C26</f>
        <v>166630</v>
      </c>
      <c r="D19" s="264">
        <f>'Annexure PnL'!D26</f>
        <v>463966</v>
      </c>
    </row>
    <row r="20" spans="2:5" ht="18.75" customHeight="1" x14ac:dyDescent="0.2">
      <c r="B20" s="386" t="s">
        <v>201</v>
      </c>
      <c r="C20" s="492">
        <f>SUM(C17:C19)</f>
        <v>896843.74</v>
      </c>
      <c r="D20" s="388">
        <f>SUM(D17:D19)</f>
        <v>492263.33</v>
      </c>
    </row>
    <row r="21" spans="2:5" ht="18.75" customHeight="1" x14ac:dyDescent="0.2">
      <c r="B21" s="148"/>
      <c r="C21" s="494"/>
      <c r="D21" s="149"/>
    </row>
    <row r="22" spans="2:5" ht="18.75" customHeight="1" x14ac:dyDescent="0.2">
      <c r="B22" s="137" t="str">
        <f>IF(ISBLANK('Profit and Loss'!C16), "", "Note number: "&amp; 'Profit and Loss'!C16)</f>
        <v>Note number: 15</v>
      </c>
      <c r="D22" s="138" t="str">
        <f>'Master Sheet'!$C$5</f>
        <v>Amount in ₹.</v>
      </c>
    </row>
    <row r="23" spans="2:5" ht="18.75" customHeight="1" x14ac:dyDescent="0.2">
      <c r="B23" s="139" t="s">
        <v>961</v>
      </c>
      <c r="C23" s="489"/>
      <c r="D23" s="139"/>
    </row>
    <row r="24" spans="2:5" ht="18.75" customHeight="1" x14ac:dyDescent="0.2">
      <c r="B24" s="140" t="s">
        <v>53</v>
      </c>
      <c r="C24" s="490" t="s">
        <v>1000</v>
      </c>
      <c r="D24" s="140" t="s">
        <v>871</v>
      </c>
    </row>
    <row r="25" spans="2:5" ht="18.75" customHeight="1" x14ac:dyDescent="0.2">
      <c r="B25" s="141" t="s">
        <v>236</v>
      </c>
      <c r="C25" s="491">
        <f>'Annexure PnL'!C38</f>
        <v>320000</v>
      </c>
      <c r="D25" s="143">
        <f>+'Annexure PnL'!D39</f>
        <v>480000</v>
      </c>
    </row>
    <row r="26" spans="2:5" ht="18.75" customHeight="1" x14ac:dyDescent="0.2">
      <c r="B26" s="141" t="s">
        <v>683</v>
      </c>
      <c r="C26" s="491">
        <f>+'Annexure PnL'!C35</f>
        <v>0</v>
      </c>
      <c r="D26" s="143">
        <f>'Annexure PnL'!D35</f>
        <v>60000</v>
      </c>
    </row>
    <row r="27" spans="2:5" ht="18.75" customHeight="1" x14ac:dyDescent="0.2">
      <c r="B27" s="144"/>
      <c r="C27" s="264"/>
      <c r="D27" s="147"/>
    </row>
    <row r="28" spans="2:5" ht="18.75" customHeight="1" x14ac:dyDescent="0.2">
      <c r="B28" s="386" t="s">
        <v>201</v>
      </c>
      <c r="C28" s="492">
        <f>SUM(C25:C27)</f>
        <v>320000</v>
      </c>
      <c r="D28" s="388">
        <f>SUM(D25:D27)</f>
        <v>540000</v>
      </c>
    </row>
    <row r="29" spans="2:5" ht="18.75" customHeight="1" x14ac:dyDescent="0.2">
      <c r="B29" s="148"/>
      <c r="C29" s="494"/>
      <c r="D29" s="149"/>
    </row>
    <row r="30" spans="2:5" ht="18.75" customHeight="1" x14ac:dyDescent="0.2">
      <c r="B30" s="137" t="str">
        <f>IF(ISBLANK('Profit and Loss'!C17),"","Note number:"&amp;'Profit and Loss'!C17)</f>
        <v>Note number:16</v>
      </c>
      <c r="D30" s="138" t="str">
        <f>'Master Sheet'!$C$5</f>
        <v>Amount in ₹.</v>
      </c>
    </row>
    <row r="31" spans="2:5" ht="18.75" customHeight="1" x14ac:dyDescent="0.2">
      <c r="B31" s="139" t="s">
        <v>904</v>
      </c>
      <c r="C31" s="489"/>
      <c r="D31" s="139"/>
    </row>
    <row r="32" spans="2:5" ht="30.75" customHeight="1" x14ac:dyDescent="0.2">
      <c r="B32" s="140" t="s">
        <v>53</v>
      </c>
      <c r="C32" s="490" t="s">
        <v>1000</v>
      </c>
      <c r="D32" s="140" t="s">
        <v>871</v>
      </c>
    </row>
    <row r="33" spans="2:5" ht="18.75" customHeight="1" x14ac:dyDescent="0.2">
      <c r="B33" s="141" t="s">
        <v>902</v>
      </c>
      <c r="C33" s="491">
        <f>0</f>
        <v>0</v>
      </c>
      <c r="D33" s="142">
        <f>'Annexure PnL'!D45</f>
        <v>263350</v>
      </c>
    </row>
    <row r="34" spans="2:5" ht="18.75" customHeight="1" x14ac:dyDescent="0.2">
      <c r="B34" s="386" t="s">
        <v>201</v>
      </c>
      <c r="C34" s="492">
        <f>'Profit and Loss Notes'!C33</f>
        <v>0</v>
      </c>
      <c r="D34" s="388">
        <f>'Profit and Loss Notes'!D33</f>
        <v>263350</v>
      </c>
    </row>
    <row r="36" spans="2:5" ht="18.75" customHeight="1" x14ac:dyDescent="0.2">
      <c r="B36" s="137" t="str">
        <f>IF(ISBLANK('Profit and Loss'!C18), "", "Note number: "&amp; 'Profit and Loss'!C18)</f>
        <v>Note number: 17</v>
      </c>
      <c r="D36" s="138" t="str">
        <f>'Master Sheet'!$C$5</f>
        <v>Amount in ₹.</v>
      </c>
    </row>
    <row r="37" spans="2:5" ht="18.75" customHeight="1" x14ac:dyDescent="0.2">
      <c r="B37" s="139" t="s">
        <v>962</v>
      </c>
      <c r="C37" s="489"/>
      <c r="D37" s="139"/>
    </row>
    <row r="38" spans="2:5" ht="25.5" customHeight="1" x14ac:dyDescent="0.2">
      <c r="B38" s="140" t="s">
        <v>53</v>
      </c>
      <c r="C38" s="490" t="s">
        <v>1000</v>
      </c>
      <c r="D38" s="140" t="s">
        <v>871</v>
      </c>
    </row>
    <row r="39" spans="2:5" ht="18.75" customHeight="1" x14ac:dyDescent="0.2">
      <c r="B39" s="141" t="s">
        <v>240</v>
      </c>
      <c r="C39" s="491">
        <f>'Annexure PnL'!C51</f>
        <v>0</v>
      </c>
      <c r="D39" s="143">
        <f>+'Annexure PnL'!D51</f>
        <v>15914</v>
      </c>
    </row>
    <row r="40" spans="2:5" ht="18.75" customHeight="1" x14ac:dyDescent="0.2">
      <c r="B40" s="144"/>
      <c r="C40" s="264"/>
      <c r="D40" s="147"/>
    </row>
    <row r="41" spans="2:5" ht="18.75" customHeight="1" x14ac:dyDescent="0.2">
      <c r="B41" s="386" t="s">
        <v>201</v>
      </c>
      <c r="C41" s="492">
        <f>'Profit and Loss Notes'!C39</f>
        <v>0</v>
      </c>
      <c r="D41" s="388">
        <f>'Profit and Loss Notes'!D39</f>
        <v>15914</v>
      </c>
    </row>
    <row r="43" spans="2:5" ht="18.75" customHeight="1" x14ac:dyDescent="0.2">
      <c r="B43" s="137" t="str">
        <f>IF(ISBLANK('Profit and Loss'!C19), "", "Note number: "&amp; 'Profit and Loss'!C19)</f>
        <v>Note number: 18</v>
      </c>
      <c r="D43" s="138" t="str">
        <f>'Master Sheet'!$C$5</f>
        <v>Amount in ₹.</v>
      </c>
    </row>
    <row r="44" spans="2:5" ht="18.75" customHeight="1" x14ac:dyDescent="0.2">
      <c r="B44" s="139" t="s">
        <v>241</v>
      </c>
      <c r="C44" s="489"/>
      <c r="D44" s="139"/>
    </row>
    <row r="45" spans="2:5" ht="25.5" x14ac:dyDescent="0.2">
      <c r="B45" s="140" t="s">
        <v>53</v>
      </c>
      <c r="C45" s="490" t="s">
        <v>1000</v>
      </c>
      <c r="D45" s="140" t="s">
        <v>871</v>
      </c>
    </row>
    <row r="46" spans="2:5" ht="18.75" customHeight="1" x14ac:dyDescent="0.2">
      <c r="B46" s="625" t="s">
        <v>322</v>
      </c>
      <c r="C46" s="440">
        <f>'Annexure PnL'!C56</f>
        <v>46387.17</v>
      </c>
      <c r="D46" s="143">
        <f>'Annexure PnL'!D56</f>
        <v>35615.74</v>
      </c>
      <c r="E46" s="150"/>
    </row>
    <row r="47" spans="2:5" ht="18.75" customHeight="1" x14ac:dyDescent="0.2">
      <c r="B47" s="625" t="s">
        <v>323</v>
      </c>
      <c r="C47" s="440">
        <f>'Annexure PnL'!C57</f>
        <v>6000</v>
      </c>
      <c r="D47" s="143">
        <f>'Annexure PnL'!D57</f>
        <v>6000</v>
      </c>
      <c r="E47" s="150"/>
    </row>
    <row r="48" spans="2:5" ht="18.75" customHeight="1" x14ac:dyDescent="0.2">
      <c r="B48" s="625" t="s">
        <v>324</v>
      </c>
      <c r="C48" s="440">
        <f>'Annexure PnL'!C63</f>
        <v>0</v>
      </c>
      <c r="D48" s="143">
        <f>'Annexure PnL'!D63</f>
        <v>27508</v>
      </c>
    </row>
    <row r="49" spans="2:6" ht="18.75" customHeight="1" x14ac:dyDescent="0.2">
      <c r="B49" s="625" t="s">
        <v>325</v>
      </c>
      <c r="C49" s="440">
        <f>'Annexure PnL'!C64</f>
        <v>0</v>
      </c>
      <c r="D49" s="567">
        <f>'Annexure PnL'!D64</f>
        <v>-5455</v>
      </c>
    </row>
    <row r="50" spans="2:6" ht="18.75" customHeight="1" x14ac:dyDescent="0.2">
      <c r="B50" s="625" t="s">
        <v>1021</v>
      </c>
      <c r="C50" s="440">
        <f>'Annexure PnL'!C66</f>
        <v>463881</v>
      </c>
      <c r="D50" s="143">
        <f>'Annexure PnL'!D66</f>
        <v>42768</v>
      </c>
    </row>
    <row r="51" spans="2:6" ht="18.75" customHeight="1" x14ac:dyDescent="0.2">
      <c r="B51" s="625" t="s">
        <v>916</v>
      </c>
      <c r="C51" s="440">
        <f>'Annexure PnL'!C67</f>
        <v>0</v>
      </c>
      <c r="D51" s="143">
        <f>'Annexure PnL'!D67</f>
        <v>4500</v>
      </c>
    </row>
    <row r="52" spans="2:6" ht="18.75" customHeight="1" x14ac:dyDescent="0.2">
      <c r="B52" s="625" t="s">
        <v>917</v>
      </c>
      <c r="C52" s="440">
        <f>'Annexure PnL'!C72</f>
        <v>9431.74</v>
      </c>
      <c r="D52" s="143">
        <f>'Annexure PnL'!D72</f>
        <v>13101.98</v>
      </c>
      <c r="E52" s="322"/>
      <c r="F52" s="152"/>
    </row>
    <row r="53" spans="2:6" ht="18.75" customHeight="1" x14ac:dyDescent="0.2">
      <c r="B53" s="625" t="s">
        <v>327</v>
      </c>
      <c r="C53" s="440">
        <f>+'Annexure PnL'!C76</f>
        <v>0</v>
      </c>
      <c r="D53" s="143">
        <f>'Annexure PnL'!D76</f>
        <v>500</v>
      </c>
    </row>
    <row r="54" spans="2:6" ht="18.75" customHeight="1" x14ac:dyDescent="0.2">
      <c r="B54" s="625" t="s">
        <v>873</v>
      </c>
      <c r="C54" s="440">
        <f>'Annexure PnL'!C78</f>
        <v>10000</v>
      </c>
      <c r="D54" s="143">
        <f>'Annexure PnL'!D78</f>
        <v>252397.33</v>
      </c>
    </row>
    <row r="55" spans="2:6" ht="18.75" customHeight="1" x14ac:dyDescent="0.2">
      <c r="B55" s="625" t="s">
        <v>328</v>
      </c>
      <c r="C55" s="440">
        <f>'Annexure PnL'!C79</f>
        <v>206000</v>
      </c>
      <c r="D55" s="143">
        <f>'Annexure PnL'!D79</f>
        <v>151000</v>
      </c>
    </row>
    <row r="56" spans="2:6" ht="18.75" customHeight="1" x14ac:dyDescent="0.2">
      <c r="B56" s="625" t="s">
        <v>329</v>
      </c>
      <c r="C56" s="440">
        <f>'Annexure PnL'!C80</f>
        <v>1854</v>
      </c>
      <c r="D56" s="143">
        <f>'Annexure PnL'!D80</f>
        <v>2884</v>
      </c>
    </row>
    <row r="57" spans="2:6" ht="18.75" customHeight="1" x14ac:dyDescent="0.2">
      <c r="B57" s="625" t="s">
        <v>918</v>
      </c>
      <c r="C57" s="440">
        <f>'Annexure PnL'!C118</f>
        <v>125000</v>
      </c>
      <c r="D57" s="143">
        <f>'Annexure PnL'!D118</f>
        <v>103000</v>
      </c>
    </row>
    <row r="58" spans="2:6" ht="18.75" customHeight="1" x14ac:dyDescent="0.2">
      <c r="B58" s="625" t="s">
        <v>919</v>
      </c>
      <c r="C58" s="440">
        <f>'Annexure PnL'!C114</f>
        <v>0</v>
      </c>
      <c r="D58" s="143">
        <f>'Annexure PnL'!D87</f>
        <v>280</v>
      </c>
    </row>
    <row r="59" spans="2:6" ht="18.75" customHeight="1" x14ac:dyDescent="0.2">
      <c r="B59" s="625" t="s">
        <v>920</v>
      </c>
      <c r="C59" s="440">
        <f>'Annexure PnL'!C91</f>
        <v>6000</v>
      </c>
      <c r="D59" s="143">
        <f>'Annexure PnL'!D91</f>
        <v>8000</v>
      </c>
    </row>
    <row r="60" spans="2:6" ht="18.75" customHeight="1" x14ac:dyDescent="0.2">
      <c r="B60" s="625" t="s">
        <v>921</v>
      </c>
      <c r="C60" s="440">
        <f>'Annexure PnL'!C96</f>
        <v>30575806</v>
      </c>
      <c r="D60" s="143">
        <f>'Annexure PnL'!D96</f>
        <v>0</v>
      </c>
    </row>
    <row r="61" spans="2:6" ht="18.75" customHeight="1" x14ac:dyDescent="0.2">
      <c r="B61" s="625" t="s">
        <v>1078</v>
      </c>
      <c r="C61" s="440">
        <f>'Annexure PnL'!C68</f>
        <v>8.3600000000000012</v>
      </c>
      <c r="D61" s="440">
        <f>'Annexure PnL'!D68</f>
        <v>-0.55000000000000004</v>
      </c>
    </row>
    <row r="62" spans="2:6" ht="18.75" customHeight="1" x14ac:dyDescent="0.2">
      <c r="B62" s="625" t="s">
        <v>1077</v>
      </c>
      <c r="C62" s="440">
        <f>'Annexure PnL'!C81</f>
        <v>1000</v>
      </c>
      <c r="D62" s="143">
        <v>0</v>
      </c>
    </row>
    <row r="63" spans="2:6" ht="18.75" customHeight="1" x14ac:dyDescent="0.2">
      <c r="B63" s="625" t="s">
        <v>1024</v>
      </c>
      <c r="C63" s="440">
        <f>'Annexure PnL'!C82</f>
        <v>60</v>
      </c>
      <c r="D63" s="143">
        <v>0</v>
      </c>
    </row>
    <row r="64" spans="2:6" ht="18.75" customHeight="1" x14ac:dyDescent="0.2">
      <c r="B64" s="625" t="s">
        <v>922</v>
      </c>
      <c r="C64" s="440">
        <f>'Annexure PnL'!C95</f>
        <v>141600</v>
      </c>
      <c r="D64" s="143">
        <f>'Annexure PnL'!D95</f>
        <v>141600</v>
      </c>
    </row>
    <row r="65" spans="2:5" ht="18.75" customHeight="1" x14ac:dyDescent="0.2">
      <c r="B65" s="625" t="s">
        <v>923</v>
      </c>
      <c r="C65" s="440">
        <f>'Annexure PnL'!C100</f>
        <v>4387</v>
      </c>
      <c r="D65" s="143">
        <f>'Annexure PnL'!D100</f>
        <v>0</v>
      </c>
    </row>
    <row r="66" spans="2:5" ht="18.75" customHeight="1" x14ac:dyDescent="0.2">
      <c r="B66" s="625" t="s">
        <v>924</v>
      </c>
      <c r="C66" s="440">
        <f>'Annexure PnL'!C104</f>
        <v>194</v>
      </c>
      <c r="D66" s="143">
        <f>'Annexure PnL'!D104</f>
        <v>163264</v>
      </c>
    </row>
    <row r="67" spans="2:5" ht="18.75" customHeight="1" x14ac:dyDescent="0.2">
      <c r="B67" s="625" t="s">
        <v>925</v>
      </c>
      <c r="C67" s="440">
        <f>'Annexure PnL'!C114</f>
        <v>0</v>
      </c>
      <c r="D67" s="143">
        <f>'Annexure PnL'!D114</f>
        <v>875</v>
      </c>
    </row>
    <row r="68" spans="2:5" ht="18.75" customHeight="1" x14ac:dyDescent="0.2">
      <c r="B68" s="625" t="s">
        <v>1080</v>
      </c>
      <c r="C68" s="373">
        <f>'Annexure PnL'!C109</f>
        <v>3593663.96</v>
      </c>
      <c r="D68" s="373">
        <f>'Annexure PnL'!D109</f>
        <v>320849.63</v>
      </c>
    </row>
    <row r="69" spans="2:5" ht="18.75" customHeight="1" x14ac:dyDescent="0.2">
      <c r="B69" s="386" t="s">
        <v>201</v>
      </c>
      <c r="C69" s="492">
        <f>SUM(C46:C68)</f>
        <v>35191273.229999997</v>
      </c>
      <c r="D69" s="388">
        <f>SUM(D46:D68)</f>
        <v>1268688.1299999999</v>
      </c>
      <c r="E69" s="152"/>
    </row>
    <row r="71" spans="2:5" ht="18.75" customHeight="1" x14ac:dyDescent="0.2">
      <c r="B71" s="137" t="s">
        <v>1074</v>
      </c>
      <c r="D71" s="138" t="str">
        <f>'Master Sheet'!$C$5</f>
        <v>Amount in ₹.</v>
      </c>
    </row>
    <row r="72" spans="2:5" ht="18.75" customHeight="1" x14ac:dyDescent="0.2">
      <c r="B72" s="139" t="s">
        <v>1083</v>
      </c>
      <c r="C72" s="489"/>
      <c r="D72" s="139"/>
    </row>
    <row r="73" spans="2:5" ht="28.5" customHeight="1" x14ac:dyDescent="0.2">
      <c r="B73" s="140" t="s">
        <v>53</v>
      </c>
      <c r="C73" s="490" t="s">
        <v>1000</v>
      </c>
      <c r="D73" s="140" t="s">
        <v>871</v>
      </c>
    </row>
    <row r="74" spans="2:5" ht="18.75" customHeight="1" x14ac:dyDescent="0.2">
      <c r="B74" s="141" t="s">
        <v>1084</v>
      </c>
      <c r="C74" s="491">
        <f>'Profit and Loss'!D29</f>
        <v>1255554</v>
      </c>
      <c r="D74" s="143">
        <v>0</v>
      </c>
    </row>
    <row r="75" spans="2:5" ht="18.75" customHeight="1" x14ac:dyDescent="0.2">
      <c r="B75" s="386" t="s">
        <v>201</v>
      </c>
      <c r="C75" s="492">
        <f>+C74</f>
        <v>1255554</v>
      </c>
      <c r="D75" s="388">
        <f>+D74</f>
        <v>0</v>
      </c>
    </row>
    <row r="77" spans="2:5" ht="18.75" customHeight="1" x14ac:dyDescent="0.2">
      <c r="B77" s="137" t="s">
        <v>1082</v>
      </c>
      <c r="D77" s="138" t="str">
        <f>'Master Sheet'!$C$5</f>
        <v>Amount in ₹.</v>
      </c>
    </row>
    <row r="78" spans="2:5" ht="18.75" customHeight="1" x14ac:dyDescent="0.2">
      <c r="B78" s="139" t="s">
        <v>811</v>
      </c>
      <c r="C78" s="489"/>
      <c r="D78" s="139"/>
    </row>
    <row r="79" spans="2:5" ht="28.5" customHeight="1" x14ac:dyDescent="0.2">
      <c r="B79" s="140" t="s">
        <v>53</v>
      </c>
      <c r="C79" s="490" t="s">
        <v>1000</v>
      </c>
      <c r="D79" s="140" t="s">
        <v>871</v>
      </c>
    </row>
    <row r="80" spans="2:5" ht="18.75" customHeight="1" x14ac:dyDescent="0.2">
      <c r="B80" s="141" t="s">
        <v>1081</v>
      </c>
      <c r="C80" s="491">
        <f>-'Deferred Tax'!G23</f>
        <v>1289</v>
      </c>
      <c r="D80" s="143">
        <v>1856</v>
      </c>
    </row>
    <row r="81" spans="2:6" ht="18.75" customHeight="1" x14ac:dyDescent="0.2">
      <c r="B81" s="386" t="s">
        <v>201</v>
      </c>
      <c r="C81" s="492">
        <f>+C80</f>
        <v>1289</v>
      </c>
      <c r="D81" s="388">
        <f>+D80</f>
        <v>1856</v>
      </c>
    </row>
    <row r="83" spans="2:6" ht="18.75" customHeight="1" thickBot="1" x14ac:dyDescent="0.25">
      <c r="B83" s="137" t="s">
        <v>1085</v>
      </c>
    </row>
    <row r="84" spans="2:6" ht="18.75" customHeight="1" thickBot="1" x14ac:dyDescent="0.25">
      <c r="B84" s="685" t="s">
        <v>53</v>
      </c>
      <c r="C84" s="700" t="s">
        <v>890</v>
      </c>
      <c r="D84" s="701"/>
      <c r="E84" s="700" t="s">
        <v>891</v>
      </c>
      <c r="F84" s="701"/>
    </row>
    <row r="85" spans="2:6" ht="18.75" customHeight="1" thickBot="1" x14ac:dyDescent="0.25">
      <c r="B85" s="686"/>
      <c r="C85" s="496" t="s">
        <v>988</v>
      </c>
      <c r="D85" s="497" t="s">
        <v>869</v>
      </c>
      <c r="E85" s="498" t="s">
        <v>988</v>
      </c>
      <c r="F85" s="499" t="s">
        <v>869</v>
      </c>
    </row>
    <row r="86" spans="2:6" ht="18.75" customHeight="1" x14ac:dyDescent="0.2">
      <c r="B86" s="500"/>
      <c r="C86" s="155"/>
      <c r="D86" s="501"/>
      <c r="E86" s="153"/>
      <c r="F86" s="500"/>
    </row>
    <row r="87" spans="2:6" ht="18.75" customHeight="1" x14ac:dyDescent="0.2">
      <c r="B87" s="502" t="s">
        <v>813</v>
      </c>
      <c r="C87" s="155"/>
      <c r="D87" s="503"/>
      <c r="E87" s="154"/>
      <c r="F87" s="504"/>
    </row>
    <row r="88" spans="2:6" ht="18.75" customHeight="1" x14ac:dyDescent="0.2">
      <c r="B88" s="505" t="s">
        <v>814</v>
      </c>
      <c r="C88" s="155">
        <f>+'Profit and Loss'!D31</f>
        <v>7428727.5100000054</v>
      </c>
      <c r="D88" s="156">
        <f>+'Profit and Loss'!E31</f>
        <v>-15773.799999999814</v>
      </c>
      <c r="E88" s="157">
        <f>+'Profit and Loss'!D31</f>
        <v>7428727.5100000054</v>
      </c>
      <c r="F88" s="156">
        <f>+'Profit and Loss'!E31</f>
        <v>-15773.799999999814</v>
      </c>
    </row>
    <row r="89" spans="2:6" ht="18.75" customHeight="1" x14ac:dyDescent="0.2">
      <c r="B89" s="505" t="s">
        <v>815</v>
      </c>
      <c r="C89" s="155">
        <v>150000</v>
      </c>
      <c r="D89" s="506">
        <v>150000</v>
      </c>
      <c r="E89" s="507">
        <v>150000</v>
      </c>
      <c r="F89" s="506">
        <v>150000</v>
      </c>
    </row>
    <row r="90" spans="2:6" ht="18.75" customHeight="1" x14ac:dyDescent="0.2">
      <c r="B90" s="505" t="s">
        <v>816</v>
      </c>
      <c r="C90" s="158">
        <f>C88/C89</f>
        <v>49.524850066666701</v>
      </c>
      <c r="D90" s="159">
        <f>D88/D89</f>
        <v>-0.10515866666666543</v>
      </c>
      <c r="E90" s="159">
        <f>E88/E89</f>
        <v>49.524850066666701</v>
      </c>
      <c r="F90" s="159">
        <f>F88/F89</f>
        <v>-0.10515866666666543</v>
      </c>
    </row>
    <row r="91" spans="2:6" ht="18.75" customHeight="1" x14ac:dyDescent="0.2">
      <c r="B91" s="502" t="s">
        <v>817</v>
      </c>
      <c r="C91" s="155"/>
      <c r="D91" s="503"/>
      <c r="E91" s="157"/>
      <c r="F91" s="156"/>
    </row>
    <row r="92" spans="2:6" ht="18.75" customHeight="1" x14ac:dyDescent="0.2">
      <c r="B92" s="505" t="s">
        <v>814</v>
      </c>
      <c r="C92" s="155">
        <f>+C88</f>
        <v>7428727.5100000054</v>
      </c>
      <c r="D92" s="156">
        <f>+D88</f>
        <v>-15773.799999999814</v>
      </c>
      <c r="E92" s="157">
        <f>+E88</f>
        <v>7428727.5100000054</v>
      </c>
      <c r="F92" s="156">
        <f>+F88</f>
        <v>-15773.799999999814</v>
      </c>
    </row>
    <row r="93" spans="2:6" ht="18.75" customHeight="1" x14ac:dyDescent="0.2">
      <c r="B93" s="505" t="s">
        <v>815</v>
      </c>
      <c r="C93" s="155">
        <v>150000</v>
      </c>
      <c r="D93" s="156">
        <v>150000</v>
      </c>
      <c r="E93" s="155">
        <v>150000</v>
      </c>
      <c r="F93" s="156">
        <v>150000</v>
      </c>
    </row>
    <row r="94" spans="2:6" ht="18.75" customHeight="1" x14ac:dyDescent="0.2">
      <c r="B94" s="505" t="s">
        <v>818</v>
      </c>
      <c r="C94" s="158">
        <f>C92/C93</f>
        <v>49.524850066666701</v>
      </c>
      <c r="D94" s="159">
        <f>D92/D93</f>
        <v>-0.10515866666666543</v>
      </c>
      <c r="E94" s="159">
        <f>E92/E93</f>
        <v>49.524850066666701</v>
      </c>
      <c r="F94" s="159">
        <f>F92/F93</f>
        <v>-0.10515866666666543</v>
      </c>
    </row>
    <row r="95" spans="2:6" ht="18.75" customHeight="1" x14ac:dyDescent="0.2">
      <c r="B95" s="505"/>
      <c r="C95" s="158"/>
      <c r="D95" s="159"/>
      <c r="E95" s="160"/>
      <c r="F95" s="159"/>
    </row>
    <row r="96" spans="2:6" ht="18.75" customHeight="1" x14ac:dyDescent="0.2">
      <c r="B96" s="505" t="s">
        <v>819</v>
      </c>
      <c r="C96" s="155">
        <v>10</v>
      </c>
      <c r="D96" s="156">
        <v>10</v>
      </c>
      <c r="E96" s="157">
        <v>10</v>
      </c>
      <c r="F96" s="156">
        <v>10</v>
      </c>
    </row>
    <row r="97" spans="2:6" ht="18.75" customHeight="1" thickBot="1" x14ac:dyDescent="0.25">
      <c r="B97" s="508"/>
      <c r="C97" s="509"/>
      <c r="D97" s="510"/>
      <c r="E97" s="511"/>
      <c r="F97" s="508"/>
    </row>
    <row r="99" spans="2:6" ht="18.75" customHeight="1" x14ac:dyDescent="0.2">
      <c r="B99" s="137" t="s">
        <v>1086</v>
      </c>
    </row>
    <row r="100" spans="2:6" ht="18.75" customHeight="1" x14ac:dyDescent="0.2">
      <c r="B100" s="702" t="s">
        <v>963</v>
      </c>
      <c r="C100" s="703"/>
      <c r="D100" s="704"/>
    </row>
    <row r="101" spans="2:6" ht="27.75" customHeight="1" x14ac:dyDescent="0.2">
      <c r="B101" s="140" t="s">
        <v>53</v>
      </c>
      <c r="C101" s="490" t="s">
        <v>1000</v>
      </c>
      <c r="D101" s="140" t="s">
        <v>871</v>
      </c>
    </row>
    <row r="102" spans="2:6" ht="18.75" customHeight="1" x14ac:dyDescent="0.2">
      <c r="B102" s="141" t="s">
        <v>820</v>
      </c>
      <c r="C102" s="491">
        <f>0</f>
        <v>0</v>
      </c>
      <c r="D102" s="142">
        <f>1578059</f>
        <v>1578059</v>
      </c>
    </row>
    <row r="103" spans="2:6" ht="18.75" customHeight="1" x14ac:dyDescent="0.2">
      <c r="B103" s="144"/>
      <c r="C103" s="264"/>
      <c r="D103" s="147"/>
    </row>
    <row r="104" spans="2:6" ht="18.75" customHeight="1" x14ac:dyDescent="0.2">
      <c r="B104" s="386" t="s">
        <v>201</v>
      </c>
      <c r="C104" s="492">
        <f>+C102</f>
        <v>0</v>
      </c>
      <c r="D104" s="388">
        <f>+D102</f>
        <v>1578059</v>
      </c>
    </row>
    <row r="106" spans="2:6" ht="18.75" customHeight="1" x14ac:dyDescent="0.2">
      <c r="B106" s="137" t="s">
        <v>1087</v>
      </c>
    </row>
    <row r="107" spans="2:6" ht="18.75" customHeight="1" x14ac:dyDescent="0.2">
      <c r="B107" s="702" t="s">
        <v>1075</v>
      </c>
      <c r="C107" s="703"/>
      <c r="D107" s="704"/>
    </row>
    <row r="108" spans="2:6" ht="24" customHeight="1" x14ac:dyDescent="0.2">
      <c r="B108" s="140" t="s">
        <v>53</v>
      </c>
      <c r="C108" s="490" t="s">
        <v>1000</v>
      </c>
      <c r="D108" s="140" t="s">
        <v>871</v>
      </c>
    </row>
    <row r="109" spans="2:6" ht="18.75" customHeight="1" x14ac:dyDescent="0.2">
      <c r="B109" s="141" t="s">
        <v>1098</v>
      </c>
      <c r="C109" s="491">
        <f>'Annexure PnL'!C44</f>
        <v>3593663.96</v>
      </c>
      <c r="D109" s="142">
        <v>0</v>
      </c>
    </row>
    <row r="110" spans="2:6" ht="18.75" customHeight="1" x14ac:dyDescent="0.2">
      <c r="B110" s="144"/>
      <c r="C110" s="264"/>
      <c r="D110" s="147"/>
    </row>
    <row r="111" spans="2:6" ht="18.75" customHeight="1" x14ac:dyDescent="0.2">
      <c r="B111" s="386" t="s">
        <v>201</v>
      </c>
      <c r="C111" s="492">
        <f>+C109</f>
        <v>3593663.96</v>
      </c>
      <c r="D111" s="388">
        <f>+D109</f>
        <v>0</v>
      </c>
    </row>
  </sheetData>
  <mergeCells count="5">
    <mergeCell ref="B100:D100"/>
    <mergeCell ref="B84:B85"/>
    <mergeCell ref="C84:D84"/>
    <mergeCell ref="E84:F84"/>
    <mergeCell ref="B107:D107"/>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4"/>
  <sheetViews>
    <sheetView showGridLines="0" topLeftCell="A73" zoomScale="90" zoomScaleNormal="90" workbookViewId="0">
      <selection activeCell="F34" sqref="F34"/>
    </sheetView>
  </sheetViews>
  <sheetFormatPr defaultColWidth="8.7109375" defaultRowHeight="27" customHeight="1" x14ac:dyDescent="0.2"/>
  <cols>
    <col min="1" max="1" width="8.7109375" style="136"/>
    <col min="2" max="2" width="12.7109375" style="136" customWidth="1"/>
    <col min="3" max="3" width="21.85546875" style="136" customWidth="1"/>
    <col min="4" max="4" width="18.28515625" style="136" customWidth="1"/>
    <col min="5" max="5" width="25.42578125" style="136" customWidth="1"/>
    <col min="6" max="6" width="24.5703125" style="136" customWidth="1"/>
    <col min="7" max="7" width="23.28515625" style="136" customWidth="1"/>
    <col min="8" max="8" width="23.7109375" style="136" customWidth="1"/>
    <col min="9" max="9" width="16.85546875" style="221" bestFit="1" customWidth="1"/>
    <col min="10" max="10" width="29.42578125" style="136" customWidth="1"/>
    <col min="11" max="11" width="26.5703125" style="136" bestFit="1" customWidth="1"/>
    <col min="12" max="12" width="29" style="136" bestFit="1" customWidth="1"/>
    <col min="13" max="16384" width="8.7109375" style="136"/>
  </cols>
  <sheetData>
    <row r="1" spans="2:7" ht="27" customHeight="1" x14ac:dyDescent="0.2">
      <c r="B1" s="459" t="s">
        <v>1027</v>
      </c>
    </row>
    <row r="2" spans="2:7" ht="12.75" x14ac:dyDescent="0.2">
      <c r="B2" s="137" t="s">
        <v>1028</v>
      </c>
    </row>
    <row r="3" spans="2:7" ht="12.75" x14ac:dyDescent="0.2">
      <c r="B3" s="137" t="s">
        <v>927</v>
      </c>
    </row>
    <row r="4" spans="2:7" ht="27" customHeight="1" x14ac:dyDescent="0.2">
      <c r="B4" s="137" t="str">
        <f>'Profit and Loss Notes'!B4</f>
        <v>Notes forming part of the Financial Statements for the Year ended 31 March 2026</v>
      </c>
    </row>
    <row r="5" spans="2:7" ht="12.75" x14ac:dyDescent="0.2"/>
    <row r="6" spans="2:7" ht="15.75" customHeight="1" x14ac:dyDescent="0.2">
      <c r="B6" s="219" t="s">
        <v>1088</v>
      </c>
      <c r="C6" s="219"/>
      <c r="D6" s="219"/>
      <c r="E6" s="219"/>
      <c r="F6" s="220"/>
      <c r="G6" s="220"/>
    </row>
    <row r="7" spans="2:7" ht="27" customHeight="1" x14ac:dyDescent="0.2">
      <c r="B7" s="220"/>
      <c r="C7" s="220"/>
      <c r="D7" s="220"/>
      <c r="E7" s="220"/>
      <c r="F7" s="220"/>
      <c r="G7" s="220"/>
    </row>
    <row r="8" spans="2:7" ht="12.75" x14ac:dyDescent="0.2">
      <c r="B8" s="219" t="s">
        <v>1089</v>
      </c>
      <c r="C8" s="219"/>
      <c r="D8" s="219"/>
      <c r="E8" s="219"/>
      <c r="F8" s="220"/>
      <c r="G8" s="220"/>
    </row>
    <row r="9" spans="2:7" ht="13.5" thickBot="1" x14ac:dyDescent="0.25">
      <c r="B9" s="220"/>
      <c r="C9" s="220"/>
      <c r="D9" s="220"/>
      <c r="E9" s="220"/>
      <c r="F9" s="220"/>
      <c r="G9" s="220"/>
    </row>
    <row r="10" spans="2:7" ht="27" customHeight="1" thickBot="1" x14ac:dyDescent="0.25">
      <c r="B10" s="222" t="s">
        <v>699</v>
      </c>
      <c r="C10" s="739" t="s">
        <v>700</v>
      </c>
      <c r="D10" s="740"/>
      <c r="E10" s="741"/>
      <c r="F10" s="739" t="s">
        <v>701</v>
      </c>
      <c r="G10" s="742"/>
    </row>
    <row r="11" spans="2:7" ht="12.75" x14ac:dyDescent="0.2">
      <c r="B11" s="223">
        <v>1</v>
      </c>
      <c r="C11" s="750" t="s">
        <v>702</v>
      </c>
      <c r="D11" s="751"/>
      <c r="E11" s="752"/>
      <c r="F11" s="746" t="s">
        <v>703</v>
      </c>
      <c r="G11" s="747"/>
    </row>
    <row r="12" spans="2:7" ht="12.75" x14ac:dyDescent="0.2">
      <c r="B12" s="223">
        <v>2</v>
      </c>
      <c r="C12" s="750" t="s">
        <v>692</v>
      </c>
      <c r="D12" s="751"/>
      <c r="E12" s="752"/>
      <c r="F12" s="746" t="s">
        <v>704</v>
      </c>
      <c r="G12" s="747"/>
    </row>
    <row r="13" spans="2:7" ht="12.75" x14ac:dyDescent="0.2">
      <c r="B13" s="223">
        <v>3</v>
      </c>
      <c r="C13" s="750" t="s">
        <v>705</v>
      </c>
      <c r="D13" s="751"/>
      <c r="E13" s="752"/>
      <c r="F13" s="746" t="s">
        <v>706</v>
      </c>
      <c r="G13" s="747"/>
    </row>
    <row r="14" spans="2:7" ht="12.75" x14ac:dyDescent="0.2">
      <c r="B14" s="224">
        <v>4</v>
      </c>
      <c r="C14" s="743" t="s">
        <v>770</v>
      </c>
      <c r="D14" s="744"/>
      <c r="E14" s="745"/>
      <c r="F14" s="746" t="s">
        <v>771</v>
      </c>
      <c r="G14" s="747"/>
    </row>
    <row r="15" spans="2:7" ht="13.5" thickBot="1" x14ac:dyDescent="0.25">
      <c r="B15" s="225">
        <v>5</v>
      </c>
      <c r="C15" s="753" t="s">
        <v>809</v>
      </c>
      <c r="D15" s="754"/>
      <c r="E15" s="755"/>
      <c r="F15" s="756" t="s">
        <v>771</v>
      </c>
      <c r="G15" s="757"/>
    </row>
    <row r="16" spans="2:7" ht="12.75" x14ac:dyDescent="0.2">
      <c r="B16" s="220"/>
      <c r="C16" s="220"/>
      <c r="D16" s="220"/>
      <c r="E16" s="220"/>
      <c r="F16" s="226"/>
      <c r="G16" s="226"/>
    </row>
    <row r="17" spans="2:9" ht="12.75" x14ac:dyDescent="0.2">
      <c r="B17" s="219" t="s">
        <v>707</v>
      </c>
      <c r="C17" s="219"/>
      <c r="D17" s="219"/>
      <c r="E17" s="219"/>
      <c r="F17" s="227"/>
      <c r="G17" s="227"/>
    </row>
    <row r="18" spans="2:9" ht="12.75" x14ac:dyDescent="0.2">
      <c r="B18" s="220"/>
      <c r="C18" s="220"/>
      <c r="D18" s="220"/>
      <c r="E18" s="220"/>
      <c r="F18" s="220"/>
      <c r="G18" s="220"/>
    </row>
    <row r="19" spans="2:9" ht="12.75" x14ac:dyDescent="0.2">
      <c r="B19" s="219" t="s">
        <v>1090</v>
      </c>
      <c r="C19" s="219"/>
      <c r="D19" s="220"/>
      <c r="E19" s="220"/>
      <c r="F19" s="220"/>
      <c r="G19" s="220"/>
    </row>
    <row r="20" spans="2:9" ht="13.5" thickBot="1" x14ac:dyDescent="0.25">
      <c r="B20" s="220"/>
      <c r="C20" s="220"/>
      <c r="D20" s="220"/>
      <c r="E20" s="220"/>
      <c r="F20" s="220"/>
      <c r="G20" s="220"/>
    </row>
    <row r="21" spans="2:9" ht="25.5" x14ac:dyDescent="0.2">
      <c r="B21" s="748" t="s">
        <v>700</v>
      </c>
      <c r="C21" s="749"/>
      <c r="D21" s="228" t="s">
        <v>701</v>
      </c>
      <c r="E21" s="229" t="s">
        <v>708</v>
      </c>
      <c r="F21" s="230" t="s">
        <v>1050</v>
      </c>
      <c r="G21" s="231" t="s">
        <v>878</v>
      </c>
    </row>
    <row r="22" spans="2:9" ht="27" customHeight="1" x14ac:dyDescent="0.2">
      <c r="B22" s="530" t="s">
        <v>702</v>
      </c>
      <c r="C22" s="528"/>
      <c r="D22" s="529" t="s">
        <v>703</v>
      </c>
      <c r="E22" s="232" t="s">
        <v>1052</v>
      </c>
      <c r="F22" s="233">
        <f>'Working TB'!E13</f>
        <v>11540575</v>
      </c>
      <c r="G22" s="233">
        <v>0</v>
      </c>
      <c r="I22" s="533"/>
    </row>
    <row r="23" spans="2:9" ht="27" customHeight="1" x14ac:dyDescent="0.2">
      <c r="B23" s="731" t="s">
        <v>809</v>
      </c>
      <c r="C23" s="732"/>
      <c r="D23" s="232" t="s">
        <v>771</v>
      </c>
      <c r="E23" s="232" t="s">
        <v>938</v>
      </c>
      <c r="F23" s="233">
        <f>'Working TB'!E24+'Working TB'!E25</f>
        <v>31083954.120000001</v>
      </c>
      <c r="G23" s="233">
        <v>18999343</v>
      </c>
      <c r="I23" s="534"/>
    </row>
    <row r="24" spans="2:9" ht="27" customHeight="1" x14ac:dyDescent="0.2">
      <c r="B24" s="731" t="s">
        <v>705</v>
      </c>
      <c r="C24" s="732"/>
      <c r="D24" s="232" t="s">
        <v>706</v>
      </c>
      <c r="E24" s="232" t="s">
        <v>248</v>
      </c>
      <c r="F24" s="233">
        <f>'Profit and Loss Notes'!C64</f>
        <v>141600</v>
      </c>
      <c r="G24" s="233">
        <v>141600</v>
      </c>
      <c r="I24" s="533"/>
    </row>
    <row r="25" spans="2:9" ht="27" customHeight="1" x14ac:dyDescent="0.2">
      <c r="B25" s="731" t="s">
        <v>770</v>
      </c>
      <c r="C25" s="732"/>
      <c r="D25" s="232" t="s">
        <v>771</v>
      </c>
      <c r="E25" s="232" t="s">
        <v>810</v>
      </c>
      <c r="F25" s="233">
        <f>'Working TB'!H70</f>
        <v>43300000</v>
      </c>
      <c r="G25" s="233">
        <v>0</v>
      </c>
      <c r="I25" s="533"/>
    </row>
    <row r="26" spans="2:9" ht="27" customHeight="1" x14ac:dyDescent="0.2">
      <c r="B26" s="731" t="s">
        <v>809</v>
      </c>
      <c r="C26" s="732"/>
      <c r="D26" s="232" t="s">
        <v>771</v>
      </c>
      <c r="E26" s="232" t="s">
        <v>810</v>
      </c>
      <c r="F26" s="233">
        <v>0</v>
      </c>
      <c r="G26" s="233">
        <v>1578059</v>
      </c>
      <c r="I26" s="533"/>
    </row>
    <row r="27" spans="2:9" ht="27" customHeight="1" thickBot="1" x14ac:dyDescent="0.25">
      <c r="B27" s="733" t="s">
        <v>75</v>
      </c>
      <c r="C27" s="734"/>
      <c r="D27" s="389"/>
      <c r="E27" s="390"/>
      <c r="F27" s="234">
        <f>SUM(F23:F26)</f>
        <v>74525554.120000005</v>
      </c>
      <c r="G27" s="234">
        <f>SUM(G23:G26)</f>
        <v>20719002</v>
      </c>
    </row>
    <row r="28" spans="2:9" ht="27" customHeight="1" thickTop="1" x14ac:dyDescent="0.2">
      <c r="B28" s="219" t="s">
        <v>1091</v>
      </c>
      <c r="C28" s="220"/>
      <c r="D28" s="220"/>
      <c r="E28" s="235"/>
      <c r="F28" s="220"/>
      <c r="G28" s="220"/>
    </row>
    <row r="29" spans="2:9" ht="13.5" thickBot="1" x14ac:dyDescent="0.25">
      <c r="B29" s="220"/>
      <c r="C29" s="220"/>
      <c r="D29" s="220"/>
      <c r="E29" s="220"/>
      <c r="F29" s="220"/>
      <c r="G29" s="220"/>
    </row>
    <row r="30" spans="2:9" ht="27" customHeight="1" thickBot="1" x14ac:dyDescent="0.25">
      <c r="B30" s="735" t="s">
        <v>700</v>
      </c>
      <c r="C30" s="736"/>
      <c r="D30" s="236" t="s">
        <v>701</v>
      </c>
      <c r="E30" s="535" t="s">
        <v>708</v>
      </c>
      <c r="F30" s="237" t="s">
        <v>988</v>
      </c>
      <c r="G30" s="237" t="s">
        <v>869</v>
      </c>
    </row>
    <row r="31" spans="2:9" ht="27" customHeight="1" x14ac:dyDescent="0.2">
      <c r="B31" s="729" t="s">
        <v>702</v>
      </c>
      <c r="C31" s="730"/>
      <c r="D31" s="238" t="s">
        <v>703</v>
      </c>
      <c r="E31" s="232" t="s">
        <v>709</v>
      </c>
      <c r="F31" s="233">
        <f>'Working TB'!H13</f>
        <v>0</v>
      </c>
      <c r="G31" s="233">
        <v>11540575</v>
      </c>
    </row>
    <row r="32" spans="2:9" ht="27" customHeight="1" thickBot="1" x14ac:dyDescent="0.25">
      <c r="B32" s="758" t="s">
        <v>75</v>
      </c>
      <c r="C32" s="759"/>
      <c r="D32" s="389"/>
      <c r="E32" s="389"/>
      <c r="F32" s="234">
        <f>SUM(F31:F31)</f>
        <v>0</v>
      </c>
      <c r="G32" s="234">
        <f>SUM(G31:G31)</f>
        <v>11540575</v>
      </c>
    </row>
    <row r="33" spans="2:7" ht="27" customHeight="1" thickTop="1" x14ac:dyDescent="0.2">
      <c r="B33" s="239" t="s">
        <v>1092</v>
      </c>
      <c r="C33" s="240"/>
      <c r="D33" s="240"/>
      <c r="E33" s="241"/>
      <c r="F33" s="241"/>
      <c r="G33" s="241"/>
    </row>
    <row r="34" spans="2:7" ht="27" customHeight="1" x14ac:dyDescent="0.2">
      <c r="B34" s="239" t="s">
        <v>710</v>
      </c>
      <c r="C34" s="240"/>
      <c r="D34" s="240"/>
      <c r="E34" s="241"/>
      <c r="F34" s="241"/>
      <c r="G34" s="241"/>
    </row>
    <row r="35" spans="2:7" ht="27" customHeight="1" x14ac:dyDescent="0.2">
      <c r="B35" s="240" t="s">
        <v>711</v>
      </c>
      <c r="C35" s="240"/>
      <c r="D35" s="240"/>
      <c r="E35" s="241"/>
      <c r="F35" s="241"/>
      <c r="G35" s="241"/>
    </row>
    <row r="36" spans="2:7" ht="27" customHeight="1" x14ac:dyDescent="0.2">
      <c r="B36" s="240" t="s">
        <v>712</v>
      </c>
      <c r="C36" s="240"/>
      <c r="D36" s="240"/>
      <c r="E36" s="241"/>
      <c r="F36" s="241"/>
      <c r="G36" s="241"/>
    </row>
    <row r="37" spans="2:7" ht="27" customHeight="1" x14ac:dyDescent="0.2">
      <c r="B37" s="240" t="s">
        <v>1099</v>
      </c>
      <c r="C37" s="240"/>
      <c r="D37" s="240"/>
      <c r="E37" s="241"/>
      <c r="F37" s="241"/>
      <c r="G37" s="241"/>
    </row>
    <row r="38" spans="2:7" ht="27" customHeight="1" thickBot="1" x14ac:dyDescent="0.25">
      <c r="B38" s="240"/>
      <c r="C38" s="240"/>
      <c r="D38" s="240"/>
      <c r="E38" s="241"/>
      <c r="F38" s="241"/>
      <c r="G38" s="241"/>
    </row>
    <row r="39" spans="2:7" ht="27" customHeight="1" thickBot="1" x14ac:dyDescent="0.25">
      <c r="B39" s="737" t="s">
        <v>53</v>
      </c>
      <c r="C39" s="738"/>
      <c r="D39" s="738"/>
      <c r="E39" s="738"/>
      <c r="F39" s="738"/>
      <c r="G39" s="656">
        <v>46112</v>
      </c>
    </row>
    <row r="40" spans="2:7" ht="18.75" customHeight="1" x14ac:dyDescent="0.2">
      <c r="B40" s="713" t="s">
        <v>713</v>
      </c>
      <c r="C40" s="714"/>
      <c r="D40" s="714"/>
      <c r="E40" s="714"/>
      <c r="F40" s="714"/>
      <c r="G40" s="242">
        <v>0</v>
      </c>
    </row>
    <row r="41" spans="2:7" ht="12.75" x14ac:dyDescent="0.2">
      <c r="B41" s="713" t="s">
        <v>714</v>
      </c>
      <c r="C41" s="714"/>
      <c r="D41" s="714"/>
      <c r="E41" s="714"/>
      <c r="F41" s="714"/>
      <c r="G41" s="242">
        <v>0</v>
      </c>
    </row>
    <row r="42" spans="2:7" ht="12.75" x14ac:dyDescent="0.2">
      <c r="B42" s="713" t="s">
        <v>715</v>
      </c>
      <c r="C42" s="714"/>
      <c r="D42" s="714"/>
      <c r="E42" s="714"/>
      <c r="F42" s="714"/>
      <c r="G42" s="242">
        <v>0</v>
      </c>
    </row>
    <row r="43" spans="2:7" ht="12.75" x14ac:dyDescent="0.2">
      <c r="B43" s="713" t="s">
        <v>716</v>
      </c>
      <c r="C43" s="714"/>
      <c r="D43" s="714"/>
      <c r="E43" s="714"/>
      <c r="F43" s="714"/>
      <c r="G43" s="242">
        <v>0</v>
      </c>
    </row>
    <row r="44" spans="2:7" ht="12.75" x14ac:dyDescent="0.2">
      <c r="B44" s="713" t="s">
        <v>717</v>
      </c>
      <c r="C44" s="714"/>
      <c r="D44" s="714"/>
      <c r="E44" s="714"/>
      <c r="F44" s="714"/>
      <c r="G44" s="242">
        <v>0</v>
      </c>
    </row>
    <row r="45" spans="2:7" ht="12.75" x14ac:dyDescent="0.2">
      <c r="B45" s="713" t="s">
        <v>718</v>
      </c>
      <c r="C45" s="714"/>
      <c r="D45" s="714"/>
      <c r="E45" s="714"/>
      <c r="F45" s="714"/>
      <c r="G45" s="242">
        <v>0</v>
      </c>
    </row>
    <row r="46" spans="2:7" ht="27" customHeight="1" thickBot="1" x14ac:dyDescent="0.25">
      <c r="B46" s="715" t="s">
        <v>201</v>
      </c>
      <c r="C46" s="716"/>
      <c r="D46" s="716"/>
      <c r="E46" s="716"/>
      <c r="F46" s="717"/>
      <c r="G46" s="243">
        <v>0</v>
      </c>
    </row>
    <row r="47" spans="2:7" ht="27" customHeight="1" thickTop="1" x14ac:dyDescent="0.2">
      <c r="B47" s="244"/>
      <c r="C47" s="244"/>
      <c r="D47" s="244"/>
      <c r="E47" s="244"/>
      <c r="F47" s="244"/>
      <c r="G47" s="240"/>
    </row>
    <row r="48" spans="2:7" ht="27" customHeight="1" x14ac:dyDescent="0.2">
      <c r="B48" s="239" t="s">
        <v>1093</v>
      </c>
      <c r="C48" s="244"/>
      <c r="D48" s="244"/>
      <c r="E48" s="244"/>
      <c r="F48" s="244"/>
      <c r="G48" s="240"/>
    </row>
    <row r="49" spans="2:7" ht="12.75" x14ac:dyDescent="0.2">
      <c r="B49" s="240" t="s">
        <v>906</v>
      </c>
      <c r="D49" s="240"/>
      <c r="E49" s="244"/>
      <c r="F49" s="244"/>
      <c r="G49" s="240"/>
    </row>
    <row r="50" spans="2:7" ht="12.75" x14ac:dyDescent="0.2">
      <c r="B50" s="240" t="s">
        <v>907</v>
      </c>
      <c r="D50" s="240"/>
      <c r="E50" s="244"/>
      <c r="F50" s="244"/>
      <c r="G50" s="240"/>
    </row>
    <row r="51" spans="2:7" ht="27" customHeight="1" thickBot="1" x14ac:dyDescent="0.25">
      <c r="B51" s="239"/>
      <c r="C51" s="239"/>
      <c r="D51" s="723" t="s">
        <v>1051</v>
      </c>
      <c r="E51" s="723"/>
      <c r="F51" s="723" t="s">
        <v>879</v>
      </c>
      <c r="G51" s="723"/>
    </row>
    <row r="52" spans="2:7" ht="27" customHeight="1" thickBot="1" x14ac:dyDescent="0.25">
      <c r="B52" s="721" t="s">
        <v>53</v>
      </c>
      <c r="C52" s="722"/>
      <c r="D52" s="651" t="s">
        <v>821</v>
      </c>
      <c r="E52" s="652" t="s">
        <v>822</v>
      </c>
      <c r="F52" s="651" t="s">
        <v>821</v>
      </c>
      <c r="G52" s="653" t="s">
        <v>822</v>
      </c>
    </row>
    <row r="53" spans="2:7" ht="27" customHeight="1" thickBot="1" x14ac:dyDescent="0.25">
      <c r="B53" s="719" t="s">
        <v>823</v>
      </c>
      <c r="C53" s="720"/>
      <c r="D53" s="366">
        <v>0</v>
      </c>
      <c r="E53" s="367">
        <f>'Working TB'!H13</f>
        <v>0</v>
      </c>
      <c r="F53" s="366">
        <v>125000</v>
      </c>
      <c r="G53" s="368">
        <v>11277225</v>
      </c>
    </row>
    <row r="54" spans="2:7" ht="27" customHeight="1" x14ac:dyDescent="0.2">
      <c r="B54" s="239" t="s">
        <v>1094</v>
      </c>
      <c r="C54" s="240"/>
      <c r="D54" s="240"/>
      <c r="E54" s="241"/>
      <c r="F54" s="241"/>
      <c r="G54" s="241"/>
    </row>
    <row r="55" spans="2:7" ht="27" customHeight="1" x14ac:dyDescent="0.2">
      <c r="B55" s="240"/>
      <c r="C55" s="718"/>
      <c r="D55" s="718"/>
      <c r="E55" s="718"/>
      <c r="F55" s="718"/>
      <c r="G55" s="718"/>
    </row>
    <row r="56" spans="2:7" ht="27" customHeight="1" x14ac:dyDescent="0.2">
      <c r="B56" s="246">
        <v>27.1</v>
      </c>
      <c r="C56" s="710" t="s">
        <v>719</v>
      </c>
      <c r="D56" s="711"/>
      <c r="E56" s="711"/>
      <c r="F56" s="711"/>
      <c r="G56" s="712"/>
    </row>
    <row r="57" spans="2:7" ht="27" customHeight="1" x14ac:dyDescent="0.2">
      <c r="B57" s="246">
        <v>27.2</v>
      </c>
      <c r="C57" s="710" t="s">
        <v>720</v>
      </c>
      <c r="D57" s="711"/>
      <c r="E57" s="711"/>
      <c r="F57" s="711"/>
      <c r="G57" s="712"/>
    </row>
    <row r="58" spans="2:7" ht="27" customHeight="1" x14ac:dyDescent="0.2">
      <c r="B58" s="246">
        <v>27.3</v>
      </c>
      <c r="C58" s="710" t="s">
        <v>721</v>
      </c>
      <c r="D58" s="711"/>
      <c r="E58" s="711"/>
      <c r="F58" s="711"/>
      <c r="G58" s="712"/>
    </row>
    <row r="59" spans="2:7" ht="27" customHeight="1" x14ac:dyDescent="0.2">
      <c r="B59" s="246">
        <v>27.4</v>
      </c>
      <c r="C59" s="710" t="s">
        <v>722</v>
      </c>
      <c r="D59" s="711"/>
      <c r="E59" s="711"/>
      <c r="F59" s="711"/>
      <c r="G59" s="712"/>
    </row>
    <row r="60" spans="2:7" ht="27" customHeight="1" x14ac:dyDescent="0.2">
      <c r="B60" s="246">
        <v>27.5</v>
      </c>
      <c r="C60" s="710" t="s">
        <v>723</v>
      </c>
      <c r="D60" s="711"/>
      <c r="E60" s="711"/>
      <c r="F60" s="711"/>
      <c r="G60" s="712"/>
    </row>
    <row r="61" spans="2:7" ht="27" customHeight="1" x14ac:dyDescent="0.2">
      <c r="B61" s="246">
        <v>27.6</v>
      </c>
      <c r="C61" s="710" t="s">
        <v>724</v>
      </c>
      <c r="D61" s="711"/>
      <c r="E61" s="711"/>
      <c r="F61" s="711"/>
      <c r="G61" s="712"/>
    </row>
    <row r="62" spans="2:7" ht="27" customHeight="1" x14ac:dyDescent="0.2">
      <c r="B62" s="726">
        <v>27.7</v>
      </c>
      <c r="C62" s="710" t="s">
        <v>725</v>
      </c>
      <c r="D62" s="711"/>
      <c r="E62" s="711"/>
      <c r="F62" s="711"/>
      <c r="G62" s="712"/>
    </row>
    <row r="63" spans="2:7" ht="27" customHeight="1" x14ac:dyDescent="0.2">
      <c r="B63" s="727"/>
      <c r="C63" s="710" t="s">
        <v>726</v>
      </c>
      <c r="D63" s="711"/>
      <c r="E63" s="711"/>
      <c r="F63" s="711"/>
      <c r="G63" s="712"/>
    </row>
    <row r="64" spans="2:7" ht="27" customHeight="1" x14ac:dyDescent="0.2">
      <c r="B64" s="728"/>
      <c r="C64" s="710" t="s">
        <v>727</v>
      </c>
      <c r="D64" s="711"/>
      <c r="E64" s="711"/>
      <c r="F64" s="711"/>
      <c r="G64" s="712"/>
    </row>
    <row r="65" spans="2:17" ht="27" customHeight="1" x14ac:dyDescent="0.2">
      <c r="B65" s="726">
        <v>27.8</v>
      </c>
      <c r="C65" s="710" t="s">
        <v>728</v>
      </c>
      <c r="D65" s="711"/>
      <c r="E65" s="711"/>
      <c r="F65" s="711"/>
      <c r="G65" s="712"/>
    </row>
    <row r="66" spans="2:17" ht="27" customHeight="1" x14ac:dyDescent="0.2">
      <c r="B66" s="727"/>
      <c r="C66" s="710" t="s">
        <v>729</v>
      </c>
      <c r="D66" s="711"/>
      <c r="E66" s="711"/>
      <c r="F66" s="711"/>
      <c r="G66" s="712"/>
    </row>
    <row r="67" spans="2:17" ht="27" customHeight="1" x14ac:dyDescent="0.2">
      <c r="B67" s="728"/>
      <c r="C67" s="710" t="s">
        <v>730</v>
      </c>
      <c r="D67" s="711"/>
      <c r="E67" s="711"/>
      <c r="F67" s="711"/>
      <c r="G67" s="712"/>
    </row>
    <row r="68" spans="2:17" ht="27" customHeight="1" x14ac:dyDescent="0.2">
      <c r="B68" s="246">
        <v>27.9</v>
      </c>
      <c r="C68" s="710" t="s">
        <v>731</v>
      </c>
      <c r="D68" s="711"/>
      <c r="E68" s="711"/>
      <c r="F68" s="711"/>
      <c r="G68" s="712"/>
    </row>
    <row r="70" spans="2:17" ht="27" customHeight="1" x14ac:dyDescent="0.2">
      <c r="B70" s="201" t="s">
        <v>1095</v>
      </c>
      <c r="C70" s="161"/>
      <c r="D70" s="161"/>
      <c r="E70" s="161"/>
      <c r="F70" s="161"/>
      <c r="G70" s="161"/>
      <c r="H70" s="161"/>
      <c r="I70" s="247"/>
      <c r="J70" s="161"/>
    </row>
    <row r="71" spans="2:17" ht="27" customHeight="1" thickBot="1" x14ac:dyDescent="0.25">
      <c r="B71" s="161"/>
      <c r="C71" s="161"/>
      <c r="D71" s="161"/>
      <c r="E71" s="161"/>
      <c r="F71" s="161"/>
      <c r="G71" s="161"/>
      <c r="H71" s="161"/>
      <c r="I71" s="247"/>
      <c r="J71" s="161"/>
    </row>
    <row r="72" spans="2:17" ht="27" customHeight="1" x14ac:dyDescent="0.2">
      <c r="B72" s="248" t="s">
        <v>732</v>
      </c>
      <c r="C72" s="249" t="s">
        <v>53</v>
      </c>
      <c r="D72" s="249" t="s">
        <v>733</v>
      </c>
      <c r="E72" s="249" t="s">
        <v>892</v>
      </c>
      <c r="F72" s="249" t="s">
        <v>734</v>
      </c>
      <c r="G72" s="250" t="s">
        <v>1050</v>
      </c>
      <c r="H72" s="250" t="s">
        <v>878</v>
      </c>
      <c r="I72" s="251" t="s">
        <v>735</v>
      </c>
      <c r="J72" s="252" t="s">
        <v>767</v>
      </c>
    </row>
    <row r="73" spans="2:17" ht="27" customHeight="1" x14ac:dyDescent="0.2">
      <c r="B73" s="253">
        <v>1</v>
      </c>
      <c r="C73" s="254" t="s">
        <v>736</v>
      </c>
      <c r="D73" s="255" t="s">
        <v>737</v>
      </c>
      <c r="E73" s="254" t="s">
        <v>738</v>
      </c>
      <c r="F73" s="254" t="s">
        <v>393</v>
      </c>
      <c r="G73" s="256">
        <f>'Balance Sheet'!D54/'Balance Sheet'!D31</f>
        <v>4.6906517810678228</v>
      </c>
      <c r="H73" s="256">
        <v>69.449893184880295</v>
      </c>
      <c r="I73" s="257">
        <f>(G73-H73)/H73</f>
        <v>-0.93245991367357473</v>
      </c>
      <c r="J73" s="258" t="s">
        <v>1054</v>
      </c>
      <c r="K73" s="137"/>
      <c r="L73" s="137"/>
      <c r="M73" s="137"/>
      <c r="N73" s="137"/>
      <c r="O73" s="137"/>
      <c r="P73" s="137"/>
      <c r="Q73" s="137"/>
    </row>
    <row r="74" spans="2:17" ht="40.5" customHeight="1" x14ac:dyDescent="0.2">
      <c r="B74" s="253">
        <f>B73+1</f>
        <v>2</v>
      </c>
      <c r="C74" s="254" t="s">
        <v>739</v>
      </c>
      <c r="D74" s="255" t="s">
        <v>737</v>
      </c>
      <c r="E74" s="254" t="s">
        <v>740</v>
      </c>
      <c r="F74" s="254" t="s">
        <v>741</v>
      </c>
      <c r="G74" s="256">
        <f>('Balance Sheet'!D19+'Balance Sheet'!D25)/'Balance Sheet'!D15</f>
        <v>0</v>
      </c>
      <c r="H74" s="256">
        <v>-5.0564090120873706</v>
      </c>
      <c r="I74" s="257">
        <f t="shared" ref="I74:I83" si="0">(G74-H74)/H74</f>
        <v>-1</v>
      </c>
      <c r="J74" s="258" t="s">
        <v>1053</v>
      </c>
      <c r="K74" s="259"/>
    </row>
    <row r="75" spans="2:17" ht="48" customHeight="1" x14ac:dyDescent="0.2">
      <c r="B75" s="253">
        <f t="shared" ref="B75:B83" si="1">B74+1</f>
        <v>3</v>
      </c>
      <c r="C75" s="254" t="s">
        <v>742</v>
      </c>
      <c r="D75" s="255" t="s">
        <v>737</v>
      </c>
      <c r="E75" s="254" t="s">
        <v>743</v>
      </c>
      <c r="F75" s="254" t="s">
        <v>744</v>
      </c>
      <c r="G75" s="256">
        <v>0</v>
      </c>
      <c r="H75" s="256">
        <v>0</v>
      </c>
      <c r="I75" s="257">
        <v>0</v>
      </c>
      <c r="J75" s="260"/>
    </row>
    <row r="76" spans="2:17" ht="27" customHeight="1" x14ac:dyDescent="0.2">
      <c r="B76" s="253">
        <f t="shared" si="1"/>
        <v>4</v>
      </c>
      <c r="C76" s="254" t="s">
        <v>745</v>
      </c>
      <c r="D76" s="255" t="s">
        <v>746</v>
      </c>
      <c r="E76" s="254" t="s">
        <v>747</v>
      </c>
      <c r="F76" s="254" t="s">
        <v>748</v>
      </c>
      <c r="G76" s="261">
        <f>'Profit and Loss'!D35/(SUM('Balance Sheet'!D15,'Balance Sheet'!E15)/2)</f>
        <v>5.1876662840625292</v>
      </c>
      <c r="H76" s="261">
        <v>6.9351269866694655E-3</v>
      </c>
      <c r="I76" s="257">
        <f t="shared" si="0"/>
        <v>747.02758392660098</v>
      </c>
      <c r="J76" s="258" t="s">
        <v>1055</v>
      </c>
    </row>
    <row r="77" spans="2:17" ht="27" customHeight="1" x14ac:dyDescent="0.2">
      <c r="B77" s="253">
        <f t="shared" si="1"/>
        <v>5</v>
      </c>
      <c r="C77" s="254" t="s">
        <v>749</v>
      </c>
      <c r="D77" s="255" t="s">
        <v>737</v>
      </c>
      <c r="E77" s="254" t="s">
        <v>228</v>
      </c>
      <c r="F77" s="254" t="s">
        <v>750</v>
      </c>
      <c r="G77" s="256">
        <v>0</v>
      </c>
      <c r="H77" s="256">
        <v>0</v>
      </c>
      <c r="I77" s="257">
        <v>0</v>
      </c>
      <c r="J77" s="262"/>
    </row>
    <row r="78" spans="2:17" ht="40.5" customHeight="1" x14ac:dyDescent="0.2">
      <c r="B78" s="253">
        <f t="shared" si="1"/>
        <v>6</v>
      </c>
      <c r="C78" s="254" t="s">
        <v>751</v>
      </c>
      <c r="D78" s="255" t="s">
        <v>737</v>
      </c>
      <c r="E78" s="254" t="s">
        <v>752</v>
      </c>
      <c r="F78" s="254" t="s">
        <v>753</v>
      </c>
      <c r="G78" s="531">
        <v>0</v>
      </c>
      <c r="H78" s="256">
        <v>0.06</v>
      </c>
      <c r="I78" s="257">
        <f t="shared" si="0"/>
        <v>-1</v>
      </c>
      <c r="J78" s="258" t="s">
        <v>1060</v>
      </c>
      <c r="K78" s="152"/>
    </row>
    <row r="79" spans="2:17" ht="27" customHeight="1" x14ac:dyDescent="0.2">
      <c r="B79" s="253">
        <f t="shared" si="1"/>
        <v>7</v>
      </c>
      <c r="C79" s="254" t="s">
        <v>754</v>
      </c>
      <c r="D79" s="255" t="s">
        <v>737</v>
      </c>
      <c r="E79" s="254" t="s">
        <v>755</v>
      </c>
      <c r="F79" s="254" t="s">
        <v>756</v>
      </c>
      <c r="G79" s="256">
        <v>0</v>
      </c>
      <c r="H79" s="256">
        <v>0</v>
      </c>
      <c r="I79" s="257">
        <v>0</v>
      </c>
      <c r="J79" s="258" t="s">
        <v>1059</v>
      </c>
    </row>
    <row r="80" spans="2:17" ht="39" customHeight="1" x14ac:dyDescent="0.2">
      <c r="B80" s="253">
        <f t="shared" si="1"/>
        <v>8</v>
      </c>
      <c r="C80" s="254" t="s">
        <v>757</v>
      </c>
      <c r="D80" s="255" t="s">
        <v>737</v>
      </c>
      <c r="E80" s="254" t="s">
        <v>758</v>
      </c>
      <c r="F80" s="254" t="s">
        <v>759</v>
      </c>
      <c r="G80" s="256">
        <f>'Profit and Loss'!D11/('Balance Sheet'!D54-'Balance Sheet'!D31)</f>
        <v>8.5904356033319136</v>
      </c>
      <c r="H80" s="256">
        <v>0.17</v>
      </c>
      <c r="I80" s="257">
        <f t="shared" si="0"/>
        <v>49.53197413724655</v>
      </c>
      <c r="J80" s="258" t="s">
        <v>1056</v>
      </c>
    </row>
    <row r="81" spans="1:12" ht="41.25" customHeight="1" x14ac:dyDescent="0.2">
      <c r="B81" s="253">
        <f t="shared" si="1"/>
        <v>9</v>
      </c>
      <c r="C81" s="254" t="s">
        <v>760</v>
      </c>
      <c r="D81" s="255" t="s">
        <v>746</v>
      </c>
      <c r="E81" s="254" t="s">
        <v>761</v>
      </c>
      <c r="F81" s="254" t="s">
        <v>758</v>
      </c>
      <c r="G81" s="256">
        <f>'Profit and Loss'!D35/'Profit and Loss'!D9</f>
        <v>0.1715641457274828</v>
      </c>
      <c r="H81" s="647">
        <v>-0.01</v>
      </c>
      <c r="I81" s="257">
        <f t="shared" si="0"/>
        <v>-18.156414572748279</v>
      </c>
      <c r="J81" s="258" t="s">
        <v>1058</v>
      </c>
      <c r="L81" s="532"/>
    </row>
    <row r="82" spans="1:12" ht="27" customHeight="1" x14ac:dyDescent="0.2">
      <c r="B82" s="253">
        <f t="shared" si="1"/>
        <v>10</v>
      </c>
      <c r="C82" s="254" t="s">
        <v>762</v>
      </c>
      <c r="D82" s="255" t="s">
        <v>746</v>
      </c>
      <c r="E82" s="254" t="s">
        <v>763</v>
      </c>
      <c r="F82" s="254" t="s">
        <v>764</v>
      </c>
      <c r="G82" s="256">
        <v>1.69</v>
      </c>
      <c r="H82" s="647">
        <v>0.03</v>
      </c>
      <c r="I82" s="257">
        <f t="shared" si="0"/>
        <v>55.333333333333336</v>
      </c>
      <c r="J82" s="258" t="s">
        <v>768</v>
      </c>
    </row>
    <row r="83" spans="1:12" ht="27" customHeight="1" x14ac:dyDescent="0.2">
      <c r="B83" s="253">
        <f t="shared" si="1"/>
        <v>11</v>
      </c>
      <c r="C83" s="254" t="s">
        <v>765</v>
      </c>
      <c r="D83" s="255" t="s">
        <v>746</v>
      </c>
      <c r="E83" s="254" t="s">
        <v>761</v>
      </c>
      <c r="F83" s="254" t="s">
        <v>766</v>
      </c>
      <c r="G83" s="256">
        <f>'Profit and Loss'!D35/'Balance Sheet'!D56</f>
        <v>1.1356419568109635</v>
      </c>
      <c r="H83" s="647">
        <v>-0.17</v>
      </c>
      <c r="I83" s="257">
        <f t="shared" si="0"/>
        <v>-7.6802468047703725</v>
      </c>
      <c r="J83" s="258" t="s">
        <v>1057</v>
      </c>
      <c r="K83" s="221"/>
      <c r="L83" s="532"/>
    </row>
    <row r="85" spans="1:12" ht="27" customHeight="1" x14ac:dyDescent="0.2">
      <c r="B85" s="725" t="s">
        <v>1096</v>
      </c>
      <c r="C85" s="725"/>
      <c r="D85" s="725"/>
      <c r="E85" s="725"/>
      <c r="F85" s="725"/>
      <c r="G85" s="725"/>
    </row>
    <row r="86" spans="1:12" ht="27" customHeight="1" x14ac:dyDescent="0.2">
      <c r="B86" s="724" t="s">
        <v>824</v>
      </c>
      <c r="C86" s="724"/>
      <c r="D86" s="724"/>
      <c r="E86" s="724"/>
      <c r="F86" s="724"/>
      <c r="G86" s="724"/>
    </row>
    <row r="87" spans="1:12" ht="12.75" x14ac:dyDescent="0.2">
      <c r="A87" s="98"/>
      <c r="B87" s="91" t="s">
        <v>837</v>
      </c>
      <c r="C87" s="91"/>
      <c r="D87" s="91"/>
      <c r="E87" s="90"/>
      <c r="F87" s="90"/>
      <c r="G87" s="654"/>
      <c r="H87" s="98"/>
      <c r="I87" s="245"/>
    </row>
    <row r="88" spans="1:12" ht="12.75" x14ac:dyDescent="0.2">
      <c r="A88" s="98"/>
      <c r="B88" s="88" t="s">
        <v>825</v>
      </c>
      <c r="C88" s="88"/>
      <c r="D88" s="89"/>
      <c r="E88" s="89" t="s">
        <v>826</v>
      </c>
      <c r="G88" s="654"/>
      <c r="H88" s="98"/>
      <c r="I88" s="245"/>
    </row>
    <row r="89" spans="1:12" ht="12.75" x14ac:dyDescent="0.2">
      <c r="A89" s="98"/>
      <c r="B89" s="88" t="s">
        <v>827</v>
      </c>
      <c r="C89" s="88"/>
      <c r="D89" s="88"/>
      <c r="E89" s="90"/>
      <c r="F89" s="90"/>
      <c r="G89" s="654"/>
      <c r="H89" s="98"/>
      <c r="I89" s="245"/>
    </row>
    <row r="90" spans="1:12" ht="27" customHeight="1" x14ac:dyDescent="0.2">
      <c r="A90" s="98"/>
      <c r="B90" s="91" t="s">
        <v>96</v>
      </c>
      <c r="C90" s="91"/>
      <c r="D90" s="91"/>
      <c r="E90" s="90"/>
      <c r="F90" s="90"/>
      <c r="G90" s="654"/>
      <c r="H90" s="98"/>
      <c r="I90" s="245"/>
    </row>
    <row r="91" spans="1:12" ht="27" customHeight="1" x14ac:dyDescent="0.2">
      <c r="A91" s="98"/>
      <c r="B91" s="92"/>
      <c r="C91" s="92"/>
      <c r="D91" s="92"/>
      <c r="E91" s="91"/>
      <c r="F91" s="90"/>
      <c r="G91" s="654"/>
      <c r="H91" s="98"/>
      <c r="I91" s="245"/>
    </row>
    <row r="92" spans="1:12" ht="27" customHeight="1" x14ac:dyDescent="0.2">
      <c r="A92" s="98"/>
      <c r="B92" s="92"/>
      <c r="C92" s="92"/>
      <c r="D92" s="92"/>
      <c r="E92" s="90"/>
      <c r="F92" s="90"/>
      <c r="G92" s="654"/>
      <c r="H92" s="98"/>
      <c r="I92" s="245"/>
    </row>
    <row r="93" spans="1:12" ht="12.75" x14ac:dyDescent="0.2">
      <c r="A93" s="98"/>
      <c r="B93" s="88" t="s">
        <v>828</v>
      </c>
      <c r="C93" s="88"/>
      <c r="D93" s="98"/>
      <c r="E93" s="97" t="s">
        <v>969</v>
      </c>
      <c r="F93" s="93" t="s">
        <v>829</v>
      </c>
      <c r="G93" s="98"/>
      <c r="H93" s="98"/>
      <c r="I93" s="245"/>
    </row>
    <row r="94" spans="1:12" ht="12.75" x14ac:dyDescent="0.2">
      <c r="A94" s="98"/>
      <c r="B94" s="88" t="s">
        <v>830</v>
      </c>
      <c r="C94" s="88"/>
      <c r="D94" s="98"/>
      <c r="E94" s="89" t="s">
        <v>831</v>
      </c>
      <c r="F94" s="94" t="s">
        <v>838</v>
      </c>
      <c r="G94" s="98"/>
      <c r="H94" s="98"/>
      <c r="I94" s="245"/>
    </row>
    <row r="95" spans="1:12" ht="12.75" x14ac:dyDescent="0.2">
      <c r="A95" s="98"/>
      <c r="B95" s="88" t="s">
        <v>833</v>
      </c>
      <c r="C95" s="88"/>
      <c r="D95" s="98"/>
      <c r="E95" s="95" t="s">
        <v>970</v>
      </c>
      <c r="F95" s="369" t="s">
        <v>834</v>
      </c>
      <c r="G95" s="98"/>
      <c r="H95" s="98"/>
      <c r="I95" s="245"/>
    </row>
    <row r="96" spans="1:12" ht="27" customHeight="1" x14ac:dyDescent="0.2">
      <c r="A96" s="98"/>
      <c r="B96" s="96" t="s">
        <v>580</v>
      </c>
      <c r="C96" s="96"/>
      <c r="D96" s="96"/>
      <c r="E96" s="90"/>
      <c r="F96" s="90"/>
      <c r="G96" s="654"/>
      <c r="H96" s="98"/>
      <c r="I96" s="245"/>
    </row>
    <row r="97" spans="1:9" ht="12.75" x14ac:dyDescent="0.2">
      <c r="A97" s="98"/>
      <c r="B97" s="88" t="s">
        <v>835</v>
      </c>
      <c r="C97" s="88"/>
      <c r="D97" s="88"/>
      <c r="E97" s="97"/>
      <c r="F97" s="91"/>
      <c r="G97" s="654"/>
      <c r="H97" s="98"/>
      <c r="I97" s="245"/>
    </row>
    <row r="98" spans="1:9" ht="27" customHeight="1" x14ac:dyDescent="0.2">
      <c r="A98" s="98"/>
      <c r="B98" s="88" t="s">
        <v>836</v>
      </c>
      <c r="C98" s="655"/>
      <c r="D98" s="655"/>
      <c r="E98" s="98"/>
      <c r="F98" s="91"/>
      <c r="G98" s="654"/>
      <c r="H98" s="98"/>
      <c r="I98" s="245"/>
    </row>
    <row r="99" spans="1:9" ht="27" customHeight="1" x14ac:dyDescent="0.2">
      <c r="A99" s="98"/>
      <c r="B99" s="99"/>
      <c r="C99" s="99"/>
      <c r="D99" s="99"/>
      <c r="E99" s="97"/>
      <c r="F99" s="90"/>
      <c r="G99" s="654"/>
      <c r="H99" s="98"/>
      <c r="I99" s="245"/>
    </row>
    <row r="100" spans="1:9" ht="27" customHeight="1" x14ac:dyDescent="0.2">
      <c r="A100" s="98"/>
      <c r="B100" s="98"/>
      <c r="C100" s="98"/>
      <c r="D100" s="98"/>
      <c r="E100" s="98"/>
      <c r="F100" s="98"/>
      <c r="G100" s="98"/>
      <c r="H100" s="98"/>
      <c r="I100" s="245"/>
    </row>
    <row r="101" spans="1:9" ht="27" customHeight="1" x14ac:dyDescent="0.2">
      <c r="A101" s="98"/>
      <c r="B101" s="98"/>
      <c r="C101" s="98"/>
      <c r="D101" s="98"/>
      <c r="E101" s="98"/>
      <c r="F101" s="98"/>
      <c r="G101" s="98"/>
      <c r="H101" s="98"/>
      <c r="I101" s="245"/>
    </row>
    <row r="102" spans="1:9" ht="27" customHeight="1" x14ac:dyDescent="0.2">
      <c r="A102" s="98"/>
      <c r="B102" s="98"/>
      <c r="C102" s="98"/>
      <c r="D102" s="98"/>
      <c r="E102" s="98"/>
      <c r="F102" s="98"/>
      <c r="G102" s="98"/>
      <c r="H102" s="98"/>
      <c r="I102" s="245"/>
    </row>
    <row r="103" spans="1:9" ht="27" customHeight="1" x14ac:dyDescent="0.2">
      <c r="A103" s="98"/>
      <c r="B103" s="98"/>
      <c r="C103" s="98"/>
      <c r="D103" s="98"/>
      <c r="E103" s="98"/>
      <c r="F103" s="98"/>
      <c r="G103" s="98"/>
      <c r="H103" s="98"/>
      <c r="I103" s="245"/>
    </row>
    <row r="104" spans="1:9" ht="27" customHeight="1" x14ac:dyDescent="0.2">
      <c r="A104" s="98"/>
      <c r="B104" s="98"/>
      <c r="C104" s="98"/>
      <c r="D104" s="98"/>
      <c r="E104" s="98"/>
      <c r="F104" s="98"/>
      <c r="G104" s="98"/>
      <c r="H104" s="98"/>
      <c r="I104" s="245"/>
    </row>
  </sheetData>
  <mergeCells count="51">
    <mergeCell ref="B39:F39"/>
    <mergeCell ref="C10:E10"/>
    <mergeCell ref="F10:G10"/>
    <mergeCell ref="B24:C24"/>
    <mergeCell ref="C14:E14"/>
    <mergeCell ref="F14:G14"/>
    <mergeCell ref="B21:C21"/>
    <mergeCell ref="C11:E11"/>
    <mergeCell ref="F11:G11"/>
    <mergeCell ref="C12:E12"/>
    <mergeCell ref="F12:G12"/>
    <mergeCell ref="C15:E15"/>
    <mergeCell ref="C13:E13"/>
    <mergeCell ref="F13:G13"/>
    <mergeCell ref="F15:G15"/>
    <mergeCell ref="B32:C32"/>
    <mergeCell ref="B31:C31"/>
    <mergeCell ref="B26:C26"/>
    <mergeCell ref="B27:C27"/>
    <mergeCell ref="B23:C23"/>
    <mergeCell ref="B25:C25"/>
    <mergeCell ref="B30:C30"/>
    <mergeCell ref="B86:G86"/>
    <mergeCell ref="C59:G59"/>
    <mergeCell ref="C60:G60"/>
    <mergeCell ref="C67:G67"/>
    <mergeCell ref="C61:G61"/>
    <mergeCell ref="C62:G62"/>
    <mergeCell ref="C63:G63"/>
    <mergeCell ref="C66:G66"/>
    <mergeCell ref="C64:G64"/>
    <mergeCell ref="C65:G65"/>
    <mergeCell ref="B85:G85"/>
    <mergeCell ref="B65:B67"/>
    <mergeCell ref="C68:G68"/>
    <mergeCell ref="B62:B64"/>
    <mergeCell ref="C56:G56"/>
    <mergeCell ref="C57:G57"/>
    <mergeCell ref="C58:G58"/>
    <mergeCell ref="B40:F40"/>
    <mergeCell ref="B43:F43"/>
    <mergeCell ref="B46:F46"/>
    <mergeCell ref="C55:G55"/>
    <mergeCell ref="B42:F42"/>
    <mergeCell ref="B44:F44"/>
    <mergeCell ref="B53:C53"/>
    <mergeCell ref="B52:C52"/>
    <mergeCell ref="D51:E51"/>
    <mergeCell ref="F51:G51"/>
    <mergeCell ref="B45:F45"/>
    <mergeCell ref="B41:F4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showGridLines="0" topLeftCell="A7" zoomScale="107" zoomScaleNormal="107" workbookViewId="0">
      <selection activeCell="C14" sqref="C14"/>
    </sheetView>
  </sheetViews>
  <sheetFormatPr defaultColWidth="8.7109375" defaultRowHeight="12.75" x14ac:dyDescent="0.2"/>
  <cols>
    <col min="1" max="1" width="8.7109375" style="136"/>
    <col min="2" max="2" width="35.5703125" style="136" customWidth="1"/>
    <col min="3" max="4" width="18.42578125" style="136" bestFit="1" customWidth="1"/>
    <col min="5" max="5" width="8.7109375" style="136"/>
    <col min="6" max="6" width="13.28515625" style="136" bestFit="1" customWidth="1"/>
    <col min="7" max="16384" width="8.7109375" style="136"/>
  </cols>
  <sheetData>
    <row r="1" spans="1:4" ht="34.5" customHeight="1" x14ac:dyDescent="0.2">
      <c r="B1" s="459" t="s">
        <v>1027</v>
      </c>
      <c r="C1" s="135"/>
      <c r="D1" s="135"/>
    </row>
    <row r="2" spans="1:4" ht="16.5" customHeight="1" x14ac:dyDescent="0.2">
      <c r="B2" s="137" t="s">
        <v>1028</v>
      </c>
    </row>
    <row r="3" spans="1:4" ht="15" customHeight="1" x14ac:dyDescent="0.2">
      <c r="A3" s="98"/>
      <c r="B3" s="137" t="s">
        <v>927</v>
      </c>
      <c r="C3" s="216"/>
      <c r="D3" s="216"/>
    </row>
    <row r="4" spans="1:4" ht="21" customHeight="1" x14ac:dyDescent="0.2">
      <c r="A4" s="98"/>
      <c r="B4" s="626"/>
      <c r="C4" s="216"/>
      <c r="D4" s="216"/>
    </row>
    <row r="5" spans="1:4" ht="35.1" customHeight="1" x14ac:dyDescent="0.2">
      <c r="A5" s="98"/>
      <c r="B5" s="512" t="s">
        <v>253</v>
      </c>
      <c r="C5" s="217"/>
      <c r="D5" s="217"/>
    </row>
    <row r="6" spans="1:4" ht="30" customHeight="1" x14ac:dyDescent="0.2">
      <c r="B6" s="513" t="s">
        <v>170</v>
      </c>
      <c r="C6" s="140" t="s">
        <v>977</v>
      </c>
      <c r="D6" s="140" t="s">
        <v>865</v>
      </c>
    </row>
    <row r="7" spans="1:4" x14ac:dyDescent="0.2">
      <c r="B7" s="320" t="s">
        <v>254</v>
      </c>
      <c r="C7" s="321">
        <v>1500000</v>
      </c>
      <c r="D7" s="321">
        <v>1500000</v>
      </c>
    </row>
    <row r="8" spans="1:4" x14ac:dyDescent="0.2">
      <c r="B8" s="514" t="s">
        <v>255</v>
      </c>
      <c r="C8" s="388">
        <f>SUM(C7:C7)</f>
        <v>1500000</v>
      </c>
      <c r="D8" s="388">
        <f>SUM(D7:D7)</f>
        <v>1500000</v>
      </c>
    </row>
    <row r="11" spans="1:4" ht="35.1" customHeight="1" x14ac:dyDescent="0.2">
      <c r="B11" s="512" t="s">
        <v>939</v>
      </c>
      <c r="C11" s="217"/>
      <c r="D11" s="217"/>
    </row>
    <row r="12" spans="1:4" ht="30" customHeight="1" x14ac:dyDescent="0.2">
      <c r="B12" s="513" t="s">
        <v>204</v>
      </c>
      <c r="C12" s="140" t="s">
        <v>977</v>
      </c>
      <c r="D12" s="140" t="s">
        <v>865</v>
      </c>
    </row>
    <row r="13" spans="1:4" ht="14.45" customHeight="1" x14ac:dyDescent="0.2">
      <c r="B13" s="320" t="s">
        <v>953</v>
      </c>
      <c r="C13" s="321">
        <f>-'Deferred Tax'!G25</f>
        <v>1040</v>
      </c>
      <c r="D13" s="321">
        <f>0</f>
        <v>0</v>
      </c>
    </row>
    <row r="14" spans="1:4" x14ac:dyDescent="0.2">
      <c r="B14" s="514" t="s">
        <v>255</v>
      </c>
      <c r="C14" s="388">
        <f>SUM(C13:C13)</f>
        <v>1040</v>
      </c>
      <c r="D14" s="388">
        <f>SUM(D13:D13)</f>
        <v>0</v>
      </c>
    </row>
    <row r="17" spans="2:4" ht="35.1" customHeight="1" x14ac:dyDescent="0.2">
      <c r="B17" s="512" t="s">
        <v>940</v>
      </c>
      <c r="C17" s="217"/>
      <c r="D17" s="217"/>
    </row>
    <row r="18" spans="2:4" ht="30" customHeight="1" x14ac:dyDescent="0.2">
      <c r="B18" s="513" t="s">
        <v>206</v>
      </c>
      <c r="C18" s="140" t="s">
        <v>977</v>
      </c>
      <c r="D18" s="140" t="s">
        <v>865</v>
      </c>
    </row>
    <row r="19" spans="2:4" ht="14.65" customHeight="1" x14ac:dyDescent="0.2">
      <c r="B19" s="320" t="s">
        <v>256</v>
      </c>
      <c r="C19" s="321">
        <f>'Working TB'!H13</f>
        <v>0</v>
      </c>
      <c r="D19" s="321">
        <f>'Working TB'!D13</f>
        <v>11540575</v>
      </c>
    </row>
    <row r="20" spans="2:4" x14ac:dyDescent="0.2">
      <c r="B20" s="514" t="s">
        <v>255</v>
      </c>
      <c r="C20" s="388">
        <f>SUM(C19:C19)</f>
        <v>0</v>
      </c>
      <c r="D20" s="388">
        <f>SUM(D19:D19)</f>
        <v>11540575</v>
      </c>
    </row>
    <row r="23" spans="2:4" ht="35.1" customHeight="1" x14ac:dyDescent="0.2">
      <c r="B23" s="512" t="s">
        <v>941</v>
      </c>
      <c r="C23" s="217"/>
      <c r="D23" s="217"/>
    </row>
    <row r="24" spans="2:4" ht="48" customHeight="1" x14ac:dyDescent="0.2">
      <c r="B24" s="513" t="s">
        <v>208</v>
      </c>
      <c r="C24" s="140" t="s">
        <v>977</v>
      </c>
      <c r="D24" s="140" t="s">
        <v>865</v>
      </c>
    </row>
    <row r="25" spans="2:4" x14ac:dyDescent="0.2">
      <c r="B25" s="320" t="s">
        <v>257</v>
      </c>
      <c r="C25" s="321">
        <f>'Working TB'!G39</f>
        <v>0</v>
      </c>
      <c r="D25" s="321">
        <f>0</f>
        <v>0</v>
      </c>
    </row>
    <row r="26" spans="2:4" x14ac:dyDescent="0.2">
      <c r="B26" s="320" t="s">
        <v>684</v>
      </c>
      <c r="C26" s="321">
        <v>0</v>
      </c>
      <c r="D26" s="321"/>
    </row>
    <row r="27" spans="2:4" x14ac:dyDescent="0.2">
      <c r="B27" s="514" t="s">
        <v>255</v>
      </c>
      <c r="C27" s="388">
        <f>C25+C26</f>
        <v>0</v>
      </c>
      <c r="D27" s="388">
        <f>SUM(D25:D26)</f>
        <v>0</v>
      </c>
    </row>
    <row r="30" spans="2:4" ht="35.1" customHeight="1" x14ac:dyDescent="0.2">
      <c r="B30" s="512" t="s">
        <v>942</v>
      </c>
      <c r="C30" s="217"/>
      <c r="D30" s="217"/>
    </row>
    <row r="31" spans="2:4" ht="30" customHeight="1" x14ac:dyDescent="0.2">
      <c r="B31" s="513" t="s">
        <v>210</v>
      </c>
      <c r="C31" s="140" t="s">
        <v>977</v>
      </c>
      <c r="D31" s="140" t="s">
        <v>865</v>
      </c>
    </row>
    <row r="32" spans="2:4" x14ac:dyDescent="0.2">
      <c r="B32" s="320" t="s">
        <v>258</v>
      </c>
      <c r="C32" s="321">
        <v>0</v>
      </c>
      <c r="D32" s="321">
        <v>0</v>
      </c>
    </row>
    <row r="33" spans="2:4" x14ac:dyDescent="0.2">
      <c r="B33" s="514" t="s">
        <v>255</v>
      </c>
      <c r="C33" s="388">
        <f>SUM(C32:C32)</f>
        <v>0</v>
      </c>
      <c r="D33" s="388">
        <f>SUM(D32:D32)</f>
        <v>0</v>
      </c>
    </row>
    <row r="35" spans="2:4" ht="30" customHeight="1" x14ac:dyDescent="0.2">
      <c r="B35" s="513" t="s">
        <v>213</v>
      </c>
      <c r="C35" s="140" t="s">
        <v>977</v>
      </c>
      <c r="D35" s="140" t="s">
        <v>865</v>
      </c>
    </row>
    <row r="36" spans="2:4" x14ac:dyDescent="0.2">
      <c r="B36" s="320" t="s">
        <v>259</v>
      </c>
      <c r="C36" s="321">
        <f>'Working TB'!H29</f>
        <v>1178.82</v>
      </c>
      <c r="D36" s="321">
        <v>0</v>
      </c>
    </row>
    <row r="37" spans="2:4" hidden="1" x14ac:dyDescent="0.2">
      <c r="B37" s="320" t="s">
        <v>260</v>
      </c>
      <c r="C37" s="321">
        <v>0</v>
      </c>
      <c r="D37" s="321">
        <v>0</v>
      </c>
    </row>
    <row r="38" spans="2:4" hidden="1" x14ac:dyDescent="0.2">
      <c r="B38" s="320" t="s">
        <v>261</v>
      </c>
      <c r="C38" s="321">
        <v>0</v>
      </c>
      <c r="D38" s="321">
        <v>0</v>
      </c>
    </row>
    <row r="39" spans="2:4" hidden="1" x14ac:dyDescent="0.2">
      <c r="B39" s="320" t="s">
        <v>262</v>
      </c>
      <c r="C39" s="321">
        <v>0</v>
      </c>
      <c r="D39" s="321">
        <v>0</v>
      </c>
    </row>
    <row r="40" spans="2:4" hidden="1" x14ac:dyDescent="0.2">
      <c r="B40" s="320" t="s">
        <v>263</v>
      </c>
      <c r="C40" s="321">
        <v>0</v>
      </c>
      <c r="D40" s="321">
        <v>0</v>
      </c>
    </row>
    <row r="41" spans="2:4" hidden="1" x14ac:dyDescent="0.2">
      <c r="B41" s="320" t="s">
        <v>264</v>
      </c>
      <c r="C41" s="321">
        <v>0</v>
      </c>
      <c r="D41" s="321">
        <v>0</v>
      </c>
    </row>
    <row r="42" spans="2:4" hidden="1" x14ac:dyDescent="0.2">
      <c r="B42" s="320" t="s">
        <v>265</v>
      </c>
      <c r="C42" s="321">
        <v>0</v>
      </c>
      <c r="D42" s="321">
        <v>0</v>
      </c>
    </row>
    <row r="43" spans="2:4" hidden="1" x14ac:dyDescent="0.2">
      <c r="B43" s="320" t="s">
        <v>266</v>
      </c>
      <c r="C43" s="321">
        <v>0</v>
      </c>
      <c r="D43" s="321">
        <v>0</v>
      </c>
    </row>
    <row r="44" spans="2:4" hidden="1" x14ac:dyDescent="0.2">
      <c r="B44" s="320" t="s">
        <v>267</v>
      </c>
      <c r="C44" s="321">
        <v>0</v>
      </c>
      <c r="D44" s="321">
        <v>0</v>
      </c>
    </row>
    <row r="45" spans="2:4" hidden="1" x14ac:dyDescent="0.2">
      <c r="B45" s="320" t="s">
        <v>268</v>
      </c>
      <c r="C45" s="321">
        <v>0</v>
      </c>
      <c r="D45" s="321">
        <v>0</v>
      </c>
    </row>
    <row r="46" spans="2:4" hidden="1" x14ac:dyDescent="0.2">
      <c r="B46" s="320" t="s">
        <v>269</v>
      </c>
      <c r="C46" s="321">
        <v>0</v>
      </c>
      <c r="D46" s="321">
        <v>0</v>
      </c>
    </row>
    <row r="47" spans="2:4" hidden="1" x14ac:dyDescent="0.2">
      <c r="B47" s="320" t="s">
        <v>270</v>
      </c>
      <c r="C47" s="321">
        <v>0</v>
      </c>
      <c r="D47" s="321">
        <v>0</v>
      </c>
    </row>
    <row r="48" spans="2:4" hidden="1" x14ac:dyDescent="0.2">
      <c r="B48" s="320" t="s">
        <v>271</v>
      </c>
      <c r="C48" s="321">
        <v>0</v>
      </c>
      <c r="D48" s="321">
        <v>0</v>
      </c>
    </row>
    <row r="49" spans="2:4" hidden="1" x14ac:dyDescent="0.2">
      <c r="B49" s="320" t="s">
        <v>272</v>
      </c>
      <c r="C49" s="321">
        <v>0</v>
      </c>
      <c r="D49" s="321">
        <v>0</v>
      </c>
    </row>
    <row r="50" spans="2:4" hidden="1" x14ac:dyDescent="0.2">
      <c r="B50" s="320" t="s">
        <v>273</v>
      </c>
      <c r="C50" s="321">
        <v>0</v>
      </c>
      <c r="D50" s="321">
        <v>0</v>
      </c>
    </row>
    <row r="51" spans="2:4" hidden="1" x14ac:dyDescent="0.2">
      <c r="B51" s="320" t="s">
        <v>274</v>
      </c>
      <c r="C51" s="321">
        <v>0</v>
      </c>
      <c r="D51" s="321">
        <v>0</v>
      </c>
    </row>
    <row r="52" spans="2:4" hidden="1" x14ac:dyDescent="0.2">
      <c r="B52" s="320" t="s">
        <v>275</v>
      </c>
      <c r="C52" s="321">
        <v>0</v>
      </c>
      <c r="D52" s="321">
        <v>0</v>
      </c>
    </row>
    <row r="53" spans="2:4" hidden="1" x14ac:dyDescent="0.2">
      <c r="B53" s="320" t="s">
        <v>276</v>
      </c>
      <c r="C53" s="321">
        <v>0</v>
      </c>
      <c r="D53" s="321">
        <v>0</v>
      </c>
    </row>
    <row r="54" spans="2:4" x14ac:dyDescent="0.2">
      <c r="B54" s="320" t="s">
        <v>277</v>
      </c>
      <c r="C54" s="321">
        <f>'Working TB'!H33</f>
        <v>0</v>
      </c>
      <c r="D54" s="321">
        <f>39999.18</f>
        <v>39999.18</v>
      </c>
    </row>
    <row r="55" spans="2:4" x14ac:dyDescent="0.2">
      <c r="B55" s="320" t="s">
        <v>278</v>
      </c>
      <c r="C55" s="321">
        <v>0</v>
      </c>
      <c r="D55" s="321">
        <v>0</v>
      </c>
    </row>
    <row r="56" spans="2:4" x14ac:dyDescent="0.2">
      <c r="B56" s="320" t="s">
        <v>889</v>
      </c>
      <c r="C56" s="321">
        <f>'Working TB'!H43</f>
        <v>0</v>
      </c>
      <c r="D56" s="321">
        <f>236</f>
        <v>236</v>
      </c>
    </row>
    <row r="57" spans="2:4" x14ac:dyDescent="0.2">
      <c r="B57" s="320" t="s">
        <v>279</v>
      </c>
      <c r="C57" s="321">
        <f>'Working TB'!H34</f>
        <v>6000</v>
      </c>
      <c r="D57" s="321">
        <f>'Working TB'!D34</f>
        <v>6000</v>
      </c>
    </row>
    <row r="58" spans="2:4" x14ac:dyDescent="0.2">
      <c r="B58" s="320" t="s">
        <v>280</v>
      </c>
      <c r="C58" s="321">
        <v>0</v>
      </c>
      <c r="D58" s="321">
        <v>0</v>
      </c>
    </row>
    <row r="59" spans="2:4" x14ac:dyDescent="0.2">
      <c r="B59" s="320" t="s">
        <v>281</v>
      </c>
      <c r="C59" s="321">
        <v>0</v>
      </c>
      <c r="D59" s="321">
        <v>0</v>
      </c>
    </row>
    <row r="60" spans="2:4" x14ac:dyDescent="0.2">
      <c r="B60" s="320" t="s">
        <v>282</v>
      </c>
      <c r="C60" s="321">
        <v>0</v>
      </c>
      <c r="D60" s="321">
        <v>0</v>
      </c>
    </row>
    <row r="61" spans="2:4" x14ac:dyDescent="0.2">
      <c r="B61" s="320" t="s">
        <v>283</v>
      </c>
      <c r="C61" s="321">
        <v>0</v>
      </c>
      <c r="D61" s="321">
        <v>0</v>
      </c>
    </row>
    <row r="62" spans="2:4" x14ac:dyDescent="0.2">
      <c r="B62" s="320" t="s">
        <v>284</v>
      </c>
      <c r="C62" s="321">
        <v>0</v>
      </c>
      <c r="D62" s="321">
        <v>0</v>
      </c>
    </row>
    <row r="63" spans="2:4" x14ac:dyDescent="0.2">
      <c r="B63" s="320" t="s">
        <v>769</v>
      </c>
      <c r="C63" s="321">
        <v>0</v>
      </c>
      <c r="D63" s="321"/>
    </row>
    <row r="64" spans="2:4" x14ac:dyDescent="0.2">
      <c r="B64" s="514" t="s">
        <v>255</v>
      </c>
      <c r="C64" s="388">
        <f>SUM(C36:C63)</f>
        <v>7178.82</v>
      </c>
      <c r="D64" s="388">
        <f>SUM(D36:D63)</f>
        <v>46235.18</v>
      </c>
    </row>
    <row r="66" spans="2:4" ht="30" customHeight="1" x14ac:dyDescent="0.2">
      <c r="B66" s="513" t="s">
        <v>211</v>
      </c>
      <c r="C66" s="140" t="s">
        <v>977</v>
      </c>
      <c r="D66" s="140" t="s">
        <v>865</v>
      </c>
    </row>
    <row r="67" spans="2:4" x14ac:dyDescent="0.2">
      <c r="B67" s="320" t="s">
        <v>285</v>
      </c>
      <c r="C67" s="321">
        <f>'Working TB'!H27</f>
        <v>112500</v>
      </c>
      <c r="D67" s="321">
        <f>'Working TB'!D27</f>
        <v>74250</v>
      </c>
    </row>
    <row r="68" spans="2:4" x14ac:dyDescent="0.2">
      <c r="B68" s="320" t="s">
        <v>286</v>
      </c>
      <c r="C68" s="321">
        <f>'Working TB'!H30</f>
        <v>1000</v>
      </c>
      <c r="D68" s="321">
        <f>'Working TB'!D30</f>
        <v>1000</v>
      </c>
    </row>
    <row r="69" spans="2:4" x14ac:dyDescent="0.2">
      <c r="B69" s="514" t="s">
        <v>255</v>
      </c>
      <c r="C69" s="388">
        <f>SUM(C67:C68)</f>
        <v>113500</v>
      </c>
      <c r="D69" s="388">
        <f>SUM(D67:D68)</f>
        <v>75250</v>
      </c>
    </row>
    <row r="71" spans="2:4" ht="30" customHeight="1" x14ac:dyDescent="0.2">
      <c r="B71" s="513" t="s">
        <v>212</v>
      </c>
      <c r="C71" s="140" t="s">
        <v>977</v>
      </c>
      <c r="D71" s="140" t="s">
        <v>865</v>
      </c>
    </row>
    <row r="72" spans="2:4" x14ac:dyDescent="0.2">
      <c r="B72" s="320" t="s">
        <v>287</v>
      </c>
      <c r="C72" s="321">
        <v>0</v>
      </c>
      <c r="D72" s="321">
        <v>0</v>
      </c>
    </row>
    <row r="73" spans="2:4" x14ac:dyDescent="0.2">
      <c r="B73" s="320" t="s">
        <v>288</v>
      </c>
      <c r="C73" s="321">
        <f>'Working TB'!H16</f>
        <v>1800</v>
      </c>
      <c r="D73" s="321">
        <f>'Working TB'!D16-0.74</f>
        <v>1799.26</v>
      </c>
    </row>
    <row r="74" spans="2:4" hidden="1" x14ac:dyDescent="0.2">
      <c r="B74" s="320" t="s">
        <v>289</v>
      </c>
      <c r="C74" s="321">
        <v>0</v>
      </c>
      <c r="D74" s="321">
        <v>0</v>
      </c>
    </row>
    <row r="75" spans="2:4" hidden="1" x14ac:dyDescent="0.2">
      <c r="B75" s="320" t="s">
        <v>290</v>
      </c>
      <c r="C75" s="321">
        <v>0</v>
      </c>
      <c r="D75" s="321">
        <v>0</v>
      </c>
    </row>
    <row r="76" spans="2:4" hidden="1" x14ac:dyDescent="0.2">
      <c r="B76" s="320" t="s">
        <v>291</v>
      </c>
      <c r="C76" s="321"/>
      <c r="D76" s="321">
        <v>0</v>
      </c>
    </row>
    <row r="77" spans="2:4" hidden="1" x14ac:dyDescent="0.2">
      <c r="B77" s="320" t="s">
        <v>292</v>
      </c>
      <c r="C77" s="321">
        <v>0</v>
      </c>
      <c r="D77" s="321">
        <v>0</v>
      </c>
    </row>
    <row r="78" spans="2:4" hidden="1" x14ac:dyDescent="0.2">
      <c r="B78" s="320" t="s">
        <v>293</v>
      </c>
      <c r="C78" s="321"/>
      <c r="D78" s="321">
        <v>0</v>
      </c>
    </row>
    <row r="79" spans="2:4" x14ac:dyDescent="0.2">
      <c r="B79" s="320" t="s">
        <v>294</v>
      </c>
      <c r="C79" s="321">
        <f>'Working TB'!H19</f>
        <v>0</v>
      </c>
      <c r="D79" s="321">
        <v>0</v>
      </c>
    </row>
    <row r="80" spans="2:4" x14ac:dyDescent="0.2">
      <c r="B80" s="320" t="s">
        <v>605</v>
      </c>
      <c r="C80" s="321">
        <f>'Working TB'!H21</f>
        <v>0</v>
      </c>
      <c r="D80" s="321">
        <f>'Working TB'!D21</f>
        <v>230.5</v>
      </c>
    </row>
    <row r="81" spans="2:4" hidden="1" x14ac:dyDescent="0.2">
      <c r="B81" s="320" t="s">
        <v>295</v>
      </c>
      <c r="C81" s="321"/>
      <c r="D81" s="321">
        <v>0</v>
      </c>
    </row>
    <row r="82" spans="2:4" x14ac:dyDescent="0.2">
      <c r="B82" s="320" t="s">
        <v>296</v>
      </c>
      <c r="C82" s="321">
        <f>'Working TB'!H22</f>
        <v>16000</v>
      </c>
      <c r="D82" s="321">
        <f>'Working TB'!D22</f>
        <v>11700</v>
      </c>
    </row>
    <row r="83" spans="2:4" x14ac:dyDescent="0.2">
      <c r="B83" s="514" t="s">
        <v>255</v>
      </c>
      <c r="C83" s="388">
        <f>SUM(C73:C82)</f>
        <v>17800</v>
      </c>
      <c r="D83" s="388">
        <f>SUM(D72:D82)</f>
        <v>13729.76</v>
      </c>
    </row>
    <row r="86" spans="2:4" ht="35.1" customHeight="1" x14ac:dyDescent="0.2">
      <c r="B86" s="512" t="s">
        <v>943</v>
      </c>
      <c r="C86" s="217"/>
      <c r="D86" s="217"/>
    </row>
    <row r="87" spans="2:4" ht="30" customHeight="1" x14ac:dyDescent="0.2">
      <c r="B87" s="513" t="s">
        <v>214</v>
      </c>
      <c r="C87" s="140" t="s">
        <v>977</v>
      </c>
      <c r="D87" s="140" t="s">
        <v>865</v>
      </c>
    </row>
    <row r="88" spans="2:4" hidden="1" x14ac:dyDescent="0.2">
      <c r="B88" s="320" t="s">
        <v>297</v>
      </c>
      <c r="C88" s="321">
        <v>0</v>
      </c>
      <c r="D88" s="321">
        <v>0</v>
      </c>
    </row>
    <row r="89" spans="2:4" x14ac:dyDescent="0.2">
      <c r="B89" s="320" t="s">
        <v>298</v>
      </c>
      <c r="C89" s="321">
        <f>'Working TB'!G45</f>
        <v>2512.0000000000005</v>
      </c>
      <c r="D89" s="321">
        <f>'Working TB'!C45</f>
        <v>2512</v>
      </c>
    </row>
    <row r="90" spans="2:4" hidden="1" x14ac:dyDescent="0.2">
      <c r="B90" s="320" t="s">
        <v>299</v>
      </c>
      <c r="C90" s="321">
        <v>0</v>
      </c>
      <c r="D90" s="321">
        <v>0</v>
      </c>
    </row>
    <row r="91" spans="2:4" x14ac:dyDescent="0.2">
      <c r="B91" s="514" t="s">
        <v>255</v>
      </c>
      <c r="C91" s="388">
        <f>SUM(C88:C90)</f>
        <v>2512.0000000000005</v>
      </c>
      <c r="D91" s="388">
        <f>SUM(D88:D90)</f>
        <v>2512</v>
      </c>
    </row>
    <row r="93" spans="2:4" ht="26.25" customHeight="1" x14ac:dyDescent="0.2">
      <c r="B93" s="515" t="s">
        <v>944</v>
      </c>
      <c r="C93" s="140" t="s">
        <v>977</v>
      </c>
      <c r="D93" s="140" t="s">
        <v>865</v>
      </c>
    </row>
    <row r="94" spans="2:4" x14ac:dyDescent="0.2">
      <c r="B94" s="320" t="s">
        <v>1048</v>
      </c>
      <c r="C94" s="516">
        <f>'Working TB'!H20</f>
        <v>1255554</v>
      </c>
      <c r="D94" s="478">
        <f>0</f>
        <v>0</v>
      </c>
    </row>
    <row r="95" spans="2:4" x14ac:dyDescent="0.2">
      <c r="B95" s="320"/>
      <c r="C95" s="320"/>
      <c r="D95" s="320"/>
    </row>
    <row r="96" spans="2:4" x14ac:dyDescent="0.2">
      <c r="B96" s="514" t="s">
        <v>255</v>
      </c>
      <c r="C96" s="517">
        <f>SUM(C94:C95)</f>
        <v>1255554</v>
      </c>
      <c r="D96" s="517">
        <f>SUM(D94:D95)</f>
        <v>0</v>
      </c>
    </row>
    <row r="98" spans="2:9" ht="35.1" customHeight="1" x14ac:dyDescent="0.2">
      <c r="B98" s="512" t="s">
        <v>945</v>
      </c>
      <c r="C98" s="512"/>
      <c r="D98" s="512"/>
    </row>
    <row r="99" spans="2:9" ht="30" customHeight="1" x14ac:dyDescent="0.2">
      <c r="B99" s="513" t="s">
        <v>215</v>
      </c>
      <c r="C99" s="140" t="s">
        <v>977</v>
      </c>
      <c r="D99" s="140" t="s">
        <v>865</v>
      </c>
    </row>
    <row r="100" spans="2:9" x14ac:dyDescent="0.2">
      <c r="B100" s="320" t="s">
        <v>300</v>
      </c>
      <c r="C100" s="321">
        <v>0</v>
      </c>
      <c r="D100" s="321"/>
    </row>
    <row r="101" spans="2:9" x14ac:dyDescent="0.2">
      <c r="B101" s="320" t="s">
        <v>301</v>
      </c>
      <c r="C101" s="321">
        <v>0</v>
      </c>
      <c r="D101" s="321">
        <v>0</v>
      </c>
    </row>
    <row r="102" spans="2:9" x14ac:dyDescent="0.2">
      <c r="B102" s="320" t="s">
        <v>302</v>
      </c>
      <c r="C102" s="321">
        <f>'Working TB'!G52</f>
        <v>0</v>
      </c>
      <c r="D102" s="321"/>
      <c r="F102" s="137"/>
      <c r="G102" s="137"/>
      <c r="H102" s="137"/>
      <c r="I102" s="137"/>
    </row>
    <row r="103" spans="2:9" x14ac:dyDescent="0.2">
      <c r="B103" s="514" t="s">
        <v>255</v>
      </c>
      <c r="C103" s="388">
        <f>SUM(C100:C102)</f>
        <v>0</v>
      </c>
      <c r="D103" s="388">
        <f>SUM(D100:D102)</f>
        <v>0</v>
      </c>
    </row>
    <row r="106" spans="2:9" ht="35.1" customHeight="1" x14ac:dyDescent="0.2">
      <c r="B106" s="512" t="s">
        <v>946</v>
      </c>
      <c r="C106" s="512"/>
      <c r="D106" s="512"/>
    </row>
    <row r="107" spans="2:9" ht="30" customHeight="1" x14ac:dyDescent="0.2">
      <c r="B107" s="513" t="s">
        <v>221</v>
      </c>
      <c r="C107" s="140" t="s">
        <v>977</v>
      </c>
      <c r="D107" s="140" t="s">
        <v>865</v>
      </c>
    </row>
    <row r="108" spans="2:9" x14ac:dyDescent="0.2">
      <c r="B108" s="320" t="s">
        <v>303</v>
      </c>
      <c r="C108" s="321">
        <v>0</v>
      </c>
      <c r="D108" s="321">
        <v>0</v>
      </c>
    </row>
    <row r="109" spans="2:9" x14ac:dyDescent="0.2">
      <c r="B109" s="514" t="s">
        <v>255</v>
      </c>
      <c r="C109" s="388">
        <f>SUM(C108:C108)</f>
        <v>0</v>
      </c>
      <c r="D109" s="388">
        <f>SUM(D108:D108)</f>
        <v>0</v>
      </c>
    </row>
    <row r="111" spans="2:9" ht="30" customHeight="1" x14ac:dyDescent="0.2">
      <c r="B111" s="513" t="s">
        <v>218</v>
      </c>
      <c r="C111" s="140" t="s">
        <v>977</v>
      </c>
      <c r="D111" s="140" t="s">
        <v>865</v>
      </c>
    </row>
    <row r="112" spans="2:9" ht="14.65" customHeight="1" x14ac:dyDescent="0.2">
      <c r="B112" s="320" t="s">
        <v>304</v>
      </c>
      <c r="C112" s="321">
        <f>'Working TB'!G54</f>
        <v>4068610.25</v>
      </c>
      <c r="D112" s="321">
        <f>'Working TB'!C54</f>
        <v>7365298.8900000006</v>
      </c>
    </row>
    <row r="113" spans="2:6" x14ac:dyDescent="0.2">
      <c r="B113" s="514" t="s">
        <v>255</v>
      </c>
      <c r="C113" s="388">
        <f>SUM(C112:C112)</f>
        <v>4068610.25</v>
      </c>
      <c r="D113" s="388">
        <f>SUM(D112:D112)</f>
        <v>7365298.8900000006</v>
      </c>
    </row>
    <row r="116" spans="2:6" ht="35.1" customHeight="1" x14ac:dyDescent="0.2">
      <c r="B116" s="512" t="s">
        <v>947</v>
      </c>
      <c r="C116" s="512"/>
      <c r="D116" s="512"/>
    </row>
    <row r="117" spans="2:6" ht="30" customHeight="1" x14ac:dyDescent="0.2">
      <c r="B117" s="513" t="s">
        <v>224</v>
      </c>
      <c r="C117" s="140" t="s">
        <v>977</v>
      </c>
      <c r="D117" s="140" t="s">
        <v>865</v>
      </c>
    </row>
    <row r="118" spans="2:6" x14ac:dyDescent="0.2">
      <c r="B118" s="518" t="s">
        <v>305</v>
      </c>
      <c r="C118" s="321">
        <v>0</v>
      </c>
      <c r="D118" s="321">
        <f>0</f>
        <v>0</v>
      </c>
    </row>
    <row r="119" spans="2:6" ht="14.65" customHeight="1" x14ac:dyDescent="0.2">
      <c r="B119" s="518" t="s">
        <v>306</v>
      </c>
      <c r="C119" s="321">
        <f>'Working TB'!G60</f>
        <v>68386.140000000014</v>
      </c>
      <c r="D119" s="321">
        <f>53010.81</f>
        <v>53010.81</v>
      </c>
    </row>
    <row r="120" spans="2:6" x14ac:dyDescent="0.2">
      <c r="B120" s="518" t="s">
        <v>307</v>
      </c>
      <c r="C120" s="321"/>
      <c r="D120" s="321">
        <f>0.01</f>
        <v>0.01</v>
      </c>
    </row>
    <row r="121" spans="2:6" x14ac:dyDescent="0.2">
      <c r="B121" s="518" t="s">
        <v>308</v>
      </c>
      <c r="C121" s="321">
        <f>'Working TB'!G61</f>
        <v>385</v>
      </c>
      <c r="D121" s="321">
        <f>872453.61</f>
        <v>872453.61</v>
      </c>
    </row>
    <row r="122" spans="2:6" x14ac:dyDescent="0.2">
      <c r="B122" s="518" t="s">
        <v>839</v>
      </c>
      <c r="C122" s="321">
        <f>'Working TB'!G66+'Working TB'!G67</f>
        <v>882663</v>
      </c>
      <c r="D122" s="321">
        <f>46397</f>
        <v>46397</v>
      </c>
    </row>
    <row r="123" spans="2:6" x14ac:dyDescent="0.2">
      <c r="B123" s="518" t="s">
        <v>290</v>
      </c>
      <c r="C123" s="321">
        <v>0</v>
      </c>
      <c r="D123" s="321"/>
    </row>
    <row r="124" spans="2:6" x14ac:dyDescent="0.2">
      <c r="B124" s="518" t="s">
        <v>292</v>
      </c>
      <c r="C124" s="321">
        <v>0</v>
      </c>
      <c r="D124" s="321"/>
    </row>
    <row r="125" spans="2:6" x14ac:dyDescent="0.2">
      <c r="B125" s="518" t="s">
        <v>309</v>
      </c>
      <c r="C125" s="321">
        <v>0</v>
      </c>
      <c r="D125" s="321"/>
    </row>
    <row r="126" spans="2:6" ht="14.65" customHeight="1" x14ac:dyDescent="0.2">
      <c r="B126" s="518" t="s">
        <v>310</v>
      </c>
      <c r="C126" s="321">
        <f>'Working TB'!G62</f>
        <v>68386.140000000014</v>
      </c>
      <c r="D126" s="321">
        <f>53010.81</f>
        <v>53010.81</v>
      </c>
      <c r="F126" s="152">
        <f>C119+C121+C122+C126+C128+C129</f>
        <v>2470312.2800000003</v>
      </c>
    </row>
    <row r="127" spans="2:6" x14ac:dyDescent="0.2">
      <c r="B127" s="518" t="s">
        <v>311</v>
      </c>
      <c r="C127" s="321"/>
      <c r="D127" s="321">
        <v>0.01</v>
      </c>
    </row>
    <row r="128" spans="2:6" x14ac:dyDescent="0.2">
      <c r="B128" s="518" t="s">
        <v>887</v>
      </c>
      <c r="C128" s="321">
        <f>'Working TB'!G50</f>
        <v>1450000</v>
      </c>
      <c r="D128" s="321">
        <f>1000000</f>
        <v>1000000</v>
      </c>
    </row>
    <row r="129" spans="2:4" x14ac:dyDescent="0.2">
      <c r="B129" s="518" t="s">
        <v>888</v>
      </c>
      <c r="C129" s="321">
        <f>'Working TB'!G51</f>
        <v>492</v>
      </c>
      <c r="D129" s="321">
        <f>492</f>
        <v>492</v>
      </c>
    </row>
    <row r="130" spans="2:4" x14ac:dyDescent="0.2">
      <c r="B130" s="519" t="s">
        <v>255</v>
      </c>
      <c r="C130" s="388">
        <f>SUM(C118:C129)</f>
        <v>2470312.2800000003</v>
      </c>
      <c r="D130" s="388">
        <f>SUM(D118:D129)</f>
        <v>2025364.25</v>
      </c>
    </row>
    <row r="133" spans="2:4" x14ac:dyDescent="0.2">
      <c r="B133" s="512" t="s">
        <v>956</v>
      </c>
      <c r="C133" s="512"/>
      <c r="D133" s="512"/>
    </row>
    <row r="134" spans="2:4" ht="27.75" customHeight="1" x14ac:dyDescent="0.2">
      <c r="B134" s="513" t="s">
        <v>954</v>
      </c>
      <c r="C134" s="140" t="s">
        <v>977</v>
      </c>
      <c r="D134" s="140" t="s">
        <v>865</v>
      </c>
    </row>
    <row r="135" spans="2:4" x14ac:dyDescent="0.2">
      <c r="B135" s="320" t="s">
        <v>955</v>
      </c>
      <c r="C135" s="321">
        <v>0</v>
      </c>
      <c r="D135" s="321">
        <f>'Working TB'!C68</f>
        <v>249</v>
      </c>
    </row>
    <row r="136" spans="2:4" x14ac:dyDescent="0.2">
      <c r="B136" s="514" t="s">
        <v>255</v>
      </c>
      <c r="C136" s="388">
        <f>SUM(C135:C135)</f>
        <v>0</v>
      </c>
      <c r="D136" s="388">
        <f>SUM(D135:D135)</f>
        <v>249</v>
      </c>
    </row>
    <row r="139" spans="2:4" ht="35.1" customHeight="1" x14ac:dyDescent="0.2">
      <c r="B139" s="512" t="s">
        <v>957</v>
      </c>
      <c r="C139" s="512"/>
      <c r="D139" s="512"/>
    </row>
    <row r="140" spans="2:4" ht="30" customHeight="1" x14ac:dyDescent="0.2">
      <c r="B140" s="513" t="s">
        <v>227</v>
      </c>
      <c r="C140" s="140" t="s">
        <v>977</v>
      </c>
      <c r="D140" s="140" t="s">
        <v>865</v>
      </c>
    </row>
    <row r="141" spans="2:4" x14ac:dyDescent="0.2">
      <c r="B141" s="320" t="s">
        <v>606</v>
      </c>
      <c r="C141" s="321">
        <v>0</v>
      </c>
      <c r="D141" s="321">
        <v>0</v>
      </c>
    </row>
    <row r="142" spans="2:4" x14ac:dyDescent="0.2">
      <c r="B142" s="320" t="s">
        <v>607</v>
      </c>
      <c r="C142" s="321">
        <f>'Working TB'!G64</f>
        <v>0</v>
      </c>
      <c r="D142" s="321">
        <f>0</f>
        <v>0</v>
      </c>
    </row>
    <row r="143" spans="2:4" x14ac:dyDescent="0.2">
      <c r="B143" s="320" t="s">
        <v>312</v>
      </c>
      <c r="C143" s="321">
        <v>0</v>
      </c>
      <c r="D143" s="321">
        <v>0</v>
      </c>
    </row>
    <row r="144" spans="2:4" x14ac:dyDescent="0.2">
      <c r="B144" s="320" t="s">
        <v>856</v>
      </c>
      <c r="C144" s="321">
        <f>'Working TB'!G66+'Working TB'!G67</f>
        <v>882663</v>
      </c>
      <c r="D144" s="321"/>
    </row>
    <row r="145" spans="2:4" x14ac:dyDescent="0.2">
      <c r="B145" s="514" t="s">
        <v>255</v>
      </c>
      <c r="C145" s="388">
        <f>SUM(C141:C143)</f>
        <v>0</v>
      </c>
      <c r="D145" s="388">
        <f>SUM(D141:D143)</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9"/>
  <sheetViews>
    <sheetView showGridLines="0" topLeftCell="A47" workbookViewId="0">
      <selection activeCell="C68" sqref="C68"/>
    </sheetView>
  </sheetViews>
  <sheetFormatPr defaultColWidth="8.7109375" defaultRowHeight="12.75" x14ac:dyDescent="0.2"/>
  <cols>
    <col min="1" max="1" width="8.7109375" style="136"/>
    <col min="2" max="2" width="36.42578125" style="136" customWidth="1"/>
    <col min="3" max="3" width="16.42578125" style="136" customWidth="1"/>
    <col min="4" max="4" width="17.140625" style="136" customWidth="1"/>
    <col min="5" max="16384" width="8.7109375" style="136"/>
  </cols>
  <sheetData>
    <row r="1" spans="2:4" ht="40.15" customHeight="1" x14ac:dyDescent="0.2">
      <c r="B1" s="459" t="s">
        <v>1027</v>
      </c>
      <c r="C1" s="135"/>
      <c r="D1" s="135"/>
    </row>
    <row r="2" spans="2:4" ht="15.75" customHeight="1" x14ac:dyDescent="0.2">
      <c r="B2" s="137" t="s">
        <v>1028</v>
      </c>
    </row>
    <row r="3" spans="2:4" ht="15" customHeight="1" x14ac:dyDescent="0.2">
      <c r="B3" s="137" t="s">
        <v>927</v>
      </c>
    </row>
    <row r="4" spans="2:4" ht="18.75" customHeight="1" x14ac:dyDescent="0.2">
      <c r="B4" s="627"/>
      <c r="C4" s="216"/>
      <c r="D4" s="216"/>
    </row>
    <row r="5" spans="2:4" ht="35.1" customHeight="1" x14ac:dyDescent="0.2">
      <c r="B5" s="512" t="s">
        <v>313</v>
      </c>
      <c r="C5" s="217"/>
      <c r="D5" s="217"/>
    </row>
    <row r="6" spans="2:4" ht="30" customHeight="1" x14ac:dyDescent="0.2">
      <c r="B6" s="513" t="s">
        <v>230</v>
      </c>
      <c r="C6" s="140" t="s">
        <v>977</v>
      </c>
      <c r="D6" s="140" t="s">
        <v>865</v>
      </c>
    </row>
    <row r="7" spans="2:4" x14ac:dyDescent="0.2">
      <c r="B7" s="320" t="s">
        <v>314</v>
      </c>
      <c r="C7" s="321">
        <f>'Working TB'!H70</f>
        <v>43300000</v>
      </c>
      <c r="D7" s="321">
        <v>1578059</v>
      </c>
    </row>
    <row r="8" spans="2:4" x14ac:dyDescent="0.2">
      <c r="B8" s="320" t="s">
        <v>315</v>
      </c>
      <c r="C8" s="321"/>
      <c r="D8" s="321"/>
    </row>
    <row r="9" spans="2:4" x14ac:dyDescent="0.2">
      <c r="B9" s="514" t="s">
        <v>255</v>
      </c>
      <c r="C9" s="388">
        <f>SUM(C7:C8)</f>
        <v>43300000</v>
      </c>
      <c r="D9" s="388">
        <f>SUM(D7:D8)</f>
        <v>1578059</v>
      </c>
    </row>
    <row r="12" spans="2:4" ht="35.1" customHeight="1" x14ac:dyDescent="0.2">
      <c r="B12" s="512" t="s">
        <v>316</v>
      </c>
      <c r="C12" s="217"/>
      <c r="D12" s="217"/>
    </row>
    <row r="13" spans="2:4" ht="30" customHeight="1" x14ac:dyDescent="0.2">
      <c r="B13" s="513" t="s">
        <v>233</v>
      </c>
      <c r="C13" s="140" t="s">
        <v>977</v>
      </c>
      <c r="D13" s="140" t="s">
        <v>865</v>
      </c>
    </row>
    <row r="14" spans="2:4" x14ac:dyDescent="0.2">
      <c r="B14" s="320" t="s">
        <v>317</v>
      </c>
      <c r="C14" s="321">
        <f>0</f>
        <v>0</v>
      </c>
      <c r="D14" s="321">
        <f>4747.33</f>
        <v>4747.33</v>
      </c>
    </row>
    <row r="15" spans="2:4" x14ac:dyDescent="0.2">
      <c r="B15" s="514" t="s">
        <v>255</v>
      </c>
      <c r="C15" s="388">
        <f>SUM(C14:C14)</f>
        <v>0</v>
      </c>
      <c r="D15" s="388">
        <f>SUM(D14:D14)</f>
        <v>4747.33</v>
      </c>
    </row>
    <row r="17" spans="1:4" ht="30" customHeight="1" x14ac:dyDescent="0.2">
      <c r="B17" s="513" t="s">
        <v>234</v>
      </c>
      <c r="C17" s="140" t="s">
        <v>977</v>
      </c>
      <c r="D17" s="140" t="s">
        <v>865</v>
      </c>
    </row>
    <row r="18" spans="1:4" x14ac:dyDescent="0.2">
      <c r="A18" s="98"/>
      <c r="B18" s="520" t="s">
        <v>1040</v>
      </c>
      <c r="C18" s="321">
        <f>0</f>
        <v>0</v>
      </c>
      <c r="D18" s="321">
        <f>6870</f>
        <v>6870</v>
      </c>
    </row>
    <row r="19" spans="1:4" x14ac:dyDescent="0.2">
      <c r="A19" s="98"/>
      <c r="B19" s="521" t="s">
        <v>862</v>
      </c>
      <c r="C19" s="321">
        <f>'Working TB'!H78</f>
        <v>57547</v>
      </c>
      <c r="D19" s="321">
        <f>16680</f>
        <v>16680</v>
      </c>
    </row>
    <row r="20" spans="1:4" x14ac:dyDescent="0.2">
      <c r="A20" s="98"/>
      <c r="B20" s="521" t="s">
        <v>1041</v>
      </c>
      <c r="C20" s="321">
        <f>'Working TB'!H79</f>
        <v>672666.74</v>
      </c>
      <c r="D20" s="321"/>
    </row>
    <row r="21" spans="1:4" x14ac:dyDescent="0.2">
      <c r="A21" s="98"/>
      <c r="B21" s="320"/>
      <c r="C21" s="321"/>
      <c r="D21" s="321"/>
    </row>
    <row r="22" spans="1:4" x14ac:dyDescent="0.2">
      <c r="B22" s="522" t="s">
        <v>201</v>
      </c>
      <c r="C22" s="388">
        <f>SUM(C18:C21)</f>
        <v>730213.74</v>
      </c>
      <c r="D22" s="388">
        <f>SUM(D18:D21)</f>
        <v>23550</v>
      </c>
    </row>
    <row r="24" spans="1:4" ht="42.75" customHeight="1" x14ac:dyDescent="0.2">
      <c r="B24" s="514" t="s">
        <v>932</v>
      </c>
      <c r="C24" s="140" t="s">
        <v>977</v>
      </c>
      <c r="D24" s="140" t="s">
        <v>865</v>
      </c>
    </row>
    <row r="25" spans="1:4" x14ac:dyDescent="0.2">
      <c r="B25" s="320" t="s">
        <v>933</v>
      </c>
      <c r="C25" s="478">
        <f>'Working TB'!H77</f>
        <v>166630</v>
      </c>
      <c r="D25" s="478">
        <f>463966</f>
        <v>463966</v>
      </c>
    </row>
    <row r="26" spans="1:4" x14ac:dyDescent="0.2">
      <c r="B26" s="514" t="s">
        <v>201</v>
      </c>
      <c r="C26" s="523">
        <f>C25</f>
        <v>166630</v>
      </c>
      <c r="D26" s="523">
        <f>D25</f>
        <v>463966</v>
      </c>
    </row>
    <row r="27" spans="1:4" x14ac:dyDescent="0.2">
      <c r="B27" s="137"/>
    </row>
    <row r="28" spans="1:4" x14ac:dyDescent="0.2">
      <c r="B28" s="137"/>
    </row>
    <row r="29" spans="1:4" x14ac:dyDescent="0.2">
      <c r="B29" s="137"/>
    </row>
    <row r="30" spans="1:4" x14ac:dyDescent="0.2">
      <c r="B30" s="137"/>
    </row>
    <row r="31" spans="1:4" ht="35.1" customHeight="1" x14ac:dyDescent="0.2">
      <c r="B31" s="512" t="s">
        <v>948</v>
      </c>
      <c r="C31" s="217"/>
      <c r="D31" s="217"/>
    </row>
    <row r="32" spans="1:4" ht="30" customHeight="1" x14ac:dyDescent="0.2">
      <c r="B32" s="513" t="s">
        <v>966</v>
      </c>
      <c r="C32" s="140" t="s">
        <v>977</v>
      </c>
      <c r="D32" s="140" t="s">
        <v>865</v>
      </c>
    </row>
    <row r="33" spans="2:4" x14ac:dyDescent="0.2">
      <c r="B33" s="320" t="s">
        <v>318</v>
      </c>
      <c r="C33" s="321">
        <f>0</f>
        <v>0</v>
      </c>
      <c r="D33" s="321">
        <f>20000</f>
        <v>20000</v>
      </c>
    </row>
    <row r="34" spans="2:4" x14ac:dyDescent="0.2">
      <c r="B34" s="320" t="s">
        <v>319</v>
      </c>
      <c r="C34" s="321">
        <f>0</f>
        <v>0</v>
      </c>
      <c r="D34" s="321">
        <f>40000</f>
        <v>40000</v>
      </c>
    </row>
    <row r="35" spans="2:4" x14ac:dyDescent="0.2">
      <c r="B35" s="514" t="s">
        <v>255</v>
      </c>
      <c r="C35" s="388">
        <f>SUM(C33:C34)</f>
        <v>0</v>
      </c>
      <c r="D35" s="388">
        <f>SUM(D33:D34)</f>
        <v>60000</v>
      </c>
    </row>
    <row r="37" spans="2:4" ht="30" customHeight="1" x14ac:dyDescent="0.2">
      <c r="B37" s="513" t="s">
        <v>236</v>
      </c>
      <c r="C37" s="140" t="s">
        <v>977</v>
      </c>
      <c r="D37" s="140" t="s">
        <v>865</v>
      </c>
    </row>
    <row r="38" spans="2:4" x14ac:dyDescent="0.2">
      <c r="B38" s="320" t="s">
        <v>320</v>
      </c>
      <c r="C38" s="321">
        <f>'Working TB'!G100</f>
        <v>320000</v>
      </c>
      <c r="D38" s="321">
        <f>480000</f>
        <v>480000</v>
      </c>
    </row>
    <row r="39" spans="2:4" x14ac:dyDescent="0.2">
      <c r="B39" s="514" t="s">
        <v>255</v>
      </c>
      <c r="C39" s="388">
        <f>SUM(C38:C38)</f>
        <v>320000</v>
      </c>
      <c r="D39" s="388">
        <f>SUM(D38:D38)</f>
        <v>480000</v>
      </c>
    </row>
    <row r="42" spans="2:4" ht="35.1" customHeight="1" x14ac:dyDescent="0.2">
      <c r="B42" s="512" t="s">
        <v>949</v>
      </c>
      <c r="C42" s="217"/>
      <c r="D42" s="217"/>
    </row>
    <row r="43" spans="2:4" ht="30" customHeight="1" x14ac:dyDescent="0.2">
      <c r="B43" s="513" t="s">
        <v>238</v>
      </c>
      <c r="C43" s="140" t="s">
        <v>977</v>
      </c>
      <c r="D43" s="140" t="s">
        <v>865</v>
      </c>
    </row>
    <row r="44" spans="2:4" x14ac:dyDescent="0.2">
      <c r="B44" s="320" t="s">
        <v>1076</v>
      </c>
      <c r="C44" s="321">
        <f>'Working TB'!G95</f>
        <v>3593663.96</v>
      </c>
      <c r="D44" s="321">
        <f>263350</f>
        <v>263350</v>
      </c>
    </row>
    <row r="45" spans="2:4" x14ac:dyDescent="0.2">
      <c r="B45" s="514" t="s">
        <v>255</v>
      </c>
      <c r="C45" s="388">
        <f>SUM(C44:C44)</f>
        <v>3593663.96</v>
      </c>
      <c r="D45" s="388">
        <f>SUM(D44:D44)</f>
        <v>263350</v>
      </c>
    </row>
    <row r="48" spans="2:4" ht="35.1" customHeight="1" x14ac:dyDescent="0.2">
      <c r="B48" s="512" t="s">
        <v>950</v>
      </c>
      <c r="C48" s="217"/>
      <c r="D48" s="217"/>
    </row>
    <row r="49" spans="2:4" ht="30" customHeight="1" x14ac:dyDescent="0.2">
      <c r="B49" s="513" t="s">
        <v>240</v>
      </c>
      <c r="C49" s="140" t="s">
        <v>977</v>
      </c>
      <c r="D49" s="140" t="s">
        <v>865</v>
      </c>
    </row>
    <row r="50" spans="2:4" x14ac:dyDescent="0.2">
      <c r="B50" s="320" t="s">
        <v>321</v>
      </c>
      <c r="C50" s="321">
        <f>'Working TB'!G94</f>
        <v>0</v>
      </c>
      <c r="D50" s="321">
        <f>15914</f>
        <v>15914</v>
      </c>
    </row>
    <row r="51" spans="2:4" x14ac:dyDescent="0.2">
      <c r="B51" s="514" t="s">
        <v>255</v>
      </c>
      <c r="C51" s="388">
        <f>SUM(C50:C50)</f>
        <v>0</v>
      </c>
      <c r="D51" s="388">
        <f>SUM(D50:D50)</f>
        <v>15914</v>
      </c>
    </row>
    <row r="54" spans="2:4" ht="35.1" customHeight="1" x14ac:dyDescent="0.2">
      <c r="B54" s="512" t="s">
        <v>951</v>
      </c>
      <c r="C54" s="217"/>
      <c r="D54" s="217"/>
    </row>
    <row r="55" spans="2:4" ht="30" customHeight="1" x14ac:dyDescent="0.2">
      <c r="B55" s="513" t="s">
        <v>242</v>
      </c>
      <c r="C55" s="140" t="s">
        <v>977</v>
      </c>
      <c r="D55" s="140" t="s">
        <v>865</v>
      </c>
    </row>
    <row r="56" spans="2:4" x14ac:dyDescent="0.2">
      <c r="B56" s="320" t="s">
        <v>322</v>
      </c>
      <c r="C56" s="321">
        <f>'Working TB'!G82</f>
        <v>46387.17</v>
      </c>
      <c r="D56" s="321">
        <f>35615.74</f>
        <v>35615.74</v>
      </c>
    </row>
    <row r="57" spans="2:4" x14ac:dyDescent="0.2">
      <c r="B57" s="320" t="s">
        <v>323</v>
      </c>
      <c r="C57" s="321">
        <f>'Working TB'!G83</f>
        <v>6000</v>
      </c>
      <c r="D57" s="321">
        <f>6000</f>
        <v>6000</v>
      </c>
    </row>
    <row r="58" spans="2:4" x14ac:dyDescent="0.2">
      <c r="B58" s="320" t="s">
        <v>608</v>
      </c>
      <c r="C58" s="321">
        <v>0</v>
      </c>
      <c r="D58" s="321">
        <f>0</f>
        <v>0</v>
      </c>
    </row>
    <row r="59" spans="2:4" x14ac:dyDescent="0.2">
      <c r="B59" s="320"/>
      <c r="C59" s="321"/>
      <c r="D59" s="321"/>
    </row>
    <row r="60" spans="2:4" x14ac:dyDescent="0.2">
      <c r="B60" s="514" t="s">
        <v>255</v>
      </c>
      <c r="C60" s="388">
        <f>SUM(C56:C58)</f>
        <v>52387.17</v>
      </c>
      <c r="D60" s="388">
        <f>SUM(D56:D58)</f>
        <v>41615.74</v>
      </c>
    </row>
    <row r="62" spans="2:4" ht="30" customHeight="1" x14ac:dyDescent="0.2">
      <c r="B62" s="513" t="s">
        <v>1007</v>
      </c>
      <c r="C62" s="140" t="s">
        <v>977</v>
      </c>
      <c r="D62" s="140" t="s">
        <v>865</v>
      </c>
    </row>
    <row r="63" spans="2:4" x14ac:dyDescent="0.2">
      <c r="B63" s="320" t="s">
        <v>324</v>
      </c>
      <c r="C63" s="321">
        <f>0</f>
        <v>0</v>
      </c>
      <c r="D63" s="321">
        <f>27508</f>
        <v>27508</v>
      </c>
    </row>
    <row r="64" spans="2:4" x14ac:dyDescent="0.2">
      <c r="B64" s="320" t="s">
        <v>325</v>
      </c>
      <c r="C64" s="524">
        <v>0</v>
      </c>
      <c r="D64" s="321">
        <f>-5455</f>
        <v>-5455</v>
      </c>
    </row>
    <row r="65" spans="1:4" x14ac:dyDescent="0.2">
      <c r="B65" s="320" t="s">
        <v>964</v>
      </c>
      <c r="C65" s="321">
        <v>0</v>
      </c>
      <c r="D65" s="321">
        <f>0</f>
        <v>0</v>
      </c>
    </row>
    <row r="66" spans="1:4" x14ac:dyDescent="0.2">
      <c r="B66" s="525" t="s">
        <v>1021</v>
      </c>
      <c r="C66" s="321">
        <f>'Working TB'!G75</f>
        <v>463881</v>
      </c>
      <c r="D66" s="321">
        <f>42768</f>
        <v>42768</v>
      </c>
    </row>
    <row r="67" spans="1:4" x14ac:dyDescent="0.2">
      <c r="B67" s="526" t="s">
        <v>332</v>
      </c>
      <c r="C67" s="321">
        <f>0</f>
        <v>0</v>
      </c>
      <c r="D67" s="321">
        <f>4500</f>
        <v>4500</v>
      </c>
    </row>
    <row r="68" spans="1:4" x14ac:dyDescent="0.2">
      <c r="A68" s="98"/>
      <c r="B68" s="521" t="s">
        <v>15</v>
      </c>
      <c r="C68" s="624">
        <f>'Working TB'!G87</f>
        <v>8.3600000000000012</v>
      </c>
      <c r="D68" s="321">
        <v>-0.55000000000000004</v>
      </c>
    </row>
    <row r="69" spans="1:4" x14ac:dyDescent="0.2">
      <c r="B69" s="514" t="s">
        <v>255</v>
      </c>
      <c r="C69" s="388">
        <f>SUM(C63:C68)</f>
        <v>463889.36</v>
      </c>
      <c r="D69" s="388">
        <f>SUM(D63:D68)</f>
        <v>69320.45</v>
      </c>
    </row>
    <row r="71" spans="1:4" ht="30" customHeight="1" x14ac:dyDescent="0.2">
      <c r="B71" s="513" t="s">
        <v>244</v>
      </c>
      <c r="C71" s="140" t="s">
        <v>977</v>
      </c>
      <c r="D71" s="140" t="s">
        <v>865</v>
      </c>
    </row>
    <row r="72" spans="1:4" x14ac:dyDescent="0.2">
      <c r="B72" s="320" t="s">
        <v>326</v>
      </c>
      <c r="C72" s="321">
        <f>'Working TB'!G90</f>
        <v>9431.74</v>
      </c>
      <c r="D72" s="321">
        <f>13101.98</f>
        <v>13101.98</v>
      </c>
    </row>
    <row r="73" spans="1:4" x14ac:dyDescent="0.2">
      <c r="B73" s="514" t="s">
        <v>255</v>
      </c>
      <c r="C73" s="388">
        <f>SUM(C72:C72)</f>
        <v>9431.74</v>
      </c>
      <c r="D73" s="388">
        <f>SUM(D72:D72)</f>
        <v>13101.98</v>
      </c>
    </row>
    <row r="75" spans="1:4" ht="30" customHeight="1" x14ac:dyDescent="0.2">
      <c r="B75" s="513" t="s">
        <v>245</v>
      </c>
      <c r="C75" s="140" t="s">
        <v>977</v>
      </c>
      <c r="D75" s="140" t="s">
        <v>865</v>
      </c>
    </row>
    <row r="76" spans="1:4" x14ac:dyDescent="0.2">
      <c r="B76" s="320" t="s">
        <v>327</v>
      </c>
      <c r="C76" s="321">
        <f>0</f>
        <v>0</v>
      </c>
      <c r="D76" s="321">
        <f>500</f>
        <v>500</v>
      </c>
    </row>
    <row r="77" spans="1:4" x14ac:dyDescent="0.2">
      <c r="B77" s="320" t="s">
        <v>965</v>
      </c>
      <c r="C77" s="321">
        <v>0</v>
      </c>
      <c r="D77" s="321">
        <f>0</f>
        <v>0</v>
      </c>
    </row>
    <row r="78" spans="1:4" x14ac:dyDescent="0.2">
      <c r="B78" s="320" t="s">
        <v>872</v>
      </c>
      <c r="C78" s="321">
        <f>'Working TB'!G85</f>
        <v>10000</v>
      </c>
      <c r="D78" s="321">
        <f>252397.33</f>
        <v>252397.33</v>
      </c>
    </row>
    <row r="79" spans="1:4" x14ac:dyDescent="0.2">
      <c r="B79" s="320" t="s">
        <v>328</v>
      </c>
      <c r="C79" s="321">
        <f>'Working TB'!G98</f>
        <v>206000</v>
      </c>
      <c r="D79" s="321">
        <f>151000</f>
        <v>151000</v>
      </c>
    </row>
    <row r="80" spans="1:4" x14ac:dyDescent="0.2">
      <c r="B80" s="320" t="s">
        <v>329</v>
      </c>
      <c r="C80" s="321">
        <f>'Working TB'!G86+'Working TB'!G88</f>
        <v>1854</v>
      </c>
      <c r="D80" s="321">
        <f>2884</f>
        <v>2884</v>
      </c>
    </row>
    <row r="81" spans="2:4" x14ac:dyDescent="0.2">
      <c r="B81" s="320" t="s">
        <v>1022</v>
      </c>
      <c r="C81" s="321">
        <f>'Working TB'!G92</f>
        <v>1000</v>
      </c>
      <c r="D81" s="321"/>
    </row>
    <row r="82" spans="2:4" x14ac:dyDescent="0.2">
      <c r="B82" s="320" t="s">
        <v>1023</v>
      </c>
      <c r="C82" s="321">
        <f>'Working TB'!G96</f>
        <v>60</v>
      </c>
      <c r="D82" s="321"/>
    </row>
    <row r="83" spans="2:4" x14ac:dyDescent="0.2">
      <c r="B83" s="320" t="s">
        <v>330</v>
      </c>
      <c r="C83" s="321">
        <v>0</v>
      </c>
      <c r="D83" s="321">
        <f>0</f>
        <v>0</v>
      </c>
    </row>
    <row r="84" spans="2:4" x14ac:dyDescent="0.2">
      <c r="B84" s="514" t="s">
        <v>255</v>
      </c>
      <c r="C84" s="388">
        <f>SUM(C76:C83)</f>
        <v>218914</v>
      </c>
      <c r="D84" s="388">
        <f>SUM(D76:D83)</f>
        <v>406781.32999999996</v>
      </c>
    </row>
    <row r="86" spans="2:4" ht="30" customHeight="1" x14ac:dyDescent="0.2">
      <c r="B86" s="513" t="s">
        <v>246</v>
      </c>
      <c r="C86" s="140" t="s">
        <v>977</v>
      </c>
      <c r="D86" s="140" t="s">
        <v>865</v>
      </c>
    </row>
    <row r="87" spans="2:4" x14ac:dyDescent="0.2">
      <c r="B87" s="320" t="s">
        <v>331</v>
      </c>
      <c r="C87" s="321">
        <f>'Working TB'!G93</f>
        <v>0</v>
      </c>
      <c r="D87" s="321">
        <f>280</f>
        <v>280</v>
      </c>
    </row>
    <row r="88" spans="2:4" x14ac:dyDescent="0.2">
      <c r="B88" s="514" t="s">
        <v>255</v>
      </c>
      <c r="C88" s="388">
        <f>SUM(C87:C87)</f>
        <v>0</v>
      </c>
      <c r="D88" s="388">
        <f>SUM(D87:D87)</f>
        <v>280</v>
      </c>
    </row>
    <row r="90" spans="2:4" ht="30" customHeight="1" x14ac:dyDescent="0.2">
      <c r="B90" s="513" t="s">
        <v>247</v>
      </c>
      <c r="C90" s="140" t="s">
        <v>977</v>
      </c>
      <c r="D90" s="140" t="s">
        <v>865</v>
      </c>
    </row>
    <row r="91" spans="2:4" x14ac:dyDescent="0.2">
      <c r="B91" s="320" t="s">
        <v>333</v>
      </c>
      <c r="C91" s="321">
        <f>'Working TB'!G91</f>
        <v>6000</v>
      </c>
      <c r="D91" s="321">
        <f>8000</f>
        <v>8000</v>
      </c>
    </row>
    <row r="92" spans="2:4" x14ac:dyDescent="0.2">
      <c r="B92" s="514" t="s">
        <v>255</v>
      </c>
      <c r="C92" s="388">
        <f>SUM(C91:C91)</f>
        <v>6000</v>
      </c>
      <c r="D92" s="388">
        <f>SUM(D91:D91)</f>
        <v>8000</v>
      </c>
    </row>
    <row r="94" spans="2:4" ht="30" customHeight="1" x14ac:dyDescent="0.2">
      <c r="B94" s="513" t="s">
        <v>248</v>
      </c>
      <c r="C94" s="140" t="s">
        <v>977</v>
      </c>
      <c r="D94" s="140" t="s">
        <v>865</v>
      </c>
    </row>
    <row r="95" spans="2:4" x14ac:dyDescent="0.2">
      <c r="B95" s="320" t="s">
        <v>334</v>
      </c>
      <c r="C95" s="321">
        <f>'Working TB'!G99</f>
        <v>141600</v>
      </c>
      <c r="D95" s="321">
        <f>141600</f>
        <v>141600</v>
      </c>
    </row>
    <row r="96" spans="2:4" x14ac:dyDescent="0.2">
      <c r="B96" s="320" t="s">
        <v>875</v>
      </c>
      <c r="C96" s="321">
        <f>'Working TB'!G73</f>
        <v>30575806</v>
      </c>
      <c r="D96" s="321">
        <f>0</f>
        <v>0</v>
      </c>
    </row>
    <row r="97" spans="2:4" x14ac:dyDescent="0.2">
      <c r="B97" s="514" t="s">
        <v>255</v>
      </c>
      <c r="C97" s="388">
        <f>SUM(C95:C96)</f>
        <v>30717406</v>
      </c>
      <c r="D97" s="388">
        <f>SUM(D95:D96)</f>
        <v>141600</v>
      </c>
    </row>
    <row r="98" spans="2:4" x14ac:dyDescent="0.2">
      <c r="B98" s="137"/>
      <c r="C98" s="218"/>
      <c r="D98" s="218"/>
    </row>
    <row r="99" spans="2:4" ht="31.5" customHeight="1" x14ac:dyDescent="0.2">
      <c r="B99" s="513" t="s">
        <v>249</v>
      </c>
      <c r="C99" s="140" t="s">
        <v>977</v>
      </c>
      <c r="D99" s="140" t="s">
        <v>865</v>
      </c>
    </row>
    <row r="100" spans="2:4" x14ac:dyDescent="0.2">
      <c r="B100" s="320" t="s">
        <v>540</v>
      </c>
      <c r="C100" s="388">
        <f>'Working TB'!G101</f>
        <v>4387</v>
      </c>
      <c r="D100" s="321">
        <f>0</f>
        <v>0</v>
      </c>
    </row>
    <row r="101" spans="2:4" x14ac:dyDescent="0.2">
      <c r="B101" s="514" t="s">
        <v>255</v>
      </c>
      <c r="C101" s="388">
        <f>C100</f>
        <v>4387</v>
      </c>
      <c r="D101" s="388">
        <f>D100</f>
        <v>0</v>
      </c>
    </row>
    <row r="102" spans="2:4" x14ac:dyDescent="0.2">
      <c r="B102" s="137"/>
      <c r="C102" s="218"/>
      <c r="D102" s="218"/>
    </row>
    <row r="103" spans="2:4" ht="30" customHeight="1" x14ac:dyDescent="0.2">
      <c r="B103" s="513" t="s">
        <v>250</v>
      </c>
      <c r="C103" s="140" t="s">
        <v>977</v>
      </c>
      <c r="D103" s="140" t="s">
        <v>865</v>
      </c>
    </row>
    <row r="104" spans="2:4" x14ac:dyDescent="0.2">
      <c r="B104" s="320" t="s">
        <v>987</v>
      </c>
      <c r="C104" s="321">
        <f>'Working TB'!G97</f>
        <v>194</v>
      </c>
      <c r="D104" s="321">
        <f>163264</f>
        <v>163264</v>
      </c>
    </row>
    <row r="105" spans="2:4" x14ac:dyDescent="0.2">
      <c r="B105" s="320" t="s">
        <v>876</v>
      </c>
      <c r="C105" s="321">
        <v>0</v>
      </c>
      <c r="D105" s="321">
        <f>0</f>
        <v>0</v>
      </c>
    </row>
    <row r="106" spans="2:4" x14ac:dyDescent="0.2">
      <c r="B106" s="514" t="s">
        <v>255</v>
      </c>
      <c r="C106" s="388">
        <f>C104</f>
        <v>194</v>
      </c>
      <c r="D106" s="388">
        <f>SUM(D104:D105)</f>
        <v>163264</v>
      </c>
    </row>
    <row r="107" spans="2:4" x14ac:dyDescent="0.2">
      <c r="B107" s="137"/>
      <c r="C107" s="218"/>
      <c r="D107" s="218"/>
    </row>
    <row r="108" spans="2:4" ht="33.75" customHeight="1" x14ac:dyDescent="0.2">
      <c r="B108" s="514" t="s">
        <v>905</v>
      </c>
      <c r="C108" s="140" t="s">
        <v>977</v>
      </c>
      <c r="D108" s="140" t="s">
        <v>865</v>
      </c>
    </row>
    <row r="109" spans="2:4" x14ac:dyDescent="0.2">
      <c r="B109" s="320" t="s">
        <v>905</v>
      </c>
      <c r="C109" s="321">
        <f>'Working TB'!G95</f>
        <v>3593663.96</v>
      </c>
      <c r="D109" s="321">
        <f>320849.63</f>
        <v>320849.63</v>
      </c>
    </row>
    <row r="110" spans="2:4" x14ac:dyDescent="0.2">
      <c r="B110" s="514" t="s">
        <v>201</v>
      </c>
      <c r="C110" s="388">
        <f>C109</f>
        <v>3593663.96</v>
      </c>
      <c r="D110" s="388">
        <f>D109</f>
        <v>320849.63</v>
      </c>
    </row>
    <row r="111" spans="2:4" x14ac:dyDescent="0.2">
      <c r="B111" s="137"/>
      <c r="C111" s="218"/>
      <c r="D111" s="218"/>
    </row>
    <row r="112" spans="2:4" x14ac:dyDescent="0.2">
      <c r="B112" s="137"/>
      <c r="C112" s="218"/>
      <c r="D112" s="218"/>
    </row>
    <row r="113" spans="2:4" ht="30.75" customHeight="1" x14ac:dyDescent="0.2">
      <c r="B113" s="513" t="s">
        <v>532</v>
      </c>
      <c r="C113" s="140" t="s">
        <v>977</v>
      </c>
      <c r="D113" s="140" t="s">
        <v>865</v>
      </c>
    </row>
    <row r="114" spans="2:4" x14ac:dyDescent="0.2">
      <c r="B114" s="320" t="s">
        <v>532</v>
      </c>
      <c r="C114" s="320">
        <f>0</f>
        <v>0</v>
      </c>
      <c r="D114" s="320">
        <f>875</f>
        <v>875</v>
      </c>
    </row>
    <row r="115" spans="2:4" x14ac:dyDescent="0.2">
      <c r="B115" s="527" t="s">
        <v>877</v>
      </c>
      <c r="C115" s="514">
        <f>C114</f>
        <v>0</v>
      </c>
      <c r="D115" s="514">
        <f>D114</f>
        <v>875</v>
      </c>
    </row>
    <row r="116" spans="2:4" ht="35.1" customHeight="1" x14ac:dyDescent="0.2">
      <c r="B116" s="512" t="s">
        <v>952</v>
      </c>
      <c r="C116" s="217"/>
      <c r="D116" s="217"/>
    </row>
    <row r="117" spans="2:4" ht="30" customHeight="1" x14ac:dyDescent="0.2">
      <c r="B117" s="513" t="s">
        <v>252</v>
      </c>
      <c r="C117" s="140" t="s">
        <v>977</v>
      </c>
      <c r="D117" s="140" t="s">
        <v>865</v>
      </c>
    </row>
    <row r="118" spans="2:4" x14ac:dyDescent="0.2">
      <c r="B118" s="320" t="s">
        <v>335</v>
      </c>
      <c r="C118" s="321">
        <f>'Working TB'!G89</f>
        <v>125000</v>
      </c>
      <c r="D118" s="321">
        <f>103000</f>
        <v>103000</v>
      </c>
    </row>
    <row r="119" spans="2:4" x14ac:dyDescent="0.2">
      <c r="B119" s="514" t="s">
        <v>255</v>
      </c>
      <c r="C119" s="388">
        <f>SUM(C118:C118)</f>
        <v>125000</v>
      </c>
      <c r="D119" s="388">
        <f>SUM(D118:D118)</f>
        <v>103000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
  <sheetViews>
    <sheetView workbookViewId="0">
      <pane xSplit="1" ySplit="1" topLeftCell="B59" activePane="bottomRight" state="frozen"/>
      <selection pane="topRight" activeCell="B1" sqref="B1"/>
      <selection pane="bottomLeft" activeCell="A2" sqref="A2"/>
      <selection pane="bottomRight"/>
    </sheetView>
  </sheetViews>
  <sheetFormatPr defaultRowHeight="15" x14ac:dyDescent="0.25"/>
  <cols>
    <col min="1" max="5" width="30.5703125" customWidth="1"/>
    <col min="6" max="10" width="16.5703125" customWidth="1"/>
    <col min="11" max="11" width="12.5703125" customWidth="1"/>
    <col min="12" max="12" width="30.5703125" customWidth="1"/>
    <col min="13" max="13" width="20.5703125" customWidth="1"/>
    <col min="14" max="14" width="30.5703125" customWidth="1"/>
    <col min="15" max="16" width="20.5703125" customWidth="1"/>
    <col min="17" max="18" width="30.5703125" customWidth="1"/>
    <col min="19" max="19" width="45.5703125" customWidth="1"/>
  </cols>
  <sheetData>
    <row r="1" spans="1:19" ht="65.099999999999994" customHeight="1" x14ac:dyDescent="0.25">
      <c r="A1" s="4" t="s">
        <v>336</v>
      </c>
      <c r="B1" s="4" t="s">
        <v>337</v>
      </c>
      <c r="C1" s="4" t="s">
        <v>338</v>
      </c>
      <c r="D1" s="4" t="s">
        <v>339</v>
      </c>
      <c r="E1" s="4" t="s">
        <v>340</v>
      </c>
      <c r="F1" s="4" t="s">
        <v>341</v>
      </c>
      <c r="G1" s="4" t="s">
        <v>179</v>
      </c>
      <c r="H1" s="4" t="s">
        <v>342</v>
      </c>
      <c r="I1" s="4" t="s">
        <v>343</v>
      </c>
      <c r="J1" s="4" t="s">
        <v>344</v>
      </c>
      <c r="K1" s="4" t="s">
        <v>176</v>
      </c>
      <c r="L1" s="4" t="s">
        <v>345</v>
      </c>
      <c r="M1" s="4" t="s">
        <v>346</v>
      </c>
      <c r="N1" s="4" t="s">
        <v>347</v>
      </c>
      <c r="O1" s="4" t="s">
        <v>348</v>
      </c>
      <c r="P1" s="4" t="s">
        <v>349</v>
      </c>
      <c r="Q1" s="4" t="s">
        <v>350</v>
      </c>
      <c r="R1" s="4" t="s">
        <v>351</v>
      </c>
      <c r="S1" s="4" t="s">
        <v>352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M26"/>
  <sheetViews>
    <sheetView showGridLines="0" topLeftCell="A5" zoomScaleNormal="100" workbookViewId="0">
      <selection activeCell="G25" sqref="G25"/>
    </sheetView>
  </sheetViews>
  <sheetFormatPr defaultColWidth="9.42578125" defaultRowHeight="17.25" customHeight="1" x14ac:dyDescent="0.25"/>
  <cols>
    <col min="1" max="1" width="4.85546875" style="161" customWidth="1"/>
    <col min="2" max="2" width="77.5703125" style="161" bestFit="1" customWidth="1"/>
    <col min="3" max="4" width="13.5703125" style="162" bestFit="1" customWidth="1"/>
    <col min="5" max="5" width="10.7109375" style="161" bestFit="1" customWidth="1"/>
    <col min="6" max="6" width="13.5703125" style="205" bestFit="1" customWidth="1"/>
    <col min="7" max="7" width="13.5703125" style="162" bestFit="1" customWidth="1"/>
    <col min="8" max="10" width="9.42578125" style="161"/>
    <col min="11" max="11" width="21" style="161" bestFit="1" customWidth="1"/>
    <col min="12" max="12" width="9.42578125" style="161"/>
    <col min="13" max="13" width="12.28515625" style="200" bestFit="1" customWidth="1"/>
    <col min="14" max="14" width="9.42578125" style="161"/>
    <col min="15" max="15" width="9.42578125" style="161" bestFit="1" customWidth="1"/>
    <col min="16" max="16384" width="9.42578125" style="161"/>
  </cols>
  <sheetData>
    <row r="3" spans="2:13" ht="17.25" customHeight="1" x14ac:dyDescent="0.25">
      <c r="B3" s="213" t="s">
        <v>864</v>
      </c>
    </row>
    <row r="4" spans="2:13" ht="17.25" customHeight="1" x14ac:dyDescent="0.25">
      <c r="B4" s="628" t="str">
        <f>'Annexure PnL'!B2</f>
        <v>A5 second floor,Rajeswari Apartments, 45 Vellalar street, Kodambakkam,Chennai- 600024.</v>
      </c>
    </row>
    <row r="5" spans="2:13" ht="17.25" customHeight="1" x14ac:dyDescent="0.25">
      <c r="B5" s="628" t="str">
        <f>'Annexure PnL'!B3</f>
        <v>U29100TN2020PTC135386</v>
      </c>
    </row>
    <row r="6" spans="2:13" ht="17.25" customHeight="1" x14ac:dyDescent="0.25">
      <c r="B6" s="628"/>
    </row>
    <row r="7" spans="2:13" ht="17.25" customHeight="1" x14ac:dyDescent="0.25">
      <c r="B7" s="628"/>
    </row>
    <row r="8" spans="2:13" ht="17.25" customHeight="1" x14ac:dyDescent="0.25">
      <c r="B8" s="169" t="s">
        <v>693</v>
      </c>
    </row>
    <row r="9" spans="2:13" ht="17.25" customHeight="1" thickBot="1" x14ac:dyDescent="0.3"/>
    <row r="10" spans="2:13" ht="17.25" customHeight="1" thickBot="1" x14ac:dyDescent="0.3">
      <c r="B10" s="646" t="s">
        <v>1017</v>
      </c>
      <c r="C10" s="634"/>
      <c r="D10" s="634"/>
      <c r="E10" s="635"/>
      <c r="F10" s="636"/>
      <c r="G10" s="637">
        <v>249</v>
      </c>
    </row>
    <row r="11" spans="2:13" ht="17.25" customHeight="1" thickBot="1" x14ac:dyDescent="0.3">
      <c r="B11" s="175"/>
      <c r="C11" s="177"/>
      <c r="D11" s="177"/>
      <c r="E11" s="176"/>
      <c r="F11" s="631"/>
      <c r="G11" s="638"/>
    </row>
    <row r="12" spans="2:13" ht="17.25" customHeight="1" x14ac:dyDescent="0.25">
      <c r="B12" s="175" t="s">
        <v>240</v>
      </c>
      <c r="C12" s="177"/>
      <c r="D12" s="177"/>
      <c r="E12" s="176"/>
      <c r="F12" s="631"/>
      <c r="G12" s="638"/>
      <c r="K12" s="629" t="s">
        <v>609</v>
      </c>
      <c r="L12" s="630"/>
      <c r="M12" s="640">
        <v>0.22</v>
      </c>
    </row>
    <row r="13" spans="2:13" ht="17.25" customHeight="1" x14ac:dyDescent="0.25">
      <c r="B13" s="175" t="s">
        <v>575</v>
      </c>
      <c r="C13" s="177">
        <f>+'Profit and Loss Notes'!C41</f>
        <v>0</v>
      </c>
      <c r="D13" s="177"/>
      <c r="E13" s="176"/>
      <c r="F13" s="631"/>
      <c r="G13" s="638"/>
      <c r="K13" s="175" t="s">
        <v>576</v>
      </c>
      <c r="L13" s="176"/>
      <c r="M13" s="641">
        <f>M12*10%</f>
        <v>2.2000000000000002E-2</v>
      </c>
    </row>
    <row r="14" spans="2:13" ht="17.25" customHeight="1" x14ac:dyDescent="0.25">
      <c r="B14" s="175" t="s">
        <v>577</v>
      </c>
      <c r="C14" s="214">
        <f>+'IT Dep'!M12</f>
        <v>5123.5200000000004</v>
      </c>
      <c r="D14" s="177"/>
      <c r="E14" s="176"/>
      <c r="F14" s="631"/>
      <c r="G14" s="638"/>
      <c r="K14" s="175"/>
      <c r="L14" s="176"/>
      <c r="M14" s="642"/>
    </row>
    <row r="15" spans="2:13" ht="17.25" customHeight="1" x14ac:dyDescent="0.25">
      <c r="B15" s="175"/>
      <c r="C15" s="177"/>
      <c r="D15" s="177">
        <f>C13-C14</f>
        <v>-5123.5200000000004</v>
      </c>
      <c r="E15" s="632">
        <f>M18</f>
        <v>0.25168000000000001</v>
      </c>
      <c r="F15" s="177"/>
      <c r="G15" s="638"/>
      <c r="J15" s="162"/>
      <c r="K15" s="643"/>
      <c r="L15" s="177"/>
      <c r="M15" s="641">
        <f>SUM(M12:M14)</f>
        <v>0.24199999999999999</v>
      </c>
    </row>
    <row r="16" spans="2:13" ht="17.25" customHeight="1" x14ac:dyDescent="0.25">
      <c r="B16" s="175"/>
      <c r="C16" s="177"/>
      <c r="D16" s="177"/>
      <c r="E16" s="632"/>
      <c r="F16" s="631">
        <f>ROUND(D15*E15,0)</f>
        <v>-1289</v>
      </c>
      <c r="G16" s="638"/>
      <c r="H16" s="162"/>
      <c r="J16" s="162"/>
      <c r="K16" s="643" t="s">
        <v>578</v>
      </c>
      <c r="L16" s="631"/>
      <c r="M16" s="641">
        <f>M15*4%</f>
        <v>9.6799999999999994E-3</v>
      </c>
    </row>
    <row r="17" spans="2:13" ht="17.25" customHeight="1" x14ac:dyDescent="0.25">
      <c r="B17" s="175"/>
      <c r="C17" s="177"/>
      <c r="D17" s="177"/>
      <c r="E17" s="632"/>
      <c r="F17" s="631"/>
      <c r="G17" s="638"/>
      <c r="K17" s="175"/>
      <c r="L17" s="176"/>
      <c r="M17" s="642"/>
    </row>
    <row r="18" spans="2:13" ht="17.25" customHeight="1" thickBot="1" x14ac:dyDescent="0.3">
      <c r="B18" s="175" t="s">
        <v>593</v>
      </c>
      <c r="C18" s="177"/>
      <c r="D18" s="177"/>
      <c r="E18" s="632"/>
      <c r="F18" s="631"/>
      <c r="G18" s="638"/>
      <c r="K18" s="175"/>
      <c r="L18" s="176"/>
      <c r="M18" s="644">
        <f>SUM(M15:M17)</f>
        <v>0.25168000000000001</v>
      </c>
    </row>
    <row r="19" spans="2:13" ht="17.25" customHeight="1" thickTop="1" thickBot="1" x14ac:dyDescent="0.3">
      <c r="B19" s="175" t="s">
        <v>594</v>
      </c>
      <c r="C19" s="177">
        <v>0</v>
      </c>
      <c r="D19" s="177"/>
      <c r="E19" s="632"/>
      <c r="F19" s="631"/>
      <c r="G19" s="638"/>
      <c r="K19" s="633"/>
      <c r="L19" s="197"/>
      <c r="M19" s="645"/>
    </row>
    <row r="20" spans="2:13" ht="17.25" customHeight="1" x14ac:dyDescent="0.25">
      <c r="B20" s="175" t="s">
        <v>595</v>
      </c>
      <c r="C20" s="214">
        <v>0</v>
      </c>
      <c r="D20" s="177"/>
      <c r="E20" s="632"/>
      <c r="F20" s="631"/>
      <c r="G20" s="638"/>
      <c r="M20" s="161"/>
    </row>
    <row r="21" spans="2:13" ht="17.25" customHeight="1" x14ac:dyDescent="0.25">
      <c r="B21" s="175"/>
      <c r="C21" s="177"/>
      <c r="D21" s="177">
        <f>C19-C20</f>
        <v>0</v>
      </c>
      <c r="E21" s="632">
        <f>M18</f>
        <v>0.25168000000000001</v>
      </c>
      <c r="F21" s="631"/>
      <c r="G21" s="638"/>
      <c r="M21" s="161"/>
    </row>
    <row r="22" spans="2:13" ht="17.25" customHeight="1" x14ac:dyDescent="0.25">
      <c r="B22" s="175"/>
      <c r="C22" s="177"/>
      <c r="D22" s="177"/>
      <c r="E22" s="632"/>
      <c r="F22" s="215">
        <f>ROUND(D21*E21,0)</f>
        <v>0</v>
      </c>
      <c r="G22" s="638"/>
      <c r="M22" s="161"/>
    </row>
    <row r="23" spans="2:13" ht="17.25" customHeight="1" x14ac:dyDescent="0.25">
      <c r="B23" s="175" t="s">
        <v>1018</v>
      </c>
      <c r="C23" s="177"/>
      <c r="D23" s="177"/>
      <c r="E23" s="632"/>
      <c r="F23" s="631"/>
      <c r="G23" s="639">
        <f>SUM(F16:F22)</f>
        <v>-1289</v>
      </c>
      <c r="M23" s="161"/>
    </row>
    <row r="24" spans="2:13" ht="17.25" customHeight="1" thickBot="1" x14ac:dyDescent="0.3">
      <c r="B24" s="175"/>
      <c r="C24" s="177"/>
      <c r="D24" s="177"/>
      <c r="E24" s="176"/>
      <c r="F24" s="631"/>
      <c r="G24" s="638"/>
    </row>
    <row r="25" spans="2:13" ht="17.25" customHeight="1" thickBot="1" x14ac:dyDescent="0.3">
      <c r="B25" s="646" t="s">
        <v>1016</v>
      </c>
      <c r="C25" s="634"/>
      <c r="D25" s="634"/>
      <c r="E25" s="635"/>
      <c r="F25" s="634"/>
      <c r="G25" s="637">
        <f>+G10+G23</f>
        <v>-1040</v>
      </c>
      <c r="M25" s="161"/>
    </row>
    <row r="26" spans="2:13" ht="17.25" customHeight="1" x14ac:dyDescent="0.25">
      <c r="M26" s="16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5"/>
  <sheetViews>
    <sheetView topLeftCell="B1" workbookViewId="0">
      <selection activeCell="B1" sqref="B1"/>
    </sheetView>
  </sheetViews>
  <sheetFormatPr defaultColWidth="9.28515625" defaultRowHeight="12.75" x14ac:dyDescent="0.2"/>
  <cols>
    <col min="1" max="1" width="9.28515625" style="136"/>
    <col min="2" max="2" width="7.42578125" style="136" customWidth="1"/>
    <col min="3" max="3" width="22.5703125" style="136" bestFit="1" customWidth="1"/>
    <col min="4" max="4" width="8.42578125" style="136" bestFit="1" customWidth="1"/>
    <col min="5" max="5" width="19.42578125" style="136" customWidth="1"/>
    <col min="6" max="6" width="12.7109375" style="136" bestFit="1" customWidth="1"/>
    <col min="7" max="7" width="12.42578125" style="136" customWidth="1"/>
    <col min="8" max="8" width="11.42578125" style="136" customWidth="1"/>
    <col min="9" max="9" width="11.28515625" style="136" customWidth="1"/>
    <col min="10" max="10" width="12.7109375" style="136" bestFit="1" customWidth="1"/>
    <col min="11" max="11" width="14.5703125" style="136" customWidth="1"/>
    <col min="12" max="12" width="13.7109375" style="136" customWidth="1"/>
    <col min="13" max="13" width="20.42578125" style="136" bestFit="1" customWidth="1"/>
    <col min="14" max="14" width="28.5703125" style="136" bestFit="1" customWidth="1"/>
    <col min="15" max="15" width="9.28515625" style="136"/>
    <col min="16" max="16" width="12.7109375" style="136" bestFit="1" customWidth="1"/>
    <col min="17" max="16384" width="9.28515625" style="136"/>
  </cols>
  <sheetData>
    <row r="1" spans="2:16" x14ac:dyDescent="0.2">
      <c r="B1" s="51" t="s">
        <v>579</v>
      </c>
      <c r="C1" s="52"/>
      <c r="D1" s="52"/>
      <c r="E1" s="52"/>
      <c r="F1" s="52"/>
      <c r="G1" s="53"/>
      <c r="H1" s="53" t="s">
        <v>580</v>
      </c>
      <c r="I1" s="53" t="s">
        <v>580</v>
      </c>
      <c r="J1" s="52"/>
      <c r="K1" s="52"/>
      <c r="L1" s="52"/>
      <c r="M1" s="52"/>
      <c r="N1" s="52"/>
    </row>
    <row r="2" spans="2:16" x14ac:dyDescent="0.2">
      <c r="B2" s="51" t="s">
        <v>581</v>
      </c>
      <c r="C2" s="52"/>
      <c r="D2" s="52"/>
      <c r="E2" s="52"/>
      <c r="F2" s="52"/>
      <c r="G2" s="53"/>
      <c r="H2" s="52"/>
      <c r="I2" s="52"/>
      <c r="J2" s="52"/>
      <c r="K2" s="52"/>
      <c r="L2" s="52"/>
      <c r="M2" s="52"/>
      <c r="N2" s="52"/>
    </row>
    <row r="3" spans="2:16" x14ac:dyDescent="0.2">
      <c r="B3" s="54" t="s">
        <v>874</v>
      </c>
      <c r="C3" s="52"/>
      <c r="D3" s="52"/>
      <c r="E3" s="52"/>
      <c r="F3" s="52"/>
      <c r="G3" s="53"/>
      <c r="H3" s="52"/>
      <c r="I3" s="52"/>
      <c r="J3" s="52"/>
      <c r="K3" s="52"/>
      <c r="L3" s="52"/>
      <c r="M3" s="52"/>
      <c r="N3" s="52"/>
    </row>
    <row r="4" spans="2:16" x14ac:dyDescent="0.2">
      <c r="B4" s="54" t="s">
        <v>582</v>
      </c>
      <c r="C4" s="52"/>
      <c r="D4" s="52"/>
      <c r="E4" s="52"/>
      <c r="F4" s="52"/>
      <c r="G4" s="53"/>
      <c r="H4" s="52"/>
      <c r="I4" s="52"/>
      <c r="J4" s="52"/>
      <c r="K4" s="52"/>
      <c r="L4" s="52"/>
      <c r="M4" s="52"/>
      <c r="N4" s="52"/>
    </row>
    <row r="5" spans="2:16" ht="13.5" thickBot="1" x14ac:dyDescent="0.25">
      <c r="B5" s="54"/>
      <c r="C5" s="52"/>
      <c r="D5" s="52"/>
      <c r="E5" s="52"/>
      <c r="F5" s="52"/>
      <c r="G5" s="53"/>
      <c r="H5" s="52"/>
      <c r="I5" s="52"/>
      <c r="J5" s="52"/>
      <c r="K5" s="52"/>
      <c r="L5" s="52"/>
      <c r="M5" s="52"/>
      <c r="N5" s="52"/>
    </row>
    <row r="6" spans="2:16" x14ac:dyDescent="0.2">
      <c r="B6" s="767" t="s">
        <v>583</v>
      </c>
      <c r="C6" s="769" t="s">
        <v>584</v>
      </c>
      <c r="D6" s="771" t="s">
        <v>585</v>
      </c>
      <c r="E6" s="773" t="s">
        <v>1014</v>
      </c>
      <c r="F6" s="775" t="s">
        <v>586</v>
      </c>
      <c r="G6" s="776"/>
      <c r="H6" s="775" t="s">
        <v>587</v>
      </c>
      <c r="I6" s="776"/>
      <c r="J6" s="765" t="s">
        <v>201</v>
      </c>
      <c r="K6" s="764" t="s">
        <v>240</v>
      </c>
      <c r="L6" s="764"/>
      <c r="M6" s="760" t="s">
        <v>588</v>
      </c>
      <c r="N6" s="762" t="s">
        <v>1015</v>
      </c>
    </row>
    <row r="7" spans="2:16" ht="26.25" thickBot="1" x14ac:dyDescent="0.25">
      <c r="B7" s="768"/>
      <c r="C7" s="770"/>
      <c r="D7" s="772"/>
      <c r="E7" s="774"/>
      <c r="F7" s="55" t="s">
        <v>589</v>
      </c>
      <c r="G7" s="56" t="s">
        <v>590</v>
      </c>
      <c r="H7" s="55" t="s">
        <v>590</v>
      </c>
      <c r="I7" s="56" t="s">
        <v>589</v>
      </c>
      <c r="J7" s="766"/>
      <c r="K7" s="57" t="s">
        <v>589</v>
      </c>
      <c r="L7" s="57" t="s">
        <v>590</v>
      </c>
      <c r="M7" s="761"/>
      <c r="N7" s="763"/>
    </row>
    <row r="8" spans="2:16" x14ac:dyDescent="0.2">
      <c r="B8" s="58"/>
      <c r="C8" s="59"/>
      <c r="D8" s="60"/>
      <c r="E8" s="61"/>
      <c r="F8" s="62"/>
      <c r="G8" s="63"/>
      <c r="H8" s="64"/>
      <c r="I8" s="65"/>
      <c r="J8" s="66"/>
      <c r="K8" s="67"/>
      <c r="L8" s="67"/>
      <c r="M8" s="67"/>
      <c r="N8" s="68"/>
    </row>
    <row r="9" spans="2:16" x14ac:dyDescent="0.2">
      <c r="B9" s="69">
        <v>1</v>
      </c>
      <c r="C9" s="70" t="s">
        <v>591</v>
      </c>
      <c r="D9" s="71"/>
      <c r="E9" s="72"/>
      <c r="F9" s="73"/>
      <c r="G9" s="74"/>
      <c r="H9" s="75"/>
      <c r="I9" s="74"/>
      <c r="J9" s="76"/>
      <c r="K9" s="77"/>
      <c r="L9" s="77"/>
      <c r="M9" s="77"/>
      <c r="N9" s="74"/>
    </row>
    <row r="10" spans="2:16" x14ac:dyDescent="0.2">
      <c r="B10" s="69"/>
      <c r="C10" s="78" t="s">
        <v>592</v>
      </c>
      <c r="D10" s="71">
        <v>0.4</v>
      </c>
      <c r="E10" s="72">
        <v>12808.8</v>
      </c>
      <c r="F10" s="73">
        <v>0</v>
      </c>
      <c r="G10" s="74">
        <v>0</v>
      </c>
      <c r="H10" s="75">
        <v>0</v>
      </c>
      <c r="I10" s="74">
        <v>0</v>
      </c>
      <c r="J10" s="76">
        <f>+E10+F10+G10-H10-I10</f>
        <v>12808.8</v>
      </c>
      <c r="K10" s="77">
        <f>J10*40%</f>
        <v>5123.5200000000004</v>
      </c>
      <c r="L10" s="77">
        <v>0</v>
      </c>
      <c r="M10" s="77">
        <f>+K10+L10</f>
        <v>5123.5200000000004</v>
      </c>
      <c r="N10" s="74">
        <f>J10-M10</f>
        <v>7685.2799999999988</v>
      </c>
      <c r="P10" s="152"/>
    </row>
    <row r="11" spans="2:16" x14ac:dyDescent="0.2">
      <c r="B11" s="69"/>
      <c r="C11" s="78"/>
      <c r="D11" s="71"/>
      <c r="E11" s="72"/>
      <c r="F11" s="73"/>
      <c r="G11" s="74"/>
      <c r="H11" s="75"/>
      <c r="I11" s="74"/>
      <c r="J11" s="76"/>
      <c r="K11" s="77"/>
      <c r="L11" s="77"/>
      <c r="M11" s="77"/>
      <c r="N11" s="74"/>
      <c r="P11" s="152"/>
    </row>
    <row r="12" spans="2:16" ht="13.5" thickBot="1" x14ac:dyDescent="0.25">
      <c r="B12" s="69"/>
      <c r="C12" s="78"/>
      <c r="D12" s="71"/>
      <c r="E12" s="79">
        <f t="shared" ref="E12:N12" si="0">SUM(E10:E11)</f>
        <v>12808.8</v>
      </c>
      <c r="F12" s="79">
        <f t="shared" si="0"/>
        <v>0</v>
      </c>
      <c r="G12" s="79">
        <f t="shared" si="0"/>
        <v>0</v>
      </c>
      <c r="H12" s="79">
        <f t="shared" si="0"/>
        <v>0</v>
      </c>
      <c r="I12" s="79">
        <f t="shared" si="0"/>
        <v>0</v>
      </c>
      <c r="J12" s="79">
        <f t="shared" si="0"/>
        <v>12808.8</v>
      </c>
      <c r="K12" s="79">
        <f t="shared" si="0"/>
        <v>5123.5200000000004</v>
      </c>
      <c r="L12" s="79">
        <f t="shared" si="0"/>
        <v>0</v>
      </c>
      <c r="M12" s="79">
        <f t="shared" si="0"/>
        <v>5123.5200000000004</v>
      </c>
      <c r="N12" s="79">
        <f t="shared" si="0"/>
        <v>7685.2799999999988</v>
      </c>
    </row>
    <row r="13" spans="2:16" ht="14.25" thickTop="1" thickBot="1" x14ac:dyDescent="0.25">
      <c r="B13" s="69" t="s">
        <v>580</v>
      </c>
      <c r="C13" s="78"/>
      <c r="D13" s="71"/>
      <c r="E13" s="72"/>
      <c r="F13" s="73"/>
      <c r="G13" s="74"/>
      <c r="H13" s="75"/>
      <c r="I13" s="74"/>
      <c r="J13" s="76"/>
      <c r="K13" s="77"/>
      <c r="L13" s="77"/>
      <c r="M13" s="77"/>
      <c r="N13" s="74"/>
    </row>
    <row r="14" spans="2:16" ht="13.5" thickBot="1" x14ac:dyDescent="0.25">
      <c r="B14" s="374" t="s">
        <v>580</v>
      </c>
      <c r="C14" s="80"/>
      <c r="D14" s="81"/>
      <c r="E14" s="82"/>
      <c r="F14" s="83"/>
      <c r="G14" s="84"/>
      <c r="H14" s="85"/>
      <c r="I14" s="84"/>
      <c r="J14" s="86"/>
      <c r="K14" s="87"/>
      <c r="L14" s="87"/>
      <c r="M14" s="87"/>
      <c r="N14" s="84"/>
    </row>
    <row r="15" spans="2:16" x14ac:dyDescent="0.2">
      <c r="B15" s="52"/>
      <c r="C15" s="52"/>
      <c r="D15" s="52"/>
      <c r="E15" s="52"/>
      <c r="F15" s="52"/>
      <c r="G15" s="53"/>
      <c r="H15" s="52"/>
      <c r="I15" s="52"/>
      <c r="J15" s="52"/>
      <c r="K15" s="52"/>
      <c r="L15" s="52"/>
      <c r="M15" s="52"/>
      <c r="N15" s="52"/>
    </row>
  </sheetData>
  <mergeCells count="10">
    <mergeCell ref="M6:M7"/>
    <mergeCell ref="N6:N7"/>
    <mergeCell ref="K6:L6"/>
    <mergeCell ref="J6:J7"/>
    <mergeCell ref="B6:B7"/>
    <mergeCell ref="C6:C7"/>
    <mergeCell ref="D6:D7"/>
    <mergeCell ref="E6:E7"/>
    <mergeCell ref="F6:G6"/>
    <mergeCell ref="H6:I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59"/>
  <sheetViews>
    <sheetView topLeftCell="A53" zoomScaleNormal="100" workbookViewId="0">
      <selection activeCell="F81" sqref="F81"/>
    </sheetView>
  </sheetViews>
  <sheetFormatPr defaultColWidth="9.42578125" defaultRowHeight="12.75" x14ac:dyDescent="0.25"/>
  <cols>
    <col min="1" max="3" width="3.5703125" style="161" customWidth="1"/>
    <col min="4" max="4" width="103.42578125" style="161" customWidth="1"/>
    <col min="5" max="5" width="19" style="162" customWidth="1"/>
    <col min="6" max="6" width="20.5703125" style="163" customWidth="1"/>
    <col min="7" max="7" width="22.5703125" style="163" bestFit="1" customWidth="1"/>
    <col min="8" max="8" width="19.5703125" style="161" bestFit="1" customWidth="1"/>
    <col min="9" max="9" width="22.28515625" style="161" bestFit="1" customWidth="1"/>
    <col min="10" max="10" width="17.5703125" style="161" bestFit="1" customWidth="1"/>
    <col min="11" max="11" width="14.5703125" style="161" bestFit="1" customWidth="1"/>
    <col min="12" max="12" width="15.5703125" style="161" bestFit="1" customWidth="1"/>
    <col min="13" max="13" width="10.5703125" style="161" bestFit="1" customWidth="1"/>
    <col min="14" max="16384" width="9.42578125" style="161"/>
  </cols>
  <sheetData>
    <row r="2" spans="2:9" ht="13.5" thickBot="1" x14ac:dyDescent="0.3"/>
    <row r="3" spans="2:9" x14ac:dyDescent="0.25">
      <c r="B3" s="164" t="s">
        <v>610</v>
      </c>
      <c r="C3" s="165"/>
      <c r="D3" s="165"/>
      <c r="E3" s="166"/>
      <c r="F3" s="167" t="s">
        <v>1049</v>
      </c>
      <c r="G3" s="168"/>
      <c r="H3" s="169"/>
      <c r="I3" s="169"/>
    </row>
    <row r="4" spans="2:9" x14ac:dyDescent="0.25">
      <c r="B4" s="170"/>
      <c r="C4" s="171"/>
      <c r="D4" s="171"/>
      <c r="E4" s="172"/>
      <c r="F4" s="173"/>
      <c r="G4" s="174"/>
      <c r="H4" s="169"/>
      <c r="I4" s="169"/>
    </row>
    <row r="5" spans="2:9" x14ac:dyDescent="0.25">
      <c r="B5" s="170" t="s">
        <v>611</v>
      </c>
      <c r="C5" s="171"/>
      <c r="D5" s="171"/>
      <c r="E5" s="172"/>
      <c r="F5" s="173" t="s">
        <v>612</v>
      </c>
      <c r="G5" s="174"/>
      <c r="H5" s="169"/>
      <c r="I5" s="169"/>
    </row>
    <row r="6" spans="2:9" x14ac:dyDescent="0.25">
      <c r="B6" s="175"/>
      <c r="C6" s="176"/>
      <c r="D6" s="176"/>
      <c r="E6" s="177"/>
      <c r="F6" s="178"/>
      <c r="G6" s="174"/>
    </row>
    <row r="7" spans="2:9" x14ac:dyDescent="0.25">
      <c r="B7" s="179" t="s">
        <v>613</v>
      </c>
      <c r="C7" s="180" t="s">
        <v>614</v>
      </c>
      <c r="D7" s="176"/>
      <c r="E7" s="178"/>
      <c r="F7" s="178"/>
      <c r="G7" s="174"/>
    </row>
    <row r="8" spans="2:9" x14ac:dyDescent="0.25">
      <c r="B8" s="181"/>
      <c r="C8" s="182"/>
      <c r="D8" s="176"/>
      <c r="E8" s="178"/>
      <c r="F8" s="178"/>
      <c r="G8" s="174"/>
    </row>
    <row r="9" spans="2:9" x14ac:dyDescent="0.25">
      <c r="B9" s="181"/>
      <c r="C9" s="182"/>
      <c r="D9" s="176" t="s">
        <v>615</v>
      </c>
      <c r="E9" s="178"/>
      <c r="F9" s="178">
        <f>+'Profit and Loss'!D27</f>
        <v>8685570.5100000054</v>
      </c>
      <c r="G9" s="174"/>
    </row>
    <row r="10" spans="2:9" x14ac:dyDescent="0.25">
      <c r="B10" s="181"/>
      <c r="C10" s="182"/>
      <c r="D10" s="176"/>
      <c r="E10" s="178"/>
      <c r="F10" s="178"/>
      <c r="G10" s="174"/>
    </row>
    <row r="11" spans="2:9" x14ac:dyDescent="0.25">
      <c r="B11" s="181"/>
      <c r="C11" s="182"/>
      <c r="D11" s="176" t="s">
        <v>616</v>
      </c>
      <c r="E11" s="178">
        <f>+'Annexure PnL'!C51</f>
        <v>0</v>
      </c>
      <c r="F11" s="178"/>
      <c r="G11" s="174"/>
    </row>
    <row r="12" spans="2:9" x14ac:dyDescent="0.25">
      <c r="B12" s="181"/>
      <c r="C12" s="182"/>
      <c r="D12" s="176" t="s">
        <v>617</v>
      </c>
      <c r="E12" s="178">
        <v>0</v>
      </c>
      <c r="F12" s="178"/>
      <c r="G12" s="174"/>
    </row>
    <row r="13" spans="2:9" x14ac:dyDescent="0.25">
      <c r="B13" s="181"/>
      <c r="C13" s="182"/>
      <c r="D13" s="176" t="s">
        <v>618</v>
      </c>
      <c r="E13" s="178">
        <v>0</v>
      </c>
      <c r="F13" s="178"/>
      <c r="G13" s="174"/>
    </row>
    <row r="14" spans="2:9" x14ac:dyDescent="0.25">
      <c r="B14" s="181"/>
      <c r="C14" s="182"/>
      <c r="D14" s="176"/>
      <c r="E14" s="183"/>
      <c r="F14" s="178"/>
      <c r="G14" s="174"/>
    </row>
    <row r="15" spans="2:9" x14ac:dyDescent="0.25">
      <c r="B15" s="181"/>
      <c r="C15" s="182"/>
      <c r="D15" s="176"/>
      <c r="E15" s="178"/>
      <c r="F15" s="178">
        <f>SUM(E11:E13)</f>
        <v>0</v>
      </c>
      <c r="G15" s="174"/>
    </row>
    <row r="16" spans="2:9" x14ac:dyDescent="0.25">
      <c r="B16" s="181"/>
      <c r="C16" s="182"/>
      <c r="D16" s="176"/>
      <c r="E16" s="178"/>
      <c r="F16" s="183"/>
      <c r="G16" s="174"/>
    </row>
    <row r="17" spans="2:7" x14ac:dyDescent="0.25">
      <c r="B17" s="181"/>
      <c r="C17" s="182"/>
      <c r="D17" s="176"/>
      <c r="E17" s="178"/>
      <c r="F17" s="178">
        <f>SUM(F9:F15)</f>
        <v>8685570.5100000054</v>
      </c>
      <c r="G17" s="174"/>
    </row>
    <row r="18" spans="2:7" x14ac:dyDescent="0.25">
      <c r="B18" s="181"/>
      <c r="C18" s="182"/>
      <c r="D18" s="176"/>
      <c r="E18" s="178"/>
      <c r="F18" s="178"/>
      <c r="G18" s="174"/>
    </row>
    <row r="19" spans="2:7" x14ac:dyDescent="0.25">
      <c r="B19" s="181"/>
      <c r="C19" s="182"/>
      <c r="D19" s="176" t="s">
        <v>619</v>
      </c>
      <c r="E19" s="178"/>
      <c r="F19" s="178"/>
      <c r="G19" s="174"/>
    </row>
    <row r="20" spans="2:7" x14ac:dyDescent="0.25">
      <c r="B20" s="181"/>
      <c r="C20" s="182"/>
      <c r="D20" s="176" t="s">
        <v>620</v>
      </c>
      <c r="E20" s="178">
        <f>'Annexure PnL'!C25+'Annexure PnL'!C19</f>
        <v>224177</v>
      </c>
      <c r="F20" s="178"/>
      <c r="G20" s="174"/>
    </row>
    <row r="21" spans="2:7" x14ac:dyDescent="0.25">
      <c r="B21" s="181"/>
      <c r="C21" s="182"/>
      <c r="D21" s="176" t="s">
        <v>621</v>
      </c>
      <c r="E21" s="178">
        <v>0</v>
      </c>
      <c r="F21" s="178"/>
      <c r="G21" s="174"/>
    </row>
    <row r="22" spans="2:7" x14ac:dyDescent="0.25">
      <c r="B22" s="181"/>
      <c r="C22" s="182"/>
      <c r="D22" s="176"/>
      <c r="E22" s="183"/>
      <c r="F22" s="178"/>
      <c r="G22" s="174"/>
    </row>
    <row r="23" spans="2:7" x14ac:dyDescent="0.25">
      <c r="B23" s="181"/>
      <c r="C23" s="182"/>
      <c r="D23" s="176"/>
      <c r="E23" s="178"/>
      <c r="F23" s="178">
        <f>-SUM(E20:E22)</f>
        <v>-224177</v>
      </c>
      <c r="G23" s="174"/>
    </row>
    <row r="24" spans="2:7" x14ac:dyDescent="0.25">
      <c r="B24" s="181"/>
      <c r="C24" s="182"/>
      <c r="D24" s="176"/>
      <c r="E24" s="178"/>
      <c r="F24" s="178"/>
      <c r="G24" s="174"/>
    </row>
    <row r="25" spans="2:7" x14ac:dyDescent="0.25">
      <c r="B25" s="181"/>
      <c r="C25" s="182"/>
      <c r="D25" s="176" t="s">
        <v>622</v>
      </c>
      <c r="E25" s="178">
        <v>0</v>
      </c>
      <c r="F25" s="178"/>
      <c r="G25" s="174"/>
    </row>
    <row r="26" spans="2:7" x14ac:dyDescent="0.25">
      <c r="B26" s="181"/>
      <c r="C26" s="182"/>
      <c r="D26" s="176" t="s">
        <v>623</v>
      </c>
      <c r="E26" s="178">
        <v>0</v>
      </c>
      <c r="F26" s="178"/>
      <c r="G26" s="174"/>
    </row>
    <row r="27" spans="2:7" x14ac:dyDescent="0.25">
      <c r="B27" s="181"/>
      <c r="C27" s="182"/>
      <c r="D27" s="176"/>
      <c r="E27" s="183"/>
      <c r="F27" s="178"/>
      <c r="G27" s="174"/>
    </row>
    <row r="28" spans="2:7" x14ac:dyDescent="0.25">
      <c r="B28" s="181"/>
      <c r="C28" s="182"/>
      <c r="D28" s="176"/>
      <c r="E28" s="178"/>
      <c r="F28" s="178">
        <f>-SUM(E25:E27)</f>
        <v>0</v>
      </c>
      <c r="G28" s="174"/>
    </row>
    <row r="29" spans="2:7" x14ac:dyDescent="0.25">
      <c r="B29" s="181"/>
      <c r="C29" s="182"/>
      <c r="D29" s="176"/>
      <c r="E29" s="178"/>
      <c r="F29" s="178"/>
      <c r="G29" s="174"/>
    </row>
    <row r="30" spans="2:7" x14ac:dyDescent="0.25">
      <c r="B30" s="181"/>
      <c r="C30" s="182"/>
      <c r="D30" s="176" t="s">
        <v>624</v>
      </c>
      <c r="E30" s="178">
        <f>IF(F17&lt;0,(0),(+'IT Dep'!K12))</f>
        <v>5123.5200000000004</v>
      </c>
      <c r="F30" s="178"/>
      <c r="G30" s="174"/>
    </row>
    <row r="31" spans="2:7" x14ac:dyDescent="0.25">
      <c r="B31" s="181"/>
      <c r="C31" s="182"/>
      <c r="D31" s="176"/>
      <c r="E31" s="183"/>
      <c r="F31" s="178"/>
      <c r="G31" s="174"/>
    </row>
    <row r="32" spans="2:7" x14ac:dyDescent="0.25">
      <c r="B32" s="181"/>
      <c r="C32" s="182"/>
      <c r="D32" s="176"/>
      <c r="E32" s="178"/>
      <c r="F32" s="183">
        <f>E30</f>
        <v>5123.5200000000004</v>
      </c>
      <c r="G32" s="174"/>
    </row>
    <row r="33" spans="2:10" x14ac:dyDescent="0.25">
      <c r="B33" s="181"/>
      <c r="C33" s="182"/>
      <c r="D33" s="176"/>
      <c r="E33" s="178"/>
      <c r="F33" s="178">
        <f>+F17-F32+F23</f>
        <v>8456269.9900000058</v>
      </c>
      <c r="G33" s="174"/>
    </row>
    <row r="34" spans="2:10" x14ac:dyDescent="0.25">
      <c r="B34" s="181"/>
      <c r="C34" s="182"/>
      <c r="D34" s="176"/>
      <c r="E34" s="178"/>
      <c r="F34" s="178"/>
      <c r="G34" s="184"/>
      <c r="J34" s="162"/>
    </row>
    <row r="35" spans="2:10" x14ac:dyDescent="0.25">
      <c r="B35" s="181"/>
      <c r="C35" s="182"/>
      <c r="D35" s="180" t="s">
        <v>1062</v>
      </c>
      <c r="E35" s="178"/>
      <c r="F35" s="178"/>
      <c r="G35" s="184"/>
      <c r="J35" s="162"/>
    </row>
    <row r="36" spans="2:10" x14ac:dyDescent="0.25">
      <c r="B36" s="181"/>
      <c r="C36" s="182"/>
      <c r="D36" s="176" t="s">
        <v>668</v>
      </c>
      <c r="E36" s="178">
        <v>23720</v>
      </c>
      <c r="F36" s="178"/>
      <c r="G36" s="184"/>
      <c r="J36" s="162"/>
    </row>
    <row r="37" spans="2:10" x14ac:dyDescent="0.25">
      <c r="B37" s="181"/>
      <c r="C37" s="182"/>
      <c r="D37" s="176" t="s">
        <v>926</v>
      </c>
      <c r="E37" s="178">
        <v>8539</v>
      </c>
      <c r="F37" s="178"/>
      <c r="G37" s="184"/>
      <c r="J37" s="162"/>
    </row>
    <row r="38" spans="2:10" x14ac:dyDescent="0.25">
      <c r="B38" s="181"/>
      <c r="C38" s="182"/>
      <c r="D38" s="176"/>
      <c r="E38" s="178"/>
      <c r="F38" s="183">
        <f>E36+E37</f>
        <v>32259</v>
      </c>
      <c r="G38" s="184"/>
      <c r="J38" s="162"/>
    </row>
    <row r="39" spans="2:10" x14ac:dyDescent="0.25">
      <c r="B39" s="181"/>
      <c r="C39" s="182"/>
      <c r="D39" s="180" t="s">
        <v>669</v>
      </c>
      <c r="E39" s="178"/>
      <c r="F39" s="178"/>
      <c r="G39" s="184"/>
      <c r="J39" s="162"/>
    </row>
    <row r="40" spans="2:10" x14ac:dyDescent="0.25">
      <c r="B40" s="181"/>
      <c r="C40" s="182"/>
      <c r="D40" s="176"/>
      <c r="E40" s="178"/>
      <c r="F40" s="178"/>
      <c r="G40" s="184"/>
      <c r="J40" s="162"/>
    </row>
    <row r="41" spans="2:10" x14ac:dyDescent="0.25">
      <c r="B41" s="181"/>
      <c r="C41" s="182"/>
      <c r="D41" s="176" t="s">
        <v>667</v>
      </c>
      <c r="E41" s="178">
        <v>2333770</v>
      </c>
      <c r="F41" s="178"/>
      <c r="G41" s="184"/>
      <c r="J41" s="162"/>
    </row>
    <row r="42" spans="2:10" x14ac:dyDescent="0.25">
      <c r="B42" s="181"/>
      <c r="C42" s="182"/>
      <c r="D42" s="176" t="s">
        <v>668</v>
      </c>
      <c r="E42" s="178">
        <v>1324008</v>
      </c>
      <c r="F42" s="178"/>
      <c r="G42" s="184"/>
      <c r="J42" s="162"/>
    </row>
    <row r="43" spans="2:10" x14ac:dyDescent="0.25">
      <c r="B43" s="181"/>
      <c r="C43" s="182"/>
      <c r="D43" s="176" t="s">
        <v>926</v>
      </c>
      <c r="E43" s="183">
        <v>1716</v>
      </c>
      <c r="F43" s="178"/>
      <c r="G43" s="184"/>
      <c r="J43" s="162"/>
    </row>
    <row r="44" spans="2:10" x14ac:dyDescent="0.25">
      <c r="B44" s="181"/>
      <c r="C44" s="182"/>
      <c r="D44" s="176"/>
      <c r="E44" s="178"/>
      <c r="F44" s="183">
        <f>SUM(E41:E43)</f>
        <v>3659494</v>
      </c>
      <c r="G44" s="184"/>
      <c r="J44" s="162"/>
    </row>
    <row r="45" spans="2:10" x14ac:dyDescent="0.25">
      <c r="B45" s="181"/>
      <c r="C45" s="182"/>
      <c r="D45" s="176"/>
      <c r="E45" s="178"/>
      <c r="F45" s="178"/>
      <c r="G45" s="184">
        <f>+F33-F44-F38</f>
        <v>4764516.9900000058</v>
      </c>
      <c r="J45" s="162"/>
    </row>
    <row r="46" spans="2:10" x14ac:dyDescent="0.25">
      <c r="B46" s="181"/>
      <c r="C46" s="182"/>
      <c r="D46" s="176"/>
      <c r="E46" s="178"/>
      <c r="F46" s="178"/>
      <c r="G46" s="184"/>
      <c r="J46" s="162"/>
    </row>
    <row r="47" spans="2:10" x14ac:dyDescent="0.25">
      <c r="B47" s="181"/>
      <c r="C47" s="182"/>
      <c r="D47" s="176"/>
      <c r="E47" s="178"/>
      <c r="F47" s="178"/>
      <c r="G47" s="184"/>
      <c r="J47" s="162"/>
    </row>
    <row r="48" spans="2:10" x14ac:dyDescent="0.25">
      <c r="B48" s="181"/>
      <c r="C48" s="182"/>
      <c r="D48" s="176"/>
      <c r="E48" s="178"/>
      <c r="F48" s="178"/>
      <c r="G48" s="174"/>
      <c r="J48" s="162"/>
    </row>
    <row r="49" spans="2:10" x14ac:dyDescent="0.25">
      <c r="B49" s="179" t="s">
        <v>625</v>
      </c>
      <c r="C49" s="180" t="s">
        <v>626</v>
      </c>
      <c r="D49" s="176"/>
      <c r="E49" s="178"/>
      <c r="F49" s="178"/>
      <c r="G49" s="184">
        <v>0</v>
      </c>
      <c r="J49" s="162"/>
    </row>
    <row r="50" spans="2:10" x14ac:dyDescent="0.25">
      <c r="B50" s="181"/>
      <c r="C50" s="182"/>
      <c r="D50" s="176"/>
      <c r="E50" s="178"/>
      <c r="F50" s="178"/>
      <c r="G50" s="174"/>
    </row>
    <row r="51" spans="2:10" x14ac:dyDescent="0.25">
      <c r="B51" s="179" t="s">
        <v>627</v>
      </c>
      <c r="C51" s="180" t="s">
        <v>628</v>
      </c>
      <c r="D51" s="176"/>
      <c r="E51" s="178"/>
      <c r="F51" s="178"/>
      <c r="G51" s="174"/>
    </row>
    <row r="52" spans="2:10" x14ac:dyDescent="0.25">
      <c r="B52" s="175"/>
      <c r="C52" s="176"/>
      <c r="D52" s="176" t="s">
        <v>629</v>
      </c>
      <c r="E52" s="178"/>
      <c r="F52" s="178">
        <f>'Annexure PnL'!C25</f>
        <v>166630</v>
      </c>
      <c r="G52" s="174"/>
    </row>
    <row r="53" spans="2:10" x14ac:dyDescent="0.25">
      <c r="B53" s="175"/>
      <c r="C53" s="176"/>
      <c r="D53" s="176" t="s">
        <v>630</v>
      </c>
      <c r="E53" s="178"/>
      <c r="F53" s="178">
        <f>'Annexure PnL'!C19</f>
        <v>57547</v>
      </c>
      <c r="G53" s="174"/>
    </row>
    <row r="54" spans="2:10" x14ac:dyDescent="0.25">
      <c r="B54" s="175"/>
      <c r="C54" s="176"/>
      <c r="D54" s="176"/>
      <c r="E54" s="178"/>
      <c r="F54" s="178"/>
      <c r="G54" s="184">
        <f>SUM(F52:F53)</f>
        <v>224177</v>
      </c>
    </row>
    <row r="55" spans="2:10" x14ac:dyDescent="0.25">
      <c r="B55" s="175"/>
      <c r="C55" s="176"/>
      <c r="D55" s="176"/>
      <c r="E55" s="178"/>
      <c r="F55" s="178"/>
      <c r="G55" s="185"/>
    </row>
    <row r="56" spans="2:10" x14ac:dyDescent="0.25">
      <c r="B56" s="186"/>
      <c r="C56" s="180" t="s">
        <v>631</v>
      </c>
      <c r="D56" s="176"/>
      <c r="E56" s="178"/>
      <c r="F56" s="178"/>
      <c r="G56" s="184">
        <f>SUM(G7:G54)</f>
        <v>4988693.9900000058</v>
      </c>
      <c r="H56" s="163"/>
      <c r="I56" s="163"/>
      <c r="J56" s="162"/>
    </row>
    <row r="57" spans="2:10" x14ac:dyDescent="0.25">
      <c r="B57" s="186"/>
      <c r="C57" s="180"/>
      <c r="D57" s="180"/>
      <c r="E57" s="178"/>
      <c r="F57" s="178"/>
      <c r="G57" s="184"/>
      <c r="H57" s="163"/>
      <c r="I57" s="163"/>
      <c r="J57" s="162"/>
    </row>
    <row r="58" spans="2:10" x14ac:dyDescent="0.25">
      <c r="B58" s="186"/>
      <c r="C58" s="180" t="s">
        <v>632</v>
      </c>
      <c r="D58" s="176"/>
      <c r="E58" s="178"/>
      <c r="F58" s="178"/>
      <c r="G58" s="184"/>
      <c r="H58" s="163"/>
      <c r="I58" s="163"/>
      <c r="J58" s="162"/>
    </row>
    <row r="59" spans="2:10" x14ac:dyDescent="0.25">
      <c r="B59" s="186"/>
      <c r="C59" s="180"/>
      <c r="D59" s="180" t="s">
        <v>633</v>
      </c>
      <c r="E59" s="178"/>
      <c r="F59" s="178"/>
      <c r="G59" s="184"/>
      <c r="H59" s="163"/>
      <c r="I59" s="163"/>
      <c r="J59" s="162"/>
    </row>
    <row r="60" spans="2:10" x14ac:dyDescent="0.25">
      <c r="B60" s="186"/>
      <c r="C60" s="180"/>
      <c r="D60" s="176" t="s">
        <v>634</v>
      </c>
      <c r="E60" s="178"/>
      <c r="F60" s="183">
        <v>0</v>
      </c>
      <c r="G60" s="184"/>
      <c r="H60" s="163"/>
      <c r="I60" s="163"/>
      <c r="J60" s="162"/>
    </row>
    <row r="61" spans="2:10" x14ac:dyDescent="0.25">
      <c r="B61" s="186"/>
      <c r="C61" s="180"/>
      <c r="D61" s="176"/>
      <c r="E61" s="178"/>
      <c r="F61" s="178"/>
      <c r="G61" s="184">
        <f>-F60</f>
        <v>0</v>
      </c>
      <c r="H61" s="163"/>
      <c r="I61" s="163"/>
      <c r="J61" s="162"/>
    </row>
    <row r="62" spans="2:10" x14ac:dyDescent="0.25">
      <c r="B62" s="186"/>
      <c r="C62" s="180"/>
      <c r="D62" s="180"/>
      <c r="E62" s="178"/>
      <c r="F62" s="178"/>
      <c r="G62" s="187"/>
      <c r="H62" s="163"/>
      <c r="I62" s="163"/>
      <c r="J62" s="162"/>
    </row>
    <row r="63" spans="2:10" ht="13.5" thickBot="1" x14ac:dyDescent="0.3">
      <c r="B63" s="186"/>
      <c r="C63" s="180" t="s">
        <v>635</v>
      </c>
      <c r="D63" s="176"/>
      <c r="E63" s="178"/>
      <c r="F63" s="178"/>
      <c r="G63" s="188">
        <f>SUM(G56:G62)</f>
        <v>4988693.9900000058</v>
      </c>
    </row>
    <row r="64" spans="2:10" ht="14.25" thickTop="1" thickBot="1" x14ac:dyDescent="0.3">
      <c r="B64" s="186"/>
      <c r="C64" s="180" t="s">
        <v>636</v>
      </c>
      <c r="D64" s="176"/>
      <c r="E64" s="178"/>
      <c r="F64" s="178"/>
      <c r="G64" s="189">
        <f>MROUND(G63,10)</f>
        <v>4988690</v>
      </c>
    </row>
    <row r="65" spans="2:9" ht="13.5" thickTop="1" x14ac:dyDescent="0.25">
      <c r="B65" s="186"/>
      <c r="C65" s="180"/>
      <c r="D65" s="180"/>
      <c r="E65" s="178"/>
      <c r="F65" s="178"/>
      <c r="G65" s="184"/>
    </row>
    <row r="66" spans="2:9" x14ac:dyDescent="0.25">
      <c r="B66" s="186"/>
      <c r="C66" s="180"/>
      <c r="D66" s="180"/>
      <c r="E66" s="178"/>
      <c r="F66" s="178"/>
      <c r="G66" s="184"/>
    </row>
    <row r="67" spans="2:9" x14ac:dyDescent="0.25">
      <c r="B67" s="186"/>
      <c r="C67" s="180"/>
      <c r="D67" s="176"/>
      <c r="E67" s="178"/>
      <c r="F67" s="178"/>
      <c r="G67" s="184"/>
    </row>
    <row r="68" spans="2:9" x14ac:dyDescent="0.25">
      <c r="B68" s="186"/>
      <c r="C68" s="180"/>
      <c r="D68" s="176" t="s">
        <v>1063</v>
      </c>
      <c r="E68" s="178"/>
      <c r="F68" s="178">
        <f>ROUND(G64*22%,0)</f>
        <v>1097512</v>
      </c>
      <c r="G68" s="190"/>
      <c r="I68" s="163"/>
    </row>
    <row r="69" spans="2:9" x14ac:dyDescent="0.25">
      <c r="B69" s="186"/>
      <c r="C69" s="180"/>
      <c r="D69" s="176"/>
      <c r="E69" s="178"/>
      <c r="F69" s="183"/>
      <c r="G69" s="190"/>
      <c r="I69" s="163"/>
    </row>
    <row r="70" spans="2:9" x14ac:dyDescent="0.25">
      <c r="B70" s="186"/>
      <c r="C70" s="180"/>
      <c r="D70" s="176"/>
      <c r="E70" s="178"/>
      <c r="F70" s="178"/>
      <c r="G70" s="190">
        <f>MAX(F67,F68)</f>
        <v>1097512</v>
      </c>
      <c r="I70" s="163"/>
    </row>
    <row r="71" spans="2:9" x14ac:dyDescent="0.25">
      <c r="B71" s="186"/>
      <c r="C71" s="180"/>
      <c r="D71" s="176" t="s">
        <v>666</v>
      </c>
      <c r="E71" s="178"/>
      <c r="F71" s="178">
        <f>ROUND(G70*10%,0)</f>
        <v>109751</v>
      </c>
      <c r="G71" s="190"/>
      <c r="H71" s="163"/>
      <c r="I71" s="163"/>
    </row>
    <row r="72" spans="2:9" x14ac:dyDescent="0.25">
      <c r="B72" s="186"/>
      <c r="C72" s="180"/>
      <c r="D72" s="176"/>
      <c r="E72" s="178"/>
      <c r="F72" s="183"/>
      <c r="G72" s="190"/>
      <c r="H72" s="163"/>
      <c r="I72" s="163"/>
    </row>
    <row r="73" spans="2:9" x14ac:dyDescent="0.25">
      <c r="B73" s="186"/>
      <c r="C73" s="180"/>
      <c r="D73" s="176"/>
      <c r="E73" s="178"/>
      <c r="F73" s="178"/>
      <c r="G73" s="190">
        <f>SUM(F71:F72)</f>
        <v>109751</v>
      </c>
      <c r="H73" s="163"/>
      <c r="I73" s="163"/>
    </row>
    <row r="74" spans="2:9" x14ac:dyDescent="0.25">
      <c r="B74" s="186"/>
      <c r="C74" s="180"/>
      <c r="D74" s="176"/>
      <c r="E74" s="178"/>
      <c r="F74" s="178"/>
      <c r="G74" s="191"/>
      <c r="H74" s="163"/>
      <c r="I74" s="163"/>
    </row>
    <row r="75" spans="2:9" x14ac:dyDescent="0.25">
      <c r="B75" s="186"/>
      <c r="C75" s="180"/>
      <c r="D75" s="176"/>
      <c r="E75" s="178"/>
      <c r="F75" s="178"/>
      <c r="G75" s="190">
        <f>SUM(G70:G74)</f>
        <v>1207263</v>
      </c>
      <c r="H75" s="163"/>
      <c r="I75" s="163"/>
    </row>
    <row r="76" spans="2:9" x14ac:dyDescent="0.25">
      <c r="B76" s="186"/>
      <c r="C76" s="180"/>
      <c r="D76" s="176" t="s">
        <v>637</v>
      </c>
      <c r="E76" s="178"/>
      <c r="F76" s="178">
        <f>ROUND(G75*4%,0)</f>
        <v>48291</v>
      </c>
      <c r="G76" s="190"/>
    </row>
    <row r="77" spans="2:9" x14ac:dyDescent="0.25">
      <c r="B77" s="186"/>
      <c r="C77" s="180"/>
      <c r="D77" s="176"/>
      <c r="E77" s="178"/>
      <c r="F77" s="183"/>
      <c r="G77" s="190"/>
    </row>
    <row r="78" spans="2:9" x14ac:dyDescent="0.25">
      <c r="B78" s="186"/>
      <c r="C78" s="180"/>
      <c r="D78" s="176"/>
      <c r="E78" s="178"/>
      <c r="F78" s="178"/>
      <c r="G78" s="190">
        <f>SUM(F76:F77)</f>
        <v>48291</v>
      </c>
    </row>
    <row r="79" spans="2:9" x14ac:dyDescent="0.25">
      <c r="B79" s="186"/>
      <c r="C79" s="180"/>
      <c r="D79" s="176"/>
      <c r="E79" s="178"/>
      <c r="F79" s="178"/>
      <c r="G79" s="191"/>
    </row>
    <row r="80" spans="2:9" x14ac:dyDescent="0.25">
      <c r="B80" s="186"/>
      <c r="C80" s="180"/>
      <c r="D80" s="176"/>
      <c r="E80" s="178"/>
      <c r="F80" s="178"/>
      <c r="G80" s="192">
        <f>SUM(G75:G79)</f>
        <v>1255554</v>
      </c>
    </row>
    <row r="81" spans="2:12" x14ac:dyDescent="0.25">
      <c r="B81" s="186"/>
      <c r="C81" s="180"/>
      <c r="D81" s="176" t="s">
        <v>638</v>
      </c>
      <c r="E81" s="178"/>
      <c r="F81" s="178">
        <f>'Annexure BS'!C122</f>
        <v>882663</v>
      </c>
      <c r="G81" s="190"/>
    </row>
    <row r="82" spans="2:12" x14ac:dyDescent="0.25">
      <c r="B82" s="186"/>
      <c r="C82" s="180"/>
      <c r="D82" s="176" t="s">
        <v>639</v>
      </c>
      <c r="E82" s="178"/>
      <c r="F82" s="178">
        <v>0</v>
      </c>
      <c r="G82" s="190"/>
    </row>
    <row r="83" spans="2:12" x14ac:dyDescent="0.25">
      <c r="B83" s="186"/>
      <c r="C83" s="180"/>
      <c r="D83" s="176"/>
      <c r="E83" s="178"/>
      <c r="F83" s="183"/>
      <c r="G83" s="190"/>
    </row>
    <row r="84" spans="2:12" x14ac:dyDescent="0.25">
      <c r="B84" s="186"/>
      <c r="C84" s="180"/>
      <c r="D84" s="176"/>
      <c r="E84" s="178"/>
      <c r="F84" s="178"/>
      <c r="G84" s="191">
        <f>-SUM(F81:F83)</f>
        <v>-882663</v>
      </c>
    </row>
    <row r="85" spans="2:12" x14ac:dyDescent="0.25">
      <c r="B85" s="186"/>
      <c r="C85" s="180"/>
      <c r="D85" s="176"/>
      <c r="E85" s="178"/>
      <c r="F85" s="178"/>
      <c r="G85" s="192">
        <f>SUM(G80:G84)</f>
        <v>372891</v>
      </c>
    </row>
    <row r="86" spans="2:12" x14ac:dyDescent="0.25">
      <c r="B86" s="186"/>
      <c r="C86" s="180"/>
      <c r="D86" s="176" t="s">
        <v>640</v>
      </c>
      <c r="E86" s="178"/>
      <c r="F86" s="183">
        <f>ROUND(F102,0)</f>
        <v>1450000</v>
      </c>
      <c r="G86" s="190"/>
      <c r="H86" s="163"/>
      <c r="I86" s="163"/>
    </row>
    <row r="87" spans="2:12" x14ac:dyDescent="0.25">
      <c r="B87" s="186"/>
      <c r="C87" s="180"/>
      <c r="D87" s="176"/>
      <c r="E87" s="178"/>
      <c r="F87" s="178"/>
      <c r="G87" s="191">
        <f>-F86</f>
        <v>-1450000</v>
      </c>
    </row>
    <row r="88" spans="2:12" x14ac:dyDescent="0.25">
      <c r="B88" s="186"/>
      <c r="C88" s="180"/>
      <c r="D88" s="176"/>
      <c r="E88" s="178"/>
      <c r="F88" s="178"/>
      <c r="G88" s="192">
        <f>SUM(G85:G87)</f>
        <v>-1077109</v>
      </c>
    </row>
    <row r="89" spans="2:12" x14ac:dyDescent="0.25">
      <c r="B89" s="186"/>
      <c r="C89" s="180"/>
      <c r="D89" s="176" t="s">
        <v>641</v>
      </c>
      <c r="E89" s="178"/>
      <c r="F89" s="178">
        <v>0</v>
      </c>
      <c r="G89" s="190"/>
    </row>
    <row r="90" spans="2:12" x14ac:dyDescent="0.25">
      <c r="B90" s="186"/>
      <c r="C90" s="180"/>
      <c r="D90" s="176" t="s">
        <v>642</v>
      </c>
      <c r="E90" s="178"/>
      <c r="F90" s="178">
        <f>E124</f>
        <v>0</v>
      </c>
      <c r="G90" s="190"/>
    </row>
    <row r="91" spans="2:12" x14ac:dyDescent="0.25">
      <c r="B91" s="186"/>
      <c r="C91" s="180"/>
      <c r="D91" s="176" t="s">
        <v>643</v>
      </c>
      <c r="E91" s="178"/>
      <c r="F91" s="183">
        <f>K134</f>
        <v>0</v>
      </c>
      <c r="G91" s="190"/>
    </row>
    <row r="92" spans="2:12" x14ac:dyDescent="0.25">
      <c r="B92" s="186"/>
      <c r="C92" s="180"/>
      <c r="D92" s="176"/>
      <c r="E92" s="178"/>
      <c r="F92" s="178"/>
      <c r="G92" s="190">
        <f>SUM(F89:F91)</f>
        <v>0</v>
      </c>
    </row>
    <row r="93" spans="2:12" ht="13.5" thickBot="1" x14ac:dyDescent="0.3">
      <c r="B93" s="186"/>
      <c r="C93" s="180"/>
      <c r="D93" s="180" t="str">
        <f>IF(SUM(G88:G92)&gt;0,"Tax Payable","Tax Refundable")</f>
        <v>Tax Refundable</v>
      </c>
      <c r="E93" s="178"/>
      <c r="F93" s="178"/>
      <c r="G93" s="193">
        <f>IF(SUM(G88:G92)&gt;0,SUM(G88:G92),-SUM(G88:G92))</f>
        <v>1077109</v>
      </c>
      <c r="J93" s="162"/>
      <c r="K93" s="163"/>
    </row>
    <row r="94" spans="2:12" ht="14.25" thickTop="1" thickBot="1" x14ac:dyDescent="0.3">
      <c r="B94" s="186"/>
      <c r="C94" s="180"/>
      <c r="D94" s="180"/>
      <c r="E94" s="178"/>
      <c r="F94" s="178"/>
      <c r="G94" s="194"/>
    </row>
    <row r="95" spans="2:12" ht="14.25" thickTop="1" thickBot="1" x14ac:dyDescent="0.3">
      <c r="B95" s="195"/>
      <c r="C95" s="196"/>
      <c r="D95" s="197"/>
      <c r="E95" s="198"/>
      <c r="F95" s="198"/>
      <c r="G95" s="199"/>
    </row>
    <row r="96" spans="2:12" x14ac:dyDescent="0.25">
      <c r="E96" s="163"/>
      <c r="K96" s="200"/>
      <c r="L96" s="163"/>
    </row>
    <row r="97" spans="4:10" x14ac:dyDescent="0.25">
      <c r="D97" s="201" t="s">
        <v>893</v>
      </c>
    </row>
    <row r="98" spans="4:10" x14ac:dyDescent="0.25">
      <c r="D98" s="161" t="s">
        <v>644</v>
      </c>
      <c r="E98" s="202"/>
      <c r="F98" s="163">
        <v>300000</v>
      </c>
    </row>
    <row r="99" spans="4:10" x14ac:dyDescent="0.25">
      <c r="D99" s="161" t="s">
        <v>645</v>
      </c>
      <c r="E99" s="202"/>
      <c r="F99" s="163">
        <v>600000</v>
      </c>
    </row>
    <row r="100" spans="4:10" x14ac:dyDescent="0.25">
      <c r="D100" s="161" t="s">
        <v>646</v>
      </c>
      <c r="E100" s="202"/>
      <c r="F100" s="163">
        <v>550000</v>
      </c>
    </row>
    <row r="101" spans="4:10" x14ac:dyDescent="0.25">
      <c r="D101" s="161" t="s">
        <v>647</v>
      </c>
      <c r="E101" s="202"/>
      <c r="F101" s="163">
        <v>0</v>
      </c>
    </row>
    <row r="102" spans="4:10" ht="13.5" thickBot="1" x14ac:dyDescent="0.3">
      <c r="F102" s="203">
        <f>SUM(F98:F101)</f>
        <v>1450000</v>
      </c>
    </row>
    <row r="103" spans="4:10" ht="13.5" thickTop="1" x14ac:dyDescent="0.25">
      <c r="H103" s="163"/>
      <c r="I103" s="163"/>
      <c r="J103" s="163"/>
    </row>
    <row r="104" spans="4:10" x14ac:dyDescent="0.25">
      <c r="F104" s="204"/>
      <c r="H104" s="163"/>
      <c r="I104" s="163"/>
      <c r="J104" s="163"/>
    </row>
    <row r="105" spans="4:10" x14ac:dyDescent="0.25">
      <c r="D105" s="201" t="s">
        <v>648</v>
      </c>
      <c r="F105" s="204"/>
      <c r="H105" s="163"/>
      <c r="I105" s="163"/>
      <c r="J105" s="163"/>
    </row>
    <row r="106" spans="4:10" x14ac:dyDescent="0.25">
      <c r="F106" s="204"/>
      <c r="H106" s="163"/>
      <c r="I106" s="163"/>
      <c r="J106" s="163"/>
    </row>
    <row r="107" spans="4:10" x14ac:dyDescent="0.25">
      <c r="D107" s="161" t="s">
        <v>649</v>
      </c>
      <c r="E107" s="205">
        <f>G88</f>
        <v>-1077109</v>
      </c>
      <c r="F107" s="204"/>
      <c r="H107" s="163"/>
      <c r="I107" s="163"/>
      <c r="J107" s="163"/>
    </row>
    <row r="108" spans="4:10" x14ac:dyDescent="0.25">
      <c r="D108" s="161" t="s">
        <v>650</v>
      </c>
      <c r="F108" s="204"/>
      <c r="H108" s="163"/>
      <c r="I108" s="163"/>
      <c r="J108" s="163"/>
    </row>
    <row r="109" spans="4:10" x14ac:dyDescent="0.25">
      <c r="F109" s="204"/>
      <c r="H109" s="163"/>
      <c r="I109" s="163"/>
      <c r="J109" s="163"/>
    </row>
    <row r="110" spans="4:10" x14ac:dyDescent="0.25">
      <c r="D110" s="201" t="s">
        <v>651</v>
      </c>
      <c r="E110" s="204">
        <v>0</v>
      </c>
      <c r="F110" s="204"/>
      <c r="H110" s="163"/>
      <c r="I110" s="163"/>
      <c r="J110" s="163"/>
    </row>
    <row r="111" spans="4:10" x14ac:dyDescent="0.25">
      <c r="F111" s="204"/>
      <c r="H111" s="163"/>
      <c r="I111" s="163"/>
      <c r="J111" s="163"/>
    </row>
    <row r="112" spans="4:10" x14ac:dyDescent="0.25">
      <c r="F112" s="204"/>
      <c r="H112" s="163"/>
      <c r="I112" s="163"/>
      <c r="J112" s="163"/>
    </row>
    <row r="114" spans="4:11" x14ac:dyDescent="0.25">
      <c r="D114" s="201" t="s">
        <v>652</v>
      </c>
    </row>
    <row r="116" spans="4:11" x14ac:dyDescent="0.25">
      <c r="D116" s="161" t="s">
        <v>649</v>
      </c>
      <c r="E116" s="163">
        <f>G80</f>
        <v>1255554</v>
      </c>
    </row>
    <row r="117" spans="4:11" x14ac:dyDescent="0.25">
      <c r="D117" s="161" t="s">
        <v>653</v>
      </c>
      <c r="E117" s="163">
        <f>E116*90%</f>
        <v>1129998.6000000001</v>
      </c>
    </row>
    <row r="118" spans="4:11" x14ac:dyDescent="0.25">
      <c r="D118" s="161" t="s">
        <v>654</v>
      </c>
      <c r="E118" s="163">
        <f>-SUM(G84,G87)</f>
        <v>2332663</v>
      </c>
    </row>
    <row r="119" spans="4:11" x14ac:dyDescent="0.25">
      <c r="E119" s="163"/>
    </row>
    <row r="120" spans="4:11" ht="13.5" thickBot="1" x14ac:dyDescent="0.3">
      <c r="D120" s="161" t="s">
        <v>655</v>
      </c>
      <c r="E120" s="206">
        <f>IF((E117-E118)&lt;0,0,E116-E118)</f>
        <v>0</v>
      </c>
    </row>
    <row r="121" spans="4:11" ht="13.5" thickTop="1" x14ac:dyDescent="0.25"/>
    <row r="122" spans="4:11" x14ac:dyDescent="0.25">
      <c r="D122" s="161" t="str">
        <f>IF(E118&gt;E117,"Since 90% of Tax Due has been paid, Section 234 B of Income Tax Act, 1956 has not been attracted.","Since 90% of Tax Due has not been paid Section ,234 B of the Income Tax Act, 1961 has been attracted.")</f>
        <v>Since 90% of Tax Due has been paid, Section 234 B of Income Tax Act, 1956 has not been attracted.</v>
      </c>
    </row>
    <row r="124" spans="4:11" x14ac:dyDescent="0.25">
      <c r="D124" s="201" t="s">
        <v>656</v>
      </c>
      <c r="E124" s="204">
        <f>IF(E120&lt;0,0,ROUND(E120*1%*8,0))</f>
        <v>0</v>
      </c>
    </row>
    <row r="125" spans="4:11" x14ac:dyDescent="0.25">
      <c r="E125" s="163"/>
    </row>
    <row r="126" spans="4:11" x14ac:dyDescent="0.25">
      <c r="D126" s="201" t="s">
        <v>657</v>
      </c>
    </row>
    <row r="128" spans="4:11" x14ac:dyDescent="0.25">
      <c r="D128" s="207" t="s">
        <v>658</v>
      </c>
      <c r="E128" s="208" t="s">
        <v>659</v>
      </c>
      <c r="F128" s="777" t="s">
        <v>660</v>
      </c>
      <c r="G128" s="777"/>
      <c r="H128" s="207" t="s">
        <v>661</v>
      </c>
      <c r="I128" s="209" t="s">
        <v>662</v>
      </c>
      <c r="J128" s="778" t="s">
        <v>663</v>
      </c>
      <c r="K128" s="778"/>
    </row>
    <row r="129" spans="4:13" x14ac:dyDescent="0.25">
      <c r="D129" s="201"/>
      <c r="E129" s="205"/>
      <c r="F129" s="210" t="s">
        <v>585</v>
      </c>
      <c r="G129" s="210" t="s">
        <v>664</v>
      </c>
      <c r="H129" s="207"/>
      <c r="I129" s="207"/>
      <c r="J129" s="207" t="s">
        <v>585</v>
      </c>
      <c r="K129" s="208" t="s">
        <v>664</v>
      </c>
    </row>
    <row r="130" spans="4:13" x14ac:dyDescent="0.25">
      <c r="D130" s="211">
        <v>45458</v>
      </c>
      <c r="E130" s="163">
        <f>$G$85</f>
        <v>372891</v>
      </c>
      <c r="F130" s="212">
        <v>0.15</v>
      </c>
      <c r="G130" s="163">
        <f>ROUND(E130*F130,0)</f>
        <v>55934</v>
      </c>
      <c r="H130" s="163">
        <f>F98</f>
        <v>300000</v>
      </c>
      <c r="I130" s="163">
        <f>FLOOR(IF((G130-H130)&lt;=0,0,(G130-H130)),100)</f>
        <v>0</v>
      </c>
      <c r="J130" s="212">
        <v>0.03</v>
      </c>
      <c r="K130" s="163">
        <v>0</v>
      </c>
      <c r="L130" s="161" t="s">
        <v>665</v>
      </c>
      <c r="M130" s="163"/>
    </row>
    <row r="131" spans="4:13" x14ac:dyDescent="0.25">
      <c r="D131" s="211">
        <v>45550</v>
      </c>
      <c r="E131" s="163">
        <f>$G$85</f>
        <v>372891</v>
      </c>
      <c r="F131" s="212">
        <v>0.45</v>
      </c>
      <c r="G131" s="163">
        <f>ROUND(E131*F131,0)</f>
        <v>167801</v>
      </c>
      <c r="H131" s="163">
        <f>F99+H130</f>
        <v>900000</v>
      </c>
      <c r="I131" s="163">
        <f>FLOOR(IF((G131-H131)&lt;=0,0,(G131-H131)),100)</f>
        <v>0</v>
      </c>
      <c r="J131" s="212">
        <v>0.03</v>
      </c>
      <c r="K131" s="163">
        <f>I131*J131</f>
        <v>0</v>
      </c>
    </row>
    <row r="132" spans="4:13" x14ac:dyDescent="0.25">
      <c r="D132" s="211">
        <v>45641</v>
      </c>
      <c r="E132" s="163">
        <f>$G$85</f>
        <v>372891</v>
      </c>
      <c r="F132" s="212">
        <v>0.75</v>
      </c>
      <c r="G132" s="163">
        <f>ROUND(E132*F132,0)</f>
        <v>279668</v>
      </c>
      <c r="H132" s="163">
        <f>F100+H131</f>
        <v>1450000</v>
      </c>
      <c r="I132" s="163">
        <f>FLOOR(IF((G132-H132)&lt;=0,0,(G132-H132)),100)</f>
        <v>0</v>
      </c>
      <c r="J132" s="212">
        <v>0.03</v>
      </c>
      <c r="K132" s="163">
        <f>I132*J132</f>
        <v>0</v>
      </c>
    </row>
    <row r="133" spans="4:13" x14ac:dyDescent="0.25">
      <c r="D133" s="211">
        <v>45731</v>
      </c>
      <c r="E133" s="163">
        <f>$G$85</f>
        <v>372891</v>
      </c>
      <c r="F133" s="212">
        <v>1</v>
      </c>
      <c r="G133" s="163">
        <f>ROUND(E133*F133,0)</f>
        <v>372891</v>
      </c>
      <c r="H133" s="163">
        <f>F101+H132</f>
        <v>1450000</v>
      </c>
      <c r="I133" s="163">
        <f>FLOOR(IF((G133-H133)&lt;=0,0,(G133-H133)),100)</f>
        <v>0</v>
      </c>
      <c r="J133" s="212">
        <v>0.01</v>
      </c>
      <c r="K133" s="163">
        <f>I133*J133</f>
        <v>0</v>
      </c>
    </row>
    <row r="134" spans="4:13" ht="13.5" thickBot="1" x14ac:dyDescent="0.3">
      <c r="K134" s="203">
        <f>SUM(K130:K133)</f>
        <v>0</v>
      </c>
    </row>
    <row r="135" spans="4:13" ht="13.5" thickTop="1" x14ac:dyDescent="0.25"/>
    <row r="136" spans="4:13" x14ac:dyDescent="0.25">
      <c r="I136" s="163"/>
    </row>
    <row r="137" spans="4:13" x14ac:dyDescent="0.25">
      <c r="D137" s="201" t="s">
        <v>670</v>
      </c>
    </row>
    <row r="138" spans="4:13" s="201" customFormat="1" x14ac:dyDescent="0.25">
      <c r="E138" s="205" t="s">
        <v>671</v>
      </c>
      <c r="F138" s="204" t="s">
        <v>672</v>
      </c>
      <c r="G138" s="204" t="s">
        <v>894</v>
      </c>
      <c r="H138" s="204" t="s">
        <v>673</v>
      </c>
      <c r="I138" s="201" t="s">
        <v>674</v>
      </c>
    </row>
    <row r="139" spans="4:13" x14ac:dyDescent="0.25">
      <c r="D139" s="161" t="s">
        <v>667</v>
      </c>
      <c r="E139" s="162">
        <v>5481873</v>
      </c>
      <c r="F139" s="163">
        <v>0</v>
      </c>
      <c r="G139" s="163">
        <v>3148103</v>
      </c>
      <c r="H139" s="163">
        <v>2333770</v>
      </c>
      <c r="I139" s="163">
        <f>E139-G139-H139</f>
        <v>0</v>
      </c>
    </row>
    <row r="140" spans="4:13" x14ac:dyDescent="0.25">
      <c r="D140" s="161" t="s">
        <v>668</v>
      </c>
      <c r="E140" s="162">
        <v>1324008</v>
      </c>
      <c r="F140" s="163">
        <v>23720</v>
      </c>
      <c r="G140" s="163">
        <v>0</v>
      </c>
      <c r="H140" s="163">
        <f>F140+E140</f>
        <v>1347728</v>
      </c>
      <c r="I140" s="163">
        <f>E140+F140-G140-H140</f>
        <v>0</v>
      </c>
    </row>
    <row r="141" spans="4:13" s="201" customFormat="1" x14ac:dyDescent="0.25">
      <c r="D141" s="161" t="s">
        <v>926</v>
      </c>
      <c r="E141" s="162">
        <v>1716</v>
      </c>
      <c r="F141" s="163">
        <v>8539</v>
      </c>
      <c r="G141" s="204">
        <v>0</v>
      </c>
      <c r="H141" s="370">
        <f>E141+F141</f>
        <v>10255</v>
      </c>
      <c r="I141" s="370">
        <f>E141+F141-H141</f>
        <v>0</v>
      </c>
    </row>
    <row r="143" spans="4:13" x14ac:dyDescent="0.25">
      <c r="I143" s="204">
        <f>SUM(I139:I142)</f>
        <v>0</v>
      </c>
      <c r="J143" s="161" t="s">
        <v>675</v>
      </c>
    </row>
    <row r="145" spans="4:7" ht="13.5" thickBot="1" x14ac:dyDescent="0.3"/>
    <row r="146" spans="4:7" ht="13.5" thickBot="1" x14ac:dyDescent="0.25">
      <c r="D146" s="779" t="s">
        <v>971</v>
      </c>
      <c r="E146" s="780"/>
      <c r="F146" s="780"/>
      <c r="G146" s="781"/>
    </row>
    <row r="147" spans="4:7" ht="13.5" thickBot="1" x14ac:dyDescent="0.3">
      <c r="D147" s="536" t="s">
        <v>610</v>
      </c>
      <c r="E147" s="537" t="s">
        <v>972</v>
      </c>
      <c r="F147" s="538" t="s">
        <v>973</v>
      </c>
      <c r="G147" s="539" t="s">
        <v>974</v>
      </c>
    </row>
    <row r="148" spans="4:7" x14ac:dyDescent="0.25">
      <c r="D148" s="540" t="s">
        <v>975</v>
      </c>
      <c r="E148" s="612">
        <f>F140</f>
        <v>23720</v>
      </c>
      <c r="F148" s="613">
        <f>E148</f>
        <v>23720</v>
      </c>
      <c r="G148" s="614">
        <f>E148-F148</f>
        <v>0</v>
      </c>
    </row>
    <row r="149" spans="4:7" x14ac:dyDescent="0.25">
      <c r="D149" s="540" t="s">
        <v>1061</v>
      </c>
      <c r="E149" s="612">
        <v>8539</v>
      </c>
      <c r="F149" s="615">
        <f>E149</f>
        <v>8539</v>
      </c>
      <c r="G149" s="614">
        <f>E149-F149</f>
        <v>0</v>
      </c>
    </row>
    <row r="150" spans="4:7" ht="13.5" thickBot="1" x14ac:dyDescent="0.3">
      <c r="D150" s="540" t="s">
        <v>1064</v>
      </c>
      <c r="E150" s="612"/>
      <c r="F150" s="616"/>
      <c r="G150" s="614"/>
    </row>
    <row r="151" spans="4:7" ht="13.5" thickBot="1" x14ac:dyDescent="0.3">
      <c r="D151" s="542" t="s">
        <v>201</v>
      </c>
      <c r="E151" s="617">
        <f>SUM(E148:E149)</f>
        <v>32259</v>
      </c>
      <c r="F151" s="618">
        <f>SUM(F148:F149)</f>
        <v>32259</v>
      </c>
      <c r="G151" s="544">
        <f>SUM(G148:G149)</f>
        <v>0</v>
      </c>
    </row>
    <row r="153" spans="4:7" ht="13.5" thickBot="1" x14ac:dyDescent="0.3"/>
    <row r="154" spans="4:7" ht="13.5" thickBot="1" x14ac:dyDescent="0.3">
      <c r="D154" s="782" t="s">
        <v>976</v>
      </c>
      <c r="E154" s="783"/>
      <c r="F154" s="783"/>
      <c r="G154" s="784"/>
    </row>
    <row r="155" spans="4:7" ht="13.5" thickBot="1" x14ac:dyDescent="0.3">
      <c r="D155" s="536" t="s">
        <v>610</v>
      </c>
      <c r="E155" s="537" t="s">
        <v>972</v>
      </c>
      <c r="F155" s="545" t="s">
        <v>973</v>
      </c>
      <c r="G155" s="546" t="s">
        <v>974</v>
      </c>
    </row>
    <row r="156" spans="4:7" x14ac:dyDescent="0.25">
      <c r="D156" s="540" t="s">
        <v>667</v>
      </c>
      <c r="E156" s="547">
        <v>2333770</v>
      </c>
      <c r="F156" s="548">
        <f>H139</f>
        <v>2333770</v>
      </c>
      <c r="G156" s="549">
        <f>E156-F156</f>
        <v>0</v>
      </c>
    </row>
    <row r="157" spans="4:7" x14ac:dyDescent="0.25">
      <c r="D157" s="540" t="s">
        <v>668</v>
      </c>
      <c r="E157" s="547">
        <f>E140</f>
        <v>1324008</v>
      </c>
      <c r="F157" s="550">
        <f>E140</f>
        <v>1324008</v>
      </c>
      <c r="G157" s="549">
        <f>E157-F157</f>
        <v>0</v>
      </c>
    </row>
    <row r="158" spans="4:7" ht="13.5" thickBot="1" x14ac:dyDescent="0.3">
      <c r="D158" s="540" t="s">
        <v>926</v>
      </c>
      <c r="E158" s="541">
        <v>1716</v>
      </c>
      <c r="F158" s="551">
        <v>1716</v>
      </c>
      <c r="G158" s="549">
        <f>E158-F158</f>
        <v>0</v>
      </c>
    </row>
    <row r="159" spans="4:7" ht="13.5" thickBot="1" x14ac:dyDescent="0.3">
      <c r="D159" s="542" t="s">
        <v>201</v>
      </c>
      <c r="E159" s="543">
        <f>SUM(E156:E158)</f>
        <v>3659494</v>
      </c>
      <c r="F159" s="552">
        <f>SUM(F156:F158)</f>
        <v>3659494</v>
      </c>
      <c r="G159" s="544">
        <f>SUM(G156:G158)</f>
        <v>0</v>
      </c>
    </row>
  </sheetData>
  <mergeCells count="4">
    <mergeCell ref="F128:G128"/>
    <mergeCell ref="J128:K128"/>
    <mergeCell ref="D146:G146"/>
    <mergeCell ref="D154:G154"/>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
  <sheetViews>
    <sheetView workbookViewId="0">
      <pane xSplit="1" ySplit="1" topLeftCell="D2" activePane="bottomRight" state="frozen"/>
      <selection activeCell="A16" sqref="A1:XFD1048576"/>
      <selection pane="topRight" activeCell="A16" sqref="A1:XFD1048576"/>
      <selection pane="bottomLeft" activeCell="A16" sqref="A1:XFD1048576"/>
      <selection pane="bottomRight" activeCell="K98" sqref="K98"/>
    </sheetView>
  </sheetViews>
  <sheetFormatPr defaultColWidth="8.7109375" defaultRowHeight="15" x14ac:dyDescent="0.25"/>
  <cols>
    <col min="1" max="5" width="30.5703125" customWidth="1"/>
    <col min="6" max="10" width="16.5703125" customWidth="1"/>
    <col min="11" max="11" width="13.5703125" customWidth="1"/>
    <col min="12" max="12" width="30.5703125" customWidth="1"/>
    <col min="13" max="13" width="77.28515625" bestFit="1" customWidth="1"/>
    <col min="14" max="14" width="30.5703125" customWidth="1"/>
    <col min="15" max="16" width="20.5703125" customWidth="1"/>
    <col min="17" max="18" width="30.5703125" customWidth="1"/>
    <col min="19" max="19" width="45.5703125" customWidth="1"/>
  </cols>
  <sheetData>
    <row r="1" spans="1:19" ht="65.099999999999994" customHeight="1" x14ac:dyDescent="0.25">
      <c r="A1" s="5" t="s">
        <v>336</v>
      </c>
      <c r="B1" s="5" t="s">
        <v>337</v>
      </c>
      <c r="C1" s="5" t="s">
        <v>338</v>
      </c>
      <c r="D1" s="5" t="s">
        <v>339</v>
      </c>
      <c r="E1" s="5" t="s">
        <v>340</v>
      </c>
      <c r="F1" s="5" t="s">
        <v>341</v>
      </c>
      <c r="G1" s="5" t="s">
        <v>179</v>
      </c>
      <c r="H1" s="5" t="s">
        <v>342</v>
      </c>
      <c r="I1" s="5" t="s">
        <v>343</v>
      </c>
      <c r="J1" s="5" t="s">
        <v>344</v>
      </c>
      <c r="K1" s="5" t="s">
        <v>176</v>
      </c>
      <c r="L1" s="5" t="s">
        <v>345</v>
      </c>
      <c r="M1" s="5" t="s">
        <v>346</v>
      </c>
      <c r="N1" s="5" t="s">
        <v>347</v>
      </c>
      <c r="O1" s="5" t="s">
        <v>348</v>
      </c>
      <c r="P1" s="5" t="s">
        <v>349</v>
      </c>
      <c r="Q1" s="5" t="s">
        <v>350</v>
      </c>
      <c r="R1" s="5" t="s">
        <v>351</v>
      </c>
      <c r="S1" s="5" t="s">
        <v>352</v>
      </c>
    </row>
    <row r="2" spans="1:19" x14ac:dyDescent="0.25">
      <c r="A2" s="6" t="s">
        <v>353</v>
      </c>
      <c r="B2" s="6" t="s">
        <v>354</v>
      </c>
      <c r="C2" s="6" t="s">
        <v>355</v>
      </c>
      <c r="D2" s="6" t="s">
        <v>354</v>
      </c>
      <c r="E2" s="6" t="s">
        <v>354</v>
      </c>
      <c r="F2" s="6" t="s">
        <v>356</v>
      </c>
      <c r="G2" s="7">
        <v>1500000</v>
      </c>
      <c r="H2" s="7">
        <v>0</v>
      </c>
      <c r="I2" s="7">
        <v>0</v>
      </c>
      <c r="J2" s="7">
        <v>0</v>
      </c>
      <c r="K2" s="7">
        <v>1500000</v>
      </c>
      <c r="L2" s="6" t="s">
        <v>168</v>
      </c>
      <c r="M2" s="6" t="s">
        <v>170</v>
      </c>
      <c r="N2" s="6"/>
      <c r="O2" s="6"/>
      <c r="P2" s="6" t="s">
        <v>4</v>
      </c>
      <c r="Q2" s="6"/>
      <c r="R2" s="6"/>
      <c r="S2" s="6" t="s">
        <v>357</v>
      </c>
    </row>
    <row r="3" spans="1:19" x14ac:dyDescent="0.25">
      <c r="A3" s="6" t="s">
        <v>358</v>
      </c>
      <c r="B3" s="6" t="s">
        <v>359</v>
      </c>
      <c r="C3" s="6" t="s">
        <v>360</v>
      </c>
      <c r="D3" s="6" t="s">
        <v>359</v>
      </c>
      <c r="E3" s="6" t="s">
        <v>360</v>
      </c>
      <c r="F3" s="6" t="s">
        <v>361</v>
      </c>
      <c r="G3" s="7">
        <v>-972030.58</v>
      </c>
      <c r="H3" s="7">
        <v>-5760422.4800000004</v>
      </c>
      <c r="I3" s="7">
        <v>5055382.97</v>
      </c>
      <c r="J3" s="7">
        <v>-705039.51</v>
      </c>
      <c r="K3" s="7">
        <v>1677070.09</v>
      </c>
      <c r="L3" s="6" t="s">
        <v>216</v>
      </c>
      <c r="M3" s="6" t="s">
        <v>218</v>
      </c>
      <c r="N3" s="6"/>
      <c r="O3" s="6"/>
      <c r="P3" s="6" t="s">
        <v>4</v>
      </c>
      <c r="Q3" s="6"/>
      <c r="R3" s="6"/>
      <c r="S3" s="6" t="s">
        <v>362</v>
      </c>
    </row>
    <row r="4" spans="1:19" x14ac:dyDescent="0.25">
      <c r="A4" s="6" t="s">
        <v>363</v>
      </c>
      <c r="B4" s="6" t="s">
        <v>364</v>
      </c>
      <c r="C4" s="6" t="s">
        <v>360</v>
      </c>
      <c r="D4" s="6" t="s">
        <v>364</v>
      </c>
      <c r="E4" s="6" t="s">
        <v>360</v>
      </c>
      <c r="F4" s="6" t="s">
        <v>361</v>
      </c>
      <c r="G4" s="7">
        <v>0</v>
      </c>
      <c r="H4" s="7">
        <v>0</v>
      </c>
      <c r="I4" s="7">
        <v>0</v>
      </c>
      <c r="J4" s="7">
        <v>0</v>
      </c>
      <c r="K4" s="7">
        <v>0</v>
      </c>
      <c r="L4" s="6" t="s">
        <v>216</v>
      </c>
      <c r="M4" s="6" t="s">
        <v>221</v>
      </c>
      <c r="N4" s="6"/>
      <c r="O4" s="6"/>
      <c r="P4" s="6" t="s">
        <v>4</v>
      </c>
      <c r="Q4" s="6"/>
      <c r="R4" s="6"/>
      <c r="S4" s="6" t="s">
        <v>365</v>
      </c>
    </row>
    <row r="5" spans="1:19" x14ac:dyDescent="0.25">
      <c r="A5" s="6" t="s">
        <v>366</v>
      </c>
      <c r="B5" s="6" t="s">
        <v>360</v>
      </c>
      <c r="C5" s="6" t="s">
        <v>355</v>
      </c>
      <c r="D5" s="6" t="s">
        <v>360</v>
      </c>
      <c r="E5" s="6" t="s">
        <v>360</v>
      </c>
      <c r="F5" s="6" t="s">
        <v>361</v>
      </c>
      <c r="G5" s="7">
        <v>0</v>
      </c>
      <c r="H5" s="7">
        <v>0</v>
      </c>
      <c r="I5" s="7">
        <v>0</v>
      </c>
      <c r="J5" s="7">
        <v>0</v>
      </c>
      <c r="K5" s="7">
        <v>0</v>
      </c>
      <c r="L5" s="6" t="s">
        <v>225</v>
      </c>
      <c r="M5" s="6" t="s">
        <v>227</v>
      </c>
      <c r="N5" s="6"/>
      <c r="O5" s="6"/>
      <c r="P5" s="6" t="s">
        <v>4</v>
      </c>
      <c r="Q5" s="6"/>
      <c r="R5" s="6"/>
      <c r="S5" s="6" t="s">
        <v>367</v>
      </c>
    </row>
    <row r="6" spans="1:19" x14ac:dyDescent="0.25">
      <c r="A6" s="6" t="s">
        <v>368</v>
      </c>
      <c r="B6" s="6" t="s">
        <v>360</v>
      </c>
      <c r="C6" s="6" t="s">
        <v>355</v>
      </c>
      <c r="D6" s="6" t="s">
        <v>360</v>
      </c>
      <c r="E6" s="6" t="s">
        <v>360</v>
      </c>
      <c r="F6" s="6" t="s">
        <v>361</v>
      </c>
      <c r="G6" s="7">
        <v>0</v>
      </c>
      <c r="H6" s="7">
        <v>0</v>
      </c>
      <c r="I6" s="7">
        <v>0</v>
      </c>
      <c r="J6" s="7">
        <v>0</v>
      </c>
      <c r="K6" s="7">
        <v>0</v>
      </c>
      <c r="L6" s="6" t="s">
        <v>225</v>
      </c>
      <c r="M6" s="6" t="s">
        <v>227</v>
      </c>
      <c r="N6" s="6"/>
      <c r="O6" s="6"/>
      <c r="P6" s="6" t="s">
        <v>4</v>
      </c>
      <c r="Q6" s="6"/>
      <c r="R6" s="6"/>
      <c r="S6" s="6" t="s">
        <v>369</v>
      </c>
    </row>
    <row r="7" spans="1:19" x14ac:dyDescent="0.25">
      <c r="A7" s="6" t="s">
        <v>370</v>
      </c>
      <c r="B7" s="6" t="s">
        <v>371</v>
      </c>
      <c r="C7" s="6" t="s">
        <v>360</v>
      </c>
      <c r="D7" s="6" t="s">
        <v>360</v>
      </c>
      <c r="E7" s="6" t="s">
        <v>360</v>
      </c>
      <c r="F7" s="6" t="s">
        <v>361</v>
      </c>
      <c r="G7" s="7">
        <v>0</v>
      </c>
      <c r="H7" s="7">
        <v>-2699029</v>
      </c>
      <c r="I7" s="7">
        <v>0</v>
      </c>
      <c r="J7" s="7">
        <v>-2699029</v>
      </c>
      <c r="K7" s="7">
        <v>2699029</v>
      </c>
      <c r="L7" s="6" t="s">
        <v>222</v>
      </c>
      <c r="M7" s="6" t="s">
        <v>224</v>
      </c>
      <c r="N7" s="6"/>
      <c r="O7" s="6"/>
      <c r="P7" s="6" t="s">
        <v>4</v>
      </c>
      <c r="Q7" s="6"/>
      <c r="R7" s="6"/>
      <c r="S7" s="6" t="s">
        <v>372</v>
      </c>
    </row>
    <row r="8" spans="1:19" x14ac:dyDescent="0.25">
      <c r="A8" s="6" t="s">
        <v>373</v>
      </c>
      <c r="B8" s="6" t="s">
        <v>371</v>
      </c>
      <c r="C8" s="6" t="s">
        <v>360</v>
      </c>
      <c r="D8" s="6" t="s">
        <v>360</v>
      </c>
      <c r="E8" s="6" t="s">
        <v>360</v>
      </c>
      <c r="F8" s="6" t="s">
        <v>361</v>
      </c>
      <c r="G8" s="7">
        <v>-62763.8</v>
      </c>
      <c r="H8" s="7">
        <v>-20268.939999999999</v>
      </c>
      <c r="I8" s="7">
        <v>79432.740000000005</v>
      </c>
      <c r="J8" s="7">
        <v>59163.8</v>
      </c>
      <c r="K8" s="7">
        <v>3600</v>
      </c>
      <c r="L8" s="6" t="s">
        <v>222</v>
      </c>
      <c r="M8" s="6" t="s">
        <v>224</v>
      </c>
      <c r="N8" s="6"/>
      <c r="O8" s="6"/>
      <c r="P8" s="6" t="s">
        <v>4</v>
      </c>
      <c r="Q8" s="6"/>
      <c r="R8" s="6"/>
      <c r="S8" s="6" t="s">
        <v>374</v>
      </c>
    </row>
    <row r="9" spans="1:19" x14ac:dyDescent="0.25">
      <c r="A9" s="6" t="s">
        <v>375</v>
      </c>
      <c r="B9" s="6" t="s">
        <v>371</v>
      </c>
      <c r="C9" s="6" t="s">
        <v>360</v>
      </c>
      <c r="D9" s="6" t="s">
        <v>360</v>
      </c>
      <c r="E9" s="6" t="s">
        <v>360</v>
      </c>
      <c r="F9" s="6" t="s">
        <v>361</v>
      </c>
      <c r="G9" s="7">
        <v>-9675</v>
      </c>
      <c r="H9" s="7">
        <v>0</v>
      </c>
      <c r="I9" s="7">
        <v>9675</v>
      </c>
      <c r="J9" s="7">
        <v>9675</v>
      </c>
      <c r="K9" s="7">
        <v>0</v>
      </c>
      <c r="L9" s="6" t="s">
        <v>222</v>
      </c>
      <c r="M9" s="6" t="s">
        <v>224</v>
      </c>
      <c r="N9" s="6"/>
      <c r="O9" s="6"/>
      <c r="P9" s="6" t="s">
        <v>4</v>
      </c>
      <c r="Q9" s="6"/>
      <c r="R9" s="6"/>
      <c r="S9" s="6" t="s">
        <v>376</v>
      </c>
    </row>
    <row r="10" spans="1:19" x14ac:dyDescent="0.25">
      <c r="A10" s="6" t="s">
        <v>377</v>
      </c>
      <c r="B10" s="6" t="s">
        <v>371</v>
      </c>
      <c r="C10" s="6" t="s">
        <v>360</v>
      </c>
      <c r="D10" s="6" t="s">
        <v>360</v>
      </c>
      <c r="E10" s="6" t="s">
        <v>360</v>
      </c>
      <c r="F10" s="6" t="s">
        <v>361</v>
      </c>
      <c r="G10" s="7">
        <v>-450</v>
      </c>
      <c r="H10" s="7">
        <v>-628</v>
      </c>
      <c r="I10" s="7">
        <v>1078</v>
      </c>
      <c r="J10" s="7">
        <v>450</v>
      </c>
      <c r="K10" s="7">
        <v>0</v>
      </c>
      <c r="L10" s="6" t="s">
        <v>222</v>
      </c>
      <c r="M10" s="6" t="s">
        <v>224</v>
      </c>
      <c r="N10" s="6"/>
      <c r="O10" s="6"/>
      <c r="P10" s="6" t="s">
        <v>4</v>
      </c>
      <c r="Q10" s="6"/>
      <c r="R10" s="6"/>
      <c r="S10" s="6" t="s">
        <v>378</v>
      </c>
    </row>
    <row r="11" spans="1:19" x14ac:dyDescent="0.25">
      <c r="A11" s="6" t="s">
        <v>379</v>
      </c>
      <c r="B11" s="6" t="s">
        <v>371</v>
      </c>
      <c r="C11" s="6" t="s">
        <v>360</v>
      </c>
      <c r="D11" s="6" t="s">
        <v>360</v>
      </c>
      <c r="E11" s="6" t="s">
        <v>360</v>
      </c>
      <c r="F11" s="6" t="s">
        <v>361</v>
      </c>
      <c r="G11" s="7">
        <v>0</v>
      </c>
      <c r="H11" s="7">
        <v>0</v>
      </c>
      <c r="I11" s="7">
        <v>0</v>
      </c>
      <c r="J11" s="7">
        <v>0</v>
      </c>
      <c r="K11" s="7">
        <v>0</v>
      </c>
      <c r="L11" s="6" t="s">
        <v>222</v>
      </c>
      <c r="M11" s="6" t="s">
        <v>224</v>
      </c>
      <c r="N11" s="6"/>
      <c r="O11" s="6"/>
      <c r="P11" s="6" t="s">
        <v>4</v>
      </c>
      <c r="Q11" s="6"/>
      <c r="R11" s="6"/>
      <c r="S11" s="6" t="s">
        <v>380</v>
      </c>
    </row>
    <row r="12" spans="1:19" x14ac:dyDescent="0.25">
      <c r="A12" s="6" t="s">
        <v>381</v>
      </c>
      <c r="B12" s="6" t="s">
        <v>371</v>
      </c>
      <c r="C12" s="6" t="s">
        <v>360</v>
      </c>
      <c r="D12" s="6" t="s">
        <v>360</v>
      </c>
      <c r="E12" s="6" t="s">
        <v>360</v>
      </c>
      <c r="F12" s="6" t="s">
        <v>361</v>
      </c>
      <c r="G12" s="7">
        <v>-59681.8</v>
      </c>
      <c r="H12" s="7">
        <v>-20268.939999999999</v>
      </c>
      <c r="I12" s="7">
        <v>76350.740000000005</v>
      </c>
      <c r="J12" s="7">
        <v>56081.8</v>
      </c>
      <c r="K12" s="7">
        <v>3600</v>
      </c>
      <c r="L12" s="6" t="s">
        <v>222</v>
      </c>
      <c r="M12" s="6" t="s">
        <v>224</v>
      </c>
      <c r="N12" s="6"/>
      <c r="O12" s="6"/>
      <c r="P12" s="6" t="s">
        <v>4</v>
      </c>
      <c r="Q12" s="6"/>
      <c r="R12" s="6"/>
      <c r="S12" s="6" t="s">
        <v>382</v>
      </c>
    </row>
    <row r="13" spans="1:19" x14ac:dyDescent="0.25">
      <c r="A13" s="6" t="s">
        <v>383</v>
      </c>
      <c r="B13" s="6" t="s">
        <v>371</v>
      </c>
      <c r="C13" s="6" t="s">
        <v>360</v>
      </c>
      <c r="D13" s="6" t="s">
        <v>360</v>
      </c>
      <c r="E13" s="6" t="s">
        <v>360</v>
      </c>
      <c r="F13" s="6" t="s">
        <v>361</v>
      </c>
      <c r="G13" s="7">
        <v>-9675</v>
      </c>
      <c r="H13" s="7">
        <v>0</v>
      </c>
      <c r="I13" s="7">
        <v>9675</v>
      </c>
      <c r="J13" s="7">
        <v>9675</v>
      </c>
      <c r="K13" s="7">
        <v>0</v>
      </c>
      <c r="L13" s="6" t="s">
        <v>222</v>
      </c>
      <c r="M13" s="6" t="s">
        <v>224</v>
      </c>
      <c r="N13" s="6"/>
      <c r="O13" s="6"/>
      <c r="P13" s="6" t="s">
        <v>4</v>
      </c>
      <c r="Q13" s="6"/>
      <c r="R13" s="6"/>
      <c r="S13" s="6" t="s">
        <v>384</v>
      </c>
    </row>
    <row r="14" spans="1:19" x14ac:dyDescent="0.25">
      <c r="A14" s="6" t="s">
        <v>385</v>
      </c>
      <c r="B14" s="6" t="s">
        <v>386</v>
      </c>
      <c r="C14" s="6" t="s">
        <v>360</v>
      </c>
      <c r="D14" s="6" t="s">
        <v>386</v>
      </c>
      <c r="E14" s="6" t="s">
        <v>360</v>
      </c>
      <c r="F14" s="6" t="s">
        <v>361</v>
      </c>
      <c r="G14" s="7">
        <v>0</v>
      </c>
      <c r="H14" s="7">
        <v>-1741880.7</v>
      </c>
      <c r="I14" s="7">
        <v>1741880.7</v>
      </c>
      <c r="J14" s="7">
        <v>0</v>
      </c>
      <c r="K14" s="7">
        <v>0</v>
      </c>
      <c r="L14" s="6" t="s">
        <v>215</v>
      </c>
      <c r="M14" s="6" t="s">
        <v>215</v>
      </c>
      <c r="N14" s="6"/>
      <c r="O14" s="6"/>
      <c r="P14" s="6" t="s">
        <v>4</v>
      </c>
      <c r="Q14" s="6"/>
      <c r="R14" s="6"/>
      <c r="S14" s="6" t="s">
        <v>387</v>
      </c>
    </row>
    <row r="15" spans="1:19" x14ac:dyDescent="0.25">
      <c r="A15" s="6" t="s">
        <v>388</v>
      </c>
      <c r="B15" s="6" t="s">
        <v>386</v>
      </c>
      <c r="C15" s="6" t="s">
        <v>360</v>
      </c>
      <c r="D15" s="6" t="s">
        <v>386</v>
      </c>
      <c r="E15" s="6" t="s">
        <v>360</v>
      </c>
      <c r="F15" s="6" t="s">
        <v>361</v>
      </c>
      <c r="G15" s="7">
        <v>0</v>
      </c>
      <c r="H15" s="7">
        <v>0</v>
      </c>
      <c r="I15" s="7">
        <v>0</v>
      </c>
      <c r="J15" s="7">
        <v>0</v>
      </c>
      <c r="K15" s="7">
        <v>0</v>
      </c>
      <c r="L15" s="6" t="s">
        <v>215</v>
      </c>
      <c r="M15" s="6" t="s">
        <v>215</v>
      </c>
      <c r="N15" s="6"/>
      <c r="O15" s="6"/>
      <c r="P15" s="6" t="s">
        <v>4</v>
      </c>
      <c r="Q15" s="6"/>
      <c r="R15" s="6"/>
      <c r="S15" s="6" t="s">
        <v>389</v>
      </c>
    </row>
    <row r="16" spans="1:19" x14ac:dyDescent="0.25">
      <c r="A16" s="6" t="s">
        <v>390</v>
      </c>
      <c r="B16" s="6" t="s">
        <v>386</v>
      </c>
      <c r="C16" s="6" t="s">
        <v>360</v>
      </c>
      <c r="D16" s="6" t="s">
        <v>386</v>
      </c>
      <c r="E16" s="6" t="s">
        <v>360</v>
      </c>
      <c r="F16" s="6" t="s">
        <v>361</v>
      </c>
      <c r="G16" s="7">
        <v>0</v>
      </c>
      <c r="H16" s="7">
        <v>-28804000</v>
      </c>
      <c r="I16" s="7">
        <v>0</v>
      </c>
      <c r="J16" s="7">
        <v>-28804000</v>
      </c>
      <c r="K16" s="7">
        <v>28804000</v>
      </c>
      <c r="L16" s="6" t="s">
        <v>215</v>
      </c>
      <c r="M16" s="6" t="s">
        <v>215</v>
      </c>
      <c r="N16" s="6"/>
      <c r="O16" s="6"/>
      <c r="P16" s="6" t="s">
        <v>4</v>
      </c>
      <c r="Q16" s="6"/>
      <c r="R16" s="6"/>
      <c r="S16" s="6" t="s">
        <v>391</v>
      </c>
    </row>
    <row r="17" spans="1:19" x14ac:dyDescent="0.25">
      <c r="A17" s="6" t="s">
        <v>392</v>
      </c>
      <c r="B17" s="6" t="s">
        <v>393</v>
      </c>
      <c r="C17" s="6" t="s">
        <v>355</v>
      </c>
      <c r="D17" s="6" t="s">
        <v>393</v>
      </c>
      <c r="E17" s="6" t="s">
        <v>393</v>
      </c>
      <c r="F17" s="6" t="s">
        <v>356</v>
      </c>
      <c r="G17" s="7">
        <v>0</v>
      </c>
      <c r="H17" s="7">
        <v>-8000</v>
      </c>
      <c r="I17" s="7">
        <v>8000</v>
      </c>
      <c r="J17" s="7">
        <v>0</v>
      </c>
      <c r="K17" s="7">
        <v>0</v>
      </c>
      <c r="L17" s="6" t="s">
        <v>209</v>
      </c>
      <c r="M17" s="6" t="s">
        <v>213</v>
      </c>
      <c r="N17" s="6"/>
      <c r="O17" s="6"/>
      <c r="P17" s="6" t="s">
        <v>4</v>
      </c>
      <c r="Q17" s="6"/>
      <c r="R17" s="6"/>
      <c r="S17" s="6" t="s">
        <v>394</v>
      </c>
    </row>
    <row r="18" spans="1:19" x14ac:dyDescent="0.25">
      <c r="A18" s="6" t="s">
        <v>395</v>
      </c>
      <c r="B18" s="6" t="s">
        <v>393</v>
      </c>
      <c r="C18" s="6" t="s">
        <v>355</v>
      </c>
      <c r="D18" s="6" t="s">
        <v>393</v>
      </c>
      <c r="E18" s="6" t="s">
        <v>393</v>
      </c>
      <c r="F18" s="6" t="s">
        <v>356</v>
      </c>
      <c r="G18" s="7">
        <v>2030</v>
      </c>
      <c r="H18" s="7">
        <v>0</v>
      </c>
      <c r="I18" s="7">
        <v>0</v>
      </c>
      <c r="J18" s="7">
        <v>0</v>
      </c>
      <c r="K18" s="7">
        <v>2030</v>
      </c>
      <c r="L18" s="6" t="s">
        <v>203</v>
      </c>
      <c r="M18" s="6" t="s">
        <v>204</v>
      </c>
      <c r="N18" s="6"/>
      <c r="O18" s="6"/>
      <c r="P18" s="6" t="s">
        <v>4</v>
      </c>
      <c r="Q18" s="6"/>
      <c r="R18" s="6"/>
      <c r="S18" s="6" t="s">
        <v>396</v>
      </c>
    </row>
    <row r="19" spans="1:19" x14ac:dyDescent="0.25">
      <c r="A19" s="6" t="s">
        <v>397</v>
      </c>
      <c r="B19" s="6" t="s">
        <v>393</v>
      </c>
      <c r="C19" s="6" t="s">
        <v>355</v>
      </c>
      <c r="D19" s="6" t="s">
        <v>393</v>
      </c>
      <c r="E19" s="6" t="s">
        <v>393</v>
      </c>
      <c r="F19" s="6" t="s">
        <v>356</v>
      </c>
      <c r="G19" s="7">
        <v>0</v>
      </c>
      <c r="H19" s="7">
        <v>-4720</v>
      </c>
      <c r="I19" s="7">
        <v>4720</v>
      </c>
      <c r="J19" s="7">
        <v>0</v>
      </c>
      <c r="K19" s="7">
        <v>0</v>
      </c>
      <c r="L19" s="6" t="s">
        <v>209</v>
      </c>
      <c r="M19" s="6" t="s">
        <v>213</v>
      </c>
      <c r="N19" s="6"/>
      <c r="O19" s="6"/>
      <c r="P19" s="6" t="s">
        <v>4</v>
      </c>
      <c r="Q19" s="6"/>
      <c r="R19" s="6"/>
      <c r="S19" s="6" t="s">
        <v>398</v>
      </c>
    </row>
    <row r="20" spans="1:19" x14ac:dyDescent="0.25">
      <c r="A20" s="6" t="s">
        <v>399</v>
      </c>
      <c r="B20" s="6" t="s">
        <v>393</v>
      </c>
      <c r="C20" s="6" t="s">
        <v>355</v>
      </c>
      <c r="D20" s="6" t="s">
        <v>393</v>
      </c>
      <c r="E20" s="6" t="s">
        <v>393</v>
      </c>
      <c r="F20" s="6" t="s">
        <v>356</v>
      </c>
      <c r="G20" s="7">
        <v>0</v>
      </c>
      <c r="H20" s="7">
        <v>0</v>
      </c>
      <c r="I20" s="7">
        <v>0</v>
      </c>
      <c r="J20" s="7">
        <v>0</v>
      </c>
      <c r="K20" s="7">
        <v>0</v>
      </c>
      <c r="L20" s="6" t="s">
        <v>209</v>
      </c>
      <c r="M20" s="6" t="s">
        <v>213</v>
      </c>
      <c r="N20" s="6"/>
      <c r="O20" s="6"/>
      <c r="P20" s="6" t="s">
        <v>4</v>
      </c>
      <c r="Q20" s="6"/>
      <c r="R20" s="6"/>
      <c r="S20" s="6" t="s">
        <v>400</v>
      </c>
    </row>
    <row r="21" spans="1:19" x14ac:dyDescent="0.25">
      <c r="A21" s="6" t="s">
        <v>401</v>
      </c>
      <c r="B21" s="6" t="s">
        <v>402</v>
      </c>
      <c r="C21" s="6" t="s">
        <v>393</v>
      </c>
      <c r="D21" s="6" t="s">
        <v>393</v>
      </c>
      <c r="E21" s="6" t="s">
        <v>393</v>
      </c>
      <c r="F21" s="6" t="s">
        <v>356</v>
      </c>
      <c r="G21" s="7">
        <v>0</v>
      </c>
      <c r="H21" s="7">
        <v>-4000000</v>
      </c>
      <c r="I21" s="7">
        <v>4000000</v>
      </c>
      <c r="J21" s="7">
        <v>0</v>
      </c>
      <c r="K21" s="7">
        <v>0</v>
      </c>
      <c r="L21" s="6" t="s">
        <v>209</v>
      </c>
      <c r="M21" s="6" t="s">
        <v>210</v>
      </c>
      <c r="N21" s="6"/>
      <c r="O21" s="6"/>
      <c r="P21" s="6" t="s">
        <v>4</v>
      </c>
      <c r="Q21" s="6"/>
      <c r="R21" s="6"/>
      <c r="S21" s="6" t="s">
        <v>403</v>
      </c>
    </row>
    <row r="22" spans="1:19" x14ac:dyDescent="0.25">
      <c r="A22" s="6" t="s">
        <v>404</v>
      </c>
      <c r="B22" s="6" t="s">
        <v>405</v>
      </c>
      <c r="C22" s="6" t="s">
        <v>393</v>
      </c>
      <c r="D22" s="6" t="s">
        <v>393</v>
      </c>
      <c r="E22" s="6" t="s">
        <v>393</v>
      </c>
      <c r="F22" s="6" t="s">
        <v>356</v>
      </c>
      <c r="G22" s="7">
        <v>0</v>
      </c>
      <c r="H22" s="7">
        <v>0</v>
      </c>
      <c r="I22" s="7">
        <v>0</v>
      </c>
      <c r="J22" s="7">
        <v>0</v>
      </c>
      <c r="K22" s="7">
        <v>0</v>
      </c>
      <c r="L22" s="6" t="s">
        <v>209</v>
      </c>
      <c r="M22" s="6" t="s">
        <v>213</v>
      </c>
      <c r="N22" s="6"/>
      <c r="O22" s="6"/>
      <c r="P22" s="6" t="s">
        <v>4</v>
      </c>
      <c r="Q22" s="6"/>
      <c r="R22" s="6"/>
      <c r="S22" s="6" t="s">
        <v>406</v>
      </c>
    </row>
    <row r="23" spans="1:19" x14ac:dyDescent="0.25">
      <c r="A23" s="6" t="s">
        <v>407</v>
      </c>
      <c r="B23" s="6" t="s">
        <v>405</v>
      </c>
      <c r="C23" s="6" t="s">
        <v>393</v>
      </c>
      <c r="D23" s="6" t="s">
        <v>393</v>
      </c>
      <c r="E23" s="6" t="s">
        <v>393</v>
      </c>
      <c r="F23" s="6" t="s">
        <v>356</v>
      </c>
      <c r="G23" s="7">
        <v>67500</v>
      </c>
      <c r="H23" s="7">
        <v>-67500</v>
      </c>
      <c r="I23" s="7">
        <v>67500</v>
      </c>
      <c r="J23" s="7">
        <v>0</v>
      </c>
      <c r="K23" s="7">
        <v>67500</v>
      </c>
      <c r="L23" s="6" t="s">
        <v>209</v>
      </c>
      <c r="M23" s="6" t="s">
        <v>211</v>
      </c>
      <c r="N23" s="6"/>
      <c r="O23" s="6"/>
      <c r="P23" s="6" t="s">
        <v>4</v>
      </c>
      <c r="Q23" s="6"/>
      <c r="R23" s="6"/>
      <c r="S23" s="6" t="s">
        <v>408</v>
      </c>
    </row>
    <row r="24" spans="1:19" x14ac:dyDescent="0.25">
      <c r="A24" s="6" t="s">
        <v>409</v>
      </c>
      <c r="B24" s="6" t="s">
        <v>405</v>
      </c>
      <c r="C24" s="6" t="s">
        <v>393</v>
      </c>
      <c r="D24" s="6" t="s">
        <v>393</v>
      </c>
      <c r="E24" s="6" t="s">
        <v>393</v>
      </c>
      <c r="F24" s="6" t="s">
        <v>356</v>
      </c>
      <c r="G24" s="7">
        <v>0</v>
      </c>
      <c r="H24" s="7">
        <v>0</v>
      </c>
      <c r="I24" s="7">
        <v>0</v>
      </c>
      <c r="J24" s="7">
        <v>0</v>
      </c>
      <c r="K24" s="7">
        <v>0</v>
      </c>
      <c r="L24" s="6" t="s">
        <v>209</v>
      </c>
      <c r="M24" s="6" t="s">
        <v>213</v>
      </c>
      <c r="N24" s="6"/>
      <c r="O24" s="6"/>
      <c r="P24" s="6" t="s">
        <v>4</v>
      </c>
      <c r="Q24" s="6"/>
      <c r="R24" s="6"/>
      <c r="S24" s="6" t="s">
        <v>410</v>
      </c>
    </row>
    <row r="25" spans="1:19" x14ac:dyDescent="0.25">
      <c r="A25" s="6" t="s">
        <v>411</v>
      </c>
      <c r="B25" s="6" t="s">
        <v>405</v>
      </c>
      <c r="C25" s="6" t="s">
        <v>393</v>
      </c>
      <c r="D25" s="6" t="s">
        <v>393</v>
      </c>
      <c r="E25" s="6" t="s">
        <v>393</v>
      </c>
      <c r="F25" s="6" t="s">
        <v>356</v>
      </c>
      <c r="G25" s="7">
        <v>0</v>
      </c>
      <c r="H25" s="7">
        <v>-124890</v>
      </c>
      <c r="I25" s="7">
        <v>124890</v>
      </c>
      <c r="J25" s="7">
        <v>0</v>
      </c>
      <c r="K25" s="7">
        <v>0</v>
      </c>
      <c r="L25" s="6" t="s">
        <v>209</v>
      </c>
      <c r="M25" s="6" t="s">
        <v>213</v>
      </c>
      <c r="N25" s="6"/>
      <c r="O25" s="6"/>
      <c r="P25" s="6" t="s">
        <v>4</v>
      </c>
      <c r="Q25" s="6"/>
      <c r="R25" s="6"/>
      <c r="S25" s="6" t="s">
        <v>412</v>
      </c>
    </row>
    <row r="26" spans="1:19" x14ac:dyDescent="0.25">
      <c r="A26" s="6" t="s">
        <v>413</v>
      </c>
      <c r="B26" s="6" t="s">
        <v>405</v>
      </c>
      <c r="C26" s="6" t="s">
        <v>393</v>
      </c>
      <c r="D26" s="6" t="s">
        <v>393</v>
      </c>
      <c r="E26" s="6" t="s">
        <v>393</v>
      </c>
      <c r="F26" s="6" t="s">
        <v>356</v>
      </c>
      <c r="G26" s="7">
        <v>0</v>
      </c>
      <c r="H26" s="7">
        <v>-41429.82</v>
      </c>
      <c r="I26" s="7">
        <v>41429.82</v>
      </c>
      <c r="J26" s="7">
        <v>0</v>
      </c>
      <c r="K26" s="7">
        <v>0</v>
      </c>
      <c r="L26" s="6" t="s">
        <v>209</v>
      </c>
      <c r="M26" s="6" t="s">
        <v>213</v>
      </c>
      <c r="N26" s="6"/>
      <c r="O26" s="6"/>
      <c r="P26" s="6" t="s">
        <v>4</v>
      </c>
      <c r="Q26" s="6"/>
      <c r="R26" s="6"/>
      <c r="S26" s="6" t="s">
        <v>414</v>
      </c>
    </row>
    <row r="27" spans="1:19" x14ac:dyDescent="0.25">
      <c r="A27" s="6" t="s">
        <v>415</v>
      </c>
      <c r="B27" s="6" t="s">
        <v>405</v>
      </c>
      <c r="C27" s="6" t="s">
        <v>393</v>
      </c>
      <c r="D27" s="6" t="s">
        <v>393</v>
      </c>
      <c r="E27" s="6" t="s">
        <v>393</v>
      </c>
      <c r="F27" s="6" t="s">
        <v>356</v>
      </c>
      <c r="G27" s="7">
        <v>0</v>
      </c>
      <c r="H27" s="7">
        <v>-3408.89</v>
      </c>
      <c r="I27" s="7">
        <v>3408.89</v>
      </c>
      <c r="J27" s="7">
        <v>0</v>
      </c>
      <c r="K27" s="7">
        <v>0</v>
      </c>
      <c r="L27" s="6" t="s">
        <v>209</v>
      </c>
      <c r="M27" s="6" t="s">
        <v>213</v>
      </c>
      <c r="N27" s="6"/>
      <c r="O27" s="6"/>
      <c r="P27" s="6" t="s">
        <v>4</v>
      </c>
      <c r="Q27" s="6"/>
      <c r="R27" s="6"/>
      <c r="S27" s="6" t="s">
        <v>416</v>
      </c>
    </row>
    <row r="28" spans="1:19" x14ac:dyDescent="0.25">
      <c r="A28" s="6" t="s">
        <v>417</v>
      </c>
      <c r="B28" s="6" t="s">
        <v>405</v>
      </c>
      <c r="C28" s="6" t="s">
        <v>393</v>
      </c>
      <c r="D28" s="6" t="s">
        <v>393</v>
      </c>
      <c r="E28" s="6" t="s">
        <v>393</v>
      </c>
      <c r="F28" s="6" t="s">
        <v>356</v>
      </c>
      <c r="G28" s="7">
        <v>0</v>
      </c>
      <c r="H28" s="7">
        <v>0</v>
      </c>
      <c r="I28" s="7">
        <v>0</v>
      </c>
      <c r="J28" s="7">
        <v>0</v>
      </c>
      <c r="K28" s="7">
        <v>0</v>
      </c>
      <c r="L28" s="6" t="s">
        <v>209</v>
      </c>
      <c r="M28" s="6" t="s">
        <v>213</v>
      </c>
      <c r="N28" s="6"/>
      <c r="O28" s="6"/>
      <c r="P28" s="6" t="s">
        <v>4</v>
      </c>
      <c r="Q28" s="6"/>
      <c r="R28" s="6"/>
      <c r="S28" s="6" t="s">
        <v>418</v>
      </c>
    </row>
    <row r="29" spans="1:19" x14ac:dyDescent="0.25">
      <c r="A29" s="6" t="s">
        <v>419</v>
      </c>
      <c r="B29" s="6" t="s">
        <v>405</v>
      </c>
      <c r="C29" s="6" t="s">
        <v>393</v>
      </c>
      <c r="D29" s="6" t="s">
        <v>393</v>
      </c>
      <c r="E29" s="6" t="s">
        <v>393</v>
      </c>
      <c r="F29" s="6" t="s">
        <v>356</v>
      </c>
      <c r="G29" s="7">
        <v>1770</v>
      </c>
      <c r="H29" s="7">
        <v>-1770</v>
      </c>
      <c r="I29" s="7">
        <v>0</v>
      </c>
      <c r="J29" s="7">
        <v>-1770</v>
      </c>
      <c r="K29" s="7">
        <v>0</v>
      </c>
      <c r="L29" s="6" t="s">
        <v>209</v>
      </c>
      <c r="M29" s="6" t="s">
        <v>211</v>
      </c>
      <c r="N29" s="6"/>
      <c r="O29" s="6"/>
      <c r="P29" s="6" t="s">
        <v>4</v>
      </c>
      <c r="Q29" s="6"/>
      <c r="R29" s="6"/>
      <c r="S29" s="6" t="s">
        <v>420</v>
      </c>
    </row>
    <row r="30" spans="1:19" x14ac:dyDescent="0.25">
      <c r="A30" s="6" t="s">
        <v>421</v>
      </c>
      <c r="B30" s="6" t="s">
        <v>405</v>
      </c>
      <c r="C30" s="6" t="s">
        <v>393</v>
      </c>
      <c r="D30" s="6" t="s">
        <v>393</v>
      </c>
      <c r="E30" s="6" t="s">
        <v>393</v>
      </c>
      <c r="F30" s="6" t="s">
        <v>356</v>
      </c>
      <c r="G30" s="7">
        <v>0</v>
      </c>
      <c r="H30" s="7">
        <v>-3570</v>
      </c>
      <c r="I30" s="7">
        <v>3570</v>
      </c>
      <c r="J30" s="7">
        <v>0</v>
      </c>
      <c r="K30" s="7">
        <v>0</v>
      </c>
      <c r="L30" s="6" t="s">
        <v>209</v>
      </c>
      <c r="M30" s="6" t="s">
        <v>213</v>
      </c>
      <c r="N30" s="6"/>
      <c r="O30" s="6"/>
      <c r="P30" s="6" t="s">
        <v>4</v>
      </c>
      <c r="Q30" s="6"/>
      <c r="R30" s="6"/>
      <c r="S30" s="6" t="s">
        <v>422</v>
      </c>
    </row>
    <row r="31" spans="1:19" x14ac:dyDescent="0.25">
      <c r="A31" s="6" t="s">
        <v>423</v>
      </c>
      <c r="B31" s="6" t="s">
        <v>405</v>
      </c>
      <c r="C31" s="6" t="s">
        <v>393</v>
      </c>
      <c r="D31" s="6" t="s">
        <v>393</v>
      </c>
      <c r="E31" s="6" t="s">
        <v>393</v>
      </c>
      <c r="F31" s="6" t="s">
        <v>356</v>
      </c>
      <c r="G31" s="7">
        <v>0</v>
      </c>
      <c r="H31" s="7">
        <v>-5000</v>
      </c>
      <c r="I31" s="7">
        <v>5000</v>
      </c>
      <c r="J31" s="7">
        <v>0</v>
      </c>
      <c r="K31" s="7">
        <v>0</v>
      </c>
      <c r="L31" s="6" t="s">
        <v>209</v>
      </c>
      <c r="M31" s="6" t="s">
        <v>213</v>
      </c>
      <c r="N31" s="6"/>
      <c r="O31" s="6"/>
      <c r="P31" s="6" t="s">
        <v>4</v>
      </c>
      <c r="Q31" s="6"/>
      <c r="R31" s="6"/>
      <c r="S31" s="6" t="s">
        <v>424</v>
      </c>
    </row>
    <row r="32" spans="1:19" x14ac:dyDescent="0.25">
      <c r="A32" s="6" t="s">
        <v>425</v>
      </c>
      <c r="B32" s="6" t="s">
        <v>405</v>
      </c>
      <c r="C32" s="6" t="s">
        <v>393</v>
      </c>
      <c r="D32" s="6" t="s">
        <v>393</v>
      </c>
      <c r="E32" s="6" t="s">
        <v>393</v>
      </c>
      <c r="F32" s="6" t="s">
        <v>356</v>
      </c>
      <c r="G32" s="7">
        <v>0</v>
      </c>
      <c r="H32" s="7">
        <v>-3779579.4</v>
      </c>
      <c r="I32" s="7">
        <v>3779579.4</v>
      </c>
      <c r="J32" s="7">
        <v>0</v>
      </c>
      <c r="K32" s="7">
        <v>0</v>
      </c>
      <c r="L32" s="6" t="s">
        <v>209</v>
      </c>
      <c r="M32" s="6" t="s">
        <v>213</v>
      </c>
      <c r="N32" s="6"/>
      <c r="O32" s="6"/>
      <c r="P32" s="6" t="s">
        <v>4</v>
      </c>
      <c r="Q32" s="6"/>
      <c r="R32" s="6"/>
      <c r="S32" s="6" t="s">
        <v>426</v>
      </c>
    </row>
    <row r="33" spans="1:19" x14ac:dyDescent="0.25">
      <c r="A33" s="6" t="s">
        <v>427</v>
      </c>
      <c r="B33" s="6" t="s">
        <v>405</v>
      </c>
      <c r="C33" s="6" t="s">
        <v>393</v>
      </c>
      <c r="D33" s="6" t="s">
        <v>393</v>
      </c>
      <c r="E33" s="6" t="s">
        <v>393</v>
      </c>
      <c r="F33" s="6" t="s">
        <v>356</v>
      </c>
      <c r="G33" s="7">
        <v>0</v>
      </c>
      <c r="H33" s="7">
        <v>-3859152</v>
      </c>
      <c r="I33" s="7">
        <v>3859152</v>
      </c>
      <c r="J33" s="7">
        <v>0</v>
      </c>
      <c r="K33" s="7">
        <v>0</v>
      </c>
      <c r="L33" s="6" t="s">
        <v>209</v>
      </c>
      <c r="M33" s="6" t="s">
        <v>213</v>
      </c>
      <c r="N33" s="6"/>
      <c r="O33" s="6"/>
      <c r="P33" s="6" t="s">
        <v>4</v>
      </c>
      <c r="Q33" s="6"/>
      <c r="R33" s="6"/>
      <c r="S33" s="6" t="s">
        <v>428</v>
      </c>
    </row>
    <row r="34" spans="1:19" x14ac:dyDescent="0.25">
      <c r="A34" s="6" t="s">
        <v>429</v>
      </c>
      <c r="B34" s="6" t="s">
        <v>405</v>
      </c>
      <c r="C34" s="6" t="s">
        <v>393</v>
      </c>
      <c r="D34" s="6" t="s">
        <v>393</v>
      </c>
      <c r="E34" s="6" t="s">
        <v>393</v>
      </c>
      <c r="F34" s="6" t="s">
        <v>356</v>
      </c>
      <c r="G34" s="7">
        <v>0</v>
      </c>
      <c r="H34" s="7">
        <v>0</v>
      </c>
      <c r="I34" s="7">
        <v>0</v>
      </c>
      <c r="J34" s="7">
        <v>0</v>
      </c>
      <c r="K34" s="7">
        <v>0</v>
      </c>
      <c r="L34" s="6" t="s">
        <v>209</v>
      </c>
      <c r="M34" s="6" t="s">
        <v>213</v>
      </c>
      <c r="N34" s="6"/>
      <c r="O34" s="6"/>
      <c r="P34" s="6" t="s">
        <v>4</v>
      </c>
      <c r="Q34" s="6"/>
      <c r="R34" s="6"/>
      <c r="S34" s="6" t="s">
        <v>430</v>
      </c>
    </row>
    <row r="35" spans="1:19" x14ac:dyDescent="0.25">
      <c r="A35" s="6" t="s">
        <v>431</v>
      </c>
      <c r="B35" s="6" t="s">
        <v>405</v>
      </c>
      <c r="C35" s="6" t="s">
        <v>393</v>
      </c>
      <c r="D35" s="6" t="s">
        <v>393</v>
      </c>
      <c r="E35" s="6" t="s">
        <v>393</v>
      </c>
      <c r="F35" s="6" t="s">
        <v>356</v>
      </c>
      <c r="G35" s="7">
        <v>0</v>
      </c>
      <c r="H35" s="7">
        <v>0</v>
      </c>
      <c r="I35" s="7">
        <v>0</v>
      </c>
      <c r="J35" s="7">
        <v>0</v>
      </c>
      <c r="K35" s="7">
        <v>0</v>
      </c>
      <c r="L35" s="6" t="s">
        <v>209</v>
      </c>
      <c r="M35" s="6" t="s">
        <v>213</v>
      </c>
      <c r="N35" s="6"/>
      <c r="O35" s="6"/>
      <c r="P35" s="6" t="s">
        <v>4</v>
      </c>
      <c r="Q35" s="6"/>
      <c r="R35" s="6"/>
      <c r="S35" s="6" t="s">
        <v>432</v>
      </c>
    </row>
    <row r="36" spans="1:19" x14ac:dyDescent="0.25">
      <c r="A36" s="6" t="s">
        <v>433</v>
      </c>
      <c r="B36" s="6" t="s">
        <v>405</v>
      </c>
      <c r="C36" s="6" t="s">
        <v>393</v>
      </c>
      <c r="D36" s="6" t="s">
        <v>393</v>
      </c>
      <c r="E36" s="6" t="s">
        <v>393</v>
      </c>
      <c r="F36" s="6" t="s">
        <v>356</v>
      </c>
      <c r="G36" s="7">
        <v>0</v>
      </c>
      <c r="H36" s="7">
        <v>-19730</v>
      </c>
      <c r="I36" s="7">
        <v>19730</v>
      </c>
      <c r="J36" s="7">
        <v>0</v>
      </c>
      <c r="K36" s="7">
        <v>0</v>
      </c>
      <c r="L36" s="6" t="s">
        <v>209</v>
      </c>
      <c r="M36" s="6" t="s">
        <v>213</v>
      </c>
      <c r="N36" s="6"/>
      <c r="O36" s="6"/>
      <c r="P36" s="6" t="s">
        <v>4</v>
      </c>
      <c r="Q36" s="6"/>
      <c r="R36" s="6"/>
      <c r="S36" s="6" t="s">
        <v>434</v>
      </c>
    </row>
    <row r="37" spans="1:19" x14ac:dyDescent="0.25">
      <c r="A37" s="6" t="s">
        <v>435</v>
      </c>
      <c r="B37" s="6" t="s">
        <v>405</v>
      </c>
      <c r="C37" s="6" t="s">
        <v>393</v>
      </c>
      <c r="D37" s="6" t="s">
        <v>393</v>
      </c>
      <c r="E37" s="6" t="s">
        <v>393</v>
      </c>
      <c r="F37" s="6" t="s">
        <v>356</v>
      </c>
      <c r="G37" s="7">
        <v>0</v>
      </c>
      <c r="H37" s="7">
        <v>0</v>
      </c>
      <c r="I37" s="7">
        <v>0</v>
      </c>
      <c r="J37" s="7">
        <v>0</v>
      </c>
      <c r="K37" s="7">
        <v>0</v>
      </c>
      <c r="L37" s="6" t="s">
        <v>209</v>
      </c>
      <c r="M37" s="6" t="s">
        <v>213</v>
      </c>
      <c r="N37" s="6"/>
      <c r="O37" s="6"/>
      <c r="P37" s="6" t="s">
        <v>4</v>
      </c>
      <c r="Q37" s="6"/>
      <c r="R37" s="6"/>
      <c r="S37" s="6" t="s">
        <v>436</v>
      </c>
    </row>
    <row r="38" spans="1:19" x14ac:dyDescent="0.25">
      <c r="A38" s="6" t="s">
        <v>437</v>
      </c>
      <c r="B38" s="6" t="s">
        <v>405</v>
      </c>
      <c r="C38" s="6" t="s">
        <v>393</v>
      </c>
      <c r="D38" s="6" t="s">
        <v>393</v>
      </c>
      <c r="E38" s="6" t="s">
        <v>393</v>
      </c>
      <c r="F38" s="6" t="s">
        <v>356</v>
      </c>
      <c r="G38" s="7">
        <v>0</v>
      </c>
      <c r="H38" s="7">
        <v>0</v>
      </c>
      <c r="I38" s="7">
        <v>0</v>
      </c>
      <c r="J38" s="7">
        <v>0</v>
      </c>
      <c r="K38" s="7">
        <v>0</v>
      </c>
      <c r="L38" s="6" t="s">
        <v>209</v>
      </c>
      <c r="M38" s="6" t="s">
        <v>213</v>
      </c>
      <c r="N38" s="6"/>
      <c r="O38" s="6"/>
      <c r="P38" s="6" t="s">
        <v>4</v>
      </c>
      <c r="Q38" s="6"/>
      <c r="R38" s="6"/>
      <c r="S38" s="6" t="s">
        <v>438</v>
      </c>
    </row>
    <row r="39" spans="1:19" x14ac:dyDescent="0.25">
      <c r="A39" s="6" t="s">
        <v>439</v>
      </c>
      <c r="B39" s="6" t="s">
        <v>405</v>
      </c>
      <c r="C39" s="6" t="s">
        <v>393</v>
      </c>
      <c r="D39" s="6" t="s">
        <v>393</v>
      </c>
      <c r="E39" s="6" t="s">
        <v>393</v>
      </c>
      <c r="F39" s="6" t="s">
        <v>356</v>
      </c>
      <c r="G39" s="7">
        <v>1179</v>
      </c>
      <c r="H39" s="7">
        <v>-456955</v>
      </c>
      <c r="I39" s="7">
        <v>495775.58</v>
      </c>
      <c r="J39" s="7">
        <v>38820.58</v>
      </c>
      <c r="K39" s="7">
        <v>39999.58</v>
      </c>
      <c r="L39" s="6" t="s">
        <v>209</v>
      </c>
      <c r="M39" s="6" t="s">
        <v>213</v>
      </c>
      <c r="N39" s="6"/>
      <c r="O39" s="6"/>
      <c r="P39" s="6" t="s">
        <v>4</v>
      </c>
      <c r="Q39" s="6"/>
      <c r="R39" s="6"/>
      <c r="S39" s="6" t="s">
        <v>440</v>
      </c>
    </row>
    <row r="40" spans="1:19" x14ac:dyDescent="0.25">
      <c r="A40" s="6" t="s">
        <v>441</v>
      </c>
      <c r="B40" s="6" t="s">
        <v>405</v>
      </c>
      <c r="C40" s="6" t="s">
        <v>393</v>
      </c>
      <c r="D40" s="6" t="s">
        <v>393</v>
      </c>
      <c r="E40" s="6" t="s">
        <v>393</v>
      </c>
      <c r="F40" s="6" t="s">
        <v>356</v>
      </c>
      <c r="G40" s="7">
        <v>0</v>
      </c>
      <c r="H40" s="7">
        <v>0</v>
      </c>
      <c r="I40" s="7">
        <v>0</v>
      </c>
      <c r="J40" s="7">
        <v>0</v>
      </c>
      <c r="K40" s="7">
        <v>0</v>
      </c>
      <c r="L40" s="6" t="s">
        <v>209</v>
      </c>
      <c r="M40" s="6" t="s">
        <v>213</v>
      </c>
      <c r="N40" s="6"/>
      <c r="O40" s="6"/>
      <c r="P40" s="6" t="s">
        <v>4</v>
      </c>
      <c r="Q40" s="6"/>
      <c r="R40" s="6"/>
      <c r="S40" s="6" t="s">
        <v>442</v>
      </c>
    </row>
    <row r="41" spans="1:19" x14ac:dyDescent="0.25">
      <c r="A41" s="6" t="s">
        <v>443</v>
      </c>
      <c r="B41" s="6" t="s">
        <v>405</v>
      </c>
      <c r="C41" s="6" t="s">
        <v>393</v>
      </c>
      <c r="D41" s="6" t="s">
        <v>393</v>
      </c>
      <c r="E41" s="6" t="s">
        <v>393</v>
      </c>
      <c r="F41" s="6" t="s">
        <v>356</v>
      </c>
      <c r="G41" s="7">
        <v>12500</v>
      </c>
      <c r="H41" s="7">
        <v>-12500</v>
      </c>
      <c r="I41" s="7">
        <v>0</v>
      </c>
      <c r="J41" s="7">
        <v>-12500</v>
      </c>
      <c r="K41" s="7">
        <v>0</v>
      </c>
      <c r="L41" s="6" t="s">
        <v>209</v>
      </c>
      <c r="M41" s="6" t="s">
        <v>213</v>
      </c>
      <c r="N41" s="6"/>
      <c r="O41" s="6"/>
      <c r="P41" s="6" t="s">
        <v>4</v>
      </c>
      <c r="Q41" s="6"/>
      <c r="R41" s="6"/>
      <c r="S41" s="6" t="s">
        <v>444</v>
      </c>
    </row>
    <row r="42" spans="1:19" x14ac:dyDescent="0.25">
      <c r="A42" s="6" t="s">
        <v>445</v>
      </c>
      <c r="B42" s="6" t="s">
        <v>405</v>
      </c>
      <c r="C42" s="6" t="s">
        <v>393</v>
      </c>
      <c r="D42" s="6" t="s">
        <v>393</v>
      </c>
      <c r="E42" s="6" t="s">
        <v>393</v>
      </c>
      <c r="F42" s="6" t="s">
        <v>356</v>
      </c>
      <c r="G42" s="7">
        <v>0</v>
      </c>
      <c r="H42" s="7">
        <v>0</v>
      </c>
      <c r="I42" s="7">
        <v>0</v>
      </c>
      <c r="J42" s="7">
        <v>0</v>
      </c>
      <c r="K42" s="7">
        <v>0</v>
      </c>
      <c r="L42" s="6" t="s">
        <v>209</v>
      </c>
      <c r="M42" s="6" t="s">
        <v>213</v>
      </c>
      <c r="N42" s="6"/>
      <c r="O42" s="6"/>
      <c r="P42" s="6" t="s">
        <v>4</v>
      </c>
      <c r="Q42" s="6"/>
      <c r="R42" s="6"/>
      <c r="S42" s="6" t="s">
        <v>446</v>
      </c>
    </row>
    <row r="43" spans="1:19" x14ac:dyDescent="0.25">
      <c r="A43" s="6" t="s">
        <v>447</v>
      </c>
      <c r="B43" s="6" t="s">
        <v>405</v>
      </c>
      <c r="C43" s="6" t="s">
        <v>393</v>
      </c>
      <c r="D43" s="6" t="s">
        <v>393</v>
      </c>
      <c r="E43" s="6" t="s">
        <v>393</v>
      </c>
      <c r="F43" s="6" t="s">
        <v>356</v>
      </c>
      <c r="G43" s="7">
        <v>0</v>
      </c>
      <c r="H43" s="7">
        <v>-81000</v>
      </c>
      <c r="I43" s="7">
        <v>81000</v>
      </c>
      <c r="J43" s="7">
        <v>0</v>
      </c>
      <c r="K43" s="7">
        <v>0</v>
      </c>
      <c r="L43" s="6" t="s">
        <v>209</v>
      </c>
      <c r="M43" s="6" t="s">
        <v>213</v>
      </c>
      <c r="N43" s="6"/>
      <c r="O43" s="6"/>
      <c r="P43" s="6" t="s">
        <v>4</v>
      </c>
      <c r="Q43" s="6"/>
      <c r="R43" s="6"/>
      <c r="S43" s="6" t="s">
        <v>448</v>
      </c>
    </row>
    <row r="44" spans="1:19" x14ac:dyDescent="0.25">
      <c r="A44" s="6" t="s">
        <v>449</v>
      </c>
      <c r="B44" s="6" t="s">
        <v>405</v>
      </c>
      <c r="C44" s="6" t="s">
        <v>393</v>
      </c>
      <c r="D44" s="6" t="s">
        <v>393</v>
      </c>
      <c r="E44" s="6" t="s">
        <v>393</v>
      </c>
      <c r="F44" s="6" t="s">
        <v>356</v>
      </c>
      <c r="G44" s="7">
        <v>0</v>
      </c>
      <c r="H44" s="7">
        <v>-153535</v>
      </c>
      <c r="I44" s="7">
        <v>153535</v>
      </c>
      <c r="J44" s="7">
        <v>0</v>
      </c>
      <c r="K44" s="7">
        <v>0</v>
      </c>
      <c r="L44" s="6" t="s">
        <v>209</v>
      </c>
      <c r="M44" s="6" t="s">
        <v>213</v>
      </c>
      <c r="N44" s="6"/>
      <c r="O44" s="6"/>
      <c r="P44" s="6" t="s">
        <v>4</v>
      </c>
      <c r="Q44" s="6"/>
      <c r="R44" s="6"/>
      <c r="S44" s="6" t="s">
        <v>450</v>
      </c>
    </row>
    <row r="45" spans="1:19" x14ac:dyDescent="0.25">
      <c r="A45" s="6" t="s">
        <v>451</v>
      </c>
      <c r="B45" s="6" t="s">
        <v>405</v>
      </c>
      <c r="C45" s="6" t="s">
        <v>393</v>
      </c>
      <c r="D45" s="6" t="s">
        <v>393</v>
      </c>
      <c r="E45" s="6" t="s">
        <v>393</v>
      </c>
      <c r="F45" s="6" t="s">
        <v>356</v>
      </c>
      <c r="G45" s="7">
        <v>0</v>
      </c>
      <c r="H45" s="7">
        <v>0</v>
      </c>
      <c r="I45" s="7">
        <v>0</v>
      </c>
      <c r="J45" s="7">
        <v>0</v>
      </c>
      <c r="K45" s="7">
        <v>0</v>
      </c>
      <c r="L45" s="6" t="s">
        <v>209</v>
      </c>
      <c r="M45" s="6" t="s">
        <v>213</v>
      </c>
      <c r="N45" s="6"/>
      <c r="O45" s="6"/>
      <c r="P45" s="6" t="s">
        <v>4</v>
      </c>
      <c r="Q45" s="6"/>
      <c r="R45" s="6"/>
      <c r="S45" s="6" t="s">
        <v>452</v>
      </c>
    </row>
    <row r="46" spans="1:19" x14ac:dyDescent="0.25">
      <c r="A46" s="6" t="s">
        <v>453</v>
      </c>
      <c r="B46" s="6" t="s">
        <v>405</v>
      </c>
      <c r="C46" s="6" t="s">
        <v>393</v>
      </c>
      <c r="D46" s="6" t="s">
        <v>393</v>
      </c>
      <c r="E46" s="6" t="s">
        <v>393</v>
      </c>
      <c r="F46" s="6" t="s">
        <v>356</v>
      </c>
      <c r="G46" s="7">
        <v>0</v>
      </c>
      <c r="H46" s="7">
        <v>-120000</v>
      </c>
      <c r="I46" s="7">
        <v>120000</v>
      </c>
      <c r="J46" s="7">
        <v>0</v>
      </c>
      <c r="K46" s="7">
        <v>0</v>
      </c>
      <c r="L46" s="6" t="s">
        <v>209</v>
      </c>
      <c r="M46" s="6" t="s">
        <v>213</v>
      </c>
      <c r="N46" s="6"/>
      <c r="O46" s="6"/>
      <c r="P46" s="6" t="s">
        <v>4</v>
      </c>
      <c r="Q46" s="6"/>
      <c r="R46" s="6"/>
      <c r="S46" s="6" t="s">
        <v>454</v>
      </c>
    </row>
    <row r="47" spans="1:19" x14ac:dyDescent="0.25">
      <c r="A47" s="6" t="s">
        <v>455</v>
      </c>
      <c r="B47" s="6" t="s">
        <v>405</v>
      </c>
      <c r="C47" s="6" t="s">
        <v>393</v>
      </c>
      <c r="D47" s="6" t="s">
        <v>393</v>
      </c>
      <c r="E47" s="6" t="s">
        <v>393</v>
      </c>
      <c r="F47" s="6" t="s">
        <v>356</v>
      </c>
      <c r="G47" s="7">
        <v>0</v>
      </c>
      <c r="H47" s="7">
        <v>0</v>
      </c>
      <c r="I47" s="7">
        <v>0</v>
      </c>
      <c r="J47" s="7">
        <v>0</v>
      </c>
      <c r="K47" s="7">
        <v>0</v>
      </c>
      <c r="L47" s="6" t="s">
        <v>209</v>
      </c>
      <c r="M47" s="6" t="s">
        <v>213</v>
      </c>
      <c r="N47" s="6"/>
      <c r="O47" s="6"/>
      <c r="P47" s="6" t="s">
        <v>4</v>
      </c>
      <c r="Q47" s="6"/>
      <c r="R47" s="6"/>
      <c r="S47" s="6" t="s">
        <v>456</v>
      </c>
    </row>
    <row r="48" spans="1:19" x14ac:dyDescent="0.25">
      <c r="A48" s="6" t="s">
        <v>457</v>
      </c>
      <c r="B48" s="6" t="s">
        <v>458</v>
      </c>
      <c r="C48" s="6" t="s">
        <v>393</v>
      </c>
      <c r="D48" s="6" t="s">
        <v>458</v>
      </c>
      <c r="E48" s="6" t="s">
        <v>393</v>
      </c>
      <c r="F48" s="6" t="s">
        <v>356</v>
      </c>
      <c r="G48" s="7">
        <v>1800</v>
      </c>
      <c r="H48" s="7">
        <v>-21600</v>
      </c>
      <c r="I48" s="7">
        <v>3441481.74</v>
      </c>
      <c r="J48" s="7">
        <v>3419881.74</v>
      </c>
      <c r="K48" s="7">
        <v>3421681.74</v>
      </c>
      <c r="L48" s="6" t="s">
        <v>209</v>
      </c>
      <c r="M48" s="6" t="s">
        <v>212</v>
      </c>
      <c r="N48" s="6"/>
      <c r="O48" s="6"/>
      <c r="P48" s="6" t="s">
        <v>4</v>
      </c>
      <c r="Q48" s="6"/>
      <c r="R48" s="6"/>
      <c r="S48" s="6" t="s">
        <v>459</v>
      </c>
    </row>
    <row r="49" spans="1:19" x14ac:dyDescent="0.25">
      <c r="A49" s="6" t="s">
        <v>460</v>
      </c>
      <c r="B49" s="6" t="s">
        <v>458</v>
      </c>
      <c r="C49" s="6" t="s">
        <v>393</v>
      </c>
      <c r="D49" s="6" t="s">
        <v>458</v>
      </c>
      <c r="E49" s="6" t="s">
        <v>393</v>
      </c>
      <c r="F49" s="6" t="s">
        <v>356</v>
      </c>
      <c r="G49" s="7">
        <v>0</v>
      </c>
      <c r="H49" s="7">
        <v>0</v>
      </c>
      <c r="I49" s="7">
        <v>0</v>
      </c>
      <c r="J49" s="7">
        <v>0</v>
      </c>
      <c r="K49" s="7">
        <v>0</v>
      </c>
      <c r="L49" s="6" t="s">
        <v>209</v>
      </c>
      <c r="M49" s="6" t="s">
        <v>212</v>
      </c>
      <c r="N49" s="6"/>
      <c r="O49" s="6"/>
      <c r="P49" s="6" t="s">
        <v>4</v>
      </c>
      <c r="Q49" s="6"/>
      <c r="R49" s="6"/>
      <c r="S49" s="6" t="s">
        <v>461</v>
      </c>
    </row>
    <row r="50" spans="1:19" x14ac:dyDescent="0.25">
      <c r="A50" s="6" t="s">
        <v>462</v>
      </c>
      <c r="B50" s="6" t="s">
        <v>458</v>
      </c>
      <c r="C50" s="6" t="s">
        <v>393</v>
      </c>
      <c r="D50" s="6" t="s">
        <v>458</v>
      </c>
      <c r="E50" s="6" t="s">
        <v>393</v>
      </c>
      <c r="F50" s="6" t="s">
        <v>356</v>
      </c>
      <c r="G50" s="7">
        <v>0</v>
      </c>
      <c r="H50" s="7">
        <v>0</v>
      </c>
      <c r="I50" s="7">
        <v>2502000</v>
      </c>
      <c r="J50" s="7">
        <v>2502000</v>
      </c>
      <c r="K50" s="7">
        <v>2502000</v>
      </c>
      <c r="L50" s="6" t="s">
        <v>209</v>
      </c>
      <c r="M50" s="6" t="s">
        <v>212</v>
      </c>
      <c r="N50" s="6"/>
      <c r="O50" s="6"/>
      <c r="P50" s="6" t="s">
        <v>4</v>
      </c>
      <c r="Q50" s="6"/>
      <c r="R50" s="6"/>
      <c r="S50" s="6" t="s">
        <v>463</v>
      </c>
    </row>
    <row r="51" spans="1:19" x14ac:dyDescent="0.25">
      <c r="A51" s="6" t="s">
        <v>464</v>
      </c>
      <c r="B51" s="6" t="s">
        <v>458</v>
      </c>
      <c r="C51" s="6" t="s">
        <v>393</v>
      </c>
      <c r="D51" s="6" t="s">
        <v>458</v>
      </c>
      <c r="E51" s="6" t="s">
        <v>393</v>
      </c>
      <c r="F51" s="6" t="s">
        <v>356</v>
      </c>
      <c r="G51" s="7">
        <v>0</v>
      </c>
      <c r="H51" s="7">
        <v>0</v>
      </c>
      <c r="I51" s="7">
        <v>0</v>
      </c>
      <c r="J51" s="7">
        <v>0</v>
      </c>
      <c r="K51" s="7">
        <v>0</v>
      </c>
      <c r="L51" s="6" t="s">
        <v>209</v>
      </c>
      <c r="M51" s="6" t="s">
        <v>212</v>
      </c>
      <c r="N51" s="6"/>
      <c r="O51" s="6"/>
      <c r="P51" s="6" t="s">
        <v>4</v>
      </c>
      <c r="Q51" s="6"/>
      <c r="R51" s="6"/>
      <c r="S51" s="6" t="s">
        <v>465</v>
      </c>
    </row>
    <row r="52" spans="1:19" x14ac:dyDescent="0.25">
      <c r="A52" s="6" t="s">
        <v>466</v>
      </c>
      <c r="B52" s="6" t="s">
        <v>458</v>
      </c>
      <c r="C52" s="6" t="s">
        <v>393</v>
      </c>
      <c r="D52" s="6" t="s">
        <v>458</v>
      </c>
      <c r="E52" s="6" t="s">
        <v>393</v>
      </c>
      <c r="F52" s="6" t="s">
        <v>356</v>
      </c>
      <c r="G52" s="7">
        <v>0</v>
      </c>
      <c r="H52" s="7">
        <v>0</v>
      </c>
      <c r="I52" s="7">
        <v>2502000</v>
      </c>
      <c r="J52" s="7">
        <v>2502000</v>
      </c>
      <c r="K52" s="7">
        <v>2502000</v>
      </c>
      <c r="L52" s="6" t="s">
        <v>209</v>
      </c>
      <c r="M52" s="6" t="s">
        <v>212</v>
      </c>
      <c r="N52" s="6"/>
      <c r="O52" s="6"/>
      <c r="P52" s="6" t="s">
        <v>4</v>
      </c>
      <c r="Q52" s="6"/>
      <c r="R52" s="6"/>
      <c r="S52" s="6" t="s">
        <v>467</v>
      </c>
    </row>
    <row r="53" spans="1:19" x14ac:dyDescent="0.25">
      <c r="A53" s="6" t="s">
        <v>468</v>
      </c>
      <c r="B53" s="6" t="s">
        <v>458</v>
      </c>
      <c r="C53" s="6" t="s">
        <v>393</v>
      </c>
      <c r="D53" s="6" t="s">
        <v>458</v>
      </c>
      <c r="E53" s="6" t="s">
        <v>393</v>
      </c>
      <c r="F53" s="6" t="s">
        <v>356</v>
      </c>
      <c r="G53" s="7">
        <v>0</v>
      </c>
      <c r="H53" s="7">
        <v>-2500</v>
      </c>
      <c r="I53" s="7">
        <v>2500</v>
      </c>
      <c r="J53" s="7">
        <v>0</v>
      </c>
      <c r="K53" s="7">
        <v>0</v>
      </c>
      <c r="L53" s="6" t="s">
        <v>209</v>
      </c>
      <c r="M53" s="6" t="s">
        <v>212</v>
      </c>
      <c r="N53" s="6"/>
      <c r="O53" s="6"/>
      <c r="P53" s="6" t="s">
        <v>4</v>
      </c>
      <c r="Q53" s="6"/>
      <c r="R53" s="6"/>
      <c r="S53" s="6" t="s">
        <v>469</v>
      </c>
    </row>
    <row r="54" spans="1:19" x14ac:dyDescent="0.25">
      <c r="A54" s="6" t="s">
        <v>470</v>
      </c>
      <c r="B54" s="6" t="s">
        <v>458</v>
      </c>
      <c r="C54" s="6" t="s">
        <v>393</v>
      </c>
      <c r="D54" s="6" t="s">
        <v>458</v>
      </c>
      <c r="E54" s="6" t="s">
        <v>393</v>
      </c>
      <c r="F54" s="6" t="s">
        <v>356</v>
      </c>
      <c r="G54" s="7">
        <v>0</v>
      </c>
      <c r="H54" s="7">
        <v>0</v>
      </c>
      <c r="I54" s="7">
        <v>0</v>
      </c>
      <c r="J54" s="7">
        <v>0</v>
      </c>
      <c r="K54" s="7">
        <v>0</v>
      </c>
      <c r="L54" s="6" t="s">
        <v>209</v>
      </c>
      <c r="M54" s="6" t="s">
        <v>212</v>
      </c>
      <c r="N54" s="6"/>
      <c r="O54" s="6"/>
      <c r="P54" s="6" t="s">
        <v>4</v>
      </c>
      <c r="Q54" s="6"/>
      <c r="R54" s="6"/>
      <c r="S54" s="6" t="s">
        <v>471</v>
      </c>
    </row>
    <row r="55" spans="1:19" x14ac:dyDescent="0.25">
      <c r="A55" s="6" t="s">
        <v>472</v>
      </c>
      <c r="B55" s="6" t="s">
        <v>458</v>
      </c>
      <c r="C55" s="6" t="s">
        <v>393</v>
      </c>
      <c r="D55" s="6" t="s">
        <v>458</v>
      </c>
      <c r="E55" s="6" t="s">
        <v>393</v>
      </c>
      <c r="F55" s="6" t="s">
        <v>356</v>
      </c>
      <c r="G55" s="7">
        <v>10600</v>
      </c>
      <c r="H55" s="7">
        <v>-21037</v>
      </c>
      <c r="I55" s="7">
        <v>21347</v>
      </c>
      <c r="J55" s="7">
        <v>310</v>
      </c>
      <c r="K55" s="7">
        <v>10910</v>
      </c>
      <c r="L55" s="6" t="s">
        <v>209</v>
      </c>
      <c r="M55" s="6" t="s">
        <v>212</v>
      </c>
      <c r="N55" s="6"/>
      <c r="O55" s="6"/>
      <c r="P55" s="6" t="s">
        <v>4</v>
      </c>
      <c r="Q55" s="6"/>
      <c r="R55" s="6"/>
      <c r="S55" s="6" t="s">
        <v>473</v>
      </c>
    </row>
    <row r="56" spans="1:19" x14ac:dyDescent="0.25">
      <c r="A56" s="6" t="s">
        <v>474</v>
      </c>
      <c r="B56" s="6" t="s">
        <v>475</v>
      </c>
      <c r="C56" s="6" t="s">
        <v>458</v>
      </c>
      <c r="D56" s="6" t="s">
        <v>458</v>
      </c>
      <c r="E56" s="6" t="s">
        <v>393</v>
      </c>
      <c r="F56" s="6" t="s">
        <v>356</v>
      </c>
      <c r="G56" s="7">
        <v>0</v>
      </c>
      <c r="H56" s="7">
        <v>-108847</v>
      </c>
      <c r="I56" s="7">
        <v>108847</v>
      </c>
      <c r="J56" s="7">
        <v>0</v>
      </c>
      <c r="K56" s="7">
        <v>0</v>
      </c>
      <c r="L56" s="6" t="s">
        <v>209</v>
      </c>
      <c r="M56" s="6" t="s">
        <v>212</v>
      </c>
      <c r="N56" s="6"/>
      <c r="O56" s="6"/>
      <c r="P56" s="6" t="s">
        <v>4</v>
      </c>
      <c r="Q56" s="6"/>
      <c r="R56" s="6"/>
      <c r="S56" s="6" t="s">
        <v>476</v>
      </c>
    </row>
    <row r="57" spans="1:19" x14ac:dyDescent="0.25">
      <c r="A57" s="6" t="s">
        <v>477</v>
      </c>
      <c r="B57" s="6" t="s">
        <v>475</v>
      </c>
      <c r="C57" s="6" t="s">
        <v>458</v>
      </c>
      <c r="D57" s="6" t="s">
        <v>458</v>
      </c>
      <c r="E57" s="6" t="s">
        <v>393</v>
      </c>
      <c r="F57" s="6" t="s">
        <v>356</v>
      </c>
      <c r="G57" s="7">
        <v>0</v>
      </c>
      <c r="H57" s="7">
        <v>-265711</v>
      </c>
      <c r="I57" s="7">
        <v>265711</v>
      </c>
      <c r="J57" s="7">
        <v>0</v>
      </c>
      <c r="K57" s="7">
        <v>0</v>
      </c>
      <c r="L57" s="6" t="s">
        <v>209</v>
      </c>
      <c r="M57" s="6" t="s">
        <v>212</v>
      </c>
      <c r="N57" s="6"/>
      <c r="O57" s="6"/>
      <c r="P57" s="6" t="s">
        <v>4</v>
      </c>
      <c r="Q57" s="6"/>
      <c r="R57" s="6"/>
      <c r="S57" s="6" t="s">
        <v>478</v>
      </c>
    </row>
    <row r="58" spans="1:19" x14ac:dyDescent="0.25">
      <c r="A58" s="6" t="s">
        <v>479</v>
      </c>
      <c r="B58" s="6" t="s">
        <v>480</v>
      </c>
      <c r="C58" s="6" t="s">
        <v>393</v>
      </c>
      <c r="D58" s="6" t="s">
        <v>480</v>
      </c>
      <c r="E58" s="6" t="s">
        <v>393</v>
      </c>
      <c r="F58" s="6" t="s">
        <v>356</v>
      </c>
      <c r="G58" s="7">
        <v>0</v>
      </c>
      <c r="H58" s="7">
        <v>0</v>
      </c>
      <c r="I58" s="7">
        <v>18999343</v>
      </c>
      <c r="J58" s="7">
        <v>18999343</v>
      </c>
      <c r="K58" s="7">
        <v>18999343</v>
      </c>
      <c r="L58" s="6" t="s">
        <v>207</v>
      </c>
      <c r="M58" s="6" t="s">
        <v>208</v>
      </c>
      <c r="N58" s="6"/>
      <c r="O58" s="6"/>
      <c r="P58" s="6" t="s">
        <v>4</v>
      </c>
      <c r="Q58" s="6"/>
      <c r="R58" s="6"/>
      <c r="S58" s="6" t="s">
        <v>481</v>
      </c>
    </row>
    <row r="59" spans="1:19" x14ac:dyDescent="0.25">
      <c r="A59" s="6" t="s">
        <v>482</v>
      </c>
      <c r="B59" s="6" t="s">
        <v>483</v>
      </c>
      <c r="C59" s="6" t="s">
        <v>355</v>
      </c>
      <c r="D59" s="6" t="s">
        <v>483</v>
      </c>
      <c r="E59" s="6" t="s">
        <v>483</v>
      </c>
      <c r="F59" s="6" t="s">
        <v>484</v>
      </c>
      <c r="G59" s="7">
        <v>0</v>
      </c>
      <c r="H59" s="7">
        <v>-4720</v>
      </c>
      <c r="I59" s="7">
        <v>4720</v>
      </c>
      <c r="J59" s="7">
        <v>0</v>
      </c>
      <c r="K59" s="7">
        <v>0</v>
      </c>
      <c r="L59" s="6"/>
      <c r="M59" s="6"/>
      <c r="N59" s="6" t="s">
        <v>241</v>
      </c>
      <c r="O59" s="6" t="s">
        <v>247</v>
      </c>
      <c r="P59" s="6" t="s">
        <v>4</v>
      </c>
      <c r="Q59" s="6"/>
      <c r="R59" s="6"/>
      <c r="S59" s="6" t="s">
        <v>485</v>
      </c>
    </row>
    <row r="60" spans="1:19" x14ac:dyDescent="0.25">
      <c r="A60" s="6" t="s">
        <v>486</v>
      </c>
      <c r="B60" s="6" t="s">
        <v>483</v>
      </c>
      <c r="C60" s="6" t="s">
        <v>355</v>
      </c>
      <c r="D60" s="6" t="s">
        <v>483</v>
      </c>
      <c r="E60" s="6" t="s">
        <v>483</v>
      </c>
      <c r="F60" s="6" t="s">
        <v>484</v>
      </c>
      <c r="G60" s="7">
        <v>0</v>
      </c>
      <c r="H60" s="7">
        <v>-22419224.739999998</v>
      </c>
      <c r="I60" s="7">
        <v>0</v>
      </c>
      <c r="J60" s="7">
        <v>-22419224.739999998</v>
      </c>
      <c r="K60" s="7">
        <v>22419224.739999998</v>
      </c>
      <c r="L60" s="6"/>
      <c r="M60" s="6"/>
      <c r="N60" s="6" t="s">
        <v>241</v>
      </c>
      <c r="O60" s="6" t="s">
        <v>248</v>
      </c>
      <c r="P60" s="6" t="s">
        <v>4</v>
      </c>
      <c r="Q60" s="6"/>
      <c r="R60" s="6"/>
      <c r="S60" s="6" t="s">
        <v>487</v>
      </c>
    </row>
    <row r="61" spans="1:19" x14ac:dyDescent="0.25">
      <c r="A61" s="6" t="s">
        <v>488</v>
      </c>
      <c r="B61" s="6" t="s">
        <v>483</v>
      </c>
      <c r="C61" s="6" t="s">
        <v>355</v>
      </c>
      <c r="D61" s="6" t="s">
        <v>483</v>
      </c>
      <c r="E61" s="6" t="s">
        <v>483</v>
      </c>
      <c r="F61" s="6" t="s">
        <v>484</v>
      </c>
      <c r="G61" s="7">
        <v>0</v>
      </c>
      <c r="H61" s="7">
        <v>-23138.89</v>
      </c>
      <c r="I61" s="7">
        <v>520</v>
      </c>
      <c r="J61" s="7">
        <v>-22618.89</v>
      </c>
      <c r="K61" s="7">
        <v>22618.89</v>
      </c>
      <c r="L61" s="6"/>
      <c r="M61" s="6"/>
      <c r="N61" s="6" t="s">
        <v>241</v>
      </c>
      <c r="O61" s="6" t="s">
        <v>243</v>
      </c>
      <c r="P61" s="6" t="s">
        <v>4</v>
      </c>
      <c r="Q61" s="6"/>
      <c r="R61" s="6"/>
      <c r="S61" s="6" t="s">
        <v>489</v>
      </c>
    </row>
    <row r="62" spans="1:19" x14ac:dyDescent="0.25">
      <c r="A62" s="6" t="s">
        <v>490</v>
      </c>
      <c r="B62" s="6" t="s">
        <v>483</v>
      </c>
      <c r="C62" s="6" t="s">
        <v>355</v>
      </c>
      <c r="D62" s="6" t="s">
        <v>483</v>
      </c>
      <c r="E62" s="6" t="s">
        <v>483</v>
      </c>
      <c r="F62" s="6" t="s">
        <v>484</v>
      </c>
      <c r="G62" s="7">
        <v>0</v>
      </c>
      <c r="H62" s="7">
        <v>-5000</v>
      </c>
      <c r="I62" s="7">
        <v>0</v>
      </c>
      <c r="J62" s="7">
        <v>-5000</v>
      </c>
      <c r="K62" s="7">
        <v>5000</v>
      </c>
      <c r="L62" s="6"/>
      <c r="M62" s="6"/>
      <c r="N62" s="6" t="s">
        <v>241</v>
      </c>
      <c r="O62" s="6" t="s">
        <v>245</v>
      </c>
      <c r="P62" s="6" t="s">
        <v>4</v>
      </c>
      <c r="Q62" s="6"/>
      <c r="R62" s="6"/>
      <c r="S62" s="6" t="s">
        <v>491</v>
      </c>
    </row>
    <row r="63" spans="1:19" x14ac:dyDescent="0.25">
      <c r="A63" s="6" t="s">
        <v>492</v>
      </c>
      <c r="B63" s="6" t="s">
        <v>493</v>
      </c>
      <c r="C63" s="6" t="s">
        <v>483</v>
      </c>
      <c r="D63" s="6" t="s">
        <v>483</v>
      </c>
      <c r="E63" s="6" t="s">
        <v>483</v>
      </c>
      <c r="F63" s="6" t="s">
        <v>484</v>
      </c>
      <c r="G63" s="7">
        <v>0</v>
      </c>
      <c r="H63" s="7">
        <v>-68416.820000000007</v>
      </c>
      <c r="I63" s="7">
        <v>720</v>
      </c>
      <c r="J63" s="7">
        <v>-67696.820000000007</v>
      </c>
      <c r="K63" s="7">
        <v>67696.820000000007</v>
      </c>
      <c r="L63" s="6"/>
      <c r="M63" s="6"/>
      <c r="N63" s="6" t="s">
        <v>241</v>
      </c>
      <c r="O63" s="6" t="s">
        <v>243</v>
      </c>
      <c r="P63" s="6" t="s">
        <v>4</v>
      </c>
      <c r="Q63" s="6"/>
      <c r="R63" s="6"/>
      <c r="S63" s="6" t="s">
        <v>494</v>
      </c>
    </row>
    <row r="64" spans="1:19" x14ac:dyDescent="0.25">
      <c r="A64" s="6" t="s">
        <v>495</v>
      </c>
      <c r="B64" s="6" t="s">
        <v>493</v>
      </c>
      <c r="C64" s="6" t="s">
        <v>483</v>
      </c>
      <c r="D64" s="6" t="s">
        <v>483</v>
      </c>
      <c r="E64" s="6" t="s">
        <v>483</v>
      </c>
      <c r="F64" s="6" t="s">
        <v>484</v>
      </c>
      <c r="G64" s="7">
        <v>0</v>
      </c>
      <c r="H64" s="7">
        <v>-1188789.22</v>
      </c>
      <c r="I64" s="7">
        <v>34821.82</v>
      </c>
      <c r="J64" s="7">
        <v>-1153967.3999999999</v>
      </c>
      <c r="K64" s="7">
        <v>1153967.3999999999</v>
      </c>
      <c r="L64" s="6"/>
      <c r="M64" s="6"/>
      <c r="N64" s="6" t="s">
        <v>241</v>
      </c>
      <c r="O64" s="6" t="s">
        <v>243</v>
      </c>
      <c r="P64" s="6" t="s">
        <v>4</v>
      </c>
      <c r="Q64" s="6"/>
      <c r="R64" s="6"/>
      <c r="S64" s="6" t="s">
        <v>496</v>
      </c>
    </row>
    <row r="65" spans="1:19" x14ac:dyDescent="0.25">
      <c r="A65" s="6" t="s">
        <v>497</v>
      </c>
      <c r="B65" s="6" t="s">
        <v>498</v>
      </c>
      <c r="C65" s="6" t="s">
        <v>355</v>
      </c>
      <c r="D65" s="6" t="s">
        <v>498</v>
      </c>
      <c r="E65" s="6" t="s">
        <v>498</v>
      </c>
      <c r="F65" s="6" t="s">
        <v>499</v>
      </c>
      <c r="G65" s="7">
        <v>0</v>
      </c>
      <c r="H65" s="7">
        <v>0</v>
      </c>
      <c r="I65" s="7">
        <v>0</v>
      </c>
      <c r="J65" s="7">
        <v>0</v>
      </c>
      <c r="K65" s="7">
        <v>0</v>
      </c>
      <c r="L65" s="6"/>
      <c r="M65" s="6"/>
      <c r="N65" s="6"/>
      <c r="O65" s="6"/>
      <c r="P65" s="6" t="s">
        <v>4</v>
      </c>
      <c r="Q65" s="6"/>
      <c r="R65" s="6"/>
      <c r="S65" s="6" t="s">
        <v>500</v>
      </c>
    </row>
    <row r="66" spans="1:19" x14ac:dyDescent="0.25">
      <c r="A66" s="6" t="s">
        <v>501</v>
      </c>
      <c r="B66" s="6" t="s">
        <v>502</v>
      </c>
      <c r="C66" s="6" t="s">
        <v>355</v>
      </c>
      <c r="D66" s="6" t="s">
        <v>502</v>
      </c>
      <c r="E66" s="6" t="s">
        <v>502</v>
      </c>
      <c r="F66" s="6" t="s">
        <v>361</v>
      </c>
      <c r="G66" s="7">
        <v>0</v>
      </c>
      <c r="H66" s="7">
        <v>0</v>
      </c>
      <c r="I66" s="7">
        <v>0</v>
      </c>
      <c r="J66" s="7">
        <v>0</v>
      </c>
      <c r="K66" s="7">
        <v>0</v>
      </c>
      <c r="L66" s="6" t="s">
        <v>214</v>
      </c>
      <c r="M66" s="6" t="s">
        <v>214</v>
      </c>
      <c r="N66" s="6"/>
      <c r="O66" s="6"/>
      <c r="P66" s="6" t="s">
        <v>4</v>
      </c>
      <c r="Q66" s="6"/>
      <c r="R66" s="6"/>
      <c r="S66" s="6" t="s">
        <v>503</v>
      </c>
    </row>
    <row r="67" spans="1:19" x14ac:dyDescent="0.25">
      <c r="A67" s="6" t="s">
        <v>504</v>
      </c>
      <c r="B67" s="6" t="s">
        <v>502</v>
      </c>
      <c r="C67" s="6" t="s">
        <v>355</v>
      </c>
      <c r="D67" s="6" t="s">
        <v>502</v>
      </c>
      <c r="E67" s="6" t="s">
        <v>502</v>
      </c>
      <c r="F67" s="6" t="s">
        <v>361</v>
      </c>
      <c r="G67" s="7">
        <v>-34340.28</v>
      </c>
      <c r="H67" s="7">
        <v>0</v>
      </c>
      <c r="I67" s="7">
        <v>15914</v>
      </c>
      <c r="J67" s="7">
        <v>15914</v>
      </c>
      <c r="K67" s="7">
        <v>18426.28</v>
      </c>
      <c r="L67" s="6" t="s">
        <v>214</v>
      </c>
      <c r="M67" s="6" t="s">
        <v>214</v>
      </c>
      <c r="N67" s="6"/>
      <c r="O67" s="6"/>
      <c r="P67" s="6" t="s">
        <v>4</v>
      </c>
      <c r="Q67" s="6"/>
      <c r="R67" s="6"/>
      <c r="S67" s="6" t="s">
        <v>505</v>
      </c>
    </row>
    <row r="68" spans="1:19" x14ac:dyDescent="0.25">
      <c r="A68" s="6" t="s">
        <v>506</v>
      </c>
      <c r="B68" s="6" t="s">
        <v>502</v>
      </c>
      <c r="C68" s="6" t="s">
        <v>355</v>
      </c>
      <c r="D68" s="6" t="s">
        <v>502</v>
      </c>
      <c r="E68" s="6" t="s">
        <v>502</v>
      </c>
      <c r="F68" s="6" t="s">
        <v>361</v>
      </c>
      <c r="G68" s="7">
        <v>0</v>
      </c>
      <c r="H68" s="7">
        <v>0</v>
      </c>
      <c r="I68" s="7">
        <v>0</v>
      </c>
      <c r="J68" s="7">
        <v>0</v>
      </c>
      <c r="K68" s="7">
        <v>0</v>
      </c>
      <c r="L68" s="6" t="s">
        <v>214</v>
      </c>
      <c r="M68" s="6" t="s">
        <v>214</v>
      </c>
      <c r="N68" s="6"/>
      <c r="O68" s="6"/>
      <c r="P68" s="6" t="s">
        <v>4</v>
      </c>
      <c r="Q68" s="6"/>
      <c r="R68" s="6"/>
      <c r="S68" s="6" t="s">
        <v>507</v>
      </c>
    </row>
    <row r="69" spans="1:19" x14ac:dyDescent="0.25">
      <c r="A69" s="6" t="s">
        <v>508</v>
      </c>
      <c r="B69" s="6" t="s">
        <v>509</v>
      </c>
      <c r="C69" s="6" t="s">
        <v>355</v>
      </c>
      <c r="D69" s="6" t="s">
        <v>509</v>
      </c>
      <c r="E69" s="6" t="s">
        <v>509</v>
      </c>
      <c r="F69" s="6" t="s">
        <v>484</v>
      </c>
      <c r="G69" s="7">
        <v>0</v>
      </c>
      <c r="H69" s="7">
        <v>-88500</v>
      </c>
      <c r="I69" s="7">
        <v>13500</v>
      </c>
      <c r="J69" s="7">
        <v>-75000</v>
      </c>
      <c r="K69" s="7">
        <v>75000</v>
      </c>
      <c r="L69" s="6"/>
      <c r="M69" s="6"/>
      <c r="N69" s="6" t="s">
        <v>251</v>
      </c>
      <c r="O69" s="6" t="s">
        <v>252</v>
      </c>
      <c r="P69" s="6" t="s">
        <v>4</v>
      </c>
      <c r="Q69" s="6"/>
      <c r="R69" s="6"/>
      <c r="S69" s="6" t="s">
        <v>510</v>
      </c>
    </row>
    <row r="70" spans="1:19" x14ac:dyDescent="0.25">
      <c r="A70" s="6" t="s">
        <v>511</v>
      </c>
      <c r="B70" s="6" t="s">
        <v>509</v>
      </c>
      <c r="C70" s="6" t="s">
        <v>355</v>
      </c>
      <c r="D70" s="6" t="s">
        <v>509</v>
      </c>
      <c r="E70" s="6" t="s">
        <v>509</v>
      </c>
      <c r="F70" s="6" t="s">
        <v>484</v>
      </c>
      <c r="G70" s="7">
        <v>0</v>
      </c>
      <c r="H70" s="7">
        <v>0</v>
      </c>
      <c r="I70" s="7">
        <v>0</v>
      </c>
      <c r="J70" s="7">
        <v>0</v>
      </c>
      <c r="K70" s="7">
        <v>0</v>
      </c>
      <c r="L70" s="6"/>
      <c r="M70" s="6"/>
      <c r="N70" s="6"/>
      <c r="O70" s="6"/>
      <c r="P70" s="6" t="s">
        <v>4</v>
      </c>
      <c r="Q70" s="6"/>
      <c r="R70" s="6"/>
      <c r="S70" s="6" t="s">
        <v>512</v>
      </c>
    </row>
    <row r="71" spans="1:19" x14ac:dyDescent="0.25">
      <c r="A71" s="6" t="s">
        <v>513</v>
      </c>
      <c r="B71" s="6" t="s">
        <v>509</v>
      </c>
      <c r="C71" s="6" t="s">
        <v>355</v>
      </c>
      <c r="D71" s="6" t="s">
        <v>509</v>
      </c>
      <c r="E71" s="6" t="s">
        <v>509</v>
      </c>
      <c r="F71" s="6" t="s">
        <v>484</v>
      </c>
      <c r="G71" s="7">
        <v>0</v>
      </c>
      <c r="H71" s="7">
        <v>-13391.4</v>
      </c>
      <c r="I71" s="7">
        <v>1178</v>
      </c>
      <c r="J71" s="7">
        <v>-12213.4</v>
      </c>
      <c r="K71" s="7">
        <v>12213.4</v>
      </c>
      <c r="L71" s="6"/>
      <c r="M71" s="6"/>
      <c r="N71" s="6" t="s">
        <v>241</v>
      </c>
      <c r="O71" s="6" t="s">
        <v>244</v>
      </c>
      <c r="P71" s="6" t="s">
        <v>4</v>
      </c>
      <c r="Q71" s="6"/>
      <c r="R71" s="6"/>
      <c r="S71" s="6" t="s">
        <v>514</v>
      </c>
    </row>
    <row r="72" spans="1:19" x14ac:dyDescent="0.25">
      <c r="A72" s="6" t="s">
        <v>515</v>
      </c>
      <c r="B72" s="6" t="s">
        <v>509</v>
      </c>
      <c r="C72" s="6" t="s">
        <v>355</v>
      </c>
      <c r="D72" s="6" t="s">
        <v>509</v>
      </c>
      <c r="E72" s="6" t="s">
        <v>509</v>
      </c>
      <c r="F72" s="6" t="s">
        <v>484</v>
      </c>
      <c r="G72" s="7">
        <v>0</v>
      </c>
      <c r="H72" s="7">
        <v>-2000</v>
      </c>
      <c r="I72" s="7">
        <v>0</v>
      </c>
      <c r="J72" s="7">
        <v>-2000</v>
      </c>
      <c r="K72" s="7">
        <v>2000</v>
      </c>
      <c r="L72" s="6"/>
      <c r="M72" s="6"/>
      <c r="N72" s="6" t="s">
        <v>241</v>
      </c>
      <c r="O72" s="6" t="s">
        <v>247</v>
      </c>
      <c r="P72" s="6" t="s">
        <v>4</v>
      </c>
      <c r="Q72" s="6"/>
      <c r="R72" s="6"/>
      <c r="S72" s="6" t="s">
        <v>516</v>
      </c>
    </row>
    <row r="73" spans="1:19" x14ac:dyDescent="0.25">
      <c r="A73" s="6" t="s">
        <v>517</v>
      </c>
      <c r="B73" s="6" t="s">
        <v>509</v>
      </c>
      <c r="C73" s="6" t="s">
        <v>355</v>
      </c>
      <c r="D73" s="6" t="s">
        <v>509</v>
      </c>
      <c r="E73" s="6" t="s">
        <v>509</v>
      </c>
      <c r="F73" s="6" t="s">
        <v>484</v>
      </c>
      <c r="G73" s="7">
        <v>0</v>
      </c>
      <c r="H73" s="7">
        <v>-824</v>
      </c>
      <c r="I73" s="7">
        <v>0</v>
      </c>
      <c r="J73" s="7">
        <v>-824</v>
      </c>
      <c r="K73" s="7">
        <v>824</v>
      </c>
      <c r="L73" s="6"/>
      <c r="M73" s="6"/>
      <c r="N73" s="6" t="s">
        <v>241</v>
      </c>
      <c r="O73" s="6" t="s">
        <v>245</v>
      </c>
      <c r="P73" s="6" t="s">
        <v>4</v>
      </c>
      <c r="Q73" s="6"/>
      <c r="R73" s="6"/>
      <c r="S73" s="6" t="s">
        <v>518</v>
      </c>
    </row>
    <row r="74" spans="1:19" x14ac:dyDescent="0.25">
      <c r="A74" s="6" t="s">
        <v>519</v>
      </c>
      <c r="B74" s="6" t="s">
        <v>509</v>
      </c>
      <c r="C74" s="6" t="s">
        <v>355</v>
      </c>
      <c r="D74" s="6" t="s">
        <v>509</v>
      </c>
      <c r="E74" s="6" t="s">
        <v>509</v>
      </c>
      <c r="F74" s="6" t="s">
        <v>484</v>
      </c>
      <c r="G74" s="7">
        <v>0</v>
      </c>
      <c r="H74" s="7">
        <v>-235</v>
      </c>
      <c r="I74" s="7">
        <v>105</v>
      </c>
      <c r="J74" s="7">
        <v>-130</v>
      </c>
      <c r="K74" s="7">
        <v>130</v>
      </c>
      <c r="L74" s="6"/>
      <c r="M74" s="6"/>
      <c r="N74" s="6" t="s">
        <v>241</v>
      </c>
      <c r="O74" s="6" t="s">
        <v>246</v>
      </c>
      <c r="P74" s="6" t="s">
        <v>4</v>
      </c>
      <c r="Q74" s="6"/>
      <c r="R74" s="6"/>
      <c r="S74" s="6" t="s">
        <v>520</v>
      </c>
    </row>
    <row r="75" spans="1:19" x14ac:dyDescent="0.25">
      <c r="A75" s="6" t="s">
        <v>240</v>
      </c>
      <c r="B75" s="6" t="s">
        <v>509</v>
      </c>
      <c r="C75" s="6" t="s">
        <v>355</v>
      </c>
      <c r="D75" s="6" t="s">
        <v>509</v>
      </c>
      <c r="E75" s="6" t="s">
        <v>509</v>
      </c>
      <c r="F75" s="6" t="s">
        <v>484</v>
      </c>
      <c r="G75" s="7">
        <v>0</v>
      </c>
      <c r="H75" s="7">
        <v>-15914</v>
      </c>
      <c r="I75" s="7">
        <v>0</v>
      </c>
      <c r="J75" s="7">
        <v>-15914</v>
      </c>
      <c r="K75" s="7">
        <v>15914</v>
      </c>
      <c r="L75" s="6"/>
      <c r="M75" s="6"/>
      <c r="N75" s="6" t="s">
        <v>239</v>
      </c>
      <c r="O75" s="6" t="s">
        <v>240</v>
      </c>
      <c r="P75" s="6" t="s">
        <v>4</v>
      </c>
      <c r="Q75" s="6"/>
      <c r="R75" s="6"/>
      <c r="S75" s="6" t="s">
        <v>521</v>
      </c>
    </row>
    <row r="76" spans="1:19" x14ac:dyDescent="0.25">
      <c r="A76" s="6" t="s">
        <v>522</v>
      </c>
      <c r="B76" s="6" t="s">
        <v>509</v>
      </c>
      <c r="C76" s="6" t="s">
        <v>355</v>
      </c>
      <c r="D76" s="6" t="s">
        <v>509</v>
      </c>
      <c r="E76" s="6" t="s">
        <v>509</v>
      </c>
      <c r="F76" s="6" t="s">
        <v>484</v>
      </c>
      <c r="G76" s="7">
        <v>0</v>
      </c>
      <c r="H76" s="7">
        <v>-33750</v>
      </c>
      <c r="I76" s="7">
        <v>0</v>
      </c>
      <c r="J76" s="7">
        <v>-33750</v>
      </c>
      <c r="K76" s="7">
        <v>33750</v>
      </c>
      <c r="L76" s="6"/>
      <c r="M76" s="6"/>
      <c r="N76" s="6" t="s">
        <v>235</v>
      </c>
      <c r="O76" s="6" t="s">
        <v>237</v>
      </c>
      <c r="P76" s="6" t="s">
        <v>4</v>
      </c>
      <c r="Q76" s="6"/>
      <c r="R76" s="6"/>
      <c r="S76" s="6" t="s">
        <v>523</v>
      </c>
    </row>
    <row r="77" spans="1:19" x14ac:dyDescent="0.25">
      <c r="A77" s="6" t="s">
        <v>524</v>
      </c>
      <c r="B77" s="6" t="s">
        <v>509</v>
      </c>
      <c r="C77" s="6" t="s">
        <v>355</v>
      </c>
      <c r="D77" s="6" t="s">
        <v>509</v>
      </c>
      <c r="E77" s="6" t="s">
        <v>509</v>
      </c>
      <c r="F77" s="6" t="s">
        <v>484</v>
      </c>
      <c r="G77" s="7">
        <v>0</v>
      </c>
      <c r="H77" s="7">
        <v>0</v>
      </c>
      <c r="I77" s="7">
        <v>0</v>
      </c>
      <c r="J77" s="7">
        <v>0</v>
      </c>
      <c r="K77" s="7">
        <v>0</v>
      </c>
      <c r="L77" s="6"/>
      <c r="M77" s="6"/>
      <c r="N77" s="6"/>
      <c r="O77" s="6"/>
      <c r="P77" s="6" t="s">
        <v>4</v>
      </c>
      <c r="Q77" s="6"/>
      <c r="R77" s="6"/>
      <c r="S77" s="6" t="s">
        <v>525</v>
      </c>
    </row>
    <row r="78" spans="1:19" x14ac:dyDescent="0.25">
      <c r="A78" s="6" t="s">
        <v>526</v>
      </c>
      <c r="B78" s="6" t="s">
        <v>509</v>
      </c>
      <c r="C78" s="6" t="s">
        <v>355</v>
      </c>
      <c r="D78" s="6" t="s">
        <v>509</v>
      </c>
      <c r="E78" s="6" t="s">
        <v>509</v>
      </c>
      <c r="F78" s="6" t="s">
        <v>484</v>
      </c>
      <c r="G78" s="7">
        <v>0</v>
      </c>
      <c r="H78" s="7">
        <v>-3475</v>
      </c>
      <c r="I78" s="7">
        <v>0</v>
      </c>
      <c r="J78" s="7">
        <v>-3475</v>
      </c>
      <c r="K78" s="7">
        <v>3475</v>
      </c>
      <c r="L78" s="6"/>
      <c r="M78" s="6"/>
      <c r="N78" s="6" t="s">
        <v>241</v>
      </c>
      <c r="O78" s="6" t="s">
        <v>238</v>
      </c>
      <c r="P78" s="6" t="s">
        <v>4</v>
      </c>
      <c r="Q78" s="6"/>
      <c r="R78" s="6"/>
      <c r="S78" s="6" t="s">
        <v>527</v>
      </c>
    </row>
    <row r="79" spans="1:19" x14ac:dyDescent="0.25">
      <c r="A79" s="6" t="s">
        <v>528</v>
      </c>
      <c r="B79" s="6" t="s">
        <v>509</v>
      </c>
      <c r="C79" s="6" t="s">
        <v>355</v>
      </c>
      <c r="D79" s="6" t="s">
        <v>509</v>
      </c>
      <c r="E79" s="6" t="s">
        <v>509</v>
      </c>
      <c r="F79" s="6" t="s">
        <v>484</v>
      </c>
      <c r="G79" s="7">
        <v>0</v>
      </c>
      <c r="H79" s="7">
        <v>0</v>
      </c>
      <c r="I79" s="7">
        <v>0</v>
      </c>
      <c r="J79" s="7">
        <v>0</v>
      </c>
      <c r="K79" s="7">
        <v>0</v>
      </c>
      <c r="L79" s="6"/>
      <c r="M79" s="6"/>
      <c r="N79" s="6"/>
      <c r="O79" s="6"/>
      <c r="P79" s="6" t="s">
        <v>4</v>
      </c>
      <c r="Q79" s="6"/>
      <c r="R79" s="6"/>
      <c r="S79" s="6" t="s">
        <v>529</v>
      </c>
    </row>
    <row r="80" spans="1:19" x14ac:dyDescent="0.25">
      <c r="A80" s="6" t="s">
        <v>530</v>
      </c>
      <c r="B80" s="6" t="s">
        <v>509</v>
      </c>
      <c r="C80" s="6" t="s">
        <v>355</v>
      </c>
      <c r="D80" s="6" t="s">
        <v>509</v>
      </c>
      <c r="E80" s="6" t="s">
        <v>509</v>
      </c>
      <c r="F80" s="6" t="s">
        <v>484</v>
      </c>
      <c r="G80" s="7">
        <v>0</v>
      </c>
      <c r="H80" s="7">
        <v>-40000</v>
      </c>
      <c r="I80" s="7">
        <v>0</v>
      </c>
      <c r="J80" s="7">
        <v>-40000</v>
      </c>
      <c r="K80" s="7">
        <v>40000</v>
      </c>
      <c r="L80" s="6"/>
      <c r="M80" s="6"/>
      <c r="N80" s="6" t="s">
        <v>235</v>
      </c>
      <c r="O80" s="6" t="s">
        <v>237</v>
      </c>
      <c r="P80" s="6" t="s">
        <v>4</v>
      </c>
      <c r="Q80" s="6"/>
      <c r="R80" s="6"/>
      <c r="S80" s="6" t="s">
        <v>531</v>
      </c>
    </row>
    <row r="81" spans="1:19" x14ac:dyDescent="0.25">
      <c r="A81" s="6" t="s">
        <v>532</v>
      </c>
      <c r="B81" s="6" t="s">
        <v>509</v>
      </c>
      <c r="C81" s="6" t="s">
        <v>355</v>
      </c>
      <c r="D81" s="6" t="s">
        <v>509</v>
      </c>
      <c r="E81" s="6" t="s">
        <v>509</v>
      </c>
      <c r="F81" s="6" t="s">
        <v>484</v>
      </c>
      <c r="G81" s="7">
        <v>0</v>
      </c>
      <c r="H81" s="7">
        <v>0</v>
      </c>
      <c r="I81" s="7">
        <v>0</v>
      </c>
      <c r="J81" s="7">
        <v>0</v>
      </c>
      <c r="K81" s="7">
        <v>0</v>
      </c>
      <c r="L81" s="6"/>
      <c r="M81" s="6"/>
      <c r="N81" s="6"/>
      <c r="O81" s="6"/>
      <c r="P81" s="6" t="s">
        <v>4</v>
      </c>
      <c r="Q81" s="6"/>
      <c r="R81" s="6"/>
      <c r="S81" s="6" t="s">
        <v>533</v>
      </c>
    </row>
    <row r="82" spans="1:19" x14ac:dyDescent="0.25">
      <c r="A82" s="6" t="s">
        <v>534</v>
      </c>
      <c r="B82" s="6" t="s">
        <v>509</v>
      </c>
      <c r="C82" s="6" t="s">
        <v>355</v>
      </c>
      <c r="D82" s="6" t="s">
        <v>509</v>
      </c>
      <c r="E82" s="6" t="s">
        <v>509</v>
      </c>
      <c r="F82" s="6" t="s">
        <v>484</v>
      </c>
      <c r="G82" s="7">
        <v>0</v>
      </c>
      <c r="H82" s="7">
        <v>-182529</v>
      </c>
      <c r="I82" s="7">
        <v>30914</v>
      </c>
      <c r="J82" s="7">
        <v>-151615</v>
      </c>
      <c r="K82" s="7">
        <v>151615</v>
      </c>
      <c r="L82" s="6"/>
      <c r="M82" s="6"/>
      <c r="N82" s="6" t="s">
        <v>241</v>
      </c>
      <c r="O82" s="6" t="s">
        <v>245</v>
      </c>
      <c r="P82" s="6" t="s">
        <v>4</v>
      </c>
      <c r="Q82" s="6"/>
      <c r="R82" s="6"/>
      <c r="S82" s="6" t="s">
        <v>535</v>
      </c>
    </row>
    <row r="83" spans="1:19" x14ac:dyDescent="0.25">
      <c r="A83" s="6" t="s">
        <v>536</v>
      </c>
      <c r="B83" s="6" t="s">
        <v>509</v>
      </c>
      <c r="C83" s="6" t="s">
        <v>355</v>
      </c>
      <c r="D83" s="6" t="s">
        <v>509</v>
      </c>
      <c r="E83" s="6" t="s">
        <v>509</v>
      </c>
      <c r="F83" s="6" t="s">
        <v>484</v>
      </c>
      <c r="G83" s="7">
        <v>0</v>
      </c>
      <c r="H83" s="7">
        <v>-141600</v>
      </c>
      <c r="I83" s="7">
        <v>0</v>
      </c>
      <c r="J83" s="7">
        <v>-141600</v>
      </c>
      <c r="K83" s="7">
        <v>141600</v>
      </c>
      <c r="L83" s="6"/>
      <c r="M83" s="6"/>
      <c r="N83" s="6" t="s">
        <v>241</v>
      </c>
      <c r="O83" s="6" t="s">
        <v>248</v>
      </c>
      <c r="P83" s="6" t="s">
        <v>4</v>
      </c>
      <c r="Q83" s="6"/>
      <c r="R83" s="6"/>
      <c r="S83" s="6" t="s">
        <v>537</v>
      </c>
    </row>
    <row r="84" spans="1:19" x14ac:dyDescent="0.25">
      <c r="A84" s="6" t="s">
        <v>538</v>
      </c>
      <c r="B84" s="6" t="s">
        <v>509</v>
      </c>
      <c r="C84" s="6" t="s">
        <v>355</v>
      </c>
      <c r="D84" s="6" t="s">
        <v>509</v>
      </c>
      <c r="E84" s="6" t="s">
        <v>509</v>
      </c>
      <c r="F84" s="6" t="s">
        <v>484</v>
      </c>
      <c r="G84" s="7">
        <v>0</v>
      </c>
      <c r="H84" s="7">
        <v>-405000</v>
      </c>
      <c r="I84" s="7">
        <v>0</v>
      </c>
      <c r="J84" s="7">
        <v>-405000</v>
      </c>
      <c r="K84" s="7">
        <v>405000</v>
      </c>
      <c r="L84" s="6"/>
      <c r="M84" s="6"/>
      <c r="N84" s="6" t="s">
        <v>235</v>
      </c>
      <c r="O84" s="6" t="s">
        <v>236</v>
      </c>
      <c r="P84" s="6" t="s">
        <v>4</v>
      </c>
      <c r="Q84" s="6"/>
      <c r="R84" s="6"/>
      <c r="S84" s="6" t="s">
        <v>539</v>
      </c>
    </row>
    <row r="85" spans="1:19" x14ac:dyDescent="0.25">
      <c r="A85" s="6" t="s">
        <v>540</v>
      </c>
      <c r="B85" s="6" t="s">
        <v>509</v>
      </c>
      <c r="C85" s="6" t="s">
        <v>355</v>
      </c>
      <c r="D85" s="6" t="s">
        <v>509</v>
      </c>
      <c r="E85" s="6" t="s">
        <v>509</v>
      </c>
      <c r="F85" s="6" t="s">
        <v>484</v>
      </c>
      <c r="G85" s="7">
        <v>0</v>
      </c>
      <c r="H85" s="7">
        <v>-708</v>
      </c>
      <c r="I85" s="7">
        <v>108</v>
      </c>
      <c r="J85" s="7">
        <v>-600</v>
      </c>
      <c r="K85" s="7">
        <v>600</v>
      </c>
      <c r="L85" s="6"/>
      <c r="M85" s="6"/>
      <c r="N85" s="6" t="s">
        <v>241</v>
      </c>
      <c r="O85" s="6" t="s">
        <v>249</v>
      </c>
      <c r="P85" s="6" t="s">
        <v>4</v>
      </c>
      <c r="Q85" s="6"/>
      <c r="R85" s="6"/>
      <c r="S85" s="6" t="s">
        <v>541</v>
      </c>
    </row>
    <row r="86" spans="1:19" x14ac:dyDescent="0.25">
      <c r="A86" s="6" t="s">
        <v>542</v>
      </c>
      <c r="B86" s="6" t="s">
        <v>509</v>
      </c>
      <c r="C86" s="6" t="s">
        <v>355</v>
      </c>
      <c r="D86" s="6" t="s">
        <v>509</v>
      </c>
      <c r="E86" s="6" t="s">
        <v>509</v>
      </c>
      <c r="F86" s="6" t="s">
        <v>484</v>
      </c>
      <c r="G86" s="7">
        <v>0</v>
      </c>
      <c r="H86" s="7">
        <v>0</v>
      </c>
      <c r="I86" s="7">
        <v>0</v>
      </c>
      <c r="J86" s="7">
        <v>0</v>
      </c>
      <c r="K86" s="7">
        <v>0</v>
      </c>
      <c r="L86" s="6"/>
      <c r="M86" s="6"/>
      <c r="N86" s="6"/>
      <c r="O86" s="6"/>
      <c r="P86" s="6" t="s">
        <v>4</v>
      </c>
      <c r="Q86" s="6"/>
      <c r="R86" s="6"/>
      <c r="S86" s="6" t="s">
        <v>543</v>
      </c>
    </row>
    <row r="87" spans="1:19" x14ac:dyDescent="0.25">
      <c r="A87" s="6" t="s">
        <v>544</v>
      </c>
      <c r="B87" s="6" t="s">
        <v>509</v>
      </c>
      <c r="C87" s="6" t="s">
        <v>355</v>
      </c>
      <c r="D87" s="6" t="s">
        <v>509</v>
      </c>
      <c r="E87" s="6" t="s">
        <v>509</v>
      </c>
      <c r="F87" s="6" t="s">
        <v>484</v>
      </c>
      <c r="G87" s="7">
        <v>0</v>
      </c>
      <c r="H87" s="7">
        <v>-124890</v>
      </c>
      <c r="I87" s="7">
        <v>72</v>
      </c>
      <c r="J87" s="7">
        <v>-124818</v>
      </c>
      <c r="K87" s="7">
        <v>124818</v>
      </c>
      <c r="L87" s="6"/>
      <c r="M87" s="6"/>
      <c r="N87" s="6" t="s">
        <v>241</v>
      </c>
      <c r="O87" s="6" t="s">
        <v>250</v>
      </c>
      <c r="P87" s="6" t="s">
        <v>4</v>
      </c>
      <c r="Q87" s="6"/>
      <c r="R87" s="6"/>
      <c r="S87" s="6" t="s">
        <v>545</v>
      </c>
    </row>
    <row r="88" spans="1:19" x14ac:dyDescent="0.25">
      <c r="A88" s="6" t="s">
        <v>546</v>
      </c>
      <c r="B88" s="6" t="s">
        <v>509</v>
      </c>
      <c r="C88" s="6" t="s">
        <v>355</v>
      </c>
      <c r="D88" s="6" t="s">
        <v>509</v>
      </c>
      <c r="E88" s="6" t="s">
        <v>509</v>
      </c>
      <c r="F88" s="6" t="s">
        <v>484</v>
      </c>
      <c r="G88" s="7">
        <v>0</v>
      </c>
      <c r="H88" s="7">
        <v>0</v>
      </c>
      <c r="I88" s="7">
        <v>0</v>
      </c>
      <c r="J88" s="7">
        <v>0</v>
      </c>
      <c r="K88" s="7">
        <v>0</v>
      </c>
      <c r="L88" s="6"/>
      <c r="M88" s="6"/>
      <c r="N88" s="6"/>
      <c r="O88" s="6"/>
      <c r="P88" s="6" t="s">
        <v>4</v>
      </c>
      <c r="Q88" s="6"/>
      <c r="R88" s="6"/>
      <c r="S88" s="6" t="s">
        <v>547</v>
      </c>
    </row>
    <row r="89" spans="1:19" x14ac:dyDescent="0.25">
      <c r="A89" s="6" t="s">
        <v>548</v>
      </c>
      <c r="B89" s="6" t="s">
        <v>548</v>
      </c>
      <c r="C89" s="6" t="s">
        <v>509</v>
      </c>
      <c r="D89" s="6" t="s">
        <v>509</v>
      </c>
      <c r="E89" s="6" t="s">
        <v>509</v>
      </c>
      <c r="F89" s="6" t="s">
        <v>484</v>
      </c>
      <c r="G89" s="7">
        <v>0</v>
      </c>
      <c r="H89" s="7">
        <v>-1421.88</v>
      </c>
      <c r="I89" s="7">
        <v>1171.8800000000001</v>
      </c>
      <c r="J89" s="7">
        <v>-250</v>
      </c>
      <c r="K89" s="7">
        <v>250</v>
      </c>
      <c r="L89" s="6"/>
      <c r="M89" s="6"/>
      <c r="N89" s="6" t="s">
        <v>241</v>
      </c>
      <c r="O89" s="6" t="s">
        <v>242</v>
      </c>
      <c r="P89" s="6" t="s">
        <v>4</v>
      </c>
      <c r="Q89" s="6"/>
      <c r="R89" s="6"/>
      <c r="S89" s="6" t="s">
        <v>549</v>
      </c>
    </row>
    <row r="90" spans="1:19" x14ac:dyDescent="0.25">
      <c r="A90" s="6" t="s">
        <v>550</v>
      </c>
      <c r="B90" s="6" t="s">
        <v>548</v>
      </c>
      <c r="C90" s="6" t="s">
        <v>509</v>
      </c>
      <c r="D90" s="6" t="s">
        <v>509</v>
      </c>
      <c r="E90" s="6" t="s">
        <v>509</v>
      </c>
      <c r="F90" s="6" t="s">
        <v>484</v>
      </c>
      <c r="G90" s="7">
        <v>0</v>
      </c>
      <c r="H90" s="7">
        <v>-5310</v>
      </c>
      <c r="I90" s="7">
        <v>810</v>
      </c>
      <c r="J90" s="7">
        <v>-4500</v>
      </c>
      <c r="K90" s="7">
        <v>4500</v>
      </c>
      <c r="L90" s="6"/>
      <c r="M90" s="6"/>
      <c r="N90" s="6" t="s">
        <v>241</v>
      </c>
      <c r="O90" s="6" t="s">
        <v>242</v>
      </c>
      <c r="P90" s="6" t="s">
        <v>4</v>
      </c>
      <c r="Q90" s="6"/>
      <c r="R90" s="6"/>
      <c r="S90" s="6" t="s">
        <v>551</v>
      </c>
    </row>
    <row r="91" spans="1:19" x14ac:dyDescent="0.25">
      <c r="A91" s="6" t="s">
        <v>552</v>
      </c>
      <c r="B91" s="6" t="s">
        <v>517</v>
      </c>
      <c r="C91" s="6" t="s">
        <v>509</v>
      </c>
      <c r="D91" s="6" t="s">
        <v>509</v>
      </c>
      <c r="E91" s="6" t="s">
        <v>509</v>
      </c>
      <c r="F91" s="6" t="s">
        <v>484</v>
      </c>
      <c r="G91" s="7">
        <v>0</v>
      </c>
      <c r="H91" s="7">
        <v>-3570</v>
      </c>
      <c r="I91" s="7">
        <v>0</v>
      </c>
      <c r="J91" s="7">
        <v>-3570</v>
      </c>
      <c r="K91" s="7">
        <v>3570</v>
      </c>
      <c r="L91" s="6"/>
      <c r="M91" s="6"/>
      <c r="N91" s="6" t="s">
        <v>241</v>
      </c>
      <c r="O91" s="6" t="s">
        <v>245</v>
      </c>
      <c r="P91" s="6" t="s">
        <v>4</v>
      </c>
      <c r="Q91" s="6"/>
      <c r="R91" s="6"/>
      <c r="S91" s="6" t="s">
        <v>553</v>
      </c>
    </row>
    <row r="92" spans="1:19" x14ac:dyDescent="0.25">
      <c r="A92" s="6" t="s">
        <v>554</v>
      </c>
      <c r="B92" s="6" t="s">
        <v>517</v>
      </c>
      <c r="C92" s="6" t="s">
        <v>509</v>
      </c>
      <c r="D92" s="6" t="s">
        <v>509</v>
      </c>
      <c r="E92" s="6" t="s">
        <v>509</v>
      </c>
      <c r="F92" s="6" t="s">
        <v>484</v>
      </c>
      <c r="G92" s="7">
        <v>0</v>
      </c>
      <c r="H92" s="7">
        <v>0</v>
      </c>
      <c r="I92" s="7">
        <v>0</v>
      </c>
      <c r="J92" s="7">
        <v>0</v>
      </c>
      <c r="K92" s="7">
        <v>0</v>
      </c>
      <c r="L92" s="6"/>
      <c r="M92" s="6"/>
      <c r="N92" s="6"/>
      <c r="O92" s="6"/>
      <c r="P92" s="6" t="s">
        <v>4</v>
      </c>
      <c r="Q92" s="6"/>
      <c r="R92" s="6"/>
      <c r="S92" s="6" t="s">
        <v>555</v>
      </c>
    </row>
    <row r="93" spans="1:19" x14ac:dyDescent="0.25">
      <c r="A93" s="6" t="s">
        <v>556</v>
      </c>
      <c r="B93" s="6" t="s">
        <v>517</v>
      </c>
      <c r="C93" s="6" t="s">
        <v>509</v>
      </c>
      <c r="D93" s="6" t="s">
        <v>509</v>
      </c>
      <c r="E93" s="6" t="s">
        <v>509</v>
      </c>
      <c r="F93" s="6" t="s">
        <v>484</v>
      </c>
      <c r="G93" s="7">
        <v>0</v>
      </c>
      <c r="H93" s="7">
        <v>-5399</v>
      </c>
      <c r="I93" s="7">
        <v>0</v>
      </c>
      <c r="J93" s="7">
        <v>-5399</v>
      </c>
      <c r="K93" s="7">
        <v>5399</v>
      </c>
      <c r="L93" s="6"/>
      <c r="M93" s="6"/>
      <c r="N93" s="6" t="s">
        <v>241</v>
      </c>
      <c r="O93" s="6" t="s">
        <v>245</v>
      </c>
      <c r="P93" s="6" t="s">
        <v>4</v>
      </c>
      <c r="Q93" s="6"/>
      <c r="R93" s="6"/>
      <c r="S93" s="6" t="s">
        <v>557</v>
      </c>
    </row>
    <row r="94" spans="1:19" x14ac:dyDescent="0.25">
      <c r="A94" s="6" t="s">
        <v>558</v>
      </c>
      <c r="B94" s="6" t="s">
        <v>559</v>
      </c>
      <c r="C94" s="6" t="s">
        <v>355</v>
      </c>
      <c r="D94" s="6" t="s">
        <v>559</v>
      </c>
      <c r="E94" s="6" t="s">
        <v>559</v>
      </c>
      <c r="F94" s="6" t="s">
        <v>499</v>
      </c>
      <c r="G94" s="7">
        <v>0</v>
      </c>
      <c r="H94" s="7">
        <v>0</v>
      </c>
      <c r="I94" s="7">
        <v>18541.78</v>
      </c>
      <c r="J94" s="7">
        <v>18541.78</v>
      </c>
      <c r="K94" s="7">
        <v>18541.78</v>
      </c>
      <c r="L94" s="6"/>
      <c r="M94" s="6"/>
      <c r="N94" s="6" t="s">
        <v>232</v>
      </c>
      <c r="O94" s="6" t="s">
        <v>233</v>
      </c>
      <c r="P94" s="6" t="s">
        <v>4</v>
      </c>
      <c r="Q94" s="6"/>
      <c r="R94" s="6"/>
      <c r="S94" s="6" t="s">
        <v>560</v>
      </c>
    </row>
    <row r="95" spans="1:19" x14ac:dyDescent="0.25">
      <c r="A95" s="6" t="s">
        <v>561</v>
      </c>
      <c r="B95" s="6" t="s">
        <v>559</v>
      </c>
      <c r="C95" s="6" t="s">
        <v>355</v>
      </c>
      <c r="D95" s="6" t="s">
        <v>559</v>
      </c>
      <c r="E95" s="6" t="s">
        <v>559</v>
      </c>
      <c r="F95" s="6" t="s">
        <v>499</v>
      </c>
      <c r="G95" s="7">
        <v>0</v>
      </c>
      <c r="H95" s="7">
        <v>0</v>
      </c>
      <c r="I95" s="7">
        <v>0</v>
      </c>
      <c r="J95" s="7">
        <v>0</v>
      </c>
      <c r="K95" s="7">
        <v>0</v>
      </c>
      <c r="L95" s="6"/>
      <c r="M95" s="6"/>
      <c r="N95" s="6"/>
      <c r="O95" s="6"/>
      <c r="P95" s="6" t="s">
        <v>4</v>
      </c>
      <c r="Q95" s="6"/>
      <c r="R95" s="6"/>
      <c r="S95" s="6" t="s">
        <v>562</v>
      </c>
    </row>
    <row r="96" spans="1:19" x14ac:dyDescent="0.25">
      <c r="A96" s="6" t="s">
        <v>15</v>
      </c>
      <c r="B96" s="6" t="s">
        <v>559</v>
      </c>
      <c r="C96" s="6" t="s">
        <v>355</v>
      </c>
      <c r="D96" s="6" t="s">
        <v>559</v>
      </c>
      <c r="E96" s="6" t="s">
        <v>559</v>
      </c>
      <c r="F96" s="6" t="s">
        <v>499</v>
      </c>
      <c r="G96" s="7">
        <v>0</v>
      </c>
      <c r="H96" s="7">
        <v>-1.86</v>
      </c>
      <c r="I96" s="7">
        <v>4.84</v>
      </c>
      <c r="J96" s="7">
        <v>2.98</v>
      </c>
      <c r="K96" s="7">
        <v>2.98</v>
      </c>
      <c r="L96" s="6"/>
      <c r="M96" s="6"/>
      <c r="N96" s="6" t="s">
        <v>232</v>
      </c>
      <c r="O96" s="6" t="s">
        <v>234</v>
      </c>
      <c r="P96" s="6" t="s">
        <v>4</v>
      </c>
      <c r="Q96" s="6"/>
      <c r="R96" s="6"/>
      <c r="S96" s="6" t="s">
        <v>563</v>
      </c>
    </row>
    <row r="97" spans="1:19" x14ac:dyDescent="0.25">
      <c r="A97" s="6" t="s">
        <v>564</v>
      </c>
      <c r="B97" s="6" t="s">
        <v>565</v>
      </c>
      <c r="C97" s="6" t="s">
        <v>355</v>
      </c>
      <c r="D97" s="6" t="s">
        <v>565</v>
      </c>
      <c r="E97" s="6" t="s">
        <v>565</v>
      </c>
      <c r="F97" s="6" t="s">
        <v>356</v>
      </c>
      <c r="G97" s="7">
        <v>11273750</v>
      </c>
      <c r="H97" s="7">
        <v>0</v>
      </c>
      <c r="I97" s="7">
        <v>3475</v>
      </c>
      <c r="J97" s="7">
        <v>3475</v>
      </c>
      <c r="K97" s="7">
        <v>11277225</v>
      </c>
      <c r="L97" s="6" t="s">
        <v>205</v>
      </c>
      <c r="M97" s="6" t="s">
        <v>206</v>
      </c>
      <c r="N97" s="6"/>
      <c r="O97" s="6"/>
      <c r="P97" s="6" t="s">
        <v>4</v>
      </c>
      <c r="Q97" s="6"/>
      <c r="R97" s="6"/>
      <c r="S97" s="6" t="s">
        <v>566</v>
      </c>
    </row>
    <row r="98" spans="1:19" x14ac:dyDescent="0.25">
      <c r="A98" s="6" t="s">
        <v>567</v>
      </c>
      <c r="B98" s="6" t="s">
        <v>355</v>
      </c>
      <c r="C98" s="6"/>
      <c r="D98" s="6"/>
      <c r="E98" s="6" t="s">
        <v>568</v>
      </c>
      <c r="F98" s="6" t="s">
        <v>356</v>
      </c>
      <c r="G98" s="7">
        <v>-11722512.539999999</v>
      </c>
      <c r="H98" s="7">
        <v>0</v>
      </c>
      <c r="I98" s="7">
        <v>0</v>
      </c>
      <c r="J98" s="7">
        <v>0</v>
      </c>
      <c r="K98" s="7">
        <v>-11722512.539999999</v>
      </c>
      <c r="L98" s="6"/>
      <c r="M98" s="6"/>
      <c r="N98" s="6"/>
      <c r="O98" s="6"/>
      <c r="P98" s="6" t="s">
        <v>4</v>
      </c>
      <c r="Q98" s="6"/>
      <c r="R98" s="6"/>
      <c r="S98" s="6" t="s">
        <v>569</v>
      </c>
    </row>
    <row r="99" spans="1:19" x14ac:dyDescent="0.25">
      <c r="A99" s="6" t="s">
        <v>570</v>
      </c>
      <c r="B99" s="6" t="s">
        <v>571</v>
      </c>
      <c r="C99" s="6" t="s">
        <v>355</v>
      </c>
      <c r="D99" s="6" t="s">
        <v>571</v>
      </c>
      <c r="E99" s="6" t="s">
        <v>571</v>
      </c>
      <c r="F99" s="6" t="s">
        <v>499</v>
      </c>
      <c r="G99" s="7">
        <v>0</v>
      </c>
      <c r="H99" s="7">
        <v>0</v>
      </c>
      <c r="I99" s="7">
        <v>1476170.08</v>
      </c>
      <c r="J99" s="7">
        <v>1476170.08</v>
      </c>
      <c r="K99" s="7">
        <v>1476170.08</v>
      </c>
      <c r="L99" s="6"/>
      <c r="M99" s="6"/>
      <c r="N99" s="6" t="s">
        <v>228</v>
      </c>
      <c r="O99" s="6" t="s">
        <v>230</v>
      </c>
      <c r="P99" s="6" t="s">
        <v>4</v>
      </c>
      <c r="Q99" s="6"/>
      <c r="R99" s="6"/>
      <c r="S99" s="6" t="s">
        <v>572</v>
      </c>
    </row>
    <row r="100" spans="1:19" x14ac:dyDescent="0.25">
      <c r="A100" s="6" t="s">
        <v>573</v>
      </c>
      <c r="B100" s="6" t="s">
        <v>571</v>
      </c>
      <c r="C100" s="6" t="s">
        <v>355</v>
      </c>
      <c r="D100" s="6" t="s">
        <v>571</v>
      </c>
      <c r="E100" s="6" t="s">
        <v>571</v>
      </c>
      <c r="F100" s="6" t="s">
        <v>499</v>
      </c>
      <c r="G100" s="7">
        <v>0</v>
      </c>
      <c r="H100" s="7">
        <v>0</v>
      </c>
      <c r="I100" s="7">
        <v>27800000</v>
      </c>
      <c r="J100" s="7">
        <v>27800000</v>
      </c>
      <c r="K100" s="7">
        <v>27800000</v>
      </c>
      <c r="L100" s="6"/>
      <c r="M100" s="6"/>
      <c r="N100" s="6" t="s">
        <v>228</v>
      </c>
      <c r="O100" s="6" t="s">
        <v>230</v>
      </c>
      <c r="P100" s="6" t="s">
        <v>4</v>
      </c>
      <c r="Q100" s="6"/>
      <c r="R100" s="6"/>
      <c r="S100" s="6" t="s">
        <v>574</v>
      </c>
    </row>
  </sheetData>
  <autoFilter ref="A1:S1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About Sheet</vt:lpstr>
      <vt:lpstr>Master Sheet</vt:lpstr>
      <vt:lpstr>TB</vt:lpstr>
      <vt:lpstr>Sheet1</vt:lpstr>
      <vt:lpstr>Working TB</vt:lpstr>
      <vt:lpstr>Balance Sheet</vt:lpstr>
      <vt:lpstr>Profit and Loss</vt:lpstr>
      <vt:lpstr>CFS</vt:lpstr>
      <vt:lpstr>Accounting Polices</vt:lpstr>
      <vt:lpstr>Balance Sheet Notes</vt:lpstr>
      <vt:lpstr>Profit and Loss Notes</vt:lpstr>
      <vt:lpstr>Other Notes</vt:lpstr>
      <vt:lpstr>Annexure BS</vt:lpstr>
      <vt:lpstr>Annexure PnL</vt:lpstr>
      <vt:lpstr>TB PY</vt:lpstr>
      <vt:lpstr>Deferred Tax</vt:lpstr>
      <vt:lpstr>IT Dep</vt:lpstr>
      <vt:lpstr>IT Computation</vt:lpstr>
      <vt:lpstr>TB CY</vt:lpstr>
      <vt:lpstr>'Accounting Polices'!_Hlk135152171</vt:lpstr>
      <vt:lpstr>'Accounting Polices'!_Hlk525235484</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BOOVARAHAN N R</dc:creator>
  <cp:lastModifiedBy>User</cp:lastModifiedBy>
  <cp:lastPrinted>2026-05-21T05:57:23Z</cp:lastPrinted>
  <dcterms:created xsi:type="dcterms:W3CDTF">2024-05-16T06:08:26Z</dcterms:created>
  <dcterms:modified xsi:type="dcterms:W3CDTF">2026-06-04T05:30:46Z</dcterms:modified>
</cp:coreProperties>
</file>