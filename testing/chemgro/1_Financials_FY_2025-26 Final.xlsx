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codeName="ThisWorkbook" hidePivotFieldList="1" defaultThemeVersion="124226"/>
  <mc:AlternateContent xmlns:mc="http://schemas.openxmlformats.org/markup-compatibility/2006">
    <mc:Choice Requires="x15">
      <x15ac:absPath xmlns:x15ac="http://schemas.microsoft.com/office/spreadsheetml/2010/11/ac" url="Z:\corporate laws\Chemgro(OPC)\2026-27\All Other Correspondence\Annual Filing\1. Based on Financials\"/>
    </mc:Choice>
  </mc:AlternateContent>
  <xr:revisionPtr revIDLastSave="0" documentId="13_ncr:1_{007D3721-6F6B-4807-940E-4C69D5883038}" xr6:coauthVersionLast="47" xr6:coauthVersionMax="47" xr10:uidLastSave="{00000000-0000-0000-0000-000000000000}"/>
  <bookViews>
    <workbookView xWindow="-110" yWindow="-110" windowWidth="19420" windowHeight="10300" tabRatio="942" firstSheet="5" activeTab="6" xr2:uid="{00000000-000D-0000-FFFF-FFFF00000000}"/>
  </bookViews>
  <sheets>
    <sheet name="Relief" sheetId="63" state="hidden" r:id="rId1"/>
    <sheet name="Income (2)" sheetId="39" state="hidden" r:id="rId2"/>
    <sheet name="TDS" sheetId="35" state="hidden" r:id="rId3"/>
    <sheet name="Exp" sheetId="37" state="hidden" r:id="rId4"/>
    <sheet name="Sheet1" sheetId="68" r:id="rId5"/>
    <sheet name="TB" sheetId="66" r:id="rId6"/>
    <sheet name="BS" sheetId="17" r:id="rId7"/>
    <sheet name="P&amp;L" sheetId="18" r:id="rId8"/>
    <sheet name="3-8" sheetId="20" r:id="rId9"/>
    <sheet name="9" sheetId="50" r:id="rId10"/>
    <sheet name="10-13" sheetId="29" r:id="rId11"/>
    <sheet name="14-22" sheetId="38" r:id="rId12"/>
    <sheet name="22-26" sheetId="60" r:id="rId13"/>
    <sheet name="Ratio Analysis" sheetId="57" r:id="rId14"/>
    <sheet name="Ratio Workings" sheetId="70" r:id="rId15"/>
    <sheet name="Deferred Tax" sheetId="41" r:id="rId16"/>
    <sheet name="IT DEPRECIATION" sheetId="51" r:id="rId17"/>
    <sheet name="IT computation" sheetId="56" r:id="rId18"/>
    <sheet name="Depreciation" sheetId="67"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c" localSheetId="17">[1]BS!#REF!</definedName>
    <definedName name="\c">[1]BS!#REF!</definedName>
    <definedName name="\p" localSheetId="17">[1]BS!#REF!</definedName>
    <definedName name="\p">[1]BS!#REF!</definedName>
    <definedName name="\s">[1]BS!#REF!</definedName>
    <definedName name="\z">[1]BS!#REF!</definedName>
    <definedName name="___INDEX_SHEET___ASAP_Utilities" localSheetId="15">#REF!</definedName>
    <definedName name="___INDEX_SHEET___ASAP_Utilities" localSheetId="1">#REF!</definedName>
    <definedName name="___INDEX_SHEET___ASAP_Utilities" localSheetId="13">#REF!</definedName>
    <definedName name="___INDEX_SHEET___ASAP_Utilities">#REF!</definedName>
    <definedName name="_155___1702" localSheetId="17">'[2]PE CHARGES'!#REF!</definedName>
    <definedName name="_155___1702">'[2]PE CHARGES'!#REF!</definedName>
    <definedName name="_155___1703" localSheetId="17">'[2]PE CHARGES'!#REF!</definedName>
    <definedName name="_155___1703">'[2]PE CHARGES'!#REF!</definedName>
    <definedName name="_155___1704" localSheetId="17">'[2]PE CHARGES'!#REF!</definedName>
    <definedName name="_155___1704">'[2]PE CHARGES'!#REF!</definedName>
    <definedName name="_Fill" localSheetId="17" hidden="1">[1]BS!#REF!</definedName>
    <definedName name="_Fill" hidden="1">[1]BS!#REF!</definedName>
    <definedName name="_xlnm._FilterDatabase" localSheetId="5" hidden="1">TB!$C$8:$L$100</definedName>
    <definedName name="_tax">#REF!</definedName>
    <definedName name="A" localSheetId="9">#REF!</definedName>
    <definedName name="A" localSheetId="15">#REF!</definedName>
    <definedName name="A" localSheetId="1">#REF!</definedName>
    <definedName name="A" localSheetId="17">#REF!</definedName>
    <definedName name="A" localSheetId="16">#REF!</definedName>
    <definedName name="A" localSheetId="13">#REF!</definedName>
    <definedName name="A">#REF!</definedName>
    <definedName name="AdminExp" localSheetId="13">#REF!</definedName>
    <definedName name="AdminExp">#REF!</definedName>
    <definedName name="ARA_Threshold" localSheetId="13">#REF!</definedName>
    <definedName name="ARA_Threshold">#REF!</definedName>
    <definedName name="ARP_Threshold" localSheetId="13">#REF!</definedName>
    <definedName name="ARP_Threshold">#REF!</definedName>
    <definedName name="AS2DocOpenMode" hidden="1">"AS2DocumentEdit"</definedName>
    <definedName name="AS2LinkLS" localSheetId="9" hidden="1">#REF!</definedName>
    <definedName name="AS2LinkLS" localSheetId="13" hidden="1">#REF!</definedName>
    <definedName name="AS2LinkLS" hidden="1">#REF!</definedName>
    <definedName name="AS2ReportLS" hidden="1">1</definedName>
    <definedName name="AS2StaticLS" localSheetId="9" hidden="1">#REF!</definedName>
    <definedName name="AS2StaticLS" localSheetId="13" hidden="1">#REF!</definedName>
    <definedName name="AS2StaticLS" hidden="1">#REF!</definedName>
    <definedName name="AS2SyncStepLS" hidden="1">0</definedName>
    <definedName name="AS2TickmarkLS" localSheetId="9" hidden="1">#REF!</definedName>
    <definedName name="AS2TickmarkLS" localSheetId="13" hidden="1">#REF!</definedName>
    <definedName name="AS2TickmarkLS" hidden="1">#REF!</definedName>
    <definedName name="AS2VersionLS" hidden="1">300</definedName>
    <definedName name="asdf">#REF!</definedName>
    <definedName name="AY" localSheetId="17">#REF!</definedName>
    <definedName name="AY" localSheetId="14">'[3]Client''s Details'!$B$20</definedName>
    <definedName name="AY">#REF!</definedName>
    <definedName name="BAA" localSheetId="17">#REF!</definedName>
    <definedName name="BAA">#REF!</definedName>
    <definedName name="BG_Del" hidden="1">15</definedName>
    <definedName name="BG_Ins" hidden="1">4</definedName>
    <definedName name="BG_Mod" hidden="1">6</definedName>
    <definedName name="BS_310399" localSheetId="17">#REF!</definedName>
    <definedName name="BS_310399">#REF!</definedName>
    <definedName name="BuiltIn_AutoFilter___10" localSheetId="17">#REF!</definedName>
    <definedName name="BuiltIn_AutoFilter___10">#REF!</definedName>
    <definedName name="BuiltIn_AutoFilter___11" localSheetId="17">#REF!</definedName>
    <definedName name="BuiltIn_AutoFilter___11">#REF!</definedName>
    <definedName name="BusproExp" localSheetId="9">#REF!</definedName>
    <definedName name="BusproExp" localSheetId="13">#REF!</definedName>
    <definedName name="BusproExp">#REF!</definedName>
    <definedName name="Capital" localSheetId="9">#REF!</definedName>
    <definedName name="Capital" localSheetId="13">#REF!</definedName>
    <definedName name="Capital">#REF!</definedName>
    <definedName name="cccccc">#REF!</definedName>
    <definedName name="cccccccc">[1]BS!#REF!</definedName>
    <definedName name="CIN" localSheetId="17">#REF!</definedName>
    <definedName name="CIN" localSheetId="14">'[3]Client''s Details'!$B$6</definedName>
    <definedName name="CIN">#REF!</definedName>
    <definedName name="cmb_QDFinishrByProd.UnitOfMeasure">[4]QUANTITATIVE_DETAILS!$C$77:$C$99</definedName>
    <definedName name="cmb_QDRawMaterial.UnitOfMeasure">[4]QUANTITATIVE_DETAILS!$B$77:$B$99</definedName>
    <definedName name="COAdd">'[3]Client''s Details'!#REF!</definedName>
    <definedName name="CommExp" localSheetId="9">#REF!</definedName>
    <definedName name="CommExp" localSheetId="13">#REF!</definedName>
    <definedName name="CommExp">#REF!</definedName>
    <definedName name="CoName" localSheetId="17">#REF!</definedName>
    <definedName name="CoName" localSheetId="14">'[3]Client''s Details'!$B$2</definedName>
    <definedName name="CoName">#REF!</definedName>
    <definedName name="Contents" localSheetId="15">#REF!</definedName>
    <definedName name="Contents" localSheetId="1">#REF!</definedName>
    <definedName name="Contents" localSheetId="13">#REF!</definedName>
    <definedName name="Contents">#REF!</definedName>
    <definedName name="CurrentAsst" localSheetId="13">#REF!</definedName>
    <definedName name="CurrentAsst">#REF!</definedName>
    <definedName name="CurrentAsst\" localSheetId="13">#REF!</definedName>
    <definedName name="CurrentAsst\">#REF!</definedName>
    <definedName name="CurrtLiab" localSheetId="13">#REF!</definedName>
    <definedName name="CurrtLiab">#REF!</definedName>
    <definedName name="DEP" localSheetId="17">[1]BS!#REF!</definedName>
    <definedName name="DEP">[1]BS!#REF!</definedName>
    <definedName name="Depreciation" localSheetId="13">#REF!</definedName>
    <definedName name="Depreciation">#REF!</definedName>
    <definedName name="development" localSheetId="13">#REF!</definedName>
    <definedName name="development">#REF!</definedName>
    <definedName name="Directorscost" localSheetId="13">#REF!</definedName>
    <definedName name="Directorscost">#REF!</definedName>
    <definedName name="directwages" localSheetId="17">'[5]MFG '!#REF!</definedName>
    <definedName name="directwages">'[5]MFG '!#REF!</definedName>
    <definedName name="directwagescontract" localSheetId="17">'[5]MFG '!#REF!</definedName>
    <definedName name="directwagescontract">'[5]MFG '!#REF!</definedName>
    <definedName name="DOI" localSheetId="17">#REF!</definedName>
    <definedName name="DOI">#REF!</definedName>
    <definedName name="EXPLANATORY_NOTES_FOR_P_L_A_C__MAY___2001" localSheetId="17">#REF!</definedName>
    <definedName name="EXPLANATORY_NOTES_FOR_P_L_A_C__MAY___2001">#REF!</definedName>
    <definedName name="EXPORT_DOCUMENTS__2004_____2005" localSheetId="17">#REF!</definedName>
    <definedName name="EXPORT_DOCUMENTS__2004_____2005">#REF!</definedName>
    <definedName name="FAREG" localSheetId="17">[6]FixedAssets!#REF!</definedName>
    <definedName name="FAREG">[6]FixedAssets!#REF!</definedName>
    <definedName name="FinCharge" localSheetId="13">#REF!</definedName>
    <definedName name="FinCharge">#REF!</definedName>
    <definedName name="fincharges" localSheetId="13">#REF!</definedName>
    <definedName name="fincharges">#REF!</definedName>
    <definedName name="FixedAsst" localSheetId="13">#REF!</definedName>
    <definedName name="FixedAsst">#REF!</definedName>
    <definedName name="FY" localSheetId="17">#REF!</definedName>
    <definedName name="FY">#REF!</definedName>
    <definedName name="G_1" localSheetId="17">[1]BS!#REF!</definedName>
    <definedName name="G_1">[1]BS!#REF!</definedName>
    <definedName name="G_10" localSheetId="17">[1]BS!#REF!</definedName>
    <definedName name="G_10">[1]BS!#REF!</definedName>
    <definedName name="G_2" localSheetId="17">[1]BS!#REF!</definedName>
    <definedName name="G_2">[1]BS!#REF!</definedName>
    <definedName name="G_3" localSheetId="17">[1]BS!#REF!</definedName>
    <definedName name="G_3">[1]BS!#REF!</definedName>
    <definedName name="G_4">[1]BS!#REF!</definedName>
    <definedName name="G_5">[1]BS!#REF!</definedName>
    <definedName name="G_6">[1]BS!#REF!</definedName>
    <definedName name="G_7">[1]BS!#REF!</definedName>
    <definedName name="G_8">[1]BS!#REF!</definedName>
    <definedName name="G_9">[1]BS!#REF!</definedName>
    <definedName name="HRExp" localSheetId="13">#REF!</definedName>
    <definedName name="HRExp">#REF!</definedName>
    <definedName name="Investment" localSheetId="13">#REF!</definedName>
    <definedName name="Investment">#REF!</definedName>
    <definedName name="IT_DEPN">[6]FixedAssets!$M$6:$V$24</definedName>
    <definedName name="L_AcctDes" localSheetId="13">#REF!</definedName>
    <definedName name="L_AcctDes">#REF!</definedName>
    <definedName name="L_Adjust" localSheetId="13">#REF!</definedName>
    <definedName name="L_Adjust">#REF!</definedName>
    <definedName name="L_Adjust_GT" localSheetId="13">#REF!</definedName>
    <definedName name="L_Adjust_GT">#REF!</definedName>
    <definedName name="L_AJE_Tot" localSheetId="13">#REF!</definedName>
    <definedName name="L_AJE_Tot">#REF!</definedName>
    <definedName name="L_AJE_Tot_GT" localSheetId="13">#REF!</definedName>
    <definedName name="L_AJE_Tot_GT">#REF!</definedName>
    <definedName name="L_CompNum" localSheetId="13">#REF!</definedName>
    <definedName name="L_CompNum">#REF!</definedName>
    <definedName name="L_CY_Beg" localSheetId="13">#REF!</definedName>
    <definedName name="L_CY_Beg">#REF!</definedName>
    <definedName name="L_CY_Beg_GT" localSheetId="13">#REF!</definedName>
    <definedName name="L_CY_Beg_GT">#REF!</definedName>
    <definedName name="L_CY_End" localSheetId="13">#REF!</definedName>
    <definedName name="L_CY_End">#REF!</definedName>
    <definedName name="L_CY_End_GT" localSheetId="13">#REF!</definedName>
    <definedName name="L_CY_End_GT">#REF!</definedName>
    <definedName name="L_GrpNum" localSheetId="13">#REF!</definedName>
    <definedName name="L_GrpNum">#REF!</definedName>
    <definedName name="L_Headings" localSheetId="13">#REF!</definedName>
    <definedName name="L_Headings">#REF!</definedName>
    <definedName name="L_KeyValue" localSheetId="13">#REF!</definedName>
    <definedName name="L_KeyValue">#REF!</definedName>
    <definedName name="L_PY_End" localSheetId="13">#REF!</definedName>
    <definedName name="L_PY_End">#REF!</definedName>
    <definedName name="L_PY_End_GT" localSheetId="13">#REF!</definedName>
    <definedName name="L_PY_End_GT">#REF!</definedName>
    <definedName name="L_RJE_Tot" localSheetId="13">#REF!</definedName>
    <definedName name="L_RJE_Tot">#REF!</definedName>
    <definedName name="L_RJE_Tot_GT" localSheetId="13">#REF!</definedName>
    <definedName name="L_RJE_Tot_GT">#REF!</definedName>
    <definedName name="L_RowNum" localSheetId="13">#REF!</definedName>
    <definedName name="L_RowNum">#REF!</definedName>
    <definedName name="LoanAdv" localSheetId="13">#REF!</definedName>
    <definedName name="LoanAdv">#REF!</definedName>
    <definedName name="MaintExp" localSheetId="13">#REF!</definedName>
    <definedName name="MaintExp">#REF!</definedName>
    <definedName name="MD">#REF!</definedName>
    <definedName name="Memo" localSheetId="17">#REF!</definedName>
    <definedName name="Memo">#REF!</definedName>
    <definedName name="Memo_B" localSheetId="17">#REF!</definedName>
    <definedName name="Memo_B">#REF!</definedName>
    <definedName name="Mic.Income" localSheetId="13">#REF!</definedName>
    <definedName name="Mic.Income">#REF!</definedName>
    <definedName name="MiscExp" localSheetId="13">#REF!</definedName>
    <definedName name="MiscExp">#REF!</definedName>
    <definedName name="Name" localSheetId="17">#REF!</definedName>
    <definedName name="Name" localSheetId="14">'[3]Client''s Details'!#REF!</definedName>
    <definedName name="Name">#REF!</definedName>
    <definedName name="New">[1]BS!#REF!</definedName>
    <definedName name="Null" localSheetId="17">#REF!</definedName>
    <definedName name="Null" localSheetId="14">'[3]Client''s Details'!#REF!</definedName>
    <definedName name="Null">#REF!</definedName>
    <definedName name="Operatexp." localSheetId="13">#REF!</definedName>
    <definedName name="Operatexp.">#REF!</definedName>
    <definedName name="Others" localSheetId="13">#REF!</definedName>
    <definedName name="Others">#REF!</definedName>
    <definedName name="PAN" localSheetId="17">#REF!</definedName>
    <definedName name="PAN">#REF!</definedName>
    <definedName name="PL" localSheetId="17">[1]BS!#REF!</definedName>
    <definedName name="PL">[1]BS!#REF!</definedName>
    <definedName name="PL_310399" localSheetId="17">#REF!</definedName>
    <definedName name="PL_310399">#REF!</definedName>
    <definedName name="_xlnm.Print_Area" localSheetId="9">'9'!$A$2:$O$18</definedName>
    <definedName name="_xlnm.Print_Area" localSheetId="15">'Deferred Tax'!$B$8:$E$21</definedName>
    <definedName name="_xlnm.Print_Area" localSheetId="17">'IT computation'!$B$2:$G$49</definedName>
    <definedName name="_xlnm.Print_Area" localSheetId="16">'IT DEPRECIATION'!$B$2:$N$13</definedName>
    <definedName name="_xlnm.Print_Area" localSheetId="13">'Ratio Analysis'!$B$8:$K$21</definedName>
    <definedName name="_xlnm.Print_Area">[1]BS!#REF!</definedName>
    <definedName name="PRINT_AREA_MI" localSheetId="17">[1]BS!#REF!</definedName>
    <definedName name="PRINT_AREA_MI">[1]BS!#REF!</definedName>
    <definedName name="PY">'[7]P&amp;L'!$K$1</definedName>
    <definedName name="RegdAdd" localSheetId="17">#REF!</definedName>
    <definedName name="RegdAdd" localSheetId="14">'[3]Client''s Details'!$B$3</definedName>
    <definedName name="RegdAdd">#REF!</definedName>
    <definedName name="Reserves" localSheetId="9">#REF!</definedName>
    <definedName name="Reserves" localSheetId="13">#REF!</definedName>
    <definedName name="Reserves">#REF!</definedName>
    <definedName name="s">#REF!</definedName>
    <definedName name="S_1" localSheetId="17">[1]BS!#REF!</definedName>
    <definedName name="S_1">[1]BS!#REF!</definedName>
    <definedName name="S_2" localSheetId="17">[1]BS!#REF!</definedName>
    <definedName name="S_2">[1]BS!#REF!</definedName>
    <definedName name="S_3" localSheetId="17">[1]BS!#REF!</definedName>
    <definedName name="S_3">[1]BS!#REF!</definedName>
    <definedName name="S_4" localSheetId="17">[1]BS!#REF!</definedName>
    <definedName name="S_4">[1]BS!#REF!</definedName>
    <definedName name="S_AcctDes" localSheetId="9">#REF!</definedName>
    <definedName name="S_AcctDes" localSheetId="13">#REF!</definedName>
    <definedName name="S_AcctDes">#REF!</definedName>
    <definedName name="S_Adjust" localSheetId="9">#REF!</definedName>
    <definedName name="S_Adjust" localSheetId="13">#REF!</definedName>
    <definedName name="S_Adjust">#REF!</definedName>
    <definedName name="S_Adjust_Data" localSheetId="13">#REF!</definedName>
    <definedName name="S_Adjust_Data">#REF!</definedName>
    <definedName name="S_Adjust_GT" localSheetId="13">#REF!</definedName>
    <definedName name="S_Adjust_GT">#REF!</definedName>
    <definedName name="S_AJE_Tot" localSheetId="13">#REF!</definedName>
    <definedName name="S_AJE_Tot">#REF!</definedName>
    <definedName name="S_AJE_Tot_Data" localSheetId="13">#REF!</definedName>
    <definedName name="S_AJE_Tot_Data">#REF!</definedName>
    <definedName name="S_AJE_Tot_GT" localSheetId="13">#REF!</definedName>
    <definedName name="S_AJE_Tot_GT">#REF!</definedName>
    <definedName name="S_CompNum" localSheetId="13">#REF!</definedName>
    <definedName name="S_CompNum">#REF!</definedName>
    <definedName name="S_CY_Beg" localSheetId="13">#REF!</definedName>
    <definedName name="S_CY_Beg">#REF!</definedName>
    <definedName name="S_CY_Beg_Data" localSheetId="13">#REF!</definedName>
    <definedName name="S_CY_Beg_Data">#REF!</definedName>
    <definedName name="S_CY_Beg_GT" localSheetId="13">#REF!</definedName>
    <definedName name="S_CY_Beg_GT">#REF!</definedName>
    <definedName name="S_CY_End" localSheetId="13">#REF!</definedName>
    <definedName name="S_CY_End">#REF!</definedName>
    <definedName name="S_CY_End_Data" localSheetId="13">#REF!</definedName>
    <definedName name="S_CY_End_Data">#REF!</definedName>
    <definedName name="S_CY_End_GT" localSheetId="13">#REF!</definedName>
    <definedName name="S_CY_End_GT">#REF!</definedName>
    <definedName name="S_Diff_Amt" localSheetId="13">#REF!</definedName>
    <definedName name="S_Diff_Amt">#REF!</definedName>
    <definedName name="S_Diff_Pct" localSheetId="13">#REF!</definedName>
    <definedName name="S_Diff_Pct">#REF!</definedName>
    <definedName name="S_GrpNum" localSheetId="13">#REF!</definedName>
    <definedName name="S_GrpNum">#REF!</definedName>
    <definedName name="S_Headings" localSheetId="13">#REF!</definedName>
    <definedName name="S_Headings">#REF!</definedName>
    <definedName name="S_KeyValue" localSheetId="13">#REF!</definedName>
    <definedName name="S_KeyValue">#REF!</definedName>
    <definedName name="S_PY_End" localSheetId="13">#REF!</definedName>
    <definedName name="S_PY_End">#REF!</definedName>
    <definedName name="S_PY_End_Data" localSheetId="13">#REF!</definedName>
    <definedName name="S_PY_End_Data">#REF!</definedName>
    <definedName name="S_PY_End_GT" localSheetId="13">#REF!</definedName>
    <definedName name="S_PY_End_GT">#REF!</definedName>
    <definedName name="S_RJE_Tot" localSheetId="13">#REF!</definedName>
    <definedName name="S_RJE_Tot">#REF!</definedName>
    <definedName name="S_RJE_Tot_Data" localSheetId="13">#REF!</definedName>
    <definedName name="S_RJE_Tot_Data">#REF!</definedName>
    <definedName name="S_RJE_Tot_GT" localSheetId="13">#REF!</definedName>
    <definedName name="S_RJE_Tot_GT">#REF!</definedName>
    <definedName name="S_RowNum" localSheetId="13">#REF!</definedName>
    <definedName name="S_RowNum">#REF!</definedName>
    <definedName name="SecLoan" localSheetId="13">#REF!</definedName>
    <definedName name="SecLoan">#REF!</definedName>
    <definedName name="SHARENAME">[8]Sheet2!$F$2:$F$12910</definedName>
    <definedName name="SignDesig1" localSheetId="17">#REF!</definedName>
    <definedName name="SignDesig1" localSheetId="14">'[9]Client''s Details'!$C$48</definedName>
    <definedName name="SignDesig1">#REF!</definedName>
    <definedName name="SignDesig2" localSheetId="17">#REF!</definedName>
    <definedName name="SignDesig2" localSheetId="14">'[9]Client''s Details'!$C$49</definedName>
    <definedName name="SignDesig2">#REF!</definedName>
    <definedName name="SignDIN1" localSheetId="17">#REF!</definedName>
    <definedName name="SignDIN1" localSheetId="14">'[9]Client''s Details'!$B$48</definedName>
    <definedName name="SignDIN1">#REF!</definedName>
    <definedName name="SignDIN2" localSheetId="17">#REF!</definedName>
    <definedName name="SignDIN2" localSheetId="14">'[9]Client''s Details'!$B$49</definedName>
    <definedName name="SignDIN2">#REF!</definedName>
    <definedName name="SignName1" localSheetId="17">#REF!</definedName>
    <definedName name="SignName1" localSheetId="14">'[9]Client''s Details'!$A$48</definedName>
    <definedName name="SignName1">#REF!</definedName>
    <definedName name="SignName2" localSheetId="17">#REF!</definedName>
    <definedName name="SignName2" localSheetId="14">'[9]Client''s Details'!$A$49</definedName>
    <definedName name="SignName2">#REF!</definedName>
    <definedName name="Staffcost" localSheetId="13">#REF!</definedName>
    <definedName name="Staffcost">#REF!</definedName>
    <definedName name="state">[10]cs!$A$3:$A$38</definedName>
    <definedName name="SundCred" localSheetId="13">#REF!</definedName>
    <definedName name="SundCred">#REF!</definedName>
    <definedName name="TB" localSheetId="17">[1]BS!#REF!</definedName>
    <definedName name="TB">[1]BS!#REF!</definedName>
    <definedName name="TB_310399_A" localSheetId="17">#REF!</definedName>
    <definedName name="TB_310399_A">#REF!</definedName>
    <definedName name="TB_310399_B" localSheetId="17">#REF!</definedName>
    <definedName name="TB_310399_B">#REF!</definedName>
    <definedName name="TBH" localSheetId="17">[1]BS!#REF!</definedName>
    <definedName name="TBH">[1]BS!#REF!</definedName>
    <definedName name="TEMP_MASTER" localSheetId="17">#REF!</definedName>
    <definedName name="TEMP_MASTER">#REF!</definedName>
    <definedName name="tempjv" localSheetId="17">#REF!</definedName>
    <definedName name="tempjv">#REF!</definedName>
    <definedName name="temppslip" localSheetId="17">#REF!</definedName>
    <definedName name="temppslip">#REF!</definedName>
    <definedName name="TextRefCopyRangeCount" hidden="1">1</definedName>
    <definedName name="TRAINEE_MASTER" localSheetId="17">#REF!</definedName>
    <definedName name="TRAINEE_MASTER">#REF!</definedName>
    <definedName name="trjv" localSheetId="17">#REF!</definedName>
    <definedName name="trjv">#REF!</definedName>
    <definedName name="Trpslip" localSheetId="17">#REF!</definedName>
    <definedName name="Trpslip">#REF!</definedName>
    <definedName name="UKExp" localSheetId="9">#REF!</definedName>
    <definedName name="UKExp" localSheetId="13">#REF!</definedName>
    <definedName name="UKExp">#REF!</definedName>
    <definedName name="UnsecLoan" localSheetId="9">#REF!</definedName>
    <definedName name="UnsecLoan" localSheetId="13">#REF!</definedName>
    <definedName name="UnsecLoa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6" i="18" l="1"/>
  <c r="K15" i="18"/>
  <c r="C48" i="56" l="1"/>
  <c r="D198" i="66" l="1"/>
  <c r="G27" i="66"/>
  <c r="E203" i="66"/>
  <c r="G198" i="66"/>
  <c r="J10" i="57"/>
  <c r="J11" i="57"/>
  <c r="J12" i="57"/>
  <c r="J20" i="57"/>
  <c r="J19" i="57"/>
  <c r="J18" i="57"/>
  <c r="J17" i="57"/>
  <c r="J16" i="57"/>
  <c r="J15" i="57"/>
  <c r="J14" i="57"/>
  <c r="J13" i="57"/>
  <c r="G49" i="70"/>
  <c r="F49" i="70"/>
  <c r="G28" i="70"/>
  <c r="F28" i="70"/>
  <c r="G11" i="57"/>
  <c r="G52" i="70"/>
  <c r="G29" i="70"/>
  <c r="F47" i="70"/>
  <c r="G45" i="70"/>
  <c r="F46" i="70" s="1"/>
  <c r="F45" i="70"/>
  <c r="E45" i="70"/>
  <c r="G50" i="70"/>
  <c r="F50" i="70"/>
  <c r="E50" i="70"/>
  <c r="E51" i="70" s="1"/>
  <c r="G47" i="70"/>
  <c r="F48" i="70" s="1"/>
  <c r="G44" i="70"/>
  <c r="G35" i="70"/>
  <c r="G39" i="70" s="1"/>
  <c r="F35" i="70"/>
  <c r="F39" i="70" s="1"/>
  <c r="G33" i="70"/>
  <c r="G31" i="70"/>
  <c r="G34" i="70" s="1"/>
  <c r="G40" i="70" s="1"/>
  <c r="G25" i="70"/>
  <c r="G26" i="70"/>
  <c r="G14" i="57"/>
  <c r="E46" i="70"/>
  <c r="F43" i="70"/>
  <c r="E43" i="70"/>
  <c r="B4" i="70"/>
  <c r="B3" i="70"/>
  <c r="B2" i="70"/>
  <c r="G27" i="70" l="1"/>
  <c r="F51" i="70"/>
  <c r="F13" i="70" s="1"/>
  <c r="H16" i="57" s="1"/>
  <c r="G53" i="70"/>
  <c r="D34" i="38" l="1"/>
  <c r="H19" i="17" l="1"/>
  <c r="C36" i="29"/>
  <c r="D102" i="20"/>
  <c r="I21" i="17" s="1"/>
  <c r="D93" i="20"/>
  <c r="I29" i="17" s="1"/>
  <c r="H93" i="66"/>
  <c r="D69" i="38"/>
  <c r="I28" i="18" s="1"/>
  <c r="C34" i="38"/>
  <c r="D64" i="38"/>
  <c r="D194" i="66"/>
  <c r="E195" i="66"/>
  <c r="E170" i="66"/>
  <c r="E199" i="66"/>
  <c r="G75" i="66" s="1"/>
  <c r="F69" i="66" l="1"/>
  <c r="G68" i="66"/>
  <c r="D98" i="66"/>
  <c r="E181" i="66" l="1"/>
  <c r="E160" i="66"/>
  <c r="F72" i="66" s="1"/>
  <c r="G72" i="66"/>
  <c r="F14" i="66"/>
  <c r="D163" i="66" l="1"/>
  <c r="F87" i="66"/>
  <c r="G46" i="66"/>
  <c r="E11" i="66"/>
  <c r="G64" i="66"/>
  <c r="G60" i="66"/>
  <c r="H61" i="66"/>
  <c r="C55" i="29"/>
  <c r="D150" i="66"/>
  <c r="F96" i="66" s="1"/>
  <c r="H96" i="66" s="1"/>
  <c r="C68" i="38" s="1"/>
  <c r="E21" i="56" s="1"/>
  <c r="B155" i="66"/>
  <c r="F66" i="66"/>
  <c r="I11" i="66" l="1"/>
  <c r="E98" i="66"/>
  <c r="F27" i="66"/>
  <c r="I27" i="66" s="1"/>
  <c r="C54" i="38"/>
  <c r="E146" i="66" l="1"/>
  <c r="F35" i="66" s="1"/>
  <c r="E130" i="66"/>
  <c r="G69" i="66" s="1"/>
  <c r="E122" i="66"/>
  <c r="D180" i="66"/>
  <c r="F63" i="66" s="1"/>
  <c r="H87" i="66" l="1"/>
  <c r="G57" i="66"/>
  <c r="G56" i="66"/>
  <c r="G55" i="66"/>
  <c r="G54" i="66"/>
  <c r="G53" i="66"/>
  <c r="G52" i="66"/>
  <c r="G51" i="66"/>
  <c r="G50" i="66"/>
  <c r="H50" i="66" s="1"/>
  <c r="G49" i="66"/>
  <c r="G48" i="66"/>
  <c r="G47" i="66"/>
  <c r="G45" i="66"/>
  <c r="G44" i="66"/>
  <c r="H44" i="66" s="1"/>
  <c r="H59" i="66"/>
  <c r="C53" i="29" s="1"/>
  <c r="E191" i="66"/>
  <c r="F78" i="66"/>
  <c r="F82" i="66"/>
  <c r="H82" i="66" s="1"/>
  <c r="F73" i="66"/>
  <c r="G43" i="66"/>
  <c r="B159" i="66"/>
  <c r="B163" i="66" s="1"/>
  <c r="B180" i="66" s="1"/>
  <c r="B185" i="66" s="1"/>
  <c r="H63" i="66" l="1"/>
  <c r="L63" i="66" s="1"/>
  <c r="H45" i="66"/>
  <c r="H46" i="66"/>
  <c r="H47" i="66"/>
  <c r="H48" i="66"/>
  <c r="H49" i="66"/>
  <c r="H51" i="66"/>
  <c r="H52" i="66"/>
  <c r="H53" i="66"/>
  <c r="H54" i="66"/>
  <c r="H55" i="66"/>
  <c r="H56" i="66"/>
  <c r="H57" i="66"/>
  <c r="G39" i="56" l="1"/>
  <c r="H65" i="66"/>
  <c r="H62" i="66"/>
  <c r="I34" i="66"/>
  <c r="I33" i="66"/>
  <c r="F32" i="66"/>
  <c r="I32" i="66" s="1"/>
  <c r="H60" i="66"/>
  <c r="H64" i="66"/>
  <c r="C58" i="29" l="1"/>
  <c r="F58" i="29" s="1"/>
  <c r="G58" i="29" s="1"/>
  <c r="G30" i="66" l="1"/>
  <c r="I30" i="66" s="1"/>
  <c r="C115" i="20" s="1"/>
  <c r="H66" i="66"/>
  <c r="C62" i="29" s="1"/>
  <c r="C60" i="29"/>
  <c r="E13" i="50" l="1"/>
  <c r="O13" i="50" s="1"/>
  <c r="C98" i="20"/>
  <c r="C102" i="20" l="1"/>
  <c r="H21" i="17" s="1"/>
  <c r="O22" i="50"/>
  <c r="O23" i="50"/>
  <c r="O24" i="50"/>
  <c r="O25" i="50"/>
  <c r="O26" i="50"/>
  <c r="G22" i="50"/>
  <c r="M22" i="50" s="1"/>
  <c r="N22" i="50" s="1"/>
  <c r="G23" i="50"/>
  <c r="M23" i="50" s="1"/>
  <c r="N23" i="50" s="1"/>
  <c r="I15" i="66" l="1"/>
  <c r="I16" i="66"/>
  <c r="I17" i="66"/>
  <c r="I18" i="66"/>
  <c r="I19" i="66"/>
  <c r="I20" i="66"/>
  <c r="I21" i="66"/>
  <c r="I22" i="66"/>
  <c r="I23" i="66"/>
  <c r="I24" i="66"/>
  <c r="I25" i="66"/>
  <c r="I26" i="66"/>
  <c r="I14" i="66" l="1"/>
  <c r="I72" i="66"/>
  <c r="H43" i="17"/>
  <c r="K35" i="50"/>
  <c r="K34" i="50"/>
  <c r="H42" i="66"/>
  <c r="D72" i="60"/>
  <c r="H41" i="66"/>
  <c r="F89" i="66"/>
  <c r="H78" i="66"/>
  <c r="K33" i="50"/>
  <c r="K32" i="50"/>
  <c r="K31" i="50"/>
  <c r="H68" i="66"/>
  <c r="C17" i="29" l="1"/>
  <c r="H49" i="17" s="1"/>
  <c r="E47" i="70" s="1"/>
  <c r="E48" i="70" s="1"/>
  <c r="L33" i="50"/>
  <c r="H77" i="66"/>
  <c r="E100" i="66" l="1"/>
  <c r="H69" i="66" l="1"/>
  <c r="I75" i="66"/>
  <c r="I73" i="66"/>
  <c r="H90" i="66"/>
  <c r="H89" i="66"/>
  <c r="C46" i="38" s="1"/>
  <c r="H88" i="66"/>
  <c r="C53" i="38" s="1"/>
  <c r="H86" i="66"/>
  <c r="C51" i="38" s="1"/>
  <c r="H85" i="66"/>
  <c r="C56" i="38" s="1"/>
  <c r="H84" i="66"/>
  <c r="C49" i="38" s="1"/>
  <c r="H83" i="66"/>
  <c r="C59" i="38" s="1"/>
  <c r="H81" i="66"/>
  <c r="C52" i="38" s="1"/>
  <c r="H80" i="66"/>
  <c r="C62" i="38" s="1"/>
  <c r="I28" i="66"/>
  <c r="I10" i="66"/>
  <c r="C20" i="38" l="1"/>
  <c r="I103" i="66"/>
  <c r="C57" i="29"/>
  <c r="C64" i="29" l="1"/>
  <c r="H52" i="17" s="1"/>
  <c r="E14" i="50"/>
  <c r="E16" i="50" s="1"/>
  <c r="E11" i="51"/>
  <c r="O14" i="50" l="1"/>
  <c r="O16" i="50" s="1"/>
  <c r="J36" i="17" s="1"/>
  <c r="D21" i="29" l="1"/>
  <c r="H24" i="17" l="1"/>
  <c r="E78" i="60" l="1"/>
  <c r="O21" i="50" l="1"/>
  <c r="H20" i="17" l="1"/>
  <c r="J28" i="50" l="1"/>
  <c r="I28" i="50"/>
  <c r="H21" i="50"/>
  <c r="G21" i="50" s="1"/>
  <c r="M21" i="50" s="1"/>
  <c r="N21" i="50" l="1"/>
  <c r="E30" i="60" l="1"/>
  <c r="D64" i="29"/>
  <c r="H21" i="60" l="1"/>
  <c r="D26" i="38" l="1"/>
  <c r="D27" i="38"/>
  <c r="D28" i="38" l="1"/>
  <c r="E77" i="60"/>
  <c r="D51" i="29"/>
  <c r="C17" i="20"/>
  <c r="H12" i="17" s="1"/>
  <c r="C13" i="38" l="1"/>
  <c r="C45" i="38" l="1"/>
  <c r="C45" i="29" l="1"/>
  <c r="C12" i="38"/>
  <c r="D78" i="60" l="1"/>
  <c r="C47" i="38" l="1"/>
  <c r="C64" i="38" l="1"/>
  <c r="H20" i="18" s="1"/>
  <c r="E49" i="70" s="1"/>
  <c r="E13" i="70" s="1"/>
  <c r="H18" i="18"/>
  <c r="G16" i="57" l="1"/>
  <c r="I16" i="57" s="1"/>
  <c r="G13" i="70"/>
  <c r="D30" i="60"/>
  <c r="I21" i="60" l="1"/>
  <c r="I22" i="60"/>
  <c r="D14" i="38"/>
  <c r="H39" i="29"/>
  <c r="H38" i="29"/>
  <c r="H37" i="29"/>
  <c r="H36" i="29"/>
  <c r="C38" i="20" l="1"/>
  <c r="G18" i="51"/>
  <c r="G19" i="51"/>
  <c r="E20" i="51"/>
  <c r="F20" i="51"/>
  <c r="G24" i="51"/>
  <c r="G25" i="51"/>
  <c r="E26" i="51"/>
  <c r="F26" i="51"/>
  <c r="G26" i="51" l="1"/>
  <c r="G20" i="51"/>
  <c r="H25" i="50"/>
  <c r="G25" i="50" s="1"/>
  <c r="M25" i="50" s="1"/>
  <c r="N25" i="50" s="1"/>
  <c r="H24" i="50" l="1"/>
  <c r="G24" i="50" s="1"/>
  <c r="M24" i="50" s="1"/>
  <c r="N24" i="50" l="1"/>
  <c r="K13" i="50"/>
  <c r="D105" i="66" l="1"/>
  <c r="M13" i="50"/>
  <c r="H26" i="50"/>
  <c r="G26" i="50" s="1"/>
  <c r="M26" i="50" s="1"/>
  <c r="N26" i="50" s="1"/>
  <c r="N28" i="50" l="1"/>
  <c r="O28" i="50"/>
  <c r="M28" i="50" l="1"/>
  <c r="K14" i="50"/>
  <c r="D109" i="66" s="1"/>
  <c r="E110" i="66" l="1"/>
  <c r="G37" i="66" s="1"/>
  <c r="F79" i="66"/>
  <c r="C38" i="38" s="1"/>
  <c r="M14" i="50"/>
  <c r="I40" i="17"/>
  <c r="D77" i="60" l="1"/>
  <c r="C51" i="29"/>
  <c r="H79" i="66" l="1"/>
  <c r="H22" i="60"/>
  <c r="H23" i="60" s="1"/>
  <c r="H19" i="18" l="1"/>
  <c r="E35" i="70" s="1"/>
  <c r="E39" i="70" s="1"/>
  <c r="I104" i="66"/>
  <c r="I105" i="66" s="1"/>
  <c r="E73" i="60"/>
  <c r="D5" i="63" l="1"/>
  <c r="D15" i="63"/>
  <c r="D4" i="63"/>
  <c r="G69" i="56"/>
  <c r="G70" i="56" s="1"/>
  <c r="C14" i="38" l="1"/>
  <c r="D6" i="63"/>
  <c r="D8" i="63" s="1"/>
  <c r="G71" i="56"/>
  <c r="H11" i="18" l="1"/>
  <c r="G72" i="56"/>
  <c r="F23" i="20" l="1"/>
  <c r="D23" i="20"/>
  <c r="H30" i="29"/>
  <c r="H29" i="29"/>
  <c r="H28" i="29"/>
  <c r="H67" i="60" l="1"/>
  <c r="I23" i="60"/>
  <c r="G23" i="60"/>
  <c r="F23" i="60"/>
  <c r="E23" i="60"/>
  <c r="D23" i="60"/>
  <c r="I20" i="60"/>
  <c r="F20" i="60"/>
  <c r="H20" i="60" s="1"/>
  <c r="D74" i="38"/>
  <c r="D71" i="20" l="1"/>
  <c r="D77" i="20"/>
  <c r="C71" i="20"/>
  <c r="D21" i="38"/>
  <c r="D79" i="20" l="1"/>
  <c r="D40" i="38" l="1"/>
  <c r="I22" i="17" l="1"/>
  <c r="I34" i="18"/>
  <c r="F33" i="70" s="1"/>
  <c r="I22" i="18" l="1"/>
  <c r="D48" i="29" l="1"/>
  <c r="D117" i="20"/>
  <c r="D109" i="20"/>
  <c r="I30" i="17" l="1"/>
  <c r="F26" i="70" s="1"/>
  <c r="I14" i="18"/>
  <c r="F44" i="70" s="1"/>
  <c r="E79" i="60"/>
  <c r="E26" i="20"/>
  <c r="F24" i="20"/>
  <c r="F12" i="70" l="1"/>
  <c r="H15" i="57" s="1"/>
  <c r="F11" i="70"/>
  <c r="C95" i="38"/>
  <c r="D100" i="38"/>
  <c r="C100" i="38"/>
  <c r="D95" i="38"/>
  <c r="F26" i="20"/>
  <c r="G11" i="70" l="1"/>
  <c r="H14" i="57"/>
  <c r="I14" i="57" s="1"/>
  <c r="H16" i="17"/>
  <c r="H11" i="51"/>
  <c r="I11" i="51"/>
  <c r="H14" i="41"/>
  <c r="F10" i="51"/>
  <c r="K10" i="51" s="1"/>
  <c r="F11" i="51"/>
  <c r="E13" i="51"/>
  <c r="I14" i="50"/>
  <c r="N14" i="50" s="1"/>
  <c r="F16" i="50"/>
  <c r="J16" i="50"/>
  <c r="H16" i="50"/>
  <c r="G16" i="50"/>
  <c r="I45" i="17"/>
  <c r="E18" i="41"/>
  <c r="J30" i="39"/>
  <c r="J26" i="39"/>
  <c r="J27" i="39"/>
  <c r="I27" i="39"/>
  <c r="M27" i="39" s="1"/>
  <c r="I26" i="39"/>
  <c r="M26" i="39" s="1"/>
  <c r="J23" i="39"/>
  <c r="J24" i="39"/>
  <c r="I23" i="39"/>
  <c r="M23" i="39" s="1"/>
  <c r="I24" i="39"/>
  <c r="M24" i="39" s="1"/>
  <c r="J7" i="39"/>
  <c r="J8" i="39"/>
  <c r="I7" i="39"/>
  <c r="M7" i="39" s="1"/>
  <c r="I8" i="39"/>
  <c r="M8" i="39" s="1"/>
  <c r="J9" i="39"/>
  <c r="I9" i="39"/>
  <c r="M9" i="39" s="1"/>
  <c r="J10" i="39"/>
  <c r="I10" i="39"/>
  <c r="M10" i="39" s="1"/>
  <c r="J11" i="39"/>
  <c r="I11" i="39"/>
  <c r="M11" i="39" s="1"/>
  <c r="J13" i="39"/>
  <c r="I13" i="39"/>
  <c r="M13" i="39" s="1"/>
  <c r="J15" i="39"/>
  <c r="I15" i="39"/>
  <c r="M15" i="39" s="1"/>
  <c r="J17" i="39"/>
  <c r="I17" i="39"/>
  <c r="M17" i="39" s="1"/>
  <c r="J18" i="39"/>
  <c r="I18" i="39"/>
  <c r="M18" i="39" s="1"/>
  <c r="J20" i="39"/>
  <c r="I20" i="39"/>
  <c r="M20" i="39" s="1"/>
  <c r="J21" i="39"/>
  <c r="I21" i="39"/>
  <c r="M21" i="39" s="1"/>
  <c r="J22" i="39"/>
  <c r="I22" i="39"/>
  <c r="M22" i="39" s="1"/>
  <c r="J25" i="39"/>
  <c r="I25" i="39"/>
  <c r="M25" i="39" s="1"/>
  <c r="I30" i="39"/>
  <c r="M30" i="39" s="1"/>
  <c r="J12" i="39"/>
  <c r="J14" i="39"/>
  <c r="J16" i="39"/>
  <c r="J19" i="39"/>
  <c r="J28" i="39"/>
  <c r="J29" i="39"/>
  <c r="J6" i="39"/>
  <c r="I6" i="39"/>
  <c r="M6" i="39" s="1"/>
  <c r="Z33" i="39"/>
  <c r="F3" i="39"/>
  <c r="I3" i="39" s="1"/>
  <c r="I14" i="39"/>
  <c r="O14" i="39" s="1"/>
  <c r="I19" i="39"/>
  <c r="I28" i="39"/>
  <c r="O28" i="39" s="1"/>
  <c r="I29" i="39"/>
  <c r="O29" i="39" s="1"/>
  <c r="L3" i="39"/>
  <c r="L6" i="39"/>
  <c r="L8" i="39"/>
  <c r="L9" i="39"/>
  <c r="L10" i="39"/>
  <c r="L11" i="39"/>
  <c r="L15" i="39"/>
  <c r="M4" i="39"/>
  <c r="N4" i="39" s="1"/>
  <c r="M5" i="39"/>
  <c r="N5" i="39" s="1"/>
  <c r="K30" i="35"/>
  <c r="H24" i="37"/>
  <c r="H23" i="37"/>
  <c r="H7" i="37"/>
  <c r="H8" i="37"/>
  <c r="H9" i="37"/>
  <c r="H10" i="37"/>
  <c r="H11" i="37"/>
  <c r="H12" i="37"/>
  <c r="H13" i="37"/>
  <c r="H14" i="37"/>
  <c r="H15" i="37"/>
  <c r="H16" i="37"/>
  <c r="H17" i="37"/>
  <c r="H18" i="37"/>
  <c r="H19" i="37"/>
  <c r="H20" i="37"/>
  <c r="H21" i="37"/>
  <c r="H22" i="37"/>
  <c r="H6" i="37"/>
  <c r="U4" i="35"/>
  <c r="U5" i="35"/>
  <c r="U6" i="35"/>
  <c r="U7" i="35"/>
  <c r="U8" i="35"/>
  <c r="U9" i="35"/>
  <c r="U10" i="35"/>
  <c r="U11" i="35"/>
  <c r="U12" i="35"/>
  <c r="U13" i="35"/>
  <c r="U14" i="35"/>
  <c r="U15" i="35"/>
  <c r="U16" i="35"/>
  <c r="U17" i="35"/>
  <c r="U18" i="35"/>
  <c r="U19" i="35"/>
  <c r="U20" i="35"/>
  <c r="U21" i="35"/>
  <c r="U22" i="35"/>
  <c r="U23" i="35"/>
  <c r="U24" i="35"/>
  <c r="U25" i="35"/>
  <c r="U26" i="35"/>
  <c r="U27" i="35"/>
  <c r="U3" i="35"/>
  <c r="H39" i="17"/>
  <c r="H38" i="17"/>
  <c r="H37" i="17"/>
  <c r="H44" i="17"/>
  <c r="H18" i="17"/>
  <c r="E28" i="70" s="1"/>
  <c r="D24" i="20"/>
  <c r="D25" i="20"/>
  <c r="C26" i="20"/>
  <c r="H15" i="41" l="1" a="1"/>
  <c r="H15" i="41" s="1"/>
  <c r="H16" i="41" s="1"/>
  <c r="D14" i="41" s="1"/>
  <c r="C87" i="38"/>
  <c r="C82" i="38"/>
  <c r="N13" i="39"/>
  <c r="N6" i="39"/>
  <c r="N25" i="39"/>
  <c r="N18" i="39"/>
  <c r="C109" i="20"/>
  <c r="N15" i="39"/>
  <c r="N22" i="39"/>
  <c r="G13" i="51"/>
  <c r="L31" i="39"/>
  <c r="N20" i="39"/>
  <c r="N8" i="39"/>
  <c r="N9" i="39"/>
  <c r="H25" i="37"/>
  <c r="N11" i="39"/>
  <c r="O31" i="39"/>
  <c r="N30" i="39"/>
  <c r="N17" i="39"/>
  <c r="K11" i="51"/>
  <c r="K13" i="51" s="1"/>
  <c r="M3" i="39"/>
  <c r="M31" i="39" s="1"/>
  <c r="I31" i="39"/>
  <c r="N21" i="39"/>
  <c r="N10" i="39"/>
  <c r="N24" i="39"/>
  <c r="N27" i="39"/>
  <c r="I13" i="50"/>
  <c r="N13" i="50" s="1"/>
  <c r="N16" i="50" s="1"/>
  <c r="H36" i="17" s="1"/>
  <c r="H40" i="17" s="1"/>
  <c r="I24" i="18"/>
  <c r="D87" i="38"/>
  <c r="D82" i="38"/>
  <c r="D26" i="20"/>
  <c r="F13" i="51"/>
  <c r="L11" i="51"/>
  <c r="I10" i="51"/>
  <c r="I13" i="51" s="1"/>
  <c r="J11" i="51"/>
  <c r="H13" i="51"/>
  <c r="I16" i="50" l="1"/>
  <c r="I26" i="18"/>
  <c r="I29" i="18" s="1"/>
  <c r="I36" i="18" s="1"/>
  <c r="M11" i="51"/>
  <c r="N11" i="51" s="1"/>
  <c r="L32" i="39"/>
  <c r="C117" i="20"/>
  <c r="H28" i="17" s="1"/>
  <c r="N3" i="39"/>
  <c r="N31" i="39" s="1"/>
  <c r="D79" i="60"/>
  <c r="L10" i="51"/>
  <c r="J10" i="51"/>
  <c r="E57" i="20" l="1"/>
  <c r="F31" i="70"/>
  <c r="J13" i="51"/>
  <c r="C94" i="38"/>
  <c r="C96" i="38" s="1"/>
  <c r="I41" i="18" s="1"/>
  <c r="D59" i="20"/>
  <c r="D61" i="20" s="1"/>
  <c r="C56" i="20" s="1"/>
  <c r="C99" i="38"/>
  <c r="D99" i="38"/>
  <c r="D94" i="38"/>
  <c r="D96" i="38" s="1"/>
  <c r="I42" i="18" s="1"/>
  <c r="D73" i="60"/>
  <c r="C28" i="38"/>
  <c r="H17" i="18" s="1"/>
  <c r="D57" i="56"/>
  <c r="M10" i="51"/>
  <c r="N10" i="51" s="1"/>
  <c r="L13" i="51"/>
  <c r="F34" i="70" l="1"/>
  <c r="F40" i="70" s="1"/>
  <c r="F17" i="70" s="1"/>
  <c r="H12" i="57" s="1"/>
  <c r="F15" i="70"/>
  <c r="H18" i="57" s="1"/>
  <c r="C101" i="38"/>
  <c r="I44" i="18" s="1"/>
  <c r="D101" i="38"/>
  <c r="I45" i="18" s="1"/>
  <c r="E20" i="56"/>
  <c r="F21" i="56" s="1"/>
  <c r="F24" i="56"/>
  <c r="G27" i="56" s="1"/>
  <c r="C21" i="38"/>
  <c r="H12" i="18" s="1"/>
  <c r="K28" i="50"/>
  <c r="I15" i="17"/>
  <c r="I53" i="17"/>
  <c r="F25" i="70" s="1"/>
  <c r="M13" i="51"/>
  <c r="N13" i="51"/>
  <c r="L16" i="50"/>
  <c r="L28" i="50"/>
  <c r="I31" i="17" l="1"/>
  <c r="F29" i="70"/>
  <c r="F27" i="70"/>
  <c r="F14" i="70" s="1"/>
  <c r="H17" i="57" s="1"/>
  <c r="F8" i="70"/>
  <c r="H10" i="57" s="1"/>
  <c r="H14" i="18"/>
  <c r="E44" i="70" s="1"/>
  <c r="E12" i="70" s="1"/>
  <c r="E17" i="56"/>
  <c r="C13" i="41"/>
  <c r="I54" i="17"/>
  <c r="C21" i="29"/>
  <c r="I55" i="17" l="1"/>
  <c r="F52" i="70"/>
  <c r="F54" i="70" s="1"/>
  <c r="F18" i="70" s="1"/>
  <c r="H20" i="57" s="1"/>
  <c r="F53" i="70"/>
  <c r="F16" i="70" s="1"/>
  <c r="H19" i="57" s="1"/>
  <c r="F9" i="70"/>
  <c r="F30" i="70"/>
  <c r="F10" i="70" s="1"/>
  <c r="H13" i="57" s="1"/>
  <c r="G12" i="70"/>
  <c r="G15" i="57"/>
  <c r="I15" i="57" s="1"/>
  <c r="H27" i="29"/>
  <c r="H11" i="57" l="1"/>
  <c r="I11" i="57" s="1"/>
  <c r="G9" i="70"/>
  <c r="K16" i="50"/>
  <c r="C12" i="41" s="1"/>
  <c r="D13" i="41" s="1"/>
  <c r="E14" i="41" s="1"/>
  <c r="H32" i="18" s="1"/>
  <c r="M16" i="50" l="1"/>
  <c r="E15" i="41" l="1"/>
  <c r="E19" i="41" s="1"/>
  <c r="C74" i="20" s="1"/>
  <c r="C77" i="20" s="1"/>
  <c r="C79" i="20" s="1"/>
  <c r="H42" i="17" s="1"/>
  <c r="E21" i="41"/>
  <c r="H37" i="66"/>
  <c r="D113" i="66" l="1"/>
  <c r="F92" i="66" s="1"/>
  <c r="H92" i="66" s="1"/>
  <c r="H45" i="17"/>
  <c r="C40" i="38"/>
  <c r="E16" i="56" s="1"/>
  <c r="E114" i="66" l="1"/>
  <c r="G39" i="66" s="1"/>
  <c r="H39" i="66" s="1"/>
  <c r="F17" i="56"/>
  <c r="H22" i="18"/>
  <c r="H24" i="18" s="1"/>
  <c r="H26" i="18" s="1"/>
  <c r="C69" i="38" l="1"/>
  <c r="H28" i="18" s="1"/>
  <c r="H29" i="18" s="1"/>
  <c r="F14" i="56" l="1"/>
  <c r="F19" i="56" s="1"/>
  <c r="G22" i="56" s="1"/>
  <c r="G29" i="56" s="1"/>
  <c r="G30" i="56" s="1"/>
  <c r="G33" i="56" s="1"/>
  <c r="G35" i="56" s="1"/>
  <c r="G36" i="56" s="1"/>
  <c r="G37" i="56" s="1"/>
  <c r="D9" i="63" l="1"/>
  <c r="D10" i="63" s="1"/>
  <c r="D11" i="63" s="1"/>
  <c r="D12" i="63" s="1"/>
  <c r="D13" i="63" s="1"/>
  <c r="D14" i="63" s="1"/>
  <c r="D16" i="63" s="1"/>
  <c r="G38" i="56"/>
  <c r="C91" i="20" s="1"/>
  <c r="C93" i="20" s="1"/>
  <c r="H29" i="17" s="1"/>
  <c r="H30" i="17" l="1"/>
  <c r="E26" i="70" s="1"/>
  <c r="H22" i="17"/>
  <c r="G41" i="56"/>
  <c r="D55" i="56"/>
  <c r="D59" i="56" s="1"/>
  <c r="D63" i="56" s="1"/>
  <c r="F43" i="56" s="1"/>
  <c r="C73" i="38"/>
  <c r="E118" i="66"/>
  <c r="D117" i="66" s="1"/>
  <c r="F91" i="66" s="1"/>
  <c r="F98" i="66" s="1"/>
  <c r="D72" i="56" l="1"/>
  <c r="F72" i="56" s="1"/>
  <c r="H72" i="56" s="1"/>
  <c r="J72" i="56" s="1"/>
  <c r="C41" i="56"/>
  <c r="D56" i="56"/>
  <c r="C61" i="56" s="1"/>
  <c r="D70" i="56"/>
  <c r="F70" i="56" s="1"/>
  <c r="H70" i="56" s="1"/>
  <c r="J70" i="56" s="1"/>
  <c r="D69" i="56"/>
  <c r="F69" i="56" s="1"/>
  <c r="H69" i="56" s="1"/>
  <c r="J69" i="56" s="1"/>
  <c r="G35" i="66"/>
  <c r="I35" i="66" s="1"/>
  <c r="I98" i="66" s="1"/>
  <c r="D71" i="56"/>
  <c r="F71" i="56" s="1"/>
  <c r="H71" i="56" s="1"/>
  <c r="J71" i="56" s="1"/>
  <c r="H91" i="66"/>
  <c r="M11" i="66" s="1"/>
  <c r="C74" i="38"/>
  <c r="H31" i="18" s="1"/>
  <c r="H34" i="18" s="1"/>
  <c r="E33" i="70" s="1"/>
  <c r="J73" i="56" l="1"/>
  <c r="F44" i="56" s="1"/>
  <c r="G45" i="56" s="1"/>
  <c r="G46" i="56" s="1"/>
  <c r="G48" i="56" s="1"/>
  <c r="G98" i="66"/>
  <c r="H36" i="18"/>
  <c r="E31" i="70" s="1"/>
  <c r="E34" i="70" s="1"/>
  <c r="E40" i="70" s="1"/>
  <c r="E17" i="70" s="1"/>
  <c r="G17" i="70" l="1"/>
  <c r="G12" i="57"/>
  <c r="I12" i="57" s="1"/>
  <c r="E15" i="70"/>
  <c r="C57" i="20"/>
  <c r="C59" i="20" s="1"/>
  <c r="C61" i="20" s="1"/>
  <c r="C81" i="38"/>
  <c r="C83" i="38" s="1"/>
  <c r="H41" i="18" s="1"/>
  <c r="D86" i="38"/>
  <c r="D88" i="38" s="1"/>
  <c r="H45" i="18" s="1"/>
  <c r="C86" i="38"/>
  <c r="C88" i="38" s="1"/>
  <c r="H44" i="18" s="1"/>
  <c r="D81" i="38"/>
  <c r="D83" i="38" s="1"/>
  <c r="H42" i="18" s="1"/>
  <c r="G15" i="70" l="1"/>
  <c r="G18" i="57"/>
  <c r="I18" i="57" s="1"/>
  <c r="H13" i="17"/>
  <c r="H15" i="17" l="1"/>
  <c r="E29" i="70" s="1"/>
  <c r="C46" i="29"/>
  <c r="C48" i="29" s="1"/>
  <c r="H50" i="17" s="1"/>
  <c r="E30" i="70" l="1"/>
  <c r="E10" i="70" s="1"/>
  <c r="E53" i="70"/>
  <c r="E16" i="70" s="1"/>
  <c r="H31" i="17"/>
  <c r="H53" i="17"/>
  <c r="G19" i="57" l="1"/>
  <c r="I19" i="57" s="1"/>
  <c r="G16" i="70"/>
  <c r="G13" i="57"/>
  <c r="I13" i="57" s="1"/>
  <c r="G10" i="70"/>
  <c r="H54" i="17"/>
  <c r="E52" i="70" s="1"/>
  <c r="E54" i="70" s="1"/>
  <c r="E18" i="70" s="1"/>
  <c r="E25" i="70"/>
  <c r="H55" i="17"/>
  <c r="E27" i="70" l="1"/>
  <c r="E14" i="70" s="1"/>
  <c r="E8" i="70"/>
  <c r="G18" i="70"/>
  <c r="G20" i="57"/>
  <c r="I20" i="57" s="1"/>
  <c r="H43" i="66"/>
  <c r="G8" i="70" l="1"/>
  <c r="G10" i="57"/>
  <c r="I10" i="57" s="1"/>
  <c r="G17" i="57"/>
  <c r="I17" i="57" s="1"/>
  <c r="G14" i="70"/>
  <c r="H98" i="66"/>
  <c r="I100" i="66" s="1"/>
  <c r="G100" i="6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7" authorId="0" shapeId="0" xr:uid="{00000000-0006-0000-0E00-000001000000}">
      <text>
        <r>
          <rPr>
            <b/>
            <sz val="9"/>
            <color indexed="81"/>
            <rFont val="Tahoma"/>
            <family val="2"/>
          </rPr>
          <t>Author:</t>
        </r>
        <r>
          <rPr>
            <sz val="9"/>
            <color indexed="81"/>
            <rFont val="Tahoma"/>
            <family val="2"/>
          </rPr>
          <t xml:space="preserve">
To be filled in by Business Accounts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Ledger" description="Connection to the 'Ledger' query in the workbook." type="5" refreshedVersion="8" background="1" saveData="1">
    <dbPr connection="Provider=Microsoft.Mashup.OleDb.1;Data Source=$Workbook$;Location=Ledger;Extended Properties=&quot;&quot;" command="SELECT * FROM [Ledge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<sst xmlns="http://schemas.openxmlformats.org/spreadsheetml/2006/main" count="1483" uniqueCount="794">
  <si>
    <t>Particulars</t>
  </si>
  <si>
    <t>EQUITY AND LIABILITIES</t>
  </si>
  <si>
    <t>TOTAL</t>
  </si>
  <si>
    <t>ASSETS</t>
  </si>
  <si>
    <t>Expenses</t>
  </si>
  <si>
    <t xml:space="preserve"> </t>
  </si>
  <si>
    <t>A</t>
  </si>
  <si>
    <t>Extraordinary items</t>
  </si>
  <si>
    <t>For RAMANUJAM and BOOVARAHAN</t>
  </si>
  <si>
    <t>For and on behalf of the Board of Directors</t>
  </si>
  <si>
    <t>Chartered Accountants</t>
  </si>
  <si>
    <t>Other Expenses</t>
  </si>
  <si>
    <t>Place:</t>
  </si>
  <si>
    <t>Other Current Liabilities</t>
  </si>
  <si>
    <t>Cash and Cash Equivalents</t>
  </si>
  <si>
    <t>Note No.</t>
  </si>
  <si>
    <t>Share Capital</t>
  </si>
  <si>
    <t>Reserves and Surplus</t>
  </si>
  <si>
    <t>Money Received against Share Warrants</t>
  </si>
  <si>
    <t>Share Application Money Pending Allotment</t>
  </si>
  <si>
    <t>Non-Current Liabilities</t>
  </si>
  <si>
    <t>Long-Term Borrowings</t>
  </si>
  <si>
    <t>Deferred Tax Liabilities (Net)</t>
  </si>
  <si>
    <t>Other Long Term Liabilities</t>
  </si>
  <si>
    <t>Long-Term Provisions</t>
  </si>
  <si>
    <t>Current Liabilities</t>
  </si>
  <si>
    <t>Short-Term Borrowings</t>
  </si>
  <si>
    <t>Trade Payables</t>
  </si>
  <si>
    <t>(A)</t>
  </si>
  <si>
    <t>(B)</t>
  </si>
  <si>
    <t>Total Outstanding Dues of Creditors other then Micro Enterprises.and Small Enterprises</t>
  </si>
  <si>
    <t>Short-Term Provisions</t>
  </si>
  <si>
    <t>Property, Plant and Equipment</t>
  </si>
  <si>
    <t>Tangible Assets</t>
  </si>
  <si>
    <t>Intangible Assets</t>
  </si>
  <si>
    <t>Capital Work-in-Progress</t>
  </si>
  <si>
    <t>Intangible Assets Under Development</t>
  </si>
  <si>
    <t>Non-Current Investments</t>
  </si>
  <si>
    <t>Deferred Tax Assets (net)</t>
  </si>
  <si>
    <t>Long-Term Loans and Advances</t>
  </si>
  <si>
    <t>Current Assets</t>
  </si>
  <si>
    <t>Current Investments</t>
  </si>
  <si>
    <t>Inventories</t>
  </si>
  <si>
    <t>Trade Receivables</t>
  </si>
  <si>
    <t>Short-Term Loans and Advances</t>
  </si>
  <si>
    <t>Other Current Assets</t>
  </si>
  <si>
    <t>The accompanying notes are an integral part of the financial statements.</t>
  </si>
  <si>
    <t>As per our report of even date</t>
  </si>
  <si>
    <t>(FRN: 02945S)</t>
  </si>
  <si>
    <t>CHENNAI</t>
  </si>
  <si>
    <t xml:space="preserve">Date: </t>
  </si>
  <si>
    <t xml:space="preserve">UDIN: </t>
  </si>
  <si>
    <t>Revenue from Operations</t>
  </si>
  <si>
    <t>Other Income</t>
  </si>
  <si>
    <t xml:space="preserve">Total Revenue </t>
  </si>
  <si>
    <t>Employee Benefits Expense</t>
  </si>
  <si>
    <t>Finance Cost</t>
  </si>
  <si>
    <t>Depreciation and Amortisation Expense</t>
  </si>
  <si>
    <t>Total Expense</t>
  </si>
  <si>
    <t>Profit Before Exceptional and Extraordinary items and Tax</t>
  </si>
  <si>
    <t>Exceptional items</t>
  </si>
  <si>
    <t>Profit Before Extraordinary and Prior Period Items and Tax</t>
  </si>
  <si>
    <t>Prior Period Items</t>
  </si>
  <si>
    <t xml:space="preserve">Profit Before Tax </t>
  </si>
  <si>
    <t>Tax Expense</t>
  </si>
  <si>
    <t>Current Tax</t>
  </si>
  <si>
    <t>Deferred Tax</t>
  </si>
  <si>
    <t>Excess / Short Provision Relating Earlier Year Tax</t>
  </si>
  <si>
    <t>Total Tax</t>
  </si>
  <si>
    <t xml:space="preserve">Profit (Loss) for the Period </t>
  </si>
  <si>
    <t>Earnings Per Equity Sshare:</t>
  </si>
  <si>
    <t>Basic</t>
  </si>
  <si>
    <t>Before Extraordinary Items</t>
  </si>
  <si>
    <t>After Extraordinary Adjustment</t>
  </si>
  <si>
    <t>Authorised</t>
  </si>
  <si>
    <t>Issued</t>
  </si>
  <si>
    <t>Subscribed and Fully Paid Up</t>
  </si>
  <si>
    <t>Non-Current Assets</t>
  </si>
  <si>
    <t>Number</t>
  </si>
  <si>
    <t>Amount</t>
  </si>
  <si>
    <t>Shares outstanding at the beginning of the period</t>
  </si>
  <si>
    <t>Shares issued during the period</t>
  </si>
  <si>
    <t>Shares bought back during the period</t>
  </si>
  <si>
    <t>Shares outstanding at the end of the period</t>
  </si>
  <si>
    <t>Number of Shares held</t>
  </si>
  <si>
    <t>Percentage of Holding</t>
  </si>
  <si>
    <t>Before Extraordinary items</t>
  </si>
  <si>
    <t>After Extraordinary items</t>
  </si>
  <si>
    <t xml:space="preserve">Profit after Tax (A) </t>
  </si>
  <si>
    <t>Weighted average number of equity shares outsstanding (B)</t>
  </si>
  <si>
    <t>Basic Earnings per share (A/B)</t>
  </si>
  <si>
    <t>Diluted</t>
  </si>
  <si>
    <t xml:space="preserve">Profit after Tax (C) </t>
  </si>
  <si>
    <t>Weighted average number of equity shares outsstanding (D)</t>
  </si>
  <si>
    <t>Basic Earnings per share (C/D)</t>
  </si>
  <si>
    <t>Opening Balance</t>
  </si>
  <si>
    <t>Closing Balance</t>
  </si>
  <si>
    <t>Total</t>
  </si>
  <si>
    <t xml:space="preserve">   Other Outstanding Liabilities</t>
  </si>
  <si>
    <t>10,000 Equity shares of Rs. 10/- each</t>
  </si>
  <si>
    <t>Other expenses</t>
  </si>
  <si>
    <t>CIN:U11100TN2020OPC135994</t>
  </si>
  <si>
    <t>N R Boovarahan</t>
  </si>
  <si>
    <t>Vasudevan V</t>
  </si>
  <si>
    <t>Asset</t>
  </si>
  <si>
    <t>Useful Life (in years)</t>
  </si>
  <si>
    <t>Gross Block</t>
  </si>
  <si>
    <t xml:space="preserve">Accumulated Depreciation </t>
  </si>
  <si>
    <t>Net Block</t>
  </si>
  <si>
    <t>Additions during the period</t>
  </si>
  <si>
    <t>Deletion during the period</t>
  </si>
  <si>
    <t>Provided for the period</t>
  </si>
  <si>
    <t>Category of Asset</t>
  </si>
  <si>
    <t>Name of Asset</t>
  </si>
  <si>
    <t>Date of Purchase
(dd/mm/yyyy)</t>
  </si>
  <si>
    <t>Life</t>
  </si>
  <si>
    <t>Scrap Value (5% of Original Cost)</t>
  </si>
  <si>
    <t>Remarks</t>
  </si>
  <si>
    <t>Computer</t>
  </si>
  <si>
    <t>Unsecured loan from Director</t>
  </si>
  <si>
    <t>HDFC Bank Current A/c</t>
  </si>
  <si>
    <t>ICICI Bank Current A/c</t>
  </si>
  <si>
    <t>Third Bridge</t>
  </si>
  <si>
    <t>Avis Enertech</t>
  </si>
  <si>
    <t>Infinitalab</t>
  </si>
  <si>
    <t>Usman Ali Khan</t>
  </si>
  <si>
    <t>Roc Filing Exp</t>
  </si>
  <si>
    <t>Sale of Service</t>
  </si>
  <si>
    <t>S No</t>
  </si>
  <si>
    <t>Invoice No</t>
  </si>
  <si>
    <t>Party Name</t>
  </si>
  <si>
    <t>Date of Invoice</t>
  </si>
  <si>
    <t>Date of receipt</t>
  </si>
  <si>
    <t>Amount Received in Bank</t>
  </si>
  <si>
    <t>Invoice Value in Rs.</t>
  </si>
  <si>
    <t>Invoice Value</t>
  </si>
  <si>
    <t>Exchange rate</t>
  </si>
  <si>
    <t>TDS</t>
  </si>
  <si>
    <t>CH202102AV</t>
  </si>
  <si>
    <t>CH202103AV</t>
  </si>
  <si>
    <t>T400821622</t>
  </si>
  <si>
    <t>T409471436</t>
  </si>
  <si>
    <t>T415500978</t>
  </si>
  <si>
    <t>T409471442</t>
  </si>
  <si>
    <t>T423261749</t>
  </si>
  <si>
    <t>Infinitalab (USA)</t>
  </si>
  <si>
    <t>Jan ng Anna</t>
  </si>
  <si>
    <t xml:space="preserve">T429500160 </t>
  </si>
  <si>
    <t>IG Petrochem</t>
  </si>
  <si>
    <t>T433046958</t>
  </si>
  <si>
    <t>T435022339</t>
  </si>
  <si>
    <t>T441863783</t>
  </si>
  <si>
    <t>T447608594</t>
  </si>
  <si>
    <t>T449115329</t>
  </si>
  <si>
    <t>T450002021</t>
  </si>
  <si>
    <t>James R Grable</t>
  </si>
  <si>
    <t>T451672954</t>
  </si>
  <si>
    <t>T453826015</t>
  </si>
  <si>
    <t>T459684693</t>
  </si>
  <si>
    <t>T453826019</t>
  </si>
  <si>
    <t>T450002025</t>
  </si>
  <si>
    <t xml:space="preserve">NAME OF ASSESSEE : CHEMGRO BIOENERGY SOLUTIONS (OPC) PRIVATE LIMITED (10001) PAN NO : AAICC7744A  ASSESSMENT YEAR : 2022-2023 </t>
  </si>
  <si>
    <r>
      <t xml:space="preserve">Name of person who deducted tax
</t>
    </r>
    <r>
      <rPr>
        <sz val="10"/>
        <color indexed="14"/>
        <rFont val="Arial"/>
        <family val="2"/>
      </rPr>
      <t>(1)</t>
    </r>
  </si>
  <si>
    <r>
      <t xml:space="preserve">Address of person who deducted tax
</t>
    </r>
    <r>
      <rPr>
        <b/>
        <sz val="10"/>
        <color indexed="14"/>
        <rFont val="Arial"/>
        <family val="2"/>
      </rPr>
      <t>(2)</t>
    </r>
  </si>
  <si>
    <r>
      <t xml:space="preserve">City
</t>
    </r>
    <r>
      <rPr>
        <b/>
        <sz val="10"/>
        <color indexed="14"/>
        <rFont val="Arial"/>
        <family val="2"/>
      </rPr>
      <t>(3)</t>
    </r>
  </si>
  <si>
    <r>
      <t xml:space="preserve">State
</t>
    </r>
    <r>
      <rPr>
        <b/>
        <sz val="10"/>
        <color indexed="14"/>
        <rFont val="Arial"/>
        <family val="2"/>
      </rPr>
      <t>(4)</t>
    </r>
  </si>
  <si>
    <r>
      <t xml:space="preserve">PinCode
</t>
    </r>
    <r>
      <rPr>
        <b/>
        <sz val="10"/>
        <color indexed="14"/>
        <rFont val="Arial"/>
        <family val="2"/>
      </rPr>
      <t>(5)</t>
    </r>
  </si>
  <si>
    <r>
      <t xml:space="preserve">Date of payment/ credit
</t>
    </r>
    <r>
      <rPr>
        <sz val="10"/>
        <color indexed="14"/>
        <rFont val="Arial"/>
        <family val="2"/>
      </rPr>
      <t>(6)</t>
    </r>
  </si>
  <si>
    <r>
      <t xml:space="preserve">Amount paid/ credited (Rs.)
</t>
    </r>
    <r>
      <rPr>
        <sz val="10"/>
        <color indexed="14"/>
        <rFont val="Arial"/>
        <family val="2"/>
      </rPr>
      <t>(7)</t>
    </r>
  </si>
  <si>
    <r>
      <t xml:space="preserve">Tax deducted inclu. surcharge and edu. cess
</t>
    </r>
    <r>
      <rPr>
        <sz val="10"/>
        <color indexed="14"/>
        <rFont val="Arial"/>
        <family val="2"/>
      </rPr>
      <t>(8)</t>
    </r>
  </si>
  <si>
    <r>
      <t xml:space="preserve">Amount out of (8) to be allowed as credit during the year
</t>
    </r>
    <r>
      <rPr>
        <sz val="11"/>
        <color indexed="14"/>
        <rFont val="Arial"/>
        <family val="2"/>
      </rPr>
      <t>(9)</t>
    </r>
  </si>
  <si>
    <r>
      <t xml:space="preserve">Tax deduction A/C No. of the deductor
</t>
    </r>
    <r>
      <rPr>
        <sz val="10"/>
        <color indexed="14"/>
        <rFont val="Arial"/>
        <family val="2"/>
      </rPr>
      <t>(10)</t>
    </r>
  </si>
  <si>
    <r>
      <t xml:space="preserve">Unique Cer. Number (Exact 6 Character)
</t>
    </r>
    <r>
      <rPr>
        <sz val="10"/>
        <color indexed="14"/>
        <rFont val="Arial"/>
        <family val="2"/>
      </rPr>
      <t>(11)</t>
    </r>
  </si>
  <si>
    <r>
      <t xml:space="preserve">Financial Year in which TDS is Deducted (e.g. For FY 2011-12 Fill 2011)
</t>
    </r>
    <r>
      <rPr>
        <sz val="10"/>
        <color indexed="14"/>
        <rFont val="Arial"/>
        <family val="2"/>
      </rPr>
      <t>(12)</t>
    </r>
  </si>
  <si>
    <r>
      <t xml:space="preserve">Amount out of (7) In hand of Spouse/Other Income
</t>
    </r>
    <r>
      <rPr>
        <sz val="10"/>
        <color indexed="14"/>
        <rFont val="Arial"/>
        <family val="2"/>
      </rPr>
      <t>(13)</t>
    </r>
  </si>
  <si>
    <r>
      <t xml:space="preserve">Amount out of (8) (Tax Deducted In hand of Spouse/Other Income)
</t>
    </r>
    <r>
      <rPr>
        <sz val="10"/>
        <color indexed="14"/>
        <rFont val="Arial"/>
        <family val="2"/>
      </rPr>
      <t>(14)</t>
    </r>
  </si>
  <si>
    <r>
      <t xml:space="preserve">Amount out of (9) (Tax Claimed In hand of Spouse/Other Income)
</t>
    </r>
    <r>
      <rPr>
        <sz val="10"/>
        <color indexed="14"/>
        <rFont val="Arial"/>
        <family val="2"/>
      </rPr>
      <t>(15)</t>
    </r>
  </si>
  <si>
    <r>
      <t xml:space="preserve">Spouse/Other PAN
</t>
    </r>
    <r>
      <rPr>
        <sz val="10"/>
        <color indexed="14"/>
        <rFont val="Arial"/>
        <family val="2"/>
      </rPr>
      <t>(16)</t>
    </r>
  </si>
  <si>
    <r>
      <t xml:space="preserve">Section
</t>
    </r>
    <r>
      <rPr>
        <sz val="10"/>
        <color indexed="14"/>
        <rFont val="Arial"/>
        <family val="2"/>
      </rPr>
      <t>(17)</t>
    </r>
  </si>
  <si>
    <r>
      <t xml:space="preserve">Head of income
</t>
    </r>
    <r>
      <rPr>
        <sz val="10"/>
        <color indexed="14"/>
        <rFont val="Arial"/>
        <family val="2"/>
      </rPr>
      <t>(18)</t>
    </r>
  </si>
  <si>
    <r>
      <t xml:space="preserve">Aadhar No. Tenant
</t>
    </r>
    <r>
      <rPr>
        <sz val="10"/>
        <color indexed="14"/>
        <rFont val="Arial"/>
        <family val="2"/>
      </rPr>
      <t>(19)</t>
    </r>
  </si>
  <si>
    <r>
      <t xml:space="preserve">Aadhar No. Spouse/Other
</t>
    </r>
    <r>
      <rPr>
        <sz val="10"/>
        <color indexed="14"/>
        <rFont val="Arial"/>
        <family val="2"/>
      </rPr>
      <t>(20)</t>
    </r>
  </si>
  <si>
    <t xml:space="preserve">AVIS ENERTECH PRIVATE LIMITED </t>
  </si>
  <si>
    <t>01-Jun-2021</t>
  </si>
  <si>
    <t xml:space="preserve">CHEA19221G </t>
  </si>
  <si>
    <t xml:space="preserve">0 </t>
  </si>
  <si>
    <t xml:space="preserve">194JB </t>
  </si>
  <si>
    <t>23-Jun-2021</t>
  </si>
  <si>
    <t xml:space="preserve">THIRD BRIDGE INDIA PRIVATE LIMITED </t>
  </si>
  <si>
    <t xml:space="preserve">DELC13005G </t>
  </si>
  <si>
    <t>31-Oct-2021</t>
  </si>
  <si>
    <t xml:space="preserve">UPWORK GLOBAL INC </t>
  </si>
  <si>
    <t>27-Jul-2021</t>
  </si>
  <si>
    <t xml:space="preserve">DELU07765C </t>
  </si>
  <si>
    <t xml:space="preserve">194O </t>
  </si>
  <si>
    <t>31-Aug-2021</t>
  </si>
  <si>
    <t>26-Sep-2021</t>
  </si>
  <si>
    <t>25-Oct-2021</t>
  </si>
  <si>
    <t>16-Nov-2021</t>
  </si>
  <si>
    <t>28-Nov-2021</t>
  </si>
  <si>
    <t>30-Nov-2021</t>
  </si>
  <si>
    <t>07-Dec-2021</t>
  </si>
  <si>
    <t>20-Dec-2021</t>
  </si>
  <si>
    <t>04-Jan-2022</t>
  </si>
  <si>
    <t>27-Jan-2022</t>
  </si>
  <si>
    <t>01-Feb-2022</t>
  </si>
  <si>
    <t>07-Feb-2022</t>
  </si>
  <si>
    <t>11-Feb-2022</t>
  </si>
  <si>
    <t>20-Feb-2022</t>
  </si>
  <si>
    <t>11-Mar-2022</t>
  </si>
  <si>
    <t>12-Mar-2022</t>
  </si>
  <si>
    <t>Computation of Professional Fee Paid</t>
  </si>
  <si>
    <t>T400821624</t>
  </si>
  <si>
    <t>Upwork Global</t>
  </si>
  <si>
    <t>T409471440</t>
  </si>
  <si>
    <t>T409471444</t>
  </si>
  <si>
    <t>T415500980</t>
  </si>
  <si>
    <t>T423261759</t>
  </si>
  <si>
    <t>T429500162</t>
  </si>
  <si>
    <t>T432026492</t>
  </si>
  <si>
    <t>T433046960</t>
  </si>
  <si>
    <t>T435022341</t>
  </si>
  <si>
    <t>T437690387</t>
  </si>
  <si>
    <t>T441863785</t>
  </si>
  <si>
    <t>T447608596</t>
  </si>
  <si>
    <t>T449115332</t>
  </si>
  <si>
    <t>T450002023</t>
  </si>
  <si>
    <t>T450002027</t>
  </si>
  <si>
    <t>T451672959</t>
  </si>
  <si>
    <t>T453826017</t>
  </si>
  <si>
    <t>T453826021</t>
  </si>
  <si>
    <t>T459684695</t>
  </si>
  <si>
    <t>Foreign Exchange fluctuation</t>
  </si>
  <si>
    <t>FD Interest</t>
  </si>
  <si>
    <t>Sundry Debtors</t>
  </si>
  <si>
    <t>Depreciation</t>
  </si>
  <si>
    <t>No invoice and not debited in bank but reflected in TDS</t>
  </si>
  <si>
    <t>.</t>
  </si>
  <si>
    <t>Upwork Commission</t>
  </si>
  <si>
    <t xml:space="preserve">Amount Receivable </t>
  </si>
  <si>
    <t>Have Invoice and not reflected in bank and TDS</t>
  </si>
  <si>
    <t>To be provided in P&amp;L</t>
  </si>
  <si>
    <t>Net Deferred Tax Asset</t>
  </si>
  <si>
    <t>Gratuity Payable</t>
  </si>
  <si>
    <t>Depreciation as per Income Tax Act</t>
  </si>
  <si>
    <t>Depreciation as per Books</t>
  </si>
  <si>
    <t>Fixed Assets</t>
  </si>
  <si>
    <t>Amount (In Rs.)</t>
  </si>
  <si>
    <t>Calculation of Deferred Tax</t>
  </si>
  <si>
    <t xml:space="preserve">Plot no:1&amp;2, Vimala Gardens , East coast road . </t>
  </si>
  <si>
    <t>Injambakkam , Chennai - 600115 ,Tamil Nadu, India.</t>
  </si>
  <si>
    <t>Chemgro Bioenergy Solutions (OPC) Private Limited</t>
  </si>
  <si>
    <t xml:space="preserve"> Chennai - 600115 ,Tamil Nadu, India.</t>
  </si>
  <si>
    <t>Plot no:1&amp;2, Vimala Gardens , East coast road, Injambakkam.</t>
  </si>
  <si>
    <t xml:space="preserve">Membership No.: 053073                                               </t>
  </si>
  <si>
    <t xml:space="preserve">Partner                                                                                     </t>
  </si>
  <si>
    <t xml:space="preserve">DIN: 08773250    </t>
  </si>
  <si>
    <t xml:space="preserve">Director         </t>
  </si>
  <si>
    <t xml:space="preserve">Total </t>
  </si>
  <si>
    <t>Cash at Bank</t>
  </si>
  <si>
    <t>Total Outstanding Dues of Micro Enterprises and Small Enterprises</t>
  </si>
  <si>
    <t xml:space="preserve"> Professional Fee</t>
  </si>
  <si>
    <t>Deferred tax Asset on Disallowances As per Sec 43 B Disallowances</t>
  </si>
  <si>
    <t>Addition on account of business
acquisition</t>
  </si>
  <si>
    <t>Deletion / 
adjustments during the
period</t>
  </si>
  <si>
    <t>Rent</t>
  </si>
  <si>
    <t>Rate as per Companies Act 2013</t>
  </si>
  <si>
    <t xml:space="preserve">Assets w/o Date </t>
  </si>
  <si>
    <t xml:space="preserve">Purchase Amount </t>
  </si>
  <si>
    <t>Remaining Useful Life</t>
  </si>
  <si>
    <t>Existing Assets</t>
  </si>
  <si>
    <t>Office Equipment</t>
  </si>
  <si>
    <t>Moto - G82</t>
  </si>
  <si>
    <t>Own Assets</t>
  </si>
  <si>
    <t xml:space="preserve">S. No. </t>
  </si>
  <si>
    <t>Name of the Asset</t>
  </si>
  <si>
    <t>Rate</t>
  </si>
  <si>
    <t>Additions</t>
  </si>
  <si>
    <t>Deletions</t>
  </si>
  <si>
    <t>Total Depreciation</t>
  </si>
  <si>
    <t>More than 180 Days</t>
  </si>
  <si>
    <t>Less than 180 Days</t>
  </si>
  <si>
    <t>Out of Opening and Addition (more than 180 days)</t>
  </si>
  <si>
    <t>Out of Addition (less than 180 days)</t>
  </si>
  <si>
    <t>Office Equipments &amp; Motor Car</t>
  </si>
  <si>
    <t>Computer &amp; Software</t>
  </si>
  <si>
    <t>&gt; 180 days</t>
  </si>
  <si>
    <t>&lt; 180 days</t>
  </si>
  <si>
    <t>Computers</t>
  </si>
  <si>
    <t>Deletion</t>
  </si>
  <si>
    <t>Office Equpments</t>
  </si>
  <si>
    <t>Surcharge @ 10%</t>
  </si>
  <si>
    <t>HEC @ 4%</t>
  </si>
  <si>
    <t>Tax Rate @ 22%</t>
  </si>
  <si>
    <t>Registration charges</t>
  </si>
  <si>
    <t>Audit fee payable</t>
  </si>
  <si>
    <t>Promoter Name</t>
  </si>
  <si>
    <t>Percentage Change during the year</t>
  </si>
  <si>
    <t>Significant Accounting Policies</t>
  </si>
  <si>
    <t xml:space="preserve">See accompanying notes to the Financial Statements </t>
  </si>
  <si>
    <t>Deferred Tax Liability</t>
  </si>
  <si>
    <t>Gratuity</t>
  </si>
  <si>
    <t>Gross Deferred Tax Liability</t>
  </si>
  <si>
    <t>Deferred Tax Asset</t>
  </si>
  <si>
    <t>Gross Deferred Tax Asset</t>
  </si>
  <si>
    <t>Net Deferred Tax Liability</t>
  </si>
  <si>
    <t>Outstanding for more than six months</t>
  </si>
  <si>
    <t>a) Secured, considered good</t>
  </si>
  <si>
    <t>b) Unsecured, considered good</t>
  </si>
  <si>
    <t>c) Doubtful</t>
  </si>
  <si>
    <t>Others</t>
  </si>
  <si>
    <t>AY 23-24</t>
  </si>
  <si>
    <t>Provision for  taxation</t>
  </si>
  <si>
    <t>Interest on IT refund</t>
  </si>
  <si>
    <t xml:space="preserve"> Audit fee</t>
  </si>
  <si>
    <t xml:space="preserve">PAN: </t>
  </si>
  <si>
    <t>Assessment Year</t>
  </si>
  <si>
    <t>Date of Incorporation</t>
  </si>
  <si>
    <t>Has the Company Opted for Section 115BAA?</t>
  </si>
  <si>
    <t>1)</t>
  </si>
  <si>
    <t>Income from Business or Profession (Chapter IV D)</t>
  </si>
  <si>
    <t>Profit as per Profit and Loss Account from Other Business</t>
  </si>
  <si>
    <t>Add: Depreciation debited in P&amp;L</t>
  </si>
  <si>
    <t>2)</t>
  </si>
  <si>
    <t>Income from Other Sources</t>
  </si>
  <si>
    <t xml:space="preserve">   (a) Interest Received on FD</t>
  </si>
  <si>
    <t xml:space="preserve">   (a) Interest on IT Refund</t>
  </si>
  <si>
    <t>Total Income</t>
  </si>
  <si>
    <t>Total Income Rounded Off U/s 288A</t>
  </si>
  <si>
    <t>Calculation of Tax as per IT Act</t>
  </si>
  <si>
    <t>Add: Surcharge @ 10% (Since the assessee has opted for Provisions of Section 115BAA)</t>
  </si>
  <si>
    <t>Less: TDS</t>
  </si>
  <si>
    <t>CHEMGRO BIOENERGY SOLUTIONS (OPC) PRIVATE LIMITED</t>
  </si>
  <si>
    <t>PLOT NO.1&amp;2,VIMALA GARDENS,EAST COAST ROAD</t>
  </si>
  <si>
    <t>INJAMBAKKAM,CHENNAI,CHENNAI,TAMILNADU,600115</t>
  </si>
  <si>
    <t>AAICC7744A</t>
  </si>
  <si>
    <t xml:space="preserve">Less: Depreciation as per Income Tax Act, 1961 </t>
  </si>
  <si>
    <t>Less: Interest Received</t>
  </si>
  <si>
    <t>Numerator</t>
  </si>
  <si>
    <t>Denominator</t>
  </si>
  <si>
    <t>Current Ratio</t>
  </si>
  <si>
    <t>Return on Equity Ratio</t>
  </si>
  <si>
    <t>Trade Receivables Turnover Ratio</t>
  </si>
  <si>
    <t>Net Capital Turnover Ratio</t>
  </si>
  <si>
    <t>Net Profit Ratio</t>
  </si>
  <si>
    <t>Profit After Tax</t>
  </si>
  <si>
    <t>Sales</t>
  </si>
  <si>
    <t>EBIT</t>
  </si>
  <si>
    <t>Shareholder's funds</t>
  </si>
  <si>
    <t xml:space="preserve">Revenue </t>
  </si>
  <si>
    <t>The amounts for the previous year have been regrouped wherever necessary</t>
  </si>
  <si>
    <t>Current Year Tax</t>
  </si>
  <si>
    <t xml:space="preserve">  Depreciation on Tangible Assets</t>
  </si>
  <si>
    <t xml:space="preserve">  Ammortisation of Intangible Assets</t>
  </si>
  <si>
    <t>Director</t>
  </si>
  <si>
    <t>Principal amount remaining unpaid to any supplier as at the end of the accounting year.</t>
  </si>
  <si>
    <t>Interest due thereon remaining unpaid to any supplier as at the end of the accounting year.</t>
  </si>
  <si>
    <t>The amount of interest paid along with the amounts of the payment made to the supplier beyond the appointed day</t>
  </si>
  <si>
    <t>The amount of interest due and payable for the year.</t>
  </si>
  <si>
    <t>The amount of interest accrued and remaining unpaid at the end of the accounting year.</t>
  </si>
  <si>
    <t>The amount of further interest due and payable even in the succeeding year, until such date when the interest dues as above are actually paid.</t>
  </si>
  <si>
    <t>The Company do not have any Benami property, where any proceeding has been initiated or pending against the Company for holding any Benami property.</t>
  </si>
  <si>
    <t>The Company do not have any transactions with companies struck off.</t>
  </si>
  <si>
    <t>The Company do not have any charges or satisfaction which is yet to be registered with ROC beyond the statutory period.</t>
  </si>
  <si>
    <t>The Company have not traded or invested in Crypto currency or Virtual Currency during the financial year.</t>
  </si>
  <si>
    <t>The company has no transactions which are not recorded in the books of accounts, that has been surrendered or disclosed as income during the year under the Income Tax Act, 1961. (such as Search or Survey under the Income Tax Act, 1961)</t>
  </si>
  <si>
    <t>The Company has complied with the number of layers prescribed under clause (87) of section 2 of the Act read with the Companies (Restriction on number of Layers) Rules, 2017.</t>
  </si>
  <si>
    <t xml:space="preserve">The Company have not advanced or loaned or invested funds to any other person(s) or entity(ies), including foreign entities (Intermediaries) with the understanding that the Intermediary shall: </t>
  </si>
  <si>
    <t>(a) directly or indirectly lend or invest in other persons or entities identified in any manner whatsoever by or on behalf of the Company (Ultimate Beneficiaries); or</t>
  </si>
  <si>
    <t>(b) provide any guarantee, security or the like to or on behalf of the Ultimate Beneficiaries.</t>
  </si>
  <si>
    <t xml:space="preserve">The Company have not received any fund from any person(s) or entity(ies), including foreign entities (Funding Party) with the understanding (whether recorded in writing or otherwise) that the Company shall: </t>
  </si>
  <si>
    <t>(a) directly or indirectly lend or invest in other persons or entities identified in any manner whatsoever by or on behalf of the Funding Party (Ultimate Beneficiaries); or</t>
  </si>
  <si>
    <t>(b) provide any guarantee, security or the like on behalf of the Ultimate Beneficiaries.</t>
  </si>
  <si>
    <t>The company is not declared as a wilful defaulter by any bank or financial Institution or other lender.</t>
  </si>
  <si>
    <t>of the Companies (Accounting Standard) Rules, 2006:-</t>
  </si>
  <si>
    <t xml:space="preserve">CIN : </t>
  </si>
  <si>
    <t>Relevant Para of the CARO 2020 - 3(xiii)</t>
  </si>
  <si>
    <t>Name</t>
  </si>
  <si>
    <t>Relation</t>
  </si>
  <si>
    <t>Purchase &amp; Labour Charges</t>
  </si>
  <si>
    <t>Interest Expenses</t>
  </si>
  <si>
    <t>Salary Expenses</t>
  </si>
  <si>
    <t>Salary To Director</t>
  </si>
  <si>
    <t>S.No.</t>
  </si>
  <si>
    <t>NIL</t>
  </si>
  <si>
    <t>Based on and to the extent of information received by the Company from the suppliers during the year regarding their status under the Micro Small and Medium Enterprises Development Act, 2006 (MSMED Act), the relevant particulars for the period ended March 31, 2022 is furnished below:</t>
  </si>
  <si>
    <t>U11100TN2020OPC135994</t>
  </si>
  <si>
    <t xml:space="preserve">In terms of our report attached. </t>
  </si>
  <si>
    <t>Outstanding for following periods from due date of payment</t>
  </si>
  <si>
    <t>Less than 6 months</t>
  </si>
  <si>
    <t>6 months -1 year</t>
  </si>
  <si>
    <t>1-2 years</t>
  </si>
  <si>
    <t>2-3 years</t>
  </si>
  <si>
    <t>More than 3 years</t>
  </si>
  <si>
    <t>(i) Undisputed Trade receivables -considered good</t>
  </si>
  <si>
    <t>(i) Undisputed Trade receivables -considered doubtful</t>
  </si>
  <si>
    <t>(iii) Disputed trade receivables  considered good</t>
  </si>
  <si>
    <t>(iv) Disputed trade receivables  considered doubtful</t>
  </si>
  <si>
    <t>Note No. 23 Other Statutory Information</t>
  </si>
  <si>
    <t>The Company has one class of equity shares having a par value of Rs. 10 per share. The equity shares are attached with voting rights. Each shareholder is eligible for one vote per share held. The dividend, if any, proposed by the Board of Directors during a year is subject to the approval of the shareholders in the Annual General Meeting,  except in case of interim dividend. In the event of liquidation, the equity shareholders are eligible to receive the remaining assets of the Company after distribution of all preferential amount, in proportion to their shareholding.</t>
  </si>
  <si>
    <t>Add: Net Profit / (Loss) for the Current Period</t>
  </si>
  <si>
    <t>Profit and Loss Account (Surplus)</t>
  </si>
  <si>
    <t>Balance carried to balance sheet</t>
  </si>
  <si>
    <t>Interest u/s 234 B</t>
  </si>
  <si>
    <t>Tax Due</t>
  </si>
  <si>
    <t>90% of Tax due</t>
  </si>
  <si>
    <t>Tax Paid (TDS, TCS and Advance Tax)</t>
  </si>
  <si>
    <t xml:space="preserve">Difference </t>
  </si>
  <si>
    <t xml:space="preserve">Interest @ 1% </t>
  </si>
  <si>
    <t>Interest u/s 234 C</t>
  </si>
  <si>
    <t>Due Date</t>
  </si>
  <si>
    <t xml:space="preserve">Assessable Tax </t>
  </si>
  <si>
    <t>Advance Tax Due</t>
  </si>
  <si>
    <t>Advance Tax Paid</t>
  </si>
  <si>
    <t>Balance Unpaid</t>
  </si>
  <si>
    <t>Interest on default</t>
  </si>
  <si>
    <t>Add: Interest u/s 234 B</t>
  </si>
  <si>
    <t>Add: Interest u/s 234 C</t>
  </si>
  <si>
    <t>Yes</t>
  </si>
  <si>
    <t xml:space="preserve"> Diluted</t>
  </si>
  <si>
    <t>Commission</t>
  </si>
  <si>
    <t>1 &amp; 2</t>
  </si>
  <si>
    <t>Note No. 3 Share Capital</t>
  </si>
  <si>
    <t xml:space="preserve">Note No. 3.1 Reconciliation of the shares outstanding at the beginning and at the end of the year </t>
  </si>
  <si>
    <t xml:space="preserve">Note No. 3.2 Rights, Preferences and Restrictions </t>
  </si>
  <si>
    <t>Note No. 3.3 Shares held be shareholders holding more than 5%</t>
  </si>
  <si>
    <t>Note No. 4 Reserves and Surplus</t>
  </si>
  <si>
    <t xml:space="preserve">Note No. 5 Deferred tax </t>
  </si>
  <si>
    <t xml:space="preserve">Note No 6: Provisions </t>
  </si>
  <si>
    <t>Note No. 7 Short Term Borrowings</t>
  </si>
  <si>
    <t>Note No. 9 Property, Plant and Equipment</t>
  </si>
  <si>
    <t xml:space="preserve">Note: Previous Year’s Figures                                                                                                  </t>
  </si>
  <si>
    <t xml:space="preserve">Note No 22 : Disclosure as required by Para 20 of Accounting Standard-AS 18 ”Related Parties” </t>
  </si>
  <si>
    <t>Note No 22.1 :Names of related parties and description of relationship :</t>
  </si>
  <si>
    <t>Note No. 24  Disclosures required under Section 22 of the Micro, Small and Medium Enterprises Development Act, 2006</t>
  </si>
  <si>
    <t>Note No. 25 Expenditure in Foreign Currency (Accrual Basis)</t>
  </si>
  <si>
    <t>Note No. 26 Earnings in Foreign Currency (Accrual Basis)</t>
  </si>
  <si>
    <t>Name:</t>
  </si>
  <si>
    <t xml:space="preserve">Registered Office Address: </t>
  </si>
  <si>
    <t>2024-25</t>
  </si>
  <si>
    <t>Sale amount</t>
  </si>
  <si>
    <t>Date of Sale</t>
  </si>
  <si>
    <t>AY 24-25</t>
  </si>
  <si>
    <t>% Change</t>
  </si>
  <si>
    <t>Foreign Income</t>
  </si>
  <si>
    <t>IT refund AY 22-23</t>
  </si>
  <si>
    <t>Bonus To Director</t>
  </si>
  <si>
    <t>Salary to Director</t>
  </si>
  <si>
    <t xml:space="preserve">     Export</t>
  </si>
  <si>
    <t xml:space="preserve">     Local</t>
  </si>
  <si>
    <t>Tax Relief u/s 90/91</t>
  </si>
  <si>
    <t>Indian Income</t>
  </si>
  <si>
    <t>Gross Total Income</t>
  </si>
  <si>
    <t xml:space="preserve">Deduction </t>
  </si>
  <si>
    <t>Tax on Total Income</t>
  </si>
  <si>
    <t>Education Cess</t>
  </si>
  <si>
    <t xml:space="preserve">Total Tax </t>
  </si>
  <si>
    <t>Average Rate of Tax</t>
  </si>
  <si>
    <t>Average tax on Foreign Income</t>
  </si>
  <si>
    <t>Tax Paid in Foreign Income</t>
  </si>
  <si>
    <t>Releif u/s 90</t>
  </si>
  <si>
    <t>Surcharge</t>
  </si>
  <si>
    <t>AY 2024-25</t>
  </si>
  <si>
    <t>Note No. 27  Notes Forming Part of Statement of Profit &amp; Loss</t>
  </si>
  <si>
    <t>WDV as on 31/03/2025</t>
  </si>
  <si>
    <t xml:space="preserve">Lenovo IdeaPad </t>
  </si>
  <si>
    <t>JBL Speaker</t>
  </si>
  <si>
    <t>Balance as at March 31, 2025</t>
  </si>
  <si>
    <t>Deferred Tax Asset at March 31, 2025</t>
  </si>
  <si>
    <t>Patent A/C</t>
  </si>
  <si>
    <t>Rounding Off</t>
  </si>
  <si>
    <t>Self Assessment Tax</t>
  </si>
  <si>
    <t>TDS AY 23-24</t>
  </si>
  <si>
    <t>TDS AY 24-25</t>
  </si>
  <si>
    <t>TDS AY 25-26</t>
  </si>
  <si>
    <t>Website A/C</t>
  </si>
  <si>
    <t>Withholding Tax</t>
  </si>
  <si>
    <t>AY 25-26</t>
  </si>
  <si>
    <t>Software Expenses</t>
  </si>
  <si>
    <t>Other expenses (Website)</t>
  </si>
  <si>
    <t xml:space="preserve"> Fines</t>
  </si>
  <si>
    <t>Printing &amp; Stationery</t>
  </si>
  <si>
    <t>Commission To Upwork</t>
  </si>
  <si>
    <t>2025-26</t>
  </si>
  <si>
    <t>Financial Year</t>
  </si>
  <si>
    <t>Add : Health &amp; Educational Cess</t>
  </si>
  <si>
    <t>As at March 31, 2025</t>
  </si>
  <si>
    <t>For the year ended March 31, 2025</t>
  </si>
  <si>
    <t>31st March 2025</t>
  </si>
  <si>
    <t>Rental Deposit</t>
  </si>
  <si>
    <t>(Being Audit Fees Provision Made)</t>
  </si>
  <si>
    <t>N R BOOVARAHAN</t>
  </si>
  <si>
    <t>WDV as at 31 March 2025</t>
  </si>
  <si>
    <t>Loan From Director</t>
  </si>
  <si>
    <t>Loan Outstandings</t>
  </si>
  <si>
    <t>Balance Sheet as at 31st March 2026</t>
  </si>
  <si>
    <t>As at March 31, 2026</t>
  </si>
  <si>
    <t>Note No. 3.4 Shares held by promoters at the end of the year 31st March 2026</t>
  </si>
  <si>
    <t>Current Year</t>
  </si>
  <si>
    <t xml:space="preserve">Debit </t>
  </si>
  <si>
    <t xml:space="preserve">Credit </t>
  </si>
  <si>
    <t xml:space="preserve">   Share Capital</t>
  </si>
  <si>
    <t xml:space="preserve">   Reserves and Surplus</t>
  </si>
  <si>
    <t xml:space="preserve">   Sundry Creditors</t>
  </si>
  <si>
    <t xml:space="preserve">   Audit fee payable</t>
  </si>
  <si>
    <t>Deferred tax</t>
  </si>
  <si>
    <t xml:space="preserve">   Deferred Tax Assets</t>
  </si>
  <si>
    <t xml:space="preserve">   Sundry Debtors</t>
  </si>
  <si>
    <t xml:space="preserve">   HDFC</t>
  </si>
  <si>
    <t xml:space="preserve">   ICICI</t>
  </si>
  <si>
    <t>Professional Fees</t>
  </si>
  <si>
    <t>Audit Fees</t>
  </si>
  <si>
    <t>Salary</t>
  </si>
  <si>
    <t>Property Plant &amp; Equipment</t>
  </si>
  <si>
    <t>Forex Gain</t>
  </si>
  <si>
    <t>ICICI Bank Charges</t>
  </si>
  <si>
    <t>Communication Expense</t>
  </si>
  <si>
    <t xml:space="preserve">Rent </t>
  </si>
  <si>
    <t>Software</t>
  </si>
  <si>
    <t>Stationery</t>
  </si>
  <si>
    <t xml:space="preserve">   Loan Payable</t>
  </si>
  <si>
    <t>Notes forming part of the Financial Statements for the Year ended March 31, 2026</t>
  </si>
  <si>
    <t>Notes forming part of the Financial Statements for the Year ended 31 March 2026</t>
  </si>
  <si>
    <t>Trade Receivables ageing schedule as at 31st March,2026</t>
  </si>
  <si>
    <t>Note No 22.2 :Transactions with related parties for the year ended March 31, 2026</t>
  </si>
  <si>
    <t>Note No 22.3 :Balance Outstanding  with related parties for the year ended March 31, 2026</t>
  </si>
  <si>
    <t>31st March 2026</t>
  </si>
  <si>
    <t>For the year ended March 31, 2026</t>
  </si>
  <si>
    <t>Statement of Profit and Loss for the year ended March 31, 2026</t>
  </si>
  <si>
    <t>Trial Balance as at March 2026</t>
  </si>
  <si>
    <t>Loss on Foreign Exchange Fluctuation</t>
  </si>
  <si>
    <t xml:space="preserve">                                          -</t>
  </si>
  <si>
    <t>Balance as at April 01, 2025</t>
  </si>
  <si>
    <t>Balance as at March 31, 2026</t>
  </si>
  <si>
    <t>WDV as on 31/03/2026</t>
  </si>
  <si>
    <t>Depreciation for FY 2025-26</t>
  </si>
  <si>
    <t>Trade Receivables ageing schedule as at 31st March,2025</t>
  </si>
  <si>
    <t xml:space="preserve">                                  -</t>
  </si>
  <si>
    <t xml:space="preserve">                      -</t>
  </si>
  <si>
    <t>Opening Deferred Tax Asset at March 31, 2025</t>
  </si>
  <si>
    <t>A Y 2025-26</t>
  </si>
  <si>
    <t>Other Non Current Assets</t>
  </si>
  <si>
    <t>WDV as at 31 March 2026</t>
  </si>
  <si>
    <t>Lenovo IdeaPad Slim</t>
  </si>
  <si>
    <t xml:space="preserve">  28-12-2022</t>
  </si>
  <si>
    <t>FY 2025-26</t>
  </si>
  <si>
    <r>
      <t xml:space="preserve"> </t>
    </r>
    <r>
      <rPr>
        <sz val="12"/>
        <color theme="1"/>
        <rFont val="Cambria"/>
        <family val="1"/>
        <scheme val="major"/>
      </rPr>
      <t>28-12-2022</t>
    </r>
  </si>
  <si>
    <t>Dell Inspiron 3521 laptop</t>
  </si>
  <si>
    <t xml:space="preserve">                       -</t>
  </si>
  <si>
    <t xml:space="preserve">                 -</t>
  </si>
  <si>
    <t>ADJUSTMENT ENTRIES</t>
  </si>
  <si>
    <t>Depreciation a/c          Dr.</t>
  </si>
  <si>
    <t>Depreciation a/c         Dr.</t>
  </si>
  <si>
    <t xml:space="preserve">    To Computer a/c</t>
  </si>
  <si>
    <t xml:space="preserve">    To Office equipment a/c</t>
  </si>
  <si>
    <t>(Being Depreciation provided for the FY 25-26)</t>
  </si>
  <si>
    <t>(Being Deferred Tax for the FY 2025-26)</t>
  </si>
  <si>
    <t xml:space="preserve">    To provison for taxation FY 25-26</t>
  </si>
  <si>
    <t>(Being provision created for the FY 25-26)</t>
  </si>
  <si>
    <t>AY 26-27</t>
  </si>
  <si>
    <t xml:space="preserve">      To ICICI Bank a/c</t>
  </si>
  <si>
    <t>HDFC Bank a/c             Dr.</t>
  </si>
  <si>
    <t>ICICI Bankcharges a/c        Dr.</t>
  </si>
  <si>
    <t>ICICI Bankcharges a/c    Dr.</t>
  </si>
  <si>
    <t xml:space="preserve">     To ICICI Bank a/c</t>
  </si>
  <si>
    <t xml:space="preserve">   Trade Receivables</t>
  </si>
  <si>
    <t>ADOBE A/C</t>
  </si>
  <si>
    <t>AIRTEL A/C</t>
  </si>
  <si>
    <t>ALGOPAGE A/C</t>
  </si>
  <si>
    <t>CHENNAI TRAVELS A/C</t>
  </si>
  <si>
    <t>DOTCOWORKS A/C</t>
  </si>
  <si>
    <t>EMUDHRA A/C</t>
  </si>
  <si>
    <t>FREELANCERCOM A/C</t>
  </si>
  <si>
    <t>HP INDIA A/C</t>
  </si>
  <si>
    <t>McAfee A/C</t>
  </si>
  <si>
    <t>PVtools A/c</t>
  </si>
  <si>
    <t>RAMANUJAM &amp; BOOVARAHAN A/C</t>
  </si>
  <si>
    <t>RBJV ASSOCIATES A/C</t>
  </si>
  <si>
    <t>SAKTHI TALLY A/C</t>
  </si>
  <si>
    <t>UPWORKS A/C</t>
  </si>
  <si>
    <t>Self Assesment Tax paid AY 2025-26</t>
  </si>
  <si>
    <t>Breakup for Income tax provision to be check from last year</t>
  </si>
  <si>
    <t>Provision for Taxation AY 23-24</t>
  </si>
  <si>
    <t>Director Loan Repaid to be added under Ralated party transcation</t>
  </si>
  <si>
    <t>What is the Trade Receivable</t>
  </si>
  <si>
    <t>Narration to be made</t>
  </si>
  <si>
    <t xml:space="preserve">Audit Fees A/c </t>
  </si>
  <si>
    <t>Breakup for Other Current Asset</t>
  </si>
  <si>
    <t>Rental Depsit</t>
  </si>
  <si>
    <t>Self assesment Tax AY 23-24</t>
  </si>
  <si>
    <t>Self assesment Tax AY 24-25</t>
  </si>
  <si>
    <t>Upwards FCTR</t>
  </si>
  <si>
    <t>Self Assesment Tax paid AY 2023-24</t>
  </si>
  <si>
    <t>Self Assesment Tax paid AY 2024-25</t>
  </si>
  <si>
    <t>Provision for taxation AY 23-24</t>
  </si>
  <si>
    <t>Provision for taxation AY 24-25</t>
  </si>
  <si>
    <t>Provision for taxation AY 25-26</t>
  </si>
  <si>
    <t>Opening balance for PPE Rs.100 to be add</t>
  </si>
  <si>
    <t>Profit and Loss a/c</t>
  </si>
  <si>
    <t xml:space="preserve">    To Deferred Tax assets  a/c.</t>
  </si>
  <si>
    <t>Deffered Tax</t>
  </si>
  <si>
    <t>Provision for taxation AY 26-27</t>
  </si>
  <si>
    <t xml:space="preserve">Adobe a/c </t>
  </si>
  <si>
    <t>TDS AY 26-27</t>
  </si>
  <si>
    <t>Sundry Debtor To be Adjusted for Export and Local</t>
  </si>
  <si>
    <t>(Being Rectifcation entry for Sales reversed for TDS instead of Debtors)</t>
  </si>
  <si>
    <t>AIRSCIENCE TECHNOLOGIES A/C</t>
  </si>
  <si>
    <t>AKA ADVTECH A/C</t>
  </si>
  <si>
    <t>COURTNEY HAYEK A/C</t>
  </si>
  <si>
    <t>ENERGEX CONSULTANTS A/C</t>
  </si>
  <si>
    <t>HIRO IWANAGA A/C</t>
  </si>
  <si>
    <t>LK ENERGY A/C</t>
  </si>
  <si>
    <t>MAHA A/C</t>
  </si>
  <si>
    <t>M.HADI A/C</t>
  </si>
  <si>
    <t>REFTECK A/C</t>
  </si>
  <si>
    <t>SEVAL A/C</t>
  </si>
  <si>
    <t>SHIRLEY B A/C</t>
  </si>
  <si>
    <t>THOMAS J A/C</t>
  </si>
  <si>
    <t>TIMOTHY KHOR A/C</t>
  </si>
  <si>
    <t>YATENDRA A//C</t>
  </si>
  <si>
    <t>ZHENYU ZHANG A/C</t>
  </si>
  <si>
    <t>Indirect Income:</t>
  </si>
  <si>
    <t>Expense :</t>
  </si>
  <si>
    <t>TDS AY 2026-2027</t>
  </si>
  <si>
    <t>Sales Local</t>
  </si>
  <si>
    <t>(Being correction of wrong bank debit entry passed)</t>
  </si>
  <si>
    <t>(Being omited adobe payment entry recorded now)</t>
  </si>
  <si>
    <t>(Being omitted bank charges entry recorded now)</t>
  </si>
  <si>
    <t>(Being commission expense charged and adjusted against debtors balance)</t>
  </si>
  <si>
    <t>(Being upwork service charged adjusted against export sales)</t>
  </si>
  <si>
    <t>(Being AY 23-24 tax balances adjusted against provision for taxation and retained earnings)</t>
  </si>
  <si>
    <t>Commission to Upwork</t>
  </si>
  <si>
    <t>Communication</t>
  </si>
  <si>
    <t>Traveling expense</t>
  </si>
  <si>
    <t xml:space="preserve">Long Term Provisions </t>
  </si>
  <si>
    <t>Commision a/c</t>
  </si>
  <si>
    <t>Salary a/c                        Dr.</t>
  </si>
  <si>
    <t xml:space="preserve">     To Income Tax Provision A/c</t>
  </si>
  <si>
    <t xml:space="preserve">     To TDS receivable AY 23-24</t>
  </si>
  <si>
    <t xml:space="preserve">     To Self Assessment tax AY 23-24</t>
  </si>
  <si>
    <t xml:space="preserve">     To Audit Fees Payable</t>
  </si>
  <si>
    <t xml:space="preserve">     To Sales(Export)</t>
  </si>
  <si>
    <t xml:space="preserve">     To AKA ADVTECH A/C</t>
  </si>
  <si>
    <t xml:space="preserve">     To COURTNEY HAYEK A/C</t>
  </si>
  <si>
    <t xml:space="preserve">     To ENERGEX CONSULTANTS A/C</t>
  </si>
  <si>
    <t xml:space="preserve">     To HIRO IWANAGA A/C</t>
  </si>
  <si>
    <t xml:space="preserve">     To LK ENERGY A/C</t>
  </si>
  <si>
    <t xml:space="preserve">     To MAHA A/C</t>
  </si>
  <si>
    <t xml:space="preserve">     To M.HADI A/C</t>
  </si>
  <si>
    <t xml:space="preserve">     To REFTECK A/C</t>
  </si>
  <si>
    <t xml:space="preserve">     To SEVAL A/C</t>
  </si>
  <si>
    <t xml:space="preserve">     To SHIRLEY B A/C</t>
  </si>
  <si>
    <t xml:space="preserve">     To THOMAS J A/C</t>
  </si>
  <si>
    <t xml:space="preserve">     To TIMOTHY KHOR A/C</t>
  </si>
  <si>
    <t xml:space="preserve">     To YATENDRA A//C</t>
  </si>
  <si>
    <t xml:space="preserve">     To ZHENYU ZHANG A/C</t>
  </si>
  <si>
    <t xml:space="preserve">     To HDFC Bank a/c </t>
  </si>
  <si>
    <t xml:space="preserve">Upworks a/c </t>
  </si>
  <si>
    <t>Bad Debts a/c</t>
  </si>
  <si>
    <t>TDS Receivable AY 23-24</t>
  </si>
  <si>
    <t>TDS Receivable AY 24-25</t>
  </si>
  <si>
    <t>TDS Receivable AY 25-26</t>
  </si>
  <si>
    <t xml:space="preserve">     To Other Current Asset</t>
  </si>
  <si>
    <t>To Air Science Technologies</t>
  </si>
  <si>
    <t xml:space="preserve">     To Trade Receivables a/c</t>
  </si>
  <si>
    <t>Bad debts</t>
  </si>
  <si>
    <t>(Being omission of salary expense Rs.5000 now recorded )</t>
  </si>
  <si>
    <t>(Being Trade receivables writen-off due to company shutting down and money will not be recovered)</t>
  </si>
  <si>
    <t>Upworks a/c</t>
  </si>
  <si>
    <t>(Being self assesment tax for AY 25-26 wrongly debited and now correctly adjusted against Income tax provisions a/c)</t>
  </si>
  <si>
    <t xml:space="preserve">     To Forex gain a/c</t>
  </si>
  <si>
    <t>(Other Current Assets being Split into different ledgers)</t>
  </si>
  <si>
    <t xml:space="preserve"> Business Develop ment Expenses</t>
  </si>
  <si>
    <t>Travelling Expenses</t>
  </si>
  <si>
    <t xml:space="preserve"> Bad debts</t>
  </si>
  <si>
    <t>Gain on Exchange Fluctuation</t>
  </si>
  <si>
    <t xml:space="preserve"> Bank Charges</t>
  </si>
  <si>
    <t>Prior Period Items (Prior Period Provision Written Off)</t>
  </si>
  <si>
    <t>Prior Period Provision Written Off</t>
  </si>
  <si>
    <t>Add: Prior Period Provision Written Off</t>
  </si>
  <si>
    <t>Note No. 8 Other Current Liabilities</t>
  </si>
  <si>
    <t>Short Term Provisions</t>
  </si>
  <si>
    <t xml:space="preserve">Total Short Term Provisions </t>
  </si>
  <si>
    <t xml:space="preserve">TotalLong Term Provisions </t>
  </si>
  <si>
    <t xml:space="preserve">( </t>
  </si>
  <si>
    <t xml:space="preserve"> Business Development Expenses</t>
  </si>
  <si>
    <t xml:space="preserve">Note No 10: Trade receivables </t>
  </si>
  <si>
    <t>Note No. 11 Cash And Cash Equivalents</t>
  </si>
  <si>
    <t>Note No 12:  Other Current Asset</t>
  </si>
  <si>
    <t>Note No. 13 Revenue from operation</t>
  </si>
  <si>
    <t xml:space="preserve">Note No. 14 Other Income  </t>
  </si>
  <si>
    <t>Note No 15: Employment benefit expenses</t>
  </si>
  <si>
    <t>Note No. 16 : Finance Cost</t>
  </si>
  <si>
    <t>Note No. 17 : Depreciation and Amortisation</t>
  </si>
  <si>
    <t>Note No. 18 Other Expenses</t>
  </si>
  <si>
    <t>Note No 19 : Prior Period Item</t>
  </si>
  <si>
    <t>Note No 20 : Current Tax</t>
  </si>
  <si>
    <t>Note No. 21 Earnings per Shares</t>
  </si>
  <si>
    <t>Bank Charges</t>
  </si>
  <si>
    <t>Workings</t>
  </si>
  <si>
    <t>Source from FS</t>
  </si>
  <si>
    <t>Mar 31, 2025</t>
  </si>
  <si>
    <t>Mar 31, 2024</t>
  </si>
  <si>
    <t>Current Assets including Assets held for sale</t>
  </si>
  <si>
    <t>BS</t>
  </si>
  <si>
    <t>Working Capital</t>
  </si>
  <si>
    <t>(1-2)</t>
  </si>
  <si>
    <t>Total Debt</t>
  </si>
  <si>
    <t>Shareholder's Equity / Tangible Net Worth</t>
  </si>
  <si>
    <t>Avg. Shareholder’s Equity</t>
  </si>
  <si>
    <t>Avg (5)</t>
  </si>
  <si>
    <t>Net Profit after taxes</t>
  </si>
  <si>
    <t>P&amp;L</t>
  </si>
  <si>
    <t>Interest</t>
  </si>
  <si>
    <t>Tax Expenses</t>
  </si>
  <si>
    <t>SUM(7:9)</t>
  </si>
  <si>
    <t>Depreciation and Impairment</t>
  </si>
  <si>
    <t>Impairment of financial assets</t>
  </si>
  <si>
    <t>CFS</t>
  </si>
  <si>
    <t>Unrealised (gain) / loss of foreign exchange transactions (net)</t>
  </si>
  <si>
    <t>Provision no longer required written back</t>
  </si>
  <si>
    <t>Note 5</t>
  </si>
  <si>
    <t>Non-Cash Items</t>
  </si>
  <si>
    <t>SUM(10:13)</t>
  </si>
  <si>
    <t>Earnings for Debt Service</t>
  </si>
  <si>
    <t>(10+15-9)</t>
  </si>
  <si>
    <t>Interest and Lease Payments</t>
  </si>
  <si>
    <t>Debt payments</t>
  </si>
  <si>
    <t>Debt Service</t>
  </si>
  <si>
    <t>(17+18)</t>
  </si>
  <si>
    <t>Net Sales / Revenue from Operations</t>
  </si>
  <si>
    <t>Inventory</t>
  </si>
  <si>
    <t>Avg. Inventory</t>
  </si>
  <si>
    <t>Avg (21)</t>
  </si>
  <si>
    <t>Avg. Trade Receivables</t>
  </si>
  <si>
    <t>Avg (23)</t>
  </si>
  <si>
    <t>Purchases and Other Services</t>
  </si>
  <si>
    <t>Avg. Trade Payables</t>
  </si>
  <si>
    <t>Avg (26)</t>
  </si>
  <si>
    <t>Total Assets</t>
  </si>
  <si>
    <t>Capital Employed</t>
  </si>
  <si>
    <t>(4+5)</t>
  </si>
  <si>
    <t>Avg Total Assets</t>
  </si>
  <si>
    <t>Mar 31, 2026</t>
  </si>
  <si>
    <t>S.No</t>
  </si>
  <si>
    <t>Measurement</t>
  </si>
  <si>
    <t xml:space="preserve">Explanation for Significant Change </t>
  </si>
  <si>
    <t>In Times</t>
  </si>
  <si>
    <t>Current Asset</t>
  </si>
  <si>
    <t>Decrease in Current Liabilities</t>
  </si>
  <si>
    <t>Debt - Equity Ratio</t>
  </si>
  <si>
    <t>Debt = Long Term Borrowings + Short Term Borrowings</t>
  </si>
  <si>
    <t>Total Equity</t>
  </si>
  <si>
    <t>Debt Service Coverage Ratio</t>
  </si>
  <si>
    <t>Earnings for Debt Service = Net Profit after Taxes + Non Cash Operating Expenses + Finance Cost</t>
  </si>
  <si>
    <t>Debt Service = Interest &amp; Lease Payments + Principal Payments</t>
  </si>
  <si>
    <t>In Percentage</t>
  </si>
  <si>
    <t>Profit after Tax</t>
  </si>
  <si>
    <t>Average Shareholder's Fund</t>
  </si>
  <si>
    <t>Inventory Turnover Ration</t>
  </si>
  <si>
    <t>Average Inventory</t>
  </si>
  <si>
    <t>NA</t>
  </si>
  <si>
    <t>Net Credit Sales = Gross Credit Sales - Sales Return (Excluding Other Income)</t>
  </si>
  <si>
    <t>Average Trade Receivable</t>
  </si>
  <si>
    <t>Trade Payable Turnover Ratio</t>
  </si>
  <si>
    <t>Average Trade Payable</t>
  </si>
  <si>
    <t>Net Sales = Total Sales - Sales Return (Including Other Income)</t>
  </si>
  <si>
    <t>Working Capital = Current Assets - Current Liabilities</t>
  </si>
  <si>
    <t>Return on Capital Employed</t>
  </si>
  <si>
    <t>Earnings Before Interest and Tax</t>
  </si>
  <si>
    <t>Capital Employed = Net Worth + Total Debt</t>
  </si>
  <si>
    <t>Return on Investment</t>
  </si>
  <si>
    <t>Analytical Ratios</t>
  </si>
  <si>
    <t>Ratio</t>
  </si>
  <si>
    <t>Numberator</t>
  </si>
  <si>
    <t>% Variance</t>
  </si>
  <si>
    <t>Reason for variance</t>
  </si>
  <si>
    <t>Average Total Assets</t>
  </si>
  <si>
    <t>Note</t>
  </si>
  <si>
    <t xml:space="preserve">*Working capital shall be calculated as current assets minus current liabilities(excluding current maturities of Iong term debt, lease liability and interest accrued on borrowings) </t>
  </si>
  <si>
    <t>#EBIT = Earning before interest and taxes</t>
  </si>
  <si>
    <t>^Capital Employed = Tangible Net Worth + Total Debt</t>
  </si>
  <si>
    <t>Since there is no Debt for Current Year, this ratio cannot be calculated.</t>
  </si>
  <si>
    <t>Decrease in Net Profit and Increase in Average Shareholders' Funds</t>
  </si>
  <si>
    <t>The Trade Payable Turnover cannot be calculated as the Company does not have Average Trade Payables.</t>
  </si>
  <si>
    <t>Increase in Net Credit Sales</t>
  </si>
  <si>
    <t>Increase in Net Sales</t>
  </si>
  <si>
    <t>Decrease in Net Profit of the Company.</t>
  </si>
  <si>
    <t>Decrease in EBIT during the year.</t>
  </si>
  <si>
    <t>Decrease in Profit during the year.</t>
  </si>
  <si>
    <t>The Company is in the business of Engineering and Management Consultancy and hence does not have any Inventory</t>
  </si>
  <si>
    <t>To Upworks a/c</t>
  </si>
  <si>
    <t>(TDS deducted by Upworks accounted as per 26AS)</t>
  </si>
  <si>
    <t>Tax Refundable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</si>
</sst>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3">
    <numFmt numFmtId="43" formatCode="_(* #,##0.00_);_(* \(#,##0.00\);_(* &quot;-&quot;??_);_(@_)"/>
    <numFmt numFmtId="164" formatCode="_ * #,##0_ ;_ * \-#,##0_ ;_ * &quot;-&quot;_ ;_ @_ "/>
    <numFmt numFmtId="165" formatCode="_ &quot;₹&quot;\ * #,##0.00_ ;_ &quot;₹&quot;\ * \-#,##0.00_ ;_ &quot;₹&quot;\ * &quot;-&quot;??_ ;_ @_ "/>
    <numFmt numFmtId="166" formatCode="_ * #,##0.00_ ;_ * \-#,##0.00_ ;_ * &quot;-&quot;??_ ;_ @_ "/>
    <numFmt numFmtId="167" formatCode="&quot;Rs.&quot;\ #,##0.00;[Red]&quot;Rs.&quot;\ \-#,##0.00"/>
    <numFmt numFmtId="168" formatCode="_ * #,##0.00_)\ _$_ ;_ * \(#,##0.00&quot;) &quot;_$_ ;_ * \-??_)\ _$_ ;_ @_ "/>
    <numFmt numFmtId="169" formatCode="_(* #,##0.000000_);_(* \(#,##0.000000\);_(* &quot;-&quot;??_);_(@_)"/>
    <numFmt numFmtId="170" formatCode="_(* #,##0.00_);_(* \(#,##0.00\);_(* \-??_);_(@_)"/>
    <numFmt numFmtId="171" formatCode="_(* #,##0_);_(* \(#,##0\);_(* \-??_);_(@_)"/>
    <numFmt numFmtId="172" formatCode="dd\/mm\/yyyy"/>
    <numFmt numFmtId="173" formatCode="0.000"/>
    <numFmt numFmtId="174" formatCode="dd/mmm/yyyy"/>
    <numFmt numFmtId="175" formatCode="_-[$$-409]* #,##0.00_ ;_-[$$-409]* \-#,##0.00\ ;_-[$$-409]* &quot;-&quot;??_ ;_-@_ "/>
    <numFmt numFmtId="176" formatCode="_ * #,##0.0000_ ;_ * \-#,##0.0000_ ;_ * &quot;-&quot;??_ ;_ @_ "/>
    <numFmt numFmtId="177" formatCode="_ * #,##0.000_ ;_ * \-#,##0.000_ ;_ * &quot;-&quot;??_ ;_ @_ "/>
    <numFmt numFmtId="178" formatCode="_ * #,##0.0_ ;_ * \-#,##0.0_ ;_ * &quot;-&quot;??_ ;_ @_ "/>
    <numFmt numFmtId="179" formatCode="&quot;&quot;0.00&quot; Cr&quot;"/>
    <numFmt numFmtId="180" formatCode="_(* #,##0_);_(* \(#,##0\);_(* &quot;-&quot;??_);_(@_)"/>
    <numFmt numFmtId="181" formatCode="_ * #,##0_ ;_ * \-#,##0_ ;_ * &quot;-&quot;??_ ;_ @_ "/>
    <numFmt numFmtId="182" formatCode="_(* #,##0.000_);_(* \(#,##0.000\);_(* &quot;-&quot;??_);_(@_)"/>
    <numFmt numFmtId="183" formatCode="_ [$₹-4009]\ * #,##0.00_ ;_ [$₹-4009]\ * \-#,##0.00_ ;_ [$₹-4009]\ * &quot;-&quot;??_ ;_ @_ "/>
    <numFmt numFmtId="184" formatCode="#,##0.00\ ;&quot; (&quot;#,##0.00\);&quot; -&quot;#.0\ ;@\ "/>
    <numFmt numFmtId="185" formatCode="###0.00%;\(###0.00%\)"/>
  </numFmts>
  <fonts count="76" x14ac:knownFonts="1">
    <font>
      <sz val="11"/>
      <color theme="1"/>
      <name val="Calibri"/>
      <family val="2"/>
      <scheme val="minor"/>
    </font>
    <font>
      <sz val="11"/>
      <color indexed="8"/>
      <name val="Calibri"/>
      <family val="2"/>
    </font>
    <font>
      <sz val="10"/>
      <name val="Arial"/>
      <family val="2"/>
    </font>
    <font>
      <sz val="11"/>
      <color indexed="8"/>
      <name val="Calibri"/>
      <family val="2"/>
    </font>
    <font>
      <u/>
      <sz val="10"/>
      <color indexed="12"/>
      <name val="Arial"/>
      <family val="2"/>
    </font>
    <font>
      <sz val="11"/>
      <color indexed="8"/>
      <name val="Calibri"/>
      <family val="2"/>
      <charset val="1"/>
    </font>
    <font>
      <sz val="11"/>
      <color theme="1"/>
      <name val="Calibri"/>
      <family val="2"/>
      <scheme val="minor"/>
    </font>
    <font>
      <u/>
      <sz val="11"/>
      <color theme="10"/>
      <name val="Calibri"/>
      <family val="2"/>
    </font>
    <font>
      <b/>
      <sz val="11"/>
      <color theme="1"/>
      <name val="Calibri"/>
      <family val="2"/>
      <scheme val="minor"/>
    </font>
    <font>
      <sz val="11"/>
      <color theme="1"/>
      <name val="Trebuchet MS"/>
      <family val="2"/>
    </font>
    <font>
      <sz val="10"/>
      <color rgb="FF222222"/>
      <name val="Arial"/>
      <family val="2"/>
    </font>
    <font>
      <b/>
      <sz val="10"/>
      <name val="Arial"/>
      <family val="2"/>
    </font>
    <font>
      <b/>
      <sz val="10"/>
      <color indexed="14"/>
      <name val="Arial"/>
      <family val="2"/>
    </font>
    <font>
      <sz val="10"/>
      <color indexed="14"/>
      <name val="Arial"/>
      <family val="2"/>
    </font>
    <font>
      <sz val="11"/>
      <color indexed="14"/>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rgb="FFFF0000"/>
      <name val="Calibri"/>
      <family val="2"/>
      <scheme val="minor"/>
    </font>
    <font>
      <b/>
      <sz val="12"/>
      <color theme="1"/>
      <name val="Calibri"/>
      <family val="2"/>
      <scheme val="minor"/>
    </font>
    <font>
      <sz val="10"/>
      <color indexed="8"/>
      <name val="Arial"/>
      <family val="2"/>
    </font>
    <font>
      <sz val="10"/>
      <color theme="1"/>
      <name val="Tahoma"/>
      <family val="2"/>
    </font>
    <font>
      <b/>
      <sz val="11"/>
      <name val="Cambria"/>
      <family val="1"/>
      <scheme val="major"/>
    </font>
    <font>
      <sz val="11"/>
      <name val="Cambria"/>
      <family val="1"/>
      <scheme val="major"/>
    </font>
    <font>
      <sz val="11"/>
      <color theme="1"/>
      <name val="Cambria"/>
      <family val="1"/>
      <scheme val="major"/>
    </font>
    <font>
      <sz val="12"/>
      <name val="Cambria"/>
      <family val="1"/>
      <scheme val="major"/>
    </font>
    <font>
      <b/>
      <sz val="12"/>
      <name val="Cambria"/>
      <family val="1"/>
      <scheme val="major"/>
    </font>
    <font>
      <sz val="12"/>
      <color rgb="FFFF0000"/>
      <name val="Cambria"/>
      <family val="1"/>
      <scheme val="major"/>
    </font>
    <font>
      <sz val="12"/>
      <color theme="1"/>
      <name val="Cambria"/>
      <family val="1"/>
      <scheme val="major"/>
    </font>
    <font>
      <b/>
      <i/>
      <sz val="14"/>
      <name val="Cambria"/>
      <family val="1"/>
      <scheme val="major"/>
    </font>
    <font>
      <i/>
      <sz val="14"/>
      <name val="Cambria"/>
      <family val="1"/>
      <scheme val="major"/>
    </font>
    <font>
      <i/>
      <sz val="14"/>
      <color rgb="FFFF0000"/>
      <name val="Cambria"/>
      <family val="1"/>
      <scheme val="major"/>
    </font>
    <font>
      <i/>
      <sz val="14"/>
      <color theme="1"/>
      <name val="Cambria"/>
      <family val="1"/>
      <scheme val="major"/>
    </font>
    <font>
      <b/>
      <i/>
      <sz val="14"/>
      <color rgb="FFFF0000"/>
      <name val="Cambria"/>
      <family val="1"/>
      <scheme val="major"/>
    </font>
    <font>
      <b/>
      <i/>
      <sz val="14"/>
      <color theme="1"/>
      <name val="Cambria"/>
      <family val="1"/>
      <scheme val="major"/>
    </font>
    <font>
      <b/>
      <sz val="12"/>
      <color theme="1"/>
      <name val="Cambria"/>
      <family val="1"/>
      <scheme val="major"/>
    </font>
    <font>
      <i/>
      <sz val="12"/>
      <name val="Cambria"/>
      <family val="1"/>
      <scheme val="major"/>
    </font>
    <font>
      <b/>
      <i/>
      <sz val="12"/>
      <name val="Cambria"/>
      <family val="1"/>
      <scheme val="major"/>
    </font>
    <font>
      <sz val="14"/>
      <name val="Cambria"/>
      <family val="1"/>
      <scheme val="major"/>
    </font>
    <font>
      <b/>
      <i/>
      <sz val="12"/>
      <color theme="1"/>
      <name val="Cambria"/>
      <family val="1"/>
      <scheme val="major"/>
    </font>
    <font>
      <b/>
      <sz val="10"/>
      <color theme="1"/>
      <name val="Cambria"/>
      <family val="1"/>
      <scheme val="major"/>
    </font>
    <font>
      <sz val="10"/>
      <color theme="1"/>
      <name val="Cambria"/>
      <family val="1"/>
      <scheme val="major"/>
    </font>
    <font>
      <b/>
      <sz val="14"/>
      <name val="Cambria"/>
      <family val="1"/>
      <scheme val="major"/>
    </font>
    <font>
      <b/>
      <sz val="12"/>
      <color rgb="FFFF0000"/>
      <name val="Cambria"/>
      <family val="1"/>
      <scheme val="major"/>
    </font>
    <font>
      <b/>
      <u/>
      <sz val="12"/>
      <color theme="1"/>
      <name val="Cambria"/>
      <family val="1"/>
      <scheme val="major"/>
    </font>
    <font>
      <b/>
      <sz val="10"/>
      <name val="Cambria"/>
      <family val="1"/>
      <scheme val="major"/>
    </font>
    <font>
      <sz val="10"/>
      <name val="Cambria"/>
      <family val="1"/>
      <scheme val="major"/>
    </font>
    <font>
      <b/>
      <u val="singleAccounting"/>
      <sz val="12"/>
      <name val="Cambria"/>
      <family val="1"/>
      <scheme val="major"/>
    </font>
    <font>
      <b/>
      <sz val="14"/>
      <color theme="1"/>
      <name val="Cambria"/>
      <family val="1"/>
      <scheme val="major"/>
    </font>
    <font>
      <b/>
      <sz val="12"/>
      <color rgb="FF002060"/>
      <name val="Cambria"/>
      <family val="1"/>
      <scheme val="major"/>
    </font>
    <font>
      <b/>
      <sz val="9"/>
      <color theme="1"/>
      <name val="Cambria"/>
      <family val="1"/>
      <scheme val="major"/>
    </font>
    <font>
      <b/>
      <u/>
      <sz val="12"/>
      <name val="Cambria"/>
      <family val="1"/>
      <scheme val="major"/>
    </font>
    <font>
      <sz val="8"/>
      <name val="Calibri"/>
      <family val="2"/>
      <scheme val="minor"/>
    </font>
    <font>
      <sz val="10"/>
      <color theme="1"/>
      <name val="Arial"/>
      <family val="2"/>
    </font>
    <font>
      <b/>
      <u/>
      <sz val="12"/>
      <color theme="1"/>
      <name val="Arial"/>
      <family val="2"/>
    </font>
    <font>
      <sz val="12"/>
      <color theme="1"/>
      <name val="Arial"/>
      <family val="2"/>
    </font>
    <font>
      <i/>
      <sz val="12"/>
      <color theme="1"/>
      <name val="Arial"/>
      <family val="2"/>
    </font>
    <font>
      <b/>
      <sz val="12"/>
      <color theme="1"/>
      <name val="Arial"/>
      <family val="2"/>
    </font>
    <font>
      <sz val="12"/>
      <name val="Arial"/>
      <family val="2"/>
    </font>
    <font>
      <b/>
      <sz val="12"/>
      <name val="Arial"/>
      <family val="2"/>
    </font>
    <font>
      <b/>
      <i/>
      <sz val="12"/>
      <color theme="1"/>
      <name val="Arial"/>
      <family val="2"/>
    </font>
    <font>
      <b/>
      <sz val="9"/>
      <color indexed="81"/>
      <name val="Tahoma"/>
      <family val="2"/>
    </font>
    <font>
      <sz val="9"/>
      <color indexed="81"/>
      <name val="Tahoma"/>
      <family val="2"/>
    </font>
  </fonts>
  <fills count="46">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15"/>
        <bgColor indexed="35"/>
      </patternFill>
    </fill>
    <fill>
      <patternFill patternType="solid">
        <fgColor rgb="FFFFFF00"/>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6" tint="0.79998168889431442"/>
        <bgColor indexed="64"/>
      </patternFill>
    </fill>
    <fill>
      <patternFill patternType="solid">
        <fgColor theme="0" tint="-0.14999847407452621"/>
        <bgColor indexed="64"/>
      </patternFill>
    </fill>
    <fill>
      <patternFill patternType="solid">
        <fgColor rgb="FF00B0F0"/>
        <bgColor indexed="64"/>
      </patternFill>
    </fill>
  </fills>
  <borders count="110">
    <border>
      <left/>
      <right/>
      <top/>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double">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double">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bottom style="thin">
        <color indexed="8"/>
      </bottom>
      <diagonal/>
    </border>
    <border>
      <left style="medium">
        <color indexed="64"/>
      </left>
      <right/>
      <top style="medium">
        <color rgb="FFEFD1AA"/>
      </top>
      <bottom style="medium">
        <color rgb="FFEFD1AA"/>
      </bottom>
      <diagonal/>
    </border>
    <border>
      <left style="thin">
        <color rgb="FFB2B2B2"/>
      </left>
      <right style="thin">
        <color rgb="FFB2B2B2"/>
      </right>
      <top style="thin">
        <color rgb="FFB2B2B2"/>
      </top>
      <bottom style="thin">
        <color rgb="FFB2B2B2"/>
      </bottom>
      <diagonal/>
    </border>
    <border>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double">
        <color indexed="64"/>
      </top>
      <bottom style="double">
        <color indexed="64"/>
      </bottom>
      <diagonal/>
    </border>
    <border>
      <left/>
      <right/>
      <top style="double">
        <color indexed="64"/>
      </top>
      <bottom style="double">
        <color indexed="64"/>
      </bottom>
      <diagonal/>
    </border>
    <border>
      <left style="medium">
        <color indexed="64"/>
      </left>
      <right/>
      <top style="double">
        <color indexed="64"/>
      </top>
      <bottom style="double">
        <color indexed="64"/>
      </bottom>
      <diagonal/>
    </border>
    <border>
      <left/>
      <right style="medium">
        <color indexed="64"/>
      </right>
      <top style="double">
        <color indexed="64"/>
      </top>
      <bottom style="double">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top/>
      <bottom style="medium">
        <color indexed="64"/>
      </bottom>
      <diagonal/>
    </border>
    <border>
      <left/>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double">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8"/>
      </left>
      <right style="thin">
        <color indexed="8"/>
      </right>
      <top/>
      <bottom/>
      <diagonal/>
    </border>
    <border>
      <left style="medium">
        <color indexed="64"/>
      </left>
      <right style="thin">
        <color indexed="8"/>
      </right>
      <top/>
      <bottom/>
      <diagonal/>
    </border>
    <border>
      <left style="thin">
        <color indexed="8"/>
      </left>
      <right style="medium">
        <color indexed="64"/>
      </right>
      <top/>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medium">
        <color indexed="64"/>
      </left>
      <right style="thin">
        <color indexed="8"/>
      </right>
      <top style="medium">
        <color indexed="64"/>
      </top>
      <bottom style="medium">
        <color indexed="64"/>
      </bottom>
      <diagonal/>
    </border>
    <border>
      <left/>
      <right style="medium">
        <color indexed="64"/>
      </right>
      <top/>
      <bottom style="double">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double">
        <color indexed="64"/>
      </bottom>
      <diagonal/>
    </border>
    <border>
      <left/>
      <right/>
      <top/>
      <bottom style="double">
        <color indexed="64"/>
      </bottom>
      <diagonal/>
    </border>
    <border>
      <left style="medium">
        <color indexed="64"/>
      </left>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right style="thin">
        <color indexed="64"/>
      </right>
      <top/>
      <bottom style="medium">
        <color indexed="64"/>
      </bottom>
      <diagonal/>
    </border>
  </borders>
  <cellStyleXfs count="280">
    <xf numFmtId="0" fontId="0" fillId="0" borderId="0"/>
    <xf numFmtId="43" fontId="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71" fontId="2" fillId="0" borderId="0" applyFill="0" applyBorder="0" applyAlignment="0" applyProtection="0"/>
    <xf numFmtId="170" fontId="2" fillId="0" borderId="0" applyFill="0" applyBorder="0" applyAlignment="0" applyProtection="0"/>
    <xf numFmtId="0" fontId="2" fillId="0" borderId="0" applyFill="0" applyBorder="0" applyAlignment="0" applyProtection="0"/>
    <xf numFmtId="169" fontId="3" fillId="0" borderId="0" applyFont="0" applyFill="0" applyBorder="0" applyAlignment="0" applyProtection="0"/>
    <xf numFmtId="171" fontId="2" fillId="0" borderId="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167" fontId="2" fillId="0" borderId="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168" fontId="3" fillId="0" borderId="0" applyFill="0" applyBorder="0" applyAlignment="0" applyProtection="0"/>
    <xf numFmtId="0" fontId="5" fillId="0" borderId="0"/>
    <xf numFmtId="0" fontId="7" fillId="0" borderId="0" applyNumberFormat="0" applyFill="0" applyBorder="0" applyAlignment="0" applyProtection="0">
      <alignment vertical="top"/>
      <protection locked="0"/>
    </xf>
    <xf numFmtId="0" fontId="4" fillId="0" borderId="0" applyNumberFormat="0" applyFill="0" applyBorder="0" applyAlignment="0" applyProtection="0"/>
    <xf numFmtId="0" fontId="2" fillId="0" borderId="0"/>
    <xf numFmtId="0" fontId="2" fillId="0" borderId="0"/>
    <xf numFmtId="0" fontId="2" fillId="0" borderId="0"/>
    <xf numFmtId="0" fontId="6" fillId="0" borderId="0"/>
    <xf numFmtId="0" fontId="2" fillId="0" borderId="0"/>
    <xf numFmtId="0" fontId="1" fillId="0" borderId="0"/>
    <xf numFmtId="9" fontId="2" fillId="0" borderId="0" applyFont="0" applyFill="0" applyBorder="0" applyAlignment="0" applyProtection="0"/>
    <xf numFmtId="166" fontId="6" fillId="0" borderId="0" applyFont="0" applyFill="0" applyBorder="0" applyAlignment="0" applyProtection="0"/>
    <xf numFmtId="173" fontId="2" fillId="0" borderId="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2" fillId="0" borderId="0" applyFont="0" applyFill="0" applyBorder="0" applyAlignment="0" applyProtection="0"/>
    <xf numFmtId="0" fontId="2" fillId="0" borderId="0" applyFont="0" applyFill="0" applyBorder="0" applyAlignment="0" applyProtection="0"/>
    <xf numFmtId="166" fontId="2" fillId="0" borderId="0" applyFont="0" applyFill="0" applyBorder="0" applyAlignment="0" applyProtection="0"/>
    <xf numFmtId="166" fontId="6" fillId="0" borderId="0" applyFont="0" applyFill="0" applyBorder="0" applyAlignment="0" applyProtection="0"/>
    <xf numFmtId="166" fontId="2" fillId="0" borderId="0" applyFont="0" applyFill="0" applyBorder="0" applyAlignment="0" applyProtection="0"/>
    <xf numFmtId="0" fontId="9" fillId="0" borderId="0"/>
    <xf numFmtId="0" fontId="2" fillId="0" borderId="0"/>
    <xf numFmtId="0" fontId="6" fillId="0" borderId="0"/>
    <xf numFmtId="165" fontId="6" fillId="0" borderId="0" applyFont="0" applyFill="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7" borderId="0" applyNumberFormat="0" applyBorder="0" applyAlignment="0" applyProtection="0"/>
    <xf numFmtId="0" fontId="1" fillId="10" borderId="0" applyNumberFormat="0" applyBorder="0" applyAlignment="0" applyProtection="0"/>
    <xf numFmtId="0" fontId="1" fillId="13" borderId="0" applyNumberFormat="0" applyBorder="0" applyAlignment="0" applyProtection="0"/>
    <xf numFmtId="0" fontId="15" fillId="14"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15" fillId="18"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15" borderId="0" applyNumberFormat="0" applyBorder="0" applyAlignment="0" applyProtection="0"/>
    <xf numFmtId="0" fontId="15" fillId="16" borderId="0" applyNumberFormat="0" applyBorder="0" applyAlignment="0" applyProtection="0"/>
    <xf numFmtId="0" fontId="15" fillId="21" borderId="0" applyNumberFormat="0" applyBorder="0" applyAlignment="0" applyProtection="0"/>
    <xf numFmtId="0" fontId="16" fillId="5" borderId="0" applyNumberFormat="0" applyBorder="0" applyAlignment="0" applyProtection="0"/>
    <xf numFmtId="0" fontId="17" fillId="22" borderId="64" applyNumberFormat="0" applyAlignment="0" applyProtection="0"/>
    <xf numFmtId="0" fontId="18" fillId="23" borderId="65" applyNumberFormat="0" applyAlignment="0" applyProtection="0"/>
    <xf numFmtId="0" fontId="19" fillId="0" borderId="0" applyNumberFormat="0" applyFill="0" applyBorder="0" applyAlignment="0" applyProtection="0"/>
    <xf numFmtId="0" fontId="20" fillId="6" borderId="0" applyNumberFormat="0" applyBorder="0" applyAlignment="0" applyProtection="0"/>
    <xf numFmtId="0" fontId="21" fillId="0" borderId="66" applyNumberFormat="0" applyFill="0" applyAlignment="0" applyProtection="0"/>
    <xf numFmtId="0" fontId="22" fillId="0" borderId="67" applyNumberFormat="0" applyFill="0" applyAlignment="0" applyProtection="0"/>
    <xf numFmtId="0" fontId="23" fillId="0" borderId="68" applyNumberFormat="0" applyFill="0" applyAlignment="0" applyProtection="0"/>
    <xf numFmtId="0" fontId="23" fillId="0" borderId="0" applyNumberFormat="0" applyFill="0" applyBorder="0" applyAlignment="0" applyProtection="0"/>
    <xf numFmtId="0" fontId="24" fillId="9" borderId="64" applyNumberFormat="0" applyAlignment="0" applyProtection="0"/>
    <xf numFmtId="0" fontId="25" fillId="0" borderId="69" applyNumberFormat="0" applyFill="0" applyAlignment="0" applyProtection="0"/>
    <xf numFmtId="0" fontId="26" fillId="24" borderId="0" applyNumberFormat="0" applyBorder="0" applyAlignment="0" applyProtection="0"/>
    <xf numFmtId="0" fontId="2" fillId="25" borderId="70" applyNumberFormat="0" applyFont="0" applyAlignment="0" applyProtection="0"/>
    <xf numFmtId="0" fontId="27" fillId="22" borderId="71" applyNumberFormat="0" applyAlignment="0" applyProtection="0"/>
    <xf numFmtId="0" fontId="28" fillId="0" borderId="0" applyNumberFormat="0" applyFill="0" applyBorder="0" applyAlignment="0" applyProtection="0"/>
    <xf numFmtId="0" fontId="29" fillId="0" borderId="72" applyNumberFormat="0" applyFill="0" applyAlignment="0" applyProtection="0"/>
    <xf numFmtId="0" fontId="30" fillId="0" borderId="0" applyNumberFormat="0" applyFill="0" applyBorder="0" applyAlignment="0" applyProtection="0"/>
    <xf numFmtId="0" fontId="6" fillId="0" borderId="0"/>
    <xf numFmtId="166" fontId="6" fillId="0" borderId="0" applyFont="0" applyFill="0" applyBorder="0" applyAlignment="0" applyProtection="0"/>
    <xf numFmtId="0" fontId="33" fillId="0" borderId="0" applyNumberFormat="0" applyFill="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1"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3"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2" borderId="0" applyNumberFormat="0" applyBorder="0" applyAlignment="0" applyProtection="0"/>
    <xf numFmtId="0" fontId="6" fillId="34" borderId="0" applyNumberFormat="0" applyBorder="0" applyAlignment="0" applyProtection="0"/>
    <xf numFmtId="0" fontId="6" fillId="34" borderId="0" applyNumberFormat="0" applyBorder="0" applyAlignment="0" applyProtection="0"/>
    <xf numFmtId="0" fontId="6" fillId="34" borderId="0" applyNumberFormat="0" applyBorder="0" applyAlignment="0" applyProtection="0"/>
    <xf numFmtId="0" fontId="6" fillId="34" borderId="0" applyNumberFormat="0" applyBorder="0" applyAlignment="0" applyProtection="0"/>
    <xf numFmtId="0" fontId="6" fillId="34" borderId="0" applyNumberFormat="0" applyBorder="0" applyAlignment="0" applyProtection="0"/>
    <xf numFmtId="0" fontId="6" fillId="34" borderId="0" applyNumberFormat="0" applyBorder="0" applyAlignment="0" applyProtection="0"/>
    <xf numFmtId="0" fontId="6" fillId="34" borderId="0" applyNumberFormat="0" applyBorder="0" applyAlignment="0" applyProtection="0"/>
    <xf numFmtId="0" fontId="6" fillId="34" borderId="0" applyNumberFormat="0" applyBorder="0" applyAlignment="0" applyProtection="0"/>
    <xf numFmtId="0" fontId="6" fillId="34" borderId="0" applyNumberFormat="0" applyBorder="0" applyAlignment="0" applyProtection="0"/>
    <xf numFmtId="0" fontId="6" fillId="34"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166" fontId="6"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179" fontId="2" fillId="0" borderId="0" applyFont="0" applyFill="0" applyBorder="0" applyAlignment="0" applyProtection="0"/>
    <xf numFmtId="43" fontId="2" fillId="0" borderId="0" applyFont="0" applyFill="0" applyBorder="0" applyAlignment="0" applyProtection="0"/>
    <xf numFmtId="166" fontId="6" fillId="0" borderId="0" applyFont="0" applyFill="0" applyBorder="0" applyAlignment="0" applyProtection="0"/>
    <xf numFmtId="0" fontId="2" fillId="0" borderId="0" applyNumberFormat="0" applyFill="0" applyBorder="0" applyProtection="0">
      <alignment horizontal="left"/>
    </xf>
    <xf numFmtId="0" fontId="2" fillId="0" borderId="0" applyNumberFormat="0" applyFill="0" applyBorder="0" applyProtection="0">
      <alignment vertical="top"/>
    </xf>
    <xf numFmtId="0" fontId="2" fillId="0" borderId="0" applyNumberFormat="0" applyFill="0" applyBorder="0" applyProtection="0">
      <alignment vertical="top"/>
    </xf>
    <xf numFmtId="0" fontId="2" fillId="0" borderId="0" applyNumberFormat="0" applyFill="0" applyBorder="0" applyProtection="0">
      <alignment vertical="top"/>
    </xf>
    <xf numFmtId="0" fontId="2" fillId="0" borderId="0" applyNumberFormat="0" applyFill="0" applyBorder="0" applyProtection="0">
      <alignment horizontal="left"/>
    </xf>
    <xf numFmtId="0" fontId="2" fillId="0" borderId="0" applyNumberFormat="0" applyFill="0" applyBorder="0" applyProtection="0">
      <alignment vertical="top"/>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6" fillId="0" borderId="0"/>
    <xf numFmtId="0" fontId="3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30" borderId="76" applyNumberFormat="0" applyFont="0" applyAlignment="0" applyProtection="0"/>
    <xf numFmtId="0" fontId="6" fillId="30" borderId="76" applyNumberFormat="0" applyFont="0" applyAlignment="0" applyProtection="0"/>
    <xf numFmtId="0" fontId="6" fillId="30" borderId="76" applyNumberFormat="0" applyFont="0" applyAlignment="0" applyProtection="0"/>
    <xf numFmtId="0" fontId="6" fillId="30" borderId="76" applyNumberFormat="0" applyFont="0" applyAlignment="0" applyProtection="0"/>
    <xf numFmtId="0" fontId="6" fillId="30" borderId="76" applyNumberFormat="0" applyFont="0" applyAlignment="0" applyProtection="0"/>
    <xf numFmtId="0" fontId="6" fillId="30" borderId="76" applyNumberFormat="0" applyFont="0" applyAlignment="0" applyProtection="0"/>
    <xf numFmtId="0" fontId="6" fillId="30" borderId="76" applyNumberFormat="0" applyFont="0" applyAlignment="0" applyProtection="0"/>
    <xf numFmtId="0" fontId="6" fillId="30" borderId="76" applyNumberFormat="0" applyFont="0" applyAlignment="0" applyProtection="0"/>
    <xf numFmtId="0" fontId="6" fillId="30" borderId="76" applyNumberFormat="0" applyFont="0" applyAlignment="0" applyProtection="0"/>
    <xf numFmtId="0" fontId="6" fillId="30" borderId="76" applyNumberFormat="0" applyFont="0" applyAlignment="0" applyProtection="0"/>
    <xf numFmtId="9" fontId="34" fillId="0" borderId="0" applyFont="0" applyFill="0" applyBorder="0" applyAlignment="0" applyProtection="0"/>
    <xf numFmtId="9" fontId="2" fillId="0" borderId="0" applyFont="0" applyFill="0" applyBorder="0" applyAlignment="0" applyProtection="0"/>
    <xf numFmtId="0" fontId="2" fillId="0" borderId="0"/>
    <xf numFmtId="0" fontId="1" fillId="0" borderId="0" applyNumberFormat="0" applyFont="0" applyFill="0" applyBorder="0" applyAlignment="0" applyProtection="0"/>
    <xf numFmtId="43" fontId="6" fillId="0" borderId="0" applyFont="0" applyFill="0" applyBorder="0" applyAlignment="0" applyProtection="0"/>
    <xf numFmtId="43" fontId="2" fillId="0" borderId="0" applyFont="0" applyFill="0" applyBorder="0" applyAlignment="0" applyProtection="0"/>
    <xf numFmtId="0" fontId="6" fillId="0" borderId="0"/>
    <xf numFmtId="0" fontId="2" fillId="0" borderId="0"/>
    <xf numFmtId="9" fontId="6" fillId="0" borderId="0" applyFont="0" applyFill="0" applyBorder="0" applyAlignment="0" applyProtection="0"/>
    <xf numFmtId="0" fontId="66" fillId="0" borderId="0"/>
    <xf numFmtId="166" fontId="66" fillId="0" borderId="0" applyFont="0" applyFill="0" applyBorder="0" applyAlignment="0" applyProtection="0"/>
    <xf numFmtId="43" fontId="2" fillId="0" borderId="0"/>
    <xf numFmtId="0" fontId="66" fillId="0" borderId="0"/>
    <xf numFmtId="9" fontId="66" fillId="0" borderId="0" applyFont="0" applyFill="0" applyBorder="0" applyAlignment="0" applyProtection="0"/>
    <xf numFmtId="43" fontId="6" fillId="0" borderId="0" applyFont="0" applyFill="0" applyBorder="0" applyAlignment="0" applyProtection="0"/>
    <xf numFmtId="0" fontId="66" fillId="0" borderId="0"/>
    <xf numFmtId="9" fontId="6" fillId="0" borderId="0" applyFont="0" applyFill="0" applyBorder="0" applyAlignment="0" applyProtection="0"/>
  </cellStyleXfs>
  <cellXfs count="929">
    <xf numFmtId="0" fontId="0" fillId="0" borderId="0" xfId="0"/>
    <xf numFmtId="166" fontId="0" fillId="0" borderId="0" xfId="0" applyNumberFormat="1"/>
    <xf numFmtId="0" fontId="0" fillId="0" borderId="0" xfId="0" applyAlignment="1">
      <alignment wrapText="1"/>
    </xf>
    <xf numFmtId="0" fontId="0" fillId="0" borderId="17" xfId="0" applyBorder="1"/>
    <xf numFmtId="0" fontId="0" fillId="0" borderId="12" xfId="0" applyBorder="1"/>
    <xf numFmtId="43" fontId="0" fillId="0" borderId="0" xfId="1" applyFont="1"/>
    <xf numFmtId="165" fontId="0" fillId="0" borderId="0" xfId="0" applyNumberFormat="1"/>
    <xf numFmtId="165" fontId="0" fillId="0" borderId="0" xfId="1" applyNumberFormat="1" applyFont="1"/>
    <xf numFmtId="166" fontId="0" fillId="0" borderId="0" xfId="1" applyNumberFormat="1" applyFont="1"/>
    <xf numFmtId="0" fontId="2" fillId="0" borderId="0" xfId="18"/>
    <xf numFmtId="0" fontId="2" fillId="0" borderId="0" xfId="18" applyProtection="1">
      <protection locked="0"/>
    </xf>
    <xf numFmtId="14" fontId="2" fillId="0" borderId="0" xfId="18" applyNumberFormat="1" applyProtection="1">
      <protection locked="0"/>
    </xf>
    <xf numFmtId="0" fontId="2" fillId="26" borderId="73" xfId="18" applyFill="1" applyBorder="1" applyAlignment="1">
      <alignment horizontal="center" wrapText="1"/>
    </xf>
    <xf numFmtId="0" fontId="11" fillId="26" borderId="73" xfId="18" applyFont="1" applyFill="1" applyBorder="1" applyAlignment="1">
      <alignment horizontal="center" wrapText="1"/>
    </xf>
    <xf numFmtId="49" fontId="2" fillId="0" borderId="0" xfId="18" applyNumberFormat="1" applyProtection="1">
      <protection locked="0"/>
    </xf>
    <xf numFmtId="49" fontId="2" fillId="26" borderId="73" xfId="18" applyNumberFormat="1" applyFill="1" applyBorder="1" applyAlignment="1">
      <alignment horizontal="center" wrapText="1"/>
    </xf>
    <xf numFmtId="0" fontId="11" fillId="0" borderId="0" xfId="18" applyFont="1" applyProtection="1">
      <protection locked="0"/>
    </xf>
    <xf numFmtId="0" fontId="8" fillId="0" borderId="17" xfId="0" applyFont="1" applyBorder="1" applyAlignment="1">
      <alignment wrapText="1"/>
    </xf>
    <xf numFmtId="14" fontId="0" fillId="0" borderId="12" xfId="0" applyNumberFormat="1" applyBorder="1"/>
    <xf numFmtId="175" fontId="0" fillId="0" borderId="12" xfId="38" applyNumberFormat="1" applyFont="1" applyBorder="1"/>
    <xf numFmtId="166" fontId="0" fillId="0" borderId="12" xfId="0" applyNumberFormat="1" applyBorder="1"/>
    <xf numFmtId="175" fontId="0" fillId="0" borderId="12" xfId="0" applyNumberFormat="1" applyBorder="1"/>
    <xf numFmtId="176" fontId="10" fillId="0" borderId="12" xfId="0" applyNumberFormat="1" applyFont="1" applyBorder="1"/>
    <xf numFmtId="176" fontId="0" fillId="0" borderId="12" xfId="0" applyNumberFormat="1" applyBorder="1"/>
    <xf numFmtId="176" fontId="10" fillId="3" borderId="75" xfId="0" applyNumberFormat="1" applyFont="1" applyFill="1" applyBorder="1" applyAlignment="1">
      <alignment horizontal="right" vertical="center"/>
    </xf>
    <xf numFmtId="176" fontId="0" fillId="2" borderId="12" xfId="0" applyNumberFormat="1" applyFill="1" applyBorder="1"/>
    <xf numFmtId="43" fontId="8" fillId="0" borderId="17" xfId="1" applyFont="1" applyBorder="1" applyAlignment="1">
      <alignment wrapText="1"/>
    </xf>
    <xf numFmtId="166" fontId="0" fillId="0" borderId="12" xfId="1" applyNumberFormat="1" applyFont="1" applyBorder="1"/>
    <xf numFmtId="166" fontId="0" fillId="2" borderId="12" xfId="1" applyNumberFormat="1" applyFont="1" applyFill="1" applyBorder="1"/>
    <xf numFmtId="166" fontId="0" fillId="0" borderId="12" xfId="1" applyNumberFormat="1" applyFont="1" applyFill="1" applyBorder="1"/>
    <xf numFmtId="14" fontId="0" fillId="2" borderId="12" xfId="0" applyNumberFormat="1" applyFill="1" applyBorder="1"/>
    <xf numFmtId="0" fontId="0" fillId="0" borderId="18" xfId="0" applyBorder="1"/>
    <xf numFmtId="166" fontId="0" fillId="0" borderId="18" xfId="0" applyNumberFormat="1" applyBorder="1"/>
    <xf numFmtId="166" fontId="8" fillId="0" borderId="18" xfId="1" applyNumberFormat="1" applyFont="1" applyBorder="1"/>
    <xf numFmtId="0" fontId="8" fillId="0" borderId="0" xfId="0" applyFont="1" applyAlignment="1">
      <alignment wrapText="1"/>
    </xf>
    <xf numFmtId="43" fontId="8" fillId="0" borderId="0" xfId="1" applyFont="1" applyBorder="1" applyAlignment="1">
      <alignment wrapText="1"/>
    </xf>
    <xf numFmtId="14" fontId="0" fillId="0" borderId="0" xfId="0" applyNumberFormat="1"/>
    <xf numFmtId="166" fontId="0" fillId="0" borderId="0" xfId="1" applyNumberFormat="1" applyFont="1" applyFill="1" applyBorder="1"/>
    <xf numFmtId="43" fontId="8" fillId="0" borderId="25" xfId="1" applyFont="1" applyBorder="1" applyAlignment="1">
      <alignment wrapText="1"/>
    </xf>
    <xf numFmtId="166" fontId="0" fillId="0" borderId="28" xfId="1" applyNumberFormat="1" applyFont="1" applyFill="1" applyBorder="1"/>
    <xf numFmtId="0" fontId="32" fillId="0" borderId="0" xfId="0" applyFont="1"/>
    <xf numFmtId="0" fontId="0" fillId="0" borderId="31" xfId="0" applyBorder="1"/>
    <xf numFmtId="0" fontId="8" fillId="0" borderId="18" xfId="0" applyFont="1" applyBorder="1" applyAlignment="1">
      <alignment wrapText="1"/>
    </xf>
    <xf numFmtId="0" fontId="8" fillId="0" borderId="25" xfId="0" applyFont="1" applyBorder="1" applyAlignment="1">
      <alignment wrapText="1"/>
    </xf>
    <xf numFmtId="0" fontId="0" fillId="0" borderId="28" xfId="0" applyBorder="1"/>
    <xf numFmtId="14" fontId="0" fillId="0" borderId="27" xfId="0" applyNumberFormat="1" applyBorder="1"/>
    <xf numFmtId="14" fontId="0" fillId="0" borderId="28" xfId="0" applyNumberFormat="1" applyBorder="1"/>
    <xf numFmtId="175" fontId="0" fillId="0" borderId="27" xfId="38" applyNumberFormat="1" applyFont="1" applyFill="1" applyBorder="1"/>
    <xf numFmtId="175" fontId="0" fillId="0" borderId="28" xfId="0" applyNumberFormat="1" applyBorder="1"/>
    <xf numFmtId="175" fontId="0" fillId="0" borderId="28" xfId="38" applyNumberFormat="1" applyFont="1" applyFill="1" applyBorder="1"/>
    <xf numFmtId="166" fontId="0" fillId="0" borderId="27" xfId="1" applyNumberFormat="1" applyFont="1" applyFill="1" applyBorder="1"/>
    <xf numFmtId="166" fontId="0" fillId="0" borderId="32" xfId="0" applyNumberFormat="1" applyBorder="1"/>
    <xf numFmtId="166" fontId="0" fillId="0" borderId="28" xfId="1" applyNumberFormat="1" applyFont="1" applyBorder="1"/>
    <xf numFmtId="0" fontId="2" fillId="2" borderId="0" xfId="18" applyFill="1" applyProtection="1">
      <protection locked="0"/>
    </xf>
    <xf numFmtId="175" fontId="0" fillId="2" borderId="12" xfId="0" applyNumberFormat="1" applyFill="1" applyBorder="1"/>
    <xf numFmtId="0" fontId="0" fillId="2" borderId="0" xfId="0" applyFill="1"/>
    <xf numFmtId="166" fontId="31" fillId="0" borderId="0" xfId="1" applyNumberFormat="1" applyFont="1" applyBorder="1"/>
    <xf numFmtId="0" fontId="31" fillId="0" borderId="0" xfId="0" applyFont="1"/>
    <xf numFmtId="14" fontId="31" fillId="0" borderId="0" xfId="0" applyNumberFormat="1" applyFont="1"/>
    <xf numFmtId="175" fontId="31" fillId="0" borderId="0" xfId="0" applyNumberFormat="1" applyFont="1"/>
    <xf numFmtId="166" fontId="31" fillId="0" borderId="0" xfId="0" applyNumberFormat="1" applyFont="1"/>
    <xf numFmtId="0" fontId="31" fillId="0" borderId="12" xfId="0" applyFont="1" applyBorder="1"/>
    <xf numFmtId="14" fontId="31" fillId="0" borderId="12" xfId="0" applyNumberFormat="1" applyFont="1" applyBorder="1"/>
    <xf numFmtId="175" fontId="31" fillId="0" borderId="12" xfId="0" applyNumberFormat="1" applyFont="1" applyBorder="1"/>
    <xf numFmtId="176" fontId="31" fillId="0" borderId="12" xfId="0" applyNumberFormat="1" applyFont="1" applyBorder="1"/>
    <xf numFmtId="166" fontId="31" fillId="0" borderId="12" xfId="1" applyNumberFormat="1" applyFont="1" applyBorder="1"/>
    <xf numFmtId="166" fontId="31" fillId="0" borderId="12" xfId="0" applyNumberFormat="1" applyFont="1" applyBorder="1"/>
    <xf numFmtId="166" fontId="31" fillId="0" borderId="28" xfId="1" applyNumberFormat="1" applyFont="1" applyBorder="1"/>
    <xf numFmtId="166" fontId="31" fillId="0" borderId="12" xfId="38" applyNumberFormat="1" applyFont="1" applyBorder="1"/>
    <xf numFmtId="166" fontId="8" fillId="0" borderId="25" xfId="1" applyNumberFormat="1" applyFont="1" applyBorder="1"/>
    <xf numFmtId="177" fontId="0" fillId="0" borderId="12" xfId="1" applyNumberFormat="1" applyFont="1" applyBorder="1"/>
    <xf numFmtId="177" fontId="0" fillId="2" borderId="12" xfId="1" applyNumberFormat="1" applyFont="1" applyFill="1" applyBorder="1"/>
    <xf numFmtId="177" fontId="31" fillId="0" borderId="12" xfId="1" applyNumberFormat="1" applyFont="1" applyBorder="1"/>
    <xf numFmtId="177" fontId="31" fillId="0" borderId="28" xfId="1" applyNumberFormat="1" applyFont="1" applyFill="1" applyBorder="1"/>
    <xf numFmtId="175" fontId="0" fillId="2" borderId="0" xfId="0" applyNumberFormat="1" applyFill="1"/>
    <xf numFmtId="175" fontId="0" fillId="27" borderId="28" xfId="0" applyNumberFormat="1" applyFill="1" applyBorder="1"/>
    <xf numFmtId="0" fontId="0" fillId="28" borderId="12" xfId="0" applyFill="1" applyBorder="1"/>
    <xf numFmtId="14" fontId="0" fillId="28" borderId="12" xfId="0" applyNumberFormat="1" applyFill="1" applyBorder="1"/>
    <xf numFmtId="175" fontId="0" fillId="28" borderId="12" xfId="38" applyNumberFormat="1" applyFont="1" applyFill="1" applyBorder="1"/>
    <xf numFmtId="176" fontId="0" fillId="28" borderId="12" xfId="0" applyNumberFormat="1" applyFill="1" applyBorder="1"/>
    <xf numFmtId="177" fontId="0" fillId="28" borderId="12" xfId="1" applyNumberFormat="1" applyFont="1" applyFill="1" applyBorder="1"/>
    <xf numFmtId="166" fontId="0" fillId="28" borderId="12" xfId="1" applyNumberFormat="1" applyFont="1" applyFill="1" applyBorder="1"/>
    <xf numFmtId="166" fontId="0" fillId="28" borderId="28" xfId="1" applyNumberFormat="1" applyFont="1" applyFill="1" applyBorder="1"/>
    <xf numFmtId="175" fontId="0" fillId="28" borderId="12" xfId="0" applyNumberFormat="1" applyFill="1" applyBorder="1"/>
    <xf numFmtId="43" fontId="0" fillId="0" borderId="12" xfId="1" applyFont="1" applyBorder="1"/>
    <xf numFmtId="43" fontId="0" fillId="28" borderId="12" xfId="1" applyFont="1" applyFill="1" applyBorder="1"/>
    <xf numFmtId="43" fontId="0" fillId="2" borderId="12" xfId="1" applyFont="1" applyFill="1" applyBorder="1"/>
    <xf numFmtId="43" fontId="31" fillId="0" borderId="12" xfId="1" applyFont="1" applyBorder="1"/>
    <xf numFmtId="43" fontId="8" fillId="0" borderId="18" xfId="1" applyFont="1" applyBorder="1"/>
    <xf numFmtId="175" fontId="0" fillId="29" borderId="12" xfId="0" applyNumberFormat="1" applyFill="1" applyBorder="1"/>
    <xf numFmtId="166" fontId="0" fillId="29" borderId="0" xfId="0" applyNumberFormat="1" applyFill="1"/>
    <xf numFmtId="0" fontId="37" fillId="0" borderId="0" xfId="0" applyFont="1"/>
    <xf numFmtId="0" fontId="38" fillId="0" borderId="0" xfId="0" applyFont="1"/>
    <xf numFmtId="0" fontId="39" fillId="0" borderId="25" xfId="0" applyFont="1" applyBorder="1" applyAlignment="1">
      <alignment horizontal="center" vertical="center"/>
    </xf>
    <xf numFmtId="166" fontId="38" fillId="0" borderId="0" xfId="0" applyNumberFormat="1" applyFont="1"/>
    <xf numFmtId="0" fontId="38" fillId="0" borderId="12" xfId="0" applyFont="1" applyBorder="1"/>
    <xf numFmtId="0" fontId="39" fillId="0" borderId="0" xfId="0" applyFont="1"/>
    <xf numFmtId="0" fontId="38" fillId="0" borderId="0" xfId="80" applyFont="1"/>
    <xf numFmtId="49" fontId="38" fillId="0" borderId="0" xfId="0" applyNumberFormat="1" applyFont="1"/>
    <xf numFmtId="166" fontId="40" fillId="0" borderId="0" xfId="0" applyNumberFormat="1" applyFont="1"/>
    <xf numFmtId="166" fontId="41" fillId="0" borderId="0" xfId="0" applyNumberFormat="1" applyFont="1"/>
    <xf numFmtId="49" fontId="42" fillId="0" borderId="9" xfId="0" applyNumberFormat="1" applyFont="1" applyBorder="1"/>
    <xf numFmtId="0" fontId="42" fillId="0" borderId="10" xfId="0" applyFont="1" applyBorder="1"/>
    <xf numFmtId="0" fontId="43" fillId="0" borderId="10" xfId="0" applyFont="1" applyBorder="1"/>
    <xf numFmtId="166" fontId="44" fillId="0" borderId="10" xfId="0" applyNumberFormat="1" applyFont="1" applyBorder="1"/>
    <xf numFmtId="166" fontId="45" fillId="0" borderId="11" xfId="0" applyNumberFormat="1" applyFont="1" applyBorder="1"/>
    <xf numFmtId="0" fontId="43" fillId="0" borderId="0" xfId="0" applyFont="1"/>
    <xf numFmtId="49" fontId="42" fillId="0" borderId="12" xfId="0" applyNumberFormat="1" applyFont="1" applyBorder="1"/>
    <xf numFmtId="0" fontId="42" fillId="0" borderId="0" xfId="0" applyFont="1" applyAlignment="1">
      <alignment horizontal="left"/>
    </xf>
    <xf numFmtId="166" fontId="44" fillId="0" borderId="0" xfId="0" applyNumberFormat="1" applyFont="1"/>
    <xf numFmtId="166" fontId="45" fillId="0" borderId="13" xfId="0" applyNumberFormat="1" applyFont="1" applyBorder="1"/>
    <xf numFmtId="0" fontId="42" fillId="0" borderId="12" xfId="0" applyFont="1" applyBorder="1"/>
    <xf numFmtId="0" fontId="42" fillId="0" borderId="0" xfId="0" applyFont="1"/>
    <xf numFmtId="166" fontId="46" fillId="0" borderId="0" xfId="0" applyNumberFormat="1" applyFont="1"/>
    <xf numFmtId="166" fontId="47" fillId="0" borderId="13" xfId="0" applyNumberFormat="1" applyFont="1" applyBorder="1"/>
    <xf numFmtId="49" fontId="42" fillId="0" borderId="14" xfId="0" applyNumberFormat="1" applyFont="1" applyBorder="1"/>
    <xf numFmtId="0" fontId="42" fillId="0" borderId="15" xfId="0" applyFont="1" applyBorder="1" applyAlignment="1">
      <alignment horizontal="left"/>
    </xf>
    <xf numFmtId="0" fontId="43" fillId="0" borderId="15" xfId="0" applyFont="1" applyBorder="1"/>
    <xf numFmtId="166" fontId="44" fillId="0" borderId="15" xfId="0" applyNumberFormat="1" applyFont="1" applyBorder="1"/>
    <xf numFmtId="166" fontId="45" fillId="0" borderId="16" xfId="0" applyNumberFormat="1" applyFont="1" applyBorder="1"/>
    <xf numFmtId="0" fontId="39" fillId="0" borderId="0" xfId="0" applyFont="1" applyAlignment="1">
      <alignment horizontal="left"/>
    </xf>
    <xf numFmtId="49" fontId="38" fillId="0" borderId="0" xfId="0" applyNumberFormat="1" applyFont="1" applyAlignment="1">
      <alignment horizontal="center"/>
    </xf>
    <xf numFmtId="0" fontId="39" fillId="0" borderId="19" xfId="0" applyFont="1" applyBorder="1" applyAlignment="1">
      <alignment horizontal="center" vertical="center" wrapText="1"/>
    </xf>
    <xf numFmtId="166" fontId="39" fillId="0" borderId="33" xfId="0" applyNumberFormat="1" applyFont="1" applyBorder="1" applyAlignment="1">
      <alignment horizontal="center" vertical="center" wrapText="1"/>
    </xf>
    <xf numFmtId="166" fontId="48" fillId="0" borderId="25" xfId="0" applyNumberFormat="1" applyFont="1" applyBorder="1" applyAlignment="1">
      <alignment horizontal="center" vertical="center"/>
    </xf>
    <xf numFmtId="49" fontId="38" fillId="0" borderId="9" xfId="0" applyNumberFormat="1" applyFont="1" applyBorder="1" applyAlignment="1">
      <alignment horizontal="center"/>
    </xf>
    <xf numFmtId="0" fontId="39" fillId="0" borderId="10" xfId="0" applyFont="1" applyBorder="1"/>
    <xf numFmtId="0" fontId="38" fillId="0" borderId="10" xfId="0" applyFont="1" applyBorder="1"/>
    <xf numFmtId="0" fontId="38" fillId="0" borderId="78" xfId="0" applyFont="1" applyBorder="1" applyAlignment="1">
      <alignment horizontal="center"/>
    </xf>
    <xf numFmtId="166" fontId="41" fillId="0" borderId="27" xfId="1" applyNumberFormat="1" applyFont="1" applyFill="1" applyBorder="1"/>
    <xf numFmtId="49" fontId="38" fillId="0" borderId="12" xfId="0" applyNumberFormat="1" applyFont="1" applyBorder="1" applyAlignment="1">
      <alignment horizontal="center"/>
    </xf>
    <xf numFmtId="49" fontId="39" fillId="0" borderId="0" xfId="0" applyNumberFormat="1" applyFont="1" applyAlignment="1">
      <alignment horizontal="left"/>
    </xf>
    <xf numFmtId="0" fontId="38" fillId="0" borderId="4" xfId="0" applyFont="1" applyBorder="1" applyAlignment="1">
      <alignment horizontal="center"/>
    </xf>
    <xf numFmtId="166" fontId="41" fillId="0" borderId="28" xfId="1" applyNumberFormat="1" applyFont="1" applyFill="1" applyBorder="1"/>
    <xf numFmtId="49" fontId="38" fillId="0" borderId="12" xfId="0" applyNumberFormat="1" applyFont="1" applyBorder="1"/>
    <xf numFmtId="166" fontId="38" fillId="0" borderId="34" xfId="0" applyNumberFormat="1" applyFont="1" applyBorder="1"/>
    <xf numFmtId="166" fontId="41" fillId="0" borderId="62" xfId="1" applyNumberFormat="1" applyFont="1" applyFill="1" applyBorder="1"/>
    <xf numFmtId="49" fontId="38" fillId="0" borderId="0" xfId="0" applyNumberFormat="1" applyFont="1" applyAlignment="1">
      <alignment horizontal="left"/>
    </xf>
    <xf numFmtId="49" fontId="39" fillId="0" borderId="12" xfId="0" applyNumberFormat="1" applyFont="1" applyBorder="1" applyAlignment="1">
      <alignment horizontal="center"/>
    </xf>
    <xf numFmtId="166" fontId="38" fillId="0" borderId="13" xfId="0" applyNumberFormat="1" applyFont="1" applyBorder="1"/>
    <xf numFmtId="0" fontId="38" fillId="0" borderId="0" xfId="0" applyFont="1" applyAlignment="1">
      <alignment vertical="center"/>
    </xf>
    <xf numFmtId="0" fontId="38" fillId="0" borderId="0" xfId="0" applyFont="1" applyAlignment="1">
      <alignment wrapText="1"/>
    </xf>
    <xf numFmtId="0" fontId="38" fillId="0" borderId="0" xfId="0" applyFont="1" applyAlignment="1">
      <alignment horizontal="center" vertical="center"/>
    </xf>
    <xf numFmtId="0" fontId="38" fillId="0" borderId="0" xfId="0" applyFont="1" applyAlignment="1">
      <alignment vertical="top" wrapText="1"/>
    </xf>
    <xf numFmtId="0" fontId="39" fillId="0" borderId="20" xfId="0" applyFont="1" applyBorder="1"/>
    <xf numFmtId="0" fontId="39" fillId="0" borderId="21" xfId="0" applyFont="1" applyBorder="1"/>
    <xf numFmtId="0" fontId="38" fillId="0" borderId="5" xfId="0" applyFont="1" applyBorder="1" applyAlignment="1">
      <alignment horizontal="center"/>
    </xf>
    <xf numFmtId="166" fontId="48" fillId="0" borderId="62" xfId="1" applyNumberFormat="1" applyFont="1" applyFill="1" applyBorder="1"/>
    <xf numFmtId="166" fontId="39" fillId="0" borderId="34" xfId="0" applyNumberFormat="1" applyFont="1" applyBorder="1"/>
    <xf numFmtId="49" fontId="39" fillId="0" borderId="0" xfId="0" applyNumberFormat="1" applyFont="1" applyAlignment="1">
      <alignment horizontal="center"/>
    </xf>
    <xf numFmtId="0" fontId="38" fillId="0" borderId="21" xfId="0" applyFont="1" applyBorder="1"/>
    <xf numFmtId="49" fontId="38" fillId="0" borderId="22" xfId="0" applyNumberFormat="1" applyFont="1" applyBorder="1" applyAlignment="1">
      <alignment horizontal="center"/>
    </xf>
    <xf numFmtId="49" fontId="38" fillId="0" borderId="1" xfId="0" applyNumberFormat="1" applyFont="1" applyBorder="1" applyAlignment="1">
      <alignment horizontal="center"/>
    </xf>
    <xf numFmtId="0" fontId="38" fillId="0" borderId="1" xfId="0" applyFont="1" applyBorder="1"/>
    <xf numFmtId="0" fontId="38" fillId="0" borderId="6" xfId="0" applyFont="1" applyBorder="1"/>
    <xf numFmtId="166" fontId="38" fillId="0" borderId="63" xfId="0" applyNumberFormat="1" applyFont="1" applyBorder="1"/>
    <xf numFmtId="49" fontId="38" fillId="0" borderId="12" xfId="0" applyNumberFormat="1" applyFont="1" applyBorder="1" applyAlignment="1">
      <alignment horizontal="left"/>
    </xf>
    <xf numFmtId="0" fontId="49" fillId="0" borderId="14" xfId="0" applyFont="1" applyBorder="1" applyAlignment="1">
      <alignment horizontal="left"/>
    </xf>
    <xf numFmtId="49" fontId="38" fillId="0" borderId="15" xfId="0" applyNumberFormat="1" applyFont="1" applyBorder="1" applyAlignment="1">
      <alignment horizontal="center"/>
    </xf>
    <xf numFmtId="0" fontId="49" fillId="0" borderId="15" xfId="0" applyFont="1" applyBorder="1" applyAlignment="1">
      <alignment horizontal="left"/>
    </xf>
    <xf numFmtId="166" fontId="41" fillId="0" borderId="31" xfId="0" applyNumberFormat="1" applyFont="1" applyBorder="1"/>
    <xf numFmtId="0" fontId="39" fillId="0" borderId="9" xfId="22" applyFont="1" applyBorder="1" applyAlignment="1">
      <alignment vertical="top"/>
    </xf>
    <xf numFmtId="0" fontId="38" fillId="0" borderId="10" xfId="22" applyFont="1" applyBorder="1" applyAlignment="1">
      <alignment vertical="top"/>
    </xf>
    <xf numFmtId="49" fontId="38" fillId="0" borderId="10" xfId="0" applyNumberFormat="1" applyFont="1" applyBorder="1" applyAlignment="1">
      <alignment horizontal="center" vertical="center"/>
    </xf>
    <xf numFmtId="166" fontId="40" fillId="0" borderId="10" xfId="0" applyNumberFormat="1" applyFont="1" applyBorder="1" applyAlignment="1">
      <alignment vertical="center" wrapText="1"/>
    </xf>
    <xf numFmtId="166" fontId="41" fillId="0" borderId="11" xfId="0" applyNumberFormat="1" applyFont="1" applyBorder="1"/>
    <xf numFmtId="0" fontId="39" fillId="0" borderId="12" xfId="22" applyFont="1" applyBorder="1" applyAlignment="1">
      <alignment vertical="top"/>
    </xf>
    <xf numFmtId="0" fontId="38" fillId="0" borderId="0" xfId="22" applyFont="1" applyAlignment="1">
      <alignment vertical="top"/>
    </xf>
    <xf numFmtId="166" fontId="41" fillId="0" borderId="13" xfId="0" applyNumberFormat="1" applyFont="1" applyBorder="1"/>
    <xf numFmtId="0" fontId="39" fillId="0" borderId="0" xfId="22" applyFont="1" applyAlignment="1">
      <alignment vertical="top"/>
    </xf>
    <xf numFmtId="0" fontId="39" fillId="0" borderId="0" xfId="22" applyFont="1" applyAlignment="1">
      <alignment horizontal="left" vertical="top"/>
    </xf>
    <xf numFmtId="0" fontId="40" fillId="0" borderId="0" xfId="0" applyFont="1"/>
    <xf numFmtId="0" fontId="41" fillId="0" borderId="13" xfId="0" applyFont="1" applyBorder="1"/>
    <xf numFmtId="49" fontId="39" fillId="0" borderId="12" xfId="0" applyNumberFormat="1" applyFont="1" applyBorder="1" applyAlignment="1">
      <alignment horizontal="left" vertical="top"/>
    </xf>
    <xf numFmtId="0" fontId="39" fillId="0" borderId="12" xfId="22" applyFont="1" applyBorder="1" applyAlignment="1">
      <alignment horizontal="left" vertical="top"/>
    </xf>
    <xf numFmtId="166" fontId="39" fillId="0" borderId="0" xfId="0" applyNumberFormat="1" applyFont="1" applyAlignment="1">
      <alignment horizontal="left" vertical="top"/>
    </xf>
    <xf numFmtId="168" fontId="38" fillId="0" borderId="12" xfId="14" applyFont="1" applyFill="1" applyBorder="1" applyAlignment="1" applyProtection="1">
      <alignment vertical="top"/>
    </xf>
    <xf numFmtId="168" fontId="38" fillId="0" borderId="0" xfId="14" applyFont="1" applyFill="1" applyBorder="1" applyAlignment="1" applyProtection="1">
      <alignment vertical="top"/>
    </xf>
    <xf numFmtId="172" fontId="39" fillId="0" borderId="0" xfId="22" applyNumberFormat="1" applyFont="1" applyAlignment="1">
      <alignment vertical="top"/>
    </xf>
    <xf numFmtId="172" fontId="39" fillId="0" borderId="0" xfId="22" applyNumberFormat="1" applyFont="1" applyAlignment="1">
      <alignment horizontal="left" vertical="top"/>
    </xf>
    <xf numFmtId="49" fontId="38" fillId="0" borderId="14" xfId="0" applyNumberFormat="1" applyFont="1" applyBorder="1"/>
    <xf numFmtId="49" fontId="38" fillId="0" borderId="15" xfId="0" applyNumberFormat="1" applyFont="1" applyBorder="1"/>
    <xf numFmtId="0" fontId="38" fillId="0" borderId="15" xfId="0" applyFont="1" applyBorder="1"/>
    <xf numFmtId="166" fontId="40" fillId="0" borderId="15" xfId="0" applyNumberFormat="1" applyFont="1" applyBorder="1"/>
    <xf numFmtId="166" fontId="41" fillId="0" borderId="16" xfId="0" applyNumberFormat="1" applyFont="1" applyBorder="1"/>
    <xf numFmtId="166" fontId="38" fillId="0" borderId="10" xfId="0" applyNumberFormat="1" applyFont="1" applyBorder="1"/>
    <xf numFmtId="0" fontId="39" fillId="0" borderId="15" xfId="0" applyFont="1" applyBorder="1" applyAlignment="1">
      <alignment horizontal="left"/>
    </xf>
    <xf numFmtId="166" fontId="38" fillId="0" borderId="15" xfId="0" applyNumberFormat="1" applyFont="1" applyBorder="1"/>
    <xf numFmtId="49" fontId="50" fillId="0" borderId="0" xfId="0" applyNumberFormat="1" applyFont="1"/>
    <xf numFmtId="0" fontId="39" fillId="0" borderId="24" xfId="0" applyFont="1" applyBorder="1" applyAlignment="1">
      <alignment horizontal="center" vertical="center" wrapText="1"/>
    </xf>
    <xf numFmtId="166" fontId="39" fillId="0" borderId="25" xfId="0" applyNumberFormat="1" applyFont="1" applyBorder="1" applyAlignment="1">
      <alignment horizontal="center" vertical="center" wrapText="1"/>
    </xf>
    <xf numFmtId="166" fontId="48" fillId="0" borderId="33" xfId="0" applyNumberFormat="1" applyFont="1" applyBorder="1" applyAlignment="1">
      <alignment horizontal="center" vertical="center" wrapText="1"/>
    </xf>
    <xf numFmtId="49" fontId="39" fillId="0" borderId="9" xfId="0" applyNumberFormat="1" applyFont="1" applyBorder="1" applyAlignment="1">
      <alignment horizontal="left" vertical="top"/>
    </xf>
    <xf numFmtId="49" fontId="38" fillId="0" borderId="10" xfId="0" applyNumberFormat="1" applyFont="1" applyBorder="1" applyAlignment="1">
      <alignment horizontal="center"/>
    </xf>
    <xf numFmtId="0" fontId="38" fillId="0" borderId="26" xfId="0" applyFont="1" applyBorder="1"/>
    <xf numFmtId="166" fontId="38" fillId="0" borderId="27" xfId="0" applyNumberFormat="1" applyFont="1" applyBorder="1"/>
    <xf numFmtId="0" fontId="38" fillId="0" borderId="2" xfId="0" applyFont="1" applyBorder="1" applyAlignment="1">
      <alignment horizontal="center"/>
    </xf>
    <xf numFmtId="166" fontId="38" fillId="0" borderId="28" xfId="0" applyNumberFormat="1" applyFont="1" applyBorder="1"/>
    <xf numFmtId="166" fontId="38" fillId="0" borderId="29" xfId="0" applyNumberFormat="1" applyFont="1" applyBorder="1"/>
    <xf numFmtId="49" fontId="39" fillId="0" borderId="12" xfId="0" applyNumberFormat="1" applyFont="1" applyBorder="1" applyAlignment="1">
      <alignment horizontal="left"/>
    </xf>
    <xf numFmtId="166" fontId="39" fillId="0" borderId="28" xfId="0" applyNumberFormat="1" applyFont="1" applyBorder="1"/>
    <xf numFmtId="166" fontId="48" fillId="0" borderId="53" xfId="0" applyNumberFormat="1" applyFont="1" applyBorder="1"/>
    <xf numFmtId="166" fontId="38" fillId="0" borderId="28" xfId="0" applyNumberFormat="1" applyFont="1" applyBorder="1" applyAlignment="1">
      <alignment horizontal="center"/>
    </xf>
    <xf numFmtId="164" fontId="38" fillId="0" borderId="0" xfId="0" applyNumberFormat="1" applyFont="1"/>
    <xf numFmtId="166" fontId="38" fillId="0" borderId="29" xfId="0" applyNumberFormat="1" applyFont="1" applyBorder="1" applyAlignment="1">
      <alignment horizontal="center"/>
    </xf>
    <xf numFmtId="49" fontId="39" fillId="0" borderId="12" xfId="0" applyNumberFormat="1" applyFont="1" applyBorder="1"/>
    <xf numFmtId="49" fontId="39" fillId="0" borderId="0" xfId="0" applyNumberFormat="1" applyFont="1"/>
    <xf numFmtId="49" fontId="39" fillId="0" borderId="7" xfId="0" applyNumberFormat="1" applyFont="1" applyBorder="1"/>
    <xf numFmtId="166" fontId="39" fillId="0" borderId="28" xfId="0" applyNumberFormat="1" applyFont="1" applyBorder="1" applyAlignment="1">
      <alignment horizontal="center"/>
    </xf>
    <xf numFmtId="166" fontId="41" fillId="0" borderId="29" xfId="0" applyNumberFormat="1" applyFont="1" applyBorder="1"/>
    <xf numFmtId="0" fontId="39" fillId="0" borderId="12" xfId="0" applyFont="1" applyBorder="1"/>
    <xf numFmtId="166" fontId="41" fillId="0" borderId="29" xfId="1" applyNumberFormat="1" applyFont="1" applyFill="1" applyBorder="1"/>
    <xf numFmtId="166" fontId="41" fillId="0" borderId="13" xfId="1" applyNumberFormat="1" applyFont="1" applyFill="1" applyBorder="1"/>
    <xf numFmtId="166" fontId="39" fillId="0" borderId="30" xfId="0" applyNumberFormat="1" applyFont="1" applyBorder="1" applyAlignment="1">
      <alignment horizontal="center"/>
    </xf>
    <xf numFmtId="0" fontId="38" fillId="0" borderId="8" xfId="0" applyFont="1" applyBorder="1" applyAlignment="1">
      <alignment horizontal="center"/>
    </xf>
    <xf numFmtId="166" fontId="38" fillId="0" borderId="28" xfId="0" applyNumberFormat="1" applyFont="1" applyBorder="1" applyAlignment="1">
      <alignment horizontal="right"/>
    </xf>
    <xf numFmtId="49" fontId="38" fillId="0" borderId="9" xfId="0" applyNumberFormat="1" applyFont="1" applyBorder="1" applyAlignment="1">
      <alignment horizontal="left"/>
    </xf>
    <xf numFmtId="49" fontId="38" fillId="0" borderId="10" xfId="0" applyNumberFormat="1" applyFont="1" applyBorder="1" applyAlignment="1">
      <alignment horizontal="left"/>
    </xf>
    <xf numFmtId="49" fontId="39" fillId="0" borderId="10" xfId="0" applyNumberFormat="1" applyFont="1" applyBorder="1" applyAlignment="1">
      <alignment horizontal="left"/>
    </xf>
    <xf numFmtId="0" fontId="38" fillId="0" borderId="11" xfId="0" applyFont="1" applyBorder="1"/>
    <xf numFmtId="166" fontId="41" fillId="0" borderId="27" xfId="0" applyNumberFormat="1" applyFont="1" applyBorder="1"/>
    <xf numFmtId="0" fontId="49" fillId="0" borderId="16" xfId="0" applyFont="1" applyBorder="1" applyAlignment="1">
      <alignment horizontal="left"/>
    </xf>
    <xf numFmtId="166" fontId="38" fillId="0" borderId="31" xfId="0" applyNumberFormat="1" applyFont="1" applyBorder="1"/>
    <xf numFmtId="166" fontId="38" fillId="0" borderId="10" xfId="0" applyNumberFormat="1" applyFont="1" applyBorder="1" applyAlignment="1">
      <alignment vertical="center" wrapText="1"/>
    </xf>
    <xf numFmtId="0" fontId="41" fillId="0" borderId="11" xfId="0" applyFont="1" applyBorder="1"/>
    <xf numFmtId="0" fontId="38" fillId="0" borderId="12" xfId="22" applyFont="1" applyBorder="1" applyAlignment="1">
      <alignment vertical="top"/>
    </xf>
    <xf numFmtId="0" fontId="41" fillId="0" borderId="16" xfId="0" applyFont="1" applyBorder="1"/>
    <xf numFmtId="166" fontId="51" fillId="0" borderId="10" xfId="0" applyNumberFormat="1" applyFont="1" applyBorder="1"/>
    <xf numFmtId="166" fontId="51" fillId="0" borderId="11" xfId="0" applyNumberFormat="1" applyFont="1" applyBorder="1"/>
    <xf numFmtId="0" fontId="51" fillId="0" borderId="0" xfId="0" applyFont="1"/>
    <xf numFmtId="166" fontId="51" fillId="0" borderId="0" xfId="0" applyNumberFormat="1" applyFont="1"/>
    <xf numFmtId="166" fontId="51" fillId="0" borderId="13" xfId="0" applyNumberFormat="1" applyFont="1" applyBorder="1"/>
    <xf numFmtId="166" fontId="51" fillId="0" borderId="15" xfId="0" applyNumberFormat="1" applyFont="1" applyBorder="1"/>
    <xf numFmtId="166" fontId="51" fillId="0" borderId="16" xfId="0" applyNumberFormat="1" applyFont="1" applyBorder="1"/>
    <xf numFmtId="0" fontId="39" fillId="0" borderId="0" xfId="0" applyFont="1" applyAlignment="1">
      <alignment vertical="top"/>
    </xf>
    <xf numFmtId="0" fontId="39" fillId="0" borderId="17" xfId="0" applyFont="1" applyBorder="1" applyAlignment="1">
      <alignment horizontal="center" vertical="center" wrapText="1"/>
    </xf>
    <xf numFmtId="166" fontId="39" fillId="0" borderId="25" xfId="0" applyNumberFormat="1" applyFont="1" applyBorder="1" applyAlignment="1">
      <alignment vertical="center"/>
    </xf>
    <xf numFmtId="166" fontId="39" fillId="0" borderId="33" xfId="0" applyNumberFormat="1" applyFont="1" applyBorder="1" applyAlignment="1">
      <alignment vertical="center"/>
    </xf>
    <xf numFmtId="166" fontId="39" fillId="0" borderId="0" xfId="0" applyNumberFormat="1" applyFont="1" applyAlignment="1">
      <alignment vertical="center"/>
    </xf>
    <xf numFmtId="166" fontId="38" fillId="0" borderId="11" xfId="0" applyNumberFormat="1" applyFont="1" applyBorder="1"/>
    <xf numFmtId="166" fontId="38" fillId="0" borderId="28" xfId="0" applyNumberFormat="1" applyFont="1" applyBorder="1" applyAlignment="1">
      <alignment vertical="center"/>
    </xf>
    <xf numFmtId="166" fontId="38" fillId="0" borderId="13" xfId="0" applyNumberFormat="1" applyFont="1" applyBorder="1" applyAlignment="1">
      <alignment vertical="center"/>
    </xf>
    <xf numFmtId="166" fontId="38" fillId="0" borderId="0" xfId="0" applyNumberFormat="1" applyFont="1" applyAlignment="1">
      <alignment vertical="center"/>
    </xf>
    <xf numFmtId="166" fontId="39" fillId="0" borderId="13" xfId="0" applyNumberFormat="1" applyFont="1" applyBorder="1" applyAlignment="1">
      <alignment vertical="center"/>
    </xf>
    <xf numFmtId="0" fontId="38" fillId="0" borderId="14" xfId="0" applyFont="1" applyBorder="1"/>
    <xf numFmtId="166" fontId="38" fillId="0" borderId="31" xfId="0" applyNumberFormat="1" applyFont="1" applyBorder="1" applyAlignment="1">
      <alignment vertical="center"/>
    </xf>
    <xf numFmtId="166" fontId="38" fillId="0" borderId="16" xfId="0" applyNumberFormat="1" applyFont="1" applyBorder="1" applyAlignment="1">
      <alignment vertical="center"/>
    </xf>
    <xf numFmtId="0" fontId="39" fillId="0" borderId="9" xfId="0" applyFont="1" applyBorder="1" applyAlignment="1">
      <alignment horizontal="center" vertical="center" wrapText="1"/>
    </xf>
    <xf numFmtId="0" fontId="38" fillId="0" borderId="17" xfId="0" applyFont="1" applyBorder="1"/>
    <xf numFmtId="166" fontId="39" fillId="0" borderId="43" xfId="0" applyNumberFormat="1" applyFont="1" applyBorder="1" applyAlignment="1">
      <alignment horizontal="center"/>
    </xf>
    <xf numFmtId="166" fontId="39" fillId="0" borderId="24" xfId="0" applyNumberFormat="1" applyFont="1" applyBorder="1" applyAlignment="1">
      <alignment vertical="center"/>
    </xf>
    <xf numFmtId="166" fontId="39" fillId="0" borderId="57" xfId="0" applyNumberFormat="1" applyFont="1" applyBorder="1" applyAlignment="1">
      <alignment vertical="center"/>
    </xf>
    <xf numFmtId="164" fontId="38" fillId="0" borderId="37" xfId="0" applyNumberFormat="1" applyFont="1" applyBorder="1"/>
    <xf numFmtId="166" fontId="38" fillId="0" borderId="26" xfId="0" applyNumberFormat="1" applyFont="1" applyBorder="1" applyAlignment="1">
      <alignment vertical="center"/>
    </xf>
    <xf numFmtId="181" fontId="38" fillId="0" borderId="37" xfId="0" applyNumberFormat="1" applyFont="1" applyBorder="1"/>
    <xf numFmtId="166" fontId="38" fillId="0" borderId="79" xfId="0" applyNumberFormat="1" applyFont="1" applyBorder="1" applyAlignment="1">
      <alignment vertical="center"/>
    </xf>
    <xf numFmtId="181" fontId="38" fillId="0" borderId="2" xfId="0" applyNumberFormat="1" applyFont="1" applyBorder="1" applyAlignment="1">
      <alignment vertical="center"/>
    </xf>
    <xf numFmtId="181" fontId="38" fillId="0" borderId="34" xfId="0" applyNumberFormat="1" applyFont="1" applyBorder="1" applyAlignment="1">
      <alignment vertical="center"/>
    </xf>
    <xf numFmtId="181" fontId="38" fillId="0" borderId="8" xfId="0" applyNumberFormat="1" applyFont="1" applyBorder="1" applyAlignment="1">
      <alignment vertical="center"/>
    </xf>
    <xf numFmtId="181" fontId="38" fillId="0" borderId="59" xfId="0" applyNumberFormat="1" applyFont="1" applyBorder="1" applyAlignment="1">
      <alignment vertical="center"/>
    </xf>
    <xf numFmtId="181" fontId="38" fillId="0" borderId="44" xfId="0" applyNumberFormat="1" applyFont="1" applyBorder="1" applyAlignment="1">
      <alignment vertical="center"/>
    </xf>
    <xf numFmtId="164" fontId="39" fillId="0" borderId="45" xfId="0" applyNumberFormat="1" applyFont="1" applyBorder="1"/>
    <xf numFmtId="166" fontId="39" fillId="0" borderId="46" xfId="0" applyNumberFormat="1" applyFont="1" applyBorder="1" applyAlignment="1">
      <alignment vertical="center"/>
    </xf>
    <xf numFmtId="181" fontId="39" fillId="0" borderId="45" xfId="0" applyNumberFormat="1" applyFont="1" applyBorder="1" applyAlignment="1">
      <alignment vertical="center"/>
    </xf>
    <xf numFmtId="166" fontId="39" fillId="0" borderId="63" xfId="0" applyNumberFormat="1" applyFont="1" applyBorder="1" applyAlignment="1">
      <alignment vertical="center"/>
    </xf>
    <xf numFmtId="166" fontId="38" fillId="0" borderId="38" xfId="0" applyNumberFormat="1" applyFont="1" applyBorder="1"/>
    <xf numFmtId="166" fontId="38" fillId="0" borderId="40" xfId="0" applyNumberFormat="1" applyFont="1" applyBorder="1" applyAlignment="1">
      <alignment vertical="center"/>
    </xf>
    <xf numFmtId="166" fontId="38" fillId="0" borderId="48" xfId="0" applyNumberFormat="1" applyFont="1" applyBorder="1" applyAlignment="1">
      <alignment vertical="center"/>
    </xf>
    <xf numFmtId="166" fontId="38" fillId="0" borderId="47" xfId="0" applyNumberFormat="1" applyFont="1" applyBorder="1" applyAlignment="1">
      <alignment vertical="center"/>
    </xf>
    <xf numFmtId="166" fontId="39" fillId="0" borderId="48" xfId="0" applyNumberFormat="1" applyFont="1" applyBorder="1" applyAlignment="1">
      <alignment horizontal="center" vertical="center" wrapText="1"/>
    </xf>
    <xf numFmtId="166" fontId="39" fillId="0" borderId="39" xfId="0" applyNumberFormat="1" applyFont="1" applyBorder="1" applyAlignment="1">
      <alignment horizontal="center" vertical="center" wrapText="1"/>
    </xf>
    <xf numFmtId="166" fontId="39" fillId="0" borderId="47" xfId="0" applyNumberFormat="1" applyFont="1" applyBorder="1" applyAlignment="1">
      <alignment horizontal="center" vertical="center" wrapText="1"/>
    </xf>
    <xf numFmtId="0" fontId="39" fillId="0" borderId="12" xfId="0" applyFont="1" applyBorder="1" applyAlignment="1">
      <alignment horizontal="center" vertical="center" wrapText="1"/>
    </xf>
    <xf numFmtId="166" fontId="39" fillId="0" borderId="37" xfId="0" applyNumberFormat="1" applyFont="1" applyBorder="1" applyAlignment="1">
      <alignment horizontal="center" vertical="center" wrapText="1"/>
    </xf>
    <xf numFmtId="166" fontId="39" fillId="0" borderId="4" xfId="0" applyNumberFormat="1" applyFont="1" applyBorder="1" applyAlignment="1">
      <alignment horizontal="center" vertical="center" wrapText="1"/>
    </xf>
    <xf numFmtId="166" fontId="39" fillId="0" borderId="13" xfId="0" applyNumberFormat="1" applyFont="1" applyBorder="1" applyAlignment="1">
      <alignment horizontal="center" vertical="center" wrapText="1"/>
    </xf>
    <xf numFmtId="166" fontId="38" fillId="0" borderId="4" xfId="0" applyNumberFormat="1" applyFont="1" applyBorder="1"/>
    <xf numFmtId="10" fontId="38" fillId="0" borderId="13" xfId="0" applyNumberFormat="1" applyFont="1" applyBorder="1"/>
    <xf numFmtId="166" fontId="38" fillId="0" borderId="23" xfId="0" applyNumberFormat="1" applyFont="1" applyBorder="1"/>
    <xf numFmtId="166" fontId="38" fillId="0" borderId="16" xfId="0" applyNumberFormat="1" applyFont="1" applyBorder="1"/>
    <xf numFmtId="0" fontId="39" fillId="0" borderId="28" xfId="0" applyFont="1" applyBorder="1"/>
    <xf numFmtId="166" fontId="38" fillId="0" borderId="78" xfId="0" applyNumberFormat="1" applyFont="1" applyBorder="1"/>
    <xf numFmtId="0" fontId="38" fillId="0" borderId="28" xfId="0" applyFont="1" applyBorder="1"/>
    <xf numFmtId="164" fontId="38" fillId="0" borderId="12" xfId="0" applyNumberFormat="1" applyFont="1" applyBorder="1"/>
    <xf numFmtId="10" fontId="38" fillId="0" borderId="4" xfId="0" applyNumberFormat="1" applyFont="1" applyBorder="1"/>
    <xf numFmtId="0" fontId="38" fillId="0" borderId="31" xfId="0" applyFont="1" applyBorder="1"/>
    <xf numFmtId="166" fontId="39" fillId="0" borderId="17" xfId="0" applyNumberFormat="1" applyFont="1" applyBorder="1" applyAlignment="1">
      <alignment vertical="center"/>
    </xf>
    <xf numFmtId="166" fontId="38" fillId="0" borderId="12" xfId="0" applyNumberFormat="1" applyFont="1" applyBorder="1"/>
    <xf numFmtId="166" fontId="38" fillId="0" borderId="22" xfId="0" applyNumberFormat="1" applyFont="1" applyBorder="1"/>
    <xf numFmtId="166" fontId="39" fillId="0" borderId="20" xfId="0" applyNumberFormat="1" applyFont="1" applyBorder="1"/>
    <xf numFmtId="166" fontId="39" fillId="0" borderId="63" xfId="0" applyNumberFormat="1" applyFont="1" applyBorder="1"/>
    <xf numFmtId="166" fontId="38" fillId="0" borderId="20" xfId="0" applyNumberFormat="1" applyFont="1" applyBorder="1"/>
    <xf numFmtId="166" fontId="39" fillId="0" borderId="54" xfId="0" applyNumberFormat="1" applyFont="1" applyBorder="1"/>
    <xf numFmtId="166" fontId="39" fillId="0" borderId="30" xfId="0" applyNumberFormat="1" applyFont="1" applyBorder="1"/>
    <xf numFmtId="166" fontId="38" fillId="0" borderId="56" xfId="0" applyNumberFormat="1" applyFont="1" applyBorder="1"/>
    <xf numFmtId="166" fontId="38" fillId="0" borderId="91" xfId="0" applyNumberFormat="1" applyFont="1" applyBorder="1"/>
    <xf numFmtId="0" fontId="39" fillId="0" borderId="25" xfId="0" applyFont="1" applyBorder="1"/>
    <xf numFmtId="166" fontId="39" fillId="0" borderId="27" xfId="0" applyNumberFormat="1" applyFont="1" applyBorder="1"/>
    <xf numFmtId="166" fontId="39" fillId="0" borderId="13" xfId="0" applyNumberFormat="1" applyFont="1" applyBorder="1"/>
    <xf numFmtId="43" fontId="39" fillId="0" borderId="28" xfId="1" applyFont="1" applyBorder="1"/>
    <xf numFmtId="182" fontId="52" fillId="0" borderId="0" xfId="2" applyNumberFormat="1" applyFont="1" applyFill="1" applyBorder="1" applyAlignment="1">
      <alignment vertical="center"/>
    </xf>
    <xf numFmtId="182" fontId="53" fillId="0" borderId="0" xfId="2" applyNumberFormat="1" applyFont="1" applyFill="1" applyAlignment="1">
      <alignment horizontal="right"/>
    </xf>
    <xf numFmtId="0" fontId="38" fillId="0" borderId="28" xfId="0" applyFont="1" applyBorder="1" applyAlignment="1">
      <alignment horizontal="left" indent="3"/>
    </xf>
    <xf numFmtId="166" fontId="39" fillId="0" borderId="41" xfId="0" applyNumberFormat="1" applyFont="1" applyBorder="1"/>
    <xf numFmtId="0" fontId="38" fillId="0" borderId="27" xfId="0" applyFont="1" applyBorder="1" applyAlignment="1">
      <alignment horizontal="left" indent="3"/>
    </xf>
    <xf numFmtId="166" fontId="39" fillId="0" borderId="32" xfId="0" applyNumberFormat="1" applyFont="1" applyBorder="1"/>
    <xf numFmtId="0" fontId="39" fillId="0" borderId="27" xfId="0" applyFont="1" applyBorder="1"/>
    <xf numFmtId="166" fontId="38" fillId="0" borderId="79" xfId="0" applyNumberFormat="1" applyFont="1" applyBorder="1"/>
    <xf numFmtId="166" fontId="39" fillId="0" borderId="58" xfId="0" applyNumberFormat="1" applyFont="1" applyBorder="1"/>
    <xf numFmtId="166" fontId="39" fillId="0" borderId="0" xfId="0" applyNumberFormat="1" applyFont="1"/>
    <xf numFmtId="49" fontId="55" fillId="0" borderId="11" xfId="0" applyNumberFormat="1" applyFont="1" applyBorder="1"/>
    <xf numFmtId="49" fontId="42" fillId="0" borderId="10" xfId="0" applyNumberFormat="1" applyFont="1" applyBorder="1"/>
    <xf numFmtId="166" fontId="43" fillId="0" borderId="10" xfId="0" applyNumberFormat="1" applyFont="1" applyBorder="1"/>
    <xf numFmtId="166" fontId="43" fillId="0" borderId="11" xfId="0" applyNumberFormat="1" applyFont="1" applyBorder="1"/>
    <xf numFmtId="166" fontId="43" fillId="0" borderId="0" xfId="0" applyNumberFormat="1" applyFont="1"/>
    <xf numFmtId="49" fontId="55" fillId="0" borderId="13" xfId="0" applyNumberFormat="1" applyFont="1" applyBorder="1"/>
    <xf numFmtId="166" fontId="43" fillId="0" borderId="13" xfId="0" applyNumberFormat="1" applyFont="1" applyBorder="1"/>
    <xf numFmtId="49" fontId="55" fillId="0" borderId="16" xfId="0" applyNumberFormat="1" applyFont="1" applyBorder="1"/>
    <xf numFmtId="166" fontId="43" fillId="0" borderId="15" xfId="0" applyNumberFormat="1" applyFont="1" applyBorder="1"/>
    <xf numFmtId="166" fontId="43" fillId="0" borderId="16" xfId="0" applyNumberFormat="1" applyFont="1" applyBorder="1"/>
    <xf numFmtId="0" fontId="50" fillId="0" borderId="0" xfId="0" applyFont="1"/>
    <xf numFmtId="166" fontId="38" fillId="0" borderId="37" xfId="0" applyNumberFormat="1" applyFont="1" applyBorder="1"/>
    <xf numFmtId="166" fontId="38" fillId="0" borderId="13" xfId="26" applyNumberFormat="1" applyFont="1" applyFill="1" applyBorder="1" applyAlignment="1" applyProtection="1"/>
    <xf numFmtId="166" fontId="56" fillId="0" borderId="0" xfId="0" applyNumberFormat="1" applyFont="1"/>
    <xf numFmtId="0" fontId="56" fillId="0" borderId="0" xfId="0" applyFont="1"/>
    <xf numFmtId="0" fontId="39" fillId="0" borderId="80" xfId="0" applyFont="1" applyBorder="1"/>
    <xf numFmtId="0" fontId="39" fillId="0" borderId="81" xfId="0" applyFont="1" applyBorder="1"/>
    <xf numFmtId="0" fontId="39" fillId="0" borderId="82" xfId="0" applyFont="1" applyBorder="1"/>
    <xf numFmtId="166" fontId="39" fillId="0" borderId="82" xfId="0" applyNumberFormat="1" applyFont="1" applyBorder="1"/>
    <xf numFmtId="166" fontId="39" fillId="0" borderId="81" xfId="0" applyNumberFormat="1" applyFont="1" applyBorder="1"/>
    <xf numFmtId="166" fontId="39" fillId="0" borderId="83" xfId="0" applyNumberFormat="1" applyFont="1" applyBorder="1"/>
    <xf numFmtId="174" fontId="41" fillId="43" borderId="0" xfId="0" applyNumberFormat="1" applyFont="1" applyFill="1" applyAlignment="1">
      <alignment horizontal="center"/>
    </xf>
    <xf numFmtId="0" fontId="48" fillId="44" borderId="5" xfId="0" applyFont="1" applyFill="1" applyBorder="1" applyAlignment="1">
      <alignment horizontal="center" vertical="center" wrapText="1"/>
    </xf>
    <xf numFmtId="15" fontId="48" fillId="44" borderId="5" xfId="0" applyNumberFormat="1" applyFont="1" applyFill="1" applyBorder="1" applyAlignment="1">
      <alignment horizontal="center" vertical="center" wrapText="1"/>
    </xf>
    <xf numFmtId="10" fontId="48" fillId="44" borderId="5" xfId="0" applyNumberFormat="1" applyFont="1" applyFill="1" applyBorder="1" applyAlignment="1">
      <alignment horizontal="center" vertical="center" wrapText="1"/>
    </xf>
    <xf numFmtId="166" fontId="48" fillId="44" borderId="5" xfId="25" applyFont="1" applyFill="1" applyBorder="1" applyAlignment="1">
      <alignment horizontal="center" vertical="center" wrapText="1"/>
    </xf>
    <xf numFmtId="166" fontId="48" fillId="44" borderId="5" xfId="0" applyNumberFormat="1" applyFont="1" applyFill="1" applyBorder="1" applyAlignment="1">
      <alignment horizontal="center" vertical="center" wrapText="1"/>
    </xf>
    <xf numFmtId="0" fontId="41" fillId="0" borderId="5" xfId="0" applyFont="1" applyBorder="1"/>
    <xf numFmtId="0" fontId="41" fillId="0" borderId="5" xfId="0" applyFont="1" applyBorder="1" applyAlignment="1">
      <alignment wrapText="1"/>
    </xf>
    <xf numFmtId="10" fontId="41" fillId="0" borderId="5" xfId="0" applyNumberFormat="1" applyFont="1" applyBorder="1"/>
    <xf numFmtId="0" fontId="41" fillId="0" borderId="5" xfId="0" applyFont="1" applyBorder="1" applyAlignment="1">
      <alignment horizontal="center" vertical="center"/>
    </xf>
    <xf numFmtId="166" fontId="41" fillId="0" borderId="5" xfId="0" applyNumberFormat="1" applyFont="1" applyBorder="1"/>
    <xf numFmtId="166" fontId="41" fillId="0" borderId="5" xfId="25" applyFont="1" applyFill="1" applyBorder="1" applyAlignment="1">
      <alignment horizontal="center"/>
    </xf>
    <xf numFmtId="166" fontId="38" fillId="0" borderId="0" xfId="0" applyNumberFormat="1" applyFont="1" applyAlignment="1">
      <alignment horizontal="center" vertical="center"/>
    </xf>
    <xf numFmtId="14" fontId="38" fillId="0" borderId="0" xfId="0" applyNumberFormat="1" applyFont="1"/>
    <xf numFmtId="0" fontId="41" fillId="0" borderId="0" xfId="0" applyFont="1"/>
    <xf numFmtId="10" fontId="41" fillId="0" borderId="0" xfId="0" applyNumberFormat="1" applyFont="1"/>
    <xf numFmtId="0" fontId="48" fillId="0" borderId="0" xfId="18" applyFont="1" applyAlignment="1">
      <alignment vertical="center"/>
    </xf>
    <xf numFmtId="180" fontId="53" fillId="0" borderId="0" xfId="2" applyNumberFormat="1" applyFont="1" applyFill="1" applyAlignment="1">
      <alignment horizontal="right"/>
    </xf>
    <xf numFmtId="0" fontId="48" fillId="0" borderId="25" xfId="18" applyFont="1" applyBorder="1" applyAlignment="1">
      <alignment horizontal="center" vertical="center"/>
    </xf>
    <xf numFmtId="43" fontId="41" fillId="0" borderId="13" xfId="1" applyFont="1" applyFill="1" applyBorder="1" applyAlignment="1">
      <alignment vertical="center"/>
    </xf>
    <xf numFmtId="166" fontId="39" fillId="0" borderId="14" xfId="0" applyNumberFormat="1" applyFont="1" applyBorder="1"/>
    <xf numFmtId="180" fontId="48" fillId="0" borderId="0" xfId="2" applyNumberFormat="1" applyFont="1" applyFill="1" applyBorder="1" applyAlignment="1">
      <alignment vertical="center"/>
    </xf>
    <xf numFmtId="0" fontId="48" fillId="0" borderId="99" xfId="18" applyFont="1" applyBorder="1" applyAlignment="1">
      <alignment horizontal="center" vertical="center"/>
    </xf>
    <xf numFmtId="0" fontId="57" fillId="0" borderId="94" xfId="18" applyFont="1" applyBorder="1" applyAlignment="1">
      <alignment horizontal="left" vertical="center"/>
    </xf>
    <xf numFmtId="43" fontId="57" fillId="0" borderId="93" xfId="1" applyFont="1" applyFill="1" applyBorder="1" applyAlignment="1">
      <alignment vertical="center"/>
    </xf>
    <xf numFmtId="43" fontId="57" fillId="0" borderId="95" xfId="1" applyFont="1" applyFill="1" applyBorder="1" applyAlignment="1">
      <alignment vertical="center"/>
    </xf>
    <xf numFmtId="0" fontId="41" fillId="0" borderId="94" xfId="18" applyFont="1" applyBorder="1" applyAlignment="1">
      <alignment horizontal="left" vertical="center"/>
    </xf>
    <xf numFmtId="43" fontId="41" fillId="0" borderId="93" xfId="1" applyFont="1" applyFill="1" applyBorder="1" applyAlignment="1">
      <alignment vertical="center"/>
    </xf>
    <xf numFmtId="43" fontId="41" fillId="0" borderId="95" xfId="1" applyFont="1" applyFill="1" applyBorder="1" applyAlignment="1">
      <alignment vertical="center"/>
    </xf>
    <xf numFmtId="0" fontId="41" fillId="0" borderId="94" xfId="18" applyFont="1" applyBorder="1" applyAlignment="1">
      <alignment vertical="center"/>
    </xf>
    <xf numFmtId="0" fontId="48" fillId="0" borderId="96" xfId="18" applyFont="1" applyBorder="1" applyAlignment="1">
      <alignment vertical="center"/>
    </xf>
    <xf numFmtId="43" fontId="48" fillId="0" borderId="97" xfId="1" applyFont="1" applyFill="1" applyBorder="1" applyAlignment="1">
      <alignment vertical="center"/>
    </xf>
    <xf numFmtId="43" fontId="48" fillId="0" borderId="98" xfId="1" applyFont="1" applyFill="1" applyBorder="1" applyAlignment="1">
      <alignment vertical="center"/>
    </xf>
    <xf numFmtId="180" fontId="48" fillId="0" borderId="0" xfId="2" applyNumberFormat="1" applyFont="1" applyFill="1" applyAlignment="1">
      <alignment horizontal="justify" vertical="center"/>
    </xf>
    <xf numFmtId="0" fontId="48" fillId="0" borderId="0" xfId="18" applyFont="1" applyAlignment="1">
      <alignment horizontal="justify" vertical="center"/>
    </xf>
    <xf numFmtId="0" fontId="48" fillId="0" borderId="0" xfId="18" applyFont="1" applyAlignment="1">
      <alignment horizontal="center" vertical="center"/>
    </xf>
    <xf numFmtId="0" fontId="48" fillId="0" borderId="0" xfId="18" applyFont="1" applyAlignment="1">
      <alignment horizontal="right" vertical="center"/>
    </xf>
    <xf numFmtId="0" fontId="48" fillId="0" borderId="0" xfId="18" applyFont="1" applyAlignment="1">
      <alignment horizontal="justify" vertical="center" wrapText="1"/>
    </xf>
    <xf numFmtId="180" fontId="48" fillId="0" borderId="0" xfId="2" applyNumberFormat="1" applyFont="1" applyFill="1" applyAlignment="1">
      <alignment horizontal="justify" vertical="center" wrapText="1"/>
    </xf>
    <xf numFmtId="43" fontId="48" fillId="0" borderId="0" xfId="2" applyFont="1" applyFill="1" applyAlignment="1">
      <alignment vertical="center"/>
    </xf>
    <xf numFmtId="0" fontId="48" fillId="0" borderId="92" xfId="23" applyFont="1" applyBorder="1"/>
    <xf numFmtId="180" fontId="48" fillId="0" borderId="5" xfId="2" applyNumberFormat="1" applyFont="1" applyFill="1" applyBorder="1" applyAlignment="1">
      <alignment horizontal="center"/>
    </xf>
    <xf numFmtId="181" fontId="48" fillId="0" borderId="5" xfId="25" applyNumberFormat="1" applyFont="1" applyFill="1" applyBorder="1" applyAlignment="1">
      <alignment horizontal="center"/>
    </xf>
    <xf numFmtId="0" fontId="48" fillId="0" borderId="5" xfId="23" applyFont="1" applyBorder="1" applyAlignment="1">
      <alignment horizontal="center"/>
    </xf>
    <xf numFmtId="0" fontId="48" fillId="0" borderId="5" xfId="23" applyFont="1" applyBorder="1" applyAlignment="1">
      <alignment horizontal="center" wrapText="1"/>
    </xf>
    <xf numFmtId="0" fontId="48" fillId="0" borderId="35" xfId="23" applyFont="1" applyBorder="1" applyAlignment="1">
      <alignment horizontal="center"/>
    </xf>
    <xf numFmtId="0" fontId="48" fillId="0" borderId="45" xfId="270" applyFont="1" applyBorder="1" applyAlignment="1">
      <alignment horizontal="left"/>
    </xf>
    <xf numFmtId="43" fontId="48" fillId="0" borderId="5" xfId="2" applyFont="1" applyFill="1" applyBorder="1" applyAlignment="1">
      <alignment horizontal="center" vertical="center"/>
    </xf>
    <xf numFmtId="166" fontId="48" fillId="0" borderId="35" xfId="25" applyFont="1" applyFill="1" applyBorder="1"/>
    <xf numFmtId="0" fontId="48" fillId="0" borderId="48" xfId="270" applyFont="1" applyBorder="1" applyAlignment="1">
      <alignment horizontal="left"/>
    </xf>
    <xf numFmtId="180" fontId="48" fillId="0" borderId="39" xfId="2" applyNumberFormat="1" applyFont="1" applyFill="1" applyBorder="1" applyAlignment="1">
      <alignment horizontal="center"/>
    </xf>
    <xf numFmtId="166" fontId="48" fillId="0" borderId="52" xfId="25" applyFont="1" applyFill="1" applyBorder="1"/>
    <xf numFmtId="166" fontId="50" fillId="0" borderId="0" xfId="0" applyNumberFormat="1" applyFont="1"/>
    <xf numFmtId="166" fontId="39" fillId="0" borderId="25" xfId="0" applyNumberFormat="1" applyFont="1" applyBorder="1" applyAlignment="1">
      <alignment horizontal="center" vertical="center"/>
    </xf>
    <xf numFmtId="166" fontId="39" fillId="0" borderId="27" xfId="0" applyNumberFormat="1" applyFont="1" applyBorder="1" applyAlignment="1">
      <alignment horizontal="center" vertical="center" wrapText="1"/>
    </xf>
    <xf numFmtId="166" fontId="39" fillId="0" borderId="12" xfId="0" applyNumberFormat="1" applyFont="1" applyBorder="1"/>
    <xf numFmtId="166" fontId="38" fillId="0" borderId="9" xfId="0" applyNumberFormat="1" applyFont="1" applyBorder="1"/>
    <xf numFmtId="0" fontId="38" fillId="0" borderId="27" xfId="0" applyFont="1" applyBorder="1"/>
    <xf numFmtId="166" fontId="38" fillId="0" borderId="12" xfId="0" applyNumberFormat="1" applyFont="1" applyBorder="1" applyAlignment="1">
      <alignment wrapText="1"/>
    </xf>
    <xf numFmtId="166" fontId="38" fillId="0" borderId="14" xfId="0" applyNumberFormat="1" applyFont="1" applyBorder="1"/>
    <xf numFmtId="43" fontId="38" fillId="0" borderId="25" xfId="0" applyNumberFormat="1" applyFont="1" applyBorder="1"/>
    <xf numFmtId="43" fontId="48" fillId="0" borderId="12" xfId="2" applyFont="1" applyFill="1" applyBorder="1" applyAlignment="1">
      <alignment horizontal="left" vertical="center"/>
    </xf>
    <xf numFmtId="180" fontId="48" fillId="0" borderId="13" xfId="2" applyNumberFormat="1" applyFont="1" applyFill="1" applyBorder="1" applyAlignment="1">
      <alignment horizontal="center" vertical="center"/>
    </xf>
    <xf numFmtId="43" fontId="41" fillId="0" borderId="12" xfId="2" applyFont="1" applyFill="1" applyBorder="1" applyAlignment="1">
      <alignment horizontal="left" vertical="top" indent="2"/>
    </xf>
    <xf numFmtId="43" fontId="41" fillId="0" borderId="28" xfId="1" applyFont="1" applyFill="1" applyBorder="1" applyAlignment="1">
      <alignment horizontal="center" vertical="center"/>
    </xf>
    <xf numFmtId="43" fontId="41" fillId="0" borderId="28" xfId="1" applyFont="1" applyFill="1" applyBorder="1" applyAlignment="1">
      <alignment vertical="center"/>
    </xf>
    <xf numFmtId="0" fontId="48" fillId="0" borderId="14" xfId="18" applyFont="1" applyBorder="1" applyAlignment="1">
      <alignment vertical="center"/>
    </xf>
    <xf numFmtId="43" fontId="48" fillId="0" borderId="25" xfId="1" applyFont="1" applyFill="1" applyBorder="1" applyAlignment="1">
      <alignment vertical="center"/>
    </xf>
    <xf numFmtId="166" fontId="38" fillId="0" borderId="32" xfId="0" applyNumberFormat="1" applyFont="1" applyBorder="1"/>
    <xf numFmtId="0" fontId="39" fillId="0" borderId="0" xfId="18" applyFont="1" applyAlignment="1">
      <alignment vertical="center"/>
    </xf>
    <xf numFmtId="0" fontId="38" fillId="0" borderId="0" xfId="18" applyFont="1" applyAlignment="1">
      <alignment vertical="center"/>
    </xf>
    <xf numFmtId="43" fontId="38" fillId="0" borderId="0" xfId="2" applyFont="1" applyFill="1" applyAlignment="1">
      <alignment vertical="center"/>
    </xf>
    <xf numFmtId="43" fontId="58" fillId="0" borderId="0" xfId="2" applyFont="1" applyFill="1" applyAlignment="1">
      <alignment horizontal="right"/>
    </xf>
    <xf numFmtId="0" fontId="39" fillId="0" borderId="25" xfId="18" applyFont="1" applyBorder="1" applyAlignment="1">
      <alignment horizontal="center" vertical="center"/>
    </xf>
    <xf numFmtId="0" fontId="39" fillId="0" borderId="12" xfId="18" applyFont="1" applyBorder="1" applyAlignment="1">
      <alignment horizontal="center" vertical="center"/>
    </xf>
    <xf numFmtId="43" fontId="39" fillId="0" borderId="27" xfId="2" applyFont="1" applyFill="1" applyBorder="1" applyAlignment="1">
      <alignment horizontal="center" vertical="center"/>
    </xf>
    <xf numFmtId="43" fontId="39" fillId="0" borderId="13" xfId="2" applyFont="1" applyFill="1" applyBorder="1" applyAlignment="1">
      <alignment horizontal="center" vertical="center"/>
    </xf>
    <xf numFmtId="0" fontId="38" fillId="0" borderId="12" xfId="18" applyFont="1" applyBorder="1" applyAlignment="1">
      <alignment horizontal="left" vertical="center" indent="2"/>
    </xf>
    <xf numFmtId="43" fontId="38" fillId="0" borderId="28" xfId="2" applyFont="1" applyFill="1" applyBorder="1" applyAlignment="1">
      <alignment vertical="center"/>
    </xf>
    <xf numFmtId="43" fontId="38" fillId="0" borderId="13" xfId="2" applyFont="1" applyFill="1" applyBorder="1" applyAlignment="1">
      <alignment vertical="center"/>
    </xf>
    <xf numFmtId="0" fontId="39" fillId="0" borderId="14" xfId="18" applyFont="1" applyBorder="1" applyAlignment="1">
      <alignment vertical="center"/>
    </xf>
    <xf numFmtId="43" fontId="39" fillId="0" borderId="32" xfId="2" applyFont="1" applyFill="1" applyBorder="1" applyAlignment="1">
      <alignment vertical="center"/>
    </xf>
    <xf numFmtId="43" fontId="39" fillId="0" borderId="47" xfId="2" applyFont="1" applyFill="1" applyBorder="1" applyAlignment="1">
      <alignment vertical="center"/>
    </xf>
    <xf numFmtId="43" fontId="39" fillId="0" borderId="0" xfId="2" applyFont="1" applyFill="1" applyBorder="1" applyAlignment="1">
      <alignment vertical="center"/>
    </xf>
    <xf numFmtId="166" fontId="39" fillId="0" borderId="17" xfId="0" applyNumberFormat="1" applyFont="1" applyBorder="1" applyAlignment="1">
      <alignment horizontal="center" vertical="center"/>
    </xf>
    <xf numFmtId="0" fontId="59" fillId="0" borderId="0" xfId="18" applyFont="1" applyAlignment="1">
      <alignment vertical="center"/>
    </xf>
    <xf numFmtId="43" fontId="59" fillId="0" borderId="0" xfId="2" applyFont="1" applyFill="1" applyAlignment="1">
      <alignment vertical="center"/>
    </xf>
    <xf numFmtId="166" fontId="39" fillId="0" borderId="9" xfId="0" applyNumberFormat="1" applyFont="1" applyBorder="1"/>
    <xf numFmtId="0" fontId="38" fillId="0" borderId="12" xfId="0" applyFont="1" applyBorder="1" applyAlignment="1">
      <alignment horizontal="left" vertical="top"/>
    </xf>
    <xf numFmtId="43" fontId="38" fillId="0" borderId="28" xfId="1" applyFont="1" applyFill="1" applyBorder="1"/>
    <xf numFmtId="166" fontId="38" fillId="0" borderId="12" xfId="0" applyNumberFormat="1" applyFont="1" applyBorder="1" applyAlignment="1">
      <alignment horizontal="left" vertical="top"/>
    </xf>
    <xf numFmtId="43" fontId="39" fillId="0" borderId="0" xfId="1" applyFont="1" applyBorder="1"/>
    <xf numFmtId="166" fontId="39" fillId="0" borderId="52" xfId="0" applyNumberFormat="1" applyFont="1" applyBorder="1" applyAlignment="1">
      <alignment horizontal="center" vertical="center" wrapText="1"/>
    </xf>
    <xf numFmtId="166" fontId="60" fillId="0" borderId="9" xfId="0" applyNumberFormat="1" applyFont="1" applyBorder="1"/>
    <xf numFmtId="166" fontId="39" fillId="0" borderId="37" xfId="0" applyNumberFormat="1" applyFont="1" applyBorder="1"/>
    <xf numFmtId="166" fontId="60" fillId="0" borderId="12" xfId="0" applyNumberFormat="1" applyFont="1" applyBorder="1"/>
    <xf numFmtId="166" fontId="38" fillId="0" borderId="42" xfId="0" applyNumberFormat="1" applyFont="1" applyBorder="1"/>
    <xf numFmtId="0" fontId="38" fillId="0" borderId="0" xfId="18" applyFont="1"/>
    <xf numFmtId="0" fontId="39" fillId="0" borderId="0" xfId="18" applyFont="1"/>
    <xf numFmtId="43" fontId="38" fillId="0" borderId="0" xfId="2" applyFont="1"/>
    <xf numFmtId="0" fontId="55" fillId="0" borderId="10" xfId="18" applyFont="1" applyBorder="1" applyAlignment="1">
      <alignment vertical="center"/>
    </xf>
    <xf numFmtId="0" fontId="55" fillId="0" borderId="11" xfId="18" applyFont="1" applyBorder="1" applyAlignment="1">
      <alignment vertical="center"/>
    </xf>
    <xf numFmtId="0" fontId="55" fillId="0" borderId="0" xfId="18" applyFont="1" applyAlignment="1">
      <alignment vertical="center"/>
    </xf>
    <xf numFmtId="0" fontId="51" fillId="0" borderId="0" xfId="18" applyFont="1"/>
    <xf numFmtId="43" fontId="51" fillId="0" borderId="0" xfId="2" applyFont="1" applyBorder="1"/>
    <xf numFmtId="49" fontId="61" fillId="0" borderId="0" xfId="269" applyNumberFormat="1" applyFont="1" applyAlignment="1">
      <alignment horizontal="left"/>
    </xf>
    <xf numFmtId="49" fontId="61" fillId="0" borderId="13" xfId="269" applyNumberFormat="1" applyFont="1" applyBorder="1" applyAlignment="1">
      <alignment horizontal="left"/>
    </xf>
    <xf numFmtId="0" fontId="51" fillId="0" borderId="0" xfId="18" applyFont="1" applyAlignment="1">
      <alignment horizontal="left"/>
    </xf>
    <xf numFmtId="0" fontId="55" fillId="0" borderId="0" xfId="18" applyFont="1" applyAlignment="1">
      <alignment horizontal="left"/>
    </xf>
    <xf numFmtId="0" fontId="55" fillId="0" borderId="13" xfId="18" applyFont="1" applyBorder="1" applyAlignment="1">
      <alignment vertical="center"/>
    </xf>
    <xf numFmtId="0" fontId="55" fillId="0" borderId="15" xfId="18" applyFont="1" applyBorder="1" applyAlignment="1">
      <alignment vertical="center"/>
    </xf>
    <xf numFmtId="0" fontId="55" fillId="0" borderId="16" xfId="18" applyFont="1" applyBorder="1" applyAlignment="1">
      <alignment vertical="center"/>
    </xf>
    <xf numFmtId="0" fontId="39" fillId="0" borderId="0" xfId="18" applyFont="1" applyAlignment="1">
      <alignment horizontal="left" vertical="center"/>
    </xf>
    <xf numFmtId="43" fontId="38" fillId="0" borderId="0" xfId="2" applyFont="1" applyFill="1"/>
    <xf numFmtId="0" fontId="39" fillId="0" borderId="5" xfId="18" applyFont="1" applyBorder="1" applyAlignment="1">
      <alignment horizontal="center"/>
    </xf>
    <xf numFmtId="166" fontId="38" fillId="0" borderId="0" xfId="18" applyNumberFormat="1" applyFont="1"/>
    <xf numFmtId="0" fontId="39" fillId="0" borderId="6" xfId="18" applyFont="1" applyBorder="1" applyAlignment="1">
      <alignment horizontal="center"/>
    </xf>
    <xf numFmtId="0" fontId="48" fillId="0" borderId="0" xfId="0" applyFont="1"/>
    <xf numFmtId="0" fontId="38" fillId="0" borderId="10" xfId="18" applyFont="1" applyBorder="1"/>
    <xf numFmtId="0" fontId="39" fillId="0" borderId="10" xfId="18" applyFont="1" applyBorder="1"/>
    <xf numFmtId="0" fontId="38" fillId="0" borderId="11" xfId="18" applyFont="1" applyBorder="1"/>
    <xf numFmtId="43" fontId="38" fillId="0" borderId="0" xfId="2" applyFont="1" applyBorder="1"/>
    <xf numFmtId="0" fontId="38" fillId="0" borderId="15" xfId="22" applyFont="1" applyBorder="1" applyAlignment="1">
      <alignment vertical="top"/>
    </xf>
    <xf numFmtId="172" fontId="39" fillId="0" borderId="15" xfId="22" applyNumberFormat="1" applyFont="1" applyBorder="1" applyAlignment="1">
      <alignment horizontal="left" vertical="top"/>
    </xf>
    <xf numFmtId="49" fontId="55" fillId="0" borderId="10" xfId="0" applyNumberFormat="1" applyFont="1" applyBorder="1"/>
    <xf numFmtId="0" fontId="51" fillId="0" borderId="11" xfId="0" applyFont="1" applyBorder="1"/>
    <xf numFmtId="49" fontId="55" fillId="0" borderId="0" xfId="0" applyNumberFormat="1" applyFont="1"/>
    <xf numFmtId="0" fontId="51" fillId="0" borderId="13" xfId="0" applyFont="1" applyBorder="1"/>
    <xf numFmtId="49" fontId="55" fillId="0" borderId="15" xfId="0" applyNumberFormat="1" applyFont="1" applyBorder="1"/>
    <xf numFmtId="0" fontId="51" fillId="0" borderId="16" xfId="0" applyFont="1" applyBorder="1"/>
    <xf numFmtId="0" fontId="39" fillId="0" borderId="0" xfId="222" applyFont="1"/>
    <xf numFmtId="0" fontId="62" fillId="0" borderId="0" xfId="18" applyFont="1"/>
    <xf numFmtId="0" fontId="38" fillId="0" borderId="0" xfId="18" applyFont="1" applyAlignment="1">
      <alignment horizontal="center"/>
    </xf>
    <xf numFmtId="166" fontId="38" fillId="0" borderId="0" xfId="18" applyNumberFormat="1" applyFont="1" applyAlignment="1">
      <alignment vertical="center"/>
    </xf>
    <xf numFmtId="0" fontId="39" fillId="0" borderId="0" xfId="0" applyFont="1" applyAlignment="1">
      <alignment horizontal="right"/>
    </xf>
    <xf numFmtId="0" fontId="38" fillId="0" borderId="4" xfId="18" applyFont="1" applyBorder="1" applyAlignment="1">
      <alignment horizontal="center"/>
    </xf>
    <xf numFmtId="0" fontId="38" fillId="0" borderId="7" xfId="18" applyFont="1" applyBorder="1" applyAlignment="1">
      <alignment vertical="center"/>
    </xf>
    <xf numFmtId="180" fontId="38" fillId="0" borderId="7" xfId="2" applyNumberFormat="1" applyFont="1" applyBorder="1" applyAlignment="1"/>
    <xf numFmtId="0" fontId="39" fillId="0" borderId="49" xfId="222" applyFont="1" applyBorder="1"/>
    <xf numFmtId="180" fontId="39" fillId="0" borderId="49" xfId="2" applyNumberFormat="1" applyFont="1" applyBorder="1"/>
    <xf numFmtId="0" fontId="38" fillId="0" borderId="5" xfId="0" applyFont="1" applyBorder="1" applyAlignment="1">
      <alignment horizontal="center" vertical="center"/>
    </xf>
    <xf numFmtId="166" fontId="38" fillId="0" borderId="5" xfId="0" applyNumberFormat="1" applyFont="1" applyBorder="1"/>
    <xf numFmtId="0" fontId="38" fillId="0" borderId="0" xfId="0" applyFont="1" applyAlignment="1">
      <alignment vertical="top"/>
    </xf>
    <xf numFmtId="0" fontId="41" fillId="0" borderId="0" xfId="0" applyFont="1" applyAlignment="1">
      <alignment wrapText="1"/>
    </xf>
    <xf numFmtId="14" fontId="39" fillId="0" borderId="11" xfId="0" applyNumberFormat="1" applyFont="1" applyBorder="1" applyAlignment="1">
      <alignment horizontal="center" vertical="center" wrapText="1"/>
    </xf>
    <xf numFmtId="0" fontId="38" fillId="0" borderId="79" xfId="0" applyFont="1" applyBorder="1"/>
    <xf numFmtId="166" fontId="38" fillId="0" borderId="34" xfId="0" applyNumberFormat="1" applyFont="1" applyBorder="1" applyAlignment="1">
      <alignment horizontal="center" vertical="center"/>
    </xf>
    <xf numFmtId="166" fontId="41" fillId="0" borderId="25" xfId="0" applyNumberFormat="1" applyFont="1" applyBorder="1"/>
    <xf numFmtId="0" fontId="48" fillId="0" borderId="0" xfId="0" applyFont="1" applyAlignment="1">
      <alignment vertical="center"/>
    </xf>
    <xf numFmtId="0" fontId="41" fillId="0" borderId="0" xfId="0" applyFont="1" applyAlignment="1">
      <alignment vertical="center"/>
    </xf>
    <xf numFmtId="0" fontId="48" fillId="0" borderId="25" xfId="0" applyFont="1" applyBorder="1" applyAlignment="1">
      <alignment vertical="center"/>
    </xf>
    <xf numFmtId="0" fontId="41" fillId="0" borderId="17" xfId="0" applyFont="1" applyBorder="1" applyAlignment="1">
      <alignment vertical="center"/>
    </xf>
    <xf numFmtId="183" fontId="41" fillId="0" borderId="25" xfId="0" applyNumberFormat="1" applyFont="1" applyBorder="1" applyAlignment="1">
      <alignment vertical="center"/>
    </xf>
    <xf numFmtId="183" fontId="41" fillId="0" borderId="33" xfId="0" applyNumberFormat="1" applyFont="1" applyBorder="1" applyAlignment="1">
      <alignment vertical="center"/>
    </xf>
    <xf numFmtId="0" fontId="48" fillId="0" borderId="14" xfId="0" applyFont="1" applyBorder="1" applyAlignment="1">
      <alignment vertical="center"/>
    </xf>
    <xf numFmtId="183" fontId="48" fillId="0" borderId="25" xfId="0" applyNumberFormat="1" applyFont="1" applyBorder="1" applyAlignment="1">
      <alignment vertical="center"/>
    </xf>
    <xf numFmtId="0" fontId="35" fillId="0" borderId="0" xfId="0" applyFont="1" applyAlignment="1">
      <alignment wrapText="1"/>
    </xf>
    <xf numFmtId="0" fontId="63" fillId="0" borderId="0" xfId="0" applyFont="1" applyAlignment="1">
      <alignment vertical="center"/>
    </xf>
    <xf numFmtId="0" fontId="63" fillId="0" borderId="0" xfId="0" applyFont="1" applyAlignment="1">
      <alignment horizontal="right" vertical="center"/>
    </xf>
    <xf numFmtId="0" fontId="54" fillId="0" borderId="0" xfId="0" applyFont="1" applyAlignment="1">
      <alignment vertical="center"/>
    </xf>
    <xf numFmtId="0" fontId="54" fillId="0" borderId="0" xfId="0" applyFont="1" applyAlignment="1">
      <alignment horizontal="justify" vertical="center"/>
    </xf>
    <xf numFmtId="175" fontId="36" fillId="0" borderId="0" xfId="0" applyNumberFormat="1" applyFont="1"/>
    <xf numFmtId="175" fontId="41" fillId="0" borderId="0" xfId="0" applyNumberFormat="1" applyFont="1"/>
    <xf numFmtId="0" fontId="39" fillId="0" borderId="0" xfId="80" applyFont="1"/>
    <xf numFmtId="10" fontId="38" fillId="0" borderId="0" xfId="80" applyNumberFormat="1" applyFont="1"/>
    <xf numFmtId="0" fontId="51" fillId="0" borderId="0" xfId="80" applyFont="1"/>
    <xf numFmtId="10" fontId="51" fillId="0" borderId="0" xfId="80" applyNumberFormat="1" applyFont="1"/>
    <xf numFmtId="0" fontId="39" fillId="0" borderId="0" xfId="80" applyFont="1" applyAlignment="1">
      <alignment horizontal="left"/>
    </xf>
    <xf numFmtId="0" fontId="64" fillId="0" borderId="9" xfId="80" applyFont="1" applyBorder="1"/>
    <xf numFmtId="0" fontId="38" fillId="0" borderId="12" xfId="80" applyFont="1" applyBorder="1"/>
    <xf numFmtId="166" fontId="39" fillId="0" borderId="13" xfId="80" applyNumberFormat="1" applyFont="1" applyBorder="1"/>
    <xf numFmtId="166" fontId="38" fillId="0" borderId="0" xfId="80" applyNumberFormat="1" applyFont="1"/>
    <xf numFmtId="0" fontId="39" fillId="0" borderId="12" xfId="80" applyFont="1" applyBorder="1"/>
    <xf numFmtId="164" fontId="38" fillId="0" borderId="0" xfId="80" applyNumberFormat="1" applyFont="1"/>
    <xf numFmtId="166" fontId="39" fillId="0" borderId="55" xfId="80" applyNumberFormat="1" applyFont="1" applyBorder="1"/>
    <xf numFmtId="10" fontId="38" fillId="0" borderId="41" xfId="80" applyNumberFormat="1" applyFont="1" applyBorder="1"/>
    <xf numFmtId="0" fontId="64" fillId="0" borderId="12" xfId="80" applyFont="1" applyBorder="1"/>
    <xf numFmtId="0" fontId="38" fillId="0" borderId="14" xfId="80" applyFont="1" applyBorder="1"/>
    <xf numFmtId="49" fontId="39" fillId="0" borderId="10" xfId="0" applyNumberFormat="1" applyFont="1" applyBorder="1"/>
    <xf numFmtId="0" fontId="41" fillId="0" borderId="10" xfId="0" applyFont="1" applyBorder="1"/>
    <xf numFmtId="49" fontId="39" fillId="0" borderId="15" xfId="0" applyNumberFormat="1" applyFont="1" applyBorder="1"/>
    <xf numFmtId="14" fontId="41" fillId="0" borderId="15" xfId="0" applyNumberFormat="1" applyFont="1" applyBorder="1"/>
    <xf numFmtId="14" fontId="41" fillId="0" borderId="16" xfId="0" applyNumberFormat="1" applyFont="1" applyBorder="1"/>
    <xf numFmtId="14" fontId="41" fillId="0" borderId="0" xfId="0" applyNumberFormat="1" applyFont="1"/>
    <xf numFmtId="0" fontId="48" fillId="0" borderId="0" xfId="0" applyFont="1" applyAlignment="1">
      <alignment horizontal="left"/>
    </xf>
    <xf numFmtId="0" fontId="48" fillId="0" borderId="23" xfId="0" applyFont="1" applyBorder="1" applyAlignment="1">
      <alignment horizontal="center" vertical="center" wrapText="1"/>
    </xf>
    <xf numFmtId="0" fontId="48" fillId="0" borderId="14" xfId="0" applyFont="1" applyBorder="1" applyAlignment="1">
      <alignment horizontal="center" vertical="center" wrapText="1"/>
    </xf>
    <xf numFmtId="0" fontId="48" fillId="0" borderId="5" xfId="0" applyFont="1" applyBorder="1" applyAlignment="1">
      <alignment horizontal="center" vertical="center" wrapText="1"/>
    </xf>
    <xf numFmtId="0" fontId="41" fillId="0" borderId="9" xfId="0" applyFont="1" applyBorder="1"/>
    <xf numFmtId="0" fontId="41" fillId="0" borderId="78" xfId="0" applyFont="1" applyBorder="1"/>
    <xf numFmtId="0" fontId="41" fillId="0" borderId="10" xfId="0" applyFont="1" applyBorder="1" applyAlignment="1">
      <alignment horizontal="center" vertical="center"/>
    </xf>
    <xf numFmtId="0" fontId="41" fillId="0" borderId="78" xfId="0" applyFont="1" applyBorder="1" applyAlignment="1">
      <alignment horizontal="center" vertical="center"/>
    </xf>
    <xf numFmtId="0" fontId="41" fillId="0" borderId="86" xfId="0" applyFont="1" applyBorder="1" applyAlignment="1">
      <alignment horizontal="center" vertical="center" wrapText="1"/>
    </xf>
    <xf numFmtId="166" fontId="41" fillId="0" borderId="2" xfId="0" applyNumberFormat="1" applyFont="1" applyBorder="1"/>
    <xf numFmtId="166" fontId="41" fillId="0" borderId="79" xfId="0" applyNumberFormat="1" applyFont="1" applyBorder="1"/>
    <xf numFmtId="0" fontId="41" fillId="0" borderId="12" xfId="0" applyFont="1" applyBorder="1" applyAlignment="1">
      <alignment horizontal="center" vertical="top"/>
    </xf>
    <xf numFmtId="0" fontId="41" fillId="0" borderId="4" xfId="0" applyFont="1" applyBorder="1" applyAlignment="1">
      <alignment horizontal="left" vertical="top" wrapText="1" indent="1"/>
    </xf>
    <xf numFmtId="10" fontId="41" fillId="0" borderId="0" xfId="0" applyNumberFormat="1" applyFont="1" applyAlignment="1">
      <alignment horizontal="center"/>
    </xf>
    <xf numFmtId="166" fontId="41" fillId="0" borderId="4" xfId="0" applyNumberFormat="1" applyFont="1" applyBorder="1"/>
    <xf numFmtId="166" fontId="41" fillId="0" borderId="34" xfId="0" applyNumberFormat="1" applyFont="1" applyBorder="1"/>
    <xf numFmtId="0" fontId="41" fillId="0" borderId="4" xfId="0" applyFont="1" applyBorder="1" applyAlignment="1">
      <alignment horizontal="left" wrapText="1" indent="1"/>
    </xf>
    <xf numFmtId="0" fontId="41" fillId="0" borderId="12" xfId="0" applyFont="1" applyBorder="1"/>
    <xf numFmtId="0" fontId="41" fillId="0" borderId="4" xfId="0" applyFont="1" applyBorder="1"/>
    <xf numFmtId="0" fontId="41" fillId="0" borderId="84" xfId="0" applyFont="1" applyBorder="1"/>
    <xf numFmtId="0" fontId="48" fillId="0" borderId="39" xfId="0" applyFont="1" applyBorder="1"/>
    <xf numFmtId="0" fontId="48" fillId="0" borderId="89" xfId="0" applyFont="1" applyBorder="1"/>
    <xf numFmtId="166" fontId="48" fillId="0" borderId="39" xfId="0" applyNumberFormat="1" applyFont="1" applyBorder="1"/>
    <xf numFmtId="166" fontId="48" fillId="0" borderId="52" xfId="0" applyNumberFormat="1" applyFont="1" applyBorder="1"/>
    <xf numFmtId="3" fontId="39" fillId="0" borderId="5" xfId="265" applyNumberFormat="1" applyFont="1" applyBorder="1"/>
    <xf numFmtId="3" fontId="38" fillId="0" borderId="5" xfId="265" applyNumberFormat="1" applyFont="1" applyBorder="1"/>
    <xf numFmtId="0" fontId="39" fillId="0" borderId="5" xfId="265" applyFont="1" applyBorder="1" applyAlignment="1">
      <alignment horizontal="center"/>
    </xf>
    <xf numFmtId="3" fontId="39" fillId="0" borderId="5" xfId="265" applyNumberFormat="1" applyFont="1" applyBorder="1" applyAlignment="1">
      <alignment horizontal="center"/>
    </xf>
    <xf numFmtId="0" fontId="38" fillId="0" borderId="5" xfId="265" applyFont="1" applyBorder="1"/>
    <xf numFmtId="180" fontId="38" fillId="0" borderId="5" xfId="3" applyNumberFormat="1" applyFont="1" applyBorder="1"/>
    <xf numFmtId="0" fontId="39" fillId="0" borderId="5" xfId="265" applyFont="1" applyBorder="1"/>
    <xf numFmtId="180" fontId="39" fillId="0" borderId="5" xfId="3" applyNumberFormat="1" applyFont="1" applyBorder="1"/>
    <xf numFmtId="3" fontId="38" fillId="0" borderId="0" xfId="265" applyNumberFormat="1" applyFont="1"/>
    <xf numFmtId="0" fontId="38" fillId="0" borderId="0" xfId="265" applyFont="1"/>
    <xf numFmtId="180" fontId="38" fillId="0" borderId="0" xfId="3" applyNumberFormat="1" applyFont="1"/>
    <xf numFmtId="0" fontId="48" fillId="0" borderId="9" xfId="0" applyFont="1" applyBorder="1"/>
    <xf numFmtId="166" fontId="52" fillId="0" borderId="10" xfId="0" applyNumberFormat="1" applyFont="1" applyBorder="1"/>
    <xf numFmtId="166" fontId="41" fillId="0" borderId="10" xfId="0" applyNumberFormat="1" applyFont="1" applyBorder="1"/>
    <xf numFmtId="0" fontId="48" fillId="0" borderId="12" xfId="0" applyFont="1" applyBorder="1"/>
    <xf numFmtId="166" fontId="52" fillId="0" borderId="0" xfId="0" applyNumberFormat="1" applyFont="1" applyAlignment="1">
      <alignment horizontal="left"/>
    </xf>
    <xf numFmtId="166" fontId="52" fillId="0" borderId="0" xfId="0" applyNumberFormat="1" applyFont="1" applyAlignment="1">
      <alignment horizontal="left" wrapText="1"/>
    </xf>
    <xf numFmtId="166" fontId="52" fillId="0" borderId="13" xfId="0" applyNumberFormat="1" applyFont="1" applyBorder="1" applyAlignment="1">
      <alignment horizontal="left" wrapText="1"/>
    </xf>
    <xf numFmtId="166" fontId="48" fillId="0" borderId="0" xfId="0" applyNumberFormat="1" applyFont="1" applyAlignment="1">
      <alignment horizontal="left"/>
    </xf>
    <xf numFmtId="0" fontId="48" fillId="0" borderId="12" xfId="0" applyFont="1" applyBorder="1" applyAlignment="1">
      <alignment horizontal="left"/>
    </xf>
    <xf numFmtId="0" fontId="48" fillId="0" borderId="14" xfId="0" applyFont="1" applyBorder="1" applyAlignment="1">
      <alignment horizontal="left"/>
    </xf>
    <xf numFmtId="0" fontId="48" fillId="0" borderId="15" xfId="0" applyFont="1" applyBorder="1" applyAlignment="1">
      <alignment horizontal="left"/>
    </xf>
    <xf numFmtId="172" fontId="48" fillId="0" borderId="15" xfId="0" applyNumberFormat="1" applyFont="1" applyBorder="1" applyAlignment="1">
      <alignment horizontal="left"/>
    </xf>
    <xf numFmtId="166" fontId="41" fillId="0" borderId="15" xfId="0" applyNumberFormat="1" applyFont="1" applyBorder="1"/>
    <xf numFmtId="172" fontId="48" fillId="0" borderId="0" xfId="0" applyNumberFormat="1" applyFont="1" applyAlignment="1">
      <alignment horizontal="left"/>
    </xf>
    <xf numFmtId="0" fontId="48" fillId="0" borderId="12" xfId="0" applyFont="1" applyBorder="1" applyAlignment="1">
      <alignment horizontal="center" vertical="center"/>
    </xf>
    <xf numFmtId="0" fontId="41" fillId="0" borderId="12" xfId="0" applyFont="1" applyBorder="1" applyAlignment="1">
      <alignment horizontal="center" vertical="center"/>
    </xf>
    <xf numFmtId="0" fontId="41" fillId="0" borderId="0" xfId="0" applyFont="1" applyAlignment="1">
      <alignment vertical="center" wrapText="1"/>
    </xf>
    <xf numFmtId="166" fontId="41" fillId="0" borderId="1" xfId="0" applyNumberFormat="1" applyFont="1" applyBorder="1"/>
    <xf numFmtId="166" fontId="48" fillId="0" borderId="13" xfId="0" applyNumberFormat="1" applyFont="1" applyBorder="1"/>
    <xf numFmtId="164" fontId="40" fillId="0" borderId="0" xfId="0" applyNumberFormat="1" applyFont="1"/>
    <xf numFmtId="166" fontId="41" fillId="0" borderId="44" xfId="0" applyNumberFormat="1" applyFont="1" applyBorder="1"/>
    <xf numFmtId="166" fontId="48" fillId="0" borderId="55" xfId="0" applyNumberFormat="1" applyFont="1" applyBorder="1"/>
    <xf numFmtId="164" fontId="41" fillId="0" borderId="0" xfId="0" applyNumberFormat="1" applyFont="1"/>
    <xf numFmtId="166" fontId="48" fillId="0" borderId="100" xfId="0" applyNumberFormat="1" applyFont="1" applyBorder="1"/>
    <xf numFmtId="166" fontId="41" fillId="0" borderId="13" xfId="29" applyFont="1" applyFill="1" applyBorder="1"/>
    <xf numFmtId="166" fontId="48" fillId="0" borderId="53" xfId="29" applyFont="1" applyFill="1" applyBorder="1"/>
    <xf numFmtId="166" fontId="48" fillId="0" borderId="13" xfId="29" applyFont="1" applyFill="1" applyBorder="1"/>
    <xf numFmtId="166" fontId="41" fillId="0" borderId="44" xfId="29" applyFont="1" applyFill="1" applyBorder="1"/>
    <xf numFmtId="166" fontId="48" fillId="0" borderId="44" xfId="29" applyFont="1" applyFill="1" applyBorder="1"/>
    <xf numFmtId="0" fontId="48" fillId="0" borderId="14" xfId="0" applyFont="1" applyBorder="1"/>
    <xf numFmtId="0" fontId="41" fillId="0" borderId="15" xfId="0" applyFont="1" applyBorder="1"/>
    <xf numFmtId="166" fontId="48" fillId="0" borderId="41" xfId="0" applyNumberFormat="1" applyFont="1" applyBorder="1" applyAlignment="1">
      <alignment horizontal="right"/>
    </xf>
    <xf numFmtId="14" fontId="41" fillId="0" borderId="5" xfId="0" applyNumberFormat="1" applyFont="1" applyBorder="1" applyAlignment="1">
      <alignment horizontal="center"/>
    </xf>
    <xf numFmtId="14" fontId="41" fillId="0" borderId="5" xfId="0" applyNumberFormat="1" applyFont="1" applyBorder="1" applyAlignment="1">
      <alignment horizontal="center" vertical="center"/>
    </xf>
    <xf numFmtId="2" fontId="41" fillId="0" borderId="5" xfId="0" applyNumberFormat="1" applyFont="1" applyBorder="1" applyAlignment="1">
      <alignment horizontal="center" vertical="center"/>
    </xf>
    <xf numFmtId="43" fontId="41" fillId="0" borderId="0" xfId="1" applyFont="1" applyBorder="1"/>
    <xf numFmtId="49" fontId="42" fillId="0" borderId="0" xfId="0" applyNumberFormat="1" applyFont="1"/>
    <xf numFmtId="0" fontId="48" fillId="0" borderId="25" xfId="0" applyFont="1" applyBorder="1" applyAlignment="1">
      <alignment horizontal="center" vertical="center"/>
    </xf>
    <xf numFmtId="0" fontId="41" fillId="0" borderId="25" xfId="0" applyFont="1" applyBorder="1" applyAlignment="1">
      <alignment vertical="center"/>
    </xf>
    <xf numFmtId="183" fontId="38" fillId="0" borderId="25" xfId="38" applyNumberFormat="1" applyFont="1" applyFill="1" applyBorder="1" applyAlignment="1">
      <alignment horizontal="right" vertical="center"/>
    </xf>
    <xf numFmtId="183" fontId="38" fillId="0" borderId="25" xfId="0" applyNumberFormat="1" applyFont="1" applyBorder="1" applyAlignment="1">
      <alignment horizontal="right" vertical="center"/>
    </xf>
    <xf numFmtId="0" fontId="48" fillId="0" borderId="31" xfId="0" applyFont="1" applyBorder="1" applyAlignment="1">
      <alignment vertical="center"/>
    </xf>
    <xf numFmtId="183" fontId="48" fillId="0" borderId="14" xfId="0" applyNumberFormat="1" applyFont="1" applyBorder="1" applyAlignment="1">
      <alignment horizontal="right" vertical="center"/>
    </xf>
    <xf numFmtId="183" fontId="48" fillId="0" borderId="25" xfId="0" applyNumberFormat="1" applyFont="1" applyBorder="1" applyAlignment="1">
      <alignment horizontal="right" vertical="center"/>
    </xf>
    <xf numFmtId="4" fontId="35" fillId="0" borderId="0" xfId="0" applyNumberFormat="1" applyFont="1" applyAlignment="1">
      <alignment wrapText="1"/>
    </xf>
    <xf numFmtId="0" fontId="39" fillId="0" borderId="0" xfId="18" applyFont="1" applyAlignment="1">
      <alignment horizontal="center"/>
    </xf>
    <xf numFmtId="0" fontId="39" fillId="0" borderId="14" xfId="22" applyFont="1" applyBorder="1" applyAlignment="1">
      <alignment horizontal="left" vertical="top"/>
    </xf>
    <xf numFmtId="0" fontId="48" fillId="0" borderId="5" xfId="0" applyFont="1" applyBorder="1" applyAlignment="1">
      <alignment horizontal="center" vertical="center"/>
    </xf>
    <xf numFmtId="164" fontId="48" fillId="0" borderId="5" xfId="0" applyNumberFormat="1" applyFont="1" applyBorder="1" applyAlignment="1">
      <alignment horizontal="center" vertical="center"/>
    </xf>
    <xf numFmtId="166" fontId="48" fillId="0" borderId="5" xfId="0" applyNumberFormat="1" applyFont="1" applyBorder="1" applyAlignment="1">
      <alignment horizontal="center" vertical="center"/>
    </xf>
    <xf numFmtId="0" fontId="48" fillId="0" borderId="5" xfId="0" applyFont="1" applyBorder="1"/>
    <xf numFmtId="164" fontId="48" fillId="0" borderId="5" xfId="0" applyNumberFormat="1" applyFont="1" applyBorder="1"/>
    <xf numFmtId="15" fontId="41" fillId="0" borderId="5" xfId="0" applyNumberFormat="1" applyFont="1" applyBorder="1" applyAlignment="1">
      <alignment horizontal="left"/>
    </xf>
    <xf numFmtId="10" fontId="41" fillId="0" borderId="5" xfId="0" applyNumberFormat="1" applyFont="1" applyBorder="1" applyAlignment="1">
      <alignment horizontal="center" vertical="center"/>
    </xf>
    <xf numFmtId="164" fontId="41" fillId="0" borderId="5" xfId="0" applyNumberFormat="1" applyFont="1" applyBorder="1"/>
    <xf numFmtId="166" fontId="48" fillId="0" borderId="5" xfId="0" applyNumberFormat="1" applyFont="1" applyBorder="1"/>
    <xf numFmtId="0" fontId="54" fillId="0" borderId="0" xfId="0" applyFont="1"/>
    <xf numFmtId="0" fontId="57" fillId="0" borderId="9" xfId="0" applyFont="1" applyBorder="1"/>
    <xf numFmtId="181" fontId="48" fillId="0" borderId="27" xfId="29" applyNumberFormat="1" applyFont="1" applyFill="1" applyBorder="1" applyAlignment="1">
      <alignment horizontal="center"/>
    </xf>
    <xf numFmtId="0" fontId="41" fillId="0" borderId="14" xfId="0" applyFont="1" applyBorder="1"/>
    <xf numFmtId="0" fontId="41" fillId="0" borderId="31" xfId="0" applyFont="1" applyBorder="1"/>
    <xf numFmtId="166" fontId="41" fillId="0" borderId="28" xfId="29" applyFont="1" applyBorder="1"/>
    <xf numFmtId="0" fontId="48" fillId="29" borderId="14" xfId="0" applyFont="1" applyFill="1" applyBorder="1"/>
    <xf numFmtId="166" fontId="48" fillId="29" borderId="31" xfId="29" applyFont="1" applyFill="1" applyBorder="1"/>
    <xf numFmtId="166" fontId="41" fillId="0" borderId="28" xfId="0" applyNumberFormat="1" applyFont="1" applyBorder="1"/>
    <xf numFmtId="166" fontId="40" fillId="0" borderId="26" xfId="0" applyNumberFormat="1" applyFont="1" applyBorder="1"/>
    <xf numFmtId="166" fontId="40" fillId="0" borderId="2" xfId="0" applyNumberFormat="1" applyFont="1" applyBorder="1"/>
    <xf numFmtId="166" fontId="38" fillId="0" borderId="2" xfId="0" applyNumberFormat="1" applyFont="1" applyBorder="1" applyAlignment="1">
      <alignment horizontal="center"/>
    </xf>
    <xf numFmtId="166" fontId="38" fillId="0" borderId="8" xfId="0" applyNumberFormat="1" applyFont="1" applyBorder="1" applyAlignment="1">
      <alignment horizontal="center"/>
    </xf>
    <xf numFmtId="166" fontId="38" fillId="0" borderId="2" xfId="0" applyNumberFormat="1" applyFont="1" applyBorder="1"/>
    <xf numFmtId="166" fontId="38" fillId="0" borderId="102" xfId="0" applyNumberFormat="1" applyFont="1" applyBorder="1"/>
    <xf numFmtId="166" fontId="40" fillId="0" borderId="2" xfId="0" applyNumberFormat="1" applyFont="1" applyBorder="1" applyAlignment="1">
      <alignment horizontal="center"/>
    </xf>
    <xf numFmtId="166" fontId="39" fillId="0" borderId="46" xfId="0" applyNumberFormat="1" applyFont="1" applyBorder="1"/>
    <xf numFmtId="166" fontId="39" fillId="0" borderId="2" xfId="0" applyNumberFormat="1" applyFont="1" applyBorder="1"/>
    <xf numFmtId="166" fontId="39" fillId="0" borderId="102" xfId="0" applyNumberFormat="1" applyFont="1" applyBorder="1"/>
    <xf numFmtId="166" fontId="39" fillId="0" borderId="46" xfId="0" applyNumberFormat="1" applyFont="1" applyBorder="1" applyAlignment="1">
      <alignment vertical="center" wrapText="1"/>
    </xf>
    <xf numFmtId="166" fontId="40" fillId="0" borderId="15" xfId="0" applyNumberFormat="1" applyFont="1" applyBorder="1" applyAlignment="1">
      <alignment vertical="center" wrapText="1"/>
    </xf>
    <xf numFmtId="166" fontId="38" fillId="0" borderId="62" xfId="0" applyNumberFormat="1" applyFont="1" applyBorder="1"/>
    <xf numFmtId="166" fontId="56" fillId="27" borderId="55" xfId="29" applyFont="1" applyFill="1" applyBorder="1"/>
    <xf numFmtId="1" fontId="41" fillId="0" borderId="0" xfId="0" applyNumberFormat="1" applyFont="1"/>
    <xf numFmtId="0" fontId="8" fillId="0" borderId="0" xfId="0" applyFont="1"/>
    <xf numFmtId="43" fontId="48" fillId="0" borderId="12" xfId="2" applyFont="1" applyFill="1" applyBorder="1" applyAlignment="1">
      <alignment vertical="top"/>
    </xf>
    <xf numFmtId="166" fontId="48" fillId="0" borderId="63" xfId="1" applyNumberFormat="1" applyFont="1" applyFill="1" applyBorder="1"/>
    <xf numFmtId="0" fontId="48" fillId="0" borderId="0" xfId="270" applyFont="1" applyAlignment="1">
      <alignment horizontal="left"/>
    </xf>
    <xf numFmtId="180" fontId="48" fillId="0" borderId="0" xfId="2" applyNumberFormat="1" applyFont="1" applyFill="1" applyBorder="1" applyAlignment="1">
      <alignment horizontal="center"/>
    </xf>
    <xf numFmtId="166" fontId="48" fillId="0" borderId="0" xfId="25" applyFont="1" applyFill="1" applyBorder="1"/>
    <xf numFmtId="0" fontId="48" fillId="0" borderId="12" xfId="18" applyFont="1" applyBorder="1" applyAlignment="1">
      <alignment horizontal="center" vertical="center"/>
    </xf>
    <xf numFmtId="43" fontId="41" fillId="0" borderId="28" xfId="2" applyFont="1" applyFill="1" applyBorder="1" applyAlignment="1">
      <alignment horizontal="center" vertical="center"/>
    </xf>
    <xf numFmtId="0" fontId="48" fillId="0" borderId="12" xfId="18" applyFont="1" applyBorder="1" applyAlignment="1">
      <alignment horizontal="left" vertical="center"/>
    </xf>
    <xf numFmtId="43" fontId="48" fillId="0" borderId="5" xfId="2" applyFont="1" applyFill="1" applyBorder="1" applyAlignment="1">
      <alignment horizontal="center"/>
    </xf>
    <xf numFmtId="178" fontId="40" fillId="0" borderId="0" xfId="0" applyNumberFormat="1" applyFont="1"/>
    <xf numFmtId="180" fontId="39" fillId="0" borderId="0" xfId="2" applyNumberFormat="1" applyFont="1" applyBorder="1"/>
    <xf numFmtId="43" fontId="38" fillId="0" borderId="7" xfId="1" applyFont="1" applyBorder="1" applyAlignment="1"/>
    <xf numFmtId="43" fontId="39" fillId="0" borderId="49" xfId="1" applyFont="1" applyBorder="1"/>
    <xf numFmtId="0" fontId="38" fillId="0" borderId="25" xfId="0" applyFont="1" applyBorder="1"/>
    <xf numFmtId="0" fontId="39" fillId="0" borderId="60" xfId="0" applyFont="1" applyBorder="1"/>
    <xf numFmtId="0" fontId="38" fillId="0" borderId="59" xfId="0" applyFont="1" applyBorder="1"/>
    <xf numFmtId="0" fontId="38" fillId="0" borderId="45" xfId="0" applyFont="1" applyBorder="1"/>
    <xf numFmtId="0" fontId="39" fillId="0" borderId="45" xfId="0" applyFont="1" applyBorder="1"/>
    <xf numFmtId="166" fontId="38" fillId="0" borderId="48" xfId="25" applyFont="1" applyFill="1" applyBorder="1"/>
    <xf numFmtId="180" fontId="38" fillId="0" borderId="5" xfId="1" applyNumberFormat="1" applyFont="1" applyFill="1" applyBorder="1" applyAlignment="1">
      <alignment horizontal="left" vertical="center"/>
    </xf>
    <xf numFmtId="180" fontId="39" fillId="0" borderId="5" xfId="1" applyNumberFormat="1" applyFont="1" applyFill="1" applyBorder="1"/>
    <xf numFmtId="43" fontId="38" fillId="0" borderId="28" xfId="1" applyFont="1" applyFill="1" applyBorder="1" applyAlignment="1">
      <alignment horizontal="left"/>
    </xf>
    <xf numFmtId="166" fontId="38" fillId="0" borderId="13" xfId="0" applyNumberFormat="1" applyFont="1" applyBorder="1" applyAlignment="1">
      <alignment horizontal="center" vertical="center" wrapText="1"/>
    </xf>
    <xf numFmtId="15" fontId="48" fillId="0" borderId="5" xfId="0" applyNumberFormat="1" applyFont="1" applyBorder="1" applyAlignment="1">
      <alignment horizontal="center" vertical="center" wrapText="1"/>
    </xf>
    <xf numFmtId="166" fontId="48" fillId="0" borderId="5" xfId="0" applyNumberFormat="1" applyFont="1" applyBorder="1" applyAlignment="1">
      <alignment horizontal="center" vertical="center" wrapText="1"/>
    </xf>
    <xf numFmtId="0" fontId="41" fillId="0" borderId="5" xfId="0" applyFont="1" applyBorder="1" applyAlignment="1">
      <alignment horizontal="left" vertical="center" wrapText="1"/>
    </xf>
    <xf numFmtId="15" fontId="41" fillId="0" borderId="5" xfId="0" applyNumberFormat="1" applyFont="1" applyBorder="1" applyAlignment="1">
      <alignment horizontal="center" vertical="center" wrapText="1"/>
    </xf>
    <xf numFmtId="10" fontId="41" fillId="0" borderId="5" xfId="0" applyNumberFormat="1" applyFont="1" applyBorder="1" applyAlignment="1">
      <alignment horizontal="right" vertical="center" wrapText="1"/>
    </xf>
    <xf numFmtId="166" fontId="41" fillId="0" borderId="5" xfId="0" applyNumberFormat="1" applyFont="1" applyBorder="1" applyAlignment="1">
      <alignment horizontal="center" vertical="center" wrapText="1"/>
    </xf>
    <xf numFmtId="166" fontId="48" fillId="0" borderId="5" xfId="0" applyNumberFormat="1" applyFont="1" applyBorder="1" applyAlignment="1">
      <alignment horizontal="left" vertical="center" wrapText="1"/>
    </xf>
    <xf numFmtId="180" fontId="0" fillId="0" borderId="0" xfId="0" applyNumberFormat="1"/>
    <xf numFmtId="181" fontId="41" fillId="0" borderId="0" xfId="0" applyNumberFormat="1" applyFont="1"/>
    <xf numFmtId="43" fontId="38" fillId="0" borderId="0" xfId="0" applyNumberFormat="1" applyFont="1"/>
    <xf numFmtId="0" fontId="38" fillId="0" borderId="45" xfId="0" applyFont="1" applyBorder="1" applyAlignment="1">
      <alignment horizontal="left" indent="1"/>
    </xf>
    <xf numFmtId="14" fontId="38" fillId="0" borderId="5" xfId="0" applyNumberFormat="1" applyFont="1" applyBorder="1" applyAlignment="1">
      <alignment horizontal="center" vertical="center"/>
    </xf>
    <xf numFmtId="0" fontId="39" fillId="0" borderId="27" xfId="0" applyFont="1" applyBorder="1" applyAlignment="1">
      <alignment horizontal="center" vertical="center" wrapText="1"/>
    </xf>
    <xf numFmtId="43" fontId="38" fillId="0" borderId="27" xfId="1" applyFont="1" applyFill="1" applyBorder="1" applyAlignment="1">
      <alignment horizontal="left" vertical="center"/>
    </xf>
    <xf numFmtId="43" fontId="38" fillId="0" borderId="12" xfId="1" applyFont="1" applyFill="1" applyBorder="1" applyAlignment="1">
      <alignment horizontal="left" vertical="center"/>
    </xf>
    <xf numFmtId="43" fontId="38" fillId="0" borderId="28" xfId="1" applyFont="1" applyFill="1" applyBorder="1" applyAlignment="1">
      <alignment horizontal="left" vertical="center"/>
    </xf>
    <xf numFmtId="166" fontId="38" fillId="0" borderId="36" xfId="0" applyNumberFormat="1" applyFont="1" applyBorder="1"/>
    <xf numFmtId="166" fontId="39" fillId="0" borderId="104" xfId="0" applyNumberFormat="1" applyFont="1" applyBorder="1"/>
    <xf numFmtId="166" fontId="38" fillId="0" borderId="28" xfId="26" applyNumberFormat="1" applyFont="1" applyFill="1" applyBorder="1" applyAlignment="1" applyProtection="1"/>
    <xf numFmtId="177" fontId="38" fillId="0" borderId="28" xfId="26" applyNumberFormat="1" applyFont="1" applyFill="1" applyBorder="1" applyAlignment="1" applyProtection="1"/>
    <xf numFmtId="178" fontId="38" fillId="0" borderId="31" xfId="26" applyNumberFormat="1" applyFont="1" applyFill="1" applyBorder="1" applyAlignment="1" applyProtection="1"/>
    <xf numFmtId="0" fontId="39" fillId="0" borderId="104" xfId="0" applyFont="1" applyBorder="1"/>
    <xf numFmtId="0" fontId="39" fillId="0" borderId="27" xfId="0" applyFont="1" applyBorder="1" applyAlignment="1">
      <alignment horizontal="center" vertical="center"/>
    </xf>
    <xf numFmtId="171" fontId="38" fillId="0" borderId="28" xfId="26" applyNumberFormat="1" applyFont="1" applyFill="1" applyBorder="1" applyAlignment="1" applyProtection="1"/>
    <xf numFmtId="171" fontId="38" fillId="0" borderId="31" xfId="26" applyNumberFormat="1" applyFont="1" applyFill="1" applyBorder="1" applyAlignment="1" applyProtection="1"/>
    <xf numFmtId="166" fontId="39" fillId="0" borderId="11" xfId="0" applyNumberFormat="1" applyFont="1" applyBorder="1" applyAlignment="1">
      <alignment horizontal="center" vertical="center" wrapText="1"/>
    </xf>
    <xf numFmtId="166" fontId="39" fillId="0" borderId="0" xfId="0" applyNumberFormat="1" applyFont="1" applyAlignment="1">
      <alignment horizontal="center" vertical="center" wrapText="1"/>
    </xf>
    <xf numFmtId="0" fontId="39" fillId="0" borderId="105" xfId="0" applyFont="1" applyBorder="1"/>
    <xf numFmtId="0" fontId="39" fillId="0" borderId="106" xfId="0" applyFont="1" applyBorder="1"/>
    <xf numFmtId="166" fontId="39" fillId="0" borderId="107" xfId="0" applyNumberFormat="1" applyFont="1" applyBorder="1"/>
    <xf numFmtId="166" fontId="39" fillId="0" borderId="108" xfId="0" applyNumberFormat="1" applyFont="1" applyBorder="1"/>
    <xf numFmtId="0" fontId="39" fillId="0" borderId="27" xfId="0" applyFont="1" applyBorder="1" applyAlignment="1">
      <alignment horizontal="left" vertical="center"/>
    </xf>
    <xf numFmtId="0" fontId="39" fillId="0" borderId="28" xfId="0" applyFont="1" applyBorder="1" applyAlignment="1">
      <alignment horizontal="left" indent="1"/>
    </xf>
    <xf numFmtId="171" fontId="38" fillId="0" borderId="28" xfId="26" applyNumberFormat="1" applyFont="1" applyFill="1" applyBorder="1" applyAlignment="1" applyProtection="1">
      <alignment horizontal="left"/>
    </xf>
    <xf numFmtId="2" fontId="38" fillId="0" borderId="28" xfId="26" applyNumberFormat="1" applyFont="1" applyFill="1" applyBorder="1" applyAlignment="1" applyProtection="1">
      <alignment horizontal="center" vertical="center"/>
    </xf>
    <xf numFmtId="166" fontId="38" fillId="0" borderId="31" xfId="26" applyNumberFormat="1" applyFont="1" applyFill="1" applyBorder="1" applyAlignment="1" applyProtection="1"/>
    <xf numFmtId="166" fontId="38" fillId="0" borderId="16" xfId="26" applyNumberFormat="1" applyFont="1" applyFill="1" applyBorder="1" applyAlignment="1" applyProtection="1"/>
    <xf numFmtId="49" fontId="42" fillId="0" borderId="15" xfId="0" applyNumberFormat="1" applyFont="1" applyBorder="1"/>
    <xf numFmtId="43" fontId="48" fillId="0" borderId="31" xfId="1" applyFont="1" applyFill="1" applyBorder="1" applyAlignment="1">
      <alignment vertical="center"/>
    </xf>
    <xf numFmtId="0" fontId="39" fillId="2" borderId="0" xfId="0" applyFont="1" applyFill="1"/>
    <xf numFmtId="0" fontId="39" fillId="2" borderId="45" xfId="0" applyFont="1" applyFill="1" applyBorder="1"/>
    <xf numFmtId="180" fontId="0" fillId="2" borderId="0" xfId="0" applyNumberFormat="1" applyFill="1"/>
    <xf numFmtId="0" fontId="39" fillId="0" borderId="103" xfId="0" applyFont="1" applyBorder="1"/>
    <xf numFmtId="0" fontId="38" fillId="2" borderId="103" xfId="0" applyFont="1" applyFill="1" applyBorder="1" applyAlignment="1">
      <alignment horizontal="left" indent="1"/>
    </xf>
    <xf numFmtId="0" fontId="38" fillId="0" borderId="103" xfId="0" applyFont="1" applyBorder="1" applyAlignment="1">
      <alignment horizontal="left" indent="1"/>
    </xf>
    <xf numFmtId="0" fontId="38" fillId="0" borderId="45" xfId="0" applyFont="1" applyBorder="1" applyAlignment="1">
      <alignment horizontal="left" indent="2"/>
    </xf>
    <xf numFmtId="0" fontId="38" fillId="0" borderId="45" xfId="0" applyFont="1" applyBorder="1" applyAlignment="1">
      <alignment horizontal="left"/>
    </xf>
    <xf numFmtId="43" fontId="39" fillId="0" borderId="84" xfId="1" applyFont="1" applyFill="1" applyBorder="1" applyAlignment="1">
      <alignment horizontal="left" vertical="center"/>
    </xf>
    <xf numFmtId="43" fontId="39" fillId="0" borderId="32" xfId="1" applyFont="1" applyFill="1" applyBorder="1" applyAlignment="1">
      <alignment horizontal="left" vertical="center"/>
    </xf>
    <xf numFmtId="43" fontId="54" fillId="0" borderId="9" xfId="2" applyFont="1" applyFill="1" applyBorder="1" applyAlignment="1">
      <alignment vertical="center"/>
    </xf>
    <xf numFmtId="0" fontId="0" fillId="0" borderId="0" xfId="0" applyAlignment="1">
      <alignment horizontal="left"/>
    </xf>
    <xf numFmtId="165" fontId="39" fillId="0" borderId="25" xfId="1" applyNumberFormat="1" applyFont="1" applyFill="1" applyBorder="1" applyAlignment="1">
      <alignment horizontal="center" vertical="center"/>
    </xf>
    <xf numFmtId="165" fontId="38" fillId="0" borderId="61" xfId="1" applyNumberFormat="1" applyFont="1" applyFill="1" applyBorder="1" applyAlignment="1">
      <alignment horizontal="left" vertical="center"/>
    </xf>
    <xf numFmtId="165" fontId="38" fillId="0" borderId="92" xfId="1" applyNumberFormat="1" applyFont="1" applyFill="1" applyBorder="1" applyAlignment="1">
      <alignment horizontal="left" vertical="center"/>
    </xf>
    <xf numFmtId="165" fontId="38" fillId="0" borderId="6" xfId="1" applyNumberFormat="1" applyFont="1" applyFill="1" applyBorder="1" applyAlignment="1">
      <alignment horizontal="left" vertical="center"/>
    </xf>
    <xf numFmtId="165" fontId="38" fillId="0" borderId="35" xfId="1" applyNumberFormat="1" applyFont="1" applyFill="1" applyBorder="1" applyAlignment="1">
      <alignment horizontal="left" vertical="center"/>
    </xf>
    <xf numFmtId="165" fontId="38" fillId="0" borderId="5" xfId="1" applyNumberFormat="1" applyFont="1" applyFill="1" applyBorder="1" applyAlignment="1">
      <alignment horizontal="left" vertical="center"/>
    </xf>
    <xf numFmtId="165" fontId="38" fillId="0" borderId="5" xfId="1" applyNumberFormat="1" applyFont="1" applyFill="1" applyBorder="1"/>
    <xf numFmtId="165" fontId="38" fillId="2" borderId="5" xfId="1" applyNumberFormat="1" applyFont="1" applyFill="1" applyBorder="1" applyAlignment="1">
      <alignment horizontal="left" vertical="center"/>
    </xf>
    <xf numFmtId="165" fontId="38" fillId="2" borderId="5" xfId="1" applyNumberFormat="1" applyFont="1" applyFill="1" applyBorder="1"/>
    <xf numFmtId="165" fontId="38" fillId="2" borderId="35" xfId="1" applyNumberFormat="1" applyFont="1" applyFill="1" applyBorder="1" applyAlignment="1">
      <alignment horizontal="left" vertical="center"/>
    </xf>
    <xf numFmtId="165" fontId="38" fillId="0" borderId="5" xfId="1" applyNumberFormat="1" applyFont="1" applyFill="1" applyBorder="1" applyAlignment="1">
      <alignment vertical="center"/>
    </xf>
    <xf numFmtId="165" fontId="38" fillId="0" borderId="5" xfId="1" applyNumberFormat="1" applyFont="1" applyBorder="1"/>
    <xf numFmtId="165" fontId="40" fillId="0" borderId="5" xfId="1" applyNumberFormat="1" applyFont="1" applyFill="1" applyBorder="1" applyAlignment="1">
      <alignment horizontal="left" vertical="center"/>
    </xf>
    <xf numFmtId="165" fontId="39" fillId="0" borderId="5" xfId="1" applyNumberFormat="1" applyFont="1" applyFill="1" applyBorder="1"/>
    <xf numFmtId="165" fontId="39" fillId="0" borderId="35" xfId="1" applyNumberFormat="1" applyFont="1" applyFill="1" applyBorder="1"/>
    <xf numFmtId="165" fontId="38" fillId="0" borderId="39" xfId="1" applyNumberFormat="1" applyFont="1" applyFill="1" applyBorder="1"/>
    <xf numFmtId="165" fontId="38" fillId="0" borderId="39" xfId="1" applyNumberFormat="1" applyFont="1" applyFill="1" applyBorder="1" applyAlignment="1">
      <alignment horizontal="left" vertical="center"/>
    </xf>
    <xf numFmtId="165" fontId="38" fillId="0" borderId="52" xfId="1" applyNumberFormat="1" applyFont="1" applyFill="1" applyBorder="1" applyAlignment="1">
      <alignment horizontal="left" vertical="center"/>
    </xf>
    <xf numFmtId="165" fontId="0" fillId="0" borderId="0" xfId="271" applyNumberFormat="1" applyFont="1"/>
    <xf numFmtId="165" fontId="38" fillId="27" borderId="35" xfId="1" applyNumberFormat="1" applyFont="1" applyFill="1" applyBorder="1" applyAlignment="1">
      <alignment horizontal="left" vertical="center"/>
    </xf>
    <xf numFmtId="165" fontId="38" fillId="45" borderId="5" xfId="1" applyNumberFormat="1" applyFont="1" applyFill="1" applyBorder="1" applyAlignment="1">
      <alignment horizontal="left" vertical="center"/>
    </xf>
    <xf numFmtId="166" fontId="38" fillId="45" borderId="28" xfId="0" applyNumberFormat="1" applyFont="1" applyFill="1" applyBorder="1"/>
    <xf numFmtId="166" fontId="38" fillId="45" borderId="28" xfId="0" applyNumberFormat="1" applyFont="1" applyFill="1" applyBorder="1" applyAlignment="1">
      <alignment horizontal="center"/>
    </xf>
    <xf numFmtId="166" fontId="38" fillId="45" borderId="28" xfId="0" applyNumberFormat="1" applyFont="1" applyFill="1" applyBorder="1" applyAlignment="1">
      <alignment horizontal="right"/>
    </xf>
    <xf numFmtId="165" fontId="38" fillId="45" borderId="35" xfId="1" applyNumberFormat="1" applyFont="1" applyFill="1" applyBorder="1" applyAlignment="1">
      <alignment horizontal="left" vertical="center"/>
    </xf>
    <xf numFmtId="166" fontId="38" fillId="45" borderId="2" xfId="0" applyNumberFormat="1" applyFont="1" applyFill="1" applyBorder="1" applyAlignment="1">
      <alignment horizontal="center"/>
    </xf>
    <xf numFmtId="166" fontId="39" fillId="45" borderId="28" xfId="0" applyNumberFormat="1" applyFont="1" applyFill="1" applyBorder="1" applyAlignment="1">
      <alignment vertical="center"/>
    </xf>
    <xf numFmtId="43" fontId="38" fillId="0" borderId="28" xfId="1" applyFont="1" applyBorder="1" applyAlignment="1">
      <alignment horizontal="left"/>
    </xf>
    <xf numFmtId="166" fontId="39" fillId="45" borderId="54" xfId="0" applyNumberFormat="1" applyFont="1" applyFill="1" applyBorder="1"/>
    <xf numFmtId="43" fontId="54" fillId="0" borderId="12" xfId="2" applyFont="1" applyFill="1" applyBorder="1" applyAlignment="1">
      <alignment vertical="center"/>
    </xf>
    <xf numFmtId="43" fontId="39" fillId="0" borderId="12" xfId="1" applyFont="1" applyFill="1" applyBorder="1" applyAlignment="1">
      <alignment horizontal="left" vertical="center"/>
    </xf>
    <xf numFmtId="43" fontId="39" fillId="0" borderId="28" xfId="1" applyFont="1" applyFill="1" applyBorder="1" applyAlignment="1">
      <alignment horizontal="left" vertical="center"/>
    </xf>
    <xf numFmtId="166" fontId="39" fillId="0" borderId="84" xfId="0" applyNumberFormat="1" applyFont="1" applyBorder="1"/>
    <xf numFmtId="0" fontId="39" fillId="0" borderId="14" xfId="0" applyFont="1" applyBorder="1" applyAlignment="1">
      <alignment horizontal="left" indent="2"/>
    </xf>
    <xf numFmtId="0" fontId="39" fillId="0" borderId="9" xfId="0" applyFont="1" applyBorder="1" applyAlignment="1">
      <alignment horizontal="left" indent="3"/>
    </xf>
    <xf numFmtId="0" fontId="39" fillId="0" borderId="12" xfId="0" applyFont="1" applyBorder="1" applyAlignment="1">
      <alignment horizontal="left" indent="2"/>
    </xf>
    <xf numFmtId="0" fontId="39" fillId="0" borderId="12" xfId="0" applyFont="1" applyBorder="1" applyAlignment="1">
      <alignment horizontal="left" indent="3"/>
    </xf>
    <xf numFmtId="0" fontId="38" fillId="0" borderId="12" xfId="0" applyFont="1" applyBorder="1" applyAlignment="1">
      <alignment horizontal="left" indent="3"/>
    </xf>
    <xf numFmtId="166" fontId="39" fillId="0" borderId="31" xfId="0" applyNumberFormat="1" applyFont="1" applyBorder="1"/>
    <xf numFmtId="166" fontId="38" fillId="45" borderId="2" xfId="0" applyNumberFormat="1" applyFont="1" applyFill="1" applyBorder="1"/>
    <xf numFmtId="166" fontId="38" fillId="45" borderId="8" xfId="0" applyNumberFormat="1" applyFont="1" applyFill="1" applyBorder="1" applyAlignment="1">
      <alignment horizontal="center"/>
    </xf>
    <xf numFmtId="166" fontId="39" fillId="45" borderId="108" xfId="0" applyNumberFormat="1" applyFont="1" applyFill="1" applyBorder="1"/>
    <xf numFmtId="166" fontId="39" fillId="45" borderId="28" xfId="0" applyNumberFormat="1" applyFont="1" applyFill="1" applyBorder="1"/>
    <xf numFmtId="166" fontId="38" fillId="45" borderId="28" xfId="0" applyNumberFormat="1" applyFont="1" applyFill="1" applyBorder="1" applyAlignment="1">
      <alignment horizontal="center" vertical="center" wrapText="1"/>
    </xf>
    <xf numFmtId="43" fontId="41" fillId="45" borderId="28" xfId="1" applyFont="1" applyFill="1" applyBorder="1" applyAlignment="1">
      <alignment vertical="center"/>
    </xf>
    <xf numFmtId="43" fontId="41" fillId="45" borderId="31" xfId="1" applyFont="1" applyFill="1" applyBorder="1" applyAlignment="1">
      <alignment vertical="center"/>
    </xf>
    <xf numFmtId="166" fontId="38" fillId="45" borderId="12" xfId="0" applyNumberFormat="1" applyFont="1" applyFill="1" applyBorder="1"/>
    <xf numFmtId="166" fontId="41" fillId="0" borderId="53" xfId="0" applyNumberFormat="1" applyFont="1" applyBorder="1"/>
    <xf numFmtId="166" fontId="41" fillId="0" borderId="13" xfId="0" applyNumberFormat="1" applyFont="1" applyBorder="1" applyAlignment="1">
      <alignment horizontal="right"/>
    </xf>
    <xf numFmtId="166" fontId="39" fillId="0" borderId="0" xfId="80" applyNumberFormat="1" applyFont="1"/>
    <xf numFmtId="166" fontId="55" fillId="0" borderId="10" xfId="0" applyNumberFormat="1" applyFont="1" applyBorder="1"/>
    <xf numFmtId="166" fontId="55" fillId="0" borderId="0" xfId="0" applyNumberFormat="1" applyFont="1"/>
    <xf numFmtId="166" fontId="55" fillId="0" borderId="15" xfId="0" applyNumberFormat="1" applyFont="1" applyBorder="1"/>
    <xf numFmtId="166" fontId="64" fillId="0" borderId="11" xfId="80" applyNumberFormat="1" applyFont="1" applyBorder="1"/>
    <xf numFmtId="166" fontId="38" fillId="0" borderId="1" xfId="80" applyNumberFormat="1" applyFont="1" applyBorder="1"/>
    <xf numFmtId="166" fontId="38" fillId="0" borderId="0" xfId="80" applyNumberFormat="1" applyFont="1" applyAlignment="1">
      <alignment horizontal="center" vertical="center"/>
    </xf>
    <xf numFmtId="166" fontId="39" fillId="0" borderId="47" xfId="80" applyNumberFormat="1" applyFont="1" applyBorder="1"/>
    <xf numFmtId="166" fontId="38" fillId="0" borderId="15" xfId="80" applyNumberFormat="1" applyFont="1" applyBorder="1"/>
    <xf numFmtId="166" fontId="39" fillId="0" borderId="25" xfId="80" applyNumberFormat="1" applyFont="1" applyBorder="1"/>
    <xf numFmtId="166" fontId="48" fillId="0" borderId="5" xfId="2" applyNumberFormat="1" applyFont="1" applyFill="1" applyBorder="1" applyAlignment="1">
      <alignment horizontal="center"/>
    </xf>
    <xf numFmtId="166" fontId="48" fillId="0" borderId="5" xfId="2" applyNumberFormat="1" applyFont="1" applyFill="1" applyBorder="1" applyAlignment="1">
      <alignment horizontal="center" vertical="center"/>
    </xf>
    <xf numFmtId="166" fontId="48" fillId="0" borderId="39" xfId="2" applyNumberFormat="1" applyFont="1" applyFill="1" applyBorder="1" applyAlignment="1">
      <alignment horizontal="center"/>
    </xf>
    <xf numFmtId="0" fontId="67" fillId="0" borderId="0" xfId="272" applyFont="1"/>
    <xf numFmtId="0" fontId="68" fillId="0" borderId="0" xfId="272" applyFont="1"/>
    <xf numFmtId="0" fontId="69" fillId="0" borderId="0" xfId="272" applyFont="1" applyAlignment="1">
      <alignment horizontal="right"/>
    </xf>
    <xf numFmtId="0" fontId="70" fillId="0" borderId="89" xfId="272" applyFont="1" applyBorder="1" applyAlignment="1">
      <alignment horizontal="center" vertical="center"/>
    </xf>
    <xf numFmtId="0" fontId="68" fillId="0" borderId="89" xfId="272" applyFont="1" applyBorder="1"/>
    <xf numFmtId="0" fontId="68" fillId="0" borderId="0" xfId="272" applyFont="1" applyAlignment="1">
      <alignment vertical="center"/>
    </xf>
    <xf numFmtId="0" fontId="68" fillId="0" borderId="0" xfId="272" applyFont="1" applyAlignment="1">
      <alignment horizontal="center" vertical="center"/>
    </xf>
    <xf numFmtId="43" fontId="71" fillId="0" borderId="0" xfId="273" applyNumberFormat="1" applyFont="1" applyFill="1" applyBorder="1" applyAlignment="1">
      <alignment horizontal="right" vertical="center" wrapText="1"/>
    </xf>
    <xf numFmtId="0" fontId="70" fillId="0" borderId="0" xfId="272" applyFont="1"/>
    <xf numFmtId="0" fontId="68" fillId="0" borderId="0" xfId="272" applyFont="1" applyAlignment="1">
      <alignment horizontal="center"/>
    </xf>
    <xf numFmtId="0" fontId="68" fillId="0" borderId="0" xfId="272" applyFont="1" applyAlignment="1">
      <alignment horizontal="left"/>
    </xf>
    <xf numFmtId="0" fontId="71" fillId="0" borderId="0" xfId="274" quotePrefix="1" applyNumberFormat="1" applyFont="1" applyAlignment="1">
      <alignment horizontal="left" vertical="center"/>
    </xf>
    <xf numFmtId="0" fontId="70" fillId="0" borderId="0" xfId="272" applyFont="1" applyAlignment="1">
      <alignment vertical="center" wrapText="1"/>
    </xf>
    <xf numFmtId="0" fontId="68" fillId="0" borderId="0" xfId="275" applyFont="1"/>
    <xf numFmtId="0" fontId="68" fillId="0" borderId="0" xfId="0" applyFont="1"/>
    <xf numFmtId="0" fontId="39" fillId="0" borderId="0" xfId="18" applyFont="1" applyAlignment="1">
      <alignment horizontal="center" vertical="center"/>
    </xf>
    <xf numFmtId="0" fontId="38" fillId="0" borderId="0" xfId="18" applyFont="1" applyAlignment="1">
      <alignment vertical="top" wrapText="1"/>
    </xf>
    <xf numFmtId="43" fontId="38" fillId="0" borderId="0" xfId="2" applyFont="1" applyBorder="1" applyAlignment="1">
      <alignment vertical="top"/>
    </xf>
    <xf numFmtId="43" fontId="39" fillId="0" borderId="0" xfId="1" applyFont="1" applyBorder="1" applyAlignment="1">
      <alignment vertical="top" wrapText="1"/>
    </xf>
    <xf numFmtId="43" fontId="38" fillId="0" borderId="0" xfId="2" applyFont="1" applyFill="1" applyBorder="1" applyAlignment="1">
      <alignment vertical="top" wrapText="1"/>
    </xf>
    <xf numFmtId="9" fontId="38" fillId="0" borderId="0" xfId="271" applyFont="1" applyBorder="1"/>
    <xf numFmtId="0" fontId="72" fillId="0" borderId="43" xfId="23" applyFont="1" applyBorder="1" applyAlignment="1">
      <alignment horizontal="center" vertical="center"/>
    </xf>
    <xf numFmtId="0" fontId="72" fillId="0" borderId="19" xfId="23" applyFont="1" applyBorder="1" applyAlignment="1">
      <alignment horizontal="center" vertical="center"/>
    </xf>
    <xf numFmtId="166" fontId="72" fillId="0" borderId="19" xfId="23" applyNumberFormat="1" applyFont="1" applyBorder="1" applyAlignment="1">
      <alignment horizontal="center" vertical="center" wrapText="1"/>
    </xf>
    <xf numFmtId="0" fontId="72" fillId="0" borderId="57" xfId="23" applyFont="1" applyBorder="1" applyAlignment="1">
      <alignment horizontal="center" vertical="center" wrapText="1"/>
    </xf>
    <xf numFmtId="0" fontId="71" fillId="0" borderId="59" xfId="23" applyFont="1" applyBorder="1" applyAlignment="1">
      <alignment horizontal="center" vertical="center"/>
    </xf>
    <xf numFmtId="0" fontId="71" fillId="0" borderId="6" xfId="23" applyFont="1" applyBorder="1" applyAlignment="1">
      <alignment horizontal="center" vertical="center"/>
    </xf>
    <xf numFmtId="2" fontId="71" fillId="0" borderId="6" xfId="23" applyNumberFormat="1" applyFont="1" applyBorder="1" applyAlignment="1">
      <alignment horizontal="center" vertical="center"/>
    </xf>
    <xf numFmtId="10" fontId="71" fillId="0" borderId="5" xfId="23" applyNumberFormat="1" applyFont="1" applyBorder="1" applyAlignment="1">
      <alignment horizontal="center" vertical="center"/>
    </xf>
    <xf numFmtId="0" fontId="71" fillId="0" borderId="36" xfId="23" applyFont="1" applyBorder="1" applyAlignment="1">
      <alignment horizontal="center" vertical="center" wrapText="1"/>
    </xf>
    <xf numFmtId="0" fontId="71" fillId="0" borderId="45" xfId="23" applyFont="1" applyBorder="1" applyAlignment="1">
      <alignment horizontal="center" vertical="center"/>
    </xf>
    <xf numFmtId="0" fontId="71" fillId="0" borderId="5" xfId="23" applyFont="1" applyBorder="1" applyAlignment="1">
      <alignment horizontal="center" vertical="center"/>
    </xf>
    <xf numFmtId="0" fontId="71" fillId="0" borderId="5" xfId="23" applyFont="1" applyBorder="1" applyAlignment="1">
      <alignment horizontal="center" vertical="center" wrapText="1"/>
    </xf>
    <xf numFmtId="2" fontId="71" fillId="0" borderId="5" xfId="23" applyNumberFormat="1" applyFont="1" applyBorder="1" applyAlignment="1">
      <alignment horizontal="center" vertical="center"/>
    </xf>
    <xf numFmtId="10" fontId="71" fillId="0" borderId="5" xfId="271" applyNumberFormat="1" applyFont="1" applyFill="1" applyBorder="1" applyAlignment="1">
      <alignment horizontal="center" vertical="center"/>
    </xf>
    <xf numFmtId="0" fontId="71" fillId="0" borderId="39" xfId="23" applyFont="1" applyBorder="1" applyAlignment="1">
      <alignment horizontal="center" vertical="center"/>
    </xf>
    <xf numFmtId="49" fontId="70" fillId="0" borderId="0" xfId="0" applyNumberFormat="1" applyFont="1"/>
    <xf numFmtId="0" fontId="70" fillId="0" borderId="43" xfId="272" applyFont="1" applyBorder="1" applyAlignment="1">
      <alignment horizontal="center" vertical="center"/>
    </xf>
    <xf numFmtId="0" fontId="70" fillId="0" borderId="19" xfId="272" applyFont="1" applyBorder="1" applyAlignment="1">
      <alignment horizontal="center" vertical="center"/>
    </xf>
    <xf numFmtId="0" fontId="70" fillId="0" borderId="19" xfId="272" applyFont="1" applyBorder="1" applyAlignment="1">
      <alignment horizontal="center" vertical="center" wrapText="1"/>
    </xf>
    <xf numFmtId="0" fontId="70" fillId="0" borderId="57" xfId="272" applyFont="1" applyBorder="1" applyAlignment="1">
      <alignment horizontal="center" vertical="center" wrapText="1"/>
    </xf>
    <xf numFmtId="0" fontId="68" fillId="0" borderId="37" xfId="272" applyFont="1" applyBorder="1" applyAlignment="1">
      <alignment horizontal="center" vertical="center" wrapText="1"/>
    </xf>
    <xf numFmtId="0" fontId="68" fillId="0" borderId="4" xfId="272" applyFont="1" applyBorder="1" applyAlignment="1">
      <alignment horizontal="center" vertical="center" wrapText="1"/>
    </xf>
    <xf numFmtId="184" fontId="71" fillId="0" borderId="4" xfId="273" applyNumberFormat="1" applyFont="1" applyFill="1" applyBorder="1" applyAlignment="1">
      <alignment horizontal="center" vertical="center" wrapText="1"/>
    </xf>
    <xf numFmtId="184" fontId="71" fillId="0" borderId="0" xfId="273" applyNumberFormat="1" applyFont="1" applyFill="1" applyBorder="1" applyAlignment="1">
      <alignment horizontal="center" vertical="center" wrapText="1"/>
    </xf>
    <xf numFmtId="185" fontId="71" fillId="0" borderId="4" xfId="276" applyNumberFormat="1" applyFont="1" applyBorder="1" applyAlignment="1">
      <alignment horizontal="center" vertical="center"/>
    </xf>
    <xf numFmtId="0" fontId="68" fillId="0" borderId="34" xfId="272" applyFont="1" applyBorder="1" applyAlignment="1">
      <alignment horizontal="justify" vertical="center" wrapText="1"/>
    </xf>
    <xf numFmtId="4" fontId="71" fillId="0" borderId="4" xfId="273" applyNumberFormat="1" applyFont="1" applyFill="1" applyBorder="1" applyAlignment="1">
      <alignment horizontal="center" vertical="center" wrapText="1"/>
    </xf>
    <xf numFmtId="43" fontId="68" fillId="0" borderId="34" xfId="277" applyFont="1" applyFill="1" applyBorder="1" applyAlignment="1">
      <alignment vertical="center" wrapText="1"/>
    </xf>
    <xf numFmtId="10" fontId="71" fillId="0" borderId="4" xfId="273" applyNumberFormat="1" applyFont="1" applyFill="1" applyBorder="1" applyAlignment="1">
      <alignment horizontal="center" vertical="center" wrapText="1"/>
    </xf>
    <xf numFmtId="10" fontId="71" fillId="0" borderId="0" xfId="273" applyNumberFormat="1" applyFont="1" applyFill="1" applyBorder="1" applyAlignment="1">
      <alignment horizontal="center" vertical="center" wrapText="1"/>
    </xf>
    <xf numFmtId="0" fontId="71" fillId="0" borderId="34" xfId="277" applyNumberFormat="1" applyFont="1" applyFill="1" applyBorder="1" applyAlignment="1">
      <alignment vertical="center" wrapText="1"/>
    </xf>
    <xf numFmtId="0" fontId="68" fillId="0" borderId="34" xfId="272" applyFont="1" applyBorder="1" applyAlignment="1">
      <alignment vertical="center" wrapText="1"/>
    </xf>
    <xf numFmtId="2" fontId="71" fillId="0" borderId="4" xfId="273" applyNumberFormat="1" applyFont="1" applyFill="1" applyBorder="1" applyAlignment="1">
      <alignment horizontal="center" vertical="center" wrapText="1"/>
    </xf>
    <xf numFmtId="2" fontId="71" fillId="0" borderId="7" xfId="273" applyNumberFormat="1" applyFont="1" applyFill="1" applyBorder="1" applyAlignment="1">
      <alignment horizontal="center" vertical="center" wrapText="1"/>
    </xf>
    <xf numFmtId="0" fontId="68" fillId="0" borderId="38" xfId="272" applyFont="1" applyBorder="1" applyAlignment="1">
      <alignment horizontal="center" vertical="center" wrapText="1"/>
    </xf>
    <xf numFmtId="0" fontId="68" fillId="0" borderId="23" xfId="278" applyFont="1" applyBorder="1" applyAlignment="1">
      <alignment horizontal="center" vertical="center" wrapText="1"/>
    </xf>
    <xf numFmtId="10" fontId="68" fillId="0" borderId="23" xfId="279" applyNumberFormat="1" applyFont="1" applyBorder="1" applyAlignment="1">
      <alignment horizontal="center" vertical="center"/>
    </xf>
    <xf numFmtId="10" fontId="68" fillId="0" borderId="109" xfId="279" applyNumberFormat="1" applyFont="1" applyBorder="1" applyAlignment="1">
      <alignment horizontal="center" vertical="center"/>
    </xf>
    <xf numFmtId="185" fontId="71" fillId="0" borderId="23" xfId="276" applyNumberFormat="1" applyFont="1" applyBorder="1" applyAlignment="1">
      <alignment horizontal="center" vertical="center"/>
    </xf>
    <xf numFmtId="0" fontId="71" fillId="0" borderId="42" xfId="277" applyNumberFormat="1" applyFont="1" applyFill="1" applyBorder="1" applyAlignment="1">
      <alignment vertical="center" wrapText="1"/>
    </xf>
    <xf numFmtId="166" fontId="68" fillId="0" borderId="0" xfId="272" applyNumberFormat="1" applyFont="1"/>
    <xf numFmtId="0" fontId="73" fillId="0" borderId="0" xfId="272" applyFont="1" applyAlignment="1">
      <alignment vertical="center" wrapText="1"/>
    </xf>
    <xf numFmtId="0" fontId="0" fillId="0" borderId="0" xfId="0" applyAlignment="1">
      <alignment horizontal="left" indent="1"/>
    </xf>
    <xf numFmtId="0" fontId="38" fillId="0" borderId="0" xfId="0" applyFont="1" applyAlignment="1">
      <alignment horizontal="left"/>
    </xf>
    <xf numFmtId="166" fontId="52" fillId="0" borderId="0" xfId="0" applyNumberFormat="1" applyFont="1" applyAlignment="1">
      <alignment horizontal="left" wrapText="1"/>
    </xf>
    <xf numFmtId="166" fontId="52" fillId="0" borderId="13" xfId="0" applyNumberFormat="1" applyFont="1" applyBorder="1" applyAlignment="1">
      <alignment horizontal="left" wrapText="1"/>
    </xf>
    <xf numFmtId="166" fontId="48" fillId="0" borderId="5" xfId="0" applyNumberFormat="1" applyFont="1" applyBorder="1" applyAlignment="1">
      <alignment horizontal="center" vertical="center"/>
    </xf>
    <xf numFmtId="0" fontId="48" fillId="0" borderId="5" xfId="0" applyFont="1" applyBorder="1" applyAlignment="1">
      <alignment horizontal="center" vertical="center"/>
    </xf>
    <xf numFmtId="0" fontId="11" fillId="0" borderId="74" xfId="18" applyFont="1" applyBorder="1" applyProtection="1">
      <protection locked="0"/>
    </xf>
    <xf numFmtId="0" fontId="11" fillId="0" borderId="74" xfId="18" applyFont="1" applyBorder="1"/>
    <xf numFmtId="0" fontId="38" fillId="0" borderId="17" xfId="0" applyFont="1" applyBorder="1" applyAlignment="1">
      <alignment horizontal="center"/>
    </xf>
    <xf numFmtId="0" fontId="38" fillId="0" borderId="18" xfId="0" applyFont="1" applyBorder="1" applyAlignment="1">
      <alignment horizontal="center"/>
    </xf>
    <xf numFmtId="0" fontId="38" fillId="0" borderId="33" xfId="0" applyFont="1" applyBorder="1" applyAlignment="1">
      <alignment horizontal="center"/>
    </xf>
    <xf numFmtId="0" fontId="39" fillId="0" borderId="9" xfId="0" applyFont="1" applyBorder="1" applyAlignment="1">
      <alignment horizontal="center" vertical="center"/>
    </xf>
    <xf numFmtId="0" fontId="39" fillId="0" borderId="10" xfId="0" applyFont="1" applyBorder="1" applyAlignment="1">
      <alignment horizontal="center" vertical="center"/>
    </xf>
    <xf numFmtId="0" fontId="39" fillId="0" borderId="11" xfId="0" applyFont="1" applyBorder="1" applyAlignment="1">
      <alignment horizontal="center" vertical="center"/>
    </xf>
    <xf numFmtId="0" fontId="39" fillId="0" borderId="14" xfId="0" applyFont="1" applyBorder="1" applyAlignment="1">
      <alignment horizontal="center" vertical="center"/>
    </xf>
    <xf numFmtId="0" fontId="39" fillId="0" borderId="15" xfId="0" applyFont="1" applyBorder="1" applyAlignment="1">
      <alignment horizontal="center" vertical="center"/>
    </xf>
    <xf numFmtId="0" fontId="39" fillId="0" borderId="16" xfId="0" applyFont="1" applyBorder="1" applyAlignment="1">
      <alignment horizontal="center" vertical="center"/>
    </xf>
    <xf numFmtId="165" fontId="39" fillId="0" borderId="17" xfId="1" applyNumberFormat="1" applyFont="1" applyFill="1" applyBorder="1" applyAlignment="1">
      <alignment horizontal="center"/>
    </xf>
    <xf numFmtId="165" fontId="39" fillId="0" borderId="33" xfId="1" applyNumberFormat="1" applyFont="1" applyFill="1" applyBorder="1" applyAlignment="1">
      <alignment horizontal="center"/>
    </xf>
    <xf numFmtId="0" fontId="39" fillId="0" borderId="17" xfId="0" applyFont="1" applyBorder="1" applyAlignment="1">
      <alignment horizontal="center" vertical="center" wrapText="1"/>
    </xf>
    <xf numFmtId="0" fontId="39" fillId="0" borderId="18" xfId="0" applyFont="1" applyBorder="1" applyAlignment="1">
      <alignment horizontal="center" vertical="center" wrapText="1"/>
    </xf>
    <xf numFmtId="0" fontId="38" fillId="0" borderId="3" xfId="0" applyFont="1" applyBorder="1" applyAlignment="1">
      <alignment horizontal="center" vertical="center"/>
    </xf>
    <xf numFmtId="0" fontId="38" fillId="0" borderId="23" xfId="0" applyFont="1" applyBorder="1" applyAlignment="1">
      <alignment horizontal="center" vertical="center"/>
    </xf>
    <xf numFmtId="0" fontId="39" fillId="0" borderId="17" xfId="0" applyFont="1" applyBorder="1" applyAlignment="1">
      <alignment horizontal="center"/>
    </xf>
    <xf numFmtId="0" fontId="39" fillId="0" borderId="18" xfId="0" applyFont="1" applyBorder="1" applyAlignment="1">
      <alignment horizontal="center"/>
    </xf>
    <xf numFmtId="0" fontId="39" fillId="0" borderId="33" xfId="0" applyFont="1" applyBorder="1" applyAlignment="1">
      <alignment horizontal="center"/>
    </xf>
    <xf numFmtId="0" fontId="39" fillId="0" borderId="0" xfId="0" applyFont="1" applyAlignment="1">
      <alignment horizontal="center"/>
    </xf>
    <xf numFmtId="0" fontId="38" fillId="0" borderId="27" xfId="0" applyFont="1" applyBorder="1" applyAlignment="1">
      <alignment horizontal="center" vertical="center"/>
    </xf>
    <xf numFmtId="0" fontId="38" fillId="0" borderId="31" xfId="0" applyFont="1" applyBorder="1" applyAlignment="1">
      <alignment horizontal="center" vertical="center"/>
    </xf>
    <xf numFmtId="0" fontId="39" fillId="0" borderId="12" xfId="0" applyFont="1" applyBorder="1" applyAlignment="1">
      <alignment wrapText="1"/>
    </xf>
    <xf numFmtId="0" fontId="39" fillId="0" borderId="0" xfId="0" applyFont="1" applyAlignment="1">
      <alignment wrapText="1"/>
    </xf>
    <xf numFmtId="0" fontId="39" fillId="0" borderId="7" xfId="0" applyFont="1" applyBorder="1" applyAlignment="1">
      <alignment wrapText="1"/>
    </xf>
    <xf numFmtId="166" fontId="39" fillId="0" borderId="17" xfId="0" applyNumberFormat="1" applyFont="1" applyBorder="1" applyAlignment="1">
      <alignment horizontal="center" vertical="center"/>
    </xf>
    <xf numFmtId="166" fontId="39" fillId="0" borderId="18" xfId="0" applyNumberFormat="1" applyFont="1" applyBorder="1" applyAlignment="1">
      <alignment horizontal="center" vertical="center"/>
    </xf>
    <xf numFmtId="166" fontId="39" fillId="0" borderId="33" xfId="0" applyNumberFormat="1" applyFont="1" applyBorder="1" applyAlignment="1">
      <alignment horizontal="center" vertical="center"/>
    </xf>
    <xf numFmtId="0" fontId="39" fillId="0" borderId="9" xfId="0" applyFont="1" applyBorder="1" applyAlignment="1">
      <alignment horizontal="center" vertical="center" wrapText="1"/>
    </xf>
    <xf numFmtId="0" fontId="39" fillId="0" borderId="14" xfId="0" applyFont="1" applyBorder="1" applyAlignment="1">
      <alignment horizontal="center" vertical="center" wrapText="1"/>
    </xf>
    <xf numFmtId="166" fontId="39" fillId="0" borderId="50" xfId="0" applyNumberFormat="1" applyFont="1" applyBorder="1" applyAlignment="1">
      <alignment horizontal="center" vertical="center" wrapText="1"/>
    </xf>
    <xf numFmtId="166" fontId="39" fillId="0" borderId="77" xfId="0" applyNumberFormat="1" applyFont="1" applyBorder="1" applyAlignment="1">
      <alignment horizontal="center" vertical="center" wrapText="1"/>
    </xf>
    <xf numFmtId="166" fontId="39" fillId="0" borderId="51" xfId="0" applyNumberFormat="1" applyFont="1" applyBorder="1" applyAlignment="1">
      <alignment horizontal="center" vertical="center" wrapText="1"/>
    </xf>
    <xf numFmtId="0" fontId="39" fillId="0" borderId="0" xfId="0" applyFont="1" applyAlignment="1">
      <alignment horizontal="left" vertical="top"/>
    </xf>
    <xf numFmtId="0" fontId="38" fillId="0" borderId="0" xfId="0" applyFont="1" applyAlignment="1">
      <alignment horizontal="left" vertical="top" wrapText="1"/>
    </xf>
    <xf numFmtId="0" fontId="39" fillId="0" borderId="12" xfId="0" applyFont="1" applyBorder="1" applyAlignment="1">
      <alignment horizontal="center" vertical="center"/>
    </xf>
    <xf numFmtId="0" fontId="39" fillId="0" borderId="13" xfId="0" applyFont="1" applyBorder="1" applyAlignment="1">
      <alignment horizontal="center" vertical="center"/>
    </xf>
    <xf numFmtId="0" fontId="39" fillId="0" borderId="27" xfId="0" applyFont="1" applyBorder="1" applyAlignment="1">
      <alignment horizontal="center" vertical="center" wrapText="1"/>
    </xf>
    <xf numFmtId="0" fontId="39" fillId="0" borderId="28" xfId="0" applyFont="1" applyBorder="1" applyAlignment="1">
      <alignment horizontal="center" vertical="center" wrapText="1"/>
    </xf>
    <xf numFmtId="166" fontId="39" fillId="0" borderId="43" xfId="0" applyNumberFormat="1" applyFont="1" applyBorder="1" applyAlignment="1">
      <alignment horizontal="center"/>
    </xf>
    <xf numFmtId="166" fontId="39" fillId="0" borderId="19" xfId="0" applyNumberFormat="1" applyFont="1" applyBorder="1" applyAlignment="1">
      <alignment horizontal="center"/>
    </xf>
    <xf numFmtId="166" fontId="39" fillId="0" borderId="57" xfId="0" applyNumberFormat="1" applyFont="1" applyBorder="1" applyAlignment="1">
      <alignment horizontal="center"/>
    </xf>
    <xf numFmtId="166" fontId="39" fillId="0" borderId="17" xfId="0" applyNumberFormat="1" applyFont="1" applyBorder="1" applyAlignment="1">
      <alignment horizontal="center"/>
    </xf>
    <xf numFmtId="166" fontId="39" fillId="0" borderId="18" xfId="0" applyNumberFormat="1" applyFont="1" applyBorder="1" applyAlignment="1">
      <alignment horizontal="center"/>
    </xf>
    <xf numFmtId="166" fontId="39" fillId="0" borderId="33" xfId="0" applyNumberFormat="1" applyFont="1" applyBorder="1" applyAlignment="1">
      <alignment horizontal="center"/>
    </xf>
    <xf numFmtId="0" fontId="48" fillId="0" borderId="60" xfId="270" applyFont="1" applyBorder="1" applyAlignment="1">
      <alignment horizontal="center" wrapText="1"/>
    </xf>
    <xf numFmtId="0" fontId="48" fillId="0" borderId="45" xfId="270" applyFont="1" applyBorder="1" applyAlignment="1">
      <alignment horizontal="center" wrapText="1"/>
    </xf>
    <xf numFmtId="0" fontId="48" fillId="0" borderId="101" xfId="23" applyFont="1" applyBorder="1" applyAlignment="1">
      <alignment horizontal="center"/>
    </xf>
    <xf numFmtId="0" fontId="48" fillId="0" borderId="77" xfId="23" applyFont="1" applyBorder="1" applyAlignment="1">
      <alignment horizontal="center"/>
    </xf>
    <xf numFmtId="0" fontId="48" fillId="0" borderId="87" xfId="23" applyFont="1" applyBorder="1" applyAlignment="1">
      <alignment horizontal="center"/>
    </xf>
    <xf numFmtId="49" fontId="39" fillId="0" borderId="0" xfId="0" applyNumberFormat="1" applyFont="1" applyAlignment="1">
      <alignment horizontal="left" vertical="top"/>
    </xf>
    <xf numFmtId="166" fontId="39" fillId="0" borderId="27" xfId="0" applyNumberFormat="1" applyFont="1" applyBorder="1" applyAlignment="1">
      <alignment horizontal="center" vertical="center" wrapText="1"/>
    </xf>
    <xf numFmtId="166" fontId="39" fillId="0" borderId="31" xfId="0" applyNumberFormat="1" applyFont="1" applyBorder="1" applyAlignment="1">
      <alignment horizontal="center" vertical="center" wrapText="1"/>
    </xf>
    <xf numFmtId="166" fontId="39" fillId="0" borderId="50" xfId="0" applyNumberFormat="1" applyFont="1" applyBorder="1" applyAlignment="1">
      <alignment horizontal="center" vertical="center"/>
    </xf>
    <xf numFmtId="166" fontId="39" fillId="0" borderId="51" xfId="0" applyNumberFormat="1" applyFont="1" applyBorder="1" applyAlignment="1">
      <alignment horizontal="center" vertical="center"/>
    </xf>
    <xf numFmtId="166" fontId="38" fillId="0" borderId="12" xfId="0" applyNumberFormat="1" applyFont="1" applyBorder="1" applyAlignment="1">
      <alignment horizontal="left" vertical="top"/>
    </xf>
    <xf numFmtId="166" fontId="38" fillId="0" borderId="0" xfId="0" applyNumberFormat="1" applyFont="1" applyAlignment="1">
      <alignment horizontal="left" vertical="top"/>
    </xf>
    <xf numFmtId="166" fontId="38" fillId="0" borderId="12" xfId="0" applyNumberFormat="1" applyFont="1" applyBorder="1" applyAlignment="1">
      <alignment horizontal="left" vertical="top" wrapText="1"/>
    </xf>
    <xf numFmtId="166" fontId="38" fillId="0" borderId="0" xfId="0" applyNumberFormat="1" applyFont="1" applyAlignment="1">
      <alignment horizontal="left" vertical="top" wrapText="1"/>
    </xf>
    <xf numFmtId="166" fontId="38" fillId="0" borderId="5" xfId="0" applyNumberFormat="1" applyFont="1" applyBorder="1" applyAlignment="1">
      <alignment horizontal="left" vertical="top" wrapText="1"/>
    </xf>
    <xf numFmtId="0" fontId="38" fillId="0" borderId="6" xfId="0" applyFont="1" applyBorder="1" applyAlignment="1">
      <alignment horizontal="center" vertical="center"/>
    </xf>
    <xf numFmtId="166" fontId="38" fillId="0" borderId="46" xfId="0" applyNumberFormat="1" applyFont="1" applyBorder="1" applyAlignment="1">
      <alignment horizontal="left" vertical="top"/>
    </xf>
    <xf numFmtId="166" fontId="38" fillId="0" borderId="21" xfId="0" applyNumberFormat="1" applyFont="1" applyBorder="1" applyAlignment="1">
      <alignment horizontal="left" vertical="top"/>
    </xf>
    <xf numFmtId="166" fontId="38" fillId="0" borderId="90" xfId="0" applyNumberFormat="1" applyFont="1" applyBorder="1" applyAlignment="1">
      <alignment horizontal="left" vertical="top"/>
    </xf>
    <xf numFmtId="166" fontId="38" fillId="27" borderId="5" xfId="0" applyNumberFormat="1" applyFont="1" applyFill="1" applyBorder="1" applyAlignment="1">
      <alignment horizontal="left" vertical="top" wrapText="1"/>
    </xf>
    <xf numFmtId="0" fontId="38" fillId="0" borderId="4" xfId="0" applyFont="1" applyBorder="1" applyAlignment="1">
      <alignment horizontal="center" vertical="center"/>
    </xf>
    <xf numFmtId="0" fontId="39" fillId="0" borderId="5" xfId="18" applyFont="1" applyBorder="1" applyAlignment="1">
      <alignment horizontal="center"/>
    </xf>
    <xf numFmtId="0" fontId="39" fillId="0" borderId="3" xfId="18" applyFont="1" applyBorder="1" applyAlignment="1">
      <alignment horizontal="center" vertical="center"/>
    </xf>
    <xf numFmtId="0" fontId="39" fillId="0" borderId="6" xfId="18" applyFont="1" applyBorder="1" applyAlignment="1">
      <alignment horizontal="center" vertical="center"/>
    </xf>
    <xf numFmtId="0" fontId="38" fillId="0" borderId="5" xfId="18" applyFont="1" applyBorder="1" applyAlignment="1">
      <alignment horizontal="center" vertical="center"/>
    </xf>
    <xf numFmtId="0" fontId="39" fillId="0" borderId="46" xfId="18" applyFont="1" applyBorder="1" applyAlignment="1">
      <alignment horizontal="center"/>
    </xf>
    <xf numFmtId="0" fontId="39" fillId="0" borderId="90" xfId="18" applyFont="1" applyBorder="1" applyAlignment="1">
      <alignment horizontal="center"/>
    </xf>
    <xf numFmtId="0" fontId="41" fillId="0" borderId="0" xfId="0" applyFont="1" applyAlignment="1">
      <alignment horizontal="left" vertical="top" wrapText="1"/>
    </xf>
    <xf numFmtId="0" fontId="68" fillId="0" borderId="0" xfId="272" applyFont="1" applyAlignment="1">
      <alignment horizontal="left" vertical="top" wrapText="1"/>
    </xf>
    <xf numFmtId="166" fontId="64" fillId="0" borderId="10" xfId="80" applyNumberFormat="1" applyFont="1" applyBorder="1" applyAlignment="1">
      <alignment horizontal="center"/>
    </xf>
    <xf numFmtId="0" fontId="39" fillId="0" borderId="46" xfId="265" applyFont="1" applyBorder="1" applyAlignment="1">
      <alignment horizontal="center"/>
    </xf>
    <xf numFmtId="0" fontId="39" fillId="0" borderId="90" xfId="265" applyFont="1" applyBorder="1" applyAlignment="1">
      <alignment horizontal="center"/>
    </xf>
    <xf numFmtId="0" fontId="48" fillId="0" borderId="85" xfId="0" applyFont="1" applyBorder="1" applyAlignment="1">
      <alignment horizontal="center" vertical="center"/>
    </xf>
    <xf numFmtId="0" fontId="48" fillId="0" borderId="38" xfId="0" applyFont="1" applyBorder="1" applyAlignment="1">
      <alignment horizontal="center" vertical="center"/>
    </xf>
    <xf numFmtId="0" fontId="48" fillId="0" borderId="78" xfId="0" applyFont="1" applyBorder="1" applyAlignment="1">
      <alignment horizontal="center" vertical="center" wrapText="1"/>
    </xf>
    <xf numFmtId="0" fontId="48" fillId="0" borderId="23" xfId="0" applyFont="1" applyBorder="1" applyAlignment="1">
      <alignment horizontal="center" vertical="center" wrapText="1"/>
    </xf>
    <xf numFmtId="0" fontId="48" fillId="0" borderId="78" xfId="0" applyFont="1" applyBorder="1" applyAlignment="1">
      <alignment horizontal="center" vertical="center"/>
    </xf>
    <xf numFmtId="0" fontId="48" fillId="0" borderId="23" xfId="0" applyFont="1" applyBorder="1" applyAlignment="1">
      <alignment horizontal="center" vertical="center"/>
    </xf>
    <xf numFmtId="0" fontId="48" fillId="0" borderId="79" xfId="0" applyFont="1" applyBorder="1" applyAlignment="1">
      <alignment horizontal="center" vertical="center" wrapText="1"/>
    </xf>
    <xf numFmtId="0" fontId="48" fillId="0" borderId="42" xfId="0" applyFont="1" applyBorder="1" applyAlignment="1">
      <alignment horizontal="center" vertical="center" wrapText="1"/>
    </xf>
    <xf numFmtId="0" fontId="48" fillId="0" borderId="50" xfId="0" applyFont="1" applyBorder="1" applyAlignment="1">
      <alignment horizontal="center" vertical="center"/>
    </xf>
    <xf numFmtId="0" fontId="48" fillId="0" borderId="87" xfId="0" applyFont="1" applyBorder="1" applyAlignment="1">
      <alignment horizontal="center" vertical="center"/>
    </xf>
    <xf numFmtId="0" fontId="48" fillId="0" borderId="26" xfId="0" applyFont="1" applyBorder="1" applyAlignment="1">
      <alignment horizontal="center" vertical="center"/>
    </xf>
    <xf numFmtId="0" fontId="48" fillId="0" borderId="88" xfId="0" applyFont="1" applyBorder="1" applyAlignment="1">
      <alignment horizontal="center" vertical="center"/>
    </xf>
    <xf numFmtId="0" fontId="48" fillId="0" borderId="61" xfId="0" applyFont="1" applyBorder="1" applyAlignment="1">
      <alignment horizontal="center" vertical="center"/>
    </xf>
    <xf numFmtId="0" fontId="48" fillId="0" borderId="61" xfId="0" applyFont="1" applyBorder="1" applyAlignment="1">
      <alignment horizontal="center" vertical="center" wrapText="1"/>
    </xf>
    <xf numFmtId="0" fontId="48" fillId="0" borderId="5" xfId="0" applyFont="1" applyBorder="1" applyAlignment="1">
      <alignment horizontal="center" vertical="center" wrapText="1"/>
    </xf>
  </cellXfs>
  <cellStyles count="280">
    <cellStyle name="'" xfId="274" xr:uid="{00000000-0005-0000-0000-000000000000}"/>
    <cellStyle name="=C:\WINNT\SYSTEM32\COMMAND.COM" xfId="82" xr:uid="{00000000-0005-0000-0000-000001000000}"/>
    <cellStyle name="20% - Accent1 10" xfId="83" xr:uid="{00000000-0005-0000-0000-000002000000}"/>
    <cellStyle name="20% - Accent1 11" xfId="84" xr:uid="{00000000-0005-0000-0000-000003000000}"/>
    <cellStyle name="20% - Accent1 12" xfId="85" xr:uid="{00000000-0005-0000-0000-000004000000}"/>
    <cellStyle name="20% - Accent1 2" xfId="39" xr:uid="{00000000-0005-0000-0000-000005000000}"/>
    <cellStyle name="20% - Accent1 3" xfId="86" xr:uid="{00000000-0005-0000-0000-000006000000}"/>
    <cellStyle name="20% - Accent1 4" xfId="87" xr:uid="{00000000-0005-0000-0000-000007000000}"/>
    <cellStyle name="20% - Accent1 5" xfId="88" xr:uid="{00000000-0005-0000-0000-000008000000}"/>
    <cellStyle name="20% - Accent1 6" xfId="89" xr:uid="{00000000-0005-0000-0000-000009000000}"/>
    <cellStyle name="20% - Accent1 7" xfId="90" xr:uid="{00000000-0005-0000-0000-00000A000000}"/>
    <cellStyle name="20% - Accent1 8" xfId="91" xr:uid="{00000000-0005-0000-0000-00000B000000}"/>
    <cellStyle name="20% - Accent1 9" xfId="92" xr:uid="{00000000-0005-0000-0000-00000C000000}"/>
    <cellStyle name="20% - Accent2 10" xfId="93" xr:uid="{00000000-0005-0000-0000-00000D000000}"/>
    <cellStyle name="20% - Accent2 11" xfId="94" xr:uid="{00000000-0005-0000-0000-00000E000000}"/>
    <cellStyle name="20% - Accent2 12" xfId="95" xr:uid="{00000000-0005-0000-0000-00000F000000}"/>
    <cellStyle name="20% - Accent2 2" xfId="40" xr:uid="{00000000-0005-0000-0000-000010000000}"/>
    <cellStyle name="20% - Accent2 3" xfId="96" xr:uid="{00000000-0005-0000-0000-000011000000}"/>
    <cellStyle name="20% - Accent2 4" xfId="97" xr:uid="{00000000-0005-0000-0000-000012000000}"/>
    <cellStyle name="20% - Accent2 5" xfId="98" xr:uid="{00000000-0005-0000-0000-000013000000}"/>
    <cellStyle name="20% - Accent2 6" xfId="99" xr:uid="{00000000-0005-0000-0000-000014000000}"/>
    <cellStyle name="20% - Accent2 7" xfId="100" xr:uid="{00000000-0005-0000-0000-000015000000}"/>
    <cellStyle name="20% - Accent2 8" xfId="101" xr:uid="{00000000-0005-0000-0000-000016000000}"/>
    <cellStyle name="20% - Accent2 9" xfId="102" xr:uid="{00000000-0005-0000-0000-000017000000}"/>
    <cellStyle name="20% - Accent3 10" xfId="103" xr:uid="{00000000-0005-0000-0000-000018000000}"/>
    <cellStyle name="20% - Accent3 11" xfId="104" xr:uid="{00000000-0005-0000-0000-000019000000}"/>
    <cellStyle name="20% - Accent3 12" xfId="105" xr:uid="{00000000-0005-0000-0000-00001A000000}"/>
    <cellStyle name="20% - Accent3 2" xfId="41" xr:uid="{00000000-0005-0000-0000-00001B000000}"/>
    <cellStyle name="20% - Accent3 3" xfId="106" xr:uid="{00000000-0005-0000-0000-00001C000000}"/>
    <cellStyle name="20% - Accent3 4" xfId="107" xr:uid="{00000000-0005-0000-0000-00001D000000}"/>
    <cellStyle name="20% - Accent3 5" xfId="108" xr:uid="{00000000-0005-0000-0000-00001E000000}"/>
    <cellStyle name="20% - Accent3 6" xfId="109" xr:uid="{00000000-0005-0000-0000-00001F000000}"/>
    <cellStyle name="20% - Accent3 7" xfId="110" xr:uid="{00000000-0005-0000-0000-000020000000}"/>
    <cellStyle name="20% - Accent3 8" xfId="111" xr:uid="{00000000-0005-0000-0000-000021000000}"/>
    <cellStyle name="20% - Accent3 9" xfId="112" xr:uid="{00000000-0005-0000-0000-000022000000}"/>
    <cellStyle name="20% - Accent4 10" xfId="113" xr:uid="{00000000-0005-0000-0000-000023000000}"/>
    <cellStyle name="20% - Accent4 11" xfId="114" xr:uid="{00000000-0005-0000-0000-000024000000}"/>
    <cellStyle name="20% - Accent4 12" xfId="115" xr:uid="{00000000-0005-0000-0000-000025000000}"/>
    <cellStyle name="20% - Accent4 2" xfId="42" xr:uid="{00000000-0005-0000-0000-000026000000}"/>
    <cellStyle name="20% - Accent4 3" xfId="116" xr:uid="{00000000-0005-0000-0000-000027000000}"/>
    <cellStyle name="20% - Accent4 4" xfId="117" xr:uid="{00000000-0005-0000-0000-000028000000}"/>
    <cellStyle name="20% - Accent4 5" xfId="118" xr:uid="{00000000-0005-0000-0000-000029000000}"/>
    <cellStyle name="20% - Accent4 6" xfId="119" xr:uid="{00000000-0005-0000-0000-00002A000000}"/>
    <cellStyle name="20% - Accent4 7" xfId="120" xr:uid="{00000000-0005-0000-0000-00002B000000}"/>
    <cellStyle name="20% - Accent4 8" xfId="121" xr:uid="{00000000-0005-0000-0000-00002C000000}"/>
    <cellStyle name="20% - Accent4 9" xfId="122" xr:uid="{00000000-0005-0000-0000-00002D000000}"/>
    <cellStyle name="20% - Accent5 10" xfId="123" xr:uid="{00000000-0005-0000-0000-00002E000000}"/>
    <cellStyle name="20% - Accent5 11" xfId="124" xr:uid="{00000000-0005-0000-0000-00002F000000}"/>
    <cellStyle name="20% - Accent5 12" xfId="125" xr:uid="{00000000-0005-0000-0000-000030000000}"/>
    <cellStyle name="20% - Accent5 2" xfId="43" xr:uid="{00000000-0005-0000-0000-000031000000}"/>
    <cellStyle name="20% - Accent5 3" xfId="126" xr:uid="{00000000-0005-0000-0000-000032000000}"/>
    <cellStyle name="20% - Accent5 4" xfId="127" xr:uid="{00000000-0005-0000-0000-000033000000}"/>
    <cellStyle name="20% - Accent5 5" xfId="128" xr:uid="{00000000-0005-0000-0000-000034000000}"/>
    <cellStyle name="20% - Accent5 6" xfId="129" xr:uid="{00000000-0005-0000-0000-000035000000}"/>
    <cellStyle name="20% - Accent5 7" xfId="130" xr:uid="{00000000-0005-0000-0000-000036000000}"/>
    <cellStyle name="20% - Accent5 8" xfId="131" xr:uid="{00000000-0005-0000-0000-000037000000}"/>
    <cellStyle name="20% - Accent5 9" xfId="132" xr:uid="{00000000-0005-0000-0000-000038000000}"/>
    <cellStyle name="20% - Accent6 10" xfId="133" xr:uid="{00000000-0005-0000-0000-000039000000}"/>
    <cellStyle name="20% - Accent6 11" xfId="134" xr:uid="{00000000-0005-0000-0000-00003A000000}"/>
    <cellStyle name="20% - Accent6 12" xfId="135" xr:uid="{00000000-0005-0000-0000-00003B000000}"/>
    <cellStyle name="20% - Accent6 2" xfId="44" xr:uid="{00000000-0005-0000-0000-00003C000000}"/>
    <cellStyle name="20% - Accent6 3" xfId="136" xr:uid="{00000000-0005-0000-0000-00003D000000}"/>
    <cellStyle name="20% - Accent6 4" xfId="137" xr:uid="{00000000-0005-0000-0000-00003E000000}"/>
    <cellStyle name="20% - Accent6 5" xfId="138" xr:uid="{00000000-0005-0000-0000-00003F000000}"/>
    <cellStyle name="20% - Accent6 6" xfId="139" xr:uid="{00000000-0005-0000-0000-000040000000}"/>
    <cellStyle name="20% - Accent6 7" xfId="140" xr:uid="{00000000-0005-0000-0000-000041000000}"/>
    <cellStyle name="20% - Accent6 8" xfId="141" xr:uid="{00000000-0005-0000-0000-000042000000}"/>
    <cellStyle name="20% - Accent6 9" xfId="142" xr:uid="{00000000-0005-0000-0000-000043000000}"/>
    <cellStyle name="40% - Accent1 10" xfId="143" xr:uid="{00000000-0005-0000-0000-000044000000}"/>
    <cellStyle name="40% - Accent1 11" xfId="144" xr:uid="{00000000-0005-0000-0000-000045000000}"/>
    <cellStyle name="40% - Accent1 12" xfId="145" xr:uid="{00000000-0005-0000-0000-000046000000}"/>
    <cellStyle name="40% - Accent1 2" xfId="45" xr:uid="{00000000-0005-0000-0000-000047000000}"/>
    <cellStyle name="40% - Accent1 3" xfId="146" xr:uid="{00000000-0005-0000-0000-000048000000}"/>
    <cellStyle name="40% - Accent1 4" xfId="147" xr:uid="{00000000-0005-0000-0000-000049000000}"/>
    <cellStyle name="40% - Accent1 5" xfId="148" xr:uid="{00000000-0005-0000-0000-00004A000000}"/>
    <cellStyle name="40% - Accent1 6" xfId="149" xr:uid="{00000000-0005-0000-0000-00004B000000}"/>
    <cellStyle name="40% - Accent1 7" xfId="150" xr:uid="{00000000-0005-0000-0000-00004C000000}"/>
    <cellStyle name="40% - Accent1 8" xfId="151" xr:uid="{00000000-0005-0000-0000-00004D000000}"/>
    <cellStyle name="40% - Accent1 9" xfId="152" xr:uid="{00000000-0005-0000-0000-00004E000000}"/>
    <cellStyle name="40% - Accent2 10" xfId="153" xr:uid="{00000000-0005-0000-0000-00004F000000}"/>
    <cellStyle name="40% - Accent2 11" xfId="154" xr:uid="{00000000-0005-0000-0000-000050000000}"/>
    <cellStyle name="40% - Accent2 12" xfId="155" xr:uid="{00000000-0005-0000-0000-000051000000}"/>
    <cellStyle name="40% - Accent2 2" xfId="46" xr:uid="{00000000-0005-0000-0000-000052000000}"/>
    <cellStyle name="40% - Accent2 3" xfId="156" xr:uid="{00000000-0005-0000-0000-000053000000}"/>
    <cellStyle name="40% - Accent2 4" xfId="157" xr:uid="{00000000-0005-0000-0000-000054000000}"/>
    <cellStyle name="40% - Accent2 5" xfId="158" xr:uid="{00000000-0005-0000-0000-000055000000}"/>
    <cellStyle name="40% - Accent2 6" xfId="159" xr:uid="{00000000-0005-0000-0000-000056000000}"/>
    <cellStyle name="40% - Accent2 7" xfId="160" xr:uid="{00000000-0005-0000-0000-000057000000}"/>
    <cellStyle name="40% - Accent2 8" xfId="161" xr:uid="{00000000-0005-0000-0000-000058000000}"/>
    <cellStyle name="40% - Accent2 9" xfId="162" xr:uid="{00000000-0005-0000-0000-000059000000}"/>
    <cellStyle name="40% - Accent3 10" xfId="163" xr:uid="{00000000-0005-0000-0000-00005A000000}"/>
    <cellStyle name="40% - Accent3 11" xfId="164" xr:uid="{00000000-0005-0000-0000-00005B000000}"/>
    <cellStyle name="40% - Accent3 12" xfId="165" xr:uid="{00000000-0005-0000-0000-00005C000000}"/>
    <cellStyle name="40% - Accent3 2" xfId="47" xr:uid="{00000000-0005-0000-0000-00005D000000}"/>
    <cellStyle name="40% - Accent3 3" xfId="166" xr:uid="{00000000-0005-0000-0000-00005E000000}"/>
    <cellStyle name="40% - Accent3 4" xfId="167" xr:uid="{00000000-0005-0000-0000-00005F000000}"/>
    <cellStyle name="40% - Accent3 5" xfId="168" xr:uid="{00000000-0005-0000-0000-000060000000}"/>
    <cellStyle name="40% - Accent3 6" xfId="169" xr:uid="{00000000-0005-0000-0000-000061000000}"/>
    <cellStyle name="40% - Accent3 7" xfId="170" xr:uid="{00000000-0005-0000-0000-000062000000}"/>
    <cellStyle name="40% - Accent3 8" xfId="171" xr:uid="{00000000-0005-0000-0000-000063000000}"/>
    <cellStyle name="40% - Accent3 9" xfId="172" xr:uid="{00000000-0005-0000-0000-000064000000}"/>
    <cellStyle name="40% - Accent4 10" xfId="173" xr:uid="{00000000-0005-0000-0000-000065000000}"/>
    <cellStyle name="40% - Accent4 11" xfId="174" xr:uid="{00000000-0005-0000-0000-000066000000}"/>
    <cellStyle name="40% - Accent4 12" xfId="175" xr:uid="{00000000-0005-0000-0000-000067000000}"/>
    <cellStyle name="40% - Accent4 2" xfId="48" xr:uid="{00000000-0005-0000-0000-000068000000}"/>
    <cellStyle name="40% - Accent4 3" xfId="176" xr:uid="{00000000-0005-0000-0000-000069000000}"/>
    <cellStyle name="40% - Accent4 4" xfId="177" xr:uid="{00000000-0005-0000-0000-00006A000000}"/>
    <cellStyle name="40% - Accent4 5" xfId="178" xr:uid="{00000000-0005-0000-0000-00006B000000}"/>
    <cellStyle name="40% - Accent4 6" xfId="179" xr:uid="{00000000-0005-0000-0000-00006C000000}"/>
    <cellStyle name="40% - Accent4 7" xfId="180" xr:uid="{00000000-0005-0000-0000-00006D000000}"/>
    <cellStyle name="40% - Accent4 8" xfId="181" xr:uid="{00000000-0005-0000-0000-00006E000000}"/>
    <cellStyle name="40% - Accent4 9" xfId="182" xr:uid="{00000000-0005-0000-0000-00006F000000}"/>
    <cellStyle name="40% - Accent5 10" xfId="183" xr:uid="{00000000-0005-0000-0000-000070000000}"/>
    <cellStyle name="40% - Accent5 11" xfId="184" xr:uid="{00000000-0005-0000-0000-000071000000}"/>
    <cellStyle name="40% - Accent5 12" xfId="185" xr:uid="{00000000-0005-0000-0000-000072000000}"/>
    <cellStyle name="40% - Accent5 2" xfId="49" xr:uid="{00000000-0005-0000-0000-000073000000}"/>
    <cellStyle name="40% - Accent5 3" xfId="186" xr:uid="{00000000-0005-0000-0000-000074000000}"/>
    <cellStyle name="40% - Accent5 4" xfId="187" xr:uid="{00000000-0005-0000-0000-000075000000}"/>
    <cellStyle name="40% - Accent5 5" xfId="188" xr:uid="{00000000-0005-0000-0000-000076000000}"/>
    <cellStyle name="40% - Accent5 6" xfId="189" xr:uid="{00000000-0005-0000-0000-000077000000}"/>
    <cellStyle name="40% - Accent5 7" xfId="190" xr:uid="{00000000-0005-0000-0000-000078000000}"/>
    <cellStyle name="40% - Accent5 8" xfId="191" xr:uid="{00000000-0005-0000-0000-000079000000}"/>
    <cellStyle name="40% - Accent5 9" xfId="192" xr:uid="{00000000-0005-0000-0000-00007A000000}"/>
    <cellStyle name="40% - Accent6 10" xfId="193" xr:uid="{00000000-0005-0000-0000-00007B000000}"/>
    <cellStyle name="40% - Accent6 11" xfId="194" xr:uid="{00000000-0005-0000-0000-00007C000000}"/>
    <cellStyle name="40% - Accent6 12" xfId="195" xr:uid="{00000000-0005-0000-0000-00007D000000}"/>
    <cellStyle name="40% - Accent6 2" xfId="50" xr:uid="{00000000-0005-0000-0000-00007E000000}"/>
    <cellStyle name="40% - Accent6 3" xfId="196" xr:uid="{00000000-0005-0000-0000-00007F000000}"/>
    <cellStyle name="40% - Accent6 4" xfId="197" xr:uid="{00000000-0005-0000-0000-000080000000}"/>
    <cellStyle name="40% - Accent6 5" xfId="198" xr:uid="{00000000-0005-0000-0000-000081000000}"/>
    <cellStyle name="40% - Accent6 6" xfId="199" xr:uid="{00000000-0005-0000-0000-000082000000}"/>
    <cellStyle name="40% - Accent6 7" xfId="200" xr:uid="{00000000-0005-0000-0000-000083000000}"/>
    <cellStyle name="40% - Accent6 8" xfId="201" xr:uid="{00000000-0005-0000-0000-000084000000}"/>
    <cellStyle name="40% - Accent6 9" xfId="202" xr:uid="{00000000-0005-0000-0000-000085000000}"/>
    <cellStyle name="60% - Accent1 2" xfId="51" xr:uid="{00000000-0005-0000-0000-000086000000}"/>
    <cellStyle name="60% - Accent2 2" xfId="52" xr:uid="{00000000-0005-0000-0000-000087000000}"/>
    <cellStyle name="60% - Accent3 2" xfId="53" xr:uid="{00000000-0005-0000-0000-000088000000}"/>
    <cellStyle name="60% - Accent4 2" xfId="54" xr:uid="{00000000-0005-0000-0000-000089000000}"/>
    <cellStyle name="60% - Accent5 2" xfId="55" xr:uid="{00000000-0005-0000-0000-00008A000000}"/>
    <cellStyle name="60% - Accent6 2" xfId="56" xr:uid="{00000000-0005-0000-0000-00008B000000}"/>
    <cellStyle name="Accent1 2" xfId="57" xr:uid="{00000000-0005-0000-0000-00008C000000}"/>
    <cellStyle name="Accent2 2" xfId="58" xr:uid="{00000000-0005-0000-0000-00008D000000}"/>
    <cellStyle name="Accent3 2" xfId="59" xr:uid="{00000000-0005-0000-0000-00008E000000}"/>
    <cellStyle name="Accent4 2" xfId="60" xr:uid="{00000000-0005-0000-0000-00008F000000}"/>
    <cellStyle name="Accent5 2" xfId="61" xr:uid="{00000000-0005-0000-0000-000090000000}"/>
    <cellStyle name="Accent6 2" xfId="62" xr:uid="{00000000-0005-0000-0000-000091000000}"/>
    <cellStyle name="Bad 2" xfId="63" xr:uid="{00000000-0005-0000-0000-000092000000}"/>
    <cellStyle name="Calculation 2" xfId="64" xr:uid="{00000000-0005-0000-0000-000093000000}"/>
    <cellStyle name="Check Cell 2" xfId="65" xr:uid="{00000000-0005-0000-0000-000094000000}"/>
    <cellStyle name="Comma" xfId="1" builtinId="3"/>
    <cellStyle name="Comma 10" xfId="29" xr:uid="{00000000-0005-0000-0000-000096000000}"/>
    <cellStyle name="Comma 18 3" xfId="277" xr:uid="{00000000-0005-0000-0000-000097000000}"/>
    <cellStyle name="Comma 19 3" xfId="273" xr:uid="{00000000-0005-0000-0000-000098000000}"/>
    <cellStyle name="Comma 2" xfId="2" xr:uid="{00000000-0005-0000-0000-000099000000}"/>
    <cellStyle name="Comma 2 2" xfId="3" xr:uid="{00000000-0005-0000-0000-00009A000000}"/>
    <cellStyle name="Comma 2 2 2" xfId="4" xr:uid="{00000000-0005-0000-0000-00009B000000}"/>
    <cellStyle name="Comma 2 2 2 2" xfId="32" xr:uid="{00000000-0005-0000-0000-00009C000000}"/>
    <cellStyle name="Comma 2 2 2 3" xfId="31" xr:uid="{00000000-0005-0000-0000-00009D000000}"/>
    <cellStyle name="Comma 2 2 3" xfId="30" xr:uid="{00000000-0005-0000-0000-00009E000000}"/>
    <cellStyle name="Comma 2 3" xfId="5" xr:uid="{00000000-0005-0000-0000-00009F000000}"/>
    <cellStyle name="Comma 2 4" xfId="203" xr:uid="{00000000-0005-0000-0000-0000A0000000}"/>
    <cellStyle name="Comma 2 5" xfId="204" xr:uid="{00000000-0005-0000-0000-0000A1000000}"/>
    <cellStyle name="Comma 2 6" xfId="205" xr:uid="{00000000-0005-0000-0000-0000A2000000}"/>
    <cellStyle name="Comma 2 7" xfId="206" xr:uid="{00000000-0005-0000-0000-0000A3000000}"/>
    <cellStyle name="Comma 2 8" xfId="207" xr:uid="{00000000-0005-0000-0000-0000A4000000}"/>
    <cellStyle name="Comma 2_Kaivalya AY 2011-2012 Latest" xfId="6" xr:uid="{00000000-0005-0000-0000-0000A5000000}"/>
    <cellStyle name="Comma 3" xfId="7" xr:uid="{00000000-0005-0000-0000-0000A6000000}"/>
    <cellStyle name="Comma 3 2" xfId="8" xr:uid="{00000000-0005-0000-0000-0000A7000000}"/>
    <cellStyle name="Comma 3 2 2" xfId="268" xr:uid="{00000000-0005-0000-0000-0000A8000000}"/>
    <cellStyle name="Comma 3 3" xfId="33" xr:uid="{00000000-0005-0000-0000-0000A9000000}"/>
    <cellStyle name="Comma 4" xfId="9" xr:uid="{00000000-0005-0000-0000-0000AA000000}"/>
    <cellStyle name="Comma 4 2" xfId="34" xr:uid="{00000000-0005-0000-0000-0000AB000000}"/>
    <cellStyle name="Comma 4 3" xfId="267" xr:uid="{00000000-0005-0000-0000-0000AC000000}"/>
    <cellStyle name="Comma 5" xfId="10" xr:uid="{00000000-0005-0000-0000-0000AD000000}"/>
    <cellStyle name="Comma 5 2" xfId="11" xr:uid="{00000000-0005-0000-0000-0000AE000000}"/>
    <cellStyle name="Comma 5 3" xfId="81" xr:uid="{00000000-0005-0000-0000-0000AF000000}"/>
    <cellStyle name="Comma 6" xfId="12" xr:uid="{00000000-0005-0000-0000-0000B0000000}"/>
    <cellStyle name="Comma 6 2" xfId="13" xr:uid="{00000000-0005-0000-0000-0000B1000000}"/>
    <cellStyle name="Comma 7" xfId="25" xr:uid="{00000000-0005-0000-0000-0000B2000000}"/>
    <cellStyle name="Comma 7 2" xfId="208" xr:uid="{00000000-0005-0000-0000-0000B3000000}"/>
    <cellStyle name="Comma 8" xfId="27" xr:uid="{00000000-0005-0000-0000-0000B4000000}"/>
    <cellStyle name="Comma 9" xfId="28" xr:uid="{00000000-0005-0000-0000-0000B5000000}"/>
    <cellStyle name="Comma_BALANCE SHEET FHI 03-04 DEC 2" xfId="14" xr:uid="{00000000-0005-0000-0000-0000B6000000}"/>
    <cellStyle name="Comma_Financials FY 09-10 AY 10-11.xls" xfId="26" xr:uid="{00000000-0005-0000-0000-0000B7000000}"/>
    <cellStyle name="Currency" xfId="38" builtinId="4"/>
    <cellStyle name="DataPilot Category" xfId="209" xr:uid="{00000000-0005-0000-0000-0000B9000000}"/>
    <cellStyle name="DataPilot Corner" xfId="210" xr:uid="{00000000-0005-0000-0000-0000BA000000}"/>
    <cellStyle name="DataPilot Field" xfId="211" xr:uid="{00000000-0005-0000-0000-0000BB000000}"/>
    <cellStyle name="DataPilot Result" xfId="212" xr:uid="{00000000-0005-0000-0000-0000BC000000}"/>
    <cellStyle name="DataPilot Title" xfId="213" xr:uid="{00000000-0005-0000-0000-0000BD000000}"/>
    <cellStyle name="DataPilot Value" xfId="214" xr:uid="{00000000-0005-0000-0000-0000BE000000}"/>
    <cellStyle name="Excel Built-in Normal" xfId="15" xr:uid="{00000000-0005-0000-0000-0000BF000000}"/>
    <cellStyle name="Explanatory Text 2" xfId="66" xr:uid="{00000000-0005-0000-0000-0000C0000000}"/>
    <cellStyle name="Good 2" xfId="67" xr:uid="{00000000-0005-0000-0000-0000C1000000}"/>
    <cellStyle name="Heading 1 2" xfId="68" xr:uid="{00000000-0005-0000-0000-0000C2000000}"/>
    <cellStyle name="Heading 2 2" xfId="69" xr:uid="{00000000-0005-0000-0000-0000C3000000}"/>
    <cellStyle name="Heading 3 2" xfId="70" xr:uid="{00000000-0005-0000-0000-0000C4000000}"/>
    <cellStyle name="Heading 4 2" xfId="71" xr:uid="{00000000-0005-0000-0000-0000C5000000}"/>
    <cellStyle name="Hyperlink 2" xfId="16" xr:uid="{00000000-0005-0000-0000-0000C6000000}"/>
    <cellStyle name="Hyperlink 3" xfId="17" xr:uid="{00000000-0005-0000-0000-0000C7000000}"/>
    <cellStyle name="Input 2" xfId="72" xr:uid="{00000000-0005-0000-0000-0000C8000000}"/>
    <cellStyle name="Linked Cell 2" xfId="73" xr:uid="{00000000-0005-0000-0000-0000C9000000}"/>
    <cellStyle name="Neutral 2" xfId="74" xr:uid="{00000000-0005-0000-0000-0000CA000000}"/>
    <cellStyle name="Normal" xfId="0" builtinId="0"/>
    <cellStyle name="Normal 10" xfId="215" xr:uid="{00000000-0005-0000-0000-0000CC000000}"/>
    <cellStyle name="Normal 100" xfId="216" xr:uid="{00000000-0005-0000-0000-0000CD000000}"/>
    <cellStyle name="Normal 102" xfId="217" xr:uid="{00000000-0005-0000-0000-0000CE000000}"/>
    <cellStyle name="Normal 105" xfId="218" xr:uid="{00000000-0005-0000-0000-0000CF000000}"/>
    <cellStyle name="Normal 11" xfId="219" xr:uid="{00000000-0005-0000-0000-0000D0000000}"/>
    <cellStyle name="Normal 110" xfId="220" xr:uid="{00000000-0005-0000-0000-0000D1000000}"/>
    <cellStyle name="Normal 12" xfId="221" xr:uid="{00000000-0005-0000-0000-0000D2000000}"/>
    <cellStyle name="Normal 13" xfId="222" xr:uid="{00000000-0005-0000-0000-0000D3000000}"/>
    <cellStyle name="Normal 14" xfId="223" xr:uid="{00000000-0005-0000-0000-0000D4000000}"/>
    <cellStyle name="Normal 15" xfId="224" xr:uid="{00000000-0005-0000-0000-0000D5000000}"/>
    <cellStyle name="Normal 16" xfId="225" xr:uid="{00000000-0005-0000-0000-0000D6000000}"/>
    <cellStyle name="Normal 17" xfId="226" xr:uid="{00000000-0005-0000-0000-0000D7000000}"/>
    <cellStyle name="Normal 18" xfId="35" xr:uid="{00000000-0005-0000-0000-0000D8000000}"/>
    <cellStyle name="Normal 19" xfId="227" xr:uid="{00000000-0005-0000-0000-0000D9000000}"/>
    <cellStyle name="Normal 19 2 3" xfId="275" xr:uid="{00000000-0005-0000-0000-0000DA000000}"/>
    <cellStyle name="Normal 2" xfId="18" xr:uid="{00000000-0005-0000-0000-0000DB000000}"/>
    <cellStyle name="Normal 2 2" xfId="19" xr:uid="{00000000-0005-0000-0000-0000DC000000}"/>
    <cellStyle name="Normal 2 2 2" xfId="36" xr:uid="{00000000-0005-0000-0000-0000DD000000}"/>
    <cellStyle name="Normal 2 3" xfId="228" xr:uid="{00000000-0005-0000-0000-0000DE000000}"/>
    <cellStyle name="Normal 2 4" xfId="229" xr:uid="{00000000-0005-0000-0000-0000DF000000}"/>
    <cellStyle name="Normal 2_Kaivalya AY 2011-2012 Latest" xfId="20" xr:uid="{00000000-0005-0000-0000-0000E0000000}"/>
    <cellStyle name="Normal 20" xfId="230" xr:uid="{00000000-0005-0000-0000-0000E1000000}"/>
    <cellStyle name="Normal 20 3 3" xfId="278" xr:uid="{00000000-0005-0000-0000-0000E2000000}"/>
    <cellStyle name="Normal 21" xfId="231" xr:uid="{00000000-0005-0000-0000-0000E3000000}"/>
    <cellStyle name="Normal 21 16" xfId="272" xr:uid="{00000000-0005-0000-0000-0000E4000000}"/>
    <cellStyle name="Normal 22" xfId="269" xr:uid="{00000000-0005-0000-0000-0000E5000000}"/>
    <cellStyle name="Normal 23" xfId="232" xr:uid="{00000000-0005-0000-0000-0000E6000000}"/>
    <cellStyle name="Normal 29" xfId="233" xr:uid="{00000000-0005-0000-0000-0000E7000000}"/>
    <cellStyle name="Normal 3" xfId="21" xr:uid="{00000000-0005-0000-0000-0000E8000000}"/>
    <cellStyle name="Normal 3 2" xfId="22" xr:uid="{00000000-0005-0000-0000-0000E9000000}"/>
    <cellStyle name="Normal 3 2 2" xfId="37" xr:uid="{00000000-0005-0000-0000-0000EA000000}"/>
    <cellStyle name="Normal 3 3" xfId="266" xr:uid="{00000000-0005-0000-0000-0000EB000000}"/>
    <cellStyle name="Normal 32" xfId="234" xr:uid="{00000000-0005-0000-0000-0000EC000000}"/>
    <cellStyle name="Normal 34" xfId="235" xr:uid="{00000000-0005-0000-0000-0000ED000000}"/>
    <cellStyle name="Normal 4" xfId="236" xr:uid="{00000000-0005-0000-0000-0000EE000000}"/>
    <cellStyle name="Normal 4 2" xfId="237" xr:uid="{00000000-0005-0000-0000-0000EF000000}"/>
    <cellStyle name="Normal 42" xfId="238" xr:uid="{00000000-0005-0000-0000-0000F0000000}"/>
    <cellStyle name="Normal 5" xfId="23" xr:uid="{00000000-0005-0000-0000-0000F1000000}"/>
    <cellStyle name="Normal 51" xfId="239" xr:uid="{00000000-0005-0000-0000-0000F2000000}"/>
    <cellStyle name="Normal 54" xfId="240" xr:uid="{00000000-0005-0000-0000-0000F3000000}"/>
    <cellStyle name="Normal 55" xfId="241" xr:uid="{00000000-0005-0000-0000-0000F4000000}"/>
    <cellStyle name="Normal 57" xfId="242" xr:uid="{00000000-0005-0000-0000-0000F5000000}"/>
    <cellStyle name="Normal 6" xfId="80" xr:uid="{00000000-0005-0000-0000-0000F6000000}"/>
    <cellStyle name="Normal 63" xfId="243" xr:uid="{00000000-0005-0000-0000-0000F7000000}"/>
    <cellStyle name="Normal 65" xfId="244" xr:uid="{00000000-0005-0000-0000-0000F8000000}"/>
    <cellStyle name="Normal 66" xfId="245" xr:uid="{00000000-0005-0000-0000-0000F9000000}"/>
    <cellStyle name="Normal 69" xfId="246" xr:uid="{00000000-0005-0000-0000-0000FA000000}"/>
    <cellStyle name="Normal 7" xfId="247" xr:uid="{00000000-0005-0000-0000-0000FB000000}"/>
    <cellStyle name="Normal 7 2" xfId="265" xr:uid="{00000000-0005-0000-0000-0000FC000000}"/>
    <cellStyle name="Normal 73" xfId="248" xr:uid="{00000000-0005-0000-0000-0000FD000000}"/>
    <cellStyle name="Normal 8" xfId="249" xr:uid="{00000000-0005-0000-0000-0000FE000000}"/>
    <cellStyle name="Normal 87" xfId="250" xr:uid="{00000000-0005-0000-0000-0000FF000000}"/>
    <cellStyle name="Normal 9" xfId="251" xr:uid="{00000000-0005-0000-0000-000000010000}"/>
    <cellStyle name="Normal 93" xfId="252" xr:uid="{00000000-0005-0000-0000-000001010000}"/>
    <cellStyle name="Normal_IIIRDQTR 06.01" xfId="270" xr:uid="{00000000-0005-0000-0000-000002010000}"/>
    <cellStyle name="Note 10" xfId="253" xr:uid="{00000000-0005-0000-0000-000003010000}"/>
    <cellStyle name="Note 11" xfId="254" xr:uid="{00000000-0005-0000-0000-000004010000}"/>
    <cellStyle name="Note 12" xfId="255" xr:uid="{00000000-0005-0000-0000-000005010000}"/>
    <cellStyle name="Note 2" xfId="75" xr:uid="{00000000-0005-0000-0000-000006010000}"/>
    <cellStyle name="Note 3" xfId="256" xr:uid="{00000000-0005-0000-0000-000007010000}"/>
    <cellStyle name="Note 4" xfId="257" xr:uid="{00000000-0005-0000-0000-000008010000}"/>
    <cellStyle name="Note 5" xfId="258" xr:uid="{00000000-0005-0000-0000-000009010000}"/>
    <cellStyle name="Note 6" xfId="259" xr:uid="{00000000-0005-0000-0000-00000A010000}"/>
    <cellStyle name="Note 7" xfId="260" xr:uid="{00000000-0005-0000-0000-00000B010000}"/>
    <cellStyle name="Note 8" xfId="261" xr:uid="{00000000-0005-0000-0000-00000C010000}"/>
    <cellStyle name="Note 9" xfId="262" xr:uid="{00000000-0005-0000-0000-00000D010000}"/>
    <cellStyle name="Output 2" xfId="76" xr:uid="{00000000-0005-0000-0000-00000E010000}"/>
    <cellStyle name="Percent" xfId="271" builtinId="5"/>
    <cellStyle name="Percent 10" xfId="276" xr:uid="{00000000-0005-0000-0000-000010010000}"/>
    <cellStyle name="Percent 2" xfId="24" xr:uid="{00000000-0005-0000-0000-000011010000}"/>
    <cellStyle name="Percent 3" xfId="263" xr:uid="{00000000-0005-0000-0000-000012010000}"/>
    <cellStyle name="Percent 4" xfId="264" xr:uid="{00000000-0005-0000-0000-000013010000}"/>
    <cellStyle name="Percent 7 2" xfId="279" xr:uid="{00000000-0005-0000-0000-000014010000}"/>
    <cellStyle name="Title 2" xfId="77" xr:uid="{00000000-0005-0000-0000-000015010000}"/>
    <cellStyle name="Total 2" xfId="78" xr:uid="{00000000-0005-0000-0000-000016010000}"/>
    <cellStyle name="Warning Text 2" xfId="79" xr:uid="{00000000-0005-0000-0000-000017010000}"/>
  </cellStyles>
  <dxfs count="2">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9" defaultPivotStyle="PivotStyleLight16">
    <tableStyle name="Invisible" pivot="0" table="0" count="0" xr9:uid="{00000000-0011-0000-FFFF-FFFF00000000}"/>
    <tableStyle name="Table Style 1" pivot="0" count="2" xr9:uid="{00000000-0011-0000-FFFF-FFFF01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connections" Target="connections.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01\Vishnu\Documents%20and%20Settings\saritha\Local%20Settings\Temp\sscl%20accounts%20pw%20copy%20without%20casting%20error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amrathnam\d\ram\ramram\key%20data\HPL\Imp_Charges9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1.3\Users\User\Desktop\mipl%20view\2_MIPL-Financials_31032023_Original-After_Demerge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ystem2\d\Kailvalya%20New(28.09.2010)\AY%202010-11%20X\smb:\System7\E\Documents%20and%20Settings\Boovarahan\My%20Documents\Boovarahan\Visoka\AY%202008-09\ITR\itr6%20AY%202008_09%20Lates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01\Vishnu\vishnu\P&amp;L\Jan%20%20%200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KRAO-NEW\sanmar-spl\ABAS%20DATA\AMCO%20power\31.3.2001\statutory\BK\march2000\cash%20and%20bank.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erver01\Vishnu\Sample%20files\Clients\Chemplast%20Sanmar\Schedule%20VI%20-%2031-Dec-20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3\R&amp;B%20AY%202021-22\Sebastian%20Thomas\Swati%20Thomas\Final\Copy%20of%20SYSTEM09101.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R&amp;B%20AY%202023-24/MIPL/10_Financials/0_Embedur-Financials_31032023.xlsx" TargetMode="External"/><Relationship Id="rId1" Type="http://schemas.openxmlformats.org/officeDocument/2006/relationships/externalLinkPath" Target="/R&amp;B%20AY%202023-24/MIPL/10_Financials/0_Embedur-Financials_3103202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ystem8\R&amp;B%20AY%202018-19\Karomi\3.%20Workings\26AS\TDS_NonSal_343.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R&amp;B%20AY%202025-26/MIPL/6_Financials/1_MIPL-Financials_31032025_25102025.xlsx" TargetMode="External"/><Relationship Id="rId1" Type="http://schemas.openxmlformats.org/officeDocument/2006/relationships/externalLinkPath" Target="/R&amp;B%20AY%202025-26/MIPL/6_Financials/1_MIPL-Financials_31032025_25102025.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R&amp;B%20AY%202025-26/Chemgro/2_Final/Financials_FY_2024-25.xlsx" TargetMode="External"/><Relationship Id="rId1" Type="http://schemas.openxmlformats.org/officeDocument/2006/relationships/externalLinkPath" Target="/R&amp;B%20AY%202025-26/Chemgro/2_Final/Financials_FY_2024-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sheetName val="CASHFLOW"/>
      <sheetName val="PL sch 1"/>
      <sheetName val="PL SCH2"/>
      <sheetName val="BS sch1"/>
      <sheetName val="BS"/>
      <sheetName val="BS sch2"/>
      <sheetName val="FA -casted New"/>
      <sheetName val="FAold"/>
      <sheetName val="BS sch 3"/>
      <sheetName val="BS sch 4"/>
      <sheetName val="Notes-1"/>
      <sheetName val="Notes-2"/>
      <sheetName val="Tax Prov"/>
      <sheetName val="Grouping"/>
      <sheetName val="P&amp;L Variance"/>
      <sheetName val="Balancesheet"/>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XX"/>
      <sheetName val="PE CHARGES"/>
      <sheetName val="PI CHARGES"/>
      <sheetName val="KE CHARGES-3500"/>
      <sheetName val="SD CHARGES"/>
      <sheetName val="PE-Duty_Kit"/>
      <sheetName val="PI-Duty_Subs"/>
      <sheetName val="KE-Duty_3500"/>
      <sheetName val="SD-Duty_Spares"/>
      <sheetName val="SR4dut"/>
      <sheetName val="Summary"/>
      <sheetName val="RUPEE"/>
      <sheetName val="Drop down"/>
      <sheetName val="BS"/>
      <sheetName val="CellPlan"/>
      <sheetName val="Month"/>
      <sheetName val="ModPlan"/>
      <sheetName val="Sydney_Poly"/>
      <sheetName val="Madrid"/>
      <sheetName val="Sydney_Mono"/>
      <sheetName val="Sheet1"/>
      <sheetName val="Sheet3"/>
      <sheetName val="PLIST"/>
      <sheetName val="B"/>
      <sheetName val="ratios"/>
      <sheetName val="wkg cflo"/>
      <sheetName val="SCH 1_2"/>
      <sheetName val="A"/>
      <sheetName val="740221"/>
      <sheetName val="annx15"/>
      <sheetName val="Jun08"/>
      <sheetName val="leave salary"/>
      <sheetName val="FINAL"/>
      <sheetName val="LIAB"/>
      <sheetName val="MISC"/>
      <sheetName val="Sheet2"/>
      <sheetName val="Old"/>
      <sheetName val="Introduction"/>
      <sheetName val="Operating Statistics"/>
      <sheetName val="#REF"/>
      <sheetName val="Financials"/>
      <sheetName val="BS, PL, Sch 5 to 9"/>
      <sheetName val="CAR"/>
      <sheetName val="W-현원가"/>
      <sheetName val="Imp_Charges99"/>
      <sheetName val="stores"/>
      <sheetName val="plbs"/>
      <sheetName val="Result"/>
      <sheetName val="5"/>
      <sheetName val="leaveencashpro2001"/>
      <sheetName val="O Children BOM"/>
      <sheetName val="BOM"/>
      <sheetName val="Economic Parameters"/>
      <sheetName val="Inputs"/>
      <sheetName val="Project Assumptions"/>
      <sheetName val="Navigation"/>
      <sheetName val="가공"/>
      <sheetName val="_REF"/>
      <sheetName val="PE_CHARGES"/>
      <sheetName val="PI_CHARGES"/>
      <sheetName val="KE_CHARGES-3500"/>
      <sheetName val="SD_CHARGES"/>
      <sheetName val="Operating_Statistics"/>
      <sheetName val="BS,_PL,_Sch_5_to_9"/>
      <sheetName val="PE_CHARGES1"/>
      <sheetName val="PI_CHARGES1"/>
      <sheetName val="KE_CHARGES-35001"/>
      <sheetName val="SD_CHARGES1"/>
      <sheetName val="Operating_Statistics1"/>
      <sheetName val="BS,_PL,_Sch_5_to_91"/>
      <sheetName val="EXPENSES"/>
      <sheetName val="DIVBUD99"/>
      <sheetName val="HSBC GL-1005293"/>
      <sheetName val="Notes"/>
      <sheetName val="MN T.B."/>
      <sheetName val="Balancesheet"/>
      <sheetName val="SCH"/>
      <sheetName val="PE_CHARGES2"/>
      <sheetName val="PI_CHARGES2"/>
      <sheetName val="KE_CHARGES-35002"/>
      <sheetName val="SD_CHARGES2"/>
      <sheetName val="Operating_Statistics2"/>
      <sheetName val="BS,_PL,_Sch_5_to_92"/>
      <sheetName val="PE_CHARGES3"/>
      <sheetName val="PI_CHARGES3"/>
      <sheetName val="KE_CHARGES-35003"/>
      <sheetName val="SD_CHARGES3"/>
      <sheetName val="Operating_Statistics3"/>
      <sheetName val="BS,_PL,_Sch_5_to_93"/>
      <sheetName val="PE_CHARGES4"/>
      <sheetName val="PI_CHARGES4"/>
      <sheetName val="KE_CHARGES-35004"/>
      <sheetName val="SD_CHARGES4"/>
      <sheetName val="Operating_Statistics4"/>
      <sheetName val="BS,_PL,_Sch_5_to_94"/>
      <sheetName val="1) COMMON FACILITIES"/>
      <sheetName val="jan'04"/>
      <sheetName val="Netearnanal"/>
      <sheetName val="PL"/>
      <sheetName val="chitimc"/>
      <sheetName val="P&amp;L"/>
      <sheetName val="DATA 91-98"/>
      <sheetName val="YTD SALES"/>
      <sheetName val="Loan Data"/>
      <sheetName val="June 03"/>
      <sheetName val="2.대외공문"/>
      <sheetName val="Basic"/>
      <sheetName val="BALANCE-IOTL "/>
      <sheetName val="wkg_cflo"/>
      <sheetName val="SCH_1_2"/>
      <sheetName val="Drop_down"/>
      <sheetName val="Economic_Parameters"/>
      <sheetName val="Project_Assumptions"/>
      <sheetName val="Accounts"/>
      <sheetName val="Projections"/>
      <sheetName val="selection"/>
      <sheetName val="Base"/>
      <sheetName val="Currency"/>
      <sheetName val="Current"/>
      <sheetName val="Form M"/>
      <sheetName val="BOM_LT"/>
      <sheetName val="PM - Imp"/>
      <sheetName val="leave_salary"/>
      <sheetName val="Total"/>
      <sheetName val="CMA"/>
      <sheetName val="BS JUL"/>
      <sheetName val="2009-04"/>
      <sheetName val="2009-08"/>
      <sheetName val="2009-12"/>
      <sheetName val="2010-02"/>
      <sheetName val="2010-01"/>
      <sheetName val="2009-07"/>
      <sheetName val="2010-03"/>
      <sheetName val="2009-05"/>
      <sheetName val="2009-11"/>
      <sheetName val="2009-10"/>
      <sheetName val="2009-06"/>
      <sheetName val="2009-09"/>
      <sheetName val="Definitions"/>
      <sheetName val="Apr'05"/>
      <sheetName val="Aug'05"/>
      <sheetName val="Dec'05"/>
      <sheetName val="Feb'06"/>
      <sheetName val="Jan'06"/>
      <sheetName val="Mar'06"/>
      <sheetName val="May'05"/>
      <sheetName val="Nov'05"/>
      <sheetName val="Oct'05"/>
      <sheetName val="Sept'05"/>
      <sheetName val="TB"/>
      <sheetName val="WIPROGE"/>
      <sheetName val="beam-reinft"/>
      <sheetName val="ANX"/>
      <sheetName val="Reg for Existing Assets"/>
      <sheetName val="COLUMN"/>
      <sheetName val="SALE"/>
      <sheetName val="TYRE1"/>
      <sheetName val="CWIP-detl-AUC"/>
      <sheetName val="E"/>
      <sheetName val="F"/>
      <sheetName val="G"/>
      <sheetName val="ASSUMPTIONS"/>
      <sheetName val="Net Sales Dump"/>
      <sheetName val="app1"/>
      <sheetName val="ann1"/>
      <sheetName val="N719(NC)"/>
      <sheetName val="jobhist"/>
      <sheetName val="損益分岐点"/>
      <sheetName val="1)_COMMON_FACILITIES"/>
      <sheetName val="BALANCE-IOTL_"/>
      <sheetName val="CASHFLOWS"/>
      <sheetName val="Combi"/>
      <sheetName val="Emp Reward"/>
      <sheetName val="Grouping"/>
      <sheetName val="p&amp;m"/>
      <sheetName val="H"/>
      <sheetName val="pending indent"/>
      <sheetName val="Sheet1 (2)"/>
      <sheetName val="gVL"/>
      <sheetName val="DB"/>
      <sheetName val="define"/>
      <sheetName val="main"/>
      <sheetName val="営業収益"/>
      <sheetName val="PE_CHARGES5"/>
      <sheetName val="PI_CHARGES5"/>
      <sheetName val="KE_CHARGES-35005"/>
      <sheetName val="SD_CHARGES5"/>
      <sheetName val="Operating_Statistics5"/>
      <sheetName val="BS,_PL,_Sch_5_to_95"/>
      <sheetName val="O_Children_BOM"/>
      <sheetName val="HONOTES"/>
      <sheetName val="GuV-KNZ (DM)"/>
      <sheetName val="Bilanz-KNZ (F)"/>
      <sheetName val="Base P&amp;L"/>
      <sheetName val="Nkana IBU2 - YTD"/>
      <sheetName val="General Assumptions"/>
      <sheetName val="Export"/>
      <sheetName val="Form M 2007"/>
      <sheetName val="2007 Form M-Source"/>
      <sheetName val="Form M 2008"/>
      <sheetName val="2008 Form M-Source"/>
      <sheetName val="Glide Path"/>
      <sheetName val="Inventory Turns"/>
      <sheetName val="Driver Based Discussion"/>
      <sheetName val="Summary of Changes"/>
      <sheetName val="Volume Impacts"/>
      <sheetName val="control"/>
      <sheetName val="GraphData"/>
      <sheetName val="CATEGORY"/>
      <sheetName val="FBL1N"/>
      <sheetName val="Total Perform"/>
      <sheetName val="Lookup tables (2004)"/>
      <sheetName val="工数集計"/>
      <sheetName val="推移データ"/>
      <sheetName val="Drop_down1"/>
      <sheetName val="wkg_cflo1"/>
      <sheetName val="SCH_1_21"/>
      <sheetName val="YTD_SALES"/>
      <sheetName val="Economic_Parameters1"/>
      <sheetName val="Project_Assumptions1"/>
      <sheetName val="Form_M"/>
      <sheetName val="HSBC_GL-1005293"/>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ient's Details"/>
      <sheetName val="Tally TB Chennai"/>
      <sheetName val="Tally TB Bangalore"/>
      <sheetName val="Tally TB Delhi"/>
      <sheetName val="Delhi - Profit and Loss"/>
      <sheetName val="Adjusting Entries"/>
      <sheetName val="Tally TB Consolidated"/>
      <sheetName val="TB"/>
      <sheetName val="Share Holding"/>
      <sheetName val="BS"/>
      <sheetName val="SPL"/>
      <sheetName val="1-2"/>
      <sheetName val="3-4"/>
      <sheetName val="5-10"/>
      <sheetName val="9.1-9.2"/>
      <sheetName val="11"/>
      <sheetName val="12-19"/>
      <sheetName val="17.1-17.2"/>
      <sheetName val="20-30"/>
      <sheetName val="Sheet8"/>
      <sheetName val="31-35"/>
      <sheetName val="36-37"/>
      <sheetName val="9.1, 9.2  Workings"/>
      <sheetName val="17.1, 17.2 Workings"/>
      <sheetName val="Land as at 31032023"/>
      <sheetName val="Sobha Receivable Mar-2023"/>
      <sheetName val="Sobha Recon"/>
      <sheetName val="Depreciation WorkingsFY 2022-23"/>
      <sheetName val="FA AdditionsWorkingFY 2022-2023"/>
      <sheetName val="IT DEPRECIATION"/>
      <sheetName val="Deffered Tax"/>
      <sheetName val="DIsallowance 40A(3)"/>
      <sheetName val="IT Computation"/>
      <sheetName val="Innova Car Loan - Toyota"/>
      <sheetName val="MG Hector Loan - Bajaj Finserv"/>
      <sheetName val="Slavia Loan - HDFC Bank"/>
    </sheetNames>
    <sheetDataSet>
      <sheetData sheetId="0">
        <row r="2">
          <cell r="B2" t="str">
            <v>MILANO INTERNATIONAL (INDIA) PRIVATE LIMITED</v>
          </cell>
        </row>
        <row r="3">
          <cell r="B3" t="str">
            <v xml:space="preserve">C-4, COMMUNITY CENTRE,NARAINA VIHAR, NEW DELHI-110028 </v>
          </cell>
        </row>
        <row r="6">
          <cell r="B6" t="str">
            <v>U74899DL1978PTC008991</v>
          </cell>
        </row>
        <row r="20">
          <cell r="B20" t="str">
            <v>2023-24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ATIVE_DETAILS"/>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E SHEET"/>
      <sheetName val="INDEX"/>
      <sheetName val="MFG "/>
      <sheetName val="P&amp;L1"/>
      <sheetName val="P&amp;L2"/>
      <sheetName val="MFGOHS"/>
      <sheetName val="ADMNOHS"/>
      <sheetName val="SFOHS"/>
      <sheetName val="mfg var"/>
      <sheetName val="P&amp;L1 var"/>
      <sheetName val="P&amp;L2var"/>
      <sheetName val="mfg ohs"/>
      <sheetName val="admnohs var"/>
      <sheetName val="S&amp;F ohs"/>
      <sheetName val="Sep Deprn Original"/>
      <sheetName val="Notes for Dec -05 to Jan 06"/>
      <sheetName val="operating Cost"/>
      <sheetName val="Dec Deprn "/>
      <sheetName val="Jan Deprn  "/>
    </sheetNames>
    <sheetDataSet>
      <sheetData sheetId="0" refreshError="1"/>
      <sheetData sheetId="1" refreshError="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xedAssets"/>
      <sheetName val="Bank"/>
      <sheetName val="A"/>
      <sheetName val="AA"/>
      <sheetName val="Subsequent"/>
      <sheetName val="salesindepth"/>
      <sheetName val="cash&amp;bank"/>
      <sheetName val="Purchases"/>
      <sheetName val="Crs"/>
      <sheetName val="Inventory"/>
      <sheetName val="Monthly purchase"/>
      <sheetName val="ED"/>
      <sheetName val="BS"/>
      <sheetName val="#REF"/>
      <sheetName val="Sch 10-12"/>
      <sheetName val="Sch 1-9"/>
      <sheetName val="EXEPAY_elements"/>
      <sheetName val="STFTR_elements"/>
      <sheetName val="TOPEXPAY_elements"/>
      <sheetName val="wrkpay_elements"/>
      <sheetName val="WTRPAY_elements"/>
      <sheetName val="R&amp;D-Assets"/>
      <sheetName val="DAILY LCV"/>
      <sheetName val="EXEPAY-elements"/>
      <sheetName val="STFTR-elements"/>
      <sheetName val="TOPEXPAY-elements"/>
      <sheetName val="wrkpay-elements"/>
      <sheetName val="WTRPAY-elements"/>
      <sheetName val="SC BOM Rev1"/>
      <sheetName val="master"/>
      <sheetName val="ar02"/>
      <sheetName val="Sheet1"/>
      <sheetName val="P&amp;L"/>
      <sheetName val="RPT 72-VOLUME DATA-Industry"/>
      <sheetName val="lookup tables"/>
      <sheetName val="SUPPORT"/>
      <sheetName val="Collection"/>
      <sheetName val="SC BOM"/>
      <sheetName val="RECANL"/>
      <sheetName val="Month Plan"/>
      <sheetName val="Plancons"/>
      <sheetName val="sch"/>
      <sheetName val="SCHEDULES"/>
      <sheetName val="Non Current Assets"/>
      <sheetName val="tb"/>
      <sheetName val="ADDN0304"/>
      <sheetName val="Hoja2"/>
      <sheetName val="COMICRO ROM"/>
      <sheetName val="Sheet G"/>
      <sheetName val="Bal Sheet"/>
      <sheetName val="defaults"/>
      <sheetName val="header"/>
      <sheetName val="주소(한문)"/>
      <sheetName val="Final Global 0607"/>
      <sheetName val="Plan 2003"/>
      <sheetName val="Monthly_purchase"/>
      <sheetName val="DAILY_LCV"/>
      <sheetName val="Monthly_purchase1"/>
      <sheetName val="Monthly_purchase2"/>
    </sheetNames>
    <sheetDataSet>
      <sheetData sheetId="0" refreshError="1">
        <row r="6">
          <cell r="M6" t="str">
            <v>FIXED ASSETS</v>
          </cell>
        </row>
        <row r="8">
          <cell r="M8" t="str">
            <v>INCOME TAX DEPRECIATION</v>
          </cell>
          <cell r="P8" t="str">
            <v>Original Cost</v>
          </cell>
          <cell r="S8" t="str">
            <v>Depreciation</v>
          </cell>
          <cell r="V8" t="str">
            <v>W.D.V</v>
          </cell>
        </row>
        <row r="10">
          <cell r="M10" t="str">
            <v xml:space="preserve">      Description</v>
          </cell>
          <cell r="N10" t="str">
            <v>Rate</v>
          </cell>
          <cell r="O10" t="str">
            <v>Period</v>
          </cell>
          <cell r="P10" t="str">
            <v>As on</v>
          </cell>
          <cell r="Q10" t="str">
            <v>Additions</v>
          </cell>
          <cell r="R10" t="str">
            <v>As on</v>
          </cell>
          <cell r="S10" t="str">
            <v>As on</v>
          </cell>
          <cell r="T10" t="str">
            <v>For the</v>
          </cell>
          <cell r="U10" t="str">
            <v>Up to</v>
          </cell>
          <cell r="V10" t="str">
            <v>As On</v>
          </cell>
        </row>
        <row r="11">
          <cell r="P11" t="str">
            <v>01.04.98</v>
          </cell>
          <cell r="Q11" t="str">
            <v>(Disposals)</v>
          </cell>
          <cell r="R11" t="str">
            <v>31.03.99</v>
          </cell>
          <cell r="S11" t="str">
            <v>01.04.98</v>
          </cell>
          <cell r="T11" t="str">
            <v>Year</v>
          </cell>
          <cell r="U11" t="str">
            <v>31.03.99</v>
          </cell>
          <cell r="V11" t="str">
            <v>31.03.99</v>
          </cell>
        </row>
        <row r="13">
          <cell r="M13" t="str">
            <v xml:space="preserve">LAND </v>
          </cell>
          <cell r="N13">
            <v>0</v>
          </cell>
          <cell r="O13">
            <v>0</v>
          </cell>
          <cell r="P13">
            <v>0</v>
          </cell>
          <cell r="Q13">
            <v>0</v>
          </cell>
          <cell r="R13">
            <v>0</v>
          </cell>
          <cell r="S13">
            <v>0</v>
          </cell>
          <cell r="T13" t="e">
            <v>#REF!</v>
          </cell>
          <cell r="U13" t="e">
            <v>#REF!</v>
          </cell>
          <cell r="V13" t="e">
            <v>#REF!</v>
          </cell>
        </row>
        <row r="14">
          <cell r="M14" t="str">
            <v>BUILDINGS</v>
          </cell>
          <cell r="N14">
            <v>0</v>
          </cell>
          <cell r="O14">
            <v>0</v>
          </cell>
          <cell r="P14">
            <v>0</v>
          </cell>
          <cell r="Q14">
            <v>0</v>
          </cell>
          <cell r="R14">
            <v>0</v>
          </cell>
          <cell r="S14">
            <v>0</v>
          </cell>
          <cell r="T14" t="e">
            <v>#REF!</v>
          </cell>
          <cell r="U14" t="e">
            <v>#REF!</v>
          </cell>
          <cell r="V14" t="e">
            <v>#REF!</v>
          </cell>
        </row>
        <row r="15">
          <cell r="M15" t="str">
            <v>PLANT &amp; MACHINERY</v>
          </cell>
          <cell r="N15">
            <v>0.25</v>
          </cell>
          <cell r="O15" t="str">
            <v>Full Year</v>
          </cell>
          <cell r="P15">
            <v>0</v>
          </cell>
          <cell r="Q15">
            <v>2088593.96</v>
          </cell>
          <cell r="R15">
            <v>2088593.96</v>
          </cell>
          <cell r="S15">
            <v>0</v>
          </cell>
          <cell r="T15" t="e">
            <v>#REF!</v>
          </cell>
          <cell r="U15" t="e">
            <v>#REF!</v>
          </cell>
          <cell r="V15" t="e">
            <v>#REF!</v>
          </cell>
        </row>
        <row r="16">
          <cell r="M16" t="str">
            <v>PLANT &amp; MACHINERY</v>
          </cell>
          <cell r="N16">
            <v>0.25</v>
          </cell>
          <cell r="O16" t="str">
            <v>Half Year</v>
          </cell>
          <cell r="P16">
            <v>0</v>
          </cell>
          <cell r="Q16">
            <v>938833.79999999981</v>
          </cell>
          <cell r="R16">
            <v>938833.79999999981</v>
          </cell>
          <cell r="S16">
            <v>0</v>
          </cell>
          <cell r="T16" t="e">
            <v>#REF!</v>
          </cell>
          <cell r="U16" t="e">
            <v>#REF!</v>
          </cell>
          <cell r="V16" t="e">
            <v>#REF!</v>
          </cell>
        </row>
        <row r="17">
          <cell r="M17" t="str">
            <v>ELECTRICAL INSTALLATIONS</v>
          </cell>
          <cell r="N17">
            <v>0.25</v>
          </cell>
          <cell r="O17" t="str">
            <v>Full Year</v>
          </cell>
          <cell r="P17">
            <v>0</v>
          </cell>
          <cell r="Q17" t="e">
            <v>#REF!</v>
          </cell>
          <cell r="R17" t="e">
            <v>#REF!</v>
          </cell>
          <cell r="S17">
            <v>0</v>
          </cell>
          <cell r="T17" t="e">
            <v>#REF!</v>
          </cell>
          <cell r="U17" t="e">
            <v>#REF!</v>
          </cell>
          <cell r="V17" t="e">
            <v>#REF!</v>
          </cell>
        </row>
        <row r="18">
          <cell r="M18" t="str">
            <v>COMPUTERS &amp; PERIPHERALS</v>
          </cell>
          <cell r="N18">
            <v>0.25</v>
          </cell>
          <cell r="O18" t="str">
            <v>Full Year</v>
          </cell>
          <cell r="P18">
            <v>0</v>
          </cell>
          <cell r="Q18">
            <v>53300</v>
          </cell>
          <cell r="R18">
            <v>53300</v>
          </cell>
          <cell r="S18">
            <v>0</v>
          </cell>
          <cell r="T18" t="e">
            <v>#REF!</v>
          </cell>
          <cell r="U18" t="e">
            <v>#REF!</v>
          </cell>
          <cell r="V18" t="e">
            <v>#REF!</v>
          </cell>
        </row>
        <row r="19">
          <cell r="M19" t="str">
            <v>COMPUTERS &amp; PERIPHERALS</v>
          </cell>
          <cell r="N19">
            <v>0.25</v>
          </cell>
          <cell r="O19" t="str">
            <v>Half Year</v>
          </cell>
          <cell r="P19">
            <v>0</v>
          </cell>
          <cell r="Q19">
            <v>18000</v>
          </cell>
          <cell r="R19">
            <v>18000</v>
          </cell>
          <cell r="S19">
            <v>0</v>
          </cell>
          <cell r="T19" t="e">
            <v>#REF!</v>
          </cell>
          <cell r="U19" t="e">
            <v>#REF!</v>
          </cell>
          <cell r="V19" t="e">
            <v>#REF!</v>
          </cell>
        </row>
        <row r="20">
          <cell r="M20" t="str">
            <v>OTHER ASSETS</v>
          </cell>
          <cell r="N20">
            <v>0.25</v>
          </cell>
          <cell r="O20" t="str">
            <v>Full Year</v>
          </cell>
          <cell r="P20">
            <v>0</v>
          </cell>
          <cell r="Q20">
            <v>140000000</v>
          </cell>
          <cell r="R20">
            <v>140000000</v>
          </cell>
          <cell r="S20">
            <v>0</v>
          </cell>
          <cell r="T20" t="e">
            <v>#REF!</v>
          </cell>
          <cell r="U20" t="e">
            <v>#REF!</v>
          </cell>
          <cell r="V20" t="e">
            <v>#REF!</v>
          </cell>
        </row>
        <row r="21">
          <cell r="M21" t="str">
            <v>VEHICLES</v>
          </cell>
          <cell r="N21">
            <v>0.2</v>
          </cell>
          <cell r="O21" t="str">
            <v>Full Year</v>
          </cell>
          <cell r="P21">
            <v>0</v>
          </cell>
          <cell r="Q21">
            <v>449358</v>
          </cell>
          <cell r="R21">
            <v>449358</v>
          </cell>
          <cell r="S21">
            <v>0</v>
          </cell>
          <cell r="T21" t="e">
            <v>#REF!</v>
          </cell>
          <cell r="U21" t="e">
            <v>#REF!</v>
          </cell>
          <cell r="V21" t="e">
            <v>#REF!</v>
          </cell>
        </row>
        <row r="23">
          <cell r="P23">
            <v>0</v>
          </cell>
          <cell r="Q23" t="e">
            <v>#REF!</v>
          </cell>
          <cell r="R23" t="e">
            <v>#REF!</v>
          </cell>
          <cell r="S23">
            <v>0</v>
          </cell>
          <cell r="T23" t="e">
            <v>#REF!</v>
          </cell>
          <cell r="U23" t="e">
            <v>#REF!</v>
          </cell>
          <cell r="V23" t="e">
            <v>#REF!</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year sum"/>
      <sheetName val="cashflow"/>
      <sheetName val="sales"/>
      <sheetName val="DOWN SEGMENT REPORT"/>
      <sheetName val="FLUCTUATIONS"/>
      <sheetName val="Previous year"/>
      <sheetName val="rescheudule"/>
      <sheetName val="ROCE Calculation"/>
      <sheetName val="Revaluaiton"/>
      <sheetName val="Part IV"/>
      <sheetName val="5year sum "/>
      <sheetName val="REgrouping"/>
      <sheetName val="cogs reconciliation"/>
      <sheetName val="variance"/>
      <sheetName val="Sheet1"/>
      <sheetName val="PNEW"/>
      <sheetName val="Audit commitee"/>
      <sheetName val="P&amp;L"/>
      <sheetName val="Cash flow chander"/>
      <sheetName val="cashflow "/>
      <sheetName val="ED on stock"/>
      <sheetName val="Segment - Balance Sheet"/>
      <sheetName val="Segment re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
          <cell r="K1" t="str">
            <v>31.03.2004</v>
          </cell>
        </row>
      </sheetData>
      <sheetData sheetId="18" refreshError="1"/>
      <sheetData sheetId="19" refreshError="1"/>
      <sheetData sheetId="20" refreshError="1"/>
      <sheetData sheetId="21" refreshError="1"/>
      <sheetData sheetId="2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F2" t="str">
            <v>Shares List</v>
          </cell>
        </row>
        <row r="4">
          <cell r="F4" t="str">
            <v>0ECL20</v>
          </cell>
        </row>
        <row r="5">
          <cell r="F5" t="str">
            <v>0IFCI19B</v>
          </cell>
        </row>
        <row r="6">
          <cell r="F6" t="str">
            <v>0KFL18D</v>
          </cell>
        </row>
        <row r="7">
          <cell r="F7" t="str">
            <v>0KFL22H</v>
          </cell>
        </row>
        <row r="8">
          <cell r="F8" t="str">
            <v>0MFL20</v>
          </cell>
        </row>
        <row r="9">
          <cell r="F9" t="str">
            <v>0MFL2018</v>
          </cell>
        </row>
        <row r="10">
          <cell r="F10" t="str">
            <v>0MFL20L</v>
          </cell>
        </row>
        <row r="11">
          <cell r="F11" t="str">
            <v>0MFL21</v>
          </cell>
        </row>
        <row r="12">
          <cell r="F12" t="str">
            <v>0SCUF19</v>
          </cell>
        </row>
        <row r="13">
          <cell r="F13" t="str">
            <v>0SIFL22</v>
          </cell>
        </row>
        <row r="14">
          <cell r="F14" t="str">
            <v>0SREI19H</v>
          </cell>
        </row>
        <row r="15">
          <cell r="F15" t="str">
            <v>0STFC2019</v>
          </cell>
        </row>
        <row r="16">
          <cell r="F16" t="str">
            <v>0STFC20VI</v>
          </cell>
        </row>
        <row r="17">
          <cell r="F17" t="str">
            <v>1015STFC21</v>
          </cell>
        </row>
        <row r="18">
          <cell r="F18" t="str">
            <v>1025KFL22</v>
          </cell>
        </row>
        <row r="19">
          <cell r="F19" t="str">
            <v>1025SEFL20H</v>
          </cell>
        </row>
        <row r="20">
          <cell r="F20" t="str">
            <v>1025SEFL22I</v>
          </cell>
        </row>
        <row r="21">
          <cell r="F21" t="str">
            <v>1025SREI20</v>
          </cell>
        </row>
        <row r="22">
          <cell r="F22" t="str">
            <v>1050SREI18</v>
          </cell>
        </row>
        <row r="23">
          <cell r="F23" t="str">
            <v>1050TCFS19</v>
          </cell>
        </row>
        <row r="24">
          <cell r="F24" t="str">
            <v>1072SREI19F</v>
          </cell>
        </row>
        <row r="25">
          <cell r="F25" t="str">
            <v>1075KFL19</v>
          </cell>
        </row>
        <row r="26">
          <cell r="F26" t="str">
            <v>10EHFL26</v>
          </cell>
        </row>
        <row r="27">
          <cell r="F27" t="str">
            <v>10MFL18E</v>
          </cell>
        </row>
        <row r="28">
          <cell r="F28" t="str">
            <v>10SIFL21</v>
          </cell>
        </row>
        <row r="29">
          <cell r="F29" t="str">
            <v>10STFC19</v>
          </cell>
        </row>
        <row r="30">
          <cell r="F30" t="str">
            <v>1116SIFL18</v>
          </cell>
        </row>
        <row r="31">
          <cell r="F31" t="str">
            <v>1125SREI19G</v>
          </cell>
        </row>
        <row r="32">
          <cell r="F32" t="str">
            <v>115KFL22</v>
          </cell>
        </row>
        <row r="33">
          <cell r="F33" t="str">
            <v>1175SIFL18</v>
          </cell>
        </row>
        <row r="34">
          <cell r="F34" t="str">
            <v>1275DSK2021</v>
          </cell>
        </row>
        <row r="35">
          <cell r="F35" t="str">
            <v>12IIHFL2020</v>
          </cell>
        </row>
        <row r="36">
          <cell r="F36" t="str">
            <v>20MICRONS</v>
          </cell>
        </row>
        <row r="37">
          <cell r="F37" t="str">
            <v>21STCENMGM</v>
          </cell>
        </row>
        <row r="38">
          <cell r="F38" t="str">
            <v>3DPLM</v>
          </cell>
        </row>
        <row r="39">
          <cell r="F39" t="str">
            <v>3IINFOTECH</v>
          </cell>
        </row>
        <row r="40">
          <cell r="F40" t="str">
            <v>3MINDIA</v>
          </cell>
        </row>
        <row r="41">
          <cell r="F41" t="str">
            <v>5PAISA</v>
          </cell>
        </row>
        <row r="42">
          <cell r="F42" t="str">
            <v>63MOONS</v>
          </cell>
        </row>
        <row r="43">
          <cell r="F43" t="str">
            <v>688PFC2023</v>
          </cell>
        </row>
        <row r="44">
          <cell r="F44" t="str">
            <v>714REC25</v>
          </cell>
        </row>
        <row r="45">
          <cell r="F45" t="str">
            <v>722REC22TF</v>
          </cell>
        </row>
        <row r="46">
          <cell r="F46" t="str">
            <v>729HUDCO26</v>
          </cell>
        </row>
        <row r="47">
          <cell r="F47" t="str">
            <v>729IRFC26</v>
          </cell>
        </row>
        <row r="48">
          <cell r="F48" t="str">
            <v>729NABARD26</v>
          </cell>
        </row>
        <row r="49">
          <cell r="F49" t="str">
            <v>736PFC2028</v>
          </cell>
        </row>
        <row r="50">
          <cell r="F50" t="str">
            <v>736PFC25</v>
          </cell>
        </row>
        <row r="51">
          <cell r="F51" t="str">
            <v>737NTPC35C</v>
          </cell>
        </row>
        <row r="52">
          <cell r="F52" t="str">
            <v>740IIFCL33</v>
          </cell>
        </row>
        <row r="53">
          <cell r="F53" t="str">
            <v>751HUDCO28</v>
          </cell>
        </row>
        <row r="54">
          <cell r="F54" t="str">
            <v>753IREDA26</v>
          </cell>
        </row>
        <row r="55">
          <cell r="F55" t="str">
            <v>764IRFC31</v>
          </cell>
        </row>
        <row r="56">
          <cell r="F56" t="str">
            <v>764NABARD31</v>
          </cell>
        </row>
        <row r="57">
          <cell r="F57" t="str">
            <v>769HUDCO31</v>
          </cell>
        </row>
        <row r="58">
          <cell r="F58" t="str">
            <v>793REC22</v>
          </cell>
        </row>
        <row r="59">
          <cell r="F59" t="str">
            <v>810IRFC2327</v>
          </cell>
        </row>
        <row r="60">
          <cell r="F60" t="str">
            <v>820PFC2022</v>
          </cell>
        </row>
        <row r="61">
          <cell r="F61" t="str">
            <v>839HUDCO23</v>
          </cell>
        </row>
        <row r="62">
          <cell r="F62" t="str">
            <v>841IIFCL24</v>
          </cell>
        </row>
        <row r="63">
          <cell r="F63" t="str">
            <v>841IIFCL24B</v>
          </cell>
        </row>
        <row r="64">
          <cell r="F64" t="str">
            <v>841IREDA24</v>
          </cell>
        </row>
        <row r="65">
          <cell r="F65" t="str">
            <v>843PFC22</v>
          </cell>
        </row>
        <row r="66">
          <cell r="F66" t="str">
            <v>843PFC23</v>
          </cell>
        </row>
        <row r="67">
          <cell r="F67" t="str">
            <v>846REC2028</v>
          </cell>
        </row>
        <row r="68">
          <cell r="F68" t="str">
            <v>850MFL19A</v>
          </cell>
        </row>
        <row r="69">
          <cell r="F69" t="str">
            <v>863IIFCL28</v>
          </cell>
        </row>
        <row r="70">
          <cell r="F70" t="str">
            <v>866IIFCL24C</v>
          </cell>
        </row>
        <row r="71">
          <cell r="F71" t="str">
            <v>866IIFCL34B</v>
          </cell>
        </row>
        <row r="72">
          <cell r="F72" t="str">
            <v>870LNT22A</v>
          </cell>
        </row>
        <row r="73">
          <cell r="F73" t="str">
            <v>870LNT22B</v>
          </cell>
        </row>
        <row r="74">
          <cell r="F74" t="str">
            <v>872MMFSL26</v>
          </cell>
        </row>
        <row r="75">
          <cell r="F75" t="str">
            <v>872PFC22A</v>
          </cell>
        </row>
        <row r="76">
          <cell r="F76" t="str">
            <v>875IIFCL33</v>
          </cell>
        </row>
        <row r="77">
          <cell r="F77" t="str">
            <v>876HUDCO28</v>
          </cell>
        </row>
        <row r="78">
          <cell r="F78" t="str">
            <v>87MMFSL21</v>
          </cell>
        </row>
        <row r="79">
          <cell r="F79" t="str">
            <v>880IIFCL29</v>
          </cell>
        </row>
        <row r="80">
          <cell r="F80" t="str">
            <v>880IIFCL34</v>
          </cell>
        </row>
        <row r="81">
          <cell r="F81" t="str">
            <v>880IREDA34</v>
          </cell>
        </row>
        <row r="82">
          <cell r="F82" t="str">
            <v>886REC34</v>
          </cell>
        </row>
        <row r="83">
          <cell r="F83" t="str">
            <v>888IRFC29</v>
          </cell>
        </row>
        <row r="84">
          <cell r="F84" t="str">
            <v>890SREI17B</v>
          </cell>
        </row>
        <row r="85">
          <cell r="F85" t="str">
            <v>891IIFCL34</v>
          </cell>
        </row>
        <row r="86">
          <cell r="F86" t="str">
            <v>892PFC33</v>
          </cell>
        </row>
        <row r="87">
          <cell r="F87" t="str">
            <v>893PTCIF22</v>
          </cell>
        </row>
        <row r="88">
          <cell r="F88" t="str">
            <v>893PTCIF22A</v>
          </cell>
        </row>
        <row r="89">
          <cell r="F89" t="str">
            <v>8KMILES</v>
          </cell>
        </row>
        <row r="90">
          <cell r="F90" t="str">
            <v>900KPL29</v>
          </cell>
        </row>
        <row r="91">
          <cell r="F91" t="str">
            <v>900KPL34</v>
          </cell>
        </row>
        <row r="92">
          <cell r="F92" t="str">
            <v>901HUDCO34</v>
          </cell>
        </row>
        <row r="93">
          <cell r="F93" t="str">
            <v>910DHFL19B</v>
          </cell>
        </row>
        <row r="94">
          <cell r="F94" t="str">
            <v>912SIFL22</v>
          </cell>
        </row>
        <row r="95">
          <cell r="F95" t="str">
            <v>915PTCIF27A</v>
          </cell>
        </row>
        <row r="96">
          <cell r="F96" t="str">
            <v>915RHFL27B</v>
          </cell>
        </row>
        <row r="97">
          <cell r="F97" t="str">
            <v>915SREI17B</v>
          </cell>
        </row>
        <row r="98">
          <cell r="F98" t="str">
            <v>925MFL19</v>
          </cell>
        </row>
        <row r="99">
          <cell r="F99" t="str">
            <v>935IFCI20</v>
          </cell>
        </row>
        <row r="100">
          <cell r="F100" t="str">
            <v>940IFCI19C</v>
          </cell>
        </row>
        <row r="101">
          <cell r="F101" t="str">
            <v>940STFC18</v>
          </cell>
        </row>
        <row r="102">
          <cell r="F102" t="str">
            <v>950MFL18</v>
          </cell>
        </row>
        <row r="103">
          <cell r="F103" t="str">
            <v>950SEFL27</v>
          </cell>
        </row>
        <row r="104">
          <cell r="F104" t="str">
            <v>975KFL18</v>
          </cell>
        </row>
        <row r="105">
          <cell r="F105" t="str">
            <v>975KFL20</v>
          </cell>
        </row>
        <row r="106">
          <cell r="F106" t="str">
            <v>975SEFL22B</v>
          </cell>
        </row>
        <row r="107">
          <cell r="F107" t="str">
            <v>980IFCI19A</v>
          </cell>
        </row>
        <row r="108">
          <cell r="F108" t="str">
            <v>990IFCI21D</v>
          </cell>
        </row>
        <row r="109">
          <cell r="F109" t="str">
            <v>990IFCI24F</v>
          </cell>
        </row>
        <row r="110">
          <cell r="F110" t="str">
            <v>9MMFSL26</v>
          </cell>
        </row>
        <row r="111">
          <cell r="F111" t="str">
            <v>A.K.CAPITAL</v>
          </cell>
        </row>
        <row r="112">
          <cell r="F112" t="str">
            <v>A.SARABHAI</v>
          </cell>
        </row>
        <row r="113">
          <cell r="F113" t="str">
            <v>A2ZINFRA</v>
          </cell>
        </row>
        <row r="114">
          <cell r="F114" t="str">
            <v>AAIL</v>
          </cell>
        </row>
        <row r="115">
          <cell r="F115" t="str">
            <v>AANANDALAK</v>
          </cell>
        </row>
        <row r="116">
          <cell r="F116" t="str">
            <v>AANCHALISP</v>
          </cell>
        </row>
        <row r="117">
          <cell r="F117" t="str">
            <v>AAREY DRUGS</v>
          </cell>
        </row>
        <row r="118">
          <cell r="F118" t="str">
            <v>AARTI INDUST</v>
          </cell>
        </row>
        <row r="119">
          <cell r="F119" t="str">
            <v>AARTIDRUGS</v>
          </cell>
        </row>
        <row r="120">
          <cell r="F120" t="str">
            <v>AARVEE DENIM</v>
          </cell>
        </row>
        <row r="121">
          <cell r="F121" t="str">
            <v>AARVI</v>
          </cell>
        </row>
        <row r="122">
          <cell r="F122" t="str">
            <v>AAYUSH</v>
          </cell>
        </row>
        <row r="123">
          <cell r="F123" t="str">
            <v>ABAN</v>
          </cell>
        </row>
        <row r="124">
          <cell r="F124" t="str">
            <v>ABB</v>
          </cell>
        </row>
        <row r="125">
          <cell r="F125" t="str">
            <v>ABBOTINDIA</v>
          </cell>
        </row>
        <row r="126">
          <cell r="F126" t="str">
            <v>ABC INDIA</v>
          </cell>
        </row>
        <row r="127">
          <cell r="F127" t="str">
            <v>ABCAPITAL</v>
          </cell>
        </row>
        <row r="128">
          <cell r="F128" t="str">
            <v>ABFRL</v>
          </cell>
        </row>
        <row r="129">
          <cell r="F129" t="str">
            <v>ABG SHIPYARD</v>
          </cell>
        </row>
        <row r="130">
          <cell r="F130" t="str">
            <v>ABHIINFRA</v>
          </cell>
        </row>
        <row r="131">
          <cell r="F131" t="str">
            <v>ABM KNOWLEDG</v>
          </cell>
        </row>
        <row r="132">
          <cell r="F132" t="str">
            <v>ABMINTLTD</v>
          </cell>
        </row>
        <row r="133">
          <cell r="F133" t="str">
            <v>ACC LTD</v>
          </cell>
        </row>
        <row r="134">
          <cell r="F134" t="str">
            <v>ACCEL FRONTL</v>
          </cell>
        </row>
        <row r="135">
          <cell r="F135" t="str">
            <v>ACCELYA</v>
          </cell>
        </row>
        <row r="136">
          <cell r="F136" t="str">
            <v>ACE SOFTWARE</v>
          </cell>
        </row>
        <row r="137">
          <cell r="F137" t="str">
            <v>ACEINTEG</v>
          </cell>
        </row>
        <row r="138">
          <cell r="F138" t="str">
            <v>ACHAL</v>
          </cell>
        </row>
        <row r="139">
          <cell r="F139" t="str">
            <v>ACKNIT IND</v>
          </cell>
        </row>
        <row r="140">
          <cell r="F140" t="str">
            <v>ACME</v>
          </cell>
        </row>
        <row r="141">
          <cell r="F141" t="str">
            <v>ACML</v>
          </cell>
        </row>
        <row r="142">
          <cell r="F142" t="str">
            <v>ACROW INDIA</v>
          </cell>
        </row>
        <row r="143">
          <cell r="F143" t="str">
            <v>ACRYCIL LTD.</v>
          </cell>
        </row>
        <row r="144">
          <cell r="F144" t="str">
            <v>ACTION CONST</v>
          </cell>
        </row>
        <row r="145">
          <cell r="F145" t="str">
            <v>ACTION FIN.</v>
          </cell>
        </row>
        <row r="146">
          <cell r="F146" t="str">
            <v>AD-MANUM FIN</v>
          </cell>
        </row>
        <row r="147">
          <cell r="F147" t="str">
            <v>ADANI ENTER</v>
          </cell>
        </row>
        <row r="148">
          <cell r="F148" t="str">
            <v>ADANIPORTS</v>
          </cell>
        </row>
        <row r="149">
          <cell r="F149" t="str">
            <v>ADANIPOWER</v>
          </cell>
        </row>
        <row r="150">
          <cell r="F150" t="str">
            <v>ADANITRANS</v>
          </cell>
        </row>
        <row r="151">
          <cell r="F151" t="str">
            <v>ADCINDIA</v>
          </cell>
        </row>
        <row r="152">
          <cell r="F152" t="str">
            <v>ADF FOODS LT</v>
          </cell>
        </row>
        <row r="153">
          <cell r="F153" t="str">
            <v>ADHINATH TEX</v>
          </cell>
        </row>
        <row r="154">
          <cell r="F154" t="str">
            <v>ADHUNIK MET</v>
          </cell>
        </row>
        <row r="155">
          <cell r="F155" t="str">
            <v>ADHUNIKIND</v>
          </cell>
        </row>
        <row r="156">
          <cell r="F156" t="str">
            <v>ADINATH EXIM</v>
          </cell>
        </row>
        <row r="157">
          <cell r="F157" t="str">
            <v>Aditya Birla Sun Life Active Debt Multi Manager FoF Scheme - Direct Plan - Dividend Option</v>
          </cell>
        </row>
        <row r="158">
          <cell r="F158" t="str">
            <v>Aditya Birla Sun Life Active Debt Multi Manager FoF Scheme - Direct Plan - Growth Option</v>
          </cell>
        </row>
        <row r="159">
          <cell r="F159" t="str">
            <v>Aditya Birla Sun Life Active Debt Multi Manager FoF Scheme - Regular Plan - Dividend Option</v>
          </cell>
        </row>
        <row r="160">
          <cell r="F160" t="str">
            <v>Aditya Birla Sun Life Active Debt Multi Manager FoF Scheme - Regular Plan - Growth Option</v>
          </cell>
        </row>
        <row r="161">
          <cell r="F161" t="str">
            <v>Aditya Birla Sun Life Arbitrage Fund - Dividend - Direct Plan</v>
          </cell>
        </row>
        <row r="162">
          <cell r="F162" t="str">
            <v>Aditya Birla Sun Life Arbitrage Fund - Growth - Direct Plan</v>
          </cell>
        </row>
        <row r="163">
          <cell r="F163" t="str">
            <v>Aditya BIRLA SUN LIFE ARBITRAGE FUND - REGULAR PLAN - GROWTH</v>
          </cell>
        </row>
        <row r="164">
          <cell r="F164" t="str">
            <v>Aditya Birla Sun Life Arbitrage Fund Dividend Regular Plan</v>
          </cell>
        </row>
        <row r="165">
          <cell r="F165" t="str">
            <v>Aditya Birla Sun Life Asset Allocator Multi Manager FoF Scheme - Direct Plan - Dividend Option</v>
          </cell>
        </row>
        <row r="166">
          <cell r="F166" t="str">
            <v>Aditya Birla Sun Life Asset Allocator Multi Manager FoF Scheme - Direct Plan - Growth Option</v>
          </cell>
        </row>
        <row r="167">
          <cell r="F167" t="str">
            <v>Aditya Birla Sun Life Asset Allocator Multi Manager FoF Scheme - Regular Plan - Dividend Option</v>
          </cell>
        </row>
        <row r="168">
          <cell r="F168" t="str">
            <v>Aditya Birla Sun Life Asset Allocator Multi Manager FoF Scheme - Regular Plan - Growth Option</v>
          </cell>
        </row>
        <row r="169">
          <cell r="F169" t="str">
            <v>Aditya Birla Sun Life Balanced Advantage Fund - Direct Plan - Dividend Option</v>
          </cell>
        </row>
        <row r="170">
          <cell r="F170" t="str">
            <v>Aditya Birla Sun Life Balanced Advantage Fund - Direct Plan - Growth Option</v>
          </cell>
        </row>
        <row r="171">
          <cell r="F171" t="str">
            <v>Aditya Birla Sun Life Balanced Advantage Fund - Regular Plan - Dividend Option</v>
          </cell>
        </row>
        <row r="172">
          <cell r="F172" t="str">
            <v>Aditya Birla Sun Life Balanced Advantage Fund - Regular Plan - Growth Option</v>
          </cell>
        </row>
        <row r="173">
          <cell r="F173" t="str">
            <v>Aditya Birla Sun Life Banking &amp; PSU Debt Fund  - Direct Plan-Dividend</v>
          </cell>
        </row>
        <row r="174">
          <cell r="F174" t="str">
            <v>Aditya Birla Sun Life Banking &amp; PSU Debt Fund - Direct Plan-Monthly Dividend</v>
          </cell>
        </row>
        <row r="175">
          <cell r="F175" t="str">
            <v>Aditya Birla Sun Life Banking &amp; PSU Debt Fund - Direct Plan-Quarterly Dividend</v>
          </cell>
        </row>
        <row r="176">
          <cell r="F176" t="str">
            <v>Aditya Birla Sun Life Banking &amp; PSU Debt Fund - Growth - Direct Plan</v>
          </cell>
        </row>
        <row r="177">
          <cell r="F177" t="str">
            <v>Aditya Birla Sun Life Banking &amp; PSU Debt Fund - Growth - Regular Plan</v>
          </cell>
        </row>
        <row r="178">
          <cell r="F178" t="str">
            <v>Aditya Birla Sun Life Banking &amp; PSU Debt Fund - Monthly Dividend - Direct Plan</v>
          </cell>
        </row>
        <row r="179">
          <cell r="F179" t="str">
            <v>Aditya Birla Sun Life Banking &amp; PSU Debt Fund - Monthly Dividend - Regular Plan</v>
          </cell>
        </row>
        <row r="180">
          <cell r="F180" t="str">
            <v>Aditya Birla Sun Life Banking &amp; PSU Debt Fund - Regular Plan</v>
          </cell>
        </row>
        <row r="181">
          <cell r="F181" t="str">
            <v>Aditya Birla Sun Life Banking &amp; PSU Debt Fund - Regular Plan-Dividend</v>
          </cell>
        </row>
        <row r="182">
          <cell r="F182" t="str">
            <v>Aditya Birla Sun Life Banking &amp; PSU Debt Fund - Regular Plan-Growth</v>
          </cell>
        </row>
        <row r="183">
          <cell r="F183" t="str">
            <v>Aditya Birla Sun Life Banking &amp; PSU Debt Fund - Regular Plan-Monthly Dividend</v>
          </cell>
        </row>
        <row r="184">
          <cell r="F184" t="str">
            <v>Aditya Birla Sun Life Banking &amp; PSU Debt Fund - Regular Plan-Quarterly Dividend</v>
          </cell>
        </row>
        <row r="185">
          <cell r="F185" t="str">
            <v>Aditya Birla Sun Life Banking &amp; PSU Debt Fund - Retail Plan-Growth</v>
          </cell>
        </row>
        <row r="186">
          <cell r="F186" t="str">
            <v>Aditya Birla Sun Life Banking &amp; PSU Debt Fund - Retail Plan-Monthly Dividend</v>
          </cell>
        </row>
        <row r="187">
          <cell r="F187" t="str">
            <v>Aditya Birla Sun Life Banking &amp; PSU Debt Fund - Retail Plan-Quarterly Dividend</v>
          </cell>
        </row>
        <row r="188">
          <cell r="F188" t="str">
            <v>Aditya Birla Sun Life Banking &amp; PSU Debt Fund - Weekly Dividend - Direct Plan</v>
          </cell>
        </row>
        <row r="189">
          <cell r="F189" t="str">
            <v>Aditya Birla Sun Life Banking &amp; PSU Debt Fund- Direct Plan-Growth</v>
          </cell>
        </row>
        <row r="190">
          <cell r="F190" t="str">
            <v>Aditya Birla Sun Life Banking and Financial Services Fund - Direct Plan - Dividend</v>
          </cell>
        </row>
        <row r="191">
          <cell r="F191" t="str">
            <v>Aditya Birla Sun Life Banking and Financial Services Fund - Direct Plan - Growth</v>
          </cell>
        </row>
        <row r="192">
          <cell r="F192" t="str">
            <v>Aditya Birla Sun Life Banking and Financial Services Fund - Regular Plan - Dividend</v>
          </cell>
        </row>
        <row r="193">
          <cell r="F193" t="str">
            <v>Aditya Birla Sun Life Banking and Financial Services Fund - Regular Plan - Growth</v>
          </cell>
        </row>
        <row r="194">
          <cell r="F194" t="str">
            <v>Aditya Birla Sun Life Capital Protection Oriented Fund - Series 22 - Direct Plan - Growth</v>
          </cell>
        </row>
        <row r="195">
          <cell r="F195" t="str">
            <v>Aditya Birla Sun Life Capital Protection Oriented Fund - Series 22 - Regular Plan - Growth</v>
          </cell>
        </row>
        <row r="196">
          <cell r="F196" t="str">
            <v>Aditya Birla Sun Life Capital Protection Oriented Fund - Series 25 - Direct Plan - Growth</v>
          </cell>
        </row>
        <row r="197">
          <cell r="F197" t="str">
            <v>Aditya Birla Sun Life Capital Protection Oriented Fund - Series 25 - Regular Plan - Growth</v>
          </cell>
        </row>
        <row r="198">
          <cell r="F198" t="str">
            <v>Aditya Birla Sun Life Capital Protection Oriented Fund - Series 26 - Direct Plan-Growth</v>
          </cell>
        </row>
        <row r="199">
          <cell r="F199" t="str">
            <v>Aditya Birla Sun Life Capital Protection Oriented Fund - Series 26 - Regular Plan-Growth</v>
          </cell>
        </row>
        <row r="200">
          <cell r="F200" t="str">
            <v>Aditya Birla Sun Life Capital Protection Oriented Fund - Series 29 - Direct Plan-Growth</v>
          </cell>
        </row>
        <row r="201">
          <cell r="F201" t="str">
            <v>Aditya Birla Sun Life Capital Protection Oriented Fund - Series 29 - Regular Plan-Growth</v>
          </cell>
        </row>
        <row r="202">
          <cell r="F202" t="str">
            <v>Aditya Birla Sun Life Capital Protection Oriented Fund - Series 30 - Direct Plan-Growth</v>
          </cell>
        </row>
        <row r="203">
          <cell r="F203" t="str">
            <v>Aditya Birla Sun Life Capital Protection Oriented Fund - Series 30 - Regular Plan-Growth</v>
          </cell>
        </row>
        <row r="204">
          <cell r="F204" t="str">
            <v>Aditya Birla Sun Life Commodity Equities Fund - Global Agri Plan - Dividend - Direct Plan</v>
          </cell>
        </row>
        <row r="205">
          <cell r="F205" t="str">
            <v>Aditya Birla Sun Life Commodity Equities Fund - Global Agri Plan - Dividend - Regular Plan</v>
          </cell>
        </row>
        <row r="206">
          <cell r="F206" t="str">
            <v>Aditya Birla Sun Life Commodity Equities Fund - Global Agri Plan - Growth - Direct Plan</v>
          </cell>
        </row>
        <row r="207">
          <cell r="F207" t="str">
            <v>Aditya Birla Sun Life Commodity Equities Fund - Global Agri Plan - Growth - Regular Plan</v>
          </cell>
        </row>
        <row r="208">
          <cell r="F208" t="str">
            <v>Aditya Birla Sun Life Constant Maturity 10 Year Gilt Fund - Growth - Direct Plan</v>
          </cell>
        </row>
        <row r="209">
          <cell r="F209" t="str">
            <v>Aditya Birla Sun Life Constant Maturity 10 Year Gilt Fund - Growth - Regular Plan</v>
          </cell>
        </row>
        <row r="210">
          <cell r="F210" t="str">
            <v>Aditya Birla Sun Life Constant Maturity 10 Year Gilt Fund - Quarterly Dividend - Direct Plan</v>
          </cell>
        </row>
        <row r="211">
          <cell r="F211" t="str">
            <v>Aditya Birla Sun Life Constant Maturity 10 Year Gilt Fund - Quarterly Dividend - Regular Plan</v>
          </cell>
        </row>
        <row r="212">
          <cell r="F212" t="str">
            <v>Aditya Birla Sun Life Corporate Bond Fund - Discipline Advantage Plan</v>
          </cell>
        </row>
        <row r="213">
          <cell r="F213" t="str">
            <v>Aditya Birla Sun Life Corporate Bond Fund - Dividend - Direct Plan</v>
          </cell>
        </row>
        <row r="214">
          <cell r="F214" t="str">
            <v>Aditya Birla Sun Life Corporate Bond Fund - Dividend - Regular Plan</v>
          </cell>
        </row>
        <row r="215">
          <cell r="F215" t="str">
            <v>Aditya Birla Sun Life Corporate Bond Fund - Growth - Direct Plan</v>
          </cell>
        </row>
        <row r="216">
          <cell r="F216" t="str">
            <v>Aditya Birla Sun Life Corporate Bond Fund - Growth - Regular Plan</v>
          </cell>
        </row>
        <row r="217">
          <cell r="F217" t="str">
            <v>Aditya Birla Sun Life Corporate Bond Fund - Monthly Dividend - Direct Plan</v>
          </cell>
        </row>
        <row r="218">
          <cell r="F218" t="str">
            <v>Aditya Birla Sun Life Corporate Bond Fund - Monthly Dividend - Regular Plan</v>
          </cell>
        </row>
        <row r="219">
          <cell r="F219" t="str">
            <v>Aditya Birla Sun Life Credit Risk Fund - Direct Plan - Bonus</v>
          </cell>
        </row>
        <row r="220">
          <cell r="F220" t="str">
            <v>Aditya Birla Sun Life Credit Risk Fund - Direct Plan - Dividend</v>
          </cell>
        </row>
        <row r="221">
          <cell r="F221" t="str">
            <v>Aditya Birla Sun Life Credit Risk Fund - Direct Plan - Growth</v>
          </cell>
        </row>
        <row r="222">
          <cell r="F222" t="str">
            <v>Aditya Birla Sun Life Credit Risk Fund - Regular Plan - Bonus</v>
          </cell>
        </row>
        <row r="223">
          <cell r="F223" t="str">
            <v>Aditya Birla Sun Life Credit Risk Fund - Regular Plan - Dividend</v>
          </cell>
        </row>
        <row r="224">
          <cell r="F224" t="str">
            <v>Aditya Birla Sun Life Credit Risk Fund - Regular Plan - Growth</v>
          </cell>
        </row>
        <row r="225">
          <cell r="F225" t="str">
            <v>Aditya Birla Sun Life Digital India Fund - Dividend - Direct Plan</v>
          </cell>
        </row>
        <row r="226">
          <cell r="F226" t="str">
            <v>Aditya Birla Sun Life Digital India Fund - Dividend - Regular Plan</v>
          </cell>
        </row>
        <row r="227">
          <cell r="F227" t="str">
            <v>Aditya Birla Sun Life Digital India Fund - Growth - Direct Plan</v>
          </cell>
        </row>
        <row r="228">
          <cell r="F228" t="str">
            <v>Aditya Birla Sun Life Digital India Fund - Growth - Regular Plan</v>
          </cell>
        </row>
        <row r="229">
          <cell r="F229" t="str">
            <v>Aditya Birla Sun Life Dividend Yield Fund - Dividend - Direct Plan</v>
          </cell>
        </row>
        <row r="230">
          <cell r="F230" t="str">
            <v>Aditya Birla Sun Life Dividend Yield Fund - Dividend - Regular Plan</v>
          </cell>
        </row>
        <row r="231">
          <cell r="F231" t="str">
            <v>Aditya Birla Sun Life Dividend Yield Fund - Growth - Direct Plan</v>
          </cell>
        </row>
        <row r="232">
          <cell r="F232" t="str">
            <v>Aditya Birla Sun Life Dividend Yield Fund - Growth - Regular Plan</v>
          </cell>
        </row>
        <row r="233">
          <cell r="F233" t="str">
            <v>Aditya Birla Sun Life Dual Advantage Fund - Series I - Direct Plan - Dividend Payout</v>
          </cell>
        </row>
        <row r="234">
          <cell r="F234" t="str">
            <v>Aditya Birla Sun Life Dual Advantage Fund - Series I - Direct Plan - Growth</v>
          </cell>
        </row>
        <row r="235">
          <cell r="F235" t="str">
            <v>Aditya Birla Sun Life Dual Advantage Fund - Series I - Regular Plan - Dividend Payout</v>
          </cell>
        </row>
        <row r="236">
          <cell r="F236" t="str">
            <v>Aditya Birla Sun Life Dual Advantage Fund - Series I - Regular Plan - Growth</v>
          </cell>
        </row>
        <row r="237">
          <cell r="F237" t="str">
            <v>Aditya Birla Sun Life Dynamic Bond Fund - Direct Plan - Dividend</v>
          </cell>
        </row>
        <row r="238">
          <cell r="F238" t="str">
            <v>Aditya Birla Sun Life Dynamic Bond Fund - Growth - Direct Plan</v>
          </cell>
        </row>
        <row r="239">
          <cell r="F239" t="str">
            <v>Aditya Birla Sun Life Dynamic Bond Fund - Growth - Regular Plan</v>
          </cell>
        </row>
        <row r="240">
          <cell r="F240" t="str">
            <v>Aditya Birla Sun Life Dynamic Bond Fund - Monthly Dividend - Direct Plan</v>
          </cell>
        </row>
        <row r="241">
          <cell r="F241" t="str">
            <v>Aditya Birla Sun Life Dynamic Bond Fund - Monthly Dividend - Regular Plan</v>
          </cell>
        </row>
        <row r="242">
          <cell r="F242" t="str">
            <v>Aditya Birla Sun Life Dynamic Bond Fund - Quarterly Dividend - Direct Plan</v>
          </cell>
        </row>
        <row r="243">
          <cell r="F243" t="str">
            <v>Aditya Birla Sun Life Dynamic Bond Fund - Quarterly Dividend - Regular Plan</v>
          </cell>
        </row>
        <row r="244">
          <cell r="F244" t="str">
            <v>Aditya Birla Sun Life Dynamic Bond Fund - Regular Plan - Dividend</v>
          </cell>
        </row>
        <row r="245">
          <cell r="F245" t="str">
            <v>Aditya Birla Sun Life Dynamic Bond Fund-Discipline Advantage Plan-Growth</v>
          </cell>
        </row>
        <row r="246">
          <cell r="F246" t="str">
            <v>Aditya Birla Sun Life Emerging Leaders Fund - Series 3 - Direct Plan - Dividend</v>
          </cell>
        </row>
        <row r="247">
          <cell r="F247" t="str">
            <v>Aditya Birla Sun Life Emerging Leaders Fund - Series 3 - Direct Plan - Growth</v>
          </cell>
        </row>
        <row r="248">
          <cell r="F248" t="str">
            <v>Aditya Birla Sun Life Emerging Leaders Fund - Series 3 - Regular Plan - Dividend</v>
          </cell>
        </row>
        <row r="249">
          <cell r="F249" t="str">
            <v>Aditya Birla Sun Life Emerging Leaders Fund - Series 3 - Regular Plan - Growth</v>
          </cell>
        </row>
        <row r="250">
          <cell r="F250" t="str">
            <v>Aditya Birla Sun Life Emerging Leaders Fund - Series 4 - Direct Plan - Dividend</v>
          </cell>
        </row>
        <row r="251">
          <cell r="F251" t="str">
            <v>Aditya Birla Sun Life Emerging Leaders Fund - Series 4 - Direct Plan - Growth</v>
          </cell>
        </row>
        <row r="252">
          <cell r="F252" t="str">
            <v>Aditya Birla Sun Life Emerging Leaders Fund - Series 4 - Regular Plan - Dividend</v>
          </cell>
        </row>
        <row r="253">
          <cell r="F253" t="str">
            <v>Aditya Birla Sun Life Emerging Leaders Fund - Series 4 - Regular Plan - Growth</v>
          </cell>
        </row>
        <row r="254">
          <cell r="F254" t="str">
            <v>Aditya Birla Sun Life Emerging Leaders Fund - Series 6 - Direct Plan-Dividend</v>
          </cell>
        </row>
        <row r="255">
          <cell r="F255" t="str">
            <v>Aditya Birla Sun Life Emerging Leaders Fund - Series 6 - Direct Plan-Growth</v>
          </cell>
        </row>
        <row r="256">
          <cell r="F256" t="str">
            <v>Aditya Birla Sun Life Emerging Leaders Fund - Series 6 - Regular Plan-Dividend</v>
          </cell>
        </row>
        <row r="257">
          <cell r="F257" t="str">
            <v>Aditya Birla Sun Life Emerging Leaders Fund - Series 6 - Regular Plan-Growth</v>
          </cell>
        </row>
        <row r="258">
          <cell r="F258" t="str">
            <v>Aditya Birla Sun Life Emerging Leaders Fund - Series 7 - Direct Plan-Dividend</v>
          </cell>
        </row>
        <row r="259">
          <cell r="F259" t="str">
            <v>Aditya Birla Sun Life Emerging Leaders Fund - Series 7 - Direct Plan-Growth</v>
          </cell>
        </row>
        <row r="260">
          <cell r="F260" t="str">
            <v>Aditya Birla Sun Life Emerging Leaders Fund - Series 7 - Regular Plan-Dividend</v>
          </cell>
        </row>
        <row r="261">
          <cell r="F261" t="str">
            <v>Aditya Birla Sun Life Emerging Leaders Fund - Series 7 - Regular Plan-Growth</v>
          </cell>
        </row>
        <row r="262">
          <cell r="F262" t="str">
            <v>Aditya Birla Sun Life Equity Advantage Fund - Dividend - Direct Plan</v>
          </cell>
        </row>
        <row r="263">
          <cell r="F263" t="str">
            <v>Aditya Birla Sun Life Equity Advantage Fund - Growth - Direct Plan</v>
          </cell>
        </row>
        <row r="264">
          <cell r="F264" t="str">
            <v>Aditya Birla Sun Life Equity Advantage Fund - Regular Growth</v>
          </cell>
        </row>
        <row r="265">
          <cell r="F265" t="str">
            <v>Aditya Birla Sun Life Equity Advantage Fund -Regular Dividend</v>
          </cell>
        </row>
        <row r="266">
          <cell r="F266" t="str">
            <v>Aditya Birla Sun Life Equity Fund - Dividend - Direct Plan</v>
          </cell>
        </row>
        <row r="267">
          <cell r="F267" t="str">
            <v>Aditya Birla Sun Life Equity Fund - Dividend - Regular Plan</v>
          </cell>
        </row>
        <row r="268">
          <cell r="F268" t="str">
            <v>Aditya Birla Sun Life Equity Fund - Growth - Direct Plan</v>
          </cell>
        </row>
        <row r="269">
          <cell r="F269" t="str">
            <v>Aditya Birla Sun Life Equity Fund - Growth - Regular Plan</v>
          </cell>
        </row>
        <row r="270">
          <cell r="F270" t="str">
            <v>Aditya Birla Sun Life Equity Hybrid 95 Fund - Direct Plan-Dividend</v>
          </cell>
        </row>
        <row r="271">
          <cell r="F271" t="str">
            <v>Aditya Birla Sun Life Equity Hybrid 95 Fund - Direct Plan-Growth</v>
          </cell>
        </row>
        <row r="272">
          <cell r="F272" t="str">
            <v>Aditya Birla Sun Life Equity Hybrid 95 Fund - Regular Plan-Dividend</v>
          </cell>
        </row>
        <row r="273">
          <cell r="F273" t="str">
            <v>Aditya Birla Sun Life Equity Hybrid 95 Fund - Regular Plan-Growth</v>
          </cell>
        </row>
        <row r="274">
          <cell r="F274" t="str">
            <v>Aditya Birla Sun Life Equity Savings Fund - Direct Plan - Dividend</v>
          </cell>
        </row>
        <row r="275">
          <cell r="F275" t="str">
            <v>Aditya Birla Sun Life Equity Savings Fund - Direct Plan - Growth</v>
          </cell>
        </row>
        <row r="276">
          <cell r="F276" t="str">
            <v>Aditya Birla Sun Life Equity Savings Fund - Regular Plan - Dividend</v>
          </cell>
        </row>
        <row r="277">
          <cell r="F277" t="str">
            <v>Aditya Birla Sun Life Equity Savings Fund - Regular Plan - Growth</v>
          </cell>
        </row>
        <row r="278">
          <cell r="F278" t="str">
            <v>Aditya Birla Sun Life Financial Planning Fund - Aggressive Plan - Direct Plan - Dividend Option</v>
          </cell>
        </row>
        <row r="279">
          <cell r="F279" t="str">
            <v>Aditya Birla Sun Life Financial Planning Fund - Aggressive Plan - Direct Plan - Growth Option</v>
          </cell>
        </row>
        <row r="280">
          <cell r="F280" t="str">
            <v>Aditya Birla Sun Life Financial Planning Fund - Aggressive Plan - Regular Plan - Dividend Option</v>
          </cell>
        </row>
        <row r="281">
          <cell r="F281" t="str">
            <v>Aditya Birla Sun Life Financial Planning Fund - Aggressive Plan - Regular Plan - Growth Option</v>
          </cell>
        </row>
        <row r="282">
          <cell r="F282" t="str">
            <v>Aditya Birla Sun Life Financial Planning Fund - Conservative Plan - Direct Plan - Dividend Option</v>
          </cell>
        </row>
        <row r="283">
          <cell r="F283" t="str">
            <v>Aditya Birla Sun Life Financial Planning Fund - Conservative Plan - Direct Plan - Growth Option</v>
          </cell>
        </row>
        <row r="284">
          <cell r="F284" t="str">
            <v>Aditya Birla Sun Life Financial Planning Fund - Conservative Plan - Regular Plan - Dividend Option</v>
          </cell>
        </row>
        <row r="285">
          <cell r="F285" t="str">
            <v>Aditya Birla Sun life Financial Planning Fund - Conservative Plan - Regular Plan - Growth Option</v>
          </cell>
        </row>
        <row r="286">
          <cell r="F286" t="str">
            <v>Aditya Birla Sun Life Financial Planning Fund - Prudent Plan - Direct Plan - Dividend Option</v>
          </cell>
        </row>
        <row r="287">
          <cell r="F287" t="str">
            <v>Aditya Birla Sun Life Financial Planning Fund - Prudent Plan - Direct Plan - Growth Option</v>
          </cell>
        </row>
        <row r="288">
          <cell r="F288" t="str">
            <v>Aditya Birla Sun Life Financial Planning Fund - Prudent Plan - Regular Plan - Dividend Option</v>
          </cell>
        </row>
        <row r="289">
          <cell r="F289" t="str">
            <v>Aditya Birla Sun Life Financial Planning Fund - Prudent Plan - Regular Plan - Growth Option</v>
          </cell>
        </row>
        <row r="290">
          <cell r="F290" t="str">
            <v>Aditya Birla Sun Life Fixed Term Plan -  Series OH (1120 days) - Direct Plan-Normal Dividend</v>
          </cell>
        </row>
        <row r="291">
          <cell r="F291" t="str">
            <v>Aditya Birla Sun Life Fixed Term Plan - Series IY (1598 days) - Direct Plan-Growth</v>
          </cell>
        </row>
        <row r="292">
          <cell r="F292" t="str">
            <v>Aditya Birla Sun Life Fixed Term Plan - Series IY (1598 days) - Regular Plan-Growth</v>
          </cell>
        </row>
        <row r="293">
          <cell r="F293" t="str">
            <v>Aditya Birla Sun Life Fixed Term Plan - Series IY (1598 days) - Regular Plan-Normal Dividend</v>
          </cell>
        </row>
        <row r="294">
          <cell r="F294" t="str">
            <v>Aditya Birla Sun Life Fixed Term Plan - Series IY (1598 days) - Regular Plan-Quarterly Dividend</v>
          </cell>
        </row>
        <row r="295">
          <cell r="F295" t="str">
            <v>Aditya Birla Sun Life Fixed Term Plan - Series JX (1530 days) - Direct Plan-Growth</v>
          </cell>
        </row>
        <row r="296">
          <cell r="F296" t="str">
            <v>Aditya Birla Sun Life Fixed Term Plan - Series JX (1530 days) - Regular Plan-Growth</v>
          </cell>
        </row>
        <row r="297">
          <cell r="F297" t="str">
            <v>Aditya Birla Sun Life Fixed Term Plan - Series KE (1511 days) - Direct Plan-Growth</v>
          </cell>
        </row>
        <row r="298">
          <cell r="F298" t="str">
            <v>Aditya Birla Sun Life Fixed Term Plan - Series KE (1511 days) - Regular Plan-Growth</v>
          </cell>
        </row>
        <row r="299">
          <cell r="F299" t="str">
            <v>Aditya Birla Sun Life Fixed Term Plan - Series KH (1505 days) - Direct Plan-Growth</v>
          </cell>
        </row>
        <row r="300">
          <cell r="F300" t="str">
            <v>Aditya Birla Sun Life Fixed Term Plan - Series KH (1505 days) - Regular Plan-Growth</v>
          </cell>
        </row>
        <row r="301">
          <cell r="F301" t="str">
            <v>Aditya Birla Sun Life Fixed Term Plan - Series KH (1505 days) - Regular Plan-Quarterly Dividend</v>
          </cell>
        </row>
        <row r="302">
          <cell r="F302" t="str">
            <v>Aditya Birla Sun Life Fixed Term Plan - Series KJ (1499 days) - Direct Plan-Growth</v>
          </cell>
        </row>
        <row r="303">
          <cell r="F303" t="str">
            <v>Aditya Birla Sun Life Fixed Term Plan - Series KJ (1499 days) - Regular Plan-Growth</v>
          </cell>
        </row>
        <row r="304">
          <cell r="F304" t="str">
            <v>Aditya Birla Sun Life Fixed Term Plan - Series KJ (1499 days) - Regular Plan-Normal Dividend</v>
          </cell>
        </row>
        <row r="305">
          <cell r="F305" t="str">
            <v>Aditya Birla Sun Life Fixed Term Plan - Series KO (1498 days) - Direct Plan-Growth</v>
          </cell>
        </row>
        <row r="306">
          <cell r="F306" t="str">
            <v>Aditya Birla Sun Life Fixed Term Plan - Series KO (1498 days) - Direct Plan-Quarterly Dividend</v>
          </cell>
        </row>
        <row r="307">
          <cell r="F307" t="str">
            <v>Aditya Birla Sun Life Fixed Term Plan - Series KO (1498 days) - Regular Plan-Growth</v>
          </cell>
        </row>
        <row r="308">
          <cell r="F308" t="str">
            <v>Aditya Birla Sun Life Fixed Term Plan - Series KO (1498 days) - Regular Plan-Normal Dividend</v>
          </cell>
        </row>
        <row r="309">
          <cell r="F309" t="str">
            <v>Aditya Birla Sun Life Fixed Term Plan - Series KP (1504 days) - Direct Plan-Growth</v>
          </cell>
        </row>
        <row r="310">
          <cell r="F310" t="str">
            <v>Aditya Birla Sun Life Fixed Term Plan - Series KP (1504 days) - Regular Plan-Growth</v>
          </cell>
        </row>
        <row r="311">
          <cell r="F311" t="str">
            <v>Aditya Birla Sun Life Fixed Term Plan - Series KW (1477 days) - Direct Plan-Growth</v>
          </cell>
        </row>
        <row r="312">
          <cell r="F312" t="str">
            <v>Aditya Birla Sun Life Fixed Term Plan - Series KW (1477 days) - Regular Plan-Growth</v>
          </cell>
        </row>
        <row r="313">
          <cell r="F313" t="str">
            <v>Aditya Birla Sun Life Fixed Term Plan - Series KW (1477 days) - Regular Plan-Quarterly Dividend</v>
          </cell>
        </row>
        <row r="314">
          <cell r="F314" t="str">
            <v>Aditya Birla Sun Life Fixed Term Plan - Series KX (1475 days) - Direct Plan-Growth</v>
          </cell>
        </row>
        <row r="315">
          <cell r="F315" t="str">
            <v>Aditya Birla Sun Life Fixed Term Plan - Series KX (1475 days) - Regular Plan-Growth</v>
          </cell>
        </row>
        <row r="316">
          <cell r="F316" t="str">
            <v>Aditya Birla Sun Life Fixed Term Plan - Series KX (1475 days) - Regular Plan-Normal Dividend</v>
          </cell>
        </row>
        <row r="317">
          <cell r="F317" t="str">
            <v>Aditya Birla Sun Life Fixed Term Plan - Series MK (1105 days) - Direct Plan - Growth</v>
          </cell>
        </row>
        <row r="318">
          <cell r="F318" t="str">
            <v>Aditya Birla Sun Life Fixed Term Plan - Series MK (1105 days) - Direct Plan - Quarterly Dividend</v>
          </cell>
        </row>
        <row r="319">
          <cell r="F319" t="str">
            <v>Aditya Birla Sun Life Fixed Term Plan - Series MK (1105 days) - Regular Plan - Growth</v>
          </cell>
        </row>
        <row r="320">
          <cell r="F320" t="str">
            <v>Aditya Birla Sun Life Fixed Term Plan - Series MK (1105 days) - Regular Plan - Normal Dividend</v>
          </cell>
        </row>
        <row r="321">
          <cell r="F321" t="str">
            <v>Aditya Birla Sun Life Fixed Term Plan - Series MK (1105 days) - Regular Plan - Quarterly Dividend</v>
          </cell>
        </row>
        <row r="322">
          <cell r="F322" t="str">
            <v>Aditya Birla Sun Life Fixed Term Plan - Series MP (1141 days) - Direct Plan-Growth</v>
          </cell>
        </row>
        <row r="323">
          <cell r="F323" t="str">
            <v>Aditya Birla Sun Life Fixed Term Plan - Series MP (1141 days) - Direct Plan-Normal Dividend</v>
          </cell>
        </row>
        <row r="324">
          <cell r="F324" t="str">
            <v>Aditya Birla Sun Life Fixed Term Plan - Series MP (1141 days) - Regular Plan-Growth</v>
          </cell>
        </row>
        <row r="325">
          <cell r="F325" t="str">
            <v>Aditya Birla Sun Life Fixed Term Plan - Series MP (1141 days) - Regular Plan-Quarterly Dividend</v>
          </cell>
        </row>
        <row r="326">
          <cell r="F326" t="str">
            <v>Aditya Birla Sun Life Fixed Term Plan - Series MQ (1159 days)-Direct Plan-Growth</v>
          </cell>
        </row>
        <row r="327">
          <cell r="F327" t="str">
            <v>Aditya Birla Sun Life Fixed Term Plan - Series MQ (1159 days)-Direct Plan-Normal Dividend</v>
          </cell>
        </row>
        <row r="328">
          <cell r="F328" t="str">
            <v>Aditya Birla Sun Life Fixed Term Plan - Series MQ (1159 days)-Direct Plan-Quarterly Dividend</v>
          </cell>
        </row>
        <row r="329">
          <cell r="F329" t="str">
            <v>Aditya Birla Sun Life Fixed Term Plan - Series MQ (1159 days)-Regular Plan-Growth</v>
          </cell>
        </row>
        <row r="330">
          <cell r="F330" t="str">
            <v>Aditya Birla Sun Life Fixed Term Plan - Series MQ (1159 days)-Regular Plan-Normal Dividend</v>
          </cell>
        </row>
        <row r="331">
          <cell r="F331" t="str">
            <v>Aditya Birla Sun Life Fixed Term Plan - Series MQ (1159 days)-Regular Plan-Quarterly Dividend</v>
          </cell>
        </row>
        <row r="332">
          <cell r="F332" t="str">
            <v>Aditya Birla Sun Life Fixed Term Plan - Series MR (1153 days) - Direct Plan-Normal Dividend</v>
          </cell>
        </row>
        <row r="333">
          <cell r="F333" t="str">
            <v>Aditya Birla Sun Life Fixed Term Plan - Series MR (1153 days) - Regular Plan-Growth</v>
          </cell>
        </row>
        <row r="334">
          <cell r="F334" t="str">
            <v>Aditya Birla Sun Life Fixed Term Plan - Series MR (1153 days) - Regular Plan-Normal Dividend</v>
          </cell>
        </row>
        <row r="335">
          <cell r="F335" t="str">
            <v>Aditya Birla Sun Life Fixed Term Plan - Series MR (1153 days) - Regular Plan-Quarterly Plan</v>
          </cell>
        </row>
        <row r="336">
          <cell r="F336" t="str">
            <v>Aditya Birla Sun Life Fixed Term Plan - Series MR (1153 days)-Direct Plan-Growth</v>
          </cell>
        </row>
        <row r="337">
          <cell r="F337" t="str">
            <v>Aditya Birla Sun Life Fixed Term Plan - Series MU (1117 days) - Direct Plan-Growth</v>
          </cell>
        </row>
        <row r="338">
          <cell r="F338" t="str">
            <v>Aditya Birla Sun Life Fixed Term Plan - Series MU (1117 days) - Direct Plan-Normal Dividend</v>
          </cell>
        </row>
        <row r="339">
          <cell r="F339" t="str">
            <v>Aditya Birla Sun Life Fixed Term Plan - Series MU (1117 days) - Direct Plan-Quarterly dividend</v>
          </cell>
        </row>
        <row r="340">
          <cell r="F340" t="str">
            <v>Aditya Birla Sun Life Fixed Term Plan - Series MU (1117 days) - Regular Plan-Growth</v>
          </cell>
        </row>
        <row r="341">
          <cell r="F341" t="str">
            <v>Aditya Birla Sun Life Fixed Term Plan - Series MU (1117 days) - Regular Plan-Normal Dividend</v>
          </cell>
        </row>
        <row r="342">
          <cell r="F342" t="str">
            <v>Aditya Birla Sun Life Fixed Term Plan - Series MU (1117 days) - Regular Plan-Quarterly Dividend</v>
          </cell>
        </row>
        <row r="343">
          <cell r="F343" t="str">
            <v>Aditya Birla Sun Life Fixed Term Plan - Series MX (1128 days) - Direct Plan - Growth</v>
          </cell>
        </row>
        <row r="344">
          <cell r="F344" t="str">
            <v>Aditya Birla Sun Life Fixed Term Plan - Series MX (1128 days) - Regular Plan - Growth</v>
          </cell>
        </row>
        <row r="345">
          <cell r="F345" t="str">
            <v>Aditya Birla Sun Life Fixed Term Plan - Series MX (1128 days) - Regular Plan - Normal Dividend</v>
          </cell>
        </row>
        <row r="346">
          <cell r="F346" t="str">
            <v>Aditya Birla Sun Life Fixed Term Plan - Series MX (1128 days) - Regular Plan - Quarterly Dividend</v>
          </cell>
        </row>
        <row r="347">
          <cell r="F347" t="str">
            <v>Aditya Birla Sun Life Fixed Term Plan - Series MY (1107 days) - Direct Plan-Growth</v>
          </cell>
        </row>
        <row r="348">
          <cell r="F348" t="str">
            <v>Aditya Birla Sun Life Fixed Term Plan - Series MY (1107 days) - Direct Plan-Quarterly Dividend</v>
          </cell>
        </row>
        <row r="349">
          <cell r="F349" t="str">
            <v>Aditya Birla Sun Life Fixed Term Plan - Series MY (1107 days) - Regular Plan - Quarterly Dividend</v>
          </cell>
        </row>
        <row r="350">
          <cell r="F350" t="str">
            <v>Aditya Birla Sun Life Fixed Term Plan - Series MY (1107 days) - Regular Plan-Growth</v>
          </cell>
        </row>
        <row r="351">
          <cell r="F351" t="str">
            <v>Aditya Birla Sun Life Fixed Term Plan - Series MY (1107 days) - Regular Plan-Normal Dividend</v>
          </cell>
        </row>
        <row r="352">
          <cell r="F352" t="str">
            <v>Aditya Birla Sun Life Fixed Term Plan - Series NB (1099 days) - Direct Plan-Growth</v>
          </cell>
        </row>
        <row r="353">
          <cell r="F353" t="str">
            <v>Aditya Birla Sun Life Fixed Term Plan - Series NB (1099 days) - Regular Plan-Growth</v>
          </cell>
        </row>
        <row r="354">
          <cell r="F354" t="str">
            <v>Aditya Birla Sun Life Fixed Term Plan - Series NB (1099 days) - Regular Plan-Normal Dividend</v>
          </cell>
        </row>
        <row r="355">
          <cell r="F355" t="str">
            <v>Aditya Birla Sun Life Fixed Term Plan - Series ND (1109 days) - Direct Plan-Growth</v>
          </cell>
        </row>
        <row r="356">
          <cell r="F356" t="str">
            <v>Aditya Birla Sun Life Fixed Term Plan - Series ND (1109 days) - Direct Plan-Nomal Dividend</v>
          </cell>
        </row>
        <row r="357">
          <cell r="F357" t="str">
            <v>Aditya Birla Sun Life Fixed Term Plan - Series ND (1109 days) - Direct Plan-Quarterly Dividend</v>
          </cell>
        </row>
        <row r="358">
          <cell r="F358" t="str">
            <v>Aditya Birla Sun Life Fixed Term Plan - Series ND (1109 days) - Regular Plan-Growth</v>
          </cell>
        </row>
        <row r="359">
          <cell r="F359" t="str">
            <v>Aditya Birla Sun Life Fixed Term Plan - Series ND (1109 days) - Regular Plan-Normal Dividend</v>
          </cell>
        </row>
        <row r="360">
          <cell r="F360" t="str">
            <v>Aditya Birla Sun Life Fixed Term Plan - Series ND (1109 days) - Regular Plan-Quarterly Dividend</v>
          </cell>
        </row>
        <row r="361">
          <cell r="F361" t="str">
            <v>Aditya Birla Sun Life Fixed Term Plan - Series NE (1100 days) - Direct Plan-Growth</v>
          </cell>
        </row>
        <row r="362">
          <cell r="F362" t="str">
            <v>Aditya Birla Sun Life Fixed Term Plan - Series NE (1100 days) - Direct Plan-Normal Dividend</v>
          </cell>
        </row>
        <row r="363">
          <cell r="F363" t="str">
            <v>Aditya Birla Sun Life Fixed Term Plan - Series NE (1100 days) - Regular Plan-Growth</v>
          </cell>
        </row>
        <row r="364">
          <cell r="F364" t="str">
            <v>Aditya Birla Sun Life Fixed Term Plan - Series NE (1100 days) - Regular Plan-Normal Dividend</v>
          </cell>
        </row>
        <row r="365">
          <cell r="F365" t="str">
            <v>Aditya Birla Sun Life Fixed Term Plan - Series NE (1100 days) - Regular Plan-Quarterly dividend</v>
          </cell>
        </row>
        <row r="366">
          <cell r="F366" t="str">
            <v>Aditya Birla Sun Life Fixed Term Plan - Series NG (1169 days) - Direct Plan-Growth</v>
          </cell>
        </row>
        <row r="367">
          <cell r="F367" t="str">
            <v>Aditya Birla Sun Life Fixed Term Plan - Series NG (1169 days) - Regular Plan-Growth</v>
          </cell>
        </row>
        <row r="368">
          <cell r="F368" t="str">
            <v>Aditya Birla Sun Life Fixed Term Plan - Series NG (1169 days) - Regular Plan-Normal Dividend</v>
          </cell>
        </row>
        <row r="369">
          <cell r="F369" t="str">
            <v>Aditya Birla Sun life Fixed Term Plan - Series NG (1169) days - Direct Plan-Quarterly Dividend</v>
          </cell>
        </row>
        <row r="370">
          <cell r="F370" t="str">
            <v>Aditya Birla Sun Life Fixed Term Plan - Series NH (1168 days) - Direct Plan-Growth</v>
          </cell>
        </row>
        <row r="371">
          <cell r="F371" t="str">
            <v>Aditya Birla Sun Life Fixed Term Plan - Series NH (1168 days) - Direct Plan-Quarterly Dividend</v>
          </cell>
        </row>
        <row r="372">
          <cell r="F372" t="str">
            <v>Aditya Birla Sun Life Fixed Term Plan - Series NH (1168 days) - Regular Plan-Growth</v>
          </cell>
        </row>
        <row r="373">
          <cell r="F373" t="str">
            <v>Aditya Birla Sun Life Fixed Term Plan - Series NH (1168 days) - Regular Plan-Normal Dividend</v>
          </cell>
        </row>
        <row r="374">
          <cell r="F374" t="str">
            <v>Aditya Birla Sun Life Fixed Term Plan - Series NH (1168 days) - Regular Plan-Quarterly Dividend</v>
          </cell>
        </row>
        <row r="375">
          <cell r="F375" t="str">
            <v>Aditya Birla Sun Life Fixed Term Plan - Series NI (1163 days) - Direct Plan-Growth</v>
          </cell>
        </row>
        <row r="376">
          <cell r="F376" t="str">
            <v>Aditya Birla Sun Life Fixed Term Plan - Series NI (1163 days) - Regular Plan-Growth</v>
          </cell>
        </row>
        <row r="377">
          <cell r="F377" t="str">
            <v>Aditya Birla Sun Life Fixed Term Plan - Series NI (1163 days) - Regular Plan-Normal Dividend</v>
          </cell>
        </row>
        <row r="378">
          <cell r="F378" t="str">
            <v>Aditya Birla Sun Life Fixed Term Plan - Series NK (1196 days) - Direct Plan-Growth</v>
          </cell>
        </row>
        <row r="379">
          <cell r="F379" t="str">
            <v>Aditya Birla Sun Life Fixed Term Plan - Series NK (1196 days) - Direct Plan-Normal Dividend</v>
          </cell>
        </row>
        <row r="380">
          <cell r="F380" t="str">
            <v>Aditya Birla Sun Life Fixed Term Plan - Series NK (1196 days) - Regular Plan-Growth</v>
          </cell>
        </row>
        <row r="381">
          <cell r="F381" t="str">
            <v>Aditya Birla Sun Life Fixed Term Plan - Series NL (1148 days) - Direct Plan-Growth</v>
          </cell>
        </row>
        <row r="382">
          <cell r="F382" t="str">
            <v>Aditya Birla Sun Life Fixed Term Plan - Series NL (1148 days) - Direct Plan-Normal Dividend</v>
          </cell>
        </row>
        <row r="383">
          <cell r="F383" t="str">
            <v>Aditya Birla Sun Life Fixed Term Plan - Series NL (1148 days) - Direct Plan-Quarterly Dividend</v>
          </cell>
        </row>
        <row r="384">
          <cell r="F384" t="str">
            <v>Aditya Birla Sun Life Fixed Term Plan - Series NL (1148 days) - Regular Plan-Growth</v>
          </cell>
        </row>
        <row r="385">
          <cell r="F385" t="str">
            <v>Aditya Birla Sun Life Fixed Term Plan - Series NL (1148 days) - Regular Plan-Normal Dividend</v>
          </cell>
        </row>
        <row r="386">
          <cell r="F386" t="str">
            <v>Aditya Birla Sun Life Fixed Term Plan - Series NL (1148 days) - Regular Plan-Quarterly Dividend</v>
          </cell>
        </row>
        <row r="387">
          <cell r="F387" t="str">
            <v>Aditya Birla Sun Life Fixed Term Plan - Series NP (1163 days) - Direct Plan-Growth</v>
          </cell>
        </row>
        <row r="388">
          <cell r="F388" t="str">
            <v>Aditya Birla Sun Life Fixed Term Plan - Series NP (1163 days) - Direct Plan-Normal Dividend</v>
          </cell>
        </row>
        <row r="389">
          <cell r="F389" t="str">
            <v>Aditya Birla Sun Life Fixed Term Plan - Series NP (1163 days) - Regular Plan-Growth</v>
          </cell>
        </row>
        <row r="390">
          <cell r="F390" t="str">
            <v>Aditya Birla Sun Life Fixed Term Plan - Series NP (1163 days) - Regular Plan-Normal Dividend</v>
          </cell>
        </row>
        <row r="391">
          <cell r="F391" t="str">
            <v>Aditya Birla Sun Life Fixed Term Plan - Series NP (1163 days) - Regular Plan-Quarterly Dividend</v>
          </cell>
        </row>
        <row r="392">
          <cell r="F392" t="str">
            <v>Aditya Birla Sun Life Fixed Term Plan - Series NR (1099 days) - Direct Plan-Growth</v>
          </cell>
        </row>
        <row r="393">
          <cell r="F393" t="str">
            <v>Aditya Birla Sun Life Fixed Term Plan - Series NR (1099 days) - Direct Plan-Normal Dividend</v>
          </cell>
        </row>
        <row r="394">
          <cell r="F394" t="str">
            <v>Aditya Birla Sun Life Fixed Term Plan - Series NR (1099 days) - Direct Plan-Quarterly Dividend</v>
          </cell>
        </row>
        <row r="395">
          <cell r="F395" t="str">
            <v>Aditya Birla Sun Life Fixed Term Plan - Series NR (1099 days) - Regular Plan-Growth</v>
          </cell>
        </row>
        <row r="396">
          <cell r="F396" t="str">
            <v>Aditya Birla Sun Life Fixed Term Plan - Series NR (1099 days) - Regular Plan-Normal Dividend</v>
          </cell>
        </row>
        <row r="397">
          <cell r="F397" t="str">
            <v>Aditya Birla Sun Life Fixed Term Plan - Series NR (1099 days) - Regular Plan-Quarterly Dividend</v>
          </cell>
        </row>
        <row r="398">
          <cell r="F398" t="str">
            <v>Aditya Birla Sun Life Fixed Term Plan - Series NT (1099 days) - Direct Plan-Growth</v>
          </cell>
        </row>
        <row r="399">
          <cell r="F399" t="str">
            <v>Aditya Birla Sun Life Fixed Term Plan - Series NT (1099 days) - Direct Plan-Normal Dividend</v>
          </cell>
        </row>
        <row r="400">
          <cell r="F400" t="str">
            <v>Aditya Birla Sun Life Fixed Term Plan - Series NT (1099 days) - Direct Plan-Quarterly Dividend</v>
          </cell>
        </row>
        <row r="401">
          <cell r="F401" t="str">
            <v>Aditya Birla Sun Life Fixed Term Plan - Series NT (1099 days) - Regular Plan-Growth</v>
          </cell>
        </row>
        <row r="402">
          <cell r="F402" t="str">
            <v>Aditya Birla Sun Life Fixed Term Plan - Series NT (1099 days) - Regular Plan-Normal Dividend</v>
          </cell>
        </row>
        <row r="403">
          <cell r="F403" t="str">
            <v>Aditya Birla Sun Life Fixed Term Plan - Series NT (1099 days) - Regular Plan-Quarterly Dividend</v>
          </cell>
        </row>
        <row r="404">
          <cell r="F404" t="str">
            <v>Aditya Birla Sun Life Fixed Term Plan - Series OE (1153 days) - Direct Plan-Growth</v>
          </cell>
        </row>
        <row r="405">
          <cell r="F405" t="str">
            <v>Aditya Birla Sun Life Fixed Term Plan - Series OE (1153 days) - Regular Plan-Growth</v>
          </cell>
        </row>
        <row r="406">
          <cell r="F406" t="str">
            <v>Aditya Birla SUn Life Fixed Term Plan - Series OF (1151 days) - Direct Plan-Growth</v>
          </cell>
        </row>
        <row r="407">
          <cell r="F407" t="str">
            <v>Aditya Birla Sun Life Fixed Term Plan - Series OF (1151 days) - Direct Plan-Normal Dividend</v>
          </cell>
        </row>
        <row r="408">
          <cell r="F408" t="str">
            <v>Aditya Birla Sun Life Fixed Term Plan - Series OF (1151 days) - Direct Plan-Quarterly Dividend</v>
          </cell>
        </row>
        <row r="409">
          <cell r="F409" t="str">
            <v>Aditya Birla Sun Life Fixed Term Plan - Series OF (1151 days) - Regular Plan-Growrth</v>
          </cell>
        </row>
        <row r="410">
          <cell r="F410" t="str">
            <v>Aditya Birla Sun Life Fixed Term Plan - Series OF (1151 days) - Regular Plan-Normal Dividend</v>
          </cell>
        </row>
        <row r="411">
          <cell r="F411" t="str">
            <v>Aditya Birla Sun Life Fixed Term Plan - Series OF (1151 days) - Regular Plan-Quarterly Dividend</v>
          </cell>
        </row>
        <row r="412">
          <cell r="F412" t="str">
            <v>Aditya Birla Sun Life Fixed Term Plan - Series OG (1146 days) - Direct Plan-Growth</v>
          </cell>
        </row>
        <row r="413">
          <cell r="F413" t="str">
            <v>Aditya Birla Sun Life Fixed Term Plan - Series OG (1146 days) - Direct Plan-Normal Dividend</v>
          </cell>
        </row>
        <row r="414">
          <cell r="F414" t="str">
            <v>Aditya Birla Sun Life Fixed Term Plan - Series OG (1146 days) - Regular Plan-Growth</v>
          </cell>
        </row>
        <row r="415">
          <cell r="F415" t="str">
            <v>Aditya Birla Sun Life Fixed Term Plan - Series OG (1146 days) - Regular Plan-Normal Dividend</v>
          </cell>
        </row>
        <row r="416">
          <cell r="F416" t="str">
            <v>Aditya Birla Sun Life Fixed Term Plan - Series OG (1146 days) - Regular Plan-Quarterly Dividend</v>
          </cell>
        </row>
        <row r="417">
          <cell r="F417" t="str">
            <v>Aditya Birla Sun Life Fixed Term Plan - Series OH (1120 days) - Direct Plan-Growth</v>
          </cell>
        </row>
        <row r="418">
          <cell r="F418" t="str">
            <v>Aditya Birla Sun Life Fixed Term Plan - Series OH (1120 days) - Direct Plan-Quarterly Dividend</v>
          </cell>
        </row>
        <row r="419">
          <cell r="F419" t="str">
            <v>Aditya Birla Sun Life Fixed Term Plan - Series OH (1120 days) - Regular Plan-Growth</v>
          </cell>
        </row>
        <row r="420">
          <cell r="F420" t="str">
            <v>Aditya Birla Sun Life Fixed Term Plan - Series OH (1120 days) - Regular Plan-Normal Dividend</v>
          </cell>
        </row>
        <row r="421">
          <cell r="F421" t="str">
            <v>Aditya Birla Sun Life Fixed Term Plan - Series OH (1120 days) - Regular Plan-Quarterly Dividend</v>
          </cell>
        </row>
        <row r="422">
          <cell r="F422" t="str">
            <v>Aditya Birla Sun Life Fixed Term Plan - Series OI (1120 days) - Direct Plan-Growth</v>
          </cell>
        </row>
        <row r="423">
          <cell r="F423" t="str">
            <v>Aditya Birla Sun Life Fixed Term Plan - Series OI (1120 days) - Direct Plan-Normal Dividend</v>
          </cell>
        </row>
        <row r="424">
          <cell r="F424" t="str">
            <v>Aditya Birla Sun Life Fixed Term Plan - Series OI (1120 days) - Regular Plan-Growth</v>
          </cell>
        </row>
        <row r="425">
          <cell r="F425" t="str">
            <v>Aditya Birla Sun Life Fixed Term Plan - Series OI (1120 days) - Regular Plan-Normal Dividend</v>
          </cell>
        </row>
        <row r="426">
          <cell r="F426" t="str">
            <v>Aditya Birla Sun Life Fixed Term Plan - Series OI (1120 days) - Regular Plan-Quarterly Dividend</v>
          </cell>
        </row>
        <row r="427">
          <cell r="F427" t="str">
            <v>Aditya Birla Sun Life Fixed Term Plan - Series OJ (1136 days) - Direct Plan-Growth</v>
          </cell>
        </row>
        <row r="428">
          <cell r="F428" t="str">
            <v>Aditya Birla Sun Life Fixed Term Plan - Series OJ (1136 days) - Direct Plan-Normal Dividend</v>
          </cell>
        </row>
        <row r="429">
          <cell r="F429" t="str">
            <v>Aditya Birla Sun Life Fixed Term Plan - Series OJ (1136 days) - Direct Plan-Quarterly Dividend</v>
          </cell>
        </row>
        <row r="430">
          <cell r="F430" t="str">
            <v>Aditya Birla Sun Life Fixed Term Plan - Series OJ (1136 days) - Regular Plan-Growth</v>
          </cell>
        </row>
        <row r="431">
          <cell r="F431" t="str">
            <v>Aditya Birla Sun Life Fixed Term Plan - Series OJ (1136 days) - Regular Plan-Normal Dividend</v>
          </cell>
        </row>
        <row r="432">
          <cell r="F432" t="str">
            <v>Aditya Birla Sun Life Fixed Term Plan - Series OJ (1136 days) - Regular Plan-Quarterly Dividend</v>
          </cell>
        </row>
        <row r="433">
          <cell r="F433" t="str">
            <v>Aditya Birla Sun Life Fixed Term Plan - Series OK (1135 days) - Direct Plan-Growth</v>
          </cell>
        </row>
        <row r="434">
          <cell r="F434" t="str">
            <v>Aditya Birla Sun Life Fixed Term Plan - Series OK (1135 days) - Direct Plan-Normal Dividend</v>
          </cell>
        </row>
        <row r="435">
          <cell r="F435" t="str">
            <v>Aditya Birla Sun Life Fixed Term Plan - Series OK (1135 days) - Direct Plan-Quarterly Dividend</v>
          </cell>
        </row>
        <row r="436">
          <cell r="F436" t="str">
            <v>Aditya Birla Sun Life Fixed Term Plan - Series OK (1135 days) - Regular Plan-Growth</v>
          </cell>
        </row>
        <row r="437">
          <cell r="F437" t="str">
            <v>Aditya Birla Sun Life Fixed Term Plan - Series OK (1135 days) - Regular Plan-Normal Dividend</v>
          </cell>
        </row>
        <row r="438">
          <cell r="F438" t="str">
            <v>Aditya Birla Sun Life Fixed Term Plan - Series OK (1135 days) - Regular Plan-Quarterly Dividend</v>
          </cell>
        </row>
        <row r="439">
          <cell r="F439" t="str">
            <v>Aditya Birla Sun Life Fixed Term Plan - Series OL (1148 days) - Direct Plan-Growth</v>
          </cell>
        </row>
        <row r="440">
          <cell r="F440" t="str">
            <v>Aditya Birla Sun Life Fixed Term Plan - Series OL (1148 days) - Regular Plan-Growth</v>
          </cell>
        </row>
        <row r="441">
          <cell r="F441" t="str">
            <v>Aditya Birla Sun Life Fixed Term Plan - Series OM (1146 days) -  Direct Plan-Growth</v>
          </cell>
        </row>
        <row r="442">
          <cell r="F442" t="str">
            <v>Aditya Birla Sun Life Fixed Term Plan - Series OM (1146 days) - Direct Plan-Normal Dividend</v>
          </cell>
        </row>
        <row r="443">
          <cell r="F443" t="str">
            <v>Aditya Birla Sun Life Fixed Term Plan - Series OM (1146 days) - Direct Plan-Quarterly Dividend</v>
          </cell>
        </row>
        <row r="444">
          <cell r="F444" t="str">
            <v>Aditya Birla Sun Life Fixed Term Plan - Series OM (1146 days) - Regular Plan - Quarterly Dividend</v>
          </cell>
        </row>
        <row r="445">
          <cell r="F445" t="str">
            <v>Aditya Birla Sun Life Fixed Term Plan - Series OM (1146 days) - Regular Plan-Growth</v>
          </cell>
        </row>
        <row r="446">
          <cell r="F446" t="str">
            <v>Aditya Birla Sun Life Fixed Term Plan - Series OM (1146 days) - Regular Plan-Normal Dividend</v>
          </cell>
        </row>
        <row r="447">
          <cell r="F447" t="str">
            <v>Aditya Birla Sun Life Fixed Term Plan - Series OT (1117 days)  - Direct Plan-Quarterly Dividend</v>
          </cell>
        </row>
        <row r="448">
          <cell r="F448" t="str">
            <v>Aditya Birla Sun Life Fixed Term Plan - Series OT (1117 days) - Direct Plan-Growth</v>
          </cell>
        </row>
        <row r="449">
          <cell r="F449" t="str">
            <v>Aditya Birla Sun Life Fixed Term Plan - Series OT (1117 days) - Direct Plan-Normal Dividend</v>
          </cell>
        </row>
        <row r="450">
          <cell r="F450" t="str">
            <v>Aditya Birla Sun Life Fixed Term Plan - Series OT (1117 days) - Regular Plan-Growth</v>
          </cell>
        </row>
        <row r="451">
          <cell r="F451" t="str">
            <v>Aditya Birla Sun Life Fixed Term Plan - Series OT (1117 days) - Regular Plan-Normal Dividend</v>
          </cell>
        </row>
        <row r="452">
          <cell r="F452" t="str">
            <v>Aditya Birla Sun Life Fixed Term Plan - Series OT (1117 days) - Regular Plan-Quarterly Dividend</v>
          </cell>
        </row>
        <row r="453">
          <cell r="F453" t="str">
            <v>Aditya Birla Sun Life Fixed Term Plan - Series OW (1245 days) - Direct Plan-Growth</v>
          </cell>
        </row>
        <row r="454">
          <cell r="F454" t="str">
            <v>Aditya Birla Sun Life Fixed Term Plan - Series OW (1245 days) - Direct Plan-Normal Dividend</v>
          </cell>
        </row>
        <row r="455">
          <cell r="F455" t="str">
            <v>Aditya Birla Sun Life Fixed Term Plan - Series OW (1245 days) - Direct Plan-Quarterly Dividend</v>
          </cell>
        </row>
        <row r="456">
          <cell r="F456" t="str">
            <v>Aditya Birla Sun Life Fixed Term Plan - Series OW (1245 days) - Regular Plan-Growth</v>
          </cell>
        </row>
        <row r="457">
          <cell r="F457" t="str">
            <v>Aditya Birla Sun Life Fixed Term Plan - Series OW (1245 days) - Regular Plan-Normal Dividend</v>
          </cell>
        </row>
        <row r="458">
          <cell r="F458" t="str">
            <v>Aditya Birla Sun Life Fixed Term Plan - Series OW (1245 days) - Regular Plan-Quarterly Dividend</v>
          </cell>
        </row>
        <row r="459">
          <cell r="F459" t="str">
            <v>Aditya Birla Sun Life Fixed Term Plan - Series OX (1234 days) - Direct Plan-Growth</v>
          </cell>
        </row>
        <row r="460">
          <cell r="F460" t="str">
            <v>Aditya Birla Sun Life Fixed Term Plan - Series OX (1234 days) - Direct Plan-Normal Dividend</v>
          </cell>
        </row>
        <row r="461">
          <cell r="F461" t="str">
            <v>Aditya Birla Sun Life Fixed Term Plan - Series OX (1234 days) - Direct Plan-Quarterly Dividend</v>
          </cell>
        </row>
        <row r="462">
          <cell r="F462" t="str">
            <v>Aditya Birla Sun Life Fixed Term Plan - Series OX (1234 days) - Regular Plan-Growth</v>
          </cell>
        </row>
        <row r="463">
          <cell r="F463" t="str">
            <v>Aditya Birla Sun Life Fixed Term Plan - Series OX (1234 days) - Regular Plan-Normal Dividend</v>
          </cell>
        </row>
        <row r="464">
          <cell r="F464" t="str">
            <v>Aditya Birla Sun Life Fixed Term Plan - Series OX (1234 days) - Regular Plan-Quarterly Dividend</v>
          </cell>
        </row>
        <row r="465">
          <cell r="F465" t="str">
            <v>Aditya Birla Sun Life Fixed Term Plan - Series OY (1218 days) - Direct Plan-Growth</v>
          </cell>
        </row>
        <row r="466">
          <cell r="F466" t="str">
            <v>Aditya Birla Sun Life Fixed Term Plan - Series OY (1218 days) - Direct Plan-Normal Dividend</v>
          </cell>
        </row>
        <row r="467">
          <cell r="F467" t="str">
            <v>Aditya Birla Sun Life Fixed Term Plan - Series OY (1218 days) - Direct Plan-Quarterly Dividend</v>
          </cell>
        </row>
        <row r="468">
          <cell r="F468" t="str">
            <v>Aditya Birla Sun Life Fixed Term Plan - Series OY (1218 days) - Regular Plan-Normal Dividend</v>
          </cell>
        </row>
        <row r="469">
          <cell r="F469" t="str">
            <v>Aditya Birla Sun Life Fixed Term Plan - Series OY (1218 days) - Regular Plan-Quarterly Dividend</v>
          </cell>
        </row>
        <row r="470">
          <cell r="F470" t="str">
            <v>Aditya Birla Sun Life Fixed Term Plan - Series OZ (1187 days) - Direct Plan-Growth</v>
          </cell>
        </row>
        <row r="471">
          <cell r="F471" t="str">
            <v>Aditya Birla Sun Life Fixed Term Plan - Series OZ (1187 days) - Direct Plan-Normal Dividend</v>
          </cell>
        </row>
        <row r="472">
          <cell r="F472" t="str">
            <v>Aditya Birla Sun Life Fixed Term Plan - Series OZ (1187 days) - Direct Plan-Quarterly Dividend</v>
          </cell>
        </row>
        <row r="473">
          <cell r="F473" t="str">
            <v>Aditya Birla Sun Life Fixed Term Plan - Series OZ (1187 days) - Regular Plan-Growth</v>
          </cell>
        </row>
        <row r="474">
          <cell r="F474" t="str">
            <v>Aditya Birla Sun Life Fixed Term Plan - Series OZ (1187 days) - Regular Plan-Normal Dividend</v>
          </cell>
        </row>
        <row r="475">
          <cell r="F475" t="str">
            <v>Aditya Birla Sun Life Fixed Term Plan - Series OZ (1187 days) - Regular Plan-Quarterly Dividend</v>
          </cell>
        </row>
        <row r="476">
          <cell r="F476" t="str">
            <v>Aditya Birla Sun Life Fixed Term Plan - Series PA (1177 days) - Direct Plan - Normal Dividend</v>
          </cell>
        </row>
        <row r="477">
          <cell r="F477" t="str">
            <v>Aditya Birla Sun Life Fixed Term Plan - Series PA (1177 days) - Direct Plan - Quarterly Dividend</v>
          </cell>
        </row>
        <row r="478">
          <cell r="F478" t="str">
            <v>Aditya Birla Sun Life Fixed Term Plan - Series PA (1177 days) - Direct Plan-Growth</v>
          </cell>
        </row>
        <row r="479">
          <cell r="F479" t="str">
            <v>Aditya Birla Sun Life Fixed Term Plan - Series PA (1177 days) - Regular Plan-Growth</v>
          </cell>
        </row>
        <row r="480">
          <cell r="F480" t="str">
            <v>Aditya Birla Sun Life Fixed Term Plan - Series PA (1177 days) - Regular Plan-Normal Dividend</v>
          </cell>
        </row>
        <row r="481">
          <cell r="F481" t="str">
            <v>Aditya Birla Sun Life Fixed Term Plan - Series PA (1177 days) - Regular Plan-Quarterly Dividend</v>
          </cell>
        </row>
        <row r="482">
          <cell r="F482" t="str">
            <v>Aditya Birla Sun Life Fixed Term Plan - Series PB (1190 days) - Direct Plan-Growth</v>
          </cell>
        </row>
        <row r="483">
          <cell r="F483" t="str">
            <v>Aditya Birla Sun Life Fixed Term Plan - Series PB (1190 days) - Direct Plan-Normal Dividend</v>
          </cell>
        </row>
        <row r="484">
          <cell r="F484" t="str">
            <v>Aditya Birla Sun Life Fixed Term Plan - Series PB (1190 days) - Direct Plan-Quarterly Dividend</v>
          </cell>
        </row>
        <row r="485">
          <cell r="F485" t="str">
            <v>Aditya Birla Sun Life Fixed Term Plan - Series PB (1190 days) - Regular Plan-Growth</v>
          </cell>
        </row>
        <row r="486">
          <cell r="F486" t="str">
            <v>Aditya Birla Sun Life Fixed Term Plan - Series PB (1190 days) - Regular Plan-Normal Dividend</v>
          </cell>
        </row>
        <row r="487">
          <cell r="F487" t="str">
            <v>Aditya Birla Sun Life Fixed Term Plan - Series PB (1190 days) - Regular Plan-Quarterly Dividend</v>
          </cell>
        </row>
        <row r="488">
          <cell r="F488" t="str">
            <v>Aditya Birla Sun Life Fixed Term Plan Series OY (1218 days) - Regular Plan-Growth</v>
          </cell>
        </row>
        <row r="489">
          <cell r="F489" t="str">
            <v>Aditya Birla Sun Life Fixed Term Plan-Series OD (1145 days)-Direct Plan-Growth</v>
          </cell>
        </row>
        <row r="490">
          <cell r="F490" t="str">
            <v>Aditya Birla Sun Life Fixed Term Plan-Series OD (1145 days)-Direct Plan-Normal Dividend</v>
          </cell>
        </row>
        <row r="491">
          <cell r="F491" t="str">
            <v>Aditya Birla Sun Life Fixed Term Plan-Series OD (1145 days)-Regular Plan-Growth</v>
          </cell>
        </row>
        <row r="492">
          <cell r="F492" t="str">
            <v>Aditya Birla Sun Life Fixed Term Plan-Series OD (1145 days)-Regular Plan-Normal Dividend</v>
          </cell>
        </row>
        <row r="493">
          <cell r="F493" t="str">
            <v>Aditya Birla Sun Life Floating Rate Fund-Direct Plan-Daily Dividend</v>
          </cell>
        </row>
        <row r="494">
          <cell r="F494" t="str">
            <v>Aditya Birla Sun Life Floating Rate Fund-Direct Plan-Growth</v>
          </cell>
        </row>
        <row r="495">
          <cell r="F495" t="str">
            <v>Aditya Birla Sun Life Floating Rate Fund-Direct Plan-Weekly Dividend</v>
          </cell>
        </row>
        <row r="496">
          <cell r="F496" t="str">
            <v>Aditya Birla Sun Life Floating Rate Fund-Regular Plan-Daily Dividend</v>
          </cell>
        </row>
        <row r="497">
          <cell r="F497" t="str">
            <v>Aditya Birla Sun Life Floating Rate Fund-Regular Plan-Growth</v>
          </cell>
        </row>
        <row r="498">
          <cell r="F498" t="str">
            <v>Aditya Birla Sun Life Floating Rate Fund-Regular Plan-Weekly Dividend</v>
          </cell>
        </row>
        <row r="499">
          <cell r="F499" t="str">
            <v>Aditya Birla Sun Life Floating Rate Fund-Retail Plan-Growth</v>
          </cell>
        </row>
        <row r="500">
          <cell r="F500" t="str">
            <v>Aditya Birla Sun Life Floating Rate Fund-Retail Plan-Weekly Dividend</v>
          </cell>
        </row>
        <row r="501">
          <cell r="F501" t="str">
            <v>Aditya Birla Sun Life Focused Equity Fund - Dividend - Direct Plan</v>
          </cell>
        </row>
        <row r="502">
          <cell r="F502" t="str">
            <v>Aditya Birla Sun Life Focused Equity Fund - Growth - Direct Plan</v>
          </cell>
        </row>
        <row r="503">
          <cell r="F503" t="str">
            <v>Aditya Birla Sun Life Focused Equity Fund - Series 5 - Direct Plan - Dividend</v>
          </cell>
        </row>
        <row r="504">
          <cell r="F504" t="str">
            <v>Aditya Birla Sun Life Focused Equity Fund - Series 5 - Direct Plan - Growth</v>
          </cell>
        </row>
        <row r="505">
          <cell r="F505" t="str">
            <v>Aditya Birla Sun Life Focused Equity Fund - Series 5 - Regular Plan - Dividend</v>
          </cell>
        </row>
        <row r="506">
          <cell r="F506" t="str">
            <v>Aditya Birla Sun Life Focused Equity Fund - Series 5 - Regular Plan - Growth</v>
          </cell>
        </row>
        <row r="507">
          <cell r="F507" t="str">
            <v>Aditya Birla Sun Life Focused Equity Fund - Series 6 - Direct Plan-Dividend</v>
          </cell>
        </row>
        <row r="508">
          <cell r="F508" t="str">
            <v>Aditya Birla Sun Life Focused Equity Fund - Series 6 - Regular Plan-Dividend</v>
          </cell>
        </row>
        <row r="509">
          <cell r="F509" t="str">
            <v>Aditya Birla Sun Life Focused Equity Fund - Series 6 - Regular Plan-Growth</v>
          </cell>
        </row>
        <row r="510">
          <cell r="F510" t="str">
            <v>Aditya Birla Sun Life Focused Equity Fund - Series 6-Direct Plan-Growth</v>
          </cell>
        </row>
        <row r="511">
          <cell r="F511" t="str">
            <v>Aditya Birla Sun Life Focused Equity Fund -Dividend Option</v>
          </cell>
        </row>
        <row r="512">
          <cell r="F512" t="str">
            <v>Aditya Birla Sun Life Focused Equity Fund -Growth Option</v>
          </cell>
        </row>
        <row r="513">
          <cell r="F513" t="str">
            <v>Aditya Birla Sun Life Frontline Equity Fund - Dividend - Direct Plan</v>
          </cell>
        </row>
        <row r="514">
          <cell r="F514" t="str">
            <v>Aditya Birla Sun Life Frontline Equity Fund - Growth - Direct Plan</v>
          </cell>
        </row>
        <row r="515">
          <cell r="F515" t="str">
            <v>Aditya Birla Sun Life Frontline Equity Fund-Dividend</v>
          </cell>
        </row>
        <row r="516">
          <cell r="F516" t="str">
            <v>Aditya Birla Sun Life Frontline Equity Fund-Growth</v>
          </cell>
        </row>
        <row r="517">
          <cell r="F517" t="str">
            <v>Aditya Birla Sun Life Global Emerging Opportunities Fund - Direct Plan - Dividend Option</v>
          </cell>
        </row>
        <row r="518">
          <cell r="F518" t="str">
            <v>Aditya Birla Sun Life Global Emerging Opportunities Fund - Direct plan - Growth Option</v>
          </cell>
        </row>
        <row r="519">
          <cell r="F519" t="str">
            <v>Aditya Birla Sun Life Global Emerging Opportunities Fund - Regular Plan - Dividend Option</v>
          </cell>
        </row>
        <row r="520">
          <cell r="F520" t="str">
            <v>Aditya Birla SUn Life Global Emerging Opportunities Fund - Regular Plan - Growth Option</v>
          </cell>
        </row>
        <row r="521">
          <cell r="F521" t="str">
            <v>Aditya Birla Sun Life Global Real Estate Fund - Retail Plan - Direct Plan - Dividend Option</v>
          </cell>
        </row>
        <row r="522">
          <cell r="F522" t="str">
            <v>Aditya Birla Sun Life Global Real Estate Fund - Retail Plan - Direct Plan - Growth Option</v>
          </cell>
        </row>
        <row r="523">
          <cell r="F523" t="str">
            <v>Aditya Birla Sun Life Global Real Estate Fund - Retail Plan - Regular Plan - Dividend Option</v>
          </cell>
        </row>
        <row r="524">
          <cell r="F524" t="str">
            <v>Aditya Birla Sun Life Global Real Estate Fund - Retail Plan - Regular Plan - Growth Option</v>
          </cell>
        </row>
        <row r="525">
          <cell r="F525" t="str">
            <v>Aditya Birla Sun Life Gold ETF</v>
          </cell>
        </row>
        <row r="526">
          <cell r="F526" t="str">
            <v>Aditya Birla Sun Life Gold Fund - Dividend - Direct Plan</v>
          </cell>
        </row>
        <row r="527">
          <cell r="F527" t="str">
            <v>Aditya Birla Sun Life Gold Fund - Growth - Direct Plan</v>
          </cell>
        </row>
        <row r="528">
          <cell r="F528" t="str">
            <v>Aditya Birla Sun Life Gold Fund-Dividend</v>
          </cell>
        </row>
        <row r="529">
          <cell r="F529" t="str">
            <v>Aditya Birla Sun Life Gold Fund-Growth</v>
          </cell>
        </row>
        <row r="530">
          <cell r="F530" t="str">
            <v>Aditya Birla Sun Life Govenment Securities Fund - Quarterly Dividend - Direct Plan</v>
          </cell>
        </row>
        <row r="531">
          <cell r="F531" t="str">
            <v>Aditya Birla Sun Life Government Securities Fund  - Growth - Regular Plan</v>
          </cell>
        </row>
        <row r="532">
          <cell r="F532" t="str">
            <v>Aditya Birla Sun Life Government Securities Fund - Growth - Direct Plan</v>
          </cell>
        </row>
        <row r="533">
          <cell r="F533" t="str">
            <v>Aditya Birla Sun Life Government Securities Fund - Quarterly Dividend - Regular Plan</v>
          </cell>
        </row>
        <row r="534">
          <cell r="F534" t="str">
            <v>Aditya Birla Sun Life Income Fund (Discipline Advantage Plan)</v>
          </cell>
        </row>
        <row r="535">
          <cell r="F535" t="str">
            <v>Aditya Birla Sun Life Income Fund - Dividend - Direct Plan</v>
          </cell>
        </row>
        <row r="536">
          <cell r="F536" t="str">
            <v>Aditya Birla Sun Life Income Fund - Dividend - Regular Plan</v>
          </cell>
        </row>
        <row r="537">
          <cell r="F537" t="str">
            <v>Aditya Birla Sun Life Income Fund - Growth - Direct Plan</v>
          </cell>
        </row>
        <row r="538">
          <cell r="F538" t="str">
            <v>Aditya Birla Sun Life Income Fund - Growth - Regular Plan</v>
          </cell>
        </row>
        <row r="539">
          <cell r="F539" t="str">
            <v>Aditya Birla Sun Life Income Fund - Quarterly Dividend - Direct Plan</v>
          </cell>
        </row>
        <row r="540">
          <cell r="F540" t="str">
            <v>Aditya Birla Sun Life Income Fund - Quarterly Dividend - Regular Plan</v>
          </cell>
        </row>
        <row r="541">
          <cell r="F541" t="str">
            <v>Aditya Birla Sun Life Index Fund - Dividend - Direct Plan</v>
          </cell>
        </row>
        <row r="542">
          <cell r="F542" t="str">
            <v>Aditya Birla Sun Life Index Fund - Dividend - Regular Plan</v>
          </cell>
        </row>
        <row r="543">
          <cell r="F543" t="str">
            <v>Aditya Birla Sun Life Index Fund - Growth - Direct Plan</v>
          </cell>
        </row>
        <row r="544">
          <cell r="F544" t="str">
            <v>Aditya Birla Sun Life Index Fund - Growth - Regular Plan</v>
          </cell>
        </row>
        <row r="545">
          <cell r="F545" t="str">
            <v>Aditya Birla Sun Life India Gennext Fund - Dividend - Direct Plan</v>
          </cell>
        </row>
        <row r="546">
          <cell r="F546" t="str">
            <v>Aditya Birla Sun Life India Gennext Fund - Growth - Direct Plan</v>
          </cell>
        </row>
        <row r="547">
          <cell r="F547" t="str">
            <v>Aditya Birla Sun Life India Gennext Fund-Dividend Option</v>
          </cell>
        </row>
        <row r="548">
          <cell r="F548" t="str">
            <v>Aditya Birla Sun Life India Gennext Fund-Growth Option</v>
          </cell>
        </row>
        <row r="549">
          <cell r="F549" t="str">
            <v>Aditya Birla Sun Life India Opportunities Fund - Dividend - Direct Plan</v>
          </cell>
        </row>
        <row r="550">
          <cell r="F550" t="str">
            <v>Aditya Birla Sun Life India Opportunities Fund - Dividend - Regular Plan</v>
          </cell>
        </row>
        <row r="551">
          <cell r="F551" t="str">
            <v>Aditya Birla Sun Life India Opportunities Fund - Growth - Direct Plan</v>
          </cell>
        </row>
        <row r="552">
          <cell r="F552" t="str">
            <v>Aditya Birla Sun Life India Opportunities Fund - Growth - Regular Plan</v>
          </cell>
        </row>
        <row r="553">
          <cell r="F553" t="str">
            <v>Aditya Birla Sun Life India Reforms Fund - Dividend - Direct Plan</v>
          </cell>
        </row>
        <row r="554">
          <cell r="F554" t="str">
            <v>Aditya Birla Sun Life India Reforms Fund - Growth - Direct Plan</v>
          </cell>
        </row>
        <row r="555">
          <cell r="F555" t="str">
            <v>Aditya Birla Sun Life India Reforms Fund-DIVIDEND</v>
          </cell>
        </row>
        <row r="556">
          <cell r="F556" t="str">
            <v>Aditya Birla Sun Life India Reforms Fund-GROWTH</v>
          </cell>
        </row>
        <row r="557">
          <cell r="F557" t="str">
            <v>Aditya Birla Sun Life Infrastructure Fund -  Dividend - Direct Plan</v>
          </cell>
        </row>
        <row r="558">
          <cell r="F558" t="str">
            <v>Aditya Birla Sun Life Infrastructure Fund - Growth - Direct Plan</v>
          </cell>
        </row>
        <row r="559">
          <cell r="F559" t="str">
            <v>Aditya Birla Sun Life Infrastructure Fund-Dividend</v>
          </cell>
        </row>
        <row r="560">
          <cell r="F560" t="str">
            <v>Aditya Birla Sun Life Infrastructure Fund-Growth</v>
          </cell>
        </row>
        <row r="561">
          <cell r="F561" t="str">
            <v>Aditya Birla Sun Life International Equity Fund - Plan A - Dividend - Direct Plan</v>
          </cell>
        </row>
        <row r="562">
          <cell r="F562" t="str">
            <v>Aditya Birla Sun Life International Equity Fund - Plan A - Dividend - Regular Plan</v>
          </cell>
        </row>
        <row r="563">
          <cell r="F563" t="str">
            <v>Aditya Birla Sun Life International Equity Fund - Plan A - Growth - Direct Plan</v>
          </cell>
        </row>
        <row r="564">
          <cell r="F564" t="str">
            <v>Aditya Birla Sun Life International Equity Fund - Plan A - Growth - Regular Plan</v>
          </cell>
        </row>
        <row r="565">
          <cell r="F565" t="str">
            <v>Aditya Birla Sun Life International Equity Fund - Plan B - Dividend - Direct Plan</v>
          </cell>
        </row>
        <row r="566">
          <cell r="F566" t="str">
            <v>Aditya Birla Sun Life International Equity Fund - Plan B - Dividend - Regular Plan</v>
          </cell>
        </row>
        <row r="567">
          <cell r="F567" t="str">
            <v>Aditya Birla Sun Life International Equity Fund - Plan B - Growth - Direct Plan</v>
          </cell>
        </row>
        <row r="568">
          <cell r="F568" t="str">
            <v>Aditya Birla Sun Life International Equity Fund - Plan B - Growth - Regular Plan</v>
          </cell>
        </row>
        <row r="569">
          <cell r="F569" t="str">
            <v>Aditya Birla Sun Life Interval Income Fund - Annual Plan IX-Direct Plan-Growth</v>
          </cell>
        </row>
        <row r="570">
          <cell r="F570" t="str">
            <v>Aditya Birla Sun Life Interval Income Fund - Annual Plan IX-Direct Plan-Normal Dividend</v>
          </cell>
        </row>
        <row r="571">
          <cell r="F571" t="str">
            <v>Aditya Birla Sun Life Interval Income Fund - Annual Plan IX-Regular Plan-Growth</v>
          </cell>
        </row>
        <row r="572">
          <cell r="F572" t="str">
            <v>Aditya Birla Sun Life Interval Income Fund - Annual Plan IX-Regular Plan-Normal Dividend</v>
          </cell>
        </row>
        <row r="573">
          <cell r="F573" t="str">
            <v>Aditya Birla Sun Life Interval Income Fund - Annual Plan X-Direct Plan-Growth</v>
          </cell>
        </row>
        <row r="574">
          <cell r="F574" t="str">
            <v>Aditya Birla Sun Life Interval Income Fund - Annual Plan X-Regular Plan-Growth</v>
          </cell>
        </row>
        <row r="575">
          <cell r="F575" t="str">
            <v>Aditya Birla Sun Life Interval Income Fund - Annual Plan X-Regular Plan-Normal Dividend</v>
          </cell>
        </row>
        <row r="576">
          <cell r="F576" t="str">
            <v>Aditya Birla Sun Life Interval Income Fund - Annual Plan X-Regular Plan-Quarterly Dividend</v>
          </cell>
        </row>
        <row r="577">
          <cell r="F577" t="str">
            <v>Aditya Birla Sun Life Interval Income Fund - Quarterly Series 1 - Dividend - Regular Plan</v>
          </cell>
        </row>
        <row r="578">
          <cell r="F578" t="str">
            <v>Aditya Birla Sun Life Interval Income Fund - Quarterly Series 1 - Growth - Regular Plan</v>
          </cell>
        </row>
        <row r="579">
          <cell r="F579" t="str">
            <v>Aditya Birla Sun Life Interval Income Fund - Quarterly Series I - Growth - Direct Plan</v>
          </cell>
        </row>
        <row r="580">
          <cell r="F580" t="str">
            <v>Aditya Birla Sun Life Interval Income Fund - Quarterly Series I- Institutional Dividend</v>
          </cell>
        </row>
        <row r="581">
          <cell r="F581" t="str">
            <v>Aditya Birla Sun Life Liquid Fund - Daily Dividend</v>
          </cell>
        </row>
        <row r="582">
          <cell r="F582" t="str">
            <v>Aditya Birla Sun Life Liquid Fund - Daily Dividend - Direct Plan</v>
          </cell>
        </row>
        <row r="583">
          <cell r="F583" t="str">
            <v>Aditya Birla Sun Life Liquid Fund - Dividend</v>
          </cell>
        </row>
        <row r="584">
          <cell r="F584" t="str">
            <v>Aditya Birla Sun Life Liquid Fund - Dividend - Direct Plan</v>
          </cell>
        </row>
        <row r="585">
          <cell r="F585" t="str">
            <v>Aditya Birla Sun Life Liquid Fund - Growth</v>
          </cell>
        </row>
        <row r="586">
          <cell r="F586" t="str">
            <v>Aditya Birla Sun Life Liquid Fund - Growth - Direct Plan</v>
          </cell>
        </row>
        <row r="587">
          <cell r="F587" t="str">
            <v>Aditya Birla Sun Life Liquid Fund - Institutional Dividend</v>
          </cell>
        </row>
        <row r="588">
          <cell r="F588" t="str">
            <v>Aditya Birla Sun Life Liquid Fund - Weekly Dividend</v>
          </cell>
        </row>
        <row r="589">
          <cell r="F589" t="str">
            <v>Aditya Birla Sun Life Liquid Fund - Weekly Dividend - Direct Plan</v>
          </cell>
        </row>
        <row r="590">
          <cell r="F590" t="str">
            <v>Aditya Birla Sun Life Liquid Fund- Discipline Advantage Plan</v>
          </cell>
        </row>
        <row r="591">
          <cell r="F591" t="str">
            <v>Aditya Birla Sun Life Liquid Fund-Institutional (Growth)</v>
          </cell>
        </row>
        <row r="592">
          <cell r="F592" t="str">
            <v>Aditya Birla Sun Life Liquid Fund-Institutional -  Weekly Dividend</v>
          </cell>
        </row>
        <row r="593">
          <cell r="F593" t="str">
            <v>Aditya Birla Sun Life Liquid Fund-Retail (Dividend)</v>
          </cell>
        </row>
        <row r="594">
          <cell r="F594" t="str">
            <v>Aditya Birla Sun Life Liquid Fund-Retail (Growth)</v>
          </cell>
        </row>
        <row r="595">
          <cell r="F595" t="str">
            <v>Aditya Birla Sun Life Low duration Fund - Daily Dividend - Direct Plan</v>
          </cell>
        </row>
        <row r="596">
          <cell r="F596" t="str">
            <v>Aditya Birla Sun Life Low Duration Fund - Daily Dividend - Regular Plan</v>
          </cell>
        </row>
        <row r="597">
          <cell r="F597" t="str">
            <v>Aditya Birla Sun Life Low duration Fund - Growth - Direct Plan</v>
          </cell>
        </row>
        <row r="598">
          <cell r="F598" t="str">
            <v>Aditya Birla Sun Life Low Duration Fund - Growth Plan</v>
          </cell>
        </row>
        <row r="599">
          <cell r="F599" t="str">
            <v>Aditya Birla Sun Life Low Duration Fund - Institutional Plan - Daily Dividend</v>
          </cell>
        </row>
        <row r="600">
          <cell r="F600" t="str">
            <v>Aditya Birla Sun Life Low Duration Fund - Institutional Plan - Growth</v>
          </cell>
        </row>
        <row r="601">
          <cell r="F601" t="str">
            <v>Aditya Birla Sun Life Low Duration Fund - Institutional Plan - Weekly Dividend</v>
          </cell>
        </row>
        <row r="602">
          <cell r="F602" t="str">
            <v>Aditya Birla Sun Life Low Duration Fund - Weekly Dividend - Direct Plan</v>
          </cell>
        </row>
        <row r="603">
          <cell r="F603" t="str">
            <v>Aditya Birla Sun Life Low duration Fund - Weekly Dividend - Regular Plan</v>
          </cell>
        </row>
        <row r="604">
          <cell r="F604" t="str">
            <v>Aditya Birla Sun Life Manufacturing Equity Fund - Direct Plan - Dividend</v>
          </cell>
        </row>
        <row r="605">
          <cell r="F605" t="str">
            <v>Aditya Birla Sun Life Manufacturing Equity Fund - Direct Plan - Growth</v>
          </cell>
        </row>
        <row r="606">
          <cell r="F606" t="str">
            <v>Aditya Birla Sun Life Manufacturing Equity Fund - Regular Plan - Dividend</v>
          </cell>
        </row>
        <row r="607">
          <cell r="F607" t="str">
            <v>Aditya Birla Sun Life Manufacturing Equity Fund - Regular Plan - Growth</v>
          </cell>
        </row>
        <row r="608">
          <cell r="F608" t="str">
            <v>Aditya Birla Sun Life Medium Term Plan - Dividend - Direct Plan</v>
          </cell>
        </row>
        <row r="609">
          <cell r="F609" t="str">
            <v>Aditya Birla Sun Life Medium Term Plan - Dividend - Regular Plan</v>
          </cell>
        </row>
        <row r="610">
          <cell r="F610" t="str">
            <v>Aditya Birla Sun Life Medium Term Plan - Growth - Direct Plan</v>
          </cell>
        </row>
        <row r="611">
          <cell r="F611" t="str">
            <v>Aditya Birla Sun Life Medium Term Plan - Growth - Regular Plan</v>
          </cell>
        </row>
        <row r="612">
          <cell r="F612" t="str">
            <v>Aditya Birla Sun Life Medium Term Plan - Half Yearly Dividend - Direct Plan</v>
          </cell>
        </row>
        <row r="613">
          <cell r="F613" t="str">
            <v>Aditya Birla Sun Life Medium Term Plan - Half Yearly Dividend - Regular Plan</v>
          </cell>
        </row>
        <row r="614">
          <cell r="F614" t="str">
            <v>Aditya Birla Sun Life Medium Term Plan - Institutional - Growth Plan</v>
          </cell>
        </row>
        <row r="615">
          <cell r="F615" t="str">
            <v>Aditya Birla Sun Life Medium Term Plan - Quarterly Dividend - Direct Plan</v>
          </cell>
        </row>
        <row r="616">
          <cell r="F616" t="str">
            <v>Aditya Birla Sun Life Medium Term Plan - Quarterly Dividend - Regular Plan</v>
          </cell>
        </row>
        <row r="617">
          <cell r="F617" t="str">
            <v>Aditya Birla Sun Life Midcap Fund - Dividend - Direct Plan</v>
          </cell>
        </row>
        <row r="618">
          <cell r="F618" t="str">
            <v>Aditya Birla Sun Life Midcap Fund - Growth - Direct Plan</v>
          </cell>
        </row>
        <row r="619">
          <cell r="F619" t="str">
            <v>Aditya Birla Sun Life MIDCAP Fund-Dividend</v>
          </cell>
        </row>
        <row r="620">
          <cell r="F620" t="str">
            <v>Aditya Birla Sun Life MIDCAP Fund-Growth</v>
          </cell>
        </row>
        <row r="621">
          <cell r="F621" t="str">
            <v>Aditya Birla Sun Life MIP - Direct Plan - Growth</v>
          </cell>
        </row>
        <row r="622">
          <cell r="F622" t="str">
            <v>Aditya Birla Sun Life MIP - Direct Plan - Monthly Dividend</v>
          </cell>
        </row>
        <row r="623">
          <cell r="F623" t="str">
            <v>Aditya Birla Sun Life MIP - Regular Plan - Growth</v>
          </cell>
        </row>
        <row r="624">
          <cell r="F624" t="str">
            <v>Aditya Birla Sun Life MIP - Regular Plan - Monthly Dividend</v>
          </cell>
        </row>
        <row r="625">
          <cell r="F625" t="str">
            <v>Aditya Birla Sun Life MIP II - Saving 5 Plan - Growth - Regular Plan</v>
          </cell>
        </row>
        <row r="626">
          <cell r="F626" t="str">
            <v>Aditya Birla Sun Life MIP II - Savings 5 Plan - Growth / Payment - Direct Plan</v>
          </cell>
        </row>
        <row r="627">
          <cell r="F627" t="str">
            <v>Aditya Birla Sun Life MIP II - Savings 5 Plan - Monthly Dividend - Direct Plan</v>
          </cell>
        </row>
        <row r="628">
          <cell r="F628" t="str">
            <v>Aditya Birla Sun Life MIP II - Savings 5 Plan - Monthly Dividend - Regular Plan</v>
          </cell>
        </row>
        <row r="629">
          <cell r="F629" t="str">
            <v>Aditya Birla Sun Life MNC Fund - Dividend - Direct Plan</v>
          </cell>
        </row>
        <row r="630">
          <cell r="F630" t="str">
            <v>Aditya Birla Sun Life MNC Fund - Dividend - Regular Plan</v>
          </cell>
        </row>
        <row r="631">
          <cell r="F631" t="str">
            <v>Aditya Birla Sun Life MNC Fund - Growth - Direct Plan</v>
          </cell>
        </row>
        <row r="632">
          <cell r="F632" t="str">
            <v>Aditya Birla Sun Life MNC Fund - Growth - Regular Plan</v>
          </cell>
        </row>
        <row r="633">
          <cell r="F633" t="str">
            <v>Aditya Birla Sun Life Money Manager Fund - Daily Dividend</v>
          </cell>
        </row>
        <row r="634">
          <cell r="F634" t="str">
            <v>Aditya Birla Sun Life Money Manager Fund - Daily Dividend - Direct Plan</v>
          </cell>
        </row>
        <row r="635">
          <cell r="F635" t="str">
            <v>Aditya Birla Sun Life Money Manager Fund - Growth</v>
          </cell>
        </row>
        <row r="636">
          <cell r="F636" t="str">
            <v>Aditya Birla Sun Life Money Manager Fund - Growth - Direct Plan</v>
          </cell>
        </row>
        <row r="637">
          <cell r="F637" t="str">
            <v>Aditya Birla Sun Life Money Manager Fund - Retail Daily Dividend</v>
          </cell>
        </row>
        <row r="638">
          <cell r="F638" t="str">
            <v>Aditya Birla Sun Life Money Manager Fund - Retail Growth</v>
          </cell>
        </row>
        <row r="639">
          <cell r="F639" t="str">
            <v>Aditya Birla Sun Life Money Manager Fund - Retail Weekly Dividend</v>
          </cell>
        </row>
        <row r="640">
          <cell r="F640" t="str">
            <v>Aditya Birla Sun Life Money Manager Fund - Weekly Dividend</v>
          </cell>
        </row>
        <row r="641">
          <cell r="F641" t="str">
            <v>Aditya Birla Sun Life Money Manager Fund - Weekly Dividend - Direct Plan</v>
          </cell>
        </row>
        <row r="642">
          <cell r="F642" t="str">
            <v>Aditya Birla Sun Life Monthly Income - Dividend - Regular Plan</v>
          </cell>
        </row>
        <row r="643">
          <cell r="F643" t="str">
            <v>Aditya Birla Sun Life Monthly Income - Growth - Direct Plan</v>
          </cell>
        </row>
        <row r="644">
          <cell r="F644" t="str">
            <v>Aditya Birla Sun Life Monthly Income - Growth - Regular Plan</v>
          </cell>
        </row>
        <row r="645">
          <cell r="F645" t="str">
            <v>Aditya Birla Sun Life Monthly Income - Quarterly Dividend - Direct Plan</v>
          </cell>
        </row>
        <row r="646">
          <cell r="F646" t="str">
            <v>Aditya Birla Sun Life Monthly Income - Quarterly Dividend - Regular Plan</v>
          </cell>
        </row>
        <row r="647">
          <cell r="F647" t="str">
            <v>Aditya Birla Sun Life Monthly Income- Dividend - Direct Plan</v>
          </cell>
        </row>
        <row r="648">
          <cell r="F648" t="str">
            <v>Aditya Birla Sun Life Nifty ETF</v>
          </cell>
        </row>
        <row r="649">
          <cell r="F649" t="str">
            <v>Aditya Birla Sun Life Pure Value Fund - Dividend - Direct Plan</v>
          </cell>
        </row>
        <row r="650">
          <cell r="F650" t="str">
            <v>Aditya Birla Sun Life Pure Value Fund - Dividend Option</v>
          </cell>
        </row>
        <row r="651">
          <cell r="F651" t="str">
            <v>Aditya Birla Sun Life Pure Value Fund - Growth - Direct Plan</v>
          </cell>
        </row>
        <row r="652">
          <cell r="F652" t="str">
            <v>Aditya Birla Sun Life Pure Value Fund - Growth Option</v>
          </cell>
        </row>
        <row r="653">
          <cell r="F653" t="str">
            <v>Aditya Birla Sun Life Regular Savings Fund - Growth / Payment - Direct Plan</v>
          </cell>
        </row>
        <row r="654">
          <cell r="F654" t="str">
            <v>Aditya Birla Sun Life Regular Savings Fund - Growth / Payment - Regular Plan</v>
          </cell>
        </row>
        <row r="655">
          <cell r="F655" t="str">
            <v>Aditya Birla Sun Life Regular Savings Fund - Monthly Dividend - Direct Plan</v>
          </cell>
        </row>
        <row r="656">
          <cell r="F656" t="str">
            <v>Aditya Birla Sun Life Regular Savings Fund - Monthly Dividend - Regular Plan</v>
          </cell>
        </row>
        <row r="657">
          <cell r="F657" t="str">
            <v>Aditya Birla Sun Life Resurgent India Fund - Series 1 - Direct Plan-Dividend</v>
          </cell>
        </row>
        <row r="658">
          <cell r="F658" t="str">
            <v>Aditya Birla Sun Life Resurgent India Fund - Series 1 - Direct Plan-Growth</v>
          </cell>
        </row>
        <row r="659">
          <cell r="F659" t="str">
            <v>Aditya Birla Sun Life Resurgent India Fund - Series 1 - Regular Plan-Dividend</v>
          </cell>
        </row>
        <row r="660">
          <cell r="F660" t="str">
            <v>Aditya Birla Sun Life Resurgent India Fund - Series 1 - Regular Plan-Growth</v>
          </cell>
        </row>
        <row r="661">
          <cell r="F661" t="str">
            <v>Aditya Birla Sun Life Resurgent India Fund - Series 2 - Direct Plan-Dividend Payout</v>
          </cell>
        </row>
        <row r="662">
          <cell r="F662" t="str">
            <v>Aditya Birla Sun Life Resurgent India Fund - Series 2 - Direct Plan-Growth</v>
          </cell>
        </row>
        <row r="663">
          <cell r="F663" t="str">
            <v>Aditya Birla Sun Life Resurgent India Fund - Series 2 - Regular Plan-Dividend Payout</v>
          </cell>
        </row>
        <row r="664">
          <cell r="F664" t="str">
            <v>Aditya Birla Sun Life Resurgent India Fund - Series 2 - Regular Plan-Growth</v>
          </cell>
        </row>
        <row r="665">
          <cell r="F665" t="str">
            <v>Aditya Birla Sun Life Resurgent India Fund - Series 3 - Direct Plan-Dividend Payout</v>
          </cell>
        </row>
        <row r="666">
          <cell r="F666" t="str">
            <v>Aditya Birla Sun Life Resurgent India Fund - Series 3 - Direct Plan-Growth</v>
          </cell>
        </row>
        <row r="667">
          <cell r="F667" t="str">
            <v>Aditya Birla Sun Life Resurgent India Fund - Series 3 - Regular Plan-Dividend Payout</v>
          </cell>
        </row>
        <row r="668">
          <cell r="F668" t="str">
            <v>Aditya Birla Sun Life Resurgent India Fund - Series 3 - Regular Plan-Growth</v>
          </cell>
        </row>
        <row r="669">
          <cell r="F669" t="str">
            <v>Aditya Birla Sun Life Resurgent India Fund - Series 4 - Direct Plan-Growth</v>
          </cell>
        </row>
        <row r="670">
          <cell r="F670" t="str">
            <v>Aditya Birla Sun Life Resurgent India Fund - Series 4 - Regular Plan-Growth</v>
          </cell>
        </row>
        <row r="671">
          <cell r="F671" t="str">
            <v>Aditya Birla Sun Life Resurgent India Fund - Series 4- Regular Plan-Dividend Payout</v>
          </cell>
        </row>
        <row r="672">
          <cell r="F672" t="str">
            <v>Aditya Birla Sun Life Resurgent India Fund - Series 4-Direct Plan-Dividend Payout</v>
          </cell>
        </row>
        <row r="673">
          <cell r="F673" t="str">
            <v>Aditya Birla Sun Life Resurgent India Fund - Series 5 - Direct Plan-Dividend Payout</v>
          </cell>
        </row>
        <row r="674">
          <cell r="F674" t="str">
            <v>Aditya Birla Sun Life Resurgent India Fund - Series 5 - Direct Plan-Growth Option</v>
          </cell>
        </row>
        <row r="675">
          <cell r="F675" t="str">
            <v>Aditya Birla Sun Life Resurgent India Fund - Series 5 - Regular Plan-Dividend Payout</v>
          </cell>
        </row>
        <row r="676">
          <cell r="F676" t="str">
            <v>Aditya Birla Sun Life Resurgent India Fund - Series 5 - Regular Plan-Growth</v>
          </cell>
        </row>
        <row r="677">
          <cell r="F677" t="str">
            <v>Aditya Birla Sun Life Savings Fund - Daily Dividend - Direct Plan</v>
          </cell>
        </row>
        <row r="678">
          <cell r="F678" t="str">
            <v>Aditya Birla Sun Life Savings Fund - Daily Dividend - Regular Plan</v>
          </cell>
        </row>
        <row r="679">
          <cell r="F679" t="str">
            <v>Aditya Birla Sun Life Savings Fund - Discipline Advantage Plan</v>
          </cell>
        </row>
        <row r="680">
          <cell r="F680" t="str">
            <v>Aditya Birla Sun Life Savings Fund - Growth - Direct Plan</v>
          </cell>
        </row>
        <row r="681">
          <cell r="F681" t="str">
            <v>Aditya Birla Sun Life Savings Fund - Growth - Regular Plan</v>
          </cell>
        </row>
        <row r="682">
          <cell r="F682" t="str">
            <v>Aditya Birla Sun Life Savings Fund - Weekly Dividend - Direct Plan</v>
          </cell>
        </row>
        <row r="683">
          <cell r="F683" t="str">
            <v>Aditya Birla Sun Life Savings Fund - Weekly Dividend - Regular Plan</v>
          </cell>
        </row>
        <row r="684">
          <cell r="F684" t="str">
            <v>Aditya Birla Sun Life Savings Fund-Retail - Weekly Dividend</v>
          </cell>
        </row>
        <row r="685">
          <cell r="F685" t="str">
            <v>Aditya Birla Sun Life Savings Fund-Retail Daily Dividend</v>
          </cell>
        </row>
        <row r="686">
          <cell r="F686" t="str">
            <v>Aditya Birla Sun Life Savings Fund-Retail Growth</v>
          </cell>
        </row>
        <row r="687">
          <cell r="F687" t="str">
            <v>Aditya Birla Sun Life SENSEX ETF</v>
          </cell>
        </row>
        <row r="688">
          <cell r="F688" t="str">
            <v>Aditya Birla Sun Life Short Term Opportunities Fund - Dividend - Direct Plan</v>
          </cell>
        </row>
        <row r="689">
          <cell r="F689" t="str">
            <v>Aditya Birla Sun Life Short Term Opportunities Fund - Dividend - Regular Plan</v>
          </cell>
        </row>
        <row r="690">
          <cell r="F690" t="str">
            <v>Aditya Birla Sun Life Short Term Opportunities Fund - Growth - Direct Plan</v>
          </cell>
        </row>
        <row r="691">
          <cell r="F691" t="str">
            <v>Aditya Birla Sun Life Short Term Opportunities Fund - Growth - Regular Plan</v>
          </cell>
        </row>
        <row r="692">
          <cell r="F692" t="str">
            <v>Aditya Birla Sun Life Short Term Opportunities Fund - Quarterly Dividend - Direct Plan</v>
          </cell>
        </row>
        <row r="693">
          <cell r="F693" t="str">
            <v>Aditya Birla Sun Life Short Term Opportunities Fund - Quarterly Dividend - Regular Plan</v>
          </cell>
        </row>
        <row r="694">
          <cell r="F694" t="str">
            <v>Aditya Birla Sun Life Small Cap Fund - DIVIDEND</v>
          </cell>
        </row>
        <row r="695">
          <cell r="F695" t="str">
            <v>Aditya Birla Sun Life Small Cap Fund - Dividend - Direct Plan</v>
          </cell>
        </row>
        <row r="696">
          <cell r="F696" t="str">
            <v>Aditya Birla Sun Life Small Cap Fund - GROWTH</v>
          </cell>
        </row>
        <row r="697">
          <cell r="F697" t="str">
            <v>Aditya Birla Sun Life Small Cap Fund - Growth - Direct Plan</v>
          </cell>
        </row>
        <row r="698">
          <cell r="F698" t="str">
            <v>Aditya Birla Sun Life Special Situations Fund - Dividend</v>
          </cell>
        </row>
        <row r="699">
          <cell r="F699" t="str">
            <v>Aditya Birla Sun Life Special Situations Fund - Dividend - Direct Plan</v>
          </cell>
        </row>
        <row r="700">
          <cell r="F700" t="str">
            <v>Aditya Birla Sun Life Special Situations Fund - Growth</v>
          </cell>
        </row>
        <row r="701">
          <cell r="F701" t="str">
            <v>Aditya Birla Sun Life Special Situations Fund - Growth - Direct Plan</v>
          </cell>
        </row>
        <row r="702">
          <cell r="F702" t="str">
            <v>Aditya Birla Sun Life Tax Plan - Direct Plan - Dividend Option</v>
          </cell>
        </row>
        <row r="703">
          <cell r="F703" t="str">
            <v>Aditya Birla Sun Life Tax Plan - Direct Plan - Growth Option</v>
          </cell>
        </row>
        <row r="704">
          <cell r="F704" t="str">
            <v>Aditya Birla Sun Life Tax Plan - Regular Plan - Dividend Option</v>
          </cell>
        </row>
        <row r="705">
          <cell r="F705" t="str">
            <v>Aditya Birla Sun Life Tax Plan - Regular Plan - Growth Option</v>
          </cell>
        </row>
        <row r="706">
          <cell r="F706" t="str">
            <v>Aditya Birla Sun Life Tax Relief  96 - Dividend - Direct Plan</v>
          </cell>
        </row>
        <row r="707">
          <cell r="F707" t="str">
            <v>Aditya Birla Sun Life Tax Relief  96 - Dividend Option</v>
          </cell>
        </row>
        <row r="708">
          <cell r="F708" t="str">
            <v>Aditya Birla Sun Life Tax Relief  96 - Growth - Direct Plan</v>
          </cell>
        </row>
        <row r="709">
          <cell r="F709" t="str">
            <v>Aditya Birla Sun Life Tax Relief  96 - Growth Option</v>
          </cell>
        </row>
        <row r="710">
          <cell r="F710" t="str">
            <v>Aditya Birla Sun Life Tax Savings Fund - Direct Plan - Bonus Option</v>
          </cell>
        </row>
        <row r="711">
          <cell r="F711" t="str">
            <v>Aditya Birla Sun Life Tax Savings Fund - Direct Plan - Dividend Option</v>
          </cell>
        </row>
        <row r="712">
          <cell r="F712" t="str">
            <v>Aditya Birla Sun Life Tax Savings Fund - Direct Plan - Growth Option</v>
          </cell>
        </row>
        <row r="713">
          <cell r="F713" t="str">
            <v>Aditya Birla Sun Life Tax Savings Fund - Regular Plan - Bonus Option</v>
          </cell>
        </row>
        <row r="714">
          <cell r="F714" t="str">
            <v>Aditya Birla Sun Life Tax Savings Fund - Regular Plan - Dividend Option</v>
          </cell>
        </row>
        <row r="715">
          <cell r="F715" t="str">
            <v>Aditya Birla Sun Life Tax Savings Fund - Regular Plan - Growth Option</v>
          </cell>
        </row>
        <row r="716">
          <cell r="F716" t="str">
            <v>Aditya Birla Sun Life Treasury Optimizer Plan - Discipline Advantage Plan - Growth</v>
          </cell>
        </row>
        <row r="717">
          <cell r="F717" t="str">
            <v>ADITYA ISPAT</v>
          </cell>
        </row>
        <row r="718">
          <cell r="F718" t="str">
            <v>ADITYA SPIN.</v>
          </cell>
        </row>
        <row r="719">
          <cell r="F719" t="str">
            <v>ADLABS</v>
          </cell>
        </row>
        <row r="720">
          <cell r="F720" t="str">
            <v>ADOR FONTECH</v>
          </cell>
        </row>
        <row r="721">
          <cell r="F721" t="str">
            <v>ADOR MULTI.</v>
          </cell>
        </row>
        <row r="722">
          <cell r="F722" t="str">
            <v>ADORWELD</v>
          </cell>
        </row>
        <row r="723">
          <cell r="F723" t="str">
            <v>ADSL</v>
          </cell>
        </row>
        <row r="724">
          <cell r="F724" t="str">
            <v>ADV POWER</v>
          </cell>
        </row>
        <row r="725">
          <cell r="F725" t="str">
            <v>ADVANCE TECH</v>
          </cell>
        </row>
        <row r="726">
          <cell r="F726" t="str">
            <v>ADVANCED MIC</v>
          </cell>
        </row>
        <row r="727">
          <cell r="F727" t="str">
            <v>ADVANIHOTR</v>
          </cell>
        </row>
        <row r="728">
          <cell r="F728" t="str">
            <v>ADVENT COMP.</v>
          </cell>
        </row>
        <row r="729">
          <cell r="F729" t="str">
            <v>ADVENZYMES</v>
          </cell>
        </row>
        <row r="730">
          <cell r="F730" t="str">
            <v>ADVIK LABORS</v>
          </cell>
        </row>
        <row r="731">
          <cell r="F731" t="str">
            <v>ADVIKCA</v>
          </cell>
        </row>
        <row r="732">
          <cell r="F732" t="str">
            <v>AEGISCHEM</v>
          </cell>
        </row>
        <row r="733">
          <cell r="F733" t="str">
            <v>AEL</v>
          </cell>
        </row>
        <row r="734">
          <cell r="F734" t="str">
            <v>AGARIND</v>
          </cell>
        </row>
        <row r="735">
          <cell r="F735" t="str">
            <v>AGCNET</v>
          </cell>
        </row>
        <row r="736">
          <cell r="F736" t="str">
            <v>AGIIL</v>
          </cell>
        </row>
        <row r="737">
          <cell r="F737" t="str">
            <v>AGIO PAPER</v>
          </cell>
        </row>
        <row r="738">
          <cell r="F738" t="str">
            <v>AGLSL</v>
          </cell>
        </row>
        <row r="739">
          <cell r="F739" t="str">
            <v>AGRI TECH</v>
          </cell>
        </row>
        <row r="740">
          <cell r="F740" t="str">
            <v>AGRO TECH FO</v>
          </cell>
        </row>
        <row r="741">
          <cell r="F741" t="str">
            <v>AGROPHOS</v>
          </cell>
        </row>
        <row r="742">
          <cell r="F742" t="str">
            <v>AHLUWALIA CO</v>
          </cell>
        </row>
        <row r="743">
          <cell r="F743" t="str">
            <v>AHLWEST</v>
          </cell>
        </row>
        <row r="744">
          <cell r="F744" t="str">
            <v>AIAENG</v>
          </cell>
        </row>
        <row r="745">
          <cell r="F745" t="str">
            <v>AICHAMP</v>
          </cell>
        </row>
        <row r="746">
          <cell r="F746" t="str">
            <v>AIFL</v>
          </cell>
        </row>
        <row r="747">
          <cell r="F747" t="str">
            <v>AIIL</v>
          </cell>
        </row>
        <row r="748">
          <cell r="F748" t="str">
            <v>AIMCO PESTI.</v>
          </cell>
        </row>
        <row r="749">
          <cell r="F749" t="str">
            <v>AINFRA</v>
          </cell>
        </row>
        <row r="750">
          <cell r="F750" t="str">
            <v>AIRAN</v>
          </cell>
        </row>
        <row r="751">
          <cell r="F751" t="str">
            <v>AIROLAM</v>
          </cell>
        </row>
        <row r="752">
          <cell r="F752" t="str">
            <v>AISHWARYA TE</v>
          </cell>
        </row>
        <row r="753">
          <cell r="F753" t="str">
            <v>AISL</v>
          </cell>
        </row>
        <row r="754">
          <cell r="F754" t="str">
            <v>AJANTA SOYA</v>
          </cell>
        </row>
        <row r="755">
          <cell r="F755" t="str">
            <v>AJANTPHARM</v>
          </cell>
        </row>
        <row r="756">
          <cell r="F756" t="str">
            <v>AJCON GLOBAL</v>
          </cell>
        </row>
        <row r="757">
          <cell r="F757" t="str">
            <v>AJEL</v>
          </cell>
        </row>
        <row r="758">
          <cell r="F758" t="str">
            <v>AJIL</v>
          </cell>
        </row>
        <row r="759">
          <cell r="F759" t="str">
            <v>AJMERA</v>
          </cell>
        </row>
        <row r="760">
          <cell r="F760" t="str">
            <v>AJOONI</v>
          </cell>
        </row>
        <row r="761">
          <cell r="F761" t="str">
            <v>AKSHARCHEM</v>
          </cell>
        </row>
        <row r="762">
          <cell r="F762" t="str">
            <v>AKSHOPTFBR</v>
          </cell>
        </row>
        <row r="763">
          <cell r="F763" t="str">
            <v>AKSPINTEX</v>
          </cell>
        </row>
        <row r="764">
          <cell r="F764" t="str">
            <v>AKZOINDIA</v>
          </cell>
        </row>
        <row r="765">
          <cell r="F765" t="str">
            <v>ALANKIT</v>
          </cell>
        </row>
        <row r="766">
          <cell r="F766" t="str">
            <v>ALBERT DAVID</v>
          </cell>
        </row>
        <row r="767">
          <cell r="F767" t="str">
            <v>ALCHEMIST LT</v>
          </cell>
        </row>
        <row r="768">
          <cell r="F768" t="str">
            <v>ALEM PHARMA</v>
          </cell>
        </row>
        <row r="769">
          <cell r="F769" t="str">
            <v>ALEMBIC LTD.</v>
          </cell>
        </row>
        <row r="770">
          <cell r="F770" t="str">
            <v>ALEXANDER</v>
          </cell>
        </row>
        <row r="771">
          <cell r="F771" t="str">
            <v>ALFA ICA (I)</v>
          </cell>
        </row>
        <row r="772">
          <cell r="F772" t="str">
            <v>ALFA TRANSFO</v>
          </cell>
        </row>
        <row r="773">
          <cell r="F773" t="str">
            <v>ALFL</v>
          </cell>
        </row>
        <row r="774">
          <cell r="F774" t="str">
            <v>ALFRED HERB</v>
          </cell>
        </row>
        <row r="775">
          <cell r="F775" t="str">
            <v>ALICON</v>
          </cell>
        </row>
        <row r="776">
          <cell r="F776" t="str">
            <v>ALKA INDIA</v>
          </cell>
        </row>
        <row r="777">
          <cell r="F777" t="str">
            <v>ALKA SECUR.</v>
          </cell>
        </row>
        <row r="778">
          <cell r="F778" t="str">
            <v>ALKALI</v>
          </cell>
        </row>
        <row r="779">
          <cell r="F779" t="str">
            <v>ALKEM</v>
          </cell>
        </row>
        <row r="780">
          <cell r="F780" t="str">
            <v>ALKYL AMINES</v>
          </cell>
        </row>
        <row r="781">
          <cell r="F781" t="str">
            <v>ALLAHABAD BK</v>
          </cell>
        </row>
        <row r="782">
          <cell r="F782" t="str">
            <v>ALLCARGO</v>
          </cell>
        </row>
        <row r="783">
          <cell r="F783" t="str">
            <v>ALLSEC TECH</v>
          </cell>
        </row>
        <row r="784">
          <cell r="F784" t="str">
            <v>ALMONDZ</v>
          </cell>
        </row>
        <row r="785">
          <cell r="F785" t="str">
            <v>ALOK INDS.</v>
          </cell>
        </row>
        <row r="786">
          <cell r="F786" t="str">
            <v>ALORA</v>
          </cell>
        </row>
        <row r="787">
          <cell r="F787" t="str">
            <v>ALPA LAB</v>
          </cell>
        </row>
        <row r="788">
          <cell r="F788" t="str">
            <v>ALPHAGEO (I)</v>
          </cell>
        </row>
        <row r="789">
          <cell r="F789" t="str">
            <v>ALPINE HSG.</v>
          </cell>
        </row>
        <row r="790">
          <cell r="F790" t="str">
            <v>ALPS MOTOR</v>
          </cell>
        </row>
        <row r="791">
          <cell r="F791" t="str">
            <v>ALPSINDUS</v>
          </cell>
        </row>
        <row r="792">
          <cell r="F792" t="str">
            <v>ALU FLUORIDE</v>
          </cell>
        </row>
        <row r="793">
          <cell r="F793" t="str">
            <v>AMAL PRODUCT</v>
          </cell>
        </row>
        <row r="794">
          <cell r="F794" t="str">
            <v>AMAR RAJA BA</v>
          </cell>
        </row>
        <row r="795">
          <cell r="F795" t="str">
            <v>AMARJOTHI SP</v>
          </cell>
        </row>
        <row r="796">
          <cell r="F796" t="str">
            <v>AMARSEC</v>
          </cell>
        </row>
        <row r="797">
          <cell r="F797" t="str">
            <v>AMBER</v>
          </cell>
        </row>
        <row r="798">
          <cell r="F798" t="str">
            <v>AMBIKA COTTO</v>
          </cell>
        </row>
        <row r="799">
          <cell r="F799" t="str">
            <v>AMBITION</v>
          </cell>
        </row>
        <row r="800">
          <cell r="F800" t="str">
            <v>AMBUJACEM</v>
          </cell>
        </row>
        <row r="801">
          <cell r="F801" t="str">
            <v>AMCO INDIA L</v>
          </cell>
        </row>
        <row r="802">
          <cell r="F802" t="str">
            <v>AMDIND</v>
          </cell>
        </row>
        <row r="803">
          <cell r="F803" t="str">
            <v>AMFL</v>
          </cell>
        </row>
        <row r="804">
          <cell r="F804" t="str">
            <v>AMFORGE IND.</v>
          </cell>
        </row>
        <row r="805">
          <cell r="F805" t="str">
            <v>AMINES&amp;PLAST</v>
          </cell>
        </row>
        <row r="806">
          <cell r="F806" t="str">
            <v>AMIT INTNL.</v>
          </cell>
        </row>
        <row r="807">
          <cell r="F807" t="str">
            <v>AMJLAND</v>
          </cell>
        </row>
        <row r="808">
          <cell r="F808" t="str">
            <v>AMRAPALI IND</v>
          </cell>
        </row>
        <row r="809">
          <cell r="F809" t="str">
            <v>AMRIT CORP</v>
          </cell>
        </row>
        <row r="810">
          <cell r="F810" t="str">
            <v>AMRUTANJAN</v>
          </cell>
        </row>
        <row r="811">
          <cell r="F811" t="str">
            <v>AMSONS</v>
          </cell>
        </row>
        <row r="812">
          <cell r="F812" t="str">
            <v>AMTEK AUTO</v>
          </cell>
        </row>
        <row r="813">
          <cell r="F813" t="str">
            <v>AMTL</v>
          </cell>
        </row>
        <row r="814">
          <cell r="F814" t="str">
            <v>ANANTRAJ</v>
          </cell>
        </row>
        <row r="815">
          <cell r="F815" t="str">
            <v>ANDHRA BANK</v>
          </cell>
        </row>
        <row r="816">
          <cell r="F816" t="str">
            <v>ANDHRA CEMEN</v>
          </cell>
        </row>
        <row r="817">
          <cell r="F817" t="str">
            <v>ANDHRA PETRO</v>
          </cell>
        </row>
        <row r="818">
          <cell r="F818" t="str">
            <v>ANDHRSUGAR</v>
          </cell>
        </row>
        <row r="819">
          <cell r="F819" t="str">
            <v>ANDREW YULE</v>
          </cell>
        </row>
        <row r="820">
          <cell r="F820" t="str">
            <v>ANERI</v>
          </cell>
        </row>
        <row r="821">
          <cell r="F821" t="str">
            <v>ANGIND</v>
          </cell>
        </row>
        <row r="822">
          <cell r="F822" t="str">
            <v>ANIKINDS</v>
          </cell>
        </row>
        <row r="823">
          <cell r="F823" t="str">
            <v>ANJANI SYNT.</v>
          </cell>
        </row>
        <row r="824">
          <cell r="F824" t="str">
            <v>ANSAL BUILD.</v>
          </cell>
        </row>
        <row r="825">
          <cell r="F825" t="str">
            <v>ANSALAPI</v>
          </cell>
        </row>
        <row r="826">
          <cell r="F826" t="str">
            <v>ANSALHSG</v>
          </cell>
        </row>
        <row r="827">
          <cell r="F827" t="str">
            <v>ANTGRAPHIC</v>
          </cell>
        </row>
        <row r="828">
          <cell r="F828" t="str">
            <v>ANTIF BEARNG</v>
          </cell>
        </row>
        <row r="829">
          <cell r="F829" t="str">
            <v>ANUH PHARMA</v>
          </cell>
        </row>
        <row r="830">
          <cell r="F830" t="str">
            <v>APARINDS</v>
          </cell>
        </row>
        <row r="831">
          <cell r="F831" t="str">
            <v>APCL</v>
          </cell>
        </row>
        <row r="832">
          <cell r="F832" t="str">
            <v>APCOTEX IND</v>
          </cell>
        </row>
        <row r="833">
          <cell r="F833" t="str">
            <v>APEX</v>
          </cell>
        </row>
        <row r="834">
          <cell r="F834" t="str">
            <v>APIL</v>
          </cell>
        </row>
        <row r="835">
          <cell r="F835" t="str">
            <v>APLAB LTD.</v>
          </cell>
        </row>
        <row r="836">
          <cell r="F836" t="str">
            <v>APLAPOLLO</v>
          </cell>
        </row>
        <row r="837">
          <cell r="F837" t="str">
            <v>APLAYA</v>
          </cell>
        </row>
        <row r="838">
          <cell r="F838" t="str">
            <v>APM INDUS.</v>
          </cell>
        </row>
        <row r="839">
          <cell r="F839" t="str">
            <v>APOLLO</v>
          </cell>
        </row>
        <row r="840">
          <cell r="F840" t="str">
            <v>APOLLO FIN I</v>
          </cell>
        </row>
        <row r="841">
          <cell r="F841" t="str">
            <v>APOLLO HOSP.</v>
          </cell>
        </row>
        <row r="842">
          <cell r="F842" t="str">
            <v>APOLLO TYRES</v>
          </cell>
        </row>
        <row r="843">
          <cell r="F843" t="str">
            <v>APOLLOPIPES</v>
          </cell>
        </row>
        <row r="844">
          <cell r="F844" t="str">
            <v>APOLSINHOT</v>
          </cell>
        </row>
        <row r="845">
          <cell r="F845" t="str">
            <v>APPLE FINANC</v>
          </cell>
        </row>
        <row r="846">
          <cell r="F846" t="str">
            <v>APTECHT</v>
          </cell>
        </row>
        <row r="847">
          <cell r="F847" t="str">
            <v>APTL</v>
          </cell>
        </row>
        <row r="848">
          <cell r="F848" t="str">
            <v>AQUAPIV</v>
          </cell>
        </row>
        <row r="849">
          <cell r="F849" t="str">
            <v>ARAMBHAN</v>
          </cell>
        </row>
        <row r="850">
          <cell r="F850" t="str">
            <v>ARCFIN</v>
          </cell>
        </row>
        <row r="851">
          <cell r="F851" t="str">
            <v>ARCHIDPLY</v>
          </cell>
        </row>
        <row r="852">
          <cell r="F852" t="str">
            <v>ARCHIES LTD</v>
          </cell>
        </row>
        <row r="853">
          <cell r="F853" t="str">
            <v>ARCHITORG</v>
          </cell>
        </row>
        <row r="854">
          <cell r="F854" t="str">
            <v>ARCOTECH LTD</v>
          </cell>
        </row>
        <row r="855">
          <cell r="F855" t="str">
            <v>ARCUTTI.TEA</v>
          </cell>
        </row>
        <row r="856">
          <cell r="F856" t="str">
            <v>AREX IND.</v>
          </cell>
        </row>
        <row r="857">
          <cell r="F857" t="str">
            <v>ARFIN</v>
          </cell>
        </row>
        <row r="858">
          <cell r="F858" t="str">
            <v>ARIES</v>
          </cell>
        </row>
        <row r="859">
          <cell r="F859" t="str">
            <v>ARIHANT CAP.</v>
          </cell>
        </row>
        <row r="860">
          <cell r="F860" t="str">
            <v>ARIHANT FOUN</v>
          </cell>
        </row>
        <row r="861">
          <cell r="F861" t="str">
            <v>ARIHANTSUP</v>
          </cell>
        </row>
        <row r="862">
          <cell r="F862" t="str">
            <v>ARMAN FIN</v>
          </cell>
        </row>
        <row r="863">
          <cell r="F863" t="str">
            <v>ARNAVCORP</v>
          </cell>
        </row>
        <row r="864">
          <cell r="F864" t="str">
            <v>ARNOLD HOLD</v>
          </cell>
        </row>
        <row r="865">
          <cell r="F865" t="str">
            <v>ARO GRANITE</v>
          </cell>
        </row>
        <row r="866">
          <cell r="F866" t="str">
            <v>ARROWGREEN</v>
          </cell>
        </row>
        <row r="867">
          <cell r="F867" t="str">
            <v>ARROWTEX</v>
          </cell>
        </row>
        <row r="868">
          <cell r="F868" t="str">
            <v>ARSHIYA</v>
          </cell>
        </row>
        <row r="869">
          <cell r="F869" t="str">
            <v>ARSS INFRA</v>
          </cell>
        </row>
        <row r="870">
          <cell r="F870" t="str">
            <v>ARTNIRMAN</v>
          </cell>
        </row>
        <row r="871">
          <cell r="F871" t="str">
            <v>ARTSON ENG</v>
          </cell>
        </row>
        <row r="872">
          <cell r="F872" t="str">
            <v>ARVIND Ltd</v>
          </cell>
        </row>
        <row r="873">
          <cell r="F873" t="str">
            <v>ARVSMART</v>
          </cell>
        </row>
        <row r="874">
          <cell r="F874" t="str">
            <v>ARYACAPM</v>
          </cell>
        </row>
        <row r="875">
          <cell r="F875" t="str">
            <v>ARYAMAN FIN.</v>
          </cell>
        </row>
        <row r="876">
          <cell r="F876" t="str">
            <v>ASAHI IN.GLA</v>
          </cell>
        </row>
        <row r="877">
          <cell r="F877" t="str">
            <v>ASAHI SONG</v>
          </cell>
        </row>
        <row r="878">
          <cell r="F878" t="str">
            <v>ASAL</v>
          </cell>
        </row>
        <row r="879">
          <cell r="F879" t="str">
            <v>ASHAPURMIN</v>
          </cell>
        </row>
        <row r="880">
          <cell r="F880" t="str">
            <v>ASHARI</v>
          </cell>
        </row>
        <row r="881">
          <cell r="F881" t="str">
            <v>ASHFL</v>
          </cell>
        </row>
        <row r="882">
          <cell r="F882" t="str">
            <v>ASHIANA HOU</v>
          </cell>
        </row>
        <row r="883">
          <cell r="F883" t="str">
            <v>ASHIANA ISP.</v>
          </cell>
        </row>
        <row r="884">
          <cell r="F884" t="str">
            <v>ASHIMASYN</v>
          </cell>
        </row>
        <row r="885">
          <cell r="F885" t="str">
            <v>ASHIRWAD CAP</v>
          </cell>
        </row>
        <row r="886">
          <cell r="F886" t="str">
            <v>ASHIRWAD STL</v>
          </cell>
        </row>
        <row r="887">
          <cell r="F887" t="str">
            <v>ASHNOOR TEX.</v>
          </cell>
        </row>
        <row r="888">
          <cell r="F888" t="str">
            <v>ASHOK LEYL.</v>
          </cell>
        </row>
        <row r="889">
          <cell r="F889" t="str">
            <v>ASHOK-ALCO</v>
          </cell>
        </row>
        <row r="890">
          <cell r="F890" t="str">
            <v>ASHOKA</v>
          </cell>
        </row>
        <row r="891">
          <cell r="F891" t="str">
            <v>ASIA PACK</v>
          </cell>
        </row>
        <row r="892">
          <cell r="F892" t="str">
            <v>ASIAN GRANIT</v>
          </cell>
        </row>
        <row r="893">
          <cell r="F893" t="str">
            <v>ASIAN HTL E</v>
          </cell>
        </row>
        <row r="894">
          <cell r="F894" t="str">
            <v>ASIAN OILFIE</v>
          </cell>
        </row>
        <row r="895">
          <cell r="F895" t="str">
            <v>ASIAN PAINTS</v>
          </cell>
        </row>
        <row r="896">
          <cell r="F896" t="str">
            <v>ASIAN STAR</v>
          </cell>
        </row>
        <row r="897">
          <cell r="F897" t="str">
            <v>ASIAN TEA</v>
          </cell>
        </row>
        <row r="898">
          <cell r="F898" t="str">
            <v>ASIANHOTNR</v>
          </cell>
        </row>
        <row r="899">
          <cell r="F899" t="str">
            <v>ASIT C FIN</v>
          </cell>
        </row>
        <row r="900">
          <cell r="F900" t="str">
            <v>ASM TECHNOLO</v>
          </cell>
        </row>
        <row r="901">
          <cell r="F901" t="str">
            <v>ASPINWALL</v>
          </cell>
        </row>
        <row r="902">
          <cell r="F902" t="str">
            <v>ASSAMCO</v>
          </cell>
        </row>
        <row r="903">
          <cell r="F903" t="str">
            <v>ASSO.ALCOHOL</v>
          </cell>
        </row>
        <row r="904">
          <cell r="F904" t="str">
            <v>ASSOC.STONE</v>
          </cell>
        </row>
        <row r="905">
          <cell r="F905" t="str">
            <v>ASTEC LIFE</v>
          </cell>
        </row>
        <row r="906">
          <cell r="F906" t="str">
            <v>ASTRA MICRO</v>
          </cell>
        </row>
        <row r="907">
          <cell r="F907" t="str">
            <v>ASTRAL POLY</v>
          </cell>
        </row>
        <row r="908">
          <cell r="F908" t="str">
            <v>ASTRAZEN.PH.</v>
          </cell>
        </row>
        <row r="909">
          <cell r="F909" t="str">
            <v>ASTRON</v>
          </cell>
        </row>
        <row r="910">
          <cell r="F910" t="str">
            <v>ASYAINFO</v>
          </cell>
        </row>
        <row r="911">
          <cell r="F911" t="str">
            <v>ATHCON</v>
          </cell>
        </row>
        <row r="912">
          <cell r="F912" t="str">
            <v>ATHENAGLO</v>
          </cell>
        </row>
        <row r="913">
          <cell r="F913" t="str">
            <v>ATISHAY</v>
          </cell>
        </row>
        <row r="914">
          <cell r="F914" t="str">
            <v>ATLANTA</v>
          </cell>
        </row>
        <row r="915">
          <cell r="F915" t="str">
            <v>ATLANTADEV</v>
          </cell>
        </row>
        <row r="916">
          <cell r="F916" t="str">
            <v>ATLASCYCLE</v>
          </cell>
        </row>
        <row r="917">
          <cell r="F917" t="str">
            <v>ATUL LTD.</v>
          </cell>
        </row>
        <row r="918">
          <cell r="F918" t="str">
            <v>ATULAUTO</v>
          </cell>
        </row>
        <row r="919">
          <cell r="F919" t="str">
            <v>ATV PROJECTS</v>
          </cell>
        </row>
        <row r="920">
          <cell r="F920" t="str">
            <v>AUBANK</v>
          </cell>
        </row>
        <row r="921">
          <cell r="F921" t="str">
            <v>AUNDE IND</v>
          </cell>
        </row>
        <row r="922">
          <cell r="F922" t="str">
            <v>AURDIS</v>
          </cell>
        </row>
        <row r="923">
          <cell r="F923" t="str">
            <v>AURIONPRO SO</v>
          </cell>
        </row>
        <row r="924">
          <cell r="F924" t="str">
            <v>AURO LAB.</v>
          </cell>
        </row>
        <row r="925">
          <cell r="F925" t="str">
            <v>AUROPHARMA</v>
          </cell>
        </row>
        <row r="926">
          <cell r="F926" t="str">
            <v>AURUM SOFT</v>
          </cell>
        </row>
        <row r="927">
          <cell r="F927" t="str">
            <v>AUSOM ENT</v>
          </cell>
        </row>
        <row r="928">
          <cell r="F928" t="str">
            <v>AUSTIN ENGG.</v>
          </cell>
        </row>
        <row r="929">
          <cell r="F929" t="str">
            <v>AUTO COR.GOA</v>
          </cell>
        </row>
        <row r="930">
          <cell r="F930" t="str">
            <v>AUTOAXLES</v>
          </cell>
        </row>
        <row r="931">
          <cell r="F931" t="str">
            <v>AUTOIND</v>
          </cell>
        </row>
        <row r="932">
          <cell r="F932" t="str">
            <v>AUTOLITE(I)</v>
          </cell>
        </row>
        <row r="933">
          <cell r="F933" t="str">
            <v>AVADHSUGAR</v>
          </cell>
        </row>
        <row r="934">
          <cell r="F934" t="str">
            <v>AVAILABLE FI</v>
          </cell>
        </row>
        <row r="935">
          <cell r="F935" t="str">
            <v>AVANTEL LTD</v>
          </cell>
        </row>
        <row r="936">
          <cell r="F936" t="str">
            <v>AVANTIFEED</v>
          </cell>
        </row>
        <row r="937">
          <cell r="F937" t="str">
            <v>AVONLIFE</v>
          </cell>
        </row>
        <row r="938">
          <cell r="F938" t="str">
            <v>AVONMORE</v>
          </cell>
        </row>
        <row r="939">
          <cell r="F939" t="str">
            <v>AVT NATURAL</v>
          </cell>
        </row>
        <row r="940">
          <cell r="F940" t="str">
            <v>AXEL POLYMER</v>
          </cell>
        </row>
        <row r="941">
          <cell r="F941" t="str">
            <v>Axis Arbitrage Fund - Direct Plan - Dividend</v>
          </cell>
        </row>
        <row r="942">
          <cell r="F942" t="str">
            <v>Axis Arbitrage Fund - Direct Plan - Growth</v>
          </cell>
        </row>
        <row r="943">
          <cell r="F943" t="str">
            <v>Axis Arbitrage Fund - Regular Plan - Dividend</v>
          </cell>
        </row>
        <row r="944">
          <cell r="F944" t="str">
            <v>Axis Arbitrage Fund - Regular Plan - Growth</v>
          </cell>
        </row>
        <row r="945">
          <cell r="F945" t="str">
            <v>Axis Banking &amp; PSU Debt Fund - Daily Dividend Option</v>
          </cell>
        </row>
        <row r="946">
          <cell r="F946" t="str">
            <v>Axis Banking &amp; PSU Debt Fund - Direct Plan - Daily Dividend Option</v>
          </cell>
        </row>
        <row r="947">
          <cell r="F947" t="str">
            <v>Axis Banking &amp; PSU Debt Fund - Direct Plan - Growth Option</v>
          </cell>
        </row>
        <row r="948">
          <cell r="F948" t="str">
            <v>Axis Banking &amp; PSU Debt Fund - Direct Plan - Monthly Dividend Option</v>
          </cell>
        </row>
        <row r="949">
          <cell r="F949" t="str">
            <v>Axis Banking &amp; PSU Debt Fund - Direct Plan - Weekly Dividend Option</v>
          </cell>
        </row>
        <row r="950">
          <cell r="F950" t="str">
            <v>Axis Banking &amp; PSU Debt Fund - Growth option</v>
          </cell>
        </row>
        <row r="951">
          <cell r="F951" t="str">
            <v>Axis Banking &amp; PSU Debt Fund - Monthly Dividend Option</v>
          </cell>
        </row>
        <row r="952">
          <cell r="F952" t="str">
            <v>Axis Banking &amp; PSU Debt Fund - Weekly Dividend option</v>
          </cell>
        </row>
        <row r="953">
          <cell r="F953" t="str">
            <v>Axis Bluechip Fund - Direct Plan - Dividend</v>
          </cell>
        </row>
        <row r="954">
          <cell r="F954" t="str">
            <v>Axis Bluechip Fund - Direct Plan - Growth</v>
          </cell>
        </row>
        <row r="955">
          <cell r="F955" t="str">
            <v>Axis Bluechip Fund - Dividend</v>
          </cell>
        </row>
        <row r="956">
          <cell r="F956" t="str">
            <v>Axis Bluechip Fund - Growth</v>
          </cell>
        </row>
        <row r="957">
          <cell r="F957" t="str">
            <v>Axis Capital Protection Oriented Fund - Series 5 - Dividend option</v>
          </cell>
        </row>
        <row r="958">
          <cell r="F958" t="str">
            <v>Axis Capital Protection Oriented Fund - Series 5 - Growth Option</v>
          </cell>
        </row>
        <row r="959">
          <cell r="F959" t="str">
            <v>Axis Childrens Gift Fund - Lock in - Direct Dividend</v>
          </cell>
        </row>
        <row r="960">
          <cell r="F960" t="str">
            <v>Axis Childrens Gift Fund - Lock in - Direct Growth</v>
          </cell>
        </row>
        <row r="961">
          <cell r="F961" t="str">
            <v>Axis Childrens Gift Fund - Lock in - Dividend</v>
          </cell>
        </row>
        <row r="962">
          <cell r="F962" t="str">
            <v>Axis Childrens Gift Fund - Lock in - Growth</v>
          </cell>
        </row>
        <row r="963">
          <cell r="F963" t="str">
            <v>Axis Childrens Gift Fund - without Lock in - Direct Dividend</v>
          </cell>
        </row>
        <row r="964">
          <cell r="F964" t="str">
            <v>Axis Childrens Gift Fund - without Lock in - Direct Growth</v>
          </cell>
        </row>
        <row r="965">
          <cell r="F965" t="str">
            <v>Axis Childrens Gift Fund - without Lock in - Dividend</v>
          </cell>
        </row>
        <row r="966">
          <cell r="F966" t="str">
            <v>Axis Childrens Gift Fund - without Lock in - Growth</v>
          </cell>
        </row>
        <row r="967">
          <cell r="F967" t="str">
            <v>Axis Corporate Debt Fund - Direct Plan Daily Dividend Reinvestment</v>
          </cell>
        </row>
        <row r="968">
          <cell r="F968" t="str">
            <v>Axis Corporate Debt Fund - Direct Plan Growth</v>
          </cell>
        </row>
        <row r="969">
          <cell r="F969" t="str">
            <v>Axis Corporate Debt Fund - Direct Plan Monthly Dividend</v>
          </cell>
        </row>
        <row r="970">
          <cell r="F970" t="str">
            <v>Axis Corporate Debt Fund - Direct Plan Regular Dividend</v>
          </cell>
        </row>
        <row r="971">
          <cell r="F971" t="str">
            <v>Axis Corporate Debt Fund - Direct Plan Weekly Dividend</v>
          </cell>
        </row>
        <row r="972">
          <cell r="F972" t="str">
            <v>Axis Corporate Debt Fund - Regular Plan Daily Dividend Reinvestment</v>
          </cell>
        </row>
        <row r="973">
          <cell r="F973" t="str">
            <v>Axis Corporate Debt Fund - Regular Plan Growth</v>
          </cell>
        </row>
        <row r="974">
          <cell r="F974" t="str">
            <v>Axis Corporate Debt Fund - Regular Plan Monthly Dividend</v>
          </cell>
        </row>
        <row r="975">
          <cell r="F975" t="str">
            <v>Axis Corporate Debt Fund - Regular Plan Regular Dividend</v>
          </cell>
        </row>
        <row r="976">
          <cell r="F976" t="str">
            <v>Axis Corporate Debt Fund - Regular Plan Weekly Dividend</v>
          </cell>
        </row>
        <row r="977">
          <cell r="F977" t="str">
            <v>Axis Credit Risk Fund - Direct Plan - Growth</v>
          </cell>
        </row>
        <row r="978">
          <cell r="F978" t="str">
            <v>Axis Credit Risk Fund - Direct Plan - Monthly Dividend</v>
          </cell>
        </row>
        <row r="979">
          <cell r="F979" t="str">
            <v>Axis Credit Risk Fund - Direct Plan - Weekly Dividend</v>
          </cell>
        </row>
        <row r="980">
          <cell r="F980" t="str">
            <v>Axis Credit Risk Fund - Regular Plan - Growth</v>
          </cell>
        </row>
        <row r="981">
          <cell r="F981" t="str">
            <v>Axis Credit Risk Fund - Regular Plan - Monthly Dividend</v>
          </cell>
        </row>
        <row r="982">
          <cell r="F982" t="str">
            <v>Axis Credit Risk Fund - Regular Plan - weekly Dividend</v>
          </cell>
        </row>
        <row r="983">
          <cell r="F983" t="str">
            <v>Axis Dynamic Bond Fund  - Half Yearly Dividend option</v>
          </cell>
        </row>
        <row r="984">
          <cell r="F984" t="str">
            <v>Axis Dynamic Bond Fund - Direct Plan - Growth Option</v>
          </cell>
        </row>
        <row r="985">
          <cell r="F985" t="str">
            <v>Axis Dynamic Bond Fund - Direct Plan - Half Yearly Dividend Option</v>
          </cell>
        </row>
        <row r="986">
          <cell r="F986" t="str">
            <v>Axis Dynamic Bond Fund - Direct Plan - Quarterly Dividend Option</v>
          </cell>
        </row>
        <row r="987">
          <cell r="F987" t="str">
            <v>Axis Dynamic Bond Fund - Growth Option</v>
          </cell>
        </row>
        <row r="988">
          <cell r="F988" t="str">
            <v>Axis Dynamic Bond Fund - Quarterly Dividend option</v>
          </cell>
        </row>
        <row r="989">
          <cell r="F989" t="str">
            <v>Axis Dynamic Equity Fund - Direct Plan - Dividend</v>
          </cell>
        </row>
        <row r="990">
          <cell r="F990" t="str">
            <v>Axis Dynamic Equity Fund - Direct Plan - Growth</v>
          </cell>
        </row>
        <row r="991">
          <cell r="F991" t="str">
            <v>Axis Dynamic Equity Fund - Regular Plan - Dividend</v>
          </cell>
        </row>
        <row r="992">
          <cell r="F992" t="str">
            <v>Axis Dynamic Equity Fund - Regular Plan - Growth</v>
          </cell>
        </row>
        <row r="993">
          <cell r="F993" t="str">
            <v>Axis Emerging Opportunities Fund - Series 1 (1400 Days) - Direct Plan - Dividend Option</v>
          </cell>
        </row>
        <row r="994">
          <cell r="F994" t="str">
            <v>Axis Emerging Opportunities Fund - Series 1 (1400 Days) - Direct Plan - Growth Option</v>
          </cell>
        </row>
        <row r="995">
          <cell r="F995" t="str">
            <v>Axis Emerging Opportunities Fund - Series 1 (1400 Days) - Regular Plan - Dividend Option</v>
          </cell>
        </row>
        <row r="996">
          <cell r="F996" t="str">
            <v>Axis Emerging Opportunities Fund - Series 1 (1400 Days) - Regular Plan - Growth Option</v>
          </cell>
        </row>
        <row r="997">
          <cell r="F997" t="str">
            <v>Axis Emerging Opportunities Fund - Series 2 (1400 Days) - Direct Plan - Dividend Option</v>
          </cell>
        </row>
        <row r="998">
          <cell r="F998" t="str">
            <v>Axis Emerging Opportunities Fund - Series 2 (1400 Days) - Direct Plan - Growth Option</v>
          </cell>
        </row>
        <row r="999">
          <cell r="F999" t="str">
            <v>Axis Emerging Opportunities Fund - Series 2 (1400 Days) - Regular Plan - Dividend Option</v>
          </cell>
        </row>
        <row r="1000">
          <cell r="F1000" t="str">
            <v>Axis Emerging Opportunities Fund - Series 2 (1400 Days) - Regular Plan - Growth Option</v>
          </cell>
        </row>
        <row r="1001">
          <cell r="F1001" t="str">
            <v>Axis Equity Advantage Fund - Series 1 - Direct Plan - Growth Option</v>
          </cell>
        </row>
        <row r="1002">
          <cell r="F1002" t="str">
            <v>Axis Equity Advantage Fund - Series 1 - Regular Plan - Growth Option</v>
          </cell>
        </row>
        <row r="1003">
          <cell r="F1003" t="str">
            <v>Axis Equity Advantage Fund - Series 2 - Direct Plan - Growth Option</v>
          </cell>
        </row>
        <row r="1004">
          <cell r="F1004" t="str">
            <v>Axis Equity Advantage Fund - Series 2 - Regular Plan - Growth Option</v>
          </cell>
        </row>
        <row r="1005">
          <cell r="F1005" t="str">
            <v>Axis Equity Saver Fund - Direct Plan - Growth</v>
          </cell>
        </row>
        <row r="1006">
          <cell r="F1006" t="str">
            <v>Axis Equity Saver Fund - Direct Plan - Monthly Dividend</v>
          </cell>
        </row>
        <row r="1007">
          <cell r="F1007" t="str">
            <v>Axis Equity Saver Fund - Direct Plan - Quarterly Dividend</v>
          </cell>
        </row>
        <row r="1008">
          <cell r="F1008" t="str">
            <v>Axis Equity Saver Fund - Direct Plan - Regular Dividend</v>
          </cell>
        </row>
        <row r="1009">
          <cell r="F1009" t="str">
            <v>Axis Equity Saver Fund - Regular Plan - Growth</v>
          </cell>
        </row>
        <row r="1010">
          <cell r="F1010" t="str">
            <v>Axis Equity Saver Fund - Regular Plan - Monthly Dividend</v>
          </cell>
        </row>
        <row r="1011">
          <cell r="F1011" t="str">
            <v>Axis Equity Saver Fund - Regular Plan - Quarterly Dividend</v>
          </cell>
        </row>
        <row r="1012">
          <cell r="F1012" t="str">
            <v>Axis Equity Saver Fund - Regular Plan - Regular Dividend</v>
          </cell>
        </row>
        <row r="1013">
          <cell r="F1013" t="str">
            <v>Axis Fixed Term Plan - Series 49 - Direct Plan - Growth</v>
          </cell>
        </row>
        <row r="1014">
          <cell r="F1014" t="str">
            <v>Axis Fixed Term Plan - Series 49 - Regular Plan - Dividend</v>
          </cell>
        </row>
        <row r="1015">
          <cell r="F1015" t="str">
            <v>Axis Fixed Term Plan - Series 49 - Regular Plan - Growth</v>
          </cell>
        </row>
        <row r="1016">
          <cell r="F1016" t="str">
            <v>Axis Fixed Term Plan - Series 52 - Direct Plan - Growth</v>
          </cell>
        </row>
        <row r="1017">
          <cell r="F1017" t="str">
            <v>Axis Fixed Term Plan - Series 52 - Regular Plan - Growth</v>
          </cell>
        </row>
        <row r="1018">
          <cell r="F1018" t="str">
            <v>Axis Fixed Term Plan - Series 52 - Regular Plan - Quarterly Dividend</v>
          </cell>
        </row>
        <row r="1019">
          <cell r="F1019" t="str">
            <v>Axis Fixed Term Plan - Series 64 - Direct plan - Growth</v>
          </cell>
        </row>
        <row r="1020">
          <cell r="F1020" t="str">
            <v>Axis Fixed Term Plan - Series 64 - Regular plan -  Dividend</v>
          </cell>
        </row>
        <row r="1021">
          <cell r="F1021" t="str">
            <v>Axis Fixed Term Plan - Series 64 - Regular Plan - Growth</v>
          </cell>
        </row>
        <row r="1022">
          <cell r="F1022" t="str">
            <v>Axis Fixed Term Plan - Series 74 (1105 days) - Direct Plan - Dividend</v>
          </cell>
        </row>
        <row r="1023">
          <cell r="F1023" t="str">
            <v>Axis Fixed Term Plan - Series 74 (1105 days) - Direct Plan - Growth</v>
          </cell>
        </row>
        <row r="1024">
          <cell r="F1024" t="str">
            <v>Axis Fixed Term Plan - Series 74 (1105 days) - Regular Plan - Dividend</v>
          </cell>
        </row>
        <row r="1025">
          <cell r="F1025" t="str">
            <v>Axis Fixed Term Plan - Series 74 (1105 days) - Regular Plan - Growth</v>
          </cell>
        </row>
        <row r="1026">
          <cell r="F1026" t="str">
            <v>Axis Fixed Term Plan - Series 74 (1105 days) - Regular Plan - Half yearly dividend</v>
          </cell>
        </row>
        <row r="1027">
          <cell r="F1027" t="str">
            <v>Axis Focused 25 Fund - Direct Plan - Dividend Option</v>
          </cell>
        </row>
        <row r="1028">
          <cell r="F1028" t="str">
            <v>Axis Focused 25 Fund - Direct Plan - Growth Option</v>
          </cell>
        </row>
        <row r="1029">
          <cell r="F1029" t="str">
            <v>Axis Focused 25 Fund - Dividend Option</v>
          </cell>
        </row>
        <row r="1030">
          <cell r="F1030" t="str">
            <v>Axis Focused 25 Fund - Growth Option</v>
          </cell>
        </row>
        <row r="1031">
          <cell r="F1031" t="str">
            <v>Axis Gilt Fund - Direct Plan - Growth Option</v>
          </cell>
        </row>
        <row r="1032">
          <cell r="F1032" t="str">
            <v>Axis Gilt Fund - Direct Plan - Regular Dividend Option</v>
          </cell>
        </row>
        <row r="1033">
          <cell r="F1033" t="str">
            <v>Axis Gilt Fund - Growth Option</v>
          </cell>
        </row>
        <row r="1034">
          <cell r="F1034" t="str">
            <v>Axis Gilt Fund - Half Yearly Dividend Option</v>
          </cell>
        </row>
        <row r="1035">
          <cell r="F1035" t="str">
            <v>Axis Gilt Fund - Regular Dividend Option</v>
          </cell>
        </row>
        <row r="1036">
          <cell r="F1036" t="str">
            <v>Axis Gold ETF</v>
          </cell>
        </row>
        <row r="1037">
          <cell r="F1037" t="str">
            <v>Axis Gold Fund - Direct Plan - Dividend option</v>
          </cell>
        </row>
        <row r="1038">
          <cell r="F1038" t="str">
            <v>Axis Gold Fund - Direct Plan - Growth option</v>
          </cell>
        </row>
        <row r="1039">
          <cell r="F1039" t="str">
            <v>Axis Gold Fund - Dividend Option</v>
          </cell>
        </row>
        <row r="1040">
          <cell r="F1040" t="str">
            <v>Axis Gold Fund - Growth Option</v>
          </cell>
        </row>
        <row r="1041">
          <cell r="F1041" t="str">
            <v>Axis Hybrid Fund - Series 14 - Direct Plan - Dividend</v>
          </cell>
        </row>
        <row r="1042">
          <cell r="F1042" t="str">
            <v>Axis Hybrid Fund - Series 14 - Direct Plan - Growth</v>
          </cell>
        </row>
        <row r="1043">
          <cell r="F1043" t="str">
            <v>Axis Hybrid Fund - Series 14 - Regular Plan - Dividend</v>
          </cell>
        </row>
        <row r="1044">
          <cell r="F1044" t="str">
            <v>Axis Hybrid Fund - Series 14 - Regular Plan - Growth</v>
          </cell>
        </row>
        <row r="1045">
          <cell r="F1045" t="str">
            <v>Axis Hybrid Fund - Series 15 - Direct Plan - Dividend</v>
          </cell>
        </row>
        <row r="1046">
          <cell r="F1046" t="str">
            <v>Axis Hybrid Fund - Series 15 - Direct Plan - Growth</v>
          </cell>
        </row>
        <row r="1047">
          <cell r="F1047" t="str">
            <v>Axis Hybrid Fund - Series 15 - Regular Plan - Dividend</v>
          </cell>
        </row>
        <row r="1048">
          <cell r="F1048" t="str">
            <v>Axis Hybrid Fund - Series 15 - Regular Plan - Growth</v>
          </cell>
        </row>
        <row r="1049">
          <cell r="F1049" t="str">
            <v>Axis Hybrid Fund - Series 18 - Direct Plan - Direct Plan - Dividend</v>
          </cell>
        </row>
        <row r="1050">
          <cell r="F1050" t="str">
            <v>Axis Hybrid Fund - Series 18 - Direct Plan - Growth</v>
          </cell>
        </row>
        <row r="1051">
          <cell r="F1051" t="str">
            <v>Axis Hybrid Fund - Series 18 - Regular Plan - Dividend</v>
          </cell>
        </row>
        <row r="1052">
          <cell r="F1052" t="str">
            <v>Axis Hybrid Fund - Series 18 - Regular Plan - Growth</v>
          </cell>
        </row>
        <row r="1053">
          <cell r="F1053" t="str">
            <v>Axis Hybrid Fund - Series 19 - Direct plan - Dividend</v>
          </cell>
        </row>
        <row r="1054">
          <cell r="F1054" t="str">
            <v>Axis Hybrid Fund - Series 19 - Regular Plan - Dividend</v>
          </cell>
        </row>
        <row r="1055">
          <cell r="F1055" t="str">
            <v>Axis Hybrid Fund - Series 19 - Regular plan - Growth</v>
          </cell>
        </row>
        <row r="1056">
          <cell r="F1056" t="str">
            <v>Axis Hybrid Fund - Series 19 -Direct Plan - Growth</v>
          </cell>
        </row>
        <row r="1057">
          <cell r="F1057" t="str">
            <v>Axis Hybrid Fund - Series 22 - Direct Plan - Dividend</v>
          </cell>
        </row>
        <row r="1058">
          <cell r="F1058" t="str">
            <v>Axis Hybrid Fund - Series 22 - Direct Plan - Growth</v>
          </cell>
        </row>
        <row r="1059">
          <cell r="F1059" t="str">
            <v>Axis Hybrid Fund - Series 22 - Regular Plan - Dividend</v>
          </cell>
        </row>
        <row r="1060">
          <cell r="F1060" t="str">
            <v>Axis Hybrid Fund - Series 22 - Regular Plan - Growth</v>
          </cell>
        </row>
        <row r="1061">
          <cell r="F1061" t="str">
            <v>Axis Hybrid Fund - Series 23 - Direct Plan - Dividend</v>
          </cell>
        </row>
        <row r="1062">
          <cell r="F1062" t="str">
            <v>Axis Hybrid Fund - Series 23 - Direct Plan - Growth</v>
          </cell>
        </row>
        <row r="1063">
          <cell r="F1063" t="str">
            <v>Axis Hybrid Fund - Series 23 - Regular Plan - Growth</v>
          </cell>
        </row>
        <row r="1064">
          <cell r="F1064" t="str">
            <v>Axis Hybrid Fund - Series 24 - Direct Plan - Dividend</v>
          </cell>
        </row>
        <row r="1065">
          <cell r="F1065" t="str">
            <v>Axis Hybrid Fund - Series 24 - Direct Plan - Growth</v>
          </cell>
        </row>
        <row r="1066">
          <cell r="F1066" t="str">
            <v>Axis Hybrid Fund - Series 24 - Regular Plan - Dividend</v>
          </cell>
        </row>
        <row r="1067">
          <cell r="F1067" t="str">
            <v>Axis Hybrid Fund - Series 24 - Regular Plan - Growth</v>
          </cell>
        </row>
        <row r="1068">
          <cell r="F1068" t="str">
            <v>Axis Hybrid Fund - Series 25 - Direct Plan - Dividend</v>
          </cell>
        </row>
        <row r="1069">
          <cell r="F1069" t="str">
            <v>Axis Hybrid Fund - Series 25 - Direct Plan - Growth</v>
          </cell>
        </row>
        <row r="1070">
          <cell r="F1070" t="str">
            <v>Axis Hybrid Fund - Series 25 - Regular Plan - Dividend</v>
          </cell>
        </row>
        <row r="1071">
          <cell r="F1071" t="str">
            <v>Axis Hybrid Fund - Series 25 - Regular Plan - Growth</v>
          </cell>
        </row>
        <row r="1072">
          <cell r="F1072" t="str">
            <v>Axis Hybrid Fund - Series 26 - Direct Plan - Dividend</v>
          </cell>
        </row>
        <row r="1073">
          <cell r="F1073" t="str">
            <v>Axis Hybrid Fund - Series 26 - Direct Plan - Growth</v>
          </cell>
        </row>
        <row r="1074">
          <cell r="F1074" t="str">
            <v>Axis Hybrid Fund - Series 26 - Regular Plan - Dividend</v>
          </cell>
        </row>
        <row r="1075">
          <cell r="F1075" t="str">
            <v>Axis Hybrid Fund - Series 26 - Regular Plan - Growth</v>
          </cell>
        </row>
        <row r="1076">
          <cell r="F1076" t="str">
            <v>Axis Hybrid Fund - Series 27 - Direct Plan - Dividend</v>
          </cell>
        </row>
        <row r="1077">
          <cell r="F1077" t="str">
            <v>Axis Hybrid Fund - Series 27 - Direct Plan - Growth</v>
          </cell>
        </row>
        <row r="1078">
          <cell r="F1078" t="str">
            <v>Axis Hybrid Fund - Series 27 - Regular Plan - Dividend</v>
          </cell>
        </row>
        <row r="1079">
          <cell r="F1079" t="str">
            <v>Axis Hybrid Fund - Series 27 - Regular Plan - Growth</v>
          </cell>
        </row>
        <row r="1080">
          <cell r="F1080" t="str">
            <v>Axis Hybrid Fund - Series 28 - Direct Plan - Dividend</v>
          </cell>
        </row>
        <row r="1081">
          <cell r="F1081" t="str">
            <v>Axis Hybrid Fund - Series 28 - Direct Plan - Growth</v>
          </cell>
        </row>
        <row r="1082">
          <cell r="F1082" t="str">
            <v>Axis Hybrid Fund - Series 28 - Regular Plan - Dividend</v>
          </cell>
        </row>
        <row r="1083">
          <cell r="F1083" t="str">
            <v>Axis Hybrid Fund - Series 28 - Regular Plan - Growth</v>
          </cell>
        </row>
        <row r="1084">
          <cell r="F1084" t="str">
            <v>Axis Hybrid Fund - Series 35 (1359 Days) - Direct Plan - Growth Option</v>
          </cell>
        </row>
        <row r="1085">
          <cell r="F1085" t="str">
            <v>Axis Hybrid Fund - Series 35 (1359 Days) - Regular Plan - Dividend Option</v>
          </cell>
        </row>
        <row r="1086">
          <cell r="F1086" t="str">
            <v>Axis Hybrid Fund - Series 35 (1359 Days)- Regular Plan Growth Option</v>
          </cell>
        </row>
        <row r="1087">
          <cell r="F1087" t="str">
            <v>Axis Hybrid Fund - Series 5 (1346 Days) - Direct Plan - Growth</v>
          </cell>
        </row>
        <row r="1088">
          <cell r="F1088" t="str">
            <v>Axis Hybrid Fund - Series 5 (1346 Days) - Regular Plan - Dividend</v>
          </cell>
        </row>
        <row r="1089">
          <cell r="F1089" t="str">
            <v>Axis Hybrid Fund - Series 5 (1346 Days) - Regular Plan - Growth</v>
          </cell>
        </row>
        <row r="1090">
          <cell r="F1090" t="str">
            <v>Axis Hybrid Fund - Series 7 (1305 Days) - Regular Plan - Growth</v>
          </cell>
        </row>
        <row r="1091">
          <cell r="F1091" t="str">
            <v>Axis Hybrid Fund Series - 29 (1275 Days) Direct Growth</v>
          </cell>
        </row>
        <row r="1092">
          <cell r="F1092" t="str">
            <v>Axis Hybrid Fund Series - 29 (1275 Days) Dividend</v>
          </cell>
        </row>
        <row r="1093">
          <cell r="F1093" t="str">
            <v>Axis Hybrid Fund Series - 29 (1275 Days) Growth</v>
          </cell>
        </row>
        <row r="1094">
          <cell r="F1094" t="str">
            <v>Axis Hybrid Fund Series - 31 (1381) Direct Dividend</v>
          </cell>
        </row>
        <row r="1095">
          <cell r="F1095" t="str">
            <v>Axis Hybrid Fund Series - 31 (1381) Direct Growth</v>
          </cell>
        </row>
        <row r="1096">
          <cell r="F1096" t="str">
            <v>Axis Hybrid Fund Series - 31 (1381) Dividend</v>
          </cell>
        </row>
        <row r="1097">
          <cell r="F1097" t="str">
            <v>Axis Hybrid Fund Series - 31 (1381) Growth</v>
          </cell>
        </row>
        <row r="1098">
          <cell r="F1098" t="str">
            <v>Axis Hybrid Fund Series - 32 (1367 Days) Direct Dividend</v>
          </cell>
        </row>
        <row r="1099">
          <cell r="F1099" t="str">
            <v>Axis Hybrid Fund Series - 32 (1367 Days) Direct Growth</v>
          </cell>
        </row>
        <row r="1100">
          <cell r="F1100" t="str">
            <v>Axis Hybrid Fund Series - 32 (1367 Days) Dividend</v>
          </cell>
        </row>
        <row r="1101">
          <cell r="F1101" t="str">
            <v>Axis Hybrid Fund Series - 32 (1367 Days) Growth</v>
          </cell>
        </row>
        <row r="1102">
          <cell r="F1102" t="str">
            <v>Axis Hybrid Fund Series - 33 (1358 Days) - Direct Divided</v>
          </cell>
        </row>
        <row r="1103">
          <cell r="F1103" t="str">
            <v>Axis Hybrid fund Series - 33 (1358 Days) - Direct Growth</v>
          </cell>
        </row>
        <row r="1104">
          <cell r="F1104" t="str">
            <v>Axis Hybrid Fund Series - 33 (1358 Days) - Dividend</v>
          </cell>
        </row>
        <row r="1105">
          <cell r="F1105" t="str">
            <v>Axis Hybrid Fund Series - 33 (1358 Days) - Growth</v>
          </cell>
        </row>
        <row r="1106">
          <cell r="F1106" t="str">
            <v>Axis Hybrid Fund Series 6 (1324 Days) - Direct - Growth</v>
          </cell>
        </row>
        <row r="1107">
          <cell r="F1107" t="str">
            <v>Axis Hybrid Fund Series 6 (1324 Days) - Regular - Dividend</v>
          </cell>
        </row>
        <row r="1108">
          <cell r="F1108" t="str">
            <v>Axis Hybrid Fund Series 6 (1324 Days) - Regular - Growth</v>
          </cell>
        </row>
        <row r="1109">
          <cell r="F1109" t="str">
            <v>Axis Hybrid Fund Series-30 (1297 Days) Direct Growth</v>
          </cell>
        </row>
        <row r="1110">
          <cell r="F1110" t="str">
            <v>Axis Hybrid Fund Series-30 (1297 Days) Dividend</v>
          </cell>
        </row>
        <row r="1111">
          <cell r="F1111" t="str">
            <v>Axis Hybrid Fund Series-30 (1297 Days) Growth</v>
          </cell>
        </row>
        <row r="1112">
          <cell r="F1112" t="str">
            <v>Axis Hybrid Funs - Series 23 - Regular Plan - Dividend</v>
          </cell>
        </row>
        <row r="1113">
          <cell r="F1113" t="str">
            <v>Axis Liquid Fund - Daily Dividend Option</v>
          </cell>
        </row>
        <row r="1114">
          <cell r="F1114" t="str">
            <v>Axis Liquid Fund - Direct plan - Bonus Option</v>
          </cell>
        </row>
        <row r="1115">
          <cell r="F1115" t="str">
            <v>Axis Liquid Fund - Direct Plan - Daily Dividend Option</v>
          </cell>
        </row>
        <row r="1116">
          <cell r="F1116" t="str">
            <v>Axis Liquid Fund - Direct Plan - Growth Option</v>
          </cell>
        </row>
        <row r="1117">
          <cell r="F1117" t="str">
            <v>Axis Liquid Fund - Direct Plan - Monthly Dividend Option</v>
          </cell>
        </row>
        <row r="1118">
          <cell r="F1118" t="str">
            <v>Axis Liquid Fund - Direct Plan - Weekly Dividend Option</v>
          </cell>
        </row>
        <row r="1119">
          <cell r="F1119" t="str">
            <v>Axis Liquid Fund - Growth Option</v>
          </cell>
        </row>
        <row r="1120">
          <cell r="F1120" t="str">
            <v>Axis Liquid Fund - Monthly Dividend Option</v>
          </cell>
        </row>
        <row r="1121">
          <cell r="F1121" t="str">
            <v>Axis Liquid Fund - Retail Plan - Daily Dividend Option</v>
          </cell>
        </row>
        <row r="1122">
          <cell r="F1122" t="str">
            <v>Axis Liquid Fund - Retail Plan - Growth Option</v>
          </cell>
        </row>
        <row r="1123">
          <cell r="F1123" t="str">
            <v>Axis Liquid Fund - Retail Plan - Monthly Dividend Option</v>
          </cell>
        </row>
        <row r="1124">
          <cell r="F1124" t="str">
            <v>Axis Liquid Fund - Retail Plan - Weekly Dividend Option</v>
          </cell>
        </row>
        <row r="1125">
          <cell r="F1125" t="str">
            <v>Axis Liquid Fund - Weekly Dividend Option</v>
          </cell>
        </row>
        <row r="1126">
          <cell r="F1126" t="str">
            <v>Axis Long Term Equity Fund - Direct Plan - Dividend option</v>
          </cell>
        </row>
        <row r="1127">
          <cell r="F1127" t="str">
            <v>Axis Long Term Equity Fund - Direct Plan - Growth Option</v>
          </cell>
        </row>
        <row r="1128">
          <cell r="F1128" t="str">
            <v>Axis Long Term Equity Fund - Dividend</v>
          </cell>
        </row>
        <row r="1129">
          <cell r="F1129" t="str">
            <v>Axis Long Term Equity Fund - Growth</v>
          </cell>
        </row>
        <row r="1130">
          <cell r="F1130" t="str">
            <v>Axis Midcap Fund - Direct Plan - Dividend</v>
          </cell>
        </row>
        <row r="1131">
          <cell r="F1131" t="str">
            <v>Axis Midcap Fund - Direct Plan - Growth</v>
          </cell>
        </row>
        <row r="1132">
          <cell r="F1132" t="str">
            <v>Axis Midcap Fund - Dividend</v>
          </cell>
        </row>
        <row r="1133">
          <cell r="F1133" t="str">
            <v>Axis Midcap Fund - Growth</v>
          </cell>
        </row>
        <row r="1134">
          <cell r="F1134" t="str">
            <v>Axis Multicap Fund - Direct Plan - Dividend</v>
          </cell>
        </row>
        <row r="1135">
          <cell r="F1135" t="str">
            <v>Axis Multicap Fund - Direct Plan - Growth</v>
          </cell>
        </row>
        <row r="1136">
          <cell r="F1136" t="str">
            <v>Axis Multicap Fund - Regular Plan - Dividend</v>
          </cell>
        </row>
        <row r="1137">
          <cell r="F1137" t="str">
            <v>Axis Multicap Fund - Regular Plan - Growth</v>
          </cell>
        </row>
        <row r="1138">
          <cell r="F1138" t="str">
            <v>Axis Nifty ETF</v>
          </cell>
        </row>
        <row r="1139">
          <cell r="F1139" t="str">
            <v>Axis Regular Saver Fund - Direct Plan - Half Yearly</v>
          </cell>
        </row>
        <row r="1140">
          <cell r="F1140" t="str">
            <v>Axis Regular Saver Fund - Direct Plan - Quarterly</v>
          </cell>
        </row>
        <row r="1141">
          <cell r="F1141" t="str">
            <v>Axis Regular Saver Fund - Dividend Option - Annual Dividend Option</v>
          </cell>
        </row>
        <row r="1142">
          <cell r="F1142" t="str">
            <v>Axis Regular Saver Fund - Dividend Option - Half Yearly</v>
          </cell>
        </row>
        <row r="1143">
          <cell r="F1143" t="str">
            <v>Axis Regular Saver Fund - Dividend Option - Quarterly</v>
          </cell>
        </row>
        <row r="1144">
          <cell r="F1144" t="str">
            <v>Axis Regular Saver Fund -Growth Option</v>
          </cell>
        </row>
        <row r="1145">
          <cell r="F1145" t="str">
            <v>Axis Regular Saver Fund- Direct Plan - Dividend Option - Annual Dividend Option</v>
          </cell>
        </row>
        <row r="1146">
          <cell r="F1146" t="str">
            <v>Axis Regular Saver Fund- Direct Plan - Growth Option</v>
          </cell>
        </row>
        <row r="1147">
          <cell r="F1147" t="str">
            <v>Axis Short Term Fund - Bonus Option</v>
          </cell>
        </row>
        <row r="1148">
          <cell r="F1148" t="str">
            <v>Axis Short Term Fund - Direct Plan - Growth Option</v>
          </cell>
        </row>
        <row r="1149">
          <cell r="F1149" t="str">
            <v>Axis Short Term Fund - Direct Plan - Monthly Dividend Option</v>
          </cell>
        </row>
        <row r="1150">
          <cell r="F1150" t="str">
            <v>Axis Short Term Fund - Direct Plan - Regular Dividend Option</v>
          </cell>
        </row>
        <row r="1151">
          <cell r="F1151" t="str">
            <v>Axis Short Term Fund - Direct Plan - Weekly Dividend Option</v>
          </cell>
        </row>
        <row r="1152">
          <cell r="F1152" t="str">
            <v>Axis Short Term Fund - Growth Option</v>
          </cell>
        </row>
        <row r="1153">
          <cell r="F1153" t="str">
            <v>Axis Short Term Fund - Monthly Dividend Option</v>
          </cell>
        </row>
        <row r="1154">
          <cell r="F1154" t="str">
            <v>Axis Short Term Fund - Regular Dividend Option</v>
          </cell>
        </row>
        <row r="1155">
          <cell r="F1155" t="str">
            <v>Axis Short Term Fund - Retail Plan - Growth Option</v>
          </cell>
        </row>
        <row r="1156">
          <cell r="F1156" t="str">
            <v>Axis Short Term Fund - Retail Plan - Monthly Dividend Option</v>
          </cell>
        </row>
        <row r="1157">
          <cell r="F1157" t="str">
            <v>Axis Short Term Fund - Retail Plan - Weekly Dividend Option</v>
          </cell>
        </row>
        <row r="1158">
          <cell r="F1158" t="str">
            <v>Axis Short Term Fund - Weekly Dividend Option</v>
          </cell>
        </row>
        <row r="1159">
          <cell r="F1159" t="str">
            <v>Axis Small Cap Fund - Direct Plan - Dividend</v>
          </cell>
        </row>
        <row r="1160">
          <cell r="F1160" t="str">
            <v>Axis Small Cap Fund - Direct Plan - Growth</v>
          </cell>
        </row>
        <row r="1161">
          <cell r="F1161" t="str">
            <v>Axis Small Cap Fund - Regular Plan - Dividend</v>
          </cell>
        </row>
        <row r="1162">
          <cell r="F1162" t="str">
            <v>Axis Small Cap Fund - Regular Plan - Growth</v>
          </cell>
        </row>
        <row r="1163">
          <cell r="F1163" t="str">
            <v>Axis Strategic Bond Fund - Direct Plan - Growth Option</v>
          </cell>
        </row>
        <row r="1164">
          <cell r="F1164" t="str">
            <v>Axis Strategic Bond Fund - Direct Plan - Half Yearly Dividend option</v>
          </cell>
        </row>
        <row r="1165">
          <cell r="F1165" t="str">
            <v>Axis Strategic Bond Fund - Direct Plan - Quarterly Dividend option</v>
          </cell>
        </row>
        <row r="1166">
          <cell r="F1166" t="str">
            <v>Axis Strategic Bond Fund - Growth Option</v>
          </cell>
        </row>
        <row r="1167">
          <cell r="F1167" t="str">
            <v>Axis Strategic Bond Fund - Half Yearly Dividend Option</v>
          </cell>
        </row>
        <row r="1168">
          <cell r="F1168" t="str">
            <v>Axis Strategic Bond Fund - Quarterly Dividend Option</v>
          </cell>
        </row>
        <row r="1169">
          <cell r="F1169" t="str">
            <v>Axis Treasury Advantage Fund - Daily Dividend Option</v>
          </cell>
        </row>
        <row r="1170">
          <cell r="F1170" t="str">
            <v>Axis Treasury Advantage Fund - Direct Plan - Daily Dividend Option</v>
          </cell>
        </row>
        <row r="1171">
          <cell r="F1171" t="str">
            <v>Axis Treasury Advantage Fund - Direct Plan - Growth Option</v>
          </cell>
        </row>
        <row r="1172">
          <cell r="F1172" t="str">
            <v>Axis Treasury Advantage Fund - Direct Plan - Monthly Dividend Option</v>
          </cell>
        </row>
        <row r="1173">
          <cell r="F1173" t="str">
            <v>Axis Treasury Advantage Fund - Direct Plan - Weekly Dividend Option</v>
          </cell>
        </row>
        <row r="1174">
          <cell r="F1174" t="str">
            <v>Axis Treasury Advantage Fund - Growth Option</v>
          </cell>
        </row>
        <row r="1175">
          <cell r="F1175" t="str">
            <v>Axis Treasury Advantage Fund - Institutional Plan - Weekly Dividend Option</v>
          </cell>
        </row>
        <row r="1176">
          <cell r="F1176" t="str">
            <v>Axis Treasury Advantage Fund - Monthly Dividend Option</v>
          </cell>
        </row>
        <row r="1177">
          <cell r="F1177" t="str">
            <v>Axis Treasury Advantage Fund - Retail Plan - Daily Dividend Option</v>
          </cell>
        </row>
        <row r="1178">
          <cell r="F1178" t="str">
            <v>Axis Treasury Advantage Fund - Retail Plan - Growth Option</v>
          </cell>
        </row>
        <row r="1179">
          <cell r="F1179" t="str">
            <v>Axis Treasury Advantage Fund - Retail Plan - Monthly Dividend Option</v>
          </cell>
        </row>
        <row r="1180">
          <cell r="F1180" t="str">
            <v>Axis Treasury Advantage Fund - Retail Plan - Weekly Dividend Option</v>
          </cell>
        </row>
        <row r="1181">
          <cell r="F1181" t="str">
            <v>Axis Triple Advantage Fund - Direct Plan - Dividend Option</v>
          </cell>
        </row>
        <row r="1182">
          <cell r="F1182" t="str">
            <v>Axis Triple Advantage Fund - Direct Plan - Growth Option</v>
          </cell>
        </row>
        <row r="1183">
          <cell r="F1183" t="str">
            <v>Axis Triple Advantage Fund - Dividend Option</v>
          </cell>
        </row>
        <row r="1184">
          <cell r="F1184" t="str">
            <v>Axis Triple Advantage Fund - Growth Option</v>
          </cell>
        </row>
        <row r="1185">
          <cell r="F1185" t="str">
            <v>AXISAEGPG</v>
          </cell>
        </row>
        <row r="1186">
          <cell r="F1186" t="str">
            <v>AXISBANK</v>
          </cell>
        </row>
        <row r="1187">
          <cell r="F1187" t="str">
            <v>AXISCADES</v>
          </cell>
        </row>
        <row r="1188">
          <cell r="F1188" t="str">
            <v>AXISGOLD</v>
          </cell>
        </row>
        <row r="1189">
          <cell r="F1189" t="str">
            <v>AXISNIFTY</v>
          </cell>
        </row>
        <row r="1190">
          <cell r="F1190" t="str">
            <v>AXONVL</v>
          </cell>
        </row>
        <row r="1191">
          <cell r="F1191" t="str">
            <v>AXTEL INDUS.</v>
          </cell>
        </row>
        <row r="1192">
          <cell r="F1192" t="str">
            <v>AYMSYNTEX</v>
          </cell>
        </row>
        <row r="1193">
          <cell r="F1193" t="str">
            <v>B.N.RATHI SE</v>
          </cell>
        </row>
        <row r="1194">
          <cell r="F1194" t="str">
            <v>B2B SOFT.</v>
          </cell>
        </row>
        <row r="1195">
          <cell r="F1195" t="str">
            <v>BABA ARTS</v>
          </cell>
        </row>
        <row r="1196">
          <cell r="F1196" t="str">
            <v>BACIL PHARMA</v>
          </cell>
        </row>
        <row r="1197">
          <cell r="F1197" t="str">
            <v>BAFNAPHARM</v>
          </cell>
        </row>
        <row r="1198">
          <cell r="F1198" t="str">
            <v>BAGADIA COLO</v>
          </cell>
        </row>
        <row r="1199">
          <cell r="F1199" t="str">
            <v>BAGFILMS</v>
          </cell>
        </row>
        <row r="1200">
          <cell r="F1200" t="str">
            <v>BAID LEASING</v>
          </cell>
        </row>
        <row r="1201">
          <cell r="F1201" t="str">
            <v>BAJAJ CORP</v>
          </cell>
        </row>
        <row r="1202">
          <cell r="F1202" t="str">
            <v>BAJAJ FINSE</v>
          </cell>
        </row>
        <row r="1203">
          <cell r="F1203" t="str">
            <v>BAJAJ STEEL</v>
          </cell>
        </row>
        <row r="1204">
          <cell r="F1204" t="str">
            <v>BAJAJ-AUTO</v>
          </cell>
        </row>
        <row r="1205">
          <cell r="F1205" t="str">
            <v>BAJAJELEC</v>
          </cell>
        </row>
        <row r="1206">
          <cell r="F1206" t="str">
            <v>BAJAJHIND</v>
          </cell>
        </row>
        <row r="1207">
          <cell r="F1207" t="str">
            <v>BAJAJHLDNG</v>
          </cell>
        </row>
        <row r="1208">
          <cell r="F1208" t="str">
            <v>BAJFINANCE</v>
          </cell>
        </row>
        <row r="1209">
          <cell r="F1209" t="str">
            <v>BALAJITELE</v>
          </cell>
        </row>
        <row r="1210">
          <cell r="F1210" t="str">
            <v>BALAMINES</v>
          </cell>
        </row>
        <row r="1211">
          <cell r="F1211" t="str">
            <v>BALASORE</v>
          </cell>
        </row>
        <row r="1212">
          <cell r="F1212" t="str">
            <v>BALKRISHNA</v>
          </cell>
        </row>
        <row r="1213">
          <cell r="F1213" t="str">
            <v>BALKRISIND</v>
          </cell>
        </row>
        <row r="1214">
          <cell r="F1214" t="str">
            <v>BALLARPUR</v>
          </cell>
        </row>
        <row r="1215">
          <cell r="F1215" t="str">
            <v>BALMER LA.IN</v>
          </cell>
        </row>
        <row r="1216">
          <cell r="F1216" t="str">
            <v>BALMLAWRIE</v>
          </cell>
        </row>
        <row r="1217">
          <cell r="F1217" t="str">
            <v>BALPHARMA</v>
          </cell>
        </row>
        <row r="1218">
          <cell r="F1218" t="str">
            <v>BALRAM.CHINI</v>
          </cell>
        </row>
        <row r="1219">
          <cell r="F1219" t="str">
            <v>BALURGHAT TE</v>
          </cell>
        </row>
        <row r="1220">
          <cell r="F1220" t="str">
            <v>BAMBINO AGRO</v>
          </cell>
        </row>
        <row r="1221">
          <cell r="F1221" t="str">
            <v>BANARBEADS</v>
          </cell>
        </row>
        <row r="1222">
          <cell r="F1222" t="str">
            <v>BANARISUG</v>
          </cell>
        </row>
        <row r="1223">
          <cell r="F1223" t="str">
            <v>BANAS FIN.</v>
          </cell>
        </row>
        <row r="1224">
          <cell r="F1224" t="str">
            <v>BANCO PROD.</v>
          </cell>
        </row>
        <row r="1225">
          <cell r="F1225" t="str">
            <v>BANG</v>
          </cell>
        </row>
        <row r="1226">
          <cell r="F1226" t="str">
            <v>BANK BEES</v>
          </cell>
        </row>
        <row r="1227">
          <cell r="F1227" t="str">
            <v>BANKBARODA</v>
          </cell>
        </row>
        <row r="1228">
          <cell r="F1228" t="str">
            <v>BANKINDIA</v>
          </cell>
        </row>
        <row r="1229">
          <cell r="F1229" t="str">
            <v>BANSAL</v>
          </cell>
        </row>
        <row r="1230">
          <cell r="F1230" t="str">
            <v>BANSW.SYNTEX</v>
          </cell>
        </row>
        <row r="1231">
          <cell r="F1231" t="str">
            <v>BARODA  HYBRID EQUITY FUND - Plan A - Dividend Option</v>
          </cell>
        </row>
        <row r="1232">
          <cell r="F1232" t="str">
            <v>BARODA  HYBRID EQUITY FUND - Plan A - Growth Option</v>
          </cell>
        </row>
        <row r="1233">
          <cell r="F1233" t="str">
            <v>Baroda Banking And Financial Services Fund - Plan A - Bonus Option</v>
          </cell>
        </row>
        <row r="1234">
          <cell r="F1234" t="str">
            <v>Baroda Banking and Financial Services Fund - Plan A - Dividend</v>
          </cell>
        </row>
        <row r="1235">
          <cell r="F1235" t="str">
            <v>Baroda Banking and Financial Services Fund - Plan A - Growth Option</v>
          </cell>
        </row>
        <row r="1236">
          <cell r="F1236" t="str">
            <v>Baroda Banking and Financial Services Fund - Plan B (Direct) - Dividend</v>
          </cell>
        </row>
        <row r="1237">
          <cell r="F1237" t="str">
            <v>Baroda Banking and Financial Services Fund - Plan B (Direct) - Growth Option</v>
          </cell>
        </row>
        <row r="1238">
          <cell r="F1238" t="str">
            <v>BARODA CONSERVATIVE HYBRID FUND - Plan A - Growth Option</v>
          </cell>
        </row>
        <row r="1239">
          <cell r="F1239" t="str">
            <v>BARODA CONSERVATIVE HYBRID FUND - Plan A - Monthly Dividend Option</v>
          </cell>
        </row>
        <row r="1240">
          <cell r="F1240" t="str">
            <v>BARODA CONSERVATIVE HYBRID FUND - Plan A - Quarterly Dividend Option</v>
          </cell>
        </row>
        <row r="1241">
          <cell r="F1241" t="str">
            <v>BARODA CONSERVATIVE HYBRID FUND - Plan B (Direct) - Growth Option</v>
          </cell>
        </row>
        <row r="1242">
          <cell r="F1242" t="str">
            <v>BARODA CONSERVATIVE HYBRID FUND - Plan B (Direct) - Quarterly Dividend Option</v>
          </cell>
        </row>
        <row r="1243">
          <cell r="F1243" t="str">
            <v>BARODA CONSERVATIVE HYBRID FUND - Plan B (Direct)- Monthly Dividend Option</v>
          </cell>
        </row>
        <row r="1244">
          <cell r="F1244" t="str">
            <v>Baroda Credit Risk Fund -Plan A -Growth Option</v>
          </cell>
        </row>
        <row r="1245">
          <cell r="F1245" t="str">
            <v>Baroda Credit Risk Fund -Plan A -Monthly Dividend</v>
          </cell>
        </row>
        <row r="1246">
          <cell r="F1246" t="str">
            <v>Baroda Credit Risk Fund -Plan A -Quarterly Dividend</v>
          </cell>
        </row>
        <row r="1247">
          <cell r="F1247" t="str">
            <v>Baroda Credit Risk Fund -Plan B(Direct)-Bonus Option</v>
          </cell>
        </row>
        <row r="1248">
          <cell r="F1248" t="str">
            <v>Baroda Credit Risk Fund -Plan B-(Direct) Monthly Dividend</v>
          </cell>
        </row>
        <row r="1249">
          <cell r="F1249" t="str">
            <v>Baroda Credit Risk Fund -Plan B-(Direct) Quarterly Dividend</v>
          </cell>
        </row>
        <row r="1250">
          <cell r="F1250" t="str">
            <v>Baroda Credit Risk Fund -Plan B-Growth Option</v>
          </cell>
        </row>
        <row r="1251">
          <cell r="F1251" t="str">
            <v>Baroda Dynamic Bond Fund - Plan A - Dividend</v>
          </cell>
        </row>
        <row r="1252">
          <cell r="F1252" t="str">
            <v>Baroda Dynamic Bond Fund - Plan A - Growth Option</v>
          </cell>
        </row>
        <row r="1253">
          <cell r="F1253" t="str">
            <v>Baroda Dynamic Bond Fund - Plan B (Direct) - Dividend</v>
          </cell>
        </row>
        <row r="1254">
          <cell r="F1254" t="str">
            <v>Baroda Dynamic Bond Fund - Plan B (Direct) - Growth Option</v>
          </cell>
        </row>
        <row r="1255">
          <cell r="F1255" t="str">
            <v>BARODA ELSS 96 - Plan A - Dividend</v>
          </cell>
        </row>
        <row r="1256">
          <cell r="F1256" t="str">
            <v>BARODA ELSS 96 - Plan B (Direct) - Dividend</v>
          </cell>
        </row>
        <row r="1257">
          <cell r="F1257" t="str">
            <v>Baroda ELSS 96 - Plan B (Direct)- Bonus Option</v>
          </cell>
        </row>
        <row r="1258">
          <cell r="F1258" t="str">
            <v>Baroda ELSS 96 Fund - Plan A- Bonus Option</v>
          </cell>
        </row>
        <row r="1259">
          <cell r="F1259" t="str">
            <v>Baroda ELSS 96 Plan A -Growth Option</v>
          </cell>
        </row>
        <row r="1260">
          <cell r="F1260" t="str">
            <v>Baroda ELSS 96 Plan B(Direct) -Growth Option</v>
          </cell>
        </row>
        <row r="1261">
          <cell r="F1261" t="str">
            <v>BARODA GILT FUND - Plan A - Dividend Option</v>
          </cell>
        </row>
        <row r="1262">
          <cell r="F1262" t="str">
            <v>BARODA GILT FUND - Plan A - Growth Option</v>
          </cell>
        </row>
        <row r="1263">
          <cell r="F1263" t="str">
            <v>BARODA GILT FUND - Plan B (Direct) - Dividend Option</v>
          </cell>
        </row>
        <row r="1264">
          <cell r="F1264" t="str">
            <v>BARODA GILT FUND - Plan B (Direct) - Growth Option</v>
          </cell>
        </row>
        <row r="1265">
          <cell r="F1265" t="str">
            <v>BARODA HYBRID EQUITY FUND - Plan B (Direct) - Dividend Option</v>
          </cell>
        </row>
        <row r="1266">
          <cell r="F1266" t="str">
            <v>BARODA HYBRID EQUITY FUND - Plan B (Direct) - Growth Option</v>
          </cell>
        </row>
        <row r="1267">
          <cell r="F1267" t="str">
            <v>BARODA INCOME FUND - Plan A - Dividend Option</v>
          </cell>
        </row>
        <row r="1268">
          <cell r="F1268" t="str">
            <v>BARODA INCOME FUND - Plan A - Growth Option</v>
          </cell>
        </row>
        <row r="1269">
          <cell r="F1269" t="str">
            <v>BARODA INCOME FUND - Plan B (Direct) - Dividend Option</v>
          </cell>
        </row>
        <row r="1270">
          <cell r="F1270" t="str">
            <v>BARODA INCOME FUND - Plan B (Direct) - Growth Option</v>
          </cell>
        </row>
        <row r="1271">
          <cell r="F1271" t="str">
            <v>Baroda Large cap Fund - Plan A - Dividend Option</v>
          </cell>
        </row>
        <row r="1272">
          <cell r="F1272" t="str">
            <v>Baroda Large cap Fund - Plan A - Growth Option</v>
          </cell>
        </row>
        <row r="1273">
          <cell r="F1273" t="str">
            <v>Baroda Large cap Fund - Plan B (Direct) - Dividend Option</v>
          </cell>
        </row>
        <row r="1274">
          <cell r="F1274" t="str">
            <v>Baroda Large cap Fund - Plan B (Direct) - Growth Option</v>
          </cell>
        </row>
        <row r="1275">
          <cell r="F1275" t="str">
            <v>BARODA LIQUID FUND - Plan A - DAILY DIVIDEND OPTION</v>
          </cell>
        </row>
        <row r="1276">
          <cell r="F1276" t="str">
            <v>BARODA LIQUID FUND - Plan A - GROWTH OPTION</v>
          </cell>
        </row>
        <row r="1277">
          <cell r="F1277" t="str">
            <v>BARODA LIQUID FUND - PLAN A - WEEKLY DIVIDEND OPTION</v>
          </cell>
        </row>
        <row r="1278">
          <cell r="F1278" t="str">
            <v>Baroda Liquid Fund - Plan B (Direct) - Bonus Option</v>
          </cell>
        </row>
        <row r="1279">
          <cell r="F1279" t="str">
            <v>BARODA LIQUID FUND - PLAN B (DIRECT) - DAILY DIVIDEND OPTION</v>
          </cell>
        </row>
        <row r="1280">
          <cell r="F1280" t="str">
            <v>BARODA LIQUID FUND - PLAN B (DIRECT) - GROWTH OPTION</v>
          </cell>
        </row>
        <row r="1281">
          <cell r="F1281" t="str">
            <v>BARODA LIQUID FUND - PLAN B (DIRECT) - WEEKLY DIVIDEND OPTION</v>
          </cell>
        </row>
        <row r="1282">
          <cell r="F1282" t="str">
            <v>BARODA LIQUID FUND- Regular Growth Option</v>
          </cell>
        </row>
        <row r="1283">
          <cell r="F1283" t="str">
            <v>BARODA LIQUID FUND-Regular Daily Dividend Option</v>
          </cell>
        </row>
        <row r="1284">
          <cell r="F1284" t="str">
            <v>BARODA LIQUID FUND-Regular Dividend Option</v>
          </cell>
        </row>
        <row r="1285">
          <cell r="F1285" t="str">
            <v>Baroda Mid-cap Fund- Plan A - Dividend Option</v>
          </cell>
        </row>
        <row r="1286">
          <cell r="F1286" t="str">
            <v>Baroda Mid-cap Fund- Plan A - Growth Option</v>
          </cell>
        </row>
        <row r="1287">
          <cell r="F1287" t="str">
            <v>Baroda Mid-cap Fund- Plan B (Direct) - Growth Option</v>
          </cell>
        </row>
        <row r="1288">
          <cell r="F1288" t="str">
            <v>Baroda Mid-cap Fund-Plan B (Direct)-Dividend Option</v>
          </cell>
        </row>
        <row r="1289">
          <cell r="F1289" t="str">
            <v>BARODA MULTI CAP FUND - Plan A - Dividend Option</v>
          </cell>
        </row>
        <row r="1290">
          <cell r="F1290" t="str">
            <v>BARODA MULTI CAP FUND - Plan A - Growth Option</v>
          </cell>
        </row>
        <row r="1291">
          <cell r="F1291" t="str">
            <v>BARODA MULTI CAP FUND - Plan B (Direct) - Dividend Option</v>
          </cell>
        </row>
        <row r="1292">
          <cell r="F1292" t="str">
            <v>BARODA MULTI CAP FUND - Plan B (Direct) - Growth Option</v>
          </cell>
        </row>
        <row r="1293">
          <cell r="F1293" t="str">
            <v>Baroda Pioneer Hybrid Fund - Series 1 - Plan A - Dividend Pay-out option</v>
          </cell>
        </row>
        <row r="1294">
          <cell r="F1294" t="str">
            <v>Baroda Pioneer Hybrid Fund - Series 1- Plan A - Growth Option</v>
          </cell>
        </row>
        <row r="1295">
          <cell r="F1295" t="str">
            <v>Baroda Pioneer Hybrid Fund - Series 1- Plan B (Direct) - Growth Option</v>
          </cell>
        </row>
        <row r="1296">
          <cell r="F1296" t="str">
            <v>Baroda Pioneer Hybrid Fund- Series 1- Plan B (Direct) - Dividend Pay-out Option</v>
          </cell>
        </row>
        <row r="1297">
          <cell r="F1297" t="str">
            <v>Baroda Short Term Bond Fund  - Plan B (Direct) - Monthly Dividend Option</v>
          </cell>
        </row>
        <row r="1298">
          <cell r="F1298" t="str">
            <v>Baroda Short Term Bond Fund - Plan A -  Monthly Dividend Option</v>
          </cell>
        </row>
        <row r="1299">
          <cell r="F1299" t="str">
            <v>Baroda Short Term Bond Fund - Plan A - Growth Option</v>
          </cell>
        </row>
        <row r="1300">
          <cell r="F1300" t="str">
            <v>Baroda Short Term Bond Fund - Plan A - Quarterly Dividend Payout</v>
          </cell>
        </row>
        <row r="1301">
          <cell r="F1301" t="str">
            <v>Baroda Short Term Bond Fund - Plan B (Direct) - Growth Option</v>
          </cell>
        </row>
        <row r="1302">
          <cell r="F1302" t="str">
            <v>Baroda Short Term Bond Fund - Plan B - (Direct) - Quarterly Dividend Payout</v>
          </cell>
        </row>
        <row r="1303">
          <cell r="F1303" t="str">
            <v>Baroda Treasury Advantage Fund - Plan A - Bonus Option</v>
          </cell>
        </row>
        <row r="1304">
          <cell r="F1304" t="str">
            <v>Baroda Treasury Advantage Fund - Plan B (Direct) - Daily Dividend Option</v>
          </cell>
        </row>
        <row r="1305">
          <cell r="F1305" t="str">
            <v>Baroda Treasury Advantage Fund - Plan B (Direct) - Growth Option</v>
          </cell>
        </row>
        <row r="1306">
          <cell r="F1306" t="str">
            <v>Baroda Treasury Advantage Fund - Plan B (Direct) - Monthly Dividend Option</v>
          </cell>
        </row>
        <row r="1307">
          <cell r="F1307" t="str">
            <v>Baroda Treasury Advantage Fund - Plan B (Direct) - Quarterly Dividend Option</v>
          </cell>
        </row>
        <row r="1308">
          <cell r="F1308" t="str">
            <v>Baroda Treasury Advantage Fund - Plan B (Direct) - Weekly Dividend Option</v>
          </cell>
        </row>
        <row r="1309">
          <cell r="F1309" t="str">
            <v>Baroda Treasury Advantage Fund- Plan A- Daily Dividend Option</v>
          </cell>
        </row>
        <row r="1310">
          <cell r="F1310" t="str">
            <v>Baroda Treasury Advantage Fund- Plan A- Growth Option</v>
          </cell>
        </row>
        <row r="1311">
          <cell r="F1311" t="str">
            <v>Baroda Treasury Advantage Fund- Plan A- Monthly Dividend Option</v>
          </cell>
        </row>
        <row r="1312">
          <cell r="F1312" t="str">
            <v>Baroda Treasury Advantage Fund- Plan A- Quarterly Dividend Option</v>
          </cell>
        </row>
        <row r="1313">
          <cell r="F1313" t="str">
            <v>Baroda Treasury Advantage Fund- Plan A- Weekly Dividend Option</v>
          </cell>
        </row>
        <row r="1314">
          <cell r="F1314" t="str">
            <v>Baroda Treasury Advantage Fund- Regular Plan - Daily Dividend Option</v>
          </cell>
        </row>
        <row r="1315">
          <cell r="F1315" t="str">
            <v>Baroda Treasury Advantage Fund- Regular Plan - Growth Option</v>
          </cell>
        </row>
        <row r="1316">
          <cell r="F1316" t="str">
            <v>Baroda Treasury Advantage Fund- Regular Plan - Monthly Dividend Option</v>
          </cell>
        </row>
        <row r="1317">
          <cell r="F1317" t="str">
            <v>Baroda Treasury Advantage Fund- Regular Plan - Weekly Dividend Option</v>
          </cell>
        </row>
        <row r="1318">
          <cell r="F1318" t="str">
            <v>BARTRONICSIN</v>
          </cell>
        </row>
        <row r="1319">
          <cell r="F1319" t="str">
            <v>BASANT AGRO</v>
          </cell>
        </row>
        <row r="1320">
          <cell r="F1320" t="str">
            <v>BASF INDIA</v>
          </cell>
        </row>
        <row r="1321">
          <cell r="F1321" t="str">
            <v>BASML</v>
          </cell>
        </row>
        <row r="1322">
          <cell r="F1322" t="str">
            <v>BATA INDIA</v>
          </cell>
        </row>
        <row r="1323">
          <cell r="F1323" t="str">
            <v>BATLIBOI LTD</v>
          </cell>
        </row>
        <row r="1324">
          <cell r="F1324" t="str">
            <v>BAYER CROP</v>
          </cell>
        </row>
        <row r="1325">
          <cell r="F1325" t="str">
            <v>BCC FUBA</v>
          </cell>
        </row>
        <row r="1326">
          <cell r="F1326" t="str">
            <v>BCL</v>
          </cell>
        </row>
        <row r="1327">
          <cell r="F1327" t="str">
            <v>BCONCEPTS</v>
          </cell>
        </row>
        <row r="1328">
          <cell r="F1328" t="str">
            <v>BCP LTD</v>
          </cell>
        </row>
        <row r="1329">
          <cell r="F1329" t="str">
            <v>BCPAL</v>
          </cell>
        </row>
        <row r="1330">
          <cell r="F1330" t="str">
            <v>BDH INDUS.</v>
          </cell>
        </row>
        <row r="1331">
          <cell r="F1331" t="str">
            <v>BEARDSELL</v>
          </cell>
        </row>
        <row r="1332">
          <cell r="F1332" t="str">
            <v>BEDMUTHA IN</v>
          </cell>
        </row>
        <row r="1333">
          <cell r="F1333" t="str">
            <v>BEEKAY</v>
          </cell>
        </row>
        <row r="1334">
          <cell r="F1334" t="str">
            <v>BEEYU OVERSE</v>
          </cell>
        </row>
        <row r="1335">
          <cell r="F1335" t="str">
            <v>BEL</v>
          </cell>
        </row>
        <row r="1336">
          <cell r="F1336" t="str">
            <v>BELLACASA</v>
          </cell>
        </row>
        <row r="1337">
          <cell r="F1337" t="str">
            <v>BEMCO HYDRAU</v>
          </cell>
        </row>
        <row r="1338">
          <cell r="F1338" t="str">
            <v>BEML</v>
          </cell>
        </row>
        <row r="1339">
          <cell r="F1339" t="str">
            <v>BENARES HOT</v>
          </cell>
        </row>
        <row r="1340">
          <cell r="F1340" t="str">
            <v>BENGAL TEA &amp;</v>
          </cell>
        </row>
        <row r="1341">
          <cell r="F1341" t="str">
            <v>BENGLA&amp; ASM</v>
          </cell>
        </row>
        <row r="1342">
          <cell r="F1342" t="str">
            <v>BERGEPAINT</v>
          </cell>
        </row>
        <row r="1343">
          <cell r="F1343" t="str">
            <v>BERVIN INV.</v>
          </cell>
        </row>
        <row r="1344">
          <cell r="F1344" t="str">
            <v>BERYL DRUGS</v>
          </cell>
        </row>
        <row r="1345">
          <cell r="F1345" t="str">
            <v>BEST E.HOTEL</v>
          </cell>
        </row>
        <row r="1346">
          <cell r="F1346" t="str">
            <v>BESTSTEEL</v>
          </cell>
        </row>
        <row r="1347">
          <cell r="F1347" t="str">
            <v>BETA</v>
          </cell>
        </row>
        <row r="1348">
          <cell r="F1348" t="str">
            <v>BETEX INDIA</v>
          </cell>
        </row>
        <row r="1349">
          <cell r="F1349" t="str">
            <v>BF INVEST</v>
          </cell>
        </row>
        <row r="1350">
          <cell r="F1350" t="str">
            <v>BF UTILI</v>
          </cell>
        </row>
        <row r="1351">
          <cell r="F1351" t="str">
            <v>BFFL</v>
          </cell>
        </row>
        <row r="1352">
          <cell r="F1352" t="str">
            <v>BFLAFL</v>
          </cell>
        </row>
        <row r="1353">
          <cell r="F1353" t="str">
            <v>BGJL</v>
          </cell>
        </row>
        <row r="1354">
          <cell r="F1354" t="str">
            <v>BGLOBAL</v>
          </cell>
        </row>
        <row r="1355">
          <cell r="F1355" t="str">
            <v>BGR ENERGY</v>
          </cell>
        </row>
        <row r="1356">
          <cell r="F1356" t="str">
            <v>BH INFRATEL</v>
          </cell>
        </row>
        <row r="1357">
          <cell r="F1357" t="str">
            <v>BH.IMMUN&amp;BIO</v>
          </cell>
        </row>
        <row r="1358">
          <cell r="F1358" t="str">
            <v>BHAGIL</v>
          </cell>
        </row>
        <row r="1359">
          <cell r="F1359" t="str">
            <v>BHAGIRA.CHEM</v>
          </cell>
        </row>
        <row r="1360">
          <cell r="F1360" t="str">
            <v>BHAGWANDAS M</v>
          </cell>
        </row>
        <row r="1361">
          <cell r="F1361" t="str">
            <v>BHAGWATI AUT</v>
          </cell>
        </row>
        <row r="1362">
          <cell r="F1362" t="str">
            <v>BHAGWATI OXY</v>
          </cell>
        </row>
        <row r="1363">
          <cell r="F1363" t="str">
            <v>BHAGYA INL</v>
          </cell>
        </row>
        <row r="1364">
          <cell r="F1364" t="str">
            <v>BHAGYAPROP</v>
          </cell>
        </row>
        <row r="1365">
          <cell r="F1365" t="str">
            <v>BHANDARI</v>
          </cell>
        </row>
        <row r="1366">
          <cell r="F1366" t="str">
            <v>BHANSALI ENG</v>
          </cell>
        </row>
        <row r="1367">
          <cell r="F1367" t="str">
            <v>BHARAT 22 ETF</v>
          </cell>
        </row>
        <row r="1368">
          <cell r="F1368" t="str">
            <v>BHARAT BHUSH</v>
          </cell>
        </row>
        <row r="1369">
          <cell r="F1369" t="str">
            <v>BHARAT BIJLE</v>
          </cell>
        </row>
        <row r="1370">
          <cell r="F1370" t="str">
            <v>BHARAT GEARS</v>
          </cell>
        </row>
        <row r="1371">
          <cell r="F1371" t="str">
            <v>BHARAT PET.</v>
          </cell>
        </row>
        <row r="1372">
          <cell r="F1372" t="str">
            <v>BHARAT SEATS</v>
          </cell>
        </row>
        <row r="1373">
          <cell r="F1373" t="str">
            <v>BHARATAGRI</v>
          </cell>
        </row>
        <row r="1374">
          <cell r="F1374" t="str">
            <v>BHARATFIN</v>
          </cell>
        </row>
        <row r="1375">
          <cell r="F1375" t="str">
            <v>BHARATFORG</v>
          </cell>
        </row>
        <row r="1376">
          <cell r="F1376" t="str">
            <v>BHARATIDIL</v>
          </cell>
        </row>
        <row r="1377">
          <cell r="F1377" t="str">
            <v>BHARATIWIN</v>
          </cell>
        </row>
        <row r="1378">
          <cell r="F1378" t="str">
            <v>BHARATRAS</v>
          </cell>
        </row>
        <row r="1379">
          <cell r="F1379" t="str">
            <v>BHARATWIRE</v>
          </cell>
        </row>
        <row r="1380">
          <cell r="F1380" t="str">
            <v>BHARTI ARTL</v>
          </cell>
        </row>
        <row r="1381">
          <cell r="F1381" t="str">
            <v>BHEL</v>
          </cell>
        </row>
        <row r="1382">
          <cell r="F1382" t="str">
            <v>BHILWARA SP.</v>
          </cell>
        </row>
        <row r="1383">
          <cell r="F1383" t="str">
            <v>BHILWRA TEC</v>
          </cell>
        </row>
        <row r="1384">
          <cell r="F1384" t="str">
            <v>BHUSH STEEL</v>
          </cell>
        </row>
        <row r="1385">
          <cell r="F1385" t="str">
            <v>BIGBLOC</v>
          </cell>
        </row>
        <row r="1386">
          <cell r="F1386" t="str">
            <v>BIHAR SPONGE</v>
          </cell>
        </row>
        <row r="1387">
          <cell r="F1387" t="str">
            <v>BIL</v>
          </cell>
        </row>
        <row r="1388">
          <cell r="F1388" t="str">
            <v>BILCARE LTD.</v>
          </cell>
        </row>
        <row r="1389">
          <cell r="F1389" t="str">
            <v>BILENERGY</v>
          </cell>
        </row>
        <row r="1390">
          <cell r="F1390" t="str">
            <v>BILPOWER LTD</v>
          </cell>
        </row>
        <row r="1391">
          <cell r="F1391" t="str">
            <v>BIMETAL BEAR</v>
          </cell>
        </row>
        <row r="1392">
          <cell r="F1392" t="str">
            <v>BINANIIND</v>
          </cell>
        </row>
        <row r="1393">
          <cell r="F1393" t="str">
            <v>BINDALAGRO</v>
          </cell>
        </row>
        <row r="1394">
          <cell r="F1394" t="str">
            <v>BINNY LTD.</v>
          </cell>
        </row>
        <row r="1395">
          <cell r="F1395" t="str">
            <v>BINNY MILLS</v>
          </cell>
        </row>
        <row r="1396">
          <cell r="F1396" t="str">
            <v>BIOCON LTD.</v>
          </cell>
        </row>
        <row r="1397">
          <cell r="F1397" t="str">
            <v>BIOFILCHEM</v>
          </cell>
        </row>
        <row r="1398">
          <cell r="F1398" t="str">
            <v>BIOGRPAPER</v>
          </cell>
        </row>
        <row r="1399">
          <cell r="F1399" t="str">
            <v>BIOPAC INDIA</v>
          </cell>
        </row>
        <row r="1400">
          <cell r="F1400" t="str">
            <v>BIRLA CORPN.</v>
          </cell>
        </row>
        <row r="1401">
          <cell r="F1401" t="str">
            <v>BIRLA PRETEC</v>
          </cell>
        </row>
        <row r="1402">
          <cell r="F1402" t="str">
            <v>BIRLACABLE</v>
          </cell>
        </row>
        <row r="1403">
          <cell r="F1403" t="str">
            <v>BIRLAMONEY</v>
          </cell>
        </row>
        <row r="1404">
          <cell r="F1404" t="str">
            <v>BKMINDST</v>
          </cell>
        </row>
        <row r="1405">
          <cell r="F1405" t="str">
            <v>BL KASHYAP</v>
          </cell>
        </row>
        <row r="1406">
          <cell r="F1406" t="str">
            <v>BL.CHIP TEX</v>
          </cell>
        </row>
        <row r="1407">
          <cell r="F1407" t="str">
            <v>BLA ROS IND</v>
          </cell>
        </row>
        <row r="1408">
          <cell r="F1408" t="str">
            <v>BLB LTD.</v>
          </cell>
        </row>
        <row r="1409">
          <cell r="F1409" t="str">
            <v>BLFL</v>
          </cell>
        </row>
        <row r="1410">
          <cell r="F1410" t="str">
            <v>BLISSGVS</v>
          </cell>
        </row>
        <row r="1411">
          <cell r="F1411" t="str">
            <v>BLOOM DEKOR</v>
          </cell>
        </row>
        <row r="1412">
          <cell r="F1412" t="str">
            <v>BLS</v>
          </cell>
        </row>
        <row r="1413">
          <cell r="F1413" t="str">
            <v>BLS INFOTE</v>
          </cell>
        </row>
        <row r="1414">
          <cell r="F1414" t="str">
            <v>BLUE BLEND</v>
          </cell>
        </row>
        <row r="1415">
          <cell r="F1415" t="str">
            <v>BLUE STAR</v>
          </cell>
        </row>
        <row r="1416">
          <cell r="F1416" t="str">
            <v>BLUECHIP</v>
          </cell>
        </row>
        <row r="1417">
          <cell r="F1417" t="str">
            <v>BLUEDART</v>
          </cell>
        </row>
        <row r="1418">
          <cell r="F1418" t="str">
            <v>BLUEDART2</v>
          </cell>
        </row>
        <row r="1419">
          <cell r="F1419" t="str">
            <v>BLUENCDSR3</v>
          </cell>
        </row>
        <row r="1420">
          <cell r="F1420" t="str">
            <v>BNALTD</v>
          </cell>
        </row>
        <row r="1421">
          <cell r="F1421" t="str">
            <v>BNK CAPITAL</v>
          </cell>
        </row>
        <row r="1422">
          <cell r="F1422" t="str">
            <v>BNP PARIBAS  ARBITRAGE FUND DIRECT PLAN MONTHLY DIVIDEND</v>
          </cell>
        </row>
        <row r="1423">
          <cell r="F1423" t="str">
            <v>BNP PARIBAS  ARBITRAGE FUND DIRECT PLAN QUARTERLY DIVIDEND</v>
          </cell>
        </row>
        <row r="1424">
          <cell r="F1424" t="str">
            <v>BNP PARIBAS  ARBITRAGE FUND- REGULAR PLAN- GROWTH OPTION</v>
          </cell>
        </row>
        <row r="1425">
          <cell r="F1425" t="str">
            <v>BNP PARIBAS  LARGE CAP Fund-Dividend Option</v>
          </cell>
        </row>
        <row r="1426">
          <cell r="F1426" t="str">
            <v>BNP PARIBAS  LARGE CAP Fund-Growth Option</v>
          </cell>
        </row>
        <row r="1427">
          <cell r="F1427" t="str">
            <v>BNP PARIBAS ARBITRAGE FUND -DIRECT PLAN - ADHOC DIVIDEND OPTION</v>
          </cell>
        </row>
        <row r="1428">
          <cell r="F1428" t="str">
            <v>BNP PARIBAS ARBITRAGE FUND REGULAR PLAN MONTHLY DIVIDEND</v>
          </cell>
        </row>
        <row r="1429">
          <cell r="F1429" t="str">
            <v>BNP PARIBAS ARBITRAGE FUND REGULAR PLAN QUARTERLY DIVIDEND</v>
          </cell>
        </row>
        <row r="1430">
          <cell r="F1430" t="str">
            <v>BNP PARIBAS ARBITRAGE FUND-DIRECT PLAN-GROWTH OPTION</v>
          </cell>
        </row>
        <row r="1431">
          <cell r="F1431" t="str">
            <v>BNP PARIBAS ARBITRAGE FUND-REGULAR PLAN- ADHOC DIVIDEND OPTION</v>
          </cell>
        </row>
        <row r="1432">
          <cell r="F1432" t="str">
            <v>BNP Paribas Conservative Hybrid Fund - Direct Plan - Growth Option</v>
          </cell>
        </row>
        <row r="1433">
          <cell r="F1433" t="str">
            <v>BNP Paribas Conservative Hybrid Fund - Direct Plan - Monthly Dividend Option</v>
          </cell>
        </row>
        <row r="1434">
          <cell r="F1434" t="str">
            <v>BNP Paribas Conservative Hybrid Fund - Direct Plan - Quarterly Dividend Option</v>
          </cell>
        </row>
        <row r="1435">
          <cell r="F1435" t="str">
            <v>BNP PARIBAS Conservative Hybrid Fund-Regular Plan-Growth Option</v>
          </cell>
        </row>
        <row r="1436">
          <cell r="F1436" t="str">
            <v>BNP PARIBAS Conservative hybrid Fund-Regular Plan-Monthly Dividend Option</v>
          </cell>
        </row>
        <row r="1437">
          <cell r="F1437" t="str">
            <v>BNP PARIBAS Conservative Hybrid Fund-Regular Plan-Quarterly Dividend Option</v>
          </cell>
        </row>
        <row r="1438">
          <cell r="F1438" t="str">
            <v>BNP PARIBAS CORPORATE BOND FUND  ANNUAL DIVIDEND OPTION</v>
          </cell>
        </row>
        <row r="1439">
          <cell r="F1439" t="str">
            <v>BNP PARIBAS CORPORATE BOND FUND  MONTHLY DIVIDEND OPTION</v>
          </cell>
        </row>
        <row r="1440">
          <cell r="F1440" t="str">
            <v>BNP Paribas Corporate Bond Fund - Direct Plan - Annual Dividend Option</v>
          </cell>
        </row>
        <row r="1441">
          <cell r="F1441" t="str">
            <v>BNP Paribas Corporate Bond Fund - Direct Plan - Growth Option</v>
          </cell>
        </row>
        <row r="1442">
          <cell r="F1442" t="str">
            <v>BNP Paribas Corporate Bond Fund - Direct Plan - Monthly Dividend Option</v>
          </cell>
        </row>
        <row r="1443">
          <cell r="F1443" t="str">
            <v>BNP Paribas Corporate Bond Fund - Direct Plan - Quarterly Dividend Option</v>
          </cell>
        </row>
        <row r="1444">
          <cell r="F1444" t="str">
            <v>BNP PARIBAS Corporate Bond Fund - Regular Plan - Annual-Dividend Option</v>
          </cell>
        </row>
        <row r="1445">
          <cell r="F1445" t="str">
            <v>BNP PARIBAS Corporate Bond Fund - Regular Plan - Growth Option</v>
          </cell>
        </row>
        <row r="1446">
          <cell r="F1446" t="str">
            <v>BNP PARIBAS Corporate Bond Fund - Regular Plan - Monthly-Dividend Option</v>
          </cell>
        </row>
        <row r="1447">
          <cell r="F1447" t="str">
            <v>BNP PARIBAS Corporate Bond Fund - Regular Plan - Quarterly-Dividend Option</v>
          </cell>
        </row>
        <row r="1448">
          <cell r="F1448" t="str">
            <v>BNP PARIBAS CORPORATE BOND FUND GROWTH OPTION</v>
          </cell>
        </row>
        <row r="1449">
          <cell r="F1449" t="str">
            <v>BNP PARIBAS CORPORATE BOND FUND QUARTERLY DIVIDEND OPTION</v>
          </cell>
        </row>
        <row r="1450">
          <cell r="F1450" t="str">
            <v>BNP Paribas Flexi Debt Fund - Direct Plan - Daily Dividend Option</v>
          </cell>
        </row>
        <row r="1451">
          <cell r="F1451" t="str">
            <v>BNP Paribas Flexi Debt Fund - Direct Plan - Growth Option</v>
          </cell>
        </row>
        <row r="1452">
          <cell r="F1452" t="str">
            <v>BNP Paribas Flexi Debt Fund - Direct Plan - Half Yearly Dividend Option</v>
          </cell>
        </row>
        <row r="1453">
          <cell r="F1453" t="str">
            <v>BNP Paribas Flexi Debt Fund - Direct Plan - Monthly Option</v>
          </cell>
        </row>
        <row r="1454">
          <cell r="F1454" t="str">
            <v>BNP Paribas Flexi Debt Fund - Direct Plan - Quarterly Dividend Option</v>
          </cell>
        </row>
        <row r="1455">
          <cell r="F1455" t="str">
            <v>BNP Paribas Flexi Debt Fund - Direct Plan - Weekly Dividend Option</v>
          </cell>
        </row>
        <row r="1456">
          <cell r="F1456" t="str">
            <v>BNP Paribas Flexi Debt Fund Daily Dividend Option</v>
          </cell>
        </row>
        <row r="1457">
          <cell r="F1457" t="str">
            <v>BNP Paribas Flexi Debt Fund Growth Option</v>
          </cell>
        </row>
        <row r="1458">
          <cell r="F1458" t="str">
            <v>BNP Paribas Flexi Debt Fund Half Yearly Dividend Option</v>
          </cell>
        </row>
        <row r="1459">
          <cell r="F1459" t="str">
            <v>BNP Paribas Flexi Debt Fund Monthly Option</v>
          </cell>
        </row>
        <row r="1460">
          <cell r="F1460" t="str">
            <v>BNP Paribas Flexi Debt Fund Quarterly Dividend Option</v>
          </cell>
        </row>
        <row r="1461">
          <cell r="F1461" t="str">
            <v>BNP Paribas Flexi Debt Fund Weekly Dividend Option</v>
          </cell>
        </row>
        <row r="1462">
          <cell r="F1462" t="str">
            <v>BNP PARIBAS Flexi Debt Fund-Regular Plan A - Growth Option</v>
          </cell>
        </row>
        <row r="1463">
          <cell r="F1463" t="str">
            <v>BNP PARIBAS Flexi Debt Fund-Regular Plan A - Quarterly Dividend Option</v>
          </cell>
        </row>
        <row r="1464">
          <cell r="F1464" t="str">
            <v>BNP Paribas Focused 25 Equity Fund - Direct Plan - Dividend Option</v>
          </cell>
        </row>
        <row r="1465">
          <cell r="F1465" t="str">
            <v>BNP Paribas Focused 25 Equity Fund - Direct Plan - Growth Option</v>
          </cell>
        </row>
        <row r="1466">
          <cell r="F1466" t="str">
            <v>BNP Paribas Focused 25 Equity Fund - Regular Plan - Dividend Option</v>
          </cell>
        </row>
        <row r="1467">
          <cell r="F1467" t="str">
            <v>BNP Paribas Focused 25 Equity Fund - Regular Plan-Growth</v>
          </cell>
        </row>
        <row r="1468">
          <cell r="F1468" t="str">
            <v>BNP Paribas Government Securities Fund - Annual dividend option</v>
          </cell>
        </row>
        <row r="1469">
          <cell r="F1469" t="str">
            <v>BNP Paribas Government Securities Fund - Calendar quarterly dividend option</v>
          </cell>
        </row>
        <row r="1470">
          <cell r="F1470" t="str">
            <v>BNP Paribas Government Securities Fund - Direct Plan - Annual dividend option</v>
          </cell>
        </row>
        <row r="1471">
          <cell r="F1471" t="str">
            <v>BNP Paribas Government Securities Fund - Direct Plan - Growth Option</v>
          </cell>
        </row>
        <row r="1472">
          <cell r="F1472" t="str">
            <v>BNP Paribas Government Securities Fund - Direct Plan - Monthly Dividend Option</v>
          </cell>
        </row>
        <row r="1473">
          <cell r="F1473" t="str">
            <v>BNP Paribas Government Securities Fund - Growth Option</v>
          </cell>
        </row>
        <row r="1474">
          <cell r="F1474" t="str">
            <v>BNP Paribas Government Securities Fund - Half yearly dividend option</v>
          </cell>
        </row>
        <row r="1475">
          <cell r="F1475" t="str">
            <v>BNP Paribas Government Securities Fund -Monthly dividend option</v>
          </cell>
        </row>
        <row r="1476">
          <cell r="F1476" t="str">
            <v>BNP Paribas LARGE CAP Fund - Direct Plan - Dividend Option</v>
          </cell>
        </row>
        <row r="1477">
          <cell r="F1477" t="str">
            <v>BNP Paribas LARGE CAP Fund - Direct Plan - Growth Option</v>
          </cell>
        </row>
        <row r="1478">
          <cell r="F1478" t="str">
            <v>BNP PARIBAS LIQUID FUND - DAILY DIVIDEND OPTION</v>
          </cell>
        </row>
        <row r="1479">
          <cell r="F1479" t="str">
            <v>BNP PARIBAS LIQUID Fund - DIRECT PLAN - MONTHLY DIVIDEND OPTION</v>
          </cell>
        </row>
        <row r="1480">
          <cell r="F1480" t="str">
            <v>BNP PARIBAS LIQUID FUND - DIRECT PLAN -- DAILY DIVIDEND OPTION</v>
          </cell>
        </row>
        <row r="1481">
          <cell r="F1481" t="str">
            <v>BNP PARIBAS LIQUID FUND - GROWTH OPTION</v>
          </cell>
        </row>
        <row r="1482">
          <cell r="F1482" t="str">
            <v>BNP PARIBAS LIQUID FUND - MONTHLY DIVIDEND OPTION</v>
          </cell>
        </row>
        <row r="1483">
          <cell r="F1483" t="str">
            <v>BNP PARIBAS LIQUID FUND - REGULAR PLAN - GROWTH OPTION</v>
          </cell>
        </row>
        <row r="1484">
          <cell r="F1484" t="str">
            <v>BNP PARIBAS LIQUID FUND - REGULAR PLAN - MONTHLY DIVIDEND OPTION</v>
          </cell>
        </row>
        <row r="1485">
          <cell r="F1485" t="str">
            <v>BNP PARIBAS LIQUID FUND - REGULAR PLAN - WEEKLY DIVIDEND OPTION</v>
          </cell>
        </row>
        <row r="1486">
          <cell r="F1486" t="str">
            <v>BNP PARIBAS LIQUID FUND - WEEKLY DIVIDEND OPTION</v>
          </cell>
        </row>
        <row r="1487">
          <cell r="F1487" t="str">
            <v>BNP PARIBAS LIQUID FUND -- DIRECT PLAN - GROWTH OPTION</v>
          </cell>
        </row>
        <row r="1488">
          <cell r="F1488" t="str">
            <v>BNP PARIBAS LIQUID FUND -- DIRECT PLAN - WEEKLY DIVIDEND OPTION</v>
          </cell>
        </row>
        <row r="1489">
          <cell r="F1489" t="str">
            <v>BNP PARIBAS LIQUID FUND SPECIAL UNCLAIMED DIV 36A -- GROWTH OPTION</v>
          </cell>
        </row>
        <row r="1490">
          <cell r="F1490" t="str">
            <v>BNP PARIBAS LIQUID FUND SPECIAL UNCLAIMED DIV 36B -- GROWTH OPTION</v>
          </cell>
        </row>
        <row r="1491">
          <cell r="F1491" t="str">
            <v>BNP PARIBAS LIQUID FUND SPECIAL UNCLAIMED RED 36A-- GROWTH OPTION</v>
          </cell>
        </row>
        <row r="1492">
          <cell r="F1492" t="str">
            <v>BNP PARIBAS LIQUID FUND SPECIAL UNCLAIMED RED 36B -- GROWTH OPTION</v>
          </cell>
        </row>
        <row r="1493">
          <cell r="F1493" t="str">
            <v>BNP Paribas Long Term Equity Fund - Direct Plan - Dividend Option</v>
          </cell>
        </row>
        <row r="1494">
          <cell r="F1494" t="str">
            <v>BNP Paribas Long Term Equity Fund - Direct Plan - Growth Option</v>
          </cell>
        </row>
        <row r="1495">
          <cell r="F1495" t="str">
            <v>BNP Paribas Long Term Equity Fund - Growth Option</v>
          </cell>
        </row>
        <row r="1496">
          <cell r="F1496" t="str">
            <v>BNP Paribas Long Term Equity Fund-Dividend Option</v>
          </cell>
        </row>
        <row r="1497">
          <cell r="F1497" t="str">
            <v>BNP PARIBAS LOW DURATION FUND  DAILY DIVIDEND OPTION</v>
          </cell>
        </row>
        <row r="1498">
          <cell r="F1498" t="str">
            <v>BNP PARIBAS LOW DURATION FUND  GROWTH OPTION</v>
          </cell>
        </row>
        <row r="1499">
          <cell r="F1499" t="str">
            <v>BNP PARIBAS LOW DURATION FUND  MONTHLY DIVIDEND OPTION</v>
          </cell>
        </row>
        <row r="1500">
          <cell r="F1500" t="str">
            <v>BNP PARIBAS LOW DURATION FUND  WEEKLY DIVIDEND OPTION</v>
          </cell>
        </row>
        <row r="1501">
          <cell r="F1501" t="str">
            <v>BNP Paribas LOW DURATION Fund - Direct Plan - Daily Dividend Option</v>
          </cell>
        </row>
        <row r="1502">
          <cell r="F1502" t="str">
            <v>BNP Paribas LOW DURATION Fund - Direct Plan - Growth Option</v>
          </cell>
        </row>
        <row r="1503">
          <cell r="F1503" t="str">
            <v>BNP Paribas LOW DURATION Fund - Direct Plan - Monthly Dividend Option</v>
          </cell>
        </row>
        <row r="1504">
          <cell r="F1504" t="str">
            <v>BNP Paribas LOW DURATION Fund - Direct Plan - Weekly Dividend Option</v>
          </cell>
        </row>
        <row r="1505">
          <cell r="F1505" t="str">
            <v>BNP PARIBAS LOW DURATION Fund-Regular Plan- Daily Dividend Option (Compulsory Reinvestment)</v>
          </cell>
        </row>
        <row r="1506">
          <cell r="F1506" t="str">
            <v>BNP PARIBAS LOW DURATION Fund-Regular Plan-Growth Option</v>
          </cell>
        </row>
        <row r="1507">
          <cell r="F1507" t="str">
            <v>BNP PARIBAS LOW DURATION Fund-Regular Plan-Monthly Dividend Option</v>
          </cell>
        </row>
        <row r="1508">
          <cell r="F1508" t="str">
            <v>BNP PARIBAS LOW DURATION Fund-Regular Plan-Weekly Dividend Option</v>
          </cell>
        </row>
        <row r="1509">
          <cell r="F1509" t="str">
            <v>BNP Paribas Medium Term  Fund - Annual Dividend Option</v>
          </cell>
        </row>
        <row r="1510">
          <cell r="F1510" t="str">
            <v>BNP Paribas Medium Term Fund - Calendar Quarterly Dividend Option</v>
          </cell>
        </row>
        <row r="1511">
          <cell r="F1511" t="str">
            <v>BNP Paribas Medium Term Fund - Direct Plan - Annual Dividend Option</v>
          </cell>
        </row>
        <row r="1512">
          <cell r="F1512" t="str">
            <v>BNP Paribas Medium Term Fund - Direct Plan - Calendar Quarterly Dividend Option</v>
          </cell>
        </row>
        <row r="1513">
          <cell r="F1513" t="str">
            <v>BNP Paribas Medium Term Fund - Direct Plan - Growth Option</v>
          </cell>
        </row>
        <row r="1514">
          <cell r="F1514" t="str">
            <v>BNP Paribas Medium Term Fund - Direct Plan - Half yearly Dividend Option</v>
          </cell>
        </row>
        <row r="1515">
          <cell r="F1515" t="str">
            <v>BNP Paribas Medium Term Fund - Direct Plan - Monthly Dividend Option</v>
          </cell>
        </row>
        <row r="1516">
          <cell r="F1516" t="str">
            <v>BNP Paribas Medium Term Fund - Growth Option</v>
          </cell>
        </row>
        <row r="1517">
          <cell r="F1517" t="str">
            <v>BNP Paribas Medium Term Fund - Half Yearly Dividend Option</v>
          </cell>
        </row>
        <row r="1518">
          <cell r="F1518" t="str">
            <v>BNP Paribas Medium Term Fund - Monthly Dividend Option</v>
          </cell>
        </row>
        <row r="1519">
          <cell r="F1519" t="str">
            <v>BNP Paribas Mid Cap Fund - Direct Plan - Dividend Option</v>
          </cell>
        </row>
        <row r="1520">
          <cell r="F1520" t="str">
            <v>BNP Paribas Mid Cap Fund - Direct Plan - Growth Option</v>
          </cell>
        </row>
        <row r="1521">
          <cell r="F1521" t="str">
            <v>BNP Paribas Mid Cap Fund-Dividend Option</v>
          </cell>
        </row>
        <row r="1522">
          <cell r="F1522" t="str">
            <v>BNP Paribas Mid Cap Fund-Growth Option</v>
          </cell>
        </row>
        <row r="1523">
          <cell r="F1523" t="str">
            <v>BNP Paribas MULTI CAP Fund - Direct Plan - Dividend Option</v>
          </cell>
        </row>
        <row r="1524">
          <cell r="F1524" t="str">
            <v>BNP Paribas MULTI CAP Fund - Direct Plan - Growth Option</v>
          </cell>
        </row>
        <row r="1525">
          <cell r="F1525" t="str">
            <v>BNP PARIBAS MULTI CAP Fund-Dividend Option</v>
          </cell>
        </row>
        <row r="1526">
          <cell r="F1526" t="str">
            <v>BNP PARIBAS MULTI CAP Fund-Growth Option</v>
          </cell>
        </row>
        <row r="1527">
          <cell r="F1527" t="str">
            <v>BNP PARIBAS SHORT TERM  FUND  DAILY DIVIDEND OPTION</v>
          </cell>
        </row>
        <row r="1528">
          <cell r="F1528" t="str">
            <v>BNP PARIBAS SHORT TERM  FUND  MONTHLY DIVIDEND OPTION</v>
          </cell>
        </row>
        <row r="1529">
          <cell r="F1529" t="str">
            <v>BNP Paribas Short Term  Fund - Direct Plan - Daily Dividend Option</v>
          </cell>
        </row>
        <row r="1530">
          <cell r="F1530" t="str">
            <v>BNP Paribas Short Term  Fund - Direct Plan - Growth Option</v>
          </cell>
        </row>
        <row r="1531">
          <cell r="F1531" t="str">
            <v>BNP Paribas Short Term  Fund - Direct Plan - Quarterly Dividend Option</v>
          </cell>
        </row>
        <row r="1532">
          <cell r="F1532" t="str">
            <v>BNP PARIBAS SHORT TERM FUND  GROWTH OPTION</v>
          </cell>
        </row>
        <row r="1533">
          <cell r="F1533" t="str">
            <v>BNP PARIBAS SHORT TERM FUND  QUARTERLY DIVIDEND OPTION</v>
          </cell>
        </row>
        <row r="1534">
          <cell r="F1534" t="str">
            <v>BNP PARIBAS SHORT TERM FUND  WEEKLY DIVIDEND OPTION</v>
          </cell>
        </row>
        <row r="1535">
          <cell r="F1535" t="str">
            <v>BNP Paribas Short Term Fund - Direct Plan - Monthly Dividend Option</v>
          </cell>
        </row>
        <row r="1536">
          <cell r="F1536" t="str">
            <v>BNP Paribas Short Term Fund - Direct Plan - Weekly Dividend Option</v>
          </cell>
        </row>
        <row r="1537">
          <cell r="F1537" t="str">
            <v>BNP PARIBAS Short Term Fund-Regular Plan-Growth Option</v>
          </cell>
        </row>
        <row r="1538">
          <cell r="F1538" t="str">
            <v>BNP PARIBAS Short Term Fund-Regular Plan-Monthly Dividend Option</v>
          </cell>
        </row>
        <row r="1539">
          <cell r="F1539" t="str">
            <v>BNP PARIBAS Short Term Fund-Regular Plan-Quarterly Dividend Option</v>
          </cell>
        </row>
        <row r="1540">
          <cell r="F1540" t="str">
            <v>BNP PARIBAS Short Term Fund-Regular Plan-Weekly Dividend Option</v>
          </cell>
        </row>
        <row r="1541">
          <cell r="F1541" t="str">
            <v>BNP PARIBAS SUBSTANTIAL EQUITY HYBRID FUND -DIRECT PLAN- DIVIDEND OPTION</v>
          </cell>
        </row>
        <row r="1542">
          <cell r="F1542" t="str">
            <v>BNP PARIBAS SUBSTANTIAL EQUITY HYBRID FUND- DIRECT PLAN - GROWTH OPTION</v>
          </cell>
        </row>
        <row r="1543">
          <cell r="F1543" t="str">
            <v>BNP PARIBAS SUBSTANTIAL EQUITY HYBRID FUND- REGULAR PLAN- DIVIDEND OPTION</v>
          </cell>
        </row>
        <row r="1544">
          <cell r="F1544" t="str">
            <v>BNP PARIBAS SUBSTANTIAL EQUITY HYBRID FUND- REGULAT PLAN -GROWTH OPTION</v>
          </cell>
        </row>
        <row r="1545">
          <cell r="F1545" t="str">
            <v>BNR UDYOG</v>
          </cell>
        </row>
        <row r="1546">
          <cell r="F1546" t="str">
            <v>BODAL CHEM</v>
          </cell>
        </row>
        <row r="1547">
          <cell r="F1547" t="str">
            <v>BODHTREE</v>
          </cell>
        </row>
        <row r="1548">
          <cell r="F1548" t="str">
            <v>BOI AXA Capital Protection Oriented  Fund Series 5 Regular Plan Growth</v>
          </cell>
        </row>
        <row r="1549">
          <cell r="F1549" t="str">
            <v>BOI AXA Capital Protection Oriented Fund Series 3 Direct Plan Dividend</v>
          </cell>
        </row>
        <row r="1550">
          <cell r="F1550" t="str">
            <v>BOI AXA Capital Protection Oriented Fund Series 3 Direct Plan Growth</v>
          </cell>
        </row>
        <row r="1551">
          <cell r="F1551" t="str">
            <v>BOI AXA Capital Protection Oriented Fund Series 3 Regular Plan Dividend</v>
          </cell>
        </row>
        <row r="1552">
          <cell r="F1552" t="str">
            <v>BOI AXA Capital Protection Oriented Fund Series 3 Regular Plan Growth</v>
          </cell>
        </row>
        <row r="1553">
          <cell r="F1553" t="str">
            <v>BOI AXA Capital Protection Oriented Fund Series 4 Direct Growth</v>
          </cell>
        </row>
        <row r="1554">
          <cell r="F1554" t="str">
            <v>BOI AXA Capital Protection Oriented Fund Series 4 Regular Growth</v>
          </cell>
        </row>
        <row r="1555">
          <cell r="F1555" t="str">
            <v>BOI AXA Capital Protection Oriented Fund Series 5 Direct Plan Growth</v>
          </cell>
        </row>
        <row r="1556">
          <cell r="F1556" t="str">
            <v>BOI AXA Conservative Hybrid  Fund-Direct Plan-Quarterly Dividend</v>
          </cell>
        </row>
        <row r="1557">
          <cell r="F1557" t="str">
            <v>BOI AXA Conservative Hybrid  Fund-ECO Plan-Quarterly Dividend</v>
          </cell>
        </row>
        <row r="1558">
          <cell r="F1558" t="str">
            <v>BOI AXA Conservative Hybrid Fund Fund-Direct Plan-Growth</v>
          </cell>
        </row>
        <row r="1559">
          <cell r="F1559" t="str">
            <v>BOI AXA Conservative Hybrid Fund-Direct Plan-Annual Dividend</v>
          </cell>
        </row>
        <row r="1560">
          <cell r="F1560" t="str">
            <v>BOI AXA Conservative Hybrid Fund-Direct Plan-Monthly Dividend</v>
          </cell>
        </row>
        <row r="1561">
          <cell r="F1561" t="str">
            <v>BOI AXA Conservative Hybrid Fund-ECO Plan-Growth</v>
          </cell>
        </row>
        <row r="1562">
          <cell r="F1562" t="str">
            <v>BOI AXA Conservative Hybrid Fund-ECO Plan-Monthly Dividend</v>
          </cell>
        </row>
        <row r="1563">
          <cell r="F1563" t="str">
            <v>BOI AXA Conservative Hybrid Fund-Regular Plan-Annual Dividend</v>
          </cell>
        </row>
        <row r="1564">
          <cell r="F1564" t="str">
            <v>BOI AXA Conservative Hybrid Fund-Regular Plan-Growth</v>
          </cell>
        </row>
        <row r="1565">
          <cell r="F1565" t="str">
            <v>BOI AXA Conservative Hybrid Fund-Regular Plan-Monthly Dividend</v>
          </cell>
        </row>
        <row r="1566">
          <cell r="F1566" t="str">
            <v>BOI AXA Credit Risk  Fund - Direct Plan</v>
          </cell>
        </row>
        <row r="1567">
          <cell r="F1567" t="str">
            <v>BOI AXA Credit Risk Fund - Regular Plan</v>
          </cell>
        </row>
        <row r="1568">
          <cell r="F1568" t="str">
            <v>BOI AXA EQUITY DEBT REBALANCER FUND  DIRECT PLAN DIVIDEND</v>
          </cell>
        </row>
        <row r="1569">
          <cell r="F1569" t="str">
            <v>BOI AXA EQUITY DEBT REBALANCER FUND  REGULAR PLAN DIVIDEND</v>
          </cell>
        </row>
        <row r="1570">
          <cell r="F1570" t="str">
            <v>BOI AXA Large &amp; Mid Cap  Equity Fund Regular Plan- Quarterly Dividend</v>
          </cell>
        </row>
        <row r="1571">
          <cell r="F1571" t="str">
            <v>BOI AXA Large &amp; Mid Cap Equity Fund Direct  Plan- Quarterly Dividend</v>
          </cell>
        </row>
        <row r="1572">
          <cell r="F1572" t="str">
            <v>BOI AXA Large &amp; Mid Cap Equity Fund Direct Plan- Bonus</v>
          </cell>
        </row>
        <row r="1573">
          <cell r="F1573" t="str">
            <v>BOI AXA Large &amp; Mid Cap Equity Fund Direct Plan-Growth</v>
          </cell>
        </row>
        <row r="1574">
          <cell r="F1574" t="str">
            <v>BOI AXA Large &amp; Mid Cap Equity Fund Direct Plan-Regular Dividend</v>
          </cell>
        </row>
        <row r="1575">
          <cell r="F1575" t="str">
            <v>BOI AXA Large &amp; Mid Cap Equity Fund Eco Plan- Growth</v>
          </cell>
        </row>
        <row r="1576">
          <cell r="F1576" t="str">
            <v>BOI AXA Large &amp; Mid Cap Equity Fund Eco Plan-Bonus</v>
          </cell>
        </row>
        <row r="1577">
          <cell r="F1577" t="str">
            <v>BOI AXA Large &amp; Mid Cap Equity Fund Eco Plan-Quarterly Dividend</v>
          </cell>
        </row>
        <row r="1578">
          <cell r="F1578" t="str">
            <v>BOI AXA Large &amp; Mid Cap Equity Fund Eco Plan-Regular Dividend</v>
          </cell>
        </row>
        <row r="1579">
          <cell r="F1579" t="str">
            <v>BOI AXA Large &amp; Mid Cap Equity Fund Regular Plan- Growth</v>
          </cell>
        </row>
        <row r="1580">
          <cell r="F1580" t="str">
            <v>BOI AXA Large &amp; Mid Cap Equity Fund Regular Plan- Regular Dividend</v>
          </cell>
        </row>
        <row r="1581">
          <cell r="F1581" t="str">
            <v>BOI AXA Large &amp; Mid Cap Equity Fund Regular Plan-Bonus</v>
          </cell>
        </row>
        <row r="1582">
          <cell r="F1582" t="str">
            <v>BOI AXA Liquid Fund  Unclaimed Dividend greater than  3 years</v>
          </cell>
        </row>
        <row r="1583">
          <cell r="F1583" t="str">
            <v>BOI AXA Liquid Fund  Unclaimed Dividend Upto 3 years</v>
          </cell>
        </row>
        <row r="1584">
          <cell r="F1584" t="str">
            <v>BOI AXA Liquid Fund  Unclaimed Redemption greater than  3 years</v>
          </cell>
        </row>
        <row r="1585">
          <cell r="F1585" t="str">
            <v>BOI AXA Liquid Fund  Unclaimed Redemption Upto 3 years</v>
          </cell>
        </row>
        <row r="1586">
          <cell r="F1586" t="str">
            <v>BOI AXA Liquid Fund- Direct Plan- Daily Dividend</v>
          </cell>
        </row>
        <row r="1587">
          <cell r="F1587" t="str">
            <v>BOI AXA Liquid Fund- Direct Plan- Growth</v>
          </cell>
        </row>
        <row r="1588">
          <cell r="F1588" t="str">
            <v>BOI AXA Liquid Fund- Direct Plan- Weekly Dividend</v>
          </cell>
        </row>
        <row r="1589">
          <cell r="F1589" t="str">
            <v>BOI AXA Liquid Fund- Regular Plan- Daily Dividend</v>
          </cell>
        </row>
        <row r="1590">
          <cell r="F1590" t="str">
            <v>BOI AXA Liquid Fund- Regular Plan- Growth</v>
          </cell>
        </row>
        <row r="1591">
          <cell r="F1591" t="str">
            <v>BOI AXA Liquid Fund- Regular Plan- Weekly Dividend</v>
          </cell>
        </row>
        <row r="1592">
          <cell r="F1592" t="str">
            <v>BOI AXA Manufacturing &amp; Infrastructure Fund-Direct Plan-Growth</v>
          </cell>
        </row>
        <row r="1593">
          <cell r="F1593" t="str">
            <v>BOI AXA Manufacturing &amp; Infrastructure Fund-Direct Plan-Quarterly Dividend</v>
          </cell>
        </row>
        <row r="1594">
          <cell r="F1594" t="str">
            <v>BOI AXA Manufacturing &amp; Infrastructure Fund-Direct Plan-Regular Dividend</v>
          </cell>
        </row>
        <row r="1595">
          <cell r="F1595" t="str">
            <v>BOI AXA Manufacturing &amp; Infrastructure Fund-Growth</v>
          </cell>
        </row>
        <row r="1596">
          <cell r="F1596" t="str">
            <v>BOI AXA Manufacturing &amp; Infrastructure Fund-Quarterly Dividend</v>
          </cell>
        </row>
        <row r="1597">
          <cell r="F1597" t="str">
            <v>BOI AXA Manufacturing &amp; Infrastructure Fund-Regular Dividend</v>
          </cell>
        </row>
        <row r="1598">
          <cell r="F1598" t="str">
            <v>BOI AXA MID &amp; SMALL CAP EQUITY &amp; DEBT FUND - DIRECT PLAN  DIVIDEND</v>
          </cell>
        </row>
        <row r="1599">
          <cell r="F1599" t="str">
            <v>BOI AXA MID &amp; SMALL CAP EQUITY &amp; DEBT FUND - DIRECT PLAN GROWTH</v>
          </cell>
        </row>
        <row r="1600">
          <cell r="F1600" t="str">
            <v>BOI AXA MID &amp; SMALL CAP EQUITY &amp; DEBT FUND - REGULAR  PLAN  DIVIDEND</v>
          </cell>
        </row>
        <row r="1601">
          <cell r="F1601" t="str">
            <v>BOI AXA MID &amp; SMALL CAP EQUITY &amp; DEBT FUND - REGULAR  PLAN  GROWTH</v>
          </cell>
        </row>
        <row r="1602">
          <cell r="F1602" t="str">
            <v>BOI AXA Short Term Income Fund-Direct Plan- Growth</v>
          </cell>
        </row>
        <row r="1603">
          <cell r="F1603" t="str">
            <v>BOI AXA Short Term Income Fund-Direct Plan- Monthly Dividend</v>
          </cell>
        </row>
        <row r="1604">
          <cell r="F1604" t="str">
            <v>BOI AXA Short Term Income Fund-Direct Plan- Quarterly Dividend</v>
          </cell>
        </row>
        <row r="1605">
          <cell r="F1605" t="str">
            <v>BOI AXA Short Term Income Fund-Regular Plan- Growth</v>
          </cell>
        </row>
        <row r="1606">
          <cell r="F1606" t="str">
            <v>BOI AXA Short Term Income Fund-Regular Plan- Monthly Dividend</v>
          </cell>
        </row>
        <row r="1607">
          <cell r="F1607" t="str">
            <v>BOI AXA Short Term Income Fund-Regular Plan- Quarterly Dividend</v>
          </cell>
        </row>
        <row r="1608">
          <cell r="F1608" t="str">
            <v>BOI AXA Tax Advantage Fund-Direct Plan-Dividend</v>
          </cell>
        </row>
        <row r="1609">
          <cell r="F1609" t="str">
            <v>BOI AXA Tax Advantage Fund-ECO Plan-Dividend</v>
          </cell>
        </row>
        <row r="1610">
          <cell r="F1610" t="str">
            <v>BOI AXA Tax Advantage Fund-ECO Plan-Growth</v>
          </cell>
        </row>
        <row r="1611">
          <cell r="F1611" t="str">
            <v>BOI AXA Tax Advantage Fund-Regular Plan- Growth</v>
          </cell>
        </row>
        <row r="1612">
          <cell r="F1612" t="str">
            <v>BOI AXA Tax Advantage Fund-Regular Plan-Dividend</v>
          </cell>
        </row>
        <row r="1613">
          <cell r="F1613" t="str">
            <v>BOI AXA Ultra Short Duration Fund- Direct Plan- Daily Dividend</v>
          </cell>
        </row>
        <row r="1614">
          <cell r="F1614" t="str">
            <v>BOI AXA Ultra Short Duration Fund- Direct Plan- Growth</v>
          </cell>
        </row>
        <row r="1615">
          <cell r="F1615" t="str">
            <v>BOI AXA Ultra Short Duration Fund- Direct Plan- Weekly Dividend</v>
          </cell>
        </row>
        <row r="1616">
          <cell r="F1616" t="str">
            <v>BOI AXA Ultra Short Duration Fund- Direct Plan-Bonus</v>
          </cell>
        </row>
        <row r="1617">
          <cell r="F1617" t="str">
            <v>BOI AXA Ultra Short Duration Fund- Regular Plan- Daily Dividend</v>
          </cell>
        </row>
        <row r="1618">
          <cell r="F1618" t="str">
            <v>BOI AXA Ultra Short Duration Fund- Regular Plan- Growth</v>
          </cell>
        </row>
        <row r="1619">
          <cell r="F1619" t="str">
            <v>BOI AXA Ultra Short Duration Fund- Regular Plan- Weekly Dividend</v>
          </cell>
        </row>
        <row r="1620">
          <cell r="F1620" t="str">
            <v>BOI AXAConservative Hybrid Fund-Regular Plan-Quarterly Dividend</v>
          </cell>
        </row>
        <row r="1621">
          <cell r="F1621" t="str">
            <v>BOIAXAEQUITY DEBT REBALANCER FUND DIRECT PLAN  GROWTH</v>
          </cell>
        </row>
        <row r="1622">
          <cell r="F1622" t="str">
            <v>BOIAXAEQUITY DEBT REBALANCER FUND REGULAR PLAN  GROWTH</v>
          </cell>
        </row>
        <row r="1623">
          <cell r="F1623" t="str">
            <v>BOM.BURMAH</v>
          </cell>
        </row>
        <row r="1624">
          <cell r="F1624" t="str">
            <v>BOM.CYCLE</v>
          </cell>
        </row>
        <row r="1625">
          <cell r="F1625" t="str">
            <v>BOMBAY RAYON</v>
          </cell>
        </row>
        <row r="1626">
          <cell r="F1626" t="str">
            <v>BOMDYEING</v>
          </cell>
        </row>
        <row r="1627">
          <cell r="F1627" t="str">
            <v>BOROSIL GLAS</v>
          </cell>
        </row>
        <row r="1628">
          <cell r="F1628" t="str">
            <v>BOSCH LTD</v>
          </cell>
        </row>
        <row r="1629">
          <cell r="F1629" t="str">
            <v>BPL</v>
          </cell>
        </row>
        <row r="1630">
          <cell r="F1630" t="str">
            <v>BRADY MORRIS</v>
          </cell>
        </row>
        <row r="1631">
          <cell r="F1631" t="str">
            <v>BRAHM INFRA</v>
          </cell>
        </row>
        <row r="1632">
          <cell r="F1632" t="str">
            <v>BRAWN BIO</v>
          </cell>
        </row>
        <row r="1633">
          <cell r="F1633" t="str">
            <v>BRIGADE</v>
          </cell>
        </row>
        <row r="1634">
          <cell r="F1634" t="str">
            <v>BRIGHT BROS.</v>
          </cell>
        </row>
        <row r="1635">
          <cell r="F1635" t="str">
            <v>BRIPORT</v>
          </cell>
        </row>
        <row r="1636">
          <cell r="F1636" t="str">
            <v>BRITANNIA</v>
          </cell>
        </row>
        <row r="1637">
          <cell r="F1637" t="str">
            <v>BRNL</v>
          </cell>
        </row>
        <row r="1638">
          <cell r="F1638" t="str">
            <v>BRONZE INFRA</v>
          </cell>
        </row>
        <row r="1639">
          <cell r="F1639" t="str">
            <v>BROOKS LABS</v>
          </cell>
        </row>
        <row r="1640">
          <cell r="F1640" t="str">
            <v>BSE</v>
          </cell>
        </row>
        <row r="1641">
          <cell r="F1641" t="str">
            <v>BSE  INFRA</v>
          </cell>
        </row>
        <row r="1642">
          <cell r="F1642" t="str">
            <v>BSL</v>
          </cell>
        </row>
        <row r="1643">
          <cell r="F1643" t="str">
            <v>BSLGOLDETF</v>
          </cell>
        </row>
        <row r="1644">
          <cell r="F1644" t="str">
            <v>BSLIMITED</v>
          </cell>
        </row>
        <row r="1645">
          <cell r="F1645" t="str">
            <v>BSLNIFTY</v>
          </cell>
        </row>
        <row r="1646">
          <cell r="F1646" t="str">
            <v>BULL</v>
          </cell>
        </row>
        <row r="1647">
          <cell r="F1647" t="str">
            <v>BURNPUR</v>
          </cell>
        </row>
        <row r="1648">
          <cell r="F1648" t="str">
            <v>BUTTERFLY</v>
          </cell>
        </row>
        <row r="1649">
          <cell r="F1649" t="str">
            <v>BVCL</v>
          </cell>
        </row>
        <row r="1650">
          <cell r="F1650" t="str">
            <v>BYKE HOSP</v>
          </cell>
        </row>
        <row r="1651">
          <cell r="F1651" t="str">
            <v>CADILA HEALT</v>
          </cell>
        </row>
        <row r="1652">
          <cell r="F1652" t="str">
            <v>CADSYS</v>
          </cell>
        </row>
        <row r="1653">
          <cell r="F1653" t="str">
            <v>CALCOM VISIO</v>
          </cell>
        </row>
        <row r="1654">
          <cell r="F1654" t="str">
            <v>CALSOFT</v>
          </cell>
        </row>
        <row r="1655">
          <cell r="F1655" t="str">
            <v>CAMBRIDGE</v>
          </cell>
        </row>
        <row r="1656">
          <cell r="F1656" t="str">
            <v>CAMEX LTD</v>
          </cell>
        </row>
        <row r="1657">
          <cell r="F1657" t="str">
            <v>CAMLINFINE</v>
          </cell>
        </row>
        <row r="1658">
          <cell r="F1658" t="str">
            <v>CAMPH.&amp; ALL</v>
          </cell>
        </row>
        <row r="1659">
          <cell r="F1659" t="str">
            <v>CAMSONBIO</v>
          </cell>
        </row>
        <row r="1660">
          <cell r="F1660" t="str">
            <v>CAMSONSEEDS</v>
          </cell>
        </row>
        <row r="1661">
          <cell r="F1661" t="str">
            <v>Canara Robeco Bluechip Equity Fund - Direct Plan - Dividend</v>
          </cell>
        </row>
        <row r="1662">
          <cell r="F1662" t="str">
            <v>Canara Robeco Bluechip Equity Fund - Direct Plan - Growth</v>
          </cell>
        </row>
        <row r="1663">
          <cell r="F1663" t="str">
            <v>Canara Robeco Bluechip Equity Fund - Regular Plan - Dividend</v>
          </cell>
        </row>
        <row r="1664">
          <cell r="F1664" t="str">
            <v>Canara Robeco Bluechip Equity Fund - Regular Plan - Growth</v>
          </cell>
        </row>
        <row r="1665">
          <cell r="F1665" t="str">
            <v>canara Robeco Capital protection Oriented Fund - Series  7 - Direct Plan - Dividend payout Option</v>
          </cell>
        </row>
        <row r="1666">
          <cell r="F1666" t="str">
            <v>canara Robeco Capital protection Oriented Fund - Series  7 - Direct Plan - Growth option</v>
          </cell>
        </row>
        <row r="1667">
          <cell r="F1667" t="str">
            <v>canara Robeco Capital protection Oriented Fund - Series  7 - Regular Plan - Dividend payout Option</v>
          </cell>
        </row>
        <row r="1668">
          <cell r="F1668" t="str">
            <v>canara Robeco Capital protection Oriented Fund - Series  7 - Regular Plan - Growth Option</v>
          </cell>
        </row>
        <row r="1669">
          <cell r="F1669" t="str">
            <v>Canara Robeco Capital Protection Oriented Fund - Series 4 - Direct Plan - Growth Option</v>
          </cell>
        </row>
        <row r="1670">
          <cell r="F1670" t="str">
            <v>Canara Robeco Capital Protection Oriented Fund - Series 4 - Regular Plan - Dividend Payout Option</v>
          </cell>
        </row>
        <row r="1671">
          <cell r="F1671" t="str">
            <v>Canara Robeco Capital Protection Oriented Fund - Series 4 - Regular Plan - Growth Option</v>
          </cell>
        </row>
        <row r="1672">
          <cell r="F1672" t="str">
            <v>Canara Robeco Capital Protection Oriented Fund - Series 5 - Direct Plan - Dividend Option</v>
          </cell>
        </row>
        <row r="1673">
          <cell r="F1673" t="str">
            <v>Canara Robeco Capital protection Oriented Fund - Series 5 - Direct Plan - Growth Option</v>
          </cell>
        </row>
        <row r="1674">
          <cell r="F1674" t="str">
            <v>Canara Robeco Capital protection Oriented Fund - Series 5 - Regular Plan - Growth Option</v>
          </cell>
        </row>
        <row r="1675">
          <cell r="F1675" t="str">
            <v>Canara Robeco Capital protection Oriented Fund - Series 6 - Regular Plan - Dividend Payout Option</v>
          </cell>
        </row>
        <row r="1676">
          <cell r="F1676" t="str">
            <v>Canara Robeco Capital Protection Oriented Fund - Series 8 - Direct Plan - Dividend Payout Option</v>
          </cell>
        </row>
        <row r="1677">
          <cell r="F1677" t="str">
            <v>Canara Robeco Capital Protection Oriented Fund - Series 8 - Direct Plan - Growth Option</v>
          </cell>
        </row>
        <row r="1678">
          <cell r="F1678" t="str">
            <v>Canara Robeco Capital Protection Oriented Fund - Series 8 -Regular Plan - Dividend Payout Option</v>
          </cell>
        </row>
        <row r="1679">
          <cell r="F1679" t="str">
            <v>Canara Robeco Capital protection Oriented Fund - Serries 5 - Regular Plan - Dividend option</v>
          </cell>
        </row>
        <row r="1680">
          <cell r="F1680" t="str">
            <v>Canara Robeco capital protection Oriented Fund series 6  - Direct Plan - Growth Option</v>
          </cell>
        </row>
        <row r="1681">
          <cell r="F1681" t="str">
            <v>Canara Robeco Capital Protection Oriented Fund Series 6 - Direct Plan - Dividend Payout Option</v>
          </cell>
        </row>
        <row r="1682">
          <cell r="F1682" t="str">
            <v>Canara Robeco Capital Protection Oriented Fund Series 6 - Regular Plan - Growth Option</v>
          </cell>
        </row>
        <row r="1683">
          <cell r="F1683" t="str">
            <v>Canara Robeco Capital Protection Oriented Fund- Series 8 - Regular Plan - Growth option</v>
          </cell>
        </row>
        <row r="1684">
          <cell r="F1684" t="str">
            <v>Canara Robeco Conservative Hybrid Fund - Direct Plan - Monthly Dividend Option</v>
          </cell>
        </row>
        <row r="1685">
          <cell r="F1685" t="str">
            <v>Canara Robeco Conservative Hybrid Fund - Direct Plan - Quarterly Dividend Option</v>
          </cell>
        </row>
        <row r="1686">
          <cell r="F1686" t="str">
            <v>Canara Robeco Conservative Hybrid Fund - Regular Plan - Growth</v>
          </cell>
        </row>
        <row r="1687">
          <cell r="F1687" t="str">
            <v>Canara Robeco Conservative Hybrid Fund - Regular Plan - Monthly Dividend</v>
          </cell>
        </row>
        <row r="1688">
          <cell r="F1688" t="str">
            <v>Canara Robeco Conservative Hybrid Fund - Regular Plan - Quarterly Dividend</v>
          </cell>
        </row>
        <row r="1689">
          <cell r="F1689" t="str">
            <v>Canara Robeco Conservative Hybrid Fund-Direct Plan - Growth Option</v>
          </cell>
        </row>
        <row r="1690">
          <cell r="F1690" t="str">
            <v>Canara Robeco Consumer Trends Fund - Direct Plan - Dividend</v>
          </cell>
        </row>
        <row r="1691">
          <cell r="F1691" t="str">
            <v>Canara Robeco Consumer Trends Fund - Direct Plan - Growth</v>
          </cell>
        </row>
        <row r="1692">
          <cell r="F1692" t="str">
            <v>Canara Robeco Consumer Trends Fund - Regular Plan - Dividend Option</v>
          </cell>
        </row>
        <row r="1693">
          <cell r="F1693" t="str">
            <v>Canara Robeco Consumer Trends Fund - Regular Plan - Growth Option</v>
          </cell>
        </row>
        <row r="1694">
          <cell r="F1694" t="str">
            <v>Canara Robeco Corporate Bond Fund - Direct Plan - Dividend</v>
          </cell>
        </row>
        <row r="1695">
          <cell r="F1695" t="str">
            <v>Canara Robeco Corporate Bond Fund - Direct Plan - Growth</v>
          </cell>
        </row>
        <row r="1696">
          <cell r="F1696" t="str">
            <v>Canara Robeco Corporate Bond Fund - Regular Plan - Dividend</v>
          </cell>
        </row>
        <row r="1697">
          <cell r="F1697" t="str">
            <v>Canara Robeco Corporate Bond Fund - Regular Plan - Growth</v>
          </cell>
        </row>
        <row r="1698">
          <cell r="F1698" t="str">
            <v>Canara Robeco Dynamic Bond Fund - Direct Plan - Dividend Option</v>
          </cell>
        </row>
        <row r="1699">
          <cell r="F1699" t="str">
            <v>Canara Robeco Dynamic Bond Fund - Direct Plan - Growth</v>
          </cell>
        </row>
        <row r="1700">
          <cell r="F1700" t="str">
            <v>Canara Robeco Dynamic Bond Fund - Regular Plan - Dividend</v>
          </cell>
        </row>
        <row r="1701">
          <cell r="F1701" t="str">
            <v>Canara Robeco Dynamic Bond Fund - Regular Plan - Growth</v>
          </cell>
        </row>
        <row r="1702">
          <cell r="F1702" t="str">
            <v>Canara Robeco Emerging Equities - Regular Plan - GROWTH</v>
          </cell>
        </row>
        <row r="1703">
          <cell r="F1703" t="str">
            <v>Canara Robeco Emerging Equities-Direct Plan-Dividend Option</v>
          </cell>
        </row>
        <row r="1704">
          <cell r="F1704" t="str">
            <v>Canara Robeco Emerging Equities-Direct Plan-Growth Option</v>
          </cell>
        </row>
        <row r="1705">
          <cell r="F1705" t="str">
            <v>Canara Robeco Emerging Equities-Regular Plan - DIVIDEND</v>
          </cell>
        </row>
        <row r="1706">
          <cell r="F1706" t="str">
            <v>Canara Robeco Equity Diversified fund - Regular Plan - Dividend</v>
          </cell>
        </row>
        <row r="1707">
          <cell r="F1707" t="str">
            <v>Canara Robeco Equity Diversified Fund - Regular Plan - Growth</v>
          </cell>
        </row>
        <row r="1708">
          <cell r="F1708" t="str">
            <v>Canara Robeco Equity Diversified Fund-Direct Plan -Growth Option</v>
          </cell>
        </row>
        <row r="1709">
          <cell r="F1709" t="str">
            <v>Canara Robeco Equity Diversified Fund-Direct Plan-Dividend Option</v>
          </cell>
        </row>
        <row r="1710">
          <cell r="F1710" t="str">
            <v>Canara Robeco Equity Hybrid Fund - Direct Plan - Growth</v>
          </cell>
        </row>
        <row r="1711">
          <cell r="F1711" t="str">
            <v>Canara Robeco Equity Hybrid Fund - Direct Plan - Monthly Dividend</v>
          </cell>
        </row>
        <row r="1712">
          <cell r="F1712" t="str">
            <v>Canara Robeco Equity Hybrid Fund - Regular Plan - Growth</v>
          </cell>
        </row>
        <row r="1713">
          <cell r="F1713" t="str">
            <v>Canara Robeco Equity Hybrid Fund - Regular Plan - Monthly Dividend</v>
          </cell>
        </row>
        <row r="1714">
          <cell r="F1714" t="str">
            <v>Canara Robeco Equity Taxsaver Fund - Direct Plan - Dividend Option</v>
          </cell>
        </row>
        <row r="1715">
          <cell r="F1715" t="str">
            <v>Canara Robeco Equity Taxsaver Fund - Direct Plan - Growth Option</v>
          </cell>
        </row>
        <row r="1716">
          <cell r="F1716" t="str">
            <v>Canara Robeco Equity Taxsaver Fund - Regular Plan - Dividend</v>
          </cell>
        </row>
        <row r="1717">
          <cell r="F1717" t="str">
            <v>Canara Robeco Equity Taxsaver Fund - Regular Plan - Growth</v>
          </cell>
        </row>
        <row r="1718">
          <cell r="F1718" t="str">
            <v>Canara Robeco Gilt Fund - Regular Plan - Dividend</v>
          </cell>
        </row>
        <row r="1719">
          <cell r="F1719" t="str">
            <v>Canara Robeco Gilt Fund - Regular Plan - Growth</v>
          </cell>
        </row>
        <row r="1720">
          <cell r="F1720" t="str">
            <v>Canara Robeco Gilt Fund-Direct Plan - Dividend Option</v>
          </cell>
        </row>
        <row r="1721">
          <cell r="F1721" t="str">
            <v>Canara Robeco Gilt Fund-Direct Plan - Growth option</v>
          </cell>
        </row>
        <row r="1722">
          <cell r="F1722" t="str">
            <v>Canara Robeco Gold Exchange Traded Fund</v>
          </cell>
        </row>
        <row r="1723">
          <cell r="F1723" t="str">
            <v>Canara Robeco Gold Savings Fund - Direct Plan - Dividend Option</v>
          </cell>
        </row>
        <row r="1724">
          <cell r="F1724" t="str">
            <v>Canara Robeco Gold Savings Fund - Direct Plan - Growth Option</v>
          </cell>
        </row>
        <row r="1725">
          <cell r="F1725" t="str">
            <v>Canara Robeco Gold Savings Fund - Regular Plan - Dividend</v>
          </cell>
        </row>
        <row r="1726">
          <cell r="F1726" t="str">
            <v>Canara Robeco Gold Savings Fund - Regular Plan - Growth</v>
          </cell>
        </row>
        <row r="1727">
          <cell r="F1727" t="str">
            <v>Canara Robeco Income Fund - Regular Plan - Growth</v>
          </cell>
        </row>
        <row r="1728">
          <cell r="F1728" t="str">
            <v>Canara Robeco Income Fund - Regular Plan - Quarterly Dividend</v>
          </cell>
        </row>
        <row r="1729">
          <cell r="F1729" t="str">
            <v>Canara Robeco Income Fund- Direct Plan - Quarterly Dividend</v>
          </cell>
        </row>
        <row r="1730">
          <cell r="F1730" t="str">
            <v>Canara Robeco Income Fund-Direct Plan - Growth Option</v>
          </cell>
        </row>
        <row r="1731">
          <cell r="F1731" t="str">
            <v>Canara Robeco India opportunities - Series 2 - Regular Plan - Dividend Option</v>
          </cell>
        </row>
        <row r="1732">
          <cell r="F1732" t="str">
            <v>Canara Robeco India opportunities - Series 2 - Regular Plan - Growth Option</v>
          </cell>
        </row>
        <row r="1733">
          <cell r="F1733" t="str">
            <v>Canara Robeco India Opportunities - Series 2- Direct Plan - Growth Option</v>
          </cell>
        </row>
        <row r="1734">
          <cell r="F1734" t="str">
            <v>Canara Robeco India Opportunities- Series 2 - Direct Plan - Dividend Option</v>
          </cell>
        </row>
        <row r="1735">
          <cell r="F1735" t="str">
            <v>Canara Robeco InDiGo Fund - Direct Plan - Growth</v>
          </cell>
        </row>
        <row r="1736">
          <cell r="F1736" t="str">
            <v>Canara Robeco InDiGo Fund - Direct Plan - Quarterly Dividend</v>
          </cell>
        </row>
        <row r="1737">
          <cell r="F1737" t="str">
            <v>Canara Robeco InDiGo Fund - Regular Plan - Growth</v>
          </cell>
        </row>
        <row r="1738">
          <cell r="F1738" t="str">
            <v>Canara Robeco InDiGo Fund - Regular Plan - Quarterly Dividend</v>
          </cell>
        </row>
        <row r="1739">
          <cell r="F1739" t="str">
            <v>Canara Robeco Infrastructure - Regular Plan - DIVIDEND</v>
          </cell>
        </row>
        <row r="1740">
          <cell r="F1740" t="str">
            <v>Canara Robeco Infrastructure - Regular Plan - GROWTH</v>
          </cell>
        </row>
        <row r="1741">
          <cell r="F1741" t="str">
            <v>Canara Robeco Infrastructure-Direct Plan - Dividend</v>
          </cell>
        </row>
        <row r="1742">
          <cell r="F1742" t="str">
            <v>Canara Robeco Infrastructure-Direct Plan - Growth</v>
          </cell>
        </row>
        <row r="1743">
          <cell r="F1743" t="str">
            <v>Canara Robeco Liquid Fund - Direct Plan-Growth</v>
          </cell>
        </row>
        <row r="1744">
          <cell r="F1744" t="str">
            <v>Canara Robeco Liquid Fund -Unclaimed Redemption and Dividend Plan -Direct Growth Option</v>
          </cell>
        </row>
        <row r="1745">
          <cell r="F1745" t="str">
            <v>Canara Robeco Liquid Fund- Direct Plan-Weekly dividend</v>
          </cell>
        </row>
        <row r="1746">
          <cell r="F1746" t="str">
            <v>Canara Robeco Liquid Fund-Direct Plan-Daily Dividend Reinvestment</v>
          </cell>
        </row>
        <row r="1747">
          <cell r="F1747" t="str">
            <v>Canara Robeco Liquid Fund-Direct Plan-Dividend Payout</v>
          </cell>
        </row>
        <row r="1748">
          <cell r="F1748" t="str">
            <v>Canara Robeco Liquid Fund-Direct Plan-Monthly Dividend</v>
          </cell>
        </row>
        <row r="1749">
          <cell r="F1749" t="str">
            <v>Canara Robeco Liquid Fund-Regular Plan-Daily Div Reinvest.</v>
          </cell>
        </row>
        <row r="1750">
          <cell r="F1750" t="str">
            <v>Canara Robeco Liquid Fund-Regular Plan-Growth</v>
          </cell>
        </row>
        <row r="1751">
          <cell r="F1751" t="str">
            <v>Canara Robeco Liquid Fund-Regular Plan-Monthly Div Reinvest.</v>
          </cell>
        </row>
        <row r="1752">
          <cell r="F1752" t="str">
            <v>Canara Robeco Liquid Fund-Regular Plan-Weekly Div Reinvest.</v>
          </cell>
        </row>
        <row r="1753">
          <cell r="F1753" t="str">
            <v>Canara Robeco Savings Fund - Regular Plan - DAILY DIVIDEND REINVESTMENT</v>
          </cell>
        </row>
        <row r="1754">
          <cell r="F1754" t="str">
            <v>Canara Robeco Savings Fund - Regular Plan - MONTHLY DIVIDEND</v>
          </cell>
        </row>
        <row r="1755">
          <cell r="F1755" t="str">
            <v>Canara Robeco Savings Fund- Direct Plan - Daily Dividend Reinvestment</v>
          </cell>
        </row>
        <row r="1756">
          <cell r="F1756" t="str">
            <v>Canara Robeco Savings Fund- Direct Plan - Weekly Dividend Option</v>
          </cell>
        </row>
        <row r="1757">
          <cell r="F1757" t="str">
            <v>Canara Robeco Savings Fund- Regular Plan - DIVIDEND</v>
          </cell>
        </row>
        <row r="1758">
          <cell r="F1758" t="str">
            <v>Canara Robeco Savings Fund- Regular Plan - GROWTH</v>
          </cell>
        </row>
        <row r="1759">
          <cell r="F1759" t="str">
            <v>Canara Robeco Savings Fund- Regular Plan - Weekly Dividend</v>
          </cell>
        </row>
        <row r="1760">
          <cell r="F1760" t="str">
            <v>Canara Robeco Savings Fund-Direct Plan - Dividend Option</v>
          </cell>
        </row>
        <row r="1761">
          <cell r="F1761" t="str">
            <v>Canara Robeco Savings Fund-Direct Plan - Growth Option</v>
          </cell>
        </row>
        <row r="1762">
          <cell r="F1762" t="str">
            <v>Canara Robeco Savings Fund-Direct Plan - Monthly Dividend Option</v>
          </cell>
        </row>
        <row r="1763">
          <cell r="F1763" t="str">
            <v>Canara Robeco Short Duration Fund - Direct Plan - Growth</v>
          </cell>
        </row>
        <row r="1764">
          <cell r="F1764" t="str">
            <v>Canara Robeco Short Duration Fund - Direct Plan - Monthly Dividend</v>
          </cell>
        </row>
        <row r="1765">
          <cell r="F1765" t="str">
            <v>Canara Robeco Short Duration Fund - Direct Plan - Quarterly Dividend</v>
          </cell>
        </row>
        <row r="1766">
          <cell r="F1766" t="str">
            <v>Canara Robeco Short Duration Fund - Regular Plan - Growth</v>
          </cell>
        </row>
        <row r="1767">
          <cell r="F1767" t="str">
            <v>Canara Robeco Short Duration Fund - Regular Plan - Monthly Dividend</v>
          </cell>
        </row>
        <row r="1768">
          <cell r="F1768" t="str">
            <v>Canara Robeco Short Duration Fund - Regular Plan - Quarterly Dividend</v>
          </cell>
        </row>
        <row r="1769">
          <cell r="F1769" t="str">
            <v>Canara Robeco Short Term Fund- Direct Plan - Growth</v>
          </cell>
        </row>
        <row r="1770">
          <cell r="F1770" t="str">
            <v>Canara Robeco Short Term Fund- Direct Plan - Monthly Dividend</v>
          </cell>
        </row>
        <row r="1771">
          <cell r="F1771" t="str">
            <v>Canara Robeco Short Term Fund- Direct Plan - Weekly Dividend</v>
          </cell>
        </row>
        <row r="1772">
          <cell r="F1772" t="str">
            <v>Canara Robeco Short Term Fund- Regular Plan - Growth</v>
          </cell>
        </row>
        <row r="1773">
          <cell r="F1773" t="str">
            <v>Canara Robeco Short Term Fund- Regular Plan - Monthly Dividend</v>
          </cell>
        </row>
        <row r="1774">
          <cell r="F1774" t="str">
            <v>Canara Robeco Short Term Fund- Regular Plan - Weekly Dividend</v>
          </cell>
        </row>
        <row r="1775">
          <cell r="F1775" t="str">
            <v>Canara Robeco Ultra Short Term Fund - Direct Plan- Daily Dividend Reinvestment</v>
          </cell>
        </row>
        <row r="1776">
          <cell r="F1776" t="str">
            <v>Canara Robeco Ultra Short Term Fund - Direct Plan- Dividend Payout</v>
          </cell>
        </row>
        <row r="1777">
          <cell r="F1777" t="str">
            <v>Canara Robeco Ultra Short Term Fund - Direct Plan- Growth option</v>
          </cell>
        </row>
        <row r="1778">
          <cell r="F1778" t="str">
            <v>Canara Robeco Ultra Short Term Fund - Direct Plan- Monthly Dividend</v>
          </cell>
        </row>
        <row r="1779">
          <cell r="F1779" t="str">
            <v>Canara Robeco Ultra Short Term Fund - Direct Plan- Weekly Dividend</v>
          </cell>
        </row>
        <row r="1780">
          <cell r="F1780" t="str">
            <v>Canara Robeco Ultra Short Term Fund - Regular Plan - Growth</v>
          </cell>
        </row>
        <row r="1781">
          <cell r="F1781" t="str">
            <v>Canara Robeco Ultra Short Term Fund - Regular Plan- Daily Div Reinvest</v>
          </cell>
        </row>
        <row r="1782">
          <cell r="F1782" t="str">
            <v>Canara Robeco Ultra Short Term Fund - Regular Plan- Monthly Dividend</v>
          </cell>
        </row>
        <row r="1783">
          <cell r="F1783" t="str">
            <v>Canara Robeco Ultra Short Term Fund - Regular Plan- Weekly Div Reinvest</v>
          </cell>
        </row>
        <row r="1784">
          <cell r="F1784" t="str">
            <v>Canara Robeco Ultra Short Term Fund- Regular Plan - Dividend payout option</v>
          </cell>
        </row>
        <row r="1785">
          <cell r="F1785" t="str">
            <v>CANBK</v>
          </cell>
        </row>
        <row r="1786">
          <cell r="F1786" t="str">
            <v>CANDC</v>
          </cell>
        </row>
        <row r="1787">
          <cell r="F1787" t="str">
            <v>CANFINHOME</v>
          </cell>
        </row>
        <row r="1788">
          <cell r="F1788" t="str">
            <v>CANTABIL</v>
          </cell>
        </row>
        <row r="1789">
          <cell r="F1789" t="str">
            <v>CAPACITE</v>
          </cell>
        </row>
        <row r="1790">
          <cell r="F1790" t="str">
            <v>CAPF</v>
          </cell>
        </row>
        <row r="1791">
          <cell r="F1791" t="str">
            <v>CAPITAL TRUS</v>
          </cell>
        </row>
        <row r="1792">
          <cell r="F1792" t="str">
            <v>CAPLIPOINT</v>
          </cell>
        </row>
        <row r="1793">
          <cell r="F1793" t="str">
            <v>CAPRIHANS</v>
          </cell>
        </row>
        <row r="1794">
          <cell r="F1794" t="str">
            <v>CAPTAIN POLY</v>
          </cell>
        </row>
        <row r="1795">
          <cell r="F1795" t="str">
            <v>CARBORUNIV</v>
          </cell>
        </row>
        <row r="1796">
          <cell r="F1796" t="str">
            <v>CAREERP</v>
          </cell>
        </row>
        <row r="1797">
          <cell r="F1797" t="str">
            <v>CARERATING</v>
          </cell>
        </row>
        <row r="1798">
          <cell r="F1798" t="str">
            <v>CARNATION IN</v>
          </cell>
        </row>
        <row r="1799">
          <cell r="F1799" t="str">
            <v>CASTEXTECH</v>
          </cell>
        </row>
        <row r="1800">
          <cell r="F1800" t="str">
            <v>CASTROL</v>
          </cell>
        </row>
        <row r="1801">
          <cell r="F1801" t="str">
            <v>CATVISION</v>
          </cell>
        </row>
        <row r="1802">
          <cell r="F1802" t="str">
            <v>CCCL</v>
          </cell>
        </row>
        <row r="1803">
          <cell r="F1803" t="str">
            <v>CCHHL</v>
          </cell>
        </row>
        <row r="1804">
          <cell r="F1804" t="str">
            <v>CCL</v>
          </cell>
        </row>
        <row r="1805">
          <cell r="F1805" t="str">
            <v>CCL INTER</v>
          </cell>
        </row>
        <row r="1806">
          <cell r="F1806" t="str">
            <v>CDSL</v>
          </cell>
        </row>
        <row r="1807">
          <cell r="F1807" t="str">
            <v>CEATLTD</v>
          </cell>
        </row>
        <row r="1808">
          <cell r="F1808" t="str">
            <v>CEBBCO</v>
          </cell>
        </row>
        <row r="1809">
          <cell r="F1809" t="str">
            <v>CEEJAY FINAN</v>
          </cell>
        </row>
        <row r="1810">
          <cell r="F1810" t="str">
            <v>CEINSYSTECH</v>
          </cell>
        </row>
        <row r="1811">
          <cell r="F1811" t="str">
            <v>CELEBRITY</v>
          </cell>
        </row>
        <row r="1812">
          <cell r="F1812" t="str">
            <v>CELESTIAL</v>
          </cell>
        </row>
        <row r="1813">
          <cell r="F1813" t="str">
            <v>CENLUB INDUS</v>
          </cell>
        </row>
        <row r="1814">
          <cell r="F1814" t="str">
            <v>CENTERAC</v>
          </cell>
        </row>
        <row r="1815">
          <cell r="F1815" t="str">
            <v>CENTRAL BK</v>
          </cell>
        </row>
        <row r="1816">
          <cell r="F1816" t="str">
            <v>CENTRUM CAP</v>
          </cell>
        </row>
        <row r="1817">
          <cell r="F1817" t="str">
            <v>CENTUM</v>
          </cell>
        </row>
        <row r="1818">
          <cell r="F1818" t="str">
            <v>CENTURY ENKA</v>
          </cell>
        </row>
        <row r="1819">
          <cell r="F1819" t="str">
            <v>CENTURY EXT</v>
          </cell>
        </row>
        <row r="1820">
          <cell r="F1820" t="str">
            <v>CENTURY TEXT</v>
          </cell>
        </row>
        <row r="1821">
          <cell r="F1821" t="str">
            <v>CENTURYPLY</v>
          </cell>
        </row>
        <row r="1822">
          <cell r="F1822" t="str">
            <v>CERA</v>
          </cell>
        </row>
        <row r="1823">
          <cell r="F1823" t="str">
            <v>CEREBRAINT</v>
          </cell>
        </row>
        <row r="1824">
          <cell r="F1824" t="str">
            <v>CESC LTD.</v>
          </cell>
        </row>
        <row r="1825">
          <cell r="F1825" t="str">
            <v>CG-VAK SOFTW</v>
          </cell>
        </row>
        <row r="1826">
          <cell r="F1826" t="str">
            <v>CGCL</v>
          </cell>
        </row>
        <row r="1827">
          <cell r="F1827" t="str">
            <v>CGPOWER</v>
          </cell>
        </row>
        <row r="1828">
          <cell r="F1828" t="str">
            <v>CHAMANLAL SE</v>
          </cell>
        </row>
        <row r="1829">
          <cell r="F1829" t="str">
            <v>CHAMBLFERT</v>
          </cell>
        </row>
        <row r="1830">
          <cell r="F1830" t="str">
            <v>CHANDNI TE</v>
          </cell>
        </row>
        <row r="1831">
          <cell r="F1831" t="str">
            <v>CHARTERLOGIS</v>
          </cell>
        </row>
        <row r="1832">
          <cell r="F1832" t="str">
            <v>CHD DEV LTD</v>
          </cell>
        </row>
        <row r="1833">
          <cell r="F1833" t="str">
            <v>CHEMBOND CHM</v>
          </cell>
        </row>
        <row r="1834">
          <cell r="F1834" t="str">
            <v>CHEMCRUX</v>
          </cell>
        </row>
        <row r="1835">
          <cell r="F1835" t="str">
            <v>CHEMO PHARMA</v>
          </cell>
        </row>
        <row r="1836">
          <cell r="F1836" t="str">
            <v>CHENNPETRO</v>
          </cell>
        </row>
        <row r="1837">
          <cell r="F1837" t="str">
            <v>CHEVIOT CO.</v>
          </cell>
        </row>
        <row r="1838">
          <cell r="F1838" t="str">
            <v>CHHATT IND</v>
          </cell>
        </row>
        <row r="1839">
          <cell r="F1839" t="str">
            <v>CHOICE INT.</v>
          </cell>
        </row>
        <row r="1840">
          <cell r="F1840" t="str">
            <v>CHOKSI IMAG</v>
          </cell>
        </row>
        <row r="1841">
          <cell r="F1841" t="str">
            <v>CHOKSI LABOR</v>
          </cell>
        </row>
        <row r="1842">
          <cell r="F1842" t="str">
            <v>CHOLAFIN</v>
          </cell>
        </row>
        <row r="1843">
          <cell r="F1843" t="str">
            <v>CHORDIA FOOD</v>
          </cell>
        </row>
        <row r="1844">
          <cell r="F1844" t="str">
            <v>CHOWGULE ST</v>
          </cell>
        </row>
        <row r="1845">
          <cell r="F1845" t="str">
            <v>CHROMATIC</v>
          </cell>
        </row>
        <row r="1846">
          <cell r="F1846" t="str">
            <v>CIFL</v>
          </cell>
        </row>
        <row r="1847">
          <cell r="F1847" t="str">
            <v>CIGNITITEC</v>
          </cell>
        </row>
        <row r="1848">
          <cell r="F1848" t="str">
            <v>CIL NOVA</v>
          </cell>
        </row>
        <row r="1849">
          <cell r="F1849" t="str">
            <v>CIL SECURITS</v>
          </cell>
        </row>
        <row r="1850">
          <cell r="F1850" t="str">
            <v>CIMMCO</v>
          </cell>
        </row>
        <row r="1851">
          <cell r="F1851" t="str">
            <v>CINDRELLA HT</v>
          </cell>
        </row>
        <row r="1852">
          <cell r="F1852" t="str">
            <v>CINELINE</v>
          </cell>
        </row>
        <row r="1853">
          <cell r="F1853" t="str">
            <v>CINEVISTA</v>
          </cell>
        </row>
        <row r="1854">
          <cell r="F1854" t="str">
            <v>CIPLA LTD.</v>
          </cell>
        </row>
        <row r="1855">
          <cell r="F1855" t="str">
            <v>CITADEL</v>
          </cell>
        </row>
        <row r="1856">
          <cell r="F1856" t="str">
            <v>CLARI CHEM</v>
          </cell>
        </row>
        <row r="1857">
          <cell r="F1857" t="str">
            <v>CLARIS LIFE</v>
          </cell>
        </row>
        <row r="1858">
          <cell r="F1858" t="str">
            <v>CLASSIC</v>
          </cell>
        </row>
        <row r="1859">
          <cell r="F1859" t="str">
            <v>CLEDUCATE</v>
          </cell>
        </row>
        <row r="1860">
          <cell r="F1860" t="str">
            <v>CLLIMITED</v>
          </cell>
        </row>
        <row r="1861">
          <cell r="F1861" t="str">
            <v>CMI FPE</v>
          </cell>
        </row>
        <row r="1862">
          <cell r="F1862" t="str">
            <v>CMI LTD.</v>
          </cell>
        </row>
        <row r="1863">
          <cell r="F1863" t="str">
            <v>CMM HOSPITAL</v>
          </cell>
        </row>
        <row r="1864">
          <cell r="F1864" t="str">
            <v>CMMIPL</v>
          </cell>
        </row>
        <row r="1865">
          <cell r="F1865" t="str">
            <v>CNI RES LTD</v>
          </cell>
        </row>
        <row r="1866">
          <cell r="F1866" t="str">
            <v>COALINDIA</v>
          </cell>
        </row>
        <row r="1867">
          <cell r="F1867" t="str">
            <v>COCHIN MIN.</v>
          </cell>
        </row>
        <row r="1868">
          <cell r="F1868" t="str">
            <v>COCHINSHIP</v>
          </cell>
        </row>
        <row r="1869">
          <cell r="F1869" t="str">
            <v>COFFEEDAY</v>
          </cell>
        </row>
        <row r="1870">
          <cell r="F1870" t="str">
            <v>COLGATE PALM</v>
          </cell>
        </row>
        <row r="1871">
          <cell r="F1871" t="str">
            <v>COM FINCAP</v>
          </cell>
        </row>
        <row r="1872">
          <cell r="F1872" t="str">
            <v>COMBAT DRUGS</v>
          </cell>
        </row>
        <row r="1873">
          <cell r="F1873" t="str">
            <v>COMFORT COM</v>
          </cell>
        </row>
        <row r="1874">
          <cell r="F1874" t="str">
            <v>COMFORT INTE</v>
          </cell>
        </row>
        <row r="1875">
          <cell r="F1875" t="str">
            <v>COMMEX TECH</v>
          </cell>
        </row>
        <row r="1876">
          <cell r="F1876" t="str">
            <v>COMPETENT AU</v>
          </cell>
        </row>
        <row r="1877">
          <cell r="F1877" t="str">
            <v>COMPUAGE INF</v>
          </cell>
        </row>
        <row r="1878">
          <cell r="F1878" t="str">
            <v>COMPUSOFT</v>
          </cell>
        </row>
        <row r="1879">
          <cell r="F1879" t="str">
            <v>COMPUTER PNT</v>
          </cell>
        </row>
        <row r="1880">
          <cell r="F1880" t="str">
            <v>COMSYN</v>
          </cell>
        </row>
        <row r="1881">
          <cell r="F1881" t="str">
            <v>CONART ENG.</v>
          </cell>
        </row>
        <row r="1882">
          <cell r="F1882" t="str">
            <v>CONCOR</v>
          </cell>
        </row>
        <row r="1883">
          <cell r="F1883" t="str">
            <v>CONCORD</v>
          </cell>
        </row>
        <row r="1884">
          <cell r="F1884" t="str">
            <v>CONFI PETRO</v>
          </cell>
        </row>
        <row r="1885">
          <cell r="F1885" t="str">
            <v>CONFINT</v>
          </cell>
        </row>
        <row r="1886">
          <cell r="F1886" t="str">
            <v>CONSOFINVT</v>
          </cell>
        </row>
        <row r="1887">
          <cell r="F1887" t="str">
            <v>CONT.PETRO</v>
          </cell>
        </row>
        <row r="1888">
          <cell r="F1888" t="str">
            <v>CONTI.CONTRL</v>
          </cell>
        </row>
        <row r="1889">
          <cell r="F1889" t="str">
            <v>CONTIL I LTD</v>
          </cell>
        </row>
        <row r="1890">
          <cell r="F1890" t="str">
            <v>CONTROLPR</v>
          </cell>
        </row>
        <row r="1891">
          <cell r="F1891" t="str">
            <v>CORAL LAB.</v>
          </cell>
        </row>
        <row r="1892">
          <cell r="F1892" t="str">
            <v>CORALFINAC</v>
          </cell>
        </row>
        <row r="1893">
          <cell r="F1893" t="str">
            <v>CORDSCABLE</v>
          </cell>
        </row>
        <row r="1894">
          <cell r="F1894" t="str">
            <v>CORO ENGG</v>
          </cell>
        </row>
        <row r="1895">
          <cell r="F1895" t="str">
            <v>COROMANDEL</v>
          </cell>
        </row>
        <row r="1896">
          <cell r="F1896" t="str">
            <v>CORPN.BANK</v>
          </cell>
        </row>
        <row r="1897">
          <cell r="F1897" t="str">
            <v>CORPOR COUR</v>
          </cell>
        </row>
        <row r="1898">
          <cell r="F1898" t="str">
            <v>COSBOARD IND</v>
          </cell>
        </row>
        <row r="1899">
          <cell r="F1899" t="str">
            <v>COSCO INDIA</v>
          </cell>
        </row>
        <row r="1900">
          <cell r="F1900" t="str">
            <v>COSMO FERR.</v>
          </cell>
        </row>
        <row r="1901">
          <cell r="F1901" t="str">
            <v>COSMOFILMS</v>
          </cell>
        </row>
        <row r="1902">
          <cell r="F1902" t="str">
            <v>COSYN</v>
          </cell>
        </row>
        <row r="1903">
          <cell r="F1903" t="str">
            <v>COUNTRY COND</v>
          </cell>
        </row>
        <row r="1904">
          <cell r="F1904" t="str">
            <v>COX KINGS</v>
          </cell>
        </row>
        <row r="1905">
          <cell r="F1905" t="str">
            <v>CPSE ETF</v>
          </cell>
        </row>
        <row r="1906">
          <cell r="F1906" t="str">
            <v>CPSE ETF2</v>
          </cell>
        </row>
        <row r="1907">
          <cell r="F1907" t="str">
            <v>CRANE INFRA</v>
          </cell>
        </row>
        <row r="1908">
          <cell r="F1908" t="str">
            <v>CRANES SOFTW</v>
          </cell>
        </row>
        <row r="1909">
          <cell r="F1909" t="str">
            <v>CRANEX LTD.</v>
          </cell>
        </row>
        <row r="1910">
          <cell r="F1910" t="str">
            <v>CRAVATEX</v>
          </cell>
        </row>
        <row r="1911">
          <cell r="F1911" t="str">
            <v>CRAZY INFOTE</v>
          </cell>
        </row>
        <row r="1912">
          <cell r="F1912" t="str">
            <v>CREATIVE</v>
          </cell>
        </row>
        <row r="1913">
          <cell r="F1913" t="str">
            <v>CREATIVEYE</v>
          </cell>
        </row>
        <row r="1914">
          <cell r="F1914" t="str">
            <v>CREST</v>
          </cell>
        </row>
        <row r="1915">
          <cell r="F1915" t="str">
            <v>CRISIL</v>
          </cell>
        </row>
        <row r="1916">
          <cell r="F1916" t="str">
            <v>CRMFGETF</v>
          </cell>
        </row>
        <row r="1917">
          <cell r="F1917" t="str">
            <v>CROMPTON</v>
          </cell>
        </row>
        <row r="1918">
          <cell r="F1918" t="str">
            <v>CROWNTOURS</v>
          </cell>
        </row>
        <row r="1919">
          <cell r="F1919" t="str">
            <v>CRPRISK</v>
          </cell>
        </row>
        <row r="1920">
          <cell r="F1920" t="str">
            <v>CSLFINANCE</v>
          </cell>
        </row>
        <row r="1921">
          <cell r="F1921" t="str">
            <v>CTL</v>
          </cell>
        </row>
        <row r="1922">
          <cell r="F1922" t="str">
            <v>CUB</v>
          </cell>
        </row>
        <row r="1923">
          <cell r="F1923" t="str">
            <v>CUBEX TUBING</v>
          </cell>
        </row>
        <row r="1924">
          <cell r="F1924" t="str">
            <v>CUMMINSIND</v>
          </cell>
        </row>
        <row r="1925">
          <cell r="F1925" t="str">
            <v>CUPID LTD</v>
          </cell>
        </row>
        <row r="1926">
          <cell r="F1926" t="str">
            <v>CYBERMATE</v>
          </cell>
        </row>
        <row r="1927">
          <cell r="F1927" t="str">
            <v>CYBERMEDIA</v>
          </cell>
        </row>
        <row r="1928">
          <cell r="F1928" t="str">
            <v>CYBERTECH</v>
          </cell>
        </row>
        <row r="1929">
          <cell r="F1929" t="str">
            <v>CYIENT</v>
          </cell>
        </row>
        <row r="1930">
          <cell r="F1930" t="str">
            <v>D B REALTY</v>
          </cell>
        </row>
        <row r="1931">
          <cell r="F1931" t="str">
            <v>DAAWAT</v>
          </cell>
        </row>
        <row r="1932">
          <cell r="F1932" t="str">
            <v>DABUR</v>
          </cell>
        </row>
        <row r="1933">
          <cell r="F1933" t="str">
            <v>DACEFRDP</v>
          </cell>
        </row>
        <row r="1934">
          <cell r="F1934" t="str">
            <v>DACEFRG</v>
          </cell>
        </row>
        <row r="1935">
          <cell r="F1935" t="str">
            <v>DAI-ICHI KAR</v>
          </cell>
        </row>
        <row r="1936">
          <cell r="F1936" t="str">
            <v>DAIKAFFIL CH</v>
          </cell>
        </row>
        <row r="1937">
          <cell r="F1937" t="str">
            <v>DALAL ST INV</v>
          </cell>
        </row>
        <row r="1938">
          <cell r="F1938" t="str">
            <v>DALMIABHA</v>
          </cell>
        </row>
        <row r="1939">
          <cell r="F1939" t="str">
            <v>DALMIASUG</v>
          </cell>
        </row>
        <row r="1940">
          <cell r="F1940" t="str">
            <v>DAMODARIND</v>
          </cell>
        </row>
        <row r="1941">
          <cell r="F1941" t="str">
            <v>DANLAW TECH.</v>
          </cell>
        </row>
        <row r="1942">
          <cell r="F1942" t="str">
            <v>DANUBE</v>
          </cell>
        </row>
        <row r="1943">
          <cell r="F1943" t="str">
            <v>DARJEELING</v>
          </cell>
        </row>
        <row r="1944">
          <cell r="F1944" t="str">
            <v>DARSHANORNA</v>
          </cell>
        </row>
        <row r="1945">
          <cell r="F1945" t="str">
            <v>DASL</v>
          </cell>
        </row>
        <row r="1946">
          <cell r="F1946" t="str">
            <v>DATAMATICS</v>
          </cell>
        </row>
        <row r="1947">
          <cell r="F1947" t="str">
            <v>DAULAT SEC.</v>
          </cell>
        </row>
        <row r="1948">
          <cell r="F1948" t="str">
            <v>DBCORP</v>
          </cell>
        </row>
        <row r="1949">
          <cell r="F1949" t="str">
            <v>DBL</v>
          </cell>
        </row>
        <row r="1950">
          <cell r="F1950" t="str">
            <v>DBSTOCKBRO</v>
          </cell>
        </row>
        <row r="1951">
          <cell r="F1951" t="str">
            <v>DCAL</v>
          </cell>
        </row>
        <row r="1952">
          <cell r="F1952" t="str">
            <v>DCBBANK</v>
          </cell>
        </row>
        <row r="1953">
          <cell r="F1953" t="str">
            <v>DCM FINANCIA</v>
          </cell>
        </row>
        <row r="1954">
          <cell r="F1954" t="str">
            <v>DCM LTD.</v>
          </cell>
        </row>
        <row r="1955">
          <cell r="F1955" t="str">
            <v>DCM SHR.IND</v>
          </cell>
        </row>
        <row r="1956">
          <cell r="F1956" t="str">
            <v>DCMSHRIRAM</v>
          </cell>
        </row>
        <row r="1957">
          <cell r="F1957" t="str">
            <v>DCW LTD.</v>
          </cell>
        </row>
        <row r="1958">
          <cell r="F1958" t="str">
            <v>DECCANCE</v>
          </cell>
        </row>
        <row r="1959">
          <cell r="F1959" t="str">
            <v>DECCANGOLD</v>
          </cell>
        </row>
        <row r="1960">
          <cell r="F1960" t="str">
            <v>DEEP INDS</v>
          </cell>
        </row>
        <row r="1961">
          <cell r="F1961" t="str">
            <v>DEEPAK SPINN</v>
          </cell>
        </row>
        <row r="1962">
          <cell r="F1962" t="str">
            <v>DEEPAKFERT</v>
          </cell>
        </row>
        <row r="1963">
          <cell r="F1963" t="str">
            <v>DEEPAKNTR</v>
          </cell>
        </row>
        <row r="1964">
          <cell r="F1964" t="str">
            <v>DELTA CORP</v>
          </cell>
        </row>
        <row r="1965">
          <cell r="F1965" t="str">
            <v>DELTAMAGNT</v>
          </cell>
        </row>
        <row r="1966">
          <cell r="F1966" t="str">
            <v>DELTON CABLE</v>
          </cell>
        </row>
        <row r="1967">
          <cell r="F1967" t="str">
            <v>DEN</v>
          </cell>
        </row>
        <row r="1968">
          <cell r="F1968" t="str">
            <v>DENABANK</v>
          </cell>
        </row>
        <row r="1969">
          <cell r="F1969" t="str">
            <v>DENIS CHEM</v>
          </cell>
        </row>
        <row r="1970">
          <cell r="F1970" t="str">
            <v>DENORA</v>
          </cell>
        </row>
        <row r="1971">
          <cell r="F1971" t="str">
            <v>DEWAN H.FIN.</v>
          </cell>
        </row>
        <row r="1972">
          <cell r="F1972" t="str">
            <v>DFM FOODS</v>
          </cell>
        </row>
        <row r="1973">
          <cell r="F1973" t="str">
            <v>DHABRIYA</v>
          </cell>
        </row>
        <row r="1974">
          <cell r="F1974" t="str">
            <v>DHAMPURE SGR</v>
          </cell>
        </row>
        <row r="1975">
          <cell r="F1975" t="str">
            <v>DHAMPURSUG</v>
          </cell>
        </row>
        <row r="1976">
          <cell r="F1976" t="str">
            <v>DHAN AGRI</v>
          </cell>
        </row>
        <row r="1977">
          <cell r="F1977" t="str">
            <v>DHAN JEEVAN</v>
          </cell>
        </row>
        <row r="1978">
          <cell r="F1978" t="str">
            <v>DHAN ROTO SP</v>
          </cell>
        </row>
        <row r="1979">
          <cell r="F1979" t="str">
            <v>DHANADACOL</v>
          </cell>
        </row>
        <row r="1980">
          <cell r="F1980" t="str">
            <v>DHANALAK.BNK</v>
          </cell>
        </row>
        <row r="1981">
          <cell r="F1981" t="str">
            <v>DHANUKACOM</v>
          </cell>
        </row>
        <row r="1982">
          <cell r="F1982" t="str">
            <v>DHARAMSI CHM</v>
          </cell>
        </row>
        <row r="1983">
          <cell r="F1983" t="str">
            <v>DHARANI FIN.</v>
          </cell>
        </row>
        <row r="1984">
          <cell r="F1984" t="str">
            <v>DHARSUGAR</v>
          </cell>
        </row>
        <row r="1985">
          <cell r="F1985" t="str">
            <v>DHFL</v>
          </cell>
        </row>
        <row r="1986">
          <cell r="F1986" t="str">
            <v>DHFL1</v>
          </cell>
        </row>
        <row r="1987">
          <cell r="F1987" t="str">
            <v>DHFL2</v>
          </cell>
        </row>
        <row r="1988">
          <cell r="F1988" t="str">
            <v>DHFL3</v>
          </cell>
        </row>
        <row r="1989">
          <cell r="F1989" t="str">
            <v>DHFL4</v>
          </cell>
        </row>
        <row r="1990">
          <cell r="F1990" t="str">
            <v>DHFL5</v>
          </cell>
        </row>
        <row r="1991">
          <cell r="F1991" t="str">
            <v>DHFL6</v>
          </cell>
        </row>
        <row r="1992">
          <cell r="F1992" t="str">
            <v>DHFL7</v>
          </cell>
        </row>
        <row r="1993">
          <cell r="F1993" t="str">
            <v>DHFL Prameica Fixed Duration Fund - Series AC - Regular Plan - Growth Option</v>
          </cell>
        </row>
        <row r="1994">
          <cell r="F1994" t="str">
            <v>DHFL Pramerica Arbitrage Fund - Direct Plan - Annual Dividend</v>
          </cell>
        </row>
        <row r="1995">
          <cell r="F1995" t="str">
            <v>DHFL Pramerica Arbitrage Fund - Direct Plan - Growth</v>
          </cell>
        </row>
        <row r="1996">
          <cell r="F1996" t="str">
            <v>DHFL Pramerica Arbitrage Fund - Direct Plan - Monthly Dividend</v>
          </cell>
        </row>
        <row r="1997">
          <cell r="F1997" t="str">
            <v>DHFL Pramerica Arbitrage Fund - Direct Plan - Quarterly Dividend</v>
          </cell>
        </row>
        <row r="1998">
          <cell r="F1998" t="str">
            <v>DHFL Pramerica Arbitrage Fund - Direct Plan - Regular Dividend</v>
          </cell>
        </row>
        <row r="1999">
          <cell r="F1999" t="str">
            <v>DHFL Pramerica Arbitrage Fund - Regular Plan - Annual Dividend</v>
          </cell>
        </row>
        <row r="2000">
          <cell r="F2000" t="str">
            <v>DHFL Pramerica Arbitrage Fund - Regular Plan - Growth</v>
          </cell>
        </row>
        <row r="2001">
          <cell r="F2001" t="str">
            <v>DHFL Pramerica Arbitrage Fund - Regular Plan - Monthly Dividend</v>
          </cell>
        </row>
        <row r="2002">
          <cell r="F2002" t="str">
            <v>DHFL Pramerica Arbitrage Fund - Regular Plan - Quarterly Dividend</v>
          </cell>
        </row>
        <row r="2003">
          <cell r="F2003" t="str">
            <v>DHFL Pramerica Arbitrage Fund - Regular Plan - Regular Dividend</v>
          </cell>
        </row>
        <row r="2004">
          <cell r="F2004" t="str">
            <v>DHFL Pramerica Banking and PSU Debt fund - Monthly Dividend</v>
          </cell>
        </row>
        <row r="2005">
          <cell r="F2005" t="str">
            <v>DHFL Pramerica Banking and PSU Debt fund - Quarterly Dividend</v>
          </cell>
        </row>
        <row r="2006">
          <cell r="F2006" t="str">
            <v>DHFL Pramerica Banking and PSU Debt fund - Weekly Dividend</v>
          </cell>
        </row>
        <row r="2007">
          <cell r="F2007" t="str">
            <v>DHFL Pramerica Banking and PSU Debt fund -Growth</v>
          </cell>
        </row>
        <row r="2008">
          <cell r="F2008" t="str">
            <v>DHFL Pramerica Banking and PSU Debt fund- Direct Plan-  Regular Bonus</v>
          </cell>
        </row>
        <row r="2009">
          <cell r="F2009" t="str">
            <v>DHFL Pramerica Banking and PSU Debt fund- Direct Plan- Annual Dividend</v>
          </cell>
        </row>
        <row r="2010">
          <cell r="F2010" t="str">
            <v>DHFL Pramerica Banking and PSU Debt fund- Direct Plan- Monthly Dividend</v>
          </cell>
        </row>
        <row r="2011">
          <cell r="F2011" t="str">
            <v>DHFL Pramerica Banking and PSU Debt fund- Direct Plan- Quarterly Dividend</v>
          </cell>
        </row>
        <row r="2012">
          <cell r="F2012" t="str">
            <v>DHFL Pramerica Banking and PSU Debt fund- Direct Plan- Weekly Dividend</v>
          </cell>
        </row>
        <row r="2013">
          <cell r="F2013" t="str">
            <v>DHFL Pramerica Banking and PSU Debt fund- Direct Plan-Growth</v>
          </cell>
        </row>
        <row r="2014">
          <cell r="F2014" t="str">
            <v>DHFL Pramerica Credit Risk Fund - Direct Plan - Annual Dividend</v>
          </cell>
        </row>
        <row r="2015">
          <cell r="F2015" t="str">
            <v>DHFL Pramerica Credit Risk Fund - Direct Plan - Growth</v>
          </cell>
        </row>
        <row r="2016">
          <cell r="F2016" t="str">
            <v>DHFL Pramerica Credit Risk Fund - Direct Plan - Monthly Dividend</v>
          </cell>
        </row>
        <row r="2017">
          <cell r="F2017" t="str">
            <v>DHFL Pramerica Credit Risk Fund - Direct Plan - Quarterly Dividend</v>
          </cell>
        </row>
        <row r="2018">
          <cell r="F2018" t="str">
            <v>DHFL Pramerica Credit Risk Fund - Regular Plan - Annual Dividend</v>
          </cell>
        </row>
        <row r="2019">
          <cell r="F2019" t="str">
            <v>DHFL Pramerica Credit Risk Fund - Regular Plan - Dividend</v>
          </cell>
        </row>
        <row r="2020">
          <cell r="F2020" t="str">
            <v>DHFL Pramerica Credit Risk Fund - Regular Plan - Growth</v>
          </cell>
        </row>
        <row r="2021">
          <cell r="F2021" t="str">
            <v>DHFL Pramerica Credit Risk Fund - Regular Plan - Monthly Dividend</v>
          </cell>
        </row>
        <row r="2022">
          <cell r="F2022" t="str">
            <v>DHFL Pramerica Credit Risk Fund - Regular Plan - Quarterly Dividend</v>
          </cell>
        </row>
        <row r="2023">
          <cell r="F2023" t="str">
            <v>DHFL Pramerica Diversified Equity Fund - Direct Plan - Dividend Option</v>
          </cell>
        </row>
        <row r="2024">
          <cell r="F2024" t="str">
            <v>DHFL Pramerica Diversified Equity Fund - Direct Plan - Growth Option</v>
          </cell>
        </row>
        <row r="2025">
          <cell r="F2025" t="str">
            <v>DHFL Pramerica Diversified Equity Fund - Regular Plan - Dividend Option</v>
          </cell>
        </row>
        <row r="2026">
          <cell r="F2026" t="str">
            <v>DHFL Pramerica Diversified Equity Fund - Regular Plan - Growth Option</v>
          </cell>
        </row>
        <row r="2027">
          <cell r="F2027" t="str">
            <v>DHFL Pramerica Dual Advantage Fund -Series 1 -Regular Plan -Annual Dividend Option</v>
          </cell>
        </row>
        <row r="2028">
          <cell r="F2028" t="str">
            <v>DHFL Pramerica Dual Advantage Fund -Series 1 -Regular Plan -Growth Option</v>
          </cell>
        </row>
        <row r="2029">
          <cell r="F2029" t="str">
            <v>DHFL Pramerica Dual Advantage Fund -Series 1 -Regular Plan -Quarterly Dividend Option</v>
          </cell>
        </row>
        <row r="2030">
          <cell r="F2030" t="str">
            <v>DHFL Pramerica Dual Advantage Fund -Series 1 -Regular Plan -Regular Dividend Option</v>
          </cell>
        </row>
        <row r="2031">
          <cell r="F2031" t="str">
            <v>DHFL Pramerica Dual Advantage Fund -Series 1-Direct Plan -Growth Option</v>
          </cell>
        </row>
        <row r="2032">
          <cell r="F2032" t="str">
            <v>DHFL Pramerica Dual Advantage Fund -Series 1-Direct Plan -Quarterly Dividend Option</v>
          </cell>
        </row>
        <row r="2033">
          <cell r="F2033" t="str">
            <v>DHFL Pramerica Dual Advantage Fund -Series 1-Direct Plan -Regular Dividend Option</v>
          </cell>
        </row>
        <row r="2034">
          <cell r="F2034" t="str">
            <v>DHFL Pramerica Dynamic Bond Fund - Direct Plan-Growth Option</v>
          </cell>
        </row>
        <row r="2035">
          <cell r="F2035" t="str">
            <v>DHFL Pramerica Dynamic Bond Fund - Direct Plan-Monthly Dividend Option</v>
          </cell>
        </row>
        <row r="2036">
          <cell r="F2036" t="str">
            <v>DHFL Pramerica Dynamic Bond Fund - Direct Plan-Quarterly Dividend Option</v>
          </cell>
        </row>
        <row r="2037">
          <cell r="F2037" t="str">
            <v>DHFL Pramerica Dynamic Bond Fund - Dividend Option - Monthly</v>
          </cell>
        </row>
        <row r="2038">
          <cell r="F2038" t="str">
            <v>DHFL Pramerica Dynamic Bond Fund - Dividend Option - Quarterly</v>
          </cell>
        </row>
        <row r="2039">
          <cell r="F2039" t="str">
            <v>DHFL Pramerica Dynamic Bond Fund - Growth Option</v>
          </cell>
        </row>
        <row r="2040">
          <cell r="F2040" t="str">
            <v>DHFL Pramerica Equity Savings Fund - Annual Dividend option</v>
          </cell>
        </row>
        <row r="2041">
          <cell r="F2041" t="str">
            <v>DHFL Pramerica Equity Savings Fund - Direct Plan - Annual Dividend</v>
          </cell>
        </row>
        <row r="2042">
          <cell r="F2042" t="str">
            <v>DHFL Pramerica Equity Savings Fund - Direct Plan - Growth</v>
          </cell>
        </row>
        <row r="2043">
          <cell r="F2043" t="str">
            <v>DHFL Pramerica Equity Savings Fund - Direct Plan - Monthly Dividend</v>
          </cell>
        </row>
        <row r="2044">
          <cell r="F2044" t="str">
            <v>DHFL Pramerica Equity Savings Fund - Direct Plan - Quarterly Dividend</v>
          </cell>
        </row>
        <row r="2045">
          <cell r="F2045" t="str">
            <v>DHFL Pramerica Equity Savings Fund - Growth Option</v>
          </cell>
        </row>
        <row r="2046">
          <cell r="F2046" t="str">
            <v>DHFL Pramerica Equity Savings Fund - Monthly Dividend option</v>
          </cell>
        </row>
        <row r="2047">
          <cell r="F2047" t="str">
            <v>DHFL Pramerica Equity Savings Fund - Quarterly  Dividend</v>
          </cell>
        </row>
        <row r="2048">
          <cell r="F2048" t="str">
            <v>DHFL Pramerica Euro Equity Fund - Direct Plan - Dividend</v>
          </cell>
        </row>
        <row r="2049">
          <cell r="F2049" t="str">
            <v>DHFL Pramerica Euro Equity Fund - Direct Plan - Growth</v>
          </cell>
        </row>
        <row r="2050">
          <cell r="F2050" t="str">
            <v>DHFL Pramerica Euro Equity Fund - Dividend</v>
          </cell>
        </row>
        <row r="2051">
          <cell r="F2051" t="str">
            <v>DHFL Pramerica Euro Equity Fund - Growth</v>
          </cell>
        </row>
        <row r="2052">
          <cell r="F2052" t="str">
            <v>DHFL Pramerica Fixed Duartion Fund - Series AE - DIrect Plan - Annual Dividend Option</v>
          </cell>
        </row>
        <row r="2053">
          <cell r="F2053" t="str">
            <v>DHFL Pramerica Fixed Duartion Fund - Series AE -Annual Dividend Option</v>
          </cell>
        </row>
        <row r="2054">
          <cell r="F2054" t="str">
            <v>DHFL Pramerica Fixed Duartion Fund - Series AE-Regular Plan - Growth Option</v>
          </cell>
        </row>
        <row r="2055">
          <cell r="F2055" t="str">
            <v>DHFL Pramerica Fixed Duartion Fund - Series AF - Regular Plan - Growth Option</v>
          </cell>
        </row>
        <row r="2056">
          <cell r="F2056" t="str">
            <v>DHFL Pramerica Fixed Duration Fund - Series 29 - Direct Plan - Growth Option</v>
          </cell>
        </row>
        <row r="2057">
          <cell r="F2057" t="str">
            <v>DHFL Pramerica Fixed Duration Fund - Series 29 - Regular Plan - Dividend Option</v>
          </cell>
        </row>
        <row r="2058">
          <cell r="F2058" t="str">
            <v>DHFL Pramerica Fixed Duration Fund - Series 29 - Regular Plan - Growth Option</v>
          </cell>
        </row>
        <row r="2059">
          <cell r="F2059" t="str">
            <v>DHFL Pramerica Fixed Duration Fund - Series 31 - Direct Plan - Growth Option</v>
          </cell>
        </row>
        <row r="2060">
          <cell r="F2060" t="str">
            <v>DHFL Pramerica Fixed Duration Fund - Series 31 - Regular Plan - Dividend Option</v>
          </cell>
        </row>
        <row r="2061">
          <cell r="F2061" t="str">
            <v>DHFL Pramerica Fixed Duration Fund - Series 31 - Regular Plan - Growth Option</v>
          </cell>
        </row>
        <row r="2062">
          <cell r="F2062" t="str">
            <v>DHFL Pramerica Fixed Duration Fund - Series AA - Direct Plan - Growth Option</v>
          </cell>
        </row>
        <row r="2063">
          <cell r="F2063" t="str">
            <v>DHFL Pramerica Fixed Duration Fund - Series AA - Direct Plan - Quarterly Dividend Option</v>
          </cell>
        </row>
        <row r="2064">
          <cell r="F2064" t="str">
            <v>DHFL Pramerica Fixed Duration Fund - Series AA - Regular Plan - Annual Dividend Option</v>
          </cell>
        </row>
        <row r="2065">
          <cell r="F2065" t="str">
            <v>DHFL Pramerica Fixed Duration Fund - Series AA - Regular Plan - Growth Option</v>
          </cell>
        </row>
        <row r="2066">
          <cell r="F2066" t="str">
            <v>DHFL Pramerica Fixed Duration Fund - Series AA - Regular Plan - Quarterly Dividend Option</v>
          </cell>
        </row>
        <row r="2067">
          <cell r="F2067" t="str">
            <v>DHFL Pramerica Fixed Duration Fund - Series AB - Direct Plan - Growth Option</v>
          </cell>
        </row>
        <row r="2068">
          <cell r="F2068" t="str">
            <v>DHFL Pramerica Fixed Duration Fund - Series AB - Regular Plan - Annual Dividend Option</v>
          </cell>
        </row>
        <row r="2069">
          <cell r="F2069" t="str">
            <v>DHFL Pramerica Fixed Duration Fund - Series AB - Regular Plan - Dividend Option</v>
          </cell>
        </row>
        <row r="2070">
          <cell r="F2070" t="str">
            <v>DHFL Pramerica Fixed Duration Fund - Series AB - Regular Plan - Growth Option</v>
          </cell>
        </row>
        <row r="2071">
          <cell r="F2071" t="str">
            <v>DHFL Pramerica Fixed Duration Fund - Series AB - Regular Plan - Quarterly Dividend Option</v>
          </cell>
        </row>
        <row r="2072">
          <cell r="F2072" t="str">
            <v>DHFL Pramerica Fixed Duration Fund - Series AC - Direct Plan - Dividend - Annual</v>
          </cell>
        </row>
        <row r="2073">
          <cell r="F2073" t="str">
            <v>DHFL Pramerica Fixed Duration Fund - Series AC - Direct Plan - Growth Option</v>
          </cell>
        </row>
        <row r="2074">
          <cell r="F2074" t="str">
            <v>DHFL Pramerica Fixed Duration Fund - Series AC - Direct Plan - Regular Dividend</v>
          </cell>
        </row>
        <row r="2075">
          <cell r="F2075" t="str">
            <v>DHFL Pramerica Fixed Duration Fund - Series AC - Regular Plan - Dividend - Annual</v>
          </cell>
        </row>
        <row r="2076">
          <cell r="F2076" t="str">
            <v>DHFL Pramerica Fixed Duration Fund - Series AC - Regular Plan - Dividend - Quarterly</v>
          </cell>
        </row>
        <row r="2077">
          <cell r="F2077" t="str">
            <v>DHFL Pramerica Fixed Duration Fund - Series AC - Regular Plan - Dividend - Regular</v>
          </cell>
        </row>
        <row r="2078">
          <cell r="F2078" t="str">
            <v>DHFL Pramerica Fixed Duration Fund - Series AE - Direct Plan - Growth Option</v>
          </cell>
        </row>
        <row r="2079">
          <cell r="F2079" t="str">
            <v>DHFL Pramerica Fixed Duration Fund - Series AE - Regular Plan - Regular Dividend Option</v>
          </cell>
        </row>
        <row r="2080">
          <cell r="F2080" t="str">
            <v>DHFL Pramerica Fixed Duration Fund - Series AF - Direct Plan - Annual Dividend Option</v>
          </cell>
        </row>
        <row r="2081">
          <cell r="F2081" t="str">
            <v>DHFL Pramerica Fixed Duration Fund - Series AF - Direct Plan - Growth Option</v>
          </cell>
        </row>
        <row r="2082">
          <cell r="F2082" t="str">
            <v>DHFL Pramerica Fixed Duration Fund - Series AF - Regular Plan - Annual Dividend Option</v>
          </cell>
        </row>
        <row r="2083">
          <cell r="F2083" t="str">
            <v>DHFL Pramerica Fixed Duration Fund - Series AF - Regular Plan - Quarterly Dividend Option</v>
          </cell>
        </row>
        <row r="2084">
          <cell r="F2084" t="str">
            <v>DHFL Pramerica Fixed Duration Fund - Series AG Regular Plan - Growth Option</v>
          </cell>
        </row>
        <row r="2085">
          <cell r="F2085" t="str">
            <v>DHFL Pramerica Fixed Duration Fund - Series AG- Direct Plan - Growth Option</v>
          </cell>
        </row>
        <row r="2086">
          <cell r="F2086" t="str">
            <v>DHFL Pramerica Fixed Duration Fund- Regular Plan Annual Dividend Option</v>
          </cell>
        </row>
        <row r="2087">
          <cell r="F2087" t="str">
            <v>DHFL Pramerica Fixed Duration Fund- Series AH- Direct Plan Quarterly Dividend Option</v>
          </cell>
        </row>
        <row r="2088">
          <cell r="F2088" t="str">
            <v>DHFL Pramerica Fixed Duration Fund- Series AH- Direct Plan- Annual Dividend Option</v>
          </cell>
        </row>
        <row r="2089">
          <cell r="F2089" t="str">
            <v>DHFL Pramerica Fixed Duration Fund- Series AH- Regular Plan- Growth Option</v>
          </cell>
        </row>
        <row r="2090">
          <cell r="F2090" t="str">
            <v>DHFL Pramerica Fixed Duration Fund- Series AH- Regular Plan- Quarterly Dividend Option</v>
          </cell>
        </row>
        <row r="2091">
          <cell r="F2091" t="str">
            <v>DHFL Pramerica Fixed Duration Fund- Series AH-Direct Plan Growth Option</v>
          </cell>
        </row>
        <row r="2092">
          <cell r="F2092" t="str">
            <v>DHFL Pramerica Fixed Matuirty Plan - Series 85 - Regular Plan - Annual Dividend</v>
          </cell>
        </row>
        <row r="2093">
          <cell r="F2093" t="str">
            <v>DHFL Pramerica FIXED MATURITY PLAN - SERIES 38 - DIRECT PLAN - GROWTH</v>
          </cell>
        </row>
        <row r="2094">
          <cell r="F2094" t="str">
            <v>DHFL Pramerica FIXED MATURITY PLAN - SERIES 38 - REGULAR PLAN - GROWTH</v>
          </cell>
        </row>
        <row r="2095">
          <cell r="F2095" t="str">
            <v>DHFL Pramerica FIXED MATURITY PLAN - SERIES 45 - DIRECT PLAN -GROWTH</v>
          </cell>
        </row>
        <row r="2096">
          <cell r="F2096" t="str">
            <v>DHFL Pramerica FIXED MATURITY PLAN - SERIES 45 - REGULAR PLAN -GROWTH</v>
          </cell>
        </row>
        <row r="2097">
          <cell r="F2097" t="str">
            <v>DHFL Pramerica FIXED MATURITY PLAN - SERIES 47 - DIRECT PLAN -GROWTH</v>
          </cell>
        </row>
        <row r="2098">
          <cell r="F2098" t="str">
            <v>DHFL Pramerica FIXED MATURITY PLAN - SERIES 47 - REGULAR PLAN -GROWTH</v>
          </cell>
        </row>
        <row r="2099">
          <cell r="F2099" t="str">
            <v>DHFL Pramerica FIXED MATURITY PLAN - SERIES 54 - DIRECT PLAN -GROWTH</v>
          </cell>
        </row>
        <row r="2100">
          <cell r="F2100" t="str">
            <v>DHFL Pramerica FIXED MATURITY PLAN - SERIES 54 - REGULAR PLAN -GROWTH</v>
          </cell>
        </row>
        <row r="2101">
          <cell r="F2101" t="str">
            <v>DHFL Pramerica FIXED MATURITY PLAN - SERIES 57 - DIRECT PLAN -GROWTH</v>
          </cell>
        </row>
        <row r="2102">
          <cell r="F2102" t="str">
            <v>DHFL Pramerica FIXED MATURITY PLAN - SERIES 57 - REGULAR PLAN -GROWTH</v>
          </cell>
        </row>
        <row r="2103">
          <cell r="F2103" t="str">
            <v>DHFL Pramerica FIXED MATURITY PLAN - SERIES 58 - DIRECT PLAN -GROWTH</v>
          </cell>
        </row>
        <row r="2104">
          <cell r="F2104" t="str">
            <v>DHFL Pramerica FIXED MATURITY PLAN - SERIES 58 - REGULAR PLAN -GROWTH</v>
          </cell>
        </row>
        <row r="2105">
          <cell r="F2105" t="str">
            <v>DHFL Pramerica FIXED MATURITY PLAN - SERIES 61 - DIRECT PLAN -GROWTH</v>
          </cell>
        </row>
        <row r="2106">
          <cell r="F2106" t="str">
            <v>DHFL Pramerica FIXED MATURITY PLAN - SERIES 61 - REGULAR PLAN -GROWTH</v>
          </cell>
        </row>
        <row r="2107">
          <cell r="F2107" t="str">
            <v>DHFL Pramerica FIXED MATURITY PLAN - SERIES 62 - DIRECT PLAN -GROWTH</v>
          </cell>
        </row>
        <row r="2108">
          <cell r="F2108" t="str">
            <v>DHFL Pramerica FIXED MATURITY PLAN - SERIES 62 - REGULAR PLAN -GROWTH</v>
          </cell>
        </row>
        <row r="2109">
          <cell r="F2109" t="str">
            <v>DHFL Pramerica FIXED MATURITY PLAN - SERIES 63 - DIRECT PLAN -ANNUAL DIVIDEND</v>
          </cell>
        </row>
        <row r="2110">
          <cell r="F2110" t="str">
            <v>DHFL Pramerica FIXED MATURITY PLAN - SERIES 63 - DIRECT PLAN -GROWTH</v>
          </cell>
        </row>
        <row r="2111">
          <cell r="F2111" t="str">
            <v>DHFL Pramerica FIXED MATURITY PLAN - SERIES 63 - REGULAR PLAN -GROWTH</v>
          </cell>
        </row>
        <row r="2112">
          <cell r="F2112" t="str">
            <v>DHFL Pramerica FIXED MATURITY PLAN - SERIES 66 - DIRECT PLAN -GROWTH</v>
          </cell>
        </row>
        <row r="2113">
          <cell r="F2113" t="str">
            <v>DHFL Pramerica FIXED MATURITY PLAN - SERIES 66 - REGULAR PLAN -GROWTH</v>
          </cell>
        </row>
        <row r="2114">
          <cell r="F2114" t="str">
            <v>DHFL Pramerica FIXED MATURITY PLAN - SERIES 68 - DIRECT PLAN -GROWTH</v>
          </cell>
        </row>
        <row r="2115">
          <cell r="F2115" t="str">
            <v>DHFL Pramerica FIXED MATURITY PLAN - SERIES 68 - REGULAR PLAN -REGULAR DIVIDEND</v>
          </cell>
        </row>
        <row r="2116">
          <cell r="F2116" t="str">
            <v>DHFL Pramerica FIXED MATURITY PLAN - SERIES 68 - REGULAR PLAN-GROWTH</v>
          </cell>
        </row>
        <row r="2117">
          <cell r="F2117" t="str">
            <v>DHFL Pramerica FIXED MATURITY PLAN - SERIES 69 - DIRECT PLAN -GROWTH</v>
          </cell>
        </row>
        <row r="2118">
          <cell r="F2118" t="str">
            <v>DHFL Pramerica FIXED MATURITY PLAN - SERIES 69 - REGULAR PLAN -GROWTH</v>
          </cell>
        </row>
        <row r="2119">
          <cell r="F2119" t="str">
            <v>DHFL Pramerica FIXED MATURITY PLAN - SERIES 70 - DIRECT PLAN -GROWTH</v>
          </cell>
        </row>
        <row r="2120">
          <cell r="F2120" t="str">
            <v>DHFL Pramerica FIXED MATURITY PLAN - SERIES 70 - REGULAR PLAN -GROWTH</v>
          </cell>
        </row>
        <row r="2121">
          <cell r="F2121" t="str">
            <v>DHFL Pramerica Fixed Maturity Plan - Series 72 - Direct Plan -Growth</v>
          </cell>
        </row>
        <row r="2122">
          <cell r="F2122" t="str">
            <v>DHFL Pramerica Fixed Maturity Plan - Series 72 - Regular Plan -Growth</v>
          </cell>
        </row>
        <row r="2123">
          <cell r="F2123" t="str">
            <v>DHFL Pramerica Fixed Maturity Plan - Series 85 - Direct Plan - Growth</v>
          </cell>
        </row>
        <row r="2124">
          <cell r="F2124" t="str">
            <v>DHFL Pramerica Fixed Maturity Plan - Series 85 - Regular Plan - Growth</v>
          </cell>
        </row>
        <row r="2125">
          <cell r="F2125" t="str">
            <v>DHFL Pramerica Fixed Maturity Plan - Series 85 - Regular Plan - Quarterly Dividend</v>
          </cell>
        </row>
        <row r="2126">
          <cell r="F2126" t="str">
            <v>DHFL Pramerica Fixed Maturity Plan - Series 85 - Regular Plan - Regular Dividend</v>
          </cell>
        </row>
        <row r="2127">
          <cell r="F2127" t="str">
            <v>DHFL Pramerica Fixed Maturity Plan - Series 86 - Direct Plan - Growth</v>
          </cell>
        </row>
        <row r="2128">
          <cell r="F2128" t="str">
            <v>DHFL Pramerica Fixed Maturity Plan - Series 86 - Regular Plan - Growth</v>
          </cell>
        </row>
        <row r="2129">
          <cell r="F2129" t="str">
            <v>DHFL Pramerica Fixed Maturity Plan - Series 86 - Regular Plan - Regular Dividend</v>
          </cell>
        </row>
        <row r="2130">
          <cell r="F2130" t="str">
            <v>DHFL Pramerica Fixed Maturity Plan - Series 87 - Direct Plan - Growth</v>
          </cell>
        </row>
        <row r="2131">
          <cell r="F2131" t="str">
            <v>DHFL Pramerica Fixed Maturity Plan - Series 87 - Regular Plan - Growth</v>
          </cell>
        </row>
        <row r="2132">
          <cell r="F2132" t="str">
            <v>DHFL Pramerica Fixed Maturity Plan - Series 91 - Direct Option - Growth</v>
          </cell>
        </row>
        <row r="2133">
          <cell r="F2133" t="str">
            <v>DHFL Pramerica Fixed Maturity Plan - Series 91 - Regular Option - Growth</v>
          </cell>
        </row>
        <row r="2134">
          <cell r="F2134" t="str">
            <v>DHFL Pramerica Fixed Maturity Plan - Series 95 - Direct Option - Growth</v>
          </cell>
        </row>
        <row r="2135">
          <cell r="F2135" t="str">
            <v>DHFL Pramerica Fixed Maturity Plan - Series 95 - Regular Option - Growth</v>
          </cell>
        </row>
        <row r="2136">
          <cell r="F2136" t="str">
            <v>DHFL Pramerica Fixed Maturity Plan - Series 95 - Regular Option - Regular Dividend</v>
          </cell>
        </row>
        <row r="2137">
          <cell r="F2137" t="str">
            <v>DHFL Pramerica Floating Rate Fund - Annual Bonus</v>
          </cell>
        </row>
        <row r="2138">
          <cell r="F2138" t="str">
            <v>DHFL Pramerica Floating Rate Fund - Bonus</v>
          </cell>
        </row>
        <row r="2139">
          <cell r="F2139" t="str">
            <v>DHFL Pramerica Floating Rate Fund - Daily Dividend</v>
          </cell>
        </row>
        <row r="2140">
          <cell r="F2140" t="str">
            <v>DHFL Pramerica Floating Rate Fund - Direct Plan -  Quarterly Bonus</v>
          </cell>
        </row>
        <row r="2141">
          <cell r="F2141" t="str">
            <v>DHFL Pramerica Floating Rate FUnd - Direct Plan - Annual Bonus</v>
          </cell>
        </row>
        <row r="2142">
          <cell r="F2142" t="str">
            <v>DHFL Pramerica Floating Rate Fund - Direct Plan - Daily Dividend</v>
          </cell>
        </row>
        <row r="2143">
          <cell r="F2143" t="str">
            <v>DHFL Pramerica Floating Rate Fund - Direct Plan - Growth</v>
          </cell>
        </row>
        <row r="2144">
          <cell r="F2144" t="str">
            <v>DHFL Pramerica Floating Rate Fund - Growth</v>
          </cell>
        </row>
        <row r="2145">
          <cell r="F2145" t="str">
            <v>DHFL Pramerica Gilt Fund - Direct Plan - Dividend</v>
          </cell>
        </row>
        <row r="2146">
          <cell r="F2146" t="str">
            <v>DHFL Pramerica Gilt Fund - Direct Plan - Growth</v>
          </cell>
        </row>
        <row r="2147">
          <cell r="F2147" t="str">
            <v>DHFL Pramerica Gilt Fund - Direct Plan - Half Yearly Bonus</v>
          </cell>
        </row>
        <row r="2148">
          <cell r="F2148" t="str">
            <v>DHFL Pramerica Gilt Fund - Dividend</v>
          </cell>
        </row>
        <row r="2149">
          <cell r="F2149" t="str">
            <v>DHFL Pramerica Gilt Fund - Growth</v>
          </cell>
        </row>
        <row r="2150">
          <cell r="F2150" t="str">
            <v>DHFL Pramerica Gilt Fund - Half Yearly Bonus</v>
          </cell>
        </row>
        <row r="2151">
          <cell r="F2151" t="str">
            <v>DHFL Pramerica Global Equity Opportunities Fund - Direct Plan - Dividend</v>
          </cell>
        </row>
        <row r="2152">
          <cell r="F2152" t="str">
            <v>DHFL Pramerica Global Equity Opportunities Fund - Direct Plan - Growth</v>
          </cell>
        </row>
        <row r="2153">
          <cell r="F2153" t="str">
            <v>DHFL Pramerica Global Equity Opportunities Fund - Dividend</v>
          </cell>
        </row>
        <row r="2154">
          <cell r="F2154" t="str">
            <v>DHFL Pramerica Global Equity Opportunities Fund - Growth</v>
          </cell>
        </row>
        <row r="2155">
          <cell r="F2155" t="str">
            <v>DHFL Pramerica Hybird Fixed Term Fund - Series 33 - Regular Plan - Growth</v>
          </cell>
        </row>
        <row r="2156">
          <cell r="F2156" t="str">
            <v>DHFL Pramerica Hybrid Debt Fund - Direct Plan - Growth</v>
          </cell>
        </row>
        <row r="2157">
          <cell r="F2157" t="str">
            <v>DHFL Pramerica Hybrid Debt Fund - Direct Plan - Monthly Dividend</v>
          </cell>
        </row>
        <row r="2158">
          <cell r="F2158" t="str">
            <v>DHFL Pramerica Hybrid Debt Fund - Dividend</v>
          </cell>
        </row>
        <row r="2159">
          <cell r="F2159" t="str">
            <v>DHFL Pramerica Hybrid Debt Fund - Growth</v>
          </cell>
        </row>
        <row r="2160">
          <cell r="F2160" t="str">
            <v>DHFL Pramerica Hybrid Equity Fund - Direct Plan - Dividend</v>
          </cell>
        </row>
        <row r="2161">
          <cell r="F2161" t="str">
            <v>DHFL Pramerica Hybrid Equity Fund - Direct Plan - Growth</v>
          </cell>
        </row>
        <row r="2162">
          <cell r="F2162" t="str">
            <v>DHFL Pramerica Hybrid Equity Fund - Dividend Option</v>
          </cell>
        </row>
        <row r="2163">
          <cell r="F2163" t="str">
            <v>DHFL Pramerica Hybrid Equity Fund - Growth Option</v>
          </cell>
        </row>
        <row r="2164">
          <cell r="F2164" t="str">
            <v>DHFL Pramerica Hybrid Equity Fund Wealth Plan- Dividend Option</v>
          </cell>
        </row>
        <row r="2165">
          <cell r="F2165" t="str">
            <v>DHFL Pramerica Hybrid Equity Fund Wealth Plan- Growth Option</v>
          </cell>
        </row>
        <row r="2166">
          <cell r="F2166" t="str">
            <v>DHFL Pramerica Hybrid Equity Fund-Direct Plan-Monthly Dividend Option</v>
          </cell>
        </row>
        <row r="2167">
          <cell r="F2167" t="str">
            <v>DHFL Pramerica Hybrid Equity Fund-Direct Plan-Quarterly Divdend Option</v>
          </cell>
        </row>
        <row r="2168">
          <cell r="F2168" t="str">
            <v>DHFL Pramerica Hybrid Equity Fund-Monthly Dividend Option</v>
          </cell>
        </row>
        <row r="2169">
          <cell r="F2169" t="str">
            <v>DHFL Pramerica Hybrid Equity Fund-Quarterly Dividend Option</v>
          </cell>
        </row>
        <row r="2170">
          <cell r="F2170" t="str">
            <v>DHFL Pramerica Hybrid Fixed Term Fund - Sereis 33 - Direct Plan - Dividend</v>
          </cell>
        </row>
        <row r="2171">
          <cell r="F2171" t="str">
            <v>DHFL Pramerica Hybrid Fixed Term Fund - Series 11 - Direct Plan - Dividend (Payout)</v>
          </cell>
        </row>
        <row r="2172">
          <cell r="F2172" t="str">
            <v>DHFL Pramerica Hybrid Fixed Term Fund - Series 11 - Regular Plan - Dividend (Payout)</v>
          </cell>
        </row>
        <row r="2173">
          <cell r="F2173" t="str">
            <v>DHFL Pramerica Hybrid Fixed Term Fund - Series 11 - Regular Plan - Growth</v>
          </cell>
        </row>
        <row r="2174">
          <cell r="F2174" t="str">
            <v>DHFL Pramerica Hybrid Fixed Term Fund - Series 12 - Direct Plan - Growth</v>
          </cell>
        </row>
        <row r="2175">
          <cell r="F2175" t="str">
            <v>DHFL Pramerica Hybrid Fixed Term Fund - Series 12 - Regular Plan - Dividend (Payout)</v>
          </cell>
        </row>
        <row r="2176">
          <cell r="F2176" t="str">
            <v>DHFL Pramerica Hybrid Fixed Term Fund - Series 12 - Regular Plan - Growth</v>
          </cell>
        </row>
        <row r="2177">
          <cell r="F2177" t="str">
            <v>DHFL Pramerica Hybrid Fixed Term Fund - Series 13 - Direct Plan - Growth</v>
          </cell>
        </row>
        <row r="2178">
          <cell r="F2178" t="str">
            <v>DHFL Pramerica Hybrid Fixed Term Fund - Series 13 - Regular Plan - Dividend (Payout)</v>
          </cell>
        </row>
        <row r="2179">
          <cell r="F2179" t="str">
            <v>DHFL Pramerica Hybrid Fixed Term Fund - Series 13 - Regular Plan - Growth</v>
          </cell>
        </row>
        <row r="2180">
          <cell r="F2180" t="str">
            <v>DHFL Pramerica Hybrid Fixed Term Fund - Series 17 - Regular Plan - Growth</v>
          </cell>
        </row>
        <row r="2181">
          <cell r="F2181" t="str">
            <v>DHFL Pramerica Hybrid Fixed Term Fund - Series 33 - Direct Plan - Growth</v>
          </cell>
        </row>
        <row r="2182">
          <cell r="F2182" t="str">
            <v>DHFL Pramerica Hybrid Fixed term Fund - Series 33 - Regular Plan - Annual Dividend</v>
          </cell>
        </row>
        <row r="2183">
          <cell r="F2183" t="str">
            <v>DHFL Pramerica Hybrid Fixed Term Fund - Series 33 - Regular Plan - Quarterly Dividend</v>
          </cell>
        </row>
        <row r="2184">
          <cell r="F2184" t="str">
            <v>DHFL Pramerica Hybrid Fixed Term Fund - Series 33 - Regular Plan - Regular Dividend</v>
          </cell>
        </row>
        <row r="2185">
          <cell r="F2185" t="str">
            <v>DHFL Pramerica Hybrid Fixed Term Fund - Series 34 - Direct Plan - Growth</v>
          </cell>
        </row>
        <row r="2186">
          <cell r="F2186" t="str">
            <v>DHFL Pramerica Hybrid Fixed Term Fund - Series 34 - Regular Plan - Annual Dividend</v>
          </cell>
        </row>
        <row r="2187">
          <cell r="F2187" t="str">
            <v>DHFL Pramerica Hybrid Fixed Term Fund - Series 34 - Regular Plan - Growth</v>
          </cell>
        </row>
        <row r="2188">
          <cell r="F2188" t="str">
            <v>DHFL Pramerica Hybrid Fixed Term Fund - Series 34 - Regular Plan - Quarterly Dividend</v>
          </cell>
        </row>
        <row r="2189">
          <cell r="F2189" t="str">
            <v>DHFL Pramerica Hybrid Fixed Term Fund - Series 34 - Regular Plan - Regular Dividend</v>
          </cell>
        </row>
        <row r="2190">
          <cell r="F2190" t="str">
            <v>DHFL Pramerica Hybrid Fixed Term Fund - Series 35 - Direct Plan - Dividend</v>
          </cell>
        </row>
        <row r="2191">
          <cell r="F2191" t="str">
            <v>DHFL Pramerica Hybrid fixed Term Fund - Series 35 - Direct Plan - Growth</v>
          </cell>
        </row>
        <row r="2192">
          <cell r="F2192" t="str">
            <v>DHFL Pramerica Hybrid Fixed Term Fund - Series 35 - Regular Plan - Annual Dividend</v>
          </cell>
        </row>
        <row r="2193">
          <cell r="F2193" t="str">
            <v>DHFL Pramerica Hybrid Fixed Term Fund - Series 35 - Regular Plan - Growth</v>
          </cell>
        </row>
        <row r="2194">
          <cell r="F2194" t="str">
            <v>DHFL Pramerica Hybrid Fixed Term Fund - Series 35 - Regular Plan - Quarterly Dividend</v>
          </cell>
        </row>
        <row r="2195">
          <cell r="F2195" t="str">
            <v>DHFL Pramerica Hybrid Fixed Term Fund - Series 35 - Regular Plan - Regular Dividend</v>
          </cell>
        </row>
        <row r="2196">
          <cell r="F2196" t="str">
            <v>DHFL Pramerica Hybrid Fixed Term Fund - Series 37 - Direct Plan - Growth</v>
          </cell>
        </row>
        <row r="2197">
          <cell r="F2197" t="str">
            <v>DHFL Pramerica hybrid Fixed Term Fund - Series 37 - Regular Plan - Annual Dividend</v>
          </cell>
        </row>
        <row r="2198">
          <cell r="F2198" t="str">
            <v>DHFL Pramerica Hybrid Fixed Term Fund - Series 37 - Regular Plan - Growth</v>
          </cell>
        </row>
        <row r="2199">
          <cell r="F2199" t="str">
            <v>DHFL Pramerica Hybrid Fixed Term Fund - Series 37 - Regular Plan - Quarterly Dividend</v>
          </cell>
        </row>
        <row r="2200">
          <cell r="F2200" t="str">
            <v>DHFL Pramerica Hybrid Fixed Term Fund - Series 37 - Regular Plan - Regular Dividend</v>
          </cell>
        </row>
        <row r="2201">
          <cell r="F2201" t="str">
            <v>DHFL Pramerica Hybrid Fixed Term Fund - Series 39 - Direct Plan - Growth</v>
          </cell>
        </row>
        <row r="2202">
          <cell r="F2202" t="str">
            <v>DHFL Pramerica Hybrid Fixed Term Fund - Series 39 - Direct Plan - Regular Dividend</v>
          </cell>
        </row>
        <row r="2203">
          <cell r="F2203" t="str">
            <v>DHFL Pramerica Hybrid Fixed Term Fund - Series 39 - Regular Plan - Annual Dividend</v>
          </cell>
        </row>
        <row r="2204">
          <cell r="F2204" t="str">
            <v>DHFL Pramerica Hybrid Fixed Term Fund - Series 39 - Regular Plan - Growth</v>
          </cell>
        </row>
        <row r="2205">
          <cell r="F2205" t="str">
            <v>DHFL Pramerica Hybrid Fixed Term Fund - Series 39 - Regular Plan - Quarterly Dividend</v>
          </cell>
        </row>
        <row r="2206">
          <cell r="F2206" t="str">
            <v>DHFL Pramerica Hybrid Fixed Term Fund - Series 39 - Regular Plan - Regular Dividend</v>
          </cell>
        </row>
        <row r="2207">
          <cell r="F2207" t="str">
            <v>DHFL Pramerica Hybrid Fixed Term Fund - Series 4 - Dividend (Payout)</v>
          </cell>
        </row>
        <row r="2208">
          <cell r="F2208" t="str">
            <v>DHFL Pramerica Hybrid Fixed Term Fund - Series 4- Growth</v>
          </cell>
        </row>
        <row r="2209">
          <cell r="F2209" t="str">
            <v>DHFL Pramerica Hybrid Fixed Term Fund - Series 40 - Direct Plan - Growth</v>
          </cell>
        </row>
        <row r="2210">
          <cell r="F2210" t="str">
            <v>DHFL Pramerica Hybrid Fixed Term fund - Series 40 - Direct Plan - Regular Dividend</v>
          </cell>
        </row>
        <row r="2211">
          <cell r="F2211" t="str">
            <v>DHFL Pramerica Hybrid Fixed Term Fund - Series 40 - Regular Plan - Annual Dividend</v>
          </cell>
        </row>
        <row r="2212">
          <cell r="F2212" t="str">
            <v>DHFL Pramerica Hybrid Fixed Term Fund - Series 40 - Regular Plan - Growth</v>
          </cell>
        </row>
        <row r="2213">
          <cell r="F2213" t="str">
            <v>DHFL Pramerica Hybrid Fixed Term Fund - Series 40 - Regular Plan - Quarterly Dividend</v>
          </cell>
        </row>
        <row r="2214">
          <cell r="F2214" t="str">
            <v>DHFL Pramerica Hybrid Fixed Term Fund - Series 40 - Regular Plan - Regular Dividend</v>
          </cell>
        </row>
        <row r="2215">
          <cell r="F2215" t="str">
            <v>DHFL Pramerica Hybrid Fixed Term Fund - Series 41 - Direct Plan - Growth</v>
          </cell>
        </row>
        <row r="2216">
          <cell r="F2216" t="str">
            <v>DHFL Pramerica Hybrid Fixed Term Fund - Series 41 - Direct Plan - Quarterly Dividend</v>
          </cell>
        </row>
        <row r="2217">
          <cell r="F2217" t="str">
            <v>DHFL Pramerica Hybrid Fixed Term Fund - Series 41 - Direct Plan - Regular Dividend</v>
          </cell>
        </row>
        <row r="2218">
          <cell r="F2218" t="str">
            <v>DHFL Pramerica Hybrid Fixed Term Fund - Series 41 - Regular Plan - Annual Dividend</v>
          </cell>
        </row>
        <row r="2219">
          <cell r="F2219" t="str">
            <v>DHFL Pramerica Hybrid Fixed Term Fund - Series 41 - Regular Plan - Growth</v>
          </cell>
        </row>
        <row r="2220">
          <cell r="F2220" t="str">
            <v>DHFL Pramerica Hybrid Fixed Term Fund - Series 41 - Regular Plan - Quarterly Dividend</v>
          </cell>
        </row>
        <row r="2221">
          <cell r="F2221" t="str">
            <v>DHFL Pramerica Hybrid Fixed Term Fund - Series 41 - Regular Plan - Regular Dividend</v>
          </cell>
        </row>
        <row r="2222">
          <cell r="F2222" t="str">
            <v>DHFL Pramerica Hybrid Fixed Term Fund - Series 5 - Dividend (Payout)</v>
          </cell>
        </row>
        <row r="2223">
          <cell r="F2223" t="str">
            <v>DHFL Pramerica Hybrid Fixed Term Fund - Series 5 - Growth</v>
          </cell>
        </row>
        <row r="2224">
          <cell r="F2224" t="str">
            <v>DHFL Pramerica Hybrid Fixed Term Fund - Series 6 - Dividend (Payout)</v>
          </cell>
        </row>
        <row r="2225">
          <cell r="F2225" t="str">
            <v>DHFL Pramerica Hybrid Fixed Term Fund - Series 6 - Growth</v>
          </cell>
        </row>
        <row r="2226">
          <cell r="F2226" t="str">
            <v>DHFL Pramerica Hybrid Fixed Term Fund - Series 7 - Annual Dividend (Payout)</v>
          </cell>
        </row>
        <row r="2227">
          <cell r="F2227" t="str">
            <v>DHFL Pramerica Hybrid Fixed Term Fund - Series 7 - Dividend (Payout)</v>
          </cell>
        </row>
        <row r="2228">
          <cell r="F2228" t="str">
            <v>DHFL Pramerica Hybrid Fixed Term Fund - Series 7 - Growth</v>
          </cell>
        </row>
        <row r="2229">
          <cell r="F2229" t="str">
            <v>DHFL Pramerica Hybrid Fixed Term Fund - Series 7 - Quarterly Dividend (Payout)</v>
          </cell>
        </row>
        <row r="2230">
          <cell r="F2230" t="str">
            <v>DHFL Pramerica INSTA CASH FUND - Annual Bonus Option</v>
          </cell>
        </row>
        <row r="2231">
          <cell r="F2231" t="str">
            <v>DHFL Pramerica INSTA CASH FUND - BONUS OPTION</v>
          </cell>
        </row>
        <row r="2232">
          <cell r="F2232" t="str">
            <v>DHFL Pramerica Insta Cash Fund - Direct Plan -  Annual Bonus Option</v>
          </cell>
        </row>
        <row r="2233">
          <cell r="F2233" t="str">
            <v>DHFL Pramerica Insta Cash Fund - Direct Plan - Daily Dividend</v>
          </cell>
        </row>
        <row r="2234">
          <cell r="F2234" t="str">
            <v>DHFL Pramerica Insta Cash Fund - Direct Plan - Growth</v>
          </cell>
        </row>
        <row r="2235">
          <cell r="F2235" t="str">
            <v>DHFL Pramerica Insta Cash Fund - Direct Plan - Monthly Dividend</v>
          </cell>
        </row>
        <row r="2236">
          <cell r="F2236" t="str">
            <v>DHFL Pramerica Insta Cash Fund - Direct Plan - Quarterly Dividend</v>
          </cell>
        </row>
        <row r="2237">
          <cell r="F2237" t="str">
            <v>DHFL Pramerica Insta Cash Fund - Direct Plan - Weekly Dividend</v>
          </cell>
        </row>
        <row r="2238">
          <cell r="F2238" t="str">
            <v>DHFL Pramerica Insta Cash Fund - Monthly Dividend</v>
          </cell>
        </row>
        <row r="2239">
          <cell r="F2239" t="str">
            <v>DHFL Pramerica Insta Cash Fund - Quarterly Dividend Option</v>
          </cell>
        </row>
        <row r="2240">
          <cell r="F2240" t="str">
            <v>DHFL Pramerica INSTA CASH FUND - Regular Plan BONUS OPTION</v>
          </cell>
        </row>
        <row r="2241">
          <cell r="F2241" t="str">
            <v>DHFL Pramerica Insta Cash Fund - Unclaimed Dividend Plan - Below 3 years</v>
          </cell>
        </row>
        <row r="2242">
          <cell r="F2242" t="str">
            <v>DHFL Pramerica Insta Cash Fund - Unclaimed Redemption Plan - Above 3 years</v>
          </cell>
        </row>
        <row r="2243">
          <cell r="F2243" t="str">
            <v>DHFL Pramerica Insta Cash Fund - Unclamied Dividend Plan - Above 3 years</v>
          </cell>
        </row>
        <row r="2244">
          <cell r="F2244" t="str">
            <v>DHFL Pramerica Insta Cash Fund - Unlcaimed Redemption Plan - Below 3 years</v>
          </cell>
        </row>
        <row r="2245">
          <cell r="F2245" t="str">
            <v>DHFL Pramerica Insta Cash Fund - Weekly Dividend</v>
          </cell>
        </row>
        <row r="2246">
          <cell r="F2246" t="str">
            <v>DHFL Pramerica Insta Cash Fund -Growth</v>
          </cell>
        </row>
        <row r="2247">
          <cell r="F2247" t="str">
            <v>DHFL Pramerica Insta Cash Fund- Annual Dividend Option</v>
          </cell>
        </row>
        <row r="2248">
          <cell r="F2248" t="str">
            <v>DHFL Pramerica Insta Cash Fund-Daily Dividend</v>
          </cell>
        </row>
        <row r="2249">
          <cell r="F2249" t="str">
            <v>DHFL Pramerica Insta Cash Fund-DIVIDEND-Daily Dividend</v>
          </cell>
        </row>
        <row r="2250">
          <cell r="F2250" t="str">
            <v>DHFL Pramerica Insta Cash Fund-DIVIDEND-MONTHLY DIVIDEND</v>
          </cell>
        </row>
        <row r="2251">
          <cell r="F2251" t="str">
            <v>DHFL Pramerica Insta Cash Fund-DIVIDEND-WEEKLY DIVIDEND</v>
          </cell>
        </row>
        <row r="2252">
          <cell r="F2252" t="str">
            <v>DHFL Pramerica Insta Cash Fund-Growth-GROWTH</v>
          </cell>
        </row>
        <row r="2253">
          <cell r="F2253" t="str">
            <v>DHFL Pramerica Insta Cash Fund-Institutional Plan-Daily Dividend</v>
          </cell>
        </row>
        <row r="2254">
          <cell r="F2254" t="str">
            <v>DHFL Pramerica Insta Cash Fund-Institutional Plan-Growth</v>
          </cell>
        </row>
        <row r="2255">
          <cell r="F2255" t="str">
            <v>DHFL Pramerica INSTA CASH FUND-Monthly Bonus Option</v>
          </cell>
        </row>
        <row r="2256">
          <cell r="F2256" t="str">
            <v>DHFL Pramerica Large Cap Fund - BONUS OPTION</v>
          </cell>
        </row>
        <row r="2257">
          <cell r="F2257" t="str">
            <v>DHFL Pramerica Large Cap Fund - Direct Plan - Bonus</v>
          </cell>
        </row>
        <row r="2258">
          <cell r="F2258" t="str">
            <v>DHFL Pramerica Large Cap Fund - Direct Plan - Dividend</v>
          </cell>
        </row>
        <row r="2259">
          <cell r="F2259" t="str">
            <v>DHFL Pramerica Large Cap Fund - Direct Plan - Growth</v>
          </cell>
        </row>
        <row r="2260">
          <cell r="F2260" t="str">
            <v>DHFL Pramerica Large Cap Fund - Dividend</v>
          </cell>
        </row>
        <row r="2261">
          <cell r="F2261" t="str">
            <v>DHFL Pramerica Large Cap Fund - Growth</v>
          </cell>
        </row>
        <row r="2262">
          <cell r="F2262" t="str">
            <v>DHFL Pramerica Large Cap Fund - Series 1 - Direct Plan - Dividend (Payout)</v>
          </cell>
        </row>
        <row r="2263">
          <cell r="F2263" t="str">
            <v>DHFL Pramerica Large Cap Fund - Series 1 - Direct Plan - Growth</v>
          </cell>
        </row>
        <row r="2264">
          <cell r="F2264" t="str">
            <v>DHFL Pramerica Large Cap Fund - Series 1 - Regular Plan - Dividend (Payout)</v>
          </cell>
        </row>
        <row r="2265">
          <cell r="F2265" t="str">
            <v>DHFL Pramerica Large Cap Fund - Series 1 - Regular Plan - Growth</v>
          </cell>
        </row>
        <row r="2266">
          <cell r="F2266" t="str">
            <v>DHFL Pramerica Large Cap Fund - Series 2 - Direct Plan - Dividend (Payout)</v>
          </cell>
        </row>
        <row r="2267">
          <cell r="F2267" t="str">
            <v>DHFL Pramerica Large Cap Fund - Series 2 - Direct Plan - Growth</v>
          </cell>
        </row>
        <row r="2268">
          <cell r="F2268" t="str">
            <v>DHFL Pramerica Large Cap Fund - Series 2 - Regular Plan - Dividend (Payout)</v>
          </cell>
        </row>
        <row r="2269">
          <cell r="F2269" t="str">
            <v>DHFL Pramerica Large Cap Fund - Series 2 - Regular Plan - Growth</v>
          </cell>
        </row>
        <row r="2270">
          <cell r="F2270" t="str">
            <v>DHFL Pramerica Large Cap Fund - Series 3 - Direct Plan - Dividend (Payout)</v>
          </cell>
        </row>
        <row r="2271">
          <cell r="F2271" t="str">
            <v>DHFL Pramerica Large Cap Fund - Series 3 - Direct Plan - Growth</v>
          </cell>
        </row>
        <row r="2272">
          <cell r="F2272" t="str">
            <v>DHFL Pramerica Large Cap Fund - Series 3 - Regular Plan - Dividend (Payout)</v>
          </cell>
        </row>
        <row r="2273">
          <cell r="F2273" t="str">
            <v>DHFL Pramerica Large Cap Fund - Series 3 - Regular Plan - Growth</v>
          </cell>
        </row>
        <row r="2274">
          <cell r="F2274" t="str">
            <v>DHFL Pramerica Large Cap Fund Wealth Plan - Growth Option</v>
          </cell>
        </row>
        <row r="2275">
          <cell r="F2275" t="str">
            <v>DHFL Pramerica Large Cap Fund Wealth Plan -Dividend Option</v>
          </cell>
        </row>
        <row r="2276">
          <cell r="F2276" t="str">
            <v>DHFL Pramerica Long Term Equity Fund - Direct Plan - Dividend Option</v>
          </cell>
        </row>
        <row r="2277">
          <cell r="F2277" t="str">
            <v>DHFL Pramerica Long Term Equity Fund - Direct Plan - Growth Option</v>
          </cell>
        </row>
        <row r="2278">
          <cell r="F2278" t="str">
            <v>DHFL Pramerica Long Term Equity Fund - Regular Plan - Dividend Option</v>
          </cell>
        </row>
        <row r="2279">
          <cell r="F2279" t="str">
            <v>DHFL Pramerica Long Term Equity Fund - Regular Plan - Growth Option</v>
          </cell>
        </row>
        <row r="2280">
          <cell r="F2280" t="str">
            <v>DHFL Pramerica Low Duration Fund  -  Annual  Bonus</v>
          </cell>
        </row>
        <row r="2281">
          <cell r="F2281" t="str">
            <v>DHFL Pramerica Low Duration Fund - ANNUAL DIV</v>
          </cell>
        </row>
        <row r="2282">
          <cell r="F2282" t="str">
            <v>DHFL Pramerica Low Duration Fund - DAILY DIV</v>
          </cell>
        </row>
        <row r="2283">
          <cell r="F2283" t="str">
            <v>DHFL Pramerica Low Duration Fund - Direct Dividend</v>
          </cell>
        </row>
        <row r="2284">
          <cell r="F2284" t="str">
            <v>DHFL Pramerica Low Duration Fund - Direct Plan - Annual Dividend</v>
          </cell>
        </row>
        <row r="2285">
          <cell r="F2285" t="str">
            <v>DHFL Pramerica Low Duration Fund - Direct Plan - Daily Dividend</v>
          </cell>
        </row>
        <row r="2286">
          <cell r="F2286" t="str">
            <v>DHFL Pramerica Low Duration Fund - Direct Plan - Fortnightly Dividend</v>
          </cell>
        </row>
        <row r="2287">
          <cell r="F2287" t="str">
            <v>DHFL Pramerica Low Duration Fund - Direct Plan - Growth</v>
          </cell>
        </row>
        <row r="2288">
          <cell r="F2288" t="str">
            <v>DHFL Pramerica Low Duration Fund - Direct Plan - Monthly Bonus</v>
          </cell>
        </row>
        <row r="2289">
          <cell r="F2289" t="str">
            <v>DHFL Pramerica Low Duration Fund - Direct Plan - Monthly Dividend</v>
          </cell>
        </row>
        <row r="2290">
          <cell r="F2290" t="str">
            <v>DHFL Pramerica Low Duration Fund - Direct Plan - Quarterly Dividend</v>
          </cell>
        </row>
        <row r="2291">
          <cell r="F2291" t="str">
            <v>DHFL Pramerica Low Duration Fund - Direct Plan - Weekly Dividend</v>
          </cell>
        </row>
        <row r="2292">
          <cell r="F2292" t="str">
            <v>DHFL Pramerica Low Duration Fund - FORTNIGHTLY DIV</v>
          </cell>
        </row>
        <row r="2293">
          <cell r="F2293" t="str">
            <v>DHFL Pramerica Low Duration Fund - GR</v>
          </cell>
        </row>
        <row r="2294">
          <cell r="F2294" t="str">
            <v>DHFL Pramerica Low Duration Fund - Monthly Bonus Option</v>
          </cell>
        </row>
        <row r="2295">
          <cell r="F2295" t="str">
            <v>DHFL Pramerica Low Duration Fund - QUARTERLY DIV</v>
          </cell>
        </row>
        <row r="2296">
          <cell r="F2296" t="str">
            <v>DHFL Pramerica Low Duration Fund DIV OPTION</v>
          </cell>
        </row>
        <row r="2297">
          <cell r="F2297" t="str">
            <v>DHFL Pramerica Low Duration Fund INSTITUTIONAL - MONTHLY DIV</v>
          </cell>
        </row>
        <row r="2298">
          <cell r="F2298" t="str">
            <v>DHFL Pramerica Low Duration Fund INSTITUTIONAL -GR</v>
          </cell>
        </row>
        <row r="2299">
          <cell r="F2299" t="str">
            <v>DHFL Pramerica Low Duration Fund INSTITUTIONAL -Weekly</v>
          </cell>
        </row>
        <row r="2300">
          <cell r="F2300" t="str">
            <v>DHFL Pramerica Low Duration Fund INSTITUTIONAL-Daily</v>
          </cell>
        </row>
        <row r="2301">
          <cell r="F2301" t="str">
            <v>DHFL Pramerica Low Duration Fund- Bonus Option</v>
          </cell>
        </row>
        <row r="2302">
          <cell r="F2302" t="str">
            <v>DHFL Pramerica Low Duration Fund- MONTHLY DIV</v>
          </cell>
        </row>
        <row r="2303">
          <cell r="F2303" t="str">
            <v>DHFL Pramerica Low Duration Fund- WEEKLY DIV</v>
          </cell>
        </row>
        <row r="2304">
          <cell r="F2304" t="str">
            <v>DHFL Pramerica Medium Term Fund - Direct Plan - Annual Dividend</v>
          </cell>
        </row>
        <row r="2305">
          <cell r="F2305" t="str">
            <v>DHFL Pramerica Medium Term Fund - Direct Plan - Monthly Dividend</v>
          </cell>
        </row>
        <row r="2306">
          <cell r="F2306" t="str">
            <v>DHFL Pramerica Medium Term Fund - Regular Plan - Monthly Dividend</v>
          </cell>
        </row>
        <row r="2307">
          <cell r="F2307" t="str">
            <v>DHFL Pramerica Medium Term Fund - Regular Plan - Quarterly Dividend</v>
          </cell>
        </row>
        <row r="2308">
          <cell r="F2308" t="str">
            <v>DHFL Pramerica Medium Term Fund- Direct Plan - Regular Dividend</v>
          </cell>
        </row>
        <row r="2309">
          <cell r="F2309" t="str">
            <v>DHFL Pramerica Medium Term Fund- Direct Plan- Growth</v>
          </cell>
        </row>
        <row r="2310">
          <cell r="F2310" t="str">
            <v>DHFL Pramerica Medium Term Fund- Regular Plan - Regular Dividend</v>
          </cell>
        </row>
        <row r="2311">
          <cell r="F2311" t="str">
            <v>DHFL Pramerica Medium Term Fund- Regular Plan- Growth</v>
          </cell>
        </row>
        <row r="2312">
          <cell r="F2312" t="str">
            <v>DHFL Pramerica Midcap Opportunities Fund - Direct Plan - Dividend Option - Payout</v>
          </cell>
        </row>
        <row r="2313">
          <cell r="F2313" t="str">
            <v>DHFL Pramerica Midcap Opportunities Fund - Direct Plan - Growth Option</v>
          </cell>
        </row>
        <row r="2314">
          <cell r="F2314" t="str">
            <v>DHFL Pramerica Midcap Opportunities Fund - Regular Plan - Dividend Option - Payout</v>
          </cell>
        </row>
        <row r="2315">
          <cell r="F2315" t="str">
            <v>DHFL Pramerica Midcap Opportunities Fund - Regular Plan - Growth Option</v>
          </cell>
        </row>
        <row r="2316">
          <cell r="F2316" t="str">
            <v>DHFL Pramerica Premier Bond Fund - Annual Dividend</v>
          </cell>
        </row>
        <row r="2317">
          <cell r="F2317" t="str">
            <v>DHFL Pramerica Premier Bond Fund - Direct Plan - Annual Dividend</v>
          </cell>
        </row>
        <row r="2318">
          <cell r="F2318" t="str">
            <v>DHFL Pramerica Premier Bond Fund - Direct Plan - Growth</v>
          </cell>
        </row>
        <row r="2319">
          <cell r="F2319" t="str">
            <v>DHFL Pramerica Premier Bond Fund - Direct Plan - Monthly Dividend</v>
          </cell>
        </row>
        <row r="2320">
          <cell r="F2320" t="str">
            <v>DHFL Pramerica Premier Bond Fund - Direct Plan - Quarterly Dividend</v>
          </cell>
        </row>
        <row r="2321">
          <cell r="F2321" t="str">
            <v>DHFL Pramerica Premier Bond Fund - Growth</v>
          </cell>
        </row>
        <row r="2322">
          <cell r="F2322" t="str">
            <v>DHFL Pramerica Premier Bond Fund - Half-Yearly Bonus</v>
          </cell>
        </row>
        <row r="2323">
          <cell r="F2323" t="str">
            <v>DHFL Pramerica Premier Bond Fund - Monthly Dividend</v>
          </cell>
        </row>
        <row r="2324">
          <cell r="F2324" t="str">
            <v>DHFL Pramerica Premier Bond Fund - Premium Plus Plan - Growth</v>
          </cell>
        </row>
        <row r="2325">
          <cell r="F2325" t="str">
            <v>DHFL Pramerica Premier Bond Fund - Quarterly Dividend</v>
          </cell>
        </row>
        <row r="2326">
          <cell r="F2326" t="str">
            <v>DHFL Pramerica Short Maturity Fund - Annual Bonus</v>
          </cell>
        </row>
        <row r="2327">
          <cell r="F2327" t="str">
            <v>DHFL Pramerica Short Maturity Fund - Annual Dividend</v>
          </cell>
        </row>
        <row r="2328">
          <cell r="F2328" t="str">
            <v>DHFL Pramerica Short Maturity Fund - Bonus</v>
          </cell>
        </row>
        <row r="2329">
          <cell r="F2329" t="str">
            <v>DHFL Pramerica Short Maturity Fund - Direct Plan - Annual Bonus</v>
          </cell>
        </row>
        <row r="2330">
          <cell r="F2330" t="str">
            <v>DHFL Pramerica Short Maturity Fund - Direct Plan - Growth</v>
          </cell>
        </row>
        <row r="2331">
          <cell r="F2331" t="str">
            <v>DHFL Pramerica Short Maturity Fund - Direct Plan - Monthly Dividend</v>
          </cell>
        </row>
        <row r="2332">
          <cell r="F2332" t="str">
            <v>DHFL Pramerica Short Maturity Fund - Direct Plan - Quarterly Dividend</v>
          </cell>
        </row>
        <row r="2333">
          <cell r="F2333" t="str">
            <v>DHFL Pramerica Short Maturity Fund - Direct Plan - Weekly Dividend</v>
          </cell>
        </row>
        <row r="2334">
          <cell r="F2334" t="str">
            <v>DHFL Pramerica Short Maturity Fund - Growth</v>
          </cell>
        </row>
        <row r="2335">
          <cell r="F2335" t="str">
            <v>DHFL Pramerica Short Maturity Fund - Half Yearly Bonus</v>
          </cell>
        </row>
        <row r="2336">
          <cell r="F2336" t="str">
            <v>DHFL Pramerica Short Maturity Fund - Institutional Plan - Growth</v>
          </cell>
        </row>
        <row r="2337">
          <cell r="F2337" t="str">
            <v>DHFL Pramerica Short Maturity Fund - Monthly Dividend</v>
          </cell>
        </row>
        <row r="2338">
          <cell r="F2338" t="str">
            <v>DHFL Pramerica Short Maturity Fund - Premium Plus - Growth</v>
          </cell>
        </row>
        <row r="2339">
          <cell r="F2339" t="str">
            <v>DHFL Pramerica Short Maturity Fund - Premium Plus - Quarterly Dividend</v>
          </cell>
        </row>
        <row r="2340">
          <cell r="F2340" t="str">
            <v>DHFL Pramerica Short Maturity Fund - Premium Plus Plan - Monthly Dividend</v>
          </cell>
        </row>
        <row r="2341">
          <cell r="F2341" t="str">
            <v>DHFL Pramerica Short Maturity Fund - Quarterly Dividend</v>
          </cell>
        </row>
        <row r="2342">
          <cell r="F2342" t="str">
            <v>DHFL Pramerica Short Maturity Fund - Weekly Dividend</v>
          </cell>
        </row>
        <row r="2343">
          <cell r="F2343" t="str">
            <v>DHFL Pramerica Short Term Floating Rate Fund - Direct Plan - Weekly Dividend</v>
          </cell>
        </row>
        <row r="2344">
          <cell r="F2344" t="str">
            <v>DHFL Pramerica Short Term Floating Rate Fund - Monthly Dividend</v>
          </cell>
        </row>
        <row r="2345">
          <cell r="F2345" t="str">
            <v>DHFL Pramerica Short Term Floating Rate Fund - Weekly Dividend</v>
          </cell>
        </row>
        <row r="2346">
          <cell r="F2346" t="str">
            <v>DHFL Pramerica Strategic Debt Fund - Direct Plan - Growth</v>
          </cell>
        </row>
        <row r="2347">
          <cell r="F2347" t="str">
            <v>DHFL Pramerica Strategic Debt Fund - Direct Plan - Monthly Dividend</v>
          </cell>
        </row>
        <row r="2348">
          <cell r="F2348" t="str">
            <v>DHFL Pramerica Strategic Debt Fund - Direct Plan - Quarterly Dividend</v>
          </cell>
        </row>
        <row r="2349">
          <cell r="F2349" t="str">
            <v>DHFL Pramerica Strategic Debt Fund - Direct Plan - Regular Dividend</v>
          </cell>
        </row>
        <row r="2350">
          <cell r="F2350" t="str">
            <v>DHFL Pramerica Strategic Debt Fund - Regular Plan - Bonus</v>
          </cell>
        </row>
        <row r="2351">
          <cell r="F2351" t="str">
            <v>DHFL Pramerica Strategic Debt Fund - Regular Plan - Growth</v>
          </cell>
        </row>
        <row r="2352">
          <cell r="F2352" t="str">
            <v>DHFL Pramerica Strategic Debt Fund - Regular Plan - Monthly Dividend</v>
          </cell>
        </row>
        <row r="2353">
          <cell r="F2353" t="str">
            <v>DHFL Pramerica Strategic Debt Fund - Regular Plan - Quarterly Dividend</v>
          </cell>
        </row>
        <row r="2354">
          <cell r="F2354" t="str">
            <v>DHFL Pramerica Strategic Debt Fund - Regular Plan - Regular Dividend</v>
          </cell>
        </row>
        <row r="2355">
          <cell r="F2355" t="str">
            <v>DHFL Pramerica Tax Plan - Bonus</v>
          </cell>
        </row>
        <row r="2356">
          <cell r="F2356" t="str">
            <v>DHFL Pramerica Tax Plan - Direct Plan - Bonus</v>
          </cell>
        </row>
        <row r="2357">
          <cell r="F2357" t="str">
            <v>DHFL Pramerica Tax Plan - Direct Plan - Dividend</v>
          </cell>
        </row>
        <row r="2358">
          <cell r="F2358" t="str">
            <v>DHFL Pramerica Tax Plan - Direct Plan - Growth</v>
          </cell>
        </row>
        <row r="2359">
          <cell r="F2359" t="str">
            <v>DHFL Pramerica Tax Plan-DIVIDEND</v>
          </cell>
        </row>
        <row r="2360">
          <cell r="F2360" t="str">
            <v>DHFL Pramerica Tax Plan-GROWTH</v>
          </cell>
        </row>
        <row r="2361">
          <cell r="F2361" t="str">
            <v>DHFL Pramerica Ultra Short Term Fund - Annual Bonus</v>
          </cell>
        </row>
        <row r="2362">
          <cell r="F2362" t="str">
            <v>DHFL Pramerica Ultra Short Term Fund - Bonus</v>
          </cell>
        </row>
        <row r="2363">
          <cell r="F2363" t="str">
            <v>DHFL Pramerica Ultra Short Term Fund - Daily Dividend</v>
          </cell>
        </row>
        <row r="2364">
          <cell r="F2364" t="str">
            <v>DHFL Pramerica Ultra Short Term Fund - Direct Plan - Annual Bonus</v>
          </cell>
        </row>
        <row r="2365">
          <cell r="F2365" t="str">
            <v>DHFL Pramerica Ultra Short Term Fund - Direct Plan - Bonus</v>
          </cell>
        </row>
        <row r="2366">
          <cell r="F2366" t="str">
            <v>DHFL Pramerica Ultra Short Term Fund - Direct Plan - Daily Dividend</v>
          </cell>
        </row>
        <row r="2367">
          <cell r="F2367" t="str">
            <v>DHFL Pramerica Ultra Short Term Fund - Direct Plan - Growth</v>
          </cell>
        </row>
        <row r="2368">
          <cell r="F2368" t="str">
            <v>DHFL Pramerica Ultra Short Term Fund - Direct Plan - Monthly Bonus</v>
          </cell>
        </row>
        <row r="2369">
          <cell r="F2369" t="str">
            <v>DHFL Pramerica Ultra Short Term Fund - Direct Plan - Monthly Dividend</v>
          </cell>
        </row>
        <row r="2370">
          <cell r="F2370" t="str">
            <v>DHFL Pramerica Ultra Short Term Fund - Direct Plan - Quarterly Dividend</v>
          </cell>
        </row>
        <row r="2371">
          <cell r="F2371" t="str">
            <v>DHFL Pramerica Ultra Short Term Fund - Direct Plan - Weekly Dividend</v>
          </cell>
        </row>
        <row r="2372">
          <cell r="F2372" t="str">
            <v>DHFL Pramerica Ultra Short Term Fund - Dividend</v>
          </cell>
        </row>
        <row r="2373">
          <cell r="F2373" t="str">
            <v>DHFL Pramerica Ultra Short Term Fund - Growth</v>
          </cell>
        </row>
        <row r="2374">
          <cell r="F2374" t="str">
            <v>DHFL Pramerica Ultra Short Term Fund - Monthly Bonus</v>
          </cell>
        </row>
        <row r="2375">
          <cell r="F2375" t="str">
            <v>DHFL Pramerica Ultra Short Term Fund - Monthly Dividend</v>
          </cell>
        </row>
        <row r="2376">
          <cell r="F2376" t="str">
            <v>DHFL Pramerica Ultra Short Term Fund - Quarterly Dividend</v>
          </cell>
        </row>
        <row r="2377">
          <cell r="F2377" t="str">
            <v>DHFL Pramerica Ultra Short Term Fund - Regular Plan - Bonus</v>
          </cell>
        </row>
        <row r="2378">
          <cell r="F2378" t="str">
            <v>DHFL Pramerica Ultra Short Term Fund - Regular Plan - Daily Dividend</v>
          </cell>
        </row>
        <row r="2379">
          <cell r="F2379" t="str">
            <v>DHFL Pramerica Ultra Short Term Fund - Regular Plan - Growth</v>
          </cell>
        </row>
        <row r="2380">
          <cell r="F2380" t="str">
            <v>DHFL Pramerica Ultra Short Term Fund - Regular Plan - Monthly Dividend</v>
          </cell>
        </row>
        <row r="2381">
          <cell r="F2381" t="str">
            <v>DHFL Pramerica Ultra Short Term Fund - Regular Plan - Weekly Dividend</v>
          </cell>
        </row>
        <row r="2382">
          <cell r="F2382" t="str">
            <v>DHFL Pramerica Ultra Short Term Fund - Weekly Dividend</v>
          </cell>
        </row>
        <row r="2383">
          <cell r="F2383" t="str">
            <v>DHINDIA</v>
          </cell>
        </row>
        <row r="2384">
          <cell r="F2384" t="str">
            <v>DHOOT I.FIN.</v>
          </cell>
        </row>
        <row r="2385">
          <cell r="F2385" t="str">
            <v>DHP INDIA LT</v>
          </cell>
        </row>
        <row r="2386">
          <cell r="F2386" t="str">
            <v>DHUN TEAIND</v>
          </cell>
        </row>
        <row r="2387">
          <cell r="F2387" t="str">
            <v>DHUNINV</v>
          </cell>
        </row>
        <row r="2388">
          <cell r="F2388" t="str">
            <v>DIAMINES&amp;CHM</v>
          </cell>
        </row>
        <row r="2389">
          <cell r="F2389" t="str">
            <v>DIAMONDYD</v>
          </cell>
        </row>
        <row r="2390">
          <cell r="F2390" t="str">
            <v>DIANA TEA CO</v>
          </cell>
        </row>
        <row r="2391">
          <cell r="F2391" t="str">
            <v>DIAPOWER</v>
          </cell>
        </row>
        <row r="2392">
          <cell r="F2392" t="str">
            <v>DIC INDIA</v>
          </cell>
        </row>
        <row r="2393">
          <cell r="F2393" t="str">
            <v>DIGJAMLTD</v>
          </cell>
        </row>
        <row r="2394">
          <cell r="F2394" t="str">
            <v>DIL LTD</v>
          </cell>
        </row>
        <row r="2395">
          <cell r="F2395" t="str">
            <v>DILIGENT</v>
          </cell>
        </row>
        <row r="2396">
          <cell r="F2396" t="str">
            <v>DION</v>
          </cell>
        </row>
        <row r="2397">
          <cell r="F2397" t="str">
            <v>DISA INDIA</v>
          </cell>
        </row>
        <row r="2398">
          <cell r="F2398" t="str">
            <v>DISH TV</v>
          </cell>
        </row>
        <row r="2399">
          <cell r="F2399" t="str">
            <v>DIVISLAB</v>
          </cell>
        </row>
        <row r="2400">
          <cell r="F2400" t="str">
            <v>DIVYA.GRANIT</v>
          </cell>
        </row>
        <row r="2401">
          <cell r="F2401" t="str">
            <v>DIVYAJYOTI I</v>
          </cell>
        </row>
        <row r="2402">
          <cell r="F2402" t="str">
            <v>DIXON</v>
          </cell>
        </row>
        <row r="2403">
          <cell r="F2403" t="str">
            <v>DLF LIMITED</v>
          </cell>
        </row>
        <row r="2404">
          <cell r="F2404" t="str">
            <v>DLINKINDIA</v>
          </cell>
        </row>
        <row r="2405">
          <cell r="F2405" t="str">
            <v>DMART</v>
          </cell>
        </row>
        <row r="2406">
          <cell r="F2406" t="str">
            <v>DML</v>
          </cell>
        </row>
        <row r="2407">
          <cell r="F2407" t="str">
            <v>DNAMEDIA</v>
          </cell>
        </row>
        <row r="2408">
          <cell r="F2408" t="str">
            <v>DOLAT INV.</v>
          </cell>
        </row>
        <row r="2409">
          <cell r="F2409" t="str">
            <v>DOLLAR</v>
          </cell>
        </row>
        <row r="2410">
          <cell r="F2410" t="str">
            <v>DOLLEX IND.</v>
          </cell>
        </row>
        <row r="2411">
          <cell r="F2411" t="str">
            <v>DOLPHIN OFF.</v>
          </cell>
        </row>
        <row r="2412">
          <cell r="F2412" t="str">
            <v>DONEAR IND.</v>
          </cell>
        </row>
        <row r="2413">
          <cell r="F2413" t="str">
            <v>DPABHUSHAN</v>
          </cell>
        </row>
        <row r="2414">
          <cell r="F2414" t="str">
            <v>DPL</v>
          </cell>
        </row>
        <row r="2415">
          <cell r="F2415" t="str">
            <v>DPSCLTD</v>
          </cell>
        </row>
        <row r="2416">
          <cell r="F2416" t="str">
            <v>DPWIRES</v>
          </cell>
        </row>
        <row r="2417">
          <cell r="F2417" t="str">
            <v>DQ ENT</v>
          </cell>
        </row>
        <row r="2418">
          <cell r="F2418" t="str">
            <v>DR.AGAR.EYE</v>
          </cell>
        </row>
        <row r="2419">
          <cell r="F2419" t="str">
            <v>DR.REDDY'S</v>
          </cell>
        </row>
        <row r="2420">
          <cell r="F2420" t="str">
            <v>DREDGING COR</v>
          </cell>
        </row>
        <row r="2421">
          <cell r="F2421" t="str">
            <v>DS.KULKARNI</v>
          </cell>
        </row>
        <row r="2422">
          <cell r="F2422" t="str">
            <v>DSP  - FMP Series 205 - 37M - Regular Plan - Dividend - Quarterly Payout</v>
          </cell>
        </row>
        <row r="2423">
          <cell r="F2423" t="str">
            <v>DSP  10Y G-Sec Fund - Direct Plan - Dividend</v>
          </cell>
        </row>
        <row r="2424">
          <cell r="F2424" t="str">
            <v>DSP  10Y G-Sec Fund - Direct Plan - Growth</v>
          </cell>
        </row>
        <row r="2425">
          <cell r="F2425" t="str">
            <v>DSP  10Y G-Sec Fund - Direct Plan - Monthly Dividend</v>
          </cell>
        </row>
        <row r="2426">
          <cell r="F2426" t="str">
            <v>DSP  10Y G-Sec Fund - Direct Plan - Quarterly Dividend</v>
          </cell>
        </row>
        <row r="2427">
          <cell r="F2427" t="str">
            <v>DSP  10Y G-Sec Fund - Regular Plan - Dividend</v>
          </cell>
        </row>
        <row r="2428">
          <cell r="F2428" t="str">
            <v>DSP  10Y G-Sec Fund - Regular Plan - Growth</v>
          </cell>
        </row>
        <row r="2429">
          <cell r="F2429" t="str">
            <v>DSP  10Y G-Sec Fund - Regular Plan - Monthly Dividend</v>
          </cell>
        </row>
        <row r="2430">
          <cell r="F2430" t="str">
            <v>DSP  10Y G-Sec Fund - Regular Plan - Quarterly Dividend</v>
          </cell>
        </row>
        <row r="2431">
          <cell r="F2431" t="str">
            <v>DSP  3 Years Close Ended Equity Fund - Direct Plan - Dividend (Maturity Date 4-Jan-2021)</v>
          </cell>
        </row>
        <row r="2432">
          <cell r="F2432" t="str">
            <v>DSP  3 Years Close Ended Equity Fund - Direct Plan - Growth (Maturity Date 4-Jan-2021)</v>
          </cell>
        </row>
        <row r="2433">
          <cell r="F2433" t="str">
            <v>DSP  3 Years Close Ended Equity Fund - Regular Plan - Dividend (Maturity Date 4-Jan-2021)</v>
          </cell>
        </row>
        <row r="2434">
          <cell r="F2434" t="str">
            <v>DSP  3 Years Close Ended Equity Fund - Regular Plan - Growth (Maturity Date 4-Jan-2021)</v>
          </cell>
        </row>
        <row r="2435">
          <cell r="F2435" t="str">
            <v>DSP  A.C.E. Fund (Analysts Conviction Equalized) - Series 1 - Direct Plan -  Dividend Payout</v>
          </cell>
        </row>
        <row r="2436">
          <cell r="F2436" t="str">
            <v>DSP  A.C.E. Fund (Analysts Conviction Equalized) - Series 1 - Direct Plan - Growth</v>
          </cell>
        </row>
        <row r="2437">
          <cell r="F2437" t="str">
            <v>DSP  A.C.E. Fund (Analysts Conviction Equalized) - Series 1 - Regular Plan -  Dividend Payout</v>
          </cell>
        </row>
        <row r="2438">
          <cell r="F2438" t="str">
            <v>DSP  A.C.E. Fund (Analysts Conviction Equalized) - Series 1 - Regular Plan - Growth</v>
          </cell>
        </row>
        <row r="2439">
          <cell r="F2439" t="str">
            <v>DSP  Arbitrage Fund - Direct - Dividend</v>
          </cell>
        </row>
        <row r="2440">
          <cell r="F2440" t="str">
            <v>DSP  Arbitrage Fund - Direct - Growth</v>
          </cell>
        </row>
        <row r="2441">
          <cell r="F2441" t="str">
            <v>DSP  Arbitrage Fund - Direct - Monthly Dividend</v>
          </cell>
        </row>
        <row r="2442">
          <cell r="F2442" t="str">
            <v>DSP  Arbitrage Fund - Regular - Dividend</v>
          </cell>
        </row>
        <row r="2443">
          <cell r="F2443" t="str">
            <v>DSP  Arbitrage Fund - Regular - Growth</v>
          </cell>
        </row>
        <row r="2444">
          <cell r="F2444" t="str">
            <v>DSP  Arbitrage Fund - Regular - Monthly Dividend</v>
          </cell>
        </row>
        <row r="2445">
          <cell r="F2445" t="str">
            <v>DSP  Banking &amp; PSU Debt Fund - Direct Plan - Daily Dividend Reinvest</v>
          </cell>
        </row>
        <row r="2446">
          <cell r="F2446" t="str">
            <v>DSP  Banking &amp; PSU Debt Fund - Direct Plan - Dividend Payout &amp; Reinvest</v>
          </cell>
        </row>
        <row r="2447">
          <cell r="F2447" t="str">
            <v>DSP  Banking &amp; PSU Debt Fund - Direct Plan - Growth</v>
          </cell>
        </row>
        <row r="2448">
          <cell r="F2448" t="str">
            <v>DSP  Banking &amp; PSU Debt Fund - Direct Plan - Monthly Dividend Payout &amp; Reinvest</v>
          </cell>
        </row>
        <row r="2449">
          <cell r="F2449" t="str">
            <v>DSP  Banking &amp; PSU Debt Fund - Direct Plan - Quarterly Dividend Payout &amp; Reinvest</v>
          </cell>
        </row>
        <row r="2450">
          <cell r="F2450" t="str">
            <v>DSP  Banking &amp; PSU Debt Fund - Direct Plan - Weekly Dividend Payout &amp; Reinvest</v>
          </cell>
        </row>
        <row r="2451">
          <cell r="F2451" t="str">
            <v>DSP  Banking &amp; PSU Debt Fund - Regular Plan - Daily Dividend Reinvest</v>
          </cell>
        </row>
        <row r="2452">
          <cell r="F2452" t="str">
            <v>DSP  Banking &amp; PSU Debt Fund - Regular Plan - Dividend Payout &amp; Reinvest</v>
          </cell>
        </row>
        <row r="2453">
          <cell r="F2453" t="str">
            <v>DSP  Banking &amp; PSU Debt Fund - Regular Plan - Growth</v>
          </cell>
        </row>
        <row r="2454">
          <cell r="F2454" t="str">
            <v>DSP  Banking &amp; PSU Debt Fund - Regular Plan - Monthly Dividend Payout &amp; Reinvest</v>
          </cell>
        </row>
        <row r="2455">
          <cell r="F2455" t="str">
            <v>DSP  Banking &amp; PSU Debt Fund - Regular Plan - Quarterly Dividend Payout &amp; Reinvest</v>
          </cell>
        </row>
        <row r="2456">
          <cell r="F2456" t="str">
            <v>DSP  Banking &amp; PSU Debt Fund - Regular Plan - Weekly Dividend Payout &amp; Reinvest</v>
          </cell>
        </row>
        <row r="2457">
          <cell r="F2457" t="str">
            <v>DSP  Bond Fund - Direct Plan - Dividend</v>
          </cell>
        </row>
        <row r="2458">
          <cell r="F2458" t="str">
            <v>DSP  Bond Fund - Direct Plan - Growth</v>
          </cell>
        </row>
        <row r="2459">
          <cell r="F2459" t="str">
            <v>DSP  Bond Fund - Direct Plan - Monthly Dividend</v>
          </cell>
        </row>
        <row r="2460">
          <cell r="F2460" t="str">
            <v>DSP  Bond Fund - Dividend</v>
          </cell>
        </row>
        <row r="2461">
          <cell r="F2461" t="str">
            <v>DSP  Bond Fund - Growth</v>
          </cell>
        </row>
        <row r="2462">
          <cell r="F2462" t="str">
            <v>DSP  Bond Fund - Monthly Dividend</v>
          </cell>
        </row>
        <row r="2463">
          <cell r="F2463" t="str">
            <v>DSP  Credit Risk  Fund - Direct Plan - Dividend</v>
          </cell>
        </row>
        <row r="2464">
          <cell r="F2464" t="str">
            <v>DSP  Credit Risk Fund - Direct Plan - Daily Dividend</v>
          </cell>
        </row>
        <row r="2465">
          <cell r="F2465" t="str">
            <v>DSP  Credit Risk Fund - Direct Plan - Growth</v>
          </cell>
        </row>
        <row r="2466">
          <cell r="F2466" t="str">
            <v>DSP  Credit Risk Fund - Direct Plan - Monthly Dividend</v>
          </cell>
        </row>
        <row r="2467">
          <cell r="F2467" t="str">
            <v>DSP  Credit Risk Fund - Direct Plan - Quarterly Dividend</v>
          </cell>
        </row>
        <row r="2468">
          <cell r="F2468" t="str">
            <v>DSP  Credit Risk Fund - Direct Plan - Weekly Dividend</v>
          </cell>
        </row>
        <row r="2469">
          <cell r="F2469" t="str">
            <v>DSP  Credit Risk Fund - Regular Plan - Monthly Dividend</v>
          </cell>
        </row>
        <row r="2470">
          <cell r="F2470" t="str">
            <v>DSP  Credit Risk Fund - Regular Plan - Quarterly Dividend</v>
          </cell>
        </row>
        <row r="2471">
          <cell r="F2471" t="str">
            <v>DSP  Credit Risk Fund - Regular Plan -Daily Dividend</v>
          </cell>
        </row>
        <row r="2472">
          <cell r="F2472" t="str">
            <v>DSP  Credit Risk Fund - Regular Plan -Dividend</v>
          </cell>
        </row>
        <row r="2473">
          <cell r="F2473" t="str">
            <v>DSP  Credit Risk Fund - Regular Plan -Growth</v>
          </cell>
        </row>
        <row r="2474">
          <cell r="F2474" t="str">
            <v>DSP  Credit Risk Fund - Regular Plan -Weekly Dividend</v>
          </cell>
        </row>
        <row r="2475">
          <cell r="F2475" t="str">
            <v>DSP  Dual Advantage Fund - Series 39 - 36M - Direct Plan - Dividend Payout Option</v>
          </cell>
        </row>
        <row r="2476">
          <cell r="F2476" t="str">
            <v>DSP  Dual Advantage Fund - Series 39 - 36M - Direct Plan - Growth</v>
          </cell>
        </row>
        <row r="2477">
          <cell r="F2477" t="str">
            <v>DSP  Dual Advantage Fund - Series 39 - 36M - Regular Plan - Dividend Payout Option</v>
          </cell>
        </row>
        <row r="2478">
          <cell r="F2478" t="str">
            <v>DSP  Dual Advantage Fund - Series 39 - 36M - Regular Plan - Growth</v>
          </cell>
        </row>
        <row r="2479">
          <cell r="F2479" t="str">
            <v>DSP  Dual Advantage Fund - Series 44 - 39M - Direct -  Growth</v>
          </cell>
        </row>
        <row r="2480">
          <cell r="F2480" t="str">
            <v>DSP  Dual Advantage Fund - Series 44 - 39M - Direct - Dividend Payout</v>
          </cell>
        </row>
        <row r="2481">
          <cell r="F2481" t="str">
            <v>DSP  Dual Advantage Fund - Series 44 - 39M - Regular - Dividend Payout</v>
          </cell>
        </row>
        <row r="2482">
          <cell r="F2482" t="str">
            <v>DSP  Dual Advantage Fund - Series 44 -39M - Regular - Growth</v>
          </cell>
        </row>
        <row r="2483">
          <cell r="F2483" t="str">
            <v>DSP  Dual Advantage Fund - Series 45 - 38M - Direct - Dividend Payout</v>
          </cell>
        </row>
        <row r="2484">
          <cell r="F2484" t="str">
            <v>DSP  Dual Advantage Fund - Series 45 - 38M - Direct - Growth</v>
          </cell>
        </row>
        <row r="2485">
          <cell r="F2485" t="str">
            <v>DSP  Dual Advantage Fund - Series 45 - 38M - Regular - Dividend Payout</v>
          </cell>
        </row>
        <row r="2486">
          <cell r="F2486" t="str">
            <v>DSP  Dual Advantage Fund - Series 46 - 36M - Direct - Growth</v>
          </cell>
        </row>
        <row r="2487">
          <cell r="F2487" t="str">
            <v>DSP  Dual Advantage Fund - Series 46 - 36M - Regular - Growth</v>
          </cell>
        </row>
        <row r="2488">
          <cell r="F2488" t="str">
            <v>DSP  Dual Advantage Fund - Series 49 - 42M - Direct - Growth</v>
          </cell>
        </row>
        <row r="2489">
          <cell r="F2489" t="str">
            <v>DSP  Dual Advantage Fund - Series 49 - 42M - Regular - Dividend Payout</v>
          </cell>
        </row>
        <row r="2490">
          <cell r="F2490" t="str">
            <v>DSP  Dual Advantage Fund - Series 49 - 42M - Regular - Growth</v>
          </cell>
        </row>
        <row r="2491">
          <cell r="F2491" t="str">
            <v>DSP  Dual Advantage Fund- Series 45 - 38M - Regular - Growth</v>
          </cell>
        </row>
        <row r="2492">
          <cell r="F2492" t="str">
            <v>DSP  Dynamic Asset Allocation Fund - Direct Plan - Growth</v>
          </cell>
        </row>
        <row r="2493">
          <cell r="F2493" t="str">
            <v>DSP  Dynamic Asset Allocation Fund - Direct Plan - Monthly Dividend</v>
          </cell>
        </row>
        <row r="2494">
          <cell r="F2494" t="str">
            <v>DSP  Dynamic Asset Allocation Fund - Regular Plan - Growth</v>
          </cell>
        </row>
        <row r="2495">
          <cell r="F2495" t="str">
            <v>DSP  Dynamic Asset Allocation Fund - Regular Plan - Monthly Dividend</v>
          </cell>
        </row>
        <row r="2496">
          <cell r="F2496" t="str">
            <v>DSP  Equal Nifty 50 Fund - Direct Plan - Dividend</v>
          </cell>
        </row>
        <row r="2497">
          <cell r="F2497" t="str">
            <v>DSP  Equal Nifty 50 Fund - Direct Plan - Growth</v>
          </cell>
        </row>
        <row r="2498">
          <cell r="F2498" t="str">
            <v>DSP  Equal Nifty 50 Fund - Regular Plan - Dividend</v>
          </cell>
        </row>
        <row r="2499">
          <cell r="F2499" t="str">
            <v>DSP  Equal Nifty 50 Fund - Regular Plan - Growth</v>
          </cell>
        </row>
        <row r="2500">
          <cell r="F2500" t="str">
            <v>DSP  Equity &amp; Bond Fund - Direct Plan - Dividend</v>
          </cell>
        </row>
        <row r="2501">
          <cell r="F2501" t="str">
            <v>DSP  Equity &amp; Bond Fund - Direct Plan - Growth</v>
          </cell>
        </row>
        <row r="2502">
          <cell r="F2502" t="str">
            <v>DSP  Equity &amp; Bond Fund- Regular Plan - Growth</v>
          </cell>
        </row>
        <row r="2503">
          <cell r="F2503" t="str">
            <v>DSP  Equity &amp; Bond Fund- Regular Plan -Dividend</v>
          </cell>
        </row>
        <row r="2504">
          <cell r="F2504" t="str">
            <v>DSP  Equity Fund - Direct Plan - Dividend</v>
          </cell>
        </row>
        <row r="2505">
          <cell r="F2505" t="str">
            <v>DSP  Equity Fund - Direct Plan - Growth</v>
          </cell>
        </row>
        <row r="2506">
          <cell r="F2506" t="str">
            <v>DSP  Equity Fund - Regular Plan - Dividend</v>
          </cell>
        </row>
        <row r="2507">
          <cell r="F2507" t="str">
            <v>DSP  Equity Fund - Regular Plan - Growth</v>
          </cell>
        </row>
        <row r="2508">
          <cell r="F2508" t="str">
            <v>DSP  Equity Opportunities Fund - Direct Plan - Dividend</v>
          </cell>
        </row>
        <row r="2509">
          <cell r="F2509" t="str">
            <v>DSP  Equity Opportunities Fund - Direct Plan - Growth</v>
          </cell>
        </row>
        <row r="2510">
          <cell r="F2510" t="str">
            <v>DSP  Equity Opportunities Fund-Regular Plan - Dividend</v>
          </cell>
        </row>
        <row r="2511">
          <cell r="F2511" t="str">
            <v>DSP  Equity Opportunities Fund-Regular Plan - Growth</v>
          </cell>
        </row>
        <row r="2512">
          <cell r="F2512" t="str">
            <v>DSP  Equity Savings Fund - Direct Plan - Dividend</v>
          </cell>
        </row>
        <row r="2513">
          <cell r="F2513" t="str">
            <v>DSP  Equity Savings Fund - Direct Plan - Growth</v>
          </cell>
        </row>
        <row r="2514">
          <cell r="F2514" t="str">
            <v>DSP  Equity Savings Fund - Direct Plan - Monthly Dividend</v>
          </cell>
        </row>
        <row r="2515">
          <cell r="F2515" t="str">
            <v>DSP  Equity Savings Fund - Direct Plan - Quarterly Dividend</v>
          </cell>
        </row>
        <row r="2516">
          <cell r="F2516" t="str">
            <v>DSP  Equity Savings Fund - Regular Plan -  Quarterly Dividend</v>
          </cell>
        </row>
        <row r="2517">
          <cell r="F2517" t="str">
            <v>DSP  Equity Savings Fund - Regular Plan - Dividend</v>
          </cell>
        </row>
        <row r="2518">
          <cell r="F2518" t="str">
            <v>DSP  Equity Savings Fund - Regular Plan - Growth</v>
          </cell>
        </row>
        <row r="2519">
          <cell r="F2519" t="str">
            <v>DSP  Equity Savings Fund - Regular Plan - Monthly Dividend</v>
          </cell>
        </row>
        <row r="2520">
          <cell r="F2520" t="str">
            <v>DSP  FMP - Series 192 - 36M - Direct Plan - Dividend Payout - Quarterly Payout</v>
          </cell>
        </row>
        <row r="2521">
          <cell r="F2521" t="str">
            <v>DSP  FMP - Series 192 - 36M - Direct Plan - Growth</v>
          </cell>
        </row>
        <row r="2522">
          <cell r="F2522" t="str">
            <v>DSP  FMP - Series 192 - 36M - Regular Plan - Dividend Payout - Regular Payout</v>
          </cell>
        </row>
        <row r="2523">
          <cell r="F2523" t="str">
            <v>DSP  FMP - Series 192 - 36M - Regular Plan - Growth</v>
          </cell>
        </row>
        <row r="2524">
          <cell r="F2524" t="str">
            <v>DSP  FMP - Series 192 -36M - Direct Plan - Dividend Payout - Regular Payout</v>
          </cell>
        </row>
        <row r="2525">
          <cell r="F2525" t="str">
            <v>DSP  FMP - Series 204 - 37M - Direct Plan - Dividend - Regular Payout</v>
          </cell>
        </row>
        <row r="2526">
          <cell r="F2526" t="str">
            <v>DSP  FMP - Series 204 - 37M - Direct Plan - Growth</v>
          </cell>
        </row>
        <row r="2527">
          <cell r="F2527" t="str">
            <v>DSP  FMP - Series 204 - 37M - Regular Plan - Dividend - Quarterly Payout</v>
          </cell>
        </row>
        <row r="2528">
          <cell r="F2528" t="str">
            <v>DSP  FMP - Series 204 - 37M - Regular Plan - Dividend - Regular Payout</v>
          </cell>
        </row>
        <row r="2529">
          <cell r="F2529" t="str">
            <v>DSP  FMP - Series 204 - 37M - Regular Plan - Growth</v>
          </cell>
        </row>
        <row r="2530">
          <cell r="F2530" t="str">
            <v>DSP  FMP - Series 205 - 37M - Direct Plan - Dividend - Regular Payout</v>
          </cell>
        </row>
        <row r="2531">
          <cell r="F2531" t="str">
            <v>DSP  FMP - Series 205 - 37M - Direct Plan - Growth</v>
          </cell>
        </row>
        <row r="2532">
          <cell r="F2532" t="str">
            <v>DSP  FMP - Series 205 - 37M - Regular Plan - Growth</v>
          </cell>
        </row>
        <row r="2533">
          <cell r="F2533" t="str">
            <v>DSP  FMP - Series 209 - 37M - Direct Plan - Dividend - Regular Payout</v>
          </cell>
        </row>
        <row r="2534">
          <cell r="F2534" t="str">
            <v>DSP  FMP - Series 209 - 37M - Direct Plan - Growth</v>
          </cell>
        </row>
        <row r="2535">
          <cell r="F2535" t="str">
            <v>DSP  FMP - Series 209 - 37M - Regular Plan - Dividend - Quarterly Payout</v>
          </cell>
        </row>
        <row r="2536">
          <cell r="F2536" t="str">
            <v>DSP  FMP - Series 209 - 37M - Regular Plan - Dividend - Regular Payout</v>
          </cell>
        </row>
        <row r="2537">
          <cell r="F2537" t="str">
            <v>DSP  FMP - Series 209 -37M - Regular Plan - Growth</v>
          </cell>
        </row>
        <row r="2538">
          <cell r="F2538" t="str">
            <v>DSP  FMP - Series 210 - 36M - Direct Plan - Dividend - Quarterly Payout</v>
          </cell>
        </row>
        <row r="2539">
          <cell r="F2539" t="str">
            <v>DSP  FMP - Series 210 - 36M - Direct Plan - Dividend - Regular Payout</v>
          </cell>
        </row>
        <row r="2540">
          <cell r="F2540" t="str">
            <v>DSP  FMP - Series 210 - 36M - Direct Plan - Growth</v>
          </cell>
        </row>
        <row r="2541">
          <cell r="F2541" t="str">
            <v>DSP  FMP - Series 210 - 36M - Regular Plan - Dividend - Quarterly Payout</v>
          </cell>
        </row>
        <row r="2542">
          <cell r="F2542" t="str">
            <v>DSP  FMP - Series 210 - 36M - Regular Plan - Dividend - Regular Payout</v>
          </cell>
        </row>
        <row r="2543">
          <cell r="F2543" t="str">
            <v>DSP  FMP - Series 210 - 36M - Regular Plan - Growth</v>
          </cell>
        </row>
        <row r="2544">
          <cell r="F2544" t="str">
            <v>DSP  FMP - Series 211 - 38M - Direct Plan - Dividend - Quarterly Payout</v>
          </cell>
        </row>
        <row r="2545">
          <cell r="F2545" t="str">
            <v>DSP  FMP - Series 211 - 38M - Direct Plan - Dividend - Regular Payout</v>
          </cell>
        </row>
        <row r="2546">
          <cell r="F2546" t="str">
            <v>DSP  FMP - Series 211 - 38M - Direct Plan - Growth</v>
          </cell>
        </row>
        <row r="2547">
          <cell r="F2547" t="str">
            <v>DSP  FMP - Series 211 - 38M - Regular Plan - Dividend - Quarterly Payout</v>
          </cell>
        </row>
        <row r="2548">
          <cell r="F2548" t="str">
            <v>DSP  FMP - Series 211 - 38M - Regular Plan - Dividend - Regular Payout</v>
          </cell>
        </row>
        <row r="2549">
          <cell r="F2549" t="str">
            <v>DSP  FMP - Series 211 - 38M-  Regular Plan - Growth</v>
          </cell>
        </row>
        <row r="2550">
          <cell r="F2550" t="str">
            <v>DSP  FMP Series - 217 - 40M - Direct Plan - Dividend Payout</v>
          </cell>
        </row>
        <row r="2551">
          <cell r="F2551" t="str">
            <v>DSP  FMP Series - 217 - 40M - Direct Plan - Dividend Quarterly Payout</v>
          </cell>
        </row>
        <row r="2552">
          <cell r="F2552" t="str">
            <v>DSP  FMP Series - 217 - 40M - Direct Plan - Growth</v>
          </cell>
        </row>
        <row r="2553">
          <cell r="F2553" t="str">
            <v>DSP  FMP Series - 217 - 40M - Regular Plan - Dividend Payout</v>
          </cell>
        </row>
        <row r="2554">
          <cell r="F2554" t="str">
            <v>DSP  FMP Series - 217 - 40M - Regular Plan - Dividend Quarterly Payout</v>
          </cell>
        </row>
        <row r="2555">
          <cell r="F2555" t="str">
            <v>DSP  FMP Series - 217 - 40M - Regular Plan - Growth</v>
          </cell>
        </row>
        <row r="2556">
          <cell r="F2556" t="str">
            <v>DSP  FMP Series - 218 - 40M - Direct Plan - Dividend Payout</v>
          </cell>
        </row>
        <row r="2557">
          <cell r="F2557" t="str">
            <v>DSP  FMP Series - 218 - 40M - Direct Plan - Dividend Quarterly Payout</v>
          </cell>
        </row>
        <row r="2558">
          <cell r="F2558" t="str">
            <v>DSP  FMP Series - 218 - 40M - Direct Plan - Growth</v>
          </cell>
        </row>
        <row r="2559">
          <cell r="F2559" t="str">
            <v>DSP  FMP Series - 218 - 40M - Regular Plan - Dividend Payout</v>
          </cell>
        </row>
        <row r="2560">
          <cell r="F2560" t="str">
            <v>DSP  FMP Series - 218 - 40M - Regular Plan - Dividend Quarterly Payout</v>
          </cell>
        </row>
        <row r="2561">
          <cell r="F2561" t="str">
            <v>DSP  FMP Series - 218 - 40M - Regular Plan - Growth</v>
          </cell>
        </row>
        <row r="2562">
          <cell r="F2562" t="str">
            <v>DSP  FMP Series - 219 - 40M - Direct Plan - Dividend Payout</v>
          </cell>
        </row>
        <row r="2563">
          <cell r="F2563" t="str">
            <v>DSP  FMP Series - 219 - 40M - Direct Plan - Dividend Quarterly Payout</v>
          </cell>
        </row>
        <row r="2564">
          <cell r="F2564" t="str">
            <v>DSP  FMP Series - 219 - 40M - Direct Plan - Growth</v>
          </cell>
        </row>
        <row r="2565">
          <cell r="F2565" t="str">
            <v>DSP  FMP Series - 219 - 40M - Regular Plan - Dividend Payout</v>
          </cell>
        </row>
        <row r="2566">
          <cell r="F2566" t="str">
            <v>DSP  FMP Series - 219 - 40M - Regular Plan - Dividend Quarterly Payout</v>
          </cell>
        </row>
        <row r="2567">
          <cell r="F2567" t="str">
            <v>DSP  FMP Series - 219 - 40M - Regular Plan - Growth</v>
          </cell>
        </row>
        <row r="2568">
          <cell r="F2568" t="str">
            <v>DSP  FMP Series 195 - 36M - Direct Plan - Dividend - Quarterly Payout</v>
          </cell>
        </row>
        <row r="2569">
          <cell r="F2569" t="str">
            <v>DSP  FMP Series 195 - 36M - Direct Plan - Dividend - Regular Payout</v>
          </cell>
        </row>
        <row r="2570">
          <cell r="F2570" t="str">
            <v>DSP  FMP Series 195 - 36M - Direct Plan - Growth</v>
          </cell>
        </row>
        <row r="2571">
          <cell r="F2571" t="str">
            <v>DSP  FMP Series 195 - 36M - Regular Plan - Dividend - Quarterly Payout</v>
          </cell>
        </row>
        <row r="2572">
          <cell r="F2572" t="str">
            <v>DSP  FMP Series 195 - 36M - Regular Plan - Dividend - Regular Payout</v>
          </cell>
        </row>
        <row r="2573">
          <cell r="F2573" t="str">
            <v>DSP  FMP Series 195 - 36M - Regular Plan - Growth</v>
          </cell>
        </row>
        <row r="2574">
          <cell r="F2574" t="str">
            <v>DSP  FMP Series 196 - 37M - Direct Plan - Growth</v>
          </cell>
        </row>
        <row r="2575">
          <cell r="F2575" t="str">
            <v>DSP  FMP Series 196 - 37M - Regular Plan - Dividend - Quarterly Payout</v>
          </cell>
        </row>
        <row r="2576">
          <cell r="F2576" t="str">
            <v>DSP  FMP Series 196 - 37M - Regular Plan - Dividend - Regular Payout</v>
          </cell>
        </row>
        <row r="2577">
          <cell r="F2577" t="str">
            <v>DSP  FMP Series 196 - 37M - Regular Plan - Growth</v>
          </cell>
        </row>
        <row r="2578">
          <cell r="F2578" t="str">
            <v>DSP  Focus Fund - Direct Plan - Dividend</v>
          </cell>
        </row>
        <row r="2579">
          <cell r="F2579" t="str">
            <v>DSP  Focus Fund - Direct Plan - Growth</v>
          </cell>
        </row>
        <row r="2580">
          <cell r="F2580" t="str">
            <v>DSP  Focus Fund - Regular Plan - Dividend</v>
          </cell>
        </row>
        <row r="2581">
          <cell r="F2581" t="str">
            <v>DSP  Focus Fund - Regular Plan - Growth</v>
          </cell>
        </row>
        <row r="2582">
          <cell r="F2582" t="str">
            <v>DSP  Global Allocation Fund - Direct Plan - Dividend</v>
          </cell>
        </row>
        <row r="2583">
          <cell r="F2583" t="str">
            <v>DSP  Global Allocation Fund - Direct Plan - Growth</v>
          </cell>
        </row>
        <row r="2584">
          <cell r="F2584" t="str">
            <v>DSP  Global Allocation Fund - Regular Plan - Dividend</v>
          </cell>
        </row>
        <row r="2585">
          <cell r="F2585" t="str">
            <v>DSP  Global Allocation Fund - Regular Plan - Growth</v>
          </cell>
        </row>
        <row r="2586">
          <cell r="F2586" t="str">
            <v>DSP  Government Securities Fund - Direct Plan - Dividend</v>
          </cell>
        </row>
        <row r="2587">
          <cell r="F2587" t="str">
            <v>DSP  Government Securities Fund - Direct Plan - Growth</v>
          </cell>
        </row>
        <row r="2588">
          <cell r="F2588" t="str">
            <v>DSP  Government Securities Fund - Direct Plan - Monthly Dividend</v>
          </cell>
        </row>
        <row r="2589">
          <cell r="F2589" t="str">
            <v>DSP  Government Securities Fund - Regular Plan - Dividend</v>
          </cell>
        </row>
        <row r="2590">
          <cell r="F2590" t="str">
            <v>DSP  Government Securities Fund - Regular Plan - Growth</v>
          </cell>
        </row>
        <row r="2591">
          <cell r="F2591" t="str">
            <v>DSP  Government Securities Fund - Regular Plan - Monthly Dividend</v>
          </cell>
        </row>
        <row r="2592">
          <cell r="F2592" t="str">
            <v>DSP  India T.I.G.E.R. Fund - Direct Plan - Dividend</v>
          </cell>
        </row>
        <row r="2593">
          <cell r="F2593" t="str">
            <v>DSP  India T.I.G.E.R. Fund - Direct Plan - Growth</v>
          </cell>
        </row>
        <row r="2594">
          <cell r="F2594" t="str">
            <v>DSP  India T.I.G.E.R. Fund - Regular Plan -  Growth</v>
          </cell>
        </row>
        <row r="2595">
          <cell r="F2595" t="str">
            <v>DSP  India T.I.G.E.R. Fund - Regular Plan - Dividend</v>
          </cell>
        </row>
        <row r="2596">
          <cell r="F2596" t="str">
            <v>DSP  Liquidity Fund - Direct Plan - Daily Dividend</v>
          </cell>
        </row>
        <row r="2597">
          <cell r="F2597" t="str">
            <v>DSP  Liquidity Fund - Direct Plan - Growth</v>
          </cell>
        </row>
        <row r="2598">
          <cell r="F2598" t="str">
            <v>DSP  Liquidity Fund - Direct Plan - Weekly Dividend</v>
          </cell>
        </row>
        <row r="2599">
          <cell r="F2599" t="str">
            <v>DSP  Liquidity Fund - Regular Plan - Growth</v>
          </cell>
        </row>
        <row r="2600">
          <cell r="F2600" t="str">
            <v>DSP  Liquidity Fund - Regular Plan - Weekly Dividend</v>
          </cell>
        </row>
        <row r="2601">
          <cell r="F2601" t="str">
            <v>DSP  Liquidity Fund- Regular Plan - Daily Dividend</v>
          </cell>
        </row>
        <row r="2602">
          <cell r="F2602" t="str">
            <v>DSP  Low Duration Fund - Direct Plan - Daily Dividend</v>
          </cell>
        </row>
        <row r="2603">
          <cell r="F2603" t="str">
            <v>DSP  Low Duration Fund - Direct Plan - Growth</v>
          </cell>
        </row>
        <row r="2604">
          <cell r="F2604" t="str">
            <v>DSP  Low Duration Fund - Direct Plan - Monthly Dividend</v>
          </cell>
        </row>
        <row r="2605">
          <cell r="F2605" t="str">
            <v>DSP  Low Duration Fund - Direct Plan - Quarterly Dividend</v>
          </cell>
        </row>
        <row r="2606">
          <cell r="F2606" t="str">
            <v>DSP  Low Duration Fund - Direct Plan - Weekly Dividend</v>
          </cell>
        </row>
        <row r="2607">
          <cell r="F2607" t="str">
            <v>DSP  Low Duration Fund - Regular Plan - Daily Dividend</v>
          </cell>
        </row>
        <row r="2608">
          <cell r="F2608" t="str">
            <v>DSP  Low Duration Fund - Regular Plan - Growth</v>
          </cell>
        </row>
        <row r="2609">
          <cell r="F2609" t="str">
            <v>DSP  Low Duration Fund - Regular Plan - Monthly Dividend</v>
          </cell>
        </row>
        <row r="2610">
          <cell r="F2610" t="str">
            <v>DSP  Low Duration Fund - Regular Plan - Quarterly Dividend</v>
          </cell>
        </row>
        <row r="2611">
          <cell r="F2611" t="str">
            <v>DSP  Low Duration Fund - Regular Plan - Weekly Dividend</v>
          </cell>
        </row>
        <row r="2612">
          <cell r="F2612" t="str">
            <v>DSP  Midcap Fund - Direct Plan - Dividend</v>
          </cell>
        </row>
        <row r="2613">
          <cell r="F2613" t="str">
            <v>DSP  Midcap Fund - Direct Plan - Growth</v>
          </cell>
        </row>
        <row r="2614">
          <cell r="F2614" t="str">
            <v>DSP  Midcap Fund - Regular Plan - Dividend</v>
          </cell>
        </row>
        <row r="2615">
          <cell r="F2615" t="str">
            <v>DSP  Midcap Fund - Regular Plan - Growth</v>
          </cell>
        </row>
        <row r="2616">
          <cell r="F2616" t="str">
            <v>DSP  Natural Resources and New Energy Fund - Direct Plan - Dividend</v>
          </cell>
        </row>
        <row r="2617">
          <cell r="F2617" t="str">
            <v>DSP  Natural Resources and New Energy Fund - Direct Plan - Growth</v>
          </cell>
        </row>
        <row r="2618">
          <cell r="F2618" t="str">
            <v>DSP  Natural Resources And New Energy Fund - Regular - Growth</v>
          </cell>
        </row>
        <row r="2619">
          <cell r="F2619" t="str">
            <v>DSP  Natural Resources And New Energy Fund - Regular Plan - Dividend</v>
          </cell>
        </row>
        <row r="2620">
          <cell r="F2620" t="str">
            <v>DSP  Regular Savings Fund - Direct Plan - Growth</v>
          </cell>
        </row>
        <row r="2621">
          <cell r="F2621" t="str">
            <v>DSP  Regular Savings Fund - Direct Plan - Monthly Dividend</v>
          </cell>
        </row>
        <row r="2622">
          <cell r="F2622" t="str">
            <v>DSP  Regular Savings Fund - Direct Plan - Quarterly Dividend</v>
          </cell>
        </row>
        <row r="2623">
          <cell r="F2623" t="str">
            <v>DSP  Regular Savings Fund - Regular Plan - Monthly Dividend</v>
          </cell>
        </row>
        <row r="2624">
          <cell r="F2624" t="str">
            <v>DSP  Regular Savings Fund - Regular Plan - Quarterly Dividend</v>
          </cell>
        </row>
        <row r="2625">
          <cell r="F2625" t="str">
            <v>DSP  Regular Savings Fund- Regular Plan - Growth</v>
          </cell>
        </row>
        <row r="2626">
          <cell r="F2626" t="str">
            <v>DSP  Savings Fund - Direct Plan - Daily Dividend</v>
          </cell>
        </row>
        <row r="2627">
          <cell r="F2627" t="str">
            <v>DSP  Savings Fund - Direct Plan - Dividend</v>
          </cell>
        </row>
        <row r="2628">
          <cell r="F2628" t="str">
            <v>DSP  Savings Fund - Direct Plan - Growth</v>
          </cell>
        </row>
        <row r="2629">
          <cell r="F2629" t="str">
            <v>DSP  Savings Fund - Direct Plan - Monthly Dividend</v>
          </cell>
        </row>
        <row r="2630">
          <cell r="F2630" t="str">
            <v>DSP  Savings Fund - Regular Plan - Daily Dividend</v>
          </cell>
        </row>
        <row r="2631">
          <cell r="F2631" t="str">
            <v>DSP  Savings Fund - Regular Plan - Dividend</v>
          </cell>
        </row>
        <row r="2632">
          <cell r="F2632" t="str">
            <v>DSP  Savings Fund - Regular Plan - Growth</v>
          </cell>
        </row>
        <row r="2633">
          <cell r="F2633" t="str">
            <v>DSP  Savings Fund - Regular Plan - Monthly Dividend</v>
          </cell>
        </row>
        <row r="2634">
          <cell r="F2634" t="str">
            <v>DSP  Savings Fund - Unclaimed Dividend - Beyond 3 years</v>
          </cell>
        </row>
        <row r="2635">
          <cell r="F2635" t="str">
            <v>DSP  Savings Fund - Unclaimed Dividend - Upto 3 years</v>
          </cell>
        </row>
        <row r="2636">
          <cell r="F2636" t="str">
            <v>DSP  Savings Fund - Unclaimed Redemption - Beyond 3 years</v>
          </cell>
        </row>
        <row r="2637">
          <cell r="F2637" t="str">
            <v>DSP  Savings Fund - Unclaimed Redemption - Upto 3 years</v>
          </cell>
        </row>
        <row r="2638">
          <cell r="F2638" t="str">
            <v>DSP  Short Term Fund - Direct Plan - Dividend</v>
          </cell>
        </row>
        <row r="2639">
          <cell r="F2639" t="str">
            <v>DSP  Short Term Fund - Direct Plan - Growth</v>
          </cell>
        </row>
        <row r="2640">
          <cell r="F2640" t="str">
            <v>DSP  Short Term Fund - Direct Plan - Monthly Dividend</v>
          </cell>
        </row>
        <row r="2641">
          <cell r="F2641" t="str">
            <v>DSP  Short Term Fund - Direct Plan - Weekly Dividend</v>
          </cell>
        </row>
        <row r="2642">
          <cell r="F2642" t="str">
            <v>DSP  Short Term Fund- Regular Plan - Regular Plan -Weekly Dividend</v>
          </cell>
        </row>
        <row r="2643">
          <cell r="F2643" t="str">
            <v>DSP  Short Term Fund- Regular Plan -Growth</v>
          </cell>
        </row>
        <row r="2644">
          <cell r="F2644" t="str">
            <v>DSP  Short Term Fund-Monthly Dividend</v>
          </cell>
        </row>
        <row r="2645">
          <cell r="F2645" t="str">
            <v>DSP  Short Term Fund-Regular Plan - Dividend</v>
          </cell>
        </row>
        <row r="2646">
          <cell r="F2646" t="str">
            <v>DSP  Small Cap Fund - Direct Plan - Dividend</v>
          </cell>
        </row>
        <row r="2647">
          <cell r="F2647" t="str">
            <v>DSP  Small Cap Fund - Direct Plan - Growth</v>
          </cell>
        </row>
        <row r="2648">
          <cell r="F2648" t="str">
            <v>DSP  Small Cap Fund - Regular - Dividend</v>
          </cell>
        </row>
        <row r="2649">
          <cell r="F2649" t="str">
            <v>DSP  Small Cap Fund - Regular - Growth</v>
          </cell>
        </row>
        <row r="2650">
          <cell r="F2650" t="str">
            <v>DSP  Strategic Bond Fund - Direct Plan - Daily Dividend</v>
          </cell>
        </row>
        <row r="2651">
          <cell r="F2651" t="str">
            <v>DSP  Strategic Bond Fund - Direct Plan - Dividend</v>
          </cell>
        </row>
        <row r="2652">
          <cell r="F2652" t="str">
            <v>DSP  Strategic Bond Fund - Direct Plan - Growth</v>
          </cell>
        </row>
        <row r="2653">
          <cell r="F2653" t="str">
            <v>DSP  Strategic Bond Fund - Direct Plan - Monthly Dividend</v>
          </cell>
        </row>
        <row r="2654">
          <cell r="F2654" t="str">
            <v>DSP  Strategic Bond Fund - Direct Plan - Weekly Dividend</v>
          </cell>
        </row>
        <row r="2655">
          <cell r="F2655" t="str">
            <v>DSP  Strategic Bond Fund - Regular Plan - Daily Dividend</v>
          </cell>
        </row>
        <row r="2656">
          <cell r="F2656" t="str">
            <v>DSP  Strategic Bond Fund - Regular Plan - Dividend</v>
          </cell>
        </row>
        <row r="2657">
          <cell r="F2657" t="str">
            <v>DSP  Strategic Bond Fund - Regular Plan - Growth</v>
          </cell>
        </row>
        <row r="2658">
          <cell r="F2658" t="str">
            <v>DSP  Strategic Bond Fund - Regular Plan - Monthly Dividend</v>
          </cell>
        </row>
        <row r="2659">
          <cell r="F2659" t="str">
            <v>DSP  Strategic Bond Fund - Regular Plan - Weekly Dividend</v>
          </cell>
        </row>
        <row r="2660">
          <cell r="F2660" t="str">
            <v>DSP  Tax Saver Fund - Direct Plan - Dividend</v>
          </cell>
        </row>
        <row r="2661">
          <cell r="F2661" t="str">
            <v>DSP  Tax Saver Fund - Direct Plan - Growth</v>
          </cell>
        </row>
        <row r="2662">
          <cell r="F2662" t="str">
            <v>DSP  Tax Saver Fund - Regular Plan - Dividend</v>
          </cell>
        </row>
        <row r="2663">
          <cell r="F2663" t="str">
            <v>DSP  Tax Saver Fund - Regular Plan - Growth</v>
          </cell>
        </row>
        <row r="2664">
          <cell r="F2664" t="str">
            <v>DSP  Top 100 Equity Fund - Direct Plan - Dividend</v>
          </cell>
        </row>
        <row r="2665">
          <cell r="F2665" t="str">
            <v>DSP  Top 100 Equity Fund - Direct Plan - Growth</v>
          </cell>
        </row>
        <row r="2666">
          <cell r="F2666" t="str">
            <v>DSP  Top 100 Equity Fund - Regular Plan -  Dividend</v>
          </cell>
        </row>
        <row r="2667">
          <cell r="F2667" t="str">
            <v>DSP  Top 100 Equity Fund - Regular Plan - Growth</v>
          </cell>
        </row>
        <row r="2668">
          <cell r="F2668" t="str">
            <v>DSP  Ultra Short Fund - Direct Plan - Daily Dividend</v>
          </cell>
        </row>
        <row r="2669">
          <cell r="F2669" t="str">
            <v>DSP  Ultra Short Fund - Direct Plan - Dividend</v>
          </cell>
        </row>
        <row r="2670">
          <cell r="F2670" t="str">
            <v>DSP  Ultra Short Fund - Direct Plan - Growth</v>
          </cell>
        </row>
        <row r="2671">
          <cell r="F2671" t="str">
            <v>DSP  Ultra Short Fund - Direct Plan - Monthly Dividend</v>
          </cell>
        </row>
        <row r="2672">
          <cell r="F2672" t="str">
            <v>DSP  Ultra Short Fund - Direct Plan - Weekly Dividend</v>
          </cell>
        </row>
        <row r="2673">
          <cell r="F2673" t="str">
            <v>DSP  Ultra Short Fund - Regular Plan - Daily Dividend Reinvest</v>
          </cell>
        </row>
        <row r="2674">
          <cell r="F2674" t="str">
            <v>DSP  Ultra Short Fund - Regular Plan - Growth</v>
          </cell>
        </row>
        <row r="2675">
          <cell r="F2675" t="str">
            <v>DSP  Ultra Short Fund - Regular Plan - Monthly Dividend</v>
          </cell>
        </row>
        <row r="2676">
          <cell r="F2676" t="str">
            <v>DSP  Ultra Short Fund - Regular Plan - Weekly Dividend Reinvest</v>
          </cell>
        </row>
        <row r="2677">
          <cell r="F2677" t="str">
            <v>DSP  Ultra Short Fund - Regular Plan -Dividend Payout</v>
          </cell>
        </row>
        <row r="2678">
          <cell r="F2678" t="str">
            <v>DSP  US Flexible Equity Fund - Direct Plan - Dividend</v>
          </cell>
        </row>
        <row r="2679">
          <cell r="F2679" t="str">
            <v>DSP  US Flexible Equity Fund - Direct Plan - Growth</v>
          </cell>
        </row>
        <row r="2680">
          <cell r="F2680" t="str">
            <v>DSP  US Flexible Equity Fund - Regular Plan - Dividend  Option</v>
          </cell>
        </row>
        <row r="2681">
          <cell r="F2681" t="str">
            <v>DSP  US Flexible Equity Fund - Regular Plan - Growth Option</v>
          </cell>
        </row>
        <row r="2682">
          <cell r="F2682" t="str">
            <v>DSP  World Agriculture Fund - Direct Plan - Dividend</v>
          </cell>
        </row>
        <row r="2683">
          <cell r="F2683" t="str">
            <v>DSP  World Agriculture Fund - Direct Plan - Growth</v>
          </cell>
        </row>
        <row r="2684">
          <cell r="F2684" t="str">
            <v>DSP  World Agriculture Fund - Regular Plan - Dividend</v>
          </cell>
        </row>
        <row r="2685">
          <cell r="F2685" t="str">
            <v>DSP  World Agriculture Fund - Regular Plan - Growth</v>
          </cell>
        </row>
        <row r="2686">
          <cell r="F2686" t="str">
            <v>DSP  World Energy Fund - Direct Plan - Dividend</v>
          </cell>
        </row>
        <row r="2687">
          <cell r="F2687" t="str">
            <v>DSP  World Energy Fund - Direct Plan - Growth</v>
          </cell>
        </row>
        <row r="2688">
          <cell r="F2688" t="str">
            <v>DSP  World Energy Fund - Regular Plan - Dividend</v>
          </cell>
        </row>
        <row r="2689">
          <cell r="F2689" t="str">
            <v>DSP  World Energy Fund - Regular Plan - Growth</v>
          </cell>
        </row>
        <row r="2690">
          <cell r="F2690" t="str">
            <v>DSP  World Gold Fund - Direct Plan - Dividend</v>
          </cell>
        </row>
        <row r="2691">
          <cell r="F2691" t="str">
            <v>DSP  World Gold Fund - Direct Plan - Growth</v>
          </cell>
        </row>
        <row r="2692">
          <cell r="F2692" t="str">
            <v>DSP  World Gold Fund - Regular Plan - Dividend</v>
          </cell>
        </row>
        <row r="2693">
          <cell r="F2693" t="str">
            <v>DSP  World Gold Fund - Regular Plan - Growth</v>
          </cell>
        </row>
        <row r="2694">
          <cell r="F2694" t="str">
            <v>DSP  World Mining Fund - Direct Plan - Dividend</v>
          </cell>
        </row>
        <row r="2695">
          <cell r="F2695" t="str">
            <v>DSP  World Mining Fund - Direct Plan - Growth</v>
          </cell>
        </row>
        <row r="2696">
          <cell r="F2696" t="str">
            <v>DSP  World Mining Fund - Regular Plan - Dividend</v>
          </cell>
        </row>
        <row r="2697">
          <cell r="F2697" t="str">
            <v>DSP  World Mining Fund - Regular Plan - Growth</v>
          </cell>
        </row>
        <row r="2698">
          <cell r="F2698" t="str">
            <v>DSP BlackRock Dual Advantage Fund - Series 34 - 36M - Direct Plan - Dividend Payout Option</v>
          </cell>
        </row>
        <row r="2699">
          <cell r="F2699" t="str">
            <v>DSP BlackRock Dual Advantage Fund - Series 34 - 36M - Direct Plan - Growth Option</v>
          </cell>
        </row>
        <row r="2700">
          <cell r="F2700" t="str">
            <v>DSP BlackRock Dual Advantage Fund - Series 34 - 36M - Regular Plan - Dividend Payout Option</v>
          </cell>
        </row>
        <row r="2701">
          <cell r="F2701" t="str">
            <v>DSP BlackRock Dual Advantage Fund - Series 34 - 36M - Regular Plan - Growth Option</v>
          </cell>
        </row>
        <row r="2702">
          <cell r="F2702" t="str">
            <v>DSP BlackRock Dual Advantage Fund - Series 35 - 36M - Direct Plan - Dividend Payout Option</v>
          </cell>
        </row>
        <row r="2703">
          <cell r="F2703" t="str">
            <v>DSP BlackRock Dual Advantage Fund - Series 35 - 36M - Direct Plan - Growth Option</v>
          </cell>
        </row>
        <row r="2704">
          <cell r="F2704" t="str">
            <v>DSP BlackRock Dual Advantage Fund - Series 35 - 36M - Regular Plan - Dividend Payout Option</v>
          </cell>
        </row>
        <row r="2705">
          <cell r="F2705" t="str">
            <v>DSP BlackRock Dual Advantage Fund - Series 35 - 36M - Regular Plan - Growth Option</v>
          </cell>
        </row>
        <row r="2706">
          <cell r="F2706" t="str">
            <v>DSP BlackRock Dual Advantage Fund - Series 36 - 36M - Direct Plan - Dividend Payout Option</v>
          </cell>
        </row>
        <row r="2707">
          <cell r="F2707" t="str">
            <v>DSP BlackRock Dual Advantage Fund - Series 36 - 36M - Direct Plan - Growth Option</v>
          </cell>
        </row>
        <row r="2708">
          <cell r="F2708" t="str">
            <v>DSP BlackRock Dual Advantage Fund - Series 36 - 36M - Regular Plan - Dividend Payout Option</v>
          </cell>
        </row>
        <row r="2709">
          <cell r="F2709" t="str">
            <v>DSP BlackRock Dual Advantage Fund - Series 36 - 36M - Regular Plan - Growth Option</v>
          </cell>
        </row>
        <row r="2710">
          <cell r="F2710" t="str">
            <v>DSP Dual Advantage Fund - Series 46 - 36M - Regular - Dividend Payout</v>
          </cell>
        </row>
        <row r="2711">
          <cell r="F2711" t="str">
            <v>DSP FMP - Series - 192 - 36M - Regular Plan - Dividend Payout - Quarterly Payout</v>
          </cell>
        </row>
        <row r="2712">
          <cell r="F2712" t="str">
            <v>DSP FMP - Series 209 - 37M - Direct Plan - Dividend - Quarterly Payout</v>
          </cell>
        </row>
        <row r="2713">
          <cell r="F2713" t="str">
            <v>DSSL</v>
          </cell>
        </row>
        <row r="2714">
          <cell r="F2714" t="str">
            <v>DUCON</v>
          </cell>
        </row>
        <row r="2715">
          <cell r="F2715" t="str">
            <v>DUKE OFFSHOR</v>
          </cell>
        </row>
        <row r="2716">
          <cell r="F2716" t="str">
            <v>DUNCANENG</v>
          </cell>
        </row>
        <row r="2717">
          <cell r="F2717" t="str">
            <v>DURO PACK</v>
          </cell>
        </row>
        <row r="2718">
          <cell r="F2718" t="str">
            <v>DUTRON POLY.</v>
          </cell>
        </row>
        <row r="2719">
          <cell r="F2719" t="str">
            <v>DWARKESH</v>
          </cell>
        </row>
        <row r="2720">
          <cell r="F2720" t="str">
            <v>DWITIYA</v>
          </cell>
        </row>
        <row r="2721">
          <cell r="F2721" t="str">
            <v>DYNAMAT.TECH</v>
          </cell>
        </row>
        <row r="2722">
          <cell r="F2722" t="str">
            <v>DYNAMIC</v>
          </cell>
        </row>
        <row r="2723">
          <cell r="F2723" t="str">
            <v>DYNAMIC IND.</v>
          </cell>
        </row>
        <row r="2724">
          <cell r="F2724" t="str">
            <v>DYNPRO</v>
          </cell>
        </row>
        <row r="2725">
          <cell r="F2725" t="str">
            <v>E.I.D.PAR</v>
          </cell>
        </row>
        <row r="2726">
          <cell r="F2726" t="str">
            <v>EASTER SI(PS</v>
          </cell>
        </row>
        <row r="2727">
          <cell r="F2727" t="str">
            <v>EASTERN TRED</v>
          </cell>
        </row>
        <row r="2728">
          <cell r="F2728" t="str">
            <v>EASTERNGAS</v>
          </cell>
        </row>
        <row r="2729">
          <cell r="F2729" t="str">
            <v>EASUNREYRL</v>
          </cell>
        </row>
        <row r="2730">
          <cell r="F2730" t="str">
            <v>ECEIND</v>
          </cell>
        </row>
        <row r="2731">
          <cell r="F2731" t="str">
            <v>ECLERX</v>
          </cell>
        </row>
        <row r="2732">
          <cell r="F2732" t="str">
            <v>ECLFINANCE</v>
          </cell>
        </row>
        <row r="2733">
          <cell r="F2733" t="str">
            <v>ECLFINANCE2</v>
          </cell>
        </row>
        <row r="2734">
          <cell r="F2734" t="str">
            <v>ECLFINANCE3</v>
          </cell>
        </row>
        <row r="2735">
          <cell r="F2735" t="str">
            <v>ECLFINANCE4</v>
          </cell>
        </row>
        <row r="2736">
          <cell r="F2736" t="str">
            <v>ECLFINANCE5</v>
          </cell>
        </row>
        <row r="2737">
          <cell r="F2737" t="str">
            <v>ECO BOARD IN</v>
          </cell>
        </row>
        <row r="2738">
          <cell r="F2738" t="str">
            <v>ECOPLAST LTD</v>
          </cell>
        </row>
        <row r="2739">
          <cell r="F2739" t="str">
            <v>ECORECO</v>
          </cell>
        </row>
        <row r="2740">
          <cell r="F2740" t="str">
            <v>ECS</v>
          </cell>
        </row>
        <row r="2741">
          <cell r="F2741" t="str">
            <v>EDELWEISS</v>
          </cell>
        </row>
        <row r="2742">
          <cell r="F2742" t="str">
            <v>Edelweiss  Liquid Fund - Direct Plan - Monthly Dividend Option</v>
          </cell>
        </row>
        <row r="2743">
          <cell r="F2743" t="str">
            <v>Edelweiss Arbitrage Fund - Direct Plan - Monthly Dividend Option</v>
          </cell>
        </row>
        <row r="2744">
          <cell r="F2744" t="str">
            <v>Edelweiss Arbitrage Fund - Regular Plan - Monthly Dividend Option</v>
          </cell>
        </row>
        <row r="2745">
          <cell r="F2745" t="str">
            <v>Edelweiss Arbitrage Fund- Direct Plan- Dividend Option</v>
          </cell>
        </row>
        <row r="2746">
          <cell r="F2746" t="str">
            <v>Edelweiss Arbitrage Fund- Direct Plan- Growth Option</v>
          </cell>
        </row>
        <row r="2747">
          <cell r="F2747" t="str">
            <v>Edelweiss Arbitrage Fund- Regular Plan -Bonus Option</v>
          </cell>
        </row>
        <row r="2748">
          <cell r="F2748" t="str">
            <v>Edelweiss Arbitrage Fund- Regular Plan- Dividend Option</v>
          </cell>
        </row>
        <row r="2749">
          <cell r="F2749" t="str">
            <v>Edelweiss Arbitrage Fund- Regular Plan- Growth Option</v>
          </cell>
        </row>
        <row r="2750">
          <cell r="F2750" t="str">
            <v>Edelweiss ASEAN Equity Off-shore Fund - Direct Plan - Growth Option</v>
          </cell>
        </row>
        <row r="2751">
          <cell r="F2751" t="str">
            <v>Edelweiss ASEAN Equity Off-shore Fund - Regular Plan - Growth Option</v>
          </cell>
        </row>
        <row r="2752">
          <cell r="F2752" t="str">
            <v>Edelweiss Balanced Advantage Fund - Direct Plan - Monthly Dividend Option</v>
          </cell>
        </row>
        <row r="2753">
          <cell r="F2753" t="str">
            <v>Edelweiss Balanced Advantage Fund - Direct Plan-Quarterly Dividend Option</v>
          </cell>
        </row>
        <row r="2754">
          <cell r="F2754" t="str">
            <v>Edelweiss Balanced Advantage Fund - Regular Plan - Growth Option</v>
          </cell>
        </row>
        <row r="2755">
          <cell r="F2755" t="str">
            <v>Edelweiss Balanced Advantage Fund - Regular Plan - Monthly Dividend Option</v>
          </cell>
        </row>
        <row r="2756">
          <cell r="F2756" t="str">
            <v>Edelweiss Balanced Advantage Fund - Regular Plan - Quarterly Dividend Option</v>
          </cell>
        </row>
        <row r="2757">
          <cell r="F2757" t="str">
            <v>Edelweiss Balanced Advantage Fund -Direct Plan-Growth Option</v>
          </cell>
        </row>
        <row r="2758">
          <cell r="F2758" t="str">
            <v>Edelweiss Banking and PSU Debt Fund - Direct Plan - Dividend Option</v>
          </cell>
        </row>
        <row r="2759">
          <cell r="F2759" t="str">
            <v>Edelweiss Banking and PSU Debt Fund - Direct Plan - Growth Option</v>
          </cell>
        </row>
        <row r="2760">
          <cell r="F2760" t="str">
            <v>Edelweiss Banking and PSU Debt Fund - Direct Plan - Monthly Dividend Option</v>
          </cell>
        </row>
        <row r="2761">
          <cell r="F2761" t="str">
            <v>Edelweiss Banking and PSU Debt Fund - Direct Plan - Weekly Dividend Option</v>
          </cell>
        </row>
        <row r="2762">
          <cell r="F2762" t="str">
            <v>Edelweiss Banking and PSU Debt Fund - Regular Plan - Dividend Option</v>
          </cell>
        </row>
        <row r="2763">
          <cell r="F2763" t="str">
            <v>Edelweiss Banking and PSU Debt Fund - Regular Plan - Growth Option</v>
          </cell>
        </row>
        <row r="2764">
          <cell r="F2764" t="str">
            <v>Edelweiss Banking and PSU Debt Fund - Regular Plan - Monthly Dividend Option</v>
          </cell>
        </row>
        <row r="2765">
          <cell r="F2765" t="str">
            <v>Edelweiss Banking and PSU Debt Fund - Regular Plan - Weekly Dividend Option</v>
          </cell>
        </row>
        <row r="2766">
          <cell r="F2766" t="str">
            <v>Edelweiss Corporate Bond Fund - Direct Plan - Dividend Option</v>
          </cell>
        </row>
        <row r="2767">
          <cell r="F2767" t="str">
            <v>Edelweiss Corporate Bond Fund - Direct Plan - Growth Option</v>
          </cell>
        </row>
        <row r="2768">
          <cell r="F2768" t="str">
            <v>Edelweiss Corporate Bond Fund - Regular Plan - Annual Dividend Option</v>
          </cell>
        </row>
        <row r="2769">
          <cell r="F2769" t="str">
            <v>Edelweiss Corporate Bond Fund - Regular Plan - Dividend Option</v>
          </cell>
        </row>
        <row r="2770">
          <cell r="F2770" t="str">
            <v>Edelweiss Corporate Bond Fund - Regular Plan - Growth Option</v>
          </cell>
        </row>
        <row r="2771">
          <cell r="F2771" t="str">
            <v>Edelweiss Corporate Bond Fund - Regular Plan - Monthly Dividend Option</v>
          </cell>
        </row>
        <row r="2772">
          <cell r="F2772" t="str">
            <v>Edelweiss Corporate Bond Fund - Regular Plan - Weekly Dividend Option</v>
          </cell>
        </row>
        <row r="2773">
          <cell r="F2773" t="str">
            <v>Edelweiss Dynamic Bond Fund - Direct Plan - Dividend Option</v>
          </cell>
        </row>
        <row r="2774">
          <cell r="F2774" t="str">
            <v>Edelweiss Dynamic Bond Fund - Direct Plan - Growth Option</v>
          </cell>
        </row>
        <row r="2775">
          <cell r="F2775" t="str">
            <v>Edelweiss Dynamic Bond Fund - Institutional Plan - Dividend Option</v>
          </cell>
        </row>
        <row r="2776">
          <cell r="F2776" t="str">
            <v>Edelweiss Dynamic Bond Fund - Institutional Plan - Growth Option</v>
          </cell>
        </row>
        <row r="2777">
          <cell r="F2777" t="str">
            <v>Edelweiss Dynamic Bond Fund - Regular Plan - Dividend Option</v>
          </cell>
        </row>
        <row r="2778">
          <cell r="F2778" t="str">
            <v>Edelweiss Dynamic Bond Fund - Regular Plan - Growth Option</v>
          </cell>
        </row>
        <row r="2779">
          <cell r="F2779" t="str">
            <v>Edelweiss Emerging Markets Opportunities Equity Offshore Fund - Direct Plan - Growth Option</v>
          </cell>
        </row>
        <row r="2780">
          <cell r="F2780" t="str">
            <v>Edelweiss Emerging Markets Opportunities Equity Offshore Fund - Regular Plan - Growth Option</v>
          </cell>
        </row>
        <row r="2781">
          <cell r="F2781" t="str">
            <v>Edelweiss Equity Savings Fund - Direct Plan - Bonus Option</v>
          </cell>
        </row>
        <row r="2782">
          <cell r="F2782" t="str">
            <v>Edelweiss Equity Savings Fund - Direct Plan - Dividend Option</v>
          </cell>
        </row>
        <row r="2783">
          <cell r="F2783" t="str">
            <v>Edelweiss Equity Savings Fund - Direct Plan - Growth Option</v>
          </cell>
        </row>
        <row r="2784">
          <cell r="F2784" t="str">
            <v>Edelweiss Equity Savings Fund - Direct Plan - Monthly Dividend Option</v>
          </cell>
        </row>
        <row r="2785">
          <cell r="F2785" t="str">
            <v>Edelweiss Equity Savings Fund - Regular Plan - Bonus Option</v>
          </cell>
        </row>
        <row r="2786">
          <cell r="F2786" t="str">
            <v>Edelweiss Equity Savings Fund - Regular Plan - Dividend Option</v>
          </cell>
        </row>
        <row r="2787">
          <cell r="F2787" t="str">
            <v>Edelweiss Equity Savings Fund - Regular Plan - Growth Option</v>
          </cell>
        </row>
        <row r="2788">
          <cell r="F2788" t="str">
            <v>Edelweiss Equity Savings Fund - Regular Plan - Monthly Dividend Option</v>
          </cell>
        </row>
        <row r="2789">
          <cell r="F2789" t="str">
            <v>Edelweiss ETF - Nifty 100 Quality 30</v>
          </cell>
        </row>
        <row r="2790">
          <cell r="F2790" t="str">
            <v>Edelweiss ETF - Nifty 50</v>
          </cell>
        </row>
        <row r="2791">
          <cell r="F2791" t="str">
            <v>Edelweiss ETF - Nifty Bank</v>
          </cell>
        </row>
        <row r="2792">
          <cell r="F2792" t="str">
            <v>Edelweiss Europe Dynamic Equity Offshore Fund - Growth Option - Direct Plan</v>
          </cell>
        </row>
        <row r="2793">
          <cell r="F2793" t="str">
            <v>Edelweiss Europe Dynamic Equity Offshore Fund - Growth Option - Regular Plan</v>
          </cell>
        </row>
        <row r="2794">
          <cell r="F2794" t="str">
            <v>Edelweiss Fixed Maturity Plan - Series 20 - Direct Plan - Dividend Option</v>
          </cell>
        </row>
        <row r="2795">
          <cell r="F2795" t="str">
            <v>Edelweiss Fixed Maturity Plan - Series 20 - Direct Plan - Growth Option</v>
          </cell>
        </row>
        <row r="2796">
          <cell r="F2796" t="str">
            <v>Edelweiss Fixed Maturity Plan - Series 20 - Regular Plan - Dividend Option</v>
          </cell>
        </row>
        <row r="2797">
          <cell r="F2797" t="str">
            <v>Edelweiss Fixed Maturity Plan - Series 20 - Regular Plan - Growth Option</v>
          </cell>
        </row>
        <row r="2798">
          <cell r="F2798" t="str">
            <v>Edelweiss Fixed Maturity Plan - Series 35 - Direct Plan - Growth Option</v>
          </cell>
        </row>
        <row r="2799">
          <cell r="F2799" t="str">
            <v>Edelweiss Fixed Maturity Plan - Series 35 - Regular Plan - Dividend Option</v>
          </cell>
        </row>
        <row r="2800">
          <cell r="F2800" t="str">
            <v>Edelweiss Fixed Maturity Plan - Series 35 - RegularPlan - Growth Option</v>
          </cell>
        </row>
        <row r="2801">
          <cell r="F2801" t="str">
            <v>Edelweiss Fixed Maturity Plan - Series 38 - Direct Plan - Growth Option</v>
          </cell>
        </row>
        <row r="2802">
          <cell r="F2802" t="str">
            <v>Edelweiss Fixed Maturity Plan - Series 38 - Regular Plan - Dividend Option</v>
          </cell>
        </row>
        <row r="2803">
          <cell r="F2803" t="str">
            <v>Edelweiss Fixed Maturity Plan - Series 38 - Regular Plan - Growth Option</v>
          </cell>
        </row>
        <row r="2804">
          <cell r="F2804" t="str">
            <v>Edelweiss Fixed Maturity Plan - Series 41 - Direct Plan - Dividend Payout</v>
          </cell>
        </row>
        <row r="2805">
          <cell r="F2805" t="str">
            <v>Edelweiss Fixed Maturity Plan - Series 41 - Direct Plan - Growth</v>
          </cell>
        </row>
        <row r="2806">
          <cell r="F2806" t="str">
            <v>Edelweiss Fixed Maturity Plan - Series 41 - Regular Plan - Dividend Payout</v>
          </cell>
        </row>
        <row r="2807">
          <cell r="F2807" t="str">
            <v>Edelweiss Fixed Maturity Plan - Series 41 - Regular Plan - Growth</v>
          </cell>
        </row>
        <row r="2808">
          <cell r="F2808" t="str">
            <v>Edelweiss Fixed Maturity Plan - Sr 14 - Direct Plan - Dividend Option</v>
          </cell>
        </row>
        <row r="2809">
          <cell r="F2809" t="str">
            <v>Edelweiss Fixed Maturity Plan - Sr 14 - Direct Plan - Growth Option</v>
          </cell>
        </row>
        <row r="2810">
          <cell r="F2810" t="str">
            <v>Edelweiss Fixed Maturity Plan - Sr 14 - Regular Plan - Dividend Option</v>
          </cell>
        </row>
        <row r="2811">
          <cell r="F2811" t="str">
            <v>Edelweiss Fixed Maturity Plan - Sr 14 - Regular Plan - Growth Option</v>
          </cell>
        </row>
        <row r="2812">
          <cell r="F2812" t="str">
            <v>Edelweiss Government Securities Fund - Direct Plan - Growth Option</v>
          </cell>
        </row>
        <row r="2813">
          <cell r="F2813" t="str">
            <v>Edelweiss Government Securities Fund - Regular Plan - Annual Dividend Option</v>
          </cell>
        </row>
        <row r="2814">
          <cell r="F2814" t="str">
            <v>Edelweiss Government Securities Fund - Regular Plan - Dividend Option</v>
          </cell>
        </row>
        <row r="2815">
          <cell r="F2815" t="str">
            <v>Edelweiss Government Securities Fund - Regular Plan - Growth Option</v>
          </cell>
        </row>
        <row r="2816">
          <cell r="F2816" t="str">
            <v>Edelweiss Government Securities Fund - Regular Plan - Monthly Dividend Option</v>
          </cell>
        </row>
        <row r="2817">
          <cell r="F2817" t="str">
            <v>Edelweiss Government Securities Fund - Regular Plan - Weekly Dividend Option</v>
          </cell>
        </row>
        <row r="2818">
          <cell r="F2818" t="str">
            <v>Edelweiss Greater China Equity Off-shore Fund - Direct Plan - Growth Option</v>
          </cell>
        </row>
        <row r="2819">
          <cell r="F2819" t="str">
            <v>Edelweiss Greater China Equity Off-shore Fund - Regular Plan - Growth Option</v>
          </cell>
        </row>
        <row r="2820">
          <cell r="F2820" t="str">
            <v>Edelweiss Large &amp; Mid Cap Fund - Direct Plan - Dividend Option</v>
          </cell>
        </row>
        <row r="2821">
          <cell r="F2821" t="str">
            <v>Edelweiss Large &amp; Mid Cap Fund - Direct Plan - Growth Option</v>
          </cell>
        </row>
        <row r="2822">
          <cell r="F2822" t="str">
            <v>Edelweiss Large &amp; Mid Cap Fund - Regular Plan - Dividend Option</v>
          </cell>
        </row>
        <row r="2823">
          <cell r="F2823" t="str">
            <v>Edelweiss Large &amp; Mid Cap Fund - Regular Plan - Growth Option</v>
          </cell>
        </row>
        <row r="2824">
          <cell r="F2824" t="str">
            <v>Edelweiss Large Cap Fund - Direct Plan-Dividend Option</v>
          </cell>
        </row>
        <row r="2825">
          <cell r="F2825" t="str">
            <v>Edelweiss Large Cap Fund - Direct Plan-Growth option</v>
          </cell>
        </row>
        <row r="2826">
          <cell r="F2826" t="str">
            <v>Edelweiss Large Cap Fund - Regular Plan - Growth option</v>
          </cell>
        </row>
        <row r="2827">
          <cell r="F2827" t="str">
            <v>Edelweiss Large Cap Fund - Regular Plan -Dividend option</v>
          </cell>
        </row>
        <row r="2828">
          <cell r="F2828" t="str">
            <v>Edelweiss Large Cap Fund -Plan B - Dividend option</v>
          </cell>
        </row>
        <row r="2829">
          <cell r="F2829" t="str">
            <v>Edelweiss Large Cap Fund -Plan B - Growth option</v>
          </cell>
        </row>
        <row r="2830">
          <cell r="F2830" t="str">
            <v>Edelweiss Large Cap Fund -Plan C - Dividend option</v>
          </cell>
        </row>
        <row r="2831">
          <cell r="F2831" t="str">
            <v>Edelweiss Large Cap Fund -Plan C - Growth option</v>
          </cell>
        </row>
        <row r="2832">
          <cell r="F2832" t="str">
            <v>Edelweiss Liquid Fund - Direct Plan - Bonus Option</v>
          </cell>
        </row>
        <row r="2833">
          <cell r="F2833" t="str">
            <v>Edelweiss Liquid Fund - Direct Plan - Daily Dividend Option</v>
          </cell>
        </row>
        <row r="2834">
          <cell r="F2834" t="str">
            <v>Edelweiss Liquid Fund - Direct Plan - Fortnightly Dividend Option</v>
          </cell>
        </row>
        <row r="2835">
          <cell r="F2835" t="str">
            <v>Edelweiss Liquid Fund - Direct Plan - Growth Option</v>
          </cell>
        </row>
        <row r="2836">
          <cell r="F2836" t="str">
            <v>Edelweiss Liquid Fund - Direct Plan - Weekly Dividend Option</v>
          </cell>
        </row>
        <row r="2837">
          <cell r="F2837" t="str">
            <v>Edelweiss Liquid Fund - Regular Plan - Annual Dividend Option</v>
          </cell>
        </row>
        <row r="2838">
          <cell r="F2838" t="str">
            <v>Edelweiss Liquid Fund - Regular Plan - Bonus Option</v>
          </cell>
        </row>
        <row r="2839">
          <cell r="F2839" t="str">
            <v>Edelweiss Liquid Fund - Regular Plan - Daily Dividend Option</v>
          </cell>
        </row>
        <row r="2840">
          <cell r="F2840" t="str">
            <v>Edelweiss Liquid Fund - Regular Plan - Fortnightly Dividend Option</v>
          </cell>
        </row>
        <row r="2841">
          <cell r="F2841" t="str">
            <v>Edelweiss Liquid Fund - Regular Plan - Growth Option</v>
          </cell>
        </row>
        <row r="2842">
          <cell r="F2842" t="str">
            <v>Edelweiss Liquid Fund - Regular Plan - Monthly Dividend Option</v>
          </cell>
        </row>
        <row r="2843">
          <cell r="F2843" t="str">
            <v>Edelweiss Liquid Fund - Regular Plan - Weekly Dividend Option</v>
          </cell>
        </row>
        <row r="2844">
          <cell r="F2844" t="str">
            <v>Edelweiss Liquid Fund - Retail Plan - Daily Dividend Option</v>
          </cell>
        </row>
        <row r="2845">
          <cell r="F2845" t="str">
            <v>Edelweiss Liquid Fund - Retail Plan - Growth Option</v>
          </cell>
        </row>
        <row r="2846">
          <cell r="F2846" t="str">
            <v>Edelweiss Liquid Fund - Retail Plan - Monthly Dividend Option</v>
          </cell>
        </row>
        <row r="2847">
          <cell r="F2847" t="str">
            <v>Edelweiss Liquid Fund - Retail Plan - Weekly Dividend Option</v>
          </cell>
        </row>
        <row r="2848">
          <cell r="F2848" t="str">
            <v>Edelweiss Liquid Fund - Unclaimed Dividend Plan- Above 3 years</v>
          </cell>
        </row>
        <row r="2849">
          <cell r="F2849" t="str">
            <v>Edelweiss Liquid Fund - Unclaimed Dividend Plan- Upto 3 years</v>
          </cell>
        </row>
        <row r="2850">
          <cell r="F2850" t="str">
            <v>Edelweiss Liquid Fund - Unclaimed Redemption Plan- Above 3 years</v>
          </cell>
        </row>
        <row r="2851">
          <cell r="F2851" t="str">
            <v>Edelweiss Liquid Fund - Unclaimed Redemption Plan- Upto 3 years</v>
          </cell>
        </row>
        <row r="2852">
          <cell r="F2852" t="str">
            <v>Edelweiss Long Term Equity Fund (Tax Savings) - Direct Plan-Dividend Option</v>
          </cell>
        </row>
        <row r="2853">
          <cell r="F2853" t="str">
            <v>Edelweiss Long Term Equity Fund (Tax Savings) - Direct Plan-Growth Option</v>
          </cell>
        </row>
        <row r="2854">
          <cell r="F2854" t="str">
            <v>Edelweiss Long Term Equity Fund (Tax Savings) - Regular Plan - Dividend Option</v>
          </cell>
        </row>
        <row r="2855">
          <cell r="F2855" t="str">
            <v>Edelweiss Long Term Equity Fund (Tax Savings) - Regular Plan - Growth Option</v>
          </cell>
        </row>
        <row r="2856">
          <cell r="F2856" t="str">
            <v>Edelweiss Low Duration Fund - Direct Plan - Daily Dividend Option</v>
          </cell>
        </row>
        <row r="2857">
          <cell r="F2857" t="str">
            <v>Edelweiss Low Duration Fund - Direct Plan - Fortnightly Dividend Option</v>
          </cell>
        </row>
        <row r="2858">
          <cell r="F2858" t="str">
            <v>Edelweiss Low Duration Fund - Direct Plan - Growth Option</v>
          </cell>
        </row>
        <row r="2859">
          <cell r="F2859" t="str">
            <v>Edelweiss Low Duration Fund - Direct Plan - Monthly Dividend Option</v>
          </cell>
        </row>
        <row r="2860">
          <cell r="F2860" t="str">
            <v>Edelweiss Low Duration Fund - Direct Plan - Weekly Dividend Option</v>
          </cell>
        </row>
        <row r="2861">
          <cell r="F2861" t="str">
            <v>Edelweiss Low Duration Fund - Regular Plan - Daily Dividend Option</v>
          </cell>
        </row>
        <row r="2862">
          <cell r="F2862" t="str">
            <v>Edelweiss Low Duration Fund - Regular Plan - Dividend Option</v>
          </cell>
        </row>
        <row r="2863">
          <cell r="F2863" t="str">
            <v>Edelweiss Low Duration Fund - Regular Plan - Fortnightly Dividend Option</v>
          </cell>
        </row>
        <row r="2864">
          <cell r="F2864" t="str">
            <v>Edelweiss Low Duration Fund - Regular Plan - Growth Option</v>
          </cell>
        </row>
        <row r="2865">
          <cell r="F2865" t="str">
            <v>Edelweiss Low Duration Fund - Regular Plan - Monthly Dividend Option</v>
          </cell>
        </row>
        <row r="2866">
          <cell r="F2866" t="str">
            <v>Edelweiss Low Duration Fund - Regular Plan - Weekly Dividend Option</v>
          </cell>
        </row>
        <row r="2867">
          <cell r="F2867" t="str">
            <v>Edelweiss Low Duration Fund - Retail Plan - Daily Dividend Option</v>
          </cell>
        </row>
        <row r="2868">
          <cell r="F2868" t="str">
            <v>Edelweiss Low Duration Fund - Retail Plan - Growth Option</v>
          </cell>
        </row>
        <row r="2869">
          <cell r="F2869" t="str">
            <v>Edelweiss Low Duration Fund - Retail Plan - Monthly Dividend Option</v>
          </cell>
        </row>
        <row r="2870">
          <cell r="F2870" t="str">
            <v>Edelweiss Low Duration Fund - Retail Plan - Weekly Dividend Option</v>
          </cell>
        </row>
        <row r="2871">
          <cell r="F2871" t="str">
            <v>Edelweiss Mid Cap Fund - Direct Plan - Dividend Option</v>
          </cell>
        </row>
        <row r="2872">
          <cell r="F2872" t="str">
            <v>Edelweiss Mid Cap Fund - Direct Plan - Growth Option</v>
          </cell>
        </row>
        <row r="2873">
          <cell r="F2873" t="str">
            <v>Edelweiss Mid Cap Fund - Regular Plan - Dividend Option</v>
          </cell>
        </row>
        <row r="2874">
          <cell r="F2874" t="str">
            <v>Edelweiss Mid Cap Fund - Regular Plan - Growth Option</v>
          </cell>
        </row>
        <row r="2875">
          <cell r="F2875" t="str">
            <v>Edelweiss Multi-Asset Allocation Fund - Regular Plan - Growth Option</v>
          </cell>
        </row>
        <row r="2876">
          <cell r="F2876" t="str">
            <v>Edelweiss Multi-Asset Allocation Fund- Plan B-Growth Option</v>
          </cell>
        </row>
        <row r="2877">
          <cell r="F2877" t="str">
            <v>Edelweiss Multi-Asset Allocation Fund- Regular Plan - Dividend Option</v>
          </cell>
        </row>
        <row r="2878">
          <cell r="F2878" t="str">
            <v>Edelweiss Multi-Asset Allocation Fund-Direct Plan-Dividend Option</v>
          </cell>
        </row>
        <row r="2879">
          <cell r="F2879" t="str">
            <v>Edelweiss Multi-Asset Allocation Fund-Direct Plan-Growth Option</v>
          </cell>
        </row>
        <row r="2880">
          <cell r="F2880" t="str">
            <v>Edelweiss Multi-Asset Allocation Fund-Plan B- Dividend Option</v>
          </cell>
        </row>
        <row r="2881">
          <cell r="F2881" t="str">
            <v>Edelweiss Multi-Cap Fund - Direct Plan - Dividend Option</v>
          </cell>
        </row>
        <row r="2882">
          <cell r="F2882" t="str">
            <v>Edelweiss Multi-Cap Fund - Direct Plan - Growth Option</v>
          </cell>
        </row>
        <row r="2883">
          <cell r="F2883" t="str">
            <v>Edelweiss Multi-Cap Fund - Regular Plan - Dividend Option</v>
          </cell>
        </row>
        <row r="2884">
          <cell r="F2884" t="str">
            <v>Edelweiss Multi-Cap Fund - Regular Plan - Growth Option</v>
          </cell>
        </row>
        <row r="2885">
          <cell r="F2885" t="str">
            <v>Edelweiss Short Term Fund - Direct Plan -  Growth Option</v>
          </cell>
        </row>
        <row r="2886">
          <cell r="F2886" t="str">
            <v>Edelweiss Short Term Fund - Direct Plan - Monthly Dividend Option</v>
          </cell>
        </row>
        <row r="2887">
          <cell r="F2887" t="str">
            <v>Edelweiss Short Term Fund - Regular Plan - Dividend Option</v>
          </cell>
        </row>
        <row r="2888">
          <cell r="F2888" t="str">
            <v>Edelweiss Short Term Fund - Regular Plan - Fortnightly Dividend Option</v>
          </cell>
        </row>
        <row r="2889">
          <cell r="F2889" t="str">
            <v>Edelweiss Short Term Fund - Regular Plan - Growth Option</v>
          </cell>
        </row>
        <row r="2890">
          <cell r="F2890" t="str">
            <v>Edelweiss Short Term Fund - Regular Plan - Monthly Dividend Option</v>
          </cell>
        </row>
        <row r="2891">
          <cell r="F2891" t="str">
            <v>Edelweiss Short Term Fund - Regular Plan - Weekly Dividend Option</v>
          </cell>
        </row>
        <row r="2892">
          <cell r="F2892" t="str">
            <v>Edelweiss Tax Advantage Fund - Direct Plan - Dividend Option</v>
          </cell>
        </row>
        <row r="2893">
          <cell r="F2893" t="str">
            <v>Edelweiss Tax Advantage Fund - Direct Plan - Growth Option</v>
          </cell>
        </row>
        <row r="2894">
          <cell r="F2894" t="str">
            <v>Edelweiss Tax Advantage Fund - Regular Plan - Dividend Option</v>
          </cell>
        </row>
        <row r="2895">
          <cell r="F2895" t="str">
            <v>Edelweiss Tax Advantage Fund - Regular Plan - Growth Option</v>
          </cell>
        </row>
        <row r="2896">
          <cell r="F2896" t="str">
            <v>Edelweiss US Value Equity Offshore Fund - Direct Plan - Growth Option</v>
          </cell>
        </row>
        <row r="2897">
          <cell r="F2897" t="str">
            <v>Edelweiss US Value Equity Offshore Fund - Regular Plan - Growth Option</v>
          </cell>
        </row>
        <row r="2898">
          <cell r="F2898" t="str">
            <v>EDL</v>
          </cell>
        </row>
        <row r="2899">
          <cell r="F2899" t="str">
            <v>EDSL</v>
          </cell>
        </row>
        <row r="2900">
          <cell r="F2900" t="str">
            <v>EDUCOMP SOLN</v>
          </cell>
        </row>
        <row r="2901">
          <cell r="F2901" t="str">
            <v>EHFLNCD</v>
          </cell>
        </row>
        <row r="2902">
          <cell r="F2902" t="str">
            <v>EHFLNCD2</v>
          </cell>
        </row>
        <row r="2903">
          <cell r="F2903" t="str">
            <v>EICHER MOTOR</v>
          </cell>
        </row>
        <row r="2904">
          <cell r="F2904" t="str">
            <v>EIFFL</v>
          </cell>
        </row>
        <row r="2905">
          <cell r="F2905" t="str">
            <v>EIH LTD.</v>
          </cell>
        </row>
        <row r="2906">
          <cell r="F2906" t="str">
            <v>EIHAHOTELS</v>
          </cell>
        </row>
        <row r="2907">
          <cell r="F2907" t="str">
            <v>EIMCOELECO</v>
          </cell>
        </row>
        <row r="2908">
          <cell r="F2908" t="str">
            <v>EKC</v>
          </cell>
        </row>
        <row r="2909">
          <cell r="F2909" t="str">
            <v>ELAND</v>
          </cell>
        </row>
        <row r="2910">
          <cell r="F2910" t="str">
            <v>ELANGO INDUS</v>
          </cell>
        </row>
        <row r="2911">
          <cell r="F2911" t="str">
            <v>ELANTAS</v>
          </cell>
        </row>
        <row r="2912">
          <cell r="F2912" t="str">
            <v>ELDECO HOUS.</v>
          </cell>
        </row>
        <row r="2913">
          <cell r="F2913" t="str">
            <v>ELECON ENG</v>
          </cell>
        </row>
        <row r="2914">
          <cell r="F2914" t="str">
            <v>ELECTCAST</v>
          </cell>
        </row>
        <row r="2915">
          <cell r="F2915" t="str">
            <v>ELECTROTHERM</v>
          </cell>
        </row>
        <row r="2916">
          <cell r="F2916" t="str">
            <v>ELEGANT MARB</v>
          </cell>
        </row>
        <row r="2917">
          <cell r="F2917" t="str">
            <v>ELGI EQUIP</v>
          </cell>
        </row>
        <row r="2918">
          <cell r="F2918" t="str">
            <v>ELGIRUBCO</v>
          </cell>
        </row>
        <row r="2919">
          <cell r="F2919" t="str">
            <v>ELIXIR</v>
          </cell>
        </row>
        <row r="2920">
          <cell r="F2920" t="str">
            <v>ELNET TECH.</v>
          </cell>
        </row>
        <row r="2921">
          <cell r="F2921" t="str">
            <v>ELPRO INTER</v>
          </cell>
        </row>
        <row r="2922">
          <cell r="F2922" t="str">
            <v>EMAMI INFRA</v>
          </cell>
        </row>
        <row r="2923">
          <cell r="F2923" t="str">
            <v>EMAMI LTD.</v>
          </cell>
        </row>
        <row r="2924">
          <cell r="F2924" t="str">
            <v>EMAMI PAPER</v>
          </cell>
        </row>
        <row r="2925">
          <cell r="F2925" t="str">
            <v>EMCO LTD.</v>
          </cell>
        </row>
        <row r="2926">
          <cell r="F2926" t="str">
            <v>EMEDTECH</v>
          </cell>
        </row>
        <row r="2927">
          <cell r="F2927" t="str">
            <v>EMGEE CABLES</v>
          </cell>
        </row>
        <row r="2928">
          <cell r="F2928" t="str">
            <v>EMKAY GLOB F</v>
          </cell>
        </row>
        <row r="2929">
          <cell r="F2929" t="str">
            <v>EML</v>
          </cell>
        </row>
        <row r="2930">
          <cell r="F2930" t="str">
            <v>EMMBI</v>
          </cell>
        </row>
        <row r="2931">
          <cell r="F2931" t="str">
            <v>EMMESSAR BIO</v>
          </cell>
        </row>
        <row r="2932">
          <cell r="F2932" t="str">
            <v>EMMSONS INT.</v>
          </cell>
        </row>
        <row r="2933">
          <cell r="F2933" t="str">
            <v>EMPEE SUGARS</v>
          </cell>
        </row>
        <row r="2934">
          <cell r="F2934" t="str">
            <v>EMPIRE IND.</v>
          </cell>
        </row>
        <row r="2935">
          <cell r="F2935" t="str">
            <v>ENDURANCE</v>
          </cell>
        </row>
        <row r="2936">
          <cell r="F2936" t="str">
            <v>ENERGY DEV.</v>
          </cell>
        </row>
        <row r="2937">
          <cell r="F2937" t="str">
            <v>ENGINRS.(I)</v>
          </cell>
        </row>
        <row r="2938">
          <cell r="F2938" t="str">
            <v>ENKEI WHEEL</v>
          </cell>
        </row>
        <row r="2939">
          <cell r="F2939" t="str">
            <v>ENNORE COKE</v>
          </cell>
        </row>
        <row r="2940">
          <cell r="F2940" t="str">
            <v>ENT NETWORK</v>
          </cell>
        </row>
        <row r="2941">
          <cell r="F2941" t="str">
            <v>ENTERPR.INTE</v>
          </cell>
        </row>
        <row r="2942">
          <cell r="F2942" t="str">
            <v>ENVAIN ELECT</v>
          </cell>
        </row>
        <row r="2943">
          <cell r="F2943" t="str">
            <v>EON ELECT</v>
          </cell>
        </row>
        <row r="2944">
          <cell r="F2944" t="str">
            <v>EPC INDUS.</v>
          </cell>
        </row>
        <row r="2945">
          <cell r="F2945" t="str">
            <v>EPIC ENERGY</v>
          </cell>
        </row>
        <row r="2946">
          <cell r="F2946" t="str">
            <v>EQ30</v>
          </cell>
        </row>
        <row r="2947">
          <cell r="F2947" t="str">
            <v>EQUITAS</v>
          </cell>
        </row>
        <row r="2948">
          <cell r="F2948" t="str">
            <v>EQUITAS2</v>
          </cell>
        </row>
        <row r="2949">
          <cell r="F2949" t="str">
            <v>ERIS</v>
          </cell>
        </row>
        <row r="2950">
          <cell r="F2950" t="str">
            <v>EROS MEDIA</v>
          </cell>
        </row>
        <row r="2951">
          <cell r="F2951" t="str">
            <v>ESAAR (I)LTD</v>
          </cell>
        </row>
        <row r="2952">
          <cell r="F2952" t="str">
            <v>ESAB INDIA</v>
          </cell>
        </row>
        <row r="2953">
          <cell r="F2953" t="str">
            <v>ESCORTS</v>
          </cell>
        </row>
        <row r="2954">
          <cell r="F2954" t="str">
            <v>ESKAY K'N'IT</v>
          </cell>
        </row>
        <row r="2955">
          <cell r="F2955" t="str">
            <v>ESL</v>
          </cell>
        </row>
        <row r="2956">
          <cell r="F2956" t="str">
            <v>ESSAR SECU</v>
          </cell>
        </row>
        <row r="2957">
          <cell r="F2957" t="str">
            <v>ESSAR SHIP</v>
          </cell>
        </row>
        <row r="2958">
          <cell r="F2958" t="str">
            <v>ESSDEE</v>
          </cell>
        </row>
        <row r="2959">
          <cell r="F2959" t="str">
            <v>Essel 3 in 1 Fund-Direct Plan-Dividend Option-Monthly Dividend</v>
          </cell>
        </row>
        <row r="2960">
          <cell r="F2960" t="str">
            <v>Essel 3 in 1 Fund-Direct Plan-Dividend Option-Quarterly Dividend</v>
          </cell>
        </row>
        <row r="2961">
          <cell r="F2961" t="str">
            <v>Essel 3 in 1 Fund-Direct Plan-Growth Option</v>
          </cell>
        </row>
        <row r="2962">
          <cell r="F2962" t="str">
            <v>Essel 3 in 1 Fund-Dividend Option-Monthly Dividend</v>
          </cell>
        </row>
        <row r="2963">
          <cell r="F2963" t="str">
            <v>Essel 3 in 1 Fund-Dividend Option-Quarterly Dividend</v>
          </cell>
        </row>
        <row r="2964">
          <cell r="F2964" t="str">
            <v>Essel 3 in 1 Fund-Growth</v>
          </cell>
        </row>
        <row r="2965">
          <cell r="F2965" t="str">
            <v>ESSEL FLEXIBLE INCOME FUND - QUARTERLY DIVIDEND</v>
          </cell>
        </row>
        <row r="2966">
          <cell r="F2966" t="str">
            <v>ESSEL FLEXIBLE INCOME FUND MONTHLY DIVIDEND</v>
          </cell>
        </row>
        <row r="2967">
          <cell r="F2967" t="str">
            <v>ESSEL FLEXIBLE INCOME FUND-DIRECT PLAN-GROWTH OPTION</v>
          </cell>
        </row>
        <row r="2968">
          <cell r="F2968" t="str">
            <v>ESSEL FLEXIBLE INCOME FUND-DIRECT PLAN-MONTHLY DIVIDEND OPTION</v>
          </cell>
        </row>
        <row r="2969">
          <cell r="F2969" t="str">
            <v>ESSEL FLEXIBLE INCOME FUND-DIRECT PLAN-QUARTERLY DIVIDEND OPTION</v>
          </cell>
        </row>
        <row r="2970">
          <cell r="F2970" t="str">
            <v>ESSEL FLEXIBLE INCOME FUND-GROWTH</v>
          </cell>
        </row>
        <row r="2971">
          <cell r="F2971" t="str">
            <v>Essel Large &amp; Midcap Fund- Direct Plan- Growth Option</v>
          </cell>
        </row>
        <row r="2972">
          <cell r="F2972" t="str">
            <v>Essel Large &amp; Midcap Fund- Direct Plan- Normal Dividend Option</v>
          </cell>
        </row>
        <row r="2973">
          <cell r="F2973" t="str">
            <v>Essel Large &amp; Midcap Fund- Regular Plan- Growth Option</v>
          </cell>
        </row>
        <row r="2974">
          <cell r="F2974" t="str">
            <v>Essel Large &amp; Midcap Fund- Regular Plan- Normal Dividend Option</v>
          </cell>
        </row>
        <row r="2975">
          <cell r="F2975" t="str">
            <v>Essel Large Cap Equity Fund - Growth Option</v>
          </cell>
        </row>
        <row r="2976">
          <cell r="F2976" t="str">
            <v>Essel Large Cap Equity Fund - Regular Plan- Normal Dividend Option</v>
          </cell>
        </row>
        <row r="2977">
          <cell r="F2977" t="str">
            <v>Essel Large Cap Equity Fund- Direct Plan- Half Yearly Dividend Option</v>
          </cell>
        </row>
        <row r="2978">
          <cell r="F2978" t="str">
            <v>Essel Large Cap Equity Fund- Direct Plan- Quarterly Dividend Option</v>
          </cell>
        </row>
        <row r="2979">
          <cell r="F2979" t="str">
            <v>Essel Large Cap Equity Fund- Direct Plan- Yearly Dividend Option</v>
          </cell>
        </row>
        <row r="2980">
          <cell r="F2980" t="str">
            <v>Essel Large Cap Equity Fund- Regular Plan- Half Yearly Dividend Option</v>
          </cell>
        </row>
        <row r="2981">
          <cell r="F2981" t="str">
            <v>Essel Large Cap Equity Fund- Regular Plan- Quarterly Dividend Option</v>
          </cell>
        </row>
        <row r="2982">
          <cell r="F2982" t="str">
            <v>Essel Large Cap Equity Fund- Regular Plan- Yearly Dividend Option</v>
          </cell>
        </row>
        <row r="2983">
          <cell r="F2983" t="str">
            <v>Essel Large Cap Equity Fund-Direct Plan- Normal Dividend Option</v>
          </cell>
        </row>
        <row r="2984">
          <cell r="F2984" t="str">
            <v>Essel Large Cap Equity Fund-Direct Plan-Growth Option</v>
          </cell>
        </row>
        <row r="2985">
          <cell r="F2985" t="str">
            <v>Essel Liquid Fund-Direct Plan-Dividend Option-Daily</v>
          </cell>
        </row>
        <row r="2986">
          <cell r="F2986" t="str">
            <v>Essel Liquid Fund-Direct Plan-Dividend Option-Monthly</v>
          </cell>
        </row>
        <row r="2987">
          <cell r="F2987" t="str">
            <v>Essel Liquid Fund-Direct Plan-Dividend Option-Weekly</v>
          </cell>
        </row>
        <row r="2988">
          <cell r="F2988" t="str">
            <v>Essel Liquid Fund-Direct Plan-Growth Option</v>
          </cell>
        </row>
        <row r="2989">
          <cell r="F2989" t="str">
            <v>Essel Liquid Fund-Regular Plan- Monthly Dividend Option</v>
          </cell>
        </row>
        <row r="2990">
          <cell r="F2990" t="str">
            <v>Essel Liquid Fund-Regular Plan-Daily Dividend Option</v>
          </cell>
        </row>
        <row r="2991">
          <cell r="F2991" t="str">
            <v>Essel Liquid Fund-Regular Plan-Growth Option</v>
          </cell>
        </row>
        <row r="2992">
          <cell r="F2992" t="str">
            <v>Essel Liquid Fund-Regular Plan-Weekly Dividend Option</v>
          </cell>
        </row>
        <row r="2993">
          <cell r="F2993" t="str">
            <v>Essel Liquid Fund-Unclaimed Redemption and Dividend Plan greater than 3 years</v>
          </cell>
        </row>
        <row r="2994">
          <cell r="F2994" t="str">
            <v>Essel Liquid Fund-Unclaimed Redemption and Dividend Plan less than 3 years</v>
          </cell>
        </row>
        <row r="2995">
          <cell r="F2995" t="str">
            <v>Essel Long Term Advantage Fund- Direct Plan- Dividend Option</v>
          </cell>
        </row>
        <row r="2996">
          <cell r="F2996" t="str">
            <v>Essel Long Term Advantage Fund- Direct Plan- Growth Option</v>
          </cell>
        </row>
        <row r="2997">
          <cell r="F2997" t="str">
            <v>Essel Long Term Advantage Fund- Regular Plan- Dividend Option</v>
          </cell>
        </row>
        <row r="2998">
          <cell r="F2998" t="str">
            <v>Essel Long Term Advantage Fund- Regular Plan- Growth Option</v>
          </cell>
        </row>
        <row r="2999">
          <cell r="F2999" t="str">
            <v>ESSEL PROP</v>
          </cell>
        </row>
        <row r="3000">
          <cell r="F3000" t="str">
            <v>Essel Regular Savings Fund-Direct Plan-Growth Option</v>
          </cell>
        </row>
        <row r="3001">
          <cell r="F3001" t="str">
            <v>Essel Regular Savings Fund-Direct Plan-Monthly Dividend Option</v>
          </cell>
        </row>
        <row r="3002">
          <cell r="F3002" t="str">
            <v>Essel Regular Savings Fund-Direct Plan-Quarterly Dividend Option</v>
          </cell>
        </row>
        <row r="3003">
          <cell r="F3003" t="str">
            <v>Essel Regular Savings Fund-Dividend Option-Monthly Dividend</v>
          </cell>
        </row>
        <row r="3004">
          <cell r="F3004" t="str">
            <v>Essel Regular Savings Fund-Dividend Option-Quarterly Dividend</v>
          </cell>
        </row>
        <row r="3005">
          <cell r="F3005" t="str">
            <v>Essel Regular Savings Fund-Growth</v>
          </cell>
        </row>
        <row r="3006">
          <cell r="F3006" t="str">
            <v>Essel Short Term Fund- Bonus</v>
          </cell>
        </row>
        <row r="3007">
          <cell r="F3007" t="str">
            <v>Essel Short Term Fund- Direct - Bonus</v>
          </cell>
        </row>
        <row r="3008">
          <cell r="F3008" t="str">
            <v>Essel Short Term Fund-Direct Plan-Dividend Option-Monthly Dividend</v>
          </cell>
        </row>
        <row r="3009">
          <cell r="F3009" t="str">
            <v>Essel Short Term Fund-Direct Plan-Dividend Option-Quarterly Dividend</v>
          </cell>
        </row>
        <row r="3010">
          <cell r="F3010" t="str">
            <v>Essel Short Term Fund-Direct Plan-Growth Option</v>
          </cell>
        </row>
        <row r="3011">
          <cell r="F3011" t="str">
            <v>Essel Short Term Fund-Dividend Option-Monthly Dividend</v>
          </cell>
        </row>
        <row r="3012">
          <cell r="F3012" t="str">
            <v>Essel Short Term Fund-Dividend Option-Quarterly Dividend</v>
          </cell>
        </row>
        <row r="3013">
          <cell r="F3013" t="str">
            <v>Essel Short Term Fund-Growth</v>
          </cell>
        </row>
        <row r="3014">
          <cell r="F3014" t="str">
            <v>Essel Ultra Short Term Fund - Direct Plan-Dividend Option-Daily</v>
          </cell>
        </row>
        <row r="3015">
          <cell r="F3015" t="str">
            <v>Essel Ultra Short Term Fund - Direct Plan-Dividend Option-Monthly</v>
          </cell>
        </row>
        <row r="3016">
          <cell r="F3016" t="str">
            <v>Essel Ultra Short Term Fund - Direct Plan-Dividend Option-Weekly</v>
          </cell>
        </row>
        <row r="3017">
          <cell r="F3017" t="str">
            <v>Essel Ultra Short Term Fund - Direct Plan-Growth Option</v>
          </cell>
        </row>
        <row r="3018">
          <cell r="F3018" t="str">
            <v>Essel Ultra Short Term Fund - Regular Plan- Daily Dividend Option</v>
          </cell>
        </row>
        <row r="3019">
          <cell r="F3019" t="str">
            <v>Essel Ultra Short Term Fund - Regular Plan- Monthly Dividend Option</v>
          </cell>
        </row>
        <row r="3020">
          <cell r="F3020" t="str">
            <v>Essel Ultra Short Term Fund - Regular Plan- Weekly Dividend Option</v>
          </cell>
        </row>
        <row r="3021">
          <cell r="F3021" t="str">
            <v>Essel Ultra Short Term Fund - Regular Plan-Growth Option</v>
          </cell>
        </row>
        <row r="3022">
          <cell r="F3022" t="str">
            <v>ESTER</v>
          </cell>
        </row>
        <row r="3023">
          <cell r="F3023" t="str">
            <v>ETIL</v>
          </cell>
        </row>
        <row r="3024">
          <cell r="F3024" t="str">
            <v>EURO CERAMIC</v>
          </cell>
        </row>
        <row r="3025">
          <cell r="F3025" t="str">
            <v>EURO LEDAR F</v>
          </cell>
        </row>
        <row r="3026">
          <cell r="F3026" t="str">
            <v>EURO MULTI</v>
          </cell>
        </row>
        <row r="3027">
          <cell r="F3027" t="str">
            <v>EUROTEXIND</v>
          </cell>
        </row>
        <row r="3028">
          <cell r="F3028" t="str">
            <v>EVEREADY</v>
          </cell>
        </row>
        <row r="3029">
          <cell r="F3029" t="str">
            <v>EVEREST INDS</v>
          </cell>
        </row>
        <row r="3030">
          <cell r="F3030" t="str">
            <v>EVEREST ORG.</v>
          </cell>
        </row>
        <row r="3031">
          <cell r="F3031" t="str">
            <v>EVERLON SYN.</v>
          </cell>
        </row>
        <row r="3032">
          <cell r="F3032" t="str">
            <v>EXCAST</v>
          </cell>
        </row>
        <row r="3033">
          <cell r="F3033" t="str">
            <v>EXCEL</v>
          </cell>
        </row>
        <row r="3034">
          <cell r="F3034" t="str">
            <v>EXCEL CROP.</v>
          </cell>
        </row>
        <row r="3035">
          <cell r="F3035" t="str">
            <v>EXCEL INDUST</v>
          </cell>
        </row>
        <row r="3036">
          <cell r="F3036" t="str">
            <v>EXIDE IND.</v>
          </cell>
        </row>
        <row r="3037">
          <cell r="F3037" t="str">
            <v>EXPLICIT FIN</v>
          </cell>
        </row>
        <row r="3038">
          <cell r="F3038" t="str">
            <v>EXPO GAS</v>
          </cell>
        </row>
        <row r="3039">
          <cell r="F3039" t="str">
            <v>FACOR ALLOYS</v>
          </cell>
        </row>
        <row r="3040">
          <cell r="F3040" t="str">
            <v>FAIRCHEM</v>
          </cell>
        </row>
        <row r="3041">
          <cell r="F3041" t="str">
            <v>FAIRDEAL FIL</v>
          </cell>
        </row>
        <row r="3042">
          <cell r="F3042" t="str">
            <v>FAZE THREE L</v>
          </cell>
        </row>
        <row r="3043">
          <cell r="F3043" t="str">
            <v>FCL</v>
          </cell>
        </row>
        <row r="3044">
          <cell r="F3044" t="str">
            <v>FCONSUMER</v>
          </cell>
        </row>
        <row r="3045">
          <cell r="F3045" t="str">
            <v>FDC</v>
          </cell>
        </row>
        <row r="3046">
          <cell r="F3046" t="str">
            <v>FEDDERELEC</v>
          </cell>
        </row>
        <row r="3047">
          <cell r="F3047" t="str">
            <v>FEDERALBNK</v>
          </cell>
        </row>
        <row r="3048">
          <cell r="F3048" t="str">
            <v>FEL</v>
          </cell>
        </row>
        <row r="3049">
          <cell r="F3049" t="str">
            <v>FELDVR</v>
          </cell>
        </row>
        <row r="3050">
          <cell r="F3050" t="str">
            <v>FELIX</v>
          </cell>
        </row>
        <row r="3051">
          <cell r="F3051" t="str">
            <v>FENOPLAS.LTD</v>
          </cell>
        </row>
        <row r="3052">
          <cell r="F3052" t="str">
            <v>FERRO ALLOYS</v>
          </cell>
        </row>
        <row r="3053">
          <cell r="F3053" t="str">
            <v>FERT CHE(PS</v>
          </cell>
        </row>
        <row r="3054">
          <cell r="F3054" t="str">
            <v>FERVENTSYN</v>
          </cell>
        </row>
        <row r="3055">
          <cell r="F3055" t="str">
            <v>FIBERWB IN</v>
          </cell>
        </row>
        <row r="3056">
          <cell r="F3056" t="str">
            <v>FIEM INDS</v>
          </cell>
        </row>
        <row r="3057">
          <cell r="F3057" t="str">
            <v>FILAT FASH</v>
          </cell>
        </row>
        <row r="3058">
          <cell r="F3058" t="str">
            <v>FILATEX</v>
          </cell>
        </row>
        <row r="3059">
          <cell r="F3059" t="str">
            <v>FINCABLES</v>
          </cell>
        </row>
        <row r="3060">
          <cell r="F3060" t="str">
            <v>FINPIPE</v>
          </cell>
        </row>
        <row r="3061">
          <cell r="F3061" t="str">
            <v>FIRST CUSTO.</v>
          </cell>
        </row>
        <row r="3062">
          <cell r="F3062" t="str">
            <v>FIRSTOBJ</v>
          </cell>
        </row>
        <row r="3063">
          <cell r="F3063" t="str">
            <v>FIRSTWIN</v>
          </cell>
        </row>
        <row r="3064">
          <cell r="F3064" t="str">
            <v>FIVEXTRADE</v>
          </cell>
        </row>
        <row r="3065">
          <cell r="F3065" t="str">
            <v>FLEX FOODS</v>
          </cell>
        </row>
        <row r="3066">
          <cell r="F3066" t="str">
            <v>FLEXITUFF</v>
          </cell>
        </row>
        <row r="3067">
          <cell r="F3067" t="str">
            <v>FLFL</v>
          </cell>
        </row>
        <row r="3068">
          <cell r="F3068" t="str">
            <v>FLORACORP</v>
          </cell>
        </row>
        <row r="3069">
          <cell r="F3069" t="str">
            <v>FLORENCE</v>
          </cell>
        </row>
        <row r="3070">
          <cell r="F3070" t="str">
            <v>FLUIDOMAT</v>
          </cell>
        </row>
        <row r="3071">
          <cell r="F3071" t="str">
            <v>FMGOETZE</v>
          </cell>
        </row>
        <row r="3072">
          <cell r="F3072" t="str">
            <v>FMNL</v>
          </cell>
        </row>
        <row r="3073">
          <cell r="F3073" t="str">
            <v>FMP 1169D February 2017 (1) Series 37 - Direct - Growth</v>
          </cell>
        </row>
        <row r="3074">
          <cell r="F3074" t="str">
            <v>FMP 1169D February 2017 (1) Series 37 - Direct - Normal Dividend</v>
          </cell>
        </row>
        <row r="3075">
          <cell r="F3075" t="str">
            <v>FMP 1169D February 2017 (1) Series 37 - Direct - Quaterly Dividend</v>
          </cell>
        </row>
        <row r="3076">
          <cell r="F3076" t="str">
            <v>FMP 1169D February 2017 (1) Series 37 - Regular - Growth</v>
          </cell>
        </row>
        <row r="3077">
          <cell r="F3077" t="str">
            <v>FMP 1169D February 2017 (1) Series 37 - Regular - Normal Dividend</v>
          </cell>
        </row>
        <row r="3078">
          <cell r="F3078" t="str">
            <v>FMP 1169D February 2017 (1) Series 37 - Regular - Quaterly Dividend</v>
          </cell>
        </row>
        <row r="3079">
          <cell r="F3079" t="str">
            <v>FOCUS</v>
          </cell>
        </row>
        <row r="3080">
          <cell r="F3080" t="str">
            <v>FOMENTO HOTE</v>
          </cell>
        </row>
        <row r="3081">
          <cell r="F3081" t="str">
            <v>FOODS &amp; INNS</v>
          </cell>
        </row>
        <row r="3082">
          <cell r="F3082" t="str">
            <v>FORBES &amp; CO</v>
          </cell>
        </row>
        <row r="3083">
          <cell r="F3083" t="str">
            <v>FORCE MOTR</v>
          </cell>
        </row>
        <row r="3084">
          <cell r="F3084" t="str">
            <v>FORTIS</v>
          </cell>
        </row>
        <row r="3085">
          <cell r="F3085" t="str">
            <v>FORTIS MLR</v>
          </cell>
        </row>
        <row r="3086">
          <cell r="F3086" t="str">
            <v>FORTUNE FIN.</v>
          </cell>
        </row>
        <row r="3087">
          <cell r="F3087" t="str">
            <v>FOSECO INDIA</v>
          </cell>
        </row>
        <row r="3088">
          <cell r="F3088" t="str">
            <v>FOURTHDIM</v>
          </cell>
        </row>
        <row r="3089">
          <cell r="F3089" t="str">
            <v>FRANKLIN</v>
          </cell>
        </row>
        <row r="3090">
          <cell r="F3090" t="str">
            <v>Franklin Asian Equity Fund - Direct - Dividend</v>
          </cell>
        </row>
        <row r="3091">
          <cell r="F3091" t="str">
            <v>Franklin Asian Equity Fund - Direct - Growth</v>
          </cell>
        </row>
        <row r="3092">
          <cell r="F3092" t="str">
            <v>Franklin Asian Equity Fund - Dividend Plan</v>
          </cell>
        </row>
        <row r="3093">
          <cell r="F3093" t="str">
            <v>Franklin Asian Equity Fund - Growth Plan</v>
          </cell>
        </row>
        <row r="3094">
          <cell r="F3094" t="str">
            <v>Franklin Build India Fund - Direct - Dividend</v>
          </cell>
        </row>
        <row r="3095">
          <cell r="F3095" t="str">
            <v>Franklin Build India Fund - Direct - Growth</v>
          </cell>
        </row>
        <row r="3096">
          <cell r="F3096" t="str">
            <v>Franklin Build India Fund Dividend Plan</v>
          </cell>
        </row>
        <row r="3097">
          <cell r="F3097" t="str">
            <v>Franklin Build India Fund Growth Plan</v>
          </cell>
        </row>
        <row r="3098">
          <cell r="F3098" t="str">
            <v>Franklin India  PENSION PLAN - Direct - Dividend</v>
          </cell>
        </row>
        <row r="3099">
          <cell r="F3099" t="str">
            <v>Franklin India  PENSION PLAN - Direct - Growth</v>
          </cell>
        </row>
        <row r="3100">
          <cell r="F3100" t="str">
            <v>Franklin India Banking &amp; PSU Debt Fund - Direct - Dividend</v>
          </cell>
        </row>
        <row r="3101">
          <cell r="F3101" t="str">
            <v>Franklin India Banking &amp; PSU Debt Fund - Direct - Growth</v>
          </cell>
        </row>
        <row r="3102">
          <cell r="F3102" t="str">
            <v>Franklin India Banking &amp; PSU Debt Fund - Dividend</v>
          </cell>
        </row>
        <row r="3103">
          <cell r="F3103" t="str">
            <v>Franklin India Banking &amp; PSU Debt Fund - Growth</v>
          </cell>
        </row>
        <row r="3104">
          <cell r="F3104" t="str">
            <v>Franklin India Bluechip Fund- Direct - Growth</v>
          </cell>
        </row>
        <row r="3105">
          <cell r="F3105" t="str">
            <v>Franklin India Bluechip Fund- Direct -Dividend</v>
          </cell>
        </row>
        <row r="3106">
          <cell r="F3106" t="str">
            <v>Franklin India Bluechip Fund-Dividend</v>
          </cell>
        </row>
        <row r="3107">
          <cell r="F3107" t="str">
            <v>Franklin India Bluechip Fund-Growth</v>
          </cell>
        </row>
        <row r="3108">
          <cell r="F3108" t="str">
            <v>Franklin India Corporate Debt Fund - Annual Dividend</v>
          </cell>
        </row>
        <row r="3109">
          <cell r="F3109" t="str">
            <v>Franklin India Corporate Debt Fund - Direct - ANNUAL DIVIDEND</v>
          </cell>
        </row>
        <row r="3110">
          <cell r="F3110" t="str">
            <v>Franklin India Corporate Debt Fund - Direct - GROWTH</v>
          </cell>
        </row>
        <row r="3111">
          <cell r="F3111" t="str">
            <v>Franklin India Corporate Debt Fund - Direct - HALF YEARLY DIVIDEND</v>
          </cell>
        </row>
        <row r="3112">
          <cell r="F3112" t="str">
            <v>Franklin India Corporate Debt Fund - Direct - MONTHLY DIVIDEND</v>
          </cell>
        </row>
        <row r="3113">
          <cell r="F3113" t="str">
            <v>Franklin India Corporate Debt Fund - Direct - QUARTERLY DIVIDEND</v>
          </cell>
        </row>
        <row r="3114">
          <cell r="F3114" t="str">
            <v>Franklin India Corporate Debt Fund - Growth</v>
          </cell>
        </row>
        <row r="3115">
          <cell r="F3115" t="str">
            <v>Franklin India Corporate Debt Fund - Half Yearly Dividend</v>
          </cell>
        </row>
        <row r="3116">
          <cell r="F3116" t="str">
            <v>Franklin India Corporate Debt Fund - Monthly Dividend</v>
          </cell>
        </row>
        <row r="3117">
          <cell r="F3117" t="str">
            <v>Franklin India Corporate Debt Fund - Quarterly Dividend</v>
          </cell>
        </row>
        <row r="3118">
          <cell r="F3118" t="str">
            <v>Franklin India Credit Risk Fund - Direct - Dividend</v>
          </cell>
        </row>
        <row r="3119">
          <cell r="F3119" t="str">
            <v>Franklin India Credit Risk Fund - Direct - Growth</v>
          </cell>
        </row>
        <row r="3120">
          <cell r="F3120" t="str">
            <v>Franklin India Credit Risk Fund - Dividend</v>
          </cell>
        </row>
        <row r="3121">
          <cell r="F3121" t="str">
            <v>Franklin India Credit Risk Fund - Growth</v>
          </cell>
        </row>
        <row r="3122">
          <cell r="F3122" t="str">
            <v>Franklin India Debt Hybrid Fund - Direct - GROWTH</v>
          </cell>
        </row>
        <row r="3123">
          <cell r="F3123" t="str">
            <v>Franklin India Debt Hybrid Fund - Direct - MONTHLY DIVIDEND</v>
          </cell>
        </row>
        <row r="3124">
          <cell r="F3124" t="str">
            <v>Franklin India Debt Hybrid Fund - Direct - QUARTERLY DIVIDEND</v>
          </cell>
        </row>
        <row r="3125">
          <cell r="F3125" t="str">
            <v>Franklin India Debt Hybrid Fund - Growth</v>
          </cell>
        </row>
        <row r="3126">
          <cell r="F3126" t="str">
            <v>Franklin India Debt Hybrid Fund - Monthly Dividend</v>
          </cell>
        </row>
        <row r="3127">
          <cell r="F3127" t="str">
            <v>Franklin India Debt Hybrid Fund - Quarterly Dividend</v>
          </cell>
        </row>
        <row r="3128">
          <cell r="F3128" t="str">
            <v>Franklin India Dynamic Accrual Fund - Direct - Dividend</v>
          </cell>
        </row>
        <row r="3129">
          <cell r="F3129" t="str">
            <v>Franklin India Dynamic Accrual Fund - Direct - Growth</v>
          </cell>
        </row>
        <row r="3130">
          <cell r="F3130" t="str">
            <v>Franklin India Dynamic Accrual Fund-Dividend</v>
          </cell>
        </row>
        <row r="3131">
          <cell r="F3131" t="str">
            <v>Franklin India Dynamic Accrual Fund-Growth</v>
          </cell>
        </row>
        <row r="3132">
          <cell r="F3132" t="str">
            <v>Franklin India Dynamic PE Ratio Fund Of Funds - Direct - Dividend</v>
          </cell>
        </row>
        <row r="3133">
          <cell r="F3133" t="str">
            <v>Franklin India Dynamic PE Ratio Fund Of Funds - Direct - Growth</v>
          </cell>
        </row>
        <row r="3134">
          <cell r="F3134" t="str">
            <v>Franklin India Dynamic PE Ratio Fund of Funds-Dividend</v>
          </cell>
        </row>
        <row r="3135">
          <cell r="F3135" t="str">
            <v>Franklin India Dynamic PE Ratio Fund of Funds-Growth</v>
          </cell>
        </row>
        <row r="3136">
          <cell r="F3136" t="str">
            <v>Franklin India Equity Advantage Fund - Direct - Dividend</v>
          </cell>
        </row>
        <row r="3137">
          <cell r="F3137" t="str">
            <v>Franklin India Equity Advantage Fund - Direct - Growth</v>
          </cell>
        </row>
        <row r="3138">
          <cell r="F3138" t="str">
            <v>Franklin India Equity Advantage Fund - Growth Plan</v>
          </cell>
        </row>
        <row r="3139">
          <cell r="F3139" t="str">
            <v>Franklin India Equity Advantage Fund-Dividend Plan</v>
          </cell>
        </row>
        <row r="3140">
          <cell r="F3140" t="str">
            <v>Franklin India Equity Fund - Direct - Dividend</v>
          </cell>
        </row>
        <row r="3141">
          <cell r="F3141" t="str">
            <v>Franklin India Equity Fund - Direct - Growth</v>
          </cell>
        </row>
        <row r="3142">
          <cell r="F3142" t="str">
            <v>Franklin India Equity Fund - Dividend</v>
          </cell>
        </row>
        <row r="3143">
          <cell r="F3143" t="str">
            <v>Franklin India Equity Fund - Growth</v>
          </cell>
        </row>
        <row r="3144">
          <cell r="F3144" t="str">
            <v>Franklin India Equity Hybrid Fund - Direct - Dividend</v>
          </cell>
        </row>
        <row r="3145">
          <cell r="F3145" t="str">
            <v>Franklin India Equity Hybrid Fund - Direct - Growth</v>
          </cell>
        </row>
        <row r="3146">
          <cell r="F3146" t="str">
            <v>Franklin India Equity Hybrid Fund - Dividend Plan</v>
          </cell>
        </row>
        <row r="3147">
          <cell r="F3147" t="str">
            <v>Franklin India Equity Hybrid Fund - Growth Plan</v>
          </cell>
        </row>
        <row r="3148">
          <cell r="F3148" t="str">
            <v>Franklin India Feeder - Franklin European Growth Fund - Direct - Dividend</v>
          </cell>
        </row>
        <row r="3149">
          <cell r="F3149" t="str">
            <v>Franklin India Feeder - Franklin European Growth Fund - Direct - Growth</v>
          </cell>
        </row>
        <row r="3150">
          <cell r="F3150" t="str">
            <v>Franklin India Feeder - Franklin European Growth Fund - Dividend</v>
          </cell>
        </row>
        <row r="3151">
          <cell r="F3151" t="str">
            <v>Franklin India Feeder - Franklin European Growth Fund - Growth</v>
          </cell>
        </row>
        <row r="3152">
          <cell r="F3152" t="str">
            <v>Franklin India Feeder - Franklin U.S. Opportunities Fund - Dividend</v>
          </cell>
        </row>
        <row r="3153">
          <cell r="F3153" t="str">
            <v>Franklin India Feeder - Franklin U.S. Opportunities Fund - Growth</v>
          </cell>
        </row>
        <row r="3154">
          <cell r="F3154" t="str">
            <v>Franklin India Feeder - Franklin US Opportunities Fund - Direct - Dividend</v>
          </cell>
        </row>
        <row r="3155">
          <cell r="F3155" t="str">
            <v>Franklin India Feeder - Franklin US Opportunities Fund - Direct - Growth</v>
          </cell>
        </row>
        <row r="3156">
          <cell r="F3156" t="str">
            <v>Franklin India Fixed Maturity Plans - Series 1 - Plan A (1108 days) - Dividend</v>
          </cell>
        </row>
        <row r="3157">
          <cell r="F3157" t="str">
            <v>Franklin India Fixed Maturity Plans - Series 1 - Plan A (1108 days) - Growth</v>
          </cell>
        </row>
        <row r="3158">
          <cell r="F3158" t="str">
            <v>Franklin India Fixed Maturity Plans - Series 1 - Plan A (1108 days) - Growth - Direct</v>
          </cell>
        </row>
        <row r="3159">
          <cell r="F3159" t="str">
            <v>Franklin India Fixed Maturity Plans - Series 1 - Plan B (1104 days) - Direct - Dividend</v>
          </cell>
        </row>
        <row r="3160">
          <cell r="F3160" t="str">
            <v>Franklin India Fixed Maturity Plans - Series 1 - Plan B (1104 days) - Direct - Growth</v>
          </cell>
        </row>
        <row r="3161">
          <cell r="F3161" t="str">
            <v>Franklin India Fixed Maturity Plans - Series 1 - Plan B (1104 days) - Dividend</v>
          </cell>
        </row>
        <row r="3162">
          <cell r="F3162" t="str">
            <v>Franklin India Fixed Maturity Plans - Series 1 - Plan B (1104 days) - Growth</v>
          </cell>
        </row>
        <row r="3163">
          <cell r="F3163" t="str">
            <v>Franklin India Fixed Maturity Plans - Series 1 - Plan B (1104 days) - Quarterly Dividend</v>
          </cell>
        </row>
        <row r="3164">
          <cell r="F3164" t="str">
            <v>Franklin India Fixed Maturity Plans - Series 1 - Plan B (1104 days) - Quarterly Dividend - Direct</v>
          </cell>
        </row>
        <row r="3165">
          <cell r="F3165" t="str">
            <v>Franklin India Fixed Maturity Plans- Series 2 -Plan A (1224 days) Dividend- Direct</v>
          </cell>
        </row>
        <row r="3166">
          <cell r="F3166" t="str">
            <v>Franklin India Fixed Maturity Plans- Series 2- Plan A (1224 days)- Dividend</v>
          </cell>
        </row>
        <row r="3167">
          <cell r="F3167" t="str">
            <v>Franklin India Fixed Maturity Plans- Series 2- Plan A(1224 days)- Growth</v>
          </cell>
        </row>
        <row r="3168">
          <cell r="F3168" t="str">
            <v>Franklin India Fixed Maturity Plans- Series 2- Plan A(1224 days)- Growth- Direct</v>
          </cell>
        </row>
        <row r="3169">
          <cell r="F3169" t="str">
            <v>Franklin India Fixed Maturity Plans- Series 2- Plan A(1224 days)- Quarterly - Dividend</v>
          </cell>
        </row>
        <row r="3170">
          <cell r="F3170" t="str">
            <v>Franklin India Fixed Maturity Plans- Series 2- Plan A(1224 days)- Quarterly - Dividend - Direct</v>
          </cell>
        </row>
        <row r="3171">
          <cell r="F3171" t="str">
            <v>Franklin India Fixed Maturity Plans- Series 2- Plan B(1224 days)- Dividend</v>
          </cell>
        </row>
        <row r="3172">
          <cell r="F3172" t="str">
            <v>Franklin India Fixed Maturity Plans- Series 2- Plan B(1224 days)- Growth</v>
          </cell>
        </row>
        <row r="3173">
          <cell r="F3173" t="str">
            <v>Franklin India Fixed Maturity Plans- Series 2- Plan B(1224 days)- Growth- Direct</v>
          </cell>
        </row>
        <row r="3174">
          <cell r="F3174" t="str">
            <v>Franklin India Fixed Maturity Plans- Series 2- Plan B(1224 days)- Quarterly Dividend</v>
          </cell>
        </row>
        <row r="3175">
          <cell r="F3175" t="str">
            <v>Franklin India Fixed Maturity Plans- Series 2- Plan C (1205 days)- Quarterly Dividend</v>
          </cell>
        </row>
        <row r="3176">
          <cell r="F3176" t="str">
            <v>Franklin India Fixed Maturity Plans- Series 2- Plan C(1205 days)- Dividend</v>
          </cell>
        </row>
        <row r="3177">
          <cell r="F3177" t="str">
            <v>Franklin India Fixed Maturity Plans- Series 2- Plan C(1205 days)- Dividend- Direct</v>
          </cell>
        </row>
        <row r="3178">
          <cell r="F3178" t="str">
            <v>Franklin India Fixed Maturity Plans- Series 2- Plan C(1205 days)- Growth</v>
          </cell>
        </row>
        <row r="3179">
          <cell r="F3179" t="str">
            <v>Franklin India Fixed Maturity Plans- Series 2- Plan C(1205 days)- Growth- Direct</v>
          </cell>
        </row>
        <row r="3180">
          <cell r="F3180" t="str">
            <v>Franklin India Floating Rate Fund - Direct - Dividend</v>
          </cell>
        </row>
        <row r="3181">
          <cell r="F3181" t="str">
            <v>Franklin India Floating Rate Fund - Direct - Growth</v>
          </cell>
        </row>
        <row r="3182">
          <cell r="F3182" t="str">
            <v>Franklin India Floating Rate Fund - Dividend Plan</v>
          </cell>
        </row>
        <row r="3183">
          <cell r="F3183" t="str">
            <v>Franklin India Floating Rate Fund - Growth Plan</v>
          </cell>
        </row>
        <row r="3184">
          <cell r="F3184" t="str">
            <v>Franklin India Focused Equity Fund - Direct - Dividend</v>
          </cell>
        </row>
        <row r="3185">
          <cell r="F3185" t="str">
            <v>Franklin India Focused Equity Fund - Direct - Growth</v>
          </cell>
        </row>
        <row r="3186">
          <cell r="F3186" t="str">
            <v>Franklin India Focused Equity Fund - Dividend Plan</v>
          </cell>
        </row>
        <row r="3187">
          <cell r="F3187" t="str">
            <v>Franklin India Focused Equity Fund - Growth Plan</v>
          </cell>
        </row>
        <row r="3188">
          <cell r="F3188" t="str">
            <v>Franklin India GOVERNMENT SECURITIES FUND - Composite Plan - Direct - Growth</v>
          </cell>
        </row>
        <row r="3189">
          <cell r="F3189" t="str">
            <v>Franklin India GOVERNMENT SECURITIES FUND - Composite Plan - Direct - Quarterly Dividend</v>
          </cell>
        </row>
        <row r="3190">
          <cell r="F3190" t="str">
            <v>Franklin India Government Securities Fund - Direct - Growth</v>
          </cell>
        </row>
        <row r="3191">
          <cell r="F3191" t="str">
            <v>Franklin India Government Securities Fund - Direct - Quarterly Dividend</v>
          </cell>
        </row>
        <row r="3192">
          <cell r="F3192" t="str">
            <v>Franklin India Government Securities Fund - Growth</v>
          </cell>
        </row>
        <row r="3193">
          <cell r="F3193" t="str">
            <v>Franklin India Government Securities Fund - Quarterly Dividend</v>
          </cell>
        </row>
        <row r="3194">
          <cell r="F3194" t="str">
            <v>Franklin India GOVERNMENT SECURITIES FUND PF PLAN - Direct - Growth</v>
          </cell>
        </row>
        <row r="3195">
          <cell r="F3195" t="str">
            <v>Franklin India Govt.Sec. Fund-Composite Plan - Dividend</v>
          </cell>
        </row>
        <row r="3196">
          <cell r="F3196" t="str">
            <v>Franklin India Govt.Sec. Fund-Composite Plan - Growth</v>
          </cell>
        </row>
        <row r="3197">
          <cell r="F3197" t="str">
            <v>Franklin India Govt.Sec. Fund-PF Plan - Dividend</v>
          </cell>
        </row>
        <row r="3198">
          <cell r="F3198" t="str">
            <v>Franklin India Govt.Sec. Fund-PF Plan - Growth</v>
          </cell>
        </row>
        <row r="3199">
          <cell r="F3199" t="str">
            <v>Franklin India Income Opportunities Fund - Direct - Dividend</v>
          </cell>
        </row>
        <row r="3200">
          <cell r="F3200" t="str">
            <v>Franklin India Income Opportunities Fund - Direct - Growth</v>
          </cell>
        </row>
        <row r="3201">
          <cell r="F3201" t="str">
            <v>Franklin India Income Opportunities Fund - Dividend</v>
          </cell>
        </row>
        <row r="3202">
          <cell r="F3202" t="str">
            <v>Franklin India Income Opportunities Fund - Growth</v>
          </cell>
        </row>
        <row r="3203">
          <cell r="F3203" t="str">
            <v>Franklin India INDEX FUND NIFTY PLAN - Direct - Dividend</v>
          </cell>
        </row>
        <row r="3204">
          <cell r="F3204" t="str">
            <v>Franklin India INDEX FUND NIFTY PLAN - Direct - Growth</v>
          </cell>
        </row>
        <row r="3205">
          <cell r="F3205" t="str">
            <v>Franklin India Index Fund- Nifty Plan - Dividend Plan</v>
          </cell>
        </row>
        <row r="3206">
          <cell r="F3206" t="str">
            <v>Franklin India Index Fund- Nifty Plan - Growth Plan</v>
          </cell>
        </row>
        <row r="3207">
          <cell r="F3207" t="str">
            <v>Franklin INDIA LIFE STAGE FUND OF FUNDS - THE 20S PLAN (D)</v>
          </cell>
        </row>
        <row r="3208">
          <cell r="F3208" t="str">
            <v>Franklin INDIA LIFE STAGE FUND OF FUNDS - THE 20S PLAN (G)</v>
          </cell>
        </row>
        <row r="3209">
          <cell r="F3209" t="str">
            <v>Franklin INDIA LIFE STAGE FUND OF FUNDS - THE 20S PLAN - Direct - Dividend</v>
          </cell>
        </row>
        <row r="3210">
          <cell r="F3210" t="str">
            <v>Franklin INDIA LIFE STAGE FUND OF FUNDS - THE 20S PLAN - Direct - Growth</v>
          </cell>
        </row>
        <row r="3211">
          <cell r="F3211" t="str">
            <v>Franklin INDIA LIFE STAGE FUND OF FUNDS - THE 30S PLAN (D)</v>
          </cell>
        </row>
        <row r="3212">
          <cell r="F3212" t="str">
            <v>Franklin INDIA LIFE STAGE FUND OF FUNDS - THE 30S PLAN (G)</v>
          </cell>
        </row>
        <row r="3213">
          <cell r="F3213" t="str">
            <v>Franklin India Life Stage Fund of Funds - The 30s Plan - Direct - Dividend</v>
          </cell>
        </row>
        <row r="3214">
          <cell r="F3214" t="str">
            <v>Franklin India Life Stage Fund of Funds - The 30s Plan - Direct - Growth</v>
          </cell>
        </row>
        <row r="3215">
          <cell r="F3215" t="str">
            <v>Franklin INDIA LIFE STAGE FUND OF FUNDS - THE 40S PLAN (D)</v>
          </cell>
        </row>
        <row r="3216">
          <cell r="F3216" t="str">
            <v>Franklin INDIA LIFE STAGE FUND OF FUNDS - THE 40S PLAN (G)</v>
          </cell>
        </row>
        <row r="3217">
          <cell r="F3217" t="str">
            <v>Franklin India Life Stage Fund of Funds - The 40s Plan - Direct - Dividend</v>
          </cell>
        </row>
        <row r="3218">
          <cell r="F3218" t="str">
            <v>Franklin India Life Stage Fund of Funds - The 40s Plan - Direct - Growth</v>
          </cell>
        </row>
        <row r="3219">
          <cell r="F3219" t="str">
            <v>Franklin INDIA LIFE STAGE FUND OF FUNDS - THE 50+S PLAN (D)</v>
          </cell>
        </row>
        <row r="3220">
          <cell r="F3220" t="str">
            <v>Franklin INDIA LIFE STAGE FUND OF FUNDS - THE 50+S PLAN (G)</v>
          </cell>
        </row>
        <row r="3221">
          <cell r="F3221" t="str">
            <v>Franklin India Life Stage Fund of Funds - The 50s Plus - Direct - Dividend</v>
          </cell>
        </row>
        <row r="3222">
          <cell r="F3222" t="str">
            <v>Franklin India Life Stage Fund of Funds - The 50s Plus - Direct - Growth</v>
          </cell>
        </row>
        <row r="3223">
          <cell r="F3223" t="str">
            <v>Franklin India Life Stage Fund of Funds - The 50s Plus Flo (Gro)</v>
          </cell>
        </row>
        <row r="3224">
          <cell r="F3224" t="str">
            <v>Franklin India Life Stage Fund Of Funds - The 50S Plus Floating Rate Plan - Direct - Dividend</v>
          </cell>
        </row>
        <row r="3225">
          <cell r="F3225" t="str">
            <v>Franklin India Life Stage Fund Of Funds - The 50S Plus Floating Rate Plan - Direct - Growth</v>
          </cell>
        </row>
        <row r="3226">
          <cell r="F3226" t="str">
            <v>Franklin India Life Stage Fund of Funds The 50s Plus Flo (Div)</v>
          </cell>
        </row>
        <row r="3227">
          <cell r="F3227" t="str">
            <v>Franklin India Liquid Fund - Institution-Daily</v>
          </cell>
        </row>
        <row r="3228">
          <cell r="F3228" t="str">
            <v>Franklin India Liquid Fund - Institution-Growth</v>
          </cell>
        </row>
        <row r="3229">
          <cell r="F3229" t="str">
            <v>Franklin India Liquid Fund - Institution-Weekly</v>
          </cell>
        </row>
        <row r="3230">
          <cell r="F3230" t="str">
            <v>Franklin India Liquid Fund - Regular Plan - Daily Dividend</v>
          </cell>
        </row>
        <row r="3231">
          <cell r="F3231" t="str">
            <v>Franklin India Liquid Fund - Regular Plan - Growth</v>
          </cell>
        </row>
        <row r="3232">
          <cell r="F3232" t="str">
            <v>Franklin India Liquid Fund - Regular Plan - Weekly Dividend</v>
          </cell>
        </row>
        <row r="3233">
          <cell r="F3233" t="str">
            <v>Franklin India Liquid Fund - Super Instittutional - Direct - Growth</v>
          </cell>
        </row>
        <row r="3234">
          <cell r="F3234" t="str">
            <v>Franklin India Liquid Fund - Super Institutional - Direct - Daily Dividend</v>
          </cell>
        </row>
        <row r="3235">
          <cell r="F3235" t="str">
            <v>Franklin India Liquid Fund - Super Institutional - Direct - Weekly Dividend</v>
          </cell>
        </row>
        <row r="3236">
          <cell r="F3236" t="str">
            <v>Franklin India Liquid Fund - Super Institutional Plan - Daily Dividend</v>
          </cell>
        </row>
        <row r="3237">
          <cell r="F3237" t="str">
            <v>Franklin India Liquid Fund - Super Institutional Plan - Growth</v>
          </cell>
        </row>
        <row r="3238">
          <cell r="F3238" t="str">
            <v>Franklin India Liquid Fund - Super Institutional Plan - Weekly Dividend</v>
          </cell>
        </row>
        <row r="3239">
          <cell r="F3239" t="str">
            <v>Franklin India Liquid Fund - Unclaimed Dividend Plan - Growth</v>
          </cell>
        </row>
        <row r="3240">
          <cell r="F3240" t="str">
            <v>Franklin India Liquid Fund - Unclaimed Redemption Plan - Growth</v>
          </cell>
        </row>
        <row r="3241">
          <cell r="F3241" t="str">
            <v>Franklin India Low Duration Fund - Direct - Growth</v>
          </cell>
        </row>
        <row r="3242">
          <cell r="F3242" t="str">
            <v>Franklin India Low Duration Fund - Direct - Monthly Dividend</v>
          </cell>
        </row>
        <row r="3243">
          <cell r="F3243" t="str">
            <v>Franklin India Low Duration Fund - Direct - Quarterly Dividend</v>
          </cell>
        </row>
        <row r="3244">
          <cell r="F3244" t="str">
            <v>Franklin India Low Duration Fund - Growth Plan</v>
          </cell>
        </row>
        <row r="3245">
          <cell r="F3245" t="str">
            <v>Franklin India Low Duration Fund -Monthly Dividend</v>
          </cell>
        </row>
        <row r="3246">
          <cell r="F3246" t="str">
            <v>Franklin India Low Duration Fund-Quarterly Dividend</v>
          </cell>
        </row>
        <row r="3247">
          <cell r="F3247" t="str">
            <v>Franklin India Multi - Asset Solution Fund - Dividend Plan</v>
          </cell>
        </row>
        <row r="3248">
          <cell r="F3248" t="str">
            <v>Franklin India Multi - Asset Solution Fund - Dividend Plan - Direct</v>
          </cell>
        </row>
        <row r="3249">
          <cell r="F3249" t="str">
            <v>Franklin India Multi - Asset Solution Fund - Growth Plan</v>
          </cell>
        </row>
        <row r="3250">
          <cell r="F3250" t="str">
            <v>Franklin India Multi - Asset Solution Fund - Growth Plan - Direct</v>
          </cell>
        </row>
        <row r="3251">
          <cell r="F3251" t="str">
            <v>Franklin India Opportunities Fund - Direct - Dividend</v>
          </cell>
        </row>
        <row r="3252">
          <cell r="F3252" t="str">
            <v>Franklin India Opportunities Fund - Direct - Growth</v>
          </cell>
        </row>
        <row r="3253">
          <cell r="F3253" t="str">
            <v>Franklin India Opportunities Fund - Dividend</v>
          </cell>
        </row>
        <row r="3254">
          <cell r="F3254" t="str">
            <v>Franklin India Opportunities Fund - Growth</v>
          </cell>
        </row>
        <row r="3255">
          <cell r="F3255" t="str">
            <v>Franklin India Pension Plan-Dividend</v>
          </cell>
        </row>
        <row r="3256">
          <cell r="F3256" t="str">
            <v>Franklin India Pension Plan-Growth</v>
          </cell>
        </row>
        <row r="3257">
          <cell r="F3257" t="str">
            <v>Franklin India Prima Fund - Direct - Dividend</v>
          </cell>
        </row>
        <row r="3258">
          <cell r="F3258" t="str">
            <v>Franklin India Prima Fund - Direct - Growth</v>
          </cell>
        </row>
        <row r="3259">
          <cell r="F3259" t="str">
            <v>Franklin India Prima Fund-Dividend</v>
          </cell>
        </row>
        <row r="3260">
          <cell r="F3260" t="str">
            <v>Franklin India Prima Fund-Growth</v>
          </cell>
        </row>
        <row r="3261">
          <cell r="F3261" t="str">
            <v>Franklin India Savings Fund - Daily Dividend option</v>
          </cell>
        </row>
        <row r="3262">
          <cell r="F3262" t="str">
            <v>Franklin India Savings Fund - Daily Dividend option - Direct</v>
          </cell>
        </row>
        <row r="3263">
          <cell r="F3263" t="str">
            <v>Franklin India Savings Fund - Direct - Growth</v>
          </cell>
        </row>
        <row r="3264">
          <cell r="F3264" t="str">
            <v>Franklin India Savings Fund - Direct - Monthly Dividend</v>
          </cell>
        </row>
        <row r="3265">
          <cell r="F3265" t="str">
            <v>Franklin India Savings Fund - Direct - Quarterly Dividend</v>
          </cell>
        </row>
        <row r="3266">
          <cell r="F3266" t="str">
            <v>Franklin India Savings Fund - Dividend Option</v>
          </cell>
        </row>
        <row r="3267">
          <cell r="F3267" t="str">
            <v>Franklin India Savings Fund - Growth Option</v>
          </cell>
        </row>
        <row r="3268">
          <cell r="F3268" t="str">
            <v>Franklin India Savings Fund - Institutional Option - Dividend</v>
          </cell>
        </row>
        <row r="3269">
          <cell r="F3269" t="str">
            <v>Franklin India Savings Fund - Monthly Dividend</v>
          </cell>
        </row>
        <row r="3270">
          <cell r="F3270" t="str">
            <v>Franklin India SHORT TERM INCOME PLAN - Direct - GROWTH</v>
          </cell>
        </row>
        <row r="3271">
          <cell r="F3271" t="str">
            <v>Franklin India SHORT TERM INCOME PLAN - Direct - QUARTERLY DIVIDEND</v>
          </cell>
        </row>
        <row r="3272">
          <cell r="F3272" t="str">
            <v>Franklin India SHORT TERM INCOME Retail  Plan - Direct - MONTHLY DIVIDEND</v>
          </cell>
        </row>
        <row r="3273">
          <cell r="F3273" t="str">
            <v>Franklin India SHORT TERM INCOME Retail  Plan - Direct - WEEKLY DIVIDEND</v>
          </cell>
        </row>
        <row r="3274">
          <cell r="F3274" t="str">
            <v>Franklin India Short-Term Income Plan-Growth</v>
          </cell>
        </row>
        <row r="3275">
          <cell r="F3275" t="str">
            <v>Franklin India Short-Term Income Plan-Institutional Plan - Growth</v>
          </cell>
        </row>
        <row r="3276">
          <cell r="F3276" t="str">
            <v>Franklin India Short-Term Income Plan-Institutional Plan - Monthly Dividend</v>
          </cell>
        </row>
        <row r="3277">
          <cell r="F3277" t="str">
            <v>Franklin India Short-Term Income Plan-Monthly Dividend</v>
          </cell>
        </row>
        <row r="3278">
          <cell r="F3278" t="str">
            <v>Franklin India Short-Term Income Plan-Quarterly Dividend</v>
          </cell>
        </row>
        <row r="3279">
          <cell r="F3279" t="str">
            <v>Franklin India Short-Term Income Plan-Weekly Dividend</v>
          </cell>
        </row>
        <row r="3280">
          <cell r="F3280" t="str">
            <v>Franklin India Smaller Companies Fund - Direct - Dividend</v>
          </cell>
        </row>
        <row r="3281">
          <cell r="F3281" t="str">
            <v>Franklin India Smaller Companies Fund - Direct - Growth</v>
          </cell>
        </row>
        <row r="3282">
          <cell r="F3282" t="str">
            <v>Franklin India Smaller Companies Fund-Dividend</v>
          </cell>
        </row>
        <row r="3283">
          <cell r="F3283" t="str">
            <v>Franklin India Smaller Companies Fund-Growth</v>
          </cell>
        </row>
        <row r="3284">
          <cell r="F3284" t="str">
            <v>Franklin India TAXSHIELD - Direct - Dividend</v>
          </cell>
        </row>
        <row r="3285">
          <cell r="F3285" t="str">
            <v>Franklin India TAXSHIELD - Direct - Growth</v>
          </cell>
        </row>
        <row r="3286">
          <cell r="F3286" t="str">
            <v>Franklin India Taxshield-Dividend</v>
          </cell>
        </row>
        <row r="3287">
          <cell r="F3287" t="str">
            <v>Franklin India Taxshield-Growth</v>
          </cell>
        </row>
        <row r="3288">
          <cell r="F3288" t="str">
            <v>Franklin India Technology Fund - Direct - Dividend</v>
          </cell>
        </row>
        <row r="3289">
          <cell r="F3289" t="str">
            <v>Franklin India Technology Fund - Direct - Growth</v>
          </cell>
        </row>
        <row r="3290">
          <cell r="F3290" t="str">
            <v>Franklin India Technology Fund-Dividend</v>
          </cell>
        </row>
        <row r="3291">
          <cell r="F3291" t="str">
            <v>Franklin India Technology Fund-Growth</v>
          </cell>
        </row>
        <row r="3292">
          <cell r="F3292" t="str">
            <v>Franklin India Ultra Short Bond Fund - Institutional - Daily Dividend</v>
          </cell>
        </row>
        <row r="3293">
          <cell r="F3293" t="str">
            <v>Franklin India Ultra Short Bond Fund - Institutional - Growth</v>
          </cell>
        </row>
        <row r="3294">
          <cell r="F3294" t="str">
            <v>Franklin India Ultra Short Bond Fund - Retail - Daily Dividend</v>
          </cell>
        </row>
        <row r="3295">
          <cell r="F3295" t="str">
            <v>Franklin India Ultra Short Bond Fund - Retail - Growth</v>
          </cell>
        </row>
        <row r="3296">
          <cell r="F3296" t="str">
            <v>Franklin India Ultra Short Bond Fund - Retail - Weekly Dividend</v>
          </cell>
        </row>
        <row r="3297">
          <cell r="F3297" t="str">
            <v>Franklin India Ultra Short Bond Fund - Super Institutional - Daily Dividend</v>
          </cell>
        </row>
        <row r="3298">
          <cell r="F3298" t="str">
            <v>Franklin India Ultra Short Bond Fund - Super Institutional - Growth</v>
          </cell>
        </row>
        <row r="3299">
          <cell r="F3299" t="str">
            <v>Franklin India Ultra Short Bond Fund - Super Institutional - Weekly Dividend</v>
          </cell>
        </row>
        <row r="3300">
          <cell r="F3300" t="str">
            <v>Franklin India Ultra Short Bond Fund - Super Institutional Plan - Direct - Daily Dividend</v>
          </cell>
        </row>
        <row r="3301">
          <cell r="F3301" t="str">
            <v>Franklin India Ultra Short Bond Fund - Super Institutional Plan - Direct - Growth</v>
          </cell>
        </row>
        <row r="3302">
          <cell r="F3302" t="str">
            <v>Franklin India Ultra Short Bond Fund - Super Institutional Plan - Direct - Weekly Dividend</v>
          </cell>
        </row>
        <row r="3303">
          <cell r="F3303" t="str">
            <v>FRANKLININD</v>
          </cell>
        </row>
        <row r="3304">
          <cell r="F3304" t="str">
            <v>FRESHTROP FR</v>
          </cell>
        </row>
        <row r="3305">
          <cell r="F3305" t="str">
            <v>FRETAIL</v>
          </cell>
        </row>
        <row r="3306">
          <cell r="F3306" t="str">
            <v>FRONT BUSS</v>
          </cell>
        </row>
        <row r="3307">
          <cell r="F3307" t="str">
            <v>FRONT SEC</v>
          </cell>
        </row>
        <row r="3308">
          <cell r="F3308" t="str">
            <v>FRONTIER SPR</v>
          </cell>
        </row>
        <row r="3309">
          <cell r="F3309" t="str">
            <v>FSC</v>
          </cell>
        </row>
        <row r="3310">
          <cell r="F3310" t="str">
            <v>FSL</v>
          </cell>
        </row>
        <row r="3311">
          <cell r="F3311" t="str">
            <v>FUNNY</v>
          </cell>
        </row>
        <row r="3312">
          <cell r="F3312" t="str">
            <v>FUT SOL</v>
          </cell>
        </row>
        <row r="3313">
          <cell r="F3313" t="str">
            <v>G.G.DANDEKAR</v>
          </cell>
        </row>
        <row r="3314">
          <cell r="F3314" t="str">
            <v>G.M.BREWERI</v>
          </cell>
        </row>
        <row r="3315">
          <cell r="F3315" t="str">
            <v>G.S.AUTO INT</v>
          </cell>
        </row>
        <row r="3316">
          <cell r="F3316" t="str">
            <v>G.V.FILMS</v>
          </cell>
        </row>
        <row r="3317">
          <cell r="F3317" t="str">
            <v>GABRIEL(I)</v>
          </cell>
        </row>
        <row r="3318">
          <cell r="F3318" t="str">
            <v>GAEL</v>
          </cell>
        </row>
        <row r="3319">
          <cell r="F3319" t="str">
            <v>GAGAN GASES</v>
          </cell>
        </row>
        <row r="3320">
          <cell r="F3320" t="str">
            <v>GAGAN POLYCO</v>
          </cell>
        </row>
        <row r="3321">
          <cell r="F3321" t="str">
            <v>GAIL (I) LTD</v>
          </cell>
        </row>
        <row r="3322">
          <cell r="F3322" t="str">
            <v>GALADA TELE.</v>
          </cell>
        </row>
        <row r="3323">
          <cell r="F3323" t="str">
            <v>GALAXY BEAR.</v>
          </cell>
        </row>
        <row r="3324">
          <cell r="F3324" t="str">
            <v>GALAXY ENTER</v>
          </cell>
        </row>
        <row r="3325">
          <cell r="F3325" t="str">
            <v>GALLAN METAL</v>
          </cell>
        </row>
        <row r="3326">
          <cell r="F3326" t="str">
            <v>GALLISPAT</v>
          </cell>
        </row>
        <row r="3327">
          <cell r="F3327" t="str">
            <v>GAMMON INFRA</v>
          </cell>
        </row>
        <row r="3328">
          <cell r="F3328" t="str">
            <v>GAMMONIND</v>
          </cell>
        </row>
        <row r="3329">
          <cell r="F3329" t="str">
            <v>GANDHITUBE</v>
          </cell>
        </row>
        <row r="3330">
          <cell r="F3330" t="str">
            <v>GANESH BENZO</v>
          </cell>
        </row>
        <row r="3331">
          <cell r="F3331" t="str">
            <v>GANESH ECOSP</v>
          </cell>
        </row>
        <row r="3332">
          <cell r="F3332" t="str">
            <v>GANESHHOUC</v>
          </cell>
        </row>
        <row r="3333">
          <cell r="F3333" t="str">
            <v>GANGAPAPERS</v>
          </cell>
        </row>
        <row r="3334">
          <cell r="F3334" t="str">
            <v>GANGESSECU</v>
          </cell>
        </row>
        <row r="3335">
          <cell r="F3335" t="str">
            <v>GARDENSILK</v>
          </cell>
        </row>
        <row r="3336">
          <cell r="F3336" t="str">
            <v>GARG FURNACE</v>
          </cell>
        </row>
        <row r="3337">
          <cell r="F3337" t="str">
            <v>GARNET CONST</v>
          </cell>
        </row>
        <row r="3338">
          <cell r="F3338" t="str">
            <v>GARNET INTL</v>
          </cell>
        </row>
        <row r="3339">
          <cell r="F3339" t="str">
            <v>GARWA.MARINE</v>
          </cell>
        </row>
        <row r="3340">
          <cell r="F3340" t="str">
            <v>GARWARE POLY</v>
          </cell>
        </row>
        <row r="3341">
          <cell r="F3341" t="str">
            <v>GARWARE SYN.</v>
          </cell>
        </row>
        <row r="3342">
          <cell r="F3342" t="str">
            <v>GARWARE WALL</v>
          </cell>
        </row>
        <row r="3343">
          <cell r="F3343" t="str">
            <v>GATEWAY DIST</v>
          </cell>
        </row>
        <row r="3344">
          <cell r="F3344" t="str">
            <v>GATI LTD.</v>
          </cell>
        </row>
        <row r="3345">
          <cell r="F3345" t="str">
            <v>GAYATRI BIO</v>
          </cell>
        </row>
        <row r="3346">
          <cell r="F3346" t="str">
            <v>GAYATRI PROJ</v>
          </cell>
        </row>
        <row r="3347">
          <cell r="F3347" t="str">
            <v>GAYATRI SUGR</v>
          </cell>
        </row>
        <row r="3348">
          <cell r="F3348" t="str">
            <v>GBLINFRA</v>
          </cell>
        </row>
        <row r="3349">
          <cell r="F3349" t="str">
            <v>GEE LTD</v>
          </cell>
        </row>
        <row r="3350">
          <cell r="F3350" t="str">
            <v>GEECEE</v>
          </cell>
        </row>
        <row r="3351">
          <cell r="F3351" t="str">
            <v>GEEKAYWIRE</v>
          </cell>
        </row>
        <row r="3352">
          <cell r="F3352" t="str">
            <v>GEL</v>
          </cell>
        </row>
        <row r="3353">
          <cell r="F3353" t="str">
            <v>GEMINI</v>
          </cell>
        </row>
        <row r="3354">
          <cell r="F3354" t="str">
            <v>GENCON</v>
          </cell>
        </row>
        <row r="3355">
          <cell r="F3355" t="str">
            <v>GENESYS</v>
          </cell>
        </row>
        <row r="3356">
          <cell r="F3356" t="str">
            <v>GENNEX LAB</v>
          </cell>
        </row>
        <row r="3357">
          <cell r="F3357" t="str">
            <v>GENUSPAPER</v>
          </cell>
        </row>
        <row r="3358">
          <cell r="F3358" t="str">
            <v>GENUSPOWER</v>
          </cell>
        </row>
        <row r="3359">
          <cell r="F3359" t="str">
            <v>GEOJITFSL</v>
          </cell>
        </row>
        <row r="3360">
          <cell r="F3360" t="str">
            <v>GEPIL</v>
          </cell>
        </row>
        <row r="3361">
          <cell r="F3361" t="str">
            <v>GET&amp;D</v>
          </cell>
        </row>
        <row r="3362">
          <cell r="F3362" t="str">
            <v>GGENG</v>
          </cell>
        </row>
        <row r="3363">
          <cell r="F3363" t="str">
            <v>GGPL</v>
          </cell>
        </row>
        <row r="3364">
          <cell r="F3364" t="str">
            <v>GHCL</v>
          </cell>
        </row>
        <row r="3365">
          <cell r="F3365" t="str">
            <v>GICHSGFIN</v>
          </cell>
        </row>
        <row r="3366">
          <cell r="F3366" t="str">
            <v>GICRE</v>
          </cell>
        </row>
        <row r="3367">
          <cell r="F3367" t="str">
            <v>GILADAFINS</v>
          </cell>
        </row>
        <row r="3368">
          <cell r="F3368" t="str">
            <v>GILLA ARBUT</v>
          </cell>
        </row>
        <row r="3369">
          <cell r="F3369" t="str">
            <v>GILLETTE (I)</v>
          </cell>
        </row>
        <row r="3370">
          <cell r="F3370" t="str">
            <v>GINI SILK MI</v>
          </cell>
        </row>
        <row r="3371">
          <cell r="F3371" t="str">
            <v>GINNIFILA</v>
          </cell>
        </row>
        <row r="3372">
          <cell r="F3372" t="str">
            <v>GIRDHAR. SUG</v>
          </cell>
        </row>
        <row r="3373">
          <cell r="F3373" t="str">
            <v>GIRRESORTS</v>
          </cell>
        </row>
        <row r="3374">
          <cell r="F3374" t="str">
            <v>GITANJALI GE</v>
          </cell>
        </row>
        <row r="3375">
          <cell r="F3375" t="str">
            <v>GKWLIMITED</v>
          </cell>
        </row>
        <row r="3376">
          <cell r="F3376" t="str">
            <v>GLAXOSMITH</v>
          </cell>
        </row>
        <row r="3377">
          <cell r="F3377" t="str">
            <v>GLCL</v>
          </cell>
        </row>
        <row r="3378">
          <cell r="F3378" t="str">
            <v>GLENMARK</v>
          </cell>
        </row>
        <row r="3379">
          <cell r="F3379" t="str">
            <v>GLITTEK GRAN</v>
          </cell>
        </row>
        <row r="3380">
          <cell r="F3380" t="str">
            <v>GLOBAL CAP.</v>
          </cell>
        </row>
        <row r="3381">
          <cell r="F3381" t="str">
            <v>GLOBAL OFFS</v>
          </cell>
        </row>
        <row r="3382">
          <cell r="F3382" t="str">
            <v>GLOBAL VECT</v>
          </cell>
        </row>
        <row r="3383">
          <cell r="F3383" t="str">
            <v>GLOBUS SPR</v>
          </cell>
        </row>
        <row r="3384">
          <cell r="F3384" t="str">
            <v>GLOSTER</v>
          </cell>
        </row>
        <row r="3385">
          <cell r="F3385" t="str">
            <v>GMDCLTD</v>
          </cell>
        </row>
        <row r="3386">
          <cell r="F3386" t="str">
            <v>GMETCOAL</v>
          </cell>
        </row>
        <row r="3387">
          <cell r="F3387" t="str">
            <v>GMLM</v>
          </cell>
        </row>
        <row r="3388">
          <cell r="F3388" t="str">
            <v>GMM PFAUDLER</v>
          </cell>
        </row>
        <row r="3389">
          <cell r="F3389" t="str">
            <v>GMR INFRASTR</v>
          </cell>
        </row>
        <row r="3390">
          <cell r="F3390" t="str">
            <v>GNA</v>
          </cell>
        </row>
        <row r="3391">
          <cell r="F3391" t="str">
            <v>GNFC</v>
          </cell>
        </row>
        <row r="3392">
          <cell r="F3392" t="str">
            <v>GOACARBON</v>
          </cell>
        </row>
        <row r="3393">
          <cell r="F3393" t="str">
            <v>GOCLCORP</v>
          </cell>
        </row>
        <row r="3394">
          <cell r="F3394" t="str">
            <v>GODAVARI DRU</v>
          </cell>
        </row>
        <row r="3395">
          <cell r="F3395" t="str">
            <v>GODAWARI POW</v>
          </cell>
        </row>
        <row r="3396">
          <cell r="F3396" t="str">
            <v>GODFREY PH</v>
          </cell>
        </row>
        <row r="3397">
          <cell r="F3397" t="str">
            <v>GODREJ CONS</v>
          </cell>
        </row>
        <row r="3398">
          <cell r="F3398" t="str">
            <v>GODREJAGRO</v>
          </cell>
        </row>
        <row r="3399">
          <cell r="F3399" t="str">
            <v>GODREJIND</v>
          </cell>
        </row>
        <row r="3400">
          <cell r="F3400" t="str">
            <v>GODREJPROP</v>
          </cell>
        </row>
        <row r="3401">
          <cell r="F3401" t="str">
            <v>GOENKA DIAM</v>
          </cell>
        </row>
        <row r="3402">
          <cell r="F3402" t="str">
            <v>GOKAK TEXTI</v>
          </cell>
        </row>
        <row r="3403">
          <cell r="F3403" t="str">
            <v>GOKALDAS</v>
          </cell>
        </row>
        <row r="3404">
          <cell r="F3404" t="str">
            <v>GOKUL</v>
          </cell>
        </row>
        <row r="3405">
          <cell r="F3405" t="str">
            <v>GOKULAGRO</v>
          </cell>
        </row>
        <row r="3406">
          <cell r="F3406" t="str">
            <v>GOLD LINE</v>
          </cell>
        </row>
        <row r="3407">
          <cell r="F3407" t="str">
            <v>GOLDBEES</v>
          </cell>
        </row>
        <row r="3408">
          <cell r="F3408" t="str">
            <v>GOLDCORP</v>
          </cell>
        </row>
        <row r="3409">
          <cell r="F3409" t="str">
            <v>GOLDEN GOEN</v>
          </cell>
        </row>
        <row r="3410">
          <cell r="F3410" t="str">
            <v>GOLDEN LAMIN</v>
          </cell>
        </row>
        <row r="3411">
          <cell r="F3411" t="str">
            <v>GOLDIAM</v>
          </cell>
        </row>
        <row r="3412">
          <cell r="F3412" t="str">
            <v>GOLDINFRA</v>
          </cell>
        </row>
        <row r="3413">
          <cell r="F3413" t="str">
            <v>GOLDIWIN</v>
          </cell>
        </row>
        <row r="3414">
          <cell r="F3414" t="str">
            <v>GOLDSHARE</v>
          </cell>
        </row>
        <row r="3415">
          <cell r="F3415" t="str">
            <v>GOLDTECH</v>
          </cell>
        </row>
        <row r="3416">
          <cell r="F3416" t="str">
            <v>GOLECHA GLOB</v>
          </cell>
        </row>
        <row r="3417">
          <cell r="F3417" t="str">
            <v>GOLKUNDA DIA</v>
          </cell>
        </row>
        <row r="3418">
          <cell r="F3418" t="str">
            <v>GONTER PEIP</v>
          </cell>
        </row>
        <row r="3419">
          <cell r="F3419" t="str">
            <v>GOODLUCK</v>
          </cell>
        </row>
        <row r="3420">
          <cell r="F3420" t="str">
            <v>GOODRICKE</v>
          </cell>
        </row>
        <row r="3421">
          <cell r="F3421" t="str">
            <v>GOODYEAR (I)</v>
          </cell>
        </row>
        <row r="3422">
          <cell r="F3422" t="str">
            <v>GOPALA POLY.</v>
          </cell>
        </row>
        <row r="3423">
          <cell r="F3423" t="str">
            <v>GOTHI PLASCO</v>
          </cell>
        </row>
        <row r="3424">
          <cell r="F3424" t="str">
            <v>GOVIND RUBB.</v>
          </cell>
        </row>
        <row r="3425">
          <cell r="F3425" t="str">
            <v>GOVNOW</v>
          </cell>
        </row>
        <row r="3426">
          <cell r="F3426" t="str">
            <v>GOWRA LEASNG</v>
          </cell>
        </row>
        <row r="3427">
          <cell r="F3427" t="str">
            <v>GPPL</v>
          </cell>
        </row>
        <row r="3428">
          <cell r="F3428" t="str">
            <v>GPTINFRA</v>
          </cell>
        </row>
        <row r="3429">
          <cell r="F3429" t="str">
            <v>GRADIENTE</v>
          </cell>
        </row>
        <row r="3430">
          <cell r="F3430" t="str">
            <v>GRANULES (I)</v>
          </cell>
        </row>
        <row r="3431">
          <cell r="F3431" t="str">
            <v>GRAPHITE</v>
          </cell>
        </row>
        <row r="3432">
          <cell r="F3432" t="str">
            <v>GRASIM</v>
          </cell>
        </row>
        <row r="3433">
          <cell r="F3433" t="str">
            <v>GRATEX INDS.</v>
          </cell>
        </row>
        <row r="3434">
          <cell r="F3434" t="str">
            <v>GRAUER&amp; WEIL</v>
          </cell>
        </row>
        <row r="3435">
          <cell r="F3435" t="str">
            <v>GRAVISS HOSP</v>
          </cell>
        </row>
        <row r="3436">
          <cell r="F3436" t="str">
            <v>GRAVITA</v>
          </cell>
        </row>
        <row r="3437">
          <cell r="F3437" t="str">
            <v>GRAVITY (I)</v>
          </cell>
        </row>
        <row r="3438">
          <cell r="F3438" t="str">
            <v>GREAT EASTE</v>
          </cell>
        </row>
        <row r="3439">
          <cell r="F3439" t="str">
            <v>GREAVES COTT</v>
          </cell>
        </row>
        <row r="3440">
          <cell r="F3440" t="str">
            <v>GREENCREST</v>
          </cell>
        </row>
        <row r="3441">
          <cell r="F3441" t="str">
            <v>GREENLAM</v>
          </cell>
        </row>
        <row r="3442">
          <cell r="F3442" t="str">
            <v>GREENPLY</v>
          </cell>
        </row>
        <row r="3443">
          <cell r="F3443" t="str">
            <v>GREENPOWER</v>
          </cell>
        </row>
        <row r="3444">
          <cell r="F3444" t="str">
            <v>GRIND NORTON</v>
          </cell>
        </row>
        <row r="3445">
          <cell r="F3445" t="str">
            <v>GRM OVERSEAS</v>
          </cell>
        </row>
        <row r="3446">
          <cell r="F3446" t="str">
            <v>GROBTEA</v>
          </cell>
        </row>
        <row r="3447">
          <cell r="F3447" t="str">
            <v>GRPLTD</v>
          </cell>
        </row>
        <row r="3448">
          <cell r="F3448" t="str">
            <v>GRUH FINANCE</v>
          </cell>
        </row>
        <row r="3449">
          <cell r="F3449" t="str">
            <v>GSB FINANCE</v>
          </cell>
        </row>
        <row r="3450">
          <cell r="F3450" t="str">
            <v>GSFC</v>
          </cell>
        </row>
        <row r="3451">
          <cell r="F3451" t="str">
            <v>GSKCONS</v>
          </cell>
        </row>
        <row r="3452">
          <cell r="F3452" t="str">
            <v>GSPL</v>
          </cell>
        </row>
        <row r="3453">
          <cell r="F3453" t="str">
            <v>GSS INFOTECH</v>
          </cell>
        </row>
        <row r="3454">
          <cell r="F3454" t="str">
            <v>GSTL</v>
          </cell>
        </row>
        <row r="3455">
          <cell r="F3455" t="str">
            <v>GTL</v>
          </cell>
        </row>
        <row r="3456">
          <cell r="F3456" t="str">
            <v>GTL INFRAST</v>
          </cell>
        </row>
        <row r="3457">
          <cell r="F3457" t="str">
            <v>GTN INDUS</v>
          </cell>
        </row>
        <row r="3458">
          <cell r="F3458" t="str">
            <v>GTN TEXTILE</v>
          </cell>
        </row>
        <row r="3459">
          <cell r="F3459" t="str">
            <v>GTPL</v>
          </cell>
        </row>
        <row r="3460">
          <cell r="F3460" t="str">
            <v>GTV</v>
          </cell>
        </row>
        <row r="3461">
          <cell r="F3461" t="str">
            <v>GUFICBIO</v>
          </cell>
        </row>
        <row r="3462">
          <cell r="F3462" t="str">
            <v>GUJ APOIND</v>
          </cell>
        </row>
        <row r="3463">
          <cell r="F3463" t="str">
            <v>GUJ.AUTO GE</v>
          </cell>
        </row>
        <row r="3464">
          <cell r="F3464" t="str">
            <v>GUJ.BOROSIL</v>
          </cell>
        </row>
        <row r="3465">
          <cell r="F3465" t="str">
            <v>GUJ.CONTAIN.</v>
          </cell>
        </row>
        <row r="3466">
          <cell r="F3466" t="str">
            <v>GUJ.CRAFT IN</v>
          </cell>
        </row>
        <row r="3467">
          <cell r="F3467" t="str">
            <v>GUJ.FLOURO</v>
          </cell>
        </row>
        <row r="3468">
          <cell r="F3468" t="str">
            <v>GUJ.FOILS</v>
          </cell>
        </row>
        <row r="3469">
          <cell r="F3469" t="str">
            <v>GUJ.HOTELS</v>
          </cell>
        </row>
        <row r="3470">
          <cell r="F3470" t="str">
            <v>GUJ.IND.POW.</v>
          </cell>
        </row>
        <row r="3471">
          <cell r="F3471" t="str">
            <v>GUJ.INTRUX</v>
          </cell>
        </row>
        <row r="3472">
          <cell r="F3472" t="str">
            <v>GUJ.INVESTA</v>
          </cell>
        </row>
        <row r="3473">
          <cell r="F3473" t="str">
            <v>GUJ.NRE COKE</v>
          </cell>
        </row>
        <row r="3474">
          <cell r="F3474" t="str">
            <v>GUJ.PETRO</v>
          </cell>
        </row>
        <row r="3475">
          <cell r="F3475" t="str">
            <v>GUJ.SIDH.CEM</v>
          </cell>
        </row>
        <row r="3476">
          <cell r="F3476" t="str">
            <v>GUJ.TERC LAB</v>
          </cell>
        </row>
        <row r="3477">
          <cell r="F3477" t="str">
            <v>GUJ.THEMIS.</v>
          </cell>
        </row>
        <row r="3478">
          <cell r="F3478" t="str">
            <v>GUJALKALI</v>
          </cell>
        </row>
        <row r="3479">
          <cell r="F3479" t="str">
            <v>GUJARATPOLY</v>
          </cell>
        </row>
        <row r="3480">
          <cell r="F3480" t="str">
            <v>GUJGASLTD</v>
          </cell>
        </row>
        <row r="3481">
          <cell r="F3481" t="str">
            <v>GUJNREDVR</v>
          </cell>
        </row>
        <row r="3482">
          <cell r="F3482" t="str">
            <v>GUJRAFFIA</v>
          </cell>
        </row>
        <row r="3483">
          <cell r="F3483" t="str">
            <v>GULFOIL LUB</v>
          </cell>
        </row>
        <row r="3484">
          <cell r="F3484" t="str">
            <v>GULFPETRO</v>
          </cell>
        </row>
        <row r="3485">
          <cell r="F3485" t="str">
            <v>GULPOLY</v>
          </cell>
        </row>
        <row r="3486">
          <cell r="F3486" t="str">
            <v>GULSHAN CHEM</v>
          </cell>
        </row>
        <row r="3487">
          <cell r="F3487" t="str">
            <v>GVK POWERINF</v>
          </cell>
        </row>
        <row r="3488">
          <cell r="F3488" t="str">
            <v>GYSCOAL</v>
          </cell>
        </row>
        <row r="3489">
          <cell r="F3489" t="str">
            <v>H.P.COTTON</v>
          </cell>
        </row>
        <row r="3490">
          <cell r="F3490" t="str">
            <v>H.S.(I) LTD.</v>
          </cell>
        </row>
        <row r="3491">
          <cell r="F3491" t="str">
            <v>H1190M36RG</v>
          </cell>
        </row>
        <row r="3492">
          <cell r="F3492" t="str">
            <v>HALDYN GLASS</v>
          </cell>
        </row>
        <row r="3493">
          <cell r="F3493" t="str">
            <v>HANUNG</v>
          </cell>
        </row>
        <row r="3494">
          <cell r="F3494" t="str">
            <v>HAR.LEATHER</v>
          </cell>
        </row>
        <row r="3495">
          <cell r="F3495" t="str">
            <v>HARDCASTLE</v>
          </cell>
        </row>
        <row r="3496">
          <cell r="F3496" t="str">
            <v>HARIA APL</v>
          </cell>
        </row>
        <row r="3497">
          <cell r="F3497" t="str">
            <v>HARITASEAT</v>
          </cell>
        </row>
        <row r="3498">
          <cell r="F3498" t="str">
            <v>HARIYANA SH.</v>
          </cell>
        </row>
        <row r="3499">
          <cell r="F3499" t="str">
            <v>HARRMALAYA</v>
          </cell>
        </row>
        <row r="3500">
          <cell r="F3500" t="str">
            <v>HARYA CAPFIN</v>
          </cell>
        </row>
        <row r="3501">
          <cell r="F3501" t="str">
            <v>HATHWAY CAB</v>
          </cell>
        </row>
        <row r="3502">
          <cell r="F3502" t="str">
            <v>HATSUN</v>
          </cell>
        </row>
        <row r="3503">
          <cell r="F3503" t="str">
            <v>HAVELLS</v>
          </cell>
        </row>
        <row r="3504">
          <cell r="F3504" t="str">
            <v>HAWAENG</v>
          </cell>
        </row>
        <row r="3505">
          <cell r="F3505" t="str">
            <v>HAWKINS COOK</v>
          </cell>
        </row>
        <row r="3506">
          <cell r="F3506" t="str">
            <v>HB ESTATE DE</v>
          </cell>
        </row>
        <row r="3507">
          <cell r="F3507" t="str">
            <v>HB PORTFOLIO</v>
          </cell>
        </row>
        <row r="3508">
          <cell r="F3508" t="str">
            <v>HBLPOWER</v>
          </cell>
        </row>
        <row r="3509">
          <cell r="F3509" t="str">
            <v>HBSTOCK</v>
          </cell>
        </row>
        <row r="3510">
          <cell r="F3510" t="str">
            <v>HCC</v>
          </cell>
        </row>
        <row r="3511">
          <cell r="F3511" t="str">
            <v>HCG</v>
          </cell>
        </row>
        <row r="3512">
          <cell r="F3512" t="str">
            <v>HCL INFOSYS</v>
          </cell>
        </row>
        <row r="3513">
          <cell r="F3513" t="str">
            <v>HCLTECH</v>
          </cell>
        </row>
        <row r="3514">
          <cell r="F3514" t="str">
            <v>HDFC</v>
          </cell>
        </row>
        <row r="3515">
          <cell r="F3515" t="str">
            <v>HDFC2</v>
          </cell>
        </row>
        <row r="3516">
          <cell r="F3516" t="str">
            <v>HDFC  Long Term Advantage Fund - Dividend Option</v>
          </cell>
        </row>
        <row r="3517">
          <cell r="F3517" t="str">
            <v>HDFC  Long Term Advantage Fund - Growth Option</v>
          </cell>
        </row>
        <row r="3518">
          <cell r="F3518" t="str">
            <v>HDFC Annual Interval Fund - Series I - Plan A-Direct Option-Dividend Option</v>
          </cell>
        </row>
        <row r="3519">
          <cell r="F3519" t="str">
            <v>HDFC Annual Interval Fund - Series I - Plan A-Direct Option-Growth Option</v>
          </cell>
        </row>
        <row r="3520">
          <cell r="F3520" t="str">
            <v>HDFC Annual Interval Fund - Series I - Plan A-Regular Option-Dividend Option</v>
          </cell>
        </row>
        <row r="3521">
          <cell r="F3521" t="str">
            <v>HDFC Annual Interval Fund - Series I - Plan A-Regular Option-Growth Option</v>
          </cell>
        </row>
        <row r="3522">
          <cell r="F3522" t="str">
            <v>HDFC Arbitrage Fund -Direct Plan - Growth Option</v>
          </cell>
        </row>
        <row r="3523">
          <cell r="F3523" t="str">
            <v>HDFC Arbitrage Fund Retail Plan Dividend Option</v>
          </cell>
        </row>
        <row r="3524">
          <cell r="F3524" t="str">
            <v>HDFC Arbitrage Fund Retail Plan Growth Option</v>
          </cell>
        </row>
        <row r="3525">
          <cell r="F3525" t="str">
            <v>HDFC Arbitrage Fund Retail Plan Quarterly Dividend Option</v>
          </cell>
        </row>
        <row r="3526">
          <cell r="F3526" t="str">
            <v>HDFC Arbitrage Fund Wholesale Plan Dividend Option Direct Plan</v>
          </cell>
        </row>
        <row r="3527">
          <cell r="F3527" t="str">
            <v>HDFC Arbitrage Fund Wholesale Plan Growth Option</v>
          </cell>
        </row>
        <row r="3528">
          <cell r="F3528" t="str">
            <v>HDFC Arbitrage Fund Wholesale Plan Growth Option Direct Plan</v>
          </cell>
        </row>
        <row r="3529">
          <cell r="F3529" t="str">
            <v>HDFC Arbitrage Fund Wholesale Plan Monthly Dividend Option</v>
          </cell>
        </row>
        <row r="3530">
          <cell r="F3530" t="str">
            <v>HDFC Arbitrage Fund Wholesale Plan Montly Dividend Option Direct Plan</v>
          </cell>
        </row>
        <row r="3531">
          <cell r="F3531" t="str">
            <v>HDFC Arbitrage Fund Wholesale Plan Normal Dividend Option</v>
          </cell>
        </row>
        <row r="3532">
          <cell r="F3532" t="str">
            <v>HDFC Arbitrage Fund-Direct Plan - Dividend Quarterly Option</v>
          </cell>
        </row>
        <row r="3533">
          <cell r="F3533" t="str">
            <v>HDFC Balance Advantage Fund - Dividend Option</v>
          </cell>
        </row>
        <row r="3534">
          <cell r="F3534" t="str">
            <v>HDFC Balance Advantage Fund - Growth Option</v>
          </cell>
        </row>
        <row r="3535">
          <cell r="F3535" t="str">
            <v>HDFC Balance Advantage Fund -Direct Plan - Dividend Option</v>
          </cell>
        </row>
        <row r="3536">
          <cell r="F3536" t="str">
            <v>HDFC Balance Advantage Fund -Direct Plan - Growth Option</v>
          </cell>
        </row>
        <row r="3537">
          <cell r="F3537" t="str">
            <v>HDFC Balanced Fund - Dividend Option</v>
          </cell>
        </row>
        <row r="3538">
          <cell r="F3538" t="str">
            <v>HDFC Balanced Fund - Growth Option</v>
          </cell>
        </row>
        <row r="3539">
          <cell r="F3539" t="str">
            <v>HDFC Balanced Fund -Direct Plan - Dividend Option</v>
          </cell>
        </row>
        <row r="3540">
          <cell r="F3540" t="str">
            <v>HDFC Balanced Fund -Direct Plan - Growth Option</v>
          </cell>
        </row>
        <row r="3541">
          <cell r="F3541" t="str">
            <v>HDFC BANK</v>
          </cell>
        </row>
        <row r="3542">
          <cell r="F3542" t="str">
            <v>HDFC Banking and PSU Debt Fund - Direct Plan - Dividend Option</v>
          </cell>
        </row>
        <row r="3543">
          <cell r="F3543" t="str">
            <v>HDFC Banking and PSU Debt Fund - Direct Plan - Growth Option</v>
          </cell>
        </row>
        <row r="3544">
          <cell r="F3544" t="str">
            <v>HDFC Banking and PSU Debt Fund - Regular Plan - Dividend Option</v>
          </cell>
        </row>
        <row r="3545">
          <cell r="F3545" t="str">
            <v>HDFC Banking and PSU Debt Fund - Regular Plan - Growth Option</v>
          </cell>
        </row>
        <row r="3546">
          <cell r="F3546" t="str">
            <v>HDFC Capital Builder Value Fund - Dividend Option</v>
          </cell>
        </row>
        <row r="3547">
          <cell r="F3547" t="str">
            <v>HDFC Capital Builder Value Fund - Growth Option</v>
          </cell>
        </row>
        <row r="3548">
          <cell r="F3548" t="str">
            <v>HDFC Capital Builder Value Fund -Direct Plan - Dividend Option</v>
          </cell>
        </row>
        <row r="3549">
          <cell r="F3549" t="str">
            <v>HDFC Capital Builder Value Fund -Direct Plan - Growth Option</v>
          </cell>
        </row>
        <row r="3550">
          <cell r="F3550" t="str">
            <v>HDFC Charity Fund For Cancer Cure - Arbitrage Plan - Direct Option - 100% Dividend Payout Option</v>
          </cell>
        </row>
        <row r="3551">
          <cell r="F3551" t="str">
            <v>HDFC Charity Fund For Cancer Cure - Arbitrage Plan - Direct Option - 50% Dividend Payout Option</v>
          </cell>
        </row>
        <row r="3552">
          <cell r="F3552" t="str">
            <v>HDFC Charity Fund For Cancer Cure - Arbitrage Plan - Regular Option - 100% Dividend Payout Option</v>
          </cell>
        </row>
        <row r="3553">
          <cell r="F3553" t="str">
            <v>HDFC Charity Fund For Cancer Cure - Arbitrage Plan - Regular Option - 50% Dividend Payout Option</v>
          </cell>
        </row>
        <row r="3554">
          <cell r="F3554" t="str">
            <v>HDFC Charity Fund For Cancer Cure - Debt Plan - Direct Option - 100% Dividend Payout Option</v>
          </cell>
        </row>
        <row r="3555">
          <cell r="F3555" t="str">
            <v>HDFC Charity Fund For Cancer Cure - Debt Plan - Direct Option - 50% Dividend Payout Option</v>
          </cell>
        </row>
        <row r="3556">
          <cell r="F3556" t="str">
            <v>HDFC Charity Fund For Cancer Cure - Debt Plan - Regular Option - 100% Dividend Payout Option</v>
          </cell>
        </row>
        <row r="3557">
          <cell r="F3557" t="str">
            <v>HDFC Charity Fund For Cancer Cure - Debt Plan - Regular Option - 50% Dividend Payout Option</v>
          </cell>
        </row>
        <row r="3558">
          <cell r="F3558" t="str">
            <v>HDFC Children Gift Fund-Investment</v>
          </cell>
        </row>
        <row r="3559">
          <cell r="F3559" t="str">
            <v>HDFC Childrens Gift Fund Investment Plan-Direct Plan</v>
          </cell>
        </row>
        <row r="3560">
          <cell r="F3560" t="str">
            <v>HDFC Corporate Bond Fund - Direct Option - Normal Dividend Option</v>
          </cell>
        </row>
        <row r="3561">
          <cell r="F3561" t="str">
            <v>HDFC Corporate Bond Fund - Growth Option</v>
          </cell>
        </row>
        <row r="3562">
          <cell r="F3562" t="str">
            <v>HDFC Corporate Bond Fund - Quarterly Dividend Option</v>
          </cell>
        </row>
        <row r="3563">
          <cell r="F3563" t="str">
            <v>HDFC Corporate Bond Fund - Regular Option - Normal Dividend Option</v>
          </cell>
        </row>
        <row r="3564">
          <cell r="F3564" t="str">
            <v>HDFC Corporate Bond Fund -Direct Plan - Growth Option</v>
          </cell>
        </row>
        <row r="3565">
          <cell r="F3565" t="str">
            <v>HDFC Corporate Bond Fund -Direct Plan - Quarterly Dividend Option</v>
          </cell>
        </row>
        <row r="3566">
          <cell r="F3566" t="str">
            <v>HDFC CPO - III - 1173D January 2015 - Direct Option - Dividend Option</v>
          </cell>
        </row>
        <row r="3567">
          <cell r="F3567" t="str">
            <v>HDFC CPO - III - 1173D January 2015 - Direct Option - Growth Option</v>
          </cell>
        </row>
        <row r="3568">
          <cell r="F3568" t="str">
            <v>HDFC CPO - III - 1173D January 2015 - Regular Option - Dividend Option</v>
          </cell>
        </row>
        <row r="3569">
          <cell r="F3569" t="str">
            <v>HDFC CPO - III - 1173D January 2015 - Regular Option - Growth Option</v>
          </cell>
        </row>
        <row r="3570">
          <cell r="F3570" t="str">
            <v>HDFC CPO - III - 1207D December 2014 - Direct Option - Dividend Option</v>
          </cell>
        </row>
        <row r="3571">
          <cell r="F3571" t="str">
            <v>HDFC CPO - III - 1207D December 2014 - Direct Option - Growth Option</v>
          </cell>
        </row>
        <row r="3572">
          <cell r="F3572" t="str">
            <v>HDFC CPO - III - 1207D December 2014 - Regular Option - Dividend Option</v>
          </cell>
        </row>
        <row r="3573">
          <cell r="F3573" t="str">
            <v>HDFC CPO - III - 1207D December 2014 - Regular Option - Growth Option</v>
          </cell>
        </row>
        <row r="3574">
          <cell r="F3574" t="str">
            <v>HDFC Credit Risk Debt Fund - Direct Option - Growth Option</v>
          </cell>
        </row>
        <row r="3575">
          <cell r="F3575" t="str">
            <v>HDFC Credit Risk Debt Fund - Direct Option - Normal Dividend Option</v>
          </cell>
        </row>
        <row r="3576">
          <cell r="F3576" t="str">
            <v>HDFC Credit Risk Debt Fund - Direct Plan - Quarterly Dividend Option</v>
          </cell>
        </row>
        <row r="3577">
          <cell r="F3577" t="str">
            <v>HDFC Credit Risk Debt Fund - Growth Option</v>
          </cell>
        </row>
        <row r="3578">
          <cell r="F3578" t="str">
            <v>HDFC Credit Risk Debt Fund - Regular Option - Normal Dividend Option</v>
          </cell>
        </row>
        <row r="3579">
          <cell r="F3579" t="str">
            <v>HDFC Credit Risk Debt Fund - Regular Plan - Quarterly Dividend Option</v>
          </cell>
        </row>
        <row r="3580">
          <cell r="F3580" t="str">
            <v>HDFC DAF - I - 1100D August 2015 - Direct Option - Dividend Option</v>
          </cell>
        </row>
        <row r="3581">
          <cell r="F3581" t="str">
            <v>HDFC DAF - I - 1100D August 2015 - Direct Option - Growth Option</v>
          </cell>
        </row>
        <row r="3582">
          <cell r="F3582" t="str">
            <v>HDFC DAF - I - 1100D August 2015 - Regular Option - Dividend Option</v>
          </cell>
        </row>
        <row r="3583">
          <cell r="F3583" t="str">
            <v>HDFC DAF - I - 1100D August 2015 - Regular Option - Growth Option</v>
          </cell>
        </row>
        <row r="3584">
          <cell r="F3584" t="str">
            <v>HDFC DAF - II - 1099D March 2016 - Direct Option - Dividend Option</v>
          </cell>
        </row>
        <row r="3585">
          <cell r="F3585" t="str">
            <v>HDFC DAF - II - 1099D March 2016 - Direct Option - Growth Option</v>
          </cell>
        </row>
        <row r="3586">
          <cell r="F3586" t="str">
            <v>HDFC DAF - II - 1099D March 2016 - Regular Option - Divided Option</v>
          </cell>
        </row>
        <row r="3587">
          <cell r="F3587" t="str">
            <v>HDFC DAF - II - 1099D March 2016 - Regular Option - Growth Option</v>
          </cell>
        </row>
        <row r="3588">
          <cell r="F3588" t="str">
            <v>HDFC DAF - II - 1111D April 2016 - Direct Option - Dividend option</v>
          </cell>
        </row>
        <row r="3589">
          <cell r="F3589" t="str">
            <v>HDFC DAF - II - 1111D April 2016 - Direct Option - Growth option</v>
          </cell>
        </row>
        <row r="3590">
          <cell r="F3590" t="str">
            <v>HDFC DAF - II - 1111D April 2016 - Regular Option - Dividend option</v>
          </cell>
        </row>
        <row r="3591">
          <cell r="F3591" t="str">
            <v>HDFC DAF - II - 1111D April 2016 - Regular Option - Growth option</v>
          </cell>
        </row>
        <row r="3592">
          <cell r="F3592" t="str">
            <v>HDFC DAF - II - 1160D January 2016 - Direct Option - Dividend Option</v>
          </cell>
        </row>
        <row r="3593">
          <cell r="F3593" t="str">
            <v>HDFC DAF - II - 1160D January 2016 - Direct Option - Growth Option</v>
          </cell>
        </row>
        <row r="3594">
          <cell r="F3594" t="str">
            <v>HDFC DAF - II - 1160D January 2016 - Regular Option - Dividend Option</v>
          </cell>
        </row>
        <row r="3595">
          <cell r="F3595" t="str">
            <v>HDFC DAF - II - 1160D January 2016 - Regular Option - Growth Option</v>
          </cell>
        </row>
        <row r="3596">
          <cell r="F3596" t="str">
            <v>HDFC DAF - III - 1224D November 2016 - Direct Option -  Dividend Option</v>
          </cell>
        </row>
        <row r="3597">
          <cell r="F3597" t="str">
            <v>HDFC DAF - III - 1224D November 2016 - Direct Option - Growth Option</v>
          </cell>
        </row>
        <row r="3598">
          <cell r="F3598" t="str">
            <v>HDFC DAF - III - 1224D November 2016 - Regular Option -  Dividend Option</v>
          </cell>
        </row>
        <row r="3599">
          <cell r="F3599" t="str">
            <v>HDFC DAF - III - 1224D November 2016 - Regular Option -  Growth Option</v>
          </cell>
        </row>
        <row r="3600">
          <cell r="F3600" t="str">
            <v>HDFC DAF - III - 1267D October 2016 - Direct Option -  Dividend Option</v>
          </cell>
        </row>
        <row r="3601">
          <cell r="F3601" t="str">
            <v>HDFC DAF - III - 1267D October 2016 - Direct Option - Growth Option</v>
          </cell>
        </row>
        <row r="3602">
          <cell r="F3602" t="str">
            <v>HDFC DAF - III - 1267D October 2016 - Regular Option -  Dividend Option</v>
          </cell>
        </row>
        <row r="3603">
          <cell r="F3603" t="str">
            <v>HDFC DAF - III - 1267D October 2016 - Regular Option - Growth Option</v>
          </cell>
        </row>
        <row r="3604">
          <cell r="F3604" t="str">
            <v>HDFC DAF - lll - 1304D August 2016 - Direct Option - Dividend Option</v>
          </cell>
        </row>
        <row r="3605">
          <cell r="F3605" t="str">
            <v>HDFC DAF - lll - 1304D August 2016 - Direct Option - Growth Option</v>
          </cell>
        </row>
        <row r="3606">
          <cell r="F3606" t="str">
            <v>HDFC DAF - lll - 1304D August 2016 - Regular Option - Dividend Option</v>
          </cell>
        </row>
        <row r="3607">
          <cell r="F3607" t="str">
            <v>HDFC DAF - lll - 1304D August 2016 - Regular Option - Growth Option</v>
          </cell>
        </row>
        <row r="3608">
          <cell r="F3608" t="str">
            <v>HDFC Dynamic Debt Fund - Growth Option</v>
          </cell>
        </row>
        <row r="3609">
          <cell r="F3609" t="str">
            <v>HDFC Dynamic Debt Fund - Growth Option - Direct Plan</v>
          </cell>
        </row>
        <row r="3610">
          <cell r="F3610" t="str">
            <v>HDFC Dynamic Debt Fund - Half Yearly Dividend - Direct Plan</v>
          </cell>
        </row>
        <row r="3611">
          <cell r="F3611" t="str">
            <v>HDFC Dynamic Debt Fund - Half Yearly Dividend Option</v>
          </cell>
        </row>
        <row r="3612">
          <cell r="F3612" t="str">
            <v>HDFC Dynamic Debt Fund - Normal Dividend - Direct Plan</v>
          </cell>
        </row>
        <row r="3613">
          <cell r="F3613" t="str">
            <v>HDFC Dynamic Debt Fund - Normal Dividend Option</v>
          </cell>
        </row>
        <row r="3614">
          <cell r="F3614" t="str">
            <v>HDFC Dynamic Debt Fund - Quarterly Dividend - Direct Plan</v>
          </cell>
        </row>
        <row r="3615">
          <cell r="F3615" t="str">
            <v>HDFC Dynamic Debt Fund - Yearly Dividend - Direct Plan</v>
          </cell>
        </row>
        <row r="3616">
          <cell r="F3616" t="str">
            <v>HDFC Dynamic Debt Fund - Yearly Dividend Option</v>
          </cell>
        </row>
        <row r="3617">
          <cell r="F3617" t="str">
            <v>HDFC Dynamic Debt Fund -Quarterly Dividend Option</v>
          </cell>
        </row>
        <row r="3618">
          <cell r="F3618" t="str">
            <v>HDFC Dynamic PE Ratio Fund of Funds - Direct Dividend</v>
          </cell>
        </row>
        <row r="3619">
          <cell r="F3619" t="str">
            <v>HDFC Dynamic PE Ratio Fund of Funds - Direct Growth</v>
          </cell>
        </row>
        <row r="3620">
          <cell r="F3620" t="str">
            <v>HDFC Dynamic PE Ratio Fund of Funds - Regular Dividend</v>
          </cell>
        </row>
        <row r="3621">
          <cell r="F3621" t="str">
            <v>HDFC Dynamic PE Ratio Fund of Funds - Regular Growth</v>
          </cell>
        </row>
        <row r="3622">
          <cell r="F3622" t="str">
            <v>HDFC EOF - II - 1100D June 2017 (1) - Direct Option - Dividend Option</v>
          </cell>
        </row>
        <row r="3623">
          <cell r="F3623" t="str">
            <v>HDFC EOF - II - 1100D June 2017 (1) - Direct Option - Growth Option</v>
          </cell>
        </row>
        <row r="3624">
          <cell r="F3624" t="str">
            <v>HDFC EOF - II - 1100D June 2017 (1) - Regular Option - Dividend Option</v>
          </cell>
        </row>
        <row r="3625">
          <cell r="F3625" t="str">
            <v>HDFC EOF - II - 1100D June 2017 (1) - Regular Option - Growth Option</v>
          </cell>
        </row>
        <row r="3626">
          <cell r="F3626" t="str">
            <v>HDFC EOF - II - 1126D May 2017 (1) -  Direct Option - Growth Option</v>
          </cell>
        </row>
        <row r="3627">
          <cell r="F3627" t="str">
            <v>HDFC EOF - II - 1126D May 2017 (1) - Direct Option - Dividend Option</v>
          </cell>
        </row>
        <row r="3628">
          <cell r="F3628" t="str">
            <v>HDFC EOF - II - 1126D May 2017 (1) - Regular Option - Dividend Option</v>
          </cell>
        </row>
        <row r="3629">
          <cell r="F3629" t="str">
            <v>HDFC EOF - II - 1126D May 2017 (1) - Regular Option - Growth Option</v>
          </cell>
        </row>
        <row r="3630">
          <cell r="F3630" t="str">
            <v>HDFC Equity Fund - Dividend Option</v>
          </cell>
        </row>
        <row r="3631">
          <cell r="F3631" t="str">
            <v>HDFC Equity Fund - Growth Option</v>
          </cell>
        </row>
        <row r="3632">
          <cell r="F3632" t="str">
            <v>HDFC Equity Fund -Direct Plan - Dividend Option</v>
          </cell>
        </row>
        <row r="3633">
          <cell r="F3633" t="str">
            <v>HDFC Equity Fund -Direct Plan - Growth Option</v>
          </cell>
        </row>
        <row r="3634">
          <cell r="F3634" t="str">
            <v>HDFC Equity Savings Fund - DIVIDEND</v>
          </cell>
        </row>
        <row r="3635">
          <cell r="F3635" t="str">
            <v>HDFC Equity Savings Fund -Direct Plan - Dividend Option</v>
          </cell>
        </row>
        <row r="3636">
          <cell r="F3636" t="str">
            <v>HDFC Equity Savings Fund -Direct Plan - Growth Option</v>
          </cell>
        </row>
        <row r="3637">
          <cell r="F3637" t="str">
            <v>HDFC Equity Savings Fund -GROWTH</v>
          </cell>
        </row>
        <row r="3638">
          <cell r="F3638" t="str">
            <v>HDFC Floating Rate Debt Fund - Direct Plan - Daily Div</v>
          </cell>
        </row>
        <row r="3639">
          <cell r="F3639" t="str">
            <v>HDFC Floating Rate Debt Fund - Direct Plan - Growth Option</v>
          </cell>
        </row>
        <row r="3640">
          <cell r="F3640" t="str">
            <v>HDFC Floating Rate Debt Fund - Direct Plan - Monthly Div</v>
          </cell>
        </row>
        <row r="3641">
          <cell r="F3641" t="str">
            <v>HDFC Floating Rate Debt Fund - Direct Plan - Weekly Div</v>
          </cell>
        </row>
        <row r="3642">
          <cell r="F3642" t="str">
            <v>HDFC Floating Rate Debt Fund - Retail Daily Div Option</v>
          </cell>
        </row>
        <row r="3643">
          <cell r="F3643" t="str">
            <v>HDFC Floating Rate Debt Fund - Retail Growth Option</v>
          </cell>
        </row>
        <row r="3644">
          <cell r="F3644" t="str">
            <v>HDFC Floating Rate Debt Fund - Retail Monthly Div option</v>
          </cell>
        </row>
        <row r="3645">
          <cell r="F3645" t="str">
            <v>HDFC Floating Rate Debt Fund - Retail Weekly Div Option</v>
          </cell>
        </row>
        <row r="3646">
          <cell r="F3646" t="str">
            <v>HDFC Floating Rate Debt Fund - Wholesale Daily Div Option</v>
          </cell>
        </row>
        <row r="3647">
          <cell r="F3647" t="str">
            <v>HDFC Floating Rate Debt Fund - Wholesale Growth Option</v>
          </cell>
        </row>
        <row r="3648">
          <cell r="F3648" t="str">
            <v>HDFC Floating Rate Debt Fund - Wholesale Monthly Div Option</v>
          </cell>
        </row>
        <row r="3649">
          <cell r="F3649" t="str">
            <v>HDFC Floating Rate Debt Fund - Wholesale Weekly Div Option</v>
          </cell>
        </row>
        <row r="3650">
          <cell r="F3650" t="str">
            <v>HDFC Floating Rate Income Fund - Direct Plan - Normal Dividend Option</v>
          </cell>
        </row>
        <row r="3651">
          <cell r="F3651" t="str">
            <v>HDFC Floating Rate Income Fund - Regular Plan - Normal Dividend Option</v>
          </cell>
        </row>
        <row r="3652">
          <cell r="F3652" t="str">
            <v>HDFC Floating Rate Income Fund Long -Direct Plan - Growth Option</v>
          </cell>
        </row>
        <row r="3653">
          <cell r="F3653" t="str">
            <v>HDFC Floating Rate Income Fund Long -Direct Plan - Weekly Dividend Option</v>
          </cell>
        </row>
        <row r="3654">
          <cell r="F3654" t="str">
            <v>HDFC Floating Rate Income Fund-Long Term Plan-GROWTH</v>
          </cell>
        </row>
        <row r="3655">
          <cell r="F3655" t="str">
            <v>HDFC Floating Rate Income Fund-Long Term Plan-Weekly Dividend Option</v>
          </cell>
        </row>
        <row r="3656">
          <cell r="F3656" t="str">
            <v>HDFC FMP 1104D April 2016 (1) - Direct Option-Dividend Option</v>
          </cell>
        </row>
        <row r="3657">
          <cell r="F3657" t="str">
            <v>HDFC FMP 1104D April 2016 (1) - Direct Option-Growth Option</v>
          </cell>
        </row>
        <row r="3658">
          <cell r="F3658" t="str">
            <v>HDFC FMP 1104D April 2016 (1) - Direct Option-Quarterly Dividend Option</v>
          </cell>
        </row>
        <row r="3659">
          <cell r="F3659" t="str">
            <v>HDFC FMP 1104D April 2016 (1) - Regular Option- Dividend Option</v>
          </cell>
        </row>
        <row r="3660">
          <cell r="F3660" t="str">
            <v>HDFC FMP 1104D April 2016 (1) - Regular Option-Growth Option</v>
          </cell>
        </row>
        <row r="3661">
          <cell r="F3661" t="str">
            <v>HDFC FMP 1104D April 2016 (1) - Regular Option-Quarterly Dividend Option</v>
          </cell>
        </row>
        <row r="3662">
          <cell r="F3662" t="str">
            <v>HDFC FMP 1105D December 2015 (1) - Direct Option - Dividend Option</v>
          </cell>
        </row>
        <row r="3663">
          <cell r="F3663" t="str">
            <v>HDFC FMP 1105D December 2015 (1) - Direct Option - Growth Option</v>
          </cell>
        </row>
        <row r="3664">
          <cell r="F3664" t="str">
            <v>HDFC FMP 1105D December 2015 (1) - Direct Option - Quarterly Dividend Option</v>
          </cell>
        </row>
        <row r="3665">
          <cell r="F3665" t="str">
            <v>HDFC FMP 1105D December 2015 (1) - Regular Option - Dividend Option</v>
          </cell>
        </row>
        <row r="3666">
          <cell r="F3666" t="str">
            <v>HDFC FMP 1105D December 2015 (1) - Regular Option - Growth Option</v>
          </cell>
        </row>
        <row r="3667">
          <cell r="F3667" t="str">
            <v>HDFC FMP 1105D December 2015 (1) - Regular Option - Quarterly Dividend Option</v>
          </cell>
        </row>
        <row r="3668">
          <cell r="F3668" t="str">
            <v>HDFC FMP 1105D October 2015 (1)-Direct Option-Dividend Option</v>
          </cell>
        </row>
        <row r="3669">
          <cell r="F3669" t="str">
            <v>HDFC FMP 1105D October 2015 (1)-Direct Option-Growth Option</v>
          </cell>
        </row>
        <row r="3670">
          <cell r="F3670" t="str">
            <v>HDFC FMP 1105D October 2015 (1)-Direct Option-Quarterly Dividend Option</v>
          </cell>
        </row>
        <row r="3671">
          <cell r="F3671" t="str">
            <v>HDFC FMP 1105D October 2015 (1)-Regular Option-Dividend Option</v>
          </cell>
        </row>
        <row r="3672">
          <cell r="F3672" t="str">
            <v>HDFC FMP 1105D October 2015 (1)-Regular Option-Growth Option</v>
          </cell>
        </row>
        <row r="3673">
          <cell r="F3673" t="str">
            <v>HDFC FMP 1105D October 2015 (1)-Regular Option-Quarterly Dividend Option</v>
          </cell>
        </row>
        <row r="3674">
          <cell r="F3674" t="str">
            <v>HDFC FMP 1106D May 2015 (1)- Direct Option-Dividend Option</v>
          </cell>
        </row>
        <row r="3675">
          <cell r="F3675" t="str">
            <v>HDFC FMP 1106D May 2015 (1)-Direct Option-Flexi Option</v>
          </cell>
        </row>
        <row r="3676">
          <cell r="F3676" t="str">
            <v>HDFC FMP 1106D May 2015 (1)-Direct Option-Growth Option</v>
          </cell>
        </row>
        <row r="3677">
          <cell r="F3677" t="str">
            <v>HDFC FMP 1106D May 2015 (1)-Direct Option-Quarterly Dividend Option</v>
          </cell>
        </row>
        <row r="3678">
          <cell r="F3678" t="str">
            <v>HDFC FMP 1106D May 2015 (1)-Regular Option-Dividend Option</v>
          </cell>
        </row>
        <row r="3679">
          <cell r="F3679" t="str">
            <v>HDFC FMP 1106D May 2015 (1)-Regular Option-Flexi Option</v>
          </cell>
        </row>
        <row r="3680">
          <cell r="F3680" t="str">
            <v>HDFC FMP 1106D May 2015 (1)-Regular Option-Growth Option</v>
          </cell>
        </row>
        <row r="3681">
          <cell r="F3681" t="str">
            <v>HDFC FMP 1106D May 2015 (1)-Regular Option-Quarterly Dividend Option</v>
          </cell>
        </row>
        <row r="3682">
          <cell r="F3682" t="str">
            <v>HDFC FMP 1107D March 2016 (1) - Direct Option - Dividend Option</v>
          </cell>
        </row>
        <row r="3683">
          <cell r="F3683" t="str">
            <v>HDFC FMP 1107D March 2016 (1) - Direct Option - Growth Option</v>
          </cell>
        </row>
        <row r="3684">
          <cell r="F3684" t="str">
            <v>HDFC FMP 1107D March 2016 (1) - Direct Option - Quarterly Dividend Option</v>
          </cell>
        </row>
        <row r="3685">
          <cell r="F3685" t="str">
            <v>HDFC FMP 1107D March 2016 (1) - Regular Option - Dividend Option</v>
          </cell>
        </row>
        <row r="3686">
          <cell r="F3686" t="str">
            <v>HDFC FMP 1107D March 2016 (1) - Regular Option - Growth Option</v>
          </cell>
        </row>
        <row r="3687">
          <cell r="F3687" t="str">
            <v>HDFC FMP 1107D March 2016 (1) - Regular Option - Quarterly Dividend Option</v>
          </cell>
        </row>
        <row r="3688">
          <cell r="F3688" t="str">
            <v>HDFC FMP 1108D September 2015 (1)-Direct Option-Dividend Option</v>
          </cell>
        </row>
        <row r="3689">
          <cell r="F3689" t="str">
            <v>HDFC FMP 1108D September 2015 (1)-Direct Option-Growth Option</v>
          </cell>
        </row>
        <row r="3690">
          <cell r="F3690" t="str">
            <v>HDFC FMP 1108D September 2015 (1)-Direct Option-Quarterly Dividend Option</v>
          </cell>
        </row>
        <row r="3691">
          <cell r="F3691" t="str">
            <v>HDFC FMP 1108D September 2015 (1)-Regular Option - Dividend Option</v>
          </cell>
        </row>
        <row r="3692">
          <cell r="F3692" t="str">
            <v>HDFC FMP 1108D September 2015 (1)-Regular Option-Growth Option</v>
          </cell>
        </row>
        <row r="3693">
          <cell r="F3693" t="str">
            <v>HDFC FMP 1108D September 2015 (1)-Regular Option-Quarterly Dividend Option</v>
          </cell>
        </row>
        <row r="3694">
          <cell r="F3694" t="str">
            <v>HDFC FMP 1111D November 2015 (1) - Direct Option - Dividend Option</v>
          </cell>
        </row>
        <row r="3695">
          <cell r="F3695" t="str">
            <v>HDFC FMP 1111D November 2015 (1) - Direct Option - Growth Option</v>
          </cell>
        </row>
        <row r="3696">
          <cell r="F3696" t="str">
            <v>HDFC FMP 1111D November 2015 (1) - Direct Option - Quarterly Dividend Option</v>
          </cell>
        </row>
        <row r="3697">
          <cell r="F3697" t="str">
            <v>HDFC FMP 1111D November 2015 (1) - Regular Option - Dividend Option</v>
          </cell>
        </row>
        <row r="3698">
          <cell r="F3698" t="str">
            <v>HDFC FMP 1111D November 2015 (1) - Regular Option - Growth Option</v>
          </cell>
        </row>
        <row r="3699">
          <cell r="F3699" t="str">
            <v>HDFC FMP 1111D November 2015 (1) - Regular Option - Quarterly Dividend Option</v>
          </cell>
        </row>
        <row r="3700">
          <cell r="F3700" t="str">
            <v>HDFC FMP 1111D September 2016 (1)-Direct Option-Dividend Option</v>
          </cell>
        </row>
        <row r="3701">
          <cell r="F3701" t="str">
            <v>HDFC FMP 1111D September 2016 (1)-Direct Option-Growth Option</v>
          </cell>
        </row>
        <row r="3702">
          <cell r="F3702" t="str">
            <v>HDFC FMP 1111D September 2016 (1)-Direct Option-Quarterly Dividend Option</v>
          </cell>
        </row>
        <row r="3703">
          <cell r="F3703" t="str">
            <v>HDFC FMP 1111D September 2016 (1)-Regular Option-Dividend Option</v>
          </cell>
        </row>
        <row r="3704">
          <cell r="F3704" t="str">
            <v>HDFC FMP 1111D September 2016 (1)-Regular Option-Growth Option</v>
          </cell>
        </row>
        <row r="3705">
          <cell r="F3705" t="str">
            <v>HDFC FMP 1111D September 2016 (1)-Regular Option-Quarterly Dividend Option</v>
          </cell>
        </row>
        <row r="3706">
          <cell r="F3706" t="str">
            <v>HDFC FMP 1112D June 2015 (1)-Direct Option-Flexi Option</v>
          </cell>
        </row>
        <row r="3707">
          <cell r="F3707" t="str">
            <v>HDFC FMP 1112D June 2015 (1)-Direct Option-Growth Option</v>
          </cell>
        </row>
        <row r="3708">
          <cell r="F3708" t="str">
            <v>HDFC FMP 1112D June 2015 (1)-Direct Option-Normal Dividend Option</v>
          </cell>
        </row>
        <row r="3709">
          <cell r="F3709" t="str">
            <v>HDFC FMP 1112D June 2015 (1)-Direct Option-Quarterly Dividend Option</v>
          </cell>
        </row>
        <row r="3710">
          <cell r="F3710" t="str">
            <v>HDFC FMP 1112D June 2015 (1)-Regular Option-Flexi Option</v>
          </cell>
        </row>
        <row r="3711">
          <cell r="F3711" t="str">
            <v>HDFC FMP 1112D June 2015 (1)-Regular Option-Growth Option</v>
          </cell>
        </row>
        <row r="3712">
          <cell r="F3712" t="str">
            <v>HDFC FMP 1112D June 2015 (1)-Regular Option-Normal Dividend Option</v>
          </cell>
        </row>
        <row r="3713">
          <cell r="F3713" t="str">
            <v>HDFC FMP 1112D June 2015 (1)-Regular Option-Quarterly Dividend Option</v>
          </cell>
        </row>
        <row r="3714">
          <cell r="F3714" t="str">
            <v>HDFC FMP 1112D June 2016 (1) - Direct Option - Growth Option</v>
          </cell>
        </row>
        <row r="3715">
          <cell r="F3715" t="str">
            <v>HDFC FMP 1112D June 2016 (1) - Regular Option - Dividend Option</v>
          </cell>
        </row>
        <row r="3716">
          <cell r="F3716" t="str">
            <v>HDFC FMP 1112D June 2016 (1) - Regular Option - Growth Option</v>
          </cell>
        </row>
        <row r="3717">
          <cell r="F3717" t="str">
            <v>HDFC FMP 1112D June 2016 (1) - Regular Option - Quarterly Dividend Option</v>
          </cell>
        </row>
        <row r="3718">
          <cell r="F3718" t="str">
            <v>HDFC FMP 1113D June 2016 (1) - Direct Option - Dividend Option</v>
          </cell>
        </row>
        <row r="3719">
          <cell r="F3719" t="str">
            <v>HDFC FMP 1113D June 2016 (1) - Direct Option - Growth Option</v>
          </cell>
        </row>
        <row r="3720">
          <cell r="F3720" t="str">
            <v>HDFC FMP 1113D June 2016 (1) - Direct Option - Quarterly Dividend Option</v>
          </cell>
        </row>
        <row r="3721">
          <cell r="F3721" t="str">
            <v>HDFC FMP 1113D June 2016 (1) - Regular Option - Dividend Option</v>
          </cell>
        </row>
        <row r="3722">
          <cell r="F3722" t="str">
            <v>HDFC FMP 1113D June 2016 (1) - Regular Option - Growth Option</v>
          </cell>
        </row>
        <row r="3723">
          <cell r="F3723" t="str">
            <v>HDFC FMP 1113D June 2016 (1) - Regular Option - Quarterly Dividend Option</v>
          </cell>
        </row>
        <row r="3724">
          <cell r="F3724" t="str">
            <v>HDFC FMP 1114D MARCH 2016 (1) - Direct Option - Dividend Option</v>
          </cell>
        </row>
        <row r="3725">
          <cell r="F3725" t="str">
            <v>HDFC FMP 1114D MARCH 2016 (1) - Direct Option - Growth Option</v>
          </cell>
        </row>
        <row r="3726">
          <cell r="F3726" t="str">
            <v>HDFC FMP 1114D MARCH 2016 (1) - Regular Option - Dividend Option</v>
          </cell>
        </row>
        <row r="3727">
          <cell r="F3727" t="str">
            <v>HDFC FMP 1114D MARCH 2016 (1) - Regular Option - Growth Option</v>
          </cell>
        </row>
        <row r="3728">
          <cell r="F3728" t="str">
            <v>HDFC FMP 1114D MARCH 2016 (1) - Regular Option - Quarterly Dividend Option</v>
          </cell>
        </row>
        <row r="3729">
          <cell r="F3729" t="str">
            <v>HDFC FMP 1115D JANUARY 2015(1) - DIRECT OPTION - DIVIDEND OPTION</v>
          </cell>
        </row>
        <row r="3730">
          <cell r="F3730" t="str">
            <v>HDFC FMP 1115D JANUARY 2015(1) - DIRECT OPTION - GROWTH OPTION</v>
          </cell>
        </row>
        <row r="3731">
          <cell r="F3731" t="str">
            <v>HDFC FMP 1115D JANUARY 2015(1) - DIRECT OPTION - QUARTERLY DIVIDEND OPTION</v>
          </cell>
        </row>
        <row r="3732">
          <cell r="F3732" t="str">
            <v>HDFC FMP 1115D JANUARY 2015(1) - REGULAR OPTION - DIVIDEND OPTION</v>
          </cell>
        </row>
        <row r="3733">
          <cell r="F3733" t="str">
            <v>HDFC FMP 1115D JANUARY 2015(1) - REGULAR OPTION - FLEXI OPTION</v>
          </cell>
        </row>
        <row r="3734">
          <cell r="F3734" t="str">
            <v>HDFC FMP 1115D JANUARY 2015(1) - REGULAR OPTION - GROWTH OPTION</v>
          </cell>
        </row>
        <row r="3735">
          <cell r="F3735" t="str">
            <v>HDFC FMP 1115D JANUARY 2015(1) - REGULAR OPTION - QUARTERLY DIVIDEND OPTION</v>
          </cell>
        </row>
        <row r="3736">
          <cell r="F3736" t="str">
            <v>HDFC FMP 1115D March 2015 (1)-Direct Option-Dividend Option</v>
          </cell>
        </row>
        <row r="3737">
          <cell r="F3737" t="str">
            <v>HDFC FMP 1115D March 2015 (1)-Direct Option-Flexi Option</v>
          </cell>
        </row>
        <row r="3738">
          <cell r="F3738" t="str">
            <v>HDFC FMP 1115D March 2015 (1)-Direct Option-Growth Option</v>
          </cell>
        </row>
        <row r="3739">
          <cell r="F3739" t="str">
            <v>HDFC FMP 1115D March 2015 (1)-Direct Option-Quarterly Dividend Option</v>
          </cell>
        </row>
        <row r="3740">
          <cell r="F3740" t="str">
            <v>HDFC FMP 1115D March 2015 (1)-Regular Option-Dividend Option</v>
          </cell>
        </row>
        <row r="3741">
          <cell r="F3741" t="str">
            <v>HDFC FMP 1115D March 2015 (1)-Regular Option-Flexi Option</v>
          </cell>
        </row>
        <row r="3742">
          <cell r="F3742" t="str">
            <v>HDFC FMP 1115D March 2015 (1)-Regular Option-Growth Option</v>
          </cell>
        </row>
        <row r="3743">
          <cell r="F3743" t="str">
            <v>HDFC FMP 1115D March 2015 (1)-Regular Option-Quarterly Dividend Option</v>
          </cell>
        </row>
        <row r="3744">
          <cell r="F3744" t="str">
            <v>HDFC FMP 1120D MARCH 2016 (1) - Direct Option - Dividend Option</v>
          </cell>
        </row>
        <row r="3745">
          <cell r="F3745" t="str">
            <v>HDFC FMP 1120D MARCH 2016 (1) - Direct Option - Growth Option</v>
          </cell>
        </row>
        <row r="3746">
          <cell r="F3746" t="str">
            <v>HDFC FMP 1120D MARCH 2016 (1) - Regular Option - Dividend Option</v>
          </cell>
        </row>
        <row r="3747">
          <cell r="F3747" t="str">
            <v>HDFC FMP 1120D MARCH 2016 (1) - Regular Option - Growth Option</v>
          </cell>
        </row>
        <row r="3748">
          <cell r="F3748" t="str">
            <v>HDFC FMP 1126D July 2015 (1) - Direct Option - Dividend Option</v>
          </cell>
        </row>
        <row r="3749">
          <cell r="F3749" t="str">
            <v>HDFC FMP 1126D July 2015 (1) - Direct Option - Growth Option</v>
          </cell>
        </row>
        <row r="3750">
          <cell r="F3750" t="str">
            <v>HDFC FMP 1126D July 2015 (1) - Regular Option - Dividend Option</v>
          </cell>
        </row>
        <row r="3751">
          <cell r="F3751" t="str">
            <v>HDFC FMP 1126D July 2015 (1) - Regular Option - Growth Option</v>
          </cell>
        </row>
        <row r="3752">
          <cell r="F3752" t="str">
            <v>HDFC FMP 1126D July 2015 (1) - Regular Option - Quarterly Dividend Option</v>
          </cell>
        </row>
        <row r="3753">
          <cell r="F3753" t="str">
            <v>HDFC FMP 1127D June 2016 (1) - Direct Option - Dividend Option</v>
          </cell>
        </row>
        <row r="3754">
          <cell r="F3754" t="str">
            <v>HDFC FMP 1127D June 2016 (1) - Direct Option - Growth Option</v>
          </cell>
        </row>
        <row r="3755">
          <cell r="F3755" t="str">
            <v>HDFC FMP 1127D June 2016 (1) - Direct Option - Quarterly Dividend Option</v>
          </cell>
        </row>
        <row r="3756">
          <cell r="F3756" t="str">
            <v>HDFC FMP 1127D June 2016 (1) - Regular Option - Dividend Option</v>
          </cell>
        </row>
        <row r="3757">
          <cell r="F3757" t="str">
            <v>HDFC FMP 1127D June 2016 (1) - Regular Option - Growth Option</v>
          </cell>
        </row>
        <row r="3758">
          <cell r="F3758" t="str">
            <v>HDFC FMP 1127D June 2016 (1) - Regular Option - Quarterly Dividend Option</v>
          </cell>
        </row>
        <row r="3759">
          <cell r="F3759" t="str">
            <v>HDFC FMP 1127D May 2015 (1) - Direct Option - Dividend Option</v>
          </cell>
        </row>
        <row r="3760">
          <cell r="F3760" t="str">
            <v>HDFC FMP 1127D May 2015 (1) - Direct Option - Flexi Option</v>
          </cell>
        </row>
        <row r="3761">
          <cell r="F3761" t="str">
            <v>HDFC FMP 1127D May 2015 (1) - Direct Option - Growth Option</v>
          </cell>
        </row>
        <row r="3762">
          <cell r="F3762" t="str">
            <v>HDFC FMP 1127D May 2015 (1) - Direct Option - Quarterly Dividend Option</v>
          </cell>
        </row>
        <row r="3763">
          <cell r="F3763" t="str">
            <v>HDFC FMP 1127D May 2015 (1) - Regular Option - Dividend Option</v>
          </cell>
        </row>
        <row r="3764">
          <cell r="F3764" t="str">
            <v>HDFC FMP 1127D May 2015 (1) - Regular Option - Flexi Option</v>
          </cell>
        </row>
        <row r="3765">
          <cell r="F3765" t="str">
            <v>HDFC FMP 1127D May 2015 (1) - Regular Option - Growth Option</v>
          </cell>
        </row>
        <row r="3766">
          <cell r="F3766" t="str">
            <v>HDFC FMP 1127D May 2015 (1) - Regular Option - Quarterly Dividend Option</v>
          </cell>
        </row>
        <row r="3767">
          <cell r="F3767" t="str">
            <v>HDFC FMP 1127D May 2016 (1)-Direct Option-Dividend Option</v>
          </cell>
        </row>
        <row r="3768">
          <cell r="F3768" t="str">
            <v>HDFC FMP 1127D May 2016 (1)-Direct Option-Growth Option</v>
          </cell>
        </row>
        <row r="3769">
          <cell r="F3769" t="str">
            <v>HDFC FMP 1127D May 2016 (1)-Regular Option-Dividend Option</v>
          </cell>
        </row>
        <row r="3770">
          <cell r="F3770" t="str">
            <v>HDFC FMP 1127D May 2016 (1)-Regular Option-Growth Option</v>
          </cell>
        </row>
        <row r="3771">
          <cell r="F3771" t="str">
            <v>HDFC FMP 1127D May 2016 (1)-Regular Option-Quarterly Dividend Option</v>
          </cell>
        </row>
        <row r="3772">
          <cell r="F3772" t="str">
            <v>HDFC FMP 1128D June 2016 (1) - Direct Option - Dividend Option</v>
          </cell>
        </row>
        <row r="3773">
          <cell r="F3773" t="str">
            <v>HDFC FMP 1128D June 2016 (1) - Direct Option - Growth Option</v>
          </cell>
        </row>
        <row r="3774">
          <cell r="F3774" t="str">
            <v>HDFC FMP 1128D June 2016 (1) - Direct Option - Quarterly Dividend Option</v>
          </cell>
        </row>
        <row r="3775">
          <cell r="F3775" t="str">
            <v>HDFC FMP 1128D June 2016 (1) - Regular Option - Dividend Option</v>
          </cell>
        </row>
        <row r="3776">
          <cell r="F3776" t="str">
            <v>HDFC FMP 1128D June 2016 (1) - Regular Option - Growth Option</v>
          </cell>
        </row>
        <row r="3777">
          <cell r="F3777" t="str">
            <v>HDFC FMP 1128D June 2016 (1) - Regular Option - Quarterly Dividend Option</v>
          </cell>
        </row>
        <row r="3778">
          <cell r="F3778" t="str">
            <v>HDFC FMP 1128D March 2015 (1)-Direct Option-Dividend Option</v>
          </cell>
        </row>
        <row r="3779">
          <cell r="F3779" t="str">
            <v>HDFC FMP 1128D March 2015 (1)-Direct Option-Growth Option</v>
          </cell>
        </row>
        <row r="3780">
          <cell r="F3780" t="str">
            <v>HDFC FMP 1128D March 2015 (1)-Direct Option-Quarterly Dividend Option</v>
          </cell>
        </row>
        <row r="3781">
          <cell r="F3781" t="str">
            <v>HDFC FMP 1128D March 2015 (1)-Regular Option Quarterly Dividend Option</v>
          </cell>
        </row>
        <row r="3782">
          <cell r="F3782" t="str">
            <v>HDFC FMP 1128D March 2015 (1)-Regular Option-Dividend Option</v>
          </cell>
        </row>
        <row r="3783">
          <cell r="F3783" t="str">
            <v>HDFC FMP 1128D March 2015 (1)-Regular Option-Growth Option</v>
          </cell>
        </row>
        <row r="3784">
          <cell r="F3784" t="str">
            <v>HDFC FMP 1132D February 2016 (1) - Direct Option - Dividend Option</v>
          </cell>
        </row>
        <row r="3785">
          <cell r="F3785" t="str">
            <v>HDFC FMP 1132D February 2016 (1) - Direct Option - Growth Option</v>
          </cell>
        </row>
        <row r="3786">
          <cell r="F3786" t="str">
            <v>HDFC FMP 1132D February 2016 (1) - Regular Option - Dividend Option</v>
          </cell>
        </row>
        <row r="3787">
          <cell r="F3787" t="str">
            <v>HDFC FMP 1132D February 2016 (1) - Regular Option - Growth Option</v>
          </cell>
        </row>
        <row r="3788">
          <cell r="F3788" t="str">
            <v>HDFC FMP 1132D February 2016 (1) - Regular Option - Quarterly Dividend Option</v>
          </cell>
        </row>
        <row r="3789">
          <cell r="F3789" t="str">
            <v>HDFC FMP 1134D July 2015 (1)-Direct Option-Dividend Option</v>
          </cell>
        </row>
        <row r="3790">
          <cell r="F3790" t="str">
            <v>HDFC FMP 1134D July 2015 (1)-Direct Option-Growth Option</v>
          </cell>
        </row>
        <row r="3791">
          <cell r="F3791" t="str">
            <v>HDFC FMP 1134D July 2015 (1)-Direct Option-Quarterly Dividend Option</v>
          </cell>
        </row>
        <row r="3792">
          <cell r="F3792" t="str">
            <v>HDFC FMP 1134D July 2015 (1)-Regular Option-Dividend Option</v>
          </cell>
        </row>
        <row r="3793">
          <cell r="F3793" t="str">
            <v>HDFC FMP 1134D July 2015 (1)-Regular Option-Growth Option</v>
          </cell>
        </row>
        <row r="3794">
          <cell r="F3794" t="str">
            <v>HDFC FMP 1134D July 2015 (1)-Regular Option-Quarterly Dividend Option</v>
          </cell>
        </row>
        <row r="3795">
          <cell r="F3795" t="str">
            <v>HDFC FMP 1135D March 2015 (1)-Direct Option-Dividend Option</v>
          </cell>
        </row>
        <row r="3796">
          <cell r="F3796" t="str">
            <v>HDFC FMP 1135D March 2015 (1)-Direct Option-Growth Option</v>
          </cell>
        </row>
        <row r="3797">
          <cell r="F3797" t="str">
            <v>HDFC FMP 1135D March 2015 (1)-Direct Option-Quarterly Dividend Option</v>
          </cell>
        </row>
        <row r="3798">
          <cell r="F3798" t="str">
            <v>HDFC FMP 1135D March 2015 (1)-Regular Option-Dividend Option</v>
          </cell>
        </row>
        <row r="3799">
          <cell r="F3799" t="str">
            <v>HDFC FMP 1135D March 2015 (1)-Regular Option-Flexi Option</v>
          </cell>
        </row>
        <row r="3800">
          <cell r="F3800" t="str">
            <v>HDFC FMP 1135D March 2015 (1)-Regular Option-Growth Option</v>
          </cell>
        </row>
        <row r="3801">
          <cell r="F3801" t="str">
            <v>HDFC FMP 1135D March 2015 (1)-Regular Option-Quarterly Dividend Option</v>
          </cell>
        </row>
        <row r="3802">
          <cell r="F3802" t="str">
            <v>HDFC FMP 1136D June 2017 (1)-Direct Option-Dividend Option</v>
          </cell>
        </row>
        <row r="3803">
          <cell r="F3803" t="str">
            <v>HDFC FMP 1136D June 2017 (1)-Direct Option-Growth Option</v>
          </cell>
        </row>
        <row r="3804">
          <cell r="F3804" t="str">
            <v>HDFC FMP 1136D June 2017 (1)-Direct Option-Quarterly Dividend Option</v>
          </cell>
        </row>
        <row r="3805">
          <cell r="F3805" t="str">
            <v>HDFC FMP 1136D June 2017 (1)-Regular Option-Dividend Option</v>
          </cell>
        </row>
        <row r="3806">
          <cell r="F3806" t="str">
            <v>HDFC FMP 1136D June 2017 (1)-Regular Option-Growth Option</v>
          </cell>
        </row>
        <row r="3807">
          <cell r="F3807" t="str">
            <v>HDFC FMP 1136D June 2017 (1)-Regular Option-Quarterly Dividend Option</v>
          </cell>
        </row>
        <row r="3808">
          <cell r="F3808" t="str">
            <v>HDFC FMP 1140D March 2016 (1) - Direct Option -  Quarterly Dividend Option</v>
          </cell>
        </row>
        <row r="3809">
          <cell r="F3809" t="str">
            <v>HDFC FMP 1140D March 2016 (1) - Direct Option - Dividend Option</v>
          </cell>
        </row>
        <row r="3810">
          <cell r="F3810" t="str">
            <v>HDFC FMP 1140D March 2016 (1) - Direct Option - Growth Option</v>
          </cell>
        </row>
        <row r="3811">
          <cell r="F3811" t="str">
            <v>HDFC FMP 1140D March 2016 (1) - Regular Option - Growth Option</v>
          </cell>
        </row>
        <row r="3812">
          <cell r="F3812" t="str">
            <v>HDFC FMP 1140D March 2016 (1) - Regular Option - Quarterly Dividend Option</v>
          </cell>
        </row>
        <row r="3813">
          <cell r="F3813" t="str">
            <v>HDFC FMP 1140D March 2016 (1) - Regular Option- Dividend Option</v>
          </cell>
        </row>
        <row r="3814">
          <cell r="F3814" t="str">
            <v>HDFC FMP 1141D July 2015 (1)-Direct Option-Dividend Option</v>
          </cell>
        </row>
        <row r="3815">
          <cell r="F3815" t="str">
            <v>HDFC FMP 1141D July 2015 (1)-Direct Option-Growth Option</v>
          </cell>
        </row>
        <row r="3816">
          <cell r="F3816" t="str">
            <v>HDFC FMP 1141D July 2015 (1)-Direct Option-Quarterly Dividend Option</v>
          </cell>
        </row>
        <row r="3817">
          <cell r="F3817" t="str">
            <v>HDFC FMP 1141D July 2015 (1)-Regular Option-Dividend Option</v>
          </cell>
        </row>
        <row r="3818">
          <cell r="F3818" t="str">
            <v>HDFC FMP 1141D July 2015 (1)-Regular Option-Growth Option</v>
          </cell>
        </row>
        <row r="3819">
          <cell r="F3819" t="str">
            <v>HDFC FMP 1141D July 2015 (1)-Regular Option-Quarterly Dividend Option</v>
          </cell>
        </row>
        <row r="3820">
          <cell r="F3820" t="str">
            <v>HDFC FMP 1148D February 2016 (1) - Direct Option - Dividend Option</v>
          </cell>
        </row>
        <row r="3821">
          <cell r="F3821" t="str">
            <v>HDFC FMP 1148D February 2016 (1) - Regular Option - Dividend Option</v>
          </cell>
        </row>
        <row r="3822">
          <cell r="F3822" t="str">
            <v>HDFC FMP 1148D February 2016 (1) - Regular Option - Growth Option</v>
          </cell>
        </row>
        <row r="3823">
          <cell r="F3823" t="str">
            <v>HDFC FMP 1148D February 2016 (1) - Regular Option - Quarterly Dividend Option</v>
          </cell>
        </row>
        <row r="3824">
          <cell r="F3824" t="str">
            <v>HDFC FMP 1148D February 2016 (1) Direct Option - Growth Option</v>
          </cell>
        </row>
        <row r="3825">
          <cell r="F3825" t="str">
            <v>HDFC FMP 1148D February 2016 (1) Direct Option - Quarterly Dividend Option</v>
          </cell>
        </row>
        <row r="3826">
          <cell r="F3826" t="str">
            <v>HDFC FMP 1148D February 2016 (2)-Direct Option-Growth Option</v>
          </cell>
        </row>
        <row r="3827">
          <cell r="F3827" t="str">
            <v>HDFC FMP 1148D February 2016 (2)-Direct Option-Quarterly Dividend Option</v>
          </cell>
        </row>
        <row r="3828">
          <cell r="F3828" t="str">
            <v>HDFC FMP 1148D February 2016 (2)-Regular Option-Dividend Option</v>
          </cell>
        </row>
        <row r="3829">
          <cell r="F3829" t="str">
            <v>HDFC FMP 1148D February 2016 (2)-Regular Option-Growth Option</v>
          </cell>
        </row>
        <row r="3830">
          <cell r="F3830" t="str">
            <v>HDFC FMP 1148D February 2016 (2)-Regular Option-Quarterly Dividend Option</v>
          </cell>
        </row>
        <row r="3831">
          <cell r="F3831" t="str">
            <v>HDFC FMP 1150D February 2017 (1) - Direct Option - Dividend Option</v>
          </cell>
        </row>
        <row r="3832">
          <cell r="F3832" t="str">
            <v>HDFC FMP 1150D February 2017 (1) - Direct Option - Growth Option</v>
          </cell>
        </row>
        <row r="3833">
          <cell r="F3833" t="str">
            <v>HDFC FMP 1150D February 2017 (1) - Direct Option - Quarterly Dividend Option</v>
          </cell>
        </row>
        <row r="3834">
          <cell r="F3834" t="str">
            <v>HDFC FMP 1150D February 2017 (1) - Regular Option - Dividend Option</v>
          </cell>
        </row>
        <row r="3835">
          <cell r="F3835" t="str">
            <v>HDFC FMP 1150D February 2017 (1) - Regular Option - Growth Option</v>
          </cell>
        </row>
        <row r="3836">
          <cell r="F3836" t="str">
            <v>HDFC FMP 1150D February 2017 (1) - Regular Option - Quarterly Dividend Option</v>
          </cell>
        </row>
        <row r="3837">
          <cell r="F3837" t="str">
            <v>HDFC FMP 1153D April 2016 (1) - Direct Option - Dividend Option</v>
          </cell>
        </row>
        <row r="3838">
          <cell r="F3838" t="str">
            <v>HDFC FMP 1153D April 2016 (1) - Direct Option - Growth Option</v>
          </cell>
        </row>
        <row r="3839">
          <cell r="F3839" t="str">
            <v>HDFC FMP 1153D April 2016 (1) - Direct Option - Quarterly Dividend Option</v>
          </cell>
        </row>
        <row r="3840">
          <cell r="F3840" t="str">
            <v>HDFC FMP 1153D April 2016 (1) - Regular Option - Dividend Option</v>
          </cell>
        </row>
        <row r="3841">
          <cell r="F3841" t="str">
            <v>HDFC FMP 1153D April 2016 (1) - Regular Option - Growth Option</v>
          </cell>
        </row>
        <row r="3842">
          <cell r="F3842" t="str">
            <v>HDFC FMP 1153D April 2016 (1) - Regular Option - Quarterly Dividend Option</v>
          </cell>
        </row>
        <row r="3843">
          <cell r="F3843" t="str">
            <v>HDFC FMP 1155D February 2016 (1) - Direct Option - Dividend Option</v>
          </cell>
        </row>
        <row r="3844">
          <cell r="F3844" t="str">
            <v>HDFC FMP 1155D February 2016 (1) - Direct Option - Growth Option</v>
          </cell>
        </row>
        <row r="3845">
          <cell r="F3845" t="str">
            <v>HDFC FMP 1155D February 2016 (1) - Direct Option - Quarterly Dividend Option</v>
          </cell>
        </row>
        <row r="3846">
          <cell r="F3846" t="str">
            <v>HDFC FMP 1155D February 2016 (1) - Regular Option - Dividend Option</v>
          </cell>
        </row>
        <row r="3847">
          <cell r="F3847" t="str">
            <v>HDFC FMP 1155D February 2016 (1) - Regular Option - Growth Option</v>
          </cell>
        </row>
        <row r="3848">
          <cell r="F3848" t="str">
            <v>HDFC FMP 1155D February 2016 (1) - Regular Option - Quarterly Dividend Option</v>
          </cell>
        </row>
        <row r="3849">
          <cell r="F3849" t="str">
            <v>HDFC FMP 1155D February 2017 (1) - Direct Option - Dividend Option</v>
          </cell>
        </row>
        <row r="3850">
          <cell r="F3850" t="str">
            <v>HDFC FMP 1155D February 2017 (1) - Direct Option - Growth Option</v>
          </cell>
        </row>
        <row r="3851">
          <cell r="F3851" t="str">
            <v>HDFC FMP 1155D February 2017 (1) - Direct Option - Quarterly Dividend Option</v>
          </cell>
        </row>
        <row r="3852">
          <cell r="F3852" t="str">
            <v>HDFC FMP 1155D February 2017 (1) - Regular Option - Dividend Option</v>
          </cell>
        </row>
        <row r="3853">
          <cell r="F3853" t="str">
            <v>HDFC FMP 1155D February 2017 (1) - Regular Option - Growth Option</v>
          </cell>
        </row>
        <row r="3854">
          <cell r="F3854" t="str">
            <v>HDFC FMP 1155D February 2017 (1) - Regular Option - Quarterly Dividend Option</v>
          </cell>
        </row>
        <row r="3855">
          <cell r="F3855" t="str">
            <v>HDFC FMP 1157D February 2015 (1)-Direct Option-Dividend Option</v>
          </cell>
        </row>
        <row r="3856">
          <cell r="F3856" t="str">
            <v>HDFC FMP 1157D February 2015 (1)-Direct Option-Flexi Option</v>
          </cell>
        </row>
        <row r="3857">
          <cell r="F3857" t="str">
            <v>HDFC FMP 1157D February 2015 (1)-Direct Option-Growth Option</v>
          </cell>
        </row>
        <row r="3858">
          <cell r="F3858" t="str">
            <v>HDFC FMP 1157D February 2015 (1)-Regular Option-Dividend Option</v>
          </cell>
        </row>
        <row r="3859">
          <cell r="F3859" t="str">
            <v>HDFC FMP 1157D February 2015 (1)-Regular Option-Flexi Option</v>
          </cell>
        </row>
        <row r="3860">
          <cell r="F3860" t="str">
            <v>HDFC FMP 1157D February 2015 (1)-Regular Option-Growth Option</v>
          </cell>
        </row>
        <row r="3861">
          <cell r="F3861" t="str">
            <v>HDFC FMP 1157D February 2015 (1)-Regular Option-QuarterlyDividend Option</v>
          </cell>
        </row>
        <row r="3862">
          <cell r="F3862" t="str">
            <v>HDFC FMP 1161D February 2016 (1)-Direct Option-Dividend Option</v>
          </cell>
        </row>
        <row r="3863">
          <cell r="F3863" t="str">
            <v>HDFC FMP 1161D February 2016 (1)-Direct Option-Growth Option</v>
          </cell>
        </row>
        <row r="3864">
          <cell r="F3864" t="str">
            <v>HDFC FMP 1161D February 2016 (1)-Direct Option-Quarterly Dividend Option</v>
          </cell>
        </row>
        <row r="3865">
          <cell r="F3865" t="str">
            <v>HDFC FMP 1161D February 2016 (1)-Regular Option-Dividend Option</v>
          </cell>
        </row>
        <row r="3866">
          <cell r="F3866" t="str">
            <v>HDFC FMP 1161D February 2016 (1)-Regular Option-Growth Option</v>
          </cell>
        </row>
        <row r="3867">
          <cell r="F3867" t="str">
            <v>HDFC FMP 1161D February 2016 (1)-Regular Option-Quarterly Dividend Option</v>
          </cell>
        </row>
        <row r="3868">
          <cell r="F3868" t="str">
            <v>HDFC FMP 1161D July 2016 (1) - Direct Option - Dividend Option</v>
          </cell>
        </row>
        <row r="3869">
          <cell r="F3869" t="str">
            <v>HDFC FMP 1161D July 2016 (1) - Direct Option - Growth Option</v>
          </cell>
        </row>
        <row r="3870">
          <cell r="F3870" t="str">
            <v>HDFC FMP 1161D July 2016 (1) - Direct Option - Quarterly Dividend Option</v>
          </cell>
        </row>
        <row r="3871">
          <cell r="F3871" t="str">
            <v>HDFC FMP 1161D July 2016 (1) - Regular Option - Dividend Option</v>
          </cell>
        </row>
        <row r="3872">
          <cell r="F3872" t="str">
            <v>HDFC FMP 1161D July 2016 (1) - Regular Option - Growth Option</v>
          </cell>
        </row>
        <row r="3873">
          <cell r="F3873" t="str">
            <v>HDFC FMP 1161D July 2016 (1) - Regular Option - Quarterly Dividend Option</v>
          </cell>
        </row>
        <row r="3874">
          <cell r="F3874" t="str">
            <v>HDFC FMP 1165D April 2017 (1) - Direct Option -  Dividend Option</v>
          </cell>
        </row>
        <row r="3875">
          <cell r="F3875" t="str">
            <v>HDFC FMP 1165D April 2017 (1) - Direct Option -  Growth Option</v>
          </cell>
        </row>
        <row r="3876">
          <cell r="F3876" t="str">
            <v>HDFC FMP 1165D April 2017 (1) - Direct Option -  Quarterly Dividend Option</v>
          </cell>
        </row>
        <row r="3877">
          <cell r="F3877" t="str">
            <v>HDFC FMP 1165D April 2017 (1) - Regular Option -  Dividend Option</v>
          </cell>
        </row>
        <row r="3878">
          <cell r="F3878" t="str">
            <v>HDFC FMP 1165D April 2017 (1) - Regular Option -  Growth Option</v>
          </cell>
        </row>
        <row r="3879">
          <cell r="F3879" t="str">
            <v>HDFC FMP 1165D April 2017 (1) - Regular Option -  Quarterly Dividend Option</v>
          </cell>
        </row>
        <row r="3880">
          <cell r="F3880" t="str">
            <v>HDFC FMP 1166D May 2017 (1) - Direct Option -  Dividend Option</v>
          </cell>
        </row>
        <row r="3881">
          <cell r="F3881" t="str">
            <v>HDFC FMP 1166D May 2017 (1) - Direct Option -  Growth Option</v>
          </cell>
        </row>
        <row r="3882">
          <cell r="F3882" t="str">
            <v>HDFC FMP 1166D May 2017 (1) - Direct Option -  Quarterly Dividend Option</v>
          </cell>
        </row>
        <row r="3883">
          <cell r="F3883" t="str">
            <v>HDFC FMP 1166D May 2017 (1) - Regular Option -  Dividend Option</v>
          </cell>
        </row>
        <row r="3884">
          <cell r="F3884" t="str">
            <v>HDFC FMP 1166D May 2017 (1) - Regular Option -  Growth Option</v>
          </cell>
        </row>
        <row r="3885">
          <cell r="F3885" t="str">
            <v>HDFC FMP 1166D May 2017 (1) - Regular Option -  Quarterly Dividend Option</v>
          </cell>
        </row>
        <row r="3886">
          <cell r="F3886" t="str">
            <v>HDFC FMP 1167D January 2016 (1) - Direct Option - Dividend Option</v>
          </cell>
        </row>
        <row r="3887">
          <cell r="F3887" t="str">
            <v>HDFC FMP 1167D January 2016 (1) - Direct Option - Growth Option</v>
          </cell>
        </row>
        <row r="3888">
          <cell r="F3888" t="str">
            <v>HDFC FMP 1167D January 2016 (1) - Direct Option - Quarterly Option</v>
          </cell>
        </row>
        <row r="3889">
          <cell r="F3889" t="str">
            <v>HDFC FMP 1167D January 2016 (1) - Regular Option - Dividend Option</v>
          </cell>
        </row>
        <row r="3890">
          <cell r="F3890" t="str">
            <v>HDFC FMP 1167D January 2016 (1) - Regular Option - Growth Option</v>
          </cell>
        </row>
        <row r="3891">
          <cell r="F3891" t="str">
            <v>HDFC FMP 1167D January 2016 (1) - Regular Option - Quarterly Option</v>
          </cell>
        </row>
        <row r="3892">
          <cell r="F3892" t="str">
            <v>HDFC FMP 1168D February 2016 (1) - Direct Option - Dividend Option</v>
          </cell>
        </row>
        <row r="3893">
          <cell r="F3893" t="str">
            <v>HDFC FMP 1168D February 2016 (1) - Direct Option - Growth Option</v>
          </cell>
        </row>
        <row r="3894">
          <cell r="F3894" t="str">
            <v>HDFC FMP 1168D February 2016 (1) - Regular Option - Growth Option</v>
          </cell>
        </row>
        <row r="3895">
          <cell r="F3895" t="str">
            <v>HDFC FMP 1168D February 2016 (1) - Regular Option - Quarterly Dividend Option</v>
          </cell>
        </row>
        <row r="3896">
          <cell r="F3896" t="str">
            <v>HDFC FMP 1170D February 2017 (1) - Direct Option - Dividend Option</v>
          </cell>
        </row>
        <row r="3897">
          <cell r="F3897" t="str">
            <v>HDFC FMP 1170D February 2017 (1) - Direct Option - Growth Option</v>
          </cell>
        </row>
        <row r="3898">
          <cell r="F3898" t="str">
            <v>HDFC FMP 1170D February 2017 (1) - Direct Option - Quarterly Dividend Option</v>
          </cell>
        </row>
        <row r="3899">
          <cell r="F3899" t="str">
            <v>HDFC FMP 1170D February 2017 (1) - Regular Option - Dividend Option</v>
          </cell>
        </row>
        <row r="3900">
          <cell r="F3900" t="str">
            <v>HDFC FMP 1170D February 2017 (1) - Regular Option - Growth Option</v>
          </cell>
        </row>
        <row r="3901">
          <cell r="F3901" t="str">
            <v>HDFC FMP 1170D February 2017 (1) - Regular Option - Quarterly Dividend Option</v>
          </cell>
        </row>
        <row r="3902">
          <cell r="F3902" t="str">
            <v>HDFC FMP 1172D APRIL 2017 (1)  - Direct Dividend Option</v>
          </cell>
        </row>
        <row r="3903">
          <cell r="F3903" t="str">
            <v>HDFC FMP 1172D APRIL 2017 (1)  - Direct Growth Option</v>
          </cell>
        </row>
        <row r="3904">
          <cell r="F3904" t="str">
            <v>HDFC FMP 1172D APRIL 2017 (1)  - Direct Quaterly Dividend Option</v>
          </cell>
        </row>
        <row r="3905">
          <cell r="F3905" t="str">
            <v>HDFC FMP 1172D APRIL 2017 (1)  - Regular Dividend Option</v>
          </cell>
        </row>
        <row r="3906">
          <cell r="F3906" t="str">
            <v>HDFC FMP 1172D APRIL 2017 (1)  - Regular Growth Option</v>
          </cell>
        </row>
        <row r="3907">
          <cell r="F3907" t="str">
            <v>HDFC FMP 1172D APRIL 2017 (1)  - Regular Quaterly Dividend Option</v>
          </cell>
        </row>
        <row r="3908">
          <cell r="F3908" t="str">
            <v>HDFC FMP 1175D January 2014 (1) - Direct Option-Dividend Option</v>
          </cell>
        </row>
        <row r="3909">
          <cell r="F3909" t="str">
            <v>HDFC FMP 1175D January 2014 (1) - Direct Option-Flexi Option</v>
          </cell>
        </row>
        <row r="3910">
          <cell r="F3910" t="str">
            <v>HDFC FMP 1175D January 2014 (1) - Direct Option-Growth Option</v>
          </cell>
        </row>
        <row r="3911">
          <cell r="F3911" t="str">
            <v>HDFC FMP 1175D January 2014 (1) - Direct Option-Quarterly Dividend Option</v>
          </cell>
        </row>
        <row r="3912">
          <cell r="F3912" t="str">
            <v>HDFC FMP 1175D January 2014 (1) - Regular Option-Dividend Option</v>
          </cell>
        </row>
        <row r="3913">
          <cell r="F3913" t="str">
            <v>HDFC FMP 1175D January 2014 (1) - Regular Option-Growth Option</v>
          </cell>
        </row>
        <row r="3914">
          <cell r="F3914" t="str">
            <v>HDFC FMP 1175D January 2014 (1) - Regular Option-Quarterly Dividend Option</v>
          </cell>
        </row>
        <row r="3915">
          <cell r="F3915" t="str">
            <v>HDFC FMP 1176D January 2016 (1) - Direct Option - Dividend Option</v>
          </cell>
        </row>
        <row r="3916">
          <cell r="F3916" t="str">
            <v>HDFC FMP 1176D January 2016 (1) - Direct Option - Growth Option</v>
          </cell>
        </row>
        <row r="3917">
          <cell r="F3917" t="str">
            <v>HDFC FMP 1176D January 2016 (1) - Direct Option - Quarterly Dividend Option</v>
          </cell>
        </row>
        <row r="3918">
          <cell r="F3918" t="str">
            <v>HDFC FMP 1176D January 2016 (1) - Regular Option - Dividend Option</v>
          </cell>
        </row>
        <row r="3919">
          <cell r="F3919" t="str">
            <v>HDFC FMP 1176D January 2016 (1) - Regular Option - Growth Option</v>
          </cell>
        </row>
        <row r="3920">
          <cell r="F3920" t="str">
            <v>HDFC FMP 1176D January 2016 (1) - Regular Option - Quarterly Dividend Option</v>
          </cell>
        </row>
        <row r="3921">
          <cell r="F3921" t="str">
            <v>HDFC FMP 1178D February 2017 (1) - Direct Option -  Dividend Option</v>
          </cell>
        </row>
        <row r="3922">
          <cell r="F3922" t="str">
            <v>HDFC FMP 1178D February 2017 (1) - Direct Option -  Growth Option</v>
          </cell>
        </row>
        <row r="3923">
          <cell r="F3923" t="str">
            <v>HDFC FMP 1178D February 2017 (1) - Direct Option -  Quarterly Dividend Option</v>
          </cell>
        </row>
        <row r="3924">
          <cell r="F3924" t="str">
            <v>HDFC FMP 1178D February 2017 (1) - Regular Option -  Dividend Option</v>
          </cell>
        </row>
        <row r="3925">
          <cell r="F3925" t="str">
            <v>HDFC FMP 1178D February 2017 (1) - Regular Option -  Growth Option</v>
          </cell>
        </row>
        <row r="3926">
          <cell r="F3926" t="str">
            <v>HDFC FMP 1178D February 2017 (1) - Regular Option - Quarterly Dividend Option</v>
          </cell>
        </row>
        <row r="3927">
          <cell r="F3927" t="str">
            <v>HDFC FMP 1183D January 2016 (1) - Direct Option - Dividend Option</v>
          </cell>
        </row>
        <row r="3928">
          <cell r="F3928" t="str">
            <v>HDFC FMP 1183D January 2016 (1) - Direct Option - Growth Option</v>
          </cell>
        </row>
        <row r="3929">
          <cell r="F3929" t="str">
            <v>HDFC FMP 1183D January 2016 (1) - Direct Option - Quarterly Dividend Option</v>
          </cell>
        </row>
        <row r="3930">
          <cell r="F3930" t="str">
            <v>HDFC FMP 1183D January 2016 (1) - Regular Option - Dividend Option</v>
          </cell>
        </row>
        <row r="3931">
          <cell r="F3931" t="str">
            <v>HDFC FMP 1183D January 2016 (1) - Regular Option - Growth Option</v>
          </cell>
        </row>
        <row r="3932">
          <cell r="F3932" t="str">
            <v>HDFC FMP 1183D January 2016 (1) - Regular Option - Quarterly Dividend Option</v>
          </cell>
        </row>
        <row r="3933">
          <cell r="F3933" t="str">
            <v>HDFC FMP 1184D January 2015 (1) - Direct Option - Dividend Option</v>
          </cell>
        </row>
        <row r="3934">
          <cell r="F3934" t="str">
            <v>HDFC FMP 1184D January 2015 (1) - Direct Option - Growth Option</v>
          </cell>
        </row>
        <row r="3935">
          <cell r="F3935" t="str">
            <v>HDFC FMP 1184D January 2015 (1) - Direct Option - Quarterly Dividend Option</v>
          </cell>
        </row>
        <row r="3936">
          <cell r="F3936" t="str">
            <v>HDFC FMP 1184D January 2015 (1) - Regular Option - Dividend Option</v>
          </cell>
        </row>
        <row r="3937">
          <cell r="F3937" t="str">
            <v>HDFC FMP 1184D January 2015 (1) - Regular Option - Flexi Option</v>
          </cell>
        </row>
        <row r="3938">
          <cell r="F3938" t="str">
            <v>HDFC FMP 1184D January 2015 (1) - Regular Option - Growth Option</v>
          </cell>
        </row>
        <row r="3939">
          <cell r="F3939" t="str">
            <v>HDFC FMP 1184D January 2015 (1) - Regular Option - Quarterly Dividend Option</v>
          </cell>
        </row>
        <row r="3940">
          <cell r="F3940" t="str">
            <v>HDFC FMP 1188D March 2017 (1) - Direct Option -  Dividend Option</v>
          </cell>
        </row>
        <row r="3941">
          <cell r="F3941" t="str">
            <v>HDFC FMP 1188D March 2017 (1) - Direct Option -  Growth Option</v>
          </cell>
        </row>
        <row r="3942">
          <cell r="F3942" t="str">
            <v>HDFC FMP 1188D March 2017 (1) - Direct Option -  Quarterly Dividend Option</v>
          </cell>
        </row>
        <row r="3943">
          <cell r="F3943" t="str">
            <v>HDFC FMP 1188D March 2017 (1) - Regular Option -  Dividend Option</v>
          </cell>
        </row>
        <row r="3944">
          <cell r="F3944" t="str">
            <v>HDFC FMP 1188D March 2017 (1) - Regular Option -  Growth Option</v>
          </cell>
        </row>
        <row r="3945">
          <cell r="F3945" t="str">
            <v>HDFC FMP 1188D March 2017 (1) - Regular Option -  Quarterly Dividend Option</v>
          </cell>
        </row>
        <row r="3946">
          <cell r="F3946" t="str">
            <v>HDFC FMP 1190D March 2016 (1)-Direct Option-Dividend Option</v>
          </cell>
        </row>
        <row r="3947">
          <cell r="F3947" t="str">
            <v>HDFC FMP 1190D March 2016 (1)-Direct Option-Growth Option</v>
          </cell>
        </row>
        <row r="3948">
          <cell r="F3948" t="str">
            <v>HDFC FMP 1190D March 2016 (1)-Direct Option-Quarterly Dividend Option</v>
          </cell>
        </row>
        <row r="3949">
          <cell r="F3949" t="str">
            <v>HDFC FMP 1190D March 2016 (1)-Regular Option-Dividend Option</v>
          </cell>
        </row>
        <row r="3950">
          <cell r="F3950" t="str">
            <v>HDFC FMP 1190D March 2016 (1)-Regular Option-Growth Option</v>
          </cell>
        </row>
        <row r="3951">
          <cell r="F3951" t="str">
            <v>HDFC FMP 1190D March 2016 (1)-Regular Option-Quarterly Dividend Option</v>
          </cell>
        </row>
        <row r="3952">
          <cell r="F3952" t="str">
            <v>HDFC FMP 1199D January 2017 (1) - Direct Option - Dividend Option</v>
          </cell>
        </row>
        <row r="3953">
          <cell r="F3953" t="str">
            <v>HDFC FMP 1199D January 2017 (1) - Direct Option - Growth Option</v>
          </cell>
        </row>
        <row r="3954">
          <cell r="F3954" t="str">
            <v>HDFC FMP 1199D January 2017 (1) - Direct Option - Quarterly Dividend Option</v>
          </cell>
        </row>
        <row r="3955">
          <cell r="F3955" t="str">
            <v>HDFC FMP 1199D January 2017 (1) - Regular Option - Dividend Option</v>
          </cell>
        </row>
        <row r="3956">
          <cell r="F3956" t="str">
            <v>HDFC FMP 1199D January 2017 (1) - Regular Option - Growth Option</v>
          </cell>
        </row>
        <row r="3957">
          <cell r="F3957" t="str">
            <v>HDFC FMP 1199D January 2017 (1) - Regular Option - Quarterly Dividend Option</v>
          </cell>
        </row>
        <row r="3958">
          <cell r="F3958" t="str">
            <v>HDFC FMP 1213D March 2017 (1) - Direct Dividend Option</v>
          </cell>
        </row>
        <row r="3959">
          <cell r="F3959" t="str">
            <v>HDFC FMP 1213D March 2017 (1) - Direct Growth Option</v>
          </cell>
        </row>
        <row r="3960">
          <cell r="F3960" t="str">
            <v>HDFC FMP 1213D March 2017 (1) - Direct Quarterly Dividend Option</v>
          </cell>
        </row>
        <row r="3961">
          <cell r="F3961" t="str">
            <v>HDFC FMP 1213D March 2017 (1) - Regular Dividend Option</v>
          </cell>
        </row>
        <row r="3962">
          <cell r="F3962" t="str">
            <v>HDFC FMP 1213D March 2017 (1) - Regular Growth Option</v>
          </cell>
        </row>
        <row r="3963">
          <cell r="F3963" t="str">
            <v>HDFC FMP 1213D March 2017 (1) - Regular Quarterly  Dividend Option</v>
          </cell>
        </row>
        <row r="3964">
          <cell r="F3964" t="str">
            <v>HDFC FMP 1218 DECEMBER 2016 (1) - Direct Option - Dividend Option</v>
          </cell>
        </row>
        <row r="3965">
          <cell r="F3965" t="str">
            <v>HDFC FMP 1218 DECEMBER 2016 (1) - Direct Option - Growth Option</v>
          </cell>
        </row>
        <row r="3966">
          <cell r="F3966" t="str">
            <v>HDFC FMP 1218 DECEMBER 2016 (1) - Direct Option - Quaterly Dividend Option</v>
          </cell>
        </row>
        <row r="3967">
          <cell r="F3967" t="str">
            <v>HDFC FMP 1218 DECEMBER 2016 (1) - Regular Option - Dividend Option</v>
          </cell>
        </row>
        <row r="3968">
          <cell r="F3968" t="str">
            <v>HDFC FMP 1218 DECEMBER 2016 (1) - Regular Option - Growth Option</v>
          </cell>
        </row>
        <row r="3969">
          <cell r="F3969" t="str">
            <v>HDFC FMP 1218 DECEMBER 2016 (1) - Regular Option - Quaterly Dividend Option</v>
          </cell>
        </row>
        <row r="3970">
          <cell r="F3970" t="str">
            <v>HDFC FMP 1302D September 2016 (1) - Direct Option - Dividend Option</v>
          </cell>
        </row>
        <row r="3971">
          <cell r="F3971" t="str">
            <v>HDFC FMP 1302D September 2016 (1) - Direct Option - Quarterly Dividend Option</v>
          </cell>
        </row>
        <row r="3972">
          <cell r="F3972" t="str">
            <v>HDFC FMP 1302D September 2016 (1) - Direct Option-Growth Option</v>
          </cell>
        </row>
        <row r="3973">
          <cell r="F3973" t="str">
            <v>HDFC FMP 1302D September 2016 (1) - Regular Option - Dividend Option</v>
          </cell>
        </row>
        <row r="3974">
          <cell r="F3974" t="str">
            <v>HDFC FMP 1302D September 2016 (1) - Regular Option - Growth Option</v>
          </cell>
        </row>
        <row r="3975">
          <cell r="F3975" t="str">
            <v>HDFC FMP 1302D September 2016 (1) - Regular Option - Quarterly Dividend Option</v>
          </cell>
        </row>
        <row r="3976">
          <cell r="F3976" t="str">
            <v>HDFC FMP 1309D September 2016 (1) - Direct Option - Dividend Option</v>
          </cell>
        </row>
        <row r="3977">
          <cell r="F3977" t="str">
            <v>HDFC FMP 1309D September 2016 (1) - Direct Option - Growth Option</v>
          </cell>
        </row>
        <row r="3978">
          <cell r="F3978" t="str">
            <v>HDFC FMP 1309D September 2016 (1) - Direct Option - Quarterly Dividend Option</v>
          </cell>
        </row>
        <row r="3979">
          <cell r="F3979" t="str">
            <v>HDFC FMP 1309D September 2016 (1) - Regular Option - Dividend Option</v>
          </cell>
        </row>
        <row r="3980">
          <cell r="F3980" t="str">
            <v>HDFC FMP 1309D September 2016 (1) - Regular Option - Growth Option</v>
          </cell>
        </row>
        <row r="3981">
          <cell r="F3981" t="str">
            <v>HDFC FMP 1309D September 2016 (1) - Regular Option - Quarterly Dividend Option</v>
          </cell>
        </row>
        <row r="3982">
          <cell r="F3982" t="str">
            <v>HDFC FMP 1430D July 2017 (1) - Direct Option -  Dividend Option</v>
          </cell>
        </row>
        <row r="3983">
          <cell r="F3983" t="str">
            <v>HDFC FMP 1430D July 2017 (1) - Direct Option -  Growth Option</v>
          </cell>
        </row>
        <row r="3984">
          <cell r="F3984" t="str">
            <v>HDFC FMP 1430D July 2017 (1) - Direct Option -  Quarterly Dividend Option</v>
          </cell>
        </row>
        <row r="3985">
          <cell r="F3985" t="str">
            <v>HDFC FMP 1430D July 2017 (1) - Regular Option -  Dividend Option</v>
          </cell>
        </row>
        <row r="3986">
          <cell r="F3986" t="str">
            <v>HDFC FMP 1430D July 2017 (1) - Regular Option -  Growth Option</v>
          </cell>
        </row>
        <row r="3987">
          <cell r="F3987" t="str">
            <v>HDFC FMP 1430D July 2017 (1) - Regular Option -  Quarterly Dividend Option</v>
          </cell>
        </row>
        <row r="3988">
          <cell r="F3988" t="str">
            <v>HDFC FMP 1846D August 2013 (1)-Direct Option-Dividend Option</v>
          </cell>
        </row>
        <row r="3989">
          <cell r="F3989" t="str">
            <v>HDFC FMP 1846D August 2013 (1)-Direct Option-Growth Option</v>
          </cell>
        </row>
        <row r="3990">
          <cell r="F3990" t="str">
            <v>HDFC FMP 1846D August 2013 (1)-Direct Option-Quarterly Dividend Option</v>
          </cell>
        </row>
        <row r="3991">
          <cell r="F3991" t="str">
            <v>HDFC FMP 1846D August 2013 (1)-Regular Option-Dividend Option</v>
          </cell>
        </row>
        <row r="3992">
          <cell r="F3992" t="str">
            <v>HDFC FMP 1846D August 2013 (1)-Regular Option-Flexi Option</v>
          </cell>
        </row>
        <row r="3993">
          <cell r="F3993" t="str">
            <v>HDFC FMP 1846D August 2013 (1)-Regular Option-Growth Option</v>
          </cell>
        </row>
        <row r="3994">
          <cell r="F3994" t="str">
            <v>HDFC FMP 1846D August 2013 (1)-Regular Option-Quarterly Dividend Option</v>
          </cell>
        </row>
        <row r="3995">
          <cell r="F3995" t="str">
            <v>HDFC FMP 1875D August 2013 (1) - Direct Option - Dividend Option</v>
          </cell>
        </row>
        <row r="3996">
          <cell r="F3996" t="str">
            <v>HDFC FMP 1875D August 2013 (1) - Direct Option - Flexi Option</v>
          </cell>
        </row>
        <row r="3997">
          <cell r="F3997" t="str">
            <v>HDFC FMP 1875D August 2013 (1) - Direct Option - Growth Option</v>
          </cell>
        </row>
        <row r="3998">
          <cell r="F3998" t="str">
            <v>HDFC FMP 1875D August 2013 (1) - Direct Option - Quarterly Dividend Option</v>
          </cell>
        </row>
        <row r="3999">
          <cell r="F3999" t="str">
            <v>HDFC FMP 1875D August 2013 (1) - Regular Option - Dividend Option</v>
          </cell>
        </row>
        <row r="4000">
          <cell r="F4000" t="str">
            <v>HDFC FMP 1875D August 2013 (1) - Regular Option - Growth Option</v>
          </cell>
        </row>
        <row r="4001">
          <cell r="F4001" t="str">
            <v>HDFC FMP 1875D August 2013 (1) - Regular Option - Quarterly Dividend Option</v>
          </cell>
        </row>
        <row r="4002">
          <cell r="F4002" t="str">
            <v>HDFC FMP 1919D January 2013 (1) Direct Plan Dividend Option</v>
          </cell>
        </row>
        <row r="4003">
          <cell r="F4003" t="str">
            <v>HDFC FMP 1919D January 2013 (1) Direct Plan Flexi Option</v>
          </cell>
        </row>
        <row r="4004">
          <cell r="F4004" t="str">
            <v>HDFC FMP 1919D January 2013 (1) Direct Plan Growth Option</v>
          </cell>
        </row>
        <row r="4005">
          <cell r="F4005" t="str">
            <v>HDFC FMP 1919D January 2013 (1) Direct Plan Quarterly Dividend Option</v>
          </cell>
        </row>
        <row r="4006">
          <cell r="F4006" t="str">
            <v>HDFC FMP 1919D January 2013 (1) Dividend Option</v>
          </cell>
        </row>
        <row r="4007">
          <cell r="F4007" t="str">
            <v>HDFC FMP 1919D January 2013 (1) Flexi Option</v>
          </cell>
        </row>
        <row r="4008">
          <cell r="F4008" t="str">
            <v>HDFC FMP 1919D January 2013 (1) Growth Option</v>
          </cell>
        </row>
        <row r="4009">
          <cell r="F4009" t="str">
            <v>HDFC FMP 1919D January 2013 (1) Quarterly Dividend Option</v>
          </cell>
        </row>
        <row r="4010">
          <cell r="F4010" t="str">
            <v>HDFC FMP 3360D March 2014 (1)-Direct Option-Dividend Option</v>
          </cell>
        </row>
        <row r="4011">
          <cell r="F4011" t="str">
            <v>HDFC FMP 3360D March 2014 (1)-Direct Option-Flexi Option</v>
          </cell>
        </row>
        <row r="4012">
          <cell r="F4012" t="str">
            <v>HDFC FMP 3360D March 2014 (1)-Direct Option-Growth Option</v>
          </cell>
        </row>
        <row r="4013">
          <cell r="F4013" t="str">
            <v>HDFC FMP 3360D March 2014 (1)-Direct Option-Quarterly Dividend Option</v>
          </cell>
        </row>
        <row r="4014">
          <cell r="F4014" t="str">
            <v>HDFC FMP 3360D March 2014 (1)-Regular Option-Dividend Option</v>
          </cell>
        </row>
        <row r="4015">
          <cell r="F4015" t="str">
            <v>HDFC FMP 3360D March 2014 (1)-Regular Option-Flexi Option</v>
          </cell>
        </row>
        <row r="4016">
          <cell r="F4016" t="str">
            <v>HDFC FMP 3360D March 2014 (1)-Regular Option-Growth Option</v>
          </cell>
        </row>
        <row r="4017">
          <cell r="F4017" t="str">
            <v>HDFC FMP 3360D March 2014 (1)-Regular Option-Quarterly Dividend Option</v>
          </cell>
        </row>
        <row r="4018">
          <cell r="F4018" t="str">
            <v>HDFC FMP 370D March 2014 (1)-Direct Option-Growth Option</v>
          </cell>
        </row>
        <row r="4019">
          <cell r="F4019" t="str">
            <v>HDFC FMP 370D March 2014 (1)-Regular Option-Dividend Option</v>
          </cell>
        </row>
        <row r="4020">
          <cell r="F4020" t="str">
            <v>HDFC FMP 370D March 2014 (1)-Regular Option-Growth Option</v>
          </cell>
        </row>
        <row r="4021">
          <cell r="F4021" t="str">
            <v>HDFC FMP 793D February 2014 (1) - Direct Option-Flexi Option</v>
          </cell>
        </row>
        <row r="4022">
          <cell r="F4022" t="str">
            <v>HDFC FMP 793D February 2014 (1) - Direct Option-Growth Option</v>
          </cell>
        </row>
        <row r="4023">
          <cell r="F4023" t="str">
            <v>HDFC FMP 793D February 2014 (1) - Regular Option-Flexi Option</v>
          </cell>
        </row>
        <row r="4024">
          <cell r="F4024" t="str">
            <v>HDFC FMP 793D February 2014 (1) - Regular Option-Growth Option</v>
          </cell>
        </row>
        <row r="4025">
          <cell r="F4025" t="str">
            <v>HDFC Focused 30 Fund - DIVIDEND</v>
          </cell>
        </row>
        <row r="4026">
          <cell r="F4026" t="str">
            <v>HDFC Focused 30 Fund - GROWTH</v>
          </cell>
        </row>
        <row r="4027">
          <cell r="F4027" t="str">
            <v>HDFC Focused 30 Fund -Direct Plan - Dividend Option</v>
          </cell>
        </row>
        <row r="4028">
          <cell r="F4028" t="str">
            <v>HDFC Focused 30 Fund -Direct Plan - Growth Option</v>
          </cell>
        </row>
        <row r="4029">
          <cell r="F4029" t="str">
            <v>HDFC FOCUSED EQUITY FUND - Direct Plan - Dividend Option</v>
          </cell>
        </row>
        <row r="4030">
          <cell r="F4030" t="str">
            <v>HDFC FOCUSED EQUITY FUND - Direct Plan - Growth Option</v>
          </cell>
        </row>
        <row r="4031">
          <cell r="F4031" t="str">
            <v>HDFC Focused Equity Fund - Plan B - Direct Plan - Growth Option</v>
          </cell>
        </row>
        <row r="4032">
          <cell r="F4032" t="str">
            <v>HDFC Focused Equity Fund - Plan B - Direct Plan-  Dividend Option</v>
          </cell>
        </row>
        <row r="4033">
          <cell r="F4033" t="str">
            <v>HDFC Focused Equity Fund - Plan B - Regular Plan - Dividend Option</v>
          </cell>
        </row>
        <row r="4034">
          <cell r="F4034" t="str">
            <v>HDFC Focused Equity Fund - Plan B - Regular Plan - Growth Option</v>
          </cell>
        </row>
        <row r="4035">
          <cell r="F4035" t="str">
            <v>HDFC FOCUSED EQUITY FUND - Regular Plan - Dividend Option</v>
          </cell>
        </row>
        <row r="4036">
          <cell r="F4036" t="str">
            <v>HDFC FOCUSED EQUITY FUND - Regular Plan - Growth Option</v>
          </cell>
        </row>
        <row r="4037">
          <cell r="F4037" t="str">
            <v>HDFC Gilt Fund - Dividend Option - Direct Plan</v>
          </cell>
        </row>
        <row r="4038">
          <cell r="F4038" t="str">
            <v>HDFC Gilt Fund - Dividend Plan</v>
          </cell>
        </row>
        <row r="4039">
          <cell r="F4039" t="str">
            <v>HDFC Gilt Fund - Growth Option - Direct Plan</v>
          </cell>
        </row>
        <row r="4040">
          <cell r="F4040" t="str">
            <v>HDFC Gilt Fund - Growth Plan</v>
          </cell>
        </row>
        <row r="4041">
          <cell r="F4041" t="str">
            <v>HDFC Gilt Fund Short Term Plan -Direct Plan - Dividend Option</v>
          </cell>
        </row>
        <row r="4042">
          <cell r="F4042" t="str">
            <v>HDFC Gilt Fund Short Term Plan -Direct Plan - Growth Option</v>
          </cell>
        </row>
        <row r="4043">
          <cell r="F4043" t="str">
            <v>HDFC Gilt Fund-Short Term-Dividend</v>
          </cell>
        </row>
        <row r="4044">
          <cell r="F4044" t="str">
            <v>HDFC Gilt Fund-Short Term-Growth</v>
          </cell>
        </row>
        <row r="4045">
          <cell r="F4045" t="str">
            <v>HDFC Gold Exchange Traded Fund</v>
          </cell>
        </row>
        <row r="4046">
          <cell r="F4046" t="str">
            <v>HDFC Gold Fund -Growth Option</v>
          </cell>
        </row>
        <row r="4047">
          <cell r="F4047" t="str">
            <v>HDFC Gold Fund-Direct Plan</v>
          </cell>
        </row>
        <row r="4048">
          <cell r="F4048" t="str">
            <v>HDFC Growth Opportunities Fund - Direct Dividend Plan</v>
          </cell>
        </row>
        <row r="4049">
          <cell r="F4049" t="str">
            <v>HDFC Growth Opportunities Fund - Direct Growth Plan</v>
          </cell>
        </row>
        <row r="4050">
          <cell r="F4050" t="str">
            <v>HDFC Growth Opportunities Fund - Regular Dividend Plan</v>
          </cell>
        </row>
        <row r="4051">
          <cell r="F4051" t="str">
            <v>HDFC Growth Opportunities Fund - Regular Growth Plan</v>
          </cell>
        </row>
        <row r="4052">
          <cell r="F4052" t="str">
            <v>HDFC HOF - I - 1140D November 2017 (1) - Direct Option - Dividend Option</v>
          </cell>
        </row>
        <row r="4053">
          <cell r="F4053" t="str">
            <v>HDFC HOF - I - 1140D November 2017 (1) - Direct Option - Growth Option</v>
          </cell>
        </row>
        <row r="4054">
          <cell r="F4054" t="str">
            <v>HDFC HOF - I - 1140D November 2017 (1) - Regular Option - Dividend Option</v>
          </cell>
        </row>
        <row r="4055">
          <cell r="F4055" t="str">
            <v>HDFC HOF - I - 1140D November 2017 (1) - Regular Option - Growth Option</v>
          </cell>
        </row>
        <row r="4056">
          <cell r="F4056" t="str">
            <v>HDFC Hybrid Debt Fund - Growth Plan</v>
          </cell>
        </row>
        <row r="4057">
          <cell r="F4057" t="str">
            <v>HDFC Hybrid Debt Fund - Monthly Dividend Option</v>
          </cell>
        </row>
        <row r="4058">
          <cell r="F4058" t="str">
            <v>HDFC Hybrid Debt Fund - Quarterly Dividend Option</v>
          </cell>
        </row>
        <row r="4059">
          <cell r="F4059" t="str">
            <v>HDFC Hybrid Debt Fund -Direct Plan - Growth Option</v>
          </cell>
        </row>
        <row r="4060">
          <cell r="F4060" t="str">
            <v>HDFC Hybrid Debt Fund -Direct Plan - Monthly Dividend Option</v>
          </cell>
        </row>
        <row r="4061">
          <cell r="F4061" t="str">
            <v>HDFC Hybrid Debt Fund -Direct Plan - Quarterly Dividend Option</v>
          </cell>
        </row>
        <row r="4062">
          <cell r="F4062" t="str">
            <v>HDFC Hybrid Equity -Direct Plan - Dividend Option</v>
          </cell>
        </row>
        <row r="4063">
          <cell r="F4063" t="str">
            <v>HDFC Hybrid Equity -Direct Plan - Growth Option</v>
          </cell>
        </row>
        <row r="4064">
          <cell r="F4064" t="str">
            <v>HDFC Hybrid Equity Fund-Dividend</v>
          </cell>
        </row>
        <row r="4065">
          <cell r="F4065" t="str">
            <v>HDFC Hybrid Equity Fund-Growth</v>
          </cell>
        </row>
        <row r="4066">
          <cell r="F4066" t="str">
            <v>HDFC Income Fund - Direct Plan - Normal Dividend Option</v>
          </cell>
        </row>
        <row r="4067">
          <cell r="F4067" t="str">
            <v>HDFC Income Fund - Regular Plan - Normal Dividend Option</v>
          </cell>
        </row>
        <row r="4068">
          <cell r="F4068" t="str">
            <v>HDFC Income Fund -Direct Plan - Growth Option</v>
          </cell>
        </row>
        <row r="4069">
          <cell r="F4069" t="str">
            <v>HDFC Income Fund -Direct Plan - Quarterly Dividend Option</v>
          </cell>
        </row>
        <row r="4070">
          <cell r="F4070" t="str">
            <v>HDFC Income Fund- Quarterly Dividend Option</v>
          </cell>
        </row>
        <row r="4071">
          <cell r="F4071" t="str">
            <v>HDFC Income Fund-Growth</v>
          </cell>
        </row>
        <row r="4072">
          <cell r="F4072" t="str">
            <v>HDFC Index Fund Sensex Plan-Direct Plan</v>
          </cell>
        </row>
        <row r="4073">
          <cell r="F4073" t="str">
            <v>HDFC Index Fund Sensex Plus Plan-Direct Plan</v>
          </cell>
        </row>
        <row r="4074">
          <cell r="F4074" t="str">
            <v>HDFC Index Fund-Nifty 50 Plan-Direct Plan</v>
          </cell>
        </row>
        <row r="4075">
          <cell r="F4075" t="str">
            <v>HDFC Index Fund-Nifty 50 Plan-Growth Plan</v>
          </cell>
        </row>
        <row r="4076">
          <cell r="F4076" t="str">
            <v>HDFC Index Fund-Sensex Plus( FV-Rs32.161)</v>
          </cell>
        </row>
        <row r="4077">
          <cell r="F4077" t="str">
            <v>HDFC Index FundSensex Plan( FV Rs 32.161)</v>
          </cell>
        </row>
        <row r="4078">
          <cell r="F4078" t="str">
            <v>HDFC Infrastructure Fund - Dividend Option</v>
          </cell>
        </row>
        <row r="4079">
          <cell r="F4079" t="str">
            <v>HDFC Infrastructure Fund - Growth Option</v>
          </cell>
        </row>
        <row r="4080">
          <cell r="F4080" t="str">
            <v>HDFC Infrastructure Fund -Direct Plan - Dividend Option</v>
          </cell>
        </row>
        <row r="4081">
          <cell r="F4081" t="str">
            <v>HDFC Infrastructure Fund -Direct Plan - Growth Option</v>
          </cell>
        </row>
        <row r="4082">
          <cell r="F4082" t="str">
            <v>HDFC Liquid Fund -Direct Plan - Daily Dividend Option</v>
          </cell>
        </row>
        <row r="4083">
          <cell r="F4083" t="str">
            <v>HDFC Liquid Fund -Direct Plan - Growth Option</v>
          </cell>
        </row>
        <row r="4084">
          <cell r="F4084" t="str">
            <v>HDFC Liquid Fund -Direct Plan - Monthly Dividend Option</v>
          </cell>
        </row>
        <row r="4085">
          <cell r="F4085" t="str">
            <v>HDFC Liquid Fund -Direct Plan - Weekly Dividend Option</v>
          </cell>
        </row>
        <row r="4086">
          <cell r="F4086" t="str">
            <v>HDFC Liquid Fund-Dividend - Daily</v>
          </cell>
        </row>
        <row r="4087">
          <cell r="F4087" t="str">
            <v>HDFC Liquid Fund-Dividend - Monthly</v>
          </cell>
        </row>
        <row r="4088">
          <cell r="F4088" t="str">
            <v>HDFC Liquid Fund-Dividend - Weekly</v>
          </cell>
        </row>
        <row r="4089">
          <cell r="F4089" t="str">
            <v>HDFC Liquid Fund-GROWTH</v>
          </cell>
        </row>
        <row r="4090">
          <cell r="F4090" t="str">
            <v>HDFC Liquid Fund-Premium Plan - Dividend-Daily</v>
          </cell>
        </row>
        <row r="4091">
          <cell r="F4091" t="str">
            <v>HDFC Liquid Fund-PREMIUM- Growth</v>
          </cell>
        </row>
        <row r="4092">
          <cell r="F4092" t="str">
            <v>HDFC Long Term Advantage Fund -Direct Plan - Dividend Option</v>
          </cell>
        </row>
        <row r="4093">
          <cell r="F4093" t="str">
            <v>HDFC Long Term Advantage Fund -Direct Plan - Growth Option</v>
          </cell>
        </row>
        <row r="4094">
          <cell r="F4094" t="str">
            <v>HDFC Low Duration Fund- Retail Daily Dividend</v>
          </cell>
        </row>
        <row r="4095">
          <cell r="F4095" t="str">
            <v>HDFC Low Duration Fund- Retail Growth</v>
          </cell>
        </row>
        <row r="4096">
          <cell r="F4096" t="str">
            <v>HDFC Low Duration Fund- Retail Monthly Dividend</v>
          </cell>
        </row>
        <row r="4097">
          <cell r="F4097" t="str">
            <v>HDFC Low Duration Fund- Wholesale Daily Dividend</v>
          </cell>
        </row>
        <row r="4098">
          <cell r="F4098" t="str">
            <v>HDFC Low Duration Fund- Wholesale Monthly Dividend</v>
          </cell>
        </row>
        <row r="4099">
          <cell r="F4099" t="str">
            <v>HDFC Low Duration Fund- Wholesale Weekly Dividend</v>
          </cell>
        </row>
        <row r="4100">
          <cell r="F4100" t="str">
            <v>HDFC Low Duration Fund- Wholesale- Growth</v>
          </cell>
        </row>
        <row r="4101">
          <cell r="F4101" t="str">
            <v>HDFC Low Duration Fund-Direct Plan-Daily Dividend</v>
          </cell>
        </row>
        <row r="4102">
          <cell r="F4102" t="str">
            <v>HDFC Low Duration Fund-Direct Plan-Growth</v>
          </cell>
        </row>
        <row r="4103">
          <cell r="F4103" t="str">
            <v>HDFC Low Duration Fund-Direct Plan-Monthly Dividend</v>
          </cell>
        </row>
        <row r="4104">
          <cell r="F4104" t="str">
            <v>HDFC Low Duration Fund-Direct Plan-Weekly Dividend</v>
          </cell>
        </row>
        <row r="4105">
          <cell r="F4105" t="str">
            <v>HDFC Low Duration Fund-Retail Monthly Dividend</v>
          </cell>
        </row>
        <row r="4106">
          <cell r="F4106" t="str">
            <v>HDFC Medium Term Debt Fund -Growth Option</v>
          </cell>
        </row>
        <row r="4107">
          <cell r="F4107" t="str">
            <v>HDFC Medium Term Debt Fund-Dividend option</v>
          </cell>
        </row>
        <row r="4108">
          <cell r="F4108" t="str">
            <v>HDFC Medium Term Debt Fund-Dividend Option-Direct Plan</v>
          </cell>
        </row>
        <row r="4109">
          <cell r="F4109" t="str">
            <v>HDFC Medium Term Debt Fund-Fortnightly Div option-Direct Plan</v>
          </cell>
        </row>
        <row r="4110">
          <cell r="F4110" t="str">
            <v>HDFC Medium Term Debt Fund-Fortnightly Option</v>
          </cell>
        </row>
        <row r="4111">
          <cell r="F4111" t="str">
            <v>HDFC Medium Term Debt Fund-Growth Option-Direct Plan</v>
          </cell>
        </row>
        <row r="4112">
          <cell r="F4112" t="str">
            <v>HDFC MF MIP STP -Direct Plan - Growth Option</v>
          </cell>
        </row>
        <row r="4113">
          <cell r="F4113" t="str">
            <v>HDFC MF MIP STP -Direct Plan - Monthly Dividend Option</v>
          </cell>
        </row>
        <row r="4114">
          <cell r="F4114" t="str">
            <v>HDFC MF MIP STP-Direct Plan - Quarterly Dividend Option</v>
          </cell>
        </row>
        <row r="4115">
          <cell r="F4115" t="str">
            <v>HDFC MF Monthly Income Plan-Short Term Plan-Growth Option</v>
          </cell>
        </row>
        <row r="4116">
          <cell r="F4116" t="str">
            <v>HDFC MF Monthly Income Plan-Short Term Plan-Monthly Dividend Option</v>
          </cell>
        </row>
        <row r="4117">
          <cell r="F4117" t="str">
            <v>HDFC MF Monthly Income Plan-Short Term Plan-Quarterly Dividend Option</v>
          </cell>
        </row>
        <row r="4118">
          <cell r="F4118" t="str">
            <v>HDFC Mid Cap Opportunities Fund -Direct Plan - Dividend Option</v>
          </cell>
        </row>
        <row r="4119">
          <cell r="F4119" t="str">
            <v>HDFC Mid Cap Opportunities Fund -Direct Plan - Growth Option</v>
          </cell>
        </row>
        <row r="4120">
          <cell r="F4120" t="str">
            <v>HDFC Mid-Cap Opportunities Fund - Dividend Option</v>
          </cell>
        </row>
        <row r="4121">
          <cell r="F4121" t="str">
            <v>HDFC Mid-Cap Opportunities Fund - Growth Option</v>
          </cell>
        </row>
        <row r="4122">
          <cell r="F4122" t="str">
            <v>HDFC Money Market Fund - Daily Dividend Option</v>
          </cell>
        </row>
        <row r="4123">
          <cell r="F4123" t="str">
            <v>HDFC Money Market Fund - Daily Dividend Option - Direct Plan</v>
          </cell>
        </row>
        <row r="4124">
          <cell r="F4124" t="str">
            <v>HDFC Money Market Fund - Direct Plan - Growth Option</v>
          </cell>
        </row>
        <row r="4125">
          <cell r="F4125" t="str">
            <v>HDFC Money Market Fund - Direct Plan - Weekly Dividend Option</v>
          </cell>
        </row>
        <row r="4126">
          <cell r="F4126" t="str">
            <v>HDFC Money Market Fund - Growth Option</v>
          </cell>
        </row>
        <row r="4127">
          <cell r="F4127" t="str">
            <v>HDFC Money Market Fund - Weekly Dividend Option</v>
          </cell>
        </row>
        <row r="4128">
          <cell r="F4128" t="str">
            <v>HDFC Multi Asset Fund - Growth Option - Direct Plan</v>
          </cell>
        </row>
        <row r="4129">
          <cell r="F4129" t="str">
            <v>HDFC Multi-Asset Fund - Dividend Option</v>
          </cell>
        </row>
        <row r="4130">
          <cell r="F4130" t="str">
            <v>HDFC Multi-Asset Fund - Dividend Option - Direct Plan</v>
          </cell>
        </row>
        <row r="4131">
          <cell r="F4131" t="str">
            <v>HDFC Multi-Asset Fund -Growth Option</v>
          </cell>
        </row>
        <row r="4132">
          <cell r="F4132" t="str">
            <v>HDFC Nifty 50 ETF - Growth Option</v>
          </cell>
        </row>
        <row r="4133">
          <cell r="F4133" t="str">
            <v>HDFC Overnight Fund - Dividend option (Daily)</v>
          </cell>
        </row>
        <row r="4134">
          <cell r="F4134" t="str">
            <v>HDFC Overnight Fund - Dividend Option - Direct Plan</v>
          </cell>
        </row>
        <row r="4135">
          <cell r="F4135" t="str">
            <v>HDFC Overnight Fund - Growth Option</v>
          </cell>
        </row>
        <row r="4136">
          <cell r="F4136" t="str">
            <v>HDFC Overnight Fund - Growth Option - Direct Plan</v>
          </cell>
        </row>
        <row r="4137">
          <cell r="F4137" t="str">
            <v>HDFC Prudence Fund - Dividend Option</v>
          </cell>
        </row>
        <row r="4138">
          <cell r="F4138" t="str">
            <v>HDFC Prudence Fund - Growth Option</v>
          </cell>
        </row>
        <row r="4139">
          <cell r="F4139" t="str">
            <v>HDFC Prudence Fund -Direct Plan - Dividend Option</v>
          </cell>
        </row>
        <row r="4140">
          <cell r="F4140" t="str">
            <v>HDFC Prudence Fund -Direct Plan - Growth Option</v>
          </cell>
        </row>
        <row r="4141">
          <cell r="F4141" t="str">
            <v>HDFC Regular Savings Fund - Direct Option - Normal Dividend Option</v>
          </cell>
        </row>
        <row r="4142">
          <cell r="F4142" t="str">
            <v>HDFC Regular Savings Fund - Regular Option - Normal Dividend Option</v>
          </cell>
        </row>
        <row r="4143">
          <cell r="F4143" t="str">
            <v>HDFC Regular Savings Fund -Direct Plan - Growth Option</v>
          </cell>
        </row>
        <row r="4144">
          <cell r="F4144" t="str">
            <v>HDFC Regular Savings Fund -Direct Plan - Monthly Dividend Option</v>
          </cell>
        </row>
        <row r="4145">
          <cell r="F4145" t="str">
            <v>HDFC Regular Savings Fund-GROWTH</v>
          </cell>
        </row>
        <row r="4146">
          <cell r="F4146" t="str">
            <v>HDFC Regular Savings Fund-Monthly Dividend Option</v>
          </cell>
        </row>
        <row r="4147">
          <cell r="F4147" t="str">
            <v>HDFC Retirement Savings Fund - Equity Plan - Direct Plan</v>
          </cell>
        </row>
        <row r="4148">
          <cell r="F4148" t="str">
            <v>HDFC Retirement Savings Fund - Equity Plan - Regular Plan</v>
          </cell>
        </row>
        <row r="4149">
          <cell r="F4149" t="str">
            <v>HDFC Retirement Savings Fund - Hybrid - Debt Plan - Direct Plan</v>
          </cell>
        </row>
        <row r="4150">
          <cell r="F4150" t="str">
            <v>HDFC Retirement Savings Fund - Hybrid - Debt Plan - Regular Plan</v>
          </cell>
        </row>
        <row r="4151">
          <cell r="F4151" t="str">
            <v>HDFC Retirement Savings Fund - Hybrid - Equity Plan - Direct Plan</v>
          </cell>
        </row>
        <row r="4152">
          <cell r="F4152" t="str">
            <v>HDFC Retirement Savings Fund - Hybrid - Equity Plan - Regular Plan</v>
          </cell>
        </row>
        <row r="4153">
          <cell r="F4153" t="str">
            <v>HDFC Sensex ETF - Growth option</v>
          </cell>
        </row>
        <row r="4154">
          <cell r="F4154" t="str">
            <v>HDFC Short Term Debt Fund - Fortnightly Dividend - Direct Plan</v>
          </cell>
        </row>
        <row r="4155">
          <cell r="F4155" t="str">
            <v>HDFC Short Term Debt Fund - Fortnightly Dividend Option</v>
          </cell>
        </row>
        <row r="4156">
          <cell r="F4156" t="str">
            <v>HDFC Short Term Debt Fund - Growth Option</v>
          </cell>
        </row>
        <row r="4157">
          <cell r="F4157" t="str">
            <v>HDFC Short Term Debt Fund - Growth Option - Direct Plan</v>
          </cell>
        </row>
        <row r="4158">
          <cell r="F4158" t="str">
            <v>HDFC Short Term Debt Fund - Normal Dividend - Direct Plan</v>
          </cell>
        </row>
        <row r="4159">
          <cell r="F4159" t="str">
            <v>HDFC Short Term Debt Fund - Normal Dividend Option</v>
          </cell>
        </row>
        <row r="4160">
          <cell r="F4160" t="str">
            <v>HDFC Small Cap Fund - Direct Dividend Plan</v>
          </cell>
        </row>
        <row r="4161">
          <cell r="F4161" t="str">
            <v>HDFC Small Cap Fund - Direct Growth Plan</v>
          </cell>
        </row>
        <row r="4162">
          <cell r="F4162" t="str">
            <v>HDFC Small Cap Fund - Regular Dividend Plan</v>
          </cell>
        </row>
        <row r="4163">
          <cell r="F4163" t="str">
            <v>HDFC Small Cap Fund - Regular Growth Plan</v>
          </cell>
        </row>
        <row r="4164">
          <cell r="F4164" t="str">
            <v>HDFC TaxSaver -Direct Plan - Dividend Option</v>
          </cell>
        </row>
        <row r="4165">
          <cell r="F4165" t="str">
            <v>HDFC TaxSaver -Direct Plan - Growth Option</v>
          </cell>
        </row>
        <row r="4166">
          <cell r="F4166" t="str">
            <v>HDFC TaxSaver-Dividend Plan</v>
          </cell>
        </row>
        <row r="4167">
          <cell r="F4167" t="str">
            <v>HDFC TaxSaver-Growth Plan</v>
          </cell>
        </row>
        <row r="4168">
          <cell r="F4168" t="str">
            <v>HDFC Top 100 Fund - Dividend Option</v>
          </cell>
        </row>
        <row r="4169">
          <cell r="F4169" t="str">
            <v>HDFC Top 100 Fund - Growth Option</v>
          </cell>
        </row>
        <row r="4170">
          <cell r="F4170" t="str">
            <v>HDFC Top 100 Fund -Direct Plan - Dividend Option</v>
          </cell>
        </row>
        <row r="4171">
          <cell r="F4171" t="str">
            <v>HDFC Top 100 Fund -Direct Plan - Growth Option</v>
          </cell>
        </row>
        <row r="4172">
          <cell r="F4172" t="str">
            <v>HDFCBANK</v>
          </cell>
        </row>
        <row r="4173">
          <cell r="F4173" t="str">
            <v>HDFCLIFE</v>
          </cell>
        </row>
        <row r="4174">
          <cell r="F4174" t="str">
            <v>HDFCMFGETF</v>
          </cell>
        </row>
        <row r="4175">
          <cell r="F4175" t="str">
            <v>HDFCNIFETF</v>
          </cell>
        </row>
        <row r="4176">
          <cell r="F4176" t="str">
            <v>HDIL</v>
          </cell>
        </row>
        <row r="4177">
          <cell r="F4177" t="str">
            <v>HEG LIMITED</v>
          </cell>
        </row>
        <row r="4178">
          <cell r="F4178" t="str">
            <v>HEIDEL CEM</v>
          </cell>
        </row>
        <row r="4179">
          <cell r="F4179" t="str">
            <v>HEMANG</v>
          </cell>
        </row>
        <row r="4180">
          <cell r="F4180" t="str">
            <v>HEMORGANIC</v>
          </cell>
        </row>
        <row r="4181">
          <cell r="F4181" t="str">
            <v>HEOF1100RG</v>
          </cell>
        </row>
        <row r="4182">
          <cell r="F4182" t="str">
            <v>HEOF1126RG</v>
          </cell>
        </row>
        <row r="4183">
          <cell r="F4183" t="str">
            <v>HERC.HOISTS</v>
          </cell>
        </row>
        <row r="4184">
          <cell r="F4184" t="str">
            <v>HERITGFOOD</v>
          </cell>
        </row>
        <row r="4185">
          <cell r="F4185" t="str">
            <v>HEROMOTOCO</v>
          </cell>
        </row>
        <row r="4186">
          <cell r="F4186" t="str">
            <v>HESTERBIO</v>
          </cell>
        </row>
        <row r="4187">
          <cell r="F4187" t="str">
            <v>HEXATRADEX</v>
          </cell>
        </row>
        <row r="4188">
          <cell r="F4188" t="str">
            <v>HEXAWARE</v>
          </cell>
        </row>
        <row r="4189">
          <cell r="F4189" t="str">
            <v>HFCL</v>
          </cell>
        </row>
        <row r="4190">
          <cell r="F4190" t="str">
            <v>HGSL</v>
          </cell>
        </row>
        <row r="4191">
          <cell r="F4191" t="str">
            <v>HHOF1140RD</v>
          </cell>
        </row>
        <row r="4192">
          <cell r="F4192" t="str">
            <v>HHOF1140RG</v>
          </cell>
        </row>
        <row r="4193">
          <cell r="F4193" t="str">
            <v>HIGH ENERGY</v>
          </cell>
        </row>
        <row r="4194">
          <cell r="F4194" t="str">
            <v>HIGH STREET</v>
          </cell>
        </row>
        <row r="4195">
          <cell r="F4195" t="str">
            <v>HIGHGROUND</v>
          </cell>
        </row>
        <row r="4196">
          <cell r="F4196" t="str">
            <v>HIKAL</v>
          </cell>
        </row>
        <row r="4197">
          <cell r="F4197" t="str">
            <v>HIL</v>
          </cell>
        </row>
        <row r="4198">
          <cell r="F4198" t="str">
            <v>HILTON MET</v>
          </cell>
        </row>
        <row r="4199">
          <cell r="F4199" t="str">
            <v>HIM.FIBRES</v>
          </cell>
        </row>
        <row r="4200">
          <cell r="F4200" t="str">
            <v>HIMALAYA INT</v>
          </cell>
        </row>
        <row r="4201">
          <cell r="F4201" t="str">
            <v>HIMATSEIDE</v>
          </cell>
        </row>
        <row r="4202">
          <cell r="F4202" t="str">
            <v>HIND ALUMIN</v>
          </cell>
        </row>
        <row r="4203">
          <cell r="F4203" t="str">
            <v>HIND MILLS</v>
          </cell>
        </row>
        <row r="4204">
          <cell r="F4204" t="str">
            <v>HIND.COPPER</v>
          </cell>
        </row>
        <row r="4205">
          <cell r="F4205" t="str">
            <v>HIND.DORR</v>
          </cell>
        </row>
        <row r="4206">
          <cell r="F4206" t="str">
            <v>HIND.FLUROCA</v>
          </cell>
        </row>
        <row r="4207">
          <cell r="F4207" t="str">
            <v>HIND.FOODS</v>
          </cell>
        </row>
        <row r="4208">
          <cell r="F4208" t="str">
            <v>HIND.HARDY</v>
          </cell>
        </row>
        <row r="4209">
          <cell r="F4209" t="str">
            <v>HIND.MOTORS</v>
          </cell>
        </row>
        <row r="4210">
          <cell r="F4210" t="str">
            <v>HIND.OIL EXP</v>
          </cell>
        </row>
        <row r="4211">
          <cell r="F4211" t="str">
            <v>HIND.ORG.CHM</v>
          </cell>
        </row>
        <row r="4212">
          <cell r="F4212" t="str">
            <v>HIND.PETRO</v>
          </cell>
        </row>
        <row r="4213">
          <cell r="F4213" t="str">
            <v>HIND.TIN WRK</v>
          </cell>
        </row>
        <row r="4214">
          <cell r="F4214" t="str">
            <v>HINDALCO</v>
          </cell>
        </row>
        <row r="4215">
          <cell r="F4215" t="str">
            <v>HINDCOMPOS</v>
          </cell>
        </row>
        <row r="4216">
          <cell r="F4216" t="str">
            <v>HINDNATGLS</v>
          </cell>
        </row>
        <row r="4217">
          <cell r="F4217" t="str">
            <v>HINDSYNTEX</v>
          </cell>
        </row>
        <row r="4218">
          <cell r="F4218" t="str">
            <v>HINDU.ADHESI</v>
          </cell>
        </row>
        <row r="4219">
          <cell r="F4219" t="str">
            <v>HINDUJA VENT</v>
          </cell>
        </row>
        <row r="4220">
          <cell r="F4220" t="str">
            <v>HINDUNILVR</v>
          </cell>
        </row>
        <row r="4221">
          <cell r="F4221" t="str">
            <v>HINDUSTN BIO</v>
          </cell>
        </row>
        <row r="4222">
          <cell r="F4222" t="str">
            <v>HINDZINC</v>
          </cell>
        </row>
        <row r="4223">
          <cell r="F4223" t="str">
            <v>HIRECT</v>
          </cell>
        </row>
        <row r="4224">
          <cell r="F4224" t="str">
            <v>HISARMET(PS</v>
          </cell>
        </row>
        <row r="4225">
          <cell r="F4225" t="str">
            <v>HITECH</v>
          </cell>
        </row>
        <row r="4226">
          <cell r="F4226" t="str">
            <v>HITECHCORP</v>
          </cell>
        </row>
        <row r="4227">
          <cell r="F4227" t="str">
            <v>HITECHGEAR</v>
          </cell>
        </row>
        <row r="4228">
          <cell r="F4228" t="str">
            <v>HITKIT GLOB</v>
          </cell>
        </row>
        <row r="4229">
          <cell r="F4229" t="str">
            <v>HMT</v>
          </cell>
        </row>
        <row r="4230">
          <cell r="F4230" t="str">
            <v>HMVL</v>
          </cell>
        </row>
        <row r="4231">
          <cell r="F4231" t="str">
            <v>HNGSNGBEES</v>
          </cell>
        </row>
        <row r="4232">
          <cell r="F4232" t="str">
            <v>HONAUT</v>
          </cell>
        </row>
        <row r="4233">
          <cell r="F4233" t="str">
            <v>HONDA SIEL</v>
          </cell>
        </row>
        <row r="4234">
          <cell r="F4234" t="str">
            <v>HOTELEELA</v>
          </cell>
        </row>
        <row r="4235">
          <cell r="F4235" t="str">
            <v>HOV SERVICES</v>
          </cell>
        </row>
        <row r="4236">
          <cell r="F4236" t="str">
            <v>HPL</v>
          </cell>
        </row>
        <row r="4237">
          <cell r="F4237" t="str">
            <v>HSBC Asia Pacific (Ex Japan) Dividend Yield Fund - Dividend</v>
          </cell>
        </row>
        <row r="4238">
          <cell r="F4238" t="str">
            <v>HSBC Asia Pacific (Ex Japan) Dividend Yield Fund - Dividend Direct</v>
          </cell>
        </row>
        <row r="4239">
          <cell r="F4239" t="str">
            <v>HSBC Asia Pacific (Ex Japan) Dividend Yield Fund - Growth</v>
          </cell>
        </row>
        <row r="4240">
          <cell r="F4240" t="str">
            <v>HSBC Asia Pacific (Ex Japan) Dividend Yield Fund - Growth Direct</v>
          </cell>
        </row>
        <row r="4241">
          <cell r="F4241" t="str">
            <v>HSBC Brazil Fund - Dividend Direct</v>
          </cell>
        </row>
        <row r="4242">
          <cell r="F4242" t="str">
            <v>HSBC Brazil Fund - Growth Direct</v>
          </cell>
        </row>
        <row r="4243">
          <cell r="F4243" t="str">
            <v>HSBC Brazil Fund-Dividend</v>
          </cell>
        </row>
        <row r="4244">
          <cell r="F4244" t="str">
            <v>HSBC Brazil Fund-Growth</v>
          </cell>
        </row>
        <row r="4245">
          <cell r="F4245" t="str">
            <v>HSBC Capital Protection Oriented Fund - Series II - Plan I - Dividend</v>
          </cell>
        </row>
        <row r="4246">
          <cell r="F4246" t="str">
            <v>HSBC Capital Protection Oriented Fund - Series II - Plan I - Growth</v>
          </cell>
        </row>
        <row r="4247">
          <cell r="F4247" t="str">
            <v>HSBC Capital Protection Oriented Fund - Series II - Plan II - Dividend</v>
          </cell>
        </row>
        <row r="4248">
          <cell r="F4248" t="str">
            <v>HSBC Capital Protection Oriented Fund - Series II - Plan II - Growth</v>
          </cell>
        </row>
        <row r="4249">
          <cell r="F4249" t="str">
            <v>HSBC Cash Fund -  Growth</v>
          </cell>
        </row>
        <row r="4250">
          <cell r="F4250" t="str">
            <v>HSBC Cash Fund -  Growth Direct</v>
          </cell>
        </row>
        <row r="4251">
          <cell r="F4251" t="str">
            <v>HSBC Cash Fund - Daily Dividend</v>
          </cell>
        </row>
        <row r="4252">
          <cell r="F4252" t="str">
            <v>HSBC Cash Fund - Daily Dividend Direct</v>
          </cell>
        </row>
        <row r="4253">
          <cell r="F4253" t="str">
            <v>HSBC Cash Fund - Institutional Plan - Growth</v>
          </cell>
        </row>
        <row r="4254">
          <cell r="F4254" t="str">
            <v>HSBC Cash Fund - Monthly Dividend</v>
          </cell>
        </row>
        <row r="4255">
          <cell r="F4255" t="str">
            <v>HSBC Cash Fund - Monthly Dividend Direct</v>
          </cell>
        </row>
        <row r="4256">
          <cell r="F4256" t="str">
            <v>HSBC Cash Fund - Regular - Weekly Dividend</v>
          </cell>
        </row>
        <row r="4257">
          <cell r="F4257" t="str">
            <v>HSBC Cash Fund - Regular- Dividend</v>
          </cell>
        </row>
        <row r="4258">
          <cell r="F4258" t="str">
            <v>HSBC Cash Fund - Unclaimed Dividend Above 3 years</v>
          </cell>
        </row>
        <row r="4259">
          <cell r="F4259" t="str">
            <v>HSBC Cash Fund - Unclaimed Dividend Below 3 years</v>
          </cell>
        </row>
        <row r="4260">
          <cell r="F4260" t="str">
            <v>HSBC Cash Fund - Unclaimed Redemption Above 3 years</v>
          </cell>
        </row>
        <row r="4261">
          <cell r="F4261" t="str">
            <v>HSBC Cash Fund - Unclaimed Redemption Below 3 years</v>
          </cell>
        </row>
        <row r="4262">
          <cell r="F4262" t="str">
            <v>HSBC Cash Fund - Weekly Dividend</v>
          </cell>
        </row>
        <row r="4263">
          <cell r="F4263" t="str">
            <v>HSBC Cash Fund - Weekly Dividend Direct</v>
          </cell>
        </row>
        <row r="4264">
          <cell r="F4264" t="str">
            <v>HSBC Cash Fund-Institutional Plan - Daily Dividend</v>
          </cell>
        </row>
        <row r="4265">
          <cell r="F4265" t="str">
            <v>HSBC Cash Fund-Regular-Growth</v>
          </cell>
        </row>
        <row r="4266">
          <cell r="F4266" t="str">
            <v>HSBC Debt Fund - Dividend</v>
          </cell>
        </row>
        <row r="4267">
          <cell r="F4267" t="str">
            <v>HSBC Debt Fund - Growth</v>
          </cell>
        </row>
        <row r="4268">
          <cell r="F4268" t="str">
            <v>HSBC Debt Fund - Growth Direct</v>
          </cell>
        </row>
        <row r="4269">
          <cell r="F4269" t="str">
            <v>HSBC Dynamic Asset Allocation Fund - Dividend</v>
          </cell>
        </row>
        <row r="4270">
          <cell r="F4270" t="str">
            <v>HSBC Dynamic Asset Allocation Fund - Growth</v>
          </cell>
        </row>
        <row r="4271">
          <cell r="F4271" t="str">
            <v>HSBC Dynamic Asset Allocation Fund-Dividend Direct</v>
          </cell>
        </row>
        <row r="4272">
          <cell r="F4272" t="str">
            <v>HSBC Dynamic Asset Allocation Fund-Growth Direct</v>
          </cell>
        </row>
        <row r="4273">
          <cell r="F4273" t="str">
            <v>HSBC Fixed Term Series 125 - Direct Plan Growth Option</v>
          </cell>
        </row>
        <row r="4274">
          <cell r="F4274" t="str">
            <v>HSBC Fixed Term Series 125 - Dividend Option</v>
          </cell>
        </row>
        <row r="4275">
          <cell r="F4275" t="str">
            <v>HSBC Fixed Term Series 125 - Growth Option</v>
          </cell>
        </row>
        <row r="4276">
          <cell r="F4276" t="str">
            <v>HSBC Fixed Term Series 126 - Direct Plan Growth Option</v>
          </cell>
        </row>
        <row r="4277">
          <cell r="F4277" t="str">
            <v>HSBC Fixed Term Series 126 - Dividend Option</v>
          </cell>
        </row>
        <row r="4278">
          <cell r="F4278" t="str">
            <v>HSBC Fixed Term Series 126 - Growth Option</v>
          </cell>
        </row>
        <row r="4279">
          <cell r="F4279" t="str">
            <v>HSBC Fixed Term Series 128 - Direct Plan Growth Option</v>
          </cell>
        </row>
        <row r="4280">
          <cell r="F4280" t="str">
            <v>HSBC Fixed Term Series 128 - Dividend Option</v>
          </cell>
        </row>
        <row r="4281">
          <cell r="F4281" t="str">
            <v>HSBC Fixed Term Series 128 - Growth Option</v>
          </cell>
        </row>
        <row r="4282">
          <cell r="F4282" t="str">
            <v>HSBC Fixed Term Series 129 - Direct Plan Growth Option</v>
          </cell>
        </row>
        <row r="4283">
          <cell r="F4283" t="str">
            <v>HSBC Fixed Term Series 129 - Dividend Option</v>
          </cell>
        </row>
        <row r="4284">
          <cell r="F4284" t="str">
            <v>HSBC Fixed Term Series 129 - Growth Option</v>
          </cell>
        </row>
        <row r="4285">
          <cell r="F4285" t="str">
            <v>HSBC Fixed Term Series 130 - Direct Plan Growth Option</v>
          </cell>
        </row>
        <row r="4286">
          <cell r="F4286" t="str">
            <v>HSBC Fixed Term Series 130 - Dividend Option</v>
          </cell>
        </row>
        <row r="4287">
          <cell r="F4287" t="str">
            <v>HSBC Fixed Term Series 130 - Growth Option</v>
          </cell>
        </row>
        <row r="4288">
          <cell r="F4288" t="str">
            <v>HSBC Fixed Term Series 94-Growth</v>
          </cell>
        </row>
        <row r="4289">
          <cell r="F4289" t="str">
            <v>HSBC Fixed Term Series 94-Growth Direct</v>
          </cell>
        </row>
        <row r="4290">
          <cell r="F4290" t="str">
            <v>HSBC Fixed Term Series 96 - Direct Plan Growth Option</v>
          </cell>
        </row>
        <row r="4291">
          <cell r="F4291" t="str">
            <v>HSBC Fixed Term Series 96 - Growth Option</v>
          </cell>
        </row>
        <row r="4292">
          <cell r="F4292" t="str">
            <v>HSBC Fixed Term Series 98 - Growth Option</v>
          </cell>
        </row>
        <row r="4293">
          <cell r="F4293" t="str">
            <v>HSBC Flexi Debt Fund - Growth Direct</v>
          </cell>
        </row>
        <row r="4294">
          <cell r="F4294" t="str">
            <v>HSBC Flexi Debt Fund - Half Yearly Dividend</v>
          </cell>
        </row>
        <row r="4295">
          <cell r="F4295" t="str">
            <v>HSBC Flexi Debt Fund - Half-yearly Dividend Direct</v>
          </cell>
        </row>
        <row r="4296">
          <cell r="F4296" t="str">
            <v>HSBC Flexi Debt Fund - Monthly Dividend Direct</v>
          </cell>
        </row>
        <row r="4297">
          <cell r="F4297" t="str">
            <v>HSBC Flexi Debt Fund - Quarterly Dividend</v>
          </cell>
        </row>
        <row r="4298">
          <cell r="F4298" t="str">
            <v>HSBC Flexi Debt Fund - Quarterly Dividend Direct</v>
          </cell>
        </row>
        <row r="4299">
          <cell r="F4299" t="str">
            <v>HSBC Flexi Debt Fund - Regular - Half Yearly Dividend</v>
          </cell>
        </row>
        <row r="4300">
          <cell r="F4300" t="str">
            <v>HSBC Flexi Debt Fund-Fortnightly Dividend</v>
          </cell>
        </row>
        <row r="4301">
          <cell r="F4301" t="str">
            <v>HSBC Flexi Debt Fund-Growth</v>
          </cell>
        </row>
        <row r="4302">
          <cell r="F4302" t="str">
            <v>HSBC Flexi Debt Fund-Monthly Dividend</v>
          </cell>
        </row>
        <row r="4303">
          <cell r="F4303" t="str">
            <v>HSBC Flexi Debt Fund-Reg.Growth</v>
          </cell>
        </row>
        <row r="4304">
          <cell r="F4304" t="str">
            <v>HSBC Flexi Debt Fund-Reg.Monthly Dividend</v>
          </cell>
        </row>
        <row r="4305">
          <cell r="F4305" t="str">
            <v>HSBC Flexi Debt Fund-Regular. Fortnightly Dividend</v>
          </cell>
        </row>
        <row r="4306">
          <cell r="F4306" t="str">
            <v>HSBC Flexi Debt Fund-Regular. Quarterly Dividend</v>
          </cell>
        </row>
        <row r="4307">
          <cell r="F4307" t="str">
            <v>HSBC Global Consumer Opportunities Fund - Growth</v>
          </cell>
        </row>
        <row r="4308">
          <cell r="F4308" t="str">
            <v>HSBC Global Consumer Opportunities Fund - Growth Direct</v>
          </cell>
        </row>
        <row r="4309">
          <cell r="F4309" t="str">
            <v>HSBC Global Emerging Market Fund - Dividend Direct</v>
          </cell>
        </row>
        <row r="4310">
          <cell r="F4310" t="str">
            <v>HSBC Global Emerging Market Fund - Growth Direct</v>
          </cell>
        </row>
        <row r="4311">
          <cell r="F4311" t="str">
            <v>HSBC Global Emerging Markets Fund - Dividend</v>
          </cell>
        </row>
        <row r="4312">
          <cell r="F4312" t="str">
            <v>HSBC Global Emerging Markets Fund - Growth</v>
          </cell>
        </row>
        <row r="4313">
          <cell r="F4313" t="str">
            <v>HSBC Infrastructure Equity Fund - Dividend Direct</v>
          </cell>
        </row>
        <row r="4314">
          <cell r="F4314" t="str">
            <v>HSBC Infrastructure Equity Fund - Growth</v>
          </cell>
        </row>
        <row r="4315">
          <cell r="F4315" t="str">
            <v>HSBC Infrastructure Equity Fund - Growth Direct</v>
          </cell>
        </row>
        <row r="4316">
          <cell r="F4316" t="str">
            <v>HSBC Infrastructure Equity Fund- Dividend</v>
          </cell>
        </row>
        <row r="4317">
          <cell r="F4317" t="str">
            <v>HSBC Large Cap Equity Fund - Dividend</v>
          </cell>
        </row>
        <row r="4318">
          <cell r="F4318" t="str">
            <v>HSBC Large Cap Equity Fund - Dividend Direct</v>
          </cell>
        </row>
        <row r="4319">
          <cell r="F4319" t="str">
            <v>HSBC Large Cap Equity Fund - Growth</v>
          </cell>
        </row>
        <row r="4320">
          <cell r="F4320" t="str">
            <v>HSBC Large Cap Equity Fund - Growth Direct</v>
          </cell>
        </row>
        <row r="4321">
          <cell r="F4321" t="str">
            <v>HSBC Low Duration Fund  - Growth</v>
          </cell>
        </row>
        <row r="4322">
          <cell r="F4322" t="str">
            <v>HSBC Low Duration Fund  - Regular - Growth</v>
          </cell>
        </row>
        <row r="4323">
          <cell r="F4323" t="str">
            <v>HSBC Low Duration Fund - Daily Dividend Direct</v>
          </cell>
        </row>
        <row r="4324">
          <cell r="F4324" t="str">
            <v>HSBC Low Duration Fund - Dividend - Daily</v>
          </cell>
        </row>
        <row r="4325">
          <cell r="F4325" t="str">
            <v>HSBC Low Duration Fund - Dividend - Monthly</v>
          </cell>
        </row>
        <row r="4326">
          <cell r="F4326" t="str">
            <v>HSBC Low Duration Fund - Dividend - Weekly</v>
          </cell>
        </row>
        <row r="4327">
          <cell r="F4327" t="str">
            <v>HSBC Low Duration Fund - Growth Direct</v>
          </cell>
        </row>
        <row r="4328">
          <cell r="F4328" t="str">
            <v>HSBC Low Duration Fund - Inst. Plus - Dividend - Daily</v>
          </cell>
        </row>
        <row r="4329">
          <cell r="F4329" t="str">
            <v>HSBC Low Duration Fund - Monthly Dividend Direct</v>
          </cell>
        </row>
        <row r="4330">
          <cell r="F4330" t="str">
            <v>HSBC Low Duration Fund - Regular -  Dividend - Weekly</v>
          </cell>
        </row>
        <row r="4331">
          <cell r="F4331" t="str">
            <v>HSBC Low Duration Fund - Regular - Dividend - Daily</v>
          </cell>
        </row>
        <row r="4332">
          <cell r="F4332" t="str">
            <v>HSBC Low Duration Fund - Weekly Dividend Direct</v>
          </cell>
        </row>
        <row r="4333">
          <cell r="F4333" t="str">
            <v>HSBC Managed Solutions - Conservative - Dividend</v>
          </cell>
        </row>
        <row r="4334">
          <cell r="F4334" t="str">
            <v>HSBC Managed Solutions - Conservative - Growth</v>
          </cell>
        </row>
        <row r="4335">
          <cell r="F4335" t="str">
            <v>HSBC Managed Solutions - Conservative - Growth Direct</v>
          </cell>
        </row>
        <row r="4336">
          <cell r="F4336" t="str">
            <v>HSBC Managed Solutions - Growth - Dividend</v>
          </cell>
        </row>
        <row r="4337">
          <cell r="F4337" t="str">
            <v>HSBC Managed Solutions - Growth - Dividend Direct</v>
          </cell>
        </row>
        <row r="4338">
          <cell r="F4338" t="str">
            <v>HSBC Managed Solutions - Growth - Growth</v>
          </cell>
        </row>
        <row r="4339">
          <cell r="F4339" t="str">
            <v>HSBC Managed Solutions - Growth - Growth Direct</v>
          </cell>
        </row>
        <row r="4340">
          <cell r="F4340" t="str">
            <v>HSBC Managed Solutions - Moderate - Dividend</v>
          </cell>
        </row>
        <row r="4341">
          <cell r="F4341" t="str">
            <v>HSBC Managed Solutions - Moderate - Dividend Direct</v>
          </cell>
        </row>
        <row r="4342">
          <cell r="F4342" t="str">
            <v>HSBC Managed Solutions - Moderate - Growth</v>
          </cell>
        </row>
        <row r="4343">
          <cell r="F4343" t="str">
            <v>HSBC Managed Solutions - Moderate - Growth Direct</v>
          </cell>
        </row>
        <row r="4344">
          <cell r="F4344" t="str">
            <v>HSBC Multi Cap Equity Fund - Dividend</v>
          </cell>
        </row>
        <row r="4345">
          <cell r="F4345" t="str">
            <v>HSBC Multi Cap Equity Fund - Dividend Direct</v>
          </cell>
        </row>
        <row r="4346">
          <cell r="F4346" t="str">
            <v>HSBC Multi Cap Equity Fund - Growth</v>
          </cell>
        </row>
        <row r="4347">
          <cell r="F4347" t="str">
            <v>HSBC Multi Cap Equity Fund - Growth Direct</v>
          </cell>
        </row>
        <row r="4348">
          <cell r="F4348" t="str">
            <v>HSBC Regular Savings Fund -  Dividend - Quarterly</v>
          </cell>
        </row>
        <row r="4349">
          <cell r="F4349" t="str">
            <v>HSBC Regular Savings Fund - Dividend - Monthly</v>
          </cell>
        </row>
        <row r="4350">
          <cell r="F4350" t="str">
            <v>HSBC Regular Savings Fund - Growth</v>
          </cell>
        </row>
        <row r="4351">
          <cell r="F4351" t="str">
            <v>HSBC Regular Savings Fund-Growth Direct</v>
          </cell>
        </row>
        <row r="4352">
          <cell r="F4352" t="str">
            <v>HSBC Regular Savings Fund-Monthly Dividend Direct</v>
          </cell>
        </row>
        <row r="4353">
          <cell r="F4353" t="str">
            <v>HSBC Regular Savings Fund-Quarterly Dividend Direct</v>
          </cell>
        </row>
        <row r="4354">
          <cell r="F4354" t="str">
            <v>HSBC Short Duration Fund  -Weekly Dividend Direct</v>
          </cell>
        </row>
        <row r="4355">
          <cell r="F4355" t="str">
            <v>HSBC Short Duration Fund - Dividend</v>
          </cell>
        </row>
        <row r="4356">
          <cell r="F4356" t="str">
            <v>HSBC Short Duration Fund - Dividend - Weekly</v>
          </cell>
        </row>
        <row r="4357">
          <cell r="F4357" t="str">
            <v>HSBC Short Duration Fund - Dividend Direct</v>
          </cell>
        </row>
        <row r="4358">
          <cell r="F4358" t="str">
            <v>HSBC Short Duration Fund - Growth</v>
          </cell>
        </row>
        <row r="4359">
          <cell r="F4359" t="str">
            <v>HSBC Short Duration Fund - Growth Direct</v>
          </cell>
        </row>
        <row r="4360">
          <cell r="F4360" t="str">
            <v>HSBC Short Duration Fund - Inst. - Dividend - Weekly</v>
          </cell>
        </row>
        <row r="4361">
          <cell r="F4361" t="str">
            <v>HSBC Short Duration Fund - Quarterly Dividend</v>
          </cell>
        </row>
        <row r="4362">
          <cell r="F4362" t="str">
            <v>HSBC Short Duration Fund - Quarterly Dividend Direct</v>
          </cell>
        </row>
        <row r="4363">
          <cell r="F4363" t="str">
            <v>HSBC Small Cap Equity Fund - Dividend</v>
          </cell>
        </row>
        <row r="4364">
          <cell r="F4364" t="str">
            <v>HSBC Small Cap Equity Fund - Dividend Direct</v>
          </cell>
        </row>
        <row r="4365">
          <cell r="F4365" t="str">
            <v>HSBC Small Cap Equity Fund - Growth</v>
          </cell>
        </row>
        <row r="4366">
          <cell r="F4366" t="str">
            <v>HSBC Small Cap Equity Fund - Growth Direct</v>
          </cell>
        </row>
        <row r="4367">
          <cell r="F4367" t="str">
            <v>HSBC Tax Saver Equity Fund - Dividend</v>
          </cell>
        </row>
        <row r="4368">
          <cell r="F4368" t="str">
            <v>HSBC Tax Saver Equity Fund - Dividend Direct</v>
          </cell>
        </row>
        <row r="4369">
          <cell r="F4369" t="str">
            <v>HSBC Tax Saver Equity Fund - Growth</v>
          </cell>
        </row>
        <row r="4370">
          <cell r="F4370" t="str">
            <v>HSBC Tax Saver Equity Fund - Growth Direct</v>
          </cell>
        </row>
        <row r="4371">
          <cell r="F4371" t="str">
            <v>HSCL</v>
          </cell>
        </row>
        <row r="4372">
          <cell r="F4372" t="str">
            <v>HSIL</v>
          </cell>
        </row>
        <row r="4373">
          <cell r="F4373" t="str">
            <v>HT MEDIA</v>
          </cell>
        </row>
        <row r="4374">
          <cell r="F4374" t="str">
            <v>HUBTOWN</v>
          </cell>
        </row>
        <row r="4375">
          <cell r="F4375" t="str">
            <v>HUDCO</v>
          </cell>
        </row>
        <row r="4376">
          <cell r="F4376" t="str">
            <v>HUDCO2</v>
          </cell>
        </row>
        <row r="4377">
          <cell r="F4377" t="str">
            <v>HUDCO3</v>
          </cell>
        </row>
        <row r="4378">
          <cell r="F4378" t="str">
            <v>HUDCO4</v>
          </cell>
        </row>
        <row r="4379">
          <cell r="F4379" t="str">
            <v>HUDCO5</v>
          </cell>
        </row>
        <row r="4380">
          <cell r="F4380" t="str">
            <v>HYPERSOFT</v>
          </cell>
        </row>
        <row r="4381">
          <cell r="F4381" t="str">
            <v>IBULHSGFIN</v>
          </cell>
        </row>
        <row r="4382">
          <cell r="F4382" t="str">
            <v>IBULHSGFIN2</v>
          </cell>
        </row>
        <row r="4383">
          <cell r="F4383" t="str">
            <v>IBULHSGFIN3</v>
          </cell>
        </row>
        <row r="4384">
          <cell r="F4384" t="str">
            <v>IBULHSGFIN4</v>
          </cell>
        </row>
        <row r="4385">
          <cell r="F4385" t="str">
            <v>IBVENTURES</v>
          </cell>
        </row>
        <row r="4386">
          <cell r="F4386" t="str">
            <v>ICEMAKE</v>
          </cell>
        </row>
        <row r="4387">
          <cell r="F4387" t="str">
            <v>ICICI BANK</v>
          </cell>
        </row>
        <row r="4388">
          <cell r="F4388" t="str">
            <v>ICICI Prudential All Seasons Bond Fund - Annual Dividend</v>
          </cell>
        </row>
        <row r="4389">
          <cell r="F4389" t="str">
            <v>ICICI Prudential All Seasons Bond Fund - Bonus</v>
          </cell>
        </row>
        <row r="4390">
          <cell r="F4390" t="str">
            <v>ICICI Prudential All Seasons Bond Fund - Direct Plan - Annual Dividend</v>
          </cell>
        </row>
        <row r="4391">
          <cell r="F4391" t="str">
            <v>ICICI Prudential All Seasons Bond Fund - Direct Plan - Dividend</v>
          </cell>
        </row>
        <row r="4392">
          <cell r="F4392" t="str">
            <v>ICICI Prudential All Seasons Bond Fund - Direct Plan - Growth</v>
          </cell>
        </row>
        <row r="4393">
          <cell r="F4393" t="str">
            <v>ICICI Prudential All Seasons Bond Fund - Direct Plan - Quarterly Dividend</v>
          </cell>
        </row>
        <row r="4394">
          <cell r="F4394" t="str">
            <v>ICICI Prudential All Seasons Bond Fund - Direct Plan - Weekly Dividend</v>
          </cell>
        </row>
        <row r="4395">
          <cell r="F4395" t="str">
            <v>ICICI Prudential All Seasons Bond Fund - Direct Plan Bonus</v>
          </cell>
        </row>
        <row r="4396">
          <cell r="F4396" t="str">
            <v>ICICI Prudential All Seasons Bond Fund - Dividend</v>
          </cell>
        </row>
        <row r="4397">
          <cell r="F4397" t="str">
            <v>ICICI Prudential All Seasons Bond Fund - Growth</v>
          </cell>
        </row>
        <row r="4398">
          <cell r="F4398" t="str">
            <v>ICICI Prudential All Seasons Bond Fund - Premium Growth Option</v>
          </cell>
        </row>
        <row r="4399">
          <cell r="F4399" t="str">
            <v>ICICI Prudential All Seasons Bond Fund - Quarterly Dividend</v>
          </cell>
        </row>
        <row r="4400">
          <cell r="F4400" t="str">
            <v>ICICI Prudential All Seasons Bond Fund - Weekly Dividend</v>
          </cell>
        </row>
        <row r="4401">
          <cell r="F4401" t="str">
            <v>ICICI Prudential All Seasons Bond Fund Retail - Cumulative</v>
          </cell>
        </row>
        <row r="4402">
          <cell r="F4402" t="str">
            <v>ICICI Prudential All Seasons Bond Fund Retail - Quarterly Dividend</v>
          </cell>
        </row>
        <row r="4403">
          <cell r="F4403" t="str">
            <v>ICICI Prudential Asset Allocator Fund - Direct Plan - Dividend</v>
          </cell>
        </row>
        <row r="4404">
          <cell r="F4404" t="str">
            <v>ICICI Prudential Asset Allocator Fund - Direct Plan - Growth</v>
          </cell>
        </row>
        <row r="4405">
          <cell r="F4405" t="str">
            <v>ICICI Prudential Asset Allocator Fund - Dividend</v>
          </cell>
        </row>
        <row r="4406">
          <cell r="F4406" t="str">
            <v>ICICI Prudential Asset Allocator Fund - Growth</v>
          </cell>
        </row>
        <row r="4407">
          <cell r="F4407" t="str">
            <v>ICICI Prudential Balanced Advantage Fund - Direct Plan -  Dividend</v>
          </cell>
        </row>
        <row r="4408">
          <cell r="F4408" t="str">
            <v>ICICI Prudential Balanced Advantage Fund - Direct Plan -  Growth</v>
          </cell>
        </row>
        <row r="4409">
          <cell r="F4409" t="str">
            <v>ICICI Prudential Balanced Advantage Fund - Direct Plan - Monthly Dividend</v>
          </cell>
        </row>
        <row r="4410">
          <cell r="F4410" t="str">
            <v>ICICI Prudential Balanced Advantage Fund - Direct Plan - Quarterly Dividend</v>
          </cell>
        </row>
        <row r="4411">
          <cell r="F4411" t="str">
            <v>ICICI Prudential Balanced Advantage Fund - Dividend</v>
          </cell>
        </row>
        <row r="4412">
          <cell r="F4412" t="str">
            <v>ICICI Prudential Balanced Advantage Fund - Growth</v>
          </cell>
        </row>
        <row r="4413">
          <cell r="F4413" t="str">
            <v>ICICI Prudential Balanced Advantage Fund - Monthly Dividend</v>
          </cell>
        </row>
        <row r="4414">
          <cell r="F4414" t="str">
            <v>ICICI Prudential Balanced Advantage Fund - Quarterly Dividend</v>
          </cell>
        </row>
        <row r="4415">
          <cell r="F4415" t="str">
            <v>ICICI Prudential Banking and Financial Services Fund -  Dividend</v>
          </cell>
        </row>
        <row r="4416">
          <cell r="F4416" t="str">
            <v>ICICI Prudential Banking and Financial Services Fund -  Growth</v>
          </cell>
        </row>
        <row r="4417">
          <cell r="F4417" t="str">
            <v>ICICI Prudential Banking and Financial Services Fund - Direct Plan -  Dividend</v>
          </cell>
        </row>
        <row r="4418">
          <cell r="F4418" t="str">
            <v>ICICI Prudential Banking and Financial Services Fund - Direct Plan -  Growth</v>
          </cell>
        </row>
        <row r="4419">
          <cell r="F4419" t="str">
            <v>ICICI Prudential Banking and PSU Debt Fund -  Daily Dividend</v>
          </cell>
        </row>
        <row r="4420">
          <cell r="F4420" t="str">
            <v>ICICI Prudential Banking and PSU Debt Fund -  Weekly Dividend</v>
          </cell>
        </row>
        <row r="4421">
          <cell r="F4421" t="str">
            <v>ICICI Prudential Banking and PSU Debt Fund - Bonus</v>
          </cell>
        </row>
        <row r="4422">
          <cell r="F4422" t="str">
            <v>ICICI Prudential Banking and PSU Debt Fund - Direct Plan -  Daily Dividend</v>
          </cell>
        </row>
        <row r="4423">
          <cell r="F4423" t="str">
            <v>ICICI Prudential Banking and PSU Debt Fund - Direct Plan -  Growth</v>
          </cell>
        </row>
        <row r="4424">
          <cell r="F4424" t="str">
            <v>ICICI Prudential Banking and PSU Debt Fund - Direct Plan -  Quarterly Dividend</v>
          </cell>
        </row>
        <row r="4425">
          <cell r="F4425" t="str">
            <v>ICICI Prudential Banking and PSU Debt Fund - Direct Plan -  Weekly Dividend</v>
          </cell>
        </row>
        <row r="4426">
          <cell r="F4426" t="str">
            <v>ICICI Prudential Banking and PSU Debt Fund - Direct Plan Bonus</v>
          </cell>
        </row>
        <row r="4427">
          <cell r="F4427" t="str">
            <v>ICICI Prudential Banking and PSU Debt Fund - Direct Plan Half Yearly Dividend Option</v>
          </cell>
        </row>
        <row r="4428">
          <cell r="F4428" t="str">
            <v>ICICI Prudential Banking and PSU Debt Fund - Growth</v>
          </cell>
        </row>
        <row r="4429">
          <cell r="F4429" t="str">
            <v>ICICI Prudential Banking and PSU Debt Fund - Quarterly Dividend</v>
          </cell>
        </row>
        <row r="4430">
          <cell r="F4430" t="str">
            <v>ICICI Prudential Banking and PSU Debt Fund Half Yearly Dividend Option</v>
          </cell>
        </row>
        <row r="4431">
          <cell r="F4431" t="str">
            <v>ICICI Prudential Banking and PSU Debt Fund Retail Daily Dividend</v>
          </cell>
        </row>
        <row r="4432">
          <cell r="F4432" t="str">
            <v>ICICI Prudential Banking and PSU Debt Fund Retail Growth</v>
          </cell>
        </row>
        <row r="4433">
          <cell r="F4433" t="str">
            <v>ICICI Prudential Bluechip Fund - Direct Plan - Dividend</v>
          </cell>
        </row>
        <row r="4434">
          <cell r="F4434" t="str">
            <v>ICICI Prudential Bluechip Fund - Direct Plan - Growth</v>
          </cell>
        </row>
        <row r="4435">
          <cell r="F4435" t="str">
            <v>ICICI Prudential Bluechip Fund - Dividend</v>
          </cell>
        </row>
        <row r="4436">
          <cell r="F4436" t="str">
            <v>ICICI Prudential Bluechip Fund - Growth</v>
          </cell>
        </row>
        <row r="4437">
          <cell r="F4437" t="str">
            <v>ICICI Prudential Bluechip Fund - Institutional Option - I - Growth</v>
          </cell>
        </row>
        <row r="4438">
          <cell r="F4438" t="str">
            <v>ICICI Prudential Bond Fund - Bonus</v>
          </cell>
        </row>
        <row r="4439">
          <cell r="F4439" t="str">
            <v>ICICI Prudential Bond Fund - Direct Plan - Dividend Monthly</v>
          </cell>
        </row>
        <row r="4440">
          <cell r="F4440" t="str">
            <v>ICICI Prudential Bond Fund - Direct Plan - Dividend Quarterly</v>
          </cell>
        </row>
        <row r="4441">
          <cell r="F4441" t="str">
            <v>ICICI Prudential Bond Fund - Direct Plan - Growth</v>
          </cell>
        </row>
        <row r="4442">
          <cell r="F4442" t="str">
            <v>ICICI Prudential Bond Fund - Direct Plan - Half Yearly Dividend</v>
          </cell>
        </row>
        <row r="4443">
          <cell r="F4443" t="str">
            <v>ICICI Prudential Bond Fund - Dividend Monthly</v>
          </cell>
        </row>
        <row r="4444">
          <cell r="F4444" t="str">
            <v>ICICI Prudential Bond Fund - Dividend Quarterly</v>
          </cell>
        </row>
        <row r="4445">
          <cell r="F4445" t="str">
            <v>ICICI Prudential Bond Fund - Growth</v>
          </cell>
        </row>
        <row r="4446">
          <cell r="F4446" t="str">
            <v>ICICI Prudential Bond Fund - Half Yearly Dividend</v>
          </cell>
        </row>
        <row r="4447">
          <cell r="F4447" t="str">
            <v>ICICI Prudential Bond Fund- Institutional Growth</v>
          </cell>
        </row>
        <row r="4448">
          <cell r="F4448" t="str">
            <v>ICICI Prudential Bond Fund- Institutional Monthly Dividend</v>
          </cell>
        </row>
        <row r="4449">
          <cell r="F4449" t="str">
            <v>ICICI Prudential Bond Fund- Institutional Quarterly Dividend</v>
          </cell>
        </row>
        <row r="4450">
          <cell r="F4450" t="str">
            <v>ICICI Prudential Business Cycle Fund - Series 1  Cumulative Option</v>
          </cell>
        </row>
        <row r="4451">
          <cell r="F4451" t="str">
            <v>ICICI Prudential Business Cycle Fund - Series 1 Direct Plan Cumulative Option</v>
          </cell>
        </row>
        <row r="4452">
          <cell r="F4452" t="str">
            <v>ICICI Prudential Business Cycle Fund - Series 1 Direct Plan Dividend Option</v>
          </cell>
        </row>
        <row r="4453">
          <cell r="F4453" t="str">
            <v>ICICI Prudential Business Cycle Fund - Series 1 Dividend Option</v>
          </cell>
        </row>
        <row r="4454">
          <cell r="F4454" t="str">
            <v>ICICI Prudential Business Cycle Fund - Series 2  Cumulative Option</v>
          </cell>
        </row>
        <row r="4455">
          <cell r="F4455" t="str">
            <v>ICICI Prudential Business Cycle Fund - Series 2  Dividend Option</v>
          </cell>
        </row>
        <row r="4456">
          <cell r="F4456" t="str">
            <v>ICICI Prudential Business Cycle Fund - Series 2 Direct Plan Cumulative Option</v>
          </cell>
        </row>
        <row r="4457">
          <cell r="F4457" t="str">
            <v>ICICI Prudential Business Cycle Fund - Series 2 Direct Plan Dividend Option</v>
          </cell>
        </row>
        <row r="4458">
          <cell r="F4458" t="str">
            <v>ICICI Prudential Business Cycle Fund - Series 3 Cumulative option</v>
          </cell>
        </row>
        <row r="4459">
          <cell r="F4459" t="str">
            <v>ICICI Prudential Business Cycle Fund - Series 3 Direct Plan Cumulative option</v>
          </cell>
        </row>
        <row r="4460">
          <cell r="F4460" t="str">
            <v>ICICI Prudential Business Cycle Fund - Series 3 Direct Plan Dividend option</v>
          </cell>
        </row>
        <row r="4461">
          <cell r="F4461" t="str">
            <v>ICICI Prudential Business Cycle Fund - Series 3 Dividend option</v>
          </cell>
        </row>
        <row r="4462">
          <cell r="F4462" t="str">
            <v>ICICI Prudential Capital Protection Oriented Fund - Series IX - 1101 Days Plan A Cumulative Option</v>
          </cell>
        </row>
        <row r="4463">
          <cell r="F4463" t="str">
            <v>ICICI Prudential Capital Protection Oriented Fund - Series IX - 1101 Days Plan A Direct Plan Cumulative Option</v>
          </cell>
        </row>
        <row r="4464">
          <cell r="F4464" t="str">
            <v>ICICI Prudential Capital Protection Oriented Fund - Series IX - 1101 Days Plan A Direct Plan Dividend Option</v>
          </cell>
        </row>
        <row r="4465">
          <cell r="F4465" t="str">
            <v>ICICI Prudential Capital Protection Oriented Fund - Series IX - 1101 Days Plan A Dividend Option</v>
          </cell>
        </row>
        <row r="4466">
          <cell r="F4466" t="str">
            <v>ICICI Prudential Capital Protection Oriented Fund - Series IX - 1120 Days Plan F Cumulative Option</v>
          </cell>
        </row>
        <row r="4467">
          <cell r="F4467" t="str">
            <v>ICICI Prudential Capital Protection Oriented Fund - Series IX - 1120 Days Plan F Direct Plan Cumulative Option</v>
          </cell>
        </row>
        <row r="4468">
          <cell r="F4468" t="str">
            <v>ICICI Prudential Capital Protection Oriented Fund - Series IX - 1120 Days Plan F Dividend Option</v>
          </cell>
        </row>
        <row r="4469">
          <cell r="F4469" t="str">
            <v>ICICI Prudential Capital Protection Oriented Fund - Series IX - 1195 Days Plan C Cumulative Option</v>
          </cell>
        </row>
        <row r="4470">
          <cell r="F4470" t="str">
            <v>ICICI Prudential Capital Protection Oriented Fund - Series IX - 1195 Days Plan C Direct Plan Cumulative Option</v>
          </cell>
        </row>
        <row r="4471">
          <cell r="F4471" t="str">
            <v>ICICI Prudential Capital Protection Oriented Fund - Series IX - 1195 Days Plan C Direct Plan Dividend Option</v>
          </cell>
        </row>
        <row r="4472">
          <cell r="F4472" t="str">
            <v>ICICI Prudential Capital Protection Oriented Fund - Series IX - 1195 Days Plan C Dividend Option</v>
          </cell>
        </row>
        <row r="4473">
          <cell r="F4473" t="str">
            <v>ICICI Prudential Capital Protection Oriented Fund - Series IX - 1325 Days Plan E Cumulative Option</v>
          </cell>
        </row>
        <row r="4474">
          <cell r="F4474" t="str">
            <v>ICICI Prudential Capital Protection Oriented Fund - Series IX - 1325 Days Plan E Direct Plan Cumulative Option</v>
          </cell>
        </row>
        <row r="4475">
          <cell r="F4475" t="str">
            <v>ICICI Prudential Capital Protection Oriented Fund - Series IX - 1325 Days Plan E Direct Plan Dividend Option</v>
          </cell>
        </row>
        <row r="4476">
          <cell r="F4476" t="str">
            <v>ICICI Prudential Capital Protection Oriented Fund - Series IX - 1325 Days Plan E Dividend Option</v>
          </cell>
        </row>
        <row r="4477">
          <cell r="F4477" t="str">
            <v>ICICI Prudential Capital Protection Oriented Fund - Series IX - 1378 Days Plan D Cumulative Option</v>
          </cell>
        </row>
        <row r="4478">
          <cell r="F4478" t="str">
            <v>ICICI Prudential Capital Protection Oriented Fund - Series IX - 1378 Days Plan D Direct Plan Cumulative Option</v>
          </cell>
        </row>
        <row r="4479">
          <cell r="F4479" t="str">
            <v>ICICI Prudential Capital Protection Oriented Fund - Series IX - 1378 Days Plan D Direct Plan Dividend Option</v>
          </cell>
        </row>
        <row r="4480">
          <cell r="F4480" t="str">
            <v>ICICI Prudential Capital Protection Oriented Fund - Series IX - 1378 Days Plan D Dividend Option</v>
          </cell>
        </row>
        <row r="4481">
          <cell r="F4481" t="str">
            <v>ICICI Prudential Capital Protection Oriented Fund - Series IX -1103 Days Plan B Cumulative Option</v>
          </cell>
        </row>
        <row r="4482">
          <cell r="F4482" t="str">
            <v>ICICI Prudential Capital Protection Oriented Fund - Series IX -1103 Days Plan B Direct Plan Cumulative Option</v>
          </cell>
        </row>
        <row r="4483">
          <cell r="F4483" t="str">
            <v>ICICI Prudential Capital Protection Oriented Fund - Series IX -1103 Days Plan B Direct Plan Dividend Option</v>
          </cell>
        </row>
        <row r="4484">
          <cell r="F4484" t="str">
            <v>ICICI Prudential Capital Protection Oriented Fund - Series IX -1103 Days Plan B Dividend Option</v>
          </cell>
        </row>
        <row r="4485">
          <cell r="F4485" t="str">
            <v>ICICI Prudential Capital Protection Oriented Fund - Series VII - 1284 Days Plan C Cumulative Option</v>
          </cell>
        </row>
        <row r="4486">
          <cell r="F4486" t="str">
            <v>ICICI Prudential Capital Protection Oriented Fund - Series VII - 1284 Days Plan C Direct Plan Cumulative Option</v>
          </cell>
        </row>
        <row r="4487">
          <cell r="F4487" t="str">
            <v>ICICI Prudential Capital Protection Oriented Fund - Series VII - 1284 Days Plan C Direct Plan Dividend Option</v>
          </cell>
        </row>
        <row r="4488">
          <cell r="F4488" t="str">
            <v>ICICI Prudential Capital Protection Oriented Fund - Series VII - 1284 Days Plan C Dividend Option</v>
          </cell>
        </row>
        <row r="4489">
          <cell r="F4489" t="str">
            <v>ICICI Prudential Capital Protection Oriented Fund - Series VII - 1284 Days Plan E Cumulative Option</v>
          </cell>
        </row>
        <row r="4490">
          <cell r="F4490" t="str">
            <v>ICICI Prudential Capital Protection Oriented Fund - Series VII - 1284 Days Plan E Direct Plan Cumulative Option</v>
          </cell>
        </row>
        <row r="4491">
          <cell r="F4491" t="str">
            <v>ICICI Prudential Capital Protection Oriented Fund - Series VII - 1284 Days Plan E Direct Plan Dividend Option</v>
          </cell>
        </row>
        <row r="4492">
          <cell r="F4492" t="str">
            <v>ICICI Prudential Capital Protection Oriented Fund - Series VII - 1284 Days Plan E Dividend Option</v>
          </cell>
        </row>
        <row r="4493">
          <cell r="F4493" t="str">
            <v>ICICI Prudential Capital Protection Oriented Fund - Series VII - 1284 Days Plan H Cumulative Option</v>
          </cell>
        </row>
        <row r="4494">
          <cell r="F4494" t="str">
            <v>ICICI Prudential Capital Protection Oriented Fund - Series VII - 1284 Days Plan H Direct Plan Cumulative Option</v>
          </cell>
        </row>
        <row r="4495">
          <cell r="F4495" t="str">
            <v>ICICI Prudential Capital Protection Oriented Fund - Series VII - 1284 Days Plan H Direct Plan Dividend Option</v>
          </cell>
        </row>
        <row r="4496">
          <cell r="F4496" t="str">
            <v>ICICI Prudential Capital Protection Oriented Fund - Series VII - 1284 Days Plan H Dividend Option</v>
          </cell>
        </row>
        <row r="4497">
          <cell r="F4497" t="str">
            <v>ICICI Prudential Capital Protection Oriented Fund - Series VII - 1285 Days Plan A Cumulative Option</v>
          </cell>
        </row>
        <row r="4498">
          <cell r="F4498" t="str">
            <v>ICICI Prudential Capital Protection Oriented Fund - Series VII - 1285 Days Plan A Direct Plan Cumulative Option</v>
          </cell>
        </row>
        <row r="4499">
          <cell r="F4499" t="str">
            <v>ICICI Prudential Capital Protection Oriented Fund - Series VII - 1285 Days Plan A Direct Plan Dividend Option</v>
          </cell>
        </row>
        <row r="4500">
          <cell r="F4500" t="str">
            <v>ICICI Prudential Capital Protection Oriented Fund - Series VII - 1285 Days Plan A Dividend Option</v>
          </cell>
        </row>
        <row r="4501">
          <cell r="F4501" t="str">
            <v>ICICI Prudential Capital Protection Oriented Fund - Series VII - 1285 Days Plan B Cumulative Option</v>
          </cell>
        </row>
        <row r="4502">
          <cell r="F4502" t="str">
            <v>ICICI Prudential Capital Protection Oriented Fund - Series VII - 1285 Days Plan B Direct Plan Cumulative Option</v>
          </cell>
        </row>
        <row r="4503">
          <cell r="F4503" t="str">
            <v>ICICI Prudential Capital Protection Oriented Fund - Series VII - 1285 Days Plan B Direct Plan Dividend Option</v>
          </cell>
        </row>
        <row r="4504">
          <cell r="F4504" t="str">
            <v>ICICI Prudential Capital Protection Oriented Fund - Series VII - 1285 Days Plan B Dividend Option</v>
          </cell>
        </row>
        <row r="4505">
          <cell r="F4505" t="str">
            <v>ICICI Prudential Capital Protection Oriented Fund - Series VII - 1285 Days Plan G Cumulative Option</v>
          </cell>
        </row>
        <row r="4506">
          <cell r="F4506" t="str">
            <v>ICICI Prudential Capital Protection Oriented Fund - Series VII - 1285 Days Plan G Direct Plan Cumulative Option</v>
          </cell>
        </row>
        <row r="4507">
          <cell r="F4507" t="str">
            <v>ICICI Prudential Capital Protection Oriented Fund - Series VII - 1285 Days Plan G Dividend Option</v>
          </cell>
        </row>
        <row r="4508">
          <cell r="F4508" t="str">
            <v>ICICI Prudential Capital Protection Oriented Fund - Series VII - 1288 Days Plan F Cumulative Option</v>
          </cell>
        </row>
        <row r="4509">
          <cell r="F4509" t="str">
            <v>ICICI Prudential Capital Protection Oriented Fund - Series VII - 1288 Days Plan F Direct Plan Cumulative Option</v>
          </cell>
        </row>
        <row r="4510">
          <cell r="F4510" t="str">
            <v>ICICI Prudential Capital Protection Oriented Fund - Series VII - 1288 Days Plan F Dividend Option</v>
          </cell>
        </row>
        <row r="4511">
          <cell r="F4511" t="str">
            <v>ICICI Prudential Capital Protection Oriented Fund - Series VII - 1822 Days Plan D Cumulative Option</v>
          </cell>
        </row>
        <row r="4512">
          <cell r="F4512" t="str">
            <v>ICICI Prudential Capital Protection Oriented Fund - Series VII - 1822 Days Plan D Direct Plan Cumulative Option</v>
          </cell>
        </row>
        <row r="4513">
          <cell r="F4513" t="str">
            <v>ICICI Prudential Capital Protection Oriented Fund - Series VII - 1822 Days Plan D Direct Plan Dividend Option</v>
          </cell>
        </row>
        <row r="4514">
          <cell r="F4514" t="str">
            <v>ICICI Prudential Capital Protection Oriented Fund - Series VII - 1822 Days Plan D Dividend Option</v>
          </cell>
        </row>
        <row r="4515">
          <cell r="F4515" t="str">
            <v>ICICI Prudential Capital Protection Oriented Fund - Series VIII - 1101 Days Plan G Cumulative Option</v>
          </cell>
        </row>
        <row r="4516">
          <cell r="F4516" t="str">
            <v>ICICI Prudential Capital Protection Oriented Fund - Series VIII - 1101 Days Plan G Direct Plan Cumulative Option</v>
          </cell>
        </row>
        <row r="4517">
          <cell r="F4517" t="str">
            <v>ICICI Prudential Capital Protection Oriented Fund - Series VIII - 1101 Days Plan G Dividend Option</v>
          </cell>
        </row>
        <row r="4518">
          <cell r="F4518" t="str">
            <v>ICICI Prudential Capital Protection Oriented Fund - Series VIII - 1103 Days Plan B Cumulative Option</v>
          </cell>
        </row>
        <row r="4519">
          <cell r="F4519" t="str">
            <v>ICICI Prudential Capital Protection Oriented Fund - Series VIII - 1103 Days Plan B Direct Plan Cumulative Option</v>
          </cell>
        </row>
        <row r="4520">
          <cell r="F4520" t="str">
            <v>ICICI Prudential Capital Protection Oriented Fund - Series VIII - 1103 Days Plan B Direct Plan Dividend Option</v>
          </cell>
        </row>
        <row r="4521">
          <cell r="F4521" t="str">
            <v>ICICI Prudential Capital Protection Oriented Fund - Series VIII - 1103 Days Plan B Dividend Option</v>
          </cell>
        </row>
        <row r="4522">
          <cell r="F4522" t="str">
            <v>ICICI Prudential Capital Protection Oriented Fund - Series VIII - 1103 Days Plan C Cumulative Option</v>
          </cell>
        </row>
        <row r="4523">
          <cell r="F4523" t="str">
            <v>ICICI Prudential Capital Protection Oriented Fund - Series VIII - 1103 Days Plan C Direct Plan Cumulative Option</v>
          </cell>
        </row>
        <row r="4524">
          <cell r="F4524" t="str">
            <v>ICICI Prudential Capital Protection Oriented Fund - Series VIII - 1103 Days Plan C Direct Plan Dividend Option</v>
          </cell>
        </row>
        <row r="4525">
          <cell r="F4525" t="str">
            <v>ICICI Prudential Capital Protection Oriented Fund - Series VIII - 1103 Days Plan C Dividend Option</v>
          </cell>
        </row>
        <row r="4526">
          <cell r="F4526" t="str">
            <v>ICICI Prudential Capital Protection Oriented Fund - Series VIII - 1115 Days Plan F Cumulative Option</v>
          </cell>
        </row>
        <row r="4527">
          <cell r="F4527" t="str">
            <v>ICICI Prudential Capital Protection Oriented Fund - Series VIII - 1115 Days Plan F Direct Plan Cumulative Option</v>
          </cell>
        </row>
        <row r="4528">
          <cell r="F4528" t="str">
            <v>ICICI Prudential Capital Protection Oriented Fund - Series VIII - 1115 Days Plan F Direct Plan Dividend Option</v>
          </cell>
        </row>
        <row r="4529">
          <cell r="F4529" t="str">
            <v>ICICI Prudential Capital Protection Oriented Fund - Series VIII - 1115 Days Plan F Dividend Option</v>
          </cell>
        </row>
        <row r="4530">
          <cell r="F4530" t="str">
            <v>ICICI Prudential Capital Protection Oriented Fund - Series VIII - 1290 Days Plan I Cumulative Option</v>
          </cell>
        </row>
        <row r="4531">
          <cell r="F4531" t="str">
            <v>ICICI Prudential Capital Protection Oriented Fund - Series VIII - 1290 Days Plan I Direct Plan Cumulative Option</v>
          </cell>
        </row>
        <row r="4532">
          <cell r="F4532" t="str">
            <v>ICICI Prudential Capital Protection Oriented Fund - Series VIII - 1290 Days Plan I Direct Plan Dividend Option</v>
          </cell>
        </row>
        <row r="4533">
          <cell r="F4533" t="str">
            <v>ICICI Prudential Capital Protection Oriented Fund - Series VIII - 1290 Days Plan I Dividend Option</v>
          </cell>
        </row>
        <row r="4534">
          <cell r="F4534" t="str">
            <v>ICICI Prudential Capital Protection Oriented Fund - Series VIII - 1300 Days Plan A Cumulative Option</v>
          </cell>
        </row>
        <row r="4535">
          <cell r="F4535" t="str">
            <v>ICICI Prudential Capital Protection Oriented Fund - Series VIII - 1300 Days Plan A Direct Plan Cumulative Option</v>
          </cell>
        </row>
        <row r="4536">
          <cell r="F4536" t="str">
            <v>ICICI Prudential Capital Protection Oriented Fund - Series VIII - 1300 Days Plan A Dividend Option</v>
          </cell>
        </row>
        <row r="4537">
          <cell r="F4537" t="str">
            <v>ICICI Prudential Capital Protection Oriented Fund - Series VIII -1101 Days Plan D Cumulative Option</v>
          </cell>
        </row>
        <row r="4538">
          <cell r="F4538" t="str">
            <v>ICICI Prudential Capital Protection Oriented Fund - Series VIII -1101 Days Plan D Direct Plan Cumulative Option</v>
          </cell>
        </row>
        <row r="4539">
          <cell r="F4539" t="str">
            <v>ICICI Prudential Capital Protection Oriented Fund - Series VIII -1101 Days Plan D Direct Plan Dividend Option</v>
          </cell>
        </row>
        <row r="4540">
          <cell r="F4540" t="str">
            <v>ICICI Prudential Capital Protection Oriented Fund - Series VIII -1101 Days Plan D Dividend Option</v>
          </cell>
        </row>
        <row r="4541">
          <cell r="F4541" t="str">
            <v>ICICI Prudential Capital Protection Oriented Fund - Series VIII -1105 Days Plan H Cumulative Option</v>
          </cell>
        </row>
        <row r="4542">
          <cell r="F4542" t="str">
            <v>ICICI Prudential Capital Protection Oriented Fund - Series VIII -1105 Days Plan H Direct Plan Cumulative Option</v>
          </cell>
        </row>
        <row r="4543">
          <cell r="F4543" t="str">
            <v>ICICI Prudential Capital Protection Oriented Fund - Series VIII -1105 Days Plan H Direct Plan Dividend Option</v>
          </cell>
        </row>
        <row r="4544">
          <cell r="F4544" t="str">
            <v>ICICI Prudential Capital Protection Oriented Fund - Series VIII -1105 Days Plan H Dividend Option</v>
          </cell>
        </row>
        <row r="4545">
          <cell r="F4545" t="str">
            <v>ICICI Prudential Capital Protection Oriented Fund - Series VIII -1107 Days Plan E Cumulative Option</v>
          </cell>
        </row>
        <row r="4546">
          <cell r="F4546" t="str">
            <v>ICICI Prudential Capital Protection Oriented Fund - Series VIII -1107 Days Plan E Direct Plan Cumulative Option</v>
          </cell>
        </row>
        <row r="4547">
          <cell r="F4547" t="str">
            <v>ICICI Prudential Capital Protection Oriented Fund - Series VIII -1107 Days Plan E Direct Plan Dividend Option</v>
          </cell>
        </row>
        <row r="4548">
          <cell r="F4548" t="str">
            <v>ICICI Prudential Capital Protection Oriented Fund - Series VIII -1107 Days Plan E Dividend Option</v>
          </cell>
        </row>
        <row r="4549">
          <cell r="F4549" t="str">
            <v>ICICI Prudential Capital Protection Oriented Fund - Series VIII -1284 Days Plan J Cumulative Option</v>
          </cell>
        </row>
        <row r="4550">
          <cell r="F4550" t="str">
            <v>ICICI Prudential Capital Protection Oriented Fund - Series VIII -1284 Days Plan J Direct Plan Cumulative Option</v>
          </cell>
        </row>
        <row r="4551">
          <cell r="F4551" t="str">
            <v>ICICI Prudential Capital Protection Oriented Fund - Series VIII -1284 Days Plan J Direct Plan Dividend Option</v>
          </cell>
        </row>
        <row r="4552">
          <cell r="F4552" t="str">
            <v>ICICI Prudential Capital Protection Oriented Fund - Series VIII -1284 Days Plan J Dividend Option</v>
          </cell>
        </row>
        <row r="4553">
          <cell r="F4553" t="str">
            <v>ICICI Prudential Capital Protection Oriented Fund - Series X - 1235 Days Plan A Cumulative Option</v>
          </cell>
        </row>
        <row r="4554">
          <cell r="F4554" t="str">
            <v>ICICI Prudential Capital Protection Oriented Fund - Series X - 1235 Days Plan A Direct Plan Cumulative Option</v>
          </cell>
        </row>
        <row r="4555">
          <cell r="F4555" t="str">
            <v>ICICI Prudential Capital Protection Oriented Fund - Series X - 1235 Days Plan A Direct Plan Dividend Option</v>
          </cell>
        </row>
        <row r="4556">
          <cell r="F4556" t="str">
            <v>ICICI Prudential Capital Protection Oriented Fund - Series X - 1235 Days Plan A Dividend Option</v>
          </cell>
        </row>
        <row r="4557">
          <cell r="F4557" t="str">
            <v>ICICI Prudential Capital Protection Oriented Fund - Series X - 1375 Days Plan B Cumulative Plan</v>
          </cell>
        </row>
        <row r="4558">
          <cell r="F4558" t="str">
            <v>ICICI Prudential Capital Protection Oriented Fund - Series X - 1375 Days Plan B Direct Plan Cumulative Plan</v>
          </cell>
        </row>
        <row r="4559">
          <cell r="F4559" t="str">
            <v>ICICI Prudential Capital Protection Oriented Fund - Series X - 1375 Days Plan B Direct Plan Dividend Option</v>
          </cell>
        </row>
        <row r="4560">
          <cell r="F4560" t="str">
            <v>ICICI Prudential Capital Protection Oriented Fund - Series X - 1375 Days Plan B Dividend Plan</v>
          </cell>
        </row>
        <row r="4561">
          <cell r="F4561" t="str">
            <v>ICICI Prudential Capital Protection Oriented Fund - Series XI - Plan A 2056 Days - Cumulative Option</v>
          </cell>
        </row>
        <row r="4562">
          <cell r="F4562" t="str">
            <v>ICICI Prudential Capital Protection Oriented Fund - Series XI - Plan A 2056 Days - Direct Plan - Cumulative Option</v>
          </cell>
        </row>
        <row r="4563">
          <cell r="F4563" t="str">
            <v>ICICI Prudential Capital Protection Oriented Fund - Series XI - Plan A 2056 Days - Direct Plan - Dividend Option</v>
          </cell>
        </row>
        <row r="4564">
          <cell r="F4564" t="str">
            <v>ICICI Prudential Capital Protection Oriented Fund - Series XI - Plan A 2056 Days - Dividend Option</v>
          </cell>
        </row>
        <row r="4565">
          <cell r="F4565" t="str">
            <v>ICICI Prudential Capital Protection Oriented Fund - Series XI - Plan B 1222 Days - Cumulative Option</v>
          </cell>
        </row>
        <row r="4566">
          <cell r="F4566" t="str">
            <v>ICICI Prudential Capital Protection Oriented Fund - Series XI - Plan B 1222 Days - Direct Plan - Cumulative Option</v>
          </cell>
        </row>
        <row r="4567">
          <cell r="F4567" t="str">
            <v>ICICI Prudential Capital Protection Oriented Fund - Series XI - Plan B 1222 Days - Direct Plan - Dividend Option</v>
          </cell>
        </row>
        <row r="4568">
          <cell r="F4568" t="str">
            <v>ICICI Prudential Capital Protection Oriented Fund - Series XI - Plan B 1222 Days - Dividend Option</v>
          </cell>
        </row>
        <row r="4569">
          <cell r="F4569" t="str">
            <v>ICICI Prudential Capital Protection Oriented Fund - Series XI - Plan C 1255 Days - Cumulative Option</v>
          </cell>
        </row>
        <row r="4570">
          <cell r="F4570" t="str">
            <v>ICICI Prudential Capital Protection Oriented Fund - Series XI - Plan C 1255 Days - Direct Plan - Cumulative Option</v>
          </cell>
        </row>
        <row r="4571">
          <cell r="F4571" t="str">
            <v>ICICI Prudential Capital Protection Oriented Fund - Series XI - Plan C 1255 Days - Direct Plan - Dividend Option</v>
          </cell>
        </row>
        <row r="4572">
          <cell r="F4572" t="str">
            <v>ICICI Prudential Capital Protection Oriented Fund - Series XI - Plan C 1255 Days - Dividend Option</v>
          </cell>
        </row>
        <row r="4573">
          <cell r="F4573" t="str">
            <v>ICICI Prudential Capital Protection Oriented Fund - Series XI - Plan D 1247 Days - Cumulative Option</v>
          </cell>
        </row>
        <row r="4574">
          <cell r="F4574" t="str">
            <v>ICICI Prudential Capital Protection Oriented Fund - Series XI - Plan D 1247 Days - Direct Plan -  Cumulative Option</v>
          </cell>
        </row>
        <row r="4575">
          <cell r="F4575" t="str">
            <v>ICICI Prudential Capital Protection Oriented Fund - Series XI - Plan D 1247 Days - Direct Plan -  Dividend Option</v>
          </cell>
        </row>
        <row r="4576">
          <cell r="F4576" t="str">
            <v>ICICI Prudential Capital Protection Oriented Fund - Series XI - Plan D 1247 Days - Dividend Option</v>
          </cell>
        </row>
        <row r="4577">
          <cell r="F4577" t="str">
            <v>ICICI Prudential Capital Protection Oriented Fund - Series XI - Plan E 1222 Days - Cumulative Option</v>
          </cell>
        </row>
        <row r="4578">
          <cell r="F4578" t="str">
            <v>ICICI Prudential Capital Protection Oriented Fund - Series XI - Plan E 1222 Days - Direct Plan -  Cumulative Option</v>
          </cell>
        </row>
        <row r="4579">
          <cell r="F4579" t="str">
            <v>ICICI Prudential Capital Protection Oriented Fund - Series XI - Plan E 1222 Days - Direct Plan -  Dividend Option</v>
          </cell>
        </row>
        <row r="4580">
          <cell r="F4580" t="str">
            <v>ICICI Prudential Capital Protection Oriented Fund - Series XI - Plan E 1222 Days - Dividend Option</v>
          </cell>
        </row>
        <row r="4581">
          <cell r="F4581" t="str">
            <v>ICICI Prudential Capital Protection Oriented Fund - Series XII - Plan A 1168 Days - Cumulative Option</v>
          </cell>
        </row>
        <row r="4582">
          <cell r="F4582" t="str">
            <v>ICICI Prudential Capital Protection Oriented Fund - Series XII - Plan A 1168 Days - Direct Plan - Cumulative Option</v>
          </cell>
        </row>
        <row r="4583">
          <cell r="F4583" t="str">
            <v>ICICI Prudential Capital Protection Oriented Fund - Series XII - Plan A 1168 Days - Direct Plan - Dividend Option</v>
          </cell>
        </row>
        <row r="4584">
          <cell r="F4584" t="str">
            <v>ICICI Prudential Capital Protection Oriented Fund - Series XII - Plan A 1168 Days - Dividend Option</v>
          </cell>
        </row>
        <row r="4585">
          <cell r="F4585" t="str">
            <v>ICICI Prudential Capital Protection Oriented Fund - Series XII - Plan C 1270 Days - Cumulative Option</v>
          </cell>
        </row>
        <row r="4586">
          <cell r="F4586" t="str">
            <v>ICICI Prudential Capital Protection Oriented Fund - Series XII - Plan C 1270 Days - Direct Plan - Cumulative Option</v>
          </cell>
        </row>
        <row r="4587">
          <cell r="F4587" t="str">
            <v>ICICI Prudential Capital Protection Oriented Fund - Series XII - Plan C 1270 Days - Direct Plan - Dividend Option</v>
          </cell>
        </row>
        <row r="4588">
          <cell r="F4588" t="str">
            <v>ICICI Prudential Capital Protection Oriented Fund - Series XII - Plan C 1270 Days - Dividend OPtion</v>
          </cell>
        </row>
        <row r="4589">
          <cell r="F4589" t="str">
            <v>ICICI Prudential Capital Protection Oriented Fund III - PLAN E - 60 Months - Cumulative</v>
          </cell>
        </row>
        <row r="4590">
          <cell r="F4590" t="str">
            <v>ICICI Prudential Capital Protection Oriented Fund III - PLAN E - 60 Months - Direct Plan - Cumulative</v>
          </cell>
        </row>
        <row r="4591">
          <cell r="F4591" t="str">
            <v>ICICI Prudential Capital Protection Oriented Fund III - PLAN E - 60 Months - Direct Plan - Dividend</v>
          </cell>
        </row>
        <row r="4592">
          <cell r="F4592" t="str">
            <v>ICICI Prudential Capital Protection Oriented Fund III - PLAN E - 60 Months - Dividend</v>
          </cell>
        </row>
        <row r="4593">
          <cell r="F4593" t="str">
            <v>ICICI Prudential Capital Protection Oriented Fund III - PLAN G - 60 Months - Cumulative</v>
          </cell>
        </row>
        <row r="4594">
          <cell r="F4594" t="str">
            <v>ICICI Prudential Capital Protection Oriented Fund III - PLAN G - 60 Months - Direct Plan - Cumulative</v>
          </cell>
        </row>
        <row r="4595">
          <cell r="F4595" t="str">
            <v>ICICI Prudential Capital Protection Oriented Fund III - PLAN G - 60 Months - Dividend</v>
          </cell>
        </row>
        <row r="4596">
          <cell r="F4596" t="str">
            <v>ICICI Prudential Capital Protection Oriented Fund III - PLAN H - 60 Months - Cumulative</v>
          </cell>
        </row>
        <row r="4597">
          <cell r="F4597" t="str">
            <v>ICICI Prudential Capital Protection Oriented Fund III - PLAN H - 60 Months - Direct Plan - Cumulative</v>
          </cell>
        </row>
        <row r="4598">
          <cell r="F4598" t="str">
            <v>ICICI Prudential Capital Protection Oriented Fund III - PLAN H - 60 Months - Direct Plan - Dividend</v>
          </cell>
        </row>
        <row r="4599">
          <cell r="F4599" t="str">
            <v>ICICI Prudential Capital Protection Oriented Fund III - PLAN H - 60 Months - Dividend</v>
          </cell>
        </row>
        <row r="4600">
          <cell r="F4600" t="str">
            <v>ICICI Prudential Capital Protection Oriented Fund IV - PLAN A - 60 Months - Cumulative</v>
          </cell>
        </row>
        <row r="4601">
          <cell r="F4601" t="str">
            <v>ICICI Prudential Capital Protection Oriented Fund IV - PLAN A - 60 Months - Direct Plan - Cumulative</v>
          </cell>
        </row>
        <row r="4602">
          <cell r="F4602" t="str">
            <v>ICICI Prudential Capital Protection Oriented Fund IV - PLAN A - 60 Months - Dividend</v>
          </cell>
        </row>
        <row r="4603">
          <cell r="F4603" t="str">
            <v>ICICI Prudential Capital Protection Oriented Fund IV - PLAN C - 60 Months - Cumulative</v>
          </cell>
        </row>
        <row r="4604">
          <cell r="F4604" t="str">
            <v>ICICI Prudential Capital Protection Oriented Fund IV - PLAN C - 60 Months - Direct Plan - Cumulative</v>
          </cell>
        </row>
        <row r="4605">
          <cell r="F4605" t="str">
            <v>ICICI Prudential Capital Protection Oriented Fund IV - PLAN C - 60 Months - Direct Plan - Dividend</v>
          </cell>
        </row>
        <row r="4606">
          <cell r="F4606" t="str">
            <v>ICICI Prudential Capital Protection Oriented Fund IV - PLAN C - 60 Months - Dividend</v>
          </cell>
        </row>
        <row r="4607">
          <cell r="F4607" t="str">
            <v>ICICI Prudential Capital Protection Oriented Fund IV - PLAN D - 60 Months - Cumulative</v>
          </cell>
        </row>
        <row r="4608">
          <cell r="F4608" t="str">
            <v>ICICI Prudential Capital Protection Oriented Fund IV - PLAN D - 60 Months - Direct Plan - Cumulative</v>
          </cell>
        </row>
        <row r="4609">
          <cell r="F4609" t="str">
            <v>ICICI Prudential Capital Protection Oriented Fund IV - PLAN D - 60 Months - Direct Plan - Dividend</v>
          </cell>
        </row>
        <row r="4610">
          <cell r="F4610" t="str">
            <v>ICICI Prudential Capital Protection Oriented Fund IV - PLAN D - 60 Months - Dividend</v>
          </cell>
        </row>
        <row r="4611">
          <cell r="F4611" t="str">
            <v>ICICI Prudential Capital Protection Oriented Fund IV - PLAN F - 60 Months - Cumulative</v>
          </cell>
        </row>
        <row r="4612">
          <cell r="F4612" t="str">
            <v>ICICI Prudential Capital Protection Oriented Fund IV - PLAN F - 60 Months - Direct Plan - Cumulative</v>
          </cell>
        </row>
        <row r="4613">
          <cell r="F4613" t="str">
            <v>ICICI Prudential Capital Protection Oriented Fund IV - PLAN F - 60 Months - Direct Plan - Dividend</v>
          </cell>
        </row>
        <row r="4614">
          <cell r="F4614" t="str">
            <v>ICICI Prudential Capital Protection Oriented Fund IV - PLAN F - 60 Months - Dividend</v>
          </cell>
        </row>
        <row r="4615">
          <cell r="F4615" t="str">
            <v>ICICI Prudential Capital Protection Oriented Fund IV - PLAN G - 60 Months plan - Cumulative</v>
          </cell>
        </row>
        <row r="4616">
          <cell r="F4616" t="str">
            <v>ICICI Prudential Capital Protection Oriented Fund IV - PLAN G - 60 Months Plan - Direct Plan - Cumulative</v>
          </cell>
        </row>
        <row r="4617">
          <cell r="F4617" t="str">
            <v>ICICI Prudential Capital Protection Oriented Fund IV - PLAN G - 60 Months Plan - Direct Plan - Dividend</v>
          </cell>
        </row>
        <row r="4618">
          <cell r="F4618" t="str">
            <v>ICICI Prudential Capital Protection Oriented Fund IV - PLAN G - 60 Months Plan - Dividend</v>
          </cell>
        </row>
        <row r="4619">
          <cell r="F4619" t="str">
            <v>ICICI Prudential Capital Protection Oriented Fund Series VI -1825 Days Plan A Cumulative Option</v>
          </cell>
        </row>
        <row r="4620">
          <cell r="F4620" t="str">
            <v>ICICI Prudential Capital Protection Oriented Fund Series VI -1825 Days Plan C Direct Plan Cumulative Option</v>
          </cell>
        </row>
        <row r="4621">
          <cell r="F4621" t="str">
            <v>ICICI Prudential Capital Protection Oriented Fund Series VI- 1825 Days Plan A Direct Plan Cumulative option</v>
          </cell>
        </row>
        <row r="4622">
          <cell r="F4622" t="str">
            <v>ICICI Prudential Capital Protection Oriented Fund Series VI- 1825 Days Plan A Direct Plan Dividend Option</v>
          </cell>
        </row>
        <row r="4623">
          <cell r="F4623" t="str">
            <v>ICICI Prudential Capital Protection Oriented Fund Series VI- 1825 Days Plan A Dividend Option</v>
          </cell>
        </row>
        <row r="4624">
          <cell r="F4624" t="str">
            <v>ICICI Prudential Capital Protection Oriented Fund Series VI- 1825 Days Plan C Cumulative Option</v>
          </cell>
        </row>
        <row r="4625">
          <cell r="F4625" t="str">
            <v>ICICI Prudential Capital Protection Oriented Fund Series VI- 1825 Days Plan C Direct Plan Dividend option</v>
          </cell>
        </row>
        <row r="4626">
          <cell r="F4626" t="str">
            <v>ICICI Prudential Capital Protection Oriented Fund Series VI- 1825 Days Plan C Dividend Option</v>
          </cell>
        </row>
        <row r="4627">
          <cell r="F4627" t="str">
            <v>ICICI Prudential Capital Protection Oriented Fund V - PLAN A - 5 Years Plan - Cumulative</v>
          </cell>
        </row>
        <row r="4628">
          <cell r="F4628" t="str">
            <v>ICICI Prudential Capital Protection Oriented Fund V - PLAN A - 5 Years Plan - Direct Plan - Cumulative</v>
          </cell>
        </row>
        <row r="4629">
          <cell r="F4629" t="str">
            <v>ICICI Prudential Capital Protection Oriented Fund V - PLAN A - 5 Years Plan - Direct Plan - Dividend</v>
          </cell>
        </row>
        <row r="4630">
          <cell r="F4630" t="str">
            <v>ICICI Prudential Capital Protection Oriented Fund V - PLAN A - 5 Years Plan - Dividend</v>
          </cell>
        </row>
        <row r="4631">
          <cell r="F4631" t="str">
            <v>ICICI Prudential Capital Protection Oriented Fund V - PLAN C - 1825 Days - Cumulative</v>
          </cell>
        </row>
        <row r="4632">
          <cell r="F4632" t="str">
            <v>ICICI Prudential Capital Protection Oriented Fund V - PLAN C - 1825 Days - Direct Plan - Cumulative</v>
          </cell>
        </row>
        <row r="4633">
          <cell r="F4633" t="str">
            <v>ICICI Prudential Capital Protection Oriented Fund V - PLAN C - 1825 Days - Direct Plan - Dividend</v>
          </cell>
        </row>
        <row r="4634">
          <cell r="F4634" t="str">
            <v>ICICI Prudential Capital Protection Oriented Fund V - PLAN C - 1825 Days - Dividend</v>
          </cell>
        </row>
        <row r="4635">
          <cell r="F4635" t="str">
            <v>ICICI Prudential Child Care Fund (Gift Plan) - Cumulative</v>
          </cell>
        </row>
        <row r="4636">
          <cell r="F4636" t="str">
            <v>ICICI Prudential Child Care Fund (Gift Plan) - Direct Plan - Cumulative</v>
          </cell>
        </row>
        <row r="4637">
          <cell r="F4637" t="str">
            <v>ICICI Prudential Child Care Plan Study - Cumulative</v>
          </cell>
        </row>
        <row r="4638">
          <cell r="F4638" t="str">
            <v>ICICI Prudential Child Care Plan Study - Direct Plan- Cumulative</v>
          </cell>
        </row>
        <row r="4639">
          <cell r="F4639" t="str">
            <v>ICICI Prudential Constant Maturity Gilt Fund - Annual Dividend</v>
          </cell>
        </row>
        <row r="4640">
          <cell r="F4640" t="str">
            <v>ICICI Prudential Constant Maturity Gilt Fund - Direct Plan - Annual Dividend</v>
          </cell>
        </row>
        <row r="4641">
          <cell r="F4641" t="str">
            <v>ICICI Prudential Constant Maturity Gilt Fund - Direct Plan - Growth</v>
          </cell>
        </row>
        <row r="4642">
          <cell r="F4642" t="str">
            <v>ICICI Prudential Constant Maturity Gilt Fund - Direct Plan - Half Yearly Dividend</v>
          </cell>
        </row>
        <row r="4643">
          <cell r="F4643" t="str">
            <v>ICICI Prudential Constant Maturity Gilt Fund - Direct Plan - Monthly Dividend</v>
          </cell>
        </row>
        <row r="4644">
          <cell r="F4644" t="str">
            <v>ICICI Prudential Constant Maturity Gilt Fund - Direct Plan - Quarterly Dividend</v>
          </cell>
        </row>
        <row r="4645">
          <cell r="F4645" t="str">
            <v>ICICI Prudential Constant Maturity Gilt Fund - Growth</v>
          </cell>
        </row>
        <row r="4646">
          <cell r="F4646" t="str">
            <v>ICICI Prudential Constant Maturity Gilt Fund - Half Yearly Dividend</v>
          </cell>
        </row>
        <row r="4647">
          <cell r="F4647" t="str">
            <v>ICICI Prudential Constant Maturity Gilt Fund - Monthly Dividend</v>
          </cell>
        </row>
        <row r="4648">
          <cell r="F4648" t="str">
            <v>ICICI Prudential Constant Maturity Gilt Fund - quarterly Dividend</v>
          </cell>
        </row>
        <row r="4649">
          <cell r="F4649" t="str">
            <v>ICICI Prudential Corporate Bond Fund - Bonus</v>
          </cell>
        </row>
        <row r="4650">
          <cell r="F4650" t="str">
            <v>ICICI Prudential Corporate Bond Fund - Daily Dividend</v>
          </cell>
        </row>
        <row r="4651">
          <cell r="F4651" t="str">
            <v>ICICI Prudential Corporate Bond Fund - Direct Plan - Daily Dividend</v>
          </cell>
        </row>
        <row r="4652">
          <cell r="F4652" t="str">
            <v>ICICI Prudential Corporate Bond Fund - Direct Plan - Fortnightly Dividend</v>
          </cell>
        </row>
        <row r="4653">
          <cell r="F4653" t="str">
            <v>ICICI Prudential Corporate Bond Fund - Direct Plan - Growth</v>
          </cell>
        </row>
        <row r="4654">
          <cell r="F4654" t="str">
            <v>ICICI Prudential Corporate Bond Fund - Direct Plan - Half Yearly Dividend Option</v>
          </cell>
        </row>
        <row r="4655">
          <cell r="F4655" t="str">
            <v>ICICI Prudential Corporate Bond Fund - Direct Plan - Monthly Dividend</v>
          </cell>
        </row>
        <row r="4656">
          <cell r="F4656" t="str">
            <v>ICICI Prudential Corporate Bond Fund - Direct Plan - Quarterly Dividend</v>
          </cell>
        </row>
        <row r="4657">
          <cell r="F4657" t="str">
            <v>ICICI Prudential Corporate Bond Fund - Direct Plan - Weekly Dividend</v>
          </cell>
        </row>
        <row r="4658">
          <cell r="F4658" t="str">
            <v>ICICI Prudential Corporate Bond Fund - Fortnightly Dividend</v>
          </cell>
        </row>
        <row r="4659">
          <cell r="F4659" t="str">
            <v>ICICI Prudential Corporate Bond Fund - Growth</v>
          </cell>
        </row>
        <row r="4660">
          <cell r="F4660" t="str">
            <v>ICICI Prudential Corporate Bond Fund - Half Yearly Dividend Option</v>
          </cell>
        </row>
        <row r="4661">
          <cell r="F4661" t="str">
            <v>ICICI Prudential Corporate Bond Fund - Monthly Dividend</v>
          </cell>
        </row>
        <row r="4662">
          <cell r="F4662" t="str">
            <v>ICICI Prudential Corporate Bond Fund - Premium Daily Dividend</v>
          </cell>
        </row>
        <row r="4663">
          <cell r="F4663" t="str">
            <v>ICICI Prudential Corporate Bond Fund - Weekly Dividend</v>
          </cell>
        </row>
        <row r="4664">
          <cell r="F4664" t="str">
            <v>ICICI Prudential Corporate Bond Fund -Quarterly Dividend</v>
          </cell>
        </row>
        <row r="4665">
          <cell r="F4665" t="str">
            <v>ICICI Prudential Corporate Bond Fund Retail Daily Dividend</v>
          </cell>
        </row>
        <row r="4666">
          <cell r="F4666" t="str">
            <v>ICICI Prudential Corporate Bond Fund Retail Fort Nightly Dividend</v>
          </cell>
        </row>
        <row r="4667">
          <cell r="F4667" t="str">
            <v>ICICI Prudential Corporate Bond Fund Retail Growth</v>
          </cell>
        </row>
        <row r="4668">
          <cell r="F4668" t="str">
            <v>ICICI Prudential Corporate Bond Fund Retail Monthly Dividend</v>
          </cell>
        </row>
        <row r="4669">
          <cell r="F4669" t="str">
            <v>ICICI Prudential Corporate Bond Fund Retail Quarterly Dividend</v>
          </cell>
        </row>
        <row r="4670">
          <cell r="F4670" t="str">
            <v>ICICI Prudential Corporate Bond Fund Retail Weekly Dividend</v>
          </cell>
        </row>
        <row r="4671">
          <cell r="F4671" t="str">
            <v>ICICI Prudential Credit Risk Fund - Annual Dividend</v>
          </cell>
        </row>
        <row r="4672">
          <cell r="F4672" t="str">
            <v>ICICI Prudential Credit Risk Fund - Bonus</v>
          </cell>
        </row>
        <row r="4673">
          <cell r="F4673" t="str">
            <v>ICICI Prudential Credit Risk Fund - Direct Plan - Annual Dividend</v>
          </cell>
        </row>
        <row r="4674">
          <cell r="F4674" t="str">
            <v>ICICI Prudential Credit Risk Fund - Direct Plan - Growth</v>
          </cell>
        </row>
        <row r="4675">
          <cell r="F4675" t="str">
            <v>ICICI Prudential Credit Risk Fund - Direct Plan - Half Yearly Dividend</v>
          </cell>
        </row>
        <row r="4676">
          <cell r="F4676" t="str">
            <v>ICICI Prudential Credit Risk Fund - Direct Plan - Quarterly Dividend</v>
          </cell>
        </row>
        <row r="4677">
          <cell r="F4677" t="str">
            <v>ICICI Prudential Credit Risk Fund - Direct Plan Bonus</v>
          </cell>
        </row>
        <row r="4678">
          <cell r="F4678" t="str">
            <v>ICICI Prudential Credit Risk Fund - Growth</v>
          </cell>
        </row>
        <row r="4679">
          <cell r="F4679" t="str">
            <v>ICICI Prudential Credit Risk Fund - Half Yearly Dividend</v>
          </cell>
        </row>
        <row r="4680">
          <cell r="F4680" t="str">
            <v>ICICI Prudential Credit Risk Fund - Quarterly Dividend</v>
          </cell>
        </row>
        <row r="4681">
          <cell r="F4681" t="str">
            <v>ICICI Prudential Debt Management Fund - Direct Plan -  Dividend</v>
          </cell>
        </row>
        <row r="4682">
          <cell r="F4682" t="str">
            <v>ICICI Prudential Debt Management Fund - Direct Plan -  Growth</v>
          </cell>
        </row>
        <row r="4683">
          <cell r="F4683" t="str">
            <v>ICICI Prudential Debt Management Fund - Dividend</v>
          </cell>
        </row>
        <row r="4684">
          <cell r="F4684" t="str">
            <v>ICICI Prudential Debt Management Fund - Growth</v>
          </cell>
        </row>
        <row r="4685">
          <cell r="F4685" t="str">
            <v>ICICI Prudential Dividend Yield Equity Fund Direct Plan Dividend Option</v>
          </cell>
        </row>
        <row r="4686">
          <cell r="F4686" t="str">
            <v>ICICI Prudential Dividend Yield Equity Fund Direct Plan Growth Option</v>
          </cell>
        </row>
        <row r="4687">
          <cell r="F4687" t="str">
            <v>ICICI Prudential Dividend Yield Equity Fund Dividend Option</v>
          </cell>
        </row>
        <row r="4688">
          <cell r="F4688" t="str">
            <v>ICICI Prudential Dividend Yield Equity Fund Growth Option</v>
          </cell>
        </row>
        <row r="4689">
          <cell r="F4689" t="str">
            <v>ICICI Prudential Dynamic Bond Fund - Annual Dividend</v>
          </cell>
        </row>
        <row r="4690">
          <cell r="F4690" t="str">
            <v>ICICI Prudential Dynamic Bond Fund - Bonus</v>
          </cell>
        </row>
        <row r="4691">
          <cell r="F4691" t="str">
            <v>ICICI Prudential Dynamic Bond Fund - Daily Dividend</v>
          </cell>
        </row>
        <row r="4692">
          <cell r="F4692" t="str">
            <v>ICICI Prudential Dynamic Bond Fund - Direct Plan -  Daily Dividend</v>
          </cell>
        </row>
        <row r="4693">
          <cell r="F4693" t="str">
            <v>ICICI Prudential Dynamic Bond Fund - Direct Plan -  Growth</v>
          </cell>
        </row>
        <row r="4694">
          <cell r="F4694" t="str">
            <v>ICICI Prudential Dynamic Bond Fund - Direct Plan -  Half Yearly Dividend</v>
          </cell>
        </row>
        <row r="4695">
          <cell r="F4695" t="str">
            <v>ICICI Prudential Dynamic Bond Fund - Direct Plan -  Monthly Dividend</v>
          </cell>
        </row>
        <row r="4696">
          <cell r="F4696" t="str">
            <v>ICICI Prudential Dynamic Bond Fund - Direct Plan - Annual Dividend</v>
          </cell>
        </row>
        <row r="4697">
          <cell r="F4697" t="str">
            <v>ICICI Prudential Dynamic Bond Fund - Direct Plan - Bonus Option</v>
          </cell>
        </row>
        <row r="4698">
          <cell r="F4698" t="str">
            <v>ICICI Prudential Dynamic Bond Fund - Direct Plan - Quarterly Dividend</v>
          </cell>
        </row>
        <row r="4699">
          <cell r="F4699" t="str">
            <v>ICICI Prudential Dynamic Bond Fund - Growth</v>
          </cell>
        </row>
        <row r="4700">
          <cell r="F4700" t="str">
            <v>ICICI Prudential Dynamic Bond Fund - Half Yearly Dividend</v>
          </cell>
        </row>
        <row r="4701">
          <cell r="F4701" t="str">
            <v>ICICI Prudential Dynamic Bond Fund - Monthly Dividend</v>
          </cell>
        </row>
        <row r="4702">
          <cell r="F4702" t="str">
            <v>ICICI Prudential Dynamic Bond Fund - Premium Plus Growth</v>
          </cell>
        </row>
        <row r="4703">
          <cell r="F4703" t="str">
            <v>ICICI Prudential Dynamic Bond Fund - Quarterly Dividend</v>
          </cell>
        </row>
        <row r="4704">
          <cell r="F4704" t="str">
            <v>ICICI Prudential Equity &amp; Debt Fund - Annual Dividend</v>
          </cell>
        </row>
        <row r="4705">
          <cell r="F4705" t="str">
            <v>ICICI Prudential Equity &amp; Debt Fund - Direct Plan - Annual Dividend</v>
          </cell>
        </row>
        <row r="4706">
          <cell r="F4706" t="str">
            <v>ICICI Prudential Equity &amp; Debt Fund - Direct Plan - Growth</v>
          </cell>
        </row>
        <row r="4707">
          <cell r="F4707" t="str">
            <v>ICICI Prudential Equity &amp; Debt Fund - Direct Plan - Half Yearly Dividend</v>
          </cell>
        </row>
        <row r="4708">
          <cell r="F4708" t="str">
            <v>ICICI Prudential Equity &amp; Debt Fund - Direct Plan - Monthly Dividend</v>
          </cell>
        </row>
        <row r="4709">
          <cell r="F4709" t="str">
            <v>ICICI Prudential Equity &amp; Debt Fund - Growth</v>
          </cell>
        </row>
        <row r="4710">
          <cell r="F4710" t="str">
            <v>ICICI Prudential Equity &amp; Debt Fund - Half Yearly Dividend</v>
          </cell>
        </row>
        <row r="4711">
          <cell r="F4711" t="str">
            <v>ICICI Prudential Equity &amp; Debt Fund - Monthly Dividend</v>
          </cell>
        </row>
        <row r="4712">
          <cell r="F4712" t="str">
            <v>ICICI Prudential Equity - Arbitrage Fund-Institutional Growth Option</v>
          </cell>
        </row>
        <row r="4713">
          <cell r="F4713" t="str">
            <v>ICICI Prudential Equity Arbitrage Fund - Direct Plan - Dividend</v>
          </cell>
        </row>
        <row r="4714">
          <cell r="F4714" t="str">
            <v>ICICI Prudential Equity Arbitrage Fund - Direct Plan - Growth</v>
          </cell>
        </row>
        <row r="4715">
          <cell r="F4715" t="str">
            <v>ICICI Prudential Equity Arbitrage Fund - Direct Plan Bonus</v>
          </cell>
        </row>
        <row r="4716">
          <cell r="F4716" t="str">
            <v>ICICI Prudential Equity Arbitrage Fund - Dividend</v>
          </cell>
        </row>
        <row r="4717">
          <cell r="F4717" t="str">
            <v>ICICI Prudential Equity Arbitrage Fund - Growth</v>
          </cell>
        </row>
        <row r="4718">
          <cell r="F4718" t="str">
            <v>ICICI Prudential Equity Savings Fund - Cumulative option</v>
          </cell>
        </row>
        <row r="4719">
          <cell r="F4719" t="str">
            <v>ICICI Prudential Equity Savings Fund - Direct Plan - Cumulative option</v>
          </cell>
        </row>
        <row r="4720">
          <cell r="F4720" t="str">
            <v>ICICI Prudential Equity Savings Fund - Direct Plan - Half Yearly Dividend</v>
          </cell>
        </row>
        <row r="4721">
          <cell r="F4721" t="str">
            <v>ICICI Prudential Equity Savings Fund - Direct Plan - Monthly Dividend</v>
          </cell>
        </row>
        <row r="4722">
          <cell r="F4722" t="str">
            <v>ICICI Prudential Equity Savings Fund - Direct Plan - Quarterly Dividend</v>
          </cell>
        </row>
        <row r="4723">
          <cell r="F4723" t="str">
            <v>ICICI Prudential Equity Savings Fund - Half Yearly Dividend</v>
          </cell>
        </row>
        <row r="4724">
          <cell r="F4724" t="str">
            <v>ICICI Prudential Equity Savings Fund - Monthly Dividend</v>
          </cell>
        </row>
        <row r="4725">
          <cell r="F4725" t="str">
            <v>ICICI Prudential Equity Savings Fund - Quarterly Dividend</v>
          </cell>
        </row>
        <row r="4726">
          <cell r="F4726" t="str">
            <v>ICICI Prudential Exports &amp; Services Fund - Direct Plan - Dividend</v>
          </cell>
        </row>
        <row r="4727">
          <cell r="F4727" t="str">
            <v>ICICI Prudential Exports &amp; Services Fund - Direct Plan - Growth</v>
          </cell>
        </row>
        <row r="4728">
          <cell r="F4728" t="str">
            <v>ICICI Prudential Exports &amp; Services Fund - Dividend</v>
          </cell>
        </row>
        <row r="4729">
          <cell r="F4729" t="str">
            <v>ICICI Prudential Exports &amp; Services Fund - Growth</v>
          </cell>
        </row>
        <row r="4730">
          <cell r="F4730" t="str">
            <v>ICICI Prudential Fixed Maturity Plan - Seires 79 - 1106 Days Plan M Cumulative Option</v>
          </cell>
        </row>
        <row r="4731">
          <cell r="F4731" t="str">
            <v>ICICI Prudential Fixed Maturity Plan - Series 74 - 9 Years Plan U Direct Plan Dividend Option</v>
          </cell>
        </row>
        <row r="4732">
          <cell r="F4732" t="str">
            <v>ICICI Prudential Fixed Maturity Plan - Series 74 -9 Years Plan U Direct Plan Cumulative Option</v>
          </cell>
        </row>
        <row r="4733">
          <cell r="F4733" t="str">
            <v>ICICI Prudential Fixed Maturity Plan - Series 75 - 1246 Days Plan U Cumulative Option</v>
          </cell>
        </row>
        <row r="4734">
          <cell r="F4734" t="str">
            <v>ICICI Prudential Fixed Maturity Plan - Series 75 - 1246 Days Plan U Direct Plan Cumulative Option</v>
          </cell>
        </row>
        <row r="4735">
          <cell r="F4735" t="str">
            <v>ICICI Prudential Fixed Maturity Plan - Series 75 - 1246 Days Plan U Direct Plan Dividend Option</v>
          </cell>
        </row>
        <row r="4736">
          <cell r="F4736" t="str">
            <v>ICICI Prudential Fixed Maturity Plan - Series 75 - 1246 Days Plan U Dividend Option</v>
          </cell>
        </row>
        <row r="4737">
          <cell r="F4737" t="str">
            <v>ICICI Prudential Fixed Maturity Plan - Series 75 - 1352 Days Plan E Cumulative Option</v>
          </cell>
        </row>
        <row r="4738">
          <cell r="F4738" t="str">
            <v>ICICI Prudential Fixed Maturity Plan - Series 75 - 1352 Days Plan E Direct Plan Cumulative Option</v>
          </cell>
        </row>
        <row r="4739">
          <cell r="F4739" t="str">
            <v>ICICI Prudential Fixed Maturity Plan - Series 75 - 1352 Days Plan E Direct Plan Dividend Option</v>
          </cell>
        </row>
        <row r="4740">
          <cell r="F4740" t="str">
            <v>ICICI Prudential Fixed Maturity Plan - Series 75 - 1352 Days Plan E Dividend Option</v>
          </cell>
        </row>
        <row r="4741">
          <cell r="F4741" t="str">
            <v>ICICI Prudential Fixed Maturity Plan - Series 76 - 1100 Days Plan T Cumulative Option</v>
          </cell>
        </row>
        <row r="4742">
          <cell r="F4742" t="str">
            <v>ICICI Prudential Fixed Maturity Plan - Series 76 - 1100 Days Plan T Direct Plan Cumulative Option</v>
          </cell>
        </row>
        <row r="4743">
          <cell r="F4743" t="str">
            <v>ICICI Prudential Fixed Maturity Plan - Series 76 - 1100 Days Plan T Dividend Option</v>
          </cell>
        </row>
        <row r="4744">
          <cell r="F4744" t="str">
            <v>ICICI Prudential Fixed Maturity Plan - Series 76 - 1108 Days Plan V Cumulative Option</v>
          </cell>
        </row>
        <row r="4745">
          <cell r="F4745" t="str">
            <v>ICICI Prudential Fixed Maturity Plan - Series 76 - 1108 Days Plan V Direct Plan Cumulative Option</v>
          </cell>
        </row>
        <row r="4746">
          <cell r="F4746" t="str">
            <v>ICICI Prudential Fixed Maturity Plan - Series 76 - 1108 Days Plan V Dividend Option</v>
          </cell>
        </row>
        <row r="4747">
          <cell r="F4747" t="str">
            <v>ICICI Prudential Fixed Maturity Plan - Series 76 - 1120 Days Plan U Cumulative Option</v>
          </cell>
        </row>
        <row r="4748">
          <cell r="F4748" t="str">
            <v>ICICI Prudential Fixed Maturity Plan - Series 76 - 1120 Days Plan U Direct Plan Cumulative Option</v>
          </cell>
        </row>
        <row r="4749">
          <cell r="F4749" t="str">
            <v>ICICI Prudential Fixed Maturity Plan - Series 76 - 1120 Days Plan U Dividend Option</v>
          </cell>
        </row>
        <row r="4750">
          <cell r="F4750" t="str">
            <v>ICICI Prudential Fixed Maturity Plan - Series 76 - 1127 Days Plan W Cumulative Option</v>
          </cell>
        </row>
        <row r="4751">
          <cell r="F4751" t="str">
            <v>ICICI Prudential Fixed Maturity Plan - Series 76 - 1127 Days Plan W Direct Plan Cumulative Option</v>
          </cell>
        </row>
        <row r="4752">
          <cell r="F4752" t="str">
            <v>ICICI Prudential Fixed Maturity Plan - Series 76 - 1127 Days Plan W Direct Plan Dividend Option</v>
          </cell>
        </row>
        <row r="4753">
          <cell r="F4753" t="str">
            <v>ICICI Prudential Fixed Maturity Plan - Series 76 - 1127 Days Plan W Dividend Option</v>
          </cell>
        </row>
        <row r="4754">
          <cell r="F4754" t="str">
            <v>ICICI Prudential Fixed Maturity Plan - Series 76 - 1132 Days Plan P Cumulative Option</v>
          </cell>
        </row>
        <row r="4755">
          <cell r="F4755" t="str">
            <v>ICICI Prudential Fixed Maturity Plan - Series 76 - 1132 Days Plan P Direct Plan Cumulative Option</v>
          </cell>
        </row>
        <row r="4756">
          <cell r="F4756" t="str">
            <v>ICICI Prudential Fixed Maturity Plan - Series 76 - 1134 Days Plan Y Cumulative Option</v>
          </cell>
        </row>
        <row r="4757">
          <cell r="F4757" t="str">
            <v>ICICI Prudential Fixed Maturity Plan - Series 76 - 1134 Days Plan Y Direct Plan Cumulative Option</v>
          </cell>
        </row>
        <row r="4758">
          <cell r="F4758" t="str">
            <v>ICICI Prudential Fixed Maturity Plan - Series 76 - 1134 Days Plan Y Dividend Option</v>
          </cell>
        </row>
        <row r="4759">
          <cell r="F4759" t="str">
            <v>ICICI Prudential Fixed Maturity Plan - Series 76 - 1135 Days Plan Z Cumulative Option</v>
          </cell>
        </row>
        <row r="4760">
          <cell r="F4760" t="str">
            <v>ICICI Prudential Fixed Maturity Plan - Series 76 - 1135 Days Plan Z Direct Plan Cumulative Option</v>
          </cell>
        </row>
        <row r="4761">
          <cell r="F4761" t="str">
            <v>ICICI Prudential Fixed Maturity Plan - Series 76 - 1135 Days Plan Z Direct Plan Dividend Option</v>
          </cell>
        </row>
        <row r="4762">
          <cell r="F4762" t="str">
            <v>ICICI Prudential Fixed Maturity Plan - Series 76 - 1135 Days Plan Z Dividend Option</v>
          </cell>
        </row>
        <row r="4763">
          <cell r="F4763" t="str">
            <v>ICICI Prudential Fixed Maturity Plan - Series 76 - 1142 Days Plan M Cumulative Option</v>
          </cell>
        </row>
        <row r="4764">
          <cell r="F4764" t="str">
            <v>ICICI Prudential Fixed Maturity Plan - Series 76 - 1142 Days Plan M Direct Plan Cumulative Option</v>
          </cell>
        </row>
        <row r="4765">
          <cell r="F4765" t="str">
            <v>ICICI Prudential Fixed Maturity Plan - Series 76 - 1142 Days Plan M Direct Plan Dividend Option</v>
          </cell>
        </row>
        <row r="4766">
          <cell r="F4766" t="str">
            <v>ICICI Prudential Fixed Maturity Plan - Series 76 - 1142 Days Plan M Dividend Option</v>
          </cell>
        </row>
        <row r="4767">
          <cell r="F4767" t="str">
            <v>ICICI Prudential Fixed Maturity Plan - Series 76 - 1155 Days Plan K Cumulative Option</v>
          </cell>
        </row>
        <row r="4768">
          <cell r="F4768" t="str">
            <v>ICICI Prudential Fixed Maturity Plan - Series 76 - 1155 Days Plan K Direct Plan Cumulative Option</v>
          </cell>
        </row>
        <row r="4769">
          <cell r="F4769" t="str">
            <v>ICICI Prudential Fixed Maturity Plan - Series 76 - 1155 Days Plan K Dividend Option</v>
          </cell>
        </row>
        <row r="4770">
          <cell r="F4770" t="str">
            <v>ICICI Prudential Fixed Maturity Plan - Series 77 - 1100 Days Plan L Cumulative Option</v>
          </cell>
        </row>
        <row r="4771">
          <cell r="F4771" t="str">
            <v>ICICI Prudential Fixed Maturity Plan - Series 77 - 1100 Days Plan L Direct Plan Cumulative Option</v>
          </cell>
        </row>
        <row r="4772">
          <cell r="F4772" t="str">
            <v>ICICI Prudential Fixed Maturity Plan - Series 77 - 1100 Days Plan L Direct Plan Dividend Option</v>
          </cell>
        </row>
        <row r="4773">
          <cell r="F4773" t="str">
            <v>ICICI Prudential Fixed Maturity Plan - Series 77 - 1100 Days Plan L Dividend Option</v>
          </cell>
        </row>
        <row r="4774">
          <cell r="F4774" t="str">
            <v>ICICI Prudential Fixed Maturity Plan - Series 77 - 1100 Days Plan M Cumulative Option</v>
          </cell>
        </row>
        <row r="4775">
          <cell r="F4775" t="str">
            <v>ICICI Prudential Fixed Maturity Plan - Series 77 - 1100 Days Plan M Direct Plan Cumulative Option</v>
          </cell>
        </row>
        <row r="4776">
          <cell r="F4776" t="str">
            <v>ICICI Prudential Fixed Maturity Plan - Series 77 - 1100 Days Plan M Direct Plan Dividend Option</v>
          </cell>
        </row>
        <row r="4777">
          <cell r="F4777" t="str">
            <v>ICICI Prudential Fixed Maturity Plan - Series 77 - 1100 Days Plan M Dividend Option</v>
          </cell>
        </row>
        <row r="4778">
          <cell r="F4778" t="str">
            <v>ICICI Prudential Fixed Maturity Plan - Series 77 - 1105 Days Plan N - Cumulative Option</v>
          </cell>
        </row>
        <row r="4779">
          <cell r="F4779" t="str">
            <v>ICICI Prudential Fixed Maturity Plan - Series 77 - 1105 Days Plan N - Direct Plan - Cumulative Option</v>
          </cell>
        </row>
        <row r="4780">
          <cell r="F4780" t="str">
            <v>ICICI Prudential Fixed Maturity Plan - Series 77 - 1105 Days Plan N - Dividend Option</v>
          </cell>
        </row>
        <row r="4781">
          <cell r="F4781" t="str">
            <v>ICICI Prudential Fixed Maturity Plan - Series 77 - 1129 Days Plan W Cumulative Option</v>
          </cell>
        </row>
        <row r="4782">
          <cell r="F4782" t="str">
            <v>ICICI Prudential Fixed Maturity Plan - Series 77 - 1129 Days Plan W Direct Plan Cumulative Option</v>
          </cell>
        </row>
        <row r="4783">
          <cell r="F4783" t="str">
            <v>ICICI Prudential Fixed Maturity Plan - Series 77 - 1129 Days Plan W Dividend Option</v>
          </cell>
        </row>
        <row r="4784">
          <cell r="F4784" t="str">
            <v>ICICI Prudential Fixed Maturity Plan - Series 77 - 1130 Days Plan D Cumulative Option</v>
          </cell>
        </row>
        <row r="4785">
          <cell r="F4785" t="str">
            <v>ICICI Prudential Fixed Maturity Plan - Series 77 - 1130 Days Plan D Direct Plan Cumulative Option</v>
          </cell>
        </row>
        <row r="4786">
          <cell r="F4786" t="str">
            <v>ICICI Prudential Fixed Maturity Plan - Series 77 - 1130 Days Plan D Dividend Option</v>
          </cell>
        </row>
        <row r="4787">
          <cell r="F4787" t="str">
            <v>ICICI Prudential Fixed Maturity Plan - Series 77 - 1132 Days Plan A Cumulative Option</v>
          </cell>
        </row>
        <row r="4788">
          <cell r="F4788" t="str">
            <v>ICICI Prudential Fixed Maturity Plan - Series 77 - 1132 Days Plan A Direct Plan Cumulative Option</v>
          </cell>
        </row>
        <row r="4789">
          <cell r="F4789" t="str">
            <v>ICICI Prudential Fixed Maturity Plan - Series 77 - 1132 Days Plan A Direct Plan Dividend Option</v>
          </cell>
        </row>
        <row r="4790">
          <cell r="F4790" t="str">
            <v>ICICI Prudential Fixed Maturity Plan - Series 77 - 1132 Days Plan A Dividend Option</v>
          </cell>
        </row>
        <row r="4791">
          <cell r="F4791" t="str">
            <v>ICICI Prudential Fixed Maturity Plan - Series 77 - 1134 Plan H Cumulative Option</v>
          </cell>
        </row>
        <row r="4792">
          <cell r="F4792" t="str">
            <v>ICICI Prudential Fixed Maturity Plan - Series 77 - 1134 Plan H Direct Plan Cumulative Option</v>
          </cell>
        </row>
        <row r="4793">
          <cell r="F4793" t="str">
            <v>ICICI Prudential Fixed Maturity Plan - Series 77 - 1134 Plan H Direct Plan Dividend Option</v>
          </cell>
        </row>
        <row r="4794">
          <cell r="F4794" t="str">
            <v>ICICI Prudential Fixed Maturity Plan - Series 77 - 1144 Days Plan T Cumulative Option</v>
          </cell>
        </row>
        <row r="4795">
          <cell r="F4795" t="str">
            <v>ICICI Prudential Fixed Maturity Plan - Series 77 - 1144 Days Plan T Direct Plan Cumulative Option</v>
          </cell>
        </row>
        <row r="4796">
          <cell r="F4796" t="str">
            <v>ICICI Prudential Fixed Maturity Plan - Series 77 - 1144 Days Plan T Dividend Option</v>
          </cell>
        </row>
        <row r="4797">
          <cell r="F4797" t="str">
            <v>ICICI Prudential Fixed Maturity Plan - Series 77 - 1151 Days Plan S Cumulative Option</v>
          </cell>
        </row>
        <row r="4798">
          <cell r="F4798" t="str">
            <v>ICICI Prudential Fixed Maturity Plan - Series 77 - 1151 Days Plan S Direct Plan Cumulative Option</v>
          </cell>
        </row>
        <row r="4799">
          <cell r="F4799" t="str">
            <v>ICICI Prudential Fixed Maturity Plan - Series 77 - 1151 Days Plan S Direct Plan Dividend Option</v>
          </cell>
        </row>
        <row r="4800">
          <cell r="F4800" t="str">
            <v>ICICI Prudential Fixed Maturity Plan - Series 77 - 1151 Days Plan S Dividend Option</v>
          </cell>
        </row>
        <row r="4801">
          <cell r="F4801" t="str">
            <v>ICICI Prudential Fixed Maturity Plan - Series 77 - 1473 Days Plan C Cumulative Option</v>
          </cell>
        </row>
        <row r="4802">
          <cell r="F4802" t="str">
            <v>ICICI Prudential Fixed Maturity Plan - Series 77 - 1473 Days Plan C Direct Plan Cumulative Option</v>
          </cell>
        </row>
        <row r="4803">
          <cell r="F4803" t="str">
            <v>ICICI Prudential Fixed Maturity Plan - Series 77 - 1473 Days Plan C Direct Plan Dividend Option</v>
          </cell>
        </row>
        <row r="4804">
          <cell r="F4804" t="str">
            <v>ICICI Prudential Fixed Maturity Plan - Series 77 - 1473 Days Plan C Dividend Option</v>
          </cell>
        </row>
        <row r="4805">
          <cell r="F4805" t="str">
            <v>ICICI Prudential Fixed Maturity Plan - Series 78 - 1102 Days Plan Z Cumulative Option</v>
          </cell>
        </row>
        <row r="4806">
          <cell r="F4806" t="str">
            <v>ICICI Prudential Fixed Maturity Plan - Series 78 - 1102 Days Plan Z Direct Plan Cumulative Option</v>
          </cell>
        </row>
        <row r="4807">
          <cell r="F4807" t="str">
            <v>ICICI Prudential Fixed Maturity Plan - Series 78 - 1102 Days Plan Z Direct Plan Dividend Option</v>
          </cell>
        </row>
        <row r="4808">
          <cell r="F4808" t="str">
            <v>ICICI Prudential Fixed Maturity Plan - Series 78 - 1102 Days Plan Z Dividend Option</v>
          </cell>
        </row>
        <row r="4809">
          <cell r="F4809" t="str">
            <v>ICICI Prudential Fixed Maturity Plan - Series 78 - 1115 Days Plan X Cumulative Option</v>
          </cell>
        </row>
        <row r="4810">
          <cell r="F4810" t="str">
            <v>ICICI Prudential Fixed Maturity Plan - Series 78 - 1115 Days Plan X Direct Plan Cumulative Option</v>
          </cell>
        </row>
        <row r="4811">
          <cell r="F4811" t="str">
            <v>ICICI Prudential Fixed Maturity Plan - Series 78 - 1115 Days Plan X Direct Plan Dividend Option</v>
          </cell>
        </row>
        <row r="4812">
          <cell r="F4812" t="str">
            <v>ICICI Prudential Fixed Maturity Plan - Series 78 - 1127 Days Plan R Cumulative Option</v>
          </cell>
        </row>
        <row r="4813">
          <cell r="F4813" t="str">
            <v>ICICI Prudential Fixed Maturity Plan - Series 78 - 1127 Days Plan R Direct Plan Cumulative Option</v>
          </cell>
        </row>
        <row r="4814">
          <cell r="F4814" t="str">
            <v>ICICI Prudential Fixed Maturity Plan - Series 78 - 1127 Days Plan R Direct Plan Dividend Option</v>
          </cell>
        </row>
        <row r="4815">
          <cell r="F4815" t="str">
            <v>ICICI Prudential Fixed Maturity Plan - Series 78 - 1127 Days Plan R Dividend Option</v>
          </cell>
        </row>
        <row r="4816">
          <cell r="F4816" t="str">
            <v>ICICI Prudential Fixed Maturity Plan - Series 78 - 1130 Days Plan T Cumulative Option</v>
          </cell>
        </row>
        <row r="4817">
          <cell r="F4817" t="str">
            <v>ICICI Prudential Fixed Maturity Plan - Series 78 - 1130 Days Plan T Direct Plan Cumulative Option</v>
          </cell>
        </row>
        <row r="4818">
          <cell r="F4818" t="str">
            <v>ICICI Prudential Fixed Maturity Plan - Series 78 - 1130 Days Plan T Direct Plan Dividend Option</v>
          </cell>
        </row>
        <row r="4819">
          <cell r="F4819" t="str">
            <v>ICICI Prudential Fixed Maturity Plan - Series 78 - 1135 Days Plan W Cumulative Option</v>
          </cell>
        </row>
        <row r="4820">
          <cell r="F4820" t="str">
            <v>ICICI Prudential Fixed Maturity Plan - Series 78 - 1135 Days Plan W Direct Plan Cumulative Option</v>
          </cell>
        </row>
        <row r="4821">
          <cell r="F4821" t="str">
            <v>ICICI Prudential Fixed Maturity Plan - Series 78 - 1156 Days Plan U Cumulative Option</v>
          </cell>
        </row>
        <row r="4822">
          <cell r="F4822" t="str">
            <v>ICICI Prudential Fixed Maturity Plan - Series 78 - 1156 Days Plan U Direct Plan Cumulative Option</v>
          </cell>
        </row>
        <row r="4823">
          <cell r="F4823" t="str">
            <v>ICICI Prudential Fixed Maturity Plan - Series 78 - 1156 Days Plan U Dividend Option</v>
          </cell>
        </row>
        <row r="4824">
          <cell r="F4824" t="str">
            <v>ICICI Prudential Fixed Maturity Plan - Series 78 - 1168 Days Plan J Cumulative Option</v>
          </cell>
        </row>
        <row r="4825">
          <cell r="F4825" t="str">
            <v>ICICI Prudential Fixed Maturity Plan - Series 78 - 1168 Days Plan J Direct Plan Cumulative Option</v>
          </cell>
        </row>
        <row r="4826">
          <cell r="F4826" t="str">
            <v>ICICI Prudential Fixed Maturity Plan - Series 78 - 1168 Days Plan J Direct Plan Dividend Option</v>
          </cell>
        </row>
        <row r="4827">
          <cell r="F4827" t="str">
            <v>ICICI Prudential Fixed Maturity Plan - Series 78 - 1168 Days Plan J Dividend Option</v>
          </cell>
        </row>
        <row r="4828">
          <cell r="F4828" t="str">
            <v>ICICI Prudential Fixed Maturity Plan - Series 78 - 1170 Days Plan I Cumulative Option</v>
          </cell>
        </row>
        <row r="4829">
          <cell r="F4829" t="str">
            <v>ICICI Prudential Fixed Maturity Plan - Series 78 - 1170 Days Plan I Direct Plan Cumulative Option</v>
          </cell>
        </row>
        <row r="4830">
          <cell r="F4830" t="str">
            <v>ICICI Prudential Fixed Maturity Plan - Series 78 - 1170 Days Plan I Direct Plan Dividend Option</v>
          </cell>
        </row>
        <row r="4831">
          <cell r="F4831" t="str">
            <v>ICICI Prudential Fixed Maturity Plan - Series 78 - 1170 Days Plan I Dividend Option</v>
          </cell>
        </row>
        <row r="4832">
          <cell r="F4832" t="str">
            <v>ICICI Prudential Fixed Maturity Plan - Series 78 - 1185 Days Plan F Cumulative Option</v>
          </cell>
        </row>
        <row r="4833">
          <cell r="F4833" t="str">
            <v>ICICI Prudential Fixed Maturity Plan - Series 78 - 1185 Days Plan F Direct Plan Cumulative Option</v>
          </cell>
        </row>
        <row r="4834">
          <cell r="F4834" t="str">
            <v>ICICI Prudential Fixed Maturity Plan - Series 78 - 1185 Days Plan F Direct Plan Dividend Option</v>
          </cell>
        </row>
        <row r="4835">
          <cell r="F4835" t="str">
            <v>ICICI Prudential Fixed Maturity Plan - Series 78 - 1185 Days Plan F Dividend Option</v>
          </cell>
        </row>
        <row r="4836">
          <cell r="F4836" t="str">
            <v>ICICI Prudential Fixed Maturity Plan - Series 78 - 1190 Days Plan C Cumulative Option</v>
          </cell>
        </row>
        <row r="4837">
          <cell r="F4837" t="str">
            <v>ICICI Prudential Fixed Maturity Plan - Series 78 - 1190 Days Plan C Direct Plan Cumulative Option</v>
          </cell>
        </row>
        <row r="4838">
          <cell r="F4838" t="str">
            <v>ICICI Prudential Fixed Maturity Plan - Series 78 - 1190 Days Plan C Direct Plan Dividend Option</v>
          </cell>
        </row>
        <row r="4839">
          <cell r="F4839" t="str">
            <v>ICICI Prudential Fixed Maturity Plan - Series 78 - 1190 Days Plan C Dividend Option</v>
          </cell>
        </row>
        <row r="4840">
          <cell r="F4840" t="str">
            <v>ICICI Prudential Fixed Maturity Plan - Series 78 - 1190 Days Plan E Cumulative Option</v>
          </cell>
        </row>
        <row r="4841">
          <cell r="F4841" t="str">
            <v>ICICI Prudential Fixed Maturity Plan - Series 78 - 1190 Days Plan E Direct Plan Cumulative Option</v>
          </cell>
        </row>
        <row r="4842">
          <cell r="F4842" t="str">
            <v>ICICI Prudential Fixed Maturity Plan - Series 78 - 1190 Days Plan E Direct Plan Dividend Option</v>
          </cell>
        </row>
        <row r="4843">
          <cell r="F4843" t="str">
            <v>ICICI Prudential Fixed Maturity Plan - Series 78 - 1190 Days Plan E Dividend Option</v>
          </cell>
        </row>
        <row r="4844">
          <cell r="F4844" t="str">
            <v>ICICI Prudential Fixed Maturity Plan - Series 78 - 1212 Days Plan A Cumulative Option</v>
          </cell>
        </row>
        <row r="4845">
          <cell r="F4845" t="str">
            <v>ICICI Prudential Fixed Maturity Plan - Series 78 - 1212 Days Plan A Direct Plan Cumulative Option</v>
          </cell>
        </row>
        <row r="4846">
          <cell r="F4846" t="str">
            <v>ICICI Prudential Fixed Maturity Plan - Series 78 - 1212 Days Plan A Direct Plan Dividend Option</v>
          </cell>
        </row>
        <row r="4847">
          <cell r="F4847" t="str">
            <v>ICICI Prudential Fixed Maturity Plan - Series 78 - 1212 Days Plan A Dividend Option</v>
          </cell>
        </row>
        <row r="4848">
          <cell r="F4848" t="str">
            <v>ICICI Prudential Fixed Maturity Plan - Series 78 - 1281 Days Plan V Cumulative Option</v>
          </cell>
        </row>
        <row r="4849">
          <cell r="F4849" t="str">
            <v>ICICI Prudential Fixed Maturity Plan - Series 78 - 1281 Days Plan V Direct Plan Cumulative Option</v>
          </cell>
        </row>
        <row r="4850">
          <cell r="F4850" t="str">
            <v>ICICI Prudential Fixed Maturity Plan - Series 78 - 1281 Days Plan V Direct Plan Dividend Option</v>
          </cell>
        </row>
        <row r="4851">
          <cell r="F4851" t="str">
            <v>ICICI Prudential Fixed Maturity Plan - Series 78 - 1281 Days Plan V Dividend Option</v>
          </cell>
        </row>
        <row r="4852">
          <cell r="F4852" t="str">
            <v>ICICI Prudential Fixed Maturity Plan - Series 78 -1150 Days Plan N Cumulative Option</v>
          </cell>
        </row>
        <row r="4853">
          <cell r="F4853" t="str">
            <v>ICICI Prudential Fixed Maturity Plan - Series 78 -1150 Days Plan N Direct Plan Cumulative Option</v>
          </cell>
        </row>
        <row r="4854">
          <cell r="F4854" t="str">
            <v>ICICI Prudential Fixed Maturity Plan - Series 78 -1150 Days Plan N Direct Plan Dividend Option</v>
          </cell>
        </row>
        <row r="4855">
          <cell r="F4855" t="str">
            <v>ICICI Prudential Fixed Maturity Plan - Series 78 -1150 Days Plan N Dividend Option</v>
          </cell>
        </row>
        <row r="4856">
          <cell r="F4856" t="str">
            <v>ICICI Prudential Fixed Maturity Plan - Series 79 - 1104 Days Plan O Cumulative Option</v>
          </cell>
        </row>
        <row r="4857">
          <cell r="F4857" t="str">
            <v>ICICI Prudential Fixed Maturity Plan - Series 79 - 1104 Days Plan O Direct Plan Cumulative Option</v>
          </cell>
        </row>
        <row r="4858">
          <cell r="F4858" t="str">
            <v>ICICI Prudential Fixed Maturity Plan - Series 79 - 1104 Days Plan O Direct Plan Dividend Option</v>
          </cell>
        </row>
        <row r="4859">
          <cell r="F4859" t="str">
            <v>ICICI Prudential Fixed Maturity Plan - Series 79 - 1104 Days Plan O Dividend Option</v>
          </cell>
        </row>
        <row r="4860">
          <cell r="F4860" t="str">
            <v>ICICI Prudential Fixed Maturity Plan - Series 79 - 1104 Days Plan P Cumulative Option</v>
          </cell>
        </row>
        <row r="4861">
          <cell r="F4861" t="str">
            <v>ICICI Prudential Fixed Maturity Plan - Series 79 - 1104 Days Plan P Direct Plan Cumulative Option</v>
          </cell>
        </row>
        <row r="4862">
          <cell r="F4862" t="str">
            <v>ICICI Prudential Fixed Maturity Plan - Series 79 - 1104 Days Plan P Direct Plan Dividend Option</v>
          </cell>
        </row>
        <row r="4863">
          <cell r="F4863" t="str">
            <v>ICICI Prudential Fixed Maturity Plan - Series 79 - 1104 Days Plan P Dividend Option</v>
          </cell>
        </row>
        <row r="4864">
          <cell r="F4864" t="str">
            <v>ICICI Prudential Fixed Maturity Plan - Series 79 - 1105 Days Plan B Cumulative Option</v>
          </cell>
        </row>
        <row r="4865">
          <cell r="F4865" t="str">
            <v>ICICI Prudential Fixed Maturity Plan - Series 79 - 1105 Days Plan B Direct Plan Cumulative Option</v>
          </cell>
        </row>
        <row r="4866">
          <cell r="F4866" t="str">
            <v>ICICI Prudential Fixed Maturity Plan - Series 79 - 1105 Days Plan B Direct Plan Dividend Option</v>
          </cell>
        </row>
        <row r="4867">
          <cell r="F4867" t="str">
            <v>ICICI Prudential Fixed Maturity Plan - Series 79 - 1105 Days Plan B Dividend Option</v>
          </cell>
        </row>
        <row r="4868">
          <cell r="F4868" t="str">
            <v>ICICI Prudential Fixed Maturity Plan - Series 79 - 1106 Days Plan M  Dividend Option</v>
          </cell>
        </row>
        <row r="4869">
          <cell r="F4869" t="str">
            <v>ICICI Prudential Fixed Maturity Plan - Series 79 - 1106 Days Plan M Direct Plan Cumulative Option</v>
          </cell>
        </row>
        <row r="4870">
          <cell r="F4870" t="str">
            <v>ICICI Prudential Fixed Maturity Plan - Series 79 - 1106 Days Plan M Direct Plan Dividend Option</v>
          </cell>
        </row>
        <row r="4871">
          <cell r="F4871" t="str">
            <v>ICICI Prudential Fixed Maturity Plan - Series 79 - 1118 Days Plan K Cumulative Option</v>
          </cell>
        </row>
        <row r="4872">
          <cell r="F4872" t="str">
            <v>ICICI Prudential Fixed Maturity Plan - Series 79 - 1118 Days Plan K Direct Plan Cumulative Option</v>
          </cell>
        </row>
        <row r="4873">
          <cell r="F4873" t="str">
            <v>ICICI Prudential Fixed Maturity Plan - Series 79 - 1118 Days Plan K Direct Plan Dividend Option</v>
          </cell>
        </row>
        <row r="4874">
          <cell r="F4874" t="str">
            <v>ICICI Prudential Fixed Maturity Plan - Series 79 - 1118 Days Plan K Dividend Option</v>
          </cell>
        </row>
        <row r="4875">
          <cell r="F4875" t="str">
            <v>ICICI Prudential Fixed Maturity Plan - Series 79 - 1120 Days Plan J Cumulative Option</v>
          </cell>
        </row>
        <row r="4876">
          <cell r="F4876" t="str">
            <v>ICICI Prudential Fixed Maturity Plan - Series 79 - 1120 Days Plan J Direct Plan Cumulative Option</v>
          </cell>
        </row>
        <row r="4877">
          <cell r="F4877" t="str">
            <v>ICICI Prudential Fixed Maturity Plan - Series 79 - 1120 Days Plan J Dividend Option</v>
          </cell>
        </row>
        <row r="4878">
          <cell r="F4878" t="str">
            <v>ICICI Prudential Fixed Maturity Plan - Series 79 - 1130 Days Plan E  Cumulative Option</v>
          </cell>
        </row>
        <row r="4879">
          <cell r="F4879" t="str">
            <v>ICICI Prudential Fixed Maturity Plan - Series 79 - 1130 Days Plan E  Direct Plan Cumulative Option</v>
          </cell>
        </row>
        <row r="4880">
          <cell r="F4880" t="str">
            <v>ICICI Prudential Fixed Maturity Plan - Series 79 - 1130 Days Plan E  Direct Plan Dividend Option</v>
          </cell>
        </row>
        <row r="4881">
          <cell r="F4881" t="str">
            <v>ICICI Prudential Fixed Maturity Plan - Series 79 - 1130 Days Plan E  Dividend Option</v>
          </cell>
        </row>
        <row r="4882">
          <cell r="F4882" t="str">
            <v>ICICI Prudential Fixed Maturity Plan - Series 79 - 1140 Days Plan D  Cumulative Option</v>
          </cell>
        </row>
        <row r="4883">
          <cell r="F4883" t="str">
            <v>ICICI Prudential Fixed Maturity Plan - Series 79 - 1140 Days Plan D  Direct Plan Cumulative Option</v>
          </cell>
        </row>
        <row r="4884">
          <cell r="F4884" t="str">
            <v>ICICI Prudential Fixed Maturity Plan - Series 79 - 1140 Days Plan D  Direct Plan Dividend Option</v>
          </cell>
        </row>
        <row r="4885">
          <cell r="F4885" t="str">
            <v>ICICI Prudential Fixed Maturity Plan - Series 79 - 1140 Days Plan D  Dividend Option</v>
          </cell>
        </row>
        <row r="4886">
          <cell r="F4886" t="str">
            <v>ICICI Prudential Fixed Maturity Plan - Series 79 - 1218 Days Plan A Cumulative Option</v>
          </cell>
        </row>
        <row r="4887">
          <cell r="F4887" t="str">
            <v>ICICI Prudential Fixed Maturity Plan - Series 79 - 1218 Days Plan A Direct Plan Cumulative Option</v>
          </cell>
        </row>
        <row r="4888">
          <cell r="F4888" t="str">
            <v>ICICI Prudential Fixed Maturity Plan - Series 79 - 1218 Days Plan A Direct Plan Dividend Option</v>
          </cell>
        </row>
        <row r="4889">
          <cell r="F4889" t="str">
            <v>ICICI Prudential Fixed Maturity Plan - Series 79 - 1218 Days Plan A Dividend Option</v>
          </cell>
        </row>
        <row r="4890">
          <cell r="F4890" t="str">
            <v>ICICI Prudential Fixed Maturity Plan - Series 79 - 1404 Days Plan T Cumulative Option</v>
          </cell>
        </row>
        <row r="4891">
          <cell r="F4891" t="str">
            <v>ICICI Prudential Fixed Maturity Plan - Series 79 - 1404 Days Plan T Direct Plan Cumulative Option</v>
          </cell>
        </row>
        <row r="4892">
          <cell r="F4892" t="str">
            <v>ICICI Prudential Fixed Maturity Plan - Series 79 - 1404 Days Plan T Dividend Option</v>
          </cell>
        </row>
        <row r="4893">
          <cell r="F4893" t="str">
            <v>ICICI Prudential Fixed Maturity Plan - Series 80 - 1100 Days Plan A Cumulative Option</v>
          </cell>
        </row>
        <row r="4894">
          <cell r="F4894" t="str">
            <v>ICICI Prudential Fixed Maturity Plan - Series 80 - 1100 Days Plan A Direct Plan Cumulative Option</v>
          </cell>
        </row>
        <row r="4895">
          <cell r="F4895" t="str">
            <v>ICICI Prudential Fixed Maturity Plan - Series 80 - 1100 Days Plan A Direct Plan Dividend Option</v>
          </cell>
        </row>
        <row r="4896">
          <cell r="F4896" t="str">
            <v>ICICI Prudential Fixed Maturity Plan - Series 80 - 1100 Days Plan A Dividend Option</v>
          </cell>
        </row>
        <row r="4897">
          <cell r="F4897" t="str">
            <v>ICICI Prudential Fixed Maturity Plan - Series 80 - 1125 Days Plan S - Cumulative Option</v>
          </cell>
        </row>
        <row r="4898">
          <cell r="F4898" t="str">
            <v>ICICI Prudential Fixed Maturity Plan - Series 80 - 1125 Days Plan S - Direct Plan - Cumulative Option</v>
          </cell>
        </row>
        <row r="4899">
          <cell r="F4899" t="str">
            <v>ICICI Prudential Fixed Maturity Plan - Series 80 - 1125 Days Plan S - Direct Plan - Dividend Option</v>
          </cell>
        </row>
        <row r="4900">
          <cell r="F4900" t="str">
            <v>ICICI Prudential Fixed Maturity Plan - Series 80 - 1125 Days Plan S - Dividend Option</v>
          </cell>
        </row>
        <row r="4901">
          <cell r="F4901" t="str">
            <v>ICICI Prudential Fixed Maturity Plan - Series 80 - 1138 Days Plan R - Cumulative Option</v>
          </cell>
        </row>
        <row r="4902">
          <cell r="F4902" t="str">
            <v>ICICI Prudential Fixed Maturity Plan - Series 80 - 1138 Days Plan R - Direct Plan - Cumulative Option</v>
          </cell>
        </row>
        <row r="4903">
          <cell r="F4903" t="str">
            <v>ICICI Prudential Fixed Maturity Plan - Series 80 - 1138 Days Plan R - Direct Plan - Dividend Option</v>
          </cell>
        </row>
        <row r="4904">
          <cell r="F4904" t="str">
            <v>ICICI Prudential Fixed Maturity Plan - Series 80 - 1138 Days Plan R - Dividend Option</v>
          </cell>
        </row>
        <row r="4905">
          <cell r="F4905" t="str">
            <v>ICICI Prudential Fixed Maturity Plan - Series 80 - 1150 Days Plan N - Cumulative Option</v>
          </cell>
        </row>
        <row r="4906">
          <cell r="F4906" t="str">
            <v>ICICI Prudential Fixed Maturity Plan - Series 80 - 1150 Days Plan N - Direct Plan - Dividend Option</v>
          </cell>
        </row>
        <row r="4907">
          <cell r="F4907" t="str">
            <v>ICICI Prudential Fixed Maturity Plan - Series 80 - 1150 Days Plan N - Dividend Option</v>
          </cell>
        </row>
        <row r="4908">
          <cell r="F4908" t="str">
            <v>ICICI Prudential Fixed Maturity Plan - Series 80 - 1150 Days Plan N -Direct Plan - Cumulative Option</v>
          </cell>
        </row>
        <row r="4909">
          <cell r="F4909" t="str">
            <v>ICICI Prudential Fixed Maturity Plan - Series 80 - 1170 Days Plan I - Cumulative Option</v>
          </cell>
        </row>
        <row r="4910">
          <cell r="F4910" t="str">
            <v>ICICI Prudential Fixed Maturity Plan - Series 80 - 1170 Days Plan I - Direct Plan - Cumulative Option</v>
          </cell>
        </row>
        <row r="4911">
          <cell r="F4911" t="str">
            <v>ICICI Prudential Fixed Maturity Plan - Series 80 - 1170 Days Plan I - Direct Plan - Dividend Option</v>
          </cell>
        </row>
        <row r="4912">
          <cell r="F4912" t="str">
            <v>ICICI Prudential Fixed Maturity Plan - Series 80 - 1170 Days Plan I - Dividend Option</v>
          </cell>
        </row>
        <row r="4913">
          <cell r="F4913" t="str">
            <v>ICICI Prudential Fixed Maturity Plan - Series 80 - 1187 Days Plan G - Cumulative Option</v>
          </cell>
        </row>
        <row r="4914">
          <cell r="F4914" t="str">
            <v>ICICI Prudential Fixed Maturity Plan - Series 80 - 1187 Days Plan G - Direct Plan - Cumulative Option</v>
          </cell>
        </row>
        <row r="4915">
          <cell r="F4915" t="str">
            <v>ICICI Prudential Fixed Maturity Plan - Series 80 - 1187 Days Plan G - Direct Plan - Dividend Option</v>
          </cell>
        </row>
        <row r="4916">
          <cell r="F4916" t="str">
            <v>ICICI Prudential Fixed Maturity Plan - Series 80 - 1187 Days Plan G - Dividend Option</v>
          </cell>
        </row>
        <row r="4917">
          <cell r="F4917" t="str">
            <v>ICICI Prudential Fixed Maturity Plan - Series 80 - 1194 Days Plan F - Cumulative Option</v>
          </cell>
        </row>
        <row r="4918">
          <cell r="F4918" t="str">
            <v>ICICI Prudential Fixed Maturity Plan - Series 80 - 1194 Days Plan F - Direct Plan - Cumulative Option</v>
          </cell>
        </row>
        <row r="4919">
          <cell r="F4919" t="str">
            <v>ICICI Prudential Fixed Maturity Plan - Series 80 - 1194 Days Plan F - Direct Plan - Dividend Option</v>
          </cell>
        </row>
        <row r="4920">
          <cell r="F4920" t="str">
            <v>ICICI Prudential Fixed Maturity Plan - Series 80 - 1194 Days Plan F - Dividend Option</v>
          </cell>
        </row>
        <row r="4921">
          <cell r="F4921" t="str">
            <v>ICICI Prudential Fixed Maturity Plan - Series 80 - 1216 Days Plan U - Cumulative Option</v>
          </cell>
        </row>
        <row r="4922">
          <cell r="F4922" t="str">
            <v>ICICI Prudential Fixed Maturity Plan - Series 80 - 1216 Days Plan U - Direct Plan - Cumulative Option</v>
          </cell>
        </row>
        <row r="4923">
          <cell r="F4923" t="str">
            <v>ICICI Prudential Fixed Maturity Plan - Series 80 - 1216 Days Plan U - Direct Plan - Dividend Option</v>
          </cell>
        </row>
        <row r="4924">
          <cell r="F4924" t="str">
            <v>ICICI Prudential Fixed Maturity Plan - Series 80 - 1216 Days Plan U - Dividend Option</v>
          </cell>
        </row>
        <row r="4925">
          <cell r="F4925" t="str">
            <v>ICICI Prudential Fixed Maturity Plan - Series 80 - 1225 Days Plan T - Cumulative Option</v>
          </cell>
        </row>
        <row r="4926">
          <cell r="F4926" t="str">
            <v>ICICI Prudential Fixed Maturity Plan - Series 80 - 1225 Days Plan T - Direct Plan - Cumulative Option</v>
          </cell>
        </row>
        <row r="4927">
          <cell r="F4927" t="str">
            <v>ICICI Prudential Fixed Maturity Plan - Series 80 - 1225 Days Plan T - Direct Plan - Dividend Option</v>
          </cell>
        </row>
        <row r="4928">
          <cell r="F4928" t="str">
            <v>ICICI Prudential Fixed Maturity Plan - Series 80 - 1225 Days Plan T - Dividend Option</v>
          </cell>
        </row>
        <row r="4929">
          <cell r="F4929" t="str">
            <v>ICICI Prudential Fixed Maturity Plan - Series 80 - 1227 Days Plan Q - Cumulative Option</v>
          </cell>
        </row>
        <row r="4930">
          <cell r="F4930" t="str">
            <v>ICICI Prudential Fixed Maturity Plan - Series 80 - 1227 Days Plan Q - Direct Plan Cumulative Option</v>
          </cell>
        </row>
        <row r="4931">
          <cell r="F4931" t="str">
            <v>ICICI Prudential Fixed Maturity Plan - Series 80 - 1227 Days Plan Q - Direct Plan Dividend Option</v>
          </cell>
        </row>
        <row r="4932">
          <cell r="F4932" t="str">
            <v>ICICI Prudential Fixed Maturity Plan - Series 80 - 1231 Days Plan P - Cumulative Option</v>
          </cell>
        </row>
        <row r="4933">
          <cell r="F4933" t="str">
            <v>ICICI Prudential Fixed Maturity Plan - Series 80 - 1231 Days Plan P - Direct Plan - Cumulative Option</v>
          </cell>
        </row>
        <row r="4934">
          <cell r="F4934" t="str">
            <v>ICICI Prudential Fixed Maturity Plan - Series 80 - 1231 Days Plan P - Direct Plan - Dividend Option</v>
          </cell>
        </row>
        <row r="4935">
          <cell r="F4935" t="str">
            <v>ICICI Prudential Fixed Maturity Plan - Series 80 - 1233 Days Plan O - Cumulative Option</v>
          </cell>
        </row>
        <row r="4936">
          <cell r="F4936" t="str">
            <v>ICICI Prudential Fixed Maturity Plan - Series 80 - 1233 Days Plan O - Direct Plan - Cumulative Option</v>
          </cell>
        </row>
        <row r="4937">
          <cell r="F4937" t="str">
            <v>ICICI Prudential Fixed Maturity Plan - Series 80 - 1233 Days Plan O - Direct Plan - Dividend Option</v>
          </cell>
        </row>
        <row r="4938">
          <cell r="F4938" t="str">
            <v>ICICI Prudential Fixed Maturity Plan - Series 80 - 1245 Days Plan L - Cumulative Option</v>
          </cell>
        </row>
        <row r="4939">
          <cell r="F4939" t="str">
            <v>ICICI Prudential Fixed Maturity Plan - Series 80 - 1245 Days Plan L - Direct Plan - Cumulative Option</v>
          </cell>
        </row>
        <row r="4940">
          <cell r="F4940" t="str">
            <v>ICICI Prudential Fixed Maturity Plan - Series 80 - 1245 Days Plan L - Direct Plan - Dividend Option</v>
          </cell>
        </row>
        <row r="4941">
          <cell r="F4941" t="str">
            <v>ICICI Prudential Fixed Maturity Plan - Series 80 - 1245 Days Plan L - Dividend Option</v>
          </cell>
        </row>
        <row r="4942">
          <cell r="F4942" t="str">
            <v>ICICI Prudential Fixed Maturity Plan - Series 80 - 1248 Days Plan D - Cumulative Option</v>
          </cell>
        </row>
        <row r="4943">
          <cell r="F4943" t="str">
            <v>ICICI Prudential Fixed Maturity Plan - Series 80 - 1248 Days Plan D - Direct Plan - Cumulative Option</v>
          </cell>
        </row>
        <row r="4944">
          <cell r="F4944" t="str">
            <v>ICICI Prudential Fixed Maturity Plan - Series 80 - 1248 Days Plan D - Dividend Option</v>
          </cell>
        </row>
        <row r="4945">
          <cell r="F4945" t="str">
            <v>ICICI Prudential Fixed Maturity Plan - Series 80 - 1253 Days Plan J - Cumulative Option</v>
          </cell>
        </row>
        <row r="4946">
          <cell r="F4946" t="str">
            <v>ICICI Prudential Fixed Maturity Plan - Series 80 - 1253 Days Plan J - Direct Plan - Cumulative Option</v>
          </cell>
        </row>
        <row r="4947">
          <cell r="F4947" t="str">
            <v>ICICI Prudential Fixed Maturity Plan - Series 80 - 1253 Days Plan J - Dividend Option</v>
          </cell>
        </row>
        <row r="4948">
          <cell r="F4948" t="str">
            <v>ICICI Prudential Fixed Maturity Plan - Series 81 - 1100 Days Plan O - Cumulative Option</v>
          </cell>
        </row>
        <row r="4949">
          <cell r="F4949" t="str">
            <v>ICICI Prudential Fixed Maturity Plan - Series 81 - 1100 Days Plan O - Direct Plan - Cumulative Option</v>
          </cell>
        </row>
        <row r="4950">
          <cell r="F4950" t="str">
            <v>ICICI Prudential Fixed Maturity Plan - Series 81 - 1100 Days Plan O - Direct Plan - Dividend Option</v>
          </cell>
        </row>
        <row r="4951">
          <cell r="F4951" t="str">
            <v>ICICI Prudential Fixed Maturity Plan - Series 81 - 1100 Days Plan O - Dividend Option</v>
          </cell>
        </row>
        <row r="4952">
          <cell r="F4952" t="str">
            <v>ICICI Prudential Fixed Maturity Plan - Series 81 - 1100 Days Plan R - Cumulative option</v>
          </cell>
        </row>
        <row r="4953">
          <cell r="F4953" t="str">
            <v>ICICI Prudential Fixed Maturity Plan - Series 81 - 1100 Days Plan R - Direct Plan - Cumulative option</v>
          </cell>
        </row>
        <row r="4954">
          <cell r="F4954" t="str">
            <v>ICICI Prudential Fixed Maturity Plan - Series 81 - 1100 Days Plan R - Direct Plan - Dividend option</v>
          </cell>
        </row>
        <row r="4955">
          <cell r="F4955" t="str">
            <v>ICICI Prudential Fixed Maturity Plan - Series 81 - 1100 Days Plan R - Dividend option</v>
          </cell>
        </row>
        <row r="4956">
          <cell r="F4956" t="str">
            <v>ICICI Prudential Fixed Maturity Plan - Series 81 - 1100 Days Plan W - Cumulative Option</v>
          </cell>
        </row>
        <row r="4957">
          <cell r="F4957" t="str">
            <v>ICICI Prudential Fixed Maturity Plan - Series 81 - 1100 Days Plan W - Direct Plan Cumulative Option</v>
          </cell>
        </row>
        <row r="4958">
          <cell r="F4958" t="str">
            <v>ICICI Prudential Fixed Maturity Plan - Series 81 - 1100 Days Plan W - Direct Plan Dividend Option</v>
          </cell>
        </row>
        <row r="4959">
          <cell r="F4959" t="str">
            <v>ICICI Prudential Fixed Maturity Plan - Series 81 - 1100 Days Plan W - Dividend Option</v>
          </cell>
        </row>
        <row r="4960">
          <cell r="F4960" t="str">
            <v>ICICI Prudential Fixed Maturity Plan - Series 81 - 1101 Days Plan C - Cumulative Option</v>
          </cell>
        </row>
        <row r="4961">
          <cell r="F4961" t="str">
            <v>ICICI Prudential Fixed Maturity Plan - Series 81 - 1101 Days Plan C - Direct Plan - Cumulative Option</v>
          </cell>
        </row>
        <row r="4962">
          <cell r="F4962" t="str">
            <v>ICICI Prudential Fixed Maturity Plan - Series 81 - 1101 Days Plan C - Direct Plan - Dividend Option</v>
          </cell>
        </row>
        <row r="4963">
          <cell r="F4963" t="str">
            <v>ICICI Prudential Fixed Maturity Plan - Series 81 - 1101 Days Plan C - Dividend Option</v>
          </cell>
        </row>
        <row r="4964">
          <cell r="F4964" t="str">
            <v>ICICI Prudential Fixed Maturity Plan - Series 81 - 1101 Days Plan E - Cumulative Option</v>
          </cell>
        </row>
        <row r="4965">
          <cell r="F4965" t="str">
            <v>ICICI Prudential Fixed Maturity Plan - Series 81 - 1101 Days Plan E - Direct Plan - Cumulative Option</v>
          </cell>
        </row>
        <row r="4966">
          <cell r="F4966" t="str">
            <v>ICICI Prudential Fixed Maturity Plan - Series 81 - 1101 Days Plan E - Direct Plan - Dividend Option</v>
          </cell>
        </row>
        <row r="4967">
          <cell r="F4967" t="str">
            <v>ICICI Prudential Fixed Maturity Plan - Series 81 - 1101 Days Plan E - Dividend Option</v>
          </cell>
        </row>
        <row r="4968">
          <cell r="F4968" t="str">
            <v>ICICI Prudential Fixed Maturity Plan - Series 81 - 1116 Days Plan I - Cumulative Option</v>
          </cell>
        </row>
        <row r="4969">
          <cell r="F4969" t="str">
            <v>ICICI Prudential Fixed Maturity Plan - Series 81 - 1116 Days Plan I - Direct Plan - Cumulative Option</v>
          </cell>
        </row>
        <row r="4970">
          <cell r="F4970" t="str">
            <v>ICICI Prudential Fixed Maturity Plan - Series 81 - 1116 Days Plan I - Direct Plan - Dividend Option</v>
          </cell>
        </row>
        <row r="4971">
          <cell r="F4971" t="str">
            <v>ICICI Prudential Fixed Maturity Plan - Series 81 - 1150 Days Plan K - Cumulative Option</v>
          </cell>
        </row>
        <row r="4972">
          <cell r="F4972" t="str">
            <v>ICICI Prudential Fixed Maturity Plan - Series 81 - 1150 Days Plan K - Direct Plan - Cumulative Option</v>
          </cell>
        </row>
        <row r="4973">
          <cell r="F4973" t="str">
            <v>ICICI Prudential Fixed Maturity Plan - Series 81 - 1150 Days Plan K - Direct Plan - Dividend Option</v>
          </cell>
        </row>
        <row r="4974">
          <cell r="F4974" t="str">
            <v>ICICI Prudential Fixed Maturity Plan - Series 81 - 1150 Days Plan K - Dividend Option</v>
          </cell>
        </row>
        <row r="4975">
          <cell r="F4975" t="str">
            <v>ICICI Prudential Fixed Maturity Plan - Series 81 - 1154 Days Plan J - Direct Plan - Cumulative Option</v>
          </cell>
        </row>
        <row r="4976">
          <cell r="F4976" t="str">
            <v>ICICI Prudential Fixed Maturity Plan - Series 81 - 1154 Days Plan J - Direct Plan - Dividend Option</v>
          </cell>
        </row>
        <row r="4977">
          <cell r="F4977" t="str">
            <v>ICICI Prudential Fixed Maturity Plan - Series 81 - 1154 Days Plan J Cumulative Option</v>
          </cell>
        </row>
        <row r="4978">
          <cell r="F4978" t="str">
            <v>ICICI Prudential Fixed Maturity Plan - Series 81 - 1154 Days Plan J Dividend Option</v>
          </cell>
        </row>
        <row r="4979">
          <cell r="F4979" t="str">
            <v>ICICI Prudential Fixed Maturity Plan - Series 81 - 1162 Days Plan P - Cumulative Option</v>
          </cell>
        </row>
        <row r="4980">
          <cell r="F4980" t="str">
            <v>ICICI Prudential Fixed Maturity Plan - Series 81 - 1162 Days Plan P - Direct Plan - Cumulative Option</v>
          </cell>
        </row>
        <row r="4981">
          <cell r="F4981" t="str">
            <v>ICICI Prudential Fixed Maturity Plan - Series 81 - 1162 Days Plan P - Direct Plan - Dividend Option</v>
          </cell>
        </row>
        <row r="4982">
          <cell r="F4982" t="str">
            <v>ICICI Prudential Fixed Maturity Plan - Series 81 - 1162 Days Plan P - Dividend Option</v>
          </cell>
        </row>
        <row r="4983">
          <cell r="F4983" t="str">
            <v>ICICI Prudential Fixed Maturity Plan - Series 81 - 1163 Days Plan Q - Cumulative Option</v>
          </cell>
        </row>
        <row r="4984">
          <cell r="F4984" t="str">
            <v>ICICI Prudential Fixed Maturity Plan - Series 81 - 1163 Days Plan Q - Direct Plan - Cumulative Option</v>
          </cell>
        </row>
        <row r="4985">
          <cell r="F4985" t="str">
            <v>ICICI Prudential Fixed Maturity Plan - Series 81 - 1163 Days Plan Q - Direct Plan - Dividend Option</v>
          </cell>
        </row>
        <row r="4986">
          <cell r="F4986" t="str">
            <v>ICICI Prudential Fixed Maturity Plan - Series 81 - 1163 Days Plan Q - Dividend Option</v>
          </cell>
        </row>
        <row r="4987">
          <cell r="F4987" t="str">
            <v>ICICI Prudential Fixed Maturity Plan - Series 81 - 1178 Days Plan H - Cumulative Option</v>
          </cell>
        </row>
        <row r="4988">
          <cell r="F4988" t="str">
            <v>ICICI Prudential Fixed Maturity Plan - Series 81 - 1178 Days Plan H - Direct Plan - Cumulative Option</v>
          </cell>
        </row>
        <row r="4989">
          <cell r="F4989" t="str">
            <v>ICICI Prudential Fixed Maturity Plan - Series 81 - 1178 Days Plan H - Direct Plan - Dividend Option</v>
          </cell>
        </row>
        <row r="4990">
          <cell r="F4990" t="str">
            <v>ICICI Prudential Fixed Maturity Plan - Series 81 - 1178 Days Plan H - Dividend Option</v>
          </cell>
        </row>
        <row r="4991">
          <cell r="F4991" t="str">
            <v>ICICI Prudential Fixed Maturity Plan - Series 81 - 1185 Days Plan G - Cumulative Option</v>
          </cell>
        </row>
        <row r="4992">
          <cell r="F4992" t="str">
            <v>ICICI Prudential Fixed Maturity Plan - Series 81 - 1185 Days Plan G - Direct Plan - Cumulative Option</v>
          </cell>
        </row>
        <row r="4993">
          <cell r="F4993" t="str">
            <v>ICICI Prudential Fixed Maturity Plan - Series 81 - 1185 Days Plan G - Dividend Option</v>
          </cell>
        </row>
        <row r="4994">
          <cell r="F4994" t="str">
            <v>ICICI Prudential Fixed Maturity Plan - Series 81 - 1190 Days Plan F - Cumulative Option</v>
          </cell>
        </row>
        <row r="4995">
          <cell r="F4995" t="str">
            <v>ICICI Prudential Fixed Maturity Plan - Series 81 - 1190 Days Plan F - Direct Plan - Cumulative Option</v>
          </cell>
        </row>
        <row r="4996">
          <cell r="F4996" t="str">
            <v>ICICI Prudential Fixed Maturity Plan - Series 81 - 1190 Days Plan F - Dividend Option</v>
          </cell>
        </row>
        <row r="4997">
          <cell r="F4997" t="str">
            <v>ICICI Prudential Fixed Maturity Plan - Series 81 - 1195 Days Plan D - Cumulative Option</v>
          </cell>
        </row>
        <row r="4998">
          <cell r="F4998" t="str">
            <v>ICICI Prudential Fixed Maturity Plan - Series 81 - 1195 Days Plan D - Direct Plan - Cumulative Option</v>
          </cell>
        </row>
        <row r="4999">
          <cell r="F4999" t="str">
            <v>ICICI Prudential Fixed Maturity Plan - Series 81 - 1195 Days Plan D - Dividend Option</v>
          </cell>
        </row>
        <row r="5000">
          <cell r="F5000" t="str">
            <v>ICICI Prudential Fixed Maturity Plan - Series 81 - 1205 Days Plan B - Cumulative Option</v>
          </cell>
        </row>
        <row r="5001">
          <cell r="F5001" t="str">
            <v>ICICI Prudential Fixed Maturity Plan - Series 81 - 1205 Days Plan B - Direct Plan - Cumulative Option</v>
          </cell>
        </row>
        <row r="5002">
          <cell r="F5002" t="str">
            <v>ICICI Prudential Fixed Maturity Plan - Series 81 - 1205 Days Plan B - Direct Plan - Dividend Option</v>
          </cell>
        </row>
        <row r="5003">
          <cell r="F5003" t="str">
            <v>ICICI Prudential Fixed Maturity Plan - Series 81 - 1205 Days Plan B - Dividend Option</v>
          </cell>
        </row>
        <row r="5004">
          <cell r="F5004" t="str">
            <v>ICICI Prudential Fixed Maturity Plan - Series 81 - 1211 Days Plan A - Cumulative Option</v>
          </cell>
        </row>
        <row r="5005">
          <cell r="F5005" t="str">
            <v>ICICI Prudential Fixed Maturity Plan - Series 81 - 1211 Days Plan A - Direct Plan - Cumulative Option</v>
          </cell>
        </row>
        <row r="5006">
          <cell r="F5006" t="str">
            <v>ICICI Prudential Fixed Maturity Plan - Series 81 - 1211 Days Plan A - Direct Plan - Dividend Option</v>
          </cell>
        </row>
        <row r="5007">
          <cell r="F5007" t="str">
            <v>ICICI Prudential Fixed Maturity Plan - Series 81 - 1211 Days Plan A - Dividend Option</v>
          </cell>
        </row>
        <row r="5008">
          <cell r="F5008" t="str">
            <v>ICICI Prudential Fixed Maturity Plan - Series 82 - 1187 Days Plan F - Cumulative Option</v>
          </cell>
        </row>
        <row r="5009">
          <cell r="F5009" t="str">
            <v>ICICI Prudential Fixed Maturity Plan - Series 82 - 1187 Days Plan F - Direct Plan Cumulative Option</v>
          </cell>
        </row>
        <row r="5010">
          <cell r="F5010" t="str">
            <v>ICICI Prudential Fixed Maturity Plan - Series 82 - 1187 Days Plan F - Direct Plan Quarterly Dividend Option</v>
          </cell>
        </row>
        <row r="5011">
          <cell r="F5011" t="str">
            <v>ICICI Prudential Fixed Maturity Plan - Series 82 - 1187 Days Plan F - Half Yearly Dividend Option</v>
          </cell>
        </row>
        <row r="5012">
          <cell r="F5012" t="str">
            <v>ICICI Prudential Fixed Maturity Plan - Series 82 - 1187 Days Plan F - Quarterly Dividend Option</v>
          </cell>
        </row>
        <row r="5013">
          <cell r="F5013" t="str">
            <v>ICICI Prudential Fixed Maturity Plan - Series 82 - 1217 Days Plan C - Cumulative Option</v>
          </cell>
        </row>
        <row r="5014">
          <cell r="F5014" t="str">
            <v>ICICI Prudential Fixed Maturity Plan - Series 82 - 1217 Days Plan C - Direct Plan Cumulative Option</v>
          </cell>
        </row>
        <row r="5015">
          <cell r="F5015" t="str">
            <v>ICICI Prudential Fixed Maturity Plan - Series 82 - 1217 Days Plan C - Direct Plan Half Yearly Dividend Option</v>
          </cell>
        </row>
        <row r="5016">
          <cell r="F5016" t="str">
            <v>ICICI Prudential Fixed Maturity Plan - Series 82 - 1217 Days Plan C - Direct Plan Quarterly Dividend Option</v>
          </cell>
        </row>
        <row r="5017">
          <cell r="F5017" t="str">
            <v>ICICI Prudential Fixed Maturity Plan - Series 82 - 1217 Days Plan C - Half Yearly Dividend Option</v>
          </cell>
        </row>
        <row r="5018">
          <cell r="F5018" t="str">
            <v>ICICI Prudential Fixed Maturity Plan - Series 82 - 1217 Days Plan C - Quarterly Dividend Option</v>
          </cell>
        </row>
        <row r="5019">
          <cell r="F5019" t="str">
            <v>ICICI Prudential Fixed Maturity Plan - Series 82 - 1219 Days Plan D - Cumulative Option</v>
          </cell>
        </row>
        <row r="5020">
          <cell r="F5020" t="str">
            <v>ICICI Prudential Fixed Maturity Plan - Series 82 - 1219 Days Plan D - Direct Plan Cumulative Option</v>
          </cell>
        </row>
        <row r="5021">
          <cell r="F5021" t="str">
            <v>ICICI Prudential Fixed Maturity Plan - Series 82 - 1219 Days Plan D - Direct Plan Quarterly Dividend Option</v>
          </cell>
        </row>
        <row r="5022">
          <cell r="F5022" t="str">
            <v>ICICI Prudential Fixed Maturity Plan - Series 82 - 1219 Days Plan D - Half Yearly Dividend Option</v>
          </cell>
        </row>
        <row r="5023">
          <cell r="F5023" t="str">
            <v>ICICI Prudential Fixed Maturity Plan - Series 82 - 1219 Days Plan D - Quarterly Dividend Option</v>
          </cell>
        </row>
        <row r="5024">
          <cell r="F5024" t="str">
            <v>ICICI Prudential Fixed Maturity Plan - Series 82 - 1223 Days Plan E - Cumulative Option</v>
          </cell>
        </row>
        <row r="5025">
          <cell r="F5025" t="str">
            <v>ICICI Prudential Fixed Maturity Plan - Series 82 - 1223 Days Plan E - Direct Plan Cumulative Option</v>
          </cell>
        </row>
        <row r="5026">
          <cell r="F5026" t="str">
            <v>ICICI Prudential Fixed Maturity Plan - Series 82 - 1223 Days Plan E - Direct Plan Half Yearly Dividend Option</v>
          </cell>
        </row>
        <row r="5027">
          <cell r="F5027" t="str">
            <v>ICICI Prudential Fixed Maturity Plan - Series 82 - 1223 Days Plan E - Direct Plan Quarterly Dividend Option</v>
          </cell>
        </row>
        <row r="5028">
          <cell r="F5028" t="str">
            <v>ICICI Prudential Fixed Maturity Plan - Series 82 - 1223 Days Plan E - Half Yearly Dividend Option</v>
          </cell>
        </row>
        <row r="5029">
          <cell r="F5029" t="str">
            <v>ICICI Prudential Fixed Maturity Plan - Series 82 - 1223 Days Plan E - Quarterly Dividend Option</v>
          </cell>
        </row>
        <row r="5030">
          <cell r="F5030" t="str">
            <v>ICICI Prudential Fixed Maturity Plan - Series 82 - 1223 Days Plan G - Cumulative Option</v>
          </cell>
        </row>
        <row r="5031">
          <cell r="F5031" t="str">
            <v>ICICI Prudential Fixed Maturity Plan - Series 82 - 1223 Days Plan G - Direct Plan Cumulative Option</v>
          </cell>
        </row>
        <row r="5032">
          <cell r="F5032" t="str">
            <v>ICICI Prudential Fixed Maturity Plan - Series 82 - 1223 Days Plan G - Direct Plan Half Yearly Dividend Option</v>
          </cell>
        </row>
        <row r="5033">
          <cell r="F5033" t="str">
            <v>ICICI Prudential Fixed Maturity Plan - Series 82 - 1223 Days Plan G - Half Yearly Dividend Option</v>
          </cell>
        </row>
        <row r="5034">
          <cell r="F5034" t="str">
            <v>ICICI Prudential Fixed Maturity Plan - Series 82 - 1223 Days Plan G - Quarterly Dividend Option</v>
          </cell>
        </row>
        <row r="5035">
          <cell r="F5035" t="str">
            <v>ICICI Prudential Fixed Maturity Plan - Series 82 - 1225 Days Plan B - Cumulative Option</v>
          </cell>
        </row>
        <row r="5036">
          <cell r="F5036" t="str">
            <v>ICICI Prudential Fixed Maturity Plan - Series 82 - 1225 Days Plan B - Direct Plan Cumulative Option</v>
          </cell>
        </row>
        <row r="5037">
          <cell r="F5037" t="str">
            <v>ICICI Prudential Fixed Maturity Plan - Series 82 - 1225 Days Plan B - Direct Plan Half Yearly Dividend Option</v>
          </cell>
        </row>
        <row r="5038">
          <cell r="F5038" t="str">
            <v>ICICI Prudential Fixed Maturity Plan - Series 82 - 1225 Days Plan B - Direct Plan Quarterly Dividend Option</v>
          </cell>
        </row>
        <row r="5039">
          <cell r="F5039" t="str">
            <v>ICICI Prudential Fixed Maturity Plan - Series 82 - 1225 Days Plan B - Half Yearly Dividend Option</v>
          </cell>
        </row>
        <row r="5040">
          <cell r="F5040" t="str">
            <v>ICICI Prudential Fixed Maturity Plan - Series 82 - 1225 Days Plan B - Quarterly Dividend Option</v>
          </cell>
        </row>
        <row r="5041">
          <cell r="F5041" t="str">
            <v>ICICI Prudential Fixed Maturity Plan - Series 82 - 1236 Days Plan A - Cumulative Option</v>
          </cell>
        </row>
        <row r="5042">
          <cell r="F5042" t="str">
            <v>ICICI Prudential Fixed Maturity Plan - Series 82 - 1236 Days Plan A - Direct Plan Cumulative Option</v>
          </cell>
        </row>
        <row r="5043">
          <cell r="F5043" t="str">
            <v>ICICI Prudential Fixed Maturity Plan - Series 82 - 1236 Days Plan A - Direct Plan Half Yearly Dividend Option</v>
          </cell>
        </row>
        <row r="5044">
          <cell r="F5044" t="str">
            <v>ICICI Prudential Fixed Maturity Plan - Series 82 - 1236 Days Plan A - Direct Plan Quarterly Dividend Option</v>
          </cell>
        </row>
        <row r="5045">
          <cell r="F5045" t="str">
            <v>ICICI Prudential Fixed Maturity Plan - Series 82 - 1236 Days Plan A - Half Yearly Dividend Option</v>
          </cell>
        </row>
        <row r="5046">
          <cell r="F5046" t="str">
            <v>ICICI Prudential Fixed Maturity Plan - Series 82 - 1236 Days Plan A - Quarterly Dividend Option</v>
          </cell>
        </row>
        <row r="5047">
          <cell r="F5047" t="str">
            <v>ICICI Prudential Fixed Maturity Plan -Series 74 -9 Years Plan U Cumulative Option</v>
          </cell>
        </row>
        <row r="5048">
          <cell r="F5048" t="str">
            <v>ICICI Prudential Fixed Maturity Plan -Series 74 -9 Years Plan U Dividend Option</v>
          </cell>
        </row>
        <row r="5049">
          <cell r="F5049" t="str">
            <v>ICICI Prudential Fixed Maturity Plan-Series 69-1821 Days Plan H - Cumulative</v>
          </cell>
        </row>
        <row r="5050">
          <cell r="F5050" t="str">
            <v>ICICI Prudential Fixed Maturity Plan-Series 69-1821 Days Plan H - Direct Plan - Cumulative</v>
          </cell>
        </row>
        <row r="5051">
          <cell r="F5051" t="str">
            <v>ICICI Prudential Fixed Maturity Plan-Series 69-1821 Days Plan H - Dividend</v>
          </cell>
        </row>
        <row r="5052">
          <cell r="F5052" t="str">
            <v>ICICI Prudential Fixed Maturity Plan-Series 69-1821 Days Plan I - Cumulative</v>
          </cell>
        </row>
        <row r="5053">
          <cell r="F5053" t="str">
            <v>ICICI Prudential Fixed Maturity Plan-Series 69-1821 Days Plan I - Direct Plan - Cumulative</v>
          </cell>
        </row>
        <row r="5054">
          <cell r="F5054" t="str">
            <v>ICICI Prudential Fixed Maturity Plan-Series 69-1821 Days Plan I - Direct Plan - Dividend</v>
          </cell>
        </row>
        <row r="5055">
          <cell r="F5055" t="str">
            <v>ICICI Prudential Fixed Maturity Plan-Series 69-1821 Days Plan I - Dividend</v>
          </cell>
        </row>
        <row r="5056">
          <cell r="F5056" t="str">
            <v>ICICI Prudential Fixed Maturity Plan-Series 70-540 Days Plan S - Cumulative</v>
          </cell>
        </row>
        <row r="5057">
          <cell r="F5057" t="str">
            <v>ICICI Prudential Fixed Maturity Plan-Series 70-540 Days Plan S - Direct Plan - Cumulative</v>
          </cell>
        </row>
        <row r="5058">
          <cell r="F5058" t="str">
            <v>ICICI Prudential Fixed Maturity Plan-Series 71-480 Days Plan L - Cumulative</v>
          </cell>
        </row>
        <row r="5059">
          <cell r="F5059" t="str">
            <v>ICICI Prudential Fixed Maturity Plan-Series 71-480 Days Plan L - Direct Plan - Cumulative</v>
          </cell>
        </row>
        <row r="5060">
          <cell r="F5060" t="str">
            <v>ICICI Prudential Fixed Maturity Plan-Series 71-480 Days Plan L - Dividend</v>
          </cell>
        </row>
        <row r="5061">
          <cell r="F5061" t="str">
            <v>ICICI Prudential Fixed Maturity Plan-Series 72-366 Days Plan K - Cumulative</v>
          </cell>
        </row>
        <row r="5062">
          <cell r="F5062" t="str">
            <v>ICICI Prudential Fixed Maturity Plan-Series 72-409 Days Plan S - Cumulative</v>
          </cell>
        </row>
        <row r="5063">
          <cell r="F5063" t="str">
            <v>ICICI Prudential Fixed Maturity Plan-Series 72-409 Days Plan S - Direct Plan - Cumulative</v>
          </cell>
        </row>
        <row r="5064">
          <cell r="F5064" t="str">
            <v>ICICI Prudential Fixed Maturity Plan-Series 72-409 Days Plan S - Direct Plan - Dividend</v>
          </cell>
        </row>
        <row r="5065">
          <cell r="F5065" t="str">
            <v>ICICI Prudential Fixed Maturity Plan-Series 72-409 Days Plan S - Dividend</v>
          </cell>
        </row>
        <row r="5066">
          <cell r="F5066" t="str">
            <v>ICICI Prudential Fixed Maturity Plan-Series 72-425 Days Plan N - Cumulative</v>
          </cell>
        </row>
        <row r="5067">
          <cell r="F5067" t="str">
            <v>ICICI Prudential Fixed Maturity Plan-Series 72-425 Days Plan N - Direct Plan - Cumulative</v>
          </cell>
        </row>
        <row r="5068">
          <cell r="F5068" t="str">
            <v>ICICI Prudential Fixed Maturity Plan-Series 72-425 Days Plan N - Dividend</v>
          </cell>
        </row>
        <row r="5069">
          <cell r="F5069" t="str">
            <v>ICICI Prudential Fixed Maturity Plan-Series 72-440 Days Plan L - Cumulative</v>
          </cell>
        </row>
        <row r="5070">
          <cell r="F5070" t="str">
            <v>ICICI Prudential Fixed Maturity Plan-Series 72-440 Days Plan L - Direct Plan - Cumulative</v>
          </cell>
        </row>
        <row r="5071">
          <cell r="F5071" t="str">
            <v>ICICI Prudential Fixed Maturity Plan-Series 73-1140 Days Plan E - Cumulative</v>
          </cell>
        </row>
        <row r="5072">
          <cell r="F5072" t="str">
            <v>ICICI Prudential Fixed Maturity Plan-Series 73-1140 Days Plan E - Direct Plan - Cumulative</v>
          </cell>
        </row>
        <row r="5073">
          <cell r="F5073" t="str">
            <v>ICICI Prudential Fixed Maturity Plan-Series 73-1140 Days Plan E - Dividend</v>
          </cell>
        </row>
        <row r="5074">
          <cell r="F5074" t="str">
            <v>ICICI Prudential Fixed Maturity Plan-Series 73-368 Days Plan D - Cumulative</v>
          </cell>
        </row>
        <row r="5075">
          <cell r="F5075" t="str">
            <v>ICICI Prudential Fixed Maturity Plan-Series 73-368 Days Plan D - Direct Plan - Cumulative</v>
          </cell>
        </row>
        <row r="5076">
          <cell r="F5076" t="str">
            <v>ICICI Prudential Fixed Maturity Plan-Series 73-368 Days Plan D - Dividend</v>
          </cell>
        </row>
        <row r="5077">
          <cell r="F5077" t="str">
            <v>ICICI Prudential Fixed Maturity Plan-Series 73-369 Days Plan S- Cumulative</v>
          </cell>
        </row>
        <row r="5078">
          <cell r="F5078" t="str">
            <v>ICICI Prudential Fixed Maturity Plan-Series 73-369 Days Plan S- Direct Plan - Cumulative</v>
          </cell>
        </row>
        <row r="5079">
          <cell r="F5079" t="str">
            <v>ICICI Prudential Fixed Maturity Plan-Series 73-369 Days Plan T - Cumulative</v>
          </cell>
        </row>
        <row r="5080">
          <cell r="F5080" t="str">
            <v>ICICI Prudential Fixed Maturity Plan-Series 73-369 Days Plan T - Direct Plan - Cumulative</v>
          </cell>
        </row>
        <row r="5081">
          <cell r="F5081" t="str">
            <v>ICICI Prudential Fixed Maturity Plan-Series 73-376 Days Plan Q - Cumulative</v>
          </cell>
        </row>
        <row r="5082">
          <cell r="F5082" t="str">
            <v>ICICI Prudential Fixed Maturity Plan-Series 73-376 Days Plan Q - Direct Plan - Cumulative</v>
          </cell>
        </row>
        <row r="5083">
          <cell r="F5083" t="str">
            <v>ICICI Prudential Fixed Maturity Plan-Series 73-378 Days Plan O - Cumulative</v>
          </cell>
        </row>
        <row r="5084">
          <cell r="F5084" t="str">
            <v>ICICI Prudential Fixed Maturity Plan-Series 73-378 Days Plan O - Direct Plan - Cumulative</v>
          </cell>
        </row>
        <row r="5085">
          <cell r="F5085" t="str">
            <v>ICICI Prudential Fixed Maturity Plan-Series 73-383 Days Plan K - Cumulative</v>
          </cell>
        </row>
        <row r="5086">
          <cell r="F5086" t="str">
            <v>ICICI Prudential Fixed Maturity Plan-Series 73-383 Days Plan K - Direct Plan - Cumulative</v>
          </cell>
        </row>
        <row r="5087">
          <cell r="F5087" t="str">
            <v>ICICI Prudential Fixed Maturity Plan-Series 73-390 Days Plan I - Cumulative</v>
          </cell>
        </row>
        <row r="5088">
          <cell r="F5088" t="str">
            <v>ICICI Prudential Fixed Maturity Plan-Series 73-390 Days Plan I - Direct Plan - Cumulative</v>
          </cell>
        </row>
        <row r="5089">
          <cell r="F5089" t="str">
            <v>ICICI Prudential Fixed Maturity Plan-Series 73-391 Days Plan G - Cumulative</v>
          </cell>
        </row>
        <row r="5090">
          <cell r="F5090" t="str">
            <v>ICICI Prudential Fixed Maturity Plan-Series 73-391 Days Plan G - Direct Plan - Cumulative</v>
          </cell>
        </row>
        <row r="5091">
          <cell r="F5091" t="str">
            <v>ICICI Prudential Fixed Maturity Plan-Series 73-391 Days Plan G - Dividend</v>
          </cell>
        </row>
        <row r="5092">
          <cell r="F5092" t="str">
            <v>ICICI Prudential Fixed Maturity Plan-Series 73-407 Days Plan C - Cumulative</v>
          </cell>
        </row>
        <row r="5093">
          <cell r="F5093" t="str">
            <v>ICICI Prudential Fixed Maturity Plan-Series 73-407 Days Plan C - Direct Plan - Cumulative</v>
          </cell>
        </row>
        <row r="5094">
          <cell r="F5094" t="str">
            <v>ICICI Prudential Fixed Maturity Plan-Series 74-367 Days Plan C - Cumulative</v>
          </cell>
        </row>
        <row r="5095">
          <cell r="F5095" t="str">
            <v>ICICI Prudential Fixed Maturity Plan-Series 74-367 Days Plan C - Direct Plan - Cumulative</v>
          </cell>
        </row>
        <row r="5096">
          <cell r="F5096" t="str">
            <v>ICICI Prudential Fixed Maturity Plan-Series 74-369 Days Plan B - Cumulative</v>
          </cell>
        </row>
        <row r="5097">
          <cell r="F5097" t="str">
            <v>ICICI Prudential Fixed Maturity Plan-Series 74-369 Days Plan B - Direct Plan - Cumulative</v>
          </cell>
        </row>
        <row r="5098">
          <cell r="F5098" t="str">
            <v>ICICI Prudential Fixed Maturity Plan-Series 74-369 Days Plan B - Direct Plan - Dividend</v>
          </cell>
        </row>
        <row r="5099">
          <cell r="F5099" t="str">
            <v>ICICI Prudential Fixed Maturity Plan-Series 74-369 Days Plan B - Dividend</v>
          </cell>
        </row>
        <row r="5100">
          <cell r="F5100" t="str">
            <v>ICICI Prudential Fixed Maturity Plan-Series 74-369 Days Plan F - Cumulative</v>
          </cell>
        </row>
        <row r="5101">
          <cell r="F5101" t="str">
            <v>ICICI Prudential Fixed Maturity Plan-Series 74-369 Days Plan F - Direct Plan - Cumulative</v>
          </cell>
        </row>
        <row r="5102">
          <cell r="F5102" t="str">
            <v>ICICI Prudential Fixed Maturity Plan-Series 74-370 Days Plan A - Cumulative</v>
          </cell>
        </row>
        <row r="5103">
          <cell r="F5103" t="str">
            <v>ICICI Prudential Fixed Maturity Plan-Series 74-370 Days Plan A - Direct Plan - Cumulative</v>
          </cell>
        </row>
        <row r="5104">
          <cell r="F5104" t="str">
            <v>ICICI Prudential Fixed Maturity Plan-Series 76 -1185 Days Plan H Cumulative Option</v>
          </cell>
        </row>
        <row r="5105">
          <cell r="F5105" t="str">
            <v>ICICI Prudential Fixed Maturity Plan-Series 76 -1185 Days Plan H Direct Plan Cumulative Option</v>
          </cell>
        </row>
        <row r="5106">
          <cell r="F5106" t="str">
            <v>ICICI Prudential Fixed Maturity Plan-Series 76 -1185 Days Plan H Direct Plan Dividend Option</v>
          </cell>
        </row>
        <row r="5107">
          <cell r="F5107" t="str">
            <v>ICICI Prudential Fixed Maturity Plan-Series 76 -1185 Days Plan H Dividend Option</v>
          </cell>
        </row>
        <row r="5108">
          <cell r="F5108" t="str">
            <v>ICICI Prudential Floating Interest Fund - Bonus</v>
          </cell>
        </row>
        <row r="5109">
          <cell r="F5109" t="str">
            <v>ICICI Prudential Floating Interest Fund - Daily Dividend</v>
          </cell>
        </row>
        <row r="5110">
          <cell r="F5110" t="str">
            <v>ICICI Prudential Floating Interest Fund - Direct Plan - Daily Dividend</v>
          </cell>
        </row>
        <row r="5111">
          <cell r="F5111" t="str">
            <v>ICICI Prudential Floating Interest Fund - Direct Plan - Dividend Others</v>
          </cell>
        </row>
        <row r="5112">
          <cell r="F5112" t="str">
            <v>ICICI Prudential Floating Interest Fund - Direct Plan - Fortnightly Dividend</v>
          </cell>
        </row>
        <row r="5113">
          <cell r="F5113" t="str">
            <v>ICICI Prudential Floating Interest Fund - Direct Plan - Growth</v>
          </cell>
        </row>
        <row r="5114">
          <cell r="F5114" t="str">
            <v>ICICI Prudential Floating Interest Fund - Direct Plan - Monthly Dividend</v>
          </cell>
        </row>
        <row r="5115">
          <cell r="F5115" t="str">
            <v>ICICI Prudential Floating Interest Fund - Direct Plan - Quarterly Dividend</v>
          </cell>
        </row>
        <row r="5116">
          <cell r="F5116" t="str">
            <v>ICICI Prudential Floating Interest Fund - Direct Plan - Weekly Dividend</v>
          </cell>
        </row>
        <row r="5117">
          <cell r="F5117" t="str">
            <v>ICICI Prudential Floating Interest Fund - Dividend Others</v>
          </cell>
        </row>
        <row r="5118">
          <cell r="F5118" t="str">
            <v>ICICI Prudential Floating Interest Fund - Fortnightly Dividend</v>
          </cell>
        </row>
        <row r="5119">
          <cell r="F5119" t="str">
            <v>ICICI Prudential Floating Interest Fund - Growth</v>
          </cell>
        </row>
        <row r="5120">
          <cell r="F5120" t="str">
            <v>ICICI Prudential Floating Interest Fund - Monthly Dividend</v>
          </cell>
        </row>
        <row r="5121">
          <cell r="F5121" t="str">
            <v>ICICI Prudential Floating Interest Fund - Quarterly Dividend</v>
          </cell>
        </row>
        <row r="5122">
          <cell r="F5122" t="str">
            <v>ICICI Prudential Floating Interest Fund - Weekly Dividend</v>
          </cell>
        </row>
        <row r="5123">
          <cell r="F5123" t="str">
            <v>ICICI Prudential Floating Interest Fund Plan A - Dividend Daily</v>
          </cell>
        </row>
        <row r="5124">
          <cell r="F5124" t="str">
            <v>ICICI Prudential Floating Interest Fund Plan A - Fortnightly Dividend</v>
          </cell>
        </row>
        <row r="5125">
          <cell r="F5125" t="str">
            <v>ICICI Prudential Floating Interest Fund Plan A - Growth</v>
          </cell>
        </row>
        <row r="5126">
          <cell r="F5126" t="str">
            <v>ICICI Prudential Floating Interest Fund Plan A - Weekly Dividend Option</v>
          </cell>
        </row>
        <row r="5127">
          <cell r="F5127" t="str">
            <v>ICICI Prudential Floating Interest Fund Plan B - Dividend Daily</v>
          </cell>
        </row>
        <row r="5128">
          <cell r="F5128" t="str">
            <v>ICICI Prudential Floating Interest Fund Plan B - Fortnightly Dividend</v>
          </cell>
        </row>
        <row r="5129">
          <cell r="F5129" t="str">
            <v>ICICI Prudential Floating Interest Fund Plan B - Growth</v>
          </cell>
        </row>
        <row r="5130">
          <cell r="F5130" t="str">
            <v>ICICI Prudential Floating Interest Fund Plan B - Weekly Dividend Option</v>
          </cell>
        </row>
        <row r="5131">
          <cell r="F5131" t="str">
            <v>ICICI Prudential Floating Interest Fund Plan C - Dividend Daily</v>
          </cell>
        </row>
        <row r="5132">
          <cell r="F5132" t="str">
            <v>ICICI Prudential Floating Interest Fund Plan C - Fortnightly Dividend</v>
          </cell>
        </row>
        <row r="5133">
          <cell r="F5133" t="str">
            <v>ICICI Prudential FMCG Fund - Direct Plan -  Dividend</v>
          </cell>
        </row>
        <row r="5134">
          <cell r="F5134" t="str">
            <v>ICICI Prudential FMCG Fund - Direct Plan -  Growth</v>
          </cell>
        </row>
        <row r="5135">
          <cell r="F5135" t="str">
            <v>ICICI Prudential FMCG Fund - Dividend</v>
          </cell>
        </row>
        <row r="5136">
          <cell r="F5136" t="str">
            <v>ICICI Prudential FMCG Fund - Growth</v>
          </cell>
        </row>
        <row r="5137">
          <cell r="F5137" t="str">
            <v>ICICI Prudential Focused Equity Fund - Direct Plan - Dividend</v>
          </cell>
        </row>
        <row r="5138">
          <cell r="F5138" t="str">
            <v>ICICI Prudential Focused Equity Fund - Direct Plan - Growth</v>
          </cell>
        </row>
        <row r="5139">
          <cell r="F5139" t="str">
            <v>ICICI Prudential Focused Equity Fund - Dividend</v>
          </cell>
        </row>
        <row r="5140">
          <cell r="F5140" t="str">
            <v>ICICI Prudential Focused Equity Fund - Growth</v>
          </cell>
        </row>
        <row r="5141">
          <cell r="F5141" t="str">
            <v>ICICI Prudential Gilt Fund - Direct Plan - Dividend</v>
          </cell>
        </row>
        <row r="5142">
          <cell r="F5142" t="str">
            <v>ICICI Prudential Gilt Fund - Direct Plan - Growth</v>
          </cell>
        </row>
        <row r="5143">
          <cell r="F5143" t="str">
            <v>ICICI Prudential Gilt Fund - Direct Plan Bonus</v>
          </cell>
        </row>
        <row r="5144">
          <cell r="F5144" t="str">
            <v>ICICI Prudential Gilt Fund - Dividend</v>
          </cell>
        </row>
        <row r="5145">
          <cell r="F5145" t="str">
            <v>ICICI Prudential Gilt Fund - Growth</v>
          </cell>
        </row>
        <row r="5146">
          <cell r="F5146" t="str">
            <v>ICICI Prudential Gilt Fund Investment Plan PF Option - Direct Plan - Half Yearly Dividend</v>
          </cell>
        </row>
        <row r="5147">
          <cell r="F5147" t="str">
            <v>ICICI Prudential Gilt Fund Investment Plan PF Option - Direct Plan -Growth Option</v>
          </cell>
        </row>
        <row r="5148">
          <cell r="F5148" t="str">
            <v>ICICI Prudential Gilt Fund Investment Plan PF Option - Growth</v>
          </cell>
        </row>
        <row r="5149">
          <cell r="F5149" t="str">
            <v>ICICI Prudential Gilt Fund Investment Plan PF Option - Half Yearly Dividend</v>
          </cell>
        </row>
        <row r="5150">
          <cell r="F5150" t="str">
            <v>ICICI Prudential Gilt Fund Treasury Plan PF Option - Direct Plan - Half Yearly Dividend</v>
          </cell>
        </row>
        <row r="5151">
          <cell r="F5151" t="str">
            <v>ICICI Prudential Gilt Fund Treasury Plan PF Option - Direct Plan - Quarterly Dividend</v>
          </cell>
        </row>
        <row r="5152">
          <cell r="F5152" t="str">
            <v>ICICI Prudential Gilt Fund Treasury Plan PF Option - Direct Plan -Growth Option</v>
          </cell>
        </row>
        <row r="5153">
          <cell r="F5153" t="str">
            <v>ICICI Prudential Gilt Fund Treasury Plan PF Option - Growth</v>
          </cell>
        </row>
        <row r="5154">
          <cell r="F5154" t="str">
            <v>ICICI Prudential Gilt Fund Treasury Plan PF Option - Half Yearly Dividend</v>
          </cell>
        </row>
        <row r="5155">
          <cell r="F5155" t="str">
            <v>ICICI Prudential Gilt Fund Treasury Plan PF Option - Quarterly Dividend</v>
          </cell>
        </row>
        <row r="5156">
          <cell r="F5156" t="str">
            <v>ICICI Prudential Gilt Investment PF Option - Bonus</v>
          </cell>
        </row>
        <row r="5157">
          <cell r="F5157" t="str">
            <v>ICICI Prudential Gilt Investment PF Option - Direct Plan Bonus</v>
          </cell>
        </row>
        <row r="5158">
          <cell r="F5158" t="str">
            <v>ICICI Prudential Gilt Treasury PF Option - Bonus</v>
          </cell>
        </row>
        <row r="5159">
          <cell r="F5159" t="str">
            <v>ICICI Prudential Global Stable Equity Fund - Direct - Dividend</v>
          </cell>
        </row>
        <row r="5160">
          <cell r="F5160" t="str">
            <v>ICICI Prudential Global Stable Equity Fund - Direct - Growth</v>
          </cell>
        </row>
        <row r="5161">
          <cell r="F5161" t="str">
            <v>ICICI Prudential Global Stable Equity Fund - Dividend</v>
          </cell>
        </row>
        <row r="5162">
          <cell r="F5162" t="str">
            <v>ICICI Prudential Global Stable Equity Fund - Growth</v>
          </cell>
        </row>
        <row r="5163">
          <cell r="F5163" t="str">
            <v>ICICI Prudential Gold ETF</v>
          </cell>
        </row>
        <row r="5164">
          <cell r="F5164" t="str">
            <v>ICICI Prudential Growth Fund - Series 2 Direct Dividend</v>
          </cell>
        </row>
        <row r="5165">
          <cell r="F5165" t="str">
            <v>ICICI Prudential Growth Fund - Series 2 Dividend</v>
          </cell>
        </row>
        <row r="5166">
          <cell r="F5166" t="str">
            <v>ICICI Prudential Growth Fund - Series 3 Direct Dividend</v>
          </cell>
        </row>
        <row r="5167">
          <cell r="F5167" t="str">
            <v>ICICI Prudential Growth Fund - Series 3 Dividend</v>
          </cell>
        </row>
        <row r="5168">
          <cell r="F5168" t="str">
            <v>ICICI Prudential Growth Fund - Series 4 Direct Dividend</v>
          </cell>
        </row>
        <row r="5169">
          <cell r="F5169" t="str">
            <v>ICICI Prudential Growth Fund - Series 4 Dividend</v>
          </cell>
        </row>
        <row r="5170">
          <cell r="F5170" t="str">
            <v>ICICI Prudential Growth Fund - Series 5 Direct Dividend</v>
          </cell>
        </row>
        <row r="5171">
          <cell r="F5171" t="str">
            <v>ICICI Prudential Growth Fund - Series 5 Dividend</v>
          </cell>
        </row>
        <row r="5172">
          <cell r="F5172" t="str">
            <v>ICICI Prudential Growth Fund - Series 6  Dividend</v>
          </cell>
        </row>
        <row r="5173">
          <cell r="F5173" t="str">
            <v>ICICI Prudential Growth Fund - Series 6 Direct Dividend</v>
          </cell>
        </row>
        <row r="5174">
          <cell r="F5174" t="str">
            <v>ICICI Prudential Growth Fund - Series 7  Dividend</v>
          </cell>
        </row>
        <row r="5175">
          <cell r="F5175" t="str">
            <v>ICICI Prudential Growth Fund - Series 7 Direct Dividend</v>
          </cell>
        </row>
        <row r="5176">
          <cell r="F5176" t="str">
            <v>ICICI Prudential Growth Fund- Series 1 Direct Dividend</v>
          </cell>
        </row>
        <row r="5177">
          <cell r="F5177" t="str">
            <v>ICICI Prudential Growth Fund- Series 1 Dividend</v>
          </cell>
        </row>
        <row r="5178">
          <cell r="F5178" t="str">
            <v>ICICI Prudential India Recovery Fund - Series 1 Direct Dividend</v>
          </cell>
        </row>
        <row r="5179">
          <cell r="F5179" t="str">
            <v>ICICI Prudential India Recovery Fund - Series 1 Dividend</v>
          </cell>
        </row>
        <row r="5180">
          <cell r="F5180" t="str">
            <v>ICICI Prudential India Recovery Fund - Series 2 Direct Dividend</v>
          </cell>
        </row>
        <row r="5181">
          <cell r="F5181" t="str">
            <v>ICICI Prudential India Recovery Fund - Series 2 Dividend</v>
          </cell>
        </row>
        <row r="5182">
          <cell r="F5182" t="str">
            <v>ICICI Prudential India Recovery Fund - Series 3 Cumulative Option</v>
          </cell>
        </row>
        <row r="5183">
          <cell r="F5183" t="str">
            <v>ICICI Prudential India Recovery Fund - Series 3 Direct Plan Cumulative Option</v>
          </cell>
        </row>
        <row r="5184">
          <cell r="F5184" t="str">
            <v>ICICI Prudential India Recovery Fund - Series 3 Direct Plan Dividend Option</v>
          </cell>
        </row>
        <row r="5185">
          <cell r="F5185" t="str">
            <v>ICICI Prudential India Recovery Fund - Series 3 Dividend Option</v>
          </cell>
        </row>
        <row r="5186">
          <cell r="F5186" t="str">
            <v>ICICI Prudential India Recovery Fund - Series 4 Cumulative Option</v>
          </cell>
        </row>
        <row r="5187">
          <cell r="F5187" t="str">
            <v>ICICI Prudential India Recovery Fund - Series 4 Direct Plan Cumulative Option</v>
          </cell>
        </row>
        <row r="5188">
          <cell r="F5188" t="str">
            <v>ICICI Prudential India Recovery Fund - Series 4 Direct Plan Dividend Option</v>
          </cell>
        </row>
        <row r="5189">
          <cell r="F5189" t="str">
            <v>ICICI Prudential India Recovery Fund - Series 4 Dividend Option</v>
          </cell>
        </row>
        <row r="5190">
          <cell r="F5190" t="str">
            <v>ICICI Prudential India Recovery Fund - Series 5 Cumulative Option</v>
          </cell>
        </row>
        <row r="5191">
          <cell r="F5191" t="str">
            <v>ICICI Prudential India Recovery Fund - Series 5 Direct Plan Cumulative Option</v>
          </cell>
        </row>
        <row r="5192">
          <cell r="F5192" t="str">
            <v>ICICI Prudential India Recovery Fund - Series 5 Direct Plan Dividend Option</v>
          </cell>
        </row>
        <row r="5193">
          <cell r="F5193" t="str">
            <v>ICICI Prudential India Recovery Fund - Series 5 Dividend Option</v>
          </cell>
        </row>
        <row r="5194">
          <cell r="F5194" t="str">
            <v>ICICI Prudential India Recovery Fund - Series 7 Direct Plan Dividend Option</v>
          </cell>
        </row>
        <row r="5195">
          <cell r="F5195" t="str">
            <v>ICICI Prudential India Recovery Fund - Series 7 Dividend Option</v>
          </cell>
        </row>
        <row r="5196">
          <cell r="F5196" t="str">
            <v>ICICI Prudential Infrastructure Fund - Direct Plan -  Dividend</v>
          </cell>
        </row>
        <row r="5197">
          <cell r="F5197" t="str">
            <v>ICICI Prudential Infrastructure Fund - Direct Plan -  Growth</v>
          </cell>
        </row>
        <row r="5198">
          <cell r="F5198" t="str">
            <v>ICICI Prudential Infrastructure Fund - Dividend</v>
          </cell>
        </row>
        <row r="5199">
          <cell r="F5199" t="str">
            <v>ICICI Prudential Infrastructure Fund - Growth</v>
          </cell>
        </row>
        <row r="5200">
          <cell r="F5200" t="str">
            <v>ICICI Prudential Interval Fund - Series VI - Annual Interval Plan - C - Cumulative</v>
          </cell>
        </row>
        <row r="5201">
          <cell r="F5201" t="str">
            <v>ICICI Prudential Interval Fund - Series VI - Annual Interval Plan - C - Direct Plan - Cumulative</v>
          </cell>
        </row>
        <row r="5202">
          <cell r="F5202" t="str">
            <v>ICICI Prudential Interval Fund - Series VI - Annual Interval Plan - D - Cumulative</v>
          </cell>
        </row>
        <row r="5203">
          <cell r="F5203" t="str">
            <v>ICICI Prudential Interval Fund - Series VI - Annual Interval Plan - D - Direct Plan - Cumulative</v>
          </cell>
        </row>
        <row r="5204">
          <cell r="F5204" t="str">
            <v>ICICI Prudential Interval Fund - Series VII - Annual Interval Plan - C - Cumulative</v>
          </cell>
        </row>
        <row r="5205">
          <cell r="F5205" t="str">
            <v>ICICI Prudential Interval Fund - Series VII - Annual Interval Plan - C - Direct Plan - Cumulative</v>
          </cell>
        </row>
        <row r="5206">
          <cell r="F5206" t="str">
            <v>ICICI Prudential Large &amp; Mid Cap Fund - Direct Plan - Dividend</v>
          </cell>
        </row>
        <row r="5207">
          <cell r="F5207" t="str">
            <v>ICICI Prudential Large &amp; Mid Cap Fund - Direct Plan - Growth</v>
          </cell>
        </row>
        <row r="5208">
          <cell r="F5208" t="str">
            <v>ICICI Prudential Large &amp; Mid Cap Fund - Dividend</v>
          </cell>
        </row>
        <row r="5209">
          <cell r="F5209" t="str">
            <v>ICICI Prudential Large &amp; Mid Cap Fund - Growth</v>
          </cell>
        </row>
        <row r="5210">
          <cell r="F5210" t="str">
            <v>ICICI Prudential Liquid Fund - Daily Dividend</v>
          </cell>
        </row>
        <row r="5211">
          <cell r="F5211" t="str">
            <v>ICICI Prudential Liquid Fund - Direct Plan -  Annual Dividend</v>
          </cell>
        </row>
        <row r="5212">
          <cell r="F5212" t="str">
            <v>ICICI Prudential Liquid Fund - Direct Plan -  Dividend Others</v>
          </cell>
        </row>
        <row r="5213">
          <cell r="F5213" t="str">
            <v>ICICI Prudential Liquid Fund - Direct Plan -  Half Yearly Dividend</v>
          </cell>
        </row>
        <row r="5214">
          <cell r="F5214" t="str">
            <v>ICICI Prudential Liquid Fund - Direct Plan - Daily Dividend</v>
          </cell>
        </row>
        <row r="5215">
          <cell r="F5215" t="str">
            <v>ICICI Prudential Liquid Fund - Direct Plan - Growth</v>
          </cell>
        </row>
        <row r="5216">
          <cell r="F5216" t="str">
            <v>ICICI Prudential Liquid Fund - Direct Plan - Monthly Dividend</v>
          </cell>
        </row>
        <row r="5217">
          <cell r="F5217" t="str">
            <v>ICICI Prudential Liquid Fund - Direct Plan - Quarterly Dividend</v>
          </cell>
        </row>
        <row r="5218">
          <cell r="F5218" t="str">
            <v>ICICI Prudential Liquid Fund - Direct Plan - Weekly Dividend</v>
          </cell>
        </row>
        <row r="5219">
          <cell r="F5219" t="str">
            <v>ICICI Prudential Liquid Fund - Direct Plan Bonus</v>
          </cell>
        </row>
        <row r="5220">
          <cell r="F5220" t="str">
            <v>ICICI Prudential Liquid Fund - Dividend Others</v>
          </cell>
        </row>
        <row r="5221">
          <cell r="F5221" t="str">
            <v>ICICI Prudential Liquid Fund - Growth</v>
          </cell>
        </row>
        <row r="5222">
          <cell r="F5222" t="str">
            <v>ICICI Prudential Liquid Fund - Half Yearly Dividend</v>
          </cell>
        </row>
        <row r="5223">
          <cell r="F5223" t="str">
            <v>ICICI Prudential Liquid Fund - Institutional - Daily - Div</v>
          </cell>
        </row>
        <row r="5224">
          <cell r="F5224" t="str">
            <v>ICICI Prudential Liquid Fund - Institutional Option - I</v>
          </cell>
        </row>
        <row r="5225">
          <cell r="F5225" t="str">
            <v>ICICI Prudential Liquid Fund - Unclaimed Dividend</v>
          </cell>
        </row>
        <row r="5226">
          <cell r="F5226" t="str">
            <v>ICICI Prudential Liquid Fund - Unclaimed Redemption</v>
          </cell>
        </row>
        <row r="5227">
          <cell r="F5227" t="str">
            <v>ICICI Prudential Liquid Fund - Weekly Dividend</v>
          </cell>
        </row>
        <row r="5228">
          <cell r="F5228" t="str">
            <v>ICICI Prudential Liquid Fund -Monthly Dividend</v>
          </cell>
        </row>
        <row r="5229">
          <cell r="F5229" t="str">
            <v>ICICI Prudential Liquid Fund -Quarterly Dividend</v>
          </cell>
        </row>
        <row r="5230">
          <cell r="F5230" t="str">
            <v>ICICI Prudential Liquid Fund Retail Daily Dividend</v>
          </cell>
        </row>
        <row r="5231">
          <cell r="F5231" t="str">
            <v>ICICI Prudential Liquid Fund Retail Growth</v>
          </cell>
        </row>
        <row r="5232">
          <cell r="F5232" t="str">
            <v>ICICI Prudential Liquid Fund Retail Monthly Dividend</v>
          </cell>
        </row>
        <row r="5233">
          <cell r="F5233" t="str">
            <v>ICICI Prudential Liquid Fund Retail Weekly Dividend</v>
          </cell>
        </row>
        <row r="5234">
          <cell r="F5234" t="str">
            <v>ICICI Prudential Liquid Fund-Annual Dividend</v>
          </cell>
        </row>
        <row r="5235">
          <cell r="F5235" t="str">
            <v>ICICI Prudential Liquid Institutional Fund - Growth</v>
          </cell>
        </row>
        <row r="5236">
          <cell r="F5236" t="str">
            <v>ICICI Prudential Liquid Institutional Plus Fund - Div - Daily</v>
          </cell>
        </row>
        <row r="5237">
          <cell r="F5237" t="str">
            <v>ICICI Prudential Long Term Bond Fund - Annual Dividend</v>
          </cell>
        </row>
        <row r="5238">
          <cell r="F5238" t="str">
            <v>ICICI Prudential Long Term Bond Fund - Bonus</v>
          </cell>
        </row>
        <row r="5239">
          <cell r="F5239" t="str">
            <v>ICICI Prudential Long Term Bond Fund - Direct Plan - Growth</v>
          </cell>
        </row>
        <row r="5240">
          <cell r="F5240" t="str">
            <v>ICICI Prudential Long Term Bond Fund - Direct Plan - Half Yearly Dividend</v>
          </cell>
        </row>
        <row r="5241">
          <cell r="F5241" t="str">
            <v>ICICI Prudential Long Term Bond Fund - Direct Plan - Quarterly Dividend</v>
          </cell>
        </row>
        <row r="5242">
          <cell r="F5242" t="str">
            <v>ICICI Prudential Long Term Bond Fund - Growth</v>
          </cell>
        </row>
        <row r="5243">
          <cell r="F5243" t="str">
            <v>ICICI Prudential Long Term Bond Fund - Half Yearly Dividend</v>
          </cell>
        </row>
        <row r="5244">
          <cell r="F5244" t="str">
            <v>ICICI Prudential Long Term Bond Fund - Institutional Dividend Halfyearly</v>
          </cell>
        </row>
        <row r="5245">
          <cell r="F5245" t="str">
            <v>ICICI Prudential Long Term Bond Fund - Quarterly Dividend</v>
          </cell>
        </row>
        <row r="5246">
          <cell r="F5246" t="str">
            <v>ICICI Prudential Long Term Bond Fund Direct Plan - Annual Dividend</v>
          </cell>
        </row>
        <row r="5247">
          <cell r="F5247" t="str">
            <v>ICICI Prudential Long Term Bond Fund-Institutional Option-Growth</v>
          </cell>
        </row>
        <row r="5248">
          <cell r="F5248" t="str">
            <v>ICICI Prudential Long Term Bond Fund-Institutional Quarterly Dividend</v>
          </cell>
        </row>
        <row r="5249">
          <cell r="F5249" t="str">
            <v>ICICI Prudential Long Term Equity Fund (Tax Saving) - Direct Plan -  Dividend</v>
          </cell>
        </row>
        <row r="5250">
          <cell r="F5250" t="str">
            <v>ICICI Prudential Long Term Equity Fund (Tax Saving) - Direct Plan -  Growth</v>
          </cell>
        </row>
        <row r="5251">
          <cell r="F5251" t="str">
            <v>ICICI Prudential Long Term Equity Fund (Tax Saving) - Growth</v>
          </cell>
        </row>
        <row r="5252">
          <cell r="F5252" t="str">
            <v>ICICI Prudential Long Term Equity Fund (Tax Saving)- Dividend</v>
          </cell>
        </row>
        <row r="5253">
          <cell r="F5253" t="str">
            <v>ICICI Prudential Medium Term Bond Fund - Annual Dividend</v>
          </cell>
        </row>
        <row r="5254">
          <cell r="F5254" t="str">
            <v>ICICI Prudential Medium Term Bond Fund - Bonus</v>
          </cell>
        </row>
        <row r="5255">
          <cell r="F5255" t="str">
            <v>ICICI Prudential Medium Term Bond Fund - Direct Plan - Growth</v>
          </cell>
        </row>
        <row r="5256">
          <cell r="F5256" t="str">
            <v>ICICI Prudential Medium Term Bond Fund - Direct Plan - Half Yearly Dividend</v>
          </cell>
        </row>
        <row r="5257">
          <cell r="F5257" t="str">
            <v>ICICI Prudential Medium Term Bond Fund - Direct Plan - Quarterly Dividend</v>
          </cell>
        </row>
        <row r="5258">
          <cell r="F5258" t="str">
            <v>ICICI Prudential Medium Term Bond Fund - Direct Plan Bonus</v>
          </cell>
        </row>
        <row r="5259">
          <cell r="F5259" t="str">
            <v>ICICI Prudential Medium Term Bond Fund - Growth</v>
          </cell>
        </row>
        <row r="5260">
          <cell r="F5260" t="str">
            <v>ICICI Prudential Medium Term Bond Fund - Half Yearly Dividend</v>
          </cell>
        </row>
        <row r="5261">
          <cell r="F5261" t="str">
            <v>ICICI Prudential Medium Term Bond Fund - Quarterly Dividend</v>
          </cell>
        </row>
        <row r="5262">
          <cell r="F5262" t="str">
            <v>ICICI Prudential Medium Term Bond Fund -Direct Plan - Annual Dividend</v>
          </cell>
        </row>
        <row r="5263">
          <cell r="F5263" t="str">
            <v>ICICI Prudential Medium Term Bond Fund Plan B - Half Yearly Dividend</v>
          </cell>
        </row>
        <row r="5264">
          <cell r="F5264" t="str">
            <v>ICICI Prudential Medium Term Bond Fund Plan B - Quarterly Dividend</v>
          </cell>
        </row>
        <row r="5265">
          <cell r="F5265" t="str">
            <v>ICICI Prudential Medium Term Bond Fund-Plan B-Growth</v>
          </cell>
        </row>
        <row r="5266">
          <cell r="F5266" t="str">
            <v>ICICI Prudential MidCap Fund - Direct Plan -  Dividend</v>
          </cell>
        </row>
        <row r="5267">
          <cell r="F5267" t="str">
            <v>ICICI Prudential MidCap Fund - Direct Plan -  Growth</v>
          </cell>
        </row>
        <row r="5268">
          <cell r="F5268" t="str">
            <v>ICICI Prudential MidCap Fund - Dividend</v>
          </cell>
        </row>
        <row r="5269">
          <cell r="F5269" t="str">
            <v>ICICI Prudential MidCap Fund - Growth</v>
          </cell>
        </row>
        <row r="5270">
          <cell r="F5270" t="str">
            <v>ICICI Prudential Midcap Select ETF</v>
          </cell>
        </row>
        <row r="5271">
          <cell r="F5271" t="str">
            <v>ICICI Prudential MIP - Direct Plan -  Dividend Half Yearly</v>
          </cell>
        </row>
        <row r="5272">
          <cell r="F5272" t="str">
            <v>ICICI Prudential MIP - Direct Plan -  Dividend Monthly</v>
          </cell>
        </row>
        <row r="5273">
          <cell r="F5273" t="str">
            <v>ICICI Prudential MIP - Direct Plan -  Dividend Quarterly</v>
          </cell>
        </row>
        <row r="5274">
          <cell r="F5274" t="str">
            <v>ICICI Prudential MIP - Direct Plan -  Growth</v>
          </cell>
        </row>
        <row r="5275">
          <cell r="F5275" t="str">
            <v>ICICI Prudential MIP - Direct Plan Bonus</v>
          </cell>
        </row>
        <row r="5276">
          <cell r="F5276" t="str">
            <v>ICICI Prudential MIP - Dividend Half Yearly</v>
          </cell>
        </row>
        <row r="5277">
          <cell r="F5277" t="str">
            <v>ICICI Prudential MIP - Dividend Monthly</v>
          </cell>
        </row>
        <row r="5278">
          <cell r="F5278" t="str">
            <v>ICICI Prudential MIP - Dividend Quarterly</v>
          </cell>
        </row>
        <row r="5279">
          <cell r="F5279" t="str">
            <v>ICICI Prudential MIP - Growth</v>
          </cell>
        </row>
        <row r="5280">
          <cell r="F5280" t="str">
            <v>ICICI Prudential Moderate Fund - Direct Plan - Dividend</v>
          </cell>
        </row>
        <row r="5281">
          <cell r="F5281" t="str">
            <v>ICICI Prudential Moderate Fund - Direct Plan - Growth</v>
          </cell>
        </row>
        <row r="5282">
          <cell r="F5282" t="str">
            <v>ICICI Prudential Moderate Fund - Dividend</v>
          </cell>
        </row>
        <row r="5283">
          <cell r="F5283" t="str">
            <v>ICICI Prudential Moderate Fund - Growth</v>
          </cell>
        </row>
        <row r="5284">
          <cell r="F5284" t="str">
            <v>ICICI Prudential Money Market Fund - Direct Plan Bonus</v>
          </cell>
        </row>
        <row r="5285">
          <cell r="F5285" t="str">
            <v>ICICI Prudential Money Market Fund Dividend</v>
          </cell>
        </row>
        <row r="5286">
          <cell r="F5286" t="str">
            <v>ICICI Prudential Money Market Fund Option - Daily Dividend</v>
          </cell>
        </row>
        <row r="5287">
          <cell r="F5287" t="str">
            <v>ICICI Prudential Money Market Fund Option - Direct Plan -  Daily Dividend</v>
          </cell>
        </row>
        <row r="5288">
          <cell r="F5288" t="str">
            <v>ICICI Prudential Money Market Fund Option - Direct Plan -  Dividend Others</v>
          </cell>
        </row>
        <row r="5289">
          <cell r="F5289" t="str">
            <v>ICICI Prudential Money Market Fund Option - Direct Plan -  Fortnightly Dividend</v>
          </cell>
        </row>
        <row r="5290">
          <cell r="F5290" t="str">
            <v>ICICI Prudential Money Market Fund Option - Direct Plan -  Growth</v>
          </cell>
        </row>
        <row r="5291">
          <cell r="F5291" t="str">
            <v>ICICI Prudential Money Market Fund Option - Direct Plan -  Monthly Dividend</v>
          </cell>
        </row>
        <row r="5292">
          <cell r="F5292" t="str">
            <v>ICICI Prudential Money Market Fund Option - Direct Plan -  Weekly Dividend</v>
          </cell>
        </row>
        <row r="5293">
          <cell r="F5293" t="str">
            <v>ICICI Prudential Money Market Fund Option - Dividend Others</v>
          </cell>
        </row>
        <row r="5294">
          <cell r="F5294" t="str">
            <v>ICICI Prudential Money Market Fund Option - Growth</v>
          </cell>
        </row>
        <row r="5295">
          <cell r="F5295" t="str">
            <v>ICICI Prudential Money Market Fund Option - Monthly Dividend</v>
          </cell>
        </row>
        <row r="5296">
          <cell r="F5296" t="str">
            <v>ICICI Prudential Money Market Fund Option - Weekly Dividend</v>
          </cell>
        </row>
        <row r="5297">
          <cell r="F5297" t="str">
            <v>ICICI Prudential Money Market Fund Option -Fortnightly Dividend</v>
          </cell>
        </row>
        <row r="5298">
          <cell r="F5298" t="str">
            <v>ICICI Prudential Money Market Fund Retail Growth (erstwhile Cash Option)</v>
          </cell>
        </row>
        <row r="5299">
          <cell r="F5299" t="str">
            <v>ICICI Prudential Multi-Asset Fund - Direct Plan - Dividend</v>
          </cell>
        </row>
        <row r="5300">
          <cell r="F5300" t="str">
            <v>ICICI Prudential Multi-Asset Fund - Direct Plan - Growth</v>
          </cell>
        </row>
        <row r="5301">
          <cell r="F5301" t="str">
            <v>ICICI Prudential Multi-Asset Fund - Dividend</v>
          </cell>
        </row>
        <row r="5302">
          <cell r="F5302" t="str">
            <v>ICICI Prudential Multi-Asset Fund - Growth</v>
          </cell>
        </row>
        <row r="5303">
          <cell r="F5303" t="str">
            <v>ICICI Prudential Multi-Asset Fund- Institutional Growth Option</v>
          </cell>
        </row>
        <row r="5304">
          <cell r="F5304" t="str">
            <v>ICICI Prudential Multi-Asset Fund-Institutional Option - I</v>
          </cell>
        </row>
        <row r="5305">
          <cell r="F5305" t="str">
            <v>ICICI Prudential Multicap Fund - Direct Plan -  Dividend</v>
          </cell>
        </row>
        <row r="5306">
          <cell r="F5306" t="str">
            <v>ICICI Prudential Multicap Fund - Direct Plan -  Growth</v>
          </cell>
        </row>
        <row r="5307">
          <cell r="F5307" t="str">
            <v>ICICI Prudential Multicap Fund - Dividend</v>
          </cell>
        </row>
        <row r="5308">
          <cell r="F5308" t="str">
            <v>ICICI Prudential Multicap Fund - Growth</v>
          </cell>
        </row>
        <row r="5309">
          <cell r="F5309" t="str">
            <v>ICICI Prudential Multiple Yield Fund - Series 10 - 1775 Days Plan A Cumulative Option</v>
          </cell>
        </row>
        <row r="5310">
          <cell r="F5310" t="str">
            <v>ICICI Prudential Multiple Yield Fund - Series 10 - 1775 Days Plan A Direct Plan Cumulative Option</v>
          </cell>
        </row>
        <row r="5311">
          <cell r="F5311" t="str">
            <v>ICICI Prudential Multiple Yield Fund - Series 10 - 1775 Days Plan A Direct Plan Dividend Option</v>
          </cell>
        </row>
        <row r="5312">
          <cell r="F5312" t="str">
            <v>ICICI Prudential Multiple Yield Fund - Series 10 - 1775 Days Plan A Dividend Option</v>
          </cell>
        </row>
        <row r="5313">
          <cell r="F5313" t="str">
            <v>ICICI Prudential Multiple Yield Fund - Series 10 - 1825 Days Plan B Cumulative Option</v>
          </cell>
        </row>
        <row r="5314">
          <cell r="F5314" t="str">
            <v>ICICI Prudential Multiple Yield Fund - Series 10 - 1825 Days Plan B Direct Plan Cumulative Option</v>
          </cell>
        </row>
        <row r="5315">
          <cell r="F5315" t="str">
            <v>ICICI Prudential Multiple Yield Fund - Series 10 - 1825 Days Plan B Direct Plan Dividend Option</v>
          </cell>
        </row>
        <row r="5316">
          <cell r="F5316" t="str">
            <v>ICICI Prudential Multiple Yield Fund - Series 10 - 1825 Days Plan B Dividend Option</v>
          </cell>
        </row>
        <row r="5317">
          <cell r="F5317" t="str">
            <v>ICICI Prudential Multiple Yield Fund - Series 11 - Plan A 1427 Days Cumulative Option</v>
          </cell>
        </row>
        <row r="5318">
          <cell r="F5318" t="str">
            <v>ICICI Prudential Multiple Yield Fund - Series 11 - Plan A 1427 Days Direct Plan Cumulative Option</v>
          </cell>
        </row>
        <row r="5319">
          <cell r="F5319" t="str">
            <v>ICICI Prudential Multiple Yield Fund - Series 11 - Plan A 1427 Days Direct Plan Dividend Option</v>
          </cell>
        </row>
        <row r="5320">
          <cell r="F5320" t="str">
            <v>ICICI Prudential Multiple Yield Fund - Series 11 - Plan A 1427 Days Dividend Option</v>
          </cell>
        </row>
        <row r="5321">
          <cell r="F5321" t="str">
            <v>ICICI Prudential Multiple Yield Fund - Series 11 - Plan B 1394 Days Cumulative Option</v>
          </cell>
        </row>
        <row r="5322">
          <cell r="F5322" t="str">
            <v>ICICI Prudential Multiple Yield Fund - Series 11 - Plan B 1394 Days Direct Plan Cumulative Option</v>
          </cell>
        </row>
        <row r="5323">
          <cell r="F5323" t="str">
            <v>ICICI Prudential Multiple Yield Fund - Series 11 - Plan B 1394 Days Direct Plan Dividend Option</v>
          </cell>
        </row>
        <row r="5324">
          <cell r="F5324" t="str">
            <v>ICICI Prudential Multiple Yield Fund - Series 11 - Plan B 1394 Days Dividend Option</v>
          </cell>
        </row>
        <row r="5325">
          <cell r="F5325" t="str">
            <v>ICICI Prudential Multiple Yield Fund - Series 11 - Plan C 1387 Days Cumulative Option</v>
          </cell>
        </row>
        <row r="5326">
          <cell r="F5326" t="str">
            <v>ICICI Prudential Multiple Yield Fund - Series 11 - Plan C 1387 Days Direct Plan Cumulative Option</v>
          </cell>
        </row>
        <row r="5327">
          <cell r="F5327" t="str">
            <v>ICICI Prudential Multiple Yield Fund - Series 11 - Plan C 1387 Days Direct Plan Dividend Option</v>
          </cell>
        </row>
        <row r="5328">
          <cell r="F5328" t="str">
            <v>ICICI Prudential Multiple Yield Fund - Series 11 - Plan C 1387 Days Dividend Option</v>
          </cell>
        </row>
        <row r="5329">
          <cell r="F5329" t="str">
            <v>ICICI Prudential Multiple Yield Fund - Series 11 - Plan D 1361 Days - Cumulative Option</v>
          </cell>
        </row>
        <row r="5330">
          <cell r="F5330" t="str">
            <v>ICICI Prudential Multiple Yield Fund - Series 11 - Plan D 1361 Days - Direct Plan - Cumulative Option</v>
          </cell>
        </row>
        <row r="5331">
          <cell r="F5331" t="str">
            <v>ICICI Prudential Multiple Yield Fund - Series 11 - Plan D 1361 Days - Direct Plan - Dividend Option</v>
          </cell>
        </row>
        <row r="5332">
          <cell r="F5332" t="str">
            <v>ICICI Prudential Multiple Yield Fund - Series 11 - Plan D 1361 Days - Dividend Option</v>
          </cell>
        </row>
        <row r="5333">
          <cell r="F5333" t="str">
            <v>ICICI Prudential Multiple Yield Fund - Series 3 - Plan C - Cumulative</v>
          </cell>
        </row>
        <row r="5334">
          <cell r="F5334" t="str">
            <v>ICICI Prudential Multiple Yield Fund - Series 3 - Plan C - Direct Plan - Cumulative</v>
          </cell>
        </row>
        <row r="5335">
          <cell r="F5335" t="str">
            <v>ICICI Prudential Multiple Yield Fund - Series 3 - Plan D - Cumulative</v>
          </cell>
        </row>
        <row r="5336">
          <cell r="F5336" t="str">
            <v>ICICI Prudential Multiple Yield Fund - Series 3 - Plan D - Direct Plan - Cumulative</v>
          </cell>
        </row>
        <row r="5337">
          <cell r="F5337" t="str">
            <v>ICICI Prudential Multiple Yield Fund - Series 3 - Plan D - Direct Plan - Dividend</v>
          </cell>
        </row>
        <row r="5338">
          <cell r="F5338" t="str">
            <v>ICICI Prudential Multiple Yield Fund - Series 3 - Plan D -Dividend</v>
          </cell>
        </row>
        <row r="5339">
          <cell r="F5339" t="str">
            <v>ICICI Prudential Multiple Yield Fund - Series 4 - 1825 Days - Plan A - Direct Plan - Cumulative</v>
          </cell>
        </row>
        <row r="5340">
          <cell r="F5340" t="str">
            <v>ICICI Prudential Multiple Yield Fund - Series 4 - 1825 Days - Plan A - Direct Plan - Dividend</v>
          </cell>
        </row>
        <row r="5341">
          <cell r="F5341" t="str">
            <v>ICICI Prudential Multiple Yield Fund - Series 4 - 1825 Days - Plan A - Dividend</v>
          </cell>
        </row>
        <row r="5342">
          <cell r="F5342" t="str">
            <v>ICICI Prudential Multiple Yield Fund - Series 4 - 1825 Days - Plan A -Cumulative</v>
          </cell>
        </row>
        <row r="5343">
          <cell r="F5343" t="str">
            <v>ICICI Prudential Multiple Yield Fund - Series 4 - 1825 Days - Plan B - Cumulative</v>
          </cell>
        </row>
        <row r="5344">
          <cell r="F5344" t="str">
            <v>ICICI Prudential Multiple Yield Fund - Series 4 - 1825 Days - Plan B - Direct Plan - Cumulative</v>
          </cell>
        </row>
        <row r="5345">
          <cell r="F5345" t="str">
            <v>ICICI Prudential Multiple Yield Fund - Series 4 - 1825 Days - Plan B - Direct Plan - Dividend</v>
          </cell>
        </row>
        <row r="5346">
          <cell r="F5346" t="str">
            <v>ICICI Prudential Multiple Yield Fund - Series 4 - 1825 Days - Plan B -Dividend</v>
          </cell>
        </row>
        <row r="5347">
          <cell r="F5347" t="str">
            <v>ICICI Prudential Multiple Yield Fund - Series 4 - 1825 Days - Plan D - Cumulative</v>
          </cell>
        </row>
        <row r="5348">
          <cell r="F5348" t="str">
            <v>ICICI Prudential Multiple Yield Fund - Series 4 - 1825 Days - Plan D - Direct Plan - Cumulative</v>
          </cell>
        </row>
        <row r="5349">
          <cell r="F5349" t="str">
            <v>ICICI Prudential Multiple Yield Fund - Series 4 - 1825 Days - Plan D - Direct Plan - Dividend</v>
          </cell>
        </row>
        <row r="5350">
          <cell r="F5350" t="str">
            <v>ICICI Prudential Multiple Yield Fund - Series 4 - 1825 Days - Plan D -Dividend</v>
          </cell>
        </row>
        <row r="5351">
          <cell r="F5351" t="str">
            <v>ICICI Prudential Multiple Yield Fund - Series 5 - 1825 Days - Plan C - Cumulative</v>
          </cell>
        </row>
        <row r="5352">
          <cell r="F5352" t="str">
            <v>ICICI Prudential Multiple Yield Fund - Series 5 - 1825 Days - Plan C - Direct Plan - Cumulative</v>
          </cell>
        </row>
        <row r="5353">
          <cell r="F5353" t="str">
            <v>ICICI Prudential Multiple Yield Fund - Series 5 - 1825 Days - Plan C - Dividend</v>
          </cell>
        </row>
        <row r="5354">
          <cell r="F5354" t="str">
            <v>ICICI Prudential Multiple Yield Fund - Series 6 - 1825 Days - Plan C - Cumulative</v>
          </cell>
        </row>
        <row r="5355">
          <cell r="F5355" t="str">
            <v>ICICI Prudential Multiple Yield Fund - Series 6 - 1825 Days - Plan C - Direct Plan - Cumulative</v>
          </cell>
        </row>
        <row r="5356">
          <cell r="F5356" t="str">
            <v>ICICI Prudential Multiple Yield Fund - Series 6 - 1825 Days - Plan C - Direct Plan - Dividend</v>
          </cell>
        </row>
        <row r="5357">
          <cell r="F5357" t="str">
            <v>ICICI Prudential Multiple Yield Fund - Series 6 - 1825 Days - Plan C -Dividend</v>
          </cell>
        </row>
        <row r="5358">
          <cell r="F5358" t="str">
            <v>ICICI Prudential Multiple Yield Fund - Series 6 - 1825 Days Plan D Cumulative Option</v>
          </cell>
        </row>
        <row r="5359">
          <cell r="F5359" t="str">
            <v>ICICI Prudential Multiple Yield Fund - Series 6 - 1825 Days Plan D Direct Plan Cumulative Option</v>
          </cell>
        </row>
        <row r="5360">
          <cell r="F5360" t="str">
            <v>ICICI Prudential Multiple Yield Fund - Series 6 - 1825 Days Plan D Direct Plan- Dividend Option</v>
          </cell>
        </row>
        <row r="5361">
          <cell r="F5361" t="str">
            <v>ICICI Prudential Multiple Yield Fund - Series 6 - 1825 Days Plan D Dividend Option</v>
          </cell>
        </row>
        <row r="5362">
          <cell r="F5362" t="str">
            <v>ICICI Prudential Multiple Yield Fund - Series 7 - 1338 Days Plan D  Dividend Option</v>
          </cell>
        </row>
        <row r="5363">
          <cell r="F5363" t="str">
            <v>ICICI Prudential Multiple Yield Fund - Series 7 - 1338 Days Plan D Cumulative Option</v>
          </cell>
        </row>
        <row r="5364">
          <cell r="F5364" t="str">
            <v>ICICI Prudential Multiple Yield Fund - Series 7 - 1338 Days Plan D Direct Plan Cumulative Option</v>
          </cell>
        </row>
        <row r="5365">
          <cell r="F5365" t="str">
            <v>ICICI Prudential Multiple Yield Fund - Series 7 - 1338 Days Plan D Direct Plan Dividend Option</v>
          </cell>
        </row>
        <row r="5366">
          <cell r="F5366" t="str">
            <v>ICICI Prudential Multiple Yield Fund - Series 7 - 1825 Days Plan B Cumulative Option</v>
          </cell>
        </row>
        <row r="5367">
          <cell r="F5367" t="str">
            <v>ICICI Prudential Multiple Yield Fund - Series 7 - 1825 Days Plan B Direct Plan Cumulative Option</v>
          </cell>
        </row>
        <row r="5368">
          <cell r="F5368" t="str">
            <v>ICICI Prudential Multiple Yield Fund - Series 7 - 1825 Days Plan B Direct Plan Dividend Option</v>
          </cell>
        </row>
        <row r="5369">
          <cell r="F5369" t="str">
            <v>ICICI Prudential Multiple Yield Fund - Series 7 - 1825 Days Plan B Dividend Option</v>
          </cell>
        </row>
        <row r="5370">
          <cell r="F5370" t="str">
            <v>ICICI Prudential Multiple Yield Fund - Series 7 - 1825 Days Plan C Cumulative Option</v>
          </cell>
        </row>
        <row r="5371">
          <cell r="F5371" t="str">
            <v>ICICI Prudential Multiple Yield Fund - Series 7 - 1825 Days Plan C Direct Plan Cumulative Option</v>
          </cell>
        </row>
        <row r="5372">
          <cell r="F5372" t="str">
            <v>ICICI Prudential Multiple Yield Fund - Series 7 - 1825 Days Plan C Direct Plan Dividend Option</v>
          </cell>
        </row>
        <row r="5373">
          <cell r="F5373" t="str">
            <v>ICICI Prudential Multiple Yield Fund - Series 7 - 1825 Days Plan C Dividend Option</v>
          </cell>
        </row>
        <row r="5374">
          <cell r="F5374" t="str">
            <v>ICICI Prudential Multiple Yield Fund - Series 7 - 1825 Days Plan E Cumulative Option</v>
          </cell>
        </row>
        <row r="5375">
          <cell r="F5375" t="str">
            <v>ICICI Prudential Multiple Yield Fund - Series 7 - 1825 Days Plan E Direct Plan Cumulative Option</v>
          </cell>
        </row>
        <row r="5376">
          <cell r="F5376" t="str">
            <v>ICICI Prudential Multiple Yield Fund - Series 7 - 1825 Days Plan E Direct Plan Dividend Option</v>
          </cell>
        </row>
        <row r="5377">
          <cell r="F5377" t="str">
            <v>ICICI Prudential Multiple Yield Fund - Series 7 - 1825 Days Plan E Dividend Option</v>
          </cell>
        </row>
        <row r="5378">
          <cell r="F5378" t="str">
            <v>ICICI Prudential Multiple Yield Fund - Series 8 - 1103 Days Plan F Cumulative Option</v>
          </cell>
        </row>
        <row r="5379">
          <cell r="F5379" t="str">
            <v>ICICI Prudential Multiple Yield Fund - Series 8 - 1103 Days Plan F Direct Plan Cumulative Option</v>
          </cell>
        </row>
        <row r="5380">
          <cell r="F5380" t="str">
            <v>ICICI Prudential Multiple Yield Fund - Series 8 - 1103 Days Plan F Direct Plan Dividend Option</v>
          </cell>
        </row>
        <row r="5381">
          <cell r="F5381" t="str">
            <v>ICICI Prudential Multiple Yield Fund - Series 8 - 1103 Days Plan F Dividend Option</v>
          </cell>
        </row>
        <row r="5382">
          <cell r="F5382" t="str">
            <v>ICICI Prudential Multiple Yield Fund - Series 8 - 1824 Days Plan A Cumulative Option</v>
          </cell>
        </row>
        <row r="5383">
          <cell r="F5383" t="str">
            <v>ICICI Prudential Multiple Yield Fund - Series 8 - 1824 Days Plan A Direct Plan Cumulative Option</v>
          </cell>
        </row>
        <row r="5384">
          <cell r="F5384" t="str">
            <v>ICICI Prudential Multiple Yield Fund - Series 8 - 1824 Days Plan A Direct Plan Dividend Option</v>
          </cell>
        </row>
        <row r="5385">
          <cell r="F5385" t="str">
            <v>ICICI Prudential Multiple Yield Fund - Series 8 - 1824 Days Plan A Dividend Option</v>
          </cell>
        </row>
        <row r="5386">
          <cell r="F5386" t="str">
            <v>ICICI Prudential Multiple Yield Fund - Series 8 -1822 Days Plan D Cumulative Option</v>
          </cell>
        </row>
        <row r="5387">
          <cell r="F5387" t="str">
            <v>ICICI Prudential Multiple Yield Fund - Series 8 -1822 Days Plan D Direct Plan Cumulative Option</v>
          </cell>
        </row>
        <row r="5388">
          <cell r="F5388" t="str">
            <v>ICICI Prudential Multiple Yield Fund - Series 8 -1822 Days Plan D Direct Plan Dividend Option</v>
          </cell>
        </row>
        <row r="5389">
          <cell r="F5389" t="str">
            <v>ICICI Prudential Multiple Yield Fund - Series 8 -1822 Days Plan D Dividend Option</v>
          </cell>
        </row>
        <row r="5390">
          <cell r="F5390" t="str">
            <v>ICICI Prudential Multiple Yield Fund - Series 9 - 1140 Days Plan A Cumulative Option</v>
          </cell>
        </row>
        <row r="5391">
          <cell r="F5391" t="str">
            <v>ICICI Prudential Multiple Yield Fund - Series 9 - 1140 Days Plan A Direct Plan Cumulative Option</v>
          </cell>
        </row>
        <row r="5392">
          <cell r="F5392" t="str">
            <v>ICICI Prudential Multiple Yield Fund - Series 9 - 1140 Days Plan A Direct Plan Dividend Option</v>
          </cell>
        </row>
        <row r="5393">
          <cell r="F5393" t="str">
            <v>ICICI Prudential Multiple Yield Fund - Series 9 - 1140 Days Plan A Dividend Option</v>
          </cell>
        </row>
        <row r="5394">
          <cell r="F5394" t="str">
            <v>ICICI Prudential Nifty 100 ETF</v>
          </cell>
        </row>
        <row r="5395">
          <cell r="F5395" t="str">
            <v>ICICI Prudential Nifty ETF</v>
          </cell>
        </row>
        <row r="5396">
          <cell r="F5396" t="str">
            <v>ICICI Prudential Nifty Index Fund -  Cumulative Option</v>
          </cell>
        </row>
        <row r="5397">
          <cell r="F5397" t="str">
            <v>ICICI Prudential Nifty Index Fund - Direct Plan Cumulative Option</v>
          </cell>
        </row>
        <row r="5398">
          <cell r="F5398" t="str">
            <v>ICICI Prudential Nifty Index Fund - Direct Plan Dividend Option</v>
          </cell>
        </row>
        <row r="5399">
          <cell r="F5399" t="str">
            <v>ICICI Prudential Nifty Index Fund - Dividend Option</v>
          </cell>
        </row>
        <row r="5400">
          <cell r="F5400" t="str">
            <v>ICICI Prudential Nifty Low Vol 30 ETF</v>
          </cell>
        </row>
        <row r="5401">
          <cell r="F5401" t="str">
            <v>ICICI Prudential Nifty Next 50 Index Fund - Direct Plan -  Dividend</v>
          </cell>
        </row>
        <row r="5402">
          <cell r="F5402" t="str">
            <v>ICICI Prudential Nifty Next 50 Index Fund - Direct Plan -  Growth</v>
          </cell>
        </row>
        <row r="5403">
          <cell r="F5403" t="str">
            <v>ICICI Prudential Nifty Next 50 Index Fund - Growth</v>
          </cell>
        </row>
        <row r="5404">
          <cell r="F5404" t="str">
            <v>ICICI Prudential Nifty Next 50 Index Fund -Dividend</v>
          </cell>
        </row>
        <row r="5405">
          <cell r="F5405" t="str">
            <v>ICICI Prudential NV20 ETF</v>
          </cell>
        </row>
        <row r="5406">
          <cell r="F5406" t="str">
            <v>ICICI Prudential Passive Strategy Fund - Direct Plan -  Dividend</v>
          </cell>
        </row>
        <row r="5407">
          <cell r="F5407" t="str">
            <v>ICICI Prudential Passive Strategy Fund - Direct Plan - Growth</v>
          </cell>
        </row>
        <row r="5408">
          <cell r="F5408" t="str">
            <v>ICICI Prudential Passive Strategy Fund - Dividend</v>
          </cell>
        </row>
        <row r="5409">
          <cell r="F5409" t="str">
            <v>ICICI Prudential Passive Strategy Fund - Growth</v>
          </cell>
        </row>
        <row r="5410">
          <cell r="F5410" t="str">
            <v>ICICI Prudential R.I.G.H.T. Fund Dividend</v>
          </cell>
        </row>
        <row r="5411">
          <cell r="F5411" t="str">
            <v>ICICI Prudential R.I.G.H.T. Fund Growth</v>
          </cell>
        </row>
        <row r="5412">
          <cell r="F5412" t="str">
            <v>ICICI Prudential Regular Gold Savings Fund - Direct Plan -  Dividend</v>
          </cell>
        </row>
        <row r="5413">
          <cell r="F5413" t="str">
            <v>ICICI Prudential Regular Gold Savings Fund - Direct Plan -  Growth</v>
          </cell>
        </row>
        <row r="5414">
          <cell r="F5414" t="str">
            <v>ICICI Prudential Regular Gold Savings Fund - Dividend</v>
          </cell>
        </row>
        <row r="5415">
          <cell r="F5415" t="str">
            <v>ICICI Prudential Regular Gold Savings Fund - Growth</v>
          </cell>
        </row>
        <row r="5416">
          <cell r="F5416" t="str">
            <v>ICICI Prudential Regular Savings Fund - Direct Plan - Bonus</v>
          </cell>
        </row>
        <row r="5417">
          <cell r="F5417" t="str">
            <v>ICICI Prudential Regular Savings Fund - Direct Plan - Growth</v>
          </cell>
        </row>
        <row r="5418">
          <cell r="F5418" t="str">
            <v>ICICI Prudential Regular Savings Fund - Direct Plan - Half Yearly Dividend</v>
          </cell>
        </row>
        <row r="5419">
          <cell r="F5419" t="str">
            <v>ICICI Prudential Regular Savings Fund - Direct Plan - Monthly Dividend</v>
          </cell>
        </row>
        <row r="5420">
          <cell r="F5420" t="str">
            <v>ICICI Prudential Regular Savings Fund - Direct Plan - Quarterly Dividend</v>
          </cell>
        </row>
        <row r="5421">
          <cell r="F5421" t="str">
            <v>ICICI Prudential Regular Savings Fund - Plan - Bonus</v>
          </cell>
        </row>
        <row r="5422">
          <cell r="F5422" t="str">
            <v>ICICI Prudential Regular Savings Fund - Plan - Growth</v>
          </cell>
        </row>
        <row r="5423">
          <cell r="F5423" t="str">
            <v>ICICI Prudential Regular Savings Fund - Plan - Half Yearly Dividend</v>
          </cell>
        </row>
        <row r="5424">
          <cell r="F5424" t="str">
            <v>ICICI Prudential Regular Savings Fund - Plan - Monthly Dividend</v>
          </cell>
        </row>
        <row r="5425">
          <cell r="F5425" t="str">
            <v>ICICI Prudential Regular Savings Fund - Plan - Quarterly Dividend</v>
          </cell>
        </row>
        <row r="5426">
          <cell r="F5426" t="str">
            <v>ICICI Prudential Savings Fund - Bonus</v>
          </cell>
        </row>
        <row r="5427">
          <cell r="F5427" t="str">
            <v>ICICI Prudential Savings Fund - Daily Dividend</v>
          </cell>
        </row>
        <row r="5428">
          <cell r="F5428" t="str">
            <v>ICICI Prudential Savings Fund - Direct Plan - Daily Dividend</v>
          </cell>
        </row>
        <row r="5429">
          <cell r="F5429" t="str">
            <v>ICICI Prudential Savings Fund - Direct Plan - Dividend Others</v>
          </cell>
        </row>
        <row r="5430">
          <cell r="F5430" t="str">
            <v>ICICI Prudential Savings Fund - Direct Plan - Fortnightly Dividend</v>
          </cell>
        </row>
        <row r="5431">
          <cell r="F5431" t="str">
            <v>ICICI Prudential Savings Fund - Direct Plan - Growth</v>
          </cell>
        </row>
        <row r="5432">
          <cell r="F5432" t="str">
            <v>ICICI Prudential Savings Fund - Direct Plan - Monthly Dividend</v>
          </cell>
        </row>
        <row r="5433">
          <cell r="F5433" t="str">
            <v>ICICI Prudential Savings Fund - Direct Plan - Quarterly Dividend</v>
          </cell>
        </row>
        <row r="5434">
          <cell r="F5434" t="str">
            <v>ICICI Prudential Savings Fund - Direct Plan - Weekly Dividend</v>
          </cell>
        </row>
        <row r="5435">
          <cell r="F5435" t="str">
            <v>ICICI Prudential Savings Fund - Dividend Others</v>
          </cell>
        </row>
        <row r="5436">
          <cell r="F5436" t="str">
            <v>ICICI Prudential Savings Fund - Fortnightly Dividend</v>
          </cell>
        </row>
        <row r="5437">
          <cell r="F5437" t="str">
            <v>ICICI Prudential Savings Fund - Growth</v>
          </cell>
        </row>
        <row r="5438">
          <cell r="F5438" t="str">
            <v>ICICI Prudential Savings Fund - Monthly Dividend</v>
          </cell>
        </row>
        <row r="5439">
          <cell r="F5439" t="str">
            <v>ICICI Prudential Savings Fund - Quarterly Dividend</v>
          </cell>
        </row>
        <row r="5440">
          <cell r="F5440" t="str">
            <v>ICICI Prudential Savings Fund - Weekly Dividend</v>
          </cell>
        </row>
        <row r="5441">
          <cell r="F5441" t="str">
            <v>ICICI Prudential Savings Fund Retail Daily Dividend</v>
          </cell>
        </row>
        <row r="5442">
          <cell r="F5442" t="str">
            <v>ICICI Prudential Savings Fund Retail Growth</v>
          </cell>
        </row>
        <row r="5443">
          <cell r="F5443" t="str">
            <v>ICICI Prudential Savings Fund Retail Weekly Dividend</v>
          </cell>
        </row>
        <row r="5444">
          <cell r="F5444" t="str">
            <v>ICICI Prudential Sensex ETF</v>
          </cell>
        </row>
        <row r="5445">
          <cell r="F5445" t="str">
            <v>ICICI Prudential Sensex Index Fund - Cumulative Option</v>
          </cell>
        </row>
        <row r="5446">
          <cell r="F5446" t="str">
            <v>ICICI Prudential Sensex Index Fund - Direct Plan - Cumulative Option</v>
          </cell>
        </row>
        <row r="5447">
          <cell r="F5447" t="str">
            <v>ICICI Prudential Sensex Index Fund - Direct Plan - Dividend Option</v>
          </cell>
        </row>
        <row r="5448">
          <cell r="F5448" t="str">
            <v>ICICI Prudential Sensex Index Fund - Dividend Option</v>
          </cell>
        </row>
        <row r="5449">
          <cell r="F5449" t="str">
            <v>ICICI Prudential Short Term Fund - Bonus</v>
          </cell>
        </row>
        <row r="5450">
          <cell r="F5450" t="str">
            <v>ICICI Prudential Short Term Fund - Direct Plan - Bonus</v>
          </cell>
        </row>
        <row r="5451">
          <cell r="F5451" t="str">
            <v>ICICI Prudential Short Term Fund - Direct Plan - Dividend Reinvestment Fortnightly</v>
          </cell>
        </row>
        <row r="5452">
          <cell r="F5452" t="str">
            <v>ICICI Prudential Short Term Fund - Direct Plan - Growth Option</v>
          </cell>
        </row>
        <row r="5453">
          <cell r="F5453" t="str">
            <v>ICICI Prudential Short Term Fund - Direct Plan - Half Yearly Dividend</v>
          </cell>
        </row>
        <row r="5454">
          <cell r="F5454" t="str">
            <v>ICICI Prudential Short Term Fund - Direct Plan - Monthly Dividend</v>
          </cell>
        </row>
        <row r="5455">
          <cell r="F5455" t="str">
            <v>ICICI Prudential Short Term Fund - Growth Option</v>
          </cell>
        </row>
        <row r="5456">
          <cell r="F5456" t="str">
            <v>ICICI Prudential Short Term Fund - Half Yearly Dividend</v>
          </cell>
        </row>
        <row r="5457">
          <cell r="F5457" t="str">
            <v>ICICI Prudential Short Term Fund - Institutional Plan - Dividend Monthly</v>
          </cell>
        </row>
        <row r="5458">
          <cell r="F5458" t="str">
            <v>ICICI Prudential Short Term Fund - Monthly Dividend</v>
          </cell>
        </row>
        <row r="5459">
          <cell r="F5459" t="str">
            <v>ICICI Prudential Short Term Fund -Dividend Reinvestment Fortnightly</v>
          </cell>
        </row>
        <row r="5460">
          <cell r="F5460" t="str">
            <v>ICICI Prudential Short Term Fund-Institutional Growth</v>
          </cell>
        </row>
        <row r="5461">
          <cell r="F5461" t="str">
            <v>ICICI Prudential Short Term Fund-Institutional Plan-Dividend Fortnightly</v>
          </cell>
        </row>
        <row r="5462">
          <cell r="F5462" t="str">
            <v>ICICI Prudential Short Term Gilt Fund - Direct Plan -  Dividend</v>
          </cell>
        </row>
        <row r="5463">
          <cell r="F5463" t="str">
            <v>ICICI Prudential Short Term Gilt Fund - Direct Plan -  Growth</v>
          </cell>
        </row>
        <row r="5464">
          <cell r="F5464" t="str">
            <v>ICICI Prudential Short Term Gilt Fund - Direct Plan Bonus</v>
          </cell>
        </row>
        <row r="5465">
          <cell r="F5465" t="str">
            <v>ICICI Prudential Short Term Gilt Fund - Dividend</v>
          </cell>
        </row>
        <row r="5466">
          <cell r="F5466" t="str">
            <v>ICICI Prudential Short Term Gilt Fund - Growth</v>
          </cell>
        </row>
        <row r="5467">
          <cell r="F5467" t="str">
            <v>ICICI Prudential Short Term Gilt Fund - Half Yearly Dividend</v>
          </cell>
        </row>
        <row r="5468">
          <cell r="F5468" t="str">
            <v>ICICI Prudential Smallcap Fund - Direct Plan - Dividend</v>
          </cell>
        </row>
        <row r="5469">
          <cell r="F5469" t="str">
            <v>ICICI Prudential Smallcap Fund - Direct Plan - Growth</v>
          </cell>
        </row>
        <row r="5470">
          <cell r="F5470" t="str">
            <v>ICICI Prudential Smallcap Fund - Dividend</v>
          </cell>
        </row>
        <row r="5471">
          <cell r="F5471" t="str">
            <v>ICICI Prudential Smallcap Fund - Growth</v>
          </cell>
        </row>
        <row r="5472">
          <cell r="F5472" t="str">
            <v>ICICI Prudential Smallcap Fund - Institutional Growth</v>
          </cell>
        </row>
        <row r="5473">
          <cell r="F5473" t="str">
            <v>ICICI Prudential Technology Fund - Direct Plan -  Dividend</v>
          </cell>
        </row>
        <row r="5474">
          <cell r="F5474" t="str">
            <v>ICICI Prudential Technology Fund - Direct Plan -  Growth</v>
          </cell>
        </row>
        <row r="5475">
          <cell r="F5475" t="str">
            <v>ICICI Prudential Technology Fund - Dividend</v>
          </cell>
        </row>
        <row r="5476">
          <cell r="F5476" t="str">
            <v>ICICI Prudential Technology Fund - Growth</v>
          </cell>
        </row>
        <row r="5477">
          <cell r="F5477" t="str">
            <v>ICICI Prudential Thematic Advantage Fund - Direct Plan - Growth</v>
          </cell>
        </row>
        <row r="5478">
          <cell r="F5478" t="str">
            <v>ICICI Prudential Thematic Advantage Fund - Dividend</v>
          </cell>
        </row>
        <row r="5479">
          <cell r="F5479" t="str">
            <v>ICICI Prudential Thematic Advantage Fund - Growth</v>
          </cell>
        </row>
        <row r="5480">
          <cell r="F5480" t="str">
            <v>ICICI Prudential Ultra Short Term Fund - Direct Plan -  Growth</v>
          </cell>
        </row>
        <row r="5481">
          <cell r="F5481" t="str">
            <v>ICICI Prudential Ultra Short Term Fund - Direct Plan -  Half Yearly Dividend</v>
          </cell>
        </row>
        <row r="5482">
          <cell r="F5482" t="str">
            <v>ICICI Prudential Ultra Short Term Fund - Direct Plan -  Monthly Dividend</v>
          </cell>
        </row>
        <row r="5483">
          <cell r="F5483" t="str">
            <v>ICICI Prudential Ultra Short Term Fund - Direct Plan -  Quarterly Dividend</v>
          </cell>
        </row>
        <row r="5484">
          <cell r="F5484" t="str">
            <v>ICICI Prudential Ultra Short Term Fund - Direct Plan Bonus</v>
          </cell>
        </row>
        <row r="5485">
          <cell r="F5485" t="str">
            <v>ICICI Prudential Ultra Short Term Fund - Growth</v>
          </cell>
        </row>
        <row r="5486">
          <cell r="F5486" t="str">
            <v>ICICI Prudential Ultra Short Term Fund - Half Yearly Dividend</v>
          </cell>
        </row>
        <row r="5487">
          <cell r="F5487" t="str">
            <v>ICICI Prudential Ultra Short Term Fund - Monthly Dividend</v>
          </cell>
        </row>
        <row r="5488">
          <cell r="F5488" t="str">
            <v>ICICI Prudential Ultra Short Term Fund - Quarterly Dividend</v>
          </cell>
        </row>
        <row r="5489">
          <cell r="F5489" t="str">
            <v>ICICI Prudential US Bluechip Equity Fund - Direct Plan -  Dividend</v>
          </cell>
        </row>
        <row r="5490">
          <cell r="F5490" t="str">
            <v>ICICI Prudential US Bluechip Equity Fund - Direct Plan -  Growth</v>
          </cell>
        </row>
        <row r="5491">
          <cell r="F5491" t="str">
            <v>ICICI Prudential US Bluechip Equity Fund - Dividend</v>
          </cell>
        </row>
        <row r="5492">
          <cell r="F5492" t="str">
            <v>ICICI Prudential US Bluechip Equity Fund - Growth</v>
          </cell>
        </row>
        <row r="5493">
          <cell r="F5493" t="str">
            <v>ICICI Prudential Value Discovery Fund - Direct Plan - Dividend</v>
          </cell>
        </row>
        <row r="5494">
          <cell r="F5494" t="str">
            <v>ICICI Prudential Value Discovery Fund - Direct Plan - Growth</v>
          </cell>
        </row>
        <row r="5495">
          <cell r="F5495" t="str">
            <v>ICICI Prudential Value Discovery Fund - Dividend</v>
          </cell>
        </row>
        <row r="5496">
          <cell r="F5496" t="str">
            <v>ICICI Prudential Value Discovery Fund - Growth</v>
          </cell>
        </row>
        <row r="5497">
          <cell r="F5497" t="str">
            <v>ICICI Prudential Value Fund - Series 1 - Direct Dividend</v>
          </cell>
        </row>
        <row r="5498">
          <cell r="F5498" t="str">
            <v>ICICI Prudential Value Fund - Series 1 -Dividend</v>
          </cell>
        </row>
        <row r="5499">
          <cell r="F5499" t="str">
            <v>ICICI Prudential Value Fund - Series 10 - Cumulative Option</v>
          </cell>
        </row>
        <row r="5500">
          <cell r="F5500" t="str">
            <v>ICICI Prudential Value Fund - Series 10 - Direct Plan - Cumulative Option</v>
          </cell>
        </row>
        <row r="5501">
          <cell r="F5501" t="str">
            <v>ICICI Prudential Value Fund - Series 10 - Direct Plan - Dividend Option</v>
          </cell>
        </row>
        <row r="5502">
          <cell r="F5502" t="str">
            <v>ICICI Prudential Value Fund - Series 10 - Dividend Option</v>
          </cell>
        </row>
        <row r="5503">
          <cell r="F5503" t="str">
            <v>ICICI Prudential Value Fund - Series 11 - Cumulative Option</v>
          </cell>
        </row>
        <row r="5504">
          <cell r="F5504" t="str">
            <v>ICICI Prudential Value Fund - Series 11 - Direct Plan - Cumulative Option</v>
          </cell>
        </row>
        <row r="5505">
          <cell r="F5505" t="str">
            <v>ICICI Prudential Value Fund - Series 11 - Direct Plan - Dividend Option</v>
          </cell>
        </row>
        <row r="5506">
          <cell r="F5506" t="str">
            <v>ICICI Prudential Value Fund - Series 11 - Dividend Option</v>
          </cell>
        </row>
        <row r="5507">
          <cell r="F5507" t="str">
            <v>ICICI Prudential Value Fund - Series 12 - Direct Plan - Dividend Option</v>
          </cell>
        </row>
        <row r="5508">
          <cell r="F5508" t="str">
            <v>ICICI Prudential Value Fund - Series 12 - Dividend Option</v>
          </cell>
        </row>
        <row r="5509">
          <cell r="F5509" t="str">
            <v>ICICI Prudential Value Fund - Series 13 - Direct Plan - Dividend Option</v>
          </cell>
        </row>
        <row r="5510">
          <cell r="F5510" t="str">
            <v>ICICI Prudential Value Fund - Series 13 - Dividend Option</v>
          </cell>
        </row>
        <row r="5511">
          <cell r="F5511" t="str">
            <v>ICICI Prudential Value Fund - Series 14 - Cumulative Option</v>
          </cell>
        </row>
        <row r="5512">
          <cell r="F5512" t="str">
            <v>ICICI Prudential Value Fund - Series 14 - Direct Plan - Cumulative Option</v>
          </cell>
        </row>
        <row r="5513">
          <cell r="F5513" t="str">
            <v>ICICI Prudential Value Fund - Series 14 - Direct Plan - Dividend Option</v>
          </cell>
        </row>
        <row r="5514">
          <cell r="F5514" t="str">
            <v>ICICI Prudential Value Fund - Series 14 - Dividend Option</v>
          </cell>
        </row>
        <row r="5515">
          <cell r="F5515" t="str">
            <v>ICICI Prudential Value Fund - Series 15 - Cumulative Option</v>
          </cell>
        </row>
        <row r="5516">
          <cell r="F5516" t="str">
            <v>ICICI Prudential Value Fund - Series 15 - Direct Plan - Cumulative Option</v>
          </cell>
        </row>
        <row r="5517">
          <cell r="F5517" t="str">
            <v>ICICI Prudential Value Fund - Series 15 - Direct Plan - Dividend Option</v>
          </cell>
        </row>
        <row r="5518">
          <cell r="F5518" t="str">
            <v>ICICI Prudential Value Fund - Series 15 - Dividend Option</v>
          </cell>
        </row>
        <row r="5519">
          <cell r="F5519" t="str">
            <v>ICICI Prudential Value Fund - Series 16 - Cumulative Option</v>
          </cell>
        </row>
        <row r="5520">
          <cell r="F5520" t="str">
            <v>ICICI Prudential Value Fund - Series 16 - Direct Plan - Cumulative Option</v>
          </cell>
        </row>
        <row r="5521">
          <cell r="F5521" t="str">
            <v>ICICI Prudential Value Fund - Series 16 - Direct Plan - Dividend Option</v>
          </cell>
        </row>
        <row r="5522">
          <cell r="F5522" t="str">
            <v>ICICI Prudential Value Fund - Series 16 - Dividend Option</v>
          </cell>
        </row>
        <row r="5523">
          <cell r="F5523" t="str">
            <v>ICICI Prudential Value Fund - Series 17 - Cumulative Option</v>
          </cell>
        </row>
        <row r="5524">
          <cell r="F5524" t="str">
            <v>ICICI Prudential Value Fund - Series 17 - Direct Plan - Cumulative Option</v>
          </cell>
        </row>
        <row r="5525">
          <cell r="F5525" t="str">
            <v>ICICI Prudential Value Fund - Series 17 - Direct Plan - Dividend Option</v>
          </cell>
        </row>
        <row r="5526">
          <cell r="F5526" t="str">
            <v>ICICI Prudential Value Fund - Series 17 - Dividend Option</v>
          </cell>
        </row>
        <row r="5527">
          <cell r="F5527" t="str">
            <v>ICICI Prudential Value Fund - Series 18 - Cumulative Option</v>
          </cell>
        </row>
        <row r="5528">
          <cell r="F5528" t="str">
            <v>ICICI Prudential Value Fund - Series 18 - Direct Plan - Cumulative Option</v>
          </cell>
        </row>
        <row r="5529">
          <cell r="F5529" t="str">
            <v>ICICI Prudential Value Fund - Series 18 - Direct Plan - Dividend Option</v>
          </cell>
        </row>
        <row r="5530">
          <cell r="F5530" t="str">
            <v>ICICI Prudential Value Fund - Series 18 - Dividend Option</v>
          </cell>
        </row>
        <row r="5531">
          <cell r="F5531" t="str">
            <v>ICICI Prudential Value Fund - Series 19 - Cumulative Option</v>
          </cell>
        </row>
        <row r="5532">
          <cell r="F5532" t="str">
            <v>ICICI Prudential Value Fund - Series 19 - Direct Plan - Cumulative Option</v>
          </cell>
        </row>
        <row r="5533">
          <cell r="F5533" t="str">
            <v>ICICI Prudential Value Fund - Series 19 - Direct Plan - Dividend Option</v>
          </cell>
        </row>
        <row r="5534">
          <cell r="F5534" t="str">
            <v>ICICI Prudential Value Fund - Series 19 - Dividend Option</v>
          </cell>
        </row>
        <row r="5535">
          <cell r="F5535" t="str">
            <v>ICICI Prudential Value Fund - Series 2 - Direct Dividend</v>
          </cell>
        </row>
        <row r="5536">
          <cell r="F5536" t="str">
            <v>ICICI Prudential Value Fund - Series 2 - Dividend</v>
          </cell>
        </row>
        <row r="5537">
          <cell r="F5537" t="str">
            <v>ICICI Prudential Value Fund - Series 3 - Direct Dividend</v>
          </cell>
        </row>
        <row r="5538">
          <cell r="F5538" t="str">
            <v>ICICI Prudential Value Fund - Series 3 - Dividend</v>
          </cell>
        </row>
        <row r="5539">
          <cell r="F5539" t="str">
            <v>ICICI Prudential Value Fund - Series 4  Dividend</v>
          </cell>
        </row>
        <row r="5540">
          <cell r="F5540" t="str">
            <v>ICICI Prudential Value Fund - Series 4 Cumulative Option</v>
          </cell>
        </row>
        <row r="5541">
          <cell r="F5541" t="str">
            <v>ICICI Prudential Value Fund - Series 4 Direct Plan Cumulative Option</v>
          </cell>
        </row>
        <row r="5542">
          <cell r="F5542" t="str">
            <v>ICICI Prudential Value Fund - Series 4 Direct Plan Dividend</v>
          </cell>
        </row>
        <row r="5543">
          <cell r="F5543" t="str">
            <v>ICICI Prudential Value Fund - Series 5  Cumulative Option</v>
          </cell>
        </row>
        <row r="5544">
          <cell r="F5544" t="str">
            <v>ICICI Prudential Value Fund - Series 5 Direct Plan Cumulative Option</v>
          </cell>
        </row>
        <row r="5545">
          <cell r="F5545" t="str">
            <v>ICICI Prudential Value Fund - Series 5 Direct Plan Dividend Option</v>
          </cell>
        </row>
        <row r="5546">
          <cell r="F5546" t="str">
            <v>ICICI Prudential Value Fund - Series 5 Dividend Option</v>
          </cell>
        </row>
        <row r="5547">
          <cell r="F5547" t="str">
            <v>ICICI Prudential Value Fund - Series 6  Cumulative Option</v>
          </cell>
        </row>
        <row r="5548">
          <cell r="F5548" t="str">
            <v>ICICI Prudential Value Fund - Series 6  Dividend Option</v>
          </cell>
        </row>
        <row r="5549">
          <cell r="F5549" t="str">
            <v>ICICI Prudential Value Fund - Series 6 Direct Plan Cumulative Option</v>
          </cell>
        </row>
        <row r="5550">
          <cell r="F5550" t="str">
            <v>ICICI Prudential Value Fund - Series 6 Direct Plan Dividend Option</v>
          </cell>
        </row>
        <row r="5551">
          <cell r="F5551" t="str">
            <v>ICICI Prudential Value Fund - Series 7 Direct Plan Dividend Option</v>
          </cell>
        </row>
        <row r="5552">
          <cell r="F5552" t="str">
            <v>ICICI Prudential Value Fund - Series 7 Dividend Option</v>
          </cell>
        </row>
        <row r="5553">
          <cell r="F5553" t="str">
            <v>ICICI Prudential Value Fund - Series 8 Direct Plan Dividend Option</v>
          </cell>
        </row>
        <row r="5554">
          <cell r="F5554" t="str">
            <v>ICICI Prudential Value Fund - Series 8 Dividend Option</v>
          </cell>
        </row>
        <row r="5555">
          <cell r="F5555" t="str">
            <v>ICICI Prudential Value Fund - Series 9 - Cumulative Option</v>
          </cell>
        </row>
        <row r="5556">
          <cell r="F5556" t="str">
            <v>ICICI Prudential Value Fund - Series 9 - Direct Plan - Cumulative Option</v>
          </cell>
        </row>
        <row r="5557">
          <cell r="F5557" t="str">
            <v>ICICI Prudential Value Fund - Series 9 - Direct Plan - Dividend Option</v>
          </cell>
        </row>
        <row r="5558">
          <cell r="F5558" t="str">
            <v>ICICI Prudential Value Fund - Series 9 - Dividend Option</v>
          </cell>
        </row>
        <row r="5559">
          <cell r="F5559" t="str">
            <v>ICICIGI</v>
          </cell>
        </row>
        <row r="5560">
          <cell r="F5560" t="str">
            <v>ICICIPRULI</v>
          </cell>
        </row>
        <row r="5561">
          <cell r="F5561" t="str">
            <v>ICIL</v>
          </cell>
        </row>
        <row r="5562">
          <cell r="F5562" t="str">
            <v>ICRA</v>
          </cell>
        </row>
        <row r="5563">
          <cell r="F5563" t="str">
            <v>ICSA</v>
          </cell>
        </row>
        <row r="5564">
          <cell r="F5564" t="str">
            <v>ICSL</v>
          </cell>
        </row>
        <row r="5565">
          <cell r="F5565" t="str">
            <v>IDBI</v>
          </cell>
        </row>
        <row r="5566">
          <cell r="F5566" t="str">
            <v>IDBI Credit Risk Fund Annual Dividend - Direct Plan</v>
          </cell>
        </row>
        <row r="5567">
          <cell r="F5567" t="str">
            <v>IDBI Credit Risk Fund Annual Dividend - Regular Plan</v>
          </cell>
        </row>
        <row r="5568">
          <cell r="F5568" t="str">
            <v>IDBI Credit Risk Fund Growth Direct</v>
          </cell>
        </row>
        <row r="5569">
          <cell r="F5569" t="str">
            <v>IDBI Credit Risk Fund Growth Regular</v>
          </cell>
        </row>
        <row r="5570">
          <cell r="F5570" t="str">
            <v>IDBI Credit Risk Fund Quarterly Dividend - Direct Plan</v>
          </cell>
        </row>
        <row r="5571">
          <cell r="F5571" t="str">
            <v>IDBI Credit Risk Fund Quarterly Dividend - Regular Plan</v>
          </cell>
        </row>
        <row r="5572">
          <cell r="F5572" t="str">
            <v>IDBI DIVERSIFIED EQUITY FUND Dividend - Direct Plan</v>
          </cell>
        </row>
        <row r="5573">
          <cell r="F5573" t="str">
            <v>IDBI DIVERSIFIED EQUITY FUND Dividend - Regular Plan</v>
          </cell>
        </row>
        <row r="5574">
          <cell r="F5574" t="str">
            <v>IDBI DIVERSIFIED EQUITY FUND Growth Direct</v>
          </cell>
        </row>
        <row r="5575">
          <cell r="F5575" t="str">
            <v>IDBI DIVERSIFIED EQUITY FUND Growth Regular</v>
          </cell>
        </row>
        <row r="5576">
          <cell r="F5576" t="str">
            <v>IDBI Dynamic Bond Fund Annual Dividend Direct</v>
          </cell>
        </row>
        <row r="5577">
          <cell r="F5577" t="str">
            <v>IDBI Dynamic Bond Fund Annual Dividend Regular</v>
          </cell>
        </row>
        <row r="5578">
          <cell r="F5578" t="str">
            <v>IDBI Dynamic Bond Fund Growth</v>
          </cell>
        </row>
        <row r="5579">
          <cell r="F5579" t="str">
            <v>IDBI Dynamic Bond Fund Growth Direct</v>
          </cell>
        </row>
        <row r="5580">
          <cell r="F5580" t="str">
            <v>IDBI Dynamic Bond Fund Quarterly Dividend Direct</v>
          </cell>
        </row>
        <row r="5581">
          <cell r="F5581" t="str">
            <v>IDBI Dynamic Bond Fund Quarterly Dividend Regular</v>
          </cell>
        </row>
        <row r="5582">
          <cell r="F5582" t="str">
            <v>IDBI Equity Advantage Fund - Dividend Direct</v>
          </cell>
        </row>
        <row r="5583">
          <cell r="F5583" t="str">
            <v>IDBI Equity Advantage Fund - Dividend Regular</v>
          </cell>
        </row>
        <row r="5584">
          <cell r="F5584" t="str">
            <v>IDBI Equity Advantage Fund - Growth Direct</v>
          </cell>
        </row>
        <row r="5585">
          <cell r="F5585" t="str">
            <v>IDBI Equity Advantage Fund - Growth Regular</v>
          </cell>
        </row>
        <row r="5586">
          <cell r="F5586" t="str">
            <v>IDBI Equity Savings Fund Dividend Option</v>
          </cell>
        </row>
        <row r="5587">
          <cell r="F5587" t="str">
            <v>IDBI Equity Savings Fund Dividend Option Direct</v>
          </cell>
        </row>
        <row r="5588">
          <cell r="F5588" t="str">
            <v>IDBI Equity Savings Fund Growth Option</v>
          </cell>
        </row>
        <row r="5589">
          <cell r="F5589" t="str">
            <v>IDBI Equity Savings Fund Growth Option Direct</v>
          </cell>
        </row>
        <row r="5590">
          <cell r="F5590" t="str">
            <v>IDBI Equity Savings Fund Quarterly Dividend Option</v>
          </cell>
        </row>
        <row r="5591">
          <cell r="F5591" t="str">
            <v>IDBI FOCUSED 30 EQUITY FUND - Dividend Regular</v>
          </cell>
        </row>
        <row r="5592">
          <cell r="F5592" t="str">
            <v>IDBI FOCUSED 30 EQUITY FUND - Growth Direct</v>
          </cell>
        </row>
        <row r="5593">
          <cell r="F5593" t="str">
            <v>IDBI FOCUSED 30 EQUITY FUND - Growth Regular</v>
          </cell>
        </row>
        <row r="5594">
          <cell r="F5594" t="str">
            <v>IDBI FOCUSED 30 EQUITY FUND -Dividend Direct</v>
          </cell>
        </row>
        <row r="5595">
          <cell r="F5595" t="str">
            <v>IDBI Gilt Fund Annual Dividend</v>
          </cell>
        </row>
        <row r="5596">
          <cell r="F5596" t="str">
            <v>IDBI Gilt Fund Annual Dividend Direct</v>
          </cell>
        </row>
        <row r="5597">
          <cell r="F5597" t="str">
            <v>IDBI Gilt Fund Growth</v>
          </cell>
        </row>
        <row r="5598">
          <cell r="F5598" t="str">
            <v>IDBI Gilt Fund Growth Direct</v>
          </cell>
        </row>
        <row r="5599">
          <cell r="F5599" t="str">
            <v>IDBI Gilt Fund Quarterly Dividend</v>
          </cell>
        </row>
        <row r="5600">
          <cell r="F5600" t="str">
            <v>IDBI Gilt Fund Quarterly Dividend Direct</v>
          </cell>
        </row>
        <row r="5601">
          <cell r="F5601" t="str">
            <v>IDBI Gold Exchange Traded Fund</v>
          </cell>
        </row>
        <row r="5602">
          <cell r="F5602" t="str">
            <v>IDBI GOLD FUND</v>
          </cell>
        </row>
        <row r="5603">
          <cell r="F5603" t="str">
            <v>IDBI GOLD FUND Direct</v>
          </cell>
        </row>
        <row r="5604">
          <cell r="F5604" t="str">
            <v>IDBI Hybrid Equity Fund Dividend Direct</v>
          </cell>
        </row>
        <row r="5605">
          <cell r="F5605" t="str">
            <v>IDBI Hybrid Equity Fund Dividend Regular</v>
          </cell>
        </row>
        <row r="5606">
          <cell r="F5606" t="str">
            <v>IDBI Hybrid Equity Fund Growth Direct</v>
          </cell>
        </row>
        <row r="5607">
          <cell r="F5607" t="str">
            <v>IDBI Hybrid Equity Fund Growth Regular</v>
          </cell>
        </row>
        <row r="5608">
          <cell r="F5608" t="str">
            <v>IDBI India Top 100 Equity Fund Dividend</v>
          </cell>
        </row>
        <row r="5609">
          <cell r="F5609" t="str">
            <v>IDBI India Top 100 Equity Fund Dividend Direct</v>
          </cell>
        </row>
        <row r="5610">
          <cell r="F5610" t="str">
            <v>IDBI India Top 100 Equity Fund Growth</v>
          </cell>
        </row>
        <row r="5611">
          <cell r="F5611" t="str">
            <v>IDBI India Top 100 Equity Fund Growth Direct</v>
          </cell>
        </row>
        <row r="5612">
          <cell r="F5612" t="str">
            <v>IDBI Liquid Fund Bonus Direct</v>
          </cell>
        </row>
        <row r="5613">
          <cell r="F5613" t="str">
            <v>IDBI Liquid Fund Bonus Regular</v>
          </cell>
        </row>
        <row r="5614">
          <cell r="F5614" t="str">
            <v>IDBI Liquid Fund Growth Direct</v>
          </cell>
        </row>
        <row r="5615">
          <cell r="F5615" t="str">
            <v>IDBI Liquid Fund- Monthly Dividend</v>
          </cell>
        </row>
        <row r="5616">
          <cell r="F5616" t="str">
            <v>IDBI Liquid Fund- Monthly Dividend Direct</v>
          </cell>
        </row>
        <row r="5617">
          <cell r="F5617" t="str">
            <v>IDBI Liquid Fund-Daily Dividend</v>
          </cell>
        </row>
        <row r="5618">
          <cell r="F5618" t="str">
            <v>IDBI Liquid Fund-Daily Dividend Direct</v>
          </cell>
        </row>
        <row r="5619">
          <cell r="F5619" t="str">
            <v>IDBI Liquid Fund-Growth</v>
          </cell>
        </row>
        <row r="5620">
          <cell r="F5620" t="str">
            <v>IDBI Liquid Fund-Weekly Dividend</v>
          </cell>
        </row>
        <row r="5621">
          <cell r="F5621" t="str">
            <v>IDBI Liquid Fund-Weekly Dividend Direct</v>
          </cell>
        </row>
        <row r="5622">
          <cell r="F5622" t="str">
            <v>IDBI Midcap Fund Dividend Direct</v>
          </cell>
        </row>
        <row r="5623">
          <cell r="F5623" t="str">
            <v>IDBI Midcap Fund Dividend Regular</v>
          </cell>
        </row>
        <row r="5624">
          <cell r="F5624" t="str">
            <v>IDBI Midcap Fund Growth Direct</v>
          </cell>
        </row>
        <row r="5625">
          <cell r="F5625" t="str">
            <v>IDBI Midcap Fund Growth Regular</v>
          </cell>
        </row>
        <row r="5626">
          <cell r="F5626" t="str">
            <v>IDBI Nifty Index Fund Dividend</v>
          </cell>
        </row>
        <row r="5627">
          <cell r="F5627" t="str">
            <v>IDBI Nifty Index Fund Dividend Direct</v>
          </cell>
        </row>
        <row r="5628">
          <cell r="F5628" t="str">
            <v>IDBI NIFTY Index Fund Growth</v>
          </cell>
        </row>
        <row r="5629">
          <cell r="F5629" t="str">
            <v>IDBI NIFTY Index Fund Growth Direct</v>
          </cell>
        </row>
        <row r="5630">
          <cell r="F5630" t="str">
            <v>IDBI Nifty Junior Index Fund Dividend</v>
          </cell>
        </row>
        <row r="5631">
          <cell r="F5631" t="str">
            <v>IDBI Nifty Junior Index Fund Dividend Direct</v>
          </cell>
        </row>
        <row r="5632">
          <cell r="F5632" t="str">
            <v>IDBI Nifty Junior Index Fund Growth</v>
          </cell>
        </row>
        <row r="5633">
          <cell r="F5633" t="str">
            <v>IDBI Nifty Junior Index Fund Growth Direct</v>
          </cell>
        </row>
        <row r="5634">
          <cell r="F5634" t="str">
            <v>IDBI Short Term Bond Fund Growth</v>
          </cell>
        </row>
        <row r="5635">
          <cell r="F5635" t="str">
            <v>IDBI Short Term Bond Fund Growth Direct</v>
          </cell>
        </row>
        <row r="5636">
          <cell r="F5636" t="str">
            <v>IDBI Short Term Bond Fund Monthly Dividend</v>
          </cell>
        </row>
        <row r="5637">
          <cell r="F5637" t="str">
            <v>IDBI Short Term Bond Fund Monthly Dividend Direct</v>
          </cell>
        </row>
        <row r="5638">
          <cell r="F5638" t="str">
            <v>IDBI Short Term Bond Fund Weekly Dividend</v>
          </cell>
        </row>
        <row r="5639">
          <cell r="F5639" t="str">
            <v>IDBI Short Term Bond Fund Weekly Dividend Direct</v>
          </cell>
        </row>
        <row r="5640">
          <cell r="F5640" t="str">
            <v>IDBI Small Cap Fund - Dividend Regular</v>
          </cell>
        </row>
        <row r="5641">
          <cell r="F5641" t="str">
            <v>IDBI Small Cap Fund - Growth Direct</v>
          </cell>
        </row>
        <row r="5642">
          <cell r="F5642" t="str">
            <v>IDBI Small Cap Fund Dividend Direct</v>
          </cell>
        </row>
        <row r="5643">
          <cell r="F5643" t="str">
            <v>IDBI Small Cap Fund Growth Regular</v>
          </cell>
        </row>
        <row r="5644">
          <cell r="F5644" t="str">
            <v>IDBI UST Bonus Direct</v>
          </cell>
        </row>
        <row r="5645">
          <cell r="F5645" t="str">
            <v>IDBI UST Bonus Regular</v>
          </cell>
        </row>
        <row r="5646">
          <cell r="F5646" t="str">
            <v>IDBI UST Daily Dividend</v>
          </cell>
        </row>
        <row r="5647">
          <cell r="F5647" t="str">
            <v>IDBI UST Daily Dividend Direct</v>
          </cell>
        </row>
        <row r="5648">
          <cell r="F5648" t="str">
            <v>IDBI UST Growth</v>
          </cell>
        </row>
        <row r="5649">
          <cell r="F5649" t="str">
            <v>IDBI UST Growth Direct</v>
          </cell>
        </row>
        <row r="5650">
          <cell r="F5650" t="str">
            <v>IDBI UST Monthly Dividend</v>
          </cell>
        </row>
        <row r="5651">
          <cell r="F5651" t="str">
            <v>IDBI UST Monthly Dividend Direct</v>
          </cell>
        </row>
        <row r="5652">
          <cell r="F5652" t="str">
            <v>IDBI UST Weekly Dividend</v>
          </cell>
        </row>
        <row r="5653">
          <cell r="F5653" t="str">
            <v>IDBI UST Weekly Dividend Direct</v>
          </cell>
        </row>
        <row r="5654">
          <cell r="F5654" t="str">
            <v>IDBIGOLD</v>
          </cell>
        </row>
        <row r="5655">
          <cell r="F5655" t="str">
            <v>IDEA CELL</v>
          </cell>
        </row>
        <row r="5656">
          <cell r="F5656" t="str">
            <v>IDFC</v>
          </cell>
        </row>
        <row r="5657">
          <cell r="F5657" t="str">
            <v>IDFC   All Seasons Bond Fund-Direct Plan-Daily Dividend</v>
          </cell>
        </row>
        <row r="5658">
          <cell r="F5658" t="str">
            <v>IDFC   All Seasons Bond Fund-Direct Plan-Fortnightly Dividend</v>
          </cell>
        </row>
        <row r="5659">
          <cell r="F5659" t="str">
            <v>IDFC   All Seasons Bond Fund-Direct Plan-Growth</v>
          </cell>
        </row>
        <row r="5660">
          <cell r="F5660" t="str">
            <v>IDFC   All Seasons Bond Fund-Direct Plan-Quarterly Dividend</v>
          </cell>
        </row>
        <row r="5661">
          <cell r="F5661" t="str">
            <v>IDFC   All Seasons Bond Fund-Regular Plan-Annual Dividend</v>
          </cell>
        </row>
        <row r="5662">
          <cell r="F5662" t="str">
            <v>IDFC   All Seasons Bond Fund-Regular Plan-Daily Dividend</v>
          </cell>
        </row>
        <row r="5663">
          <cell r="F5663" t="str">
            <v>IDFC   All Seasons Bond Fund-Regular Plan-Fortnightly Dividend</v>
          </cell>
        </row>
        <row r="5664">
          <cell r="F5664" t="str">
            <v>IDFC   All Seasons Bond Fund-Regular Plan-Growth</v>
          </cell>
        </row>
        <row r="5665">
          <cell r="F5665" t="str">
            <v>IDFC   All Seasons Bond Fund-Regular Plan-Half Yearly Dividend</v>
          </cell>
        </row>
        <row r="5666">
          <cell r="F5666" t="str">
            <v>IDFC   All Seasons Bond Fund-Regular Plan-Quarterly Dividend</v>
          </cell>
        </row>
        <row r="5667">
          <cell r="F5667" t="str">
            <v>IDFC   All Seasons Bond Fund-Regular Plan-Weekly Dividend</v>
          </cell>
        </row>
        <row r="5668">
          <cell r="F5668" t="str">
            <v>IDFC  Arbitrage Fund-Direct Plan- Growth</v>
          </cell>
        </row>
        <row r="5669">
          <cell r="F5669" t="str">
            <v>IDFC  Arbitrage Fund-Direct Plan-Monthly Dividend</v>
          </cell>
        </row>
        <row r="5670">
          <cell r="F5670" t="str">
            <v>IDFC  Arbitrage Fund-Regular Plan- Growth</v>
          </cell>
        </row>
        <row r="5671">
          <cell r="F5671" t="str">
            <v>IDFC  Arbitrage Fund-Regular Plan-Monthly Dividend</v>
          </cell>
        </row>
        <row r="5672">
          <cell r="F5672" t="str">
            <v>IDFC  Asset Allocation Fund Of Fund-Aggressive Plan-Direct Plan-Dividend</v>
          </cell>
        </row>
        <row r="5673">
          <cell r="F5673" t="str">
            <v>IDFC  Asset Allocation Fund Of Fund-Aggressive Plan-Direct Plan-Growth</v>
          </cell>
        </row>
        <row r="5674">
          <cell r="F5674" t="str">
            <v>IDFC  Asset Allocation Fund Of Fund-Aggressive Plan-Regular Plan-Dividend</v>
          </cell>
        </row>
        <row r="5675">
          <cell r="F5675" t="str">
            <v>IDFC  Asset Allocation Fund Of Fund-Aggressive Plan-Regular Plan-Growth</v>
          </cell>
        </row>
        <row r="5676">
          <cell r="F5676" t="str">
            <v>IDFC  Asset Allocation Fund Of Fund-Conservative Plan-Direct Plan-Dividend</v>
          </cell>
        </row>
        <row r="5677">
          <cell r="F5677" t="str">
            <v>IDFC  Asset Allocation Fund Of Fund-Conservative Plan-Direct Plan-Growth</v>
          </cell>
        </row>
        <row r="5678">
          <cell r="F5678" t="str">
            <v>IDFC  Asset Allocation Fund Of Fund-Conservative Plan-Regular Plan-Dividend</v>
          </cell>
        </row>
        <row r="5679">
          <cell r="F5679" t="str">
            <v>IDFC  Asset Allocation Fund Of Fund-Conservative Plan-Regular Plan-Growth</v>
          </cell>
        </row>
        <row r="5680">
          <cell r="F5680" t="str">
            <v>IDFC  Asset Allocation Fund Of Fund-Moderate Plan-Dierct Plan-Growth</v>
          </cell>
        </row>
        <row r="5681">
          <cell r="F5681" t="str">
            <v>IDFC  Asset Allocation Fund Of Fund-Moderate Plan-Direct Plan-Dividend</v>
          </cell>
        </row>
        <row r="5682">
          <cell r="F5682" t="str">
            <v>IDFC  Asset Allocation Fund Of Fund-Moderate Plan-Regular Plan-Dividend</v>
          </cell>
        </row>
        <row r="5683">
          <cell r="F5683" t="str">
            <v>IDFC  Asset Allocation Fund Of Fund-Moderate Plan-Regular Plan-Growth</v>
          </cell>
        </row>
        <row r="5684">
          <cell r="F5684" t="str">
            <v>IDFC  Dynamic Bond Fund-Direct Plan-Annual Dividend</v>
          </cell>
        </row>
        <row r="5685">
          <cell r="F5685" t="str">
            <v>IDFC  Dynamic Bond Fund-Direct Plan-Dividend</v>
          </cell>
        </row>
        <row r="5686">
          <cell r="F5686" t="str">
            <v>IDFC  Dynamic Bond Fund-Direct Plan-Growth</v>
          </cell>
        </row>
        <row r="5687">
          <cell r="F5687" t="str">
            <v>IDFC  Dynamic Bond Fund-Direct Plan-Half Yearly Dividend</v>
          </cell>
        </row>
        <row r="5688">
          <cell r="F5688" t="str">
            <v>IDFC  Dynamic Bond Fund-Direct Plan-Quarterly Dividend</v>
          </cell>
        </row>
        <row r="5689">
          <cell r="F5689" t="str">
            <v>IDFC  Dynamic Bond Fund-Regular Plan-Half Yearly Dividend</v>
          </cell>
        </row>
        <row r="5690">
          <cell r="F5690" t="str">
            <v>IDFC  Government Securities Fund - Provident Fund -Direct Plan-Annual Dividend</v>
          </cell>
        </row>
        <row r="5691">
          <cell r="F5691" t="str">
            <v>IDFC  Government Securities Fund - Provident Fund -Direct Plan-Growth</v>
          </cell>
        </row>
        <row r="5692">
          <cell r="F5692" t="str">
            <v>IDFC  Government Securities Fund - Provident Fund -Direct Plan-Quarterly Dividend</v>
          </cell>
        </row>
        <row r="5693">
          <cell r="F5693" t="str">
            <v>IDFC  Government Securities Fund-  Investment Plan-Direct Plan-Annual Dividend</v>
          </cell>
        </row>
        <row r="5694">
          <cell r="F5694" t="str">
            <v>IDFC  Government Securities Fund-  Investment Plan-Direct Plan-Dividend</v>
          </cell>
        </row>
        <row r="5695">
          <cell r="F5695" t="str">
            <v>IDFC  Government Securities Fund-  Investment Plan-Direct Plan-Growth</v>
          </cell>
        </row>
        <row r="5696">
          <cell r="F5696" t="str">
            <v>IDFC  Government Securities Fund-  Investment Plan-Direct Plan-Quarterly Dividend</v>
          </cell>
        </row>
        <row r="5697">
          <cell r="F5697" t="str">
            <v>IDFC  Infrastructure Fund-Direct Plan-Dividend</v>
          </cell>
        </row>
        <row r="5698">
          <cell r="F5698" t="str">
            <v>IDFC  Infrastructure Fund-Direct Plan-Growth</v>
          </cell>
        </row>
        <row r="5699">
          <cell r="F5699" t="str">
            <v>IDFC  Infrastructure Fund-Regular Plan-Dividend</v>
          </cell>
        </row>
        <row r="5700">
          <cell r="F5700" t="str">
            <v>IDFC  Infrastructure Fund-Regular Plan-Growth</v>
          </cell>
        </row>
        <row r="5701">
          <cell r="F5701" t="str">
            <v>IDFC Arbitrage Fund-Direct Plan- Annual Dividend</v>
          </cell>
        </row>
        <row r="5702">
          <cell r="F5702" t="str">
            <v>IDFC Arbitrage Fund-Regular Plan- Annual Dividend</v>
          </cell>
        </row>
        <row r="5703">
          <cell r="F5703" t="str">
            <v>IDFC ASBF -Direct Plan_Periodic Dividend</v>
          </cell>
        </row>
        <row r="5704">
          <cell r="F5704" t="str">
            <v>IDFC ASBF -Regular Plan_Periodic Dividend</v>
          </cell>
        </row>
        <row r="5705">
          <cell r="F5705" t="str">
            <v>IDFC Banking &amp; PSU Debt Fund-Direct Plan- Daily Dividend</v>
          </cell>
        </row>
        <row r="5706">
          <cell r="F5706" t="str">
            <v>IDFC Banking &amp; PSU Debt Fund-Direct Plan- Dividend Option</v>
          </cell>
        </row>
        <row r="5707">
          <cell r="F5707" t="str">
            <v>IDFC Banking &amp; PSU Debt Fund-Direct Plan- Fortnightly Dividend</v>
          </cell>
        </row>
        <row r="5708">
          <cell r="F5708" t="str">
            <v>IDFC Banking &amp; PSU Debt Fund-Direct Plan- Growth Option</v>
          </cell>
        </row>
        <row r="5709">
          <cell r="F5709" t="str">
            <v>IDFC Banking &amp; PSU Debt Fund-Direct Plan- Monthly Dividend</v>
          </cell>
        </row>
        <row r="5710">
          <cell r="F5710" t="str">
            <v>IDFC Banking &amp; PSU Debt Fund-Direct Plan- Quarterly Dividend</v>
          </cell>
        </row>
        <row r="5711">
          <cell r="F5711" t="str">
            <v>IDFC Banking &amp; PSU Debt Fund-Regular Plan- Daily Dividend</v>
          </cell>
        </row>
        <row r="5712">
          <cell r="F5712" t="str">
            <v>IDFC Banking &amp; PSU Debt Fund-Regular Plan- Dividend Option</v>
          </cell>
        </row>
        <row r="5713">
          <cell r="F5713" t="str">
            <v>IDFC Banking &amp; PSU Debt Fund-Regular Plan- Fortnightly Dividend</v>
          </cell>
        </row>
        <row r="5714">
          <cell r="F5714" t="str">
            <v>IDFC Banking &amp; PSU Debt Fund-Regular Plan- Growth Option</v>
          </cell>
        </row>
        <row r="5715">
          <cell r="F5715" t="str">
            <v>IDFC Banking &amp; PSU Debt Fund-Regular Plan- Monthly Dividend</v>
          </cell>
        </row>
        <row r="5716">
          <cell r="F5716" t="str">
            <v>IDFC Banking &amp; PSU Debt Fund-Regular Plan- Quarterly Dividend</v>
          </cell>
        </row>
        <row r="5717">
          <cell r="F5717" t="str">
            <v>IDFC Bond Fund - Income Plan - Direct Plan-Annual Dividend</v>
          </cell>
        </row>
        <row r="5718">
          <cell r="F5718" t="str">
            <v>IDFC Bond Fund - Income Plan - Direct Plan-Growth</v>
          </cell>
        </row>
        <row r="5719">
          <cell r="F5719" t="str">
            <v>IDFC Bond Fund - Income Plan - Direct Plan-Quarterly Dividend</v>
          </cell>
        </row>
        <row r="5720">
          <cell r="F5720" t="str">
            <v>IDFC Bond Fund - Income Plan - Direct Plan_Periodic Dividend</v>
          </cell>
        </row>
        <row r="5721">
          <cell r="F5721" t="str">
            <v>IDFC Bond Fund - Income Plan - Regular Plan- Annual Dividend</v>
          </cell>
        </row>
        <row r="5722">
          <cell r="F5722" t="str">
            <v>IDFC Bond Fund - Income Plan - Regular Plan- Growth Option</v>
          </cell>
        </row>
        <row r="5723">
          <cell r="F5723" t="str">
            <v>IDFC Bond Fund - Income Plan - Regular Plan- Half Yearly Dividend</v>
          </cell>
        </row>
        <row r="5724">
          <cell r="F5724" t="str">
            <v>IDFC Bond Fund - Income Plan - Regular Plan-Quarterly Dividend</v>
          </cell>
        </row>
        <row r="5725">
          <cell r="F5725" t="str">
            <v>IDFC Bond Fund - Income Plan - Regular Plan_Periodic Dividend</v>
          </cell>
        </row>
        <row r="5726">
          <cell r="F5726" t="str">
            <v>IDFC Bond Fund - Medium Term Plan - Direct Plan-Fortnightly Dividend</v>
          </cell>
        </row>
        <row r="5727">
          <cell r="F5727" t="str">
            <v>IDFC Bond Fund - Medium Term Plan - Regular Plan-Daily Dividend Option</v>
          </cell>
        </row>
        <row r="5728">
          <cell r="F5728" t="str">
            <v>IDFC Bond Fund - Medium Term Plan - Regular Plan-Fortnightly Dividend Option</v>
          </cell>
        </row>
        <row r="5729">
          <cell r="F5729" t="str">
            <v>IDFC Bond Fund - Medium Term Plan - Regular Plan-Monthly Dividend Option</v>
          </cell>
        </row>
        <row r="5730">
          <cell r="F5730" t="str">
            <v>IDFC Bond Fund - Medium Term Plan - Regular Plan-Quarterly Dividend Option</v>
          </cell>
        </row>
        <row r="5731">
          <cell r="F5731" t="str">
            <v>IDFC Bond Fund - Medium Term Plan -Direct Plan_Periodic Dividend</v>
          </cell>
        </row>
        <row r="5732">
          <cell r="F5732" t="str">
            <v>IDFC Bond Fund - Medium Term Plan -Regular Plan- Bimonthly Dividend Option</v>
          </cell>
        </row>
        <row r="5733">
          <cell r="F5733" t="str">
            <v>IDFC Bond Fund - Medium Term Plan -Regular Plan- Growth Option</v>
          </cell>
        </row>
        <row r="5734">
          <cell r="F5734" t="str">
            <v>IDFC Bond Fund - Medium Term Plan -Regular Plan_Periodic Dividend</v>
          </cell>
        </row>
        <row r="5735">
          <cell r="F5735" t="str">
            <v>IDFC Bond Fund - Medium Term Plan-Direct Plan-Bi Monthly Dividend</v>
          </cell>
        </row>
        <row r="5736">
          <cell r="F5736" t="str">
            <v>IDFC Bond Fund - Medium Term Plan-Direct Plan-Daily Dividend</v>
          </cell>
        </row>
        <row r="5737">
          <cell r="F5737" t="str">
            <v>IDFC Bond Fund - Medium Term Plan-Direct Plan-Growth</v>
          </cell>
        </row>
        <row r="5738">
          <cell r="F5738" t="str">
            <v>IDFC Bond Fund - Medium Term Plan-Direct Plan-Monthly Dividend</v>
          </cell>
        </row>
        <row r="5739">
          <cell r="F5739" t="str">
            <v>IDFC Bond Fund - Medium Term Plan-Direct Plan-Quartely Dividend</v>
          </cell>
        </row>
        <row r="5740">
          <cell r="F5740" t="str">
            <v>IDFC Bond Fund - Short Term Plan - Direct Plan-Fortnightly Dividend</v>
          </cell>
        </row>
        <row r="5741">
          <cell r="F5741" t="str">
            <v>IDFC Bond Fund - Short Term Plan - Direct Plan-Growth</v>
          </cell>
        </row>
        <row r="5742">
          <cell r="F5742" t="str">
            <v>IDFC Bond Fund - Short Term Plan - Direct Plan-Monthly Dividend</v>
          </cell>
        </row>
        <row r="5743">
          <cell r="F5743" t="str">
            <v>IDFC Bond Fund - Short Term Plan - Direct Plan_Periodic Dividend</v>
          </cell>
        </row>
        <row r="5744">
          <cell r="F5744" t="str">
            <v>IDFC Bond Fund - Short Term Plan - Regular Plan-Fortnightly Dividend</v>
          </cell>
        </row>
        <row r="5745">
          <cell r="F5745" t="str">
            <v>IDFC Bond Fund - Short Term Plan - Regular Plan-Growth</v>
          </cell>
        </row>
        <row r="5746">
          <cell r="F5746" t="str">
            <v>IDFC Bond Fund - Short Term Plan - Regular Plan-Monthly Dividend</v>
          </cell>
        </row>
        <row r="5747">
          <cell r="F5747" t="str">
            <v>IDFC Bond Fund - Short Term Plan - Regular Plan_Periodic Dividend</v>
          </cell>
        </row>
        <row r="5748">
          <cell r="F5748" t="str">
            <v>IDFC Cash Fund -Direct Plan -Daily Dividend</v>
          </cell>
        </row>
        <row r="5749">
          <cell r="F5749" t="str">
            <v>IDFC Cash Fund -Direct Plan -Growth</v>
          </cell>
        </row>
        <row r="5750">
          <cell r="F5750" t="str">
            <v>IDFC Cash Fund -Direct Plan -Monthly Dividend</v>
          </cell>
        </row>
        <row r="5751">
          <cell r="F5751" t="str">
            <v>IDFC Cash Fund -Direct Plan -Periodic Dividend</v>
          </cell>
        </row>
        <row r="5752">
          <cell r="F5752" t="str">
            <v>IDFC Cash Fund -Direct Plan -Weekly Dividend</v>
          </cell>
        </row>
        <row r="5753">
          <cell r="F5753" t="str">
            <v>IDFC Cash Fund -Regular Plan-Daily Dividend</v>
          </cell>
        </row>
        <row r="5754">
          <cell r="F5754" t="str">
            <v>IDFC Cash Fund -Regular Plan-Growth</v>
          </cell>
        </row>
        <row r="5755">
          <cell r="F5755" t="str">
            <v>IDFC Cash Fund -Regular Plan-Monthly Dividend</v>
          </cell>
        </row>
        <row r="5756">
          <cell r="F5756" t="str">
            <v>IDFC Cash Fund -Regular Plan-Periodic Dividend</v>
          </cell>
        </row>
        <row r="5757">
          <cell r="F5757" t="str">
            <v>IDFC Cash Fund -Regular Plan-Weekly Dividend</v>
          </cell>
        </row>
        <row r="5758">
          <cell r="F5758" t="str">
            <v>IDFC Cash Fund -Unclaimed Dividend Less than Three Years</v>
          </cell>
        </row>
        <row r="5759">
          <cell r="F5759" t="str">
            <v>IDFC Cash Fund -Unclaimed Dividend More than Three Years</v>
          </cell>
        </row>
        <row r="5760">
          <cell r="F5760" t="str">
            <v>IDFC Cash Fund -Unclaimed Redemption Less than Three Years</v>
          </cell>
        </row>
        <row r="5761">
          <cell r="F5761" t="str">
            <v>IDFC Cash Fund -Unclaimed Redemption More than Three Years</v>
          </cell>
        </row>
        <row r="5762">
          <cell r="F5762" t="str">
            <v>IDFC CBF-Regular Plan_Monthly Dividend</v>
          </cell>
        </row>
        <row r="5763">
          <cell r="F5763" t="str">
            <v>IDFC CBF_Direct Plan_Annual Dividend</v>
          </cell>
        </row>
        <row r="5764">
          <cell r="F5764" t="str">
            <v>IDFC CBF_Direct Plan_Growth</v>
          </cell>
        </row>
        <row r="5765">
          <cell r="F5765" t="str">
            <v>IDFC CBF_Direct Plan_Monthly Dividend</v>
          </cell>
        </row>
        <row r="5766">
          <cell r="F5766" t="str">
            <v>IDFC CBF_Direct Plan_Peiodic Dividend</v>
          </cell>
        </row>
        <row r="5767">
          <cell r="F5767" t="str">
            <v>IDFC CBF_Direct Plan_Quarterly Dividend</v>
          </cell>
        </row>
        <row r="5768">
          <cell r="F5768" t="str">
            <v>IDFC CBF_Regular Plan_Annual Dividend</v>
          </cell>
        </row>
        <row r="5769">
          <cell r="F5769" t="str">
            <v>IDFC CBF_Regular Plan_Growth</v>
          </cell>
        </row>
        <row r="5770">
          <cell r="F5770" t="str">
            <v>IDFC CBF_Regular Plan_Half Yearly Dividend</v>
          </cell>
        </row>
        <row r="5771">
          <cell r="F5771" t="str">
            <v>IDFC CBF_Regular Plan_Peiodic Dividend</v>
          </cell>
        </row>
        <row r="5772">
          <cell r="F5772" t="str">
            <v>IDFC CBF_Regular Plan_Quarterly Dividend</v>
          </cell>
        </row>
        <row r="5773">
          <cell r="F5773" t="str">
            <v>IDFC Core Equity Fund-Direct Plan-Dividend</v>
          </cell>
        </row>
        <row r="5774">
          <cell r="F5774" t="str">
            <v>IDFC Core Equity Fund-Direct Plan-Growth</v>
          </cell>
        </row>
        <row r="5775">
          <cell r="F5775" t="str">
            <v>IDFC Core Equity Fund-Regular Plan-Dividend</v>
          </cell>
        </row>
        <row r="5776">
          <cell r="F5776" t="str">
            <v>IDFC Core Equity Fund-Regular Plan-Growth</v>
          </cell>
        </row>
        <row r="5777">
          <cell r="F5777" t="str">
            <v>IDFC Credit Risk Fund-Direct Plan-Annual Dividend</v>
          </cell>
        </row>
        <row r="5778">
          <cell r="F5778" t="str">
            <v>IDFC Credit Risk Fund-Direct Plan-Growth</v>
          </cell>
        </row>
        <row r="5779">
          <cell r="F5779" t="str">
            <v>IDFC Credit Risk Fund-Direct Plan-Half Yearly Dividend</v>
          </cell>
        </row>
        <row r="5780">
          <cell r="F5780" t="str">
            <v>IDFC Credit Risk Fund-Direct Plan-Periodic Dividend</v>
          </cell>
        </row>
        <row r="5781">
          <cell r="F5781" t="str">
            <v>IDFC Credit Risk Fund-Direct Plan-Quarterly Dividend</v>
          </cell>
        </row>
        <row r="5782">
          <cell r="F5782" t="str">
            <v>IDFC Credit Risk Fund-Regular Plan-Annual Dividend</v>
          </cell>
        </row>
        <row r="5783">
          <cell r="F5783" t="str">
            <v>IDFC Credit Risk Fund-Regular Plan-Growth</v>
          </cell>
        </row>
        <row r="5784">
          <cell r="F5784" t="str">
            <v>IDFC Credit Risk Fund-Regular Plan-Half Yearly Dividend</v>
          </cell>
        </row>
        <row r="5785">
          <cell r="F5785" t="str">
            <v>IDFC Credit Risk Fund-Regular Plan-Periodic Dividend</v>
          </cell>
        </row>
        <row r="5786">
          <cell r="F5786" t="str">
            <v>IDFC Credit Risk Fund-Regular Plan-Quaterly Dividend</v>
          </cell>
        </row>
        <row r="5787">
          <cell r="F5787" t="str">
            <v>IDFC DBF -Direct Plan_Periodic Dividend</v>
          </cell>
        </row>
        <row r="5788">
          <cell r="F5788" t="str">
            <v>IDFC DBF -Regular Plan_Periodic Dividend</v>
          </cell>
        </row>
        <row r="5789">
          <cell r="F5789" t="str">
            <v>IDFC DEF_Direct Plan_Dividend</v>
          </cell>
        </row>
        <row r="5790">
          <cell r="F5790" t="str">
            <v>IDFC DEF_Direct Plan_Growth</v>
          </cell>
        </row>
        <row r="5791">
          <cell r="F5791" t="str">
            <v>IDFC DEF_Regular Plan_Dividend</v>
          </cell>
        </row>
        <row r="5792">
          <cell r="F5792" t="str">
            <v>IDFC DEF_Regular Plan_Growth</v>
          </cell>
        </row>
        <row r="5793">
          <cell r="F5793" t="str">
            <v>IDFC Dynamic Bond Fund - Regular Plan - Annual Dividend</v>
          </cell>
        </row>
        <row r="5794">
          <cell r="F5794" t="str">
            <v>IDFC Dynamic Bond Fund - Regular Plan - Quarterly Dividend</v>
          </cell>
        </row>
        <row r="5795">
          <cell r="F5795" t="str">
            <v>IDFC Dynamic Bond Fund -Regular Plan- DIVIDEND</v>
          </cell>
        </row>
        <row r="5796">
          <cell r="F5796" t="str">
            <v>IDFC Dynamic Bond Fund -Regular Plan-GROWTH</v>
          </cell>
        </row>
        <row r="5797">
          <cell r="F5797" t="str">
            <v>IDFC Equity Opportunity - Series 4 (1102 Days) - Direct Plan - Dividend</v>
          </cell>
        </row>
        <row r="5798">
          <cell r="F5798" t="str">
            <v>IDFC Equity Opportunity - Series 4 (1102 Days) - Direct Plan - Growth</v>
          </cell>
        </row>
        <row r="5799">
          <cell r="F5799" t="str">
            <v>IDFC Equity Opportunity - Series 4 (1102 Days) - Regular Plan - Dividend</v>
          </cell>
        </row>
        <row r="5800">
          <cell r="F5800" t="str">
            <v>IDFC Equity Opportunity - Series 4 (1102 Days) - Regular Plan - Growth</v>
          </cell>
        </row>
        <row r="5801">
          <cell r="F5801" t="str">
            <v>IDFC Equity Savings Fund- Regular Plan- Annual Dividend</v>
          </cell>
        </row>
        <row r="5802">
          <cell r="F5802" t="str">
            <v>IDFC Equity Savings Fund-Direct Plan- Annual Dividend</v>
          </cell>
        </row>
        <row r="5803">
          <cell r="F5803" t="str">
            <v>IDFC Equity Savings Fund-Direct Plan-Growth</v>
          </cell>
        </row>
        <row r="5804">
          <cell r="F5804" t="str">
            <v>IDFC Equity Savings Fund-Direct Plan-Monthly Dividend</v>
          </cell>
        </row>
        <row r="5805">
          <cell r="F5805" t="str">
            <v>IDFC Equity Savings Fund-Regular Plan-Growth</v>
          </cell>
        </row>
        <row r="5806">
          <cell r="F5806" t="str">
            <v>IDFC Equity Savings Fund-Regular Plan-Monthly Dividend</v>
          </cell>
        </row>
        <row r="5807">
          <cell r="F5807" t="str">
            <v>IDFC FIXED TERM PLAN SERIES-108 (1144Days)- Direct Plan- Growth</v>
          </cell>
        </row>
        <row r="5808">
          <cell r="F5808" t="str">
            <v>IDFC FIXED TERM PLAN SERIES-108 (1144Days)- Regular Plan- Growth</v>
          </cell>
        </row>
        <row r="5809">
          <cell r="F5809" t="str">
            <v>IDFC FIXED TERM PLAN SERIES-108(1144Days)- Regular Plan- Quarterly Dividend</v>
          </cell>
        </row>
        <row r="5810">
          <cell r="F5810" t="str">
            <v>IDFC FIXED TERM PLAN SERIES-129 (1147Days) - Direct Plan- Quarterly Dividend</v>
          </cell>
        </row>
        <row r="5811">
          <cell r="F5811" t="str">
            <v>IDFC FIXED TERM PLAN SERIES-129 (1147Days) - Direct Plan-Growth</v>
          </cell>
        </row>
        <row r="5812">
          <cell r="F5812" t="str">
            <v>IDFC FIXED TERM PLAN SERIES-129 (1147Days) - Regular Plan- Quarterly Dividend</v>
          </cell>
        </row>
        <row r="5813">
          <cell r="F5813" t="str">
            <v>IDFC FIXED TERM PLAN SERIES-129 (1147Days) - Regular Plan-Growth</v>
          </cell>
        </row>
        <row r="5814">
          <cell r="F5814" t="str">
            <v>IDFC FIXED TERM PLAN SERIES-131 (1139Days) - Regular Plan- Quarterly Dividend</v>
          </cell>
        </row>
        <row r="5815">
          <cell r="F5815" t="str">
            <v>IDFC FIXED TERM PLAN SERIES-131 (1139Days)- Regular Plan- Periodic Dividend</v>
          </cell>
        </row>
        <row r="5816">
          <cell r="F5816" t="str">
            <v>IDFC FIXED TERM PLAN SERIES-131 (1139Days)-Direct Plan-Growth</v>
          </cell>
        </row>
        <row r="5817">
          <cell r="F5817" t="str">
            <v>IDFC FIXED TERM PLAN SERIES-131 (1139Days)-Regular Plan- Half Yearly Dividend</v>
          </cell>
        </row>
        <row r="5818">
          <cell r="F5818" t="str">
            <v>IDFC FIXED TERM PLAN SERIES-131 (1139Days)-Regular Plan-Growth</v>
          </cell>
        </row>
        <row r="5819">
          <cell r="F5819" t="str">
            <v>IDFC Focused Equity Fund-Direct Plan-Dividend</v>
          </cell>
        </row>
        <row r="5820">
          <cell r="F5820" t="str">
            <v>IDFC Focused Equity Fund-Direct Plan-Growth</v>
          </cell>
        </row>
        <row r="5821">
          <cell r="F5821" t="str">
            <v>IDFC Focused Equity Fund-Regular Plan-Dividend</v>
          </cell>
        </row>
        <row r="5822">
          <cell r="F5822" t="str">
            <v>IDFC Focused Equity Fund-Regular Plan-Growth</v>
          </cell>
        </row>
        <row r="5823">
          <cell r="F5823" t="str">
            <v>IDFC FTP - S 66(1170 Days)_Direct Plan_Growth</v>
          </cell>
        </row>
        <row r="5824">
          <cell r="F5824" t="str">
            <v>IDFC FTP - S 66(1170 Days)_Regular Plan_Growth</v>
          </cell>
        </row>
        <row r="5825">
          <cell r="F5825" t="str">
            <v>IDFC FTP -S74(1169 Days) -Direct Plan_Growth</v>
          </cell>
        </row>
        <row r="5826">
          <cell r="F5826" t="str">
            <v>IDFC FTP -S74(1169 Days) -Regular Plan_Growth</v>
          </cell>
        </row>
        <row r="5827">
          <cell r="F5827" t="str">
            <v>IDFC FTP S -91(1158 Days)_Direct Plan_ Growth</v>
          </cell>
        </row>
        <row r="5828">
          <cell r="F5828" t="str">
            <v>IDFC FTP S -91(1158 Days)_Regular Plan_ Growth</v>
          </cell>
        </row>
        <row r="5829">
          <cell r="F5829" t="str">
            <v>IDFC FTP S-70(1169 Days)_Direct Plan_Growth</v>
          </cell>
        </row>
        <row r="5830">
          <cell r="F5830" t="str">
            <v>IDFC FTP S-70(1169 Days)_Regular Plan_Growth</v>
          </cell>
        </row>
        <row r="5831">
          <cell r="F5831" t="str">
            <v>IDFC FTP S-70(1169 Days)_Regular Plan_Quaterly Dividend</v>
          </cell>
        </row>
        <row r="5832">
          <cell r="F5832" t="str">
            <v>IDFC FTP S-75(1170 Days)_Direct Plan_Growth</v>
          </cell>
        </row>
        <row r="5833">
          <cell r="F5833" t="str">
            <v>IDFC FTP S-75(1170 Days)_Regular Plan_Growth</v>
          </cell>
        </row>
        <row r="5834">
          <cell r="F5834" t="str">
            <v>IDFC FTP S-77(1170 Days)_Direct Plan_Growth</v>
          </cell>
        </row>
        <row r="5835">
          <cell r="F5835" t="str">
            <v>IDFC FTP S-77(1170 Days)_Regular Plan_Growth</v>
          </cell>
        </row>
        <row r="5836">
          <cell r="F5836" t="str">
            <v>IDFC FTP S-78(1096 Days)_Direct Plan_Growth</v>
          </cell>
        </row>
        <row r="5837">
          <cell r="F5837" t="str">
            <v>IDFC FTP S-78(1096 Days)_Regular Plan_Growth</v>
          </cell>
        </row>
        <row r="5838">
          <cell r="F5838" t="str">
            <v>IDFC FTP S-79(1170 Days)_Direct Plan_Growth</v>
          </cell>
        </row>
        <row r="5839">
          <cell r="F5839" t="str">
            <v>IDFC FTP S-79(1170 Days)_Regular Plan_Growth</v>
          </cell>
        </row>
        <row r="5840">
          <cell r="F5840" t="str">
            <v>IDFC FTP S-79(1170 Days)_Regular Plan_Periodic Dividend</v>
          </cell>
        </row>
        <row r="5841">
          <cell r="F5841" t="str">
            <v>IDFC FTP S-84(1175 Days)_Direct Plan_Growth</v>
          </cell>
        </row>
        <row r="5842">
          <cell r="F5842" t="str">
            <v>IDFC FTP S-84(1175 Days)_Regular Plan_Growth</v>
          </cell>
        </row>
        <row r="5843">
          <cell r="F5843" t="str">
            <v>IDFC FTP S-86(1175 Days)_Direct Plan_Growth</v>
          </cell>
        </row>
        <row r="5844">
          <cell r="F5844" t="str">
            <v>IDFC FTP S-86(1175 Days)_Regular Plan_Growth</v>
          </cell>
        </row>
        <row r="5845">
          <cell r="F5845" t="str">
            <v>IDFC FTP S-88(1175 Days)_Direct Plan_Growth</v>
          </cell>
        </row>
        <row r="5846">
          <cell r="F5846" t="str">
            <v>IDFC FTP S-88(1175 Days)_Regular Plan_Growth</v>
          </cell>
        </row>
        <row r="5847">
          <cell r="F5847" t="str">
            <v>IDFC Government Securities Fund - Constant Maturity Plan -Direct Plan-Growth</v>
          </cell>
        </row>
        <row r="5848">
          <cell r="F5848" t="str">
            <v>IDFC Government Securities Fund - Constant Maturity Plan -Direct Plan-Quarterly Dividend</v>
          </cell>
        </row>
        <row r="5849">
          <cell r="F5849" t="str">
            <v>IDFC Government Securities Fund - Constant Maturity Plan -Direct Plan-Weekly Dividend</v>
          </cell>
        </row>
        <row r="5850">
          <cell r="F5850" t="str">
            <v>IDFC Government Securities Fund - Constant Maturity Plan -Regular Plan- Monthly Dividend</v>
          </cell>
        </row>
        <row r="5851">
          <cell r="F5851" t="str">
            <v>IDFC Government Securities Fund - IP - Regular Plan - Annual Dividend</v>
          </cell>
        </row>
        <row r="5852">
          <cell r="F5852" t="str">
            <v>IDFC Government Securities Fund - IP - Regular Plan - Half Yearly Dividend</v>
          </cell>
        </row>
        <row r="5853">
          <cell r="F5853" t="str">
            <v>IDFC Government Securities Fund - IP - Regular Plan - Quarterly Dividend</v>
          </cell>
        </row>
        <row r="5854">
          <cell r="F5854" t="str">
            <v>IDFC Government Securities Fund -Constant Maturity Plan -Direct Plan_Periodic Dividend</v>
          </cell>
        </row>
        <row r="5855">
          <cell r="F5855" t="str">
            <v>IDFC Government Securities Fund -Constant Maturity Plan -Regular Plan_Periodic Dividend</v>
          </cell>
        </row>
        <row r="5856">
          <cell r="F5856" t="str">
            <v>IDFC GSF - Constant Maturity Plan - Regular Plan- Quarterly Dividend</v>
          </cell>
        </row>
        <row r="5857">
          <cell r="F5857" t="str">
            <v>IDFC GSF - Constant Maturity Plan -Regular Plan- Weekly Dividend</v>
          </cell>
        </row>
        <row r="5858">
          <cell r="F5858" t="str">
            <v>IDFC GSF - Investment Plan -Regular Plan- DIVIDEND</v>
          </cell>
        </row>
        <row r="5859">
          <cell r="F5859" t="str">
            <v>IDFC GSF - Investment Plan -Regular Plan-GROWTH</v>
          </cell>
        </row>
        <row r="5860">
          <cell r="F5860" t="str">
            <v>IDFC GSF -Constant Maturity Plan - Regular Plan- Growth</v>
          </cell>
        </row>
        <row r="5861">
          <cell r="F5861" t="str">
            <v>IDFC GSF -IP -Regular Plan_Periodic Dividend</v>
          </cell>
        </row>
        <row r="5862">
          <cell r="F5862" t="str">
            <v>IDFC GSF -PF -Direct Plan_Periodic Dividend</v>
          </cell>
        </row>
        <row r="5863">
          <cell r="F5863" t="str">
            <v>IDFC GSF -PF -Regular Plan_Periodic Dividend</v>
          </cell>
        </row>
        <row r="5864">
          <cell r="F5864" t="str">
            <v>IDFC GSF-Provident Fund-Regular Plan-Annual Dividend</v>
          </cell>
        </row>
        <row r="5865">
          <cell r="F5865" t="str">
            <v>IDFC GSF-Provident Fund-Regular Plan-Growth</v>
          </cell>
        </row>
        <row r="5866">
          <cell r="F5866" t="str">
            <v>IDFC GSF-Provident Fund-Regular Plan-Quarterly Dividend</v>
          </cell>
        </row>
        <row r="5867">
          <cell r="F5867" t="str">
            <v>IDFC Hybrid Equity Fund-Direct Plan-Dividend</v>
          </cell>
        </row>
        <row r="5868">
          <cell r="F5868" t="str">
            <v>IDFC Hybrid Equity Fund-Direct Plan-Growth</v>
          </cell>
        </row>
        <row r="5869">
          <cell r="F5869" t="str">
            <v>IDFC Hybrid Equity Fund-Regular Plan-Dividend</v>
          </cell>
        </row>
        <row r="5870">
          <cell r="F5870" t="str">
            <v>IDFC Hybrid Equity Fund-Regular Plan-Growth</v>
          </cell>
        </row>
        <row r="5871">
          <cell r="F5871" t="str">
            <v>IDFC Large Cap Fund-Direct Plan-Dividend</v>
          </cell>
        </row>
        <row r="5872">
          <cell r="F5872" t="str">
            <v>IDFC Large Cap Fund-Direct Plan-Growth</v>
          </cell>
        </row>
        <row r="5873">
          <cell r="F5873" t="str">
            <v>IDFC Large Cap Fund-Regular Plan-Dividend</v>
          </cell>
        </row>
        <row r="5874">
          <cell r="F5874" t="str">
            <v>IDFC Large Cap Fund-Regular Plan-Growth</v>
          </cell>
        </row>
        <row r="5875">
          <cell r="F5875" t="str">
            <v>IDFC Low Duration Fund -Direct Plan-Daily Dividend</v>
          </cell>
        </row>
        <row r="5876">
          <cell r="F5876" t="str">
            <v>IDFC Low Duration Fund -Direct Plan-Growth</v>
          </cell>
        </row>
        <row r="5877">
          <cell r="F5877" t="str">
            <v>IDFC Low Duration Fund -Direct Plan-Monthly Dividend</v>
          </cell>
        </row>
        <row r="5878">
          <cell r="F5878" t="str">
            <v>IDFC Low Duration Fund -Direct Plan-Periodic Dividend</v>
          </cell>
        </row>
        <row r="5879">
          <cell r="F5879" t="str">
            <v>IDFC Low Duration Fund -Direct Plan-Quarterly Dividend</v>
          </cell>
        </row>
        <row r="5880">
          <cell r="F5880" t="str">
            <v>IDFC Low Duration Fund -Direct Plan-Weekly Dividend</v>
          </cell>
        </row>
        <row r="5881">
          <cell r="F5881" t="str">
            <v>IDFC Low Duration Fund -Regular Plan- Daily Dividend</v>
          </cell>
        </row>
        <row r="5882">
          <cell r="F5882" t="str">
            <v>IDFC Low Duration Fund -Regular Plan- Growth</v>
          </cell>
        </row>
        <row r="5883">
          <cell r="F5883" t="str">
            <v>IDFC Low Duration Fund -Regular Plan- Monthly Dividend</v>
          </cell>
        </row>
        <row r="5884">
          <cell r="F5884" t="str">
            <v>IDFC Low Duration Fund -Regular Plan- Periodic Dividend</v>
          </cell>
        </row>
        <row r="5885">
          <cell r="F5885" t="str">
            <v>IDFC Low Duration Fund -Regular Plan- Quarterly Dividend</v>
          </cell>
        </row>
        <row r="5886">
          <cell r="F5886" t="str">
            <v>IDFC Low Duration Fund -Regular Plan- Weekly Dividend</v>
          </cell>
        </row>
        <row r="5887">
          <cell r="F5887" t="str">
            <v>IDFC MMF -Direct Plan_Periodic Dividend</v>
          </cell>
        </row>
        <row r="5888">
          <cell r="F5888" t="str">
            <v>IDFC Money Manager Fund - Direct Plan-Daily Dividend</v>
          </cell>
        </row>
        <row r="5889">
          <cell r="F5889" t="str">
            <v>IDFC Money Manager Fund - Direct Plan-Growth</v>
          </cell>
        </row>
        <row r="5890">
          <cell r="F5890" t="str">
            <v>IDFC Money Manager Fund - Direct Plan-Monthly Dividend</v>
          </cell>
        </row>
        <row r="5891">
          <cell r="F5891" t="str">
            <v>IDFC Money Manager Fund - Direct Plan-Weekly Dividend</v>
          </cell>
        </row>
        <row r="5892">
          <cell r="F5892" t="str">
            <v>IDFC Money Manager Fund - Investment Plan -Direct Plan-Daily Dividend</v>
          </cell>
        </row>
        <row r="5893">
          <cell r="F5893" t="str">
            <v>IDFC Money Manager Fund - Investment Plan -Direct Plan-Monthly Dividend</v>
          </cell>
        </row>
        <row r="5894">
          <cell r="F5894" t="str">
            <v>IDFC Money Manager Fund - Investment Plan -Direct Plan-Periodic Dividend</v>
          </cell>
        </row>
        <row r="5895">
          <cell r="F5895" t="str">
            <v>IDFC Money Manager Fund - Investment Plan -Direct Plan-Quarterly Dividend</v>
          </cell>
        </row>
        <row r="5896">
          <cell r="F5896" t="str">
            <v>IDFC Money Manager Fund - Investment Plan -Direct Plan-Weekly Dividend</v>
          </cell>
        </row>
        <row r="5897">
          <cell r="F5897" t="str">
            <v>IDFC Money Manager Fund - Investment Plan-Direct Plan-Growth</v>
          </cell>
        </row>
        <row r="5898">
          <cell r="F5898" t="str">
            <v>IDFC Money Manager Fund - Regular Plan_Periodic Dividend</v>
          </cell>
        </row>
        <row r="5899">
          <cell r="F5899" t="str">
            <v>IDFC Money Manager Fund-Investment Plan-Regular Plan-Annual Div.</v>
          </cell>
        </row>
        <row r="5900">
          <cell r="F5900" t="str">
            <v>IDFC Money Manager Fund-Investment Plan-Regular Plan-Daily Div.</v>
          </cell>
        </row>
        <row r="5901">
          <cell r="F5901" t="str">
            <v>IDFC Money Manager Fund-Investment Plan-Regular Plan-Growth</v>
          </cell>
        </row>
        <row r="5902">
          <cell r="F5902" t="str">
            <v>IDFC Money Manager Fund-Investment Plan-Regular Plan-Monthly Div.</v>
          </cell>
        </row>
        <row r="5903">
          <cell r="F5903" t="str">
            <v>IDFC Money Manager Fund-Investment Plan-Regular Plan-Qtrly Div.</v>
          </cell>
        </row>
        <row r="5904">
          <cell r="F5904" t="str">
            <v>IDFC Money Manager Fund-Investment Plan-Regular Plan-Weekly Div.</v>
          </cell>
        </row>
        <row r="5905">
          <cell r="F5905" t="str">
            <v>IDFC Multi Cap Fund-Direct Plan-Dividend</v>
          </cell>
        </row>
        <row r="5906">
          <cell r="F5906" t="str">
            <v>IDFC Multi Cap Fund-Direct Plan-Growth</v>
          </cell>
        </row>
        <row r="5907">
          <cell r="F5907" t="str">
            <v>IDFC Multi Cap Fund-Regular Plan-Dividend</v>
          </cell>
        </row>
        <row r="5908">
          <cell r="F5908" t="str">
            <v>IDFC Multi Cap Fund-Regular Plan-Growth</v>
          </cell>
        </row>
        <row r="5909">
          <cell r="F5909" t="str">
            <v>IDFC Nifty ETF</v>
          </cell>
        </row>
        <row r="5910">
          <cell r="F5910" t="str">
            <v>IDFC Nifty Fund-Direct Plan-Dividend</v>
          </cell>
        </row>
        <row r="5911">
          <cell r="F5911" t="str">
            <v>IDFC Nifty Fund-Direct Plan-Growth</v>
          </cell>
        </row>
        <row r="5912">
          <cell r="F5912" t="str">
            <v>IDFC Nifty Fund-Regular Plan-Dividend</v>
          </cell>
        </row>
        <row r="5913">
          <cell r="F5913" t="str">
            <v>IDFC Nifty Fund-Regular Plan-Growth</v>
          </cell>
        </row>
        <row r="5914">
          <cell r="F5914" t="str">
            <v>IDFC Regular Savings Fund -Direct Plan-Dividend</v>
          </cell>
        </row>
        <row r="5915">
          <cell r="F5915" t="str">
            <v>IDFC Regular Savings Fund -Direct Plan-Growth</v>
          </cell>
        </row>
        <row r="5916">
          <cell r="F5916" t="str">
            <v>IDFC Regular Savings Fund -Direct Plan-Quarterly Dividend</v>
          </cell>
        </row>
        <row r="5917">
          <cell r="F5917" t="str">
            <v>IDFC Regular Savings Fund -Regular Plan-Dividend</v>
          </cell>
        </row>
        <row r="5918">
          <cell r="F5918" t="str">
            <v>IDFC Regular Savings Fund -Regular Plan-Growth</v>
          </cell>
        </row>
        <row r="5919">
          <cell r="F5919" t="str">
            <v>IDFC Regular Savings Fund -Regular Plan-Quarterly Dividend</v>
          </cell>
        </row>
        <row r="5920">
          <cell r="F5920" t="str">
            <v>IDFC Sensex ETF</v>
          </cell>
        </row>
        <row r="5921">
          <cell r="F5921" t="str">
            <v>IDFC Sterling Value Fund -Regular Plan-Dividend</v>
          </cell>
        </row>
        <row r="5922">
          <cell r="F5922" t="str">
            <v>IDFC Sterling Value Fund -Regular Plan-Growth</v>
          </cell>
        </row>
        <row r="5923">
          <cell r="F5923" t="str">
            <v>IDFC Sterling Value Fund-Direct Plan-Dividend</v>
          </cell>
        </row>
        <row r="5924">
          <cell r="F5924" t="str">
            <v>IDFC Sterling Value Fund-Direct Plan-Growth</v>
          </cell>
        </row>
        <row r="5925">
          <cell r="F5925" t="str">
            <v>IDFC Tax Advantage  (ELSS) Fund-Direct Plan-Dividend</v>
          </cell>
        </row>
        <row r="5926">
          <cell r="F5926" t="str">
            <v>IDFC Tax Advantage  (ELSS) Fund-Direct Plan-Growth</v>
          </cell>
        </row>
        <row r="5927">
          <cell r="F5927" t="str">
            <v>IDFC Tax Advantage  (ELSS) Fund-Regular Plan-Dividend</v>
          </cell>
        </row>
        <row r="5928">
          <cell r="F5928" t="str">
            <v>IDFC Tax Advantage  (ELSS) Fund-Regular Plan-Growth</v>
          </cell>
        </row>
        <row r="5929">
          <cell r="F5929" t="str">
            <v>IDFC YS Interval Fund - Series II-Direct Plan-Growth</v>
          </cell>
        </row>
        <row r="5930">
          <cell r="F5930" t="str">
            <v>IDFC YS Interval Fund - Series II-Regular Plan-Dividend</v>
          </cell>
        </row>
        <row r="5931">
          <cell r="F5931" t="str">
            <v>IDFC YS Interval Fund - Series II-Regular Plan-Growth</v>
          </cell>
        </row>
        <row r="5932">
          <cell r="F5932" t="str">
            <v>IDFC-Money Manager Fund - Regular Plan- Daily Dividend</v>
          </cell>
        </row>
        <row r="5933">
          <cell r="F5933" t="str">
            <v>IDFC-Money Manager Fund - Regular Plan- Growth</v>
          </cell>
        </row>
        <row r="5934">
          <cell r="F5934" t="str">
            <v>IDFC-Money Manager Fund - Regular Plan-Monthly Dividend</v>
          </cell>
        </row>
        <row r="5935">
          <cell r="F5935" t="str">
            <v>IDFC-Money Manager Fund - Regular Plan-Weekly Dividend</v>
          </cell>
        </row>
        <row r="5936">
          <cell r="F5936" t="str">
            <v>IDFC-Money Manager Fund-Investment -Regular Plan-Periodic Div.</v>
          </cell>
        </row>
        <row r="5937">
          <cell r="F5937" t="str">
            <v>IDFCBANK</v>
          </cell>
        </row>
        <row r="5938">
          <cell r="F5938" t="str">
            <v>IDFCBANK2</v>
          </cell>
        </row>
        <row r="5939">
          <cell r="F5939" t="str">
            <v>IDFCBANK3</v>
          </cell>
        </row>
        <row r="5940">
          <cell r="F5940" t="str">
            <v>IDFCBANK4</v>
          </cell>
        </row>
        <row r="5941">
          <cell r="F5941" t="str">
            <v>IDFCBANK5</v>
          </cell>
        </row>
        <row r="5942">
          <cell r="F5942" t="str">
            <v>IDFCBANK6</v>
          </cell>
        </row>
        <row r="5943">
          <cell r="F5943" t="str">
            <v>IDFCBANK7</v>
          </cell>
        </row>
        <row r="5944">
          <cell r="F5944" t="str">
            <v>IDFCBANK8</v>
          </cell>
        </row>
        <row r="5945">
          <cell r="F5945" t="str">
            <v>IDFCBANK9</v>
          </cell>
        </row>
        <row r="5946">
          <cell r="F5946" t="str">
            <v>IDFCBANK10</v>
          </cell>
        </row>
        <row r="5947">
          <cell r="F5947" t="str">
            <v>IDFCBANK11</v>
          </cell>
        </row>
        <row r="5948">
          <cell r="F5948" t="str">
            <v>IDFCBANK12</v>
          </cell>
        </row>
        <row r="5949">
          <cell r="F5949" t="str">
            <v>IDFCBKBD1B</v>
          </cell>
        </row>
        <row r="5950">
          <cell r="F5950" t="str">
            <v>IDFCBKBD1G</v>
          </cell>
        </row>
        <row r="5951">
          <cell r="F5951" t="str">
            <v>IDFCBKBD1I</v>
          </cell>
        </row>
        <row r="5952">
          <cell r="F5952" t="str">
            <v>IDFNIFTYET</v>
          </cell>
        </row>
        <row r="5953">
          <cell r="F5953" t="str">
            <v>IEX</v>
          </cell>
        </row>
        <row r="5954">
          <cell r="F5954" t="str">
            <v>IFBAGRO</v>
          </cell>
        </row>
        <row r="5955">
          <cell r="F5955" t="str">
            <v>IFBIND</v>
          </cell>
        </row>
        <row r="5956">
          <cell r="F5956" t="str">
            <v>IFCI</v>
          </cell>
        </row>
        <row r="5957">
          <cell r="F5957" t="str">
            <v>IFCI2</v>
          </cell>
        </row>
        <row r="5958">
          <cell r="F5958" t="str">
            <v>IFCI010811B</v>
          </cell>
        </row>
        <row r="5959">
          <cell r="F5959" t="str">
            <v>IFCI010811D</v>
          </cell>
        </row>
        <row r="5960">
          <cell r="F5960" t="str">
            <v>IFCI121211A</v>
          </cell>
        </row>
        <row r="5961">
          <cell r="F5961" t="str">
            <v>IFCI121211B</v>
          </cell>
        </row>
        <row r="5962">
          <cell r="F5962" t="str">
            <v>IFCI121211D</v>
          </cell>
        </row>
        <row r="5963">
          <cell r="F5963" t="str">
            <v>IFCI150212A</v>
          </cell>
        </row>
        <row r="5964">
          <cell r="F5964" t="str">
            <v>IFCI150212B</v>
          </cell>
        </row>
        <row r="5965">
          <cell r="F5965" t="str">
            <v>IFCI150212C</v>
          </cell>
        </row>
        <row r="5966">
          <cell r="F5966" t="str">
            <v>IFCI150910A</v>
          </cell>
        </row>
        <row r="5967">
          <cell r="F5967" t="str">
            <v>IFCI150910B</v>
          </cell>
        </row>
        <row r="5968">
          <cell r="F5968" t="str">
            <v>IFCI310111A</v>
          </cell>
        </row>
        <row r="5969">
          <cell r="F5969" t="str">
            <v>IFCI310111B</v>
          </cell>
        </row>
        <row r="5970">
          <cell r="F5970" t="str">
            <v>IFCI310111C</v>
          </cell>
        </row>
        <row r="5971">
          <cell r="F5971" t="str">
            <v>IFCI310111D</v>
          </cell>
        </row>
        <row r="5972">
          <cell r="F5972" t="str">
            <v>IFCI310312A</v>
          </cell>
        </row>
        <row r="5973">
          <cell r="F5973" t="str">
            <v>IFGLEXPOR</v>
          </cell>
        </row>
        <row r="5974">
          <cell r="F5974" t="str">
            <v>IGARASHI</v>
          </cell>
        </row>
        <row r="5975">
          <cell r="F5975" t="str">
            <v>IGL</v>
          </cell>
        </row>
        <row r="5976">
          <cell r="F5976" t="str">
            <v>IGPL</v>
          </cell>
        </row>
        <row r="5977">
          <cell r="F5977" t="str">
            <v>IIFCLBDIS2</v>
          </cell>
        </row>
        <row r="5978">
          <cell r="F5978" t="str">
            <v>IIFL</v>
          </cell>
        </row>
        <row r="5979">
          <cell r="F5979" t="str">
            <v>IIFL Dynamic Bond Fund - Regular Plan - Growth Option</v>
          </cell>
        </row>
        <row r="5980">
          <cell r="F5980" t="str">
            <v>IIFL Dynamic Bond Fund Direct Plan Growth</v>
          </cell>
        </row>
        <row r="5981">
          <cell r="F5981" t="str">
            <v>IIFL Dynamic Bond Fund Direct Plan Monthly Dividend</v>
          </cell>
        </row>
        <row r="5982">
          <cell r="F5982" t="str">
            <v>IIFL Dynamic Bond Fund Direct Plan Quarterly Dividend</v>
          </cell>
        </row>
        <row r="5983">
          <cell r="F5983" t="str">
            <v>IIFL Dynamic Bond Fund Regular Plan Bonus</v>
          </cell>
        </row>
        <row r="5984">
          <cell r="F5984" t="str">
            <v>IIFL Dynamic Bond Fund Regular Plan Half Yearly Dividend</v>
          </cell>
        </row>
        <row r="5985">
          <cell r="F5985" t="str">
            <v>IIFL Dynamic Bond Fund Regular Plan Monthly Dividend</v>
          </cell>
        </row>
        <row r="5986">
          <cell r="F5986" t="str">
            <v>IIFL Dynamic Bond Fund Regular Plan Quarterly Dividend</v>
          </cell>
        </row>
        <row r="5987">
          <cell r="F5987" t="str">
            <v>IIFL Focused Equity Fund - Direct Plan - Dividend</v>
          </cell>
        </row>
        <row r="5988">
          <cell r="F5988" t="str">
            <v>IIFL Focused Equity Fund - Regular Plan - Dividend</v>
          </cell>
        </row>
        <row r="5989">
          <cell r="F5989" t="str">
            <v>IIFL Focused Equity Fund -Regular Plan - Growth</v>
          </cell>
        </row>
        <row r="5990">
          <cell r="F5990" t="str">
            <v>IIFL Focused Equity Fund-Direct Plan-Growth</v>
          </cell>
        </row>
        <row r="5991">
          <cell r="F5991" t="str">
            <v>IIFL LIQUID FUND DIRECT PLAN  DAILY DIVIDEND REINVESTMENT</v>
          </cell>
        </row>
        <row r="5992">
          <cell r="F5992" t="str">
            <v>IIFL LIQUID FUND DIRECT PLAN  GROWTH</v>
          </cell>
        </row>
        <row r="5993">
          <cell r="F5993" t="str">
            <v>IIFL LIQUID FUND REGULAR PLAN  DAILY DIVIDEND REINVESTMENT</v>
          </cell>
        </row>
        <row r="5994">
          <cell r="F5994" t="str">
            <v>IIFL LIQUID FUND REGULAR PLAN  GROWTH</v>
          </cell>
        </row>
        <row r="5995">
          <cell r="F5995" t="str">
            <v>IIFL LIQUID FUND REGULAR PLAN  WEEKLY DIVIDEND</v>
          </cell>
        </row>
        <row r="5996">
          <cell r="F5996" t="str">
            <v>IIFLFIN</v>
          </cell>
        </row>
        <row r="5997">
          <cell r="F5997" t="str">
            <v>IIFLFIN2</v>
          </cell>
        </row>
        <row r="5998">
          <cell r="F5998" t="str">
            <v>IIFLFIN3</v>
          </cell>
        </row>
        <row r="5999">
          <cell r="F5999" t="str">
            <v>IIHFL</v>
          </cell>
        </row>
        <row r="6000">
          <cell r="F6000" t="str">
            <v>IIHFL2</v>
          </cell>
        </row>
        <row r="6001">
          <cell r="F6001" t="str">
            <v>IISL</v>
          </cell>
        </row>
        <row r="6002">
          <cell r="F6002" t="str">
            <v>IITL PROJ</v>
          </cell>
        </row>
        <row r="6003">
          <cell r="F6003" t="str">
            <v>IKF TECHNO</v>
          </cell>
        </row>
        <row r="6004">
          <cell r="F6004" t="str">
            <v>IL&amp;FS TRANS</v>
          </cell>
        </row>
        <row r="6005">
          <cell r="F6005" t="str">
            <v>ILFS1606PFA</v>
          </cell>
        </row>
        <row r="6006">
          <cell r="F6006" t="str">
            <v>ILFSENGG</v>
          </cell>
        </row>
        <row r="6007">
          <cell r="F6007" t="str">
            <v>IMCAP</v>
          </cell>
        </row>
        <row r="6008">
          <cell r="F6008" t="str">
            <v>IMPPOWERS</v>
          </cell>
        </row>
        <row r="6009">
          <cell r="F6009" t="str">
            <v>INANI MARBLE</v>
          </cell>
        </row>
        <row r="6010">
          <cell r="F6010" t="str">
            <v>INCAP LTD.</v>
          </cell>
        </row>
        <row r="6011">
          <cell r="F6011" t="str">
            <v>INCON ENGG.</v>
          </cell>
        </row>
        <row r="6012">
          <cell r="F6012" t="str">
            <v>IND CEM CAP</v>
          </cell>
        </row>
        <row r="6013">
          <cell r="F6013" t="str">
            <v>IND-SWIFT LA</v>
          </cell>
        </row>
        <row r="6014">
          <cell r="F6014" t="str">
            <v>IND.ACRYLICS</v>
          </cell>
        </row>
        <row r="6015">
          <cell r="F6015" t="str">
            <v>IND.BANK HSG</v>
          </cell>
        </row>
        <row r="6016">
          <cell r="F6016" t="str">
            <v>IND.GLYCOLS</v>
          </cell>
        </row>
        <row r="6017">
          <cell r="F6017" t="str">
            <v>IND.HUME PIP</v>
          </cell>
        </row>
        <row r="6018">
          <cell r="F6018" t="str">
            <v>IND.SWIFT LT</v>
          </cell>
        </row>
        <row r="6019">
          <cell r="F6019" t="str">
            <v>IND.TONERS</v>
          </cell>
        </row>
        <row r="6020">
          <cell r="F6020" t="str">
            <v>INDAG RUBBER</v>
          </cell>
        </row>
        <row r="6021">
          <cell r="F6021" t="str">
            <v>INDBANK</v>
          </cell>
        </row>
        <row r="6022">
          <cell r="F6022" t="str">
            <v>INDBUL REAL</v>
          </cell>
        </row>
        <row r="6023">
          <cell r="F6023" t="str">
            <v>INDIA GELAT.</v>
          </cell>
        </row>
        <row r="6024">
          <cell r="F6024" t="str">
            <v>INDIA HOME</v>
          </cell>
        </row>
        <row r="6025">
          <cell r="F6025" t="str">
            <v>INDIA MOTOR</v>
          </cell>
        </row>
        <row r="6026">
          <cell r="F6026" t="str">
            <v>INDIA NIPPON</v>
          </cell>
        </row>
        <row r="6027">
          <cell r="F6027" t="str">
            <v>INDIA NIVEH</v>
          </cell>
        </row>
        <row r="6028">
          <cell r="F6028" t="str">
            <v>INDIA TOURIS</v>
          </cell>
        </row>
        <row r="6029">
          <cell r="F6029" t="str">
            <v>Indiabulls Arbitrage Fund - Direct Plan - Growth Option</v>
          </cell>
        </row>
        <row r="6030">
          <cell r="F6030" t="str">
            <v>Indiabulls Arbitrage Fund - Direct Plan - Half Yearly Dividend Option</v>
          </cell>
        </row>
        <row r="6031">
          <cell r="F6031" t="str">
            <v>Indiabulls Arbitrage Fund - Direct Plan - Monthly Dividend Option</v>
          </cell>
        </row>
        <row r="6032">
          <cell r="F6032" t="str">
            <v>Indiabulls Arbitrage Fund - Regular Plan - Growth Option</v>
          </cell>
        </row>
        <row r="6033">
          <cell r="F6033" t="str">
            <v>Indiabulls Arbitrage Fund - Regular Plan - Monthly Dividend Option</v>
          </cell>
        </row>
        <row r="6034">
          <cell r="F6034" t="str">
            <v>Indiabulls Blue Chip Fund - Direct Plan - Dividend Option</v>
          </cell>
        </row>
        <row r="6035">
          <cell r="F6035" t="str">
            <v>Indiabulls Blue Chip Fund - Direct Plan - Growth Option</v>
          </cell>
        </row>
        <row r="6036">
          <cell r="F6036" t="str">
            <v>Indiabulls Blue Chip Fund - Direct Plan - Half Yearly Dividend Option</v>
          </cell>
        </row>
        <row r="6037">
          <cell r="F6037" t="str">
            <v>Indiabulls Blue Chip Fund - Direct Plan - Monthly Dividend Option</v>
          </cell>
        </row>
        <row r="6038">
          <cell r="F6038" t="str">
            <v>Indiabulls Blue Chip Fund - Direct Plan - Quarterly Dividend Option</v>
          </cell>
        </row>
        <row r="6039">
          <cell r="F6039" t="str">
            <v>Indiabulls Blue Chip Fund - Dividend Option</v>
          </cell>
        </row>
        <row r="6040">
          <cell r="F6040" t="str">
            <v>Indiabulls Blue Chip Fund - Growth Option</v>
          </cell>
        </row>
        <row r="6041">
          <cell r="F6041" t="str">
            <v>Indiabulls Blue Chip Fund - Regular Plan - Half Yearly Dividend Option</v>
          </cell>
        </row>
        <row r="6042">
          <cell r="F6042" t="str">
            <v>Indiabulls Blue Chip Fund - Regular Plan - Monthly Dividend option</v>
          </cell>
        </row>
        <row r="6043">
          <cell r="F6043" t="str">
            <v>Indiabulls Blue Chip Fund - Regular Plan - Quarterly Dividend Option</v>
          </cell>
        </row>
        <row r="6044">
          <cell r="F6044" t="str">
            <v>Indiabulls FMP Series V - Plan (1) - 1175 Days - Direct Plan Growth</v>
          </cell>
        </row>
        <row r="6045">
          <cell r="F6045" t="str">
            <v>Indiabulls FMP Series V - Plan (1) - 1175 Days - Regular Plan Growth</v>
          </cell>
        </row>
        <row r="6046">
          <cell r="F6046" t="str">
            <v>Indiabulls Gilt Fund - Direct Plan -  Growth Option</v>
          </cell>
        </row>
        <row r="6047">
          <cell r="F6047" t="str">
            <v>Indiabulls Gilt Fund - Direct Plan - Fortnightly Dividend Option</v>
          </cell>
        </row>
        <row r="6048">
          <cell r="F6048" t="str">
            <v>Indiabulls Gilt Fund - Direct Plan - Monthly Dividend Option</v>
          </cell>
        </row>
        <row r="6049">
          <cell r="F6049" t="str">
            <v>Indiabulls Gilt Fund - Direct Plan - Weekly Dividend Option</v>
          </cell>
        </row>
        <row r="6050">
          <cell r="F6050" t="str">
            <v>Indiabulls Gilt Fund - Indirect Plan - Fortnightly Dividend Option</v>
          </cell>
        </row>
        <row r="6051">
          <cell r="F6051" t="str">
            <v>Indiabulls Gilt Fund - Indirect Plan - Growth Option</v>
          </cell>
        </row>
        <row r="6052">
          <cell r="F6052" t="str">
            <v>Indiabulls Gilt Fund - Indirect Plan - Monthly Dividend Option</v>
          </cell>
        </row>
        <row r="6053">
          <cell r="F6053" t="str">
            <v>Indiabulls Gilt Fund - Indirect Plan - Weekly Dividend Option</v>
          </cell>
        </row>
        <row r="6054">
          <cell r="F6054" t="str">
            <v>Indiabulls Income Fund - Direct Plan - Growth Option</v>
          </cell>
        </row>
        <row r="6055">
          <cell r="F6055" t="str">
            <v>Indiabulls Income Fund - Direct Plan - Half Yearly Dividend Option</v>
          </cell>
        </row>
        <row r="6056">
          <cell r="F6056" t="str">
            <v>Indiabulls Income Fund - Direct Plan - Monthly Dividend Option</v>
          </cell>
        </row>
        <row r="6057">
          <cell r="F6057" t="str">
            <v>Indiabulls Income Fund - Direct Plan - Quarterly Dividend Option</v>
          </cell>
        </row>
        <row r="6058">
          <cell r="F6058" t="str">
            <v>Indiabulls Income Fund - Regular Plan - Growth Option</v>
          </cell>
        </row>
        <row r="6059">
          <cell r="F6059" t="str">
            <v>Indiabulls Income Fund - Regular Plan - Half Yearly Dividend Option</v>
          </cell>
        </row>
        <row r="6060">
          <cell r="F6060" t="str">
            <v>Indiabulls Income Fund - Regular Plan - Monthly Dividend Option</v>
          </cell>
        </row>
        <row r="6061">
          <cell r="F6061" t="str">
            <v>Indiabulls Income Fund - Regular Plan - Quarterly Dividend Option</v>
          </cell>
        </row>
        <row r="6062">
          <cell r="F6062" t="str">
            <v>Indiabulls Liquid Fund - Daily Dividend Option</v>
          </cell>
        </row>
        <row r="6063">
          <cell r="F6063" t="str">
            <v>Indiabulls Liquid Fund - Direct Plan - Daily Dividend Option</v>
          </cell>
        </row>
        <row r="6064">
          <cell r="F6064" t="str">
            <v>Indiabulls Liquid Fund - Direct Plan - Fortnightly Dividend Option</v>
          </cell>
        </row>
        <row r="6065">
          <cell r="F6065" t="str">
            <v>Indiabulls Liquid Fund - Direct Plan - Growth Option</v>
          </cell>
        </row>
        <row r="6066">
          <cell r="F6066" t="str">
            <v>Indiabulls Liquid Fund - Direct Plan - Monthly Dividend Option</v>
          </cell>
        </row>
        <row r="6067">
          <cell r="F6067" t="str">
            <v>Indiabulls Liquid Fund - Direct Plan - Weekly Dividend Option</v>
          </cell>
        </row>
        <row r="6068">
          <cell r="F6068" t="str">
            <v>Indiabulls Liquid Fund - Fortnightly Dividend Option</v>
          </cell>
        </row>
        <row r="6069">
          <cell r="F6069" t="str">
            <v>Indiabulls Liquid Fund - Growth Option</v>
          </cell>
        </row>
        <row r="6070">
          <cell r="F6070" t="str">
            <v>Indiabulls Liquid Fund - Monthly Dividend Option</v>
          </cell>
        </row>
        <row r="6071">
          <cell r="F6071" t="str">
            <v>Indiabulls Liquid Fund - Weekly Dividend Option</v>
          </cell>
        </row>
        <row r="6072">
          <cell r="F6072" t="str">
            <v>Indiabulls Savings Income Fund-Direct Plan-Growth Option</v>
          </cell>
        </row>
        <row r="6073">
          <cell r="F6073" t="str">
            <v>Indiabulls Savings Income Fund-Direct Plan-Monthly Dividend Option</v>
          </cell>
        </row>
        <row r="6074">
          <cell r="F6074" t="str">
            <v>Indiabulls Savings Income Fund-Regular Plan-Growth Option</v>
          </cell>
        </row>
        <row r="6075">
          <cell r="F6075" t="str">
            <v>Indiabulls Savings Income FUnd-Regular Plan-Monthly Dividend Option</v>
          </cell>
        </row>
        <row r="6076">
          <cell r="F6076" t="str">
            <v>Indiabulls Short Term Fund - Direct Plan - Fortnightly Dividend Option</v>
          </cell>
        </row>
        <row r="6077">
          <cell r="F6077" t="str">
            <v>Indiabulls Short Term Fund - Direct Plan - Growth Option</v>
          </cell>
        </row>
        <row r="6078">
          <cell r="F6078" t="str">
            <v>Indiabulls Short Term Fund - Direct Plan - Monthly Dividend Option</v>
          </cell>
        </row>
        <row r="6079">
          <cell r="F6079" t="str">
            <v>Indiabulls Short Term Fund - Direct Plan - Weekly Dividend Option</v>
          </cell>
        </row>
        <row r="6080">
          <cell r="F6080" t="str">
            <v>Indiabulls Short Term Fund - Regular Plan - Growth Option</v>
          </cell>
        </row>
        <row r="6081">
          <cell r="F6081" t="str">
            <v>Indiabulls Short Term Fund - Regular Plan - Monthly Dividend Option</v>
          </cell>
        </row>
        <row r="6082">
          <cell r="F6082" t="str">
            <v>Indiabulls Short Term Fund - Regular Plan - Weekly Dividend Option</v>
          </cell>
        </row>
        <row r="6083">
          <cell r="F6083" t="str">
            <v>Indiabulls Tax Savings Fund- Direct Plan- Dividend Option</v>
          </cell>
        </row>
        <row r="6084">
          <cell r="F6084" t="str">
            <v>Indiabulls Tax Savings Fund- Direct Plan- Growth Option</v>
          </cell>
        </row>
        <row r="6085">
          <cell r="F6085" t="str">
            <v>Indiabulls Tax Savings Fund- Regular Plan- Dividend Option</v>
          </cell>
        </row>
        <row r="6086">
          <cell r="F6086" t="str">
            <v>Indiabulls Tax Savings Fund-Regular Plan-Growth Option</v>
          </cell>
        </row>
        <row r="6087">
          <cell r="F6087" t="str">
            <v>Indiabulls Ultra Short Term Fund - Daily Dividend Option</v>
          </cell>
        </row>
        <row r="6088">
          <cell r="F6088" t="str">
            <v>Indiabulls Ultra Short Term Fund - Direct Plan - Daily Dividend Option</v>
          </cell>
        </row>
        <row r="6089">
          <cell r="F6089" t="str">
            <v>Indiabulls Ultra Short Term Fund - Direct Plan - Fortnightly Dividend Option</v>
          </cell>
        </row>
        <row r="6090">
          <cell r="F6090" t="str">
            <v>Indiabulls Ultra Short Term Fund - Direct Plan - Growth Option</v>
          </cell>
        </row>
        <row r="6091">
          <cell r="F6091" t="str">
            <v>Indiabulls Ultra Short Term Fund - Direct Plan - Monthly Dividend Option</v>
          </cell>
        </row>
        <row r="6092">
          <cell r="F6092" t="str">
            <v>Indiabulls Ultra Short Term Fund - Direct Plan - Weekly Dividend Option</v>
          </cell>
        </row>
        <row r="6093">
          <cell r="F6093" t="str">
            <v>Indiabulls Ultra Short Term Fund - Growth Option</v>
          </cell>
        </row>
        <row r="6094">
          <cell r="F6094" t="str">
            <v>Indiabulls Ultra Short Term Fund - Monthly Dividend Option</v>
          </cell>
        </row>
        <row r="6095">
          <cell r="F6095" t="str">
            <v>Indiabulls Ultra Short Term Fund - Weekly Dividend Option</v>
          </cell>
        </row>
        <row r="6096">
          <cell r="F6096" t="str">
            <v>Indiabulls Value Discovery Fund - Direct Plan - Dividend Option</v>
          </cell>
        </row>
        <row r="6097">
          <cell r="F6097" t="str">
            <v>Indiabulls Value Discovery Fund - Direct Plan - Growth Option</v>
          </cell>
        </row>
        <row r="6098">
          <cell r="F6098" t="str">
            <v>Indiabulls Value Discovery Fund - Direct Plan - Half Yearly Dividend Option</v>
          </cell>
        </row>
        <row r="6099">
          <cell r="F6099" t="str">
            <v>Indiabulls Value Discovery Fund - Direct Plan - Monthly Dividend Option</v>
          </cell>
        </row>
        <row r="6100">
          <cell r="F6100" t="str">
            <v>Indiabulls Value Discovery Fund - Direct Plan - Quarterly Dividend Option</v>
          </cell>
        </row>
        <row r="6101">
          <cell r="F6101" t="str">
            <v>Indiabulls Value Discovery Fund - Regular Plan - Dividend Option</v>
          </cell>
        </row>
        <row r="6102">
          <cell r="F6102" t="str">
            <v>Indiabulls Value Discovery Fund - Regular Plan - Growth Option</v>
          </cell>
        </row>
        <row r="6103">
          <cell r="F6103" t="str">
            <v>Indiabulls Value Discovery Fund - Regular Plan - Half Yearly Dividend Option</v>
          </cell>
        </row>
        <row r="6104">
          <cell r="F6104" t="str">
            <v>Indiabulls Value Discovery Fund - Regular Plan - Monthly Dividend Option</v>
          </cell>
        </row>
        <row r="6105">
          <cell r="F6105" t="str">
            <v>INDIACEM</v>
          </cell>
        </row>
        <row r="6106">
          <cell r="F6106" t="str">
            <v>INDIAN HOTEL</v>
          </cell>
        </row>
        <row r="6107">
          <cell r="F6107" t="str">
            <v>INDIAN INFO.</v>
          </cell>
        </row>
        <row r="6108">
          <cell r="F6108" t="str">
            <v>INDIAN MET</v>
          </cell>
        </row>
        <row r="6109">
          <cell r="F6109" t="str">
            <v>INDIAN OIL</v>
          </cell>
        </row>
        <row r="6110">
          <cell r="F6110" t="str">
            <v>INDIAN SUCRO</v>
          </cell>
        </row>
        <row r="6111">
          <cell r="F6111" t="str">
            <v>INDIANB</v>
          </cell>
        </row>
        <row r="6112">
          <cell r="F6112" t="str">
            <v>INDIANCARD</v>
          </cell>
        </row>
        <row r="6113">
          <cell r="F6113" t="str">
            <v>INDICAP</v>
          </cell>
        </row>
        <row r="6114">
          <cell r="F6114" t="str">
            <v>INDIGO</v>
          </cell>
        </row>
        <row r="6115">
          <cell r="F6115" t="str">
            <v>INDIGRID</v>
          </cell>
        </row>
        <row r="6116">
          <cell r="F6116" t="str">
            <v>INDINFRA</v>
          </cell>
        </row>
        <row r="6117">
          <cell r="F6117" t="str">
            <v>INDO AMINES</v>
          </cell>
        </row>
        <row r="6118">
          <cell r="F6118" t="str">
            <v>INDO THAI</v>
          </cell>
        </row>
        <row r="6119">
          <cell r="F6119" t="str">
            <v>INDOBORAXC</v>
          </cell>
        </row>
        <row r="6120">
          <cell r="F6120" t="str">
            <v>INDOCO</v>
          </cell>
        </row>
        <row r="6121">
          <cell r="F6121" t="str">
            <v>INDOEURO</v>
          </cell>
        </row>
        <row r="6122">
          <cell r="F6122" t="str">
            <v>INDOKEM LTD.</v>
          </cell>
        </row>
        <row r="6123">
          <cell r="F6123" t="str">
            <v>INDOPACIFIC</v>
          </cell>
        </row>
        <row r="6124">
          <cell r="F6124" t="str">
            <v>INDORAMA</v>
          </cell>
        </row>
        <row r="6125">
          <cell r="F6125" t="str">
            <v>INDOSOLAR</v>
          </cell>
        </row>
        <row r="6126">
          <cell r="F6126" t="str">
            <v>INDOTECHTR</v>
          </cell>
        </row>
        <row r="6127">
          <cell r="F6127" t="str">
            <v>INDOVATION</v>
          </cell>
        </row>
        <row r="6128">
          <cell r="F6128" t="str">
            <v>INDRAMEDCO</v>
          </cell>
        </row>
        <row r="6129">
          <cell r="F6129" t="str">
            <v>INDSIL HYD</v>
          </cell>
        </row>
        <row r="6130">
          <cell r="F6130" t="str">
            <v>INDTERRAIN</v>
          </cell>
        </row>
        <row r="6131">
          <cell r="F6131" t="str">
            <v>INDUCTO STL.</v>
          </cell>
        </row>
        <row r="6132">
          <cell r="F6132" t="str">
            <v>INDUS.&amp;PRUD.</v>
          </cell>
        </row>
        <row r="6133">
          <cell r="F6133" t="str">
            <v>INDUS.INV.TR</v>
          </cell>
        </row>
        <row r="6134">
          <cell r="F6134" t="str">
            <v>INDUSINDBK</v>
          </cell>
        </row>
        <row r="6135">
          <cell r="F6135" t="str">
            <v>INEOSSTYRO</v>
          </cell>
        </row>
        <row r="6136">
          <cell r="F6136" t="str">
            <v>INFIBEAM</v>
          </cell>
        </row>
        <row r="6137">
          <cell r="F6137" t="str">
            <v>INFINITE</v>
          </cell>
        </row>
        <row r="6138">
          <cell r="F6138" t="str">
            <v>INFO EDGE</v>
          </cell>
        </row>
        <row r="6139">
          <cell r="F6139" t="str">
            <v>INFOBEAN</v>
          </cell>
        </row>
        <row r="6140">
          <cell r="F6140" t="str">
            <v>INFRABEES</v>
          </cell>
        </row>
        <row r="6141">
          <cell r="F6141" t="str">
            <v>INFY</v>
          </cell>
        </row>
        <row r="6142">
          <cell r="F6142" t="str">
            <v>INGERSOLL</v>
          </cell>
        </row>
        <row r="6143">
          <cell r="F6143" t="str">
            <v>INN.TECH.PAC</v>
          </cell>
        </row>
        <row r="6144">
          <cell r="F6144" t="str">
            <v>INNO INVEST</v>
          </cell>
        </row>
        <row r="6145">
          <cell r="F6145" t="str">
            <v>INNOVANA</v>
          </cell>
        </row>
        <row r="6146">
          <cell r="F6146" t="str">
            <v>INNOVATIVE</v>
          </cell>
        </row>
        <row r="6147">
          <cell r="F6147" t="str">
            <v>INOXLEISUR</v>
          </cell>
        </row>
        <row r="6148">
          <cell r="F6148" t="str">
            <v>INOXWIND</v>
          </cell>
        </row>
        <row r="6149">
          <cell r="F6149" t="str">
            <v>INSECTCID</v>
          </cell>
        </row>
        <row r="6150">
          <cell r="F6150" t="str">
            <v>INSILCO LTD.</v>
          </cell>
        </row>
        <row r="6151">
          <cell r="F6151" t="str">
            <v>INT.CONVEYOR</v>
          </cell>
        </row>
        <row r="6152">
          <cell r="F6152" t="str">
            <v>INTEG.FIN.SE</v>
          </cell>
        </row>
        <row r="6153">
          <cell r="F6153" t="str">
            <v>INTEGRA ENG</v>
          </cell>
        </row>
        <row r="6154">
          <cell r="F6154" t="str">
            <v>INTELLECT</v>
          </cell>
        </row>
        <row r="6155">
          <cell r="F6155" t="str">
            <v>INTENTECH</v>
          </cell>
        </row>
        <row r="6156">
          <cell r="F6156" t="str">
            <v>INTER DIGI</v>
          </cell>
        </row>
        <row r="6157">
          <cell r="F6157" t="str">
            <v>INTER GLOB F</v>
          </cell>
        </row>
        <row r="6158">
          <cell r="F6158" t="str">
            <v>INTER ST.OIL</v>
          </cell>
        </row>
        <row r="6159">
          <cell r="F6159" t="str">
            <v>INTER.COMBUS</v>
          </cell>
        </row>
        <row r="6160">
          <cell r="F6160" t="str">
            <v>INTER.TRAVEL</v>
          </cell>
        </row>
        <row r="6161">
          <cell r="F6161" t="str">
            <v>INTERLINK PE</v>
          </cell>
        </row>
        <row r="6162">
          <cell r="F6162" t="str">
            <v>INTRASOFT</v>
          </cell>
        </row>
        <row r="6163">
          <cell r="F6163" t="str">
            <v>INVENTURE</v>
          </cell>
        </row>
        <row r="6164">
          <cell r="F6164" t="str">
            <v>Invesco India AGILE Tax Fund - Dividend Option</v>
          </cell>
        </row>
        <row r="6165">
          <cell r="F6165" t="str">
            <v>Invesco India AGILE Tax Fund - Growth Option</v>
          </cell>
        </row>
        <row r="6166">
          <cell r="F6166" t="str">
            <v>Invesco India Annual Interval Fund - Series 1 - Plan B - Direct Sub-Plan - Growth</v>
          </cell>
        </row>
        <row r="6167">
          <cell r="F6167" t="str">
            <v>Invesco India Annual Interval Fund - Series 1 - Plan B - Regular Sub-Plan - Growth</v>
          </cell>
        </row>
        <row r="6168">
          <cell r="F6168" t="str">
            <v>Invesco India Arbitrage Fund - Annual Bonus</v>
          </cell>
        </row>
        <row r="6169">
          <cell r="F6169" t="str">
            <v>Invesco India Arbitrage Fund - Bonus Option</v>
          </cell>
        </row>
        <row r="6170">
          <cell r="F6170" t="str">
            <v>Invesco India Arbitrage Fund - Direct Plan - Annual Bonus</v>
          </cell>
        </row>
        <row r="6171">
          <cell r="F6171" t="str">
            <v>Invesco India Arbitrage Fund - Direct Plan - Bonus Option</v>
          </cell>
        </row>
        <row r="6172">
          <cell r="F6172" t="str">
            <v>Invesco India Arbitrage Fund - Direct Plan - Dividend Option</v>
          </cell>
        </row>
        <row r="6173">
          <cell r="F6173" t="str">
            <v>Invesco India Arbitrage Fund - Direct Plan - Growth Option</v>
          </cell>
        </row>
        <row r="6174">
          <cell r="F6174" t="str">
            <v>Invesco India Arbitrage Fund - Dividend Option</v>
          </cell>
        </row>
        <row r="6175">
          <cell r="F6175" t="str">
            <v>Invesco India Arbitrage Fund - Growth Option</v>
          </cell>
        </row>
        <row r="6176">
          <cell r="F6176" t="str">
            <v>Invesco India Banking &amp; PSU Debt Fund - Daily Dividend Option</v>
          </cell>
        </row>
        <row r="6177">
          <cell r="F6177" t="str">
            <v>Invesco India Banking &amp; PSU Debt Fund - Direct Plan -  Growth Option</v>
          </cell>
        </row>
        <row r="6178">
          <cell r="F6178" t="str">
            <v>Invesco India Banking &amp; PSU Debt Fund - Direct Plan -  Monthly Dividend Option</v>
          </cell>
        </row>
        <row r="6179">
          <cell r="F6179" t="str">
            <v>Invesco India Banking &amp; PSU Debt Fund - Growth Option</v>
          </cell>
        </row>
        <row r="6180">
          <cell r="F6180" t="str">
            <v>Invesco India Banking &amp; PSU Debt Fund - Monthly Dividend Option</v>
          </cell>
        </row>
        <row r="6181">
          <cell r="F6181" t="str">
            <v>Invesco India Contra Fund - Direct Plan - Dividend</v>
          </cell>
        </row>
        <row r="6182">
          <cell r="F6182" t="str">
            <v>Invesco India Contra Fund - Direct Plan - Growth</v>
          </cell>
        </row>
        <row r="6183">
          <cell r="F6183" t="str">
            <v>Invesco India Contra Fund - Dividend</v>
          </cell>
        </row>
        <row r="6184">
          <cell r="F6184" t="str">
            <v>Invesco India Contra Fund - Growth</v>
          </cell>
        </row>
        <row r="6185">
          <cell r="F6185" t="str">
            <v>Invesco India Corporate Bond Fund - AnnualDividend</v>
          </cell>
        </row>
        <row r="6186">
          <cell r="F6186" t="str">
            <v>Invesco India Corporate Bond Fund - Direct Plan - Growth</v>
          </cell>
        </row>
        <row r="6187">
          <cell r="F6187" t="str">
            <v>Invesco India Corporate Bond Fund - Direct Plan - MonthlyDividend</v>
          </cell>
        </row>
        <row r="6188">
          <cell r="F6188" t="str">
            <v>Invesco India Corporate Bond Fund - Direct Plan - Quarterly Dividend</v>
          </cell>
        </row>
        <row r="6189">
          <cell r="F6189" t="str">
            <v>Invesco India Corporate Bond Fund - Growth</v>
          </cell>
        </row>
        <row r="6190">
          <cell r="F6190" t="str">
            <v>Invesco India Corporate Bond Fund - MonthlyDividend</v>
          </cell>
        </row>
        <row r="6191">
          <cell r="F6191" t="str">
            <v>Invesco India Corporate Bond Fund - QuarterlyDividend</v>
          </cell>
        </row>
        <row r="6192">
          <cell r="F6192" t="str">
            <v>Invesco India Credit Risk Fund - Direct Plan - Growth</v>
          </cell>
        </row>
        <row r="6193">
          <cell r="F6193" t="str">
            <v>Invesco India Credit Risk Fund - Direct Plan - Monthly Dividend</v>
          </cell>
        </row>
        <row r="6194">
          <cell r="F6194" t="str">
            <v>Invesco India Credit Risk Fund - Regular Plan - Discretionary Dividend</v>
          </cell>
        </row>
        <row r="6195">
          <cell r="F6195" t="str">
            <v>Invesco India Credit Risk Fund - Regular Plan - Growth</v>
          </cell>
        </row>
        <row r="6196">
          <cell r="F6196" t="str">
            <v>Invesco India Credit Risk Fund - Regular Plan - Monthly Dividend</v>
          </cell>
        </row>
        <row r="6197">
          <cell r="F6197" t="str">
            <v>Invesco India Dynamic Equity Fund - Direct Plan - Dividend</v>
          </cell>
        </row>
        <row r="6198">
          <cell r="F6198" t="str">
            <v>Invesco India Dynamic Equity Fund - Direct Plan - Growth</v>
          </cell>
        </row>
        <row r="6199">
          <cell r="F6199" t="str">
            <v>Invesco India Dynamic Equity Fund - Dividend</v>
          </cell>
        </row>
        <row r="6200">
          <cell r="F6200" t="str">
            <v>Invesco India Dynamic Equity Fund - Growth</v>
          </cell>
        </row>
        <row r="6201">
          <cell r="F6201" t="str">
            <v>Invesco India Feeder - Invesco Global Equity Income Fund - Direct Plan - Dividend</v>
          </cell>
        </row>
        <row r="6202">
          <cell r="F6202" t="str">
            <v>Invesco India Feeder - Invesco Global Equity Income Fund - Direct Plan - Growth</v>
          </cell>
        </row>
        <row r="6203">
          <cell r="F6203" t="str">
            <v>Invesco India Feeder - Invesco Global Equity Income Fund - Regular Plan - Dividend</v>
          </cell>
        </row>
        <row r="6204">
          <cell r="F6204" t="str">
            <v>Invesco India Feeder - Invesco Global Equity Income Fund - Regular Plan - Growth</v>
          </cell>
        </row>
        <row r="6205">
          <cell r="F6205" t="str">
            <v>Invesco India Feeder - Invesco Pan European Equity Fund - Direct Plan - Dividend Option</v>
          </cell>
        </row>
        <row r="6206">
          <cell r="F6206" t="str">
            <v>Invesco India Feeder - Invesco Pan European Equity Fund - Direct Plan - Growth Option</v>
          </cell>
        </row>
        <row r="6207">
          <cell r="F6207" t="str">
            <v>Invesco India Feeder - Invesco Pan European Equity Fund - Regular Plan - Dividend Option</v>
          </cell>
        </row>
        <row r="6208">
          <cell r="F6208" t="str">
            <v>Invesco India Feeder - Invesco Pan European Equity Fund - Regular Plan - Growth Option</v>
          </cell>
        </row>
        <row r="6209">
          <cell r="F6209" t="str">
            <v>Invesco India Financial Services Fund - Direct Plan - Dividend</v>
          </cell>
        </row>
        <row r="6210">
          <cell r="F6210" t="str">
            <v>Invesco India Financial Services Fund - Direct Plan - Growth</v>
          </cell>
        </row>
        <row r="6211">
          <cell r="F6211" t="str">
            <v>Invesco India Financial Services Fund - Retail Dividend</v>
          </cell>
        </row>
        <row r="6212">
          <cell r="F6212" t="str">
            <v>Invesco India Financial Services Fund - Retail Growth</v>
          </cell>
        </row>
        <row r="6213">
          <cell r="F6213" t="str">
            <v>Invesco India Fixed Maturity Plan - Series 22 - Plan H (427 Days) - Direct Plan - Growth Option</v>
          </cell>
        </row>
        <row r="6214">
          <cell r="F6214" t="str">
            <v>Invesco India Fixed Maturity Plan - Series 22 - Plan H (427 Days) - Regular Plan - Growth Option</v>
          </cell>
        </row>
        <row r="6215">
          <cell r="F6215" t="str">
            <v>Invesco India Fixed Maturity Plan - Series 25 - Plan C (1148 Days) - Direct Sub Plan - Dividend Payout</v>
          </cell>
        </row>
        <row r="6216">
          <cell r="F6216" t="str">
            <v>Invesco India Fixed Maturity Plan - Series 25 - Plan C (1148 Days) - Direct Sub Plan - Growth</v>
          </cell>
        </row>
        <row r="6217">
          <cell r="F6217" t="str">
            <v>Invesco India Fixed Maturity Plan - Series 25 - Plan C (1148 Days) - Regular Sub Plan - Dividend Payout</v>
          </cell>
        </row>
        <row r="6218">
          <cell r="F6218" t="str">
            <v>Invesco India Fixed Maturity Plan - Series 25 - Plan C (1148 Days) - Regular Sub Plan - Growth</v>
          </cell>
        </row>
        <row r="6219">
          <cell r="F6219" t="str">
            <v>Invesco India Fixed Maturity Plan - Series 25 - Plan D (1141 Days) - Direct Sub Plan - Growth</v>
          </cell>
        </row>
        <row r="6220">
          <cell r="F6220" t="str">
            <v>Invesco India Fixed Maturity Plan - Series 25 - Plan D (1141 Days) - Regular Sub Plan - Growth</v>
          </cell>
        </row>
        <row r="6221">
          <cell r="F6221" t="str">
            <v>Invesco India Fixed Maturity Plan - Series 25 - Plan F - Direct Sub-plan Growth</v>
          </cell>
        </row>
        <row r="6222">
          <cell r="F6222" t="str">
            <v>Invesco India Fixed Maturity Plan - Series 25 - Plan F - Regular Sub-plan Growth</v>
          </cell>
        </row>
        <row r="6223">
          <cell r="F6223" t="str">
            <v>Invesco India Fixed Maturity Plan - Series 26 - Plan A - Direct - Dividend Payout</v>
          </cell>
        </row>
        <row r="6224">
          <cell r="F6224" t="str">
            <v>Invesco India Fixed Maturity Plan - Series 26 - Plan A - Direct - Growth</v>
          </cell>
        </row>
        <row r="6225">
          <cell r="F6225" t="str">
            <v>Invesco India Fixed Maturity Plan - Series 26 - Plan A - Regular - Dividend Payout</v>
          </cell>
        </row>
        <row r="6226">
          <cell r="F6226" t="str">
            <v>Invesco India Fixed Maturity Plan - Series 26 - Plan A - Regular - Growth</v>
          </cell>
        </row>
        <row r="6227">
          <cell r="F6227" t="str">
            <v>Invesco India Fixed Maturity Plan - Series 26 - Plan C - Direct Sub Plan - Dividend Payout</v>
          </cell>
        </row>
        <row r="6228">
          <cell r="F6228" t="str">
            <v>Invesco India Fixed Maturity Plan - Series 26 - Plan C - Direct Sub Plan - Growth</v>
          </cell>
        </row>
        <row r="6229">
          <cell r="F6229" t="str">
            <v>Invesco India Fixed Maturity Plan - Series 26 - Plan C - Regular Sub Plan - Dividend Payout</v>
          </cell>
        </row>
        <row r="6230">
          <cell r="F6230" t="str">
            <v>Invesco India Fixed Maturity Plan - Series 26 - Plan C - Regular Sub Plan - Growth</v>
          </cell>
        </row>
        <row r="6231">
          <cell r="F6231" t="str">
            <v>Invesco India Fixed Maturity Plan - Series 26 - Plan E - Direct Sub - Plan - Growth</v>
          </cell>
        </row>
        <row r="6232">
          <cell r="F6232" t="str">
            <v>Invesco India Fixed Maturity Plan - Series 26 - Plan E - Regular Sub - Plan Growth</v>
          </cell>
        </row>
        <row r="6233">
          <cell r="F6233" t="str">
            <v>Invesco India Fixed Maturity Plan - Series 27 - Plan A - Direct - Sub plan - Growth</v>
          </cell>
        </row>
        <row r="6234">
          <cell r="F6234" t="str">
            <v>Invesco India Fixed Maturity Plan - Series 27 - Plan A - Regular - Sub plan - Dividend Payout</v>
          </cell>
        </row>
        <row r="6235">
          <cell r="F6235" t="str">
            <v>Invesco India Fixed Maturity Plan - Series 27 - Plan A - Regular - Sub plan - Growth</v>
          </cell>
        </row>
        <row r="6236">
          <cell r="F6236" t="str">
            <v>Invesco India Fixed Maturity Plan - Series 27 - Plan C - Direct Sub - Plan - Growth</v>
          </cell>
        </row>
        <row r="6237">
          <cell r="F6237" t="str">
            <v>Invesco India Fixed Maturity Plan - Series 27 - Plan C - Regular Sub - Plan - Growth</v>
          </cell>
        </row>
        <row r="6238">
          <cell r="F6238" t="str">
            <v>Invesco India Fixed Maturity Plan - Series 29 - Plan B - Direct Sub - Plan - Growth</v>
          </cell>
        </row>
        <row r="6239">
          <cell r="F6239" t="str">
            <v>Invesco India Fixed Maturity Plan - Series 29 - Plan B - Regular Sub - Plan - Dividend Payout</v>
          </cell>
        </row>
        <row r="6240">
          <cell r="F6240" t="str">
            <v>Invesco India Fixed Maturity Plan - Series 29 - Plan B - Regular Sub - Plan - Growth</v>
          </cell>
        </row>
        <row r="6241">
          <cell r="F6241" t="str">
            <v>Invesco India Fixed Maturity Plan - Series 30 - Plan A - Direct Sub - Plan - Dividend Pay out</v>
          </cell>
        </row>
        <row r="6242">
          <cell r="F6242" t="str">
            <v>Invesco India Fixed Maturity Plan - Series 30 - Plan A - Direct Sub - Plan - Growth</v>
          </cell>
        </row>
        <row r="6243">
          <cell r="F6243" t="str">
            <v>Invesco India Fixed Maturity Plan - Series 30 - Plan A - Regular Sub - Plan - Dividend Pay out</v>
          </cell>
        </row>
        <row r="6244">
          <cell r="F6244" t="str">
            <v>Invesco India Fixed Maturity Plan - Series 30 - Plan A - Regular Sub - Plan - Growth</v>
          </cell>
        </row>
        <row r="6245">
          <cell r="F6245" t="str">
            <v>Invesco India Gilt Fund - Annual Dividend</v>
          </cell>
        </row>
        <row r="6246">
          <cell r="F6246" t="str">
            <v>Invesco India Gilt Fund - Direct  Plan - Growth</v>
          </cell>
        </row>
        <row r="6247">
          <cell r="F6247" t="str">
            <v>Invesco India Gilt Fund - Direct Plan - Annual Dividend</v>
          </cell>
        </row>
        <row r="6248">
          <cell r="F6248" t="str">
            <v>Invesco India Gilt Fund - Direct Plan - Monthly Dividend</v>
          </cell>
        </row>
        <row r="6249">
          <cell r="F6249" t="str">
            <v>Invesco India Gilt Fund - Direct Plan - Quarterly Dividend</v>
          </cell>
        </row>
        <row r="6250">
          <cell r="F6250" t="str">
            <v>Invesco India Gilt Fund - Growth</v>
          </cell>
        </row>
        <row r="6251">
          <cell r="F6251" t="str">
            <v>Invesco India Gilt Fund - Monthly Dividend</v>
          </cell>
        </row>
        <row r="6252">
          <cell r="F6252" t="str">
            <v>Invesco India Gilt Fund - Quarterly Dividend</v>
          </cell>
        </row>
        <row r="6253">
          <cell r="F6253" t="str">
            <v>Invesco India Gold Exchange Traded Fund</v>
          </cell>
        </row>
        <row r="6254">
          <cell r="F6254" t="str">
            <v>Invesco India Gold Fund - Direct  Plan - Dividend</v>
          </cell>
        </row>
        <row r="6255">
          <cell r="F6255" t="str">
            <v>Invesco India Gold Fund - Direct Plan- - Growth</v>
          </cell>
        </row>
        <row r="6256">
          <cell r="F6256" t="str">
            <v>Invesco India Gold Fund - Dividend</v>
          </cell>
        </row>
        <row r="6257">
          <cell r="F6257" t="str">
            <v>Invesco India Gold Fund - Growth</v>
          </cell>
        </row>
        <row r="6258">
          <cell r="F6258" t="str">
            <v>Invesco India Growth Opportunities Fund - Direct Plan - Dividend</v>
          </cell>
        </row>
        <row r="6259">
          <cell r="F6259" t="str">
            <v>Invesco India Growth Opportunities Fund - Direct Plan - Growth</v>
          </cell>
        </row>
        <row r="6260">
          <cell r="F6260" t="str">
            <v>Invesco India Growth Opportunities Fund - Dividend</v>
          </cell>
        </row>
        <row r="6261">
          <cell r="F6261" t="str">
            <v>Invesco India Growth Opportunities Fund - Growth</v>
          </cell>
        </row>
        <row r="6262">
          <cell r="F6262" t="str">
            <v>Invesco India Infrastructure Fund - Direct Pan - Dividend Option</v>
          </cell>
        </row>
        <row r="6263">
          <cell r="F6263" t="str">
            <v>Invesco India Infrastructure Fund - Direct Pan - Growth Option</v>
          </cell>
        </row>
        <row r="6264">
          <cell r="F6264" t="str">
            <v>Invesco India Infrastructure Fund - Dividend Option</v>
          </cell>
        </row>
        <row r="6265">
          <cell r="F6265" t="str">
            <v>Invesco India Infrastructure Fund - Growth Option</v>
          </cell>
        </row>
        <row r="6266">
          <cell r="F6266" t="str">
            <v>Invesco India Largecap Fund - Direct Plan - Dividend</v>
          </cell>
        </row>
        <row r="6267">
          <cell r="F6267" t="str">
            <v>Invesco India Largecap Fund - Direct Plan - Growth</v>
          </cell>
        </row>
        <row r="6268">
          <cell r="F6268" t="str">
            <v>Invesco India Largecap Fund - Dividend</v>
          </cell>
        </row>
        <row r="6269">
          <cell r="F6269" t="str">
            <v>Invesco India Largecap Fund - Growth</v>
          </cell>
        </row>
        <row r="6270">
          <cell r="F6270" t="str">
            <v>Invesco India Liquid Fund - Bonus Option</v>
          </cell>
        </row>
        <row r="6271">
          <cell r="F6271" t="str">
            <v>Invesco India Liquid Fund - Daily Dividend</v>
          </cell>
        </row>
        <row r="6272">
          <cell r="F6272" t="str">
            <v>Invesco India Liquid Fund - Direct Plan - Growth</v>
          </cell>
        </row>
        <row r="6273">
          <cell r="F6273" t="str">
            <v>Invesco India Liquid Fund - Direct Plan - Monthly Dividend</v>
          </cell>
        </row>
        <row r="6274">
          <cell r="F6274" t="str">
            <v>Invesco India Liquid Fund - Direct Plan - Weekly Dividend</v>
          </cell>
        </row>
        <row r="6275">
          <cell r="F6275" t="str">
            <v>Invesco India Liquid Fund - Direct Plan-  Daily Dividend</v>
          </cell>
        </row>
        <row r="6276">
          <cell r="F6276" t="str">
            <v>Invesco India Liquid Fund - Growth</v>
          </cell>
        </row>
        <row r="6277">
          <cell r="F6277" t="str">
            <v>Invesco India Liquid Fund - Monthly Dividend</v>
          </cell>
        </row>
        <row r="6278">
          <cell r="F6278" t="str">
            <v>Invesco India Liquid Fund - Regular - Growth</v>
          </cell>
        </row>
        <row r="6279">
          <cell r="F6279" t="str">
            <v>Invesco India Liquid Fund - Regular - Weekly Dividend</v>
          </cell>
        </row>
        <row r="6280">
          <cell r="F6280" t="str">
            <v>Invesco India Liquid Fund - Unclaimed Dividend Plan - Below 3 Years</v>
          </cell>
        </row>
        <row r="6281">
          <cell r="F6281" t="str">
            <v>Invesco India Liquid Fund - Unclaimed Redemption Plan - Below 3 years</v>
          </cell>
        </row>
        <row r="6282">
          <cell r="F6282" t="str">
            <v>Invesco India Liquid Fund - Weekly Dividend</v>
          </cell>
        </row>
        <row r="6283">
          <cell r="F6283" t="str">
            <v>Invesco India Midcap Fund - Direct Plan - Dividend Option</v>
          </cell>
        </row>
        <row r="6284">
          <cell r="F6284" t="str">
            <v>Invesco India Midcap Fund - Direct Plan - Growth Option</v>
          </cell>
        </row>
        <row r="6285">
          <cell r="F6285" t="str">
            <v>Invesco India Midcap Fund - Dividend Option</v>
          </cell>
        </row>
        <row r="6286">
          <cell r="F6286" t="str">
            <v>Invesco India Midcap Fund - Growth Option</v>
          </cell>
        </row>
        <row r="6287">
          <cell r="F6287" t="str">
            <v>Invesco India Money Market Fund - Daily Dividend</v>
          </cell>
        </row>
        <row r="6288">
          <cell r="F6288" t="str">
            <v>Invesco India Money Market Fund - Direct Plan - Daily Dividend</v>
          </cell>
        </row>
        <row r="6289">
          <cell r="F6289" t="str">
            <v>Invesco India Money Market Fund - Direct Plan - Discretionary Dividend</v>
          </cell>
        </row>
        <row r="6290">
          <cell r="F6290" t="str">
            <v>Invesco India Money Market Fund - Direct Plan - Growth</v>
          </cell>
        </row>
        <row r="6291">
          <cell r="F6291" t="str">
            <v>Invesco India Money Market Fund - Direct Plan - Monthly Dividend</v>
          </cell>
        </row>
        <row r="6292">
          <cell r="F6292" t="str">
            <v>Invesco India Money Market Fund - Discretionary Dividend</v>
          </cell>
        </row>
        <row r="6293">
          <cell r="F6293" t="str">
            <v>Invesco India Money Market Fund - Growth</v>
          </cell>
        </row>
        <row r="6294">
          <cell r="F6294" t="str">
            <v>Invesco India Money Market Fund - Monthly Dividend</v>
          </cell>
        </row>
        <row r="6295">
          <cell r="F6295" t="str">
            <v>Invesco India Money Market Fund - Regular - Growth</v>
          </cell>
        </row>
        <row r="6296">
          <cell r="F6296" t="str">
            <v>Invesco India Money Market Fund - Regular - Monthly Dividend</v>
          </cell>
        </row>
        <row r="6297">
          <cell r="F6297" t="str">
            <v>Invesco India Money Market Fund - Regular Plan - Daily Dividend</v>
          </cell>
        </row>
        <row r="6298">
          <cell r="F6298" t="str">
            <v>Invesco India Multicap Fund - Direct Plan - Dividend Option</v>
          </cell>
        </row>
        <row r="6299">
          <cell r="F6299" t="str">
            <v>Invesco India Multicap Fund - Direct Plan - Growth Option</v>
          </cell>
        </row>
        <row r="6300">
          <cell r="F6300" t="str">
            <v>Invesco India Multicap Fund - Dividend Option</v>
          </cell>
        </row>
        <row r="6301">
          <cell r="F6301" t="str">
            <v>Invesco India Multicap Fund - Growth Option</v>
          </cell>
        </row>
        <row r="6302">
          <cell r="F6302" t="str">
            <v>Invesco India Nifty Exchange Traded Fund</v>
          </cell>
        </row>
        <row r="6303">
          <cell r="F6303" t="str">
            <v>Invesco India PSU Equity Fund - Direct Plan - Dividend</v>
          </cell>
        </row>
        <row r="6304">
          <cell r="F6304" t="str">
            <v>Invesco India PSU Equity Fund - Direct Plan - Growth</v>
          </cell>
        </row>
        <row r="6305">
          <cell r="F6305" t="str">
            <v>Invesco India PSU Equity Fund - Dividend</v>
          </cell>
        </row>
        <row r="6306">
          <cell r="F6306" t="str">
            <v>Invesco India PSU Equity Fund - Growth</v>
          </cell>
        </row>
        <row r="6307">
          <cell r="F6307" t="str">
            <v>Invesco India Regular Savings Fund - Direct Plan  - Growth</v>
          </cell>
        </row>
        <row r="6308">
          <cell r="F6308" t="str">
            <v>Invesco India Regular Savings Fund - Direct Plan - Monthly Dividend</v>
          </cell>
        </row>
        <row r="6309">
          <cell r="F6309" t="str">
            <v>Invesco India Regular Savings Fund - Growth</v>
          </cell>
        </row>
        <row r="6310">
          <cell r="F6310" t="str">
            <v>Invesco India Regular Savings Fund - Monthly Dividend</v>
          </cell>
        </row>
        <row r="6311">
          <cell r="F6311" t="str">
            <v>Invesco India Short Term Fund - Daily Dividend</v>
          </cell>
        </row>
        <row r="6312">
          <cell r="F6312" t="str">
            <v>Invesco India Short Term Fund - Direct Plan - Daily Dividend</v>
          </cell>
        </row>
        <row r="6313">
          <cell r="F6313" t="str">
            <v>Invesco India Short Term Fund - Direct Plan - Growth</v>
          </cell>
        </row>
        <row r="6314">
          <cell r="F6314" t="str">
            <v>Invesco India Short Term Fund - Direct Plan - Monthly Dividend</v>
          </cell>
        </row>
        <row r="6315">
          <cell r="F6315" t="str">
            <v>Invesco India Short Term Fund - Direct Plan -Discretionary Dividend</v>
          </cell>
        </row>
        <row r="6316">
          <cell r="F6316" t="str">
            <v>Invesco India Short Term Fund - Direct Plan -Weekly Dividend</v>
          </cell>
        </row>
        <row r="6317">
          <cell r="F6317" t="str">
            <v>Invesco India Short Term Fund - Growth</v>
          </cell>
        </row>
        <row r="6318">
          <cell r="F6318" t="str">
            <v>Invesco India Short Term Fund - Monthly Dividend</v>
          </cell>
        </row>
        <row r="6319">
          <cell r="F6319" t="str">
            <v>Invesco India Short Term Fund - Plan B - Growth</v>
          </cell>
        </row>
        <row r="6320">
          <cell r="F6320" t="str">
            <v>Invesco India Short Term Fund - Plan B - Monthly Dividend</v>
          </cell>
        </row>
        <row r="6321">
          <cell r="F6321" t="str">
            <v>Invesco India Short Term Fund - Plan B - Weekly Dividend</v>
          </cell>
        </row>
        <row r="6322">
          <cell r="F6322" t="str">
            <v>Invesco India Short Term Fund - Weekly Dividend</v>
          </cell>
        </row>
        <row r="6323">
          <cell r="F6323" t="str">
            <v>Invesco India Short Term Fund- Plan B - Daily Dividend</v>
          </cell>
        </row>
        <row r="6324">
          <cell r="F6324" t="str">
            <v>Invesco India Tax Plan - Direct Plan - Dividend</v>
          </cell>
        </row>
        <row r="6325">
          <cell r="F6325" t="str">
            <v>Invesco India Tax Plan - Direct Plan - Growth</v>
          </cell>
        </row>
        <row r="6326">
          <cell r="F6326" t="str">
            <v>Invesco India Tax Plan - Dividend</v>
          </cell>
        </row>
        <row r="6327">
          <cell r="F6327" t="str">
            <v>Invesco India Tax Plan - Growth</v>
          </cell>
        </row>
        <row r="6328">
          <cell r="F6328" t="str">
            <v>Invesco India Treasury Advantage Fund - Annual Bonus</v>
          </cell>
        </row>
        <row r="6329">
          <cell r="F6329" t="str">
            <v>Invesco India Treasury Advantage Fund - Bonus</v>
          </cell>
        </row>
        <row r="6330">
          <cell r="F6330" t="str">
            <v>Invesco India Treasury Advantage Fund - Daily Dividend</v>
          </cell>
        </row>
        <row r="6331">
          <cell r="F6331" t="str">
            <v>Invesco India Treasury Advantage Fund - Direct Plan - Bonus</v>
          </cell>
        </row>
        <row r="6332">
          <cell r="F6332" t="str">
            <v>Invesco India Treasury Advantage Fund - Direct Plan - Discretionary Dividend option</v>
          </cell>
        </row>
        <row r="6333">
          <cell r="F6333" t="str">
            <v>Invesco India Treasury Advantage Fund - Direct Plan - Growth</v>
          </cell>
        </row>
        <row r="6334">
          <cell r="F6334" t="str">
            <v>Invesco India Treasury Advantage Fund - Direct Plan - Monthly Dividend</v>
          </cell>
        </row>
        <row r="6335">
          <cell r="F6335" t="str">
            <v>Invesco India Treasury Advantage Fund - Direct Plan - Weekly Dividend</v>
          </cell>
        </row>
        <row r="6336">
          <cell r="F6336" t="str">
            <v>Invesco India Treasury Advantage Fund - Direct Plan -Daily Dividend</v>
          </cell>
        </row>
        <row r="6337">
          <cell r="F6337" t="str">
            <v>Invesco India Treasury Advantage Fund - Growth</v>
          </cell>
        </row>
        <row r="6338">
          <cell r="F6338" t="str">
            <v>Invesco India Treasury Advantage Fund - Monthly Dividend</v>
          </cell>
        </row>
        <row r="6339">
          <cell r="F6339" t="str">
            <v>Invesco India Treasury Advantage Fund - Regular - Growth</v>
          </cell>
        </row>
        <row r="6340">
          <cell r="F6340" t="str">
            <v>Invesco India Treasury Advantage Fund - Regular - Monthly Dividend</v>
          </cell>
        </row>
        <row r="6341">
          <cell r="F6341" t="str">
            <v>Invesco India Treasury Advantage Fund - Regular - Weekly Dividend</v>
          </cell>
        </row>
        <row r="6342">
          <cell r="F6342" t="str">
            <v>Invesco India Treasury Advantage Fund - Regular Daily Dividend</v>
          </cell>
        </row>
        <row r="6343">
          <cell r="F6343" t="str">
            <v>Invesco India Treasury Advantage Fund - Weekly Dividend</v>
          </cell>
        </row>
        <row r="6344">
          <cell r="F6344" t="str">
            <v>Invesco India Ultra Short Term Fund - Annual Dividend</v>
          </cell>
        </row>
        <row r="6345">
          <cell r="F6345" t="str">
            <v>Invesco India Ultra Short Term Fund - Daily Dividend Reinvestment</v>
          </cell>
        </row>
        <row r="6346">
          <cell r="F6346" t="str">
            <v>Invesco India Ultra Short Term Fund - Direct Plan - Annual Dividend</v>
          </cell>
        </row>
        <row r="6347">
          <cell r="F6347" t="str">
            <v>Invesco India Ultra Short Term Fund - Direct Plan - Daily Dividend Reinvestment</v>
          </cell>
        </row>
        <row r="6348">
          <cell r="F6348" t="str">
            <v>Invesco India Ultra Short Term Fund - Direct Plan - Growth</v>
          </cell>
        </row>
        <row r="6349">
          <cell r="F6349" t="str">
            <v>Invesco India Ultra Short Term Fund - Direct Plan - Monthly Dividend</v>
          </cell>
        </row>
        <row r="6350">
          <cell r="F6350" t="str">
            <v>Invesco India Ultra Short Term Fund - Direct Plan - Quarterly Dividend</v>
          </cell>
        </row>
        <row r="6351">
          <cell r="F6351" t="str">
            <v>Invesco India Ultra Short Term Fund - Growth</v>
          </cell>
        </row>
        <row r="6352">
          <cell r="F6352" t="str">
            <v>Invesco India Ultra Short Term Fund - Monthly Dividend</v>
          </cell>
        </row>
        <row r="6353">
          <cell r="F6353" t="str">
            <v>Invesco India Ultra Short Term Fund - Quarterly Dividend</v>
          </cell>
        </row>
        <row r="6354">
          <cell r="F6354" t="str">
            <v>INVEST &amp;PREC</v>
          </cell>
        </row>
        <row r="6355">
          <cell r="F6355" t="str">
            <v>INVICTA MED</v>
          </cell>
        </row>
        <row r="6356">
          <cell r="F6356" t="str">
            <v>IOB</v>
          </cell>
        </row>
        <row r="6357">
          <cell r="F6357" t="str">
            <v>IOLCP</v>
          </cell>
        </row>
        <row r="6358">
          <cell r="F6358" t="str">
            <v>ION EXCHANGE</v>
          </cell>
        </row>
        <row r="6359">
          <cell r="F6359" t="str">
            <v>IP RINGS LTD</v>
          </cell>
        </row>
        <row r="6360">
          <cell r="F6360" t="str">
            <v>IPAPPM</v>
          </cell>
        </row>
        <row r="6361">
          <cell r="F6361" t="str">
            <v>IPCALAB</v>
          </cell>
        </row>
        <row r="6362">
          <cell r="F6362" t="str">
            <v>IPRU3018</v>
          </cell>
        </row>
        <row r="6363">
          <cell r="F6363" t="str">
            <v>IPRU9008</v>
          </cell>
        </row>
        <row r="6364">
          <cell r="F6364" t="str">
            <v>IRB</v>
          </cell>
        </row>
        <row r="6365">
          <cell r="F6365" t="str">
            <v>IRBINVIT</v>
          </cell>
        </row>
        <row r="6366">
          <cell r="F6366" t="str">
            <v>IRFC</v>
          </cell>
        </row>
        <row r="6367">
          <cell r="F6367" t="str">
            <v>IRFC2</v>
          </cell>
        </row>
        <row r="6368">
          <cell r="F6368" t="str">
            <v>IRFC3</v>
          </cell>
        </row>
        <row r="6369">
          <cell r="F6369" t="str">
            <v>IRFC4</v>
          </cell>
        </row>
        <row r="6370">
          <cell r="F6370" t="str">
            <v>IRFC5</v>
          </cell>
        </row>
        <row r="6371">
          <cell r="F6371" t="str">
            <v>IRFC6</v>
          </cell>
        </row>
        <row r="6372">
          <cell r="F6372" t="str">
            <v>IRFC7</v>
          </cell>
        </row>
        <row r="6373">
          <cell r="F6373" t="str">
            <v>IRIS</v>
          </cell>
        </row>
        <row r="6374">
          <cell r="F6374" t="str">
            <v>IRISMEDIA</v>
          </cell>
        </row>
        <row r="6375">
          <cell r="F6375" t="str">
            <v>ISGEC</v>
          </cell>
        </row>
        <row r="6376">
          <cell r="F6376" t="str">
            <v>ISHAN DYES</v>
          </cell>
        </row>
        <row r="6377">
          <cell r="F6377" t="str">
            <v>ISHITA DRUGS</v>
          </cell>
        </row>
        <row r="6378">
          <cell r="F6378" t="str">
            <v>ISL CONSULT</v>
          </cell>
        </row>
        <row r="6379">
          <cell r="F6379" t="str">
            <v>ISMTLTD</v>
          </cell>
        </row>
        <row r="6380">
          <cell r="F6380" t="str">
            <v>IST LTD.</v>
          </cell>
        </row>
        <row r="6381">
          <cell r="F6381" t="str">
            <v>ISTRNETWK</v>
          </cell>
        </row>
        <row r="6382">
          <cell r="F6382" t="str">
            <v>ISW LTD</v>
          </cell>
        </row>
        <row r="6383">
          <cell r="F6383" t="str">
            <v>ITC</v>
          </cell>
        </row>
        <row r="6384">
          <cell r="F6384" t="str">
            <v>ITDCEM</v>
          </cell>
        </row>
        <row r="6385">
          <cell r="F6385" t="str">
            <v>ITI</v>
          </cell>
        </row>
        <row r="6386">
          <cell r="F6386" t="str">
            <v>ITL INDUSTRS</v>
          </cell>
        </row>
        <row r="6387">
          <cell r="F6387" t="str">
            <v>IVC</v>
          </cell>
        </row>
        <row r="6388">
          <cell r="F6388" t="str">
            <v>IVP LIMITED</v>
          </cell>
        </row>
        <row r="6389">
          <cell r="F6389" t="str">
            <v>IVRCL LTD</v>
          </cell>
        </row>
        <row r="6390">
          <cell r="F6390" t="str">
            <v>IVZINGOLD</v>
          </cell>
        </row>
        <row r="6391">
          <cell r="F6391" t="str">
            <v>IVZINNIFTY</v>
          </cell>
        </row>
        <row r="6392">
          <cell r="F6392" t="str">
            <v>IWIND ENERGY</v>
          </cell>
        </row>
        <row r="6393">
          <cell r="F6393" t="str">
            <v>IZMO</v>
          </cell>
        </row>
        <row r="6394">
          <cell r="F6394" t="str">
            <v>J &amp; K BANK</v>
          </cell>
        </row>
        <row r="6395">
          <cell r="F6395" t="str">
            <v>J.B.CHEMICAL</v>
          </cell>
        </row>
        <row r="6396">
          <cell r="F6396" t="str">
            <v>JAGAN LAMPS</v>
          </cell>
        </row>
        <row r="6397">
          <cell r="F6397" t="str">
            <v>JAGATJIT IND</v>
          </cell>
        </row>
        <row r="6398">
          <cell r="F6398" t="str">
            <v>JAGRAN</v>
          </cell>
        </row>
        <row r="6399">
          <cell r="F6399" t="str">
            <v>JAGSON AIRLI</v>
          </cell>
        </row>
        <row r="6400">
          <cell r="F6400" t="str">
            <v>JAGSON PHAR</v>
          </cell>
        </row>
        <row r="6401">
          <cell r="F6401" t="str">
            <v>JAIBALA IND</v>
          </cell>
        </row>
        <row r="6402">
          <cell r="F6402" t="str">
            <v>JAICORPLTD</v>
          </cell>
        </row>
        <row r="6403">
          <cell r="F6403" t="str">
            <v>JAIHIND PROJ</v>
          </cell>
        </row>
        <row r="6404">
          <cell r="F6404" t="str">
            <v>JAIN IRRIG</v>
          </cell>
        </row>
        <row r="6405">
          <cell r="F6405" t="str">
            <v>JAINCO PROJ.</v>
          </cell>
        </row>
        <row r="6406">
          <cell r="F6406" t="str">
            <v>JAINEX</v>
          </cell>
        </row>
        <row r="6407">
          <cell r="F6407" t="str">
            <v>JAINSTUDIO</v>
          </cell>
        </row>
        <row r="6408">
          <cell r="F6408" t="str">
            <v>JAIPAN INDUS</v>
          </cell>
        </row>
        <row r="6409">
          <cell r="F6409" t="str">
            <v>JAIPRA</v>
          </cell>
        </row>
        <row r="6410">
          <cell r="F6410" t="str">
            <v>JALAN</v>
          </cell>
        </row>
        <row r="6411">
          <cell r="F6411" t="str">
            <v>JAMES HOTELS</v>
          </cell>
        </row>
        <row r="6412">
          <cell r="F6412" t="str">
            <v>JAMESWARREN</v>
          </cell>
        </row>
        <row r="6413">
          <cell r="F6413" t="str">
            <v>JAMNAAUTO</v>
          </cell>
        </row>
        <row r="6414">
          <cell r="F6414" t="str">
            <v>JASCH INDUST</v>
          </cell>
        </row>
        <row r="6415">
          <cell r="F6415" t="str">
            <v>JASH</v>
          </cell>
        </row>
        <row r="6416">
          <cell r="F6416" t="str">
            <v>JAUS POLYMER</v>
          </cell>
        </row>
        <row r="6417">
          <cell r="F6417" t="str">
            <v>JAY HIND SYN</v>
          </cell>
        </row>
        <row r="6418">
          <cell r="F6418" t="str">
            <v>JAY USHIN</v>
          </cell>
        </row>
        <row r="6419">
          <cell r="F6419" t="str">
            <v>JAYANT AGRO</v>
          </cell>
        </row>
        <row r="6420">
          <cell r="F6420" t="str">
            <v>JAYBARMARU</v>
          </cell>
        </row>
        <row r="6421">
          <cell r="F6421" t="str">
            <v>JAYKAY</v>
          </cell>
        </row>
        <row r="6422">
          <cell r="F6422" t="str">
            <v>JAYNECOIND</v>
          </cell>
        </row>
        <row r="6423">
          <cell r="F6423" t="str">
            <v>JAYSHRE TEA</v>
          </cell>
        </row>
        <row r="6424">
          <cell r="F6424" t="str">
            <v>JAYSHRI CHEM</v>
          </cell>
        </row>
        <row r="6425">
          <cell r="F6425" t="str">
            <v>JAYSN DYEST</v>
          </cell>
        </row>
        <row r="6426">
          <cell r="F6426" t="str">
            <v>JBF IND.LTD</v>
          </cell>
        </row>
        <row r="6427">
          <cell r="F6427" t="str">
            <v>JBMA</v>
          </cell>
        </row>
        <row r="6428">
          <cell r="F6428" t="str">
            <v>JCHAC</v>
          </cell>
        </row>
        <row r="6429">
          <cell r="F6429" t="str">
            <v>JCT LTD</v>
          </cell>
        </row>
        <row r="6430">
          <cell r="F6430" t="str">
            <v>JD ORGOCHEM</v>
          </cell>
        </row>
        <row r="6431">
          <cell r="F6431" t="str">
            <v>JDML</v>
          </cell>
        </row>
        <row r="6432">
          <cell r="F6432" t="str">
            <v>JENBURKT PH.</v>
          </cell>
        </row>
        <row r="6433">
          <cell r="F6433" t="str">
            <v>JENSONICOL</v>
          </cell>
        </row>
        <row r="6434">
          <cell r="F6434" t="str">
            <v>JETAIRWAYS</v>
          </cell>
        </row>
        <row r="6435">
          <cell r="F6435" t="str">
            <v>JETFREIGHT</v>
          </cell>
        </row>
        <row r="6436">
          <cell r="F6436" t="str">
            <v>JETINFOTRAN</v>
          </cell>
        </row>
        <row r="6437">
          <cell r="F6437" t="str">
            <v>JETKNIT</v>
          </cell>
        </row>
        <row r="6438">
          <cell r="F6438" t="str">
            <v>JFL</v>
          </cell>
        </row>
        <row r="6439">
          <cell r="F6439" t="str">
            <v>JHAVERI CRED</v>
          </cell>
        </row>
        <row r="6440">
          <cell r="F6440" t="str">
            <v>JHS SVEN</v>
          </cell>
        </row>
        <row r="6441">
          <cell r="F6441" t="str">
            <v>JIGAR</v>
          </cell>
        </row>
        <row r="6442">
          <cell r="F6442" t="str">
            <v>JINDAL CAP.</v>
          </cell>
        </row>
        <row r="6443">
          <cell r="F6443" t="str">
            <v>JINDAL DRILL</v>
          </cell>
        </row>
        <row r="6444">
          <cell r="F6444" t="str">
            <v>JINDAL HOTL</v>
          </cell>
        </row>
        <row r="6445">
          <cell r="F6445" t="str">
            <v>JINDAL POLYF</v>
          </cell>
        </row>
        <row r="6446">
          <cell r="F6446" t="str">
            <v>JINDAL STE</v>
          </cell>
        </row>
        <row r="6447">
          <cell r="F6447" t="str">
            <v>JINDALPH</v>
          </cell>
        </row>
        <row r="6448">
          <cell r="F6448" t="str">
            <v>JINDALSAW</v>
          </cell>
        </row>
        <row r="6449">
          <cell r="F6449" t="str">
            <v>JINDCOT</v>
          </cell>
        </row>
        <row r="6450">
          <cell r="F6450" t="str">
            <v>JINDWORLD</v>
          </cell>
        </row>
        <row r="6451">
          <cell r="F6451" t="str">
            <v>JISLDVREQS</v>
          </cell>
        </row>
        <row r="6452">
          <cell r="F6452" t="str">
            <v>JITFINFRA</v>
          </cell>
        </row>
        <row r="6453">
          <cell r="F6453" t="str">
            <v>JIYAECO</v>
          </cell>
        </row>
        <row r="6454">
          <cell r="F6454" t="str">
            <v>JJ FINANCE</v>
          </cell>
        </row>
        <row r="6455">
          <cell r="F6455" t="str">
            <v>JK LAKSHMI</v>
          </cell>
        </row>
        <row r="6456">
          <cell r="F6456" t="str">
            <v>JK PAPER</v>
          </cell>
        </row>
        <row r="6457">
          <cell r="F6457" t="str">
            <v>JKAGRI GEN</v>
          </cell>
        </row>
        <row r="6458">
          <cell r="F6458" t="str">
            <v>JKCEMENT</v>
          </cell>
        </row>
        <row r="6459">
          <cell r="F6459" t="str">
            <v>JKIL</v>
          </cell>
        </row>
        <row r="6460">
          <cell r="F6460" t="str">
            <v>JKTYRE</v>
          </cell>
        </row>
        <row r="6461">
          <cell r="F6461" t="str">
            <v>JM Arbitrage Fund (Direct) - Annual Bonus Option - Principal Units</v>
          </cell>
        </row>
        <row r="6462">
          <cell r="F6462" t="str">
            <v>JM Arbitrage Fund (Direct) - Annual Dividend Option</v>
          </cell>
        </row>
        <row r="6463">
          <cell r="F6463" t="str">
            <v>JM Arbitrage Fund (Direct) - Bonus Option - Principal Units</v>
          </cell>
        </row>
        <row r="6464">
          <cell r="F6464" t="str">
            <v>JM Arbitrage Fund (Direct) - Dividend Option</v>
          </cell>
        </row>
        <row r="6465">
          <cell r="F6465" t="str">
            <v>JM Arbitrage Fund (Direct) - Growth Option</v>
          </cell>
        </row>
        <row r="6466">
          <cell r="F6466" t="str">
            <v>JM Arbitrage Fund (Direct) - Half Yearly Bonus Option - Principal Units</v>
          </cell>
        </row>
        <row r="6467">
          <cell r="F6467" t="str">
            <v>JM Arbitrage Fund (Direct) - Half Yearly Dividend Option</v>
          </cell>
        </row>
        <row r="6468">
          <cell r="F6468" t="str">
            <v>JM Arbitrage Fund (Direct) - Monthly Dividend Option</v>
          </cell>
        </row>
        <row r="6469">
          <cell r="F6469" t="str">
            <v>JM Arbitrage Fund (Direct) - Quarterly Bonus Option - Principal Units</v>
          </cell>
        </row>
        <row r="6470">
          <cell r="F6470" t="str">
            <v>JM Arbitrage Fund (Direct) - Quarterly Dividend Option</v>
          </cell>
        </row>
        <row r="6471">
          <cell r="F6471" t="str">
            <v>JM Arbitrage Fund - Annual Bonus Option</v>
          </cell>
        </row>
        <row r="6472">
          <cell r="F6472" t="str">
            <v>JM Arbitrage Fund - Annual Dividend Option</v>
          </cell>
        </row>
        <row r="6473">
          <cell r="F6473" t="str">
            <v>JM Arbitrage Fund - Bonus Option - Principal Units</v>
          </cell>
        </row>
        <row r="6474">
          <cell r="F6474" t="str">
            <v>JM Arbitrage Fund - Half Yearly Bonus Option - Principal Units</v>
          </cell>
        </row>
        <row r="6475">
          <cell r="F6475" t="str">
            <v>JM Arbitrage Fund - Half Yearly Dividend Option</v>
          </cell>
        </row>
        <row r="6476">
          <cell r="F6476" t="str">
            <v>JM Arbitrage Fund - Monthly Dividend Option</v>
          </cell>
        </row>
        <row r="6477">
          <cell r="F6477" t="str">
            <v>JM Arbitrage Fund - Quarterly Bonus Option - Principal Units</v>
          </cell>
        </row>
        <row r="6478">
          <cell r="F6478" t="str">
            <v>JM Arbitrage Fund - Quarterly Dividend Option</v>
          </cell>
        </row>
        <row r="6479">
          <cell r="F6479" t="str">
            <v>JM ARBITRAGE FUND-Dividend</v>
          </cell>
        </row>
        <row r="6480">
          <cell r="F6480" t="str">
            <v>JM ARBITRAGE FUND-Growth</v>
          </cell>
        </row>
        <row r="6481">
          <cell r="F6481" t="str">
            <v>JM Core 11 Fund (Direct)  - Growth Option</v>
          </cell>
        </row>
        <row r="6482">
          <cell r="F6482" t="str">
            <v>JM Core 11 Fund (Direct) - Dividend Option</v>
          </cell>
        </row>
        <row r="6483">
          <cell r="F6483" t="str">
            <v>JM Core 11 Fund - Dividend option</v>
          </cell>
        </row>
        <row r="6484">
          <cell r="F6484" t="str">
            <v>JM Core 11 Fund - Growth option</v>
          </cell>
        </row>
        <row r="6485">
          <cell r="F6485" t="str">
            <v>JM Dyanim Debt Fund - (Direct) - Dividend Option</v>
          </cell>
        </row>
        <row r="6486">
          <cell r="F6486" t="str">
            <v>JM Dynamic Debt Fund (Direct) - Monthly Dividend Option</v>
          </cell>
        </row>
        <row r="6487">
          <cell r="F6487" t="str">
            <v>JM Dynamic Debt Fund - (Direct)  - Daily Dividend Option</v>
          </cell>
        </row>
        <row r="6488">
          <cell r="F6488" t="str">
            <v>JM Dynamic Debt Fund - (Direct) - Bonus Option-Principal Units</v>
          </cell>
        </row>
        <row r="6489">
          <cell r="F6489" t="str">
            <v>JM Dynamic Debt Fund - (Direct) - Growth Option</v>
          </cell>
        </row>
        <row r="6490">
          <cell r="F6490" t="str">
            <v>JM Dynamic Debt Fund - (Direct) - Half Yearly Bonus Option - Principal Units</v>
          </cell>
        </row>
        <row r="6491">
          <cell r="F6491" t="str">
            <v>JM Dynamic Debt Fund - (Direct) - Weekly Dividend Option</v>
          </cell>
        </row>
        <row r="6492">
          <cell r="F6492" t="str">
            <v>JM Dynamic Debt Fund - Bonus Option-Principal Units</v>
          </cell>
        </row>
        <row r="6493">
          <cell r="F6493" t="str">
            <v>JM Dynamic Debt Fund - Half Yearly Bonus Option - Principal Units</v>
          </cell>
        </row>
        <row r="6494">
          <cell r="F6494" t="str">
            <v>JM Dynamic Debt Fund - Monthly Dividend Option</v>
          </cell>
        </row>
        <row r="6495">
          <cell r="F6495" t="str">
            <v>JM Dynamic Debt Fund - Premium Plan - Daily Dividend Option</v>
          </cell>
        </row>
        <row r="6496">
          <cell r="F6496" t="str">
            <v>JM Dynamic Debt Fund - Premium Plan - Dividend Option</v>
          </cell>
        </row>
        <row r="6497">
          <cell r="F6497" t="str">
            <v>JM Dynamic Debt Fund - Premium Plan - Growth Option</v>
          </cell>
        </row>
        <row r="6498">
          <cell r="F6498" t="str">
            <v>JM Dynamic Debt Fund - Regular Plan - Daily Dividend Option</v>
          </cell>
        </row>
        <row r="6499">
          <cell r="F6499" t="str">
            <v>JM Dynamic Debt Fund - Regular Plan - Dividend Option</v>
          </cell>
        </row>
        <row r="6500">
          <cell r="F6500" t="str">
            <v>JM Dynamic Debt Fund - Regular Plan - Growth Option</v>
          </cell>
        </row>
        <row r="6501">
          <cell r="F6501" t="str">
            <v>JM Dynamic Debt Fund - Regular Plan - Weekly Dividend Option</v>
          </cell>
        </row>
        <row r="6502">
          <cell r="F6502" t="str">
            <v>JM Equity Hybrid Fund (Direct) - Annual Bonus Option</v>
          </cell>
        </row>
        <row r="6503">
          <cell r="F6503" t="str">
            <v>JM Equity Hybrid Fund (Direct) - Annual Dividend Option</v>
          </cell>
        </row>
        <row r="6504">
          <cell r="F6504" t="str">
            <v>JM Equity Hybrid Fund (Direct) - Bonus Option - Principal Units</v>
          </cell>
        </row>
        <row r="6505">
          <cell r="F6505" t="str">
            <v>JM Equity Hybrid Fund (Direct) - Dividend Option</v>
          </cell>
        </row>
        <row r="6506">
          <cell r="F6506" t="str">
            <v>JM Equity Hybrid Fund (Direct) - Growth Option</v>
          </cell>
        </row>
        <row r="6507">
          <cell r="F6507" t="str">
            <v>JM Equity Hybrid Fund (Direct) - Half Yearly Bonus Option - Principal Units</v>
          </cell>
        </row>
        <row r="6508">
          <cell r="F6508" t="str">
            <v>JM Equity Hybrid Fund (Direct) - Half Yearly Dividend Option</v>
          </cell>
        </row>
        <row r="6509">
          <cell r="F6509" t="str">
            <v>JM Equity Hybrid Fund (Direct) - Monthly Dividend Option</v>
          </cell>
        </row>
        <row r="6510">
          <cell r="F6510" t="str">
            <v>JM Equity Hybrid Fund (Direct) - Quarterly Bonus Option - Principal Units</v>
          </cell>
        </row>
        <row r="6511">
          <cell r="F6511" t="str">
            <v>JM Equity Hybrid Fund (Direct) - Quarterly Dividend Option</v>
          </cell>
        </row>
        <row r="6512">
          <cell r="F6512" t="str">
            <v>JM Equity Hybrid Fund - Annual Bonus Option</v>
          </cell>
        </row>
        <row r="6513">
          <cell r="F6513" t="str">
            <v>JM Equity Hybrid Fund - Annual Dividend Option</v>
          </cell>
        </row>
        <row r="6514">
          <cell r="F6514" t="str">
            <v>JM Equity Hybrid Fund - Bonus Option - Principal Units</v>
          </cell>
        </row>
        <row r="6515">
          <cell r="F6515" t="str">
            <v>JM Equity Hybrid Fund - Half Yearly Bonus Option - Principal Units</v>
          </cell>
        </row>
        <row r="6516">
          <cell r="F6516" t="str">
            <v>JM Equity Hybrid Fund - Half Yearly Dividend Option</v>
          </cell>
        </row>
        <row r="6517">
          <cell r="F6517" t="str">
            <v>JM Equity Hybrid Fund - Monthly Dividend Option</v>
          </cell>
        </row>
        <row r="6518">
          <cell r="F6518" t="str">
            <v>JM Equity Hybrid Fund - Quarterly Bonus Option - Principal Units</v>
          </cell>
        </row>
        <row r="6519">
          <cell r="F6519" t="str">
            <v>JM Equity Hybrid Fund - Quarterly Dividend Option</v>
          </cell>
        </row>
        <row r="6520">
          <cell r="F6520" t="str">
            <v>JM Equity Hybrid Fund-Dividend</v>
          </cell>
        </row>
        <row r="6521">
          <cell r="F6521" t="str">
            <v>JM Equity Hybrid Fund-Growth</v>
          </cell>
        </row>
        <row r="6522">
          <cell r="F6522" t="str">
            <v>JM FINANCIAL</v>
          </cell>
        </row>
        <row r="6523">
          <cell r="F6523" t="str">
            <v>JM G-Sec Fund - (Direct) - Growth Option</v>
          </cell>
        </row>
        <row r="6524">
          <cell r="F6524" t="str">
            <v>JM G-Sec Fund - (Direct) - Quarterly Dividend Option</v>
          </cell>
        </row>
        <row r="6525">
          <cell r="F6525" t="str">
            <v>JM G-Sec Fund - (Direct) Annual Dividend Option</v>
          </cell>
        </row>
        <row r="6526">
          <cell r="F6526" t="str">
            <v>JM G-Sec Fund - (Direct) Bonus Option - Principal Units</v>
          </cell>
        </row>
        <row r="6527">
          <cell r="F6527" t="str">
            <v>JM G-Sec Fund - (Direct) Half Yearly Dividend Option</v>
          </cell>
        </row>
        <row r="6528">
          <cell r="F6528" t="str">
            <v>JM G-Sec Fund - (Direct) Monthly Dividend Option</v>
          </cell>
        </row>
        <row r="6529">
          <cell r="F6529" t="str">
            <v>JM G-Sec Fund - Annual Dividend Option</v>
          </cell>
        </row>
        <row r="6530">
          <cell r="F6530" t="str">
            <v>JM G-Sec Fund - Bonus Option - Principal Units</v>
          </cell>
        </row>
        <row r="6531">
          <cell r="F6531" t="str">
            <v>JM G-Sec Fund - Growth Option</v>
          </cell>
        </row>
        <row r="6532">
          <cell r="F6532" t="str">
            <v>JM G-Sec Fund - Half Yearly Dividend Option</v>
          </cell>
        </row>
        <row r="6533">
          <cell r="F6533" t="str">
            <v>JM G-Sec Fund - Monthly Dividend Option</v>
          </cell>
        </row>
        <row r="6534">
          <cell r="F6534" t="str">
            <v>JM G-Sec Fund - Quarterly Dividend Option</v>
          </cell>
        </row>
        <row r="6535">
          <cell r="F6535" t="str">
            <v>JM Income Fund (Direct) - Bonus Option - Principal Units</v>
          </cell>
        </row>
        <row r="6536">
          <cell r="F6536" t="str">
            <v>JM Income Fund (Direct) - Growth Option</v>
          </cell>
        </row>
        <row r="6537">
          <cell r="F6537" t="str">
            <v>JM Income Fund (Direct) - Quarterly Dividend Option</v>
          </cell>
        </row>
        <row r="6538">
          <cell r="F6538" t="str">
            <v>JM Income Fund - Growth Option</v>
          </cell>
        </row>
        <row r="6539">
          <cell r="F6539" t="str">
            <v>JM Income Fund - Quarerly Dividend Option</v>
          </cell>
        </row>
        <row r="6540">
          <cell r="F6540" t="str">
            <v>JM Income Fund- Bonus Option- Principal Units</v>
          </cell>
        </row>
        <row r="6541">
          <cell r="F6541" t="str">
            <v>JM Large Cap Fund (Direct) - Annual Dividend Option</v>
          </cell>
        </row>
        <row r="6542">
          <cell r="F6542" t="str">
            <v>JM Large Cap Fund (Direct) - Dividend Option</v>
          </cell>
        </row>
        <row r="6543">
          <cell r="F6543" t="str">
            <v>JM Large Cap Fund (Direct) - Growth Option</v>
          </cell>
        </row>
        <row r="6544">
          <cell r="F6544" t="str">
            <v>JM Large Cap Fund (Direct) - Half Yearly Dividend Option</v>
          </cell>
        </row>
        <row r="6545">
          <cell r="F6545" t="str">
            <v>JM Large Cap Fund (Direct) - Monthly Dividend Option</v>
          </cell>
        </row>
        <row r="6546">
          <cell r="F6546" t="str">
            <v>JM Large Cap Fund (Direct) - Quarterly Dividend Option</v>
          </cell>
        </row>
        <row r="6547">
          <cell r="F6547" t="str">
            <v>JM Large Cap Fund - Annual Dividend Option</v>
          </cell>
        </row>
        <row r="6548">
          <cell r="F6548" t="str">
            <v>JM Large Cap Fund - Half Yearly Dividend Option</v>
          </cell>
        </row>
        <row r="6549">
          <cell r="F6549" t="str">
            <v>JM Large Cap Fund - Monthly Dividend Option</v>
          </cell>
        </row>
        <row r="6550">
          <cell r="F6550" t="str">
            <v>JM Large Cap Fund - Quarterly Dividend Option</v>
          </cell>
        </row>
        <row r="6551">
          <cell r="F6551" t="str">
            <v>JM Large Cap Fund-Dividend</v>
          </cell>
        </row>
        <row r="6552">
          <cell r="F6552" t="str">
            <v>JM Large Cap Fund-Growth</v>
          </cell>
        </row>
        <row r="6553">
          <cell r="F6553" t="str">
            <v>JM Liquid Fund (Direct)  - Weekly Dividend Option</v>
          </cell>
        </row>
        <row r="6554">
          <cell r="F6554" t="str">
            <v>JM Liquid Fund (Direct) - Bonus Option - Bonus Option - Principal units</v>
          </cell>
        </row>
        <row r="6555">
          <cell r="F6555" t="str">
            <v>JM Liquid Fund (Direct) - Daily Dividend Option</v>
          </cell>
        </row>
        <row r="6556">
          <cell r="F6556" t="str">
            <v>JM Liquid Fund (Direct) - Growth Option</v>
          </cell>
        </row>
        <row r="6557">
          <cell r="F6557" t="str">
            <v>JM Liquid Fund (Direct) - Quarterly Dividend Option</v>
          </cell>
        </row>
        <row r="6558">
          <cell r="F6558" t="str">
            <v>JM LIQUID FUND - DAILY DIVIDEND OPTION</v>
          </cell>
        </row>
        <row r="6559">
          <cell r="F6559" t="str">
            <v>JM Liquid Fund - Growth Option</v>
          </cell>
        </row>
        <row r="6560">
          <cell r="F6560" t="str">
            <v>JM Liquid Fund - Quarterly Dividend Option</v>
          </cell>
        </row>
        <row r="6561">
          <cell r="F6561" t="str">
            <v>JM Liquid Fund - Weekly Dividend Option</v>
          </cell>
        </row>
        <row r="6562">
          <cell r="F6562" t="str">
            <v>JM Liquid Fund Unclaimed Dividend (Direct) Growth Plan</v>
          </cell>
        </row>
        <row r="6563">
          <cell r="F6563" t="str">
            <v>JM Liquid Fund Unclaimed Dividend IEF (Direct) Growth Plan</v>
          </cell>
        </row>
        <row r="6564">
          <cell r="F6564" t="str">
            <v>JM Liquid Fund Unclaimed Redemption (Direct) Growth Plan</v>
          </cell>
        </row>
        <row r="6565">
          <cell r="F6565" t="str">
            <v>JM Liquid Fund Unclaimed Redemption IEF (Direct) Growth Plan</v>
          </cell>
        </row>
        <row r="6566">
          <cell r="F6566" t="str">
            <v>JM Liquid Fund- Bonus Option-Principal Units</v>
          </cell>
        </row>
        <row r="6567">
          <cell r="F6567" t="str">
            <v>JM Liquid Fund-Super Institutional Plan- Growth</v>
          </cell>
        </row>
        <row r="6568">
          <cell r="F6568" t="str">
            <v>JM Money Manager Fund - Super Plan (Direct) - Daily Dividend Option</v>
          </cell>
        </row>
        <row r="6569">
          <cell r="F6569" t="str">
            <v>JM Money Manager Fund - Super Plan (Direct) - Fortnightly Dividend Option</v>
          </cell>
        </row>
        <row r="6570">
          <cell r="F6570" t="str">
            <v>JM Money Manager Fund - Super Plan (Direct) - Growth Option</v>
          </cell>
        </row>
        <row r="6571">
          <cell r="F6571" t="str">
            <v>JM Money Manager Fund - Super Plan (Direct) - Weekly Dividend Option</v>
          </cell>
        </row>
        <row r="6572">
          <cell r="F6572" t="str">
            <v>JM Money Manager Fund - Super Plan - Bonus Option - Principal Units</v>
          </cell>
        </row>
        <row r="6573">
          <cell r="F6573" t="str">
            <v>JM Money Manager Fund - Super Plan - Dividend option - Daily dividend</v>
          </cell>
        </row>
        <row r="6574">
          <cell r="F6574" t="str">
            <v>JM Money Manager Fund - Super Plan - Dividend option - Fortnightly</v>
          </cell>
        </row>
        <row r="6575">
          <cell r="F6575" t="str">
            <v>JM Money Manager Fund - Super Plan - Dividend option - Weekly dividend</v>
          </cell>
        </row>
        <row r="6576">
          <cell r="F6576" t="str">
            <v>JM Money Manager Fund - Super Plan - Growth Plan</v>
          </cell>
        </row>
        <row r="6577">
          <cell r="F6577" t="str">
            <v>JM Money Manager Fund - Super Plus Plan (Direct) - Bonus Option - Principal units</v>
          </cell>
        </row>
        <row r="6578">
          <cell r="F6578" t="str">
            <v>JM Money Manager Fund - Super Plus Plan (Direct) - Daily Dividend Option</v>
          </cell>
        </row>
        <row r="6579">
          <cell r="F6579" t="str">
            <v>JM Money Manager Fund - Super Plus Plan (Direct) - Fortnightly Dividend Option</v>
          </cell>
        </row>
        <row r="6580">
          <cell r="F6580" t="str">
            <v>JM Money Manager Fund - Super Plus Plan (Direct) - Growth Option</v>
          </cell>
        </row>
        <row r="6581">
          <cell r="F6581" t="str">
            <v>JM Money Manager Fund - Super Plus Plan (Direct) - Weekly Dividend Option</v>
          </cell>
        </row>
        <row r="6582">
          <cell r="F6582" t="str">
            <v>JM Money Manager Fund - Super Plus Plan - Bonus Option - Principal units</v>
          </cell>
        </row>
        <row r="6583">
          <cell r="F6583" t="str">
            <v>JM Money Manager Fund - Super Plus Plan - Dividend option - Daily dividend</v>
          </cell>
        </row>
        <row r="6584">
          <cell r="F6584" t="str">
            <v>JM Money Manager Fund - Super Plus Plan - Dividend option - Fortnightly</v>
          </cell>
        </row>
        <row r="6585">
          <cell r="F6585" t="str">
            <v>JM Money Manager Fund - Super Plus Plan - Dividend option - Weekly dividend</v>
          </cell>
        </row>
        <row r="6586">
          <cell r="F6586" t="str">
            <v>JM Money Manager Fund - Super Plus Plan - Growth option</v>
          </cell>
        </row>
        <row r="6587">
          <cell r="F6587" t="str">
            <v>JM Money Manger Fund - Super Plan (Direct) Bonus Option Principal Units</v>
          </cell>
        </row>
        <row r="6588">
          <cell r="F6588" t="str">
            <v>JM Multicap Fund (Direct) - Dividend Option</v>
          </cell>
        </row>
        <row r="6589">
          <cell r="F6589" t="str">
            <v>JM Multicap Fund (Direct) - Growth Option</v>
          </cell>
        </row>
        <row r="6590">
          <cell r="F6590" t="str">
            <v>JM Multicap Fund - Dividend option</v>
          </cell>
        </row>
        <row r="6591">
          <cell r="F6591" t="str">
            <v>JM Multicap Fund - Growth option</v>
          </cell>
        </row>
        <row r="6592">
          <cell r="F6592" t="str">
            <v>JM Short Term Fund (Direct) - Daily Dividend Option</v>
          </cell>
        </row>
        <row r="6593">
          <cell r="F6593" t="str">
            <v>JM Short Term Fund (Direct) - Dividend Option</v>
          </cell>
        </row>
        <row r="6594">
          <cell r="F6594" t="str">
            <v>JM Short Term Fund (Direct) - Growth Option</v>
          </cell>
        </row>
        <row r="6595">
          <cell r="F6595" t="str">
            <v>JM Short Term Fund - Daily Dividend Option</v>
          </cell>
        </row>
        <row r="6596">
          <cell r="F6596" t="str">
            <v>JM Short Term Fund - Dividend Option</v>
          </cell>
        </row>
        <row r="6597">
          <cell r="F6597" t="str">
            <v>JM Short Term Fund - Growth Option</v>
          </cell>
        </row>
        <row r="6598">
          <cell r="F6598" t="str">
            <v>JM Short Term Fund - Regular Plan - Daily Dividend Option</v>
          </cell>
        </row>
        <row r="6599">
          <cell r="F6599" t="str">
            <v>JM Short Term Fund - Regular Plan - Dividend Option</v>
          </cell>
        </row>
        <row r="6600">
          <cell r="F6600" t="str">
            <v>JM Short Term Fund - Regular Plan - Growth Option</v>
          </cell>
        </row>
        <row r="6601">
          <cell r="F6601" t="str">
            <v>JM Tax Gain Fund (Direct) - Dividend Option</v>
          </cell>
        </row>
        <row r="6602">
          <cell r="F6602" t="str">
            <v>JM Tax Gain Fund (Direct) - Growth Option</v>
          </cell>
        </row>
        <row r="6603">
          <cell r="F6603" t="str">
            <v>JM Tax Gain Fund - Dividend option</v>
          </cell>
        </row>
        <row r="6604">
          <cell r="F6604" t="str">
            <v>JM Tax Gain Fund - Growth option</v>
          </cell>
        </row>
        <row r="6605">
          <cell r="F6605" t="str">
            <v>JM Ultra Short Duration Fund (Direct) - Bonus Option - Principal Units</v>
          </cell>
        </row>
        <row r="6606">
          <cell r="F6606" t="str">
            <v>JM Ultra Short Duration Fund (Direct) - Fortnightly Dividend Option</v>
          </cell>
        </row>
        <row r="6607">
          <cell r="F6607" t="str">
            <v>JM Ultra Short Duration Fund - (Direct) - Growth Option</v>
          </cell>
        </row>
        <row r="6608">
          <cell r="F6608" t="str">
            <v>JM Ultra Short Duration Fund - (Direct) -Daily Dividend Option</v>
          </cell>
        </row>
        <row r="6609">
          <cell r="F6609" t="str">
            <v>JM Ultra Short Duration Fund - (Direct) -Weekly Dividend Option</v>
          </cell>
        </row>
        <row r="6610">
          <cell r="F6610" t="str">
            <v>JM Ultra Short Duration Fund - Bonus Option - Principal Units</v>
          </cell>
        </row>
        <row r="6611">
          <cell r="F6611" t="str">
            <v>JM Ultra Short Duration Fund - Daily Dividend</v>
          </cell>
        </row>
        <row r="6612">
          <cell r="F6612" t="str">
            <v>JM Ultra Short Duration Fund - Fortnightly Dividend</v>
          </cell>
        </row>
        <row r="6613">
          <cell r="F6613" t="str">
            <v>JM Ultra Short Duration Fund - Growth option</v>
          </cell>
        </row>
        <row r="6614">
          <cell r="F6614" t="str">
            <v>JM Ultra Short Duration Fund - Weekly Dividend</v>
          </cell>
        </row>
        <row r="6615">
          <cell r="F6615" t="str">
            <v>JM Value Fund (Direct) - Dividend Option</v>
          </cell>
        </row>
        <row r="6616">
          <cell r="F6616" t="str">
            <v>JM Value Fund (Direct) - Growth Option</v>
          </cell>
        </row>
        <row r="6617">
          <cell r="F6617" t="str">
            <v>JM Value Fund - Dividend Option</v>
          </cell>
        </row>
        <row r="6618">
          <cell r="F6618" t="str">
            <v>JM Value Fund - Growth Option</v>
          </cell>
        </row>
        <row r="6619">
          <cell r="F6619" t="str">
            <v>JMA</v>
          </cell>
        </row>
        <row r="6620">
          <cell r="F6620" t="str">
            <v>JMC PROJECTS</v>
          </cell>
        </row>
        <row r="6621">
          <cell r="F6621" t="str">
            <v>JMDVL</v>
          </cell>
        </row>
        <row r="6622">
          <cell r="F6622" t="str">
            <v>JMT AUTO LTD</v>
          </cell>
        </row>
        <row r="6623">
          <cell r="F6623" t="str">
            <v>JOCIL</v>
          </cell>
        </row>
        <row r="6624">
          <cell r="F6624" t="str">
            <v>JOINDRE CAPI</v>
          </cell>
        </row>
        <row r="6625">
          <cell r="F6625" t="str">
            <v>JOONKTOLLEE</v>
          </cell>
        </row>
        <row r="6626">
          <cell r="F6626" t="str">
            <v>JOSTS ENG.</v>
          </cell>
        </row>
        <row r="6627">
          <cell r="F6627" t="str">
            <v>JPINFRATEC</v>
          </cell>
        </row>
        <row r="6628">
          <cell r="F6628" t="str">
            <v>JPOLYINVST</v>
          </cell>
        </row>
        <row r="6629">
          <cell r="F6629" t="str">
            <v>JPPOWER</v>
          </cell>
        </row>
        <row r="6630">
          <cell r="F6630" t="str">
            <v>JPT SECUR.</v>
          </cell>
        </row>
        <row r="6631">
          <cell r="F6631" t="str">
            <v>JRIIIL</v>
          </cell>
        </row>
        <row r="6632">
          <cell r="F6632" t="str">
            <v>JSL</v>
          </cell>
        </row>
        <row r="6633">
          <cell r="F6633" t="str">
            <v>JSLHISAR</v>
          </cell>
        </row>
        <row r="6634">
          <cell r="F6634" t="str">
            <v>JSTL</v>
          </cell>
        </row>
        <row r="6635">
          <cell r="F6635" t="str">
            <v>JSWENERGY</v>
          </cell>
        </row>
        <row r="6636">
          <cell r="F6636" t="str">
            <v>JSWHL</v>
          </cell>
        </row>
        <row r="6637">
          <cell r="F6637" t="str">
            <v>JSWSL</v>
          </cell>
        </row>
        <row r="6638">
          <cell r="F6638" t="str">
            <v>JSWSTEEL</v>
          </cell>
        </row>
        <row r="6639">
          <cell r="F6639" t="str">
            <v>JTL INFRA</v>
          </cell>
        </row>
        <row r="6640">
          <cell r="F6640" t="str">
            <v>JUBILANT</v>
          </cell>
        </row>
        <row r="6641">
          <cell r="F6641" t="str">
            <v>JUBL FOOD</v>
          </cell>
        </row>
        <row r="6642">
          <cell r="F6642" t="str">
            <v>JUBLINDS</v>
          </cell>
        </row>
        <row r="6643">
          <cell r="F6643" t="str">
            <v>JUMBO BAG</v>
          </cell>
        </row>
        <row r="6644">
          <cell r="F6644" t="str">
            <v>JUNIORBEES</v>
          </cell>
        </row>
        <row r="6645">
          <cell r="F6645" t="str">
            <v>JUPITER INFO</v>
          </cell>
        </row>
        <row r="6646">
          <cell r="F6646" t="str">
            <v>JUSTDIAL</v>
          </cell>
        </row>
        <row r="6647">
          <cell r="F6647" t="str">
            <v>JVL AGRO</v>
          </cell>
        </row>
        <row r="6648">
          <cell r="F6648" t="str">
            <v>JYOTHYLAB</v>
          </cell>
        </row>
        <row r="6649">
          <cell r="F6649" t="str">
            <v>JYOTI LTD.</v>
          </cell>
        </row>
        <row r="6650">
          <cell r="F6650" t="str">
            <v>JYOTISTRUC</v>
          </cell>
        </row>
        <row r="6651">
          <cell r="F6651" t="str">
            <v>KABRA EXTR</v>
          </cell>
        </row>
        <row r="6652">
          <cell r="F6652" t="str">
            <v>KABSONS INDU</v>
          </cell>
        </row>
        <row r="6653">
          <cell r="F6653" t="str">
            <v>KACL</v>
          </cell>
        </row>
        <row r="6654">
          <cell r="F6654" t="str">
            <v>KAIRA CAN CO</v>
          </cell>
        </row>
        <row r="6655">
          <cell r="F6655" t="str">
            <v>KAJARIA CER.</v>
          </cell>
        </row>
        <row r="6656">
          <cell r="F6656" t="str">
            <v>KAKATCEM</v>
          </cell>
        </row>
        <row r="6657">
          <cell r="F6657" t="str">
            <v>KAKATIYA TEX</v>
          </cell>
        </row>
        <row r="6658">
          <cell r="F6658" t="str">
            <v>KALLAM SPG.</v>
          </cell>
        </row>
        <row r="6659">
          <cell r="F6659" t="str">
            <v>KALPA.POWER</v>
          </cell>
        </row>
        <row r="6660">
          <cell r="F6660" t="str">
            <v>KALPACOMME</v>
          </cell>
        </row>
        <row r="6661">
          <cell r="F6661" t="str">
            <v>KALYANI FORG</v>
          </cell>
        </row>
        <row r="6662">
          <cell r="F6662" t="str">
            <v>KALYANI INV</v>
          </cell>
        </row>
        <row r="6663">
          <cell r="F6663" t="str">
            <v>KALYANI STEL</v>
          </cell>
        </row>
        <row r="6664">
          <cell r="F6664" t="str">
            <v>KALYANPUR CE</v>
          </cell>
        </row>
        <row r="6665">
          <cell r="F6665" t="str">
            <v>KAMADGIRI</v>
          </cell>
        </row>
        <row r="6666">
          <cell r="F6666" t="str">
            <v>KAMAHOLDING</v>
          </cell>
        </row>
        <row r="6667">
          <cell r="F6667" t="str">
            <v>KAMAN HSG</v>
          </cell>
        </row>
        <row r="6668">
          <cell r="F6668" t="str">
            <v>KAMAT HOTELS</v>
          </cell>
        </row>
        <row r="6669">
          <cell r="F6669" t="str">
            <v>KAMDHENU</v>
          </cell>
        </row>
        <row r="6670">
          <cell r="F6670" t="str">
            <v>KANANIIND</v>
          </cell>
        </row>
        <row r="6671">
          <cell r="F6671" t="str">
            <v>KANCHI</v>
          </cell>
        </row>
        <row r="6672">
          <cell r="F6672" t="str">
            <v>KANCO TEA</v>
          </cell>
        </row>
        <row r="6673">
          <cell r="F6673" t="str">
            <v>KANDAGIRI SP</v>
          </cell>
        </row>
        <row r="6674">
          <cell r="F6674" t="str">
            <v>KANISHK ST.</v>
          </cell>
        </row>
        <row r="6675">
          <cell r="F6675" t="str">
            <v>KANORICHEM</v>
          </cell>
        </row>
        <row r="6676">
          <cell r="F6676" t="str">
            <v>KANPUR PLAST</v>
          </cell>
        </row>
        <row r="6677">
          <cell r="F6677" t="str">
            <v>KANSAINER</v>
          </cell>
        </row>
        <row r="6678">
          <cell r="F6678" t="str">
            <v>KAPASHI COMM</v>
          </cell>
        </row>
        <row r="6679">
          <cell r="F6679" t="str">
            <v>KAPILRAJ</v>
          </cell>
        </row>
        <row r="6680">
          <cell r="F6680" t="str">
            <v>KARAN WOO-SN</v>
          </cell>
        </row>
        <row r="6681">
          <cell r="F6681" t="str">
            <v>KARMAENG</v>
          </cell>
        </row>
        <row r="6682">
          <cell r="F6682" t="str">
            <v>KARNAVATI</v>
          </cell>
        </row>
        <row r="6683">
          <cell r="F6683" t="str">
            <v>KARUR VY(PS</v>
          </cell>
        </row>
        <row r="6684">
          <cell r="F6684" t="str">
            <v>KARUTURI GLO</v>
          </cell>
        </row>
        <row r="6685">
          <cell r="F6685" t="str">
            <v>KATARE SPG.</v>
          </cell>
        </row>
        <row r="6686">
          <cell r="F6686" t="str">
            <v>KAUSHAL INFR</v>
          </cell>
        </row>
        <row r="6687">
          <cell r="F6687" t="str">
            <v>KAVITA FAB</v>
          </cell>
        </row>
        <row r="6688">
          <cell r="F6688" t="str">
            <v>KAVITIND</v>
          </cell>
        </row>
        <row r="6689">
          <cell r="F6689" t="str">
            <v>KAVVERITEL</v>
          </cell>
        </row>
        <row r="6690">
          <cell r="F6690" t="str">
            <v>KAYA</v>
          </cell>
        </row>
        <row r="6691">
          <cell r="F6691" t="str">
            <v>KAYCEE IND</v>
          </cell>
        </row>
        <row r="6692">
          <cell r="F6692" t="str">
            <v>KBS INDIA</v>
          </cell>
        </row>
        <row r="6693">
          <cell r="F6693" t="str">
            <v>KCLINFRA</v>
          </cell>
        </row>
        <row r="6694">
          <cell r="F6694" t="str">
            <v>KCP LTD</v>
          </cell>
        </row>
        <row r="6695">
          <cell r="F6695" t="str">
            <v>KCP SUGAR IN</v>
          </cell>
        </row>
        <row r="6696">
          <cell r="F6696" t="str">
            <v>KDDL LTD</v>
          </cell>
        </row>
        <row r="6697">
          <cell r="F6697" t="str">
            <v>KEC</v>
          </cell>
        </row>
        <row r="6698">
          <cell r="F6698" t="str">
            <v>KEERTHI</v>
          </cell>
        </row>
        <row r="6699">
          <cell r="F6699" t="str">
            <v>KEERTI</v>
          </cell>
        </row>
        <row r="6700">
          <cell r="F6700" t="str">
            <v>KEI</v>
          </cell>
        </row>
        <row r="6701">
          <cell r="F6701" t="str">
            <v>KELLTONTEC</v>
          </cell>
        </row>
        <row r="6702">
          <cell r="F6702" t="str">
            <v>KELTECH EN.</v>
          </cell>
        </row>
        <row r="6703">
          <cell r="F6703" t="str">
            <v>KEMP &amp; CO.</v>
          </cell>
        </row>
        <row r="6704">
          <cell r="F6704" t="str">
            <v>KENNAMETAL</v>
          </cell>
        </row>
        <row r="6705">
          <cell r="F6705" t="str">
            <v>KERALA AYUR</v>
          </cell>
        </row>
        <row r="6706">
          <cell r="F6706" t="str">
            <v>KERNEX MICRO</v>
          </cell>
        </row>
        <row r="6707">
          <cell r="F6707" t="str">
            <v>KESAR ENT.</v>
          </cell>
        </row>
        <row r="6708">
          <cell r="F6708" t="str">
            <v>KESAR PETRO</v>
          </cell>
        </row>
        <row r="6709">
          <cell r="F6709" t="str">
            <v>KESORAM IND</v>
          </cell>
        </row>
        <row r="6710">
          <cell r="F6710" t="str">
            <v>KEY CORP.LTD</v>
          </cell>
        </row>
        <row r="6711">
          <cell r="F6711" t="str">
            <v>KEYCORPSER</v>
          </cell>
        </row>
        <row r="6712">
          <cell r="F6712" t="str">
            <v>KG DENIM</v>
          </cell>
        </row>
        <row r="6713">
          <cell r="F6713" t="str">
            <v>KG PETROCHEM</v>
          </cell>
        </row>
        <row r="6714">
          <cell r="F6714" t="str">
            <v>KGN ENT</v>
          </cell>
        </row>
        <row r="6715">
          <cell r="F6715" t="str">
            <v>KGN IND LTD</v>
          </cell>
        </row>
        <row r="6716">
          <cell r="F6716" t="str">
            <v>KHADIM</v>
          </cell>
        </row>
        <row r="6717">
          <cell r="F6717" t="str">
            <v>KHAITAN CHEM</v>
          </cell>
        </row>
        <row r="6718">
          <cell r="F6718" t="str">
            <v>KHAITANLTD</v>
          </cell>
        </row>
        <row r="6719">
          <cell r="F6719" t="str">
            <v>KHANDSE</v>
          </cell>
        </row>
        <row r="6720">
          <cell r="F6720" t="str">
            <v>KHATOR FIBRE</v>
          </cell>
        </row>
        <row r="6721">
          <cell r="F6721" t="str">
            <v>KHOD.INDIA</v>
          </cell>
        </row>
        <row r="6722">
          <cell r="F6722" t="str">
            <v>KHOOBSURAT</v>
          </cell>
        </row>
        <row r="6723">
          <cell r="F6723" t="str">
            <v>KIC METALIKS</v>
          </cell>
        </row>
        <row r="6724">
          <cell r="F6724" t="str">
            <v>KIFS FSL</v>
          </cell>
        </row>
        <row r="6725">
          <cell r="F6725" t="str">
            <v>KILBURN CHEM</v>
          </cell>
        </row>
        <row r="6726">
          <cell r="F6726" t="str">
            <v>KILBURN ENGG</v>
          </cell>
        </row>
        <row r="6727">
          <cell r="F6727" t="str">
            <v>KILITCH</v>
          </cell>
        </row>
        <row r="6728">
          <cell r="F6728" t="str">
            <v>KILPEST (I)</v>
          </cell>
        </row>
        <row r="6729">
          <cell r="F6729" t="str">
            <v>KINETIC ENG.</v>
          </cell>
        </row>
        <row r="6730">
          <cell r="F6730" t="str">
            <v>KINETIC TRUS</v>
          </cell>
        </row>
        <row r="6731">
          <cell r="F6731" t="str">
            <v>KINGFA</v>
          </cell>
        </row>
        <row r="6732">
          <cell r="F6732" t="str">
            <v>KINGSINFRA</v>
          </cell>
        </row>
        <row r="6733">
          <cell r="F6733" t="str">
            <v>KIOCL</v>
          </cell>
        </row>
        <row r="6734">
          <cell r="F6734" t="str">
            <v>KIRAN PRINT</v>
          </cell>
        </row>
        <row r="6735">
          <cell r="F6735" t="str">
            <v>KIRAN SYNTEX</v>
          </cell>
        </row>
        <row r="6736">
          <cell r="F6736" t="str">
            <v>KIRAN VYPAR</v>
          </cell>
        </row>
        <row r="6737">
          <cell r="F6737" t="str">
            <v>KIRI DYES</v>
          </cell>
        </row>
        <row r="6738">
          <cell r="F6738" t="str">
            <v>KIRL INDUS</v>
          </cell>
        </row>
        <row r="6739">
          <cell r="F6739" t="str">
            <v>KIRL.BROS.</v>
          </cell>
        </row>
        <row r="6740">
          <cell r="F6740" t="str">
            <v>KIRL.FERROUS</v>
          </cell>
        </row>
        <row r="6741">
          <cell r="F6741" t="str">
            <v>KIRLOSAR PN</v>
          </cell>
        </row>
        <row r="6742">
          <cell r="F6742" t="str">
            <v>KIRLOSENG</v>
          </cell>
        </row>
        <row r="6743">
          <cell r="F6743" t="str">
            <v>KIRLOSKAR EL</v>
          </cell>
        </row>
        <row r="6744">
          <cell r="F6744" t="str">
            <v>KISAN MOULD.</v>
          </cell>
        </row>
        <row r="6745">
          <cell r="F6745" t="str">
            <v>KITEX</v>
          </cell>
        </row>
        <row r="6746">
          <cell r="F6746" t="str">
            <v>KJMCCORP</v>
          </cell>
        </row>
        <row r="6747">
          <cell r="F6747" t="str">
            <v>KKALPANAIND</v>
          </cell>
        </row>
        <row r="6748">
          <cell r="F6748" t="str">
            <v>KKCL</v>
          </cell>
        </row>
        <row r="6749">
          <cell r="F6749" t="str">
            <v>KKVAPOW</v>
          </cell>
        </row>
        <row r="6750">
          <cell r="F6750" t="str">
            <v>KLG CAPITAL</v>
          </cell>
        </row>
        <row r="6751">
          <cell r="F6751" t="str">
            <v>KLRF LTD</v>
          </cell>
        </row>
        <row r="6752">
          <cell r="F6752" t="str">
            <v>KMC SHIL</v>
          </cell>
        </row>
        <row r="6753">
          <cell r="F6753" t="str">
            <v>KMF BUILDERS</v>
          </cell>
        </row>
        <row r="6754">
          <cell r="F6754" t="str">
            <v>KMSUGAR</v>
          </cell>
        </row>
        <row r="6755">
          <cell r="F6755" t="str">
            <v>KNRCON</v>
          </cell>
        </row>
        <row r="6756">
          <cell r="F6756" t="str">
            <v>KOHINOOR</v>
          </cell>
        </row>
        <row r="6757">
          <cell r="F6757" t="str">
            <v>KOKUYOCMLN</v>
          </cell>
        </row>
        <row r="6758">
          <cell r="F6758" t="str">
            <v>KOLTEPATIL</v>
          </cell>
        </row>
        <row r="6759">
          <cell r="F6759" t="str">
            <v>KONARK SYN.</v>
          </cell>
        </row>
        <row r="6760">
          <cell r="F6760" t="str">
            <v>KOPRAN LTD.</v>
          </cell>
        </row>
        <row r="6761">
          <cell r="F6761" t="str">
            <v>Kotak Asset Allocator Fund Direct Dividend - Direct</v>
          </cell>
        </row>
        <row r="6762">
          <cell r="F6762" t="str">
            <v>Kotak Asset Allocator Fund Direct Growth - Direct</v>
          </cell>
        </row>
        <row r="6763">
          <cell r="F6763" t="str">
            <v>Kotak Asset Allocator Fund Dividend</v>
          </cell>
        </row>
        <row r="6764">
          <cell r="F6764" t="str">
            <v>Kotak Asset Allocator Fund Growth</v>
          </cell>
        </row>
        <row r="6765">
          <cell r="F6765" t="str">
            <v>Kotak Banking and PSU Debt - Growth</v>
          </cell>
        </row>
        <row r="6766">
          <cell r="F6766" t="str">
            <v>Kotak Banking and PSU Debt - Monthly Dividend</v>
          </cell>
        </row>
        <row r="6767">
          <cell r="F6767" t="str">
            <v>Kotak Banking and PSU Debt Direct - Growth</v>
          </cell>
        </row>
        <row r="6768">
          <cell r="F6768" t="str">
            <v>Kotak Banking and PSU Debt Direct - Monthly Dividend</v>
          </cell>
        </row>
        <row r="6769">
          <cell r="F6769" t="str">
            <v>Kotak Banking ETF</v>
          </cell>
        </row>
        <row r="6770">
          <cell r="F6770" t="str">
            <v>Kotak Bluechip Fund - Dividend</v>
          </cell>
        </row>
        <row r="6771">
          <cell r="F6771" t="str">
            <v>Kotak Bluechip Fund - Dividend - Direct</v>
          </cell>
        </row>
        <row r="6772">
          <cell r="F6772" t="str">
            <v>Kotak Bluechip Fund - Growth</v>
          </cell>
        </row>
        <row r="6773">
          <cell r="F6773" t="str">
            <v>Kotak Bluechip Fund - Growth - Direct</v>
          </cell>
        </row>
        <row r="6774">
          <cell r="F6774" t="str">
            <v>Kotak Bond - Annual Dividend - Direct</v>
          </cell>
        </row>
        <row r="6775">
          <cell r="F6775" t="str">
            <v>Kotak Bond - Growth - Direct</v>
          </cell>
        </row>
        <row r="6776">
          <cell r="F6776" t="str">
            <v>Kotak Bond - Quaterly Dividend - Direct</v>
          </cell>
        </row>
        <row r="6777">
          <cell r="F6777" t="str">
            <v>Kotak Bond Regular Plan Annual Dividend</v>
          </cell>
        </row>
        <row r="6778">
          <cell r="F6778" t="str">
            <v>Kotak Bond Regular Plan Growth</v>
          </cell>
        </row>
        <row r="6779">
          <cell r="F6779" t="str">
            <v>Kotak Bond Regular Plan Quaterly Dividend</v>
          </cell>
        </row>
        <row r="6780">
          <cell r="F6780" t="str">
            <v>Kotak Bond Short Term Plan-(Dividend)</v>
          </cell>
        </row>
        <row r="6781">
          <cell r="F6781" t="str">
            <v>Kotak Bond Short Term Plan-(Dividend) - Direct</v>
          </cell>
        </row>
        <row r="6782">
          <cell r="F6782" t="str">
            <v>Kotak Bond Short Term Plan-(Growth)</v>
          </cell>
        </row>
        <row r="6783">
          <cell r="F6783" t="str">
            <v>Kotak Bond Short Term Plan-(Growth) - Direct</v>
          </cell>
        </row>
        <row r="6784">
          <cell r="F6784" t="str">
            <v>Kotak Bond Short Term Plan-(Half Yearly Dividend)</v>
          </cell>
        </row>
        <row r="6785">
          <cell r="F6785" t="str">
            <v>Kotak Bond Short Term Plan-(Half Yearly Dividend) - Direct</v>
          </cell>
        </row>
        <row r="6786">
          <cell r="F6786" t="str">
            <v>Kotak Capital Protection Oriented Scheme - Series 1 - Direct Dividend</v>
          </cell>
        </row>
        <row r="6787">
          <cell r="F6787" t="str">
            <v>Kotak Capital Protection Oriented Scheme - Series 1 - Direct Growth</v>
          </cell>
        </row>
        <row r="6788">
          <cell r="F6788" t="str">
            <v>Kotak Capital Protection Oriented Scheme - Series 1 - Regular Dividend</v>
          </cell>
        </row>
        <row r="6789">
          <cell r="F6789" t="str">
            <v>Kotak Capital Protection Oriented Scheme - Series 1 - Regular Growth</v>
          </cell>
        </row>
        <row r="6790">
          <cell r="F6790" t="str">
            <v>Kotak Capital Protection Oriented Scheme - Series 2 - Direct Dividend</v>
          </cell>
        </row>
        <row r="6791">
          <cell r="F6791" t="str">
            <v>Kotak Capital Protection Oriented Scheme - Series 2 - Direct Growth</v>
          </cell>
        </row>
        <row r="6792">
          <cell r="F6792" t="str">
            <v>Kotak Capital Protection Oriented Scheme - Series 2 - Dividend</v>
          </cell>
        </row>
        <row r="6793">
          <cell r="F6793" t="str">
            <v>Kotak Capital Protection Oriented Scheme - Series 2 - Growth</v>
          </cell>
        </row>
        <row r="6794">
          <cell r="F6794" t="str">
            <v>Kotak Capital Protection Oriented Scheme - Series 4 - Direct Dividend</v>
          </cell>
        </row>
        <row r="6795">
          <cell r="F6795" t="str">
            <v>Kotak Capital Protection Oriented Scheme - Series 4 - Direct Growth</v>
          </cell>
        </row>
        <row r="6796">
          <cell r="F6796" t="str">
            <v>Kotak Capital Protection Oriented Scheme - Series 4 - Regular Dividend</v>
          </cell>
        </row>
        <row r="6797">
          <cell r="F6797" t="str">
            <v>Kotak Capital Protection Oriented Scheme - Series 4 - Regular Growth</v>
          </cell>
        </row>
        <row r="6798">
          <cell r="F6798" t="str">
            <v>Kotak Capital Protection Oriented Scheme Series 3 - Direct Growth</v>
          </cell>
        </row>
        <row r="6799">
          <cell r="F6799" t="str">
            <v>Kotak Capital Protection Oriented Scheme Series 3 Regular Dividend Payout</v>
          </cell>
        </row>
        <row r="6800">
          <cell r="F6800" t="str">
            <v>Kotak Capital Protection Oriented Scheme Series 3 Regular Growth</v>
          </cell>
        </row>
        <row r="6801">
          <cell r="F6801" t="str">
            <v>Kotak Corporate Bond Fund- Direct Plan- Growth Option</v>
          </cell>
        </row>
        <row r="6802">
          <cell r="F6802" t="str">
            <v>Kotak Corporate Bond Fund- Direct Plan- Monthly Dividend Option</v>
          </cell>
        </row>
        <row r="6803">
          <cell r="F6803" t="str">
            <v>Kotak Corporate Bond Fund- Regular Plan-Growth Option</v>
          </cell>
        </row>
        <row r="6804">
          <cell r="F6804" t="str">
            <v>Kotak Corporate Bond Fund- Regular Plan-Monthly Dividend Option</v>
          </cell>
        </row>
        <row r="6805">
          <cell r="F6805" t="str">
            <v>Kotak Credit Risk Fund - Annual Dividend</v>
          </cell>
        </row>
        <row r="6806">
          <cell r="F6806" t="str">
            <v>Kotak Credit Risk Fund - Annual Dividend - Direct</v>
          </cell>
        </row>
        <row r="6807">
          <cell r="F6807" t="str">
            <v>Kotak Credit Risk Fund - Growth</v>
          </cell>
        </row>
        <row r="6808">
          <cell r="F6808" t="str">
            <v>Kotak Credit Risk Fund - Growth - Direct</v>
          </cell>
        </row>
        <row r="6809">
          <cell r="F6809" t="str">
            <v>Kotak Credit Risk Fund - Monthly Dividend</v>
          </cell>
        </row>
        <row r="6810">
          <cell r="F6810" t="str">
            <v>Kotak Credit Risk Fund - Monthly Dividend - Direct</v>
          </cell>
        </row>
        <row r="6811">
          <cell r="F6811" t="str">
            <v>Kotak Credit Risk Fund - Quarterly Dividend</v>
          </cell>
        </row>
        <row r="6812">
          <cell r="F6812" t="str">
            <v>Kotak Credit Risk Fund - Quaterly Direct Dividend - Direct</v>
          </cell>
        </row>
        <row r="6813">
          <cell r="F6813" t="str">
            <v>Kotak Credit Risk Fund - Weekly Dividend</v>
          </cell>
        </row>
        <row r="6814">
          <cell r="F6814" t="str">
            <v>Kotak Credit Risk Fund - Weekly Dividend - Direct</v>
          </cell>
        </row>
        <row r="6815">
          <cell r="F6815" t="str">
            <v>Kotak Debt Hybrid - Growth</v>
          </cell>
        </row>
        <row r="6816">
          <cell r="F6816" t="str">
            <v>Kotak Debt Hybrid - Growth - Direct</v>
          </cell>
        </row>
        <row r="6817">
          <cell r="F6817" t="str">
            <v>Kotak Debt Hybrid - Monthly Dividend</v>
          </cell>
        </row>
        <row r="6818">
          <cell r="F6818" t="str">
            <v>Kotak Debt Hybrid - Monthly Dividend - Direct</v>
          </cell>
        </row>
        <row r="6819">
          <cell r="F6819" t="str">
            <v>Kotak Debt Hybrid - Quarterly Dividend</v>
          </cell>
        </row>
        <row r="6820">
          <cell r="F6820" t="str">
            <v>Kotak Debt Hybrid - Quarterly Dividend - Direct</v>
          </cell>
        </row>
        <row r="6821">
          <cell r="F6821" t="str">
            <v>Kotak Dynamic Bond Fund - Growth - Direct</v>
          </cell>
        </row>
        <row r="6822">
          <cell r="F6822" t="str">
            <v>Kotak Dynamic Bond Fund - Quarterly Dividend - Direct</v>
          </cell>
        </row>
        <row r="6823">
          <cell r="F6823" t="str">
            <v>Kotak Dynamic Bond Fund -Regular Plan- Monthly Dividend  Option</v>
          </cell>
        </row>
        <row r="6824">
          <cell r="F6824" t="str">
            <v>Kotak Dynamic Bond Fund Regular Plan Growth</v>
          </cell>
        </row>
        <row r="6825">
          <cell r="F6825" t="str">
            <v>Kotak Dynamic Bond Fund Regular Plan Quarterly Dividend</v>
          </cell>
        </row>
        <row r="6826">
          <cell r="F6826" t="str">
            <v>Kotak Dynamic Bond Fund-Direct Plan-Monthly Dividend  Option</v>
          </cell>
        </row>
        <row r="6827">
          <cell r="F6827" t="str">
            <v>Kotak Emerging Equity Scheme - Dividend</v>
          </cell>
        </row>
        <row r="6828">
          <cell r="F6828" t="str">
            <v>Kotak Emerging Equity Scheme - Dividend - Direct</v>
          </cell>
        </row>
        <row r="6829">
          <cell r="F6829" t="str">
            <v>Kotak Emerging Equity Scheme - Growth</v>
          </cell>
        </row>
        <row r="6830">
          <cell r="F6830" t="str">
            <v>Kotak Emerging Equity Scheme - Growth - Direct</v>
          </cell>
        </row>
        <row r="6831">
          <cell r="F6831" t="str">
            <v>Kotak Equity Arbitrage Fund - Bimonthly</v>
          </cell>
        </row>
        <row r="6832">
          <cell r="F6832" t="str">
            <v>Kotak Equity Arbitrage Fund - Bimonthly Direct</v>
          </cell>
        </row>
        <row r="6833">
          <cell r="F6833" t="str">
            <v>Kotak Equity Arbitrage Fund - Dividend</v>
          </cell>
        </row>
        <row r="6834">
          <cell r="F6834" t="str">
            <v>Kotak Equity Arbitrage Fund - Dividend - Direct</v>
          </cell>
        </row>
        <row r="6835">
          <cell r="F6835" t="str">
            <v>Kotak Equity Arbitrage Fund - Fortnightly - Regular</v>
          </cell>
        </row>
        <row r="6836">
          <cell r="F6836" t="str">
            <v>Kotak Equity Arbitrage Fund - Growth</v>
          </cell>
        </row>
        <row r="6837">
          <cell r="F6837" t="str">
            <v>Kotak Equity Arbitrage Fund - Growth - Direct</v>
          </cell>
        </row>
        <row r="6838">
          <cell r="F6838" t="str">
            <v>Kotak Equity Arbitrage Fund -Fortnightly - Direct</v>
          </cell>
        </row>
        <row r="6839">
          <cell r="F6839" t="str">
            <v>Kotak Equity Hybrid - Dividend</v>
          </cell>
        </row>
        <row r="6840">
          <cell r="F6840" t="str">
            <v>Kotak Equity Hybrid - Dividend - Direct</v>
          </cell>
        </row>
        <row r="6841">
          <cell r="F6841" t="str">
            <v>Kotak Equity Hybrid - Growth</v>
          </cell>
        </row>
        <row r="6842">
          <cell r="F6842" t="str">
            <v>Kotak Equity Hybrid - Growth - Direct</v>
          </cell>
        </row>
        <row r="6843">
          <cell r="F6843" t="str">
            <v>Kotak Equity Opportunities Fund - Dividend</v>
          </cell>
        </row>
        <row r="6844">
          <cell r="F6844" t="str">
            <v>Kotak Equity Opportunities Fund - Dividend - Direct</v>
          </cell>
        </row>
        <row r="6845">
          <cell r="F6845" t="str">
            <v>Kotak Equity Opportunities Fund - Growth</v>
          </cell>
        </row>
        <row r="6846">
          <cell r="F6846" t="str">
            <v>Kotak Equity Opportunities Fund - Growth - Direct</v>
          </cell>
        </row>
        <row r="6847">
          <cell r="F6847" t="str">
            <v>Kotak Equity Savings Fund - Direct - Growth</v>
          </cell>
        </row>
        <row r="6848">
          <cell r="F6848" t="str">
            <v>Kotak Equity Savings Fund - Direct - Monthly Dividend</v>
          </cell>
        </row>
        <row r="6849">
          <cell r="F6849" t="str">
            <v>Kotak Equity Savings Fund - Direct - Quarterly Dividend</v>
          </cell>
        </row>
        <row r="6850">
          <cell r="F6850" t="str">
            <v>Kotak Equity Savings Fund - Regular - Growth</v>
          </cell>
        </row>
        <row r="6851">
          <cell r="F6851" t="str">
            <v>Kotak Equity Savings Fund - Regular - Monthly Dividend</v>
          </cell>
        </row>
        <row r="6852">
          <cell r="F6852" t="str">
            <v>Kotak Equity Savings Fund - Regular - Quarterly Dividend</v>
          </cell>
        </row>
        <row r="6853">
          <cell r="F6853" t="str">
            <v>Kotak FMP Series 108 Direct Growth</v>
          </cell>
        </row>
        <row r="6854">
          <cell r="F6854" t="str">
            <v>Kotak FMP Series 108 Dividend</v>
          </cell>
        </row>
        <row r="6855">
          <cell r="F6855" t="str">
            <v>Kotak FMP Series 108 Growth</v>
          </cell>
        </row>
        <row r="6856">
          <cell r="F6856" t="str">
            <v>Kotak FMP Series 127 (730 Days) - Direct Dividend</v>
          </cell>
        </row>
        <row r="6857">
          <cell r="F6857" t="str">
            <v>Kotak FMP Series 127 (730 Days) - Direct Growth</v>
          </cell>
        </row>
        <row r="6858">
          <cell r="F6858" t="str">
            <v>Kotak FMP Series 127 (730 Days) - Dividend</v>
          </cell>
        </row>
        <row r="6859">
          <cell r="F6859" t="str">
            <v>Kotak FMP Series 127 (730 Days) - Growth</v>
          </cell>
        </row>
        <row r="6860">
          <cell r="F6860" t="str">
            <v>Kotak FMP Series 145 (390 Days) - Direct Growth</v>
          </cell>
        </row>
        <row r="6861">
          <cell r="F6861" t="str">
            <v>Kotak FMP Series 145 (390 Days) - Dividend</v>
          </cell>
        </row>
        <row r="6862">
          <cell r="F6862" t="str">
            <v>Kotak FMP Series 145 (390 Days) - Growth</v>
          </cell>
        </row>
        <row r="6863">
          <cell r="F6863" t="str">
            <v>Kotak FMP Series 146 (388 Days) - Direct Growth</v>
          </cell>
        </row>
        <row r="6864">
          <cell r="F6864" t="str">
            <v>Kotak FMP Series 146 (388 Days) - Growth</v>
          </cell>
        </row>
        <row r="6865">
          <cell r="F6865" t="str">
            <v>Kotak FMP Series 147 (384 Days) - Direct Growth</v>
          </cell>
        </row>
        <row r="6866">
          <cell r="F6866" t="str">
            <v>Kotak FMP Series 147 (384 Days) - Growth</v>
          </cell>
        </row>
        <row r="6867">
          <cell r="F6867" t="str">
            <v>Kotak FMP Series 171 (1099 Days) - Direct Growth</v>
          </cell>
        </row>
        <row r="6868">
          <cell r="F6868" t="str">
            <v>Kotak FMP Series 171 (1099 Days) - Growth</v>
          </cell>
        </row>
        <row r="6869">
          <cell r="F6869" t="str">
            <v>Kotak FMP Series 172 - Direct Dividend</v>
          </cell>
        </row>
        <row r="6870">
          <cell r="F6870" t="str">
            <v>Kotak FMP Series 172 - Direct Growth</v>
          </cell>
        </row>
        <row r="6871">
          <cell r="F6871" t="str">
            <v>Kotak FMP Series 172 - Regular Dividend</v>
          </cell>
        </row>
        <row r="6872">
          <cell r="F6872" t="str">
            <v>Kotak FMP Series 172 - Regular Growth</v>
          </cell>
        </row>
        <row r="6873">
          <cell r="F6873" t="str">
            <v>Kotak FMP Series 175 (1100 Days) - Direct Growth</v>
          </cell>
        </row>
        <row r="6874">
          <cell r="F6874" t="str">
            <v>Kotak FMP Series 175 (1100 Days) - Regular Dividend</v>
          </cell>
        </row>
        <row r="6875">
          <cell r="F6875" t="str">
            <v>Kotak FMP Series 175 (1100 Days) - Regular Growth</v>
          </cell>
        </row>
        <row r="6876">
          <cell r="F6876" t="str">
            <v>Kotak FMP Series 176 - Direct Plan - Growth</v>
          </cell>
        </row>
        <row r="6877">
          <cell r="F6877" t="str">
            <v>Kotak FMP Series 176 - Regular Plan - Dividend</v>
          </cell>
        </row>
        <row r="6878">
          <cell r="F6878" t="str">
            <v>Kotak FMP Series 176 - Regular Plan - Growth</v>
          </cell>
        </row>
        <row r="6879">
          <cell r="F6879" t="str">
            <v>Kotak FMP Series 178 - Direct Growth</v>
          </cell>
        </row>
        <row r="6880">
          <cell r="F6880" t="str">
            <v>Kotak FMP Series 178 - Regular Dividend</v>
          </cell>
        </row>
        <row r="6881">
          <cell r="F6881" t="str">
            <v>Kotak FMP Series 178 - Regular Growth</v>
          </cell>
        </row>
        <row r="6882">
          <cell r="F6882" t="str">
            <v>Kotak FMP Series 179 - Direct Dividend</v>
          </cell>
        </row>
        <row r="6883">
          <cell r="F6883" t="str">
            <v>Kotak FMP Series 179 - Direct Growth</v>
          </cell>
        </row>
        <row r="6884">
          <cell r="F6884" t="str">
            <v>Kotak FMP Series 179 - Regular Dividend</v>
          </cell>
        </row>
        <row r="6885">
          <cell r="F6885" t="str">
            <v>Kotak FMP Series 179 - Regular Growth</v>
          </cell>
        </row>
        <row r="6886">
          <cell r="F6886" t="str">
            <v>Kotak FMP Series 180 (1099 Days) - Direct Growth</v>
          </cell>
        </row>
        <row r="6887">
          <cell r="F6887" t="str">
            <v>Kotak FMP Series 180 (1099 Days) - Regular Dividend</v>
          </cell>
        </row>
        <row r="6888">
          <cell r="F6888" t="str">
            <v>Kotak FMP Series 180 (1099 Days) - Regular Growth</v>
          </cell>
        </row>
        <row r="6889">
          <cell r="F6889" t="str">
            <v>Kotak FMP Series 181 - Direct Dividend</v>
          </cell>
        </row>
        <row r="6890">
          <cell r="F6890" t="str">
            <v>Kotak FMP Series 181 - Direct Growth</v>
          </cell>
        </row>
        <row r="6891">
          <cell r="F6891" t="str">
            <v>Kotak FMP Series 181 - Regular Dividend</v>
          </cell>
        </row>
        <row r="6892">
          <cell r="F6892" t="str">
            <v>Kotak FMP Series 181 - Regular Growth</v>
          </cell>
        </row>
        <row r="6893">
          <cell r="F6893" t="str">
            <v>Kotak FMP Series 182 - Direct Dividend</v>
          </cell>
        </row>
        <row r="6894">
          <cell r="F6894" t="str">
            <v>Kotak FMP Series 182 - Direct Growth</v>
          </cell>
        </row>
        <row r="6895">
          <cell r="F6895" t="str">
            <v>Kotak FMP Series 182 - Regular Dividend</v>
          </cell>
        </row>
        <row r="6896">
          <cell r="F6896" t="str">
            <v>Kotak FMP Series 182 - Regular Growth</v>
          </cell>
        </row>
        <row r="6897">
          <cell r="F6897" t="str">
            <v>Kotak FMP Series 183 - Direct Growth</v>
          </cell>
        </row>
        <row r="6898">
          <cell r="F6898" t="str">
            <v>Kotak FMP Series 183 - Regular Dividend</v>
          </cell>
        </row>
        <row r="6899">
          <cell r="F6899" t="str">
            <v>Kotak FMP Series 183 - Regular Growth</v>
          </cell>
        </row>
        <row r="6900">
          <cell r="F6900" t="str">
            <v>Kotak FMP Series 185 - Direct Growth</v>
          </cell>
        </row>
        <row r="6901">
          <cell r="F6901" t="str">
            <v>Kotak FMP Series 185 - Regular Dividend</v>
          </cell>
        </row>
        <row r="6902">
          <cell r="F6902" t="str">
            <v>Kotak FMP Series 185 - Regular Growth</v>
          </cell>
        </row>
        <row r="6903">
          <cell r="F6903" t="str">
            <v>Kotak FMP Series 186 - Direct Growth</v>
          </cell>
        </row>
        <row r="6904">
          <cell r="F6904" t="str">
            <v>Kotak FMP Series 186 - Regular Dividend</v>
          </cell>
        </row>
        <row r="6905">
          <cell r="F6905" t="str">
            <v>Kotak FMP Series 186 - Regular Growth</v>
          </cell>
        </row>
        <row r="6906">
          <cell r="F6906" t="str">
            <v>KOTAK FMP SERIES 187 - DIRECT GROWTH</v>
          </cell>
        </row>
        <row r="6907">
          <cell r="F6907" t="str">
            <v>KOTAK FMP SERIES 187 - REGULAR DIVIDEND</v>
          </cell>
        </row>
        <row r="6908">
          <cell r="F6908" t="str">
            <v>KOTAK FMP SERIES 187 - REGULAR GROWTH</v>
          </cell>
        </row>
        <row r="6909">
          <cell r="F6909" t="str">
            <v>Kotak FMP Series 189 - Direct - Dividend Payout</v>
          </cell>
        </row>
        <row r="6910">
          <cell r="F6910" t="str">
            <v>Kotak FMP Series 189 - Direct - Growth</v>
          </cell>
        </row>
        <row r="6911">
          <cell r="F6911" t="str">
            <v>Kotak FMP Series 189 - Regular - Dividend Payout</v>
          </cell>
        </row>
        <row r="6912">
          <cell r="F6912" t="str">
            <v>Kotak FMP Series 189 - Regular - Growth</v>
          </cell>
        </row>
        <row r="6913">
          <cell r="F6913" t="str">
            <v>Kotak FMp Series 190 - Direct - Dividend Payout</v>
          </cell>
        </row>
        <row r="6914">
          <cell r="F6914" t="str">
            <v>Kotak FMP Series 190 - Direct - Growth</v>
          </cell>
        </row>
        <row r="6915">
          <cell r="F6915" t="str">
            <v>Kotak FMP Series 190 - Regular - Dividend Payout</v>
          </cell>
        </row>
        <row r="6916">
          <cell r="F6916" t="str">
            <v>Kotak FMP Series 190 - Regular - Growth</v>
          </cell>
        </row>
        <row r="6917">
          <cell r="F6917" t="str">
            <v>Kotak FMP Series 191 - Direct - Growth</v>
          </cell>
        </row>
        <row r="6918">
          <cell r="F6918" t="str">
            <v>Kotak FMP Series 191 - Regular - Dividend Payout</v>
          </cell>
        </row>
        <row r="6919">
          <cell r="F6919" t="str">
            <v>Kotak FMP Series 191 - Regular - Growth</v>
          </cell>
        </row>
        <row r="6920">
          <cell r="F6920" t="str">
            <v>Kotak FMP Series 192 - Direct - Growth</v>
          </cell>
        </row>
        <row r="6921">
          <cell r="F6921" t="str">
            <v>Kotak FMP Series 192 - Regular - Dividend Payout</v>
          </cell>
        </row>
        <row r="6922">
          <cell r="F6922" t="str">
            <v>Kotak FMP Series 192 - Regular - Growth</v>
          </cell>
        </row>
        <row r="6923">
          <cell r="F6923" t="str">
            <v>Kotak FMP Series 193 - Direct - Growth</v>
          </cell>
        </row>
        <row r="6924">
          <cell r="F6924" t="str">
            <v>Kotak FMP Series 193 - Regular - Dividend Payout</v>
          </cell>
        </row>
        <row r="6925">
          <cell r="F6925" t="str">
            <v>Kotak FMP Series 193 - Regular - Growth</v>
          </cell>
        </row>
        <row r="6926">
          <cell r="F6926" t="str">
            <v>Kotak FMP Series 194 - Direct - Growth</v>
          </cell>
        </row>
        <row r="6927">
          <cell r="F6927" t="str">
            <v>Kotak FMP Series 194 - Regular - Dividend Payout</v>
          </cell>
        </row>
        <row r="6928">
          <cell r="F6928" t="str">
            <v>Kotak FMP Series 194 - Regular- Growth</v>
          </cell>
        </row>
        <row r="6929">
          <cell r="F6929" t="str">
            <v>Kotak FMP Series 196 - Direct - Growth</v>
          </cell>
        </row>
        <row r="6930">
          <cell r="F6930" t="str">
            <v>Kotak FMP Series 196 - Regular - Dividend Payout</v>
          </cell>
        </row>
        <row r="6931">
          <cell r="F6931" t="str">
            <v>Kotak FMP Series 196 - Regular - Growth</v>
          </cell>
        </row>
        <row r="6932">
          <cell r="F6932" t="str">
            <v>Kotak FMP Series 199 - Direct Plan - Growth Option</v>
          </cell>
        </row>
        <row r="6933">
          <cell r="F6933" t="str">
            <v>Kotak FMP Series 199 - Regular Plan - Dividend Payout Option</v>
          </cell>
        </row>
        <row r="6934">
          <cell r="F6934" t="str">
            <v>Kotak FMP Series 199 - Regular Plan - Growth Option</v>
          </cell>
        </row>
        <row r="6935">
          <cell r="F6935" t="str">
            <v>Kotak FMP Series 200-Direct Plan-Dividend Payout Option</v>
          </cell>
        </row>
        <row r="6936">
          <cell r="F6936" t="str">
            <v>Kotak FMP Series 200-Direct Plan-Growth Option</v>
          </cell>
        </row>
        <row r="6937">
          <cell r="F6937" t="str">
            <v>Kotak FMP Series 200-Regular Plan-Dividend Payout</v>
          </cell>
        </row>
        <row r="6938">
          <cell r="F6938" t="str">
            <v>Kotak FMP Series 200-Regular Plan-Growth Option</v>
          </cell>
        </row>
        <row r="6939">
          <cell r="F6939" t="str">
            <v>Kotak FMP Series 202-Direct Plan-Growth Option</v>
          </cell>
        </row>
        <row r="6940">
          <cell r="F6940" t="str">
            <v>Kotak FMP Series 202-DirectPLan-Dividend Payout Option</v>
          </cell>
        </row>
        <row r="6941">
          <cell r="F6941" t="str">
            <v>Kotak FMP Series 202-Regular Plan-Dividend Payout Option</v>
          </cell>
        </row>
        <row r="6942">
          <cell r="F6942" t="str">
            <v>Kotak FMP Series 202-Regular Plan-Growth Option</v>
          </cell>
        </row>
        <row r="6943">
          <cell r="F6943" t="str">
            <v>Kotak FMP Series 203 - Direct Plan - Growth Option</v>
          </cell>
        </row>
        <row r="6944">
          <cell r="F6944" t="str">
            <v>Kotak FMP Series 203 - Regular Plan - Dividend Payout Option</v>
          </cell>
        </row>
        <row r="6945">
          <cell r="F6945" t="str">
            <v>Kotak FMP Series 203-Direct Plan-Dividend Payout Option</v>
          </cell>
        </row>
        <row r="6946">
          <cell r="F6946" t="str">
            <v>Kotak FMP Series 203-Regular Plan-Growth option</v>
          </cell>
        </row>
        <row r="6947">
          <cell r="F6947" t="str">
            <v>Kotak FMP Series 204-Direct Plan-Dividend Payout Option</v>
          </cell>
        </row>
        <row r="6948">
          <cell r="F6948" t="str">
            <v>Kotak FMP Series 204-Direct Plan-Growth Option</v>
          </cell>
        </row>
        <row r="6949">
          <cell r="F6949" t="str">
            <v>Kotak FMP Series 204-Regular Plan-Dividend Payout Option</v>
          </cell>
        </row>
        <row r="6950">
          <cell r="F6950" t="str">
            <v>Kotak FMP Series 204-Regular Plan-Growth Option</v>
          </cell>
        </row>
        <row r="6951">
          <cell r="F6951" t="str">
            <v>Kotak FMP Series 210 - Direct Plan - Dividend Option</v>
          </cell>
        </row>
        <row r="6952">
          <cell r="F6952" t="str">
            <v>Kotak FMP Series 210-Direct Plan-Growth Option</v>
          </cell>
        </row>
        <row r="6953">
          <cell r="F6953" t="str">
            <v>Kotak FMP Series 210-Regular plan-Dividend Option</v>
          </cell>
        </row>
        <row r="6954">
          <cell r="F6954" t="str">
            <v>Kotak FMP Series 210-Regular Plan-Growth option</v>
          </cell>
        </row>
        <row r="6955">
          <cell r="F6955" t="str">
            <v>Kotak FMP Series 211-Direct Plan-Dividend option</v>
          </cell>
        </row>
        <row r="6956">
          <cell r="F6956" t="str">
            <v>Kotak FMP Series 211-Direct Plan-Growth Option</v>
          </cell>
        </row>
        <row r="6957">
          <cell r="F6957" t="str">
            <v>Kotak FMP Series 211-Regular Plan -Growth option</v>
          </cell>
        </row>
        <row r="6958">
          <cell r="F6958" t="str">
            <v>Kotak FMP Series 211-Regular Plan-Dividend Option</v>
          </cell>
        </row>
        <row r="6959">
          <cell r="F6959" t="str">
            <v>Kotak FMP Series 212-Direct plan-Growth option</v>
          </cell>
        </row>
        <row r="6960">
          <cell r="F6960" t="str">
            <v>Kotak FMP Series 212-Regular Plan - Dividend Option</v>
          </cell>
        </row>
        <row r="6961">
          <cell r="F6961" t="str">
            <v>Kotak FMP Series 212-Regular Plan-Growth Option</v>
          </cell>
        </row>
        <row r="6962">
          <cell r="F6962" t="str">
            <v>Kotak FMP Series 213-Direct Plan - Dividend Option</v>
          </cell>
        </row>
        <row r="6963">
          <cell r="F6963" t="str">
            <v>Kotak FMP Series 213-Direct Plan-Growth Option</v>
          </cell>
        </row>
        <row r="6964">
          <cell r="F6964" t="str">
            <v>Kotak FMP Series 213-Regular Plan - Dividend Option</v>
          </cell>
        </row>
        <row r="6965">
          <cell r="F6965" t="str">
            <v>Kotak FMP Series 213-Regular Plan-Growth Option</v>
          </cell>
        </row>
        <row r="6966">
          <cell r="F6966" t="str">
            <v>Kotak FMP Series 214-Direct Plan-Dividend Option</v>
          </cell>
        </row>
        <row r="6967">
          <cell r="F6967" t="str">
            <v>Kotak FMP Series 214-Direct Plan-Growth Option</v>
          </cell>
        </row>
        <row r="6968">
          <cell r="F6968" t="str">
            <v>Kotak FMP Series 214-Regular Plan-Dividend Option</v>
          </cell>
        </row>
        <row r="6969">
          <cell r="F6969" t="str">
            <v>Kotak FMP Series 214-RegularPlan-Growth Option</v>
          </cell>
        </row>
        <row r="6970">
          <cell r="F6970" t="str">
            <v>Kotak FMP Series 215-Direct Plan-Dividend Option</v>
          </cell>
        </row>
        <row r="6971">
          <cell r="F6971" t="str">
            <v>Kotak FMP Series 215-Direct Plan-Growth Option</v>
          </cell>
        </row>
        <row r="6972">
          <cell r="F6972" t="str">
            <v>Kotak FMP Series 215-Regular Plan - Dividend Option</v>
          </cell>
        </row>
        <row r="6973">
          <cell r="F6973" t="str">
            <v>Kotak Gilt-Investment  Provident Fund and Trust-Dividend</v>
          </cell>
        </row>
        <row r="6974">
          <cell r="F6974" t="str">
            <v>Kotak Gilt-Investment  Provident Fund and Trust-Growth</v>
          </cell>
        </row>
        <row r="6975">
          <cell r="F6975" t="str">
            <v>Kotak Gilt-Investment  Provident Fund and Trust-Growth - Direct</v>
          </cell>
        </row>
        <row r="6976">
          <cell r="F6976" t="str">
            <v>Kotak Gilt-Investment Regular-Dividend</v>
          </cell>
        </row>
        <row r="6977">
          <cell r="F6977" t="str">
            <v>Kotak Gilt-Investment Regular-Dividend - Direct</v>
          </cell>
        </row>
        <row r="6978">
          <cell r="F6978" t="str">
            <v>Kotak Gilt-Investment Regular-Growth</v>
          </cell>
        </row>
        <row r="6979">
          <cell r="F6979" t="str">
            <v>Kotak Gilt-Investment Regular-Growth - Direct</v>
          </cell>
        </row>
        <row r="6980">
          <cell r="F6980" t="str">
            <v>Kotak Global Emerging Market Fund - Dividend</v>
          </cell>
        </row>
        <row r="6981">
          <cell r="F6981" t="str">
            <v>Kotak Global Emerging Market Fund - Dividend - Direct</v>
          </cell>
        </row>
        <row r="6982">
          <cell r="F6982" t="str">
            <v>Kotak Global Emerging Market Fund - Growth</v>
          </cell>
        </row>
        <row r="6983">
          <cell r="F6983" t="str">
            <v>Kotak Global Emerging Market Fund - Growth - Direct</v>
          </cell>
        </row>
        <row r="6984">
          <cell r="F6984" t="str">
            <v>KOTAK GOLD ETF</v>
          </cell>
        </row>
        <row r="6985">
          <cell r="F6985" t="str">
            <v>Kotak Gold Fund Dividend</v>
          </cell>
        </row>
        <row r="6986">
          <cell r="F6986" t="str">
            <v>Kotak Gold Fund Dividend - Direct</v>
          </cell>
        </row>
        <row r="6987">
          <cell r="F6987" t="str">
            <v>Kotak Gold Fund Growth</v>
          </cell>
        </row>
        <row r="6988">
          <cell r="F6988" t="str">
            <v>Kotak Gold Fund Growth - Direct</v>
          </cell>
        </row>
        <row r="6989">
          <cell r="F6989" t="str">
            <v>Kotak India EQ Contra Fund - Dividend</v>
          </cell>
        </row>
        <row r="6990">
          <cell r="F6990" t="str">
            <v>Kotak India EQ Contra Fund - Dividend - Direct</v>
          </cell>
        </row>
        <row r="6991">
          <cell r="F6991" t="str">
            <v>Kotak India EQ Contra Fund - Growth</v>
          </cell>
        </row>
        <row r="6992">
          <cell r="F6992" t="str">
            <v>Kotak India EQ Contra Fund - Growth - Direct</v>
          </cell>
        </row>
        <row r="6993">
          <cell r="F6993" t="str">
            <v>Kotak India Gorwth Fund - Series I - Direct Plan - Dividend</v>
          </cell>
        </row>
        <row r="6994">
          <cell r="F6994" t="str">
            <v>Kotak India Gorwth Fund - Series I - Direct Plan - Growth</v>
          </cell>
        </row>
        <row r="6995">
          <cell r="F6995" t="str">
            <v>Kotak India Gorwth Fund - Series I - Regular Plan - Dividend</v>
          </cell>
        </row>
        <row r="6996">
          <cell r="F6996" t="str">
            <v>Kotak India Gorwth Fund - Series I - Regular Plan - Growth</v>
          </cell>
        </row>
        <row r="6997">
          <cell r="F6997" t="str">
            <v>Kotak Infrastructure &amp; Economic Reform Fund - Standard Plan-Dividend</v>
          </cell>
        </row>
        <row r="6998">
          <cell r="F6998" t="str">
            <v>Kotak Infrastructure &amp; Economic Reform Fund - Standard Plan-Growth</v>
          </cell>
        </row>
        <row r="6999">
          <cell r="F6999" t="str">
            <v>Kotak Infrastructure &amp; Economic Reform Fund- Direct Plan- Dividend Option</v>
          </cell>
        </row>
        <row r="7000">
          <cell r="F7000" t="str">
            <v>Kotak Infrastructure &amp; Economic Reform Fund- Direct Plan- Growth Option</v>
          </cell>
        </row>
        <row r="7001">
          <cell r="F7001" t="str">
            <v>Kotak Liquid - Daily Dividend - Direct</v>
          </cell>
        </row>
        <row r="7002">
          <cell r="F7002" t="str">
            <v>Kotak Liquid - Growth - Direct</v>
          </cell>
        </row>
        <row r="7003">
          <cell r="F7003" t="str">
            <v>Kotak Liquid - Weekly Dividend - Direct</v>
          </cell>
        </row>
        <row r="7004">
          <cell r="F7004" t="str">
            <v>Kotak Liquid Regular Plan Daily Dividend</v>
          </cell>
        </row>
        <row r="7005">
          <cell r="F7005" t="str">
            <v>Kotak Liquid Regular Plan Growth</v>
          </cell>
        </row>
        <row r="7006">
          <cell r="F7006" t="str">
            <v>Kotak Liquid Regular Plan Weekly Dividend</v>
          </cell>
        </row>
        <row r="7007">
          <cell r="F7007" t="str">
            <v>Kotak Low Duration - Regular Plan-Weekly Dividend</v>
          </cell>
        </row>
        <row r="7008">
          <cell r="F7008" t="str">
            <v>Kotak Low Duration Fund - Direct Plan- Monthly Dividend Option</v>
          </cell>
        </row>
        <row r="7009">
          <cell r="F7009" t="str">
            <v>Kotak Low Duration Fund- Direct Plan- Growth Option</v>
          </cell>
        </row>
        <row r="7010">
          <cell r="F7010" t="str">
            <v>Kotak Low Duration Fund- Direct Plan- Weekly Dividend Option</v>
          </cell>
        </row>
        <row r="7011">
          <cell r="F7011" t="str">
            <v>Kotak Low Duration Fund- Regular Plan-Growth Option</v>
          </cell>
        </row>
        <row r="7012">
          <cell r="F7012" t="str">
            <v>Kotak Low Duration Fund- Regular Plan-Monthly Dividend Option</v>
          </cell>
        </row>
        <row r="7013">
          <cell r="F7013" t="str">
            <v>Kotak Medium Term Fund - Annual Dividend</v>
          </cell>
        </row>
        <row r="7014">
          <cell r="F7014" t="str">
            <v>Kotak Medium Term Fund - Direct - Annual Dividend</v>
          </cell>
        </row>
        <row r="7015">
          <cell r="F7015" t="str">
            <v>Kotak Medium Term Fund - Direct - Quarterly Dividend</v>
          </cell>
        </row>
        <row r="7016">
          <cell r="F7016" t="str">
            <v>Kotak Medium Term Fund - Direct Growth</v>
          </cell>
        </row>
        <row r="7017">
          <cell r="F7017" t="str">
            <v>Kotak Medium Term Fund - Growth</v>
          </cell>
        </row>
        <row r="7018">
          <cell r="F7018" t="str">
            <v>Kotak Medium Term Fund - Quarterly Dividend</v>
          </cell>
        </row>
        <row r="7019">
          <cell r="F7019" t="str">
            <v>Kotak Money Market Scheme - (Daily Dividend)</v>
          </cell>
        </row>
        <row r="7020">
          <cell r="F7020" t="str">
            <v>Kotak Money Market Scheme - (Daily Dividend) - Direct</v>
          </cell>
        </row>
        <row r="7021">
          <cell r="F7021" t="str">
            <v>Kotak Money Market Scheme - (Growth)</v>
          </cell>
        </row>
        <row r="7022">
          <cell r="F7022" t="str">
            <v>Kotak Money Market Scheme - (Growth) - Direct</v>
          </cell>
        </row>
        <row r="7023">
          <cell r="F7023" t="str">
            <v>Kotak Money market Scheme - (Monthly Dividend)</v>
          </cell>
        </row>
        <row r="7024">
          <cell r="F7024" t="str">
            <v>Kotak Money Market Scheme - (Monthly Dividend) - Direct</v>
          </cell>
        </row>
        <row r="7025">
          <cell r="F7025" t="str">
            <v>Kotak Money Market Scheme - (Weekly Dividend)</v>
          </cell>
        </row>
        <row r="7026">
          <cell r="F7026" t="str">
            <v>Kotak Money Market Scheme - (Weekly Dividend) - Direct</v>
          </cell>
        </row>
        <row r="7027">
          <cell r="F7027" t="str">
            <v>Kotak Nifty ETF</v>
          </cell>
        </row>
        <row r="7028">
          <cell r="F7028" t="str">
            <v>Kotak NV 20 ETF - Dividend</v>
          </cell>
        </row>
        <row r="7029">
          <cell r="F7029" t="str">
            <v>Kotak PSU Bank ETF</v>
          </cell>
        </row>
        <row r="7030">
          <cell r="F7030" t="str">
            <v>Kotak Savings Fund -Growth</v>
          </cell>
        </row>
        <row r="7031">
          <cell r="F7031" t="str">
            <v>Kotak Savings Fund -Monthly Dividend</v>
          </cell>
        </row>
        <row r="7032">
          <cell r="F7032" t="str">
            <v>Kotak Savings Fund -Weekly Dividend</v>
          </cell>
        </row>
        <row r="7033">
          <cell r="F7033" t="str">
            <v>Kotak Savings Fund-Growth - Direct</v>
          </cell>
        </row>
        <row r="7034">
          <cell r="F7034" t="str">
            <v>Kotak Savings Fund-Monthly Dividend - Direct</v>
          </cell>
        </row>
        <row r="7035">
          <cell r="F7035" t="str">
            <v>Kotak Savings Fund-Weekly Dividend - Direct</v>
          </cell>
        </row>
        <row r="7036">
          <cell r="F7036" t="str">
            <v>KOTAK SENSEX</v>
          </cell>
        </row>
        <row r="7037">
          <cell r="F7037" t="str">
            <v>Kotak Sensex ETF</v>
          </cell>
        </row>
        <row r="7038">
          <cell r="F7038" t="str">
            <v>Kotak Standard Multicap Fund - Dividend</v>
          </cell>
        </row>
        <row r="7039">
          <cell r="F7039" t="str">
            <v>Kotak Standard Multicap Fund - Dividend - Direct</v>
          </cell>
        </row>
        <row r="7040">
          <cell r="F7040" t="str">
            <v>Kotak Standard Multicap Fund - Growth</v>
          </cell>
        </row>
        <row r="7041">
          <cell r="F7041" t="str">
            <v>Kotak Standard Multicap Fund - Growth - Direct</v>
          </cell>
        </row>
        <row r="7042">
          <cell r="F7042" t="str">
            <v>Kotak Tax Saver-Scheme-Dividend</v>
          </cell>
        </row>
        <row r="7043">
          <cell r="F7043" t="str">
            <v>Kotak Tax Saver-Scheme-Dividend - Direct</v>
          </cell>
        </row>
        <row r="7044">
          <cell r="F7044" t="str">
            <v>Kotak Tax Saver-Scheme-Growth</v>
          </cell>
        </row>
        <row r="7045">
          <cell r="F7045" t="str">
            <v>Kotak Tax Saver-Scheme-Growth - Direct</v>
          </cell>
        </row>
        <row r="7046">
          <cell r="F7046" t="str">
            <v>Kotak Treasury Advantage Fund -Daily Dividend</v>
          </cell>
        </row>
        <row r="7047">
          <cell r="F7047" t="str">
            <v>Kotak Treasury Advantage Fund -Daily Dividend - Direct</v>
          </cell>
        </row>
        <row r="7048">
          <cell r="F7048" t="str">
            <v>Kotak US Equity Fund - Direct Plan - Dividend option</v>
          </cell>
        </row>
        <row r="7049">
          <cell r="F7049" t="str">
            <v>Kotak US Equity Fund - Direct Plan - Growth option</v>
          </cell>
        </row>
        <row r="7050">
          <cell r="F7050" t="str">
            <v>Kotak US Equity Fund - Standard Plan - Dividend option</v>
          </cell>
        </row>
        <row r="7051">
          <cell r="F7051" t="str">
            <v>Kotak US Equity Fund - Standard Plan - Growth option</v>
          </cell>
        </row>
        <row r="7052">
          <cell r="F7052" t="str">
            <v>Kotak World Gold Fund - Standard Plan - Dividend Option</v>
          </cell>
        </row>
        <row r="7053">
          <cell r="F7053" t="str">
            <v>Kotak World Gold Fund - Standard Plan - Growth Option</v>
          </cell>
        </row>
        <row r="7054">
          <cell r="F7054" t="str">
            <v>Kotak World Gold Fund- Direct Plan- Dividend Option</v>
          </cell>
        </row>
        <row r="7055">
          <cell r="F7055" t="str">
            <v>Kotak World Gold Fund- Direct Plan- Growth Option</v>
          </cell>
        </row>
        <row r="7056">
          <cell r="F7056" t="str">
            <v>Kotak-Small Cap Fund - Dividend</v>
          </cell>
        </row>
        <row r="7057">
          <cell r="F7057" t="str">
            <v>Kotak-Small Cap Fund - Dividend - Direct</v>
          </cell>
        </row>
        <row r="7058">
          <cell r="F7058" t="str">
            <v>Kotak-Small Cap Fund - Growth</v>
          </cell>
        </row>
        <row r="7059">
          <cell r="F7059" t="str">
            <v>Kotak-Small Cap Fund - Growth - Direct</v>
          </cell>
        </row>
        <row r="7060">
          <cell r="F7060" t="str">
            <v>KOTAKBANK</v>
          </cell>
        </row>
        <row r="7061">
          <cell r="F7061" t="str">
            <v>KOTAKBKETF</v>
          </cell>
        </row>
        <row r="7062">
          <cell r="F7062" t="str">
            <v>KOTAKGOLDETF</v>
          </cell>
        </row>
        <row r="7063">
          <cell r="F7063" t="str">
            <v>KOTAKNIFTY</v>
          </cell>
        </row>
        <row r="7064">
          <cell r="F7064" t="str">
            <v>KOTAKNV20</v>
          </cell>
        </row>
        <row r="7065">
          <cell r="F7065" t="str">
            <v>KOTAKPSUBK</v>
          </cell>
        </row>
        <row r="7066">
          <cell r="F7066" t="str">
            <v>KOTARISUG</v>
          </cell>
        </row>
        <row r="7067">
          <cell r="F7067" t="str">
            <v>KOTHARI FERM</v>
          </cell>
        </row>
        <row r="7068">
          <cell r="F7068" t="str">
            <v>KOTHARIPET</v>
          </cell>
        </row>
        <row r="7069">
          <cell r="F7069" t="str">
            <v>KOTHARIPRO</v>
          </cell>
        </row>
        <row r="7070">
          <cell r="F7070" t="str">
            <v>Kotka FMP Series 212-Direct plan -Dividend Option</v>
          </cell>
        </row>
        <row r="7071">
          <cell r="F7071" t="str">
            <v>Kotka FMP Series 215-Regular Plan-Growth Option</v>
          </cell>
        </row>
        <row r="7072">
          <cell r="F7072" t="str">
            <v>KOVAI MEDI.</v>
          </cell>
        </row>
        <row r="7073">
          <cell r="F7073" t="str">
            <v>KPIT</v>
          </cell>
        </row>
        <row r="7074">
          <cell r="F7074" t="str">
            <v>KPRMILL</v>
          </cell>
        </row>
        <row r="7075">
          <cell r="F7075" t="str">
            <v>KRBL</v>
          </cell>
        </row>
        <row r="7076">
          <cell r="F7076" t="str">
            <v>KREBSBIO</v>
          </cell>
        </row>
        <row r="7077">
          <cell r="F7077" t="str">
            <v>KRETTOSYS</v>
          </cell>
        </row>
        <row r="7078">
          <cell r="F7078" t="str">
            <v>KRIINFRA</v>
          </cell>
        </row>
        <row r="7079">
          <cell r="F7079" t="str">
            <v>KRISHANA</v>
          </cell>
        </row>
        <row r="7080">
          <cell r="F7080" t="str">
            <v>KRISHNA VEN</v>
          </cell>
        </row>
        <row r="7081">
          <cell r="F7081" t="str">
            <v>KRISHNACAP</v>
          </cell>
        </row>
        <row r="7082">
          <cell r="F7082" t="str">
            <v>KRITI INDUS.</v>
          </cell>
        </row>
        <row r="7083">
          <cell r="F7083" t="str">
            <v>KRITI NUTRI</v>
          </cell>
        </row>
        <row r="7084">
          <cell r="F7084" t="str">
            <v>KSBPUMPS</v>
          </cell>
        </row>
        <row r="7085">
          <cell r="F7085" t="str">
            <v>KSCL</v>
          </cell>
        </row>
        <row r="7086">
          <cell r="F7086" t="str">
            <v>KSE LIMITED</v>
          </cell>
        </row>
        <row r="7087">
          <cell r="F7087" t="str">
            <v>KSERASERA</v>
          </cell>
        </row>
        <row r="7088">
          <cell r="F7088" t="str">
            <v>KSK ENERGY</v>
          </cell>
        </row>
        <row r="7089">
          <cell r="F7089" t="str">
            <v>KSL &amp; IND.</v>
          </cell>
        </row>
        <row r="7090">
          <cell r="F7090" t="str">
            <v>KTIL</v>
          </cell>
        </row>
        <row r="7091">
          <cell r="F7091" t="str">
            <v>KTK180DG</v>
          </cell>
        </row>
        <row r="7092">
          <cell r="F7092" t="str">
            <v>KTKBANK</v>
          </cell>
        </row>
        <row r="7093">
          <cell r="F7093" t="str">
            <v>KUANTUM</v>
          </cell>
        </row>
        <row r="7094">
          <cell r="F7094" t="str">
            <v>KUBERJI</v>
          </cell>
        </row>
        <row r="7095">
          <cell r="F7095" t="str">
            <v>KULK-POWER</v>
          </cell>
        </row>
        <row r="7096">
          <cell r="F7096" t="str">
            <v>KUMAR WIRE</v>
          </cell>
        </row>
        <row r="7097">
          <cell r="F7097" t="str">
            <v>KUNSTSTOFFE</v>
          </cell>
        </row>
        <row r="7098">
          <cell r="F7098" t="str">
            <v>KUSHAL</v>
          </cell>
        </row>
        <row r="7099">
          <cell r="F7099" t="str">
            <v>KWALITY</v>
          </cell>
        </row>
        <row r="7100">
          <cell r="F7100" t="str">
            <v>KZ LEAS FIN.</v>
          </cell>
        </row>
        <row r="7101">
          <cell r="F7101" t="str">
            <v>L&amp;T  Cash Fund  - Regular Plan - Monthly Dividend</v>
          </cell>
        </row>
        <row r="7102">
          <cell r="F7102" t="str">
            <v>L&amp;T  Cash Fund - Direct Plan - Growth</v>
          </cell>
        </row>
        <row r="7103">
          <cell r="F7103" t="str">
            <v>L&amp;T  Equity Savings Fund- Direct Plan-Quarterly Dividend</v>
          </cell>
        </row>
        <row r="7104">
          <cell r="F7104" t="str">
            <v>L&amp;T  Tax Advantage Fund-Direct Plan-Growth</v>
          </cell>
        </row>
        <row r="7105">
          <cell r="F7105" t="str">
            <v>L&amp;T  Tax Advantage Fund-Regular Plan-Growth</v>
          </cell>
        </row>
        <row r="7106">
          <cell r="F7106" t="str">
            <v>L&amp;T Arbitrage Opportunities Fund - Direct Plan - Growth</v>
          </cell>
        </row>
        <row r="7107">
          <cell r="F7107" t="str">
            <v>L&amp;T Arbitrage Opportunities Fund - Direct Plan - Monthly Dividend</v>
          </cell>
        </row>
        <row r="7108">
          <cell r="F7108" t="str">
            <v>L&amp;T Arbitrage Opportunities Fund - Direct Plan - Quarterly Dividend</v>
          </cell>
        </row>
        <row r="7109">
          <cell r="F7109" t="str">
            <v>L&amp;T Arbitrage Opportunities Fund - Regular Plan - Bonus</v>
          </cell>
        </row>
        <row r="7110">
          <cell r="F7110" t="str">
            <v>L&amp;T Arbitrage Opportunities Fund - Regular Plan - Growth</v>
          </cell>
        </row>
        <row r="7111">
          <cell r="F7111" t="str">
            <v>L&amp;T Arbitrage Opportunities Fund - Regular Plan - Monthly Dividend</v>
          </cell>
        </row>
        <row r="7112">
          <cell r="F7112" t="str">
            <v>L&amp;T Arbitrage Opportunities Fund - Regular Plan - Quarterly Dividend</v>
          </cell>
        </row>
        <row r="7113">
          <cell r="F7113" t="str">
            <v>L&amp;T Banking and PSU Debt Fund -  Direct Plan - Monthly Dividend</v>
          </cell>
        </row>
        <row r="7114">
          <cell r="F7114" t="str">
            <v>L&amp;T Banking and PSU Debt Fund -  Regular Plan - Monthly Dividend</v>
          </cell>
        </row>
        <row r="7115">
          <cell r="F7115" t="str">
            <v>L&amp;T Banking and PSU Debt Fund - Direct Plan - Daily Dividend Option</v>
          </cell>
        </row>
        <row r="7116">
          <cell r="F7116" t="str">
            <v>L&amp;T Banking and PSU Debt Fund - Direct Plan - Growth</v>
          </cell>
        </row>
        <row r="7117">
          <cell r="F7117" t="str">
            <v>L&amp;T Banking and PSU Debt Fund - Direct Plan - Weekly Dividend</v>
          </cell>
        </row>
        <row r="7118">
          <cell r="F7118" t="str">
            <v>L&amp;T Banking and PSU Debt Fund - Regular Plan - Daily Dividend</v>
          </cell>
        </row>
        <row r="7119">
          <cell r="F7119" t="str">
            <v>L&amp;T Banking and PSU Debt Fund - Regular Plan - Growth</v>
          </cell>
        </row>
        <row r="7120">
          <cell r="F7120" t="str">
            <v>L&amp;T Banking and PSU Debt Fund - Regular Plan - Weekly Dividend</v>
          </cell>
        </row>
        <row r="7121">
          <cell r="F7121" t="str">
            <v>L&amp;T Business Cycles Fund - Direct Plan - Dividend</v>
          </cell>
        </row>
        <row r="7122">
          <cell r="F7122" t="str">
            <v>L&amp;T Business Cycles Fund - Direct Plan - Growth</v>
          </cell>
        </row>
        <row r="7123">
          <cell r="F7123" t="str">
            <v>L&amp;T Business Cycles Fund - Regular Plan - Dividend</v>
          </cell>
        </row>
        <row r="7124">
          <cell r="F7124" t="str">
            <v>L&amp;T Business Cycles Fund - Regular Plan - Growth</v>
          </cell>
        </row>
        <row r="7125">
          <cell r="F7125" t="str">
            <v>L&amp;T Cash Fund - Direct Plan- Daily Dividend</v>
          </cell>
        </row>
        <row r="7126">
          <cell r="F7126" t="str">
            <v>L&amp;T Cash Fund - Direct Plan- Monthly Dividend</v>
          </cell>
        </row>
        <row r="7127">
          <cell r="F7127" t="str">
            <v>L&amp;T Cash Fund - Direct Plan- Weekly Dividend</v>
          </cell>
        </row>
        <row r="7128">
          <cell r="F7128" t="str">
            <v>L&amp;T Cash Fund - Regular Plan - Daily Dividend</v>
          </cell>
        </row>
        <row r="7129">
          <cell r="F7129" t="str">
            <v>L&amp;T Cash Fund - Regular Plan - Growth</v>
          </cell>
        </row>
        <row r="7130">
          <cell r="F7130" t="str">
            <v>L&amp;T Cash Fund - Regular Plan - Weekly Dividend</v>
          </cell>
        </row>
        <row r="7131">
          <cell r="F7131" t="str">
            <v>L&amp;T Conservative Hybrid Fund -Direct Plan- Growth</v>
          </cell>
        </row>
        <row r="7132">
          <cell r="F7132" t="str">
            <v>L&amp;T Conservative Hybrid Fund -Direct Plan-Monthly Dividend</v>
          </cell>
        </row>
        <row r="7133">
          <cell r="F7133" t="str">
            <v>L&amp;T Conservative Hybrid Fund -Direct Plan-Quarterly Dividend</v>
          </cell>
        </row>
        <row r="7134">
          <cell r="F7134" t="str">
            <v>L&amp;T Conservative Hybrid Fund -Regular Plan - Monthly Dividend</v>
          </cell>
        </row>
        <row r="7135">
          <cell r="F7135" t="str">
            <v>L&amp;T Conservative Hybrid Fund -Regular Plan -Quarterly Dividend</v>
          </cell>
        </row>
        <row r="7136">
          <cell r="F7136" t="str">
            <v>L&amp;T Conservative Hybrid Fund- Regular Plan - Growth</v>
          </cell>
        </row>
        <row r="7137">
          <cell r="F7137" t="str">
            <v>L&amp;T Credit Risk Fund - Direct Plan - Dividend</v>
          </cell>
        </row>
        <row r="7138">
          <cell r="F7138" t="str">
            <v>L&amp;T Credit Risk Fund - Direct Plan -Annual Dividend</v>
          </cell>
        </row>
        <row r="7139">
          <cell r="F7139" t="str">
            <v>L&amp;T Credit Risk Fund - Regular Plan - Annual Dividend</v>
          </cell>
        </row>
        <row r="7140">
          <cell r="F7140" t="str">
            <v>L&amp;T Credit Risk Fund - Regular Plan - Growth</v>
          </cell>
        </row>
        <row r="7141">
          <cell r="F7141" t="str">
            <v>L&amp;T Credit Risk Fund- Direct Plan - Growth</v>
          </cell>
        </row>
        <row r="7142">
          <cell r="F7142" t="str">
            <v>L&amp;T Credit Risk Fund- Regular Plan - Bonus</v>
          </cell>
        </row>
        <row r="7143">
          <cell r="F7143" t="str">
            <v>L&amp;T Credit Risk Fund- Regular Plan - Dividend</v>
          </cell>
        </row>
        <row r="7144">
          <cell r="F7144" t="str">
            <v>L&amp;T Dynamic Equity Fund-Direct Plan-Dividend</v>
          </cell>
        </row>
        <row r="7145">
          <cell r="F7145" t="str">
            <v>L&amp;T Dynamic Equity Fund-Direct Plan-Growth</v>
          </cell>
        </row>
        <row r="7146">
          <cell r="F7146" t="str">
            <v>L&amp;T Dynamic Equity Fund-Regular Plan-Dividend</v>
          </cell>
        </row>
        <row r="7147">
          <cell r="F7147" t="str">
            <v>L&amp;T Dynamic Equity Fund-Regular Plan-Growth</v>
          </cell>
        </row>
        <row r="7148">
          <cell r="F7148" t="str">
            <v>L&amp;T Emerging Businesses Fund - Direct Plan - Dividend</v>
          </cell>
        </row>
        <row r="7149">
          <cell r="F7149" t="str">
            <v>L&amp;T Emerging Businesses Fund - Direct Plan - Growth</v>
          </cell>
        </row>
        <row r="7150">
          <cell r="F7150" t="str">
            <v>L&amp;T Emerging Businesses Fund - Regular Plan - Dividend</v>
          </cell>
        </row>
        <row r="7151">
          <cell r="F7151" t="str">
            <v>L&amp;T Emerging Businesses Fund - Regular Plan - Growth</v>
          </cell>
        </row>
        <row r="7152">
          <cell r="F7152" t="str">
            <v>L&amp;T Equity Fund-Direct Plan-Dividend</v>
          </cell>
        </row>
        <row r="7153">
          <cell r="F7153" t="str">
            <v>L&amp;T Equity Fund-Direct Plan-Growth</v>
          </cell>
        </row>
        <row r="7154">
          <cell r="F7154" t="str">
            <v>L&amp;T Equity Fund-Regular Plan-Dividend</v>
          </cell>
        </row>
        <row r="7155">
          <cell r="F7155" t="str">
            <v>L&amp;T Equity Fund-Regular Plan-Growth</v>
          </cell>
        </row>
        <row r="7156">
          <cell r="F7156" t="str">
            <v>L&amp;T Equity Savings Fund - Direct Plan-Growth</v>
          </cell>
        </row>
        <row r="7157">
          <cell r="F7157" t="str">
            <v>L&amp;T Equity Savings Fund - Direct Plan-Monthly Dividend</v>
          </cell>
        </row>
        <row r="7158">
          <cell r="F7158" t="str">
            <v>L&amp;T Equity Savings Fund - Regular Plan - Growth</v>
          </cell>
        </row>
        <row r="7159">
          <cell r="F7159" t="str">
            <v>L&amp;T Equity Savings Fund - Regular Plan - Monthly Dividend</v>
          </cell>
        </row>
        <row r="7160">
          <cell r="F7160" t="str">
            <v>L&amp;T Equity Savings Fund - Regular Plan - Quarterly Dividend</v>
          </cell>
        </row>
        <row r="7161">
          <cell r="F7161" t="str">
            <v>L&amp;T Flexi Bond Fund - Direct Plan - Annual Dividend</v>
          </cell>
        </row>
        <row r="7162">
          <cell r="F7162" t="str">
            <v>L&amp;T Flexi Bond Fund - Direct Plan- Dividend</v>
          </cell>
        </row>
        <row r="7163">
          <cell r="F7163" t="str">
            <v>L&amp;T Flexi Bond Fund - Direct Plan- Growth</v>
          </cell>
        </row>
        <row r="7164">
          <cell r="F7164" t="str">
            <v>L&amp;T Flexi Bond Fund - Regular Plan - Annual Dividend</v>
          </cell>
        </row>
        <row r="7165">
          <cell r="F7165" t="str">
            <v>L&amp;T Flexi Bond Fund - Regular Plan - Dividend</v>
          </cell>
        </row>
        <row r="7166">
          <cell r="F7166" t="str">
            <v>L&amp;T Flexi Bond Fund - Regular Plan - Growth</v>
          </cell>
        </row>
        <row r="7167">
          <cell r="F7167" t="str">
            <v>L&amp;T FMP - Series XIV - Scheme C - Direct Plan - Dividend</v>
          </cell>
        </row>
        <row r="7168">
          <cell r="F7168" t="str">
            <v>L&amp;T FMP - Series XIV - Scheme C - Direct Plan - Growth</v>
          </cell>
        </row>
        <row r="7169">
          <cell r="F7169" t="str">
            <v>L&amp;T FMP - Series XIV - Scheme C - Regular Plan - Dividend</v>
          </cell>
        </row>
        <row r="7170">
          <cell r="F7170" t="str">
            <v>L&amp;T FMP - Series XIV - Scheme C - Regular Plan - Growth</v>
          </cell>
        </row>
        <row r="7171">
          <cell r="F7171" t="str">
            <v>L&amp;T FMP - VII (August1095D A) - Direct Plan - Growth</v>
          </cell>
        </row>
        <row r="7172">
          <cell r="F7172" t="str">
            <v>L&amp;T FMP - VII (August1095D A) - Regular Plan - Dividend</v>
          </cell>
        </row>
        <row r="7173">
          <cell r="F7173" t="str">
            <v>L&amp;T FMP - VII (August1095D A) - Regular Plan - Growth</v>
          </cell>
        </row>
        <row r="7174">
          <cell r="F7174" t="str">
            <v>L&amp;T FMP Series X - Plan M (1520 days) - Direct Plan - Dividend</v>
          </cell>
        </row>
        <row r="7175">
          <cell r="F7175" t="str">
            <v>L&amp;T FMP Series X - Plan M (1520 days) - Direct Plan - Growth</v>
          </cell>
        </row>
        <row r="7176">
          <cell r="F7176" t="str">
            <v>L&amp;T FMP Series X - Plan M (1520 days) - Regular Plan - Growth</v>
          </cell>
        </row>
        <row r="7177">
          <cell r="F7177" t="str">
            <v>L&amp;T FMP Series X - Plan Q (1511 days) - Direct Plan - Growth</v>
          </cell>
        </row>
        <row r="7178">
          <cell r="F7178" t="str">
            <v>L&amp;T FMP Series X - Plan Q (1511 days) - Regular Plan - Growth</v>
          </cell>
        </row>
        <row r="7179">
          <cell r="F7179" t="str">
            <v>L&amp;T FMP Series X - Plan R (1506 days) - Direct Plan - Growth</v>
          </cell>
        </row>
        <row r="7180">
          <cell r="F7180" t="str">
            <v>L&amp;T FMP Series X - Plan R (1506 days) - Regular Plan - Growth</v>
          </cell>
        </row>
        <row r="7181">
          <cell r="F7181" t="str">
            <v>L&amp;T FMP Series X - Plan S (1500 days) - Direct Plan - Dividend</v>
          </cell>
        </row>
        <row r="7182">
          <cell r="F7182" t="str">
            <v>L&amp;T FMP Series X - Plan S (1500 days) - Direct Plan - Growth</v>
          </cell>
        </row>
        <row r="7183">
          <cell r="F7183" t="str">
            <v>L&amp;T FMP Series X - Plan S (1500 days) - Regular Plan - Growth</v>
          </cell>
        </row>
        <row r="7184">
          <cell r="F7184" t="str">
            <v>L&amp;T FMP Series X - Plan T (1500 days) - Direct Plan - Growth</v>
          </cell>
        </row>
        <row r="7185">
          <cell r="F7185" t="str">
            <v>L&amp;T FMP Series X - Plan T (1500 days) - Regular Plan - Growth</v>
          </cell>
        </row>
        <row r="7186">
          <cell r="F7186" t="str">
            <v>L&amp;T FMP Series XI - Plan A (1484 days) - Direct Plan - Dividend</v>
          </cell>
        </row>
        <row r="7187">
          <cell r="F7187" t="str">
            <v>L&amp;T FMP Series XI - Plan A (1484 days) - Direct Plan - Growth</v>
          </cell>
        </row>
        <row r="7188">
          <cell r="F7188" t="str">
            <v>L&amp;T FMP Series XI - Plan A (1484 days) - Regular Plan - Growth</v>
          </cell>
        </row>
        <row r="7189">
          <cell r="F7189" t="str">
            <v>L&amp;T FMP Series XIV - Scheme A - Direct Plan - Growth</v>
          </cell>
        </row>
        <row r="7190">
          <cell r="F7190" t="str">
            <v>L&amp;T FMP Series XIV - Scheme A - Regular Plan - Dividend</v>
          </cell>
        </row>
        <row r="7191">
          <cell r="F7191" t="str">
            <v>L&amp;T FMP Series XIV - Scheme A - Regular Plan - Growth</v>
          </cell>
        </row>
        <row r="7192">
          <cell r="F7192" t="str">
            <v>L&amp;T FMP Series XVI - Plan A - Direct Plan - Dividend Option</v>
          </cell>
        </row>
        <row r="7193">
          <cell r="F7193" t="str">
            <v>L&amp;T FMP Series XVI - Plan A - Direct Plan - Growth Option</v>
          </cell>
        </row>
        <row r="7194">
          <cell r="F7194" t="str">
            <v>L&amp;T FMP Series XVI - Plan A - Regular Plan - Dividend Option</v>
          </cell>
        </row>
        <row r="7195">
          <cell r="F7195" t="str">
            <v>L&amp;T FMP Series XVI - Plan A - Regular Plan - Growth Option</v>
          </cell>
        </row>
        <row r="7196">
          <cell r="F7196" t="str">
            <v>L&amp;T Gilt Fund - Direct Plan - Growth</v>
          </cell>
        </row>
        <row r="7197">
          <cell r="F7197" t="str">
            <v>L&amp;T Gilt Fund - Direct Plan - Quarterly Dividend</v>
          </cell>
        </row>
        <row r="7198">
          <cell r="F7198" t="str">
            <v>L&amp;T Gilt Fund - Regular Plan - Growth</v>
          </cell>
        </row>
        <row r="7199">
          <cell r="F7199" t="str">
            <v>L&amp;T Gilt Fund - Regular Plan - Quarterly Dividend</v>
          </cell>
        </row>
        <row r="7200">
          <cell r="F7200" t="str">
            <v>L&amp;T Hybrid Equity Fund - Direct Plan - Annual Dividend</v>
          </cell>
        </row>
        <row r="7201">
          <cell r="F7201" t="str">
            <v>L&amp;T Hybrid Equity Fund - Direct Plan -Dividend</v>
          </cell>
        </row>
        <row r="7202">
          <cell r="F7202" t="str">
            <v>L&amp;T Hybrid Equity Fund - Direct Plan-Growth</v>
          </cell>
        </row>
        <row r="7203">
          <cell r="F7203" t="str">
            <v>L&amp;T Hybrid Equity Fund - Regular Plan- Annual Dividend</v>
          </cell>
        </row>
        <row r="7204">
          <cell r="F7204" t="str">
            <v>L&amp;T Hybrid Equity Fund- Regular Plan - Dividend</v>
          </cell>
        </row>
        <row r="7205">
          <cell r="F7205" t="str">
            <v>L&amp;T Hybrid Equity Fund- Regular Plan - Growth</v>
          </cell>
        </row>
        <row r="7206">
          <cell r="F7206" t="str">
            <v>L&amp;T India Large Cap Fund - Direct Plan - Growth</v>
          </cell>
        </row>
        <row r="7207">
          <cell r="F7207" t="str">
            <v>L&amp;T India Large Cap Fund - Direct Plan- Dividend</v>
          </cell>
        </row>
        <row r="7208">
          <cell r="F7208" t="str">
            <v>L&amp;T India Large Cap Fund - Regular Plan - Dividend</v>
          </cell>
        </row>
        <row r="7209">
          <cell r="F7209" t="str">
            <v>L&amp;T India Large Cap Fund - Regular Plan - Growth</v>
          </cell>
        </row>
        <row r="7210">
          <cell r="F7210" t="str">
            <v>L&amp;T India Value Fund-Direct Plan-Dividend</v>
          </cell>
        </row>
        <row r="7211">
          <cell r="F7211" t="str">
            <v>L&amp;T India Value Fund-Direct Plan-Growth</v>
          </cell>
        </row>
        <row r="7212">
          <cell r="F7212" t="str">
            <v>L&amp;T India Value Fund-Regular Plan-Dividend</v>
          </cell>
        </row>
        <row r="7213">
          <cell r="F7213" t="str">
            <v>L&amp;T India Value Fund-Regular Plan-Growth</v>
          </cell>
        </row>
        <row r="7214">
          <cell r="F7214" t="str">
            <v>L&amp;T Infrastructure Fund - Regular Plan - Dividend</v>
          </cell>
        </row>
        <row r="7215">
          <cell r="F7215" t="str">
            <v>L&amp;T Infrastructure Fund - Regular Plan - Growth</v>
          </cell>
        </row>
        <row r="7216">
          <cell r="F7216" t="str">
            <v>L&amp;T Infrastructure Fund -Direct Plan-Growth</v>
          </cell>
        </row>
        <row r="7217">
          <cell r="F7217" t="str">
            <v>L&amp;T Infrastructure Fund-Direct Plan-Dividend</v>
          </cell>
        </row>
        <row r="7218">
          <cell r="F7218" t="str">
            <v>L&amp;T Large and Midcap Fund- Direct Plan -Dividend</v>
          </cell>
        </row>
        <row r="7219">
          <cell r="F7219" t="str">
            <v>L&amp;T Large and Midcap Fund-Direct Plan-Growth</v>
          </cell>
        </row>
        <row r="7220">
          <cell r="F7220" t="str">
            <v>L&amp;T Large and Midcap Fund-Regular Plan-Dividend</v>
          </cell>
        </row>
        <row r="7221">
          <cell r="F7221" t="str">
            <v>L&amp;T Large and Midcap Fund-Regular Plan-Growth</v>
          </cell>
        </row>
        <row r="7222">
          <cell r="F7222" t="str">
            <v>L&amp;T Liquid Fund - Direct Plan - Weekly Dividend</v>
          </cell>
        </row>
        <row r="7223">
          <cell r="F7223" t="str">
            <v>L&amp;T Liquid Fund - Direct Plan -Daily Dividend</v>
          </cell>
        </row>
        <row r="7224">
          <cell r="F7224" t="str">
            <v>L&amp;T Liquid Fund - Direct Plan -Growth</v>
          </cell>
        </row>
        <row r="7225">
          <cell r="F7225" t="str">
            <v>L&amp;T Liquid Fund - Regular Plan - Weekly Dividend</v>
          </cell>
        </row>
        <row r="7226">
          <cell r="F7226" t="str">
            <v>L&amp;T Liquid Fund -Regular Plan - Daily Dividend</v>
          </cell>
        </row>
        <row r="7227">
          <cell r="F7227" t="str">
            <v>L&amp;T Liquid Fund -Regular Plan - Growth</v>
          </cell>
        </row>
        <row r="7228">
          <cell r="F7228" t="str">
            <v>L&amp;T Long Term Advantage Fund I - Regular Plan - Dividend</v>
          </cell>
        </row>
        <row r="7229">
          <cell r="F7229" t="str">
            <v>L&amp;T Long Term Advantage Fund I - Regular Plan - Growth</v>
          </cell>
        </row>
        <row r="7230">
          <cell r="F7230" t="str">
            <v>L&amp;T Low Duration Fund - Direct Plan - Annual Dividend</v>
          </cell>
        </row>
        <row r="7231">
          <cell r="F7231" t="str">
            <v>L&amp;T Low Duration Fund - Regular Plan - Annual Dividend</v>
          </cell>
        </row>
        <row r="7232">
          <cell r="F7232" t="str">
            <v>L&amp;T Low Duration Fund-Direct Plan-Dividend</v>
          </cell>
        </row>
        <row r="7233">
          <cell r="F7233" t="str">
            <v>L&amp;T Low Duration Fund-Direct Plan-Growth</v>
          </cell>
        </row>
        <row r="7234">
          <cell r="F7234" t="str">
            <v>L&amp;T Low Duration Fund-Regular Plan - Dividend</v>
          </cell>
        </row>
        <row r="7235">
          <cell r="F7235" t="str">
            <v>L&amp;T Low Duration Fund-Regular Plan - Growth</v>
          </cell>
        </row>
        <row r="7236">
          <cell r="F7236" t="str">
            <v>L&amp;T Mid Cap Fund-Direct Plan -Dividend</v>
          </cell>
        </row>
        <row r="7237">
          <cell r="F7237" t="str">
            <v>L&amp;T Mid Cap Fund-Direct Plan-Growth</v>
          </cell>
        </row>
        <row r="7238">
          <cell r="F7238" t="str">
            <v>L&amp;T Mid Cap Fund-Regular Plan-Dividend</v>
          </cell>
        </row>
        <row r="7239">
          <cell r="F7239" t="str">
            <v>L&amp;T Mid Cap Fund-Regular Plan-Growth</v>
          </cell>
        </row>
        <row r="7240">
          <cell r="F7240" t="str">
            <v>L&amp;T Money Market Fund - Direct Plan - Daily Dividend</v>
          </cell>
        </row>
        <row r="7241">
          <cell r="F7241" t="str">
            <v>L&amp;T Money Market Fund - Direct Plan - Weekly Dividend</v>
          </cell>
        </row>
        <row r="7242">
          <cell r="F7242" t="str">
            <v>L&amp;T Money Market Fund - Regular Plan - Daily Dividend</v>
          </cell>
        </row>
        <row r="7243">
          <cell r="F7243" t="str">
            <v>L&amp;T Money Market Fund - Regular Plan - Growth</v>
          </cell>
        </row>
        <row r="7244">
          <cell r="F7244" t="str">
            <v>L&amp;T Money Market Fund - Regular Plan - Monthly Dividend</v>
          </cell>
        </row>
        <row r="7245">
          <cell r="F7245" t="str">
            <v>L&amp;T Money Market Fund - Regular Plan - Weekly Dividend</v>
          </cell>
        </row>
        <row r="7246">
          <cell r="F7246" t="str">
            <v>L&amp;T Money Market Fund -Direct Plan- Growth</v>
          </cell>
        </row>
        <row r="7247">
          <cell r="F7247" t="str">
            <v>L&amp;T Money Market Fund -Direct Plan- Monthly Dividend</v>
          </cell>
        </row>
        <row r="7248">
          <cell r="F7248" t="str">
            <v>L&amp;T Resurgent India  Bond Fund - Direct Plan - Annual Dividend</v>
          </cell>
        </row>
        <row r="7249">
          <cell r="F7249" t="str">
            <v>L&amp;T Resurgent India  Bond Fund - Direct Plan - Dividend</v>
          </cell>
        </row>
        <row r="7250">
          <cell r="F7250" t="str">
            <v>L&amp;T Resurgent India  Bond Fund - Direct Plan - Growth</v>
          </cell>
        </row>
        <row r="7251">
          <cell r="F7251" t="str">
            <v>L&amp;T Resurgent India  Bond Fund - Regular Plan - Annual Dividend</v>
          </cell>
        </row>
        <row r="7252">
          <cell r="F7252" t="str">
            <v>L&amp;T Resurgent India  Bond Fund - Regular Plan - Dividend</v>
          </cell>
        </row>
        <row r="7253">
          <cell r="F7253" t="str">
            <v>L&amp;T Resurgent India  Bond Fund - Regular Plan - Growth</v>
          </cell>
        </row>
        <row r="7254">
          <cell r="F7254" t="str">
            <v>L&amp;T Short Term Bond Fund - Direct Plan - Annual Dividend</v>
          </cell>
        </row>
        <row r="7255">
          <cell r="F7255" t="str">
            <v>L&amp;T Short Term Bond Fund - Direct Plan - Quarterly Dividend</v>
          </cell>
        </row>
        <row r="7256">
          <cell r="F7256" t="str">
            <v>L&amp;T Short Term Bond Fund - Regular Plan - Annual Dividend</v>
          </cell>
        </row>
        <row r="7257">
          <cell r="F7257" t="str">
            <v>L&amp;T Short Term Bond Fund - Regular Plan - Bonus</v>
          </cell>
        </row>
        <row r="7258">
          <cell r="F7258" t="str">
            <v>L&amp;T Short Term Bond Fund - Regular Plan - Growth</v>
          </cell>
        </row>
        <row r="7259">
          <cell r="F7259" t="str">
            <v>L&amp;T Short Term Bond Fund - Regular Plan - Monthly Dividend</v>
          </cell>
        </row>
        <row r="7260">
          <cell r="F7260" t="str">
            <v>L&amp;T Short Term Bond Fund - Regular Plan - Quarterly Dividend</v>
          </cell>
        </row>
        <row r="7261">
          <cell r="F7261" t="str">
            <v>L&amp;T Short Term Bond Fund -Direct Plan -  Monthly Dividend</v>
          </cell>
        </row>
        <row r="7262">
          <cell r="F7262" t="str">
            <v>L&amp;T Short Term Bond Fund -Direct Plan- Growth</v>
          </cell>
        </row>
        <row r="7263">
          <cell r="F7263" t="str">
            <v>L&amp;T Tax Advantage Fund-Direct Plan-Dividend</v>
          </cell>
        </row>
        <row r="7264">
          <cell r="F7264" t="str">
            <v>L&amp;T Tax Advantage Fund-Regular Plan-Dividend</v>
          </cell>
        </row>
        <row r="7265">
          <cell r="F7265" t="str">
            <v>L&amp;T Tax Saver Fund- Regular Plan - Dividend</v>
          </cell>
        </row>
        <row r="7266">
          <cell r="F7266" t="str">
            <v>L&amp;T Tax Saver Fund-Regular Plan - Growth</v>
          </cell>
        </row>
        <row r="7267">
          <cell r="F7267" t="str">
            <v>L&amp;T Triple Ace Bond Fund - Direct Plan -Growth</v>
          </cell>
        </row>
        <row r="7268">
          <cell r="F7268" t="str">
            <v>L&amp;T Triple Ace Bond Fund - Direct Plan -Semi Annual Dividend</v>
          </cell>
        </row>
        <row r="7269">
          <cell r="F7269" t="str">
            <v>L&amp;T Triple Ace Bond Fund - Regular Plan - Annual Dividend</v>
          </cell>
        </row>
        <row r="7270">
          <cell r="F7270" t="str">
            <v>L&amp;T Triple Ace Bond Fund - Regular Plan - Quarterly Dividend</v>
          </cell>
        </row>
        <row r="7271">
          <cell r="F7271" t="str">
            <v>L&amp;T Triple Ace Bond Fund -Direct Plan- Quarterly Dividend</v>
          </cell>
        </row>
        <row r="7272">
          <cell r="F7272" t="str">
            <v>L&amp;T Triple Ace Bond Fund -Regular Plan - Bonus</v>
          </cell>
        </row>
        <row r="7273">
          <cell r="F7273" t="str">
            <v>L&amp;T Triple Ace Bond Fund -Regular Plan - Semi Annual Dividend</v>
          </cell>
        </row>
        <row r="7274">
          <cell r="F7274" t="str">
            <v>L&amp;T Triple Ace Bond Fund-Regular Plan-Growth</v>
          </cell>
        </row>
        <row r="7275">
          <cell r="F7275" t="str">
            <v>L&amp;T Ultra Short Term Fund - Direct Plan - Bonus</v>
          </cell>
        </row>
        <row r="7276">
          <cell r="F7276" t="str">
            <v>L&amp;T Ultra Short Term Fund - Regular Plan - Bonus</v>
          </cell>
        </row>
        <row r="7277">
          <cell r="F7277" t="str">
            <v>L&amp;T Ultra Short Term Fund - Regular Plan - Growth</v>
          </cell>
        </row>
        <row r="7278">
          <cell r="F7278" t="str">
            <v>L&amp;T Ultra Short Term Fund - Regular Plan - Monthly Dividend</v>
          </cell>
        </row>
        <row r="7279">
          <cell r="F7279" t="str">
            <v>L&amp;T Ultra Short Term Fund - Regular Plan -Semi Annual Dividend</v>
          </cell>
        </row>
        <row r="7280">
          <cell r="F7280" t="str">
            <v>L&amp;T Ultra Short Term Fund -Regular - Cumulative</v>
          </cell>
        </row>
        <row r="7281">
          <cell r="F7281" t="str">
            <v>L&amp;T Ultra Short Term Fund- Direct Plan - Daily Dividend</v>
          </cell>
        </row>
        <row r="7282">
          <cell r="F7282" t="str">
            <v>L&amp;T Ultra Short Term Fund- Direct Plan- Weekly Dividend</v>
          </cell>
        </row>
        <row r="7283">
          <cell r="F7283" t="str">
            <v>L&amp;T Ultra Short Term Fund- Regular Plan - Daily Dividend</v>
          </cell>
        </row>
        <row r="7284">
          <cell r="F7284" t="str">
            <v>L&amp;T Ultra Short Term Fund-Direct Plan - Growth</v>
          </cell>
        </row>
        <row r="7285">
          <cell r="F7285" t="str">
            <v>L&amp;T Ultra Short Term Fund-Direct Plan -Monthly Dividend</v>
          </cell>
        </row>
        <row r="7286">
          <cell r="F7286" t="str">
            <v>L&amp;T Ultra Short Term Fund-Regular Plan - Weekly Dividend</v>
          </cell>
        </row>
        <row r="7287">
          <cell r="F7287" t="str">
            <v>L&amp;TFINANCE</v>
          </cell>
        </row>
        <row r="7288">
          <cell r="F7288" t="str">
            <v>L&amp;TINFRA</v>
          </cell>
        </row>
        <row r="7289">
          <cell r="F7289" t="str">
            <v>L&amp;TINFRA2</v>
          </cell>
        </row>
        <row r="7290">
          <cell r="F7290" t="str">
            <v>L&amp;TINFRA3</v>
          </cell>
        </row>
        <row r="7291">
          <cell r="F7291" t="str">
            <v>L&amp;TINFRA4</v>
          </cell>
        </row>
        <row r="7292">
          <cell r="F7292" t="str">
            <v>L&amp;TINFRA5</v>
          </cell>
        </row>
        <row r="7293">
          <cell r="F7293" t="str">
            <v>L&amp;TINFRA6</v>
          </cell>
        </row>
        <row r="7294">
          <cell r="F7294" t="str">
            <v>LACTOSE(I)</v>
          </cell>
        </row>
        <row r="7295">
          <cell r="F7295" t="str">
            <v>LADDERUP FIN</v>
          </cell>
        </row>
        <row r="7296">
          <cell r="F7296" t="str">
            <v>LAFFANS PETR</v>
          </cell>
        </row>
        <row r="7297">
          <cell r="F7297" t="str">
            <v>LAHOTI OVER.</v>
          </cell>
        </row>
        <row r="7298">
          <cell r="F7298" t="str">
            <v>LAKPRE</v>
          </cell>
        </row>
        <row r="7299">
          <cell r="F7299" t="str">
            <v>LAKSHMI ELEC</v>
          </cell>
        </row>
        <row r="7300">
          <cell r="F7300" t="str">
            <v>LAKSHMI MILL</v>
          </cell>
        </row>
        <row r="7301">
          <cell r="F7301" t="str">
            <v>LAKSHMIEFL</v>
          </cell>
        </row>
        <row r="7302">
          <cell r="F7302" t="str">
            <v>LAKSHVILAS</v>
          </cell>
        </row>
        <row r="7303">
          <cell r="F7303" t="str">
            <v>LALPATHLAB</v>
          </cell>
        </row>
        <row r="7304">
          <cell r="F7304" t="str">
            <v>LAMBODHARA T</v>
          </cell>
        </row>
        <row r="7305">
          <cell r="F7305" t="str">
            <v>LANCER</v>
          </cell>
        </row>
        <row r="7306">
          <cell r="F7306" t="str">
            <v>LANCOR HOLDS</v>
          </cell>
        </row>
        <row r="7307">
          <cell r="F7307" t="str">
            <v>LANDMARC LEI</v>
          </cell>
        </row>
        <row r="7308">
          <cell r="F7308" t="str">
            <v>LAOPALA</v>
          </cell>
        </row>
        <row r="7309">
          <cell r="F7309" t="str">
            <v>LARSEN &amp; TOU</v>
          </cell>
        </row>
        <row r="7310">
          <cell r="F7310" t="str">
            <v>LASA</v>
          </cell>
        </row>
        <row r="7311">
          <cell r="F7311" t="str">
            <v>LATIMMETAL</v>
          </cell>
        </row>
        <row r="7312">
          <cell r="F7312" t="str">
            <v>LAUREL ORGAN</v>
          </cell>
        </row>
        <row r="7313">
          <cell r="F7313" t="str">
            <v>LAURUSLABS</v>
          </cell>
        </row>
        <row r="7314">
          <cell r="F7314" t="str">
            <v>LAWRESHWAR</v>
          </cell>
        </row>
        <row r="7315">
          <cell r="F7315" t="str">
            <v>LAXMI AUTOLM</v>
          </cell>
        </row>
        <row r="7316">
          <cell r="F7316" t="str">
            <v>LAXMIMACH</v>
          </cell>
        </row>
        <row r="7317">
          <cell r="F7317" t="str">
            <v>LAYLA</v>
          </cell>
        </row>
        <row r="7318">
          <cell r="F7318" t="str">
            <v>LCCINFOTEC</v>
          </cell>
        </row>
        <row r="7319">
          <cell r="F7319" t="str">
            <v>LEE&amp;NEE SOFT</v>
          </cell>
        </row>
        <row r="7320">
          <cell r="F7320" t="str">
            <v>LEEL</v>
          </cell>
        </row>
        <row r="7321">
          <cell r="F7321" t="str">
            <v>LEHIL</v>
          </cell>
        </row>
        <row r="7322">
          <cell r="F7322" t="str">
            <v>LEXUS</v>
          </cell>
        </row>
        <row r="7323">
          <cell r="F7323" t="str">
            <v>LFIC</v>
          </cell>
        </row>
        <row r="7324">
          <cell r="F7324" t="str">
            <v>LGBBROSLTD</v>
          </cell>
        </row>
        <row r="7325">
          <cell r="F7325" t="str">
            <v>LIBERTSHOE</v>
          </cell>
        </row>
        <row r="7326">
          <cell r="F7326" t="str">
            <v>LIC HOUS.FIN</v>
          </cell>
        </row>
        <row r="7327">
          <cell r="F7327" t="str">
            <v>LIC MF Banking &amp; PSU Debt Fund-Direct Plan-Daily Dividend</v>
          </cell>
        </row>
        <row r="7328">
          <cell r="F7328" t="str">
            <v>LIC MF Banking &amp; PSU Debt Fund-Direct Plan-Growth</v>
          </cell>
        </row>
        <row r="7329">
          <cell r="F7329" t="str">
            <v>LIC MF Banking &amp; PSU Debt Fund-Direct Plan-Monthly Dividend</v>
          </cell>
        </row>
        <row r="7330">
          <cell r="F7330" t="str">
            <v>LIC MF Banking &amp; PSU Debt Fund-Direct Plan-Weekly Dividend</v>
          </cell>
        </row>
        <row r="7331">
          <cell r="F7331" t="str">
            <v>LIC MF Banking &amp; PSU Debt Fund-Regular Plan-Daily Dividend</v>
          </cell>
        </row>
        <row r="7332">
          <cell r="F7332" t="str">
            <v>LIC MF Banking &amp; PSU Debt Fund-Regular Plan-Growth</v>
          </cell>
        </row>
        <row r="7333">
          <cell r="F7333" t="str">
            <v>LIC MF Banking &amp; PSU Debt Fund-Regular Plan-Monthly Dividend</v>
          </cell>
        </row>
        <row r="7334">
          <cell r="F7334" t="str">
            <v>LIC MF Banking &amp; PSU Debt Fund-Regular Plan-Weekly Dividend</v>
          </cell>
        </row>
        <row r="7335">
          <cell r="F7335" t="str">
            <v>LIC MF Banking and Financial Services Fund-Direct Plan-Dividend</v>
          </cell>
        </row>
        <row r="7336">
          <cell r="F7336" t="str">
            <v>LIC MF Banking and Financial Services Fund-Direct Plan-Growth</v>
          </cell>
        </row>
        <row r="7337">
          <cell r="F7337" t="str">
            <v>LIC MF Banking and Financial Services Fund-Regular Plan-Dividend</v>
          </cell>
        </row>
        <row r="7338">
          <cell r="F7338" t="str">
            <v>LIC MF Banking and Financial Services Fund-Regular Plan-Growth</v>
          </cell>
        </row>
        <row r="7339">
          <cell r="F7339" t="str">
            <v>LIC MF Bond Fund-Direct Plan-Dividend</v>
          </cell>
        </row>
        <row r="7340">
          <cell r="F7340" t="str">
            <v>LIC MF Bond Fund-Direct Plan-Growth</v>
          </cell>
        </row>
        <row r="7341">
          <cell r="F7341" t="str">
            <v>LIC MF Bond Fund-Regular Plan-Dividend</v>
          </cell>
        </row>
        <row r="7342">
          <cell r="F7342" t="str">
            <v>LIC MF Bond Fund-Regular Plan-Growth</v>
          </cell>
        </row>
        <row r="7343">
          <cell r="F7343" t="str">
            <v>LIC MF Capital Protection Oriented Fund-Series 2-Direct Plan-Growth</v>
          </cell>
        </row>
        <row r="7344">
          <cell r="F7344" t="str">
            <v>LIC MF Capital Protection Oriented Fund-Series 2-Regular Plan-Dividend Payout</v>
          </cell>
        </row>
        <row r="7345">
          <cell r="F7345" t="str">
            <v>LIC MF Capital Protection Oriented Fund-Series 2-Regular Plan-Growth</v>
          </cell>
        </row>
        <row r="7346">
          <cell r="F7346" t="str">
            <v>LIC MF Childrens Gift Fund-Direct Plan-Growth</v>
          </cell>
        </row>
        <row r="7347">
          <cell r="F7347" t="str">
            <v>LIC MF Childrens Gift Fund-Regular Plan-Growth</v>
          </cell>
        </row>
        <row r="7348">
          <cell r="F7348" t="str">
            <v>LIC MF Debt Hybrid Fund-Direct Plan-Growth</v>
          </cell>
        </row>
        <row r="7349">
          <cell r="F7349" t="str">
            <v>LIC MF Debt Hybrid Fund-Direct Plan-Monthly Dividend</v>
          </cell>
        </row>
        <row r="7350">
          <cell r="F7350" t="str">
            <v>LIC MF Debt Hybrid Fund-Direct Plan-Quarterly Dividend</v>
          </cell>
        </row>
        <row r="7351">
          <cell r="F7351" t="str">
            <v>LIC MF Debt Hybrid Fund-Direct Plan-Yearly Dividend</v>
          </cell>
        </row>
        <row r="7352">
          <cell r="F7352" t="str">
            <v>LIC MF Debt Hybrid Fund-Regular Plan-Growth</v>
          </cell>
        </row>
        <row r="7353">
          <cell r="F7353" t="str">
            <v>LIC MF Debt Hybrid Fund-Regular Plan-Monthly Dividend</v>
          </cell>
        </row>
        <row r="7354">
          <cell r="F7354" t="str">
            <v>LIC MF Debt Hybrid Fund-Regular Plan-Quarterly Dividend</v>
          </cell>
        </row>
        <row r="7355">
          <cell r="F7355" t="str">
            <v>LIC MF Debt Hybrid Fund-Regular Plan-Yearly Dividend</v>
          </cell>
        </row>
        <row r="7356">
          <cell r="F7356" t="str">
            <v>LIC MF Dual Advantage Fixed Term Plan-Series 1-Direct Plan-Dividend Payout</v>
          </cell>
        </row>
        <row r="7357">
          <cell r="F7357" t="str">
            <v>LIC MF Dual Advantage Fixed Term Plan-Series 1-Direct Plan-Growth</v>
          </cell>
        </row>
        <row r="7358">
          <cell r="F7358" t="str">
            <v>LIC MF Dual Advantage Fixed Term Plan-Series 1-Regular Plan-Dividend Payout</v>
          </cell>
        </row>
        <row r="7359">
          <cell r="F7359" t="str">
            <v>LIC MF Dual Advantage Fixed Term Plan-Series 1-Regular Plan-Growth</v>
          </cell>
        </row>
        <row r="7360">
          <cell r="F7360" t="str">
            <v>LIC MF Dual Advantage Fixed Term Plan-Series 2-Direct Plan-Dividend Payout</v>
          </cell>
        </row>
        <row r="7361">
          <cell r="F7361" t="str">
            <v>LIC MF Dual Advantage Fixed Term Plan-Series 2-Direct Plan-Growth</v>
          </cell>
        </row>
        <row r="7362">
          <cell r="F7362" t="str">
            <v>LIC MF Dual Advantage Fixed Term Plan-Series 2-Regular Plan-Dividend Payout</v>
          </cell>
        </row>
        <row r="7363">
          <cell r="F7363" t="str">
            <v>LIC MF Dual Advantage Fixed Term Plan-Series 2-Regular Plan-Growth</v>
          </cell>
        </row>
        <row r="7364">
          <cell r="F7364" t="str">
            <v>LIC MF Dual Advantage Fixed Term Plan-Series 3-Direct Plan-Dividend Payout</v>
          </cell>
        </row>
        <row r="7365">
          <cell r="F7365" t="str">
            <v>LIC MF Dual Advantage Fixed Term Plan-Series 3-Direct Plan-Growth</v>
          </cell>
        </row>
        <row r="7366">
          <cell r="F7366" t="str">
            <v>LIC MF Dual Advantage Fixed Term Plan-Series 3-Regular Plan-Dividend Payout</v>
          </cell>
        </row>
        <row r="7367">
          <cell r="F7367" t="str">
            <v>LIC MF Dual Advantage Fixed Term Plan-Series 3-Regular Plan-Growth</v>
          </cell>
        </row>
        <row r="7368">
          <cell r="F7368" t="str">
            <v>LIC MF Equity Hybrid Fund-Direct Plan-Dividend</v>
          </cell>
        </row>
        <row r="7369">
          <cell r="F7369" t="str">
            <v>LIC MF Equity Hybrid Fund-Direct Plan-Growth</v>
          </cell>
        </row>
        <row r="7370">
          <cell r="F7370" t="str">
            <v>LIC MF Equity Hybrid Fund-Regular Plan-Dividend</v>
          </cell>
        </row>
        <row r="7371">
          <cell r="F7371" t="str">
            <v>LIC MF Equity Hybrid Fund-Regular Plan-Growth</v>
          </cell>
        </row>
        <row r="7372">
          <cell r="F7372" t="str">
            <v>LIC MF Exchange Traded Fund-Nifty 100</v>
          </cell>
        </row>
        <row r="7373">
          <cell r="F7373" t="str">
            <v>LIC MF Exchange Traded Fund-Nifty 50</v>
          </cell>
        </row>
        <row r="7374">
          <cell r="F7374" t="str">
            <v>LIC MF Exchange Traded Fund-Sensex</v>
          </cell>
        </row>
        <row r="7375">
          <cell r="F7375" t="str">
            <v>LIC MF G-Sec Long Term Exchange Traded Fund</v>
          </cell>
        </row>
        <row r="7376">
          <cell r="F7376" t="str">
            <v>LIC MF Government Securities Fund-Direct Plan-Dividend</v>
          </cell>
        </row>
        <row r="7377">
          <cell r="F7377" t="str">
            <v>LIC MF Government Securities Fund-Direct Plan-Growth</v>
          </cell>
        </row>
        <row r="7378">
          <cell r="F7378" t="str">
            <v>LIC MF Government Securities Fund-PF Plan-Dividend</v>
          </cell>
        </row>
        <row r="7379">
          <cell r="F7379" t="str">
            <v>LIC MF Government Securities Fund-PF Plan-Growth</v>
          </cell>
        </row>
        <row r="7380">
          <cell r="F7380" t="str">
            <v>LIC MF Government Securities Fund-Regular Plan-Dividend</v>
          </cell>
        </row>
        <row r="7381">
          <cell r="F7381" t="str">
            <v>LIC MF Government Securities Fund-Regular Plan-Growth</v>
          </cell>
        </row>
        <row r="7382">
          <cell r="F7382" t="str">
            <v>LIC MF Index Fund-Nifty Plan-Direct Plan-Dividend</v>
          </cell>
        </row>
        <row r="7383">
          <cell r="F7383" t="str">
            <v>LIC MF Index Fund-Nifty Plan-Direct Plan-Growth</v>
          </cell>
        </row>
        <row r="7384">
          <cell r="F7384" t="str">
            <v>LIC MF Index Fund-Nifty Plan-Regular Plan-Dividend</v>
          </cell>
        </row>
        <row r="7385">
          <cell r="F7385" t="str">
            <v>LIC MF Index Fund-Nifty Plan-Regular Plan-Growth</v>
          </cell>
        </row>
        <row r="7386">
          <cell r="F7386" t="str">
            <v>LIC MF Index Fund-Sensex Plan-Direct Plan-Dividend</v>
          </cell>
        </row>
        <row r="7387">
          <cell r="F7387" t="str">
            <v>LIC MF Index Fund-Sensex Plan-Direct Plan-Growth</v>
          </cell>
        </row>
        <row r="7388">
          <cell r="F7388" t="str">
            <v>LIC MF Index Fund-Sensex Plan-Regular Plan-Dividend</v>
          </cell>
        </row>
        <row r="7389">
          <cell r="F7389" t="str">
            <v>LIC MF Index Fund-Sensex Plan-Regular Plan-Growth</v>
          </cell>
        </row>
        <row r="7390">
          <cell r="F7390" t="str">
            <v>LIC MF Infrastructure Fund-Direct Plan-Dividend</v>
          </cell>
        </row>
        <row r="7391">
          <cell r="F7391" t="str">
            <v>LIC MF Infrastructure Fund-Direct Plan-Growth</v>
          </cell>
        </row>
        <row r="7392">
          <cell r="F7392" t="str">
            <v>LIC MF Infrastructure Fund-Regular Plan-Dividend</v>
          </cell>
        </row>
        <row r="7393">
          <cell r="F7393" t="str">
            <v>LIC MF Infrastructure Fund-Regular Plan-Growth</v>
          </cell>
        </row>
        <row r="7394">
          <cell r="F7394" t="str">
            <v>LIC MF Large &amp; Mid Cap Fund-Direct Plan-Dividend</v>
          </cell>
        </row>
        <row r="7395">
          <cell r="F7395" t="str">
            <v>LIC MF Large &amp; Mid Cap Fund-Direct Plan-Growth</v>
          </cell>
        </row>
        <row r="7396">
          <cell r="F7396" t="str">
            <v>LIC MF Large &amp; Mid Cap Fund-Regular Plan-Dividend</v>
          </cell>
        </row>
        <row r="7397">
          <cell r="F7397" t="str">
            <v>LIC MF Large &amp; Mid Cap Fund-Regular Plan-Growth</v>
          </cell>
        </row>
        <row r="7398">
          <cell r="F7398" t="str">
            <v>LIC MF Large Cap Fund-Direct Plan-Dividend</v>
          </cell>
        </row>
        <row r="7399">
          <cell r="F7399" t="str">
            <v>LIC MF Large Cap Fund-Direct Plan-Growth</v>
          </cell>
        </row>
        <row r="7400">
          <cell r="F7400" t="str">
            <v>LIC MF Large Cap Fund-Regular Plan-Dividend</v>
          </cell>
        </row>
        <row r="7401">
          <cell r="F7401" t="str">
            <v>LIC MF Large Cap Fund-Regular Plan-Growth</v>
          </cell>
        </row>
        <row r="7402">
          <cell r="F7402" t="str">
            <v>LIC MF Liquid Fund-Direct Plan-Dividend</v>
          </cell>
        </row>
        <row r="7403">
          <cell r="F7403" t="str">
            <v>LIC MF Liquid Fund-Direct Plan-Growth</v>
          </cell>
        </row>
        <row r="7404">
          <cell r="F7404" t="str">
            <v>LIC MF Liquid Fund-Regular Plan-Dividend</v>
          </cell>
        </row>
        <row r="7405">
          <cell r="F7405" t="str">
            <v>LIC MF Liquid Fund-Regular Plan-Growth</v>
          </cell>
        </row>
        <row r="7406">
          <cell r="F7406" t="str">
            <v>LIC MF Multicap Fund-Direct Plan-Dividend</v>
          </cell>
        </row>
        <row r="7407">
          <cell r="F7407" t="str">
            <v>LIC MF Multicap Fund-Direct Plan-Growth</v>
          </cell>
        </row>
        <row r="7408">
          <cell r="F7408" t="str">
            <v>LIC MF Multicap Fund-Regular Plan-Dividend</v>
          </cell>
        </row>
        <row r="7409">
          <cell r="F7409" t="str">
            <v>LIC MF Multicap Fund-Regular Plan-Growth</v>
          </cell>
        </row>
        <row r="7410">
          <cell r="F7410" t="str">
            <v>LIC MF Rajiv Gandhi Equity Savings Scheme-Series 3-Direct Plan-Dividend Payout</v>
          </cell>
        </row>
        <row r="7411">
          <cell r="F7411" t="str">
            <v>LIC MF Rajiv Gandhi Equity Savings Scheme-Series 3-Direct Plan-Growth</v>
          </cell>
        </row>
        <row r="7412">
          <cell r="F7412" t="str">
            <v>LIC MF Rajiv Gandhi Equity Savings Scheme-Series 3-Regular Plan-Dividend Payout</v>
          </cell>
        </row>
        <row r="7413">
          <cell r="F7413" t="str">
            <v>LIC MF Rajiv Gandhi Equity Savings Scheme-Series 3-Regular Plan-Growth</v>
          </cell>
        </row>
        <row r="7414">
          <cell r="F7414" t="str">
            <v>LIC MF Savings Fund-Direct Plan-Daily Dividend</v>
          </cell>
        </row>
        <row r="7415">
          <cell r="F7415" t="str">
            <v>LIC MF Savings Fund-Direct Plan-Growth</v>
          </cell>
        </row>
        <row r="7416">
          <cell r="F7416" t="str">
            <v>LIC MF Savings Fund-Direct Plan-Monthly Dividend</v>
          </cell>
        </row>
        <row r="7417">
          <cell r="F7417" t="str">
            <v>LIC MF Savings Fund-Direct Plan-Weekly Dividend</v>
          </cell>
        </row>
        <row r="7418">
          <cell r="F7418" t="str">
            <v>LIC MF Savings Fund-Regular Plan-Daily Dividend</v>
          </cell>
        </row>
        <row r="7419">
          <cell r="F7419" t="str">
            <v>LIC MF Savings Fund-Regular Plan-Growth</v>
          </cell>
        </row>
        <row r="7420">
          <cell r="F7420" t="str">
            <v>LIC MF Savings Fund-Regular Plan-Monthly Dividend</v>
          </cell>
        </row>
        <row r="7421">
          <cell r="F7421" t="str">
            <v>LIC MF Savings Fund-Regular Plan-Weekly Dividend</v>
          </cell>
        </row>
        <row r="7422">
          <cell r="F7422" t="str">
            <v>LIC MF Tax Plan-Direct Plan-Dividend</v>
          </cell>
        </row>
        <row r="7423">
          <cell r="F7423" t="str">
            <v>LIC MF Tax Plan-Direct Plan-Growth</v>
          </cell>
        </row>
        <row r="7424">
          <cell r="F7424" t="str">
            <v>LIC MF Tax Plan-Regular Plan-Dividend</v>
          </cell>
        </row>
        <row r="7425">
          <cell r="F7425" t="str">
            <v>LIC MF Tax Plan-Regular Plan-Growth</v>
          </cell>
        </row>
        <row r="7426">
          <cell r="F7426" t="str">
            <v>LIC MF ULIS (10 Yrs. Regular Premium Reducing Cover Half-Yearly)-Direct Plan-Dividend Reinvestment</v>
          </cell>
        </row>
        <row r="7427">
          <cell r="F7427" t="str">
            <v>LIC MF ULIS (10 Yrs. Regular Premium Reducing Cover Half-Yearly)-Regular Plan-Dividend Reinvestment</v>
          </cell>
        </row>
        <row r="7428">
          <cell r="F7428" t="str">
            <v>LIC MF ULIS (10 Yrs. Regular Premium Reducing Cover Monthly)-Direct Plan-Dividend Reinvestment</v>
          </cell>
        </row>
        <row r="7429">
          <cell r="F7429" t="str">
            <v>LIC MF ULIS (10 Yrs. Regular Premium Reducing Cover Monthly)-Regular Plan-Dividend Reinvestment</v>
          </cell>
        </row>
        <row r="7430">
          <cell r="F7430" t="str">
            <v>LIC MF ULIS (10 Yrs. Regular Premium Reducing Cover Quarterly)-Direct Plan-Dividend Reinvestment</v>
          </cell>
        </row>
        <row r="7431">
          <cell r="F7431" t="str">
            <v>LIC MF ULIS (10 Yrs. Regular Premium Reducing Cover Quarterly)-Regular Plan-Dividend Reinvestment</v>
          </cell>
        </row>
        <row r="7432">
          <cell r="F7432" t="str">
            <v>LIC MF ULIS (10 Yrs. Regular Premium Reducing Cover Yearly)-Direct Plan-Dividend Reinvestment</v>
          </cell>
        </row>
        <row r="7433">
          <cell r="F7433" t="str">
            <v>LIC MF ULIS (10 Yrs. Regular Premium Reducing Cover Yearly)-Regular Plan-Dividend Reinvestment</v>
          </cell>
        </row>
        <row r="7434">
          <cell r="F7434" t="str">
            <v>LIC MF ULIS (10 Yrs. Regular Premium Uniform Cover Half-Yearly)-Direct Plan-Dividend Reinvestment</v>
          </cell>
        </row>
        <row r="7435">
          <cell r="F7435" t="str">
            <v>LIC MF ULIS (10 Yrs. Regular Premium Uniform Cover Half-Yearly)-Regular Plan-Dividend Reinvestment</v>
          </cell>
        </row>
        <row r="7436">
          <cell r="F7436" t="str">
            <v>LIC MF ULIS (10 Yrs. Regular Premium Uniform Cover Monthly)-Direct Plan-Dividend Reinvestment</v>
          </cell>
        </row>
        <row r="7437">
          <cell r="F7437" t="str">
            <v>LIC MF ULIS (10 Yrs. Regular Premium Uniform Cover Monthly)-Regular Plan-Dividend Reinvestment</v>
          </cell>
        </row>
        <row r="7438">
          <cell r="F7438" t="str">
            <v>LIC MF ULIS (10 Yrs. Regular Premium Uniform Cover Quarterly)-Direct Plan-Dividend Reinvestment</v>
          </cell>
        </row>
        <row r="7439">
          <cell r="F7439" t="str">
            <v>LIC MF ULIS (10 Yrs. Regular Premium Uniform Cover Quarterly)-Regular Plan-Dividend Reinvestment</v>
          </cell>
        </row>
        <row r="7440">
          <cell r="F7440" t="str">
            <v>LIC MF ULIS (10 Yrs. Regular Premium Uniform Cover Yearly)-Direct Plan-Dividend Reinvestment</v>
          </cell>
        </row>
        <row r="7441">
          <cell r="F7441" t="str">
            <v>LIC MF ULIS (10 Yrs. Regular Premium Uniform Cover Yearly)-Regular Plan-Dividend Reinvestment</v>
          </cell>
        </row>
        <row r="7442">
          <cell r="F7442" t="str">
            <v>LIC MF ULIS (10 Yrs. Single Premium)-Direct Plan-Dividend Reinvestment</v>
          </cell>
        </row>
        <row r="7443">
          <cell r="F7443" t="str">
            <v>LIC MF ULIS (10 Yrs. Single Premium)-Regular Plan-Dividend Reinvestment</v>
          </cell>
        </row>
        <row r="7444">
          <cell r="F7444" t="str">
            <v>LIC MF ULIS (15 Yrs. Regular Premium Reducing Cover Half-Yearly)-Direct Plan-Dividend Reinvestment</v>
          </cell>
        </row>
        <row r="7445">
          <cell r="F7445" t="str">
            <v>LIC MF ULIS (15 Yrs. Regular Premium Reducing Cover Half-Yearly)-Regular Plan-Dividend Reinvestment</v>
          </cell>
        </row>
        <row r="7446">
          <cell r="F7446" t="str">
            <v>LIC MF ULIS (15 Yrs. Regular Premium Reducing Cover Monthly)-Direct Plan-Dividend Reinvestment</v>
          </cell>
        </row>
        <row r="7447">
          <cell r="F7447" t="str">
            <v>LIC MF ULIS (15 Yrs. Regular Premium Reducing Cover Monthly)-Regular Plan-Dividend Reinvestment</v>
          </cell>
        </row>
        <row r="7448">
          <cell r="F7448" t="str">
            <v>LIC MF ULIS (15 Yrs. Regular Premium Reducing Cover Quarterly)-Direct Plan-Dividend Reinvestment</v>
          </cell>
        </row>
        <row r="7449">
          <cell r="F7449" t="str">
            <v>LIC MF ULIS (15 Yrs. Regular Premium Reducing Cover Quarterly)-Regular Plan-Dividend Reinvestment</v>
          </cell>
        </row>
        <row r="7450">
          <cell r="F7450" t="str">
            <v>LIC MF ULIS (15 Yrs. Regular Premium Reducing Cover Yearly)-Direct Plan-Dividend Reinvestment</v>
          </cell>
        </row>
        <row r="7451">
          <cell r="F7451" t="str">
            <v>LIC MF ULIS (15 Yrs. Regular Premium Reducing Cover Yearly)-Regular Plan-Dividend Reinvestment</v>
          </cell>
        </row>
        <row r="7452">
          <cell r="F7452" t="str">
            <v>LIC MF ULIS (15 Yrs. Regular Premium Uniform Cover Half-Yearly)-Direct Plan-Dividend Reinvestment</v>
          </cell>
        </row>
        <row r="7453">
          <cell r="F7453" t="str">
            <v>LIC MF ULIS (15 Yrs. Regular Premium Uniform Cover Half-Yearly)-Regular Plan-Dividend Reinvestment</v>
          </cell>
        </row>
        <row r="7454">
          <cell r="F7454" t="str">
            <v>LIC MF ULIS (15 Yrs. Regular Premium Uniform Cover Monthly)-Direct Plan-Dividend Reinvestment</v>
          </cell>
        </row>
        <row r="7455">
          <cell r="F7455" t="str">
            <v>LIC MF ULIS (15 Yrs. Regular Premium Uniform Cover Monthly)-Regular Plan-Dividend Reinvestment</v>
          </cell>
        </row>
        <row r="7456">
          <cell r="F7456" t="str">
            <v>LIC MF ULIS (15 Yrs. Regular Premium Uniform Cover Quarterly)-Direct Plan-Dividend Reinvestment</v>
          </cell>
        </row>
        <row r="7457">
          <cell r="F7457" t="str">
            <v>LIC MF ULIS (15 Yrs. Regular Premium Uniform Cover Quarterly)-Regular Plan-Dividend Reinvestment</v>
          </cell>
        </row>
        <row r="7458">
          <cell r="F7458" t="str">
            <v>LIC MF ULIS (15 Yrs. Regular Premium Uniform Cover Yearly)-Direct Plan-Dividend Reinvestment</v>
          </cell>
        </row>
        <row r="7459">
          <cell r="F7459" t="str">
            <v>LIC MF ULIS (15Yrs. Regular Premium Uniform Cover Yearly)-Regular Plan-Dividend Reinvestment</v>
          </cell>
        </row>
        <row r="7460">
          <cell r="F7460" t="str">
            <v>LIC MF ULIS (5 Yrs. Single Premium)-Direct Plan-Dividend Reinvestment</v>
          </cell>
        </row>
        <row r="7461">
          <cell r="F7461" t="str">
            <v>LIC MF ULIS (5 Yrs. Single Premium)-Regular Plan-Dividend Reinvestment</v>
          </cell>
        </row>
        <row r="7462">
          <cell r="F7462" t="str">
            <v>LICNETFGSC</v>
          </cell>
        </row>
        <row r="7463">
          <cell r="F7463" t="str">
            <v>LICNETFN50</v>
          </cell>
        </row>
        <row r="7464">
          <cell r="F7464" t="str">
            <v>LICNETFSEN</v>
          </cell>
        </row>
        <row r="7465">
          <cell r="F7465" t="str">
            <v>LICNFNHGP</v>
          </cell>
        </row>
        <row r="7466">
          <cell r="F7466" t="str">
            <v>LIME CHEM.</v>
          </cell>
        </row>
        <row r="7467">
          <cell r="F7467" t="str">
            <v>LINCOLN PHAR</v>
          </cell>
        </row>
        <row r="7468">
          <cell r="F7468" t="str">
            <v>LINCPEN</v>
          </cell>
        </row>
        <row r="7469">
          <cell r="F7469" t="str">
            <v>LINDEINDIA</v>
          </cell>
        </row>
        <row r="7470">
          <cell r="F7470" t="str">
            <v>LINK PHARMA</v>
          </cell>
        </row>
        <row r="7471">
          <cell r="F7471" t="str">
            <v>LIPPI SYSTEM</v>
          </cell>
        </row>
        <row r="7472">
          <cell r="F7472" t="str">
            <v>LIQUIDBEES</v>
          </cell>
        </row>
        <row r="7473">
          <cell r="F7473" t="str">
            <v>LITL</v>
          </cell>
        </row>
        <row r="7474">
          <cell r="F7474" t="str">
            <v>LKP FIN</v>
          </cell>
        </row>
        <row r="7475">
          <cell r="F7475" t="str">
            <v>LKPSEC</v>
          </cell>
        </row>
        <row r="7476">
          <cell r="F7476" t="str">
            <v>LLFICL</v>
          </cell>
        </row>
        <row r="7477">
          <cell r="F7477" t="str">
            <v>LLOYDS MET E</v>
          </cell>
        </row>
        <row r="7478">
          <cell r="F7478" t="str">
            <v>LML LTD.</v>
          </cell>
        </row>
        <row r="7479">
          <cell r="F7479" t="str">
            <v>LNT FH</v>
          </cell>
        </row>
        <row r="7480">
          <cell r="F7480" t="str">
            <v>LOKESHMACH</v>
          </cell>
        </row>
        <row r="7481">
          <cell r="F7481" t="str">
            <v>LONGVIEW TEA</v>
          </cell>
        </row>
        <row r="7482">
          <cell r="F7482" t="str">
            <v>LORDS CHLORO</v>
          </cell>
        </row>
        <row r="7483">
          <cell r="F7483" t="str">
            <v>LOTUS CHOC</v>
          </cell>
        </row>
        <row r="7484">
          <cell r="F7484" t="str">
            <v>LOVABLE</v>
          </cell>
        </row>
        <row r="7485">
          <cell r="F7485" t="str">
            <v>LOWVOLIWIN</v>
          </cell>
        </row>
        <row r="7486">
          <cell r="F7486" t="str">
            <v>LOY.TEX MILL</v>
          </cell>
        </row>
        <row r="7487">
          <cell r="F7487" t="str">
            <v>LOYAL</v>
          </cell>
        </row>
        <row r="7488">
          <cell r="F7488" t="str">
            <v>LPDC</v>
          </cell>
        </row>
        <row r="7489">
          <cell r="F7489" t="str">
            <v>LSIL</v>
          </cell>
        </row>
        <row r="7490">
          <cell r="F7490" t="str">
            <v>LTI</v>
          </cell>
        </row>
        <row r="7491">
          <cell r="F7491" t="str">
            <v>LTINF90122I</v>
          </cell>
        </row>
        <row r="7492">
          <cell r="F7492" t="str">
            <v>LTINF9122II</v>
          </cell>
        </row>
        <row r="7493">
          <cell r="F7493" t="str">
            <v>LTTS</v>
          </cell>
        </row>
        <row r="7494">
          <cell r="F7494" t="str">
            <v>LUDOLOW JUTE</v>
          </cell>
        </row>
        <row r="7495">
          <cell r="F7495" t="str">
            <v>LUMAX TECH</v>
          </cell>
        </row>
        <row r="7496">
          <cell r="F7496" t="str">
            <v>LUMAXIND</v>
          </cell>
        </row>
        <row r="7497">
          <cell r="F7497" t="str">
            <v>LUPIN LTD.</v>
          </cell>
        </row>
        <row r="7498">
          <cell r="F7498" t="str">
            <v>LUXIND</v>
          </cell>
        </row>
        <row r="7499">
          <cell r="F7499" t="str">
            <v>LYCOS</v>
          </cell>
        </row>
        <row r="7500">
          <cell r="F7500" t="str">
            <v>LYKA LABS</v>
          </cell>
        </row>
        <row r="7501">
          <cell r="F7501" t="str">
            <v>LYKISLTD</v>
          </cell>
        </row>
        <row r="7502">
          <cell r="F7502" t="str">
            <v>LYNX MACH.</v>
          </cell>
        </row>
        <row r="7503">
          <cell r="F7503" t="str">
            <v>LYPSAGEMS</v>
          </cell>
        </row>
        <row r="7504">
          <cell r="F7504" t="str">
            <v>M&amp;MFIN</v>
          </cell>
        </row>
        <row r="7505">
          <cell r="F7505" t="str">
            <v>M.M.RUBBER</v>
          </cell>
        </row>
        <row r="7506">
          <cell r="F7506" t="str">
            <v>M100</v>
          </cell>
        </row>
        <row r="7507">
          <cell r="F7507" t="str">
            <v>M15RG</v>
          </cell>
        </row>
        <row r="7508">
          <cell r="F7508" t="str">
            <v>M17RG</v>
          </cell>
        </row>
        <row r="7509">
          <cell r="F7509" t="str">
            <v>M50</v>
          </cell>
        </row>
        <row r="7510">
          <cell r="F7510" t="str">
            <v>MAANALU</v>
          </cell>
        </row>
        <row r="7511">
          <cell r="F7511" t="str">
            <v>MACHINO PLAS</v>
          </cell>
        </row>
        <row r="7512">
          <cell r="F7512" t="str">
            <v>MADHAV MARB.</v>
          </cell>
        </row>
        <row r="7513">
          <cell r="F7513" t="str">
            <v>MADHUCON PRJ</v>
          </cell>
        </row>
        <row r="7514">
          <cell r="F7514" t="str">
            <v>MADHUR IND</v>
          </cell>
        </row>
        <row r="7515">
          <cell r="F7515" t="str">
            <v>MADRASFERT</v>
          </cell>
        </row>
        <row r="7516">
          <cell r="F7516" t="str">
            <v>MAFATLAL IND</v>
          </cell>
        </row>
        <row r="7517">
          <cell r="F7517" t="str">
            <v>MAGADSUGAR</v>
          </cell>
        </row>
        <row r="7518">
          <cell r="F7518" t="str">
            <v>MAGMA</v>
          </cell>
        </row>
        <row r="7519">
          <cell r="F7519" t="str">
            <v>MAGNA ELECTR</v>
          </cell>
        </row>
        <row r="7520">
          <cell r="F7520" t="str">
            <v>MAGNUM VENT</v>
          </cell>
        </row>
        <row r="7521">
          <cell r="F7521" t="str">
            <v>MAH &amp; MAH</v>
          </cell>
        </row>
        <row r="7522">
          <cell r="F7522" t="str">
            <v>MAH HOLIDAY</v>
          </cell>
        </row>
        <row r="7523">
          <cell r="F7523" t="str">
            <v>MAH.RAS.APEX</v>
          </cell>
        </row>
        <row r="7524">
          <cell r="F7524" t="str">
            <v>MAH.SCOOTER</v>
          </cell>
        </row>
        <row r="7525">
          <cell r="F7525" t="str">
            <v>MAHA CORP</v>
          </cell>
        </row>
        <row r="7526">
          <cell r="F7526" t="str">
            <v>MAHA.RUBTECH</v>
          </cell>
        </row>
        <row r="7527">
          <cell r="F7527" t="str">
            <v>MAHA.TELE</v>
          </cell>
        </row>
        <row r="7528">
          <cell r="F7528" t="str">
            <v>MAHAAN FOODS</v>
          </cell>
        </row>
        <row r="7529">
          <cell r="F7529" t="str">
            <v>MAHABANK</v>
          </cell>
        </row>
        <row r="7530">
          <cell r="F7530" t="str">
            <v>MAHASTEEL</v>
          </cell>
        </row>
        <row r="7531">
          <cell r="F7531" t="str">
            <v>MAHAVIRIND</v>
          </cell>
        </row>
        <row r="7532">
          <cell r="F7532" t="str">
            <v>MAHESHWARI</v>
          </cell>
        </row>
        <row r="7533">
          <cell r="F7533" t="str">
            <v>MAHINDCIE</v>
          </cell>
        </row>
        <row r="7534">
          <cell r="F7534" t="str">
            <v>Mahindra Dhan Sanchay Equity Savings Yojana -Direct Plan -Dividend</v>
          </cell>
        </row>
        <row r="7535">
          <cell r="F7535" t="str">
            <v>Mahindra Dhan Sanchay Equity Savings Yojana -Direct Plan -Growth</v>
          </cell>
        </row>
        <row r="7536">
          <cell r="F7536" t="str">
            <v>Mahindra Dhan Sanchay Equity Savings Yojana -Regular Plan -Dividend</v>
          </cell>
        </row>
        <row r="7537">
          <cell r="F7537" t="str">
            <v>Mahindra Dhan Sanchay Equity Savings Yojana -Regular Plan -Growth</v>
          </cell>
        </row>
        <row r="7538">
          <cell r="F7538" t="str">
            <v>Mahindra Liquid Fund - Direct Plan - Daily Dividend Reinvestment</v>
          </cell>
        </row>
        <row r="7539">
          <cell r="F7539" t="str">
            <v>Mahindra Liquid Fund - Direct Plan - Weekly Dividend Reinvestment</v>
          </cell>
        </row>
        <row r="7540">
          <cell r="F7540" t="str">
            <v>Mahindra liquid Fund - Direct Plan -Growth</v>
          </cell>
        </row>
        <row r="7541">
          <cell r="F7541" t="str">
            <v>Mahindra Liquid Fund - Regular Plan - Daily Dividend Reinvestment</v>
          </cell>
        </row>
        <row r="7542">
          <cell r="F7542" t="str">
            <v>Mahindra Liquid Fund - Regular Plan - Growth</v>
          </cell>
        </row>
        <row r="7543">
          <cell r="F7543" t="str">
            <v>Mahindra Liquid Fund - Regular Plan - Weekly Dividend Reinvestment</v>
          </cell>
        </row>
        <row r="7544">
          <cell r="F7544" t="str">
            <v>Mahindra Low Duration Bachat Yojana - Direct Plan  -Growth</v>
          </cell>
        </row>
        <row r="7545">
          <cell r="F7545" t="str">
            <v>Mahindra Low Duration Bachat Yojana - Direct Plan - Daily Dividend Reinvestment</v>
          </cell>
        </row>
        <row r="7546">
          <cell r="F7546" t="str">
            <v>Mahindra Low Duration Bachat Yojana - Direct Plan - Monthly Dividend Option</v>
          </cell>
        </row>
        <row r="7547">
          <cell r="F7547" t="str">
            <v>Mahindra Low Duration Bachat Yojana - Direct Plan - Weekly Dividend Option</v>
          </cell>
        </row>
        <row r="7548">
          <cell r="F7548" t="str">
            <v>Mahindra Low Duration Bachat Yojana - Regular Plan - Daily Dividend Reinvestment</v>
          </cell>
        </row>
        <row r="7549">
          <cell r="F7549" t="str">
            <v>Mahindra Low Duration Bachat Yojana - Regular Plan - Growth</v>
          </cell>
        </row>
        <row r="7550">
          <cell r="F7550" t="str">
            <v>Mahindra Low Duration Bachat Yojana - Regular Plan - Monthly Dividend Option</v>
          </cell>
        </row>
        <row r="7551">
          <cell r="F7551" t="str">
            <v>Mahindra Low Duration Bachat Yojana - Regular Plan - Weekly Dividend Option</v>
          </cell>
        </row>
        <row r="7552">
          <cell r="F7552" t="str">
            <v>Mahindra Mutual Fund Badhat Yojana - Direct Plan - Dividend Option</v>
          </cell>
        </row>
        <row r="7553">
          <cell r="F7553" t="str">
            <v>Mahindra Mutual Fund Badhat Yojana - Direct Plan - Growth</v>
          </cell>
        </row>
        <row r="7554">
          <cell r="F7554" t="str">
            <v>Mahindra Mutual Fund Badhat Yojana - Regular Plan - Dividend Option</v>
          </cell>
        </row>
        <row r="7555">
          <cell r="F7555" t="str">
            <v>Mahindra Mutual Fund Badhat Yojana - Regular Plan - Growth</v>
          </cell>
        </row>
        <row r="7556">
          <cell r="F7556" t="str">
            <v>Mahindra Mutual Fund Kar Bachat Yojana Direct Plan - Dividend Payout</v>
          </cell>
        </row>
        <row r="7557">
          <cell r="F7557" t="str">
            <v>Mahindra Mutual Fund Kar Bachat Yojana Direct Plan - Growth</v>
          </cell>
        </row>
        <row r="7558">
          <cell r="F7558" t="str">
            <v>Mahindra Mutual Fund Kar Bachat Yojana Regular Plan - Dividend Payout</v>
          </cell>
        </row>
        <row r="7559">
          <cell r="F7559" t="str">
            <v>Mahindra Mutual Fund Kar Bachat Yojana Regular Plan - Growth</v>
          </cell>
        </row>
        <row r="7560">
          <cell r="F7560" t="str">
            <v>MAHINDRALIFE</v>
          </cell>
        </row>
        <row r="7561">
          <cell r="F7561" t="str">
            <v>MAHLOG</v>
          </cell>
        </row>
        <row r="7562">
          <cell r="F7562" t="str">
            <v>MAHSEAMLES</v>
          </cell>
        </row>
        <row r="7563">
          <cell r="F7563" t="str">
            <v>MAITHANALL</v>
          </cell>
        </row>
        <row r="7564">
          <cell r="F7564" t="str">
            <v>MAJESCO</v>
          </cell>
        </row>
        <row r="7565">
          <cell r="F7565" t="str">
            <v>MAJESTIC AUT</v>
          </cell>
        </row>
        <row r="7566">
          <cell r="F7566" t="str">
            <v>MAKERS LAB.</v>
          </cell>
        </row>
        <row r="7567">
          <cell r="F7567" t="str">
            <v>MALLCOM</v>
          </cell>
        </row>
        <row r="7568">
          <cell r="F7568" t="str">
            <v>MALUPAPER</v>
          </cell>
        </row>
        <row r="7569">
          <cell r="F7569" t="str">
            <v>MAN DRUGORG</v>
          </cell>
        </row>
        <row r="7570">
          <cell r="F7570" t="str">
            <v>MAN IND.(I)</v>
          </cell>
        </row>
        <row r="7571">
          <cell r="F7571" t="str">
            <v>MAN INFRA</v>
          </cell>
        </row>
        <row r="7572">
          <cell r="F7572" t="str">
            <v>MANAKALUCO</v>
          </cell>
        </row>
        <row r="7573">
          <cell r="F7573" t="str">
            <v>MANAKSIA LTD</v>
          </cell>
        </row>
        <row r="7574">
          <cell r="F7574" t="str">
            <v>MANAKSTELTD</v>
          </cell>
        </row>
        <row r="7575">
          <cell r="F7575" t="str">
            <v>MANALIPETC</v>
          </cell>
        </row>
        <row r="7576">
          <cell r="F7576" t="str">
            <v>MANAPPURAM</v>
          </cell>
        </row>
        <row r="7577">
          <cell r="F7577" t="str">
            <v>MANCREDIT</v>
          </cell>
        </row>
        <row r="7578">
          <cell r="F7578" t="str">
            <v>MANDHANA</v>
          </cell>
        </row>
        <row r="7579">
          <cell r="F7579" t="str">
            <v>MANGALAM CEM</v>
          </cell>
        </row>
        <row r="7580">
          <cell r="F7580" t="str">
            <v>MANGALAM IND</v>
          </cell>
        </row>
        <row r="7581">
          <cell r="F7581" t="str">
            <v>MANGCHEFER</v>
          </cell>
        </row>
        <row r="7582">
          <cell r="F7582" t="str">
            <v>MANGTIMBER</v>
          </cell>
        </row>
        <row r="7583">
          <cell r="F7583" t="str">
            <v>MANOMAY</v>
          </cell>
        </row>
        <row r="7584">
          <cell r="F7584" t="str">
            <v>MANORG</v>
          </cell>
        </row>
        <row r="7585">
          <cell r="F7585" t="str">
            <v>MANPASAND</v>
          </cell>
        </row>
        <row r="7586">
          <cell r="F7586" t="str">
            <v>MANSI FINANC</v>
          </cell>
        </row>
        <row r="7587">
          <cell r="F7587" t="str">
            <v>MANUGRAPH</v>
          </cell>
        </row>
        <row r="7588">
          <cell r="F7588" t="str">
            <v>MARALOVER</v>
          </cell>
        </row>
        <row r="7589">
          <cell r="F7589" t="str">
            <v>MARATHON NEX</v>
          </cell>
        </row>
        <row r="7590">
          <cell r="F7590" t="str">
            <v>MARDIA SAMYG</v>
          </cell>
        </row>
        <row r="7591">
          <cell r="F7591" t="str">
            <v>MARG LTD</v>
          </cell>
        </row>
        <row r="7592">
          <cell r="F7592" t="str">
            <v>MARGO FIN</v>
          </cell>
        </row>
        <row r="7593">
          <cell r="F7593" t="str">
            <v>MARICOLTD</v>
          </cell>
        </row>
        <row r="7594">
          <cell r="F7594" t="str">
            <v>MARKSANS</v>
          </cell>
        </row>
        <row r="7595">
          <cell r="F7595" t="str">
            <v>MARSONS</v>
          </cell>
        </row>
        <row r="7596">
          <cell r="F7596" t="str">
            <v>MARTIN BURN</v>
          </cell>
        </row>
        <row r="7597">
          <cell r="F7597" t="str">
            <v>MARUTI</v>
          </cell>
        </row>
        <row r="7598">
          <cell r="F7598" t="str">
            <v>MARUTI INFRA</v>
          </cell>
        </row>
        <row r="7599">
          <cell r="F7599" t="str">
            <v>MASFIN</v>
          </cell>
        </row>
        <row r="7600">
          <cell r="F7600" t="str">
            <v>MASTEK</v>
          </cell>
        </row>
        <row r="7601">
          <cell r="F7601" t="str">
            <v>MASTER TRUST</v>
          </cell>
        </row>
        <row r="7602">
          <cell r="F7602" t="str">
            <v>MATRIMONY</v>
          </cell>
        </row>
        <row r="7603">
          <cell r="F7603" t="str">
            <v>MAWANASUG</v>
          </cell>
        </row>
        <row r="7604">
          <cell r="F7604" t="str">
            <v>MAXHEIGHTS</v>
          </cell>
        </row>
        <row r="7605">
          <cell r="F7605" t="str">
            <v>MAXIMAA SYST</v>
          </cell>
        </row>
        <row r="7606">
          <cell r="F7606" t="str">
            <v>MAXINDIA</v>
          </cell>
        </row>
        <row r="7607">
          <cell r="F7607" t="str">
            <v>MAXVIL</v>
          </cell>
        </row>
        <row r="7608">
          <cell r="F7608" t="str">
            <v>MAYUR LEATHR</v>
          </cell>
        </row>
        <row r="7609">
          <cell r="F7609" t="str">
            <v>MAYUR UNIQ.</v>
          </cell>
        </row>
        <row r="7610">
          <cell r="F7610" t="str">
            <v>MAZDA</v>
          </cell>
        </row>
        <row r="7611">
          <cell r="F7611" t="str">
            <v>MBAPL</v>
          </cell>
        </row>
        <row r="7612">
          <cell r="F7612" t="str">
            <v>MBL INFRA</v>
          </cell>
        </row>
        <row r="7613">
          <cell r="F7613" t="str">
            <v>MCDHOLDING</v>
          </cell>
        </row>
        <row r="7614">
          <cell r="F7614" t="str">
            <v>MCDOWELL-N</v>
          </cell>
        </row>
        <row r="7615">
          <cell r="F7615" t="str">
            <v>MCLEOD RUSSE</v>
          </cell>
        </row>
        <row r="7616">
          <cell r="F7616" t="str">
            <v>MCNALLYB</v>
          </cell>
        </row>
        <row r="7617">
          <cell r="F7617" t="str">
            <v>MCX LTD</v>
          </cell>
        </row>
        <row r="7618">
          <cell r="F7618" t="str">
            <v>MEDI CAPS</v>
          </cell>
        </row>
        <row r="7619">
          <cell r="F7619" t="str">
            <v>MEDIA MATRIX</v>
          </cell>
        </row>
        <row r="7620">
          <cell r="F7620" t="str">
            <v>MEDICAMEN BI</v>
          </cell>
        </row>
        <row r="7621">
          <cell r="F7621" t="str">
            <v>MEERA</v>
          </cell>
        </row>
        <row r="7622">
          <cell r="F7622" t="str">
            <v>MEFCOM AGRO</v>
          </cell>
        </row>
        <row r="7623">
          <cell r="F7623" t="str">
            <v>MEFCOM CAPIT</v>
          </cell>
        </row>
        <row r="7624">
          <cell r="F7624" t="str">
            <v>MEGA CORPN.</v>
          </cell>
        </row>
        <row r="7625">
          <cell r="F7625" t="str">
            <v>MEGASOFT</v>
          </cell>
        </row>
        <row r="7626">
          <cell r="F7626" t="str">
            <v>MEGH</v>
          </cell>
        </row>
        <row r="7627">
          <cell r="F7627" t="str">
            <v>MEHTA HOUSIN</v>
          </cell>
        </row>
        <row r="7628">
          <cell r="F7628" t="str">
            <v>MEL</v>
          </cell>
        </row>
        <row r="7629">
          <cell r="F7629" t="str">
            <v>MELSTAR</v>
          </cell>
        </row>
        <row r="7630">
          <cell r="F7630" t="str">
            <v>MENON BEAR.</v>
          </cell>
        </row>
        <row r="7631">
          <cell r="F7631" t="str">
            <v>MENON PISTON</v>
          </cell>
        </row>
        <row r="7632">
          <cell r="F7632" t="str">
            <v>MEP</v>
          </cell>
        </row>
        <row r="7633">
          <cell r="F7633" t="str">
            <v>MERCATOR</v>
          </cell>
        </row>
        <row r="7634">
          <cell r="F7634" t="str">
            <v>MERCK LTD</v>
          </cell>
        </row>
        <row r="7635">
          <cell r="F7635" t="str">
            <v>MERCURYLAB</v>
          </cell>
        </row>
        <row r="7636">
          <cell r="F7636" t="str">
            <v>MESCON</v>
          </cell>
        </row>
        <row r="7637">
          <cell r="F7637" t="str">
            <v>METAL COATIN</v>
          </cell>
        </row>
        <row r="7638">
          <cell r="F7638" t="str">
            <v>METALFORGE</v>
          </cell>
        </row>
        <row r="7639">
          <cell r="F7639" t="str">
            <v>METKORE</v>
          </cell>
        </row>
        <row r="7640">
          <cell r="F7640" t="str">
            <v>METROGLOBL</v>
          </cell>
        </row>
        <row r="7641">
          <cell r="F7641" t="str">
            <v>MFL INDIA</v>
          </cell>
        </row>
        <row r="7642">
          <cell r="F7642" t="str">
            <v>MFSL</v>
          </cell>
        </row>
        <row r="7643">
          <cell r="F7643" t="str">
            <v>MGL</v>
          </cell>
        </row>
        <row r="7644">
          <cell r="F7644" t="str">
            <v>MIC</v>
          </cell>
        </row>
        <row r="7645">
          <cell r="F7645" t="str">
            <v>MIDCAPIWIN</v>
          </cell>
        </row>
        <row r="7646">
          <cell r="F7646" t="str">
            <v>MIENT</v>
          </cell>
        </row>
        <row r="7647">
          <cell r="F7647" t="str">
            <v>MILKFOOD</v>
          </cell>
        </row>
        <row r="7648">
          <cell r="F7648" t="str">
            <v>MILTON</v>
          </cell>
        </row>
        <row r="7649">
          <cell r="F7649" t="str">
            <v>MINAXI TEXT.</v>
          </cell>
        </row>
        <row r="7650">
          <cell r="F7650" t="str">
            <v>MINDACORP</v>
          </cell>
        </row>
        <row r="7651">
          <cell r="F7651" t="str">
            <v>MINDAIND</v>
          </cell>
        </row>
        <row r="7652">
          <cell r="F7652" t="str">
            <v>MINDTECK (I)</v>
          </cell>
        </row>
        <row r="7653">
          <cell r="F7653" t="str">
            <v>MINDTREE</v>
          </cell>
        </row>
        <row r="7654">
          <cell r="F7654" t="str">
            <v>MINERAL&amp;METL</v>
          </cell>
        </row>
        <row r="7655">
          <cell r="F7655" t="str">
            <v>MINI DIAMOND</v>
          </cell>
        </row>
        <row r="7656">
          <cell r="F7656" t="str">
            <v>Mirae Asset Cash Management Fund - Daily Dividend</v>
          </cell>
        </row>
        <row r="7657">
          <cell r="F7657" t="str">
            <v>Mirae Asset Cash Management Fund - Direct Plan - Daily Dividend</v>
          </cell>
        </row>
        <row r="7658">
          <cell r="F7658" t="str">
            <v>Mirae Asset Cash Management Fund - Direct Plan - Growth</v>
          </cell>
        </row>
        <row r="7659">
          <cell r="F7659" t="str">
            <v>Mirae Asset Cash Management Fund - Direct Plan - Monthly Dividend</v>
          </cell>
        </row>
        <row r="7660">
          <cell r="F7660" t="str">
            <v>Mirae Asset Cash Management Fund - Direct Plan - Weekly Dividend</v>
          </cell>
        </row>
        <row r="7661">
          <cell r="F7661" t="str">
            <v>Mirae Asset Cash Management Fund - Growth</v>
          </cell>
        </row>
        <row r="7662">
          <cell r="F7662" t="str">
            <v>Mirae Asset Cash Management Fund - Monthly Dividend</v>
          </cell>
        </row>
        <row r="7663">
          <cell r="F7663" t="str">
            <v>Mirae Asset Cash Management Fund - Weekly Dividend</v>
          </cell>
        </row>
        <row r="7664">
          <cell r="F7664" t="str">
            <v>Mirae Asset Dynamic Bond Fund -Direct Plan -Dividend</v>
          </cell>
        </row>
        <row r="7665">
          <cell r="F7665" t="str">
            <v>Mirae Asset Dynamic Bond Fund -Direct Plan -Growth</v>
          </cell>
        </row>
        <row r="7666">
          <cell r="F7666" t="str">
            <v>Mirae Asset Dynamic Bond Fund -Regular Plan -Dividend</v>
          </cell>
        </row>
        <row r="7667">
          <cell r="F7667" t="str">
            <v>Mirae Asset Dynamic Bond Fund-Regular Plan Growth</v>
          </cell>
        </row>
        <row r="7668">
          <cell r="F7668" t="str">
            <v>Mirae Asset Emerging Bluechip Fund - Direct Plan - Dividend</v>
          </cell>
        </row>
        <row r="7669">
          <cell r="F7669" t="str">
            <v>Mirae Asset Emerging Bluechip Fund - Direct Plan - Growth</v>
          </cell>
        </row>
        <row r="7670">
          <cell r="F7670" t="str">
            <v>Mirae Asset Emerging Bluechip Fund - Regular Plan - Dividend</v>
          </cell>
        </row>
        <row r="7671">
          <cell r="F7671" t="str">
            <v>Mirae Asset Emerging Bluechip Fund - Regular Plan - Growth Option</v>
          </cell>
        </row>
        <row r="7672">
          <cell r="F7672" t="str">
            <v>Mirae Asset Great Consumer Fund - Direct Plan - Dividend</v>
          </cell>
        </row>
        <row r="7673">
          <cell r="F7673" t="str">
            <v>Mirae Asset Great Consumer Fund - Direct Plan - Growth</v>
          </cell>
        </row>
        <row r="7674">
          <cell r="F7674" t="str">
            <v>Mirae Asset Great Consumer Fund - Regular Plan - Dividend Option</v>
          </cell>
        </row>
        <row r="7675">
          <cell r="F7675" t="str">
            <v>Mirae Asset Great Consumer Fund - Regular Plan - Growth option</v>
          </cell>
        </row>
        <row r="7676">
          <cell r="F7676" t="str">
            <v>Mirae Asset Hybrid-Equity Fund -Direct Plan-Dividend</v>
          </cell>
        </row>
        <row r="7677">
          <cell r="F7677" t="str">
            <v>Mirae Asset Hybrid-Equity Fund -Direct Plan-Growth</v>
          </cell>
        </row>
        <row r="7678">
          <cell r="F7678" t="str">
            <v>Mirae Asset Hybrid-Equity Fund -Regular Plan-Dividend</v>
          </cell>
        </row>
        <row r="7679">
          <cell r="F7679" t="str">
            <v>Mirae Asset Hybrid-Equity Fund -Regular Plan-Growth</v>
          </cell>
        </row>
        <row r="7680">
          <cell r="F7680" t="str">
            <v>Mirae Asset Large Cap Fund - Direct Plan - Dividend</v>
          </cell>
        </row>
        <row r="7681">
          <cell r="F7681" t="str">
            <v>Mirae Asset Large Cap Fund - Direct Plan - Growth</v>
          </cell>
        </row>
        <row r="7682">
          <cell r="F7682" t="str">
            <v>Mirae Asset large Cap Fund - Dividend Plan</v>
          </cell>
        </row>
        <row r="7683">
          <cell r="F7683" t="str">
            <v>Mirae Asset Large Cap Fund - Growth Plan</v>
          </cell>
        </row>
        <row r="7684">
          <cell r="F7684" t="str">
            <v>Mirae Asset Savings Fund - Direct Plan - Daily Dividend</v>
          </cell>
        </row>
        <row r="7685">
          <cell r="F7685" t="str">
            <v>Mirae Asset Savings Fund - Direct Plan - Growth</v>
          </cell>
        </row>
        <row r="7686">
          <cell r="F7686" t="str">
            <v>Mirae Asset Savings Fund - Direct Plan - Monthly Dividend</v>
          </cell>
        </row>
        <row r="7687">
          <cell r="F7687" t="str">
            <v>Mirae Asset Savings Fund - Direct Plan - Quarterly Dividend</v>
          </cell>
        </row>
        <row r="7688">
          <cell r="F7688" t="str">
            <v>Mirae Asset Savings Fund - Direct Plan - Weekly Dividend</v>
          </cell>
        </row>
        <row r="7689">
          <cell r="F7689" t="str">
            <v>Mirae Asset Savings Fund-Regular Plan- Daily Dividend</v>
          </cell>
        </row>
        <row r="7690">
          <cell r="F7690" t="str">
            <v>Mirae Asset Savings Fund-Regular Plan- Growth</v>
          </cell>
        </row>
        <row r="7691">
          <cell r="F7691" t="str">
            <v>Mirae Asset Savings Fund-Regular Plan- Weekly Dividend</v>
          </cell>
        </row>
        <row r="7692">
          <cell r="F7692" t="str">
            <v>Mirae Asset Savings Fund-Regular Savings Plan- Growth</v>
          </cell>
        </row>
        <row r="7693">
          <cell r="F7693" t="str">
            <v>Mirae Asset Savings Fund-Regular Savings Plan- Monthly Dividend</v>
          </cell>
        </row>
        <row r="7694">
          <cell r="F7694" t="str">
            <v>Mirae Asset Savings Fund-Regular Savings Plan- Quarterly Dividend</v>
          </cell>
        </row>
        <row r="7695">
          <cell r="F7695" t="str">
            <v>Mirae Asset Savings Fund-Regular Savings Plan- Weekly Dividend</v>
          </cell>
        </row>
        <row r="7696">
          <cell r="F7696" t="str">
            <v>Mirae Asset SavingsFund-Regular Savings Plan- Daily Dividend</v>
          </cell>
        </row>
        <row r="7697">
          <cell r="F7697" t="str">
            <v>Mirae Asset Tax Saver Fund-Direct Plan -Growth</v>
          </cell>
        </row>
        <row r="7698">
          <cell r="F7698" t="str">
            <v>Mirae Asset Tax Saver Fund-Direct Plan-Dividend</v>
          </cell>
        </row>
        <row r="7699">
          <cell r="F7699" t="str">
            <v>Mirae Asset Tax Saver Fund-Regular Plan-Dividend Payout</v>
          </cell>
        </row>
        <row r="7700">
          <cell r="F7700" t="str">
            <v>Mirae Asset Tax Saver Fund-Regular Plan-Growth</v>
          </cell>
        </row>
        <row r="7701">
          <cell r="F7701" t="str">
            <v>MIRC ELECT</v>
          </cell>
        </row>
        <row r="7702">
          <cell r="F7702" t="str">
            <v>MIRZAINT</v>
          </cell>
        </row>
        <row r="7703">
          <cell r="F7703" t="str">
            <v>MISHKA</v>
          </cell>
        </row>
        <row r="7704">
          <cell r="F7704" t="str">
            <v>MKEL</v>
          </cell>
        </row>
        <row r="7705">
          <cell r="F7705" t="str">
            <v>MKEXIM</v>
          </cell>
        </row>
        <row r="7706">
          <cell r="F7706" t="str">
            <v>MKPL</v>
          </cell>
        </row>
        <row r="7707">
          <cell r="F7707" t="str">
            <v>MMFL</v>
          </cell>
        </row>
        <row r="7708">
          <cell r="F7708" t="str">
            <v>MNKCMILTD</v>
          </cell>
        </row>
        <row r="7709">
          <cell r="F7709" t="str">
            <v>MODERN DAIRI</v>
          </cell>
        </row>
        <row r="7710">
          <cell r="F7710" t="str">
            <v>MODERN INDIA</v>
          </cell>
        </row>
        <row r="7711">
          <cell r="F7711" t="str">
            <v>MODERN STEEL</v>
          </cell>
        </row>
        <row r="7712">
          <cell r="F7712" t="str">
            <v>MODEX INT</v>
          </cell>
        </row>
        <row r="7713">
          <cell r="F7713" t="str">
            <v>MODI RUBBER</v>
          </cell>
        </row>
        <row r="7714">
          <cell r="F7714" t="str">
            <v>MODINATURAL</v>
          </cell>
        </row>
        <row r="7715">
          <cell r="F7715" t="str">
            <v>MODIPON</v>
          </cell>
        </row>
        <row r="7716">
          <cell r="F7716" t="str">
            <v>MODISON MET.</v>
          </cell>
        </row>
        <row r="7717">
          <cell r="F7717" t="str">
            <v>MOHIT INDUS.</v>
          </cell>
        </row>
        <row r="7718">
          <cell r="F7718" t="str">
            <v>MOHIT PAPER</v>
          </cell>
        </row>
        <row r="7719">
          <cell r="F7719" t="str">
            <v>MOHITE</v>
          </cell>
        </row>
        <row r="7720">
          <cell r="F7720" t="str">
            <v>MOHOTAIND</v>
          </cell>
        </row>
        <row r="7721">
          <cell r="F7721" t="str">
            <v>MOIL LTD</v>
          </cell>
        </row>
        <row r="7722">
          <cell r="F7722" t="str">
            <v>MOKSH</v>
          </cell>
        </row>
        <row r="7723">
          <cell r="F7723" t="str">
            <v>MOLDTECH</v>
          </cell>
        </row>
        <row r="7724">
          <cell r="F7724" t="str">
            <v>MOLDTKPACK</v>
          </cell>
        </row>
        <row r="7725">
          <cell r="F7725" t="str">
            <v>MONARCH</v>
          </cell>
        </row>
        <row r="7726">
          <cell r="F7726" t="str">
            <v>MONNET IND.</v>
          </cell>
        </row>
        <row r="7727">
          <cell r="F7727" t="str">
            <v>MONNETISPA</v>
          </cell>
        </row>
        <row r="7728">
          <cell r="F7728" t="str">
            <v>MONNETPRO</v>
          </cell>
        </row>
        <row r="7729">
          <cell r="F7729" t="str">
            <v>MONOTYPE IND</v>
          </cell>
        </row>
        <row r="7730">
          <cell r="F7730" t="str">
            <v>MONSANTO</v>
          </cell>
        </row>
        <row r="7731">
          <cell r="F7731" t="str">
            <v>MONTECARLO</v>
          </cell>
        </row>
        <row r="7732">
          <cell r="F7732" t="str">
            <v>MORARJEE</v>
          </cell>
        </row>
        <row r="7733">
          <cell r="F7733" t="str">
            <v>MOREPEN LAB.</v>
          </cell>
        </row>
        <row r="7734">
          <cell r="F7734" t="str">
            <v>MORGAN CRU</v>
          </cell>
        </row>
        <row r="7735">
          <cell r="F7735" t="str">
            <v>MOSCHIP SEMI</v>
          </cell>
        </row>
        <row r="7736">
          <cell r="F7736" t="str">
            <v>MOSERBAER</v>
          </cell>
        </row>
        <row r="7737">
          <cell r="F7737" t="str">
            <v>MOTHERSUMI</v>
          </cell>
        </row>
        <row r="7738">
          <cell r="F7738" t="str">
            <v>Motilal Oswal Dynamic Fund  (MOFDYNAMIC) - Direct Plan - Growth Option</v>
          </cell>
        </row>
        <row r="7739">
          <cell r="F7739" t="str">
            <v>Motilal Oswal Dynamic Fund (MOFDYNAMIC)  - Direct Plan - Annual Dividend Payout Option</v>
          </cell>
        </row>
        <row r="7740">
          <cell r="F7740" t="str">
            <v>Motilal Oswal Dynamic Fund (MOFDYNAMIC) - Direct Plan - Quarterly Dividend Payout Option</v>
          </cell>
        </row>
        <row r="7741">
          <cell r="F7741" t="str">
            <v>Motilal Oswal Dynamic Fund (MOFDYNAMIC) - Regular Plan - Annual Dividend Payout Option</v>
          </cell>
        </row>
        <row r="7742">
          <cell r="F7742" t="str">
            <v>Motilal Oswal Dynamic Fund (MOFDYNAMIC) - Regular Plan - Growth Option</v>
          </cell>
        </row>
        <row r="7743">
          <cell r="F7743" t="str">
            <v>Motilal OSwal Dynamic Fund (MOFDYNAMIC) - Regular Plan - Quarterly Dividend Payout Option</v>
          </cell>
        </row>
        <row r="7744">
          <cell r="F7744" t="str">
            <v>Motilal Oswal Focused 25 Fund (MOF25) - Direct Plan Dividend Option</v>
          </cell>
        </row>
        <row r="7745">
          <cell r="F7745" t="str">
            <v>Motilal Oswal Focused 25 Fund (MOF25) - Regular Plan Dividend Option</v>
          </cell>
        </row>
        <row r="7746">
          <cell r="F7746" t="str">
            <v>Motilal Oswal Focused 25 Fund (MOF25)- Direct Plan Growth Option</v>
          </cell>
        </row>
        <row r="7747">
          <cell r="F7747" t="str">
            <v>Motilal Oswal Focused 25 Fund (MOF25)- Regular Plan Growth Option</v>
          </cell>
        </row>
        <row r="7748">
          <cell r="F7748" t="str">
            <v>Motilal Oswal Long Term Equity Fund (MOFLTE) - Direct Plan - Dividend Payout Option</v>
          </cell>
        </row>
        <row r="7749">
          <cell r="F7749" t="str">
            <v>Motilal Oswal Long Term Equity Fund (MOFLTE) - Direct Plan - Growth Option</v>
          </cell>
        </row>
        <row r="7750">
          <cell r="F7750" t="str">
            <v>Motilal Oswal Long Term Equity Fund (MOFLTE) - Regular Plan - Growth Option</v>
          </cell>
        </row>
        <row r="7751">
          <cell r="F7751" t="str">
            <v>Motilal Oswal Long Term Equity Fund - Regular Plan - Dividend Payout Option</v>
          </cell>
        </row>
        <row r="7752">
          <cell r="F7752" t="str">
            <v>Motilal Oswal M50 ETF (MOFM50)</v>
          </cell>
        </row>
        <row r="7753">
          <cell r="F7753" t="str">
            <v>Motilal Oswal Midcap 100 ETF (MOFM100)</v>
          </cell>
        </row>
        <row r="7754">
          <cell r="F7754" t="str">
            <v>Motilal Oswal Midcap 30 Fund (MOF30)-Direct Plan-Dividend Option</v>
          </cell>
        </row>
        <row r="7755">
          <cell r="F7755" t="str">
            <v>Motilal Oswal Midcap 30 Fund (MOF30)-Direct Plan-Growth Option</v>
          </cell>
        </row>
        <row r="7756">
          <cell r="F7756" t="str">
            <v>Motilal Oswal Midcap 30 Fund (MOF30)-Regular Plan-Dividend Option</v>
          </cell>
        </row>
        <row r="7757">
          <cell r="F7757" t="str">
            <v>Motilal Oswal Midcap 30 Fund (MOF30)-Regular Plan-Growth Option</v>
          </cell>
        </row>
        <row r="7758">
          <cell r="F7758" t="str">
            <v>Motilal Oswal Multicap 35 Fund (MOF35)- Direct Plan-Dividend Option</v>
          </cell>
        </row>
        <row r="7759">
          <cell r="F7759" t="str">
            <v>Motilal Oswal Multicap 35 Fund (MOF35)-Direct Plan-Growth Option</v>
          </cell>
        </row>
        <row r="7760">
          <cell r="F7760" t="str">
            <v>Motilal Oswal Multicap 35 Fund (MOF35)-Regular Plan -Dividend Option</v>
          </cell>
        </row>
        <row r="7761">
          <cell r="F7761" t="str">
            <v>Motilal Oswal Multicap 35 Fund (MOF35)-Regular Plan-Growth Option</v>
          </cell>
        </row>
        <row r="7762">
          <cell r="F7762" t="str">
            <v>Motilal Oswal Nasdaq 100 ETF (MOFN100)</v>
          </cell>
        </row>
        <row r="7763">
          <cell r="F7763" t="str">
            <v>Motilal Oswal Ultra Short Term Fund (MOFUSTF) -Direct Plan- Growth</v>
          </cell>
        </row>
        <row r="7764">
          <cell r="F7764" t="str">
            <v>Motilal Oswal Ultra Short Term Fund (MOFUSTF)-Direct Plan-Daily Dividend Option</v>
          </cell>
        </row>
        <row r="7765">
          <cell r="F7765" t="str">
            <v>Motilal Oswal Ultra Short Term Fund (MOFUSTF)-Direct Plan-Fortnightly Dividend Option</v>
          </cell>
        </row>
        <row r="7766">
          <cell r="F7766" t="str">
            <v>Motilal Oswal Ultra Short Term Fund (MOFUSTF)-Direct Plan-Monthly Dividend Option</v>
          </cell>
        </row>
        <row r="7767">
          <cell r="F7767" t="str">
            <v>Motilal Oswal Ultra Short Term Fund (MOFUSTF)-Direct Plan-Quarterly Dividend Option</v>
          </cell>
        </row>
        <row r="7768">
          <cell r="F7768" t="str">
            <v>Motilal Oswal Ultra Short Term Fund (MOFUSTF)-Direct Plan-Weekly Dividend Option</v>
          </cell>
        </row>
        <row r="7769">
          <cell r="F7769" t="str">
            <v>Motilal Oswal Ultra Short Term Fund (MOFUSTF)-Regular Plan- Growth</v>
          </cell>
        </row>
        <row r="7770">
          <cell r="F7770" t="str">
            <v>Motilal Oswal Ultra Short Term Fund (MOFUSTF)-Regular Plan-Daily Dividend Option</v>
          </cell>
        </row>
        <row r="7771">
          <cell r="F7771" t="str">
            <v>Motilal Oswal Ultra Short Term Fund (MOFUSTF)-Regular Plan-Fortnightly Dividend Option</v>
          </cell>
        </row>
        <row r="7772">
          <cell r="F7772" t="str">
            <v>Motilal Oswal Ultra Short Term Fund (MOFUSTF)-Regular Plan-Monthly Dividend Plan</v>
          </cell>
        </row>
        <row r="7773">
          <cell r="F7773" t="str">
            <v>Motilal Oswal Ultra Short Term Fund (MOFUSTF)-Regular Plan-Quarterly Dividend Plan</v>
          </cell>
        </row>
        <row r="7774">
          <cell r="F7774" t="str">
            <v>Motilal Oswal Ultra Short Term Fund (MOFUSTF)-Regular Plan-Weekly Dividend Option</v>
          </cell>
        </row>
        <row r="7775">
          <cell r="F7775" t="str">
            <v>MOTILALOFS</v>
          </cell>
        </row>
        <row r="7776">
          <cell r="F7776" t="str">
            <v>MOTOGENFIN</v>
          </cell>
        </row>
        <row r="7777">
          <cell r="F7777" t="str">
            <v>MPHASIS</v>
          </cell>
        </row>
        <row r="7778">
          <cell r="F7778" t="str">
            <v>MPIL CORP L</v>
          </cell>
        </row>
        <row r="7779">
          <cell r="F7779" t="str">
            <v>MPL</v>
          </cell>
        </row>
        <row r="7780">
          <cell r="F7780" t="str">
            <v>MPS LTD</v>
          </cell>
        </row>
        <row r="7781">
          <cell r="F7781" t="str">
            <v>MPTODAY</v>
          </cell>
        </row>
        <row r="7782">
          <cell r="F7782" t="str">
            <v>MRCEXIM</v>
          </cell>
        </row>
        <row r="7783">
          <cell r="F7783" t="str">
            <v>MRF LTD.</v>
          </cell>
        </row>
        <row r="7784">
          <cell r="F7784" t="str">
            <v>MRO-TEK</v>
          </cell>
        </row>
        <row r="7785">
          <cell r="F7785" t="str">
            <v>MRPL</v>
          </cell>
        </row>
        <row r="7786">
          <cell r="F7786" t="str">
            <v>MRSS</v>
          </cell>
        </row>
        <row r="7787">
          <cell r="F7787" t="str">
            <v>MSL</v>
          </cell>
        </row>
        <row r="7788">
          <cell r="F7788" t="str">
            <v>MSPL</v>
          </cell>
        </row>
        <row r="7789">
          <cell r="F7789" t="str">
            <v>MSR INDIA</v>
          </cell>
        </row>
        <row r="7790">
          <cell r="F7790" t="str">
            <v>MT EDUCARE</v>
          </cell>
        </row>
        <row r="7791">
          <cell r="F7791" t="str">
            <v>MUKANDENGG</v>
          </cell>
        </row>
        <row r="7792">
          <cell r="F7792" t="str">
            <v>MUKANDLTD</v>
          </cell>
        </row>
        <row r="7793">
          <cell r="F7793" t="str">
            <v>MUKESH BABU</v>
          </cell>
        </row>
        <row r="7794">
          <cell r="F7794" t="str">
            <v>MUKTA</v>
          </cell>
        </row>
        <row r="7795">
          <cell r="F7795" t="str">
            <v>MUKTA ARTS</v>
          </cell>
        </row>
        <row r="7796">
          <cell r="F7796" t="str">
            <v>MUKUND CRPS</v>
          </cell>
        </row>
        <row r="7797">
          <cell r="F7797" t="str">
            <v>MUL</v>
          </cell>
        </row>
        <row r="7798">
          <cell r="F7798" t="str">
            <v>MULTIBASE I</v>
          </cell>
        </row>
        <row r="7799">
          <cell r="F7799" t="str">
            <v>MUNJAL SHOWA</v>
          </cell>
        </row>
        <row r="7800">
          <cell r="F7800" t="str">
            <v>MUNJALAU</v>
          </cell>
        </row>
        <row r="7801">
          <cell r="F7801" t="str">
            <v>MURUDCERA</v>
          </cell>
        </row>
        <row r="7802">
          <cell r="F7802" t="str">
            <v>MUTHOOTCAP</v>
          </cell>
        </row>
        <row r="7803">
          <cell r="F7803" t="str">
            <v>MUTHOOTFIN</v>
          </cell>
        </row>
        <row r="7804">
          <cell r="F7804" t="str">
            <v>MUTHOOTFIN2</v>
          </cell>
        </row>
        <row r="7805">
          <cell r="F7805" t="str">
            <v>MUTHOOTFIN3</v>
          </cell>
        </row>
        <row r="7806">
          <cell r="F7806" t="str">
            <v>MVL LIMITED</v>
          </cell>
        </row>
        <row r="7807">
          <cell r="F7807" t="str">
            <v>MYS PETRO</v>
          </cell>
        </row>
        <row r="7808">
          <cell r="F7808" t="str">
            <v>N.G.IND.LTD.</v>
          </cell>
        </row>
        <row r="7809">
          <cell r="F7809" t="str">
            <v>N100</v>
          </cell>
        </row>
        <row r="7810">
          <cell r="F7810" t="str">
            <v>NACLIND</v>
          </cell>
        </row>
        <row r="7811">
          <cell r="F7811" t="str">
            <v>NAGAR.AGRITE</v>
          </cell>
        </row>
        <row r="7812">
          <cell r="F7812" t="str">
            <v>NAGARFERT</v>
          </cell>
        </row>
        <row r="7813">
          <cell r="F7813" t="str">
            <v>NAGAROIL</v>
          </cell>
        </row>
        <row r="7814">
          <cell r="F7814" t="str">
            <v>NAGPUR POWER</v>
          </cell>
        </row>
        <row r="7815">
          <cell r="F7815" t="str">
            <v>NAGREEKA EXP</v>
          </cell>
        </row>
        <row r="7816">
          <cell r="F7816" t="str">
            <v>NAGREKA CAP</v>
          </cell>
        </row>
        <row r="7817">
          <cell r="F7817" t="str">
            <v>NAHAR INDUST</v>
          </cell>
        </row>
        <row r="7818">
          <cell r="F7818" t="str">
            <v>NAHAR POLY</v>
          </cell>
        </row>
        <row r="7819">
          <cell r="F7819" t="str">
            <v>NAHARCAP</v>
          </cell>
        </row>
        <row r="7820">
          <cell r="F7820" t="str">
            <v>NAHARSPING</v>
          </cell>
        </row>
        <row r="7821">
          <cell r="F7821" t="str">
            <v>NAKODA</v>
          </cell>
        </row>
        <row r="7822">
          <cell r="F7822" t="str">
            <v>NALIN LEASE</v>
          </cell>
        </row>
        <row r="7823">
          <cell r="F7823" t="str">
            <v>NALWA SONS</v>
          </cell>
        </row>
        <row r="7824">
          <cell r="F7824" t="str">
            <v>NAM SEC</v>
          </cell>
        </row>
        <row r="7825">
          <cell r="F7825" t="str">
            <v>NANDANI</v>
          </cell>
        </row>
        <row r="7826">
          <cell r="F7826" t="str">
            <v>NAPL</v>
          </cell>
        </row>
        <row r="7827">
          <cell r="F7827" t="str">
            <v>NARAYANI</v>
          </cell>
        </row>
        <row r="7828">
          <cell r="F7828" t="str">
            <v>NARBADA</v>
          </cell>
        </row>
        <row r="7829">
          <cell r="F7829" t="str">
            <v>NARMADA GEL</v>
          </cell>
        </row>
        <row r="7830">
          <cell r="F7830" t="str">
            <v>NAT PLASTIC</v>
          </cell>
        </row>
        <row r="7831">
          <cell r="F7831" t="str">
            <v>NAT STL AGRO</v>
          </cell>
        </row>
        <row r="7832">
          <cell r="F7832" t="str">
            <v>NAT.PEROXIDE</v>
          </cell>
        </row>
        <row r="7833">
          <cell r="F7833" t="str">
            <v>NAT.PLASTIC</v>
          </cell>
        </row>
        <row r="7834">
          <cell r="F7834" t="str">
            <v>NATCOPHARM</v>
          </cell>
        </row>
        <row r="7835">
          <cell r="F7835" t="str">
            <v>NATECO</v>
          </cell>
        </row>
        <row r="7836">
          <cell r="F7836" t="str">
            <v>NATFIT</v>
          </cell>
        </row>
        <row r="7837">
          <cell r="F7837" t="str">
            <v>NATH BIOGEN</v>
          </cell>
        </row>
        <row r="7838">
          <cell r="F7838" t="str">
            <v>NATH PULP</v>
          </cell>
        </row>
        <row r="7839">
          <cell r="F7839" t="str">
            <v>NATI. OXYGEN</v>
          </cell>
        </row>
        <row r="7840">
          <cell r="F7840" t="str">
            <v>NATIONALUM</v>
          </cell>
        </row>
        <row r="7841">
          <cell r="F7841" t="str">
            <v>NATRAJ PROTE</v>
          </cell>
        </row>
        <row r="7842">
          <cell r="F7842" t="str">
            <v>NATURAL CAPS</v>
          </cell>
        </row>
        <row r="7843">
          <cell r="F7843" t="str">
            <v>NAV BHAR VEN</v>
          </cell>
        </row>
        <row r="7844">
          <cell r="F7844" t="str">
            <v>NAVIN FLUORI</v>
          </cell>
        </row>
        <row r="7845">
          <cell r="F7845" t="str">
            <v>NAVKAR BUILD</v>
          </cell>
        </row>
        <row r="7846">
          <cell r="F7846" t="str">
            <v>NAVKARCORP</v>
          </cell>
        </row>
        <row r="7847">
          <cell r="F7847" t="str">
            <v>NAVKETAN</v>
          </cell>
        </row>
        <row r="7848">
          <cell r="F7848" t="str">
            <v>NAVNETEDUL</v>
          </cell>
        </row>
        <row r="7849">
          <cell r="F7849" t="str">
            <v>NBCC</v>
          </cell>
        </row>
        <row r="7850">
          <cell r="F7850" t="str">
            <v>NBIFIN</v>
          </cell>
        </row>
        <row r="7851">
          <cell r="F7851" t="str">
            <v>NCC</v>
          </cell>
        </row>
        <row r="7852">
          <cell r="F7852" t="str">
            <v>NCC FINANCE</v>
          </cell>
        </row>
        <row r="7853">
          <cell r="F7853" t="str">
            <v>NCL RESEARCH</v>
          </cell>
        </row>
        <row r="7854">
          <cell r="F7854" t="str">
            <v>NCLIND</v>
          </cell>
        </row>
        <row r="7855">
          <cell r="F7855" t="str">
            <v>NDGL</v>
          </cell>
        </row>
        <row r="7856">
          <cell r="F7856" t="str">
            <v>NDL</v>
          </cell>
        </row>
        <row r="7857">
          <cell r="F7857" t="str">
            <v>NDTV</v>
          </cell>
        </row>
        <row r="7858">
          <cell r="F7858" t="str">
            <v>NECCLTD</v>
          </cell>
        </row>
        <row r="7859">
          <cell r="F7859" t="str">
            <v>NECLIFE</v>
          </cell>
        </row>
        <row r="7860">
          <cell r="F7860" t="str">
            <v>NEHA INTER.</v>
          </cell>
        </row>
        <row r="7861">
          <cell r="F7861" t="str">
            <v>NEL</v>
          </cell>
        </row>
        <row r="7862">
          <cell r="F7862" t="str">
            <v>NELCAST</v>
          </cell>
        </row>
        <row r="7863">
          <cell r="F7863" t="str">
            <v>NELCO LTD.</v>
          </cell>
        </row>
        <row r="7864">
          <cell r="F7864" t="str">
            <v>NEOCORP INTE</v>
          </cell>
        </row>
        <row r="7865">
          <cell r="F7865" t="str">
            <v>NESCO LTD</v>
          </cell>
        </row>
        <row r="7866">
          <cell r="F7866" t="str">
            <v>NESTLEIND</v>
          </cell>
        </row>
        <row r="7867">
          <cell r="F7867" t="str">
            <v>NETTLINX LTD</v>
          </cell>
        </row>
        <row r="7868">
          <cell r="F7868" t="str">
            <v>NETVISTA INF</v>
          </cell>
        </row>
        <row r="7869">
          <cell r="F7869" t="str">
            <v>NETWORK LTD.</v>
          </cell>
        </row>
        <row r="7870">
          <cell r="F7870" t="str">
            <v>NEULANDLAB</v>
          </cell>
        </row>
        <row r="7871">
          <cell r="F7871" t="str">
            <v>NEWGEN</v>
          </cell>
        </row>
        <row r="7872">
          <cell r="F7872" t="str">
            <v>NEWLIGHT</v>
          </cell>
        </row>
        <row r="7873">
          <cell r="F7873" t="str">
            <v>NEXTMEDIA</v>
          </cell>
        </row>
        <row r="7874">
          <cell r="F7874" t="str">
            <v>NFIL</v>
          </cell>
        </row>
        <row r="7875">
          <cell r="F7875" t="str">
            <v>NFL</v>
          </cell>
        </row>
        <row r="7876">
          <cell r="F7876" t="str">
            <v>NGL FINE CHM</v>
          </cell>
        </row>
        <row r="7877">
          <cell r="F7877" t="str">
            <v>NH</v>
          </cell>
        </row>
        <row r="7878">
          <cell r="F7878" t="str">
            <v>NHAI</v>
          </cell>
        </row>
        <row r="7879">
          <cell r="F7879" t="str">
            <v>NHAI2</v>
          </cell>
        </row>
        <row r="7880">
          <cell r="F7880" t="str">
            <v>NHAI3</v>
          </cell>
        </row>
        <row r="7881">
          <cell r="F7881" t="str">
            <v>NHAI4</v>
          </cell>
        </row>
        <row r="7882">
          <cell r="F7882" t="str">
            <v>NHAI5</v>
          </cell>
        </row>
        <row r="7883">
          <cell r="F7883" t="str">
            <v>NHAI6</v>
          </cell>
        </row>
        <row r="7884">
          <cell r="F7884" t="str">
            <v>NHAI7</v>
          </cell>
        </row>
        <row r="7885">
          <cell r="F7885" t="str">
            <v>NHAI8</v>
          </cell>
        </row>
        <row r="7886">
          <cell r="F7886" t="str">
            <v>NHAI9</v>
          </cell>
        </row>
        <row r="7887">
          <cell r="F7887" t="str">
            <v>NHBTF2014</v>
          </cell>
        </row>
        <row r="7888">
          <cell r="F7888" t="str">
            <v>NHBTF20142</v>
          </cell>
        </row>
        <row r="7889">
          <cell r="F7889" t="str">
            <v>NHBTF20143</v>
          </cell>
        </row>
        <row r="7890">
          <cell r="F7890" t="str">
            <v>NHCFOODS</v>
          </cell>
        </row>
        <row r="7891">
          <cell r="F7891" t="str">
            <v>NHPC</v>
          </cell>
        </row>
        <row r="7892">
          <cell r="F7892" t="str">
            <v>NHPC2</v>
          </cell>
        </row>
        <row r="7893">
          <cell r="F7893" t="str">
            <v>NHPC3</v>
          </cell>
        </row>
        <row r="7894">
          <cell r="F7894" t="str">
            <v>NIACL</v>
          </cell>
        </row>
        <row r="7895">
          <cell r="F7895" t="str">
            <v>NICCO PARKS</v>
          </cell>
        </row>
        <row r="7896">
          <cell r="F7896" t="str">
            <v>NIF100IWIN</v>
          </cell>
        </row>
        <row r="7897">
          <cell r="F7897" t="str">
            <v>NIFTYBEES</v>
          </cell>
        </row>
        <row r="7898">
          <cell r="F7898" t="str">
            <v>NIFTYEES</v>
          </cell>
        </row>
        <row r="7899">
          <cell r="F7899" t="str">
            <v>NIFTYIWIN</v>
          </cell>
        </row>
        <row r="7900">
          <cell r="F7900" t="str">
            <v>NIHAR INFO</v>
          </cell>
        </row>
        <row r="7901">
          <cell r="F7901" t="str">
            <v>NIIT LTD.</v>
          </cell>
        </row>
        <row r="7902">
          <cell r="F7902" t="str">
            <v>NIITTECH</v>
          </cell>
        </row>
        <row r="7903">
          <cell r="F7903" t="str">
            <v>NIKHIL ADHSV</v>
          </cell>
        </row>
        <row r="7904">
          <cell r="F7904" t="str">
            <v>NILACHAL REF</v>
          </cell>
        </row>
        <row r="7905">
          <cell r="F7905" t="str">
            <v>NILAINFRA</v>
          </cell>
        </row>
        <row r="7906">
          <cell r="F7906" t="str">
            <v>NILE LTD.</v>
          </cell>
        </row>
        <row r="7907">
          <cell r="F7907" t="str">
            <v>NILKAMAL L</v>
          </cell>
        </row>
        <row r="7908">
          <cell r="F7908" t="str">
            <v>NINSYS</v>
          </cell>
        </row>
        <row r="7909">
          <cell r="F7909" t="str">
            <v>NIPPOBATRY</v>
          </cell>
        </row>
        <row r="7910">
          <cell r="F7910" t="str">
            <v>NIRAJ CEMENT</v>
          </cell>
        </row>
        <row r="7911">
          <cell r="F7911" t="str">
            <v>NIRLON</v>
          </cell>
        </row>
        <row r="7912">
          <cell r="F7912" t="str">
            <v>NITCO</v>
          </cell>
        </row>
        <row r="7913">
          <cell r="F7913" t="str">
            <v>NITESH EST</v>
          </cell>
        </row>
        <row r="7914">
          <cell r="F7914" t="str">
            <v>NITIN FIRE</v>
          </cell>
        </row>
        <row r="7915">
          <cell r="F7915" t="str">
            <v>NITINCAST</v>
          </cell>
        </row>
        <row r="7916">
          <cell r="F7916" t="str">
            <v>NITINSPIN</v>
          </cell>
        </row>
        <row r="7917">
          <cell r="F7917" t="str">
            <v>NITIRAJ</v>
          </cell>
        </row>
        <row r="7918">
          <cell r="F7918" t="str">
            <v>NITTA GELA</v>
          </cell>
        </row>
        <row r="7919">
          <cell r="F7919" t="str">
            <v>NIYOGIN</v>
          </cell>
        </row>
        <row r="7920">
          <cell r="F7920" t="str">
            <v>NKIND</v>
          </cell>
        </row>
        <row r="7921">
          <cell r="F7921" t="str">
            <v>NLCINDIA</v>
          </cell>
        </row>
        <row r="7922">
          <cell r="F7922" t="str">
            <v>NMDC</v>
          </cell>
        </row>
        <row r="7923">
          <cell r="F7923" t="str">
            <v>NOBPOL</v>
          </cell>
        </row>
        <row r="7924">
          <cell r="F7924" t="str">
            <v>NOCIL LTD</v>
          </cell>
        </row>
        <row r="7925">
          <cell r="F7925" t="str">
            <v>NOIDA-TOLL B</v>
          </cell>
        </row>
        <row r="7926">
          <cell r="F7926" t="str">
            <v>NORBTEAEXP</v>
          </cell>
        </row>
        <row r="7927">
          <cell r="F7927" t="str">
            <v>NOVA IRON&amp;ST</v>
          </cell>
        </row>
        <row r="7928">
          <cell r="F7928" t="str">
            <v>NOVARTIS</v>
          </cell>
        </row>
        <row r="7929">
          <cell r="F7929" t="str">
            <v>NPR FINANCE</v>
          </cell>
        </row>
        <row r="7930">
          <cell r="F7930" t="str">
            <v>NRAIL</v>
          </cell>
        </row>
        <row r="7931">
          <cell r="F7931" t="str">
            <v>NRB IND BEA</v>
          </cell>
        </row>
        <row r="7932">
          <cell r="F7932" t="str">
            <v>NRBBEARING</v>
          </cell>
        </row>
        <row r="7933">
          <cell r="F7933" t="str">
            <v>NTC INDUST</v>
          </cell>
        </row>
        <row r="7934">
          <cell r="F7934" t="str">
            <v>NTL</v>
          </cell>
        </row>
        <row r="7935">
          <cell r="F7935" t="str">
            <v>NTPC</v>
          </cell>
        </row>
        <row r="7936">
          <cell r="F7936" t="str">
            <v>NTPC2</v>
          </cell>
        </row>
        <row r="7937">
          <cell r="F7937" t="str">
            <v>NTPC3</v>
          </cell>
        </row>
        <row r="7938">
          <cell r="F7938" t="str">
            <v>NTPC4</v>
          </cell>
        </row>
        <row r="7939">
          <cell r="F7939" t="str">
            <v>NTPC LTD</v>
          </cell>
        </row>
        <row r="7940">
          <cell r="F7940" t="str">
            <v>NTWK MED INV</v>
          </cell>
        </row>
        <row r="7941">
          <cell r="F7941" t="str">
            <v>NUCLEUS</v>
          </cell>
        </row>
        <row r="7942">
          <cell r="F7942" t="str">
            <v>NUTECH GLOBA</v>
          </cell>
        </row>
        <row r="7943">
          <cell r="F7943" t="str">
            <v>NUTEK</v>
          </cell>
        </row>
        <row r="7944">
          <cell r="F7944" t="str">
            <v>NUTRA</v>
          </cell>
        </row>
        <row r="7945">
          <cell r="F7945" t="str">
            <v>NV20IWIN</v>
          </cell>
        </row>
        <row r="7946">
          <cell r="F7946" t="str">
            <v>OASIS</v>
          </cell>
        </row>
        <row r="7947">
          <cell r="F7947" t="str">
            <v>OASIS SECUR.</v>
          </cell>
        </row>
        <row r="7948">
          <cell r="F7948" t="str">
            <v>OBEROI REAL</v>
          </cell>
        </row>
        <row r="7949">
          <cell r="F7949" t="str">
            <v>OBI LTD</v>
          </cell>
        </row>
        <row r="7950">
          <cell r="F7950" t="str">
            <v>OCCL</v>
          </cell>
        </row>
        <row r="7951">
          <cell r="F7951" t="str">
            <v>OCEAN AGRO</v>
          </cell>
        </row>
        <row r="7952">
          <cell r="F7952" t="str">
            <v>OCEANIC</v>
          </cell>
        </row>
        <row r="7953">
          <cell r="F7953" t="str">
            <v>OCL INDIA L</v>
          </cell>
        </row>
        <row r="7954">
          <cell r="F7954" t="str">
            <v>OCTAVE</v>
          </cell>
        </row>
        <row r="7955">
          <cell r="F7955" t="str">
            <v>ODYSSEY CORP</v>
          </cell>
        </row>
        <row r="7956">
          <cell r="F7956" t="str">
            <v>ODYSSEY TECH</v>
          </cell>
        </row>
        <row r="7957">
          <cell r="F7957" t="str">
            <v>OI AXA Tax Advantage Fund-Direct Plan- Growth</v>
          </cell>
        </row>
        <row r="7958">
          <cell r="F7958" t="str">
            <v>OIL COUNTRY</v>
          </cell>
        </row>
        <row r="7959">
          <cell r="F7959" t="str">
            <v>OIL INDIA</v>
          </cell>
        </row>
        <row r="7960">
          <cell r="F7960" t="str">
            <v>OISL</v>
          </cell>
        </row>
        <row r="7961">
          <cell r="F7961" t="str">
            <v>OK PLAY (I)</v>
          </cell>
        </row>
        <row r="7962">
          <cell r="F7962" t="str">
            <v>OLYMPIA IND.</v>
          </cell>
        </row>
        <row r="7963">
          <cell r="F7963" t="str">
            <v>OLYMPIC</v>
          </cell>
        </row>
        <row r="7964">
          <cell r="F7964" t="str">
            <v>OLYMPIC OIL</v>
          </cell>
        </row>
        <row r="7965">
          <cell r="F7965" t="str">
            <v>OM MET INFRA</v>
          </cell>
        </row>
        <row r="7966">
          <cell r="F7966" t="str">
            <v>OMANSH</v>
          </cell>
        </row>
        <row r="7967">
          <cell r="F7967" t="str">
            <v>OMAXAUTO</v>
          </cell>
        </row>
        <row r="7968">
          <cell r="F7968" t="str">
            <v>OMAXE</v>
          </cell>
        </row>
        <row r="7969">
          <cell r="F7969" t="str">
            <v>OMKARCHEM</v>
          </cell>
        </row>
        <row r="7970">
          <cell r="F7970" t="str">
            <v>ONELIFECAP</v>
          </cell>
        </row>
        <row r="7971">
          <cell r="F7971" t="str">
            <v>ONEPOINT</v>
          </cell>
        </row>
        <row r="7972">
          <cell r="F7972" t="str">
            <v>ONGC</v>
          </cell>
        </row>
        <row r="7973">
          <cell r="F7973" t="str">
            <v>ONMOBILE</v>
          </cell>
        </row>
        <row r="7974">
          <cell r="F7974" t="str">
            <v>ONWARDTEC</v>
          </cell>
        </row>
        <row r="7975">
          <cell r="F7975" t="str">
            <v>OONE</v>
          </cell>
        </row>
        <row r="7976">
          <cell r="F7976" t="str">
            <v>OPCHAINS</v>
          </cell>
        </row>
        <row r="7977">
          <cell r="F7977" t="str">
            <v>OPTIEMUS</v>
          </cell>
        </row>
        <row r="7978">
          <cell r="F7978" t="str">
            <v>OPTIFIN</v>
          </cell>
        </row>
        <row r="7979">
          <cell r="F7979" t="str">
            <v>OPTOCIRCUI</v>
          </cell>
        </row>
        <row r="7980">
          <cell r="F7980" t="str">
            <v>ORACLE FIN</v>
          </cell>
        </row>
        <row r="7981">
          <cell r="F7981" t="str">
            <v>ORBTEXP</v>
          </cell>
        </row>
        <row r="7982">
          <cell r="F7982" t="str">
            <v>ORCHIDPHAR</v>
          </cell>
        </row>
        <row r="7983">
          <cell r="F7983" t="str">
            <v>ORGANIC COAT</v>
          </cell>
        </row>
        <row r="7984">
          <cell r="F7984" t="str">
            <v>ORICON ENT</v>
          </cell>
        </row>
        <row r="7985">
          <cell r="F7985" t="str">
            <v>ORIENT ABRAS</v>
          </cell>
        </row>
        <row r="7986">
          <cell r="F7986" t="str">
            <v>ORIENT BEVER</v>
          </cell>
        </row>
        <row r="7987">
          <cell r="F7987" t="str">
            <v>ORIENT HOTEL</v>
          </cell>
        </row>
        <row r="7988">
          <cell r="F7988" t="str">
            <v>ORIENT TRADE</v>
          </cell>
        </row>
        <row r="7989">
          <cell r="F7989" t="str">
            <v>ORIENTAL VEN</v>
          </cell>
        </row>
        <row r="7990">
          <cell r="F7990" t="str">
            <v>ORIENTALTL</v>
          </cell>
        </row>
        <row r="7991">
          <cell r="F7991" t="str">
            <v>ORIENTBELL</v>
          </cell>
        </row>
        <row r="7992">
          <cell r="F7992" t="str">
            <v>ORIENTCEM</v>
          </cell>
        </row>
        <row r="7993">
          <cell r="F7993" t="str">
            <v>ORIENTLTD</v>
          </cell>
        </row>
        <row r="7994">
          <cell r="F7994" t="str">
            <v>ORIENTPPR</v>
          </cell>
        </row>
        <row r="7995">
          <cell r="F7995" t="str">
            <v>ORIENTREF</v>
          </cell>
        </row>
        <row r="7996">
          <cell r="F7996" t="str">
            <v>ORINTAL BANK</v>
          </cell>
        </row>
        <row r="7997">
          <cell r="F7997" t="str">
            <v>ORISSAMINE</v>
          </cell>
        </row>
        <row r="7998">
          <cell r="F7998" t="str">
            <v>ORTEL</v>
          </cell>
        </row>
        <row r="7999">
          <cell r="F7999" t="str">
            <v>ORTINLABSS</v>
          </cell>
        </row>
        <row r="8000">
          <cell r="F8000" t="str">
            <v>OSCAR INV.</v>
          </cell>
        </row>
        <row r="8001">
          <cell r="F8001" t="str">
            <v>OSWAL AGRO.</v>
          </cell>
        </row>
        <row r="8002">
          <cell r="F8002" t="str">
            <v>OTCO INTERN.</v>
          </cell>
        </row>
        <row r="8003">
          <cell r="F8003" t="str">
            <v>OVERSEAS SYN</v>
          </cell>
        </row>
        <row r="8004">
          <cell r="F8004" t="str">
            <v>OZONEWORLD</v>
          </cell>
        </row>
        <row r="8005">
          <cell r="F8005" t="str">
            <v>P.G.FOILS</v>
          </cell>
        </row>
        <row r="8006">
          <cell r="F8006" t="str">
            <v>PACIFIC IND.</v>
          </cell>
        </row>
        <row r="8007">
          <cell r="F8007" t="str">
            <v>PACT</v>
          </cell>
        </row>
        <row r="8008">
          <cell r="F8008" t="str">
            <v>PADMAIND</v>
          </cell>
        </row>
        <row r="8009">
          <cell r="F8009" t="str">
            <v>PADMALAYA TE</v>
          </cell>
        </row>
        <row r="8010">
          <cell r="F8010" t="str">
            <v>PAGE INDUSTR</v>
          </cell>
        </row>
        <row r="8011">
          <cell r="F8011" t="str">
            <v>PAISALO</v>
          </cell>
        </row>
        <row r="8012">
          <cell r="F8012" t="str">
            <v>PALASHSECU</v>
          </cell>
        </row>
        <row r="8013">
          <cell r="F8013" t="str">
            <v>PALREDTEC</v>
          </cell>
        </row>
        <row r="8014">
          <cell r="F8014" t="str">
            <v>PANA ENERG</v>
          </cell>
        </row>
        <row r="8015">
          <cell r="F8015" t="str">
            <v>PANACEA BIOT</v>
          </cell>
        </row>
        <row r="8016">
          <cell r="F8016" t="str">
            <v>PANACHE</v>
          </cell>
        </row>
        <row r="8017">
          <cell r="F8017" t="str">
            <v>PANACHE2</v>
          </cell>
        </row>
        <row r="8018">
          <cell r="F8018" t="str">
            <v>PANAFIC</v>
          </cell>
        </row>
        <row r="8019">
          <cell r="F8019" t="str">
            <v>PANAMA PETRO</v>
          </cell>
        </row>
        <row r="8020">
          <cell r="F8020" t="str">
            <v>PANASON CAR</v>
          </cell>
        </row>
        <row r="8021">
          <cell r="F8021" t="str">
            <v>PANCH.STEEL</v>
          </cell>
        </row>
        <row r="8022">
          <cell r="F8022" t="str">
            <v>PANCHSHEEL O</v>
          </cell>
        </row>
        <row r="8023">
          <cell r="F8023" t="str">
            <v>PANKAJ POLY</v>
          </cell>
        </row>
        <row r="8024">
          <cell r="F8024" t="str">
            <v>PANKAJ POLY.</v>
          </cell>
        </row>
        <row r="8025">
          <cell r="F8025" t="str">
            <v>PANORAM UNI</v>
          </cell>
        </row>
        <row r="8026">
          <cell r="F8026" t="str">
            <v>PANYAM CEMEN</v>
          </cell>
        </row>
        <row r="8027">
          <cell r="F8027" t="str">
            <v>PAPERPROD</v>
          </cell>
        </row>
        <row r="8028">
          <cell r="F8028" t="str">
            <v>PARA. COSMET</v>
          </cell>
        </row>
        <row r="8029">
          <cell r="F8029" t="str">
            <v>PARAB DRUGS</v>
          </cell>
        </row>
        <row r="8030">
          <cell r="F8030" t="str">
            <v>PARACABLES</v>
          </cell>
        </row>
        <row r="8031">
          <cell r="F8031" t="str">
            <v>Parag Parikh Long Term Equity Fund - Direct Plan - Growth</v>
          </cell>
        </row>
        <row r="8032">
          <cell r="F8032" t="str">
            <v>Parag Parikh Long Term Equity Fund - Regular Plan - Growth</v>
          </cell>
        </row>
        <row r="8033">
          <cell r="F8033" t="str">
            <v>PARAGMILK</v>
          </cell>
        </row>
        <row r="8034">
          <cell r="F8034" t="str">
            <v>PARAGON FIN.</v>
          </cell>
        </row>
        <row r="8035">
          <cell r="F8035" t="str">
            <v>PARLE SOFTWR</v>
          </cell>
        </row>
        <row r="8036">
          <cell r="F8036" t="str">
            <v>PARNAXLAB</v>
          </cell>
        </row>
        <row r="8037">
          <cell r="F8037" t="str">
            <v>PARSHARTI IN</v>
          </cell>
        </row>
        <row r="8038">
          <cell r="F8038" t="str">
            <v>PARSHWANA</v>
          </cell>
        </row>
        <row r="8039">
          <cell r="F8039" t="str">
            <v>PARSVNATH</v>
          </cell>
        </row>
        <row r="8040">
          <cell r="F8040" t="str">
            <v>PAS.ACRYLON</v>
          </cell>
        </row>
        <row r="8041">
          <cell r="F8041" t="str">
            <v>PASHUPATI</v>
          </cell>
        </row>
        <row r="8042">
          <cell r="F8042" t="str">
            <v>PASUPATI SPG</v>
          </cell>
        </row>
        <row r="8043">
          <cell r="F8043" t="str">
            <v>PATEL AIRTEM</v>
          </cell>
        </row>
        <row r="8044">
          <cell r="F8044" t="str">
            <v>PATEL ENGG.</v>
          </cell>
        </row>
        <row r="8045">
          <cell r="F8045" t="str">
            <v>PATIDAR</v>
          </cell>
        </row>
        <row r="8046">
          <cell r="F8046" t="str">
            <v>PATINTLOG</v>
          </cell>
        </row>
        <row r="8047">
          <cell r="F8047" t="str">
            <v>PATSPINLTD</v>
          </cell>
        </row>
        <row r="8048">
          <cell r="F8048" t="str">
            <v>PAUSHAK LTD</v>
          </cell>
        </row>
        <row r="8049">
          <cell r="F8049" t="str">
            <v>PAWANSUT</v>
          </cell>
        </row>
        <row r="8050">
          <cell r="F8050" t="str">
            <v>PBAINFRA</v>
          </cell>
        </row>
        <row r="8051">
          <cell r="F8051" t="str">
            <v>PBM POLYTEX</v>
          </cell>
        </row>
        <row r="8052">
          <cell r="F8052" t="str">
            <v>PCJEWELLER</v>
          </cell>
        </row>
        <row r="8053">
          <cell r="F8053" t="str">
            <v>PCS TECH</v>
          </cell>
        </row>
        <row r="8054">
          <cell r="F8054" t="str">
            <v>PDMJEPAPER</v>
          </cell>
        </row>
        <row r="8055">
          <cell r="F8055" t="str">
            <v>PDPL</v>
          </cell>
        </row>
        <row r="8056">
          <cell r="F8056" t="str">
            <v>PDSMFL</v>
          </cell>
        </row>
        <row r="8057">
          <cell r="F8057" t="str">
            <v>PDUMJEIND</v>
          </cell>
        </row>
        <row r="8058">
          <cell r="F8058" t="str">
            <v>PEARLPOLY</v>
          </cell>
        </row>
        <row r="8059">
          <cell r="F8059" t="str">
            <v>PEE CEE COSM</v>
          </cell>
        </row>
        <row r="8060">
          <cell r="F8060" t="str">
            <v>PEETI SECURT</v>
          </cell>
        </row>
        <row r="8061">
          <cell r="F8061" t="str">
            <v>PEL</v>
          </cell>
        </row>
        <row r="8062">
          <cell r="F8062" t="str">
            <v>PENIND</v>
          </cell>
        </row>
        <row r="8063">
          <cell r="F8063" t="str">
            <v>PENLAND LTD</v>
          </cell>
        </row>
        <row r="8064">
          <cell r="F8064" t="str">
            <v>PENPEBS</v>
          </cell>
        </row>
        <row r="8065">
          <cell r="F8065" t="str">
            <v>PENTOKEY ORG</v>
          </cell>
        </row>
        <row r="8066">
          <cell r="F8066" t="str">
            <v>PERFECTPAC</v>
          </cell>
        </row>
        <row r="8067">
          <cell r="F8067" t="str">
            <v>PERM MAGNETS</v>
          </cell>
        </row>
        <row r="8068">
          <cell r="F8068" t="str">
            <v>PERSISTENT</v>
          </cell>
        </row>
        <row r="8069">
          <cell r="F8069" t="str">
            <v>PETRONENGG</v>
          </cell>
        </row>
        <row r="8070">
          <cell r="F8070" t="str">
            <v>PETRONET LNG</v>
          </cell>
        </row>
        <row r="8071">
          <cell r="F8071" t="str">
            <v>PFC</v>
          </cell>
        </row>
        <row r="8072">
          <cell r="F8072" t="str">
            <v>PFC2</v>
          </cell>
        </row>
        <row r="8073">
          <cell r="F8073" t="str">
            <v>PFCBS1</v>
          </cell>
        </row>
        <row r="8074">
          <cell r="F8074" t="str">
            <v>PFCBS2</v>
          </cell>
        </row>
        <row r="8075">
          <cell r="F8075" t="str">
            <v>PFCBT1S4</v>
          </cell>
        </row>
        <row r="8076">
          <cell r="F8076" t="str">
            <v>PFIZER</v>
          </cell>
        </row>
        <row r="8077">
          <cell r="F8077" t="str">
            <v>PFL INFOTECH</v>
          </cell>
        </row>
        <row r="8078">
          <cell r="F8078" t="str">
            <v>PFS</v>
          </cell>
        </row>
        <row r="8079">
          <cell r="F8079" t="str">
            <v>PGEL</v>
          </cell>
        </row>
        <row r="8080">
          <cell r="F8080" t="str">
            <v>PGIL</v>
          </cell>
        </row>
        <row r="8081">
          <cell r="F8081" t="str">
            <v>PGL</v>
          </cell>
        </row>
        <row r="8082">
          <cell r="F8082" t="str">
            <v>PHARMASIA</v>
          </cell>
        </row>
        <row r="8083">
          <cell r="F8083" t="str">
            <v>PHIL.CARBON</v>
          </cell>
        </row>
        <row r="8084">
          <cell r="F8084" t="str">
            <v>PHOENIX INT.</v>
          </cell>
        </row>
        <row r="8085">
          <cell r="F8085" t="str">
            <v>PHOENIX MILL</v>
          </cell>
        </row>
        <row r="8086">
          <cell r="F8086" t="str">
            <v>PHOTON CAP</v>
          </cell>
        </row>
        <row r="8087">
          <cell r="F8087" t="str">
            <v>PHOTOQUIP(I)</v>
          </cell>
        </row>
        <row r="8088">
          <cell r="F8088" t="str">
            <v>PHYTOCHEM I.</v>
          </cell>
        </row>
        <row r="8089">
          <cell r="F8089" t="str">
            <v>PI INDUS.LTD</v>
          </cell>
        </row>
        <row r="8090">
          <cell r="F8090" t="str">
            <v>PICCADILY AG</v>
          </cell>
        </row>
        <row r="8091">
          <cell r="F8091" t="str">
            <v>PICCADILY SU</v>
          </cell>
        </row>
        <row r="8092">
          <cell r="F8092" t="str">
            <v>PICTURHOUSE</v>
          </cell>
        </row>
        <row r="8093">
          <cell r="F8093" t="str">
            <v>PIDILITIND</v>
          </cell>
        </row>
        <row r="8094">
          <cell r="F8094" t="str">
            <v>PILANIINVS</v>
          </cell>
        </row>
        <row r="8095">
          <cell r="F8095" t="str">
            <v>PILITA</v>
          </cell>
        </row>
        <row r="8096">
          <cell r="F8096" t="str">
            <v>PINCON</v>
          </cell>
        </row>
        <row r="8097">
          <cell r="F8097" t="str">
            <v>PINCONLIFE</v>
          </cell>
        </row>
        <row r="8098">
          <cell r="F8098" t="str">
            <v>PION INVEST</v>
          </cell>
        </row>
        <row r="8099">
          <cell r="F8099" t="str">
            <v>PIONDIST</v>
          </cell>
        </row>
        <row r="8100">
          <cell r="F8100" t="str">
            <v>PIONEER EMB</v>
          </cell>
        </row>
        <row r="8101">
          <cell r="F8101" t="str">
            <v>PITTILAM</v>
          </cell>
        </row>
        <row r="8102">
          <cell r="F8102" t="str">
            <v>PIX TRANS</v>
          </cell>
        </row>
        <row r="8103">
          <cell r="F8103" t="str">
            <v>PKTEA</v>
          </cell>
        </row>
        <row r="8104">
          <cell r="F8104" t="str">
            <v>PLASTIBLEN</v>
          </cell>
        </row>
        <row r="8105">
          <cell r="F8105" t="str">
            <v>PMCFIN</v>
          </cell>
        </row>
        <row r="8106">
          <cell r="F8106" t="str">
            <v>PML</v>
          </cell>
        </row>
        <row r="8107">
          <cell r="F8107" t="str">
            <v>PNB GILTS</v>
          </cell>
        </row>
        <row r="8108">
          <cell r="F8108" t="str">
            <v>PNBHOUSING</v>
          </cell>
        </row>
        <row r="8109">
          <cell r="F8109" t="str">
            <v>PNCINFRA</v>
          </cell>
        </row>
        <row r="8110">
          <cell r="F8110" t="str">
            <v>POCHIRAJU</v>
          </cell>
        </row>
        <row r="8111">
          <cell r="F8111" t="str">
            <v>PODDARHOUS</v>
          </cell>
        </row>
        <row r="8112">
          <cell r="F8112" t="str">
            <v>PODDARMENT</v>
          </cell>
        </row>
        <row r="8113">
          <cell r="F8113" t="str">
            <v>POEL</v>
          </cell>
        </row>
        <row r="8114">
          <cell r="F8114" t="str">
            <v>POKARNA LTD</v>
          </cell>
        </row>
        <row r="8115">
          <cell r="F8115" t="str">
            <v>POLARIS</v>
          </cell>
        </row>
        <row r="8116">
          <cell r="F8116" t="str">
            <v>POLO HOTELS</v>
          </cell>
        </row>
        <row r="8117">
          <cell r="F8117" t="str">
            <v>POLSON LTD.</v>
          </cell>
        </row>
        <row r="8118">
          <cell r="F8118" t="str">
            <v>POLY MEDICUR</v>
          </cell>
        </row>
        <row r="8119">
          <cell r="F8119" t="str">
            <v>POLYCHEM</v>
          </cell>
        </row>
        <row r="8120">
          <cell r="F8120" t="str">
            <v>POLYLINK POL</v>
          </cell>
        </row>
        <row r="8121">
          <cell r="F8121" t="str">
            <v>POLYMECH.MCH</v>
          </cell>
        </row>
        <row r="8122">
          <cell r="F8122" t="str">
            <v>POLYPLEX</v>
          </cell>
        </row>
        <row r="8123">
          <cell r="F8123" t="str">
            <v>POLYSPIN</v>
          </cell>
        </row>
        <row r="8124">
          <cell r="F8124" t="str">
            <v>PONDY OXIDES</v>
          </cell>
        </row>
        <row r="8125">
          <cell r="F8125" t="str">
            <v>PONNI SUG(ER</v>
          </cell>
        </row>
        <row r="8126">
          <cell r="F8126" t="str">
            <v>POOJA</v>
          </cell>
        </row>
        <row r="8127">
          <cell r="F8127" t="str">
            <v>POONA DAL</v>
          </cell>
        </row>
        <row r="8128">
          <cell r="F8128" t="str">
            <v>PORWAL AUTO</v>
          </cell>
        </row>
        <row r="8129">
          <cell r="F8129" t="str">
            <v>POWER GRID</v>
          </cell>
        </row>
        <row r="8130">
          <cell r="F8130" t="str">
            <v>POWERMECH</v>
          </cell>
        </row>
        <row r="8131">
          <cell r="F8131" t="str">
            <v>PPAP</v>
          </cell>
        </row>
        <row r="8132">
          <cell r="F8132" t="str">
            <v>PQIF</v>
          </cell>
        </row>
        <row r="8133">
          <cell r="F8133" t="str">
            <v>PRABHAT</v>
          </cell>
        </row>
        <row r="8134">
          <cell r="F8134" t="str">
            <v>PRADEEP MET.</v>
          </cell>
        </row>
        <row r="8135">
          <cell r="F8135" t="str">
            <v>PRADIPOVERS</v>
          </cell>
        </row>
        <row r="8136">
          <cell r="F8136" t="str">
            <v>PRAENG</v>
          </cell>
        </row>
        <row r="8137">
          <cell r="F8137" t="str">
            <v>PRAG BOSIMI</v>
          </cell>
        </row>
        <row r="8138">
          <cell r="F8138" t="str">
            <v>PRAJ IND.LTD</v>
          </cell>
        </row>
        <row r="8139">
          <cell r="F8139" t="str">
            <v>PRAKASH</v>
          </cell>
        </row>
        <row r="8140">
          <cell r="F8140" t="str">
            <v>PRAKASH CON</v>
          </cell>
        </row>
        <row r="8141">
          <cell r="F8141" t="str">
            <v>PRANAV.SPIN</v>
          </cell>
        </row>
        <row r="8142">
          <cell r="F8142" t="str">
            <v>PRATIBHA IND</v>
          </cell>
        </row>
        <row r="8143">
          <cell r="F8143" t="str">
            <v>PRATIKSHA CH</v>
          </cell>
        </row>
        <row r="8144">
          <cell r="F8144" t="str">
            <v>PRAXIS</v>
          </cell>
        </row>
        <row r="8145">
          <cell r="F8145" t="str">
            <v>PRECAM</v>
          </cell>
        </row>
        <row r="8146">
          <cell r="F8146" t="str">
            <v>PRECI CONTNR</v>
          </cell>
        </row>
        <row r="8147">
          <cell r="F8147" t="str">
            <v>PRECISION EL</v>
          </cell>
        </row>
        <row r="8148">
          <cell r="F8148" t="str">
            <v>PRECOT</v>
          </cell>
        </row>
        <row r="8149">
          <cell r="F8149" t="str">
            <v>PRECWIRE</v>
          </cell>
        </row>
        <row r="8150">
          <cell r="F8150" t="str">
            <v>PREMCO GLOB.</v>
          </cell>
        </row>
        <row r="8151">
          <cell r="F8151" t="str">
            <v>PREMEXPLN</v>
          </cell>
        </row>
        <row r="8152">
          <cell r="F8152" t="str">
            <v>PREMIER</v>
          </cell>
        </row>
        <row r="8153">
          <cell r="F8153" t="str">
            <v>PREMIERPOL</v>
          </cell>
        </row>
        <row r="8154">
          <cell r="F8154" t="str">
            <v>PRERNA INFR</v>
          </cell>
        </row>
        <row r="8155">
          <cell r="F8155" t="str">
            <v>PRESSMN</v>
          </cell>
        </row>
        <row r="8156">
          <cell r="F8156" t="str">
            <v>PRESTIGE</v>
          </cell>
        </row>
        <row r="8157">
          <cell r="F8157" t="str">
            <v>PRICOLLTD</v>
          </cell>
        </row>
        <row r="8158">
          <cell r="F8158" t="str">
            <v>PRIMA PLASTI</v>
          </cell>
        </row>
        <row r="8159">
          <cell r="F8159" t="str">
            <v>PRIME</v>
          </cell>
        </row>
        <row r="8160">
          <cell r="F8160" t="str">
            <v>PRIME FOCUS</v>
          </cell>
        </row>
        <row r="8161">
          <cell r="F8161" t="str">
            <v>PRIME PROP</v>
          </cell>
        </row>
        <row r="8162">
          <cell r="F8162" t="str">
            <v>PRIME SECUR.</v>
          </cell>
        </row>
        <row r="8163">
          <cell r="F8163" t="str">
            <v>PRIME URBAN</v>
          </cell>
        </row>
        <row r="8164">
          <cell r="F8164" t="str">
            <v>PRIMECAPM</v>
          </cell>
        </row>
        <row r="8165">
          <cell r="F8165" t="str">
            <v>Principal Arbitrage Fund - Direct Plan - Growth</v>
          </cell>
        </row>
        <row r="8166">
          <cell r="F8166" t="str">
            <v>Principal Arbitrage Fund - Direct Plan- Monthly Dividend</v>
          </cell>
        </row>
        <row r="8167">
          <cell r="F8167" t="str">
            <v>Principal Arbitrage Fund - Regular Plan - Growth</v>
          </cell>
        </row>
        <row r="8168">
          <cell r="F8168" t="str">
            <v>Principal Arbitrage Fund - Regular Plan - Monthly Dividend</v>
          </cell>
        </row>
        <row r="8169">
          <cell r="F8169" t="str">
            <v>Principal Balanced Advantage Fund - Direct Plan - Growth Option</v>
          </cell>
        </row>
        <row r="8170">
          <cell r="F8170" t="str">
            <v>Principal Balanced Advantage Fund - Direct Plan - Monthly Dividend Option</v>
          </cell>
        </row>
        <row r="8171">
          <cell r="F8171" t="str">
            <v>Principal Balanced Advantage Fund - Growth Option</v>
          </cell>
        </row>
        <row r="8172">
          <cell r="F8172" t="str">
            <v>Principal Balanced Advantage Fund - Monthly Dividend Option</v>
          </cell>
        </row>
        <row r="8173">
          <cell r="F8173" t="str">
            <v>Principal Cash Management Fund - Daily Dividend</v>
          </cell>
        </row>
        <row r="8174">
          <cell r="F8174" t="str">
            <v>Principal Cash Management Fund - Direct Plan - Dividend Option - Daily</v>
          </cell>
        </row>
        <row r="8175">
          <cell r="F8175" t="str">
            <v>Principal Cash Management Fund - Direct Plan - Dividend Option - Weekly</v>
          </cell>
        </row>
        <row r="8176">
          <cell r="F8176" t="str">
            <v>Principal Cash Management Fund - Direct Plan - Growth Option</v>
          </cell>
        </row>
        <row r="8177">
          <cell r="F8177" t="str">
            <v>Principal Cash Management Fund - Monthly Dividend Option</v>
          </cell>
        </row>
        <row r="8178">
          <cell r="F8178" t="str">
            <v>Principal Cash Management Fund - Weekly Dividend Option</v>
          </cell>
        </row>
        <row r="8179">
          <cell r="F8179" t="str">
            <v>Principal Cash Management Fund -Direct Plan - Dividend Option - Monthly</v>
          </cell>
        </row>
        <row r="8180">
          <cell r="F8180" t="str">
            <v>Principal Cash Management Fund -Growth Option</v>
          </cell>
        </row>
        <row r="8181">
          <cell r="F8181" t="str">
            <v>Principal Corporate Bond Fund  - Direct Plan -Growth Option</v>
          </cell>
        </row>
        <row r="8182">
          <cell r="F8182" t="str">
            <v>Principal Corporate Bond Fund - Dividend - Monthly</v>
          </cell>
        </row>
        <row r="8183">
          <cell r="F8183" t="str">
            <v>Principal Corporate Bond Fund - Dividend - Quarterly</v>
          </cell>
        </row>
        <row r="8184">
          <cell r="F8184" t="str">
            <v>Principal Corporate Bond Fund -Growth</v>
          </cell>
        </row>
        <row r="8185">
          <cell r="F8185" t="str">
            <v>Principal Credit Risk Fund - Direct Plan - Growth Option</v>
          </cell>
        </row>
        <row r="8186">
          <cell r="F8186" t="str">
            <v>Principal Credit Risk Fund - Direct Plan - Monthly Dividend Option</v>
          </cell>
        </row>
        <row r="8187">
          <cell r="F8187" t="str">
            <v>Principal Credit Risk Fund - Regular Plan - Growth Option</v>
          </cell>
        </row>
        <row r="8188">
          <cell r="F8188" t="str">
            <v>Principal Credit Risk Fund - Regular Plan - Monthly Dividend Option</v>
          </cell>
        </row>
        <row r="8189">
          <cell r="F8189" t="str">
            <v>Principal Dividend Yield Fund - Direct Plan - Growth Option</v>
          </cell>
        </row>
        <row r="8190">
          <cell r="F8190" t="str">
            <v>Principal Dividend Yield Fund- Direct Plan - Half Yearly Dividend Option</v>
          </cell>
        </row>
        <row r="8191">
          <cell r="F8191" t="str">
            <v>Principal Dividend Yield Fund- Half Yearly Dividend Plan</v>
          </cell>
        </row>
        <row r="8192">
          <cell r="F8192" t="str">
            <v>Principal Dividend Yield Fund-Growth Plan</v>
          </cell>
        </row>
        <row r="8193">
          <cell r="F8193" t="str">
            <v>Principal Dynamic Bond Fund - Direct Plan - Dividend Option -Annually</v>
          </cell>
        </row>
        <row r="8194">
          <cell r="F8194" t="str">
            <v>Principal Dynamic Bond Fund - Direct Plan - Growth Option</v>
          </cell>
        </row>
        <row r="8195">
          <cell r="F8195" t="str">
            <v>Principal Dynamic Bond Fund - Dividend Option -Annual</v>
          </cell>
        </row>
        <row r="8196">
          <cell r="F8196" t="str">
            <v>Principal Dynamic Bond Fund - Growth Option</v>
          </cell>
        </row>
        <row r="8197">
          <cell r="F8197" t="str">
            <v>Principal Dynamic Bond Fund -Dividend Option - Quarterly</v>
          </cell>
        </row>
        <row r="8198">
          <cell r="F8198" t="str">
            <v>Principal Dynamic Bond Fund- Direct Plan - Dividend Option - Quarterly</v>
          </cell>
        </row>
        <row r="8199">
          <cell r="F8199" t="str">
            <v>Principal Emerging Bluechip Fund - Direct Plan - Growth Option</v>
          </cell>
        </row>
        <row r="8200">
          <cell r="F8200" t="str">
            <v>Principal Emerging Bluechip Fund - Direct Plan - Half Yearly Dividend Option</v>
          </cell>
        </row>
        <row r="8201">
          <cell r="F8201" t="str">
            <v>Principal Emerging Bluechip Fund - Growth Option</v>
          </cell>
        </row>
        <row r="8202">
          <cell r="F8202" t="str">
            <v>Principal Emerging Bluechip Fund - Half Yearly Dividend Option</v>
          </cell>
        </row>
        <row r="8203">
          <cell r="F8203" t="str">
            <v>Principal Equity Savings Fund - Direct Plan - Dividend Option - Half Yearly</v>
          </cell>
        </row>
        <row r="8204">
          <cell r="F8204" t="str">
            <v>Principal Equity Savings Fund - Direct Plan - Growth Option</v>
          </cell>
        </row>
        <row r="8205">
          <cell r="F8205" t="str">
            <v>Principal Equity Savings Fund - Growth Option</v>
          </cell>
        </row>
        <row r="8206">
          <cell r="F8206" t="str">
            <v>Principal Equity Savings Fund - Half Yearly Dividend</v>
          </cell>
        </row>
        <row r="8207">
          <cell r="F8207" t="str">
            <v>Principal Equity Savings Fund -Quaterly Dividend</v>
          </cell>
        </row>
        <row r="8208">
          <cell r="F8208" t="str">
            <v>Principal Equity Savings Fund- Direct Plan - Dividend Option - Quaterly</v>
          </cell>
        </row>
        <row r="8209">
          <cell r="F8209" t="str">
            <v>Principal Focused Multicap Fund- Direct Plan - Growth Option</v>
          </cell>
        </row>
        <row r="8210">
          <cell r="F8210" t="str">
            <v>Principal Focused Multicap Fund- Direct Plan - Half Yearly Dividend Option</v>
          </cell>
        </row>
        <row r="8211">
          <cell r="F8211" t="str">
            <v>Principal Focused Multicap Fund-Growth Option</v>
          </cell>
        </row>
        <row r="8212">
          <cell r="F8212" t="str">
            <v>Principal Focused Multicap Fund-Half Yearly Dividend Option</v>
          </cell>
        </row>
        <row r="8213">
          <cell r="F8213" t="str">
            <v>Principal Global Opportunities Fund- Direct Plan - Dividend Option</v>
          </cell>
        </row>
        <row r="8214">
          <cell r="F8214" t="str">
            <v>Principal Global Opportunities Fund- Dividend Option</v>
          </cell>
        </row>
        <row r="8215">
          <cell r="F8215" t="str">
            <v>Principal Global Opportunities Fund-Direct Plan - Growth Option</v>
          </cell>
        </row>
        <row r="8216">
          <cell r="F8216" t="str">
            <v>Principal Global Opportunities Fund-Growth Option</v>
          </cell>
        </row>
        <row r="8217">
          <cell r="F8217" t="str">
            <v>Principal Hybrid Equity Fund- Direct Plan - Growth Option</v>
          </cell>
        </row>
        <row r="8218">
          <cell r="F8218" t="str">
            <v>Principal Hybrid Equity Fund- Monthly Dividend</v>
          </cell>
        </row>
        <row r="8219">
          <cell r="F8219" t="str">
            <v>Principal Hybrid Equity Fund-Direct Plan - Monthly Dividend Option</v>
          </cell>
        </row>
        <row r="8220">
          <cell r="F8220" t="str">
            <v>Principal Hybrid Equity Fund-Growth</v>
          </cell>
        </row>
        <row r="8221">
          <cell r="F8221" t="str">
            <v>Principal Low Duration Fund - Direct Plan - Daily Dividend Option</v>
          </cell>
        </row>
        <row r="8222">
          <cell r="F8222" t="str">
            <v>Principal Low Duration Fund - Direct Plan - Growth Option</v>
          </cell>
        </row>
        <row r="8223">
          <cell r="F8223" t="str">
            <v>Principal Low Duration Fund - Direct Plan - Monthly Dividend Option</v>
          </cell>
        </row>
        <row r="8224">
          <cell r="F8224" t="str">
            <v>Principal Low Duration Fund - Direct Plan - Weekly Dividend Option</v>
          </cell>
        </row>
        <row r="8225">
          <cell r="F8225" t="str">
            <v>Principal Low Duration Fund - Weekly Dividend Option</v>
          </cell>
        </row>
        <row r="8226">
          <cell r="F8226" t="str">
            <v>Principal Low Duration Fund -Daily Dividend Option</v>
          </cell>
        </row>
        <row r="8227">
          <cell r="F8227" t="str">
            <v>Principal Low Duration Fund- Growth Option</v>
          </cell>
        </row>
        <row r="8228">
          <cell r="F8228" t="str">
            <v>Principal Low Duration Fund- Monthly Dividend Option</v>
          </cell>
        </row>
        <row r="8229">
          <cell r="F8229" t="str">
            <v>Principal Multi Cap Growth Fund - Direct Plan -Half Yearly Dividend Option</v>
          </cell>
        </row>
        <row r="8230">
          <cell r="F8230" t="str">
            <v>Principal Multi Cap Growth Fund- Half Yearly Dividend Option</v>
          </cell>
        </row>
        <row r="8231">
          <cell r="F8231" t="str">
            <v>Principal Multi Cap Growth Fund-Direct Plan - Growth Option</v>
          </cell>
        </row>
        <row r="8232">
          <cell r="F8232" t="str">
            <v>Principal Multi Cap Growth Fund-Growth Option</v>
          </cell>
        </row>
        <row r="8233">
          <cell r="F8233" t="str">
            <v>Principal Nifty 100 Equal Weight Fund - Direct Plan - Growth Option</v>
          </cell>
        </row>
        <row r="8234">
          <cell r="F8234" t="str">
            <v>Principal Nifty 100 Equal Weight Fund- Direct Plan - Dividend Option</v>
          </cell>
        </row>
        <row r="8235">
          <cell r="F8235" t="str">
            <v>Principal Nifty 100 Equal Weight Fund-Dividend</v>
          </cell>
        </row>
        <row r="8236">
          <cell r="F8236" t="str">
            <v>Principal Nifty 100 Equal Weight Fund-Growth</v>
          </cell>
        </row>
        <row r="8237">
          <cell r="F8237" t="str">
            <v>Principal Personal Tax Saver Fund</v>
          </cell>
        </row>
        <row r="8238">
          <cell r="F8238" t="str">
            <v>Principal Personal Tax Saver Fund - Direct Plan</v>
          </cell>
        </row>
        <row r="8239">
          <cell r="F8239" t="str">
            <v>Principal Retirement Savings Fund - Conservative Plan - Direct Sub-Plan - Growth</v>
          </cell>
        </row>
        <row r="8240">
          <cell r="F8240" t="str">
            <v>Principal Retirement Savings Fund - Moderate Plan - Direct Sub-Plan - Growth</v>
          </cell>
        </row>
        <row r="8241">
          <cell r="F8241" t="str">
            <v>Principal Retirement Savings Fund - Moderate Plan - Regular Sub-Plan - Growth</v>
          </cell>
        </row>
        <row r="8242">
          <cell r="F8242" t="str">
            <v>Principal Retirement Savings Fund - Progressive Plan - Direct Sub-Plan - Growth</v>
          </cell>
        </row>
        <row r="8243">
          <cell r="F8243" t="str">
            <v>Principal Retirement Savings Fund - Progressive Plan - Regular Sub - Plan - Growth</v>
          </cell>
        </row>
        <row r="8244">
          <cell r="F8244" t="str">
            <v>Principal Retirement Savings Fund- Conservative Plan - Regular Sub-Plan - Growth</v>
          </cell>
        </row>
        <row r="8245">
          <cell r="F8245" t="str">
            <v>Principal Short Term Debt Fund - Direct Plan - Dividend Plan - Monthly</v>
          </cell>
        </row>
        <row r="8246">
          <cell r="F8246" t="str">
            <v>Principal Short Term Debt Fund - Dividend Option - Monthly</v>
          </cell>
        </row>
        <row r="8247">
          <cell r="F8247" t="str">
            <v>Principal Short Term Debt Fund- Direct Plan  - Growth Option</v>
          </cell>
        </row>
        <row r="8248">
          <cell r="F8248" t="str">
            <v>Principal Short Term Debt Fund- Growth Plan</v>
          </cell>
        </row>
        <row r="8249">
          <cell r="F8249" t="str">
            <v>Principal Tax Savings Fund</v>
          </cell>
        </row>
        <row r="8250">
          <cell r="F8250" t="str">
            <v>Principal Tax Savings Fund - Direct Plan</v>
          </cell>
        </row>
        <row r="8251">
          <cell r="F8251" t="str">
            <v>Principal Tax Savings Fund Direct Plan - Half Yearly Dividend Option</v>
          </cell>
        </row>
        <row r="8252">
          <cell r="F8252" t="str">
            <v>Principal Tax Savings Fund Regular Plan - Half Yearly Dividend Option</v>
          </cell>
        </row>
        <row r="8253">
          <cell r="F8253" t="str">
            <v>Principal Ultra Short Term Fund- Direct Plan - Dividend Option - Monthly</v>
          </cell>
        </row>
        <row r="8254">
          <cell r="F8254" t="str">
            <v>Principal Ultra Short Term Fund- Direct Plan -Growth Option</v>
          </cell>
        </row>
        <row r="8255">
          <cell r="F8255" t="str">
            <v>Principal Ultra Short Term Fund-Daily Dividend Option</v>
          </cell>
        </row>
        <row r="8256">
          <cell r="F8256" t="str">
            <v>Principal Ultra Short Term Fund-Growth Option</v>
          </cell>
        </row>
        <row r="8257">
          <cell r="F8257" t="str">
            <v>Principal Ultra Short Term Fund-Monthly Dividend Option</v>
          </cell>
        </row>
        <row r="8258">
          <cell r="F8258" t="str">
            <v>Principal Ultra Short Term Fund-Weekly Dividend Option</v>
          </cell>
        </row>
        <row r="8259">
          <cell r="F8259" t="str">
            <v>PRISM CEMENT</v>
          </cell>
        </row>
        <row r="8260">
          <cell r="F8260" t="str">
            <v>PRISM MEDI</v>
          </cell>
        </row>
        <row r="8261">
          <cell r="F8261" t="str">
            <v>PRITHVIEXCH</v>
          </cell>
        </row>
        <row r="8262">
          <cell r="F8262" t="str">
            <v>PRITIKAUTO</v>
          </cell>
        </row>
        <row r="8263">
          <cell r="F8263" t="str">
            <v>PRITISHN COM</v>
          </cell>
        </row>
        <row r="8264">
          <cell r="F8264" t="str">
            <v>PRO FIN CAP.</v>
          </cell>
        </row>
        <row r="8265">
          <cell r="F8265" t="str">
            <v>PROCTER &amp;GAM</v>
          </cell>
        </row>
        <row r="8266">
          <cell r="F8266" t="str">
            <v>PROVESTSER</v>
          </cell>
        </row>
        <row r="8267">
          <cell r="F8267" t="str">
            <v>PROVOGUE IND</v>
          </cell>
        </row>
        <row r="8268">
          <cell r="F8268" t="str">
            <v>PROZONINTU</v>
          </cell>
        </row>
        <row r="8269">
          <cell r="F8269" t="str">
            <v>PSL LTD</v>
          </cell>
        </row>
        <row r="8270">
          <cell r="F8270" t="str">
            <v>PSPPROJECT</v>
          </cell>
        </row>
        <row r="8271">
          <cell r="F8271" t="str">
            <v>PSUBNK BEES</v>
          </cell>
        </row>
        <row r="8272">
          <cell r="F8272" t="str">
            <v>PTC</v>
          </cell>
        </row>
        <row r="8273">
          <cell r="F8273" t="str">
            <v>PTCIL</v>
          </cell>
        </row>
        <row r="8274">
          <cell r="F8274" t="str">
            <v>PTIL</v>
          </cell>
        </row>
        <row r="8275">
          <cell r="F8275" t="str">
            <v>PTL</v>
          </cell>
        </row>
        <row r="8276">
          <cell r="F8276" t="str">
            <v>PULZ</v>
          </cell>
        </row>
        <row r="8277">
          <cell r="F8277" t="str">
            <v>PUN.ALKALI</v>
          </cell>
        </row>
        <row r="8278">
          <cell r="F8278" t="str">
            <v>PUN.COMMUNI.</v>
          </cell>
        </row>
        <row r="8279">
          <cell r="F8279" t="str">
            <v>PUNJ LLOYD</v>
          </cell>
        </row>
        <row r="8280">
          <cell r="F8280" t="str">
            <v>PUNJAB NATIO</v>
          </cell>
        </row>
        <row r="8281">
          <cell r="F8281" t="str">
            <v>PUNJABCHEM</v>
          </cell>
        </row>
        <row r="8282">
          <cell r="F8282" t="str">
            <v>PUNJABNSIND</v>
          </cell>
        </row>
        <row r="8283">
          <cell r="F8283" t="str">
            <v>PURVA</v>
          </cell>
        </row>
        <row r="8284">
          <cell r="F8284" t="str">
            <v>PUSHPREALM</v>
          </cell>
        </row>
        <row r="8285">
          <cell r="F8285" t="str">
            <v>PVP VENT LTD</v>
          </cell>
        </row>
        <row r="8286">
          <cell r="F8286" t="str">
            <v>PVR LTD</v>
          </cell>
        </row>
        <row r="8287">
          <cell r="F8287" t="str">
            <v>PVVINFRA</v>
          </cell>
        </row>
        <row r="8288">
          <cell r="F8288" t="str">
            <v>PWASML</v>
          </cell>
        </row>
        <row r="8289">
          <cell r="F8289" t="str">
            <v>QFSL</v>
          </cell>
        </row>
        <row r="8290">
          <cell r="F8290" t="str">
            <v>QNIFTY</v>
          </cell>
        </row>
        <row r="8291">
          <cell r="F8291" t="str">
            <v>QUADRANT</v>
          </cell>
        </row>
        <row r="8292">
          <cell r="F8292" t="str">
            <v>Quant Absolute Fund-Dividend Option</v>
          </cell>
        </row>
        <row r="8293">
          <cell r="F8293" t="str">
            <v>Quant Absolute Fund-Dividend Option-Direct Plan</v>
          </cell>
        </row>
        <row r="8294">
          <cell r="F8294" t="str">
            <v>Quant Absolute Fund-Growth Option</v>
          </cell>
        </row>
        <row r="8295">
          <cell r="F8295" t="str">
            <v>Quant Absolute Fund-Growth Option-Direct Plan</v>
          </cell>
        </row>
        <row r="8296">
          <cell r="F8296" t="str">
            <v>Quant Active Fund-DIVIDEND OPTION</v>
          </cell>
        </row>
        <row r="8297">
          <cell r="F8297" t="str">
            <v>Quant Active Fund-DIVIDEND OPTION-Direct Plan</v>
          </cell>
        </row>
        <row r="8298">
          <cell r="F8298" t="str">
            <v>Quant Active Fund-GROWTH OPTION</v>
          </cell>
        </row>
        <row r="8299">
          <cell r="F8299" t="str">
            <v>Quant Active Fund-GROWTH OPTION-Direct Plan</v>
          </cell>
        </row>
        <row r="8300">
          <cell r="F8300" t="str">
            <v>Quant Consumption Fund - Dividend Option</v>
          </cell>
        </row>
        <row r="8301">
          <cell r="F8301" t="str">
            <v>Quant Consumption Fund - Dividend Option-Direct Plan</v>
          </cell>
        </row>
        <row r="8302">
          <cell r="F8302" t="str">
            <v>Quant Consumption Fund - Growth Option</v>
          </cell>
        </row>
        <row r="8303">
          <cell r="F8303" t="str">
            <v>Quant Consumption Fund - Growth Option-Direct Plan</v>
          </cell>
        </row>
        <row r="8304">
          <cell r="F8304" t="str">
            <v>Quant Dynamic Bond-Bonus</v>
          </cell>
        </row>
        <row r="8305">
          <cell r="F8305" t="str">
            <v>Quant Dynamic Bond-Bonus Option-Direct Plan</v>
          </cell>
        </row>
        <row r="8306">
          <cell r="F8306" t="str">
            <v>Quant Dynamic Bond-Dividend</v>
          </cell>
        </row>
        <row r="8307">
          <cell r="F8307" t="str">
            <v>Quant Dynamic Bond-Dividend Option-Direct Plan</v>
          </cell>
        </row>
        <row r="8308">
          <cell r="F8308" t="str">
            <v>Quant Dynamic Bond-Growth</v>
          </cell>
        </row>
        <row r="8309">
          <cell r="F8309" t="str">
            <v>Quant Dynamic Bond-Growth Option-Direct Plan</v>
          </cell>
        </row>
        <row r="8310">
          <cell r="F8310" t="str">
            <v>Quant Focused Fund - Dividend Option</v>
          </cell>
        </row>
        <row r="8311">
          <cell r="F8311" t="str">
            <v>Quant Focused Fund - Dividend Option-Direct Plan</v>
          </cell>
        </row>
        <row r="8312">
          <cell r="F8312" t="str">
            <v>Quant Focused Fund - Growth Option</v>
          </cell>
        </row>
        <row r="8313">
          <cell r="F8313" t="str">
            <v>Quant Focused Fund - Growth Option-Direct Plan</v>
          </cell>
        </row>
        <row r="8314">
          <cell r="F8314" t="str">
            <v>Quant Infrastructure Fund - Dividend</v>
          </cell>
        </row>
        <row r="8315">
          <cell r="F8315" t="str">
            <v>Quant Infrastructure Fund - Dividend Option-Direct Plan</v>
          </cell>
        </row>
        <row r="8316">
          <cell r="F8316" t="str">
            <v>Quant Infrastructure Fund - Growth Option</v>
          </cell>
        </row>
        <row r="8317">
          <cell r="F8317" t="str">
            <v>Quant Infrastructure Fund - Growth Option-Direct Plan</v>
          </cell>
        </row>
        <row r="8318">
          <cell r="F8318" t="str">
            <v>Quant Large &amp; Mid Cap Fund - Bonus Option</v>
          </cell>
        </row>
        <row r="8319">
          <cell r="F8319" t="str">
            <v>Quant Large &amp; Mid Cap Fund - Bonus Option-Direct Plan</v>
          </cell>
        </row>
        <row r="8320">
          <cell r="F8320" t="str">
            <v>Quant Large &amp; Mid Cap Fund - Dividend Option</v>
          </cell>
        </row>
        <row r="8321">
          <cell r="F8321" t="str">
            <v>Quant Large &amp; Mid Cap Fund - Dividend Option-Direct Plan</v>
          </cell>
        </row>
        <row r="8322">
          <cell r="F8322" t="str">
            <v>Quant Large &amp; Mid Cap Fund - Growth Option</v>
          </cell>
        </row>
        <row r="8323">
          <cell r="F8323" t="str">
            <v>Quant Large &amp; Mid Cap Fund - Growth Option-Direct Plan</v>
          </cell>
        </row>
        <row r="8324">
          <cell r="F8324" t="str">
            <v>Quant Liquid Plan-Daily Dividend Option</v>
          </cell>
        </row>
        <row r="8325">
          <cell r="F8325" t="str">
            <v>Quant Liquid Plan-Daily Dividend Option-Direct Plan</v>
          </cell>
        </row>
        <row r="8326">
          <cell r="F8326" t="str">
            <v>Quant Liquid Plan-Growth Option</v>
          </cell>
        </row>
        <row r="8327">
          <cell r="F8327" t="str">
            <v>Quant Liquid Plan-Growth Option-Direct Plan</v>
          </cell>
        </row>
        <row r="8328">
          <cell r="F8328" t="str">
            <v>Quant Liquid Plan-Monthly Dividend Option</v>
          </cell>
        </row>
        <row r="8329">
          <cell r="F8329" t="str">
            <v>Quant Liquid Plan-Monthly Dividend Option-Direct Plan</v>
          </cell>
        </row>
        <row r="8330">
          <cell r="F8330" t="str">
            <v>Quant Liquid Plan-Weekly Dividend Option</v>
          </cell>
        </row>
        <row r="8331">
          <cell r="F8331" t="str">
            <v>Quant Liquid Plan-Weekly Dividend Option-Direct Plan</v>
          </cell>
        </row>
        <row r="8332">
          <cell r="F8332" t="str">
            <v>Quant Mid Cap Fund-Dividend</v>
          </cell>
        </row>
        <row r="8333">
          <cell r="F8333" t="str">
            <v>Quant Mid Cap Fund-Dividend Option-Direct Plan</v>
          </cell>
        </row>
        <row r="8334">
          <cell r="F8334" t="str">
            <v>Quant Mid Cap Fund-Growth</v>
          </cell>
        </row>
        <row r="8335">
          <cell r="F8335" t="str">
            <v>Quant Mid Cap Fund-Growth Option-Direct Plan</v>
          </cell>
        </row>
        <row r="8336">
          <cell r="F8336" t="str">
            <v>Quant Money Market Fund-Dividend Option</v>
          </cell>
        </row>
        <row r="8337">
          <cell r="F8337" t="str">
            <v>Quant Money Market Fund-Dividend Option-Direct Plan</v>
          </cell>
        </row>
        <row r="8338">
          <cell r="F8338" t="str">
            <v>Quant Money Market Fund-Growth Option</v>
          </cell>
        </row>
        <row r="8339">
          <cell r="F8339" t="str">
            <v>Quant Money Market Fund-Growth Option-Direct Plan</v>
          </cell>
        </row>
        <row r="8340">
          <cell r="F8340" t="str">
            <v>Quant Multi Asset Fund-DIVIDEND OPTION</v>
          </cell>
        </row>
        <row r="8341">
          <cell r="F8341" t="str">
            <v>Quant Multi Asset Fund-DIVIDEND OPTION-Direct Plan</v>
          </cell>
        </row>
        <row r="8342">
          <cell r="F8342" t="str">
            <v>Quant Multi Asset Fund-GROWTH OPTION</v>
          </cell>
        </row>
        <row r="8343">
          <cell r="F8343" t="str">
            <v>Quant Multi Asset Fund-GROWTH OPTION-Direct Plan</v>
          </cell>
        </row>
        <row r="8344">
          <cell r="F8344" t="str">
            <v>Quant Small Cap Fund -Growth</v>
          </cell>
        </row>
        <row r="8345">
          <cell r="F8345" t="str">
            <v>Quant Small Cap Fund-Dividend</v>
          </cell>
        </row>
        <row r="8346">
          <cell r="F8346" t="str">
            <v>Quant Small Cap Fund-Dividend Option-Direct Plan</v>
          </cell>
        </row>
        <row r="8347">
          <cell r="F8347" t="str">
            <v>Quant Small Cap Fund-Growth Option-Direct Plan</v>
          </cell>
        </row>
        <row r="8348">
          <cell r="F8348" t="str">
            <v>Quant Tax Plan-Dividend</v>
          </cell>
        </row>
        <row r="8349">
          <cell r="F8349" t="str">
            <v>Quant Tax Plan-Dividend Option-Direct Plan</v>
          </cell>
        </row>
        <row r="8350">
          <cell r="F8350" t="str">
            <v>Quant Tax Plan-Growth</v>
          </cell>
        </row>
        <row r="8351">
          <cell r="F8351" t="str">
            <v>Quant Tax Plan-Growth Option-Direct Plan</v>
          </cell>
        </row>
        <row r="8352">
          <cell r="F8352" t="str">
            <v>Quantum Dynamic Bond Fund - Direct Plan Growth Option</v>
          </cell>
        </row>
        <row r="8353">
          <cell r="F8353" t="str">
            <v>Quantum Dynamic Bond Fund - Direct Plan Monthly Dividend Option</v>
          </cell>
        </row>
        <row r="8354">
          <cell r="F8354" t="str">
            <v>Quantum Dynamic Bond Fund - Regular Plan Growth Option</v>
          </cell>
        </row>
        <row r="8355">
          <cell r="F8355" t="str">
            <v>Quantum Dynamic Bond Fund - Regular Plan Monthly Dividend Option</v>
          </cell>
        </row>
        <row r="8356">
          <cell r="F8356" t="str">
            <v>Quantum Equity Fund of Funds - Direct Plan Dividend Option</v>
          </cell>
        </row>
        <row r="8357">
          <cell r="F8357" t="str">
            <v>Quantum Equity Fund of Funds - Direct Plan Growth Option</v>
          </cell>
        </row>
        <row r="8358">
          <cell r="F8358" t="str">
            <v>Quantum Equity Fund of Funds - Regular Plan Dividend Option</v>
          </cell>
        </row>
        <row r="8359">
          <cell r="F8359" t="str">
            <v>Quantum Equity Fund of Funds - Regular Plan Growth Option</v>
          </cell>
        </row>
        <row r="8360">
          <cell r="F8360" t="str">
            <v>QUANTUM GOLD</v>
          </cell>
        </row>
        <row r="8361">
          <cell r="F8361" t="str">
            <v>Quantum Gold Fund</v>
          </cell>
        </row>
        <row r="8362">
          <cell r="F8362" t="str">
            <v>Quantum Gold Savings Fund - Direct Plan Growth Option</v>
          </cell>
        </row>
        <row r="8363">
          <cell r="F8363" t="str">
            <v>Quantum Gold Savings Fund - Regular Plan Growth Option</v>
          </cell>
        </row>
        <row r="8364">
          <cell r="F8364" t="str">
            <v>Quantum Liquid Fund - Direct Plan Daily Dividend Re-investment Option</v>
          </cell>
        </row>
        <row r="8365">
          <cell r="F8365" t="str">
            <v>Quantum Liquid Fund - Direct Plan Growth Option</v>
          </cell>
        </row>
        <row r="8366">
          <cell r="F8366" t="str">
            <v>Quantum Liquid Fund - Direct Plan Monthly Dividend Option</v>
          </cell>
        </row>
        <row r="8367">
          <cell r="F8367" t="str">
            <v>Quantum Liquid Fund - Regular Plan Daily Dividend Re-Investment Option</v>
          </cell>
        </row>
        <row r="8368">
          <cell r="F8368" t="str">
            <v>Quantum Liquid Fund - Regular Plan Growth Option</v>
          </cell>
        </row>
        <row r="8369">
          <cell r="F8369" t="str">
            <v>Quantum Liquid Fund - Regular Plan Monthly Dividend Option</v>
          </cell>
        </row>
        <row r="8370">
          <cell r="F8370" t="str">
            <v>Quantum Long Term Equity Value Fund - Direct Plan Dividend Option</v>
          </cell>
        </row>
        <row r="8371">
          <cell r="F8371" t="str">
            <v>Quantum Long Term Equity Value Fund - Direct Plan Growth Option</v>
          </cell>
        </row>
        <row r="8372">
          <cell r="F8372" t="str">
            <v>Quantum Long Term Equity Value Fund - Regular Plan Dividend Option</v>
          </cell>
        </row>
        <row r="8373">
          <cell r="F8373" t="str">
            <v>Quantum Long Term Equity Value Fund - Regular Plan Growth Option</v>
          </cell>
        </row>
        <row r="8374">
          <cell r="F8374" t="str">
            <v>Quantum Multi Asset Fund - Direct Plan Growth Option</v>
          </cell>
        </row>
        <row r="8375">
          <cell r="F8375" t="str">
            <v>Quantum Multi Asset Fund - Regular Plan Growth Option</v>
          </cell>
        </row>
        <row r="8376">
          <cell r="F8376" t="str">
            <v>Quantum Nifty ETF</v>
          </cell>
        </row>
        <row r="8377">
          <cell r="F8377" t="str">
            <v>Quantum Tax Saving Fund - Direct Plan Dividend Option</v>
          </cell>
        </row>
        <row r="8378">
          <cell r="F8378" t="str">
            <v>Quantum Tax Saving Fund - Direct Plan Growth Option</v>
          </cell>
        </row>
        <row r="8379">
          <cell r="F8379" t="str">
            <v>Quantum Tax Saving Fund - Regular Plan Dividend Option</v>
          </cell>
        </row>
        <row r="8380">
          <cell r="F8380" t="str">
            <v>Quantum Tax Saving Fund - Regular Plan Growth Option</v>
          </cell>
        </row>
        <row r="8381">
          <cell r="F8381" t="str">
            <v>QUESS</v>
          </cell>
        </row>
        <row r="8382">
          <cell r="F8382" t="str">
            <v>QUICKHEAL</v>
          </cell>
        </row>
        <row r="8383">
          <cell r="F8383" t="str">
            <v>QUINTEGRA SO</v>
          </cell>
        </row>
        <row r="8384">
          <cell r="F8384" t="str">
            <v>R R FINANCE.</v>
          </cell>
        </row>
        <row r="8385">
          <cell r="F8385" t="str">
            <v>R.S.SOFTWARE</v>
          </cell>
        </row>
        <row r="8386">
          <cell r="F8386" t="str">
            <v>RACLGEAR</v>
          </cell>
        </row>
        <row r="8387">
          <cell r="F8387" t="str">
            <v>RADAAN</v>
          </cell>
        </row>
        <row r="8388">
          <cell r="F8388" t="str">
            <v>RADHA MADHAV</v>
          </cell>
        </row>
        <row r="8389">
          <cell r="F8389" t="str">
            <v>RADHE DEVLOP</v>
          </cell>
        </row>
        <row r="8390">
          <cell r="F8390" t="str">
            <v>RADHEY</v>
          </cell>
        </row>
        <row r="8391">
          <cell r="F8391" t="str">
            <v>RADICOKHAIT</v>
          </cell>
        </row>
        <row r="8392">
          <cell r="F8392" t="str">
            <v>RADIOCITY</v>
          </cell>
        </row>
        <row r="8393">
          <cell r="F8393" t="str">
            <v>RAFL</v>
          </cell>
        </row>
        <row r="8394">
          <cell r="F8394" t="str">
            <v>RAGHUNATH TO</v>
          </cell>
        </row>
        <row r="8395">
          <cell r="F8395" t="str">
            <v>RAIN</v>
          </cell>
        </row>
        <row r="8396">
          <cell r="F8396" t="str">
            <v>RAINBOW FOUN</v>
          </cell>
        </row>
        <row r="8397">
          <cell r="F8397" t="str">
            <v>RAINBOW PAP.</v>
          </cell>
        </row>
        <row r="8398">
          <cell r="F8398" t="str">
            <v>RAJ GLO WIR</v>
          </cell>
        </row>
        <row r="8399">
          <cell r="F8399" t="str">
            <v>RAJ PACKAGIN</v>
          </cell>
        </row>
        <row r="8400">
          <cell r="F8400" t="str">
            <v>RAJA BAHADUR</v>
          </cell>
        </row>
        <row r="8401">
          <cell r="F8401" t="str">
            <v>RAJAPAMILLS</v>
          </cell>
        </row>
        <row r="8402">
          <cell r="F8402" t="str">
            <v>RAJDARSHAN</v>
          </cell>
        </row>
        <row r="8403">
          <cell r="F8403" t="str">
            <v>RAJESH EXPO.</v>
          </cell>
        </row>
        <row r="8404">
          <cell r="F8404" t="str">
            <v>RAJKAMAL SYN</v>
          </cell>
        </row>
        <row r="8405">
          <cell r="F8405" t="str">
            <v>RAJKUMAR FRG</v>
          </cell>
        </row>
        <row r="8406">
          <cell r="F8406" t="str">
            <v>RAJOIL</v>
          </cell>
        </row>
        <row r="8407">
          <cell r="F8407" t="str">
            <v>RAJOO ENGIN.</v>
          </cell>
        </row>
        <row r="8408">
          <cell r="F8408" t="str">
            <v>RAJRAYON</v>
          </cell>
        </row>
        <row r="8409">
          <cell r="F8409" t="str">
            <v>RAJSH.SUGAR</v>
          </cell>
        </row>
        <row r="8410">
          <cell r="F8410" t="str">
            <v>RAJTV</v>
          </cell>
        </row>
        <row r="8411">
          <cell r="F8411" t="str">
            <v>RAJVIR IND</v>
          </cell>
        </row>
        <row r="8412">
          <cell r="F8412" t="str">
            <v>RALLIS</v>
          </cell>
        </row>
        <row r="8413">
          <cell r="F8413" t="str">
            <v>RAM RAT.WIRE</v>
          </cell>
        </row>
        <row r="8414">
          <cell r="F8414" t="str">
            <v>RAMA PAPER</v>
          </cell>
        </row>
        <row r="8415">
          <cell r="F8415" t="str">
            <v>RAMA PHOSPH</v>
          </cell>
        </row>
        <row r="8416">
          <cell r="F8416" t="str">
            <v>RAMA PULP</v>
          </cell>
        </row>
        <row r="8417">
          <cell r="F8417" t="str">
            <v>RAMA VISION</v>
          </cell>
        </row>
        <row r="8418">
          <cell r="F8418" t="str">
            <v>RAMANEWS</v>
          </cell>
        </row>
        <row r="8419">
          <cell r="F8419" t="str">
            <v>RAMASIGNS</v>
          </cell>
        </row>
        <row r="8420">
          <cell r="F8420" t="str">
            <v>RAMASTEEL</v>
          </cell>
        </row>
        <row r="8421">
          <cell r="F8421" t="str">
            <v>RAMCOCEM</v>
          </cell>
        </row>
        <row r="8422">
          <cell r="F8422" t="str">
            <v>RAMCOIND</v>
          </cell>
        </row>
        <row r="8423">
          <cell r="F8423" t="str">
            <v>RAMCOSYS</v>
          </cell>
        </row>
        <row r="8424">
          <cell r="F8424" t="str">
            <v>RAMGOPOLY</v>
          </cell>
        </row>
        <row r="8425">
          <cell r="F8425" t="str">
            <v>RAMINFO</v>
          </cell>
        </row>
        <row r="8426">
          <cell r="F8426" t="str">
            <v>RAMKY INFRA</v>
          </cell>
        </row>
        <row r="8427">
          <cell r="F8427" t="str">
            <v>RAMSARUP</v>
          </cell>
        </row>
        <row r="8428">
          <cell r="F8428" t="str">
            <v>RANASUG</v>
          </cell>
        </row>
        <row r="8429">
          <cell r="F8429" t="str">
            <v>RANE ENGVL</v>
          </cell>
        </row>
        <row r="8430">
          <cell r="F8430" t="str">
            <v>RANE HOLDIN</v>
          </cell>
        </row>
        <row r="8431">
          <cell r="F8431" t="str">
            <v>RAP MEDIA</v>
          </cell>
        </row>
        <row r="8432">
          <cell r="F8432" t="str">
            <v>RAPICUT CARB</v>
          </cell>
        </row>
        <row r="8433">
          <cell r="F8433" t="str">
            <v>RASANDIK ENG</v>
          </cell>
        </row>
        <row r="8434">
          <cell r="F8434" t="str">
            <v>RASHTR.CHEM.</v>
          </cell>
        </row>
        <row r="8435">
          <cell r="F8435" t="str">
            <v>RASI ELECTRO</v>
          </cell>
        </row>
        <row r="8436">
          <cell r="F8436" t="str">
            <v>RATHI BARS</v>
          </cell>
        </row>
        <row r="8437">
          <cell r="F8437" t="str">
            <v>RATHI GRAPH.</v>
          </cell>
        </row>
        <row r="8438">
          <cell r="F8438" t="str">
            <v>RATHI ST</v>
          </cell>
        </row>
        <row r="8439">
          <cell r="F8439" t="str">
            <v>RATNABHUMI</v>
          </cell>
        </row>
        <row r="8440">
          <cell r="F8440" t="str">
            <v>RATNAMNI MET</v>
          </cell>
        </row>
        <row r="8441">
          <cell r="F8441" t="str">
            <v>RAUNAQEPC</v>
          </cell>
        </row>
        <row r="8442">
          <cell r="F8442" t="str">
            <v>RAYMOND</v>
          </cell>
        </row>
        <row r="8443">
          <cell r="F8443" t="str">
            <v>RBL</v>
          </cell>
        </row>
        <row r="8444">
          <cell r="F8444" t="str">
            <v>RBLBANK</v>
          </cell>
        </row>
        <row r="8445">
          <cell r="F8445" t="str">
            <v>RCCL</v>
          </cell>
        </row>
        <row r="8446">
          <cell r="F8446" t="str">
            <v>RCI IND</v>
          </cell>
        </row>
        <row r="8447">
          <cell r="F8447" t="str">
            <v>RCL RETAIL</v>
          </cell>
        </row>
        <row r="8448">
          <cell r="F8448" t="str">
            <v>RCOM</v>
          </cell>
        </row>
        <row r="8449">
          <cell r="F8449" t="str">
            <v>RDB RASAYAN</v>
          </cell>
        </row>
        <row r="8450">
          <cell r="F8450" t="str">
            <v>RDB REALTY</v>
          </cell>
        </row>
        <row r="8451">
          <cell r="F8451" t="str">
            <v>REAL STRIPS</v>
          </cell>
        </row>
        <row r="8452">
          <cell r="F8452" t="str">
            <v>RECLTD</v>
          </cell>
        </row>
        <row r="8453">
          <cell r="F8453" t="str">
            <v>RECLTD2</v>
          </cell>
        </row>
        <row r="8454">
          <cell r="F8454" t="str">
            <v>RECLTD3</v>
          </cell>
        </row>
        <row r="8455">
          <cell r="F8455" t="str">
            <v>RECLTD4</v>
          </cell>
        </row>
        <row r="8456">
          <cell r="F8456" t="str">
            <v>RECLTD5</v>
          </cell>
        </row>
        <row r="8457">
          <cell r="F8457" t="str">
            <v>REDINGTON</v>
          </cell>
        </row>
        <row r="8458">
          <cell r="F8458" t="str">
            <v>REFEX</v>
          </cell>
        </row>
        <row r="8459">
          <cell r="F8459" t="str">
            <v>REG.CERAMIC</v>
          </cell>
        </row>
        <row r="8460">
          <cell r="F8460" t="str">
            <v>REGENCY</v>
          </cell>
        </row>
        <row r="8461">
          <cell r="F8461" t="str">
            <v>REGENTRP</v>
          </cell>
        </row>
        <row r="8462">
          <cell r="F8462" t="str">
            <v>REL INDL INF</v>
          </cell>
        </row>
        <row r="8463">
          <cell r="F8463" t="str">
            <v>REL INFRA</v>
          </cell>
        </row>
        <row r="8464">
          <cell r="F8464" t="str">
            <v>REL.CAP.</v>
          </cell>
        </row>
        <row r="8465">
          <cell r="F8465" t="str">
            <v>REL.CHEMOTX</v>
          </cell>
        </row>
        <row r="8466">
          <cell r="F8466" t="str">
            <v>RELAXO</v>
          </cell>
        </row>
        <row r="8467">
          <cell r="F8467" t="str">
            <v>RELCNX100</v>
          </cell>
        </row>
        <row r="8468">
          <cell r="F8468" t="str">
            <v>RELCONS</v>
          </cell>
        </row>
        <row r="8469">
          <cell r="F8469" t="str">
            <v>RELDIVOPP</v>
          </cell>
        </row>
        <row r="8470">
          <cell r="F8470" t="str">
            <v>RELIABLE</v>
          </cell>
        </row>
        <row r="8471">
          <cell r="F8471" t="str">
            <v>RELIANCE</v>
          </cell>
        </row>
        <row r="8472">
          <cell r="F8472" t="str">
            <v>Reliance Annual Interval Fund - Series I - Direct Plan Growth Plan - Growth</v>
          </cell>
        </row>
        <row r="8473">
          <cell r="F8473" t="str">
            <v>Reliance Arbitrage Fund - Direct Plan Dividend Plan</v>
          </cell>
        </row>
        <row r="8474">
          <cell r="F8474" t="str">
            <v>Reliance Arbitrage Fund - Direct Plan Growth Plan - Growth Option</v>
          </cell>
        </row>
        <row r="8475">
          <cell r="F8475" t="str">
            <v>Reliance Arbitrage Fund - Dividend Plan</v>
          </cell>
        </row>
        <row r="8476">
          <cell r="F8476" t="str">
            <v>Reliance Arbitrage Fund - Growth Plan - Growth Option</v>
          </cell>
        </row>
        <row r="8477">
          <cell r="F8477" t="str">
            <v>Reliance Arbitrage Fund- Direct Plan- Monthly dividend Plan</v>
          </cell>
        </row>
        <row r="8478">
          <cell r="F8478" t="str">
            <v>Reliance Arbitrage Fund-Monthly dividend Plan</v>
          </cell>
        </row>
        <row r="8479">
          <cell r="F8479" t="str">
            <v>Reliance Balanced Advantage Fund - Direct Plan Dividend Plan</v>
          </cell>
        </row>
        <row r="8480">
          <cell r="F8480" t="str">
            <v>Reliance Balanced Advantage Fund - Direct Plan Growth Plan - Growth Option</v>
          </cell>
        </row>
        <row r="8481">
          <cell r="F8481" t="str">
            <v>Reliance Balanced Advantage Fund-Dividend Plan</v>
          </cell>
        </row>
        <row r="8482">
          <cell r="F8482" t="str">
            <v>Reliance Balanced Advantage Fund-Growth Plan-Bonus Option</v>
          </cell>
        </row>
        <row r="8483">
          <cell r="F8483" t="str">
            <v>Reliance Balanced Advantage Fund-Growth Plan-Growth Option</v>
          </cell>
        </row>
        <row r="8484">
          <cell r="F8484" t="str">
            <v>Reliance Banking  &amp; PSU Debt Fund -Quarterly Dividend Plan</v>
          </cell>
        </row>
        <row r="8485">
          <cell r="F8485" t="str">
            <v>Reliance Banking  &amp; PSU Debt Fund- Direct Plan-Dividend Plan</v>
          </cell>
        </row>
        <row r="8486">
          <cell r="F8486" t="str">
            <v>Reliance Banking  &amp; PSU Debt Fund- Direct Plan-Growth Plan- Bonus Option</v>
          </cell>
        </row>
        <row r="8487">
          <cell r="F8487" t="str">
            <v>Reliance Banking  &amp; PSU Debt Fund- Direct Plan-Growth Plan- Growth Option</v>
          </cell>
        </row>
        <row r="8488">
          <cell r="F8488" t="str">
            <v>Reliance Banking  &amp; PSU Debt Fund- Direct Plan-Monthly Dividend Plan</v>
          </cell>
        </row>
        <row r="8489">
          <cell r="F8489" t="str">
            <v>Reliance Banking  &amp; PSU Debt Fund- Direct Plan-Quarterly Dividend Plan</v>
          </cell>
        </row>
        <row r="8490">
          <cell r="F8490" t="str">
            <v>Reliance Banking  &amp; PSU Debt Fund- Direct Plan-Weekly Dividend Plan</v>
          </cell>
        </row>
        <row r="8491">
          <cell r="F8491" t="str">
            <v>Reliance Banking  &amp; PSU Debt Fund- Dividend Plan</v>
          </cell>
        </row>
        <row r="8492">
          <cell r="F8492" t="str">
            <v>Reliance Banking  &amp; PSU Debt Fund- Growth Plan- Bonus Option</v>
          </cell>
        </row>
        <row r="8493">
          <cell r="F8493" t="str">
            <v>Reliance Banking  &amp; PSU Debt Fund- Growth Plan- Growth Option</v>
          </cell>
        </row>
        <row r="8494">
          <cell r="F8494" t="str">
            <v>Reliance Banking  &amp; PSU Debt Fund- Monthly Dividend Plan</v>
          </cell>
        </row>
        <row r="8495">
          <cell r="F8495" t="str">
            <v>Reliance Banking  &amp; PSU Debt Fund- Weekly Dividend Plan</v>
          </cell>
        </row>
        <row r="8496">
          <cell r="F8496" t="str">
            <v>Reliance Banking Fund - Direct Plan Dividend Plan</v>
          </cell>
        </row>
        <row r="8497">
          <cell r="F8497" t="str">
            <v>Reliance Banking Fund - Direct Plan Growth Plan - Bonus Option</v>
          </cell>
        </row>
        <row r="8498">
          <cell r="F8498" t="str">
            <v>Reliance Banking Fund - Direct Plan Growth Plan - Growth Option</v>
          </cell>
        </row>
        <row r="8499">
          <cell r="F8499" t="str">
            <v>Reliance Banking Fund-Dividend Plan-Dividend Option</v>
          </cell>
        </row>
        <row r="8500">
          <cell r="F8500" t="str">
            <v>Reliance Banking Fund-Growth Plan-Bonus Option</v>
          </cell>
        </row>
        <row r="8501">
          <cell r="F8501" t="str">
            <v>Reliance Banking Fund-Growth Plan-Growth Option</v>
          </cell>
        </row>
        <row r="8502">
          <cell r="F8502" t="str">
            <v>Reliance Capital Builder Fund II - Series B - Direct Plan - Dividend Payout Option</v>
          </cell>
        </row>
        <row r="8503">
          <cell r="F8503" t="str">
            <v>Reliance Capital Builder Fund II - Series B - Direct Plan - Growth Option</v>
          </cell>
        </row>
        <row r="8504">
          <cell r="F8504" t="str">
            <v>Reliance Capital Builder Fund II - Series B - Dividend Payout Option</v>
          </cell>
        </row>
        <row r="8505">
          <cell r="F8505" t="str">
            <v>Reliance Capital Builder Fund II - Series B - Growth Option</v>
          </cell>
        </row>
        <row r="8506">
          <cell r="F8506" t="str">
            <v>Reliance Capital Builder Fund II - Series C - Direct Plan - Dividend Payout Option</v>
          </cell>
        </row>
        <row r="8507">
          <cell r="F8507" t="str">
            <v>Reliance Capital Builder Fund II - Series C - Direct Plan - Growth Option</v>
          </cell>
        </row>
        <row r="8508">
          <cell r="F8508" t="str">
            <v>Reliance Capital Builder Fund II - Series C - Dividend Payout Option</v>
          </cell>
        </row>
        <row r="8509">
          <cell r="F8509" t="str">
            <v>Reliance Capital Builder Fund II - Series C - Growth Option</v>
          </cell>
        </row>
        <row r="8510">
          <cell r="F8510" t="str">
            <v>Reliance Capital Builder Fund III - Series A - Direct Plan - Dividend Payout Option</v>
          </cell>
        </row>
        <row r="8511">
          <cell r="F8511" t="str">
            <v>Reliance Capital Builder Fund III - Series A - Direct Plan - Growth Option</v>
          </cell>
        </row>
        <row r="8512">
          <cell r="F8512" t="str">
            <v>Reliance Capital Builder Fund III - Series A - Dividend Payout Option</v>
          </cell>
        </row>
        <row r="8513">
          <cell r="F8513" t="str">
            <v>Reliance Capital Builder Fund III - Series A - Growth Option</v>
          </cell>
        </row>
        <row r="8514">
          <cell r="F8514" t="str">
            <v>Reliance Capital Builder Fund IV - Series B - Direct Plan - Dividend Payout Option</v>
          </cell>
        </row>
        <row r="8515">
          <cell r="F8515" t="str">
            <v>Reliance Capital Builder Fund IV - Series B - Direct Plan - Growth Option</v>
          </cell>
        </row>
        <row r="8516">
          <cell r="F8516" t="str">
            <v>Reliance Capital Builder Fund IV - Series B - Dividend Payout Option</v>
          </cell>
        </row>
        <row r="8517">
          <cell r="F8517" t="str">
            <v>Reliance Capital Builder Fund IV - Series B - Growth Option</v>
          </cell>
        </row>
        <row r="8518">
          <cell r="F8518" t="str">
            <v>Reliance Capital Builder Fund IV- Series A- Direct Plan-Dividend Payout Option</v>
          </cell>
        </row>
        <row r="8519">
          <cell r="F8519" t="str">
            <v>Reliance Capital Builder Fund IV- Series A- Direct Plan-Growth Option</v>
          </cell>
        </row>
        <row r="8520">
          <cell r="F8520" t="str">
            <v>Reliance Capital Builder Fund IV- Series A- Dividend Payout Option</v>
          </cell>
        </row>
        <row r="8521">
          <cell r="F8521" t="str">
            <v>Reliance Capital Builder Fund IV- Series A- Growth Option</v>
          </cell>
        </row>
        <row r="8522">
          <cell r="F8522" t="str">
            <v>Reliance Capital Builder Fund IV- Series C- Direct Plan-Dividend Payout Option</v>
          </cell>
        </row>
        <row r="8523">
          <cell r="F8523" t="str">
            <v>Reliance Capital Builder Fund IV- Series C- Direct Plan-Growth Option</v>
          </cell>
        </row>
        <row r="8524">
          <cell r="F8524" t="str">
            <v>Reliance Capital Builder Fund IV- Series C- Dividend Payout Option</v>
          </cell>
        </row>
        <row r="8525">
          <cell r="F8525" t="str">
            <v>Reliance Capital Builder Fund IV- Series C- Growth Option</v>
          </cell>
        </row>
        <row r="8526">
          <cell r="F8526" t="str">
            <v>Reliance Capital Builder Fund IV- Series D- Direct Plan- Growth Option</v>
          </cell>
        </row>
        <row r="8527">
          <cell r="F8527" t="str">
            <v>Reliance Capital Builder Fund IV- Series D- Direct Plan-Dividend Payout Option</v>
          </cell>
        </row>
        <row r="8528">
          <cell r="F8528" t="str">
            <v>Reliance Capital Builder Fund IV- Series D- Dividend Payout Option</v>
          </cell>
        </row>
        <row r="8529">
          <cell r="F8529" t="str">
            <v>Reliance Capital Builder Fund IV- Series D- Growth Option</v>
          </cell>
        </row>
        <row r="8530">
          <cell r="F8530" t="str">
            <v>Reliance Close Ended Equity Fund - Series A - Direct Plan - Dividend Payout Option</v>
          </cell>
        </row>
        <row r="8531">
          <cell r="F8531" t="str">
            <v>Reliance Close Ended Equity Fund - Series A - Direct Plan - Growth Option</v>
          </cell>
        </row>
        <row r="8532">
          <cell r="F8532" t="str">
            <v>Reliance Close Ended Equity Fund - Series A - Dividend Payout Option</v>
          </cell>
        </row>
        <row r="8533">
          <cell r="F8533" t="str">
            <v>Reliance Close Ended Equity Fund - Series A - Growth Option</v>
          </cell>
        </row>
        <row r="8534">
          <cell r="F8534" t="str">
            <v>Reliance Close Ended Equity Fund - Series B - Direct Plan - Dividend Payout Option</v>
          </cell>
        </row>
        <row r="8535">
          <cell r="F8535" t="str">
            <v>Reliance Close Ended Equity Fund - Series B - Direct Plan - Growth Option</v>
          </cell>
        </row>
        <row r="8536">
          <cell r="F8536" t="str">
            <v>Reliance Close Ended Equity Fund - Series B - Dividend Payout Option</v>
          </cell>
        </row>
        <row r="8537">
          <cell r="F8537" t="str">
            <v>Reliance Close Ended Equity Fund - Series B - Growth Option</v>
          </cell>
        </row>
        <row r="8538">
          <cell r="F8538" t="str">
            <v>Reliance Close Ended Equity Fund II- Series A- Direct Plan- Dividend Payout Option</v>
          </cell>
        </row>
        <row r="8539">
          <cell r="F8539" t="str">
            <v>Reliance Close Ended Equity Fund II- Series A- Direct Plan- Growth Option</v>
          </cell>
        </row>
        <row r="8540">
          <cell r="F8540" t="str">
            <v>Reliance Close Ended Equity Fund II- Series A- Dividend Payout Option</v>
          </cell>
        </row>
        <row r="8541">
          <cell r="F8541" t="str">
            <v>Reliance Close Ended Equity Fund II- Series A- Growth Option</v>
          </cell>
        </row>
        <row r="8542">
          <cell r="F8542" t="str">
            <v>Reliance Consumption Fund - Direct Plan Dividend Plan</v>
          </cell>
        </row>
        <row r="8543">
          <cell r="F8543" t="str">
            <v>Reliance Consumption Fund - Direct Plan Growth Plan - Bonus</v>
          </cell>
        </row>
        <row r="8544">
          <cell r="F8544" t="str">
            <v>Reliance Consumption Fund - Direct Plan Growth Plan - Growth Option</v>
          </cell>
        </row>
        <row r="8545">
          <cell r="F8545" t="str">
            <v>Reliance Consumption Fund-Dividend Plan</v>
          </cell>
        </row>
        <row r="8546">
          <cell r="F8546" t="str">
            <v>Reliance Consumption Fund-Growth Plan-Bonus Option</v>
          </cell>
        </row>
        <row r="8547">
          <cell r="F8547" t="str">
            <v>Reliance Consumption Fund-Growth Plan-Growth Option</v>
          </cell>
        </row>
        <row r="8548">
          <cell r="F8548" t="str">
            <v>Reliance Credit Risk Fund  - Growth Plan</v>
          </cell>
        </row>
        <row r="8549">
          <cell r="F8549" t="str">
            <v>Reliance Credit Risk Fund  - Institutional Growth Plan</v>
          </cell>
        </row>
        <row r="8550">
          <cell r="F8550" t="str">
            <v>Reliance Credit Risk Fund  - Quarterly Dividend Plan</v>
          </cell>
        </row>
        <row r="8551">
          <cell r="F8551" t="str">
            <v>Reliance Credit Risk Fund - Direct Plan - Growth Plan</v>
          </cell>
        </row>
        <row r="8552">
          <cell r="F8552" t="str">
            <v>Reliance Credit Risk Fund - Direct Plan Quarterly Dividend Plan</v>
          </cell>
        </row>
        <row r="8553">
          <cell r="F8553" t="str">
            <v>Reliance Credit Risk Fund- Direct Plan- Dividend Plan</v>
          </cell>
        </row>
        <row r="8554">
          <cell r="F8554" t="str">
            <v>Reliance Credit Risk Fund- Dividend Plan</v>
          </cell>
        </row>
        <row r="8555">
          <cell r="F8555" t="str">
            <v>Reliance Dual Advantage Fixed Tenure Fund - X - Plan C - Direct Plan - Dividend Payout Option</v>
          </cell>
        </row>
        <row r="8556">
          <cell r="F8556" t="str">
            <v>Reliance Dual Advantage Fixed Tenure Fund - X - Plan C - Direct Plan - Growth Option</v>
          </cell>
        </row>
        <row r="8557">
          <cell r="F8557" t="str">
            <v>Reliance Dual Advantage Fixed Tenure Fund - X - Plan C - Dividend Payout Option</v>
          </cell>
        </row>
        <row r="8558">
          <cell r="F8558" t="str">
            <v>Reliance Dual Advantage Fixed Tenure Fund - X - Plan C - Growth Option</v>
          </cell>
        </row>
        <row r="8559">
          <cell r="F8559" t="str">
            <v>Reliance Dual Advantage Fixed Tenure Fund III - Plan C - Direct Plan - Dividend Option</v>
          </cell>
        </row>
        <row r="8560">
          <cell r="F8560" t="str">
            <v>Reliance Dual Advantage Fixed Tenure Fund III - Plan C - Dividend Option</v>
          </cell>
        </row>
        <row r="8561">
          <cell r="F8561" t="str">
            <v>Reliance Dual Advantage Fixed Tenure Fund III - Plan C - Growth Option</v>
          </cell>
        </row>
        <row r="8562">
          <cell r="F8562" t="str">
            <v>Reliance Dual Advantage Fixed Tenure Fund III -Plan C- Direct Plan - Growth Option</v>
          </cell>
        </row>
        <row r="8563">
          <cell r="F8563" t="str">
            <v>Reliance Dual Advantage Fixed Tenure Fund IV - Plan A - Direct Plan -Growth Option</v>
          </cell>
        </row>
        <row r="8564">
          <cell r="F8564" t="str">
            <v>Reliance Dual Advantage Fixed Tenure Fund IV - Plan A - Growth Option</v>
          </cell>
        </row>
        <row r="8565">
          <cell r="F8565" t="str">
            <v>Reliance Dual Advantage Fixed Tenure Fund IX- Plan A- Direct Plan-Dividend Payout Option</v>
          </cell>
        </row>
        <row r="8566">
          <cell r="F8566" t="str">
            <v>Reliance Dual Advantage Fixed Tenure Fund IX- Plan A- Direct Plan-Growth Option</v>
          </cell>
        </row>
        <row r="8567">
          <cell r="F8567" t="str">
            <v>Reliance Dual Advantage Fixed Tenure Fund IX- Plan A- Dividend Payout Option</v>
          </cell>
        </row>
        <row r="8568">
          <cell r="F8568" t="str">
            <v>Reliance Dual Advantage Fixed Tenure Fund IX- Plan A- Growth Option</v>
          </cell>
        </row>
        <row r="8569">
          <cell r="F8569" t="str">
            <v>Reliance Dual Advantage Fixed Tenure Fund IX- Plan B- Direct Plan-Dividend Payout Option</v>
          </cell>
        </row>
        <row r="8570">
          <cell r="F8570" t="str">
            <v>Reliance Dual Advantage Fixed Tenure Fund IX- Plan B- Direct Plan-Growth Option</v>
          </cell>
        </row>
        <row r="8571">
          <cell r="F8571" t="str">
            <v>Reliance Dual Advantage Fixed Tenure Fund IX- Plan B- Dividend Payout Option</v>
          </cell>
        </row>
        <row r="8572">
          <cell r="F8572" t="str">
            <v>Reliance Dual Advantage Fixed Tenure Fund IX- Plan B- Growth Option</v>
          </cell>
        </row>
        <row r="8573">
          <cell r="F8573" t="str">
            <v>Reliance Dual Advantage Fixed Tenure Fund IX- Plan C- Direct Plan-Dividend Payout Option</v>
          </cell>
        </row>
        <row r="8574">
          <cell r="F8574" t="str">
            <v>Reliance Dual Advantage Fixed Tenure Fund IX- Plan C- Direct Plan-Growth Option</v>
          </cell>
        </row>
        <row r="8575">
          <cell r="F8575" t="str">
            <v>Reliance Dual Advantage Fixed Tenure Fund IX- Plan C- Dividend Payout Option</v>
          </cell>
        </row>
        <row r="8576">
          <cell r="F8576" t="str">
            <v>Reliance Dual Advantage Fixed Tenure Fund IX- Plan C- Growth Option</v>
          </cell>
        </row>
        <row r="8577">
          <cell r="F8577" t="str">
            <v>Reliance Dual Advantage Fixed Tenure Fund IX- Plan D- Direct Plan-Dividend Payout Option</v>
          </cell>
        </row>
        <row r="8578">
          <cell r="F8578" t="str">
            <v>Reliance Dual Advantage Fixed Tenure Fund IX- Plan D- Direct Plan-Growth Option</v>
          </cell>
        </row>
        <row r="8579">
          <cell r="F8579" t="str">
            <v>Reliance Dual Advantage Fixed Tenure Fund IX- Plan D- Dividend Payout Option</v>
          </cell>
        </row>
        <row r="8580">
          <cell r="F8580" t="str">
            <v>Reliance Dual Advantage Fixed Tenure Fund IX- Plan D- Growth Option</v>
          </cell>
        </row>
        <row r="8581">
          <cell r="F8581" t="str">
            <v>Reliance Dual Advantage Fixed Tenure Fund IX- Plan E- Direct Plan-Dividend Payout Option</v>
          </cell>
        </row>
        <row r="8582">
          <cell r="F8582" t="str">
            <v>Reliance Dual Advantage Fixed Tenure Fund IX- Plan E- Direct Plan-Growth Option</v>
          </cell>
        </row>
        <row r="8583">
          <cell r="F8583" t="str">
            <v>Reliance Dual Advantage Fixed Tenure Fund IX- Plan E- Dividend Payout Option</v>
          </cell>
        </row>
        <row r="8584">
          <cell r="F8584" t="str">
            <v>Reliance Dual Advantage Fixed Tenure Fund IX- Plan E- Growth Option</v>
          </cell>
        </row>
        <row r="8585">
          <cell r="F8585" t="str">
            <v>Reliance Dual Advantage Fixed Tenure Fund IX- Plan F-Direct Plan-Dividend Payout Option</v>
          </cell>
        </row>
        <row r="8586">
          <cell r="F8586" t="str">
            <v>Reliance Dual Advantage Fixed Tenure Fund IX- Plan F-Direct Plan-Growth Option</v>
          </cell>
        </row>
        <row r="8587">
          <cell r="F8587" t="str">
            <v>Reliance Dual Advantage Fixed Tenure Fund IX- Plan F-Dividend Payout Option</v>
          </cell>
        </row>
        <row r="8588">
          <cell r="F8588" t="str">
            <v>Reliance Dual Advantage Fixed Tenure Fund IX- Plan F-Growth Option</v>
          </cell>
        </row>
        <row r="8589">
          <cell r="F8589" t="str">
            <v>Reliance Dual Advantage Fixed Tenure Fund VII- Plan C- Direct Plan-Dividend Payout Option</v>
          </cell>
        </row>
        <row r="8590">
          <cell r="F8590" t="str">
            <v>Reliance Dual Advantage Fixed Tenure Fund VII- Plan C- Direct Plan-Growth Option</v>
          </cell>
        </row>
        <row r="8591">
          <cell r="F8591" t="str">
            <v>Reliance Dual Advantage Fixed Tenure Fund VII- Plan C- Dividend Payout Option</v>
          </cell>
        </row>
        <row r="8592">
          <cell r="F8592" t="str">
            <v>Reliance Dual Advantage Fixed Tenure Fund VII- Plan C- Growth Option</v>
          </cell>
        </row>
        <row r="8593">
          <cell r="F8593" t="str">
            <v>Reliance Dual Advantage Fixed Tenure Fund VII- Plan D- Direct Plan- Growth Option</v>
          </cell>
        </row>
        <row r="8594">
          <cell r="F8594" t="str">
            <v>Reliance Dual Advantage Fixed Tenure Fund VII- Plan D- Direct Plan-Dividend Payout Option</v>
          </cell>
        </row>
        <row r="8595">
          <cell r="F8595" t="str">
            <v>Reliance Dual Advantage Fixed Tenure Fund VII- Plan D- Dividend Payout Option</v>
          </cell>
        </row>
        <row r="8596">
          <cell r="F8596" t="str">
            <v>Reliance Dual Advantage Fixed Tenure Fund VII- Plan D- Growth Option</v>
          </cell>
        </row>
        <row r="8597">
          <cell r="F8597" t="str">
            <v>Reliance Dual Advantage Fixed Tenure Fund VII- Plan E- Direct Plan-Dividend Payout Option</v>
          </cell>
        </row>
        <row r="8598">
          <cell r="F8598" t="str">
            <v>Reliance Dual Advantage Fixed Tenure Fund VII- Plan E- Direct Plan-Growth Option</v>
          </cell>
        </row>
        <row r="8599">
          <cell r="F8599" t="str">
            <v>Reliance Dual Advantage Fixed Tenure Fund VII- Plan E- Dividend Payout Option</v>
          </cell>
        </row>
        <row r="8600">
          <cell r="F8600" t="str">
            <v>Reliance Dual Advantage Fixed Tenure Fund VII- Plan E- Growth Option</v>
          </cell>
        </row>
        <row r="8601">
          <cell r="F8601" t="str">
            <v>Reliance Dual Advantage Fixed Tenure Fund VIII- Plan A- Direct Plan- Growth Option</v>
          </cell>
        </row>
        <row r="8602">
          <cell r="F8602" t="str">
            <v>Reliance Dual Advantage Fixed Tenure Fund VIII- Plan A- Direct Plan-Dividend Payout Option</v>
          </cell>
        </row>
        <row r="8603">
          <cell r="F8603" t="str">
            <v>Reliance Dual Advantage Fixed Tenure Fund VIII- Plan A- Dividend Payout Option</v>
          </cell>
        </row>
        <row r="8604">
          <cell r="F8604" t="str">
            <v>Reliance Dual Advantage Fixed Tenure Fund VIII- Plan A- Growth Option</v>
          </cell>
        </row>
        <row r="8605">
          <cell r="F8605" t="str">
            <v>Reliance Dual Advantage Fixed Tenure Fund VIII- Plan B-Direct Plan-Dividend Payout Option</v>
          </cell>
        </row>
        <row r="8606">
          <cell r="F8606" t="str">
            <v>Reliance Dual Advantage Fixed Tenure Fund VIII- Plan B-Direct Plan-Growth Option</v>
          </cell>
        </row>
        <row r="8607">
          <cell r="F8607" t="str">
            <v>Reliance Dual Advantage Fixed Tenure Fund VIII- Plan B-Dividend Payout Option</v>
          </cell>
        </row>
        <row r="8608">
          <cell r="F8608" t="str">
            <v>Reliance Dual Advantage Fixed Tenure Fund VIII- Plan B-Growth Option</v>
          </cell>
        </row>
        <row r="8609">
          <cell r="F8609" t="str">
            <v>Reliance Dual Advantage Fixed Tenure Fund VIII- Plan C- Direct Plan-Dividend Payout Option</v>
          </cell>
        </row>
        <row r="8610">
          <cell r="F8610" t="str">
            <v>Reliance Dual Advantage Fixed Tenure Fund VIII- Plan C- Direct Plan-Growth Option</v>
          </cell>
        </row>
        <row r="8611">
          <cell r="F8611" t="str">
            <v>Reliance Dual Advantage Fixed Tenure Fund VIII- Plan C- Dividend Payout Option</v>
          </cell>
        </row>
        <row r="8612">
          <cell r="F8612" t="str">
            <v>Reliance Dual Advantage Fixed Tenure Fund VIII- Plan C- Growth Option</v>
          </cell>
        </row>
        <row r="8613">
          <cell r="F8613" t="str">
            <v>Reliance Dual Advantage Fixed Tenure Fund X- Plan A- Direct Plan- Growth Option</v>
          </cell>
        </row>
        <row r="8614">
          <cell r="F8614" t="str">
            <v>Reliance Dual Advantage Fixed Tenure Fund X- Plan A- Direct Plan-Dividend Payout Option</v>
          </cell>
        </row>
        <row r="8615">
          <cell r="F8615" t="str">
            <v>Reliance Dual Advantage Fixed Tenure Fund X- Plan A- Dividend Payout Option</v>
          </cell>
        </row>
        <row r="8616">
          <cell r="F8616" t="str">
            <v>Reliance Dual Advantage Fixed Tenure Fund X- Plan A- Growth Option</v>
          </cell>
        </row>
        <row r="8617">
          <cell r="F8617" t="str">
            <v>Reliance Dual Advantage Fixed Tenure Fund X- Plan B- Direct Plan- Dividend Payout Option</v>
          </cell>
        </row>
        <row r="8618">
          <cell r="F8618" t="str">
            <v>Reliance Dual Advantage Fixed Tenure Fund X- Plan B- Direct Plan-Growth Option</v>
          </cell>
        </row>
        <row r="8619">
          <cell r="F8619" t="str">
            <v>Reliance Dual Advantage Fixed Tenure Fund X- Plan B- Dividend Payout Option</v>
          </cell>
        </row>
        <row r="8620">
          <cell r="F8620" t="str">
            <v>Reliance Dual Advantage Fixed Tenure Fund X- Plan B- Growth Option</v>
          </cell>
        </row>
        <row r="8621">
          <cell r="F8621" t="str">
            <v>Reliance Dual Advantage Fixed Tenure Fund X- Plan D- Direct Plan-Dividend Payout Option</v>
          </cell>
        </row>
        <row r="8622">
          <cell r="F8622" t="str">
            <v>Reliance Dual Advantage Fixed Tenure Fund X- Plan D- Direct Plan-Growth Option</v>
          </cell>
        </row>
        <row r="8623">
          <cell r="F8623" t="str">
            <v>Reliance Dual Advantage Fixed Tenure Fund X- Plan D- Dividend Payout Option</v>
          </cell>
        </row>
        <row r="8624">
          <cell r="F8624" t="str">
            <v>Reliance Dual Advantage Fixed Tenure Fund X- Plan D- Growth Option</v>
          </cell>
        </row>
        <row r="8625">
          <cell r="F8625" t="str">
            <v>Reliance Dual Advantage Fixed Tenure Fund X- Plan E- Direct Plan - Growth Option</v>
          </cell>
        </row>
        <row r="8626">
          <cell r="F8626" t="str">
            <v>Reliance Dual Advantage Fixed Tenure Fund X- Plan E- Direct Plan- Dividend Payout Option</v>
          </cell>
        </row>
        <row r="8627">
          <cell r="F8627" t="str">
            <v>Reliance Dual Advantage Fixed Tenure Fund X- Plan E- Dividend Payout Option</v>
          </cell>
        </row>
        <row r="8628">
          <cell r="F8628" t="str">
            <v>Reliance Dual Advantage Fixed Tenure Fund X- Plan E- Growth Option</v>
          </cell>
        </row>
        <row r="8629">
          <cell r="F8629" t="str">
            <v>Reliance Dual Advantage Fixed Tenure Fund X- Plan F- Direct Plan-Dividend Payout Option</v>
          </cell>
        </row>
        <row r="8630">
          <cell r="F8630" t="str">
            <v>Reliance Dual Advantage Fixed Tenure Fund X- Plan F- Direct Plan-Growth Option</v>
          </cell>
        </row>
        <row r="8631">
          <cell r="F8631" t="str">
            <v>Reliance Dual Advantage Fixed Tenure Fund X- Plan F- Dividend Payout Option</v>
          </cell>
        </row>
        <row r="8632">
          <cell r="F8632" t="str">
            <v>Reliance Dual Advantage Fixed Tenure Fund X- Plan F- Growth Option</v>
          </cell>
        </row>
        <row r="8633">
          <cell r="F8633" t="str">
            <v>Reliance Dual Advantage Fixed Tenure Fund XI- Plan A- Direct Plan - Dividend Payout Option</v>
          </cell>
        </row>
        <row r="8634">
          <cell r="F8634" t="str">
            <v>Reliance Dual Advantage Fixed Tenure Fund XI- Plan A- Direct Plan- Growth Option</v>
          </cell>
        </row>
        <row r="8635">
          <cell r="F8635" t="str">
            <v>Reliance Dual Advantage Fixed Tenure Fund XI- Plan A- Dividend Payout Option</v>
          </cell>
        </row>
        <row r="8636">
          <cell r="F8636" t="str">
            <v>Reliance Dual Advantage Fixed Tenure Fund XI- Plan A- Growth Option</v>
          </cell>
        </row>
        <row r="8637">
          <cell r="F8637" t="str">
            <v>Reliance Dual Advantage Fixed Tenure Fund XI- Plan B- Direct Plan - Dividend Payout Option</v>
          </cell>
        </row>
        <row r="8638">
          <cell r="F8638" t="str">
            <v>Reliance Dual Advantage Fixed Tenure Fund XI- Plan B- Direct Plan- Growth Option</v>
          </cell>
        </row>
        <row r="8639">
          <cell r="F8639" t="str">
            <v>Reliance Dual Advantage Fixed Tenure Fund XI- Plan B- Dividend Payout Option</v>
          </cell>
        </row>
        <row r="8640">
          <cell r="F8640" t="str">
            <v>Reliance Dual Advantage Fixed Tenure Fund XI- Plan B- Growth Option</v>
          </cell>
        </row>
        <row r="8641">
          <cell r="F8641" t="str">
            <v>Reliance Dual Advantage Fixed Tenure Fund XI- Plan C- Direct Plan- Growth Option</v>
          </cell>
        </row>
        <row r="8642">
          <cell r="F8642" t="str">
            <v>Reliance Dual Advantage Fixed Tenure Fund XI- Plan C- Direct Plan-Dividend Payout Option</v>
          </cell>
        </row>
        <row r="8643">
          <cell r="F8643" t="str">
            <v>Reliance Dual Advantage Fixed Tenure Fund XI- Plan C- Dividend Payout Option</v>
          </cell>
        </row>
        <row r="8644">
          <cell r="F8644" t="str">
            <v>Reliance Dual Advantage Fixed Tenure Fund XI- Plan C- Growth Option</v>
          </cell>
        </row>
        <row r="8645">
          <cell r="F8645" t="str">
            <v>Reliance Dual Advantage Fixed Tenure Fund XI- Plan D- Direct Plan- Growth Option</v>
          </cell>
        </row>
        <row r="8646">
          <cell r="F8646" t="str">
            <v>Reliance Dual Advantage Fixed Tenure Fund XI- Plan D- Direct Plan-Dividend Payout Option</v>
          </cell>
        </row>
        <row r="8647">
          <cell r="F8647" t="str">
            <v>Reliance Dual Advantage Fixed Tenure Fund XI- Plan D- Dividend Payout Option</v>
          </cell>
        </row>
        <row r="8648">
          <cell r="F8648" t="str">
            <v>Reliance Dual Advantage Fixed Tenure Fund XI- Plan D- Growth Option</v>
          </cell>
        </row>
        <row r="8649">
          <cell r="F8649" t="str">
            <v>Reliance Dual Advantage Fixed Tenure Fund XI- Plan E- Direct Plan- Growth Option</v>
          </cell>
        </row>
        <row r="8650">
          <cell r="F8650" t="str">
            <v>Reliance Dual Advantage Fixed Tenure Fund XI- Plan E- Direct Plan-Dividend Payout Option</v>
          </cell>
        </row>
        <row r="8651">
          <cell r="F8651" t="str">
            <v>Reliance Dual Advantage Fixed Tenure Fund XI- Plan E- Dividend Payout Option</v>
          </cell>
        </row>
        <row r="8652">
          <cell r="F8652" t="str">
            <v>Reliance Dual Advantage Fixed Tenure Fund XI- Plan E- Growth Option</v>
          </cell>
        </row>
        <row r="8653">
          <cell r="F8653" t="str">
            <v>Reliance Dual Advantage Fixed Tenure Fund XII- Plan A- Direct Plan- Dividend Payout Option</v>
          </cell>
        </row>
        <row r="8654">
          <cell r="F8654" t="str">
            <v>Reliance Dual Advantage Fixed Tenure Fund XII- Plan A- Direct Plan-Growth Option</v>
          </cell>
        </row>
        <row r="8655">
          <cell r="F8655" t="str">
            <v>Reliance Dual Advantage Fixed Tenure Fund XII- Plan A- Dividend Payout Option</v>
          </cell>
        </row>
        <row r="8656">
          <cell r="F8656" t="str">
            <v>Reliance Dual Advantage Fixed Tenure Fund XII- Plan A- Growth Option</v>
          </cell>
        </row>
        <row r="8657">
          <cell r="F8657" t="str">
            <v>Reliance Dynamic Bond Fund - Direct Plan Dividend Plan</v>
          </cell>
        </row>
        <row r="8658">
          <cell r="F8658" t="str">
            <v>Reliance Dynamic Bond Fund - Direct Plan Growth Plan - Growth Option</v>
          </cell>
        </row>
        <row r="8659">
          <cell r="F8659" t="str">
            <v>Reliance Dynamic Bond Fund - Direct Plan Quarterly Dividend Plan</v>
          </cell>
        </row>
        <row r="8660">
          <cell r="F8660" t="str">
            <v>Reliance Dynamic Bond Fund-Dividend Plan</v>
          </cell>
        </row>
        <row r="8661">
          <cell r="F8661" t="str">
            <v>Reliance Dynamic Bond Fund-Growth Plan-Growth Option</v>
          </cell>
        </row>
        <row r="8662">
          <cell r="F8662" t="str">
            <v>Reliance Dynamic Bond Fund-Quarterly Dividend Plan</v>
          </cell>
        </row>
        <row r="8663">
          <cell r="F8663" t="str">
            <v>Reliance Equity Hybrid Fund  - Direct Plan Growth Plan</v>
          </cell>
        </row>
        <row r="8664">
          <cell r="F8664" t="str">
            <v>Reliance Equity Hybrid Fund - Direct Plan - Quarterly Dividend Plan</v>
          </cell>
        </row>
        <row r="8665">
          <cell r="F8665" t="str">
            <v>Reliance Equity Hybrid Fund - Direct Plan Dividend Plan</v>
          </cell>
        </row>
        <row r="8666">
          <cell r="F8666" t="str">
            <v>Reliance Equity Hybrid Fund - Direct Plan-Monthly Dividend Plan</v>
          </cell>
        </row>
        <row r="8667">
          <cell r="F8667" t="str">
            <v>Reliance Equity Hybrid Fund - Dividend Plan</v>
          </cell>
        </row>
        <row r="8668">
          <cell r="F8668" t="str">
            <v>Reliance Equity Hybrid Fund - Growth Plan</v>
          </cell>
        </row>
        <row r="8669">
          <cell r="F8669" t="str">
            <v>Reliance Equity Hybrid Fund - Monthly Dividend Plan</v>
          </cell>
        </row>
        <row r="8670">
          <cell r="F8670" t="str">
            <v>Reliance Equity Hybrid Fund - Quarterly Dividend Plan</v>
          </cell>
        </row>
        <row r="8671">
          <cell r="F8671" t="str">
            <v>Reliance Equity Linked Saving Fund - Series I - Dividend Plan</v>
          </cell>
        </row>
        <row r="8672">
          <cell r="F8672" t="str">
            <v>Reliance Equity Linked Saving Fund - Series I - Growth Plan</v>
          </cell>
        </row>
        <row r="8673">
          <cell r="F8673" t="str">
            <v>Reliance Equity Savings Fund- Direct Plan- Growth Plan- Bonus Option</v>
          </cell>
        </row>
        <row r="8674">
          <cell r="F8674" t="str">
            <v>Reliance Equity Savings Fund- Direct Plan- Growth Plan-Growth Option</v>
          </cell>
        </row>
        <row r="8675">
          <cell r="F8675" t="str">
            <v>Reliance Equity Savings Fund- Direct Plan- Quarterly Dividend Plan</v>
          </cell>
        </row>
        <row r="8676">
          <cell r="F8676" t="str">
            <v>Reliance Equity Savings Fund- Direct Plan-Dividend Plan</v>
          </cell>
        </row>
        <row r="8677">
          <cell r="F8677" t="str">
            <v>Reliance Equity Savings Fund- Direct Plan-Monthly Dividend Plan</v>
          </cell>
        </row>
        <row r="8678">
          <cell r="F8678" t="str">
            <v>Reliance Equity Savings Fund- Dividend Plan</v>
          </cell>
        </row>
        <row r="8679">
          <cell r="F8679" t="str">
            <v>Reliance Equity Savings Fund- Growth Plan- Bonus Option</v>
          </cell>
        </row>
        <row r="8680">
          <cell r="F8680" t="str">
            <v>Reliance Equity Savings Fund- Growth Plan- Growth Option</v>
          </cell>
        </row>
        <row r="8681">
          <cell r="F8681" t="str">
            <v>Reliance Equity Savings Fund- Monthly Dividend Plan</v>
          </cell>
        </row>
        <row r="8682">
          <cell r="F8682" t="str">
            <v>Reliance Equity Savings Fund- Quarterly Dividend Plan</v>
          </cell>
        </row>
        <row r="8683">
          <cell r="F8683" t="str">
            <v>Reliance ETF Bank BeES</v>
          </cell>
        </row>
        <row r="8684">
          <cell r="F8684" t="str">
            <v>Reliance ETF Consumption</v>
          </cell>
        </row>
        <row r="8685">
          <cell r="F8685" t="str">
            <v>Reliance ETF Dividend Opportunities</v>
          </cell>
        </row>
        <row r="8686">
          <cell r="F8686" t="str">
            <v>Reliance ETF Gold BeES</v>
          </cell>
        </row>
        <row r="8687">
          <cell r="F8687" t="str">
            <v>Reliance ETF Hang Seng BeES</v>
          </cell>
        </row>
        <row r="8688">
          <cell r="F8688" t="str">
            <v>Reliance ETF Infra BeES</v>
          </cell>
        </row>
        <row r="8689">
          <cell r="F8689" t="str">
            <v>Reliance ETF Junior BeES</v>
          </cell>
        </row>
        <row r="8690">
          <cell r="F8690" t="str">
            <v>Reliance ETF Liquid BeES</v>
          </cell>
        </row>
        <row r="8691">
          <cell r="F8691" t="str">
            <v>Reliance ETF Long Term Gilt</v>
          </cell>
        </row>
        <row r="8692">
          <cell r="F8692" t="str">
            <v>Reliance ETF Nifty 100</v>
          </cell>
        </row>
        <row r="8693">
          <cell r="F8693" t="str">
            <v>Reliance ETF Nifty BeES</v>
          </cell>
        </row>
        <row r="8694">
          <cell r="F8694" t="str">
            <v>Reliance ETF NV20 ETF</v>
          </cell>
        </row>
        <row r="8695">
          <cell r="F8695" t="str">
            <v>Reliance ETF PSU Bank BeES</v>
          </cell>
        </row>
        <row r="8696">
          <cell r="F8696" t="str">
            <v>Reliance ETF Sensex</v>
          </cell>
        </row>
        <row r="8697">
          <cell r="F8697" t="str">
            <v>Reliance ETF Shariah BeES</v>
          </cell>
        </row>
        <row r="8698">
          <cell r="F8698" t="str">
            <v>Reliance Fixed Horizon Fund - XXIV - Series 11 - Direct Plan - Growth Option</v>
          </cell>
        </row>
        <row r="8699">
          <cell r="F8699" t="str">
            <v>Reliance Fixed Horizon Fund - XXIV - Series 11 - Growth Option</v>
          </cell>
        </row>
        <row r="8700">
          <cell r="F8700" t="str">
            <v>Reliance Fixed Horizon Fund - XXIV - Series 15-Direct Plan -Growth Option</v>
          </cell>
        </row>
        <row r="8701">
          <cell r="F8701" t="str">
            <v>Reliance Fixed Horizon Fund - XXIV - Series 15-Growth Option</v>
          </cell>
        </row>
        <row r="8702">
          <cell r="F8702" t="str">
            <v>Reliance Fixed Horizon Fund - XXIV - Series 2 - Direct Plan - Dividend Payout Option</v>
          </cell>
        </row>
        <row r="8703">
          <cell r="F8703" t="str">
            <v>Reliance Fixed Horizon Fund - XXIV - Series 2 - Direct Plan - Growth Option</v>
          </cell>
        </row>
        <row r="8704">
          <cell r="F8704" t="str">
            <v>Reliance Fixed Horizon Fund - XXIV - Series 2 - Growth Option</v>
          </cell>
        </row>
        <row r="8705">
          <cell r="F8705" t="str">
            <v>Reliance Fixed Horizon Fund - XXIV - Series 24 - Direct Plan - Dividend Payout Option</v>
          </cell>
        </row>
        <row r="8706">
          <cell r="F8706" t="str">
            <v>Reliance Fixed Horizon Fund - XXIV - Series 24 - Direct Plan - Growth Option</v>
          </cell>
        </row>
        <row r="8707">
          <cell r="F8707" t="str">
            <v>Reliance Fixed Horizon Fund - XXIV - Series 24 - Dividend Payout Option</v>
          </cell>
        </row>
        <row r="8708">
          <cell r="F8708" t="str">
            <v>Reliance Fixed Horizon Fund - XXIV - Series 24 - Growth Option</v>
          </cell>
        </row>
        <row r="8709">
          <cell r="F8709" t="str">
            <v>Reliance Fixed Horizon Fund - XXIV - Series 25 - Direct Plan - Dividend Payout Option</v>
          </cell>
        </row>
        <row r="8710">
          <cell r="F8710" t="str">
            <v>Reliance Fixed Horizon Fund - XXIV - Series 25 - Dividend Payout Option</v>
          </cell>
        </row>
        <row r="8711">
          <cell r="F8711" t="str">
            <v>Reliance Fixed Horizon Fund - XXIV - Series 25 - Growth Option</v>
          </cell>
        </row>
        <row r="8712">
          <cell r="F8712" t="str">
            <v>Reliance Fixed Horizon Fund - XXIV - Series 25- Direct Plan - Growth Option</v>
          </cell>
        </row>
        <row r="8713">
          <cell r="F8713" t="str">
            <v>Reliance Fixed Horizon Fund - XXIV - Series 3-Direct Plan - Growth Option</v>
          </cell>
        </row>
        <row r="8714">
          <cell r="F8714" t="str">
            <v>Reliance Fixed Horizon Fund - XXIV - Series 3-Growth Option</v>
          </cell>
        </row>
        <row r="8715">
          <cell r="F8715" t="str">
            <v>Reliance Fixed Horizon Fund - XXIV - Series 4-Direct Plan - Growth Option</v>
          </cell>
        </row>
        <row r="8716">
          <cell r="F8716" t="str">
            <v>Reliance Fixed Horizon Fund - XXIV - Series 4-Growth Option</v>
          </cell>
        </row>
        <row r="8717">
          <cell r="F8717" t="str">
            <v>Reliance Fixed Horizon Fund - XXV - Series 15 - Direct Plan - Growth Option</v>
          </cell>
        </row>
        <row r="8718">
          <cell r="F8718" t="str">
            <v>Reliance Fixed Horizon Fund - XXV - Series 15 - Dividend Payout Option</v>
          </cell>
        </row>
        <row r="8719">
          <cell r="F8719" t="str">
            <v>Reliance Fixed Horizon Fund - XXV - Series 15 - Growth Option</v>
          </cell>
        </row>
        <row r="8720">
          <cell r="F8720" t="str">
            <v>Reliance Fixed Horizon Fund - XXV - Series 20 - Direct Plan - Dividend Payout Option</v>
          </cell>
        </row>
        <row r="8721">
          <cell r="F8721" t="str">
            <v>Reliance Fixed Horizon Fund - XXV - Series 20 - Direct Plan - Growth Option</v>
          </cell>
        </row>
        <row r="8722">
          <cell r="F8722" t="str">
            <v>Reliance Fixed Horizon Fund - XXV - Series 20 - Dividend Payout Option</v>
          </cell>
        </row>
        <row r="8723">
          <cell r="F8723" t="str">
            <v>Reliance Fixed Horizon Fund - XXV - Series 20 - Growth Option</v>
          </cell>
        </row>
        <row r="8724">
          <cell r="F8724" t="str">
            <v>Reliance Fixed Horizon Fund - XXV - Series 26 - Direct Plan - Growth Option</v>
          </cell>
        </row>
        <row r="8725">
          <cell r="F8725" t="str">
            <v>Reliance Fixed Horizon Fund - XXV - Series 26 - Growth Option</v>
          </cell>
        </row>
        <row r="8726">
          <cell r="F8726" t="str">
            <v>Reliance Fixed Horizon Fund - XXV - Series 27 - Direct Plan - Growth Option</v>
          </cell>
        </row>
        <row r="8727">
          <cell r="F8727" t="str">
            <v>Reliance Fixed Horizon Fund - XXV - Series 27 - Growth Option</v>
          </cell>
        </row>
        <row r="8728">
          <cell r="F8728" t="str">
            <v>Reliance Fixed Horizon Fund - XXV - Series 28 - Direct Plan - Growth Option</v>
          </cell>
        </row>
        <row r="8729">
          <cell r="F8729" t="str">
            <v>Reliance Fixed Horizon Fund - XXV - Series 28 - Dividend Payout Option</v>
          </cell>
        </row>
        <row r="8730">
          <cell r="F8730" t="str">
            <v>Reliance Fixed Horizon Fund - XXV - Series 28 - Growth Option</v>
          </cell>
        </row>
        <row r="8731">
          <cell r="F8731" t="str">
            <v>Reliance Fixed Horizon Fund - XXV - Series 30 - Direct Plan - Dividend Payout Option</v>
          </cell>
        </row>
        <row r="8732">
          <cell r="F8732" t="str">
            <v>Reliance Fixed Horizon Fund - XXV - Series 30 - Direct Plan - Growth Option</v>
          </cell>
        </row>
        <row r="8733">
          <cell r="F8733" t="str">
            <v>Reliance Fixed Horizon Fund - XXV - Series 30 - Dividend Payout Option</v>
          </cell>
        </row>
        <row r="8734">
          <cell r="F8734" t="str">
            <v>Reliance Fixed Horizon Fund - XXV - Series 30 - Growth Option</v>
          </cell>
        </row>
        <row r="8735">
          <cell r="F8735" t="str">
            <v>Reliance Fixed Horizon Fund - XXV - Series 35- Direct Plan - Dividend Payout Option</v>
          </cell>
        </row>
        <row r="8736">
          <cell r="F8736" t="str">
            <v>Reliance Fixed Horizon Fund - XXV - Series 35- Direct Plan - Growth Option</v>
          </cell>
        </row>
        <row r="8737">
          <cell r="F8737" t="str">
            <v>Reliance Fixed Horizon Fund - XXV - Series 35- Dividend Payout Option</v>
          </cell>
        </row>
        <row r="8738">
          <cell r="F8738" t="str">
            <v>Reliance Fixed Horizon Fund - XXV - Series 35- Growth Option</v>
          </cell>
        </row>
        <row r="8739">
          <cell r="F8739" t="str">
            <v>Reliance Fixed Horizon Fund - XXVI - Series 1 - Direct Plan - Dividend Payout Option</v>
          </cell>
        </row>
        <row r="8740">
          <cell r="F8740" t="str">
            <v>Reliance Fixed Horizon Fund - XXVI - Series 1 - Direct Plan - Growth Option</v>
          </cell>
        </row>
        <row r="8741">
          <cell r="F8741" t="str">
            <v>Reliance Fixed Horizon Fund - XXVI - Series 1 - Dividend Payout Option</v>
          </cell>
        </row>
        <row r="8742">
          <cell r="F8742" t="str">
            <v>Reliance Fixed Horizon Fund - XXVI - Series 1 - Growth Option</v>
          </cell>
        </row>
        <row r="8743">
          <cell r="F8743" t="str">
            <v>Reliance Fixed Horizon Fund - XXVI - Series 14- Direct Plan - Growth Option</v>
          </cell>
        </row>
        <row r="8744">
          <cell r="F8744" t="str">
            <v>Reliance Fixed Horizon Fund - XXVI - Series 14- Dividend payout Option</v>
          </cell>
        </row>
        <row r="8745">
          <cell r="F8745" t="str">
            <v>Reliance Fixed Horizon Fund - XXVI - Series 14- Growth Option</v>
          </cell>
        </row>
        <row r="8746">
          <cell r="F8746" t="str">
            <v>Reliance Fixed Horizon Fund - XXVI - Series 2 - Direct Plan - Growth Option</v>
          </cell>
        </row>
        <row r="8747">
          <cell r="F8747" t="str">
            <v>Reliance Fixed Horizon Fund - XXVI - Series 2 - Growth Option</v>
          </cell>
        </row>
        <row r="8748">
          <cell r="F8748" t="str">
            <v>Reliance Fixed Horizon Fund - XXVI - Series 30 - Direct Plan - Dividend Payout Option</v>
          </cell>
        </row>
        <row r="8749">
          <cell r="F8749" t="str">
            <v>Reliance Fixed Horizon Fund - XXVI - Series 30 - Direct Plan - Growth Option</v>
          </cell>
        </row>
        <row r="8750">
          <cell r="F8750" t="str">
            <v>Reliance Fixed Horizon Fund - XXVI - Series 30 - Dividend Payout Option</v>
          </cell>
        </row>
        <row r="8751">
          <cell r="F8751" t="str">
            <v>Reliance Fixed Horizon Fund - XXVI - Series 30 - Growth Option</v>
          </cell>
        </row>
        <row r="8752">
          <cell r="F8752" t="str">
            <v>Reliance Fixed Horizon Fund - XXXII - Series 9 - Direct Plan - Dividend Payout Option</v>
          </cell>
        </row>
        <row r="8753">
          <cell r="F8753" t="str">
            <v>Reliance Fixed Horizon Fund - XXXII - Series 9 - Direct Plan - Growth Option</v>
          </cell>
        </row>
        <row r="8754">
          <cell r="F8754" t="str">
            <v>Reliance Fixed Horizon Fund - XXXII - Series 9 - Dividend Payout Option</v>
          </cell>
        </row>
        <row r="8755">
          <cell r="F8755" t="str">
            <v>Reliance Fixed Horizon Fund - XXXII - Series 9 - Growth Option</v>
          </cell>
        </row>
        <row r="8756">
          <cell r="F8756" t="str">
            <v>Reliance Fixed Horizon Fund XXIX - Series 1- Direct Plan-Dividend Payout Option</v>
          </cell>
        </row>
        <row r="8757">
          <cell r="F8757" t="str">
            <v>Reliance Fixed Horizon Fund XXIX - Series 1- Direct Plan-Growth Option</v>
          </cell>
        </row>
        <row r="8758">
          <cell r="F8758" t="str">
            <v>Reliance Fixed Horizon Fund XXIX - Series 1- Dividend Payout Option</v>
          </cell>
        </row>
        <row r="8759">
          <cell r="F8759" t="str">
            <v>Reliance Fixed Horizon Fund XXIX - Series 1- Growth Option</v>
          </cell>
        </row>
        <row r="8760">
          <cell r="F8760" t="str">
            <v>Reliance Fixed Horizon Fund XXIX - Series 2 - Direct Plan - Dividend Payout Option</v>
          </cell>
        </row>
        <row r="8761">
          <cell r="F8761" t="str">
            <v>Reliance Fixed Horizon Fund XXIX - Series 2 - Direct Plan - Growth Option</v>
          </cell>
        </row>
        <row r="8762">
          <cell r="F8762" t="str">
            <v>Reliance Fixed Horizon Fund XXIX - Series 2 - Regular Plan - Dividend Payout Option</v>
          </cell>
        </row>
        <row r="8763">
          <cell r="F8763" t="str">
            <v>Reliance Fixed Horizon Fund XXIX - Series 2 - Regular Plan - Growth Option</v>
          </cell>
        </row>
        <row r="8764">
          <cell r="F8764" t="str">
            <v>Reliance Fixed Horizon Fund XXIX- Series 10- Direct Plan-Growth Option</v>
          </cell>
        </row>
        <row r="8765">
          <cell r="F8765" t="str">
            <v>Reliance Fixed Horizon Fund XXIX- Series 10- Dividend Payout Option</v>
          </cell>
        </row>
        <row r="8766">
          <cell r="F8766" t="str">
            <v>Reliance Fixed Horizon Fund XXIX- Series 10- Growth Option</v>
          </cell>
        </row>
        <row r="8767">
          <cell r="F8767" t="str">
            <v>Reliance Fixed Horizon Fund XXIX- Series 13- Direct Plan-Dividend Payout Option</v>
          </cell>
        </row>
        <row r="8768">
          <cell r="F8768" t="str">
            <v>Reliance Fixed Horizon Fund XXIX- Series 13- Direct Plan-Growth Option</v>
          </cell>
        </row>
        <row r="8769">
          <cell r="F8769" t="str">
            <v>Reliance Fixed Horizon Fund XXIX- Series 13- Dividend Payout Option</v>
          </cell>
        </row>
        <row r="8770">
          <cell r="F8770" t="str">
            <v>Reliance Fixed Horizon Fund XXIX- Series 13- Growth Option</v>
          </cell>
        </row>
        <row r="8771">
          <cell r="F8771" t="str">
            <v>Reliance Fixed Horizon Fund XXIX- Series 14- Direct Plan-Dividend Payout Option</v>
          </cell>
        </row>
        <row r="8772">
          <cell r="F8772" t="str">
            <v>Reliance Fixed Horizon Fund XXIX- Series 14- Growth Option</v>
          </cell>
        </row>
        <row r="8773">
          <cell r="F8773" t="str">
            <v>Reliance Fixed Horizon Fund XXIX- Series 14-Direct Plan-Growth Option</v>
          </cell>
        </row>
        <row r="8774">
          <cell r="F8774" t="str">
            <v>Reliance Fixed Horizon Fund XXIX- Series 14-Dividend Payout Option</v>
          </cell>
        </row>
        <row r="8775">
          <cell r="F8775" t="str">
            <v>Reliance Fixed Horizon Fund XXIX- Series 16- Direct Plan-Dividend Payout Option</v>
          </cell>
        </row>
        <row r="8776">
          <cell r="F8776" t="str">
            <v>Reliance Fixed Horizon Fund XXIX- Series 16- Direct Plan-Growth Option</v>
          </cell>
        </row>
        <row r="8777">
          <cell r="F8777" t="str">
            <v>Reliance Fixed Horizon Fund XXIX- Series 16- Growth Option</v>
          </cell>
        </row>
        <row r="8778">
          <cell r="F8778" t="str">
            <v>Reliance Fixed Horizon Fund XXIX- Series 18- Direct Plan-Dividend Payout Option</v>
          </cell>
        </row>
        <row r="8779">
          <cell r="F8779" t="str">
            <v>Reliance Fixed Horizon Fund XXIX- Series 18- Direct Plan-Growth Option</v>
          </cell>
        </row>
        <row r="8780">
          <cell r="F8780" t="str">
            <v>Reliance Fixed Horizon Fund XXIX- Series 18- Dividend Payout Option</v>
          </cell>
        </row>
        <row r="8781">
          <cell r="F8781" t="str">
            <v>Reliance Fixed Horizon Fund XXIX- Series 18- Growth Option</v>
          </cell>
        </row>
        <row r="8782">
          <cell r="F8782" t="str">
            <v>Reliance Fixed Horizon Fund XXIX- Series 19- Direct Plan-Dividend Payout Option</v>
          </cell>
        </row>
        <row r="8783">
          <cell r="F8783" t="str">
            <v>Reliance Fixed Horizon Fund XXIX- Series 19- Direct Plan-Growth Option</v>
          </cell>
        </row>
        <row r="8784">
          <cell r="F8784" t="str">
            <v>Reliance Fixed Horizon Fund XXIX- Series 19- Dividend Payout Option</v>
          </cell>
        </row>
        <row r="8785">
          <cell r="F8785" t="str">
            <v>Reliance Fixed Horizon Fund XXIX- Series 19- Growth Option</v>
          </cell>
        </row>
        <row r="8786">
          <cell r="F8786" t="str">
            <v>Reliance Fixed Horizon Fund XXIX- Series 20- Direct Plan-Growth Option</v>
          </cell>
        </row>
        <row r="8787">
          <cell r="F8787" t="str">
            <v>Reliance Fixed Horizon Fund XXIX- Series 20- Dividend Payout Option</v>
          </cell>
        </row>
        <row r="8788">
          <cell r="F8788" t="str">
            <v>Reliance Fixed Horizon Fund XXIX- Series 20- Growth Option</v>
          </cell>
        </row>
        <row r="8789">
          <cell r="F8789" t="str">
            <v>Reliance Fixed Horizon Fund XXIX- Series 3- Direct Plan-Dividend Payout Option</v>
          </cell>
        </row>
        <row r="8790">
          <cell r="F8790" t="str">
            <v>Reliance Fixed Horizon Fund XXIX- Series 3- Direct Plan-Growth Option</v>
          </cell>
        </row>
        <row r="8791">
          <cell r="F8791" t="str">
            <v>Reliance Fixed Horizon Fund XXIX- Series 3- Dividend Payout Option</v>
          </cell>
        </row>
        <row r="8792">
          <cell r="F8792" t="str">
            <v>Reliance Fixed Horizon Fund XXIX- Series 3- Growth Option</v>
          </cell>
        </row>
        <row r="8793">
          <cell r="F8793" t="str">
            <v>Reliance Fixed Horizon Fund XXIX- Series 6- Direct Plan - Growth Option</v>
          </cell>
        </row>
        <row r="8794">
          <cell r="F8794" t="str">
            <v>Reliance Fixed Horizon Fund XXIX- Series 6- Dividend Payout Option</v>
          </cell>
        </row>
        <row r="8795">
          <cell r="F8795" t="str">
            <v>Reliance Fixed Horizon Fund XXIX- Series 6- Growth Option</v>
          </cell>
        </row>
        <row r="8796">
          <cell r="F8796" t="str">
            <v>Reliance Fixed Horizon Fund XXIX- Series 7- Direct Plan- Growth Option</v>
          </cell>
        </row>
        <row r="8797">
          <cell r="F8797" t="str">
            <v>Reliance Fixed Horizon Fund XXIX- Series 7- Dividend Payout Option</v>
          </cell>
        </row>
        <row r="8798">
          <cell r="F8798" t="str">
            <v>Reliance Fixed Horizon Fund XXIX- Series 7- Growth Option</v>
          </cell>
        </row>
        <row r="8799">
          <cell r="F8799" t="str">
            <v>Reliance Fixed Horizon Fund XXIX- Series 8- Direct Plan-Growth Option</v>
          </cell>
        </row>
        <row r="8800">
          <cell r="F8800" t="str">
            <v>Reliance Fixed Horizon Fund XXIX- Series 8- Dividend Payout Option</v>
          </cell>
        </row>
        <row r="8801">
          <cell r="F8801" t="str">
            <v>Reliance Fixed Horizon Fund XXIX- Series 8- Growth Option</v>
          </cell>
        </row>
        <row r="8802">
          <cell r="F8802" t="str">
            <v>Reliance Fixed Horizon Fund XXIX- Series 9- Direct Plan-Growth Option</v>
          </cell>
        </row>
        <row r="8803">
          <cell r="F8803" t="str">
            <v>Reliance Fixed Horizon Fund XXIX- Series 9- Dividend Payout Option</v>
          </cell>
        </row>
        <row r="8804">
          <cell r="F8804" t="str">
            <v>Reliance Fixed Horizon Fund XXIX- Series 9- Growth Option</v>
          </cell>
        </row>
        <row r="8805">
          <cell r="F8805" t="str">
            <v>Reliance Fixed Horizon Fund XXVI- Series 23- Direct Plan- Growth Option</v>
          </cell>
        </row>
        <row r="8806">
          <cell r="F8806" t="str">
            <v>Reliance Fixed Horizon Fund XXVII- Series 15- Direct Plan- Dividend Payout Option</v>
          </cell>
        </row>
        <row r="8807">
          <cell r="F8807" t="str">
            <v>Reliance Fixed Horizon Fund XXVII- Series 15- Direct Plan- Growth Option</v>
          </cell>
        </row>
        <row r="8808">
          <cell r="F8808" t="str">
            <v>Reliance Fixed Horizon Fund XXVII- Series 15- Dividend Payout Option</v>
          </cell>
        </row>
        <row r="8809">
          <cell r="F8809" t="str">
            <v>Reliance Fixed Horizon Fund XXVII- Series 15- Growth Option</v>
          </cell>
        </row>
        <row r="8810">
          <cell r="F8810" t="str">
            <v>Reliance Fixed Horizon Fund XXVIII- Series 10- Direct Plan- Growth Option</v>
          </cell>
        </row>
        <row r="8811">
          <cell r="F8811" t="str">
            <v>Reliance Fixed Horizon Fund XXVIII- Series 10- Dividend Payout Option</v>
          </cell>
        </row>
        <row r="8812">
          <cell r="F8812" t="str">
            <v>Reliance Fixed Horizon Fund XXVIII- Series 10- Growth Option</v>
          </cell>
        </row>
        <row r="8813">
          <cell r="F8813" t="str">
            <v>Reliance Fixed Horizon Fund XXVIII- Series 14- Direct Plan-Dividend Payout Option</v>
          </cell>
        </row>
        <row r="8814">
          <cell r="F8814" t="str">
            <v>Reliance Fixed Horizon Fund XXVIII- Series 14- Direct Plan-Growth Option</v>
          </cell>
        </row>
        <row r="8815">
          <cell r="F8815" t="str">
            <v>Reliance Fixed Horizon Fund XXVIII- Series 14- Dividend Payout Option</v>
          </cell>
        </row>
        <row r="8816">
          <cell r="F8816" t="str">
            <v>Reliance Fixed Horizon Fund XXVIII- Series 14- Growth Option</v>
          </cell>
        </row>
        <row r="8817">
          <cell r="F8817" t="str">
            <v>Reliance Fixed Horizon Fund XXVIII- Series 18- Direct Plan-Dividend Payout Option</v>
          </cell>
        </row>
        <row r="8818">
          <cell r="F8818" t="str">
            <v>Reliance Fixed Horizon Fund XXVIII- Series 18- Direct Plan-Growth Option</v>
          </cell>
        </row>
        <row r="8819">
          <cell r="F8819" t="str">
            <v>Reliance Fixed Horizon Fund XXVIII- Series 18- Dividend Payout Option</v>
          </cell>
        </row>
        <row r="8820">
          <cell r="F8820" t="str">
            <v>Reliance Fixed Horizon Fund XXVIII- Series 18- Growth Option</v>
          </cell>
        </row>
        <row r="8821">
          <cell r="F8821" t="str">
            <v>Reliance Fixed Horizon Fund XXVIII- Series 19- Direct Plan-Growth Option</v>
          </cell>
        </row>
        <row r="8822">
          <cell r="F8822" t="str">
            <v>Reliance Fixed Horizon Fund XXVIII- Series 19- Dividend Payout Option</v>
          </cell>
        </row>
        <row r="8823">
          <cell r="F8823" t="str">
            <v>Reliance Fixed Horizon Fund XXVIII- Series 19- Growth Option</v>
          </cell>
        </row>
        <row r="8824">
          <cell r="F8824" t="str">
            <v>Reliance Fixed Horizon Fund XXVIII- Series 2- Direct Plan-Dividend Payout Option</v>
          </cell>
        </row>
        <row r="8825">
          <cell r="F8825" t="str">
            <v>Reliance Fixed Horizon Fund XXVIII- Series 2- Direct Plan-Growth Option</v>
          </cell>
        </row>
        <row r="8826">
          <cell r="F8826" t="str">
            <v>Reliance Fixed Horizon Fund XXVIII- Series 2- Dividend Payout Option</v>
          </cell>
        </row>
        <row r="8827">
          <cell r="F8827" t="str">
            <v>Reliance Fixed Horizon Fund XXVIII- Series 2- Growth Option</v>
          </cell>
        </row>
        <row r="8828">
          <cell r="F8828" t="str">
            <v>Reliance Fixed Horizon Fund XXVIII- Series 7- Direct Plan-Growth Option</v>
          </cell>
        </row>
        <row r="8829">
          <cell r="F8829" t="str">
            <v>Reliance Fixed Horizon Fund XXVIII- Series 7- Dividend Payout Option</v>
          </cell>
        </row>
        <row r="8830">
          <cell r="F8830" t="str">
            <v>Reliance Fixed Horizon Fund XXVIII- Series 7- Growth Option</v>
          </cell>
        </row>
        <row r="8831">
          <cell r="F8831" t="str">
            <v>Reliance Fixed Horizon Fund XXX- Series 1 - Dividend Payout Option</v>
          </cell>
        </row>
        <row r="8832">
          <cell r="F8832" t="str">
            <v>Reliance Fixed Horizon Fund XXX- Series 1 -Direct Plan- Dividend Payout Option</v>
          </cell>
        </row>
        <row r="8833">
          <cell r="F8833" t="str">
            <v>Reliance Fixed Horizon Fund XXX- Series 1 -Direct Plan- Growth Option</v>
          </cell>
        </row>
        <row r="8834">
          <cell r="F8834" t="str">
            <v>Reliance Fixed Horizon Fund XXX- Series 1 -Growth Option</v>
          </cell>
        </row>
        <row r="8835">
          <cell r="F8835" t="str">
            <v>Reliance Fixed Horizon Fund XXX- Series 10- Direct Plan-Dividend Payout Option</v>
          </cell>
        </row>
        <row r="8836">
          <cell r="F8836" t="str">
            <v>Reliance Fixed Horizon Fund XXX- Series 10- Direct Plan-Growth Option</v>
          </cell>
        </row>
        <row r="8837">
          <cell r="F8837" t="str">
            <v>Reliance Fixed Horizon Fund XXX- Series 10- Growth Option</v>
          </cell>
        </row>
        <row r="8838">
          <cell r="F8838" t="str">
            <v>Reliance Fixed Horizon Fund XXX- Series 11- Direct Plan-Dividend Payout Option</v>
          </cell>
        </row>
        <row r="8839">
          <cell r="F8839" t="str">
            <v>Reliance Fixed Horizon Fund XXX- Series 11- Direct Plan-Growth Option</v>
          </cell>
        </row>
        <row r="8840">
          <cell r="F8840" t="str">
            <v>Reliance Fixed Horizon Fund XXX- Series 11- Dividend Payout Option</v>
          </cell>
        </row>
        <row r="8841">
          <cell r="F8841" t="str">
            <v>Reliance Fixed Horizon Fund XXX- Series 11- Growth Option</v>
          </cell>
        </row>
        <row r="8842">
          <cell r="F8842" t="str">
            <v>Reliance Fixed Horizon Fund XXX- Series 12- Direct Plan-Dividend Payout Option</v>
          </cell>
        </row>
        <row r="8843">
          <cell r="F8843" t="str">
            <v>Reliance Fixed Horizon Fund XXX- Series 12- Direct Plan-Growth Option</v>
          </cell>
        </row>
        <row r="8844">
          <cell r="F8844" t="str">
            <v>Reliance Fixed Horizon Fund XXX- Series 12- Dividend Payout Option</v>
          </cell>
        </row>
        <row r="8845">
          <cell r="F8845" t="str">
            <v>Reliance Fixed Horizon Fund XXX- Series 12- Growth Option</v>
          </cell>
        </row>
        <row r="8846">
          <cell r="F8846" t="str">
            <v>Reliance Fixed Horizon Fund XXX- Series 13 -Direct Plan- Dividend Payout Option</v>
          </cell>
        </row>
        <row r="8847">
          <cell r="F8847" t="str">
            <v>Reliance Fixed Horizon Fund XXX- Series 13 -Direct Plan- Growth Option</v>
          </cell>
        </row>
        <row r="8848">
          <cell r="F8848" t="str">
            <v>Reliance Fixed Horizon Fund XXX- Series 13 -Dividend Payout Option</v>
          </cell>
        </row>
        <row r="8849">
          <cell r="F8849" t="str">
            <v>Reliance Fixed Horizon Fund XXX- Series 13 -Growth Option</v>
          </cell>
        </row>
        <row r="8850">
          <cell r="F8850" t="str">
            <v>Reliance Fixed Horizon Fund XXX- Series 14 - Growth Option</v>
          </cell>
        </row>
        <row r="8851">
          <cell r="F8851" t="str">
            <v>Reliance Fixed Horizon Fund XXX- Series 14 -Direct Plan- Dividend Payout Option</v>
          </cell>
        </row>
        <row r="8852">
          <cell r="F8852" t="str">
            <v>Reliance Fixed Horizon Fund XXX- Series 14 -Direct Plan- Growth Option</v>
          </cell>
        </row>
        <row r="8853">
          <cell r="F8853" t="str">
            <v>Reliance Fixed Horizon Fund XXX- Series 14 -Dividend Payout Option</v>
          </cell>
        </row>
        <row r="8854">
          <cell r="F8854" t="str">
            <v>Reliance Fixed Horizon Fund XXX- Series 17- Direct Plan-Dividend Payout Option</v>
          </cell>
        </row>
        <row r="8855">
          <cell r="F8855" t="str">
            <v>Reliance Fixed Horizon Fund XXX- Series 17- Direct Plan-Growth Option</v>
          </cell>
        </row>
        <row r="8856">
          <cell r="F8856" t="str">
            <v>Reliance Fixed Horizon Fund XXX- Series 17- Dividend Payout Option</v>
          </cell>
        </row>
        <row r="8857">
          <cell r="F8857" t="str">
            <v>Reliance Fixed Horizon Fund XXX- Series 17- Growth Option</v>
          </cell>
        </row>
        <row r="8858">
          <cell r="F8858" t="str">
            <v>Reliance Fixed Horizon Fund XXX- Series 18- Direct Plan-Dividend Payout Option</v>
          </cell>
        </row>
        <row r="8859">
          <cell r="F8859" t="str">
            <v>Reliance Fixed Horizon Fund XXX- Series 18- Direct Plan-Growth Option</v>
          </cell>
        </row>
        <row r="8860">
          <cell r="F8860" t="str">
            <v>Reliance Fixed Horizon Fund XXX- Series 18- Dividend Payout Option</v>
          </cell>
        </row>
        <row r="8861">
          <cell r="F8861" t="str">
            <v>Reliance Fixed Horizon Fund XXX- Series 18- Growth Option</v>
          </cell>
        </row>
        <row r="8862">
          <cell r="F8862" t="str">
            <v>Reliance Fixed Horizon Fund XXX- Series 19- Direct Plan-Dividend Payout Option</v>
          </cell>
        </row>
        <row r="8863">
          <cell r="F8863" t="str">
            <v>Reliance Fixed Horizon Fund XXX- Series 19- Direct Plan-Growth Option</v>
          </cell>
        </row>
        <row r="8864">
          <cell r="F8864" t="str">
            <v>Reliance Fixed Horizon Fund XXX- Series 19- Dividend Payout Option</v>
          </cell>
        </row>
        <row r="8865">
          <cell r="F8865" t="str">
            <v>Reliance Fixed Horizon Fund XXX- Series 19- Growth Option</v>
          </cell>
        </row>
        <row r="8866">
          <cell r="F8866" t="str">
            <v>Reliance Fixed Horizon Fund XXX- Series 2 - Dividend Payout Option</v>
          </cell>
        </row>
        <row r="8867">
          <cell r="F8867" t="str">
            <v>Reliance Fixed Horizon Fund XXX- Series 2 - Growth Option</v>
          </cell>
        </row>
        <row r="8868">
          <cell r="F8868" t="str">
            <v>Reliance Fixed Horizon Fund XXX- Series 2 -Direct Plan- Dividend Payout Option</v>
          </cell>
        </row>
        <row r="8869">
          <cell r="F8869" t="str">
            <v>Reliance Fixed Horizon Fund XXX- Series 2 -Direct Plan- Growth Option</v>
          </cell>
        </row>
        <row r="8870">
          <cell r="F8870" t="str">
            <v>Reliance Fixed Horizon Fund XXX- Series 20- Direct Plan-Dividend Payout Option</v>
          </cell>
        </row>
        <row r="8871">
          <cell r="F8871" t="str">
            <v>Reliance Fixed Horizon Fund XXX- Series 20- Direct Plan-Growth Option</v>
          </cell>
        </row>
        <row r="8872">
          <cell r="F8872" t="str">
            <v>Reliance Fixed Horizon Fund XXX- Series 20- Dividend Payout Option</v>
          </cell>
        </row>
        <row r="8873">
          <cell r="F8873" t="str">
            <v>Reliance Fixed Horizon Fund XXX- Series 20- Growth Option</v>
          </cell>
        </row>
        <row r="8874">
          <cell r="F8874" t="str">
            <v>Reliance Fixed Horizon Fund XXX- Series 4 -Direct Plan- Dividend Payout Option</v>
          </cell>
        </row>
        <row r="8875">
          <cell r="F8875" t="str">
            <v>Reliance Fixed Horizon Fund XXX- Series 4 -Direct Plan- Growth Option</v>
          </cell>
        </row>
        <row r="8876">
          <cell r="F8876" t="str">
            <v>Reliance Fixed Horizon Fund XXX- Series 4 -Dividend Payout Option</v>
          </cell>
        </row>
        <row r="8877">
          <cell r="F8877" t="str">
            <v>Reliance Fixed Horizon Fund XXX- Series 4 -Growth Option</v>
          </cell>
        </row>
        <row r="8878">
          <cell r="F8878" t="str">
            <v>Reliance Fixed Horizon Fund XXX- Series 5- Direct Plan- Growth Option</v>
          </cell>
        </row>
        <row r="8879">
          <cell r="F8879" t="str">
            <v>Reliance Fixed Horizon Fund XXX- Series 5- Direct Plan-Dividend Payout Option</v>
          </cell>
        </row>
        <row r="8880">
          <cell r="F8880" t="str">
            <v>Reliance Fixed Horizon Fund XXX- Series 5- Dividend Payout Option</v>
          </cell>
        </row>
        <row r="8881">
          <cell r="F8881" t="str">
            <v>Reliance Fixed Horizon Fund XXX- Series 5- Growth Option</v>
          </cell>
        </row>
        <row r="8882">
          <cell r="F8882" t="str">
            <v>Reliance Fixed Horizon Fund XXX- Series 6- Direct Plan-Dividend Payout Option</v>
          </cell>
        </row>
        <row r="8883">
          <cell r="F8883" t="str">
            <v>Reliance Fixed Horizon Fund XXX- Series 6- Direct Plan-Growth Option</v>
          </cell>
        </row>
        <row r="8884">
          <cell r="F8884" t="str">
            <v>Reliance Fixed Horizon Fund XXX- Series 6- Growth Option</v>
          </cell>
        </row>
        <row r="8885">
          <cell r="F8885" t="str">
            <v>Reliance Fixed Horizon Fund XXX- Series 7- Direct Plan-Growth Option</v>
          </cell>
        </row>
        <row r="8886">
          <cell r="F8886" t="str">
            <v>Reliance Fixed Horizon Fund XXX- Series 7- Growth Option</v>
          </cell>
        </row>
        <row r="8887">
          <cell r="F8887" t="str">
            <v>Reliance Fixed Horizon Fund XXX- Series 8- Direct Plan- Dividen Payout Option</v>
          </cell>
        </row>
        <row r="8888">
          <cell r="F8888" t="str">
            <v>Reliance Fixed Horizon Fund XXX- Series 8- Direct Plan- Growth Option</v>
          </cell>
        </row>
        <row r="8889">
          <cell r="F8889" t="str">
            <v>Reliance Fixed Horizon Fund XXX- Series 8- Dividend Payout Option</v>
          </cell>
        </row>
        <row r="8890">
          <cell r="F8890" t="str">
            <v>Reliance Fixed Horizon Fund XXX- Series 8- Growth Option</v>
          </cell>
        </row>
        <row r="8891">
          <cell r="F8891" t="str">
            <v>Reliance Fixed Horizon Fund XXX-Series 3- Direct Plan-Dividend Payout Option</v>
          </cell>
        </row>
        <row r="8892">
          <cell r="F8892" t="str">
            <v>Reliance Fixed Horizon Fund XXX-Series 3- Direct Plan-Growth Option</v>
          </cell>
        </row>
        <row r="8893">
          <cell r="F8893" t="str">
            <v>Reliance Fixed Horizon Fund XXX-Series 3- Dividend Payout Option</v>
          </cell>
        </row>
        <row r="8894">
          <cell r="F8894" t="str">
            <v>Reliance Fixed Horizon Fund XXX-Series 3- Growth Option</v>
          </cell>
        </row>
        <row r="8895">
          <cell r="F8895" t="str">
            <v>Reliance Fixed Horizon Fund XXXI Series 2 - Direct Plan - Dividend Payout Option</v>
          </cell>
        </row>
        <row r="8896">
          <cell r="F8896" t="str">
            <v>Reliance Fixed Horizon Fund XXXI Series 2 - Direct Plan - Growth Option</v>
          </cell>
        </row>
        <row r="8897">
          <cell r="F8897" t="str">
            <v>Reliance Fixed Horizon Fund XXXI Series 2 - Dividend Payout Option</v>
          </cell>
        </row>
        <row r="8898">
          <cell r="F8898" t="str">
            <v>Reliance Fixed Horizon Fund XXXI Series 2 - Growth Option</v>
          </cell>
        </row>
        <row r="8899">
          <cell r="F8899" t="str">
            <v>Reliance Fixed Horizon Fund XXXI Series 9 - Direct Plan - Dividend Payout Option</v>
          </cell>
        </row>
        <row r="8900">
          <cell r="F8900" t="str">
            <v>Reliance Fixed Horizon Fund XXXI Series 9 - Direct Plan - Growth Option</v>
          </cell>
        </row>
        <row r="8901">
          <cell r="F8901" t="str">
            <v>Reliance Fixed Horizon Fund XXXI Series 9 - Dividend Payout Option</v>
          </cell>
        </row>
        <row r="8902">
          <cell r="F8902" t="str">
            <v>Reliance Fixed Horizon Fund XXXI Series 9 - Growth Option</v>
          </cell>
        </row>
        <row r="8903">
          <cell r="F8903" t="str">
            <v>Reliance Fixed Horizon Fund XXXI- Series 1- Direct Plan-Dividend Payout Option</v>
          </cell>
        </row>
        <row r="8904">
          <cell r="F8904" t="str">
            <v>Reliance Fixed Horizon Fund XXXI- Series 1- Direct Plan-Growth Option</v>
          </cell>
        </row>
        <row r="8905">
          <cell r="F8905" t="str">
            <v>Reliance Fixed Horizon Fund XXXI- Series 1- Growth Option</v>
          </cell>
        </row>
        <row r="8906">
          <cell r="F8906" t="str">
            <v>Reliance Fixed Horizon Fund XXXI- Series 11- Direct Plan-Dividend Payout Option</v>
          </cell>
        </row>
        <row r="8907">
          <cell r="F8907" t="str">
            <v>Reliance Fixed Horizon Fund XXXI- Series 11- Direct Plan-Growth Option</v>
          </cell>
        </row>
        <row r="8908">
          <cell r="F8908" t="str">
            <v>Reliance Fixed Horizon Fund XXXI- Series 11- Dividend Payout Option</v>
          </cell>
        </row>
        <row r="8909">
          <cell r="F8909" t="str">
            <v>Reliance Fixed Horizon Fund XXXI- Series 11- Growth Option</v>
          </cell>
        </row>
        <row r="8910">
          <cell r="F8910" t="str">
            <v>Reliance Fixed Horizon Fund XXXI- Series 13- Direct Plan-Dividend Payout Option</v>
          </cell>
        </row>
        <row r="8911">
          <cell r="F8911" t="str">
            <v>Reliance Fixed Horizon Fund XXXI- Series 13- Direct Plan-Growth Option</v>
          </cell>
        </row>
        <row r="8912">
          <cell r="F8912" t="str">
            <v>Reliance Fixed Horizon Fund XXXI- Series 13- Dividend Payout Option</v>
          </cell>
        </row>
        <row r="8913">
          <cell r="F8913" t="str">
            <v>Reliance Fixed Horizon Fund XXXI- Series 13- Growth Option</v>
          </cell>
        </row>
        <row r="8914">
          <cell r="F8914" t="str">
            <v>Reliance Fixed Horizon Fund XXXI- Series 15- Direct Plan-Dividend Payout Option</v>
          </cell>
        </row>
        <row r="8915">
          <cell r="F8915" t="str">
            <v>Reliance Fixed Horizon Fund XXXI- Series 15- Direct Plan-Growth Option</v>
          </cell>
        </row>
        <row r="8916">
          <cell r="F8916" t="str">
            <v>Reliance Fixed Horizon Fund XXXI- Series 15- Dividend Payout Option</v>
          </cell>
        </row>
        <row r="8917">
          <cell r="F8917" t="str">
            <v>Reliance Fixed Horizon Fund XXXI- Series 15-Growth Option</v>
          </cell>
        </row>
        <row r="8918">
          <cell r="F8918" t="str">
            <v>Reliance Fixed Horizon Fund XXXI- Series 4- Direct Plan-Dividend Payout Option</v>
          </cell>
        </row>
        <row r="8919">
          <cell r="F8919" t="str">
            <v>Reliance Fixed Horizon Fund XXXI- Series 4- Direct Plan-Growth Option</v>
          </cell>
        </row>
        <row r="8920">
          <cell r="F8920" t="str">
            <v>Reliance Fixed Horizon Fund XXXI- Series 4- Dividend Payout Option</v>
          </cell>
        </row>
        <row r="8921">
          <cell r="F8921" t="str">
            <v>Reliance Fixed Horizon Fund XXXI- Series 4- Growth Option</v>
          </cell>
        </row>
        <row r="8922">
          <cell r="F8922" t="str">
            <v>Reliance Fixed Horizon Fund XXXI- Series 5- Direct Plan-Growth Option</v>
          </cell>
        </row>
        <row r="8923">
          <cell r="F8923" t="str">
            <v>Reliance Fixed Horizon Fund XXXI- Series 5- Dividend Payout Option</v>
          </cell>
        </row>
        <row r="8924">
          <cell r="F8924" t="str">
            <v>Reliance Fixed Horizon Fund XXXI- Series 5- Growth Option</v>
          </cell>
        </row>
        <row r="8925">
          <cell r="F8925" t="str">
            <v>Reliance Fixed Horizon Fund XXXI- Series 6- Direct Plan-Dividend Payout Option</v>
          </cell>
        </row>
        <row r="8926">
          <cell r="F8926" t="str">
            <v>Reliance Fixed Horizon Fund XXXI- Series 6- Direct Plan-Growth Option</v>
          </cell>
        </row>
        <row r="8927">
          <cell r="F8927" t="str">
            <v>Reliance Fixed Horizon Fund XXXI- Series 6- Dividend Payout Option</v>
          </cell>
        </row>
        <row r="8928">
          <cell r="F8928" t="str">
            <v>Reliance Fixed Horizon Fund XXXI- Series 6- Growth Option</v>
          </cell>
        </row>
        <row r="8929">
          <cell r="F8929" t="str">
            <v>Reliance Fixed Horizon Fund XXXI- Series 7- Direct Plan - Dividend Payout Option</v>
          </cell>
        </row>
        <row r="8930">
          <cell r="F8930" t="str">
            <v>Reliance Fixed Horizon Fund XXXI- Series 7- Direct Plan-Growth Option</v>
          </cell>
        </row>
        <row r="8931">
          <cell r="F8931" t="str">
            <v>Reliance Fixed Horizon Fund XXXI- Series 7- Dividend Payout Option</v>
          </cell>
        </row>
        <row r="8932">
          <cell r="F8932" t="str">
            <v>Reliance Fixed Horizon Fund XXXI- Series 7- Growth Option</v>
          </cell>
        </row>
        <row r="8933">
          <cell r="F8933" t="str">
            <v>Reliance Fixed Horizon Fund XXXI- Series 8- Direct Plan - Growth Option</v>
          </cell>
        </row>
        <row r="8934">
          <cell r="F8934" t="str">
            <v>Reliance Fixed Horizon Fund XXXI- Series 8- Direct Plan-Dividend Payout Option</v>
          </cell>
        </row>
        <row r="8935">
          <cell r="F8935" t="str">
            <v>Reliance Fixed Horizon Fund XXXI- Series 8- Dividend Payout Option</v>
          </cell>
        </row>
        <row r="8936">
          <cell r="F8936" t="str">
            <v>Reliance Fixed Horizon Fund XXXI- Series 8- Growth Option</v>
          </cell>
        </row>
        <row r="8937">
          <cell r="F8937" t="str">
            <v>Reliance Fixed Horizon Fund XXXII- Series 1- Direct Plan- Dividend Payout Option</v>
          </cell>
        </row>
        <row r="8938">
          <cell r="F8938" t="str">
            <v>Reliance Fixed Horizon Fund XXXII- Series 1- Direct Plan-Growth Option</v>
          </cell>
        </row>
        <row r="8939">
          <cell r="F8939" t="str">
            <v>Reliance Fixed Horizon Fund XXXII- Series 1- Dividend Payout Option</v>
          </cell>
        </row>
        <row r="8940">
          <cell r="F8940" t="str">
            <v>Reliance Fixed Horizon Fund XXXII- Series 1- Growth Option</v>
          </cell>
        </row>
        <row r="8941">
          <cell r="F8941" t="str">
            <v>Reliance Fixed Horizon Fund XXXII- Series 10- Direct Plan- Dividend Payout Option</v>
          </cell>
        </row>
        <row r="8942">
          <cell r="F8942" t="str">
            <v>Reliance Fixed Horizon Fund XXXII- Series 10- Direct Plan- Growth Option</v>
          </cell>
        </row>
        <row r="8943">
          <cell r="F8943" t="str">
            <v>Reliance Fixed Horizon Fund XXXII- Series 10- Dividend Payout Option</v>
          </cell>
        </row>
        <row r="8944">
          <cell r="F8944" t="str">
            <v>Reliance Fixed Horizon Fund XXXII- Series 10- Growth Option</v>
          </cell>
        </row>
        <row r="8945">
          <cell r="F8945" t="str">
            <v>Reliance Fixed Horizon Fund XXXII- Series 2- Direct Plan- Dividend Payout Option</v>
          </cell>
        </row>
        <row r="8946">
          <cell r="F8946" t="str">
            <v>Reliance Fixed Horizon Fund XXXII- Series 2- Direct Plan-Growth Option</v>
          </cell>
        </row>
        <row r="8947">
          <cell r="F8947" t="str">
            <v>Reliance Fixed Horizon Fund XXXII- Series 2- Dividend Payout Option</v>
          </cell>
        </row>
        <row r="8948">
          <cell r="F8948" t="str">
            <v>Reliance Fixed Horizon Fund XXXII- Series 2- Growth Option</v>
          </cell>
        </row>
        <row r="8949">
          <cell r="F8949" t="str">
            <v>Reliance Fixed Horizon Fund XXXII- Series 4- Direct Plan- Dividend Payout Option</v>
          </cell>
        </row>
        <row r="8950">
          <cell r="F8950" t="str">
            <v>Reliance Fixed Horizon Fund XXXII- Series 4- Direct Plan-Growth Option</v>
          </cell>
        </row>
        <row r="8951">
          <cell r="F8951" t="str">
            <v>Reliance Fixed Horizon Fund XXXII- Series 4- Dividend Payout Option</v>
          </cell>
        </row>
        <row r="8952">
          <cell r="F8952" t="str">
            <v>Reliance Fixed Horizon Fund XXXII- Series 4- Growth Option</v>
          </cell>
        </row>
        <row r="8953">
          <cell r="F8953" t="str">
            <v>Reliance Fixed Horizon Fund XXXII- Series 5- Direct Plan-Dividend Payout Option</v>
          </cell>
        </row>
        <row r="8954">
          <cell r="F8954" t="str">
            <v>Reliance Fixed Horizon Fund XXXII- Series 5- Direct Plan-Growth Option</v>
          </cell>
        </row>
        <row r="8955">
          <cell r="F8955" t="str">
            <v>Reliance Fixed Horizon Fund XXXII- Series 5- Dividend Payout Option</v>
          </cell>
        </row>
        <row r="8956">
          <cell r="F8956" t="str">
            <v>Reliance Fixed Horizon Fund XXXII- Series 5- Growth Option</v>
          </cell>
        </row>
        <row r="8957">
          <cell r="F8957" t="str">
            <v>Reliance Fixed Horizon Fund XXXII- Series 7- Direct Plan-Dividend Payout Option</v>
          </cell>
        </row>
        <row r="8958">
          <cell r="F8958" t="str">
            <v>Reliance Fixed Horizon Fund XXXII- Series 7- Direct Plan-Growth Option</v>
          </cell>
        </row>
        <row r="8959">
          <cell r="F8959" t="str">
            <v>Reliance Fixed Horizon Fund XXXII- Series 7- Dividend Payout Option</v>
          </cell>
        </row>
        <row r="8960">
          <cell r="F8960" t="str">
            <v>Reliance Fixed Horizon Fund XXXII- Series 7- Growth Option</v>
          </cell>
        </row>
        <row r="8961">
          <cell r="F8961" t="str">
            <v>Reliance Fixed Horizon Fund XXXII- Series 8- Direct Plan-Growth Option</v>
          </cell>
        </row>
        <row r="8962">
          <cell r="F8962" t="str">
            <v>Reliance Fixed Horizon Fund XXXII- Series 8- Dividend Payout Option</v>
          </cell>
        </row>
        <row r="8963">
          <cell r="F8963" t="str">
            <v>Reliance Fixed Horizon Fund XXXII- Series 8- Growth Option</v>
          </cell>
        </row>
        <row r="8964">
          <cell r="F8964" t="str">
            <v>Reliance Fixed Horizon Fund XXXIII- Series 1- Direct Plan- Dividend Payout Option</v>
          </cell>
        </row>
        <row r="8965">
          <cell r="F8965" t="str">
            <v>Reliance Fixed Horizon Fund XXXIII- Series 1- Direct Plan- Growth Option</v>
          </cell>
        </row>
        <row r="8966">
          <cell r="F8966" t="str">
            <v>Reliance Fixed Horizon Fund XXXIII- Series 1- Growth Option</v>
          </cell>
        </row>
        <row r="8967">
          <cell r="F8967" t="str">
            <v>Reliance Fixed Horizon Fund XXXIII- Series 10- Direct Plan - Dividend Payout Option</v>
          </cell>
        </row>
        <row r="8968">
          <cell r="F8968" t="str">
            <v>Reliance Fixed Horizon Fund XXXIII- Series 10- Direct Plan - Growth Option</v>
          </cell>
        </row>
        <row r="8969">
          <cell r="F8969" t="str">
            <v>Reliance Fixed Horizon Fund XXXIII- Series 10- Dividend Payout Option</v>
          </cell>
        </row>
        <row r="8970">
          <cell r="F8970" t="str">
            <v>Reliance Fixed Horizon Fund XXXIII- Series 10- Growth Option</v>
          </cell>
        </row>
        <row r="8971">
          <cell r="F8971" t="str">
            <v>Reliance Fixed Horizon Fund XXXIII- Series 2- Direct Plan- Dividend Payout Option</v>
          </cell>
        </row>
        <row r="8972">
          <cell r="F8972" t="str">
            <v>Reliance Fixed Horizon Fund XXXIII- Series 2- Direct Plan- Growth Option</v>
          </cell>
        </row>
        <row r="8973">
          <cell r="F8973" t="str">
            <v>Reliance Fixed Horizon Fund XXXIII- Series 2- Dividend Payout Option</v>
          </cell>
        </row>
        <row r="8974">
          <cell r="F8974" t="str">
            <v>Reliance Fixed Horizon Fund XXXIII- Series 2- Growth Option</v>
          </cell>
        </row>
        <row r="8975">
          <cell r="F8975" t="str">
            <v>Reliance Fixed Horizon Fund XXXIII- Series 3 - Dividend Payout Option</v>
          </cell>
        </row>
        <row r="8976">
          <cell r="F8976" t="str">
            <v>Reliance Fixed Horizon Fund XXXIII- Series 3- Growth Option</v>
          </cell>
        </row>
        <row r="8977">
          <cell r="F8977" t="str">
            <v>Reliance Fixed Horizon Fund XXXIII- Series 3-Direct Plan- Growth Option</v>
          </cell>
        </row>
        <row r="8978">
          <cell r="F8978" t="str">
            <v>Reliance Fixed Horizon Fund XXXIII- Series 4- Direct Plan-Growth Option</v>
          </cell>
        </row>
        <row r="8979">
          <cell r="F8979" t="str">
            <v>Reliance Fixed Horizon Fund XXXIII- Series 4- Growth Option</v>
          </cell>
        </row>
        <row r="8980">
          <cell r="F8980" t="str">
            <v>Reliance Fixed Horizon Fund XXXIII- Series 5- Dividend Payout Option</v>
          </cell>
        </row>
        <row r="8981">
          <cell r="F8981" t="str">
            <v>Reliance Fixed Horizon Fund XXXIII- Series 5- Growth Option</v>
          </cell>
        </row>
        <row r="8982">
          <cell r="F8982" t="str">
            <v>Reliance Fixed Horizon Fund XXXIII- Series 5-Direct Plan- Dividend Payout Option</v>
          </cell>
        </row>
        <row r="8983">
          <cell r="F8983" t="str">
            <v>Reliance Fixed Horizon Fund XXXIII- Series 5-Direct Plan- Growth Option</v>
          </cell>
        </row>
        <row r="8984">
          <cell r="F8984" t="str">
            <v>Reliance Fixed Horizon Fund XXXIII- Series 6- Direct Plan- Dividend Payout Option</v>
          </cell>
        </row>
        <row r="8985">
          <cell r="F8985" t="str">
            <v>Reliance Fixed Horizon Fund XXXIII- Series 6- Dividend Payout Option</v>
          </cell>
        </row>
        <row r="8986">
          <cell r="F8986" t="str">
            <v>Reliance Fixed Horizon Fund XXXIII- Series 6- Growth Option</v>
          </cell>
        </row>
        <row r="8987">
          <cell r="F8987" t="str">
            <v>Reliance Fixed Horizon Fund XXXIII- Series 6-Direct Plan- Growth Option</v>
          </cell>
        </row>
        <row r="8988">
          <cell r="F8988" t="str">
            <v>Reliance Fixed Horizon Fund XXXIII- Series 7- Direct Plan-Dividend Payout Option</v>
          </cell>
        </row>
        <row r="8989">
          <cell r="F8989" t="str">
            <v>Reliance Fixed Horizon Fund XXXIII- Series 7- Direct Plan-Growth Option</v>
          </cell>
        </row>
        <row r="8990">
          <cell r="F8990" t="str">
            <v>Reliance Fixed Horizon Fund XXXIII- Series 7- Growth Option</v>
          </cell>
        </row>
        <row r="8991">
          <cell r="F8991" t="str">
            <v>Reliance Fixed Horizon Fund XXXIII- Series 8- Direct Plan-Dividend Payout Option</v>
          </cell>
        </row>
        <row r="8992">
          <cell r="F8992" t="str">
            <v>Reliance Fixed Horizon Fund XXXIII- Series 8- Dividend Payout Option</v>
          </cell>
        </row>
        <row r="8993">
          <cell r="F8993" t="str">
            <v>Reliance Fixed Horizon Fund XXXIII- Series 8- Growth Option</v>
          </cell>
        </row>
        <row r="8994">
          <cell r="F8994" t="str">
            <v>Reliance Fixed Horizon Fund XXXIII- Series 8-Direct Plan- Growth Option</v>
          </cell>
        </row>
        <row r="8995">
          <cell r="F8995" t="str">
            <v>Reliance Fixed Horizon Fund XXXIII- Series 9- Direct Plan - Dividend Payout Option</v>
          </cell>
        </row>
        <row r="8996">
          <cell r="F8996" t="str">
            <v>Reliance Fixed Horizon Fund XXXIII- Series 9- Direct Plan - Growth Option</v>
          </cell>
        </row>
        <row r="8997">
          <cell r="F8997" t="str">
            <v>Reliance Fixed Horizon Fund XXXIII- Series 9- Dividend Payout Option</v>
          </cell>
        </row>
        <row r="8998">
          <cell r="F8998" t="str">
            <v>Reliance Fixed Horizon Fund XXXIII- Series 9- Growth Option</v>
          </cell>
        </row>
        <row r="8999">
          <cell r="F8999" t="str">
            <v>Reliance Fixed Horizon Fund XXXIV - Series 9 - Direct Plan - Dividend Payout Option</v>
          </cell>
        </row>
        <row r="9000">
          <cell r="F9000" t="str">
            <v>Reliance Fixed Horizon Fund XXXIV - Series 9 - Direct Plan - Growth Option</v>
          </cell>
        </row>
        <row r="9001">
          <cell r="F9001" t="str">
            <v>Reliance Fixed Horizon Fund XXXIV - Series 9 - Dividend Payout Option</v>
          </cell>
        </row>
        <row r="9002">
          <cell r="F9002" t="str">
            <v>Reliance Fixed Horizon Fund XXXIV - Series 9 - Growth Option</v>
          </cell>
        </row>
        <row r="9003">
          <cell r="F9003" t="str">
            <v>Reliance Fixed Horizon Fund XXXIV- Series 1 - Direct Plan- Dividend Payout Option</v>
          </cell>
        </row>
        <row r="9004">
          <cell r="F9004" t="str">
            <v>Reliance Fixed Horizon Fund XXXIV- Series 1 - Direct Plan- Growth Option</v>
          </cell>
        </row>
        <row r="9005">
          <cell r="F9005" t="str">
            <v>Reliance Fixed Horizon Fund XXXIV- Series 1 - Dividend Payout Option</v>
          </cell>
        </row>
        <row r="9006">
          <cell r="F9006" t="str">
            <v>Reliance Fixed Horizon Fund XXXIV- Series 1 - Growth Option</v>
          </cell>
        </row>
        <row r="9007">
          <cell r="F9007" t="str">
            <v>Reliance Fixed Horizon Fund XXXIV- Series 10- Direct Plan-Dividend Payout Option</v>
          </cell>
        </row>
        <row r="9008">
          <cell r="F9008" t="str">
            <v>Reliance Fixed Horizon Fund XXXIV- Series 10- Direct Plan-Growth Option</v>
          </cell>
        </row>
        <row r="9009">
          <cell r="F9009" t="str">
            <v>Reliance Fixed Horizon Fund XXXIV- Series 10- Dividend Payout Option</v>
          </cell>
        </row>
        <row r="9010">
          <cell r="F9010" t="str">
            <v>Reliance Fixed Horizon Fund XXXIV- Series 10- Growth Option</v>
          </cell>
        </row>
        <row r="9011">
          <cell r="F9011" t="str">
            <v>Reliance Fixed Horizon Fund XXXIV- Series 2 - Direct Plan- Dividend Payout Option</v>
          </cell>
        </row>
        <row r="9012">
          <cell r="F9012" t="str">
            <v>Reliance Fixed Horizon Fund XXXIV- Series 2 - Direct Plan- Growth Option</v>
          </cell>
        </row>
        <row r="9013">
          <cell r="F9013" t="str">
            <v>Reliance Fixed Horizon Fund XXXIV- Series 2 - Dividend Payout Option</v>
          </cell>
        </row>
        <row r="9014">
          <cell r="F9014" t="str">
            <v>Reliance Fixed Horizon Fund XXXIV- Series 2 - Growth Option</v>
          </cell>
        </row>
        <row r="9015">
          <cell r="F9015" t="str">
            <v>Reliance Fixed Horizon Fund XXXIV- Series 3- Direct Plan-Dividend Payout Option</v>
          </cell>
        </row>
        <row r="9016">
          <cell r="F9016" t="str">
            <v>Reliance Fixed Horizon Fund XXXIV- Series 3- Dividend Payout Option</v>
          </cell>
        </row>
        <row r="9017">
          <cell r="F9017" t="str">
            <v>Reliance Fixed Horizon Fund XXXIV- Series 3- Growth Option</v>
          </cell>
        </row>
        <row r="9018">
          <cell r="F9018" t="str">
            <v>Reliance Fixed Horizon Fund XXXIV- Series 3-Direct Plan- Growth Option</v>
          </cell>
        </row>
        <row r="9019">
          <cell r="F9019" t="str">
            <v>Reliance Fixed Horizon Fund XXXIV- Series 4- Direct Plan-Dividend Payout Option</v>
          </cell>
        </row>
        <row r="9020">
          <cell r="F9020" t="str">
            <v>Reliance Fixed Horizon Fund XXXIV- Series 4- Dividend Payout Option</v>
          </cell>
        </row>
        <row r="9021">
          <cell r="F9021" t="str">
            <v>Reliance Fixed Horizon Fund XXXIV- Series 4- Growth Option</v>
          </cell>
        </row>
        <row r="9022">
          <cell r="F9022" t="str">
            <v>Reliance Fixed Horizon Fund XXXIV- Series 4-Direct Plan- Growth Option</v>
          </cell>
        </row>
        <row r="9023">
          <cell r="F9023" t="str">
            <v>Reliance Fixed Horizon Fund XXXIV- Series 6- Direct Plan- Dividend Payout Option</v>
          </cell>
        </row>
        <row r="9024">
          <cell r="F9024" t="str">
            <v>Reliance Fixed Horizon Fund XXXIV- Series 6- Direct Plan-Growth Option</v>
          </cell>
        </row>
        <row r="9025">
          <cell r="F9025" t="str">
            <v>Reliance Fixed Horizon Fund XXXIV- Series 6- Dividend Payout Option</v>
          </cell>
        </row>
        <row r="9026">
          <cell r="F9026" t="str">
            <v>Reliance Fixed Horizon Fund XXXIV- Series 6- Growth Option</v>
          </cell>
        </row>
        <row r="9027">
          <cell r="F9027" t="str">
            <v>Reliance Fixed Horizon Fund XXXIV- Series 7- Direct Plan- Dividend Payout Option</v>
          </cell>
        </row>
        <row r="9028">
          <cell r="F9028" t="str">
            <v>Reliance Fixed Horizon Fund XXXIV- Series 7- Direct Plan-Growth Option</v>
          </cell>
        </row>
        <row r="9029">
          <cell r="F9029" t="str">
            <v>Reliance Fixed Horizon Fund XXXIV- Series 7- Dividend Payout Option</v>
          </cell>
        </row>
        <row r="9030">
          <cell r="F9030" t="str">
            <v>Reliance Fixed Horizon Fund XXXIV- Series 7- Growth Option</v>
          </cell>
        </row>
        <row r="9031">
          <cell r="F9031" t="str">
            <v>Reliance Fixed Horizon Fund XXXIV- Series 8- Direct Plan- Dividend Payout Option</v>
          </cell>
        </row>
        <row r="9032">
          <cell r="F9032" t="str">
            <v>Reliance Fixed Horizon Fund XXXIV- Series 8- Direct Plan-Growth Option</v>
          </cell>
        </row>
        <row r="9033">
          <cell r="F9033" t="str">
            <v>Reliance Fixed Horizon Fund XXXIV- Series 8- Dividend Payout Option</v>
          </cell>
        </row>
        <row r="9034">
          <cell r="F9034" t="str">
            <v>Reliance Fixed Horizon Fund XXXIV- Series 8- Growth Option</v>
          </cell>
        </row>
        <row r="9035">
          <cell r="F9035" t="str">
            <v>Reliance Fixed Horizon Fund XXXV- Series 11- Direct Plan-Dividend Payout Option</v>
          </cell>
        </row>
        <row r="9036">
          <cell r="F9036" t="str">
            <v>Reliance Fixed Horizon Fund XXXV- Series 11- Direct Plan-Growth Option</v>
          </cell>
        </row>
        <row r="9037">
          <cell r="F9037" t="str">
            <v>Reliance Fixed Horizon Fund XXXV- Series 11- Dividend Payout Option</v>
          </cell>
        </row>
        <row r="9038">
          <cell r="F9038" t="str">
            <v>Reliance Fixed Horizon Fund XXXV- Series 11- Growth Option</v>
          </cell>
        </row>
        <row r="9039">
          <cell r="F9039" t="str">
            <v>Reliance Fixed Horizon Fund XXXV- Series 12- Direct Plan-Dividend Payout Option</v>
          </cell>
        </row>
        <row r="9040">
          <cell r="F9040" t="str">
            <v>Reliance Fixed Horizon Fund XXXV- Series 12- Direct Plan-Growth Option</v>
          </cell>
        </row>
        <row r="9041">
          <cell r="F9041" t="str">
            <v>Reliance Fixed Horizon Fund XXXV- Series 12- Growth Option</v>
          </cell>
        </row>
        <row r="9042">
          <cell r="F9042" t="str">
            <v>Reliance Fixed Horizon Fund XXXV- Series 13- Direct Plan-Dividend Payout Option</v>
          </cell>
        </row>
        <row r="9043">
          <cell r="F9043" t="str">
            <v>Reliance Fixed Horizon Fund XXXV- Series 13- Direct Plan-Growth Option</v>
          </cell>
        </row>
        <row r="9044">
          <cell r="F9044" t="str">
            <v>Reliance Fixed Horizon Fund XXXV- Series 13- Dividend Payout Option</v>
          </cell>
        </row>
        <row r="9045">
          <cell r="F9045" t="str">
            <v>Reliance Fixed Horizon Fund XXXV- Series 13- Growth Option</v>
          </cell>
        </row>
        <row r="9046">
          <cell r="F9046" t="str">
            <v>Reliance Fixed Horizon Fund XXXV- Series 14- Direct Plan-Dividend Payout Option</v>
          </cell>
        </row>
        <row r="9047">
          <cell r="F9047" t="str">
            <v>Reliance Fixed Horizon Fund XXXV- Series 14- Direct Plan-Growth Option</v>
          </cell>
        </row>
        <row r="9048">
          <cell r="F9048" t="str">
            <v>Reliance Fixed Horizon Fund XXXV- Series 14- Dividend Payout Option</v>
          </cell>
        </row>
        <row r="9049">
          <cell r="F9049" t="str">
            <v>Reliance Fixed Horizon Fund XXXV- Series 14- Growth Option</v>
          </cell>
        </row>
        <row r="9050">
          <cell r="F9050" t="str">
            <v>Reliance Fixed Horizon Fund XXXV- Series 15- Direct Plan-Dividend Payout Option</v>
          </cell>
        </row>
        <row r="9051">
          <cell r="F9051" t="str">
            <v>Reliance Fixed Horizon Fund XXXV- Series 15- Direct Plan-Growth Option</v>
          </cell>
        </row>
        <row r="9052">
          <cell r="F9052" t="str">
            <v>Reliance Fixed Horizon Fund XXXV- Series 15- Dividend Payout Option</v>
          </cell>
        </row>
        <row r="9053">
          <cell r="F9053" t="str">
            <v>Reliance Fixed Horizon Fund XXXV- Series 15- Growth Option</v>
          </cell>
        </row>
        <row r="9054">
          <cell r="F9054" t="str">
            <v>Reliance Fixed Horizon Fund XXXV- Series 16- Direct Plan-Dividend Payout Option</v>
          </cell>
        </row>
        <row r="9055">
          <cell r="F9055" t="str">
            <v>Reliance Fixed Horizon Fund XXXV- Series 16- Direct Plan-Growth Option</v>
          </cell>
        </row>
        <row r="9056">
          <cell r="F9056" t="str">
            <v>Reliance Fixed Horizon Fund XXXV- Series 16- Dividend Payout Option</v>
          </cell>
        </row>
        <row r="9057">
          <cell r="F9057" t="str">
            <v>Reliance Fixed Horizon Fund XXXV- Series 16- Growth Option</v>
          </cell>
        </row>
        <row r="9058">
          <cell r="F9058" t="str">
            <v>Reliance Fixed Horizon Fund XXXV- Series 5- Direct Plan- Dividend Payout Option</v>
          </cell>
        </row>
        <row r="9059">
          <cell r="F9059" t="str">
            <v>Reliance Fixed Horizon Fund XXXV- Series 5- Direct Plan-Growth Option</v>
          </cell>
        </row>
        <row r="9060">
          <cell r="F9060" t="str">
            <v>Reliance Fixed Horizon Fund XXXV- Series 5- Dividend Payout Option</v>
          </cell>
        </row>
        <row r="9061">
          <cell r="F9061" t="str">
            <v>Reliance Fixed Horizon Fund XXXV- Series 5- Growth Option</v>
          </cell>
        </row>
        <row r="9062">
          <cell r="F9062" t="str">
            <v>Reliance Fixed Horizon Fund XXXV- Series 6- Direct Plan-Dividend Payout Option</v>
          </cell>
        </row>
        <row r="9063">
          <cell r="F9063" t="str">
            <v>Reliance Fixed Horizon Fund XXXV- Series 6- Direct Plan-Growth Option</v>
          </cell>
        </row>
        <row r="9064">
          <cell r="F9064" t="str">
            <v>Reliance Fixed Horizon Fund XXXV- Series 6- Dividend Payout Option</v>
          </cell>
        </row>
        <row r="9065">
          <cell r="F9065" t="str">
            <v>Reliance Fixed Horizon Fund XXXV- Series 6- Growth Option</v>
          </cell>
        </row>
        <row r="9066">
          <cell r="F9066" t="str">
            <v>Reliance Fixed Horizon Fund XXXV- Series 7- Direct Plan-Growth Option</v>
          </cell>
        </row>
        <row r="9067">
          <cell r="F9067" t="str">
            <v>Reliance Fixed Horizon Fund XXXV- Series 7- Growth Option</v>
          </cell>
        </row>
        <row r="9068">
          <cell r="F9068" t="str">
            <v>Reliance Fixed Horizon Fund XXXV- Series 9- Direct Plan-Dividend Payout Option</v>
          </cell>
        </row>
        <row r="9069">
          <cell r="F9069" t="str">
            <v>Reliance Fixed Horizon Fund XXXV- Series 9- Direct Plan-Growth Option</v>
          </cell>
        </row>
        <row r="9070">
          <cell r="F9070" t="str">
            <v>Reliance Fixed Horizon Fund XXXV- Series 9- Dividend Payout Option</v>
          </cell>
        </row>
        <row r="9071">
          <cell r="F9071" t="str">
            <v>Reliance Fixed Horizon Fund XXXV- Series 9- Growth Option</v>
          </cell>
        </row>
        <row r="9072">
          <cell r="F9072" t="str">
            <v>Reliance Fixed Horizon Fund- XXVI- Series 23- Direct Plan- Dividend Payout Option</v>
          </cell>
        </row>
        <row r="9073">
          <cell r="F9073" t="str">
            <v>Reliance Fixed Horizon Fund- XXVI- Series 23- Dividend Payout Opiton</v>
          </cell>
        </row>
        <row r="9074">
          <cell r="F9074" t="str">
            <v>Reliance Fixed Horizon Fund- XXVI- Series 23- Growth Option</v>
          </cell>
        </row>
        <row r="9075">
          <cell r="F9075" t="str">
            <v>Reliance Fixed Horizon Fund- XXVI- Series 6-  Growth Option</v>
          </cell>
        </row>
        <row r="9076">
          <cell r="F9076" t="str">
            <v>Reliance Fixed Horizon Fund- XXVI- Series 6- Direct Plan - Growth Option</v>
          </cell>
        </row>
        <row r="9077">
          <cell r="F9077" t="str">
            <v>Reliance Fixed Horizon Fund- XXVI- Series 9- Direct Plan - Growth Option</v>
          </cell>
        </row>
        <row r="9078">
          <cell r="F9078" t="str">
            <v>Reliance Fixed Horizon Fund- XXVI- Series 9- Growth Option</v>
          </cell>
        </row>
        <row r="9079">
          <cell r="F9079" t="str">
            <v>Reliance Floating Rate Fund  - Daily Dividend Reinvestment Option</v>
          </cell>
        </row>
        <row r="9080">
          <cell r="F9080" t="str">
            <v>Reliance Floating Rate Fund  - Direct Plan Growth Plan - Growth Option</v>
          </cell>
        </row>
        <row r="9081">
          <cell r="F9081" t="str">
            <v>Reliance Floating Rate Fund  - Direct Plan Monthly Dividend Plan</v>
          </cell>
        </row>
        <row r="9082">
          <cell r="F9082" t="str">
            <v>Reliance Floating Rate Fund  - Direct Plan Weekly Dividend Plan</v>
          </cell>
        </row>
        <row r="9083">
          <cell r="F9083" t="str">
            <v>Reliance Floating Rate Fund  - Monthly Dividend Plan</v>
          </cell>
        </row>
        <row r="9084">
          <cell r="F9084" t="str">
            <v>Reliance Floating Rate Fund  - Quarterly Dividend Plan</v>
          </cell>
        </row>
        <row r="9085">
          <cell r="F9085" t="str">
            <v>Reliance Floating Rate Fund  - Weekly Dividend Plan</v>
          </cell>
        </row>
        <row r="9086">
          <cell r="F9086" t="str">
            <v>Reliance Floating Rate Fund - Direct Plan Daily Dividend Reinvestment Option</v>
          </cell>
        </row>
        <row r="9087">
          <cell r="F9087" t="str">
            <v>Reliance Floating Rate Fund - Direct Plan Quarterly Dividend Plan</v>
          </cell>
        </row>
        <row r="9088">
          <cell r="F9088" t="str">
            <v>Reliance Floating Rate Fund - Growth Plan-Growth Option</v>
          </cell>
        </row>
        <row r="9089">
          <cell r="F9089" t="str">
            <v>Reliance Floating Rate Fund -Direct Plan -Dividend Plan</v>
          </cell>
        </row>
        <row r="9090">
          <cell r="F9090" t="str">
            <v>Reliance Floating Rate Fund -Dividend Plan</v>
          </cell>
        </row>
        <row r="9091">
          <cell r="F9091" t="str">
            <v>Reliance Focused Equity Fund - Direct Plan Dividend Plan</v>
          </cell>
        </row>
        <row r="9092">
          <cell r="F9092" t="str">
            <v>Reliance Focused Equity Fund - Direct Plan Growth Plan - Growth Option</v>
          </cell>
        </row>
        <row r="9093">
          <cell r="F9093" t="str">
            <v>Reliance Focused Equity Fund -Dividend Plan</v>
          </cell>
        </row>
        <row r="9094">
          <cell r="F9094" t="str">
            <v>Reliance Focused Equity Fund -Growth Plan -Growth Option</v>
          </cell>
        </row>
        <row r="9095">
          <cell r="F9095" t="str">
            <v>Reliance Focused Large Cap Fund - Direct Plan Dividend Plan</v>
          </cell>
        </row>
        <row r="9096">
          <cell r="F9096" t="str">
            <v>Reliance Focused Large Cap Fund - Direct Plan Growth Plan - Bonus Option</v>
          </cell>
        </row>
        <row r="9097">
          <cell r="F9097" t="str">
            <v>Reliance Focused Large Cap Fund - Direct Plan Growth Plan - Growth Option</v>
          </cell>
        </row>
        <row r="9098">
          <cell r="F9098" t="str">
            <v>Reliance Focused Large Cap Fund-Dividend Plan</v>
          </cell>
        </row>
        <row r="9099">
          <cell r="F9099" t="str">
            <v>Reliance Focused Large Cap Fund-Growth Plan-Bonus Option</v>
          </cell>
        </row>
        <row r="9100">
          <cell r="F9100" t="str">
            <v>Reliance Focused Large Cap Fund-Growth Plan-Growth Option</v>
          </cell>
        </row>
        <row r="9101">
          <cell r="F9101" t="str">
            <v>Reliance Gilt Securities Fund - Direct Plan - P F Option - Automatic Annual Reinvest Option</v>
          </cell>
        </row>
        <row r="9102">
          <cell r="F9102" t="str">
            <v>Reliance Gilt Securities Fund - Direct Plan - P F Option - Automatic Capital Appreciation Payout Option</v>
          </cell>
        </row>
        <row r="9103">
          <cell r="F9103" t="str">
            <v>Reliance Gilt Securities Fund - Direct Plan - P F Option - Defined Maturity Date Option</v>
          </cell>
        </row>
        <row r="9104">
          <cell r="F9104" t="str">
            <v>Reliance Gilt Securities Fund - Direct Plan Growth Plan - Growth Option</v>
          </cell>
        </row>
        <row r="9105">
          <cell r="F9105" t="str">
            <v>Reliance Gilt Securities Fund - Direct Plan- Monthly Dividend Plan</v>
          </cell>
        </row>
        <row r="9106">
          <cell r="F9106" t="str">
            <v>Reliance Gilt Securities Fund - Institutional Plan-Growth Plan -Growth Option</v>
          </cell>
        </row>
        <row r="9107">
          <cell r="F9107" t="str">
            <v>Reliance Gilt Securities Fund -Growth Plan - Growth Option</v>
          </cell>
        </row>
        <row r="9108">
          <cell r="F9108" t="str">
            <v>Reliance Gilt Securities Fund -Monthly Dividend Plan</v>
          </cell>
        </row>
        <row r="9109">
          <cell r="F9109" t="str">
            <v>Reliance Gilt Securities Fund -P F Option-Automatic Annual Reinvest Option</v>
          </cell>
        </row>
        <row r="9110">
          <cell r="F9110" t="str">
            <v>Reliance Gilt Securities Fund -P F Option-Defined Maturity Date Option</v>
          </cell>
        </row>
        <row r="9111">
          <cell r="F9111" t="str">
            <v>Reliance Gilt Securities Fund- Direct Plan- Growth Plan- Bonus Option</v>
          </cell>
        </row>
        <row r="9112">
          <cell r="F9112" t="str">
            <v>Reliance Gilt Securities Fund- Growth Plan- Bonus Option</v>
          </cell>
        </row>
        <row r="9113">
          <cell r="F9113" t="str">
            <v>Reliance Gilt Securities Fund-P F Option-Automatic Capital Appreciation Payout Option</v>
          </cell>
        </row>
        <row r="9114">
          <cell r="F9114" t="str">
            <v>Reliance Gold Savings Fund - Direct Plan Dividend Plan</v>
          </cell>
        </row>
        <row r="9115">
          <cell r="F9115" t="str">
            <v>Reliance Gold Savings Fund - Direct Plan Growth Plan - Growth Option</v>
          </cell>
        </row>
        <row r="9116">
          <cell r="F9116" t="str">
            <v>Reliance Gold Savings Fund-Dividend Plan</v>
          </cell>
        </row>
        <row r="9117">
          <cell r="F9117" t="str">
            <v>Reliance Gold Savings Fund-Growth plan- Growth Option</v>
          </cell>
        </row>
        <row r="9118">
          <cell r="F9118" t="str">
            <v>Reliance Growth Fund - Direct Plan Dividend Plan</v>
          </cell>
        </row>
        <row r="9119">
          <cell r="F9119" t="str">
            <v>Reliance Growth Fund - Direct Plan Growth Plan - Bonus Option</v>
          </cell>
        </row>
        <row r="9120">
          <cell r="F9120" t="str">
            <v>Reliance Growth Fund - Direct Plan Growth Plan - Growth Option</v>
          </cell>
        </row>
        <row r="9121">
          <cell r="F9121" t="str">
            <v>Reliance Growth Fund Institutional Plan Dividend Plan</v>
          </cell>
        </row>
        <row r="9122">
          <cell r="F9122" t="str">
            <v>Reliance Growth Fund-Dividend Plan-(D)</v>
          </cell>
        </row>
        <row r="9123">
          <cell r="F9123" t="str">
            <v>Reliance Growth Fund-Growth Plan-Bonus Option</v>
          </cell>
        </row>
        <row r="9124">
          <cell r="F9124" t="str">
            <v>Reliance Growth Fund-Growth Plan-Growth Option</v>
          </cell>
        </row>
        <row r="9125">
          <cell r="F9125" t="str">
            <v>Reliance Hybrid Bond Fund - Direct Plan Growth Plan - Growth Option</v>
          </cell>
        </row>
        <row r="9126">
          <cell r="F9126" t="str">
            <v>Reliance Hybrid Bond Fund - Direct Plan Monthly Dividend Plan</v>
          </cell>
        </row>
        <row r="9127">
          <cell r="F9127" t="str">
            <v>Reliance Hybrid Bond Fund - Direct Plan Quarterly Dividend Plan</v>
          </cell>
        </row>
        <row r="9128">
          <cell r="F9128" t="str">
            <v>Reliance Hybrid Bond Fund-Growth Plan</v>
          </cell>
        </row>
        <row r="9129">
          <cell r="F9129" t="str">
            <v>Reliance Hybrid Bond Fund-Monthly Dividend Plan</v>
          </cell>
        </row>
        <row r="9130">
          <cell r="F9130" t="str">
            <v>Reliance Hybrid Bond Fund-Quarterly Diviend Plan</v>
          </cell>
        </row>
        <row r="9131">
          <cell r="F9131" t="str">
            <v>Reliance Income Fund - Annual Dividend Plan</v>
          </cell>
        </row>
        <row r="9132">
          <cell r="F9132" t="str">
            <v>Reliance Income Fund - Direct Plan Annual Dividend Plan</v>
          </cell>
        </row>
        <row r="9133">
          <cell r="F9133" t="str">
            <v>Reliance Income Fund - Direct Plan Growth Plan - Growth Option</v>
          </cell>
        </row>
        <row r="9134">
          <cell r="F9134" t="str">
            <v>Reliance Income Fund - Direct Plan Growth Plan-Bonus Option</v>
          </cell>
        </row>
        <row r="9135">
          <cell r="F9135" t="str">
            <v>Reliance Income Fund - Direct Plan Half Yearly Dividend Plan</v>
          </cell>
        </row>
        <row r="9136">
          <cell r="F9136" t="str">
            <v>Reliance Income Fund - Direct Plan Monthly Dividend Plan</v>
          </cell>
        </row>
        <row r="9137">
          <cell r="F9137" t="str">
            <v>Reliance Income Fund - Direct Plan Quarterly Dividend Plan</v>
          </cell>
        </row>
        <row r="9138">
          <cell r="F9138" t="str">
            <v>Reliance Income Fund - Growth Plan Bonus Option</v>
          </cell>
        </row>
        <row r="9139">
          <cell r="F9139" t="str">
            <v>Reliance Income Fund - Growth Plan Growth Option</v>
          </cell>
        </row>
        <row r="9140">
          <cell r="F9140" t="str">
            <v>Reliance Income Fund - Half Yearly Dividend Plan</v>
          </cell>
        </row>
        <row r="9141">
          <cell r="F9141" t="str">
            <v>Reliance Income Fund - Monthly Dividend Plan</v>
          </cell>
        </row>
        <row r="9142">
          <cell r="F9142" t="str">
            <v>Reliance Income Fund - Quarterly Dividend Plan</v>
          </cell>
        </row>
        <row r="9143">
          <cell r="F9143" t="str">
            <v>Reliance Index Fund - Nifty Plan - Direct Plan Growth Plan - Bonus Option</v>
          </cell>
        </row>
        <row r="9144">
          <cell r="F9144" t="str">
            <v>Reliance Index Fund - Nifty Plan - Direct Plan Growth Plan - Growth Option</v>
          </cell>
        </row>
        <row r="9145">
          <cell r="F9145" t="str">
            <v>Reliance Index Fund - Nifty Plan - Direct Plan Half Yearly Dividend Plan</v>
          </cell>
        </row>
        <row r="9146">
          <cell r="F9146" t="str">
            <v>Reliance Index Fund - Nifty Plan - Direct Plan Quarterly Dividend Plan</v>
          </cell>
        </row>
        <row r="9147">
          <cell r="F9147" t="str">
            <v>Reliance Index Fund - Nifty Plan - Direct Plan Yearly Dividend Plan</v>
          </cell>
        </row>
        <row r="9148">
          <cell r="F9148" t="str">
            <v>Reliance Index Fund - Nifty Plan - Growth Plan - Bonus Option</v>
          </cell>
        </row>
        <row r="9149">
          <cell r="F9149" t="str">
            <v>Reliance Index Fund - Nifty Plan - Growth Plan - Growth Option</v>
          </cell>
        </row>
        <row r="9150">
          <cell r="F9150" t="str">
            <v>Reliance Index Fund - Nifty Plan - Quarterly Dividend Plan</v>
          </cell>
        </row>
        <row r="9151">
          <cell r="F9151" t="str">
            <v>Reliance Index Fund - Nifty Plan- Annual Dividend Plan</v>
          </cell>
        </row>
        <row r="9152">
          <cell r="F9152" t="str">
            <v>Reliance Index Fund - Nifty Plan- Half Yearly Dividend Plan</v>
          </cell>
        </row>
        <row r="9153">
          <cell r="F9153" t="str">
            <v>Reliance Index Fund - Sensex Plan - Annual Dividend Plan</v>
          </cell>
        </row>
        <row r="9154">
          <cell r="F9154" t="str">
            <v>Reliance Index Fund - Sensex Plan - Direct Plan - Annual Dividend Plan</v>
          </cell>
        </row>
        <row r="9155">
          <cell r="F9155" t="str">
            <v>Reliance Index Fund - Sensex Plan - Direct Plan - Half Yearly Dividend Plan</v>
          </cell>
        </row>
        <row r="9156">
          <cell r="F9156" t="str">
            <v>Reliance Index Fund - Sensex Plan - Direct Plan - Quarterly Dividend Plan</v>
          </cell>
        </row>
        <row r="9157">
          <cell r="F9157" t="str">
            <v>Reliance Index Fund - Sensex Plan - Direct Plan Growth Plan - Bonus Option</v>
          </cell>
        </row>
        <row r="9158">
          <cell r="F9158" t="str">
            <v>Reliance Index Fund - Sensex Plan - Direct Plan Growth Plan - Growth Option</v>
          </cell>
        </row>
        <row r="9159">
          <cell r="F9159" t="str">
            <v>Reliance Index Fund - Sensex Plan - Growth Plan - Bonus Option</v>
          </cell>
        </row>
        <row r="9160">
          <cell r="F9160" t="str">
            <v>Reliance Index Fund - Sensex Plan - Growth Plan - Growth Option</v>
          </cell>
        </row>
        <row r="9161">
          <cell r="F9161" t="str">
            <v>Reliance Index Fund - Sensex Plan - Half Yearly Dividend Plan</v>
          </cell>
        </row>
        <row r="9162">
          <cell r="F9162" t="str">
            <v>Reliance Index Fund - Sensex Plan - Quarterly Dividend Plan</v>
          </cell>
        </row>
        <row r="9163">
          <cell r="F9163" t="str">
            <v>Reliance Interval Fund - Quarterly Plan - Series I - Direct Plan Dividend Plan - Dividend Payout Option</v>
          </cell>
        </row>
        <row r="9164">
          <cell r="F9164" t="str">
            <v>Reliance Interval Fund - Quarterly Plan - Series I - Direct Plan Growth Plan - Growth</v>
          </cell>
        </row>
        <row r="9165">
          <cell r="F9165" t="str">
            <v>Reliance Interval Fund -IV -Series 2 - Direct Plan - Dividend Payout Option</v>
          </cell>
        </row>
        <row r="9166">
          <cell r="F9166" t="str">
            <v>Reliance Interval Fund -IV -Series 2 - Direct Plan - Growth Option</v>
          </cell>
        </row>
        <row r="9167">
          <cell r="F9167" t="str">
            <v>Reliance Interval Fund -IV -Series 2 - Dividend Payout Option</v>
          </cell>
        </row>
        <row r="9168">
          <cell r="F9168" t="str">
            <v>Reliance Interval Fund -IV -Series 2 - Growth Option</v>
          </cell>
        </row>
        <row r="9169">
          <cell r="F9169" t="str">
            <v>Reliance Interval Fund Annual Interval Fund Series-I -Dividend Option</v>
          </cell>
        </row>
        <row r="9170">
          <cell r="F9170" t="str">
            <v>Reliance Interval Fund Annual Interval Fund Series-I- Growth Option</v>
          </cell>
        </row>
        <row r="9171">
          <cell r="F9171" t="str">
            <v>Reliance Interval Fund Annual Interval Fund Series-I-Retail Plan Growth Option</v>
          </cell>
        </row>
        <row r="9172">
          <cell r="F9172" t="str">
            <v>Reliance Interval Fund Annual Interval Fund Series-I-Retail Plan-Dividend Option</v>
          </cell>
        </row>
        <row r="9173">
          <cell r="F9173" t="str">
            <v>Reliance Interval Fund IV- Series 3- Direct Plan-Dividend Payout Option</v>
          </cell>
        </row>
        <row r="9174">
          <cell r="F9174" t="str">
            <v>Reliance Interval Fund IV- Series 3- Direct Plan-Growth option</v>
          </cell>
        </row>
        <row r="9175">
          <cell r="F9175" t="str">
            <v>Reliance Interval Fund IV- Series 3- Dividend Payout Option</v>
          </cell>
        </row>
        <row r="9176">
          <cell r="F9176" t="str">
            <v>Reliance Interval Fund IV- Series 3- Growth option</v>
          </cell>
        </row>
        <row r="9177">
          <cell r="F9177" t="str">
            <v>Reliance Interval Fund-Monthly Interval Fund-Series-I -Dividend Option</v>
          </cell>
        </row>
        <row r="9178">
          <cell r="F9178" t="str">
            <v>Reliance Interval Fund-Monthly Interval Fund-Series-I- Growth Option</v>
          </cell>
        </row>
        <row r="9179">
          <cell r="F9179" t="str">
            <v>Reliance Interval Fund-Monthly Interval Fund-Series-I-Institutional Plan-Dividend Option</v>
          </cell>
        </row>
        <row r="9180">
          <cell r="F9180" t="str">
            <v>Reliance Interval Fund-Monthly Interval Fund-Series-II -Dividend Option</v>
          </cell>
        </row>
        <row r="9181">
          <cell r="F9181" t="str">
            <v>Reliance Interval Fund-Monthly Interval Fund-Series-II -Growth Option</v>
          </cell>
        </row>
        <row r="9182">
          <cell r="F9182" t="str">
            <v>Reliance Interval Fund-Monthly Interval Fund-Series-II-Institutional Plan-Dividend Option</v>
          </cell>
        </row>
        <row r="9183">
          <cell r="F9183" t="str">
            <v>Reliance Interval Fund-Quarterly Interval Fund Series-II-Dividend Option</v>
          </cell>
        </row>
        <row r="9184">
          <cell r="F9184" t="str">
            <v>Reliance Interval Fund-Quarterly Interval Fund Series-II-Growth Option</v>
          </cell>
        </row>
        <row r="9185">
          <cell r="F9185" t="str">
            <v>Reliance Interval Fund-Quarterly Interval Fund-Series-I - Growth Option</v>
          </cell>
        </row>
        <row r="9186">
          <cell r="F9186" t="str">
            <v>Reliance Interval Fund-Quarterly Interval Fund-Series-I -Dividend Option</v>
          </cell>
        </row>
        <row r="9187">
          <cell r="F9187" t="str">
            <v>Reliance Interval Fund-Quarterly Interval Fund-Series-I-Institutional Plan-Dividend Option</v>
          </cell>
        </row>
        <row r="9188">
          <cell r="F9188" t="str">
            <v>Reliance Interval Fund-Quarterly Interval Fund-Series-III- Dividend Option</v>
          </cell>
        </row>
        <row r="9189">
          <cell r="F9189" t="str">
            <v>Reliance Interval Fund-Quarterly Interval Fund-Series-III- Growth Option</v>
          </cell>
        </row>
        <row r="9190">
          <cell r="F9190" t="str">
            <v>Reliance Interval Fund-Quarterly Interval Fund-Series-III-Institutional Plan-Dividend Option</v>
          </cell>
        </row>
        <row r="9191">
          <cell r="F9191" t="str">
            <v>Reliance Interval Fund-Quarterly Interval Fund-Series-III-Institutional Plan-Growth Option</v>
          </cell>
        </row>
        <row r="9192">
          <cell r="F9192" t="str">
            <v>Reliance Japan Equity Fund- Direct Plan- Dividend Plan</v>
          </cell>
        </row>
        <row r="9193">
          <cell r="F9193" t="str">
            <v>Reliance Japan Equity Fund- Direct Plan- Growth Plan- Bonus Option</v>
          </cell>
        </row>
        <row r="9194">
          <cell r="F9194" t="str">
            <v>Reliance Japan Equity Fund- Direct Plan- Growth Plan- Growth Option</v>
          </cell>
        </row>
        <row r="9195">
          <cell r="F9195" t="str">
            <v>Reliance Japan Equity Fund- Dividend Plan</v>
          </cell>
        </row>
        <row r="9196">
          <cell r="F9196" t="str">
            <v>Reliance Japan Equity Fund- Growth Plan- Bonus Option</v>
          </cell>
        </row>
        <row r="9197">
          <cell r="F9197" t="str">
            <v>Reliance Japan Equity Fund- Growth Plan- Growth Option</v>
          </cell>
        </row>
        <row r="9198">
          <cell r="F9198" t="str">
            <v>Reliance Large Cap  Fund- Growth Plan -Growth Option</v>
          </cell>
        </row>
        <row r="9199">
          <cell r="F9199" t="str">
            <v>Reliance Large Cap Fund - Direct Plan Dividend Plan</v>
          </cell>
        </row>
        <row r="9200">
          <cell r="F9200" t="str">
            <v>Reliance Large Cap Fund - Direct Plan Growth Plan - Bonus Option</v>
          </cell>
        </row>
        <row r="9201">
          <cell r="F9201" t="str">
            <v>Reliance Large Cap Fund - Direct Plan Growth Plan - Growth Option</v>
          </cell>
        </row>
        <row r="9202">
          <cell r="F9202" t="str">
            <v>Reliance Large Cap Fund- Dividend Plan</v>
          </cell>
        </row>
        <row r="9203">
          <cell r="F9203" t="str">
            <v>Reliance Large Cap Fund- Growth Plan Bonus Option</v>
          </cell>
        </row>
        <row r="9204">
          <cell r="F9204" t="str">
            <v>Reliance Large Cap Fund-Institutional Plan Growth Plan Bonus Option</v>
          </cell>
        </row>
        <row r="9205">
          <cell r="F9205" t="str">
            <v>Reliance Liquid Fund - Cash Plan - Direct Plan - Growth Plan - Growth Option</v>
          </cell>
        </row>
        <row r="9206">
          <cell r="F9206" t="str">
            <v>Reliance Liquid Fund - Cash Plan - Direct Plan Daily Dividend Reinvestment Option</v>
          </cell>
        </row>
        <row r="9207">
          <cell r="F9207" t="str">
            <v>Reliance Liquid Fund - Cash Plan - Direct Plan Monthly Dividend Plan</v>
          </cell>
        </row>
        <row r="9208">
          <cell r="F9208" t="str">
            <v>Reliance Liquid Fund - Cash Plan - Direct Plan Quarterly Dividend Plan</v>
          </cell>
        </row>
        <row r="9209">
          <cell r="F9209" t="str">
            <v>Reliance Liquid Fund - Cash Plan - Direct Plan Weekly Dividend Reinvestment Option</v>
          </cell>
        </row>
        <row r="9210">
          <cell r="F9210" t="str">
            <v>Reliance Liquid Fund - Direct Plan Daily Dividend Reinvestment Option</v>
          </cell>
        </row>
        <row r="9211">
          <cell r="F9211" t="str">
            <v>Reliance Liquid Fund - Direct Plan Growth Plan - Growth Option</v>
          </cell>
        </row>
        <row r="9212">
          <cell r="F9212" t="str">
            <v>Reliance Liquid Fund - Direct Plan Monthly Dividend Plan</v>
          </cell>
        </row>
        <row r="9213">
          <cell r="F9213" t="str">
            <v>Reliance Liquid Fund - Direct Plan Quarterly Dividend Plan</v>
          </cell>
        </row>
        <row r="9214">
          <cell r="F9214" t="str">
            <v>Reliance Liquid Fund - Direct Plan Weekly Dividend Reinvestment Option</v>
          </cell>
        </row>
        <row r="9215">
          <cell r="F9215" t="str">
            <v>Reliance Liquid Fund - Quarterly Dividend Plan</v>
          </cell>
        </row>
        <row r="9216">
          <cell r="F9216" t="str">
            <v>Reliance Liquid Fund - Retail Option - Daily Dividend Reinvestmetn Option</v>
          </cell>
        </row>
        <row r="9217">
          <cell r="F9217" t="str">
            <v>Reliance Liquid Fund - Retail Option - Growth Plan</v>
          </cell>
        </row>
        <row r="9218">
          <cell r="F9218" t="str">
            <v>Reliance Liquid Fund - Retail Plan - Weekly Dividend Reinvestment Option</v>
          </cell>
        </row>
        <row r="9219">
          <cell r="F9219" t="str">
            <v>Reliance Liquid Fund - Retail Plan Monthly Dividend Plan</v>
          </cell>
        </row>
        <row r="9220">
          <cell r="F9220" t="str">
            <v>Reliance Liquid Fund - Retail Plan Quarterly Dividend Plan</v>
          </cell>
        </row>
        <row r="9221">
          <cell r="F9221" t="str">
            <v>Reliance Liquid Fund -Daily Dividend Reinvestment Option</v>
          </cell>
        </row>
        <row r="9222">
          <cell r="F9222" t="str">
            <v>Reliance Liquid Fund -Growth Plan</v>
          </cell>
        </row>
        <row r="9223">
          <cell r="F9223" t="str">
            <v>Reliance Liquid Fund -Monthly Dividend Plan</v>
          </cell>
        </row>
        <row r="9224">
          <cell r="F9224" t="str">
            <v>Reliance Liquid Fund -Weekly Dividend Reinvestment Option</v>
          </cell>
        </row>
        <row r="9225">
          <cell r="F9225" t="str">
            <v>Reliance Liquid Fund-Cash Plan-Daily Dividend Reinvestment Option</v>
          </cell>
        </row>
        <row r="9226">
          <cell r="F9226" t="str">
            <v>Reliance Liquid Fund-Cash Plan-Growth Plan</v>
          </cell>
        </row>
        <row r="9227">
          <cell r="F9227" t="str">
            <v>Reliance Liquid Fund-Cash Plan-Monthly Dividend Plan</v>
          </cell>
        </row>
        <row r="9228">
          <cell r="F9228" t="str">
            <v>Reliance Liquid Fund-Cash Plan-Quarterly Dividend Plan</v>
          </cell>
        </row>
        <row r="9229">
          <cell r="F9229" t="str">
            <v>Reliance Liquid Fund-Cash Plan-Weekly Dividend Reinvestment Option</v>
          </cell>
        </row>
        <row r="9230">
          <cell r="F9230" t="str">
            <v>Reliance Low Duration Fund - Direct Plan - Dividend Plan</v>
          </cell>
        </row>
        <row r="9231">
          <cell r="F9231" t="str">
            <v>Reliance Low Duration Fund - Direct Plan Daily Dividend Reinvestment Option</v>
          </cell>
        </row>
        <row r="9232">
          <cell r="F9232" t="str">
            <v>Reliance Low Duration Fund - Direct Plan Growth Plan - Bonus Option</v>
          </cell>
        </row>
        <row r="9233">
          <cell r="F9233" t="str">
            <v>Reliance Low Duration Fund - Direct Plan Growth Plan - Growth Option</v>
          </cell>
        </row>
        <row r="9234">
          <cell r="F9234" t="str">
            <v>Reliance Low Duration Fund - Direct Plan Monthly Dividend Plan</v>
          </cell>
        </row>
        <row r="9235">
          <cell r="F9235" t="str">
            <v>Reliance Low Duration Fund - Direct Plan Quarterly Dividend Plan</v>
          </cell>
        </row>
        <row r="9236">
          <cell r="F9236" t="str">
            <v>Reliance Low Duration Fund - Direct Plan Weekly Dividend Plan</v>
          </cell>
        </row>
        <row r="9237">
          <cell r="F9237" t="str">
            <v>Reliance Low Duration Fund - Dividend Plan</v>
          </cell>
        </row>
        <row r="9238">
          <cell r="F9238" t="str">
            <v>Reliance Low Duration Fund - Retail Plan - Daily Dividend Reinvestment Option</v>
          </cell>
        </row>
        <row r="9239">
          <cell r="F9239" t="str">
            <v>Reliance Low Duration Fund - Retail Plan - Growth Plan - Growth Option</v>
          </cell>
        </row>
        <row r="9240">
          <cell r="F9240" t="str">
            <v>Reliance Low Duration Fund - Retail Plan - Growth Plan -Bonus Option</v>
          </cell>
        </row>
        <row r="9241">
          <cell r="F9241" t="str">
            <v>Reliance Low Duration Fund - Retail Plan - Monthly Dividend Plan</v>
          </cell>
        </row>
        <row r="9242">
          <cell r="F9242" t="str">
            <v>Reliance Low Duration Fund - Retail Plan - Quarterly Dividend Plan</v>
          </cell>
        </row>
        <row r="9243">
          <cell r="F9243" t="str">
            <v>Reliance Low Duration Fund - Retail Plan - Weekly Dividend Plan</v>
          </cell>
        </row>
        <row r="9244">
          <cell r="F9244" t="str">
            <v>Reliance Low Duration Fund -Daily Dividend Reinvestment Option</v>
          </cell>
        </row>
        <row r="9245">
          <cell r="F9245" t="str">
            <v>Reliance Low Duration Fund -Growth Plan -Bonus Option</v>
          </cell>
        </row>
        <row r="9246">
          <cell r="F9246" t="str">
            <v>Reliance Low Duration Fund -Monthly Dividend Plan</v>
          </cell>
        </row>
        <row r="9247">
          <cell r="F9247" t="str">
            <v>Reliance Low Duration Fund -Quarterly Dividend Plan</v>
          </cell>
        </row>
        <row r="9248">
          <cell r="F9248" t="str">
            <v>Reliance Low Duration Fund -Weekly Dividend Plan</v>
          </cell>
        </row>
        <row r="9249">
          <cell r="F9249" t="str">
            <v>Reliance Low Duration Fund- Growth Plan - Growth Option</v>
          </cell>
        </row>
        <row r="9250">
          <cell r="F9250" t="str">
            <v>Reliance Money Market Fund - Direct Plan Daily Dividend Reinvestment Option</v>
          </cell>
        </row>
        <row r="9251">
          <cell r="F9251" t="str">
            <v>Reliance Money Market Fund - Direct Plan Growth Plan - Bonus Option</v>
          </cell>
        </row>
        <row r="9252">
          <cell r="F9252" t="str">
            <v>Reliance Money Market Fund - Direct Plan Growth Plan - Growth Option</v>
          </cell>
        </row>
        <row r="9253">
          <cell r="F9253" t="str">
            <v>Reliance Money Market Fund - Direct Plan Monthly Dividend Plan</v>
          </cell>
        </row>
        <row r="9254">
          <cell r="F9254" t="str">
            <v>Reliance Money Market Fund - Direct Plan Quarterly Dividend Plan</v>
          </cell>
        </row>
        <row r="9255">
          <cell r="F9255" t="str">
            <v>Reliance Money Market Fund - Direct Plan Weekly Dividend Reinvestment Option</v>
          </cell>
        </row>
        <row r="9256">
          <cell r="F9256" t="str">
            <v>Reliance Money Market Fund-Dividend Plan-Daily Dividend Reinvestment Option</v>
          </cell>
        </row>
        <row r="9257">
          <cell r="F9257" t="str">
            <v>Reliance Money Market Fund-Dividend Plan-Monthly Dividend Plan</v>
          </cell>
        </row>
        <row r="9258">
          <cell r="F9258" t="str">
            <v>Reliance Money Market Fund-Dividend Plan-Quarterly Dividend Plan</v>
          </cell>
        </row>
        <row r="9259">
          <cell r="F9259" t="str">
            <v>Reliance Money Market Fund-Dividend Plan-Weekly Dividend Reinvesment Option</v>
          </cell>
        </row>
        <row r="9260">
          <cell r="F9260" t="str">
            <v>Reliance Money Market Fund-Growth Plan-Bonus Option</v>
          </cell>
        </row>
        <row r="9261">
          <cell r="F9261" t="str">
            <v>Reliance Money Market Fund-Growth Plan-Growth Option</v>
          </cell>
        </row>
        <row r="9262">
          <cell r="F9262" t="str">
            <v>Reliance Monthly Interval Fund - Series I - Direct Plan Dividend Plan - Dividend Payout Option</v>
          </cell>
        </row>
        <row r="9263">
          <cell r="F9263" t="str">
            <v>Reliance Monthly Interval Fund - Series I - Direct Plan Growth Plan - Growth</v>
          </cell>
        </row>
        <row r="9264">
          <cell r="F9264" t="str">
            <v>Reliance Monthly Interval Fund - Series II - Direct Plan Dividend Plan - Dividend Payout Option</v>
          </cell>
        </row>
        <row r="9265">
          <cell r="F9265" t="str">
            <v>Reliance Monthly Interval Fund - Series II - Direct Plan Growth Plan - Growth</v>
          </cell>
        </row>
        <row r="9266">
          <cell r="F9266" t="str">
            <v>Reliance Multi Cap  Fund-Dividend Plan</v>
          </cell>
        </row>
        <row r="9267">
          <cell r="F9267" t="str">
            <v>Reliance Multi Cap Fund - Direct Plan Dividend Plan</v>
          </cell>
        </row>
        <row r="9268">
          <cell r="F9268" t="str">
            <v>Reliance Multi Cap Fund - Direct Plan Growth Plan - Bonus Option</v>
          </cell>
        </row>
        <row r="9269">
          <cell r="F9269" t="str">
            <v>Reliance Multi Cap Fund - Direct Plan Growth Plan - Growth Option</v>
          </cell>
        </row>
        <row r="9270">
          <cell r="F9270" t="str">
            <v>Reliance Multi Cap Fund-Growth Plan-Bonus Option</v>
          </cell>
        </row>
        <row r="9271">
          <cell r="F9271" t="str">
            <v>Reliance Multi Cap Fund-Growth Plan-Growth Option</v>
          </cell>
        </row>
        <row r="9272">
          <cell r="F9272" t="str">
            <v>Reliance Pharma Fund - Direct Plan Dividend Plan</v>
          </cell>
        </row>
        <row r="9273">
          <cell r="F9273" t="str">
            <v>Reliance Pharma Fund - Direct Plan Growth Plan - Bonus Option</v>
          </cell>
        </row>
        <row r="9274">
          <cell r="F9274" t="str">
            <v>Reliance Pharma Fund - Direct Plan Growth Plan - Growth Option</v>
          </cell>
        </row>
        <row r="9275">
          <cell r="F9275" t="str">
            <v>Reliance Pharma Fund-Dividend Plan</v>
          </cell>
        </row>
        <row r="9276">
          <cell r="F9276" t="str">
            <v>Reliance Pharma Fund-Growth Plan-Bonus Option</v>
          </cell>
        </row>
        <row r="9277">
          <cell r="F9277" t="str">
            <v>Reliance Pharma Fund-Growth Plan-Growth Option</v>
          </cell>
        </row>
        <row r="9278">
          <cell r="F9278" t="str">
            <v>Reliance Power &amp; Infra Fund - Direct Plan Dividend Plan</v>
          </cell>
        </row>
        <row r="9279">
          <cell r="F9279" t="str">
            <v>Reliance Power &amp; Infra Fund - Direct Plan Growth Plan - Bonus Option</v>
          </cell>
        </row>
        <row r="9280">
          <cell r="F9280" t="str">
            <v>Reliance Power &amp; Infra Fund - Direct Plan Growth Plan - Growth Option</v>
          </cell>
        </row>
        <row r="9281">
          <cell r="F9281" t="str">
            <v>Reliance Power &amp; Infra Fund-Dividend Plan</v>
          </cell>
        </row>
        <row r="9282">
          <cell r="F9282" t="str">
            <v>Reliance Power &amp; Infra Fund-Growth Plan -Growth Option</v>
          </cell>
        </row>
        <row r="9283">
          <cell r="F9283" t="str">
            <v>Reliance Power &amp; Infra Fund-Growth Plan-Bonus Option</v>
          </cell>
        </row>
        <row r="9284">
          <cell r="F9284" t="str">
            <v>Reliance Prime Debt Fund - Direct Plan - Dividend Plan</v>
          </cell>
        </row>
        <row r="9285">
          <cell r="F9285" t="str">
            <v>Reliance Prime Debt Fund - Direct Plan Daily Dividend Reinvestment Option</v>
          </cell>
        </row>
        <row r="9286">
          <cell r="F9286" t="str">
            <v>Reliance Prime Debt Fund - Direct Plan Growth Plan - Bonus</v>
          </cell>
        </row>
        <row r="9287">
          <cell r="F9287" t="str">
            <v>Reliance Prime Debt Fund - Direct Plan Growth Plan - Growth Option</v>
          </cell>
        </row>
        <row r="9288">
          <cell r="F9288" t="str">
            <v>Reliance Prime Debt Fund - Direct Plan Monthly Dividend Plan</v>
          </cell>
        </row>
        <row r="9289">
          <cell r="F9289" t="str">
            <v>Reliance Prime Debt Fund - Direct Plan Quarterly Dividend Plan</v>
          </cell>
        </row>
        <row r="9290">
          <cell r="F9290" t="str">
            <v>Reliance Prime Debt Fund - Direct Plan Weekly Dividend Plan</v>
          </cell>
        </row>
        <row r="9291">
          <cell r="F9291" t="str">
            <v>Reliance Prime Debt Fund - Dividend Plan</v>
          </cell>
        </row>
        <row r="9292">
          <cell r="F9292" t="str">
            <v>Reliance Prime Debt Fund - Growth Plan - Bonus Option</v>
          </cell>
        </row>
        <row r="9293">
          <cell r="F9293" t="str">
            <v>Reliance Prime Debt Fund - Growth Plan - Growth Option</v>
          </cell>
        </row>
        <row r="9294">
          <cell r="F9294" t="str">
            <v>Reliance Prime Debt Fund - Monthly Dividend Plan</v>
          </cell>
        </row>
        <row r="9295">
          <cell r="F9295" t="str">
            <v>Reliance Prime Debt Fund - Quarterly Dividend Plan</v>
          </cell>
        </row>
        <row r="9296">
          <cell r="F9296" t="str">
            <v>Reliance Prime Debt Fund- Daily Dividend Reinvestment Plan</v>
          </cell>
        </row>
        <row r="9297">
          <cell r="F9297" t="str">
            <v>Reliance Prime Debt Fund- Weekly Dividend Plan</v>
          </cell>
        </row>
        <row r="9298">
          <cell r="F9298" t="str">
            <v>Reliance Quant Fund - Direct Plan Dividend Plan</v>
          </cell>
        </row>
        <row r="9299">
          <cell r="F9299" t="str">
            <v>Reliance Quant Fund - Direct Plan Growth Plan - Bonus Option</v>
          </cell>
        </row>
        <row r="9300">
          <cell r="F9300" t="str">
            <v>Reliance Quant Fund - Direct Plan Growth Plan - Growth Option</v>
          </cell>
        </row>
        <row r="9301">
          <cell r="F9301" t="str">
            <v>Reliance Quant Fund -Dividend Plan</v>
          </cell>
        </row>
        <row r="9302">
          <cell r="F9302" t="str">
            <v>Reliance Quant Fund -Growth Plan - Growth Option</v>
          </cell>
        </row>
        <row r="9303">
          <cell r="F9303" t="str">
            <v>Reliance Quant Fund -Growth Plan -Bonus Option</v>
          </cell>
        </row>
        <row r="9304">
          <cell r="F9304" t="str">
            <v>Reliance Quarterly Interval Fund - Series II - Direct Plan Dividend Plan - Dividend Payout Option</v>
          </cell>
        </row>
        <row r="9305">
          <cell r="F9305" t="str">
            <v>Reliance Quarterly Interval Fund - Series II - Direct Plan Growth Plan - Growth</v>
          </cell>
        </row>
        <row r="9306">
          <cell r="F9306" t="str">
            <v>Reliance Quarterly Interval Fund - Series III - Direct Plan Dividend Plan - Dividend Payout Option</v>
          </cell>
        </row>
        <row r="9307">
          <cell r="F9307" t="str">
            <v>Reliance Quarterly Interval Fund - Series III - Direct Plan Growth Plan - Growth</v>
          </cell>
        </row>
        <row r="9308">
          <cell r="F9308" t="str">
            <v>Reliance Retirement Fund- Income Generation Scheme- Direct Plan- Growth Plan - Growth Option</v>
          </cell>
        </row>
        <row r="9309">
          <cell r="F9309" t="str">
            <v>Reliance Retirement Fund- Income Generation Scheme- Direct Plan-Dividend Payout Option</v>
          </cell>
        </row>
        <row r="9310">
          <cell r="F9310" t="str">
            <v>Reliance Retirement Fund- Income Generation Scheme- Direct Plan-Growth Plan- Bonus Option</v>
          </cell>
        </row>
        <row r="9311">
          <cell r="F9311" t="str">
            <v>Reliance Retirement Fund- Income Generation Scheme- Dividend Payout Option</v>
          </cell>
        </row>
        <row r="9312">
          <cell r="F9312" t="str">
            <v>Reliance Retirement Fund- Income Generation Scheme- Growth Plan- Bonus Option</v>
          </cell>
        </row>
        <row r="9313">
          <cell r="F9313" t="str">
            <v>Reliance Retirement Fund- Income Generation Scheme-Growth Plan - Growth Option</v>
          </cell>
        </row>
        <row r="9314">
          <cell r="F9314" t="str">
            <v>Reliance Retirement Fund- Wealth Creation Scheme- Direct Plan- Growth Plan - Growth Option</v>
          </cell>
        </row>
        <row r="9315">
          <cell r="F9315" t="str">
            <v>Reliance Retirement Fund- Wealth Creation Scheme- Direct Plan-Dividend Payout Option</v>
          </cell>
        </row>
        <row r="9316">
          <cell r="F9316" t="str">
            <v>Reliance Retirement Fund- Wealth Creation Scheme- Direct Plan-Growth Plan- Bonus Option</v>
          </cell>
        </row>
        <row r="9317">
          <cell r="F9317" t="str">
            <v>Reliance Retirement Fund- Wealth Creation Scheme- Dividend Payout Option</v>
          </cell>
        </row>
        <row r="9318">
          <cell r="F9318" t="str">
            <v>Reliance Retirement Fund- Wealth Creation Scheme- Growth Plan - Growth Option</v>
          </cell>
        </row>
        <row r="9319">
          <cell r="F9319" t="str">
            <v>Reliance Retirement Fund- Wealth Creation Scheme- Growth Plan- Bonus Option</v>
          </cell>
        </row>
        <row r="9320">
          <cell r="F9320" t="str">
            <v>Reliance Short Term Fund - Direct Plan - Dividend Plan</v>
          </cell>
        </row>
        <row r="9321">
          <cell r="F9321" t="str">
            <v>Reliance Short Term Fund - Direct Plan - Monthly Dividend Plan</v>
          </cell>
        </row>
        <row r="9322">
          <cell r="F9322" t="str">
            <v>Reliance Short Term Fund - Direct Plan Growth Plan - Growth Option</v>
          </cell>
        </row>
        <row r="9323">
          <cell r="F9323" t="str">
            <v>Reliance Short Term Fund - Direct Plan Quarterly Dividend Plan</v>
          </cell>
        </row>
        <row r="9324">
          <cell r="F9324" t="str">
            <v>Reliance Short Term Fund - Dividend Plan</v>
          </cell>
        </row>
        <row r="9325">
          <cell r="F9325" t="str">
            <v>Reliance Short Term Fund- Monthly Dividend Plan</v>
          </cell>
        </row>
        <row r="9326">
          <cell r="F9326" t="str">
            <v>Reliance Short Term Fund-Growth Plan</v>
          </cell>
        </row>
        <row r="9327">
          <cell r="F9327" t="str">
            <v>Reliance Short Term Fund-Quarterly Dividend Plan</v>
          </cell>
        </row>
        <row r="9328">
          <cell r="F9328" t="str">
            <v>Reliance Small Cap Fund - Direct Plan Dividend Plan</v>
          </cell>
        </row>
        <row r="9329">
          <cell r="F9329" t="str">
            <v>Reliance Small Cap Fund - Direct Plan Growth Plan - Bonus Option</v>
          </cell>
        </row>
        <row r="9330">
          <cell r="F9330" t="str">
            <v>Reliance Small Cap Fund - Direct Plan Growth Plan - Growth Option</v>
          </cell>
        </row>
        <row r="9331">
          <cell r="F9331" t="str">
            <v>Reliance Small Cap Fund - Dividend Plan</v>
          </cell>
        </row>
        <row r="9332">
          <cell r="F9332" t="str">
            <v>Reliance Small Cap Fund - Growth Plan - Bonus Option</v>
          </cell>
        </row>
        <row r="9333">
          <cell r="F9333" t="str">
            <v>Reliance Small Cap Fund - Growth Plan - Growth Option</v>
          </cell>
        </row>
        <row r="9334">
          <cell r="F9334" t="str">
            <v>Reliance Strategic Debt Fund - Bonus Option</v>
          </cell>
        </row>
        <row r="9335">
          <cell r="F9335" t="str">
            <v>Reliance Strategic Debt Fund - Direct Plan - Bonus Option</v>
          </cell>
        </row>
        <row r="9336">
          <cell r="F9336" t="str">
            <v>Reliance Strategic Debt Fund - Direct Plan - Dividend Plan</v>
          </cell>
        </row>
        <row r="9337">
          <cell r="F9337" t="str">
            <v>Reliance Strategic Debt Fund - Direct Plan - Growth Option</v>
          </cell>
        </row>
        <row r="9338">
          <cell r="F9338" t="str">
            <v>Reliance Strategic Debt Fund - Direct Plan - Quarterly Dividend Plan</v>
          </cell>
        </row>
        <row r="9339">
          <cell r="F9339" t="str">
            <v>Reliance Strategic Debt Fund - Dividend Plan</v>
          </cell>
        </row>
        <row r="9340">
          <cell r="F9340" t="str">
            <v>Reliance Strategic Debt Fund - Growth Option</v>
          </cell>
        </row>
        <row r="9341">
          <cell r="F9341" t="str">
            <v>Reliance Strategic Debt Fund - Quarterly Dividend Plan</v>
          </cell>
        </row>
        <row r="9342">
          <cell r="F9342" t="str">
            <v>Reliance Tax Saver (ELSS) Fund- Direct Plan-Dividend Plan- Annual Dividend Payout Option</v>
          </cell>
        </row>
        <row r="9343">
          <cell r="F9343" t="str">
            <v>Reliance Tax Saver (ELSS) Fund- Dividend Plan- Annual Dividend Payout Option</v>
          </cell>
        </row>
        <row r="9344">
          <cell r="F9344" t="str">
            <v>Reliance Tax Saver (ELSS) Fund-Dividend Plan-Dividend Payout Option</v>
          </cell>
        </row>
        <row r="9345">
          <cell r="F9345" t="str">
            <v>Reliance Tax Saver (ELSS) Fund-Growth Plan-Growth Option</v>
          </cell>
        </row>
        <row r="9346">
          <cell r="F9346" t="str">
            <v>Reliance Tax Saver Fund - Direct Plan Dividend Plan - Dividend Payout Option</v>
          </cell>
        </row>
        <row r="9347">
          <cell r="F9347" t="str">
            <v>Reliance Tax Saver Fund - Direct Plan Growth Plan - Growth Option</v>
          </cell>
        </row>
        <row r="9348">
          <cell r="F9348" t="str">
            <v>Reliance US Equity Opportunites Fund- Direct Plan- Dividend  Plan</v>
          </cell>
        </row>
        <row r="9349">
          <cell r="F9349" t="str">
            <v>Reliance US Equity Opportunites Fund- Direct Plan- Growth Plan- Growth Option</v>
          </cell>
        </row>
        <row r="9350">
          <cell r="F9350" t="str">
            <v>Reliance US Equity Opportunites Fund- Dividend  Plan</v>
          </cell>
        </row>
        <row r="9351">
          <cell r="F9351" t="str">
            <v>Reliance US Equity Opportunites Fund- Growth Plan- Growth Option</v>
          </cell>
        </row>
        <row r="9352">
          <cell r="F9352" t="str">
            <v>Reliance Value Fund - Direct Plan Dividend Plan</v>
          </cell>
        </row>
        <row r="9353">
          <cell r="F9353" t="str">
            <v>Reliance Value Fund - Direct Plan Growth Plan</v>
          </cell>
        </row>
        <row r="9354">
          <cell r="F9354" t="str">
            <v>Reliance Value Fund- Growth Plan</v>
          </cell>
        </row>
        <row r="9355">
          <cell r="F9355" t="str">
            <v>Reliance Value Fund-Dividend Plan</v>
          </cell>
        </row>
        <row r="9356">
          <cell r="F9356" t="str">
            <v>Reliance Vision Fund - Direct Plan Dividend Plan</v>
          </cell>
        </row>
        <row r="9357">
          <cell r="F9357" t="str">
            <v>Reliance Vision Fund - Direct Plan Growth Plan - Bonus Option</v>
          </cell>
        </row>
        <row r="9358">
          <cell r="F9358" t="str">
            <v>Reliance Vision Fund - Direct Plan Growth Plan - Growth Option</v>
          </cell>
        </row>
        <row r="9359">
          <cell r="F9359" t="str">
            <v>Reliance Vision Fund Institutional Dividend Plan</v>
          </cell>
        </row>
        <row r="9360">
          <cell r="F9360" t="str">
            <v>Reliance Vision Fund-DIVIDEND PLAN-D</v>
          </cell>
        </row>
        <row r="9361">
          <cell r="F9361" t="str">
            <v>Reliance Vision Fund-GROWTH PLAN-Bonus Option</v>
          </cell>
        </row>
        <row r="9362">
          <cell r="F9362" t="str">
            <v>Reliance Vision Fund-GROWTH PLAN-Growth Option</v>
          </cell>
        </row>
        <row r="9363">
          <cell r="F9363" t="str">
            <v>Reliance Yearly Interval Fund - Series 1 - Direct Plan - Dividend Plan - Dividend Option</v>
          </cell>
        </row>
        <row r="9364">
          <cell r="F9364" t="str">
            <v>Reliance Yearly Interval Fund - Series 1 - Direct Plan - Growth Plan - Growth Option</v>
          </cell>
        </row>
        <row r="9365">
          <cell r="F9365" t="str">
            <v>Reliance Yearly Interval Fund - Series 1 - Dividend Plan - Dividend Option</v>
          </cell>
        </row>
        <row r="9366">
          <cell r="F9366" t="str">
            <v>Reliance Yearly Interval Fund - Series 1 - Growth Plan - Growth Option</v>
          </cell>
        </row>
        <row r="9367">
          <cell r="F9367" t="str">
            <v>Reliance Yearly Interval Fund - Series 2 - Direct Plan - Dividend Plan - Dividend Option</v>
          </cell>
        </row>
        <row r="9368">
          <cell r="F9368" t="str">
            <v>Reliance Yearly Interval Fund - Series 2 - Direct Plan - Growth Plan - Growth Option</v>
          </cell>
        </row>
        <row r="9369">
          <cell r="F9369" t="str">
            <v>Reliance Yearly Interval Fund - Series 2 - Dividend Plan - Dividend Option</v>
          </cell>
        </row>
        <row r="9370">
          <cell r="F9370" t="str">
            <v>Reliance Yearly Interval Fund - Series 2 - Growth Plan - Growth Option</v>
          </cell>
        </row>
        <row r="9371">
          <cell r="F9371" t="str">
            <v>RELIGARE ENT</v>
          </cell>
        </row>
        <row r="9372">
          <cell r="F9372" t="str">
            <v>RELSTRUCT</v>
          </cell>
        </row>
        <row r="9373">
          <cell r="F9373" t="str">
            <v>RELTD</v>
          </cell>
        </row>
        <row r="9374">
          <cell r="F9374" t="str">
            <v>REMI EDEL</v>
          </cell>
        </row>
        <row r="9375">
          <cell r="F9375" t="str">
            <v>REMSONSIND</v>
          </cell>
        </row>
        <row r="9376">
          <cell r="F9376" t="str">
            <v>REN JEWELERY</v>
          </cell>
        </row>
        <row r="9377">
          <cell r="F9377" t="str">
            <v>RENUKA SUGAR</v>
          </cell>
        </row>
        <row r="9378">
          <cell r="F9378" t="str">
            <v>REPCO HOME</v>
          </cell>
        </row>
        <row r="9379">
          <cell r="F9379" t="str">
            <v>REPRO</v>
          </cell>
        </row>
        <row r="9380">
          <cell r="F9380" t="str">
            <v>RESONANCE</v>
          </cell>
        </row>
        <row r="9381">
          <cell r="F9381" t="str">
            <v>RESPONIND</v>
          </cell>
        </row>
        <row r="9382">
          <cell r="F9382" t="str">
            <v>RESTILE CER.</v>
          </cell>
        </row>
        <row r="9383">
          <cell r="F9383" t="str">
            <v>REVATHI EQU.</v>
          </cell>
        </row>
        <row r="9384">
          <cell r="F9384" t="str">
            <v>REXNORD ELE.</v>
          </cell>
        </row>
        <row r="9385">
          <cell r="F9385" t="str">
            <v>RFL18H</v>
          </cell>
        </row>
        <row r="9386">
          <cell r="F9386" t="str">
            <v>RHFL</v>
          </cell>
        </row>
        <row r="9387">
          <cell r="F9387" t="str">
            <v>RHFL2</v>
          </cell>
        </row>
        <row r="9388">
          <cell r="F9388" t="str">
            <v>RHFL3</v>
          </cell>
        </row>
        <row r="9389">
          <cell r="F9389" t="str">
            <v>RHFL4</v>
          </cell>
        </row>
        <row r="9390">
          <cell r="F9390" t="str">
            <v>RIBA TEXTILS</v>
          </cell>
        </row>
        <row r="9391">
          <cell r="F9391" t="str">
            <v>RICHA IND</v>
          </cell>
        </row>
        <row r="9392">
          <cell r="F9392" t="str">
            <v>RICHIRICH</v>
          </cell>
        </row>
        <row r="9393">
          <cell r="F9393" t="str">
            <v>RICOAUTO</v>
          </cell>
        </row>
        <row r="9394">
          <cell r="F9394" t="str">
            <v>RIDHI SIDHI</v>
          </cell>
        </row>
        <row r="9395">
          <cell r="F9395" t="str">
            <v>RIGA SUGAR</v>
          </cell>
        </row>
        <row r="9396">
          <cell r="F9396" t="str">
            <v>RISA INTL</v>
          </cell>
        </row>
        <row r="9397">
          <cell r="F9397" t="str">
            <v>RISHABH DIGH</v>
          </cell>
        </row>
        <row r="9398">
          <cell r="F9398" t="str">
            <v>RISHI LASER</v>
          </cell>
        </row>
        <row r="9399">
          <cell r="F9399" t="str">
            <v>RISHIROOP</v>
          </cell>
        </row>
        <row r="9400">
          <cell r="F9400" t="str">
            <v>RISHITECH</v>
          </cell>
        </row>
        <row r="9401">
          <cell r="F9401" t="str">
            <v>RIT PRO IND</v>
          </cell>
        </row>
        <row r="9402">
          <cell r="F9402" t="str">
            <v>RITHWIKFMS</v>
          </cell>
        </row>
        <row r="9403">
          <cell r="F9403" t="str">
            <v>RJ BIOTECH</v>
          </cell>
        </row>
        <row r="9404">
          <cell r="F9404" t="str">
            <v>RK FORGINGS</v>
          </cell>
        </row>
        <row r="9405">
          <cell r="F9405" t="str">
            <v>RKDL</v>
          </cell>
        </row>
        <row r="9406">
          <cell r="F9406" t="str">
            <v>RKEC</v>
          </cell>
        </row>
        <row r="9407">
          <cell r="F9407" t="str">
            <v>RMC</v>
          </cell>
        </row>
        <row r="9408">
          <cell r="F9408" t="str">
            <v>RMCHEM</v>
          </cell>
        </row>
        <row r="9409">
          <cell r="F9409" t="str">
            <v>RMDRIP</v>
          </cell>
        </row>
        <row r="9410">
          <cell r="F9410" t="str">
            <v>RMGALLOY</v>
          </cell>
        </row>
        <row r="9411">
          <cell r="F9411" t="str">
            <v>RML</v>
          </cell>
        </row>
        <row r="9412">
          <cell r="F9412" t="str">
            <v>RNAM</v>
          </cell>
        </row>
        <row r="9413">
          <cell r="F9413" t="str">
            <v>RNAVAL</v>
          </cell>
        </row>
        <row r="9414">
          <cell r="F9414" t="str">
            <v>RNB DENIMS</v>
          </cell>
        </row>
        <row r="9415">
          <cell r="F9415" t="str">
            <v>RNBOWDENIM</v>
          </cell>
        </row>
        <row r="9416">
          <cell r="F9416" t="str">
            <v>RODIUM</v>
          </cell>
        </row>
        <row r="9417">
          <cell r="F9417" t="str">
            <v>ROHLTD</v>
          </cell>
        </row>
        <row r="9418">
          <cell r="F9418" t="str">
            <v>ROLLT</v>
          </cell>
        </row>
        <row r="9419">
          <cell r="F9419" t="str">
            <v>ROLTA (I)</v>
          </cell>
        </row>
        <row r="9420">
          <cell r="F9420" t="str">
            <v>ROOPA INDUS</v>
          </cell>
        </row>
        <row r="9421">
          <cell r="F9421" t="str">
            <v>ROSELABS FIN</v>
          </cell>
        </row>
        <row r="9422">
          <cell r="F9422" t="str">
            <v>ROSSELL IND</v>
          </cell>
        </row>
        <row r="9423">
          <cell r="F9423" t="str">
            <v>ROTO PUMPS</v>
          </cell>
        </row>
        <row r="9424">
          <cell r="F9424" t="str">
            <v>ROYAL IND</v>
          </cell>
        </row>
        <row r="9425">
          <cell r="F9425" t="str">
            <v>ROYALE MANOR</v>
          </cell>
        </row>
        <row r="9426">
          <cell r="F9426" t="str">
            <v>RPGLIFE</v>
          </cell>
        </row>
        <row r="9427">
          <cell r="F9427" t="str">
            <v>RPOWER</v>
          </cell>
        </row>
        <row r="9428">
          <cell r="F9428" t="str">
            <v>RPPINFRA</v>
          </cell>
        </row>
        <row r="9429">
          <cell r="F9429" t="str">
            <v>RRSLGETF</v>
          </cell>
        </row>
        <row r="9430">
          <cell r="F9430" t="str">
            <v>RSTL</v>
          </cell>
        </row>
        <row r="9431">
          <cell r="F9431" t="str">
            <v>RSWM  LTD</v>
          </cell>
        </row>
        <row r="9432">
          <cell r="F9432" t="str">
            <v>RSYSTEMS</v>
          </cell>
        </row>
        <row r="9433">
          <cell r="F9433" t="str">
            <v>RTNINFRA</v>
          </cell>
        </row>
        <row r="9434">
          <cell r="F9434" t="str">
            <v>RTNPOWER</v>
          </cell>
        </row>
        <row r="9435">
          <cell r="F9435" t="str">
            <v>RTS POWER CO</v>
          </cell>
        </row>
        <row r="9436">
          <cell r="F9436" t="str">
            <v>RUBFILA INT.</v>
          </cell>
        </row>
        <row r="9437">
          <cell r="F9437" t="str">
            <v>RUBY</v>
          </cell>
        </row>
        <row r="9438">
          <cell r="F9438" t="str">
            <v>RUBYMILLS</v>
          </cell>
        </row>
        <row r="9439">
          <cell r="F9439" t="str">
            <v>RUCHI SOYA</v>
          </cell>
        </row>
        <row r="9440">
          <cell r="F9440" t="str">
            <v>RUCHINFRA</v>
          </cell>
        </row>
        <row r="9441">
          <cell r="F9441" t="str">
            <v>RUCHIRA</v>
          </cell>
        </row>
        <row r="9442">
          <cell r="F9442" t="str">
            <v>RUDRA</v>
          </cell>
        </row>
        <row r="9443">
          <cell r="F9443" t="str">
            <v>RUNGTA IRRIG</v>
          </cell>
        </row>
        <row r="9444">
          <cell r="F9444" t="str">
            <v>RUPA &amp; CO</v>
          </cell>
        </row>
        <row r="9445">
          <cell r="F9445" t="str">
            <v>RUSHIL</v>
          </cell>
        </row>
        <row r="9446">
          <cell r="F9446" t="str">
            <v>RUTTONSHA IN</v>
          </cell>
        </row>
        <row r="9447">
          <cell r="F9447" t="str">
            <v>S.I.PAPER</v>
          </cell>
        </row>
        <row r="9448">
          <cell r="F9448" t="str">
            <v>S.R.INDUS.</v>
          </cell>
        </row>
        <row r="9449">
          <cell r="F9449" t="str">
            <v>S.S.ORGANICS</v>
          </cell>
        </row>
        <row r="9450">
          <cell r="F9450" t="str">
            <v>SAB</v>
          </cell>
        </row>
        <row r="9451">
          <cell r="F9451" t="str">
            <v>SABOO SODIUM</v>
          </cell>
        </row>
        <row r="9452">
          <cell r="F9452" t="str">
            <v>SACHETA MET.</v>
          </cell>
        </row>
        <row r="9453">
          <cell r="F9453" t="str">
            <v>SADBHAV</v>
          </cell>
        </row>
        <row r="9454">
          <cell r="F9454" t="str">
            <v>SADBHIN</v>
          </cell>
        </row>
        <row r="9455">
          <cell r="F9455" t="str">
            <v>SADHANA NITR</v>
          </cell>
        </row>
        <row r="9456">
          <cell r="F9456" t="str">
            <v>SAFAL SECURI</v>
          </cell>
        </row>
        <row r="9457">
          <cell r="F9457" t="str">
            <v>SAFALHBS</v>
          </cell>
        </row>
        <row r="9458">
          <cell r="F9458" t="str">
            <v>SAFARI IND.</v>
          </cell>
        </row>
        <row r="9459">
          <cell r="F9459" t="str">
            <v>SAFFRON IND</v>
          </cell>
        </row>
        <row r="9460">
          <cell r="F9460" t="str">
            <v>SAGAR</v>
          </cell>
        </row>
        <row r="9461">
          <cell r="F9461" t="str">
            <v>SAGAR CEM.</v>
          </cell>
        </row>
        <row r="9462">
          <cell r="F9462" t="str">
            <v>SAGARSOFT</v>
          </cell>
        </row>
        <row r="9463">
          <cell r="F9463" t="str">
            <v>SAHARA BANKING &amp; FINANCIAL SERVICES FUND- GROWTH - Direct</v>
          </cell>
        </row>
        <row r="9464">
          <cell r="F9464" t="str">
            <v>SAHARA BANKING &amp; FINANCIAL SERVICES FUND- GROWTH OPTION</v>
          </cell>
        </row>
        <row r="9465">
          <cell r="F9465" t="str">
            <v>SAHARA BANKING &amp; FINANCIAL SERVICES FUND-DIVIDEND - Direct</v>
          </cell>
        </row>
        <row r="9466">
          <cell r="F9466" t="str">
            <v>SAHARA BANKING &amp; FINANCIAL SERVICES FUND-DIVIDEND OPTION</v>
          </cell>
        </row>
        <row r="9467">
          <cell r="F9467" t="str">
            <v>Sahara Growth Fund-Dividend</v>
          </cell>
        </row>
        <row r="9468">
          <cell r="F9468" t="str">
            <v>Sahara Growth Fund-Dividend- Direct</v>
          </cell>
        </row>
        <row r="9469">
          <cell r="F9469" t="str">
            <v>Sahara Growth Fund-Growth</v>
          </cell>
        </row>
        <row r="9470">
          <cell r="F9470" t="str">
            <v>Sahara Growth Fund-Growth- Direct</v>
          </cell>
        </row>
        <row r="9471">
          <cell r="F9471" t="str">
            <v>SAHARA HOUSG</v>
          </cell>
        </row>
        <row r="9472">
          <cell r="F9472" t="str">
            <v>Sahara Infrastructure Fund ---FIXED PRICING -Direct-Dividend</v>
          </cell>
        </row>
        <row r="9473">
          <cell r="F9473" t="str">
            <v>Sahara Infrastructure Fund ---FIXED PRICING OPTION-Direct-Growth</v>
          </cell>
        </row>
        <row r="9474">
          <cell r="F9474" t="str">
            <v>Sahara Infrastructure Fund ---FIXED PRICING OPTION-Dividend Option</v>
          </cell>
        </row>
        <row r="9475">
          <cell r="F9475" t="str">
            <v>Sahara Infrastructure Fund ---FIXED PRICING OPTION-Growth Option</v>
          </cell>
        </row>
        <row r="9476">
          <cell r="F9476" t="str">
            <v>Sahara Infrastructure Fund ---VARIABLE PRICING OPTION-Direct-Dividend</v>
          </cell>
        </row>
        <row r="9477">
          <cell r="F9477" t="str">
            <v>Sahara Infrastructure Fund ---VARIABLE PRICING OPTION-Direct-Growth</v>
          </cell>
        </row>
        <row r="9478">
          <cell r="F9478" t="str">
            <v>Sahara Infrastructure Fund ---VARIABLE PRICING OPTION-Dividend Option</v>
          </cell>
        </row>
        <row r="9479">
          <cell r="F9479" t="str">
            <v>Sahara Infrastructure Fund ---VARIABLE PRICING OPTION-Growth Option</v>
          </cell>
        </row>
        <row r="9480">
          <cell r="F9480" t="str">
            <v>Sahara Liquid Fund-Fixed Pricing -  Weekly Dividend Option</v>
          </cell>
        </row>
        <row r="9481">
          <cell r="F9481" t="str">
            <v>Sahara Liquid Fund-Fixed Pricing - Daily Dividend Option</v>
          </cell>
        </row>
        <row r="9482">
          <cell r="F9482" t="str">
            <v>Sahara Liquid Fund-Fixed Pricing - Direct - Weekly Dividend Option</v>
          </cell>
        </row>
        <row r="9483">
          <cell r="F9483" t="str">
            <v>Sahara Liquid Fund-Fixed Pricing - Direct -Growth option</v>
          </cell>
        </row>
        <row r="9484">
          <cell r="F9484" t="str">
            <v>Sahara Liquid Fund-Fixed Pricing - Growth option</v>
          </cell>
        </row>
        <row r="9485">
          <cell r="F9485" t="str">
            <v>Sahara Liquid Fund-Fixed Pricing - Monthly Dividend Option</v>
          </cell>
        </row>
        <row r="9486">
          <cell r="F9486" t="str">
            <v>Sahara Liquid Fund-Fixed Pricing -Direct - Daily Dividend Option- Direct</v>
          </cell>
        </row>
        <row r="9487">
          <cell r="F9487" t="str">
            <v>Sahara Liquid Fund-Fixed Pricing -Direct - Monthly Dividend Option</v>
          </cell>
        </row>
        <row r="9488">
          <cell r="F9488" t="str">
            <v>Sahara Liquid Fund-Variable Pricing - Daily Dividend option</v>
          </cell>
        </row>
        <row r="9489">
          <cell r="F9489" t="str">
            <v>Sahara Liquid Fund-Variable Pricing - Growth option</v>
          </cell>
        </row>
        <row r="9490">
          <cell r="F9490" t="str">
            <v>Sahara Liquid Fund-Variable Pricing - Weekly Dividend Option</v>
          </cell>
        </row>
        <row r="9491">
          <cell r="F9491" t="str">
            <v>Sahara Liquid Fund-Variable Pricing -Direct - Daily Dividend option</v>
          </cell>
        </row>
        <row r="9492">
          <cell r="F9492" t="str">
            <v>Sahara Liquid Fund-Variable Pricing -Direct - Growth option</v>
          </cell>
        </row>
        <row r="9493">
          <cell r="F9493" t="str">
            <v>Sahara Liquid Fund-Variable Pricing -Direct - Weekly Dividend Option</v>
          </cell>
        </row>
        <row r="9494">
          <cell r="F9494" t="str">
            <v>Sahara Liquid Fund-Variable Pricing- Direct - Monthly Dividend Option</v>
          </cell>
        </row>
        <row r="9495">
          <cell r="F9495" t="str">
            <v>Sahara Liquid Fund-Variable Pricing- Monthly Dividend Option</v>
          </cell>
        </row>
        <row r="9496">
          <cell r="F9496" t="str">
            <v>Sahara Midcap Fund-Auto Payout</v>
          </cell>
        </row>
        <row r="9497">
          <cell r="F9497" t="str">
            <v>Sahara Midcap Fund-Auto Payout- Direct</v>
          </cell>
        </row>
        <row r="9498">
          <cell r="F9498" t="str">
            <v>Sahara Midcap Fund-Bonus</v>
          </cell>
        </row>
        <row r="9499">
          <cell r="F9499" t="str">
            <v>Sahara Midcap Fund-Bonus- Direct</v>
          </cell>
        </row>
        <row r="9500">
          <cell r="F9500" t="str">
            <v>Sahara Midcap Fund-Dividend -Direct</v>
          </cell>
        </row>
        <row r="9501">
          <cell r="F9501" t="str">
            <v>Sahara Midcap Fund-Dividend Plan</v>
          </cell>
        </row>
        <row r="9502">
          <cell r="F9502" t="str">
            <v>Sahara Midcap Fund-Growth Option - Direct</v>
          </cell>
        </row>
        <row r="9503">
          <cell r="F9503" t="str">
            <v>Sahara Midcap Fund-Growth Plan</v>
          </cell>
        </row>
        <row r="9504">
          <cell r="F9504" t="str">
            <v>SAHARA ONE</v>
          </cell>
        </row>
        <row r="9505">
          <cell r="F9505" t="str">
            <v>Sahara Power &amp; Natural Resources Fund - Dividend Option</v>
          </cell>
        </row>
        <row r="9506">
          <cell r="F9506" t="str">
            <v>Sahara Power &amp; Natural resources Fund- Growth - Direct</v>
          </cell>
        </row>
        <row r="9507">
          <cell r="F9507" t="str">
            <v>Sahara Power &amp; Natural resources Fund- Growth Option</v>
          </cell>
        </row>
        <row r="9508">
          <cell r="F9508" t="str">
            <v>Sahara Power &amp; Natural Resources Fund-Dividend - Direct</v>
          </cell>
        </row>
        <row r="9509">
          <cell r="F9509" t="str">
            <v>Sahara R.E.A.L Fund - Dividend Option</v>
          </cell>
        </row>
        <row r="9510">
          <cell r="F9510" t="str">
            <v>Sahara R.E.A.L Fund - Dividend Option- Direct</v>
          </cell>
        </row>
        <row r="9511">
          <cell r="F9511" t="str">
            <v>Sahara R.E.A.L Fund - Growth  Fund</v>
          </cell>
        </row>
        <row r="9512">
          <cell r="F9512" t="str">
            <v>Sahara R.E.A.L Fund - Growth  Fund- Direct</v>
          </cell>
        </row>
        <row r="9513">
          <cell r="F9513" t="str">
            <v>Sahara Star Value Fund-Dividend - Direct</v>
          </cell>
        </row>
        <row r="9514">
          <cell r="F9514" t="str">
            <v>Sahara Star Value Fund-Dividend Option</v>
          </cell>
        </row>
        <row r="9515">
          <cell r="F9515" t="str">
            <v>Sahara Star Value Fund-Growth - Direct</v>
          </cell>
        </row>
        <row r="9516">
          <cell r="F9516" t="str">
            <v>Sahara Star Value Fund-Growth Option</v>
          </cell>
        </row>
        <row r="9517">
          <cell r="F9517" t="str">
            <v>Sahara Super 20 Fund - Dividend - Direct</v>
          </cell>
        </row>
        <row r="9518">
          <cell r="F9518" t="str">
            <v>Sahara Super 20 Fund - Dividend Option</v>
          </cell>
        </row>
        <row r="9519">
          <cell r="F9519" t="str">
            <v>Sahara Super 20 Fund - Growth - Direct</v>
          </cell>
        </row>
        <row r="9520">
          <cell r="F9520" t="str">
            <v>Sahara Super 20 Fund - Growth Option</v>
          </cell>
        </row>
        <row r="9521">
          <cell r="F9521" t="str">
            <v>Sahara Wealth Plus Fund-Fixed Pricing Option-Direct-Dividend Option</v>
          </cell>
        </row>
        <row r="9522">
          <cell r="F9522" t="str">
            <v>Sahara Wealth Plus Fund-Fixed Pricing Option-Direct-Growth</v>
          </cell>
        </row>
        <row r="9523">
          <cell r="F9523" t="str">
            <v>Sahara Wealth Plus Fund-Fixed Pricing Option-Dividend Option</v>
          </cell>
        </row>
        <row r="9524">
          <cell r="F9524" t="str">
            <v>Sahara Wealth Plus Fund-Fixed Pricing Option-Growth Option</v>
          </cell>
        </row>
        <row r="9525">
          <cell r="F9525" t="str">
            <v>Sahara Wealth Plus Fund-Variable Pricing Option-Direct -Dividend</v>
          </cell>
        </row>
        <row r="9526">
          <cell r="F9526" t="str">
            <v>Sahara Wealth Plus Fund-Variable Pricing Option-Direct-Growth</v>
          </cell>
        </row>
        <row r="9527">
          <cell r="F9527" t="str">
            <v>Sahara Wealth Plus Fund-Variable Pricing Option-Dividend Option</v>
          </cell>
        </row>
        <row r="9528">
          <cell r="F9528" t="str">
            <v>Sahara Wealth Plus Fund-Variable Pricing Option-Growth Option</v>
          </cell>
        </row>
        <row r="9529">
          <cell r="F9529" t="str">
            <v>SaharaTax Gain-Dividend</v>
          </cell>
        </row>
        <row r="9530">
          <cell r="F9530" t="str">
            <v>SaharaTax Gain-Dividend- Direct</v>
          </cell>
        </row>
        <row r="9531">
          <cell r="F9531" t="str">
            <v>SaharaTax Gain-Growth</v>
          </cell>
        </row>
        <row r="9532">
          <cell r="F9532" t="str">
            <v>SaharaTax Gain-Growth- direct</v>
          </cell>
        </row>
        <row r="9533">
          <cell r="F9533" t="str">
            <v>SAHYA INDU</v>
          </cell>
        </row>
        <row r="9534">
          <cell r="F9534" t="str">
            <v>SAIBABA</v>
          </cell>
        </row>
        <row r="9535">
          <cell r="F9535" t="str">
            <v>SAIL</v>
          </cell>
        </row>
        <row r="9536">
          <cell r="F9536" t="str">
            <v>SAINT-GOBAIN</v>
          </cell>
        </row>
        <row r="9537">
          <cell r="F9537" t="str">
            <v>SAKAR</v>
          </cell>
        </row>
        <row r="9538">
          <cell r="F9538" t="str">
            <v>SAKHTISUG</v>
          </cell>
        </row>
        <row r="9539">
          <cell r="F9539" t="str">
            <v>SAKSOFT</v>
          </cell>
        </row>
        <row r="9540">
          <cell r="F9540" t="str">
            <v>SAKTHI FIN.</v>
          </cell>
        </row>
        <row r="9541">
          <cell r="F9541" t="str">
            <v>SAKUMA EXPO</v>
          </cell>
        </row>
        <row r="9542">
          <cell r="F9542" t="str">
            <v>SALASAR</v>
          </cell>
        </row>
        <row r="9543">
          <cell r="F9543" t="str">
            <v>SALGUTI IND</v>
          </cell>
        </row>
        <row r="9544">
          <cell r="F9544" t="str">
            <v>SALONA COTSP</v>
          </cell>
        </row>
        <row r="9545">
          <cell r="F9545" t="str">
            <v>SALORA INT.</v>
          </cell>
        </row>
        <row r="9546">
          <cell r="F9546" t="str">
            <v>SALSTEEL</v>
          </cell>
        </row>
        <row r="9547">
          <cell r="F9547" t="str">
            <v>SALZER ELEC</v>
          </cell>
        </row>
        <row r="9548">
          <cell r="F9548" t="str">
            <v>SAMBANDAM SP</v>
          </cell>
        </row>
        <row r="9549">
          <cell r="F9549" t="str">
            <v>SAMBHAAV MED</v>
          </cell>
        </row>
        <row r="9550">
          <cell r="F9550" t="str">
            <v>SAMKRG PIST.</v>
          </cell>
        </row>
        <row r="9551">
          <cell r="F9551" t="str">
            <v>SAMPRE NUTRI</v>
          </cell>
        </row>
        <row r="9552">
          <cell r="F9552" t="str">
            <v>SAMRAT PHARM</v>
          </cell>
        </row>
        <row r="9553">
          <cell r="F9553" t="str">
            <v>SAMTEL COL</v>
          </cell>
        </row>
        <row r="9554">
          <cell r="F9554" t="str">
            <v>SAMTEX FASH.</v>
          </cell>
        </row>
        <row r="9555">
          <cell r="F9555" t="str">
            <v>SAMYAK INT</v>
          </cell>
        </row>
        <row r="9556">
          <cell r="F9556" t="str">
            <v>SANCO</v>
          </cell>
        </row>
        <row r="9557">
          <cell r="F9557" t="str">
            <v>SANCO TRANS</v>
          </cell>
        </row>
        <row r="9558">
          <cell r="F9558" t="str">
            <v>SANDESH LTD.</v>
          </cell>
        </row>
        <row r="9559">
          <cell r="F9559" t="str">
            <v>SANDU PHARMA</v>
          </cell>
        </row>
        <row r="9560">
          <cell r="F9560" t="str">
            <v>SANDUR MANG.</v>
          </cell>
        </row>
        <row r="9561">
          <cell r="F9561" t="str">
            <v>SANGAL PAPER</v>
          </cell>
        </row>
        <row r="9562">
          <cell r="F9562" t="str">
            <v>SANGAM ADV</v>
          </cell>
        </row>
        <row r="9563">
          <cell r="F9563" t="str">
            <v>SANGAMIND</v>
          </cell>
        </row>
        <row r="9564">
          <cell r="F9564" t="str">
            <v>SANGFROID</v>
          </cell>
        </row>
        <row r="9565">
          <cell r="F9565" t="str">
            <v>SANGH FORG</v>
          </cell>
        </row>
        <row r="9566">
          <cell r="F9566" t="str">
            <v>SANGHIIND</v>
          </cell>
        </row>
        <row r="9567">
          <cell r="F9567" t="str">
            <v>SANGHVIMOV</v>
          </cell>
        </row>
        <row r="9568">
          <cell r="F9568" t="str">
            <v>SANGINITA</v>
          </cell>
        </row>
        <row r="9569">
          <cell r="F9569" t="str">
            <v>SANKHYA INFO</v>
          </cell>
        </row>
        <row r="9570">
          <cell r="F9570" t="str">
            <v>SANOFI</v>
          </cell>
        </row>
        <row r="9571">
          <cell r="F9571" t="str">
            <v>SANTARAM SPN</v>
          </cell>
        </row>
        <row r="9572">
          <cell r="F9572" t="str">
            <v>SANWARIA</v>
          </cell>
        </row>
        <row r="9573">
          <cell r="F9573" t="str">
            <v>SAPL</v>
          </cell>
        </row>
        <row r="9574">
          <cell r="F9574" t="str">
            <v>SAPPL</v>
          </cell>
        </row>
        <row r="9575">
          <cell r="F9575" t="str">
            <v>SARDA ENMIN</v>
          </cell>
        </row>
        <row r="9576">
          <cell r="F9576" t="str">
            <v>SARDA PAPERS</v>
          </cell>
        </row>
        <row r="9577">
          <cell r="F9577" t="str">
            <v>SARDA PLY.</v>
          </cell>
        </row>
        <row r="9578">
          <cell r="F9578" t="str">
            <v>SAREGAMA</v>
          </cell>
        </row>
        <row r="9579">
          <cell r="F9579" t="str">
            <v>SARLAPOLY</v>
          </cell>
        </row>
        <row r="9580">
          <cell r="F9580" t="str">
            <v>SARTHAK GLOB</v>
          </cell>
        </row>
        <row r="9581">
          <cell r="F9581" t="str">
            <v>SARUPINDUS</v>
          </cell>
        </row>
        <row r="9582">
          <cell r="F9582" t="str">
            <v>SASKEN</v>
          </cell>
        </row>
        <row r="9583">
          <cell r="F9583" t="str">
            <v>SASTASUNDR</v>
          </cell>
        </row>
        <row r="9584">
          <cell r="F9584" t="str">
            <v>SAT IND LTD</v>
          </cell>
        </row>
        <row r="9585">
          <cell r="F9585" t="str">
            <v>SATHAISPAT</v>
          </cell>
        </row>
        <row r="9586">
          <cell r="F9586" t="str">
            <v>SATIN</v>
          </cell>
        </row>
        <row r="9587">
          <cell r="F9587" t="str">
            <v>SATPROP LTD</v>
          </cell>
        </row>
        <row r="9588">
          <cell r="F9588" t="str">
            <v>SAURAS.CEM.</v>
          </cell>
        </row>
        <row r="9589">
          <cell r="F9589" t="str">
            <v>SAVANI FIN.</v>
          </cell>
        </row>
        <row r="9590">
          <cell r="F9590" t="str">
            <v>SAVEN TECHNO</v>
          </cell>
        </row>
        <row r="9591">
          <cell r="F9591" t="str">
            <v>SAVERA IND</v>
          </cell>
        </row>
        <row r="9592">
          <cell r="F9592" t="str">
            <v>SAWACA BUSI</v>
          </cell>
        </row>
        <row r="9593">
          <cell r="F9593" t="str">
            <v>SAYAJI HOTEL</v>
          </cell>
        </row>
        <row r="9594">
          <cell r="F9594" t="str">
            <v>SAYAJIIND</v>
          </cell>
        </row>
        <row r="9595">
          <cell r="F9595" t="str">
            <v>SBCL</v>
          </cell>
        </row>
        <row r="9596">
          <cell r="F9596" t="str">
            <v>SBFL</v>
          </cell>
        </row>
        <row r="9597">
          <cell r="F9597" t="str">
            <v>SBI  SAVINGS FUND - DIRECT PLAN - DAILY DIVIDEND</v>
          </cell>
        </row>
        <row r="9598">
          <cell r="F9598" t="str">
            <v>SBI  SAVINGS FUND - DIRECT PLAN - DIVIDEND</v>
          </cell>
        </row>
        <row r="9599">
          <cell r="F9599" t="str">
            <v>SBI  SAVINGS FUND - DIRECT PLAN - GROWTH</v>
          </cell>
        </row>
        <row r="9600">
          <cell r="F9600" t="str">
            <v>SBI  SAVINGS FUND - DIRECT PLAN - WEEKLY DIVIDEND</v>
          </cell>
        </row>
        <row r="9601">
          <cell r="F9601" t="str">
            <v>SBI  SAVINGS FUND - REGULAR PLAN - DIVIDEND</v>
          </cell>
        </row>
        <row r="9602">
          <cell r="F9602" t="str">
            <v>SBI  SAVINGS FUND - REGULAR PLAN - GROWTH</v>
          </cell>
        </row>
        <row r="9603">
          <cell r="F9603" t="str">
            <v>SBI  SAVINGS FUND - REGULAR PLAN - WEEKLY  DIVIDEND</v>
          </cell>
        </row>
        <row r="9604">
          <cell r="F9604" t="str">
            <v>SBI Arbitrage Opportunities Fund - Direct Plan - DIVIDEND</v>
          </cell>
        </row>
        <row r="9605">
          <cell r="F9605" t="str">
            <v>SBI Arbitrage Opportunities Fund - Direct Plan - Gr</v>
          </cell>
        </row>
        <row r="9606">
          <cell r="F9606" t="str">
            <v>SBI Arbitrage Opportunities Fund - Regular Plan - Div</v>
          </cell>
        </row>
        <row r="9607">
          <cell r="F9607" t="str">
            <v>SBI Arbitrage Opportunities Fund - Regular Plan - Gr</v>
          </cell>
        </row>
        <row r="9608">
          <cell r="F9608" t="str">
            <v>SBI BANKING &amp; FINANCIAL SERVICES FUND - DIRECT PLAN - DIVIDEND</v>
          </cell>
        </row>
        <row r="9609">
          <cell r="F9609" t="str">
            <v>SBI BANKING &amp; FINANCIAL SERVICES FUND - DIRECT PLAN - GROWTH</v>
          </cell>
        </row>
        <row r="9610">
          <cell r="F9610" t="str">
            <v>SBI BANKING &amp; FINANCIAL SERVICES FUND - REGULAR PLAN - DIVIDEND</v>
          </cell>
        </row>
        <row r="9611">
          <cell r="F9611" t="str">
            <v>SBI BANKING &amp; FINANCIAL SERVICES FUND - REGULAR PLAN - GROWTH</v>
          </cell>
        </row>
        <row r="9612">
          <cell r="F9612" t="str">
            <v>SBI BANKING &amp; PSU FUND - Direct Plan  - Weekly Dividend</v>
          </cell>
        </row>
        <row r="9613">
          <cell r="F9613" t="str">
            <v>SBI BANKING &amp; PSU FUND - Direct Plan - Daily Dividend</v>
          </cell>
        </row>
        <row r="9614">
          <cell r="F9614" t="str">
            <v>SBI BANKING &amp; PSU FUND - Direct Plan - Growth</v>
          </cell>
        </row>
        <row r="9615">
          <cell r="F9615" t="str">
            <v>SBI BANKING &amp; PSU FUND - Direct Plan - Monthly Dividend</v>
          </cell>
        </row>
        <row r="9616">
          <cell r="F9616" t="str">
            <v>SBI BANKING &amp; PSU FUND - Regular Paln - Growth</v>
          </cell>
        </row>
        <row r="9617">
          <cell r="F9617" t="str">
            <v>SBI BANKING &amp; PSU FUND - Regular Plan - Daily Dividend</v>
          </cell>
        </row>
        <row r="9618">
          <cell r="F9618" t="str">
            <v>SBI BANKING &amp; PSU FUND - Regular Plan - Monthly Dividend</v>
          </cell>
        </row>
        <row r="9619">
          <cell r="F9619" t="str">
            <v>SBI BANKING &amp; PSU FUND - Regular Plan - Weekly Dividend</v>
          </cell>
        </row>
        <row r="9620">
          <cell r="F9620" t="str">
            <v>SBI BLUE CHIP FUND - DIRECT PLAN - DIVIDEND</v>
          </cell>
        </row>
        <row r="9621">
          <cell r="F9621" t="str">
            <v>SBI BLUE CHIP FUND- REGULAR PLAN - DIVIDEND</v>
          </cell>
        </row>
        <row r="9622">
          <cell r="F9622" t="str">
            <v>SBI BLUE CHIP FUND-DIRECT PLAN -GROWTH</v>
          </cell>
        </row>
        <row r="9623">
          <cell r="F9623" t="str">
            <v>SBI BLUE CHIP FUND-REGULAR PLAN GROWTH</v>
          </cell>
        </row>
        <row r="9624">
          <cell r="F9624" t="str">
            <v>SBI CONSUMPTION OPPORTUNITIES FUND - DIRECT PLAN - DIVIDEND</v>
          </cell>
        </row>
        <row r="9625">
          <cell r="F9625" t="str">
            <v>SBI CONSUMPTION OPPORTUNITIES FUND - DIRECT PLAN - GROWTH</v>
          </cell>
        </row>
        <row r="9626">
          <cell r="F9626" t="str">
            <v>SBI CONSUMPTION OPPORTUNITIES FUND - REGULAR - GROWTH</v>
          </cell>
        </row>
        <row r="9627">
          <cell r="F9627" t="str">
            <v>SBI CONSUMPTION OPPORTUNITIES FUND - REGULAR PLAN - DIVIDEND</v>
          </cell>
        </row>
        <row r="9628">
          <cell r="F9628" t="str">
            <v>SBI CONTRA FUND - DIRECT PLAN - GROWTH</v>
          </cell>
        </row>
        <row r="9629">
          <cell r="F9629" t="str">
            <v>SBI CONTRA FUND - REGULAR PLAN -GROWTH</v>
          </cell>
        </row>
        <row r="9630">
          <cell r="F9630" t="str">
            <v>SBI CONTRA FUND-DIRECT PLAN -DIVIDEND</v>
          </cell>
        </row>
        <row r="9631">
          <cell r="F9631" t="str">
            <v>SBI CONTRA FUND-REGULAR PLAN -DIVIDEND</v>
          </cell>
        </row>
        <row r="9632">
          <cell r="F9632" t="str">
            <v>SBI CREDIT RISK FUND - DIRECT  PLAN - DAILY DIVIDEND</v>
          </cell>
        </row>
        <row r="9633">
          <cell r="F9633" t="str">
            <v>SBI CREDIT RISK FUND - DIRECT PLAN - DIVIDEND</v>
          </cell>
        </row>
        <row r="9634">
          <cell r="F9634" t="str">
            <v>SBI CREDIT RISK FUND - DIRECT PLAN -GROWTH</v>
          </cell>
        </row>
        <row r="9635">
          <cell r="F9635" t="str">
            <v>SBI CREDIT RISK FUND - REGULAR PLAN - DAILY DIVIDEND</v>
          </cell>
        </row>
        <row r="9636">
          <cell r="F9636" t="str">
            <v>SBI CREDIT RISK FUND - REGULAR PLAN - DIVIDEND</v>
          </cell>
        </row>
        <row r="9637">
          <cell r="F9637" t="str">
            <v>SBI CREDIT RISK FUND - REGULAR PLAN - GROWTH</v>
          </cell>
        </row>
        <row r="9638">
          <cell r="F9638" t="str">
            <v>SBI DEBT FUND SERIES - 16 MONTHS - 2 - DIRECT PLAN - GROWTH</v>
          </cell>
        </row>
        <row r="9639">
          <cell r="F9639" t="str">
            <v>SBI DEBT FUND SERIES - 16 MONTHS - 2 - REGULAR PLAN - DIVIDEND</v>
          </cell>
        </row>
        <row r="9640">
          <cell r="F9640" t="str">
            <v>SBI DEBT FUND SERIES - 16 MONTHS - 2 - REGULAR PLAN - GROWTH</v>
          </cell>
        </row>
        <row r="9641">
          <cell r="F9641" t="str">
            <v>SBI DEBT FUND SERIES - 366 DAYS - 53 - DIRECT PLAN - DIVIDEND</v>
          </cell>
        </row>
        <row r="9642">
          <cell r="F9642" t="str">
            <v>SBI DEBT FUND SERIES - 366 DAYS - 53 - DIRECT PLAN - GROWTH</v>
          </cell>
        </row>
        <row r="9643">
          <cell r="F9643" t="str">
            <v>SBI DEBT FUND SERIES - 366 DAYS - 53 - REGULAR PLAN - GROWTH</v>
          </cell>
        </row>
        <row r="9644">
          <cell r="F9644" t="str">
            <v>SBI DEBT FUND SERIES - 366 DAYS - 54 - DIRECT PLAN - DIVIDEND</v>
          </cell>
        </row>
        <row r="9645">
          <cell r="F9645" t="str">
            <v>SBI DEBT FUND SERIES - 366 DAYS - 54 - REGULAR PLAN - DIVIDEND</v>
          </cell>
        </row>
        <row r="9646">
          <cell r="F9646" t="str">
            <v>SBI DEBT FUND SERIES - 366 DAYS - 54 - REGULAR PLAN - GROWTH</v>
          </cell>
        </row>
        <row r="9647">
          <cell r="F9647" t="str">
            <v>SBI DEBT FUND SERIES - 366 DAYS - 54- DIRECT PLAN - GROWTH</v>
          </cell>
        </row>
        <row r="9648">
          <cell r="F9648" t="str">
            <v>SBI DEBT FUND SERIES A - 11 DIRECT PLAN - GROWTH</v>
          </cell>
        </row>
        <row r="9649">
          <cell r="F9649" t="str">
            <v>SBI DEBT FUND SERIES A - 11 REGULAR PLAN - GROWTH</v>
          </cell>
        </row>
        <row r="9650">
          <cell r="F9650" t="str">
            <v>SBI DEBT FUND SERIES A - 13 DIRECT PLAN - GROWTH</v>
          </cell>
        </row>
        <row r="9651">
          <cell r="F9651" t="str">
            <v>SBI DEBT FUND SERIES A - 13 REGULAR PLAN - GROWTH</v>
          </cell>
        </row>
        <row r="9652">
          <cell r="F9652" t="str">
            <v>SBI DEBT FUND SERIES A - 14 DIRECT PLAN - GROWTH</v>
          </cell>
        </row>
        <row r="9653">
          <cell r="F9653" t="str">
            <v>SBI DEBT FUND SERIES A - 14 REGULAR PLAN - GROWTH</v>
          </cell>
        </row>
        <row r="9654">
          <cell r="F9654" t="str">
            <v>SBI DEBT FUND SERIES A - 16 DIRECT PLAN - GROWTH</v>
          </cell>
        </row>
        <row r="9655">
          <cell r="F9655" t="str">
            <v>SBI DEBT FUND SERIES A - 16 REGULAR PLAN - GROWTH</v>
          </cell>
        </row>
        <row r="9656">
          <cell r="F9656" t="str">
            <v>SBI DEBT FUND SERIES A - 17 DIRECT PLAN - DIVIDEND</v>
          </cell>
        </row>
        <row r="9657">
          <cell r="F9657" t="str">
            <v>SBI DEBT FUND SERIES A - 17 DIRECT PLAN - GROWTH</v>
          </cell>
        </row>
        <row r="9658">
          <cell r="F9658" t="str">
            <v>SBI DEBT FUND SERIES A - 17 REGULAR PLAN - DIVIDEND</v>
          </cell>
        </row>
        <row r="9659">
          <cell r="F9659" t="str">
            <v>SBI DEBT FUND SERIES A - 17 REGULAR PLAN - GROWTH</v>
          </cell>
        </row>
        <row r="9660">
          <cell r="F9660" t="str">
            <v>SBI DEBT FUND SERIES A - 20 DIRECT PLAN - DIVIDEND</v>
          </cell>
        </row>
        <row r="9661">
          <cell r="F9661" t="str">
            <v>SBI DEBT FUND SERIES A - 20 DIRECT PLAN - GROWTH</v>
          </cell>
        </row>
        <row r="9662">
          <cell r="F9662" t="str">
            <v>SBI DEBT FUND SERIES A - 20 REGULAR PLAN - GROWTH</v>
          </cell>
        </row>
        <row r="9663">
          <cell r="F9663" t="str">
            <v>SBI DEBT FUND SERIES A - 21 DIRECT PLAN - GROWTH</v>
          </cell>
        </row>
        <row r="9664">
          <cell r="F9664" t="str">
            <v>SBI DEBT FUND SERIES A - 21 REGULAR PLAN - GROWTH</v>
          </cell>
        </row>
        <row r="9665">
          <cell r="F9665" t="str">
            <v>SBI DEBT FUND SERIES A - 22 DIRECT PLAN - DIVIDEND</v>
          </cell>
        </row>
        <row r="9666">
          <cell r="F9666" t="str">
            <v>SBI DEBT FUND SERIES A - 22 DIRECT PLAN - GROWTH</v>
          </cell>
        </row>
        <row r="9667">
          <cell r="F9667" t="str">
            <v>SBI DEBT FUND SERIES A - 22 REGULAR PLAN - GROWTH</v>
          </cell>
        </row>
        <row r="9668">
          <cell r="F9668" t="str">
            <v>SBI DEBT FUND SERIES A - 23 DIRECT PLAN - GROWTH</v>
          </cell>
        </row>
        <row r="9669">
          <cell r="F9669" t="str">
            <v>SBI DEBT FUND SERIES A - 23 REGULAR PLAN - DIVIDEND</v>
          </cell>
        </row>
        <row r="9670">
          <cell r="F9670" t="str">
            <v>SBI DEBT FUND SERIES A - 23 REGULAR PLAN - GROWTH</v>
          </cell>
        </row>
        <row r="9671">
          <cell r="F9671" t="str">
            <v>SBI DEBT FUND SERIES A - 24 DIRECT PLAN - GROWTH</v>
          </cell>
        </row>
        <row r="9672">
          <cell r="F9672" t="str">
            <v>SBI DEBT FUND SERIES A - 24 REGULAR PLAN - GROWTH</v>
          </cell>
        </row>
        <row r="9673">
          <cell r="F9673" t="str">
            <v>SBI DEBT FUND SERIES A - 25 DIRECT PLAN - GROWTH</v>
          </cell>
        </row>
        <row r="9674">
          <cell r="F9674" t="str">
            <v>SBI DEBT FUND SERIES A - 25 REGULAR PLAN - DIVIDEND</v>
          </cell>
        </row>
        <row r="9675">
          <cell r="F9675" t="str">
            <v>SBI DEBT FUND SERIES A - 25 REGULAR PLAN - GROWTH</v>
          </cell>
        </row>
        <row r="9676">
          <cell r="F9676" t="str">
            <v>SBI DEBT FUND SERIES A - 26 (682 DAYS) DIRECT PLAN - GROWTH</v>
          </cell>
        </row>
        <row r="9677">
          <cell r="F9677" t="str">
            <v>SBI DEBT FUND SERIES A - 26 (682 DAYS) REGULAR PLAN - GROWTH</v>
          </cell>
        </row>
        <row r="9678">
          <cell r="F9678" t="str">
            <v>SBI DEBT FUND SERIES A - 27 (366 DAYS) DIRECT PLAN - GROWTH</v>
          </cell>
        </row>
        <row r="9679">
          <cell r="F9679" t="str">
            <v>SBI DEBT FUND SERIES A - 27 (366 DAYS) REGULAR PLAN - GROWTH</v>
          </cell>
        </row>
        <row r="9680">
          <cell r="F9680" t="str">
            <v>SBI DEBT FUND SERIES A - 28 (367 DAYS) - DIRECT PLAN - GROWTH</v>
          </cell>
        </row>
        <row r="9681">
          <cell r="F9681" t="str">
            <v>SBI DEBT FUND SERIES A - 28 (367 DAYS) - REGULAR PLAN - GROWTH</v>
          </cell>
        </row>
        <row r="9682">
          <cell r="F9682" t="str">
            <v>SBI DEBT FUND SERIES A - 31 (367 DAYS) DIRECT PLAN - GROWTH</v>
          </cell>
        </row>
        <row r="9683">
          <cell r="F9683" t="str">
            <v>SBI DEBT FUND SERIES A - 31 (367 DAYS) REGULAR PLAN - GROWTH</v>
          </cell>
        </row>
        <row r="9684">
          <cell r="F9684" t="str">
            <v>SBI DEBT FUND SERIES A - 32 (367 DAYS) DIRECT PLAN - GROWTH</v>
          </cell>
        </row>
        <row r="9685">
          <cell r="F9685" t="str">
            <v>SBI DEBT FUND SERIES A - 32 (367 DAYS) REGULAR PLAN - DIVIDEND</v>
          </cell>
        </row>
        <row r="9686">
          <cell r="F9686" t="str">
            <v>SBI DEBT FUND SERIES A - 32 (367 DAYS) REGULAR PLAN - GROWTH</v>
          </cell>
        </row>
        <row r="9687">
          <cell r="F9687" t="str">
            <v>SBI DEBT FUND SERIES A - 34 (367 DAYS) DIRECT PLAN - GROWTH</v>
          </cell>
        </row>
        <row r="9688">
          <cell r="F9688" t="str">
            <v>SBI DEBT FUND SERIES A - 34 (367 DAYS) REGULAR PLAN - GROWTH</v>
          </cell>
        </row>
        <row r="9689">
          <cell r="F9689" t="str">
            <v>SBI DEBT FUND SERIES A - 35 (369 DAYS) DIRECT PLAN - GROWTH</v>
          </cell>
        </row>
        <row r="9690">
          <cell r="F9690" t="str">
            <v>SBI DEBT FUND SERIES A - 35 (369 DAYS) REGULAR PLAN - GROWTH</v>
          </cell>
        </row>
        <row r="9691">
          <cell r="F9691" t="str">
            <v>SBI DEBT FUND SERIES A - 36 (36 Months) DIRECT PLAN - DIVIDEND</v>
          </cell>
        </row>
        <row r="9692">
          <cell r="F9692" t="str">
            <v>SBI DEBT FUND SERIES A - 36 (36 Months) DIRECT PLAN - GROWTH</v>
          </cell>
        </row>
        <row r="9693">
          <cell r="F9693" t="str">
            <v>SBI DEBT FUND SERIES A - 36 (36 Months) REGULAR PLAN - DIVIDEND</v>
          </cell>
        </row>
        <row r="9694">
          <cell r="F9694" t="str">
            <v>SBI DEBT FUND SERIES A - 36 (36 Months) REGULAR PLAN - GROWTH</v>
          </cell>
        </row>
        <row r="9695">
          <cell r="F9695" t="str">
            <v>SBI DEBT FUND SERIES A - 4 DIRECT - GROWTH</v>
          </cell>
        </row>
        <row r="9696">
          <cell r="F9696" t="str">
            <v>SBI DEBT FUND SERIES A - 4 REGULAR PLAN - GROWTH</v>
          </cell>
        </row>
        <row r="9697">
          <cell r="F9697" t="str">
            <v>SBI DEBT FUND SERIES A - 5 DIRECT - GROWTH</v>
          </cell>
        </row>
        <row r="9698">
          <cell r="F9698" t="str">
            <v>SBI DEBT FUND SERIES A - 5 REGULAR PLAN - GROWTH</v>
          </cell>
        </row>
        <row r="9699">
          <cell r="F9699" t="str">
            <v>SBI DEBT FUND SERIES A - 9 DIRECT - GROWTH</v>
          </cell>
        </row>
        <row r="9700">
          <cell r="F9700" t="str">
            <v>SBI DEBT FUND SERIES A - 9 REGULAR PLAN - GROWTH</v>
          </cell>
        </row>
        <row r="9701">
          <cell r="F9701" t="str">
            <v>SBI Debt Fund Series B - 16 (1100 Days) - Direct Plan - Dividend</v>
          </cell>
        </row>
        <row r="9702">
          <cell r="F9702" t="str">
            <v>SBI Debt Fund Series B - 16 (1100 Days) - Regular Plan - Growth</v>
          </cell>
        </row>
        <row r="9703">
          <cell r="F9703" t="str">
            <v>SBI DEBT FUND SERIES B - 17 (1100 DAYS) - DIRECT PLAN - DIVIDEND</v>
          </cell>
        </row>
        <row r="9704">
          <cell r="F9704" t="str">
            <v>SBI DEBT FUND SERIES B - 17 (1100 DAYS) - DIRECT PLAN - GROWTH</v>
          </cell>
        </row>
        <row r="9705">
          <cell r="F9705" t="str">
            <v>SBI DEBT FUND SERIES B - 17 (1100 DAYS) - REGULAR PLAN - DIVIDEND</v>
          </cell>
        </row>
        <row r="9706">
          <cell r="F9706" t="str">
            <v>SBI DEBT FUND SERIES B - 17 (1100 DAYS) - REGULAR PLAN - GROWTH</v>
          </cell>
        </row>
        <row r="9707">
          <cell r="F9707" t="str">
            <v>SBI DEBT FUND SERIES B - 18 (1100 DAYS) - DIRECT PLAN - DIVIDEND</v>
          </cell>
        </row>
        <row r="9708">
          <cell r="F9708" t="str">
            <v>SBI DEBT FUND SERIES B - 18 (1100 DAYS) - DIRECT PLAN - GROWTH</v>
          </cell>
        </row>
        <row r="9709">
          <cell r="F9709" t="str">
            <v>SBI DEBT FUND SERIES B - 18 (1100 DAYS) - REGULAR PLAN - DIVIDEND</v>
          </cell>
        </row>
        <row r="9710">
          <cell r="F9710" t="str">
            <v>SBI DEBT FUND SERIES B - 18 (1100 DAYS) - REGULAR PLAN - GROWTH</v>
          </cell>
        </row>
        <row r="9711">
          <cell r="F9711" t="str">
            <v>SBI DEBT FUND SERIES B - 19 (1100 Days) - DIRECT PLAN - DIVIDEND</v>
          </cell>
        </row>
        <row r="9712">
          <cell r="F9712" t="str">
            <v>SBI DEBT FUND SERIES B - 19 (1100 Days) - DIRECT PLAN - GROWTH</v>
          </cell>
        </row>
        <row r="9713">
          <cell r="F9713" t="str">
            <v>SBI DEBT FUND SERIES B - 19 (1100 Days) - REGULAR PLAN - DIVIDEND</v>
          </cell>
        </row>
        <row r="9714">
          <cell r="F9714" t="str">
            <v>SBI DEBT FUND SERIES B - 19 (1100 Days) - REGULAR PLAN - GROWTH</v>
          </cell>
        </row>
        <row r="9715">
          <cell r="F9715" t="str">
            <v>SBI DEBT FUND SERIES B - 20 (1100 DAYS) - DIRECT PLAN - DIVIDEND</v>
          </cell>
        </row>
        <row r="9716">
          <cell r="F9716" t="str">
            <v>SBI DEBT FUND SERIES B - 20 (1100 DAYS) - DIRECT PLAN - GROWTH</v>
          </cell>
        </row>
        <row r="9717">
          <cell r="F9717" t="str">
            <v>SBI DEBT FUND SERIES B - 20 (1100 DAYS) - REGULAR PLAN - DIVIDEND</v>
          </cell>
        </row>
        <row r="9718">
          <cell r="F9718" t="str">
            <v>SBI DEBT FUND SERIES B - 20 (1100 DAYS) - REGULAR PLAN - GROWTH</v>
          </cell>
        </row>
        <row r="9719">
          <cell r="F9719" t="str">
            <v>SBI DEBT FUND SERIES B - 22 (1100 DAYS) - DIRECT PLAN - DIVIDEND</v>
          </cell>
        </row>
        <row r="9720">
          <cell r="F9720" t="str">
            <v>SBI DEBT FUND SERIES B - 22 (1100 DAYS) - DIRECT PLAN - GROWTH</v>
          </cell>
        </row>
        <row r="9721">
          <cell r="F9721" t="str">
            <v>SBI DEBT FUND SERIES B - 22 (1100 DAYS) - REGULAR PLAN - DIVIDEND</v>
          </cell>
        </row>
        <row r="9722">
          <cell r="F9722" t="str">
            <v>SBI DEBT FUND SERIES B - 22 (1100 DAYS) - REGULAR PLAN - GROWTH</v>
          </cell>
        </row>
        <row r="9723">
          <cell r="F9723" t="str">
            <v>SBI DEBT FUND SERIES B - 23 (1100 DAYS) - DIRECT PLAN - GROWTH</v>
          </cell>
        </row>
        <row r="9724">
          <cell r="F9724" t="str">
            <v>SBI DEBT FUND SERIES B - 23 (1100 DAYS) - DIRECT PLAN -DIVIDEND</v>
          </cell>
        </row>
        <row r="9725">
          <cell r="F9725" t="str">
            <v>SBI DEBT FUND SERIES B - 23 (1100 DAYS) - REGULAR PLAN - DIVIDEND</v>
          </cell>
        </row>
        <row r="9726">
          <cell r="F9726" t="str">
            <v>SBI DEBT FUND SERIES B - 23 (1100 DAYS) - REGULAR PLAN - GROWTH</v>
          </cell>
        </row>
        <row r="9727">
          <cell r="F9727" t="str">
            <v>SBI DEBT FUND SERIES B - 25 (1100 DAYS) - DIRECT PLAN - DIVIDEND</v>
          </cell>
        </row>
        <row r="9728">
          <cell r="F9728" t="str">
            <v>SBI DEBT FUND SERIES B - 25 (1100 DAYS) - DIRECT PLAN - GROWTH</v>
          </cell>
        </row>
        <row r="9729">
          <cell r="F9729" t="str">
            <v>SBI DEBT FUND SERIES B - 25 (1100 DAYS) - REGULAR PLAN - DIVIDEND</v>
          </cell>
        </row>
        <row r="9730">
          <cell r="F9730" t="str">
            <v>SBI DEBT FUND SERIES B - 25 (1100 DAYS) - REGULAR PLAN - GROWTH</v>
          </cell>
        </row>
        <row r="9731">
          <cell r="F9731" t="str">
            <v>SBI DEBT FUND SERIES B - 26 (1100 DAYS) - DIRECT PLAN - DIVIDEND</v>
          </cell>
        </row>
        <row r="9732">
          <cell r="F9732" t="str">
            <v>SBI DEBT FUND SERIES B - 26 (1100 DAYS) - DIRECT PLAN - GROWTH</v>
          </cell>
        </row>
        <row r="9733">
          <cell r="F9733" t="str">
            <v>SBI DEBT FUND SERIES B - 26 (1100 DAYS) - REGULAR PLAN - DIVIDEND</v>
          </cell>
        </row>
        <row r="9734">
          <cell r="F9734" t="str">
            <v>SBI DEBT FUND SERIES B - 26 (1100 DAYS) - REGULAR PLAN - GROWTH</v>
          </cell>
        </row>
        <row r="9735">
          <cell r="F9735" t="str">
            <v>SBI DEBT FUND SERIES B - 27 (1100 DAYS) - DIRECT PLAN - DIVIDEND</v>
          </cell>
        </row>
        <row r="9736">
          <cell r="F9736" t="str">
            <v>SBI DEBT FUND SERIES B - 27 (1100 DAYS) - DIRECT PLAN - GROWTH</v>
          </cell>
        </row>
        <row r="9737">
          <cell r="F9737" t="str">
            <v>SBI DEBT FUND SERIES B - 27 (1100 DAYS) - REGULAR PLAN - DIVIDEND</v>
          </cell>
        </row>
        <row r="9738">
          <cell r="F9738" t="str">
            <v>SBI DEBT FUND SERIES B - 27 (1100 DAYS) - REGULAR PLAN - GROWTH</v>
          </cell>
        </row>
        <row r="9739">
          <cell r="F9739" t="str">
            <v>SBI DEBT FUND SERIES B - 28 (1100 DAYS) - DIRECT PLAN - DIVIDEND</v>
          </cell>
        </row>
        <row r="9740">
          <cell r="F9740" t="str">
            <v>SBI DEBT FUND SERIES B - 28 (1100 DAYS) - DIRECT PLAN - GROWTH</v>
          </cell>
        </row>
        <row r="9741">
          <cell r="F9741" t="str">
            <v>SBI DEBT FUND SERIES B - 28 (1100 DAYS) - REGULAR PLAN - DIVIDEND</v>
          </cell>
        </row>
        <row r="9742">
          <cell r="F9742" t="str">
            <v>SBI DEBT FUND SERIES B - 28 (1100 DAYS) - REGULAR PLAN - GROWTH</v>
          </cell>
        </row>
        <row r="9743">
          <cell r="F9743" t="str">
            <v>SBI DEBT FUND SERIES B - 29 (1200 DAYS) - DIRECT PLAN - DIVIDEND</v>
          </cell>
        </row>
        <row r="9744">
          <cell r="F9744" t="str">
            <v>SBI DEBT FUND SERIES B - 29 (1200 DAYS) - DIRECT PLAN - GROWTH</v>
          </cell>
        </row>
        <row r="9745">
          <cell r="F9745" t="str">
            <v>SBI DEBT FUND SERIES B - 29 (1200 DAYS) - REGULAR PLAN - DIVIDEND</v>
          </cell>
        </row>
        <row r="9746">
          <cell r="F9746" t="str">
            <v>SBI DEBT FUND SERIES B - 29 (1200 DAYS) - REGULAR PLAN - GROWTH</v>
          </cell>
        </row>
        <row r="9747">
          <cell r="F9747" t="str">
            <v>SBI DEBT FUND SERIES B - 31 (1200 DAYS) - DIRECT PLAN - DIVIDEND</v>
          </cell>
        </row>
        <row r="9748">
          <cell r="F9748" t="str">
            <v>SBI DEBT FUND SERIES B - 31 (1200 DAYS) - DIRECT PLAN - GROWTH</v>
          </cell>
        </row>
        <row r="9749">
          <cell r="F9749" t="str">
            <v>SBI DEBT FUND SERIES B - 31 (1200 DAYS) - REGULAR PLAN - DIVIDEND</v>
          </cell>
        </row>
        <row r="9750">
          <cell r="F9750" t="str">
            <v>SBI DEBT FUND SERIES B - 31 (1200 DAYS) - REGULAR PLAN - GROWTH</v>
          </cell>
        </row>
        <row r="9751">
          <cell r="F9751" t="str">
            <v>SBI DEBT FUND SERIES B - 33 (1131 DAYS) - DIRECT PLAN - DIVIDEND PAYOUT</v>
          </cell>
        </row>
        <row r="9752">
          <cell r="F9752" t="str">
            <v>SBI DEBT FUND SERIES B - 33 (1131 DAYS) - DIRECT PLAN - GROWTH</v>
          </cell>
        </row>
        <row r="9753">
          <cell r="F9753" t="str">
            <v>SBI DEBT FUND SERIES B - 33 (1131 DAYS) - REGULAR PLAN - DIVIDEND PAYOUT</v>
          </cell>
        </row>
        <row r="9754">
          <cell r="F9754" t="str">
            <v>SBI DEBT FUND SERIES B - 33 (1131 DAYS) - REGULAR PLAN - GROWTH</v>
          </cell>
        </row>
        <row r="9755">
          <cell r="F9755" t="str">
            <v>SBI DEBT FUND SERIES B - 34 (1131 DAYS) - DIRECT PLAN - DIVIDEND PAYOUT</v>
          </cell>
        </row>
        <row r="9756">
          <cell r="F9756" t="str">
            <v>SBI DEBT FUND SERIES B - 34 (1131 DAYS) - DIRECT PLAN - GROWTH</v>
          </cell>
        </row>
        <row r="9757">
          <cell r="F9757" t="str">
            <v>SBI DEBT FUND SERIES B - 34 (1131 DAYS) - REGULAR PLAN - DIVIDEND PAYOUT</v>
          </cell>
        </row>
        <row r="9758">
          <cell r="F9758" t="str">
            <v>SBI DEBT FUND SERIES B - 34 (1131 DAYS) - REGULAR PLAN - GROWTH</v>
          </cell>
        </row>
        <row r="9759">
          <cell r="F9759" t="str">
            <v>SBI DEBT FUND SERIES B - 35 (1131 DAYS) - DIRECT PLAN - DIVIDEND PAYOUT</v>
          </cell>
        </row>
        <row r="9760">
          <cell r="F9760" t="str">
            <v>SBI DEBT FUND SERIES B - 35 (1131 DAYS) - DIRECT PLAN - GROWTH</v>
          </cell>
        </row>
        <row r="9761">
          <cell r="F9761" t="str">
            <v>SBI DEBT FUND SERIES B - 35 (1131 DAYS) - REGULAR PLAN - DIVIDEND PAYOUT</v>
          </cell>
        </row>
        <row r="9762">
          <cell r="F9762" t="str">
            <v>SBI DEBT FUND SERIES B - 35 (1131 DAYS) - REGULAR PLAN - GROWTH</v>
          </cell>
        </row>
        <row r="9763">
          <cell r="F9763" t="str">
            <v>SBI DEBT FUND SERIES B - 36 (1131 DAYS) - DIRECT PLAN - DIVIDEND PAYOUT</v>
          </cell>
        </row>
        <row r="9764">
          <cell r="F9764" t="str">
            <v>SBI DEBT FUND SERIES B - 36 (1131 DAYS) - DIRECT PLAN - GROWTH</v>
          </cell>
        </row>
        <row r="9765">
          <cell r="F9765" t="str">
            <v>SBI DEBT FUND SERIES B - 36 (1131 DAYS) - REGULAR PLAN - DIVIDEND PAYOUT</v>
          </cell>
        </row>
        <row r="9766">
          <cell r="F9766" t="str">
            <v>SBI DEBT FUND SERIES B - 41(1100 DAYS)- DIRECT PLAN - DIVIDEND PAYOUT</v>
          </cell>
        </row>
        <row r="9767">
          <cell r="F9767" t="str">
            <v>SBI DEBT FUND SERIES B - 41(1100 DAYS)- DIRECT PLAN - GROWTH</v>
          </cell>
        </row>
        <row r="9768">
          <cell r="F9768" t="str">
            <v>SBI DEBT FUND SERIES B - 41(1100 DAYS)- REGULAR PALN - GROWTH</v>
          </cell>
        </row>
        <row r="9769">
          <cell r="F9769" t="str">
            <v>SBI DEBT FUND SERIES B - 41(1100 DAYS)- REGULAR PLAN - DIVIDEND PAYOUT</v>
          </cell>
        </row>
        <row r="9770">
          <cell r="F9770" t="str">
            <v>SBI DEBT FUND SERIES B - 43(1100 DAYS)- DIRECT PLAN - DIVIDEND PAYOUT</v>
          </cell>
        </row>
        <row r="9771">
          <cell r="F9771" t="str">
            <v>SBI DEBT FUND SERIES B - 43(1100 DAYS)- DIRECT PLAN - GROWTH</v>
          </cell>
        </row>
        <row r="9772">
          <cell r="F9772" t="str">
            <v>SBI DEBT FUND SERIES B - 43(1100 DAYS)- REGULAR PLAN - GROWTH</v>
          </cell>
        </row>
        <row r="9773">
          <cell r="F9773" t="str">
            <v>SBI DEBT FUND SERIES B - 43(1100 DAYS)-REGULAR PLAN - DIVIDEND PAYOUT</v>
          </cell>
        </row>
        <row r="9774">
          <cell r="F9774" t="str">
            <v>SBI Debt Fund Series B - 44 (1100 Days) - Direct Plan - Dividend</v>
          </cell>
        </row>
        <row r="9775">
          <cell r="F9775" t="str">
            <v>SBI Debt Fund Series B - 44 (1100 Days) - Direct plan - Growth</v>
          </cell>
        </row>
        <row r="9776">
          <cell r="F9776" t="str">
            <v>SBI Debt Fund Series B - 44 (1100 Days) - Regular Plan - Dividend</v>
          </cell>
        </row>
        <row r="9777">
          <cell r="F9777" t="str">
            <v>SBI Debt Fund Series B - 44 (1100 Days) - Regular Plan - Growth</v>
          </cell>
        </row>
        <row r="9778">
          <cell r="F9778" t="str">
            <v>SBI DEBT FUND SERIES B - 46 (1155 DAYS) - DIRECT PLAN - DIVIDEND PAYOUT</v>
          </cell>
        </row>
        <row r="9779">
          <cell r="F9779" t="str">
            <v>SBI DEBT FUND SERIES B - 46 (1155 DAYS) - DIRECT PLAN - GROWTH</v>
          </cell>
        </row>
        <row r="9780">
          <cell r="F9780" t="str">
            <v>SBI DEBT FUND SERIES B - 46 (1155 DAYS) - REGULAR PLAN - DIVIDEND PAYOUT</v>
          </cell>
        </row>
        <row r="9781">
          <cell r="F9781" t="str">
            <v>SBI DEBT FUND SERIES B - 46 (1155 DAYS) - REGULAR PLAN - GROWTH</v>
          </cell>
        </row>
        <row r="9782">
          <cell r="F9782" t="str">
            <v>SBI DEBT FUND SERIES B - 49 (1170 DAYS) - DIRECT PLAN - DIVIDEND PAYOUT</v>
          </cell>
        </row>
        <row r="9783">
          <cell r="F9783" t="str">
            <v>SBI DEBT FUND SERIES B - 49 (1170 DAYS) - DIRECT PLAN - GROWTH</v>
          </cell>
        </row>
        <row r="9784">
          <cell r="F9784" t="str">
            <v>SBI DEBT FUND SERIES B - 49 (1170 DAYS) - REGULAR PLAN - DIVIDEND PAYOUT</v>
          </cell>
        </row>
        <row r="9785">
          <cell r="F9785" t="str">
            <v>SBI DEBT FUND SERIES B - 49 (1170 DAYS) - REGULAR PLAN - GROWTH</v>
          </cell>
        </row>
        <row r="9786">
          <cell r="F9786" t="str">
            <v>SBI DEBT FUND SERIES B - 7 (38 MONTHS) - DIRECT PLAN - GROWTH</v>
          </cell>
        </row>
        <row r="9787">
          <cell r="F9787" t="str">
            <v>SBI DEBT FUND SERIES B - 7 (38 MONTHS) - REGUALR PLAN - DIVIDEND</v>
          </cell>
        </row>
        <row r="9788">
          <cell r="F9788" t="str">
            <v>SBI DEBT FUND SERIES B - 8 (1105 DAYS) - DIRECT PLAN - DIVIDEND</v>
          </cell>
        </row>
        <row r="9789">
          <cell r="F9789" t="str">
            <v>SBI DEBT FUND SERIES B - 8 (1105 DAYS) - DIRECT PLAN - GROWTH</v>
          </cell>
        </row>
        <row r="9790">
          <cell r="F9790" t="str">
            <v>SBI DEBT FUND SERIES B - 8 (1105 DAYS) - REGULAR PLAN - DIVIDEND</v>
          </cell>
        </row>
        <row r="9791">
          <cell r="F9791" t="str">
            <v>SBI DEBT FUND SERIES B - 8 (1105 DAYS) - REGULAR PLAN - GROWTH</v>
          </cell>
        </row>
        <row r="9792">
          <cell r="F9792" t="str">
            <v>SBI DEBT FUND SERIES B - 9 (1105 DAYS) - DIRECT PLAN - DIVIDEND</v>
          </cell>
        </row>
        <row r="9793">
          <cell r="F9793" t="str">
            <v>SBI DEBT FUND SERIES B - 9 (1105 DAYS) - DIRECT PLAN - GROWTH</v>
          </cell>
        </row>
        <row r="9794">
          <cell r="F9794" t="str">
            <v>SBI DEBT FUND SERIES B - 9 (1105 DAYS) - REGULAR PLAN - DIVIDEND</v>
          </cell>
        </row>
        <row r="9795">
          <cell r="F9795" t="str">
            <v>SBI DEBT FUND SERIES B - 9 (1105 DAYS) - REGULAR PLAN - GROWTH</v>
          </cell>
        </row>
        <row r="9796">
          <cell r="F9796" t="str">
            <v>SBI Debt Fund Series B -16 (1100 Days) - Direct Plan - Growth</v>
          </cell>
        </row>
        <row r="9797">
          <cell r="F9797" t="str">
            <v>SBI Debt Fund Series B -16 (1100 Days) - Regular Plan - Dividend</v>
          </cell>
        </row>
        <row r="9798">
          <cell r="F9798" t="str">
            <v>SBI DEBT FUND SERIES B- 36 (1131 DAYS) - REGULAR PLAN - GROWTH</v>
          </cell>
        </row>
        <row r="9799">
          <cell r="F9799" t="str">
            <v>SBI DEBT FUND SERIES C - 1 (1100 DAYS) - DIRECT PLAN - DIVIDEND PAYOUT</v>
          </cell>
        </row>
        <row r="9800">
          <cell r="F9800" t="str">
            <v>SBI DEBT FUND SERIES C - 1 (1100 DAYS) - DIRECT PLAN - GROWTH</v>
          </cell>
        </row>
        <row r="9801">
          <cell r="F9801" t="str">
            <v>SBI DEBT FUND SERIES C - 1 (1100 DAYS) - REGULAR PLAN - DIVIDEND PAYOUT</v>
          </cell>
        </row>
        <row r="9802">
          <cell r="F9802" t="str">
            <v>SBI DEBT FUND SERIES C - 1 (1100 DAYS) - REGULAR PLAN - GROWTH</v>
          </cell>
        </row>
        <row r="9803">
          <cell r="F9803" t="str">
            <v>SBI DEBT FUND SERIES C - 2 (1100 DAYS) - DIRECT PLAN - DIVIDEND PAYOUT</v>
          </cell>
        </row>
        <row r="9804">
          <cell r="F9804" t="str">
            <v>SBI DEBT FUND SERIES C - 2 (1100 DAYS) - DIRECT PLAN - GROWTH</v>
          </cell>
        </row>
        <row r="9805">
          <cell r="F9805" t="str">
            <v>SBI DEBT FUND SERIES C - 2 (1100 DAYS) - REGULAR PLAN - DIVIDEND PAYOUT</v>
          </cell>
        </row>
        <row r="9806">
          <cell r="F9806" t="str">
            <v>SBI DEBT FUND SERIES C - 2 (1100 DAYS) - REGULAR PLAN - GROWTH</v>
          </cell>
        </row>
        <row r="9807">
          <cell r="F9807" t="str">
            <v>SBI DEBT FUND SERIES C - 7 (1190 DAYS) - DIRECT PLAN - DIVIDEND PAYOUT</v>
          </cell>
        </row>
        <row r="9808">
          <cell r="F9808" t="str">
            <v>SBI DEBT FUND SERIES C - 7 (1190 DAYS) - DIRECT PLAN - GROWTH</v>
          </cell>
        </row>
        <row r="9809">
          <cell r="F9809" t="str">
            <v>SBI DEBT FUND SERIES C - 7 (1190 DAYS) - REGULAR PLAN - DIVIDEND PAYOUT</v>
          </cell>
        </row>
        <row r="9810">
          <cell r="F9810" t="str">
            <v>SBI DEBT FUND SERIES C - 7 (1190 DAYS) - REGULAR PLAN - GROWTH</v>
          </cell>
        </row>
        <row r="9811">
          <cell r="F9811" t="str">
            <v>SBI DEBT FUNDS SERIES B - 42 (1100 DAYS) - DIRECT PLAN - DIVIDEND PAYOUT</v>
          </cell>
        </row>
        <row r="9812">
          <cell r="F9812" t="str">
            <v>SBI DEBT FUNDS SERIES B - 42 (1100 DAYS) - DIRECT PLAN - GROWTH</v>
          </cell>
        </row>
        <row r="9813">
          <cell r="F9813" t="str">
            <v>SBI DEBT FUNDS SERIES B - 42 (1100 DAYS) - REGULAR PLAN - DIVIDEND PAYOUT</v>
          </cell>
        </row>
        <row r="9814">
          <cell r="F9814" t="str">
            <v>SBI DEBT FUNDS SERIES B - 42 (1100 DAYS) - REGULAR PLAN - GROWTH</v>
          </cell>
        </row>
        <row r="9815">
          <cell r="F9815" t="str">
            <v>SBI DEBT FUNS SERIES B - 7 (38 MONTHS) - REGULAR PLAN - GROWTH</v>
          </cell>
        </row>
        <row r="9816">
          <cell r="F9816" t="str">
            <v>SBI DEBT HYBRID FUND - DIRECT PLAN - ANNUAL DIVIDEND</v>
          </cell>
        </row>
        <row r="9817">
          <cell r="F9817" t="str">
            <v>SBI DEBT HYBRID FUND - DIRECT PLAN - GROWTH</v>
          </cell>
        </row>
        <row r="9818">
          <cell r="F9818" t="str">
            <v>SBI DEBT HYBRID FUND - DIRECT PLAN - MONTHLY  DIVIDEND</v>
          </cell>
        </row>
        <row r="9819">
          <cell r="F9819" t="str">
            <v>SBI DEBT HYBRID FUND - DIRECT PLAN - QUARTERLY DIVIDEND</v>
          </cell>
        </row>
        <row r="9820">
          <cell r="F9820" t="str">
            <v>SBI DEBT HYBRID FUND - Dividend-REGULAR PLAN -Monthly</v>
          </cell>
        </row>
        <row r="9821">
          <cell r="F9821" t="str">
            <v>SBI DEBT HYBRID FUND - REGULAR PLAN - GROWTH</v>
          </cell>
        </row>
        <row r="9822">
          <cell r="F9822" t="str">
            <v>SBI DEBT HYBRID FUND -Dividend-REGULAR PLAN - Annual</v>
          </cell>
        </row>
        <row r="9823">
          <cell r="F9823" t="str">
            <v>SBI DEBT HYBRID FUND -REGULAR PLAN - Dividend-Quaterly</v>
          </cell>
        </row>
        <row r="9824">
          <cell r="F9824" t="str">
            <v>SBI DUAL ADVANATGE FUND - SERIES XII - REGULAR PLAN - DIVIDEND</v>
          </cell>
        </row>
        <row r="9825">
          <cell r="F9825" t="str">
            <v>SBI Dual Advantage Fund  XVII - Direct Plan - Dividend Payout</v>
          </cell>
        </row>
        <row r="9826">
          <cell r="F9826" t="str">
            <v>SBI Dual Advantage Fund  XVII - Regular Plan - Growth</v>
          </cell>
        </row>
        <row r="9827">
          <cell r="F9827" t="str">
            <v>SBI Dual Advantage Fund - Series III - Direct Plan - Dividend</v>
          </cell>
        </row>
        <row r="9828">
          <cell r="F9828" t="str">
            <v>SBI Dual Advantage Fund - Series III - Direct Plan - Growth</v>
          </cell>
        </row>
        <row r="9829">
          <cell r="F9829" t="str">
            <v>SBI Dual Advantage Fund - Series III - Regular Plan - Dividend</v>
          </cell>
        </row>
        <row r="9830">
          <cell r="F9830" t="str">
            <v>SBI Dual Advantage Fund - Series III - Regular Plan - Growth</v>
          </cell>
        </row>
        <row r="9831">
          <cell r="F9831" t="str">
            <v>SBI DUAL ADVANTAGE FUND - SERIES IX - DIRECT PLAN - DIVIDEND</v>
          </cell>
        </row>
        <row r="9832">
          <cell r="F9832" t="str">
            <v>SBI DUAL ADVANTAGE FUND - SERIES IX - DIRECT PLAN - GROWTH</v>
          </cell>
        </row>
        <row r="9833">
          <cell r="F9833" t="str">
            <v>SBI DUAL ADVANTAGE FUND - SERIES IX - REGULAR PLAN - DIVIDEND</v>
          </cell>
        </row>
        <row r="9834">
          <cell r="F9834" t="str">
            <v>SBI DUAL ADVANTAGE FUND - SERIES IX - REGULAR PLAN - GROWTH</v>
          </cell>
        </row>
        <row r="9835">
          <cell r="F9835" t="str">
            <v>SBI DUAL ADVANTAGE FUND - SERIES VII - DIRECT PLAN - DIVIDEND</v>
          </cell>
        </row>
        <row r="9836">
          <cell r="F9836" t="str">
            <v>SBI DUAL ADVANTAGE FUND - SERIES VII - DIRECT PLAN - GROWTH</v>
          </cell>
        </row>
        <row r="9837">
          <cell r="F9837" t="str">
            <v>SBI DUAL ADVANTAGE FUND - SERIES VII - REGULAR PLAN - DIVIDEND</v>
          </cell>
        </row>
        <row r="9838">
          <cell r="F9838" t="str">
            <v>SBI DUAL ADVANTAGE FUND - SERIES VII - REGULAR PLAN - GROWTH</v>
          </cell>
        </row>
        <row r="9839">
          <cell r="F9839" t="str">
            <v>SBI DUAL ADVANTAGE FUND - SERIES VIII - DIRECT PLAN - DIVIDEND</v>
          </cell>
        </row>
        <row r="9840">
          <cell r="F9840" t="str">
            <v>SBI DUAL ADVANTAGE FUND - SERIES VIII - DIRECT PLAN - GROWTH</v>
          </cell>
        </row>
        <row r="9841">
          <cell r="F9841" t="str">
            <v>SBI DUAL ADVANTAGE FUND - SERIES VIII - REGULAR PLAN - DIVIDEND</v>
          </cell>
        </row>
        <row r="9842">
          <cell r="F9842" t="str">
            <v>SBI DUAL ADVANTAGE FUND - SERIES VIII - REGULAR PLAN - GROWTH</v>
          </cell>
        </row>
        <row r="9843">
          <cell r="F9843" t="str">
            <v>SBI DUAL ADVANTAGE FUND - SERIES X - DIRECT PLAN - DIVIDEND</v>
          </cell>
        </row>
        <row r="9844">
          <cell r="F9844" t="str">
            <v>SBI DUAL ADVANTAGE FUND - SERIES X - DIRECT PLAN - GROWTH</v>
          </cell>
        </row>
        <row r="9845">
          <cell r="F9845" t="str">
            <v>SBI DUAL ADVANTAGE FUND - SERIES X - REGULAR PLAN - DIVIDEND</v>
          </cell>
        </row>
        <row r="9846">
          <cell r="F9846" t="str">
            <v>SBI DUAL ADVANTAGE FUND - SERIES X - REGULAR PLAN - GROWTH</v>
          </cell>
        </row>
        <row r="9847">
          <cell r="F9847" t="str">
            <v>SBI DUAL ADVANTAGE FUND - SERIES XI - DIRECT PLAN - DIVIDEND</v>
          </cell>
        </row>
        <row r="9848">
          <cell r="F9848" t="str">
            <v>SBI DUAL ADVANTAGE FUND - SERIES XI - DIRECT PLAN - GROWTH</v>
          </cell>
        </row>
        <row r="9849">
          <cell r="F9849" t="str">
            <v>SBI DUAL ADVANTAGE FUND - SERIES XI - REGULAR PLAN - DIVIDEND</v>
          </cell>
        </row>
        <row r="9850">
          <cell r="F9850" t="str">
            <v>SBI DUAL ADVANTAGE FUND - SERIES XI - REGULAR PLAN - GROWTH</v>
          </cell>
        </row>
        <row r="9851">
          <cell r="F9851" t="str">
            <v>SBI DUAL ADVANTAGE FUND - SERIES XII - DIRECT PLAN - DIVIDEND</v>
          </cell>
        </row>
        <row r="9852">
          <cell r="F9852" t="str">
            <v>SBI DUAL ADVANTAGE FUND - SERIES XII - DIRECT PLAN - GROWTH</v>
          </cell>
        </row>
        <row r="9853">
          <cell r="F9853" t="str">
            <v>SBI DUAL ADVANTAGE FUND - SERIES XII - REGULAR PLAN - GROWTH</v>
          </cell>
        </row>
        <row r="9854">
          <cell r="F9854" t="str">
            <v>SBI DUAL ADVANTAGE FUND - SERIES XIII - DIRECT PLAN - DIVIDEND</v>
          </cell>
        </row>
        <row r="9855">
          <cell r="F9855" t="str">
            <v>SBI DUAL ADVANTAGE FUND - SERIES XIII - DIRECT PLAN - GROWTH</v>
          </cell>
        </row>
        <row r="9856">
          <cell r="F9856" t="str">
            <v>SBI DUAL ADVANTAGE FUND - SERIES XIII - REGULAR PLAN - DIVIDEND</v>
          </cell>
        </row>
        <row r="9857">
          <cell r="F9857" t="str">
            <v>SBI DUAL ADVANTAGE FUND - SERIES XIII - REGULAR PLAN - GROWTH</v>
          </cell>
        </row>
        <row r="9858">
          <cell r="F9858" t="str">
            <v>SBI DUAL ADVANTAGE FUND - SERIES XIX - DIRECT PLAN - DIVIDEND PAYOUT</v>
          </cell>
        </row>
        <row r="9859">
          <cell r="F9859" t="str">
            <v>SBI DUAL ADVANTAGE FUND - SERIES XIX - DIRECT PLAN - GROWTH</v>
          </cell>
        </row>
        <row r="9860">
          <cell r="F9860" t="str">
            <v>SBI DUAL ADVANTAGE FUND - SERIES XIX - REGULAR PLAN - DIVIDEND PAYOUT</v>
          </cell>
        </row>
        <row r="9861">
          <cell r="F9861" t="str">
            <v>SBI DUAL ADVANTAGE FUND - SERIES XIX - REGULAR PLAN - GROWTH</v>
          </cell>
        </row>
        <row r="9862">
          <cell r="F9862" t="str">
            <v>SBI Dual Advantage Fund - Series XV- Direct Plan - Growth</v>
          </cell>
        </row>
        <row r="9863">
          <cell r="F9863" t="str">
            <v>SBI Dual Advantage Fund - Series XV- Direct Plan -Dividend Payout</v>
          </cell>
        </row>
        <row r="9864">
          <cell r="F9864" t="str">
            <v>SBI Dual Advantage Fund - Series XV- Regular Plan - Dividend Payout</v>
          </cell>
        </row>
        <row r="9865">
          <cell r="F9865" t="str">
            <v>SBI Dual Advantage Fund - Series XV- Regular Plan - Growth</v>
          </cell>
        </row>
        <row r="9866">
          <cell r="F9866" t="str">
            <v>SBI Dual Advantage Fund - Series XVI - Direct Plan - Dividend Payout</v>
          </cell>
        </row>
        <row r="9867">
          <cell r="F9867" t="str">
            <v>SBI Dual Advantage Fund - Series XVI - Direct Plan - Growth</v>
          </cell>
        </row>
        <row r="9868">
          <cell r="F9868" t="str">
            <v>SBI Dual Advantage Fund - Series XVI - Regular Plan - Dividend Payout</v>
          </cell>
        </row>
        <row r="9869">
          <cell r="F9869" t="str">
            <v>SBI Dual Advantage Fund - Series XVI - Regular Plan - Growth</v>
          </cell>
        </row>
        <row r="9870">
          <cell r="F9870" t="str">
            <v>SBI Dual Advantage Fund - Series XVII - Direct Plan - growth</v>
          </cell>
        </row>
        <row r="9871">
          <cell r="F9871" t="str">
            <v>SBI Dual Advantage Fund - Series XVII - Regular Plan - Dividend Payout</v>
          </cell>
        </row>
        <row r="9872">
          <cell r="F9872" t="str">
            <v>SBI Dual Advantage Fund - Series XVIII - Direct Plan - Dividend Payout</v>
          </cell>
        </row>
        <row r="9873">
          <cell r="F9873" t="str">
            <v>SBI Dual Advantage Fund - Series XVIII - Direct Plan - Growth</v>
          </cell>
        </row>
        <row r="9874">
          <cell r="F9874" t="str">
            <v>SBI Dual Advantage Fund - Series XVIII - Regular Plan - Dividend Payout</v>
          </cell>
        </row>
        <row r="9875">
          <cell r="F9875" t="str">
            <v>SBI Dual Advantage Fund - Series XVIII - Regular Plan - Growth</v>
          </cell>
        </row>
        <row r="9876">
          <cell r="F9876" t="str">
            <v>SBI DUAL ADVANTAGE FUND - SERIES XXII - DIRECT PLAN - DIVIDEND PAYOUT</v>
          </cell>
        </row>
        <row r="9877">
          <cell r="F9877" t="str">
            <v>SBI DUAL ADVANTAGE FUND - SERIES XXII - DIRECT PLAN - GROWTH</v>
          </cell>
        </row>
        <row r="9878">
          <cell r="F9878" t="str">
            <v>SBI DUAL ADVANTAGE FUND - SERIES XXII - REGULAR PLAN - DIVIDEND PAYOUT</v>
          </cell>
        </row>
        <row r="9879">
          <cell r="F9879" t="str">
            <v>SBI DUAL ADVANTAGE FUND - SERIES XXII - REGULAR PLAN - GROWTH</v>
          </cell>
        </row>
        <row r="9880">
          <cell r="F9880" t="str">
            <v>SBI DUAL ADVANTAGE FUND - SERIES XXIII - DIRECT PLAN - DIVIDEND PAYOUT</v>
          </cell>
        </row>
        <row r="9881">
          <cell r="F9881" t="str">
            <v>SBI DUAL ADVANTAGE FUND - SERIES XXIII - DIRECT PLAN - GROWTH</v>
          </cell>
        </row>
        <row r="9882">
          <cell r="F9882" t="str">
            <v>SBI DUAL ADVANTAGE FUND - SERIES XXIII - REGULAR PLAN - DIVIDEND PAYOUT</v>
          </cell>
        </row>
        <row r="9883">
          <cell r="F9883" t="str">
            <v>SBI DUAL ADVANTAGE FUND - SERIES XXIII - REGULAR PLAN - GROWTH</v>
          </cell>
        </row>
        <row r="9884">
          <cell r="F9884" t="str">
            <v>SBI DUAL ADVANTAGE FUND - SERIES XXIV - DIRECT PLAN - DIVIDEND PAYOUT</v>
          </cell>
        </row>
        <row r="9885">
          <cell r="F9885" t="str">
            <v>SBI DUAL ADVANTAGE FUND - SERIES XXIV - DIRECT PLAN - GROWTH</v>
          </cell>
        </row>
        <row r="9886">
          <cell r="F9886" t="str">
            <v>SBI DUAL ADVANTAGE FUND - SERIES XXIV - REGULAR PLAN - DIVIDEND PAYOUT</v>
          </cell>
        </row>
        <row r="9887">
          <cell r="F9887" t="str">
            <v>SBI DUAL ADVANTAGE FUND - SERIES XXIV - REGULAR PLAN - GROWTH</v>
          </cell>
        </row>
        <row r="9888">
          <cell r="F9888" t="str">
            <v>SBI DUAL ADVANTAGE FUND - SERIES XXV - DIRECT PLAN - DIVIDEND PAYOUT</v>
          </cell>
        </row>
        <row r="9889">
          <cell r="F9889" t="str">
            <v>SBI DUAL ADVANTAGE FUND - SERIES XXV - DIRECT PLAN - GROWTH</v>
          </cell>
        </row>
        <row r="9890">
          <cell r="F9890" t="str">
            <v>SBI DUAL ADVANTAGE FUND - SERIES XXV - REGULAR PLAN - DIVIDEND PAYOUT</v>
          </cell>
        </row>
        <row r="9891">
          <cell r="F9891" t="str">
            <v>SBI DUAL ADVANTAGE FUND - SERIES XXV - REGULAR PLAN - GROWTH</v>
          </cell>
        </row>
        <row r="9892">
          <cell r="F9892" t="str">
            <v>SBI DUAL ADVANTAGE FUND SERIES XIV- DIRECT PLAN - DIVIDEND PAYOUT</v>
          </cell>
        </row>
        <row r="9893">
          <cell r="F9893" t="str">
            <v>SBI DUAL ADVANTAGE FUND SERIES XIV- DIRECT PLAN - GROWTH</v>
          </cell>
        </row>
        <row r="9894">
          <cell r="F9894" t="str">
            <v>SBI DUAL ADVANTAGE FUND SERIES XIV- REGULAR PLAN - DIVIDEND PAYOUT</v>
          </cell>
        </row>
        <row r="9895">
          <cell r="F9895" t="str">
            <v>SBI DUAL ADVANTAGE FUND SERIES XIV- REGULAR PLAN - GROWTH</v>
          </cell>
        </row>
        <row r="9896">
          <cell r="F9896" t="str">
            <v>SBI Dynamic Asset Allocation Fund - Direct Plan - Dividend</v>
          </cell>
        </row>
        <row r="9897">
          <cell r="F9897" t="str">
            <v>SBI Dynamic Asset Allocation Fund - Direct Plan - Growth</v>
          </cell>
        </row>
        <row r="9898">
          <cell r="F9898" t="str">
            <v>SBI Dynamic Asset Allocation Fund - Regular Plan - Dividend</v>
          </cell>
        </row>
        <row r="9899">
          <cell r="F9899" t="str">
            <v>SBI Dynamic Asset Allocation Fund - Regular Plan - Growth</v>
          </cell>
        </row>
        <row r="9900">
          <cell r="F9900" t="str">
            <v>SBI Dynamic Bond Fund - DIRECT PLAN - Dividend</v>
          </cell>
        </row>
        <row r="9901">
          <cell r="F9901" t="str">
            <v>SBI Dynamic Bond Fund - DIRECT PLAN - Growth</v>
          </cell>
        </row>
        <row r="9902">
          <cell r="F9902" t="str">
            <v>SBI Dynamic Bond Fund - REGULAR PLAN - Dividend</v>
          </cell>
        </row>
        <row r="9903">
          <cell r="F9903" t="str">
            <v>SBI Dynamic Bond Fund - REGULAR PLAN - Growth</v>
          </cell>
        </row>
        <row r="9904">
          <cell r="F9904" t="str">
            <v>SBI EQUITY HYBRID FUND - DIRECT PLAN - Dividend</v>
          </cell>
        </row>
        <row r="9905">
          <cell r="F9905" t="str">
            <v>SBI EQUITY HYBRID FUND - DIRECT PLAN - Growth</v>
          </cell>
        </row>
        <row r="9906">
          <cell r="F9906" t="str">
            <v>SBI EQUITY HYBRID FUND - REGULAR PLAN - Dividend</v>
          </cell>
        </row>
        <row r="9907">
          <cell r="F9907" t="str">
            <v>SBI EQUITY HYBRID FUND - REGULAR PLAN -Growth</v>
          </cell>
        </row>
        <row r="9908">
          <cell r="F9908" t="str">
            <v>SBI EQUITY OPPORTUNITIES FUND -  SERIES IV - REGULAR PLAN - GROWTH</v>
          </cell>
        </row>
        <row r="9909">
          <cell r="F9909" t="str">
            <v>SBI EQUITY OPPORTUNITIES FUND - SERIES I - DIRECT PLAN - DIVIDEND</v>
          </cell>
        </row>
        <row r="9910">
          <cell r="F9910" t="str">
            <v>SBI EQUITY OPPORTUNITIES FUND - SERIES I - DIRECT PLAN - GROWTH</v>
          </cell>
        </row>
        <row r="9911">
          <cell r="F9911" t="str">
            <v>SBI EQUITY OPPORTUNITIES FUND - SERIES I - REGULAR PLAN - DIVIDEND</v>
          </cell>
        </row>
        <row r="9912">
          <cell r="F9912" t="str">
            <v>SBI EQUITY OPPORTUNITIES FUND - SERIES I - REGULAR PLAN - GROWTH</v>
          </cell>
        </row>
        <row r="9913">
          <cell r="F9913" t="str">
            <v>SBI EQUITY OPPORTUNITIES FUND - SERIES IV - DIRECT PLAN - DIVIDEND</v>
          </cell>
        </row>
        <row r="9914">
          <cell r="F9914" t="str">
            <v>SBI EQUITY OPPORTUNITIES FUND - SERIES IV - DIRECT PLAN - GROWTH</v>
          </cell>
        </row>
        <row r="9915">
          <cell r="F9915" t="str">
            <v>SBI EQUITY OPPORTUNITIES FUND - SERIES IV - REGULAR PLAN - DIVIDEND</v>
          </cell>
        </row>
        <row r="9916">
          <cell r="F9916" t="str">
            <v>SBI Equity Savings Fund - Direct Plan - Growth</v>
          </cell>
        </row>
        <row r="9917">
          <cell r="F9917" t="str">
            <v>SBI Equity Savings Fund - Direct Plan - Monthly Dividend</v>
          </cell>
        </row>
        <row r="9918">
          <cell r="F9918" t="str">
            <v>SBI Equity Savings Fund - Direct Plan - Quarterly Dividend</v>
          </cell>
        </row>
        <row r="9919">
          <cell r="F9919" t="str">
            <v>SBI Equity Savings Fund - Regular Plan - Growth</v>
          </cell>
        </row>
        <row r="9920">
          <cell r="F9920" t="str">
            <v>SBI Equity Savings Fund - Regular Plan - Monthly Dividend</v>
          </cell>
        </row>
        <row r="9921">
          <cell r="F9921" t="str">
            <v>SBI Equity Savings Fund - Regular Plan - Quarterly Dividend</v>
          </cell>
        </row>
        <row r="9922">
          <cell r="F9922" t="str">
            <v>SBI FOCUSED EQUITY FUND - DIRECT PLAN - DIVIDEND</v>
          </cell>
        </row>
        <row r="9923">
          <cell r="F9923" t="str">
            <v>SBI FOCUSED EQUITY FUND - DIRECT PLAN -GROWTH</v>
          </cell>
        </row>
        <row r="9924">
          <cell r="F9924" t="str">
            <v>SBI FOCUSED EQUITY FUND - REGULAR  PLAN - DIVIDEND</v>
          </cell>
        </row>
        <row r="9925">
          <cell r="F9925" t="str">
            <v>SBI FOCUSED EQUITY FUND - REGULAR PLAN -GROWTH</v>
          </cell>
        </row>
        <row r="9926">
          <cell r="F9926" t="str">
            <v>SBI GOLD FUND - DIRECT PLAN - DIVIDEND</v>
          </cell>
        </row>
        <row r="9927">
          <cell r="F9927" t="str">
            <v>SBI GOLD FUND - REGULAR PLAN - DIVIDEND</v>
          </cell>
        </row>
        <row r="9928">
          <cell r="F9928" t="str">
            <v>SBI GOLD FUND REGULAR PLAN - GROWTH</v>
          </cell>
        </row>
        <row r="9929">
          <cell r="F9929" t="str">
            <v>SBI GOLD FUND- DIRECT PLAN - GROWTH</v>
          </cell>
        </row>
        <row r="9930">
          <cell r="F9930" t="str">
            <v>SBI HEALTHCARE OPPORTUNITIES FUND - DIRECT PLAN -DIVIDEND</v>
          </cell>
        </row>
        <row r="9931">
          <cell r="F9931" t="str">
            <v>SBI HEALTHCARE OPPORTUNITIES FUND - DIRECT PLAN -GROWTH</v>
          </cell>
        </row>
        <row r="9932">
          <cell r="F9932" t="str">
            <v>SBI HEALTHCARE OPPORTUNITIES FUND - REGULAR PLAN - DIVIDEND</v>
          </cell>
        </row>
        <row r="9933">
          <cell r="F9933" t="str">
            <v>SBI HEALTHCARE OPPORTUNITIES FUND - REGULAR PLAN -GROWTH</v>
          </cell>
        </row>
        <row r="9934">
          <cell r="F9934" t="str">
            <v>SBI INFRASTRUCTURE FUND -  DIRECT PLAN - GROWTH</v>
          </cell>
        </row>
        <row r="9935">
          <cell r="F9935" t="str">
            <v>SBI INFRASTRUCTURE FUND -  REGULAR PLAN - GROWTH</v>
          </cell>
        </row>
        <row r="9936">
          <cell r="F9936" t="str">
            <v>SBI INFRASTRUCTURE FUND - DIRECT PLAN - DIVIDEND</v>
          </cell>
        </row>
        <row r="9937">
          <cell r="F9937" t="str">
            <v>SBI INFRASTRUCTURE FUND - REGULAR PLAN - DIVIDEND</v>
          </cell>
        </row>
        <row r="9938">
          <cell r="F9938" t="str">
            <v>SBI LARGE &amp; MIDCAP FUND - DIRECT PLAN -Dividend</v>
          </cell>
        </row>
        <row r="9939">
          <cell r="F9939" t="str">
            <v>SBI LARGE &amp; MIDCAP FUND - REGULAR PLAN -Dividend</v>
          </cell>
        </row>
        <row r="9940">
          <cell r="F9940" t="str">
            <v>SBI LARGE &amp; MIDCAP FUND -DIRECT PLAN -Growth</v>
          </cell>
        </row>
        <row r="9941">
          <cell r="F9941" t="str">
            <v>SBI LARGE &amp; MIDCAP FUND- REGULAR PLAN -Growth</v>
          </cell>
        </row>
        <row r="9942">
          <cell r="F9942" t="str">
            <v>SBI Liquid Fund - DIRECT PLAN - Weekly Dividend</v>
          </cell>
        </row>
        <row r="9943">
          <cell r="F9943" t="str">
            <v>SBI Liquid Fund - DIRECT PLAN -Daily Dividend</v>
          </cell>
        </row>
        <row r="9944">
          <cell r="F9944" t="str">
            <v>SBI Liquid Fund - DIRECT PLAN -Fortnightly Dividend</v>
          </cell>
        </row>
        <row r="9945">
          <cell r="F9945" t="str">
            <v>SBI Liquid Fund - DIRECT PLAN -Growth</v>
          </cell>
        </row>
        <row r="9946">
          <cell r="F9946" t="str">
            <v>SBI Liquid Fund - Institutional  - Fortnightly Dividend</v>
          </cell>
        </row>
        <row r="9947">
          <cell r="F9947" t="str">
            <v>SBI Liquid Fund - Institutional  - Weekly Dividend</v>
          </cell>
        </row>
        <row r="9948">
          <cell r="F9948" t="str">
            <v>SBI Liquid Fund - Institutional - Daily Dividend</v>
          </cell>
        </row>
        <row r="9949">
          <cell r="F9949" t="str">
            <v>SBI Liquid Fund - Institutional - Growth</v>
          </cell>
        </row>
        <row r="9950">
          <cell r="F9950" t="str">
            <v>SBI Liquid Fund - REGULAR PLAN - Daily Dividend</v>
          </cell>
        </row>
        <row r="9951">
          <cell r="F9951" t="str">
            <v>SBI Liquid Fund - REGULAR PLAN - Fortnightly Dividend</v>
          </cell>
        </row>
        <row r="9952">
          <cell r="F9952" t="str">
            <v>SBI Liquid Fund - REGULAR PLAN -Growth</v>
          </cell>
        </row>
        <row r="9953">
          <cell r="F9953" t="str">
            <v>SBI Liquid Fund - REGULAR PLAN -Weekly Dividend</v>
          </cell>
        </row>
        <row r="9954">
          <cell r="F9954" t="str">
            <v>SBI LONG TERM ADVANTAGE FUND - SERIES I - DIRECT PLAN - DIVIDEND</v>
          </cell>
        </row>
        <row r="9955">
          <cell r="F9955" t="str">
            <v>SBI LONG TERM ADVANTAGE FUND - SERIES I - DIRECT PLAN - GROWTH</v>
          </cell>
        </row>
        <row r="9956">
          <cell r="F9956" t="str">
            <v>SBI LONG TERM ADVANTAGE FUND - SERIES I - REGULAR PLAN - DIVIDEND</v>
          </cell>
        </row>
        <row r="9957">
          <cell r="F9957" t="str">
            <v>SBI LONG TERM ADVANTAGE FUND - SERIES I - REGULAR PLAN - GROWTH</v>
          </cell>
        </row>
        <row r="9958">
          <cell r="F9958" t="str">
            <v>SBI LONG TERM ADVANTAGE FUND - SERIES II - DIRECT PLAN - DIVIDEND</v>
          </cell>
        </row>
        <row r="9959">
          <cell r="F9959" t="str">
            <v>SBI LONG TERM ADVANTAGE FUND - SERIES II - DIRECT PLAN - GROWTH</v>
          </cell>
        </row>
        <row r="9960">
          <cell r="F9960" t="str">
            <v>SBI LONG TERM ADVANTAGE FUND - SERIES II - REGULAR PLAN - DIVIDEND</v>
          </cell>
        </row>
        <row r="9961">
          <cell r="F9961" t="str">
            <v>SBI LONG TERM ADVANTAGE FUND - SERIES II - REGULAR PLAN - GROWTH</v>
          </cell>
        </row>
        <row r="9962">
          <cell r="F9962" t="str">
            <v>SBI Long Term Advantage Fund - Series III - Direct Plan - Dividend Payout</v>
          </cell>
        </row>
        <row r="9963">
          <cell r="F9963" t="str">
            <v>SBI Long Term Advantage Fund - Series III - Direct Plan - Growth</v>
          </cell>
        </row>
        <row r="9964">
          <cell r="F9964" t="str">
            <v>SBI Long Term Advantage Fund - Series III - Regular Plan - Dividend Payout</v>
          </cell>
        </row>
        <row r="9965">
          <cell r="F9965" t="str">
            <v>SBI Long Term Advantage Fund - Series III - Regular Plan - Growth</v>
          </cell>
        </row>
        <row r="9966">
          <cell r="F9966" t="str">
            <v>SBI Long Term Advantage Fund - Series IV - Direct Plan - Dividend Payout</v>
          </cell>
        </row>
        <row r="9967">
          <cell r="F9967" t="str">
            <v>SBI Long Term Advantage Fund - Series IV - Direct Plan - Growth</v>
          </cell>
        </row>
        <row r="9968">
          <cell r="F9968" t="str">
            <v>SBI Long Term Advantage Fund - Series IV - Regular Plan - Dividend Payout</v>
          </cell>
        </row>
        <row r="9969">
          <cell r="F9969" t="str">
            <v>SBI Long Term Advantage Fund - Series IV - Regular Plan - Growth</v>
          </cell>
        </row>
        <row r="9970">
          <cell r="F9970" t="str">
            <v>SBI Magnum Childrens Benefit Fund - DIRECT PLAN - GROWTH</v>
          </cell>
        </row>
        <row r="9971">
          <cell r="F9971" t="str">
            <v>SBI Magnum Childrens Benefit Fund - REGULAR PLAN - GROWTH</v>
          </cell>
        </row>
        <row r="9972">
          <cell r="F9972" t="str">
            <v>SBI Magnum COMMA Fund - DIRECT PLAN - Dividend</v>
          </cell>
        </row>
        <row r="9973">
          <cell r="F9973" t="str">
            <v>SBI Magnum COMMA Fund - DIRECT PLAN - Growth</v>
          </cell>
        </row>
        <row r="9974">
          <cell r="F9974" t="str">
            <v>SBI Magnum COMMA Fund - REGULAR PLAN - Dividend</v>
          </cell>
        </row>
        <row r="9975">
          <cell r="F9975" t="str">
            <v>SBI Magnum COMMA Fund - REGULAR PLAN - Growth</v>
          </cell>
        </row>
        <row r="9976">
          <cell r="F9976" t="str">
            <v>SBI MAGNUM CONSTANT MATURITY FUND - DIRECT DIVIDEND</v>
          </cell>
        </row>
        <row r="9977">
          <cell r="F9977" t="str">
            <v>SBI MAGNUM CONSTANT MATURITY FUND - DIRECT PLAN - GROWTH</v>
          </cell>
        </row>
        <row r="9978">
          <cell r="F9978" t="str">
            <v>SBI MAGNUM CONSTANT MATURITY FUND - REGULAR PLAN - DIVIDEND</v>
          </cell>
        </row>
        <row r="9979">
          <cell r="F9979" t="str">
            <v>SBI MAGNUM CONSTANT MATURITY FUND - REGULAR PLAN - GROWTH</v>
          </cell>
        </row>
        <row r="9980">
          <cell r="F9980" t="str">
            <v>SBI Magnum Equity ESG Fund - DIRECT PLAN -Dividend</v>
          </cell>
        </row>
        <row r="9981">
          <cell r="F9981" t="str">
            <v>SBI Magnum Equity ESG Fund - DIRECT PLAN -GROWTH</v>
          </cell>
        </row>
        <row r="9982">
          <cell r="F9982" t="str">
            <v>SBI Magnum Equity ESG Fund - REGULAR PLAN - Dividend</v>
          </cell>
        </row>
        <row r="9983">
          <cell r="F9983" t="str">
            <v>SBI Magnum Equity ESG Fund- REGULAR PLAN - Growth</v>
          </cell>
        </row>
        <row r="9984">
          <cell r="F9984" t="str">
            <v>SBI MAGNUM GILT FUND -  DIVIDEND - PF (Fixed Period - 1 Yr) Option</v>
          </cell>
        </row>
        <row r="9985">
          <cell r="F9985" t="str">
            <v>SBI MAGNUM GILT FUND -  DIVIDEND - PF (Fixed Period - 2 Yrs) Option</v>
          </cell>
        </row>
        <row r="9986">
          <cell r="F9986" t="str">
            <v>SBI MAGNUM GILT FUND -  DIVIDEND - PF (Regular) Option</v>
          </cell>
        </row>
        <row r="9987">
          <cell r="F9987" t="str">
            <v>SBI MAGNUM GILT FUND -  GROWTH - PF (Fixed Period - 3 Yrs) Option</v>
          </cell>
        </row>
        <row r="9988">
          <cell r="F9988" t="str">
            <v>SBI MAGNUM GILT FUND -  GROWTH - PF (Regular) Option</v>
          </cell>
        </row>
        <row r="9989">
          <cell r="F9989" t="str">
            <v>SBI MAGNUM GILT FUND - DIRECT PLAN - DIVIDEND</v>
          </cell>
        </row>
        <row r="9990">
          <cell r="F9990" t="str">
            <v>SBI MAGNUM GILT FUND - DIRECT PLAN - GROWTH</v>
          </cell>
        </row>
        <row r="9991">
          <cell r="F9991" t="str">
            <v>SBI MAGNUM GILT FUND - REGULAR PLAN - DIVIDEND</v>
          </cell>
        </row>
        <row r="9992">
          <cell r="F9992" t="str">
            <v>SBI MAGNUM GILT FUND - REGULAR PLAN - GROWTH</v>
          </cell>
        </row>
        <row r="9993">
          <cell r="F9993" t="str">
            <v>SBI MAGNUM GLOBAL FUND - DIRECT PLAN - DIVIDEND</v>
          </cell>
        </row>
        <row r="9994">
          <cell r="F9994" t="str">
            <v>SBI MAGNUM GLOBAL FUND - DIRECT PLAN -GROWTH</v>
          </cell>
        </row>
        <row r="9995">
          <cell r="F9995" t="str">
            <v>SBI MAGNUM GLOBAL FUND - REGULAR PLAN -DIVIDEND</v>
          </cell>
        </row>
        <row r="9996">
          <cell r="F9996" t="str">
            <v>SBI MAGNUM GLOBAL FUND - REGULAR PLAN -GROWTH</v>
          </cell>
        </row>
        <row r="9997">
          <cell r="F9997" t="str">
            <v>SBI Magnum Income Fund-DIRECT PLAN - Bonus</v>
          </cell>
        </row>
        <row r="9998">
          <cell r="F9998" t="str">
            <v>SBI Magnum Income Fund-DIRECT PLAN - Half Yearly - Dividend</v>
          </cell>
        </row>
        <row r="9999">
          <cell r="F9999" t="str">
            <v>SBI Magnum Income Fund-DIRECT PLAN - Quarterly - Dividend</v>
          </cell>
        </row>
        <row r="10000">
          <cell r="F10000" t="str">
            <v>SBI Magnum Income Fund-DIRECT PLAN -Growth</v>
          </cell>
        </row>
        <row r="10001">
          <cell r="F10001" t="str">
            <v>SBI Magnum Income Fund-REGUALR PLAN - Quarterly - Dividend</v>
          </cell>
        </row>
        <row r="10002">
          <cell r="F10002" t="str">
            <v>SBI Magnum Income Fund-REGULAR PLAN - Half Yearly- Dividend</v>
          </cell>
        </row>
        <row r="10003">
          <cell r="F10003" t="str">
            <v>SBI Magnum Income Fund-REGULAR PLAN-Bonus</v>
          </cell>
        </row>
        <row r="10004">
          <cell r="F10004" t="str">
            <v>SBI Magnum Income Fund-REGULAR PLAN-Growth</v>
          </cell>
        </row>
        <row r="10005">
          <cell r="F10005" t="str">
            <v>SBI MAGNUM LOW DURATION FUND - DIRECT PLAN - DAILY DIVIDEND</v>
          </cell>
        </row>
        <row r="10006">
          <cell r="F10006" t="str">
            <v>SBI MAGNUM LOW DURATION FUND - DIRECT PLAN - FORTNIGHTLY DIVIDEND</v>
          </cell>
        </row>
        <row r="10007">
          <cell r="F10007" t="str">
            <v>SBI MAGNUM LOW DURATION FUND - DIRECT PLAN - GROWTH</v>
          </cell>
        </row>
        <row r="10008">
          <cell r="F10008" t="str">
            <v>SBI MAGNUM LOW DURATION FUND - DIRECT PLAN - MONTHLY DIVIDEND</v>
          </cell>
        </row>
        <row r="10009">
          <cell r="F10009" t="str">
            <v>SBI MAGNUM LOW DURATION FUND - DIRECT PLAN - WEEKLY DIVIDEND</v>
          </cell>
        </row>
        <row r="10010">
          <cell r="F10010" t="str">
            <v>SBI MAGNUM LOW DURATION FUND - REGULAR PLAN - FORTNIGHTLY DIVIDEND</v>
          </cell>
        </row>
        <row r="10011">
          <cell r="F10011" t="str">
            <v>SBI MAGNUM LOW DURATION FUND - REGULAR PLAN - GROWTH</v>
          </cell>
        </row>
        <row r="10012">
          <cell r="F10012" t="str">
            <v>SBI MAGNUM LOW DURATION FUND - REGULAR PLAN - MONTHLY DIVIDEND</v>
          </cell>
        </row>
        <row r="10013">
          <cell r="F10013" t="str">
            <v>SBI MAGNUM LOW DURATION FUND - REGULAR PLAN - WEEKLY DIVIDEND</v>
          </cell>
        </row>
        <row r="10014">
          <cell r="F10014" t="str">
            <v>SBI MAGNUM LOW DURATION FUND - REGULAR PLAN -DAILY DIVIDEND</v>
          </cell>
        </row>
        <row r="10015">
          <cell r="F10015" t="str">
            <v>SBI MAGNUM MEDIUM DURATION FUND - DIRECT PLAN - DIVIDEND</v>
          </cell>
        </row>
        <row r="10016">
          <cell r="F10016" t="str">
            <v>SBI MAGNUM MEDIUM DURATION FUND - DIRECT PLAN - GROWTH</v>
          </cell>
        </row>
        <row r="10017">
          <cell r="F10017" t="str">
            <v>SBI MAGNUM MEDIUM DURATION FUND - REGULAR PLAN - DIVIDEND</v>
          </cell>
        </row>
        <row r="10018">
          <cell r="F10018" t="str">
            <v>SBI MAGNUM MEDIUM DURATION FUND - REGULAR PLAN - GROWTH</v>
          </cell>
        </row>
        <row r="10019">
          <cell r="F10019" t="str">
            <v>SBI Magnum MIDCAP FUND - DIRECT PLAN - GROWTH</v>
          </cell>
        </row>
        <row r="10020">
          <cell r="F10020" t="str">
            <v>SBI Magnum MIDCAP FUND - DIRECT PLAN -DIVIDEND</v>
          </cell>
        </row>
        <row r="10021">
          <cell r="F10021" t="str">
            <v>SBI Magnum MIDCAP FUND - REGULAR PLAN - GROWTH</v>
          </cell>
        </row>
        <row r="10022">
          <cell r="F10022" t="str">
            <v>SBI Magnum MIDCAP FUND - REGULAR PLAN -DIVIDEND</v>
          </cell>
        </row>
        <row r="10023">
          <cell r="F10023" t="str">
            <v>SBI Magnum Multicap Fund - DIRECT PLAN - Growth Option</v>
          </cell>
        </row>
        <row r="10024">
          <cell r="F10024" t="str">
            <v>SBI Magnum Multicap Fund - DIRECT PLAN -Dividend Option</v>
          </cell>
        </row>
        <row r="10025">
          <cell r="F10025" t="str">
            <v>SBI Magnum Multicap Fund - REGULAR PLAN -Dividend Option</v>
          </cell>
        </row>
        <row r="10026">
          <cell r="F10026" t="str">
            <v>SBI Magnum Multicap Fund - REGULAR PLAN -Growth Option</v>
          </cell>
        </row>
        <row r="10027">
          <cell r="F10027" t="str">
            <v>SBI MAGNUM TAXGAIN SCHEME 1993 - DIRECT PLAN -DIVIDEND</v>
          </cell>
        </row>
        <row r="10028">
          <cell r="F10028" t="str">
            <v>SBI MAGNUM TAXGAIN SCHEME 1993 - DIRECT PLAN -GROWTH</v>
          </cell>
        </row>
        <row r="10029">
          <cell r="F10029" t="str">
            <v>SBI MAGNUM TAXGAIN SCHEME 1993 - REGULAR PLAN - DIVIDEND</v>
          </cell>
        </row>
        <row r="10030">
          <cell r="F10030" t="str">
            <v>SBI MAGNUM TAXGAIN SCHEME 1993 - REGULAR PLAN- GROWTH</v>
          </cell>
        </row>
        <row r="10031">
          <cell r="F10031" t="str">
            <v>SBI MAGNUM ULTRA SHORT DURATION FUND -  DIRECT PLAN - DAILY  DIVIDEND</v>
          </cell>
        </row>
        <row r="10032">
          <cell r="F10032" t="str">
            <v>SBI MAGNUM ULTRA SHORT DURATION FUND -  DIRECT PLAN - WEEKLY DIVIDEND</v>
          </cell>
        </row>
        <row r="10033">
          <cell r="F10033" t="str">
            <v>SBI MAGNUM ULTRA SHORT DURATION FUND - DIRECT PLAN - GROWTH</v>
          </cell>
        </row>
        <row r="10034">
          <cell r="F10034" t="str">
            <v>SBI MAGNUM ULTRA SHORT DURATION FUND - REGULAR PLAN - DAILY  DIVIDEND</v>
          </cell>
        </row>
        <row r="10035">
          <cell r="F10035" t="str">
            <v>SBI MAGNUM ULTRA SHORT DURATION FUND - REGULAR PLAN - GROWTH</v>
          </cell>
        </row>
        <row r="10036">
          <cell r="F10036" t="str">
            <v>SBI MAGNUM ULTRA SHORT DURATION FUND - REGULAR PLAN - WEEKLY DIVIDEND</v>
          </cell>
        </row>
        <row r="10037">
          <cell r="F10037" t="str">
            <v>SBI MGLT-  DIVIDEND - PF (Fixed Period - 3 Yrs) Option</v>
          </cell>
        </row>
        <row r="10038">
          <cell r="F10038" t="str">
            <v>SBI MULTI ASSET ALLOCATION FUND -  DIRECT PLAN - MONTHLY DIVIDEND</v>
          </cell>
        </row>
        <row r="10039">
          <cell r="F10039" t="str">
            <v>SBI MULTI ASSET ALLOCATION FUND -  REGULAR PLAN - MONTHLY DIVIDEND</v>
          </cell>
        </row>
        <row r="10040">
          <cell r="F10040" t="str">
            <v>SBI MULTI ASSET ALLOCATION FUND - DIRECT PLAN - ANNUAL DIVIDEND</v>
          </cell>
        </row>
        <row r="10041">
          <cell r="F10041" t="str">
            <v>SBI MULTI ASSET ALLOCATION FUND - DIRECT PLAN - GROWTH</v>
          </cell>
        </row>
        <row r="10042">
          <cell r="F10042" t="str">
            <v>SBI MULTI ASSET ALLOCATION FUND - DIRECT PLAN - QUARTERLY DIVIDEND</v>
          </cell>
        </row>
        <row r="10043">
          <cell r="F10043" t="str">
            <v>SBI MULTI ASSET ALLOCATION FUND - REGULAR PLAN - ANNUAL DIVIDEND</v>
          </cell>
        </row>
        <row r="10044">
          <cell r="F10044" t="str">
            <v>SBI MULTI ASSET ALLOCATION FUND - REGULAR PLAN - GROWTH</v>
          </cell>
        </row>
        <row r="10045">
          <cell r="F10045" t="str">
            <v>SBI MULTI ASSET ALLOCATION FUND - REGULAR PLAN - QUARTERLY DIVIDEND</v>
          </cell>
        </row>
        <row r="10046">
          <cell r="F10046" t="str">
            <v>SBI NIFTY INDEX FUND - DIRECT PLAN - DIVIDEND</v>
          </cell>
        </row>
        <row r="10047">
          <cell r="F10047" t="str">
            <v>SBI NIFTY INDEX FUND - DIRECT PLAN - GROWTH</v>
          </cell>
        </row>
        <row r="10048">
          <cell r="F10048" t="str">
            <v>SBI NIFTY INDEX FUND - REGULAR PLAN - GROWTH</v>
          </cell>
        </row>
        <row r="10049">
          <cell r="F10049" t="str">
            <v>SBI NIFTY INDEX FUND- REGULAR PLAN - DIVIDEND</v>
          </cell>
        </row>
        <row r="10050">
          <cell r="F10050" t="str">
            <v>SBI OVERNIGHT FUND - DIRECT PLAN - DAILY DIVIDEND</v>
          </cell>
        </row>
        <row r="10051">
          <cell r="F10051" t="str">
            <v>SBI OVERNIGHT FUND - DIRECT PLAN - GROWTH</v>
          </cell>
        </row>
        <row r="10052">
          <cell r="F10052" t="str">
            <v>SBI OVERNIGHT FUND - DIRECT PLAN - WEEKLY DIVIDEND</v>
          </cell>
        </row>
        <row r="10053">
          <cell r="F10053" t="str">
            <v>SBI OVERNIGHT FUND - REGULAR PLAN - GROWTH</v>
          </cell>
        </row>
        <row r="10054">
          <cell r="F10054" t="str">
            <v>SBI OVERNIGHT FUND - REGULAR PLAN - WEEKLY DIVIDEND</v>
          </cell>
        </row>
        <row r="10055">
          <cell r="F10055" t="str">
            <v>SBI OVERNIGHT FUND - REGULAR PLAN -DAILY DIVIDEND</v>
          </cell>
        </row>
        <row r="10056">
          <cell r="F10056" t="str">
            <v>SBI PSU Fund - DIRECT PLAN - DIVIDEND</v>
          </cell>
        </row>
        <row r="10057">
          <cell r="F10057" t="str">
            <v>SBI PSU Fund - DIRECT PLAN - GROWTH</v>
          </cell>
        </row>
        <row r="10058">
          <cell r="F10058" t="str">
            <v>SBI PSU Fund - REGULAR PLAN -Dividend</v>
          </cell>
        </row>
        <row r="10059">
          <cell r="F10059" t="str">
            <v>SBI PSU Fund - REGULAR PLAN -Growth</v>
          </cell>
        </row>
        <row r="10060">
          <cell r="F10060" t="str">
            <v>SBI SAVINGS FUND - REGULAR PLAN - DAILY DIVIDEND</v>
          </cell>
        </row>
        <row r="10061">
          <cell r="F10061" t="str">
            <v>SBI Short Horizon Debt Fund - Ultra Short Term Fund - Institutional Plan - Daily Dividend</v>
          </cell>
        </row>
        <row r="10062">
          <cell r="F10062" t="str">
            <v>SBI Short Horizon Debt Fund - Ultra Short Term Fund - Institutional Plan - Growth</v>
          </cell>
        </row>
        <row r="10063">
          <cell r="F10063" t="str">
            <v>SBI Short Horizon Debt Fund - Ultra Short Term Fund- Institutional Plan - Weekly Dividend</v>
          </cell>
        </row>
        <row r="10064">
          <cell r="F10064" t="str">
            <v>SBI SHORT HORIZON DEBT FUND-SHORT TERM FUND - RETAIL - GROWTH</v>
          </cell>
        </row>
        <row r="10065">
          <cell r="F10065" t="str">
            <v>SBI SHORT HORIZON DEBT FUND-SHORT TERM FUND - RETAIL DIVIDEND - FORTNIGHTLY</v>
          </cell>
        </row>
        <row r="10066">
          <cell r="F10066" t="str">
            <v>SBI SHORT HORIZON DEBT FUND-SHORT TERM FUND - RETAIL DIVIDEND - MONTHLY</v>
          </cell>
        </row>
        <row r="10067">
          <cell r="F10067" t="str">
            <v>SBI SHORT HORIZON DEBT FUND-SHORT TERM FUND - RETAIL DIVIDEND - WEEKLY</v>
          </cell>
        </row>
        <row r="10068">
          <cell r="F10068" t="str">
            <v>SBI SHORT TERM DEBT FUND - DIRECT PLAN - MONTHLY DIVIDEND</v>
          </cell>
        </row>
        <row r="10069">
          <cell r="F10069" t="str">
            <v>SBI SHORT TERM DEBT FUND - DIRECT PLAN - WEEKLY DIVIDEND</v>
          </cell>
        </row>
        <row r="10070">
          <cell r="F10070" t="str">
            <v>SBI SHORT TERM DEBT FUND - DIRECT PLAN -FORTNIGHTLY DIVIDEND</v>
          </cell>
        </row>
        <row r="10071">
          <cell r="F10071" t="str">
            <v>SBI SHORT TERM DEBT FUND - DIRECT PLAN -GROWTH</v>
          </cell>
        </row>
        <row r="10072">
          <cell r="F10072" t="str">
            <v>SBI SHORT TERM DEBT FUND - REGULAR PLAN -FORTNIGHTLY DIVIDEND</v>
          </cell>
        </row>
        <row r="10073">
          <cell r="F10073" t="str">
            <v>SBI SHORT TERM DEBT FUND - REGULAR PLAN -GROWTH</v>
          </cell>
        </row>
        <row r="10074">
          <cell r="F10074" t="str">
            <v>SBI SHORT TERM DEBT FUND - REGULAR PLAN -MONTHLY DIVIDEND</v>
          </cell>
        </row>
        <row r="10075">
          <cell r="F10075" t="str">
            <v>SBI SHORT TERM DEBT FUND - REGULAR PLAN -WEEKLY DIVIDEND</v>
          </cell>
        </row>
        <row r="10076">
          <cell r="F10076" t="str">
            <v>SBI Small Cap Fund - Direct Plan - Dividend</v>
          </cell>
        </row>
        <row r="10077">
          <cell r="F10077" t="str">
            <v>SBI Small Cap Fund - Direct Plan - Growth</v>
          </cell>
        </row>
        <row r="10078">
          <cell r="F10078" t="str">
            <v>SBI Small Cap Fund - Regular Plan - Dividend</v>
          </cell>
        </row>
        <row r="10079">
          <cell r="F10079" t="str">
            <v>SBI Small Cap Fund - Regular Plan - Growth</v>
          </cell>
        </row>
        <row r="10080">
          <cell r="F10080" t="str">
            <v>SBI TAX ADVANTAGE FUND - SERIES I - DIVIDEND</v>
          </cell>
        </row>
        <row r="10081">
          <cell r="F10081" t="str">
            <v>SBI TAX ADVANTAGE FUND - SERIES I - GROWTH</v>
          </cell>
        </row>
        <row r="10082">
          <cell r="F10082" t="str">
            <v>SBI TAX ADVANTAGE FUND - SERIES II - DIVIDEND</v>
          </cell>
        </row>
        <row r="10083">
          <cell r="F10083" t="str">
            <v>SBI TAX ADVANTAGE FUND - SERIES II - GROWTH</v>
          </cell>
        </row>
        <row r="10084">
          <cell r="F10084" t="str">
            <v>SBI Tax Advantage Fund - Series III - Direct Plan - Dividend</v>
          </cell>
        </row>
        <row r="10085">
          <cell r="F10085" t="str">
            <v>SBI Tax Advantage Fund - Series III - Direct Plan - Growth Option</v>
          </cell>
        </row>
        <row r="10086">
          <cell r="F10086" t="str">
            <v>SBI Tax Advantage Fund - Series III - Regular Plan - Dividend</v>
          </cell>
        </row>
        <row r="10087">
          <cell r="F10087" t="str">
            <v>SBI Tax Advantage Fund - Series III - Regular Plan - Growth</v>
          </cell>
        </row>
        <row r="10088">
          <cell r="F10088" t="str">
            <v>SBI TECHNOLOGY OPPORTUNITIES FUND - DIRECT PLAN - DIVIDEND</v>
          </cell>
        </row>
        <row r="10089">
          <cell r="F10089" t="str">
            <v>SBI TECHNOLOGY OPPORTUNITIES FUND - DIRECT PLAN - GROWTH</v>
          </cell>
        </row>
        <row r="10090">
          <cell r="F10090" t="str">
            <v>SBI TECHNOLOGY OPPORTUNITIES FUND - REGULAR PLAN - DIVIDEND</v>
          </cell>
        </row>
        <row r="10091">
          <cell r="F10091" t="str">
            <v>SBI TECHNOLOGY OPPORTUNITIES FUND - REGULAR PLAN - GROWTH</v>
          </cell>
        </row>
        <row r="10092">
          <cell r="F10092" t="str">
            <v>SBI-ETF 10 YEAR GILT</v>
          </cell>
        </row>
        <row r="10093">
          <cell r="F10093" t="str">
            <v>SBI-ETF BSE 100</v>
          </cell>
        </row>
        <row r="10094">
          <cell r="F10094" t="str">
            <v>SBI-ETF Gold</v>
          </cell>
        </row>
        <row r="10095">
          <cell r="F10095" t="str">
            <v>SBI-ETF Nifty 50</v>
          </cell>
        </row>
        <row r="10096">
          <cell r="F10096" t="str">
            <v>SBI-ETF Nifty Bank</v>
          </cell>
        </row>
        <row r="10097">
          <cell r="F10097" t="str">
            <v>SBI-ETF Nifty Next 50</v>
          </cell>
        </row>
        <row r="10098">
          <cell r="F10098" t="str">
            <v>SBI-ETF SENSEX</v>
          </cell>
        </row>
        <row r="10099">
          <cell r="F10099" t="str">
            <v>SBIBIVNR</v>
          </cell>
        </row>
        <row r="10100">
          <cell r="F10100" t="str">
            <v>SBILIFE</v>
          </cell>
        </row>
        <row r="10101">
          <cell r="F10101" t="str">
            <v>SBIN</v>
          </cell>
        </row>
        <row r="10102">
          <cell r="F10102" t="str">
            <v>SBIN2</v>
          </cell>
        </row>
        <row r="10103">
          <cell r="F10103" t="str">
            <v>SBISENSEX</v>
          </cell>
        </row>
        <row r="10104">
          <cell r="F10104" t="str">
            <v>SBL</v>
          </cell>
        </row>
        <row r="10105">
          <cell r="F10105" t="str">
            <v>SBRANDS</v>
          </cell>
        </row>
        <row r="10106">
          <cell r="F10106" t="str">
            <v>SCANDENT</v>
          </cell>
        </row>
        <row r="10107">
          <cell r="F10107" t="str">
            <v>SCANP GEOM</v>
          </cell>
        </row>
        <row r="10108">
          <cell r="F10108" t="str">
            <v>SCANSTL</v>
          </cell>
        </row>
        <row r="10109">
          <cell r="F10109" t="str">
            <v>SCAPDVR</v>
          </cell>
        </row>
        <row r="10110">
          <cell r="F10110" t="str">
            <v>SCFL</v>
          </cell>
        </row>
        <row r="10111">
          <cell r="F10111" t="str">
            <v>SCHAEFFLER</v>
          </cell>
        </row>
        <row r="10112">
          <cell r="F10112" t="str">
            <v>SCHAND</v>
          </cell>
        </row>
        <row r="10113">
          <cell r="F10113" t="str">
            <v>SCHNEIDER</v>
          </cell>
        </row>
        <row r="10114">
          <cell r="F10114" t="str">
            <v>SCI</v>
          </cell>
        </row>
        <row r="10115">
          <cell r="F10115" t="str">
            <v>SCOOTERS IND</v>
          </cell>
        </row>
        <row r="10116">
          <cell r="F10116" t="str">
            <v>SCPL</v>
          </cell>
        </row>
        <row r="10117">
          <cell r="F10117" t="str">
            <v>SDL</v>
          </cell>
        </row>
        <row r="10118">
          <cell r="F10118" t="str">
            <v>SEAMECLTD</v>
          </cell>
        </row>
        <row r="10119">
          <cell r="F10119" t="str">
            <v>SEASONS TEXT</v>
          </cell>
        </row>
        <row r="10120">
          <cell r="F10120" t="str">
            <v>SECURCRED</v>
          </cell>
        </row>
        <row r="10121">
          <cell r="F10121" t="str">
            <v>SEIL</v>
          </cell>
        </row>
        <row r="10122">
          <cell r="F10122" t="str">
            <v>SEL MANUF</v>
          </cell>
        </row>
        <row r="10123">
          <cell r="F10123" t="str">
            <v>SELAN</v>
          </cell>
        </row>
        <row r="10124">
          <cell r="F10124" t="str">
            <v>SENSEXIWIN</v>
          </cell>
        </row>
        <row r="10125">
          <cell r="F10125" t="str">
            <v>SENTHILINFO</v>
          </cell>
        </row>
        <row r="10126">
          <cell r="F10126" t="str">
            <v>SEPOWER</v>
          </cell>
        </row>
        <row r="10127">
          <cell r="F10127" t="str">
            <v>SEQUENT</v>
          </cell>
        </row>
        <row r="10128">
          <cell r="F10128" t="str">
            <v>SERVALL</v>
          </cell>
        </row>
        <row r="10129">
          <cell r="F10129" t="str">
            <v>SERVOTECH</v>
          </cell>
        </row>
        <row r="10130">
          <cell r="F10130" t="str">
            <v>SESHAPAPER</v>
          </cell>
        </row>
        <row r="10131">
          <cell r="F10131" t="str">
            <v>SETCO</v>
          </cell>
        </row>
        <row r="10132">
          <cell r="F10132" t="str">
            <v>SETFBSE100</v>
          </cell>
        </row>
        <row r="10133">
          <cell r="F10133" t="str">
            <v>SETFGOLD</v>
          </cell>
        </row>
        <row r="10134">
          <cell r="F10134" t="str">
            <v>SETFNIF50</v>
          </cell>
        </row>
        <row r="10135">
          <cell r="F10135" t="str">
            <v>SETFNIFBK</v>
          </cell>
        </row>
        <row r="10136">
          <cell r="F10136" t="str">
            <v>SETFNN50</v>
          </cell>
        </row>
        <row r="10137">
          <cell r="F10137" t="str">
            <v>SEYAIND</v>
          </cell>
        </row>
        <row r="10138">
          <cell r="F10138" t="str">
            <v>SEZAL</v>
          </cell>
        </row>
        <row r="10139">
          <cell r="F10139" t="str">
            <v>SFL</v>
          </cell>
        </row>
        <row r="10140">
          <cell r="F10140" t="str">
            <v>SFLINTER</v>
          </cell>
        </row>
        <row r="10141">
          <cell r="F10141" t="str">
            <v>SGB2016IIIA</v>
          </cell>
        </row>
        <row r="10142">
          <cell r="F10142" t="str">
            <v>SGBAUG24</v>
          </cell>
        </row>
        <row r="10143">
          <cell r="F10143" t="str">
            <v>SGBDEC25</v>
          </cell>
        </row>
        <row r="10144">
          <cell r="F10144" t="str">
            <v>SGBDEC2513</v>
          </cell>
        </row>
        <row r="10145">
          <cell r="F10145" t="str">
            <v>SGBFEB24</v>
          </cell>
        </row>
        <row r="10146">
          <cell r="F10146" t="str">
            <v>SGBJULY25</v>
          </cell>
        </row>
        <row r="10147">
          <cell r="F10147" t="str">
            <v>SGBMAR25</v>
          </cell>
        </row>
        <row r="10148">
          <cell r="F10148" t="str">
            <v>SGBMAY25</v>
          </cell>
        </row>
        <row r="10149">
          <cell r="F10149" t="str">
            <v>SGBNOV23</v>
          </cell>
        </row>
        <row r="10150">
          <cell r="F10150" t="str">
            <v>SGBOCT25</v>
          </cell>
        </row>
        <row r="10151">
          <cell r="F10151" t="str">
            <v>SGBOCT252</v>
          </cell>
        </row>
        <row r="10152">
          <cell r="F10152" t="str">
            <v>SGBSEP24</v>
          </cell>
        </row>
        <row r="10153">
          <cell r="F10153" t="str">
            <v>SGL</v>
          </cell>
        </row>
        <row r="10154">
          <cell r="F10154" t="str">
            <v>SH PRECOTED</v>
          </cell>
        </row>
        <row r="10155">
          <cell r="F10155" t="str">
            <v>SH.HARI CHEM</v>
          </cell>
        </row>
        <row r="10156">
          <cell r="F10156" t="str">
            <v>SH.KARTHIK P</v>
          </cell>
        </row>
        <row r="10157">
          <cell r="F10157" t="str">
            <v>SH.RAJES.PAP</v>
          </cell>
        </row>
        <row r="10158">
          <cell r="F10158" t="str">
            <v>SH.STEEL WIR</v>
          </cell>
        </row>
        <row r="10159">
          <cell r="F10159" t="str">
            <v>SHA ENG PLA</v>
          </cell>
        </row>
        <row r="10160">
          <cell r="F10160" t="str">
            <v>SHAH FOOD(P)</v>
          </cell>
        </row>
        <row r="10161">
          <cell r="F10161" t="str">
            <v>SHAHALLOYS</v>
          </cell>
        </row>
        <row r="10162">
          <cell r="F10162" t="str">
            <v>SHAHISHIP</v>
          </cell>
        </row>
        <row r="10163">
          <cell r="F10163" t="str">
            <v>SHAILJA</v>
          </cell>
        </row>
        <row r="10164">
          <cell r="F10164" t="str">
            <v>SHAKTI PUMPS</v>
          </cell>
        </row>
        <row r="10165">
          <cell r="F10165" t="str">
            <v>SHALBY</v>
          </cell>
        </row>
        <row r="10166">
          <cell r="F10166" t="str">
            <v>SHALIB.FINAN</v>
          </cell>
        </row>
        <row r="10167">
          <cell r="F10167" t="str">
            <v>SHALIMAR PRO</v>
          </cell>
        </row>
        <row r="10168">
          <cell r="F10168" t="str">
            <v>SHALIMAR WIR</v>
          </cell>
        </row>
        <row r="10169">
          <cell r="F10169" t="str">
            <v>SHALPAINTS</v>
          </cell>
        </row>
        <row r="10170">
          <cell r="F10170" t="str">
            <v>SHANKARA</v>
          </cell>
        </row>
        <row r="10171">
          <cell r="F10171" t="str">
            <v>SHANTAI</v>
          </cell>
        </row>
        <row r="10172">
          <cell r="F10172" t="str">
            <v>SHANTANU SHE</v>
          </cell>
        </row>
        <row r="10173">
          <cell r="F10173" t="str">
            <v>SHANTI</v>
          </cell>
        </row>
        <row r="10174">
          <cell r="F10174" t="str">
            <v>SHANTIGEAR</v>
          </cell>
        </row>
        <row r="10175">
          <cell r="F10175" t="str">
            <v>SHARDA ISPAT</v>
          </cell>
        </row>
        <row r="10176">
          <cell r="F10176" t="str">
            <v>SHARDACROP</v>
          </cell>
        </row>
        <row r="10177">
          <cell r="F10177" t="str">
            <v>SHARDAMOTR</v>
          </cell>
        </row>
        <row r="10178">
          <cell r="F10178" t="str">
            <v>SHARDUL SECU</v>
          </cell>
        </row>
        <row r="10179">
          <cell r="F10179" t="str">
            <v>SHARIABEES</v>
          </cell>
        </row>
        <row r="10180">
          <cell r="F10180" t="str">
            <v>SHARIKA</v>
          </cell>
        </row>
        <row r="10181">
          <cell r="F10181" t="str">
            <v>SHARONBIO</v>
          </cell>
        </row>
        <row r="10182">
          <cell r="F10182" t="str">
            <v>SHARP INV</v>
          </cell>
        </row>
        <row r="10183">
          <cell r="F10183" t="str">
            <v>SHEETAL DIAM</v>
          </cell>
        </row>
        <row r="10184">
          <cell r="F10184" t="str">
            <v>SHEMAROO</v>
          </cell>
        </row>
        <row r="10185">
          <cell r="F10185" t="str">
            <v>SHERVANI IND</v>
          </cell>
        </row>
        <row r="10186">
          <cell r="F10186" t="str">
            <v>SHETRON LTD</v>
          </cell>
        </row>
        <row r="10187">
          <cell r="F10187" t="str">
            <v>SHILCHAR TEC</v>
          </cell>
        </row>
        <row r="10188">
          <cell r="F10188" t="str">
            <v>SHILP GRAVUR</v>
          </cell>
        </row>
        <row r="10189">
          <cell r="F10189" t="str">
            <v>SHILPAMED</v>
          </cell>
        </row>
        <row r="10190">
          <cell r="F10190" t="str">
            <v>SHILPI CABLE</v>
          </cell>
        </row>
        <row r="10191">
          <cell r="F10191" t="str">
            <v>SHIRPUR-G</v>
          </cell>
        </row>
        <row r="10192">
          <cell r="F10192" t="str">
            <v>SHISHIND</v>
          </cell>
        </row>
        <row r="10193">
          <cell r="F10193" t="str">
            <v>SHIV.BIMETAL</v>
          </cell>
        </row>
        <row r="10194">
          <cell r="F10194" t="str">
            <v>SHIVA CEMENT</v>
          </cell>
        </row>
        <row r="10195">
          <cell r="F10195" t="str">
            <v>SHIVA FERT.</v>
          </cell>
        </row>
        <row r="10196">
          <cell r="F10196" t="str">
            <v>SHIVAEXPO</v>
          </cell>
        </row>
        <row r="10197">
          <cell r="F10197" t="str">
            <v>SHIVAGRICO</v>
          </cell>
        </row>
        <row r="10198">
          <cell r="F10198" t="str">
            <v>SHIVALIK</v>
          </cell>
        </row>
        <row r="10199">
          <cell r="F10199" t="str">
            <v>SHIVAMAUTO</v>
          </cell>
        </row>
        <row r="10200">
          <cell r="F10200" t="str">
            <v>SHIVATEX</v>
          </cell>
        </row>
        <row r="10201">
          <cell r="F10201" t="str">
            <v>SHK</v>
          </cell>
        </row>
        <row r="10202">
          <cell r="F10202" t="str">
            <v>SHOPERSTOP</v>
          </cell>
        </row>
        <row r="10203">
          <cell r="F10203" t="str">
            <v>SHRADHA</v>
          </cell>
        </row>
        <row r="10204">
          <cell r="F10204" t="str">
            <v>SHREE KRISHN</v>
          </cell>
        </row>
        <row r="10205">
          <cell r="F10205" t="str">
            <v>SHREE RAJSYN</v>
          </cell>
        </row>
        <row r="10206">
          <cell r="F10206" t="str">
            <v>SHREE SURGOV</v>
          </cell>
        </row>
        <row r="10207">
          <cell r="F10207" t="str">
            <v>SHREECEM</v>
          </cell>
        </row>
        <row r="10208">
          <cell r="F10208" t="str">
            <v>SHREEGANES</v>
          </cell>
        </row>
        <row r="10209">
          <cell r="F10209" t="str">
            <v>SHREEPUSHK</v>
          </cell>
        </row>
        <row r="10210">
          <cell r="F10210" t="str">
            <v>SHREERAM</v>
          </cell>
        </row>
        <row r="10211">
          <cell r="F10211" t="str">
            <v>SHREERAMA</v>
          </cell>
        </row>
        <row r="10212">
          <cell r="F10212" t="str">
            <v>SHREEVAT.FIN</v>
          </cell>
        </row>
        <row r="10213">
          <cell r="F10213" t="str">
            <v>SHRENIK</v>
          </cell>
        </row>
        <row r="10214">
          <cell r="F10214" t="str">
            <v>SHREY SH LOG</v>
          </cell>
        </row>
        <row r="10215">
          <cell r="F10215" t="str">
            <v>SHREYANIND</v>
          </cell>
        </row>
        <row r="10216">
          <cell r="F10216" t="str">
            <v>SHREYAS INTE</v>
          </cell>
        </row>
        <row r="10217">
          <cell r="F10217" t="str">
            <v>SHRI BAJRANG</v>
          </cell>
        </row>
        <row r="10218">
          <cell r="F10218" t="str">
            <v>SHRI DINESH</v>
          </cell>
        </row>
        <row r="10219">
          <cell r="F10219" t="str">
            <v>SHRI JAGDAMB</v>
          </cell>
        </row>
        <row r="10220">
          <cell r="F10220" t="str">
            <v>SHRI KRISH</v>
          </cell>
        </row>
        <row r="10221">
          <cell r="F10221" t="str">
            <v>SHRIPISTON</v>
          </cell>
        </row>
        <row r="10222">
          <cell r="F10222" t="str">
            <v>SHRIRAM ASSE</v>
          </cell>
        </row>
        <row r="10223">
          <cell r="F10223" t="str">
            <v>SHRIRAM EPC</v>
          </cell>
        </row>
        <row r="10224">
          <cell r="F10224" t="str">
            <v>Shriram Hybrid Equity Fund- Direct Dividend</v>
          </cell>
        </row>
        <row r="10225">
          <cell r="F10225" t="str">
            <v>Shriram Hybrid Equity Fund- Direct Growth</v>
          </cell>
        </row>
        <row r="10226">
          <cell r="F10226" t="str">
            <v>Shriram Hybrid Equity Fund- Dividend</v>
          </cell>
        </row>
        <row r="10227">
          <cell r="F10227" t="str">
            <v>Shriram Hybrid Equity Fund- Growth</v>
          </cell>
        </row>
        <row r="10228">
          <cell r="F10228" t="str">
            <v>SHRIRAMCIT</v>
          </cell>
        </row>
        <row r="10229">
          <cell r="F10229" t="str">
            <v>SHRIRAMCIT2</v>
          </cell>
        </row>
        <row r="10230">
          <cell r="F10230" t="str">
            <v>SHRISTINFRA</v>
          </cell>
        </row>
        <row r="10231">
          <cell r="F10231" t="str">
            <v>SHUKRA JEW</v>
          </cell>
        </row>
        <row r="10232">
          <cell r="F10232" t="str">
            <v>SIBAR AUTO</v>
          </cell>
        </row>
        <row r="10233">
          <cell r="F10233" t="str">
            <v>SICAGEN IND</v>
          </cell>
        </row>
        <row r="10234">
          <cell r="F10234" t="str">
            <v>SICAL</v>
          </cell>
        </row>
        <row r="10235">
          <cell r="F10235" t="str">
            <v>SIDDHA VEN</v>
          </cell>
        </row>
        <row r="10236">
          <cell r="F10236" t="str">
            <v>SIEMENS LTD.</v>
          </cell>
        </row>
        <row r="10237">
          <cell r="F10237" t="str">
            <v>SIENERGY</v>
          </cell>
        </row>
        <row r="10238">
          <cell r="F10238" t="str">
            <v>SIGNET</v>
          </cell>
        </row>
        <row r="10239">
          <cell r="F10239" t="str">
            <v>SIIL</v>
          </cell>
        </row>
        <row r="10240">
          <cell r="F10240" t="str">
            <v>SIKA INTER.</v>
          </cell>
        </row>
        <row r="10241">
          <cell r="F10241" t="str">
            <v>SIKKO</v>
          </cell>
        </row>
        <row r="10242">
          <cell r="F10242" t="str">
            <v>SIL</v>
          </cell>
        </row>
        <row r="10243">
          <cell r="F10243" t="str">
            <v>SILINV</v>
          </cell>
        </row>
        <row r="10244">
          <cell r="F10244" t="str">
            <v>SILLYMONKS</v>
          </cell>
        </row>
        <row r="10245">
          <cell r="F10245" t="str">
            <v>SILVERTUC</v>
          </cell>
        </row>
        <row r="10246">
          <cell r="F10246" t="str">
            <v>SIMBHALS</v>
          </cell>
        </row>
        <row r="10247">
          <cell r="F10247" t="str">
            <v>SIMMONDS-MAR</v>
          </cell>
        </row>
        <row r="10248">
          <cell r="F10248" t="str">
            <v>SIMPLEX CAST</v>
          </cell>
        </row>
        <row r="10249">
          <cell r="F10249" t="str">
            <v>SIMPLEX PROJ</v>
          </cell>
        </row>
        <row r="10250">
          <cell r="F10250" t="str">
            <v>SIMPLEX REAL</v>
          </cell>
        </row>
        <row r="10251">
          <cell r="F10251" t="str">
            <v>SIMPLEXINF</v>
          </cell>
        </row>
        <row r="10252">
          <cell r="F10252" t="str">
            <v>SIMRAN FARMS</v>
          </cell>
        </row>
        <row r="10253">
          <cell r="F10253" t="str">
            <v>SINCLAIR HOT</v>
          </cell>
        </row>
        <row r="10254">
          <cell r="F10254" t="str">
            <v>SINGER INDIA</v>
          </cell>
        </row>
        <row r="10255">
          <cell r="F10255" t="str">
            <v>SINTEX IND.</v>
          </cell>
        </row>
        <row r="10256">
          <cell r="F10256" t="str">
            <v>SINTEXPLAST</v>
          </cell>
        </row>
        <row r="10257">
          <cell r="F10257" t="str">
            <v>SIPROJECTS</v>
          </cell>
        </row>
        <row r="10258">
          <cell r="F10258" t="str">
            <v>SIR SHADI LA</v>
          </cell>
        </row>
        <row r="10259">
          <cell r="F10259" t="str">
            <v>SIS</v>
          </cell>
        </row>
        <row r="10260">
          <cell r="F10260" t="str">
            <v>SITA ENTER.</v>
          </cell>
        </row>
        <row r="10261">
          <cell r="F10261" t="str">
            <v>SITASHREE</v>
          </cell>
        </row>
        <row r="10262">
          <cell r="F10262" t="str">
            <v>SITINET</v>
          </cell>
        </row>
        <row r="10263">
          <cell r="F10263" t="str">
            <v>SIYARAM SILK</v>
          </cell>
        </row>
        <row r="10264">
          <cell r="F10264" t="str">
            <v>SJVN</v>
          </cell>
        </row>
        <row r="10265">
          <cell r="F10265" t="str">
            <v>SKC</v>
          </cell>
        </row>
        <row r="10266">
          <cell r="F10266" t="str">
            <v>SKCIL</v>
          </cell>
        </row>
        <row r="10267">
          <cell r="F10267" t="str">
            <v>SKFINDIA</v>
          </cell>
        </row>
        <row r="10268">
          <cell r="F10268" t="str">
            <v>SKIL</v>
          </cell>
        </row>
        <row r="10269">
          <cell r="F10269" t="str">
            <v>SKILVEN</v>
          </cell>
        </row>
        <row r="10270">
          <cell r="F10270" t="str">
            <v>SKIPPER</v>
          </cell>
        </row>
        <row r="10271">
          <cell r="F10271" t="str">
            <v>SKL</v>
          </cell>
        </row>
        <row r="10272">
          <cell r="F10272" t="str">
            <v>SKM EGG PROD</v>
          </cell>
        </row>
        <row r="10273">
          <cell r="F10273" t="str">
            <v>SKML</v>
          </cell>
        </row>
        <row r="10274">
          <cell r="F10274" t="str">
            <v>SKP</v>
          </cell>
        </row>
        <row r="10275">
          <cell r="F10275" t="str">
            <v>SKP SECURE.</v>
          </cell>
        </row>
        <row r="10276">
          <cell r="F10276" t="str">
            <v>SKSTEXTILE</v>
          </cell>
        </row>
        <row r="10277">
          <cell r="F10277" t="str">
            <v>SKY INDUST.</v>
          </cell>
        </row>
        <row r="10278">
          <cell r="F10278" t="str">
            <v>SKYL MILLAR</v>
          </cell>
        </row>
        <row r="10279">
          <cell r="F10279" t="str">
            <v>SMARTLINK</v>
          </cell>
        </row>
        <row r="10280">
          <cell r="F10280" t="str">
            <v>SMIFS CAPITA</v>
          </cell>
        </row>
        <row r="10281">
          <cell r="F10281" t="str">
            <v>SMLISUZU</v>
          </cell>
        </row>
        <row r="10282">
          <cell r="F10282" t="str">
            <v>SMLT</v>
          </cell>
        </row>
        <row r="10283">
          <cell r="F10283" t="str">
            <v>SMPL</v>
          </cell>
        </row>
        <row r="10284">
          <cell r="F10284" t="str">
            <v>SMRUTHIORG</v>
          </cell>
        </row>
        <row r="10285">
          <cell r="F10285" t="str">
            <v>SMS PHARMACE</v>
          </cell>
        </row>
        <row r="10286">
          <cell r="F10286" t="str">
            <v>SMSLIFE</v>
          </cell>
        </row>
        <row r="10287">
          <cell r="F10287" t="str">
            <v>SMVD</v>
          </cell>
        </row>
        <row r="10288">
          <cell r="F10288" t="str">
            <v>SNL BEARINGS</v>
          </cell>
        </row>
        <row r="10289">
          <cell r="F10289" t="str">
            <v>SNOWMAN</v>
          </cell>
        </row>
        <row r="10290">
          <cell r="F10290" t="str">
            <v>SOBHA</v>
          </cell>
        </row>
        <row r="10291">
          <cell r="F10291" t="str">
            <v>SOFTSOL (I)</v>
          </cell>
        </row>
        <row r="10292">
          <cell r="F10292" t="str">
            <v>SOLARINDS</v>
          </cell>
        </row>
        <row r="10293">
          <cell r="F10293" t="str">
            <v>SOLID STONE</v>
          </cell>
        </row>
        <row r="10294">
          <cell r="F10294" t="str">
            <v>SOLISMAR</v>
          </cell>
        </row>
        <row r="10295">
          <cell r="F10295" t="str">
            <v>SOLITAIR MC</v>
          </cell>
        </row>
        <row r="10296">
          <cell r="F10296" t="str">
            <v>SOLIX TECHNO</v>
          </cell>
        </row>
        <row r="10297">
          <cell r="F10297" t="str">
            <v>SOM DISTILL.</v>
          </cell>
        </row>
        <row r="10298">
          <cell r="F10298" t="str">
            <v>SOMANY CRAM</v>
          </cell>
        </row>
        <row r="10299">
          <cell r="F10299" t="str">
            <v>SOMATEX</v>
          </cell>
        </row>
        <row r="10300">
          <cell r="F10300" t="str">
            <v>SOMDATT FIN</v>
          </cell>
        </row>
        <row r="10301">
          <cell r="F10301" t="str">
            <v>SOMI CONVEY</v>
          </cell>
        </row>
        <row r="10302">
          <cell r="F10302" t="str">
            <v>SONA KOYO ST</v>
          </cell>
        </row>
        <row r="10303">
          <cell r="F10303" t="str">
            <v>SONATSOFTW</v>
          </cell>
        </row>
        <row r="10304">
          <cell r="F10304" t="str">
            <v>SORILHOLD</v>
          </cell>
        </row>
        <row r="10305">
          <cell r="F10305" t="str">
            <v>SORILINFRA</v>
          </cell>
        </row>
        <row r="10306">
          <cell r="F10306" t="str">
            <v>SOTL</v>
          </cell>
        </row>
        <row r="10307">
          <cell r="F10307" t="str">
            <v>SOURCENTRL</v>
          </cell>
        </row>
        <row r="10308">
          <cell r="F10308" t="str">
            <v>SOUTH IND.BK</v>
          </cell>
        </row>
        <row r="10309">
          <cell r="F10309" t="str">
            <v>SOUTH PET(PS</v>
          </cell>
        </row>
        <row r="10310">
          <cell r="F10310" t="str">
            <v>SOUTHBIOTEC</v>
          </cell>
        </row>
        <row r="10311">
          <cell r="F10311" t="str">
            <v>SOVEREIGN DI</v>
          </cell>
        </row>
        <row r="10312">
          <cell r="F10312" t="str">
            <v>SOWBH MEDIA</v>
          </cell>
        </row>
        <row r="10313">
          <cell r="F10313" t="str">
            <v>SPAL</v>
          </cell>
        </row>
        <row r="10314">
          <cell r="F10314" t="str">
            <v>SPECIALITY R</v>
          </cell>
        </row>
        <row r="10315">
          <cell r="F10315" t="str">
            <v>SPECTRA IND.</v>
          </cell>
        </row>
        <row r="10316">
          <cell r="F10316" t="str">
            <v>SPEL SEMICON</v>
          </cell>
        </row>
        <row r="10317">
          <cell r="F10317" t="str">
            <v>SPENTEX</v>
          </cell>
        </row>
        <row r="10318">
          <cell r="F10318" t="str">
            <v>SPHEREGSL</v>
          </cell>
        </row>
        <row r="10319">
          <cell r="F10319" t="str">
            <v>SPICE ISLAND</v>
          </cell>
        </row>
        <row r="10320">
          <cell r="F10320" t="str">
            <v>SPICEJET LTD</v>
          </cell>
        </row>
        <row r="10321">
          <cell r="F10321" t="str">
            <v>SPICEMOBI</v>
          </cell>
        </row>
        <row r="10322">
          <cell r="F10322" t="str">
            <v>SPICY</v>
          </cell>
        </row>
        <row r="10323">
          <cell r="F10323" t="str">
            <v>SPL INDS</v>
          </cell>
        </row>
        <row r="10324">
          <cell r="F10324" t="str">
            <v>SPMLINFRA</v>
          </cell>
        </row>
        <row r="10325">
          <cell r="F10325" t="str">
            <v>SPS INTL.</v>
          </cell>
        </row>
        <row r="10326">
          <cell r="F10326" t="str">
            <v>SPYL</v>
          </cell>
        </row>
        <row r="10327">
          <cell r="F10327" t="str">
            <v>SQSBFSI</v>
          </cell>
        </row>
        <row r="10328">
          <cell r="F10328" t="str">
            <v>SREE RAYALA</v>
          </cell>
        </row>
        <row r="10329">
          <cell r="F10329" t="str">
            <v>SREE SAKTHI</v>
          </cell>
        </row>
        <row r="10330">
          <cell r="F10330" t="str">
            <v>SREECHEM RES</v>
          </cell>
        </row>
        <row r="10331">
          <cell r="F10331" t="str">
            <v>SREEL</v>
          </cell>
        </row>
        <row r="10332">
          <cell r="F10332" t="str">
            <v>SREIBNPNCD</v>
          </cell>
        </row>
        <row r="10333">
          <cell r="F10333" t="str">
            <v>SREIBNPNCD2</v>
          </cell>
        </row>
        <row r="10334">
          <cell r="F10334" t="str">
            <v>SREIBNPNCD3</v>
          </cell>
        </row>
        <row r="10335">
          <cell r="F10335" t="str">
            <v>SREIBNPNCD4</v>
          </cell>
        </row>
        <row r="10336">
          <cell r="F10336" t="str">
            <v>SREIBNPNCD5</v>
          </cell>
        </row>
        <row r="10337">
          <cell r="F10337" t="str">
            <v>SREIBNPNCD6</v>
          </cell>
        </row>
        <row r="10338">
          <cell r="F10338" t="str">
            <v>SREIBNPNCD7</v>
          </cell>
        </row>
        <row r="10339">
          <cell r="F10339" t="str">
            <v>SREINFRA</v>
          </cell>
        </row>
        <row r="10340">
          <cell r="F10340" t="str">
            <v>SREINFRA2</v>
          </cell>
        </row>
        <row r="10341">
          <cell r="F10341" t="str">
            <v>SREINFRA3</v>
          </cell>
        </row>
        <row r="10342">
          <cell r="F10342" t="str">
            <v>SREINFRA4</v>
          </cell>
        </row>
        <row r="10343">
          <cell r="F10343" t="str">
            <v>SREINFRA5</v>
          </cell>
        </row>
        <row r="10344">
          <cell r="F10344" t="str">
            <v>SREINFRA6</v>
          </cell>
        </row>
        <row r="10345">
          <cell r="F10345" t="str">
            <v>SREINFRA7</v>
          </cell>
        </row>
        <row r="10346">
          <cell r="F10346" t="str">
            <v>SRF</v>
          </cell>
        </row>
        <row r="10347">
          <cell r="F10347" t="str">
            <v>SRG HFL</v>
          </cell>
        </row>
        <row r="10348">
          <cell r="F10348" t="str">
            <v>SRI ADHIKARI</v>
          </cell>
        </row>
        <row r="10349">
          <cell r="F10349" t="str">
            <v>SRI DIGV CEM</v>
          </cell>
        </row>
        <row r="10350">
          <cell r="F10350" t="str">
            <v>SRI KPR IND</v>
          </cell>
        </row>
        <row r="10351">
          <cell r="F10351" t="str">
            <v>SRI LAK.SAR.</v>
          </cell>
        </row>
        <row r="10352">
          <cell r="F10352" t="str">
            <v>SRI NACHAMAI</v>
          </cell>
        </row>
        <row r="10353">
          <cell r="F10353" t="str">
            <v>SRIPIPES</v>
          </cell>
        </row>
        <row r="10354">
          <cell r="F10354" t="str">
            <v>SRIRAM</v>
          </cell>
        </row>
        <row r="10355">
          <cell r="F10355" t="str">
            <v>SRK INDUS</v>
          </cell>
        </row>
        <row r="10356">
          <cell r="F10356" t="str">
            <v>SRS FINANCE</v>
          </cell>
        </row>
        <row r="10357">
          <cell r="F10357" t="str">
            <v>SRS LIMITED</v>
          </cell>
        </row>
        <row r="10358">
          <cell r="F10358" t="str">
            <v>SRS REAL</v>
          </cell>
        </row>
        <row r="10359">
          <cell r="F10359" t="str">
            <v>SRTRANSFIN</v>
          </cell>
        </row>
        <row r="10360">
          <cell r="F10360" t="str">
            <v>SRTRANSFIN2</v>
          </cell>
        </row>
        <row r="10361">
          <cell r="F10361" t="str">
            <v>SRTRANSFIN3</v>
          </cell>
        </row>
        <row r="10362">
          <cell r="F10362" t="str">
            <v>SSPDL LTD</v>
          </cell>
        </row>
        <row r="10363">
          <cell r="F10363" t="str">
            <v>SSWL</v>
          </cell>
        </row>
        <row r="10364">
          <cell r="F10364" t="str">
            <v>ST CORP</v>
          </cell>
        </row>
        <row r="10365">
          <cell r="F10365" t="str">
            <v>STAMPEDE CAP</v>
          </cell>
        </row>
        <row r="10366">
          <cell r="F10366" t="str">
            <v>STAN</v>
          </cell>
        </row>
        <row r="10367">
          <cell r="F10367" t="str">
            <v>STANPACKS(I)</v>
          </cell>
        </row>
        <row r="10368">
          <cell r="F10368" t="str">
            <v>STANROSE MAF</v>
          </cell>
        </row>
        <row r="10369">
          <cell r="F10369" t="str">
            <v>STAR</v>
          </cell>
        </row>
        <row r="10370">
          <cell r="F10370" t="str">
            <v>STARCEMENT</v>
          </cell>
        </row>
        <row r="10371">
          <cell r="F10371" t="str">
            <v>STARCOM</v>
          </cell>
        </row>
        <row r="10372">
          <cell r="F10372" t="str">
            <v>STARDELTA</v>
          </cell>
        </row>
        <row r="10373">
          <cell r="F10373" t="str">
            <v>STARLIT</v>
          </cell>
        </row>
        <row r="10374">
          <cell r="F10374" t="str">
            <v>STARLITE COM</v>
          </cell>
        </row>
        <row r="10375">
          <cell r="F10375" t="str">
            <v>STARLOG</v>
          </cell>
        </row>
        <row r="10376">
          <cell r="F10376" t="str">
            <v>STARPAPER</v>
          </cell>
        </row>
        <row r="10377">
          <cell r="F10377" t="str">
            <v>STATE BANK</v>
          </cell>
        </row>
        <row r="10378">
          <cell r="F10378" t="str">
            <v>STC INDIA</v>
          </cell>
        </row>
        <row r="10379">
          <cell r="F10379" t="str">
            <v>STD.BATTERY</v>
          </cell>
        </row>
        <row r="10380">
          <cell r="F10380" t="str">
            <v>STEEL EXCH</v>
          </cell>
        </row>
        <row r="10381">
          <cell r="F10381" t="str">
            <v>STEELCAST</v>
          </cell>
        </row>
        <row r="10382">
          <cell r="F10382" t="str">
            <v>STEELCITY</v>
          </cell>
        </row>
        <row r="10383">
          <cell r="F10383" t="str">
            <v>STEELCO GUJ.</v>
          </cell>
        </row>
        <row r="10384">
          <cell r="F10384" t="str">
            <v>STEL</v>
          </cell>
        </row>
        <row r="10385">
          <cell r="F10385" t="str">
            <v>STELLAR CAP</v>
          </cell>
        </row>
        <row r="10386">
          <cell r="F10386" t="str">
            <v>STERL INTER</v>
          </cell>
        </row>
        <row r="10387">
          <cell r="F10387" t="str">
            <v>STERL.BIOTEC</v>
          </cell>
        </row>
        <row r="10388">
          <cell r="F10388" t="str">
            <v>STERTOOLS</v>
          </cell>
        </row>
        <row r="10389">
          <cell r="F10389" t="str">
            <v>STI INDIA LT</v>
          </cell>
        </row>
        <row r="10390">
          <cell r="F10390" t="str">
            <v>STL</v>
          </cell>
        </row>
        <row r="10391">
          <cell r="F10391" t="str">
            <v>STL STR INF</v>
          </cell>
        </row>
        <row r="10392">
          <cell r="F10392" t="str">
            <v>STONE INDIA</v>
          </cell>
        </row>
        <row r="10393">
          <cell r="F10393" t="str">
            <v>STOVAC IND.</v>
          </cell>
        </row>
        <row r="10394">
          <cell r="F10394" t="str">
            <v>STR GRE WOO</v>
          </cell>
        </row>
        <row r="10395">
          <cell r="F10395" t="str">
            <v>STRTECH</v>
          </cell>
        </row>
        <row r="10396">
          <cell r="F10396" t="str">
            <v>SUBEX</v>
          </cell>
        </row>
        <row r="10397">
          <cell r="F10397" t="str">
            <v>SUBROS LTD.</v>
          </cell>
        </row>
        <row r="10398">
          <cell r="F10398" t="str">
            <v>SUCHITRA</v>
          </cell>
        </row>
        <row r="10399">
          <cell r="F10399" t="str">
            <v>SUDAL INDUS</v>
          </cell>
        </row>
        <row r="10400">
          <cell r="F10400" t="str">
            <v>SUDARSCHEM</v>
          </cell>
        </row>
        <row r="10401">
          <cell r="F10401" t="str">
            <v>SUDITI IND.</v>
          </cell>
        </row>
        <row r="10402">
          <cell r="F10402" t="str">
            <v>SUGAL DAM</v>
          </cell>
        </row>
        <row r="10403">
          <cell r="F10403" t="str">
            <v>SUJANAUNI</v>
          </cell>
        </row>
        <row r="10404">
          <cell r="F10404" t="str">
            <v>SUKJIT STRCH</v>
          </cell>
        </row>
        <row r="10405">
          <cell r="F10405" t="str">
            <v>SULABH ENG.</v>
          </cell>
        </row>
        <row r="10406">
          <cell r="F10406" t="str">
            <v>SUMEDHA FISC</v>
          </cell>
        </row>
        <row r="10407">
          <cell r="F10407" t="str">
            <v>SUMEET INDUS</v>
          </cell>
        </row>
        <row r="10408">
          <cell r="F10408" t="str">
            <v>SUMERU IND</v>
          </cell>
        </row>
        <row r="10409">
          <cell r="F10409" t="str">
            <v>SUMMITSEC</v>
          </cell>
        </row>
        <row r="10410">
          <cell r="F10410" t="str">
            <v>SUN TVNET</v>
          </cell>
        </row>
        <row r="10411">
          <cell r="F10411" t="str">
            <v>SUNDAR.CLAY</v>
          </cell>
        </row>
        <row r="10412">
          <cell r="F10412" t="str">
            <v>Sundaram  Corporate Bond Fund - Direct Plan - Quarterly Dividend Option</v>
          </cell>
        </row>
        <row r="10413">
          <cell r="F10413" t="str">
            <v>Sundaram  Corporate Bond Fund Direct Plan Annual Dividend Option</v>
          </cell>
        </row>
        <row r="10414">
          <cell r="F10414" t="str">
            <v>Sundaram  Low Duration Fund - Direct Plan - Bonus Option</v>
          </cell>
        </row>
        <row r="10415">
          <cell r="F10415" t="str">
            <v>Sundaram  Low Duration Fund - Direct Plan - Fortnightly Dividend Option</v>
          </cell>
        </row>
        <row r="10416">
          <cell r="F10416" t="str">
            <v>Sundaram  Short Term Credit Risk Fund- Direct Plan - Monthly Dividend</v>
          </cell>
        </row>
        <row r="10417">
          <cell r="F10417" t="str">
            <v>Sundaram  Short Term Debt Fund  Weekly Dividend</v>
          </cell>
        </row>
        <row r="10418">
          <cell r="F10418" t="str">
            <v>Sundaram  Short Term Debt Fund Half-Yearly Div</v>
          </cell>
        </row>
        <row r="10419">
          <cell r="F10419" t="str">
            <v>SUNDARAM BANKING AND PSU DEBT FUND  RETAIL MONTHLY DIVIDEND</v>
          </cell>
        </row>
        <row r="10420">
          <cell r="F10420" t="str">
            <v>SUNDARAM BANKING AND PSU DEBT FUND - Bonus Option</v>
          </cell>
        </row>
        <row r="10421">
          <cell r="F10421" t="str">
            <v>SUNDARAM BANKING AND PSU DEBT FUND - DIRECT PLAN MONTHLY DIVIDEND</v>
          </cell>
        </row>
        <row r="10422">
          <cell r="F10422" t="str">
            <v>SUNDARAM BANKING AND PSU DEBT FUND - Regular Weekly Dividend</v>
          </cell>
        </row>
        <row r="10423">
          <cell r="F10423" t="str">
            <v>SUNDARAM BANKING AND PSU DEBT FUND DIRECT BONUS (FORMERLY SFRSTP - DIRECT BONUS</v>
          </cell>
        </row>
        <row r="10424">
          <cell r="F10424" t="str">
            <v>SUNDARAM BANKING AND PSU DEBT FUND DIRECT PLAN DAILY DIVIDEND REINVESTMENT OPTION</v>
          </cell>
        </row>
        <row r="10425">
          <cell r="F10425" t="str">
            <v>SUNDARAM BANKING AND PSU DEBT FUND REGULAR DAILY REINVESTMENT</v>
          </cell>
        </row>
        <row r="10426">
          <cell r="F10426" t="str">
            <v>SUNDARAM BANKING AND PSU DEBT FUND REGULAR GROWTH</v>
          </cell>
        </row>
        <row r="10427">
          <cell r="F10427" t="str">
            <v>SUNDARAM BANKING AND PSU DEBT FUND REGULAR MONTHLY DIVIDEND RE INVESTMENT</v>
          </cell>
        </row>
        <row r="10428">
          <cell r="F10428" t="str">
            <v>SUNDARAM BANKING AND PSU DEBT FUND Retail - Growth</v>
          </cell>
        </row>
        <row r="10429">
          <cell r="F10429" t="str">
            <v>Sundaram BANKING AND PSU DEBT FUND- Direct Plan - Growth Option</v>
          </cell>
        </row>
        <row r="10430">
          <cell r="F10430" t="str">
            <v>SUNDARAM CAPITAL PROTECTION ORIENTED FUND - 5 YEARS - SERIES 7 - DIRECT PLAN - GROWTH</v>
          </cell>
        </row>
        <row r="10431">
          <cell r="F10431" t="str">
            <v>SUNDARAM CAPITAL PROTECTION ORIENTED FUND - 5 YEARS - SERIES 7 - DIRECT PLAN DIVIDEND PAYOUT</v>
          </cell>
        </row>
        <row r="10432">
          <cell r="F10432" t="str">
            <v>SUNDARAM CAPITAL PROTECTION ORIENTED FUND - 5 YEARS - SERIES 7 - REGULAR PLAN - DIVIDEND PAYOUT</v>
          </cell>
        </row>
        <row r="10433">
          <cell r="F10433" t="str">
            <v>SUNDARAM CAPITAL PROTECTION ORIENTED FUND - 5 YEARS - SERIES 7 - REGULAR PLAN - GROWTH OPTION</v>
          </cell>
        </row>
        <row r="10434">
          <cell r="F10434" t="str">
            <v>Sundaram Corporate Bond Fund -  Direct Plan - Growth Option</v>
          </cell>
        </row>
        <row r="10435">
          <cell r="F10435" t="str">
            <v>Sundaram Corporate Bond Fund Direct Plan - Monthly Dividend Option</v>
          </cell>
        </row>
        <row r="10436">
          <cell r="F10436" t="str">
            <v>Sundaram Corporate Bond Fund Regular - Annual  Dividend</v>
          </cell>
        </row>
        <row r="10437">
          <cell r="F10437" t="str">
            <v>Sundaram Corporate Bond Fund Regular - Growth</v>
          </cell>
        </row>
        <row r="10438">
          <cell r="F10438" t="str">
            <v>Sundaram Corporate Bond Fund Regular - Half  Yearly Dividend</v>
          </cell>
        </row>
        <row r="10439">
          <cell r="F10439" t="str">
            <v>Sundaram Corporate Bond Fund Regular - Monthly Dividend</v>
          </cell>
        </row>
        <row r="10440">
          <cell r="F10440" t="str">
            <v>Sundaram Corporate Bond Fund Regular - Quarterly Dividend</v>
          </cell>
        </row>
        <row r="10441">
          <cell r="F10441" t="str">
            <v>SUNDARAM CPOF 5  YRS SR 8  REGULAR PLAN DIVIDEND</v>
          </cell>
        </row>
        <row r="10442">
          <cell r="F10442" t="str">
            <v>SUNDARAM CPOF 5 YRS SR 8  DIRECT PLAN DIVIDEND</v>
          </cell>
        </row>
        <row r="10443">
          <cell r="F10443" t="str">
            <v>SUNDARAM CPOF 5 YRS SR 8  DIRECT PLAN GROWTH</v>
          </cell>
        </row>
        <row r="10444">
          <cell r="F10444" t="str">
            <v>SUNDARAM CPOF 5 YRS SR 8  REGULAR PLAN GROWTH</v>
          </cell>
        </row>
        <row r="10445">
          <cell r="F10445" t="str">
            <v>Sundaram Debt Oriented Hybrid Fund - Direct Monthly Dividend Option</v>
          </cell>
        </row>
        <row r="10446">
          <cell r="F10446" t="str">
            <v>Sundaram Debt Oriented Hybrid Fund Direct Plan - Growth Option</v>
          </cell>
        </row>
        <row r="10447">
          <cell r="F10447" t="str">
            <v>Sundaram Debt Oriented Hybrid Fund Direct Plan - Half Yearly Dividend Option</v>
          </cell>
        </row>
        <row r="10448">
          <cell r="F10448" t="str">
            <v>Sundaram Debt Oriented Hybrid Fund Direct Plan - Quarterly Dividend Option</v>
          </cell>
        </row>
        <row r="10449">
          <cell r="F10449" t="str">
            <v>Sundaram Debt Oriented Hybrid Fund Half-yearly Dividend</v>
          </cell>
        </row>
        <row r="10450">
          <cell r="F10450" t="str">
            <v>Sundaram Debt Oriented Hybrid Fund Monthly Dividend</v>
          </cell>
        </row>
        <row r="10451">
          <cell r="F10451" t="str">
            <v>Sundaram Debt Oriented Hybrid Fund Quarterly Dividend</v>
          </cell>
        </row>
        <row r="10452">
          <cell r="F10452" t="str">
            <v>Sundaram Debt Oriented Hybrid Fund- GROWTH</v>
          </cell>
        </row>
        <row r="10453">
          <cell r="F10453" t="str">
            <v>Sundaram Diversified Equity - A Long-term Tax Saver Fund - Direct Plan - Growth Option</v>
          </cell>
        </row>
        <row r="10454">
          <cell r="F10454" t="str">
            <v>Sundaram Diversified Equity - A Long-term Tax Saver Fund - Dividend</v>
          </cell>
        </row>
        <row r="10455">
          <cell r="F10455" t="str">
            <v>Sundaram Diversified Equity- A Long-term Tax Saver Fund - Direct Plan - Dividend Option</v>
          </cell>
        </row>
        <row r="10456">
          <cell r="F10456" t="str">
            <v>Sundaram Diversified Equity-A Long-term Tax Saver Fund OE- App</v>
          </cell>
        </row>
        <row r="10457">
          <cell r="F10457" t="str">
            <v>Sundaram Equity Hybrid Fund Direct Dividend</v>
          </cell>
        </row>
        <row r="10458">
          <cell r="F10458" t="str">
            <v>Sundaram Equity Hybrid Fund Direct Growth</v>
          </cell>
        </row>
        <row r="10459">
          <cell r="F10459" t="str">
            <v>Sundaram Equity Hybrid Fund Regular Dividend</v>
          </cell>
        </row>
        <row r="10460">
          <cell r="F10460" t="str">
            <v>Sundaram Equity Hybrid Fund Regular Growth</v>
          </cell>
        </row>
        <row r="10461">
          <cell r="F10461" t="str">
            <v>SUNDARAM FAS</v>
          </cell>
        </row>
        <row r="10462">
          <cell r="F10462" t="str">
            <v>Sundaram Financial Services Opportunities Fund - Direct Plan - Dividend Option</v>
          </cell>
        </row>
        <row r="10463">
          <cell r="F10463" t="str">
            <v>Sundaram Financial Services Opportunities Fund - Direct Plan - Growth Option</v>
          </cell>
        </row>
        <row r="10464">
          <cell r="F10464" t="str">
            <v>Sundaram Financial Services Opportunities Fund Inst  Dividend</v>
          </cell>
        </row>
        <row r="10465">
          <cell r="F10465" t="str">
            <v>Sundaram Financial Services Opportunities Fund Inst  Growth</v>
          </cell>
        </row>
        <row r="10466">
          <cell r="F10466" t="str">
            <v>Sundaram Financial Services Opportunities Fund Reg Dividend</v>
          </cell>
        </row>
        <row r="10467">
          <cell r="F10467" t="str">
            <v>Sundaram Financial Services Opportunities Fund Reg Growth</v>
          </cell>
        </row>
        <row r="10468">
          <cell r="F10468" t="str">
            <v>Sundaram Fixed Term IC Regular Plan Growth</v>
          </cell>
        </row>
        <row r="10469">
          <cell r="F10469" t="str">
            <v>SUNDARAM FIXED TERM PLAN - HB - DIRECT PLAN - GROWTH</v>
          </cell>
        </row>
        <row r="10470">
          <cell r="F10470" t="str">
            <v>SUNDARAM FIXED TERM PLAN - HB - REGULAR PLAN - GROWTH</v>
          </cell>
        </row>
        <row r="10471">
          <cell r="F10471" t="str">
            <v>Sundaram Fixed Term Plan - HS - Direct Plan - Dividend Payout</v>
          </cell>
        </row>
        <row r="10472">
          <cell r="F10472" t="str">
            <v>Sundaram Fixed Term Plan - HS - Direct Plan - Growth</v>
          </cell>
        </row>
        <row r="10473">
          <cell r="F10473" t="str">
            <v>Sundaram Fixed Term Plan - HS - Regular Plan - Dividend Payout</v>
          </cell>
        </row>
        <row r="10474">
          <cell r="F10474" t="str">
            <v>Sundaram Fixed Term Plan - HS - Regular Plan - Growth</v>
          </cell>
        </row>
        <row r="10475">
          <cell r="F10475" t="str">
            <v>Sundaram Fixed Term Plan FD Direct Plan Growth</v>
          </cell>
        </row>
        <row r="10476">
          <cell r="F10476" t="str">
            <v>Sundaram Fixed Term Plan FD Regular Plan Growth</v>
          </cell>
        </row>
        <row r="10477">
          <cell r="F10477" t="str">
            <v>Sundaram Fixed Term Plan FD Regular Plan Quarterly Dividend Payout</v>
          </cell>
        </row>
        <row r="10478">
          <cell r="F10478" t="str">
            <v>Sundaram Fixed Term Plan GU Direct Plan Growth</v>
          </cell>
        </row>
        <row r="10479">
          <cell r="F10479" t="str">
            <v>Sundaram Fixed Term Plan GU Regular Plan Growth</v>
          </cell>
        </row>
        <row r="10480">
          <cell r="F10480" t="str">
            <v>Sundaram Fixed Term Plan GU Regular Plan Half Yearly Dividend Payout</v>
          </cell>
        </row>
        <row r="10481">
          <cell r="F10481" t="str">
            <v>Sundaram Fixed Term Plan GW Direct Plan Growth</v>
          </cell>
        </row>
        <row r="10482">
          <cell r="F10482" t="str">
            <v>Sundaram Fixed Term Plan GW Direct Plan Quarterly Dividend Payout</v>
          </cell>
        </row>
        <row r="10483">
          <cell r="F10483" t="str">
            <v>Sundaram Fixed Term Plan GW Regular Plan Growth</v>
          </cell>
        </row>
        <row r="10484">
          <cell r="F10484" t="str">
            <v>Sundaram Fixed Term Plan GW Regular Plan Quarterly Dividend Payout</v>
          </cell>
        </row>
        <row r="10485">
          <cell r="F10485" t="str">
            <v>Sundaram Fixed Term Plan GY Direct Plan Growth</v>
          </cell>
        </row>
        <row r="10486">
          <cell r="F10486" t="str">
            <v>Sundaram Fixed Term Plan GY Regular Plan growth</v>
          </cell>
        </row>
        <row r="10487">
          <cell r="F10487" t="str">
            <v>Sundaram Fixed Term Plan GY Regular Plan Half Yearly Dividned Payout</v>
          </cell>
        </row>
        <row r="10488">
          <cell r="F10488" t="str">
            <v>Sundaram Fixed Term Plan GY Regular Plan Quarterly  Dividned Payout</v>
          </cell>
        </row>
        <row r="10489">
          <cell r="F10489" t="str">
            <v>SUNDARAM FIXED TERM PLAN HA - DIRECT PLAN - GROWTH</v>
          </cell>
        </row>
        <row r="10490">
          <cell r="F10490" t="str">
            <v>SUNDARAM FIXED TERM PLAN HA - REGULAR PLAN - GROWTH</v>
          </cell>
        </row>
        <row r="10491">
          <cell r="F10491" t="str">
            <v>SUNDARAM FIXED TERM PLAN HA - REGULAR PLAN - HALF YEARLY DIVIDEND PAYOUT</v>
          </cell>
        </row>
        <row r="10492">
          <cell r="F10492" t="str">
            <v>SUNDARAM FIXED TERM PLAN HA - REGULAR PLAN - QUARTERLY DIVIDEND PAYOUT</v>
          </cell>
        </row>
        <row r="10493">
          <cell r="F10493" t="str">
            <v>SUNDARAM FIXED TERM PLAN HC - DIRECT PLAN - GROWTH</v>
          </cell>
        </row>
        <row r="10494">
          <cell r="F10494" t="str">
            <v>SUNDARAM FIXED TERM PLAN HC - REGULAR PLAN - HALF YEARLY DIVIDEND PAYOUT</v>
          </cell>
        </row>
        <row r="10495">
          <cell r="F10495" t="str">
            <v>SUNDARAM FIXED TERM PLAN HC - REGULAR PLAN QUARTERLY DIVIDEND PAYOUT</v>
          </cell>
        </row>
        <row r="10496">
          <cell r="F10496" t="str">
            <v>SUNDARAM FIXED TERM PLAN HC REGULAR PLAN GROWTH</v>
          </cell>
        </row>
        <row r="10497">
          <cell r="F10497" t="str">
            <v>SUNDARAM FIXED TERM PLAN HI - DIRECT PLAN - GROWTH OPTION</v>
          </cell>
        </row>
        <row r="10498">
          <cell r="F10498" t="str">
            <v>SUNDARAM FIXED TERM PLAN HI - REGULAR PLAN - GROWTH OPTION</v>
          </cell>
        </row>
        <row r="10499">
          <cell r="F10499" t="str">
            <v>SUNDARAM FIXED TERM PLAN HM  REGULAR PLAN GROWTH</v>
          </cell>
        </row>
        <row r="10500">
          <cell r="F10500" t="str">
            <v>SUNDARAM FIXED TERM PLAN HM DIRECT PLAN GROWTH</v>
          </cell>
        </row>
        <row r="10501">
          <cell r="F10501" t="str">
            <v>SUNDARAM FIXED TERM PLAN HM REGULAR  PLAN DIVIDEND PAYOUT</v>
          </cell>
        </row>
        <row r="10502">
          <cell r="F10502" t="str">
            <v>Sundaram Fixed Term Plan IC Direct Dividend Payout</v>
          </cell>
        </row>
        <row r="10503">
          <cell r="F10503" t="str">
            <v>Sundaram Fixed Term Plan IC Direct Plan Growth</v>
          </cell>
        </row>
        <row r="10504">
          <cell r="F10504" t="str">
            <v>Sundaram Fixed Term Plan IC Regular Plan Dividend Payout</v>
          </cell>
        </row>
        <row r="10505">
          <cell r="F10505" t="str">
            <v>SUNDARAM GILT FUND (DIV. OPTION)</v>
          </cell>
        </row>
        <row r="10506">
          <cell r="F10506" t="str">
            <v>SUNDARAM GILT FUND (Growth. OPTION)</v>
          </cell>
        </row>
        <row r="10507">
          <cell r="F10507" t="str">
            <v>Sundaram Gilt Fund - Direct Plan - Dividend Option</v>
          </cell>
        </row>
        <row r="10508">
          <cell r="F10508" t="str">
            <v>Sundaram Gilt Fund - Direct Plan - Growth Option</v>
          </cell>
        </row>
        <row r="10509">
          <cell r="F10509" t="str">
            <v>Sundaram Global Advantage - Direct Plan - Dividend Option</v>
          </cell>
        </row>
        <row r="10510">
          <cell r="F10510" t="str">
            <v>Sundaram Global Advantage - Direct Plan - Growth Option</v>
          </cell>
        </row>
        <row r="10511">
          <cell r="F10511" t="str">
            <v>Sundaram Global Advantage Fund Dividend</v>
          </cell>
        </row>
        <row r="10512">
          <cell r="F10512" t="str">
            <v>Sundaram Global Advantage Fund Growth</v>
          </cell>
        </row>
        <row r="10513">
          <cell r="F10513" t="str">
            <v>SUNDARAM HYBRID FUND - SERIES O - DIRECT PLAN - GROWTH OPTION</v>
          </cell>
        </row>
        <row r="10514">
          <cell r="F10514" t="str">
            <v>SUNDARAM HYBRID FUND - SERIES O - DIRECT PLAN - HALF YEARLY DIVIDEND PAYOUT</v>
          </cell>
        </row>
        <row r="10515">
          <cell r="F10515" t="str">
            <v>SUNDARAM HYBRID FUND - SERIES O - DIRECT PLAN - YEARLY DIVIDEND PAYOUT</v>
          </cell>
        </row>
        <row r="10516">
          <cell r="F10516" t="str">
            <v>SUNDARAM HYBRID FUND - SERIES O - REGULAR PLAN - HALF YEARLY DIVIDEND PAYOUT</v>
          </cell>
        </row>
        <row r="10517">
          <cell r="F10517" t="str">
            <v>SUNDARAM HYBRID FUND - SERIES O - REGULAR PLAN - YEARLY DIVIDEND PAYOUT</v>
          </cell>
        </row>
        <row r="10518">
          <cell r="F10518" t="str">
            <v>Sundaram Hybrid Fund Series F Direct Plan Growth</v>
          </cell>
        </row>
        <row r="10519">
          <cell r="F10519" t="str">
            <v>Sundaram Hybrid Fund Series F Direct Plan Half Yearly Dividend Payout</v>
          </cell>
        </row>
        <row r="10520">
          <cell r="F10520" t="str">
            <v>Sundaram Hybrid Fund Series F Direct Plan Yearly Dividend Payout</v>
          </cell>
        </row>
        <row r="10521">
          <cell r="F10521" t="str">
            <v>Sundaram Hybrid Fund Series F Regular Plan Growth</v>
          </cell>
        </row>
        <row r="10522">
          <cell r="F10522" t="str">
            <v>Sundaram Hybrid Fund Series F Regular Plan Half Yearly Dividend Payout</v>
          </cell>
        </row>
        <row r="10523">
          <cell r="F10523" t="str">
            <v>Sundaram Hybrid Fund Series F Regular Plan Yearly Dividend Payout</v>
          </cell>
        </row>
        <row r="10524">
          <cell r="F10524" t="str">
            <v>Sundaram Hybrid Fund Series H Direct Plan Growth</v>
          </cell>
        </row>
        <row r="10525">
          <cell r="F10525" t="str">
            <v>Sundaram Hybrid Fund Series H Direct Plan Half yearly Dividend Payout</v>
          </cell>
        </row>
        <row r="10526">
          <cell r="F10526" t="str">
            <v>Sundaram Hybrid Fund Series H Regular Plan Growth</v>
          </cell>
        </row>
        <row r="10527">
          <cell r="F10527" t="str">
            <v>Sundaram Hybrid Fund Series H Regular Plan Half Yearly Dividend Payout</v>
          </cell>
        </row>
        <row r="10528">
          <cell r="F10528" t="str">
            <v>Sundaram Hybrid Fund Series H Regular Plan Yearly Dividend Payout</v>
          </cell>
        </row>
        <row r="10529">
          <cell r="F10529" t="str">
            <v>Sundaram Hybrid Fund Series K Direct Growth</v>
          </cell>
        </row>
        <row r="10530">
          <cell r="F10530" t="str">
            <v>Sundaram Hybrid Fund Series K Direct Half yearly Dividend</v>
          </cell>
        </row>
        <row r="10531">
          <cell r="F10531" t="str">
            <v>Sundaram Hybrid Fund Series K Direct Yearly Dividend</v>
          </cell>
        </row>
        <row r="10532">
          <cell r="F10532" t="str">
            <v>Sundaram Hybrid Fund Series K Regular Growth</v>
          </cell>
        </row>
        <row r="10533">
          <cell r="F10533" t="str">
            <v>Sundaram Hybrid Fund Series K Regular half yearly Dividend</v>
          </cell>
        </row>
        <row r="10534">
          <cell r="F10534" t="str">
            <v>Sundaram Hybrid Fund Series K Regular Yearly Dividend</v>
          </cell>
        </row>
        <row r="10535">
          <cell r="F10535" t="str">
            <v>Sundaram Hybrid Fund Series M Direct Plan Growth</v>
          </cell>
        </row>
        <row r="10536">
          <cell r="F10536" t="str">
            <v>Sundaram Hybrid Fund Series M Direct Plan half Yearly Dividend</v>
          </cell>
        </row>
        <row r="10537">
          <cell r="F10537" t="str">
            <v>Sundaram Hybrid Fund Series M Direct plan Yearly Dividend</v>
          </cell>
        </row>
        <row r="10538">
          <cell r="F10538" t="str">
            <v>Sundaram Hybrid Fund Series M Regular Plan  Half yearly Dividend</v>
          </cell>
        </row>
        <row r="10539">
          <cell r="F10539" t="str">
            <v>Sundaram Hybrid Fund Series M Regular Plan Growth</v>
          </cell>
        </row>
        <row r="10540">
          <cell r="F10540" t="str">
            <v>Sundaram Hybrid Fund Series M Regular Plan Yearly Dividend</v>
          </cell>
        </row>
        <row r="10541">
          <cell r="F10541" t="str">
            <v>SUNDARAM hYBRID SERIES N DIRECT PLAN GROWTH</v>
          </cell>
        </row>
        <row r="10542">
          <cell r="F10542" t="str">
            <v>SUNDARAM HYBRID SERIES N DIRECT PLAN HALF YEARLY DIVIDEND PAYOUT</v>
          </cell>
        </row>
        <row r="10543">
          <cell r="F10543" t="str">
            <v>SUNDARAM HYBRID SERIES N DIRECT PLAN YEARLY DIVIDEND PAYOUT</v>
          </cell>
        </row>
        <row r="10544">
          <cell r="F10544" t="str">
            <v>SUNDARAM HYBRID SERIES N REGULAR PLAN GROWTH</v>
          </cell>
        </row>
        <row r="10545">
          <cell r="F10545" t="str">
            <v>SUNDARAM HYBRID SERIES N REGULAR PLAN YEARLY DIVIDEND</v>
          </cell>
        </row>
        <row r="10546">
          <cell r="F10546" t="str">
            <v>SUNDARAM HYBRID SERIES O - REGULAR PLAN - GROWTH OPTION</v>
          </cell>
        </row>
        <row r="10547">
          <cell r="F10547" t="str">
            <v>SUNDARAM HYBRID SERIES P DIRECT  PLAN  HALF YEARLY DIVIDEDN</v>
          </cell>
        </row>
        <row r="10548">
          <cell r="F10548" t="str">
            <v>SUNDARAM HYBRID SERIES P DIRECT PLAN GROWTH</v>
          </cell>
        </row>
        <row r="10549">
          <cell r="F10549" t="str">
            <v>SUNDARAM HYBRID SERIES P DIRECT PLAN YEARLY DIVIDEND</v>
          </cell>
        </row>
        <row r="10550">
          <cell r="F10550" t="str">
            <v>SUNDARAM HYBRID SERIES P REGULAR PLAN GROWTH</v>
          </cell>
        </row>
        <row r="10551">
          <cell r="F10551" t="str">
            <v>SUNDARAM HYBRID SERIES P REGULAR PLAN HALF YEARLY DIVIDEND</v>
          </cell>
        </row>
        <row r="10552">
          <cell r="F10552" t="str">
            <v>SUNDARAM HYBRID SERIES P REGULAR PLAN YEARLY DIVIDEND</v>
          </cell>
        </row>
        <row r="10553">
          <cell r="F10553" t="str">
            <v>SUNDARAM HYBRID SERIES U DIRECT PLAN  HALF YEARLY DIVIDEND  PAYOUT</v>
          </cell>
        </row>
        <row r="10554">
          <cell r="F10554" t="str">
            <v>SUNDARAM HYBRID SERIES U DIRECT PLAN GROWTH</v>
          </cell>
        </row>
        <row r="10555">
          <cell r="F10555" t="str">
            <v>SUNDARAM HYBRID SERIES U REGULAR PLAN GROWTH</v>
          </cell>
        </row>
        <row r="10556">
          <cell r="F10556" t="str">
            <v>SUNDARAM HYBRID SERIES U REGULAR PLAN HALF YEARLY DIVIDEND PAYOUT</v>
          </cell>
        </row>
        <row r="10557">
          <cell r="F10557" t="str">
            <v>SUNDARAM HYBRID SERIES U REGULAR PLAN YEARLY DIVIDEND PAYOUT</v>
          </cell>
        </row>
        <row r="10558">
          <cell r="F10558" t="str">
            <v>Sundaram Infrastructure Advantage Fund (Erstwhile Sundaram Capex Opportunities) Direct Plan Growth</v>
          </cell>
        </row>
        <row r="10559">
          <cell r="F10559" t="str">
            <v>Sundaram Infrastructure Advantage Fund (Erstwhile Sundaram Capex Opportunities) Regular Plan Growth</v>
          </cell>
        </row>
        <row r="10560">
          <cell r="F10560" t="str">
            <v>Sundaram Infrastructure Advantage Fund (Merger of Capex &amp; Energy Opportunities) Direct Plan Dividend</v>
          </cell>
        </row>
        <row r="10561">
          <cell r="F10561" t="str">
            <v>Sundaram Infrastructure Advantage Fund (Merger of Capex &amp; Energy Opportunities) Regular Plan Dividend</v>
          </cell>
        </row>
        <row r="10562">
          <cell r="F10562" t="str">
            <v>Sundaram Large and Midcap Dividend</v>
          </cell>
        </row>
        <row r="10563">
          <cell r="F10563" t="str">
            <v>Sundaram Large and Midcap Fund  - Direct Plan - Dividend Option</v>
          </cell>
        </row>
        <row r="10564">
          <cell r="F10564" t="str">
            <v>Sundaram Large and Midcap Fund- Direct Plan - Growth Option</v>
          </cell>
        </row>
        <row r="10565">
          <cell r="F10565" t="str">
            <v>Sundaram Large and Midcap Growth</v>
          </cell>
        </row>
        <row r="10566">
          <cell r="F10566" t="str">
            <v>SUNDARAM LONG TERM MICRO CAP TAX ADVANTAGE FUND SERIES III REGULAR PLAN DIVIDEND</v>
          </cell>
        </row>
        <row r="10567">
          <cell r="F10567" t="str">
            <v>SUNDARAM LONG TERM MICRO CAP TAX ADVANTAGE FUND SERIES IV DIRECT PLAN DIVIDEND PAYOUT</v>
          </cell>
        </row>
        <row r="10568">
          <cell r="F10568" t="str">
            <v>SUNDARAM LONG TERM MICRO CAP TAX ADVANTAGE FUND SERIES IV DIRECT PLAN GROWTH</v>
          </cell>
        </row>
        <row r="10569">
          <cell r="F10569" t="str">
            <v>SUNDARAM LONG TERM MICRO CAP TAX ADVANTAGE FUND SERIES IV REGULAR PLAN DIVIDEND PAYOUT</v>
          </cell>
        </row>
        <row r="10570">
          <cell r="F10570" t="str">
            <v>SUNDARAM LONG TERM MICRO CAP TAX ADVANTAGE FUND SERIES IV REGULAR PLAN GROWTH</v>
          </cell>
        </row>
        <row r="10571">
          <cell r="F10571" t="str">
            <v>SUNDARAM LONG TERM MICRO CAP TAX ADVANTAGE FUND SERIES V DIRECT  PLAN DIVIDEND PAYOUT</v>
          </cell>
        </row>
        <row r="10572">
          <cell r="F10572" t="str">
            <v>SUNDARAM LONG TERM MICRO CAP TAX ADVANTAGE FUND SERIES V DIRECT PLAN GROWTH</v>
          </cell>
        </row>
        <row r="10573">
          <cell r="F10573" t="str">
            <v>SUNDARAM LONG TERM MICRO CAP TAX ADVANTAGE FUND SERIES V REGULAR PLAN DIVIDEND PAYOUT</v>
          </cell>
        </row>
        <row r="10574">
          <cell r="F10574" t="str">
            <v>SUNDARAM LONG TERM MICRO CAP TAX ADVANTAGE FUND SERIES V REGULAR PLAN GROWTH</v>
          </cell>
        </row>
        <row r="10575">
          <cell r="F10575" t="str">
            <v>SUNDARAM LONG TERM MICRO CAP TAX ADVANTAGE SERIES VI DIRECT PLAN DIVIDEND</v>
          </cell>
        </row>
        <row r="10576">
          <cell r="F10576" t="str">
            <v>SUNDARAM LONG TERM MICRO CAP TAX ADVANTAGE SERIES VI DIRECT PLAN GROWTH</v>
          </cell>
        </row>
        <row r="10577">
          <cell r="F10577" t="str">
            <v>SUNDARAM LONG TERM MICRO CAP TAX ADVANTAGE SERIES VI REGULAR PLAN DIVIDEND PAYOUT</v>
          </cell>
        </row>
        <row r="10578">
          <cell r="F10578" t="str">
            <v>SUNDARAM LONG TERM MICRO CAP TAX ADVANTAGE SERIES VI REGULAR PLAN GROWTH</v>
          </cell>
        </row>
        <row r="10579">
          <cell r="F10579" t="str">
            <v>SUNDARAM LONG TERM MICROCAP TAX ADVANTAGE FUND SERIES III DIRECT PLAN DIVIDEND</v>
          </cell>
        </row>
        <row r="10580">
          <cell r="F10580" t="str">
            <v>SUNDARAM LONG TERM MICROCAP TAX ADVANTAGE FUND SERIES III DIRECT PLAN GROWTH</v>
          </cell>
        </row>
        <row r="10581">
          <cell r="F10581" t="str">
            <v>SUNDARAM LONG TERM MICROCAP TAX ADVANTAGE FUND SERIES III REGULAR PLAN GROWTH</v>
          </cell>
        </row>
        <row r="10582">
          <cell r="F10582" t="str">
            <v>Sundaram Long Term Tax Advantage Fund Direct Plan Dividend Payout</v>
          </cell>
        </row>
        <row r="10583">
          <cell r="F10583" t="str">
            <v>Sundaram Long Term Tax Advantage Fund Direct Plan Growth</v>
          </cell>
        </row>
        <row r="10584">
          <cell r="F10584" t="str">
            <v>Sundaram Long Term Tax Advantage Fund Regular Plan Dividend Payout</v>
          </cell>
        </row>
        <row r="10585">
          <cell r="F10585" t="str">
            <v>Sundaram Long Term Tax Advantage Fund Regular Plan Growth</v>
          </cell>
        </row>
        <row r="10586">
          <cell r="F10586" t="str">
            <v>SUNDARAM LONG TERM TAX ADVANTAGE SERIES II DIRECT PLAN DIVIDEND PAYOUT</v>
          </cell>
        </row>
        <row r="10587">
          <cell r="F10587" t="str">
            <v>SUNDARAM LONG TERM TAX ADVANTAGE SERIES II DIRECT PLAN GROWTH</v>
          </cell>
        </row>
        <row r="10588">
          <cell r="F10588" t="str">
            <v>SUNDARAM LONG TERM TAX ADVANTAGE SERIES II REGULAR PLAN DIVIDEND PLAN PAYOUT</v>
          </cell>
        </row>
        <row r="10589">
          <cell r="F10589" t="str">
            <v>SUNDARAM LONG TERM TAX ADVANTAGE SERIES II REGULAR PLAN GROWTH</v>
          </cell>
        </row>
        <row r="10590">
          <cell r="F10590" t="str">
            <v>Sundaram Low Duration  Fund - Direct Plan - Quarterly Dividend Option</v>
          </cell>
        </row>
        <row r="10591">
          <cell r="F10591" t="str">
            <v>Sundaram Low Duration  Fund - Direct Plan - Weekly Dividend Option</v>
          </cell>
        </row>
        <row r="10592">
          <cell r="F10592" t="str">
            <v>Sundaram Low Duration Fund  Direct Plan - Daily Dividend Reinvestment Option</v>
          </cell>
        </row>
        <row r="10593">
          <cell r="F10593" t="str">
            <v>Sundaram Low Duration Fund  Inst Daily Dividend</v>
          </cell>
        </row>
        <row r="10594">
          <cell r="F10594" t="str">
            <v>Sundaram Low Duration Fund  Inst Growth</v>
          </cell>
        </row>
        <row r="10595">
          <cell r="F10595" t="str">
            <v>Sundaram Low Duration Fund - Direct Plan - Growth Option</v>
          </cell>
        </row>
        <row r="10596">
          <cell r="F10596" t="str">
            <v>Sundaram Low Duration Fund - Direct Plan - Monthly Dividend Option</v>
          </cell>
        </row>
        <row r="10597">
          <cell r="F10597" t="str">
            <v>Sundaram Low Duration Fund Inst Monthly  Dividend</v>
          </cell>
        </row>
        <row r="10598">
          <cell r="F10598" t="str">
            <v>Sundaram Low Duration Fund Regular Daily Dividend</v>
          </cell>
        </row>
        <row r="10599">
          <cell r="F10599" t="str">
            <v>Sundaram Low Duration Fund Regular Fortnightly Dividend</v>
          </cell>
        </row>
        <row r="10600">
          <cell r="F10600" t="str">
            <v>Sundaram Low Duration Fund Regular Growth</v>
          </cell>
        </row>
        <row r="10601">
          <cell r="F10601" t="str">
            <v>Sundaram Low Duration Fund Regular Monthly Dividend</v>
          </cell>
        </row>
        <row r="10602">
          <cell r="F10602" t="str">
            <v>Sundaram Low Duration Fund Regular Qtrly Dividend</v>
          </cell>
        </row>
        <row r="10603">
          <cell r="F10603" t="str">
            <v>Sundaram Low Duration Fund Regular Weekly Dividend (Formerly Super Institutional Plan)</v>
          </cell>
        </row>
        <row r="10604">
          <cell r="F10604" t="str">
            <v>Sundaram Low Duration Fund Retail Daily Dividend</v>
          </cell>
        </row>
        <row r="10605">
          <cell r="F10605" t="str">
            <v>Sundaram Low Duration Fund Retail fortnightly Dividend</v>
          </cell>
        </row>
        <row r="10606">
          <cell r="F10606" t="str">
            <v>Sundaram Low Duration Fund Retail Growth</v>
          </cell>
        </row>
        <row r="10607">
          <cell r="F10607" t="str">
            <v>Sundaram Low Duration Fund Retail Monthly Dividend</v>
          </cell>
        </row>
        <row r="10608">
          <cell r="F10608" t="str">
            <v>Sundaram Low Duration Fund Retail Quarterly Dividend</v>
          </cell>
        </row>
        <row r="10609">
          <cell r="F10609" t="str">
            <v>Sundaram Low Duration Fund Retail Weekly Dividend</v>
          </cell>
        </row>
        <row r="10610">
          <cell r="F10610" t="str">
            <v>Sundaram Low Duration Fund-  Bonus Option</v>
          </cell>
        </row>
        <row r="10611">
          <cell r="F10611" t="str">
            <v>Sundaram Medium Term Bond Fund  - Direct Plan - Annual Dividend Option</v>
          </cell>
        </row>
        <row r="10612">
          <cell r="F10612" t="str">
            <v>Sundaram Medium Term Bond Fund  - Direct Plan - Quarterly Dividend Option</v>
          </cell>
        </row>
        <row r="10613">
          <cell r="F10613" t="str">
            <v>Sundaram Medium Term Bond Fund - Regular Growth</v>
          </cell>
        </row>
        <row r="10614">
          <cell r="F10614" t="str">
            <v>Sundaram Medium Term Bond Fund - Regular Half-Yearly Dividend</v>
          </cell>
        </row>
        <row r="10615">
          <cell r="F10615" t="str">
            <v>Sundaram Medium Term Bond Fund -Annual Dividend</v>
          </cell>
        </row>
        <row r="10616">
          <cell r="F10616" t="str">
            <v>Sundaram Medium Term Bond Fund -Institutional Plan(Growth)</v>
          </cell>
        </row>
        <row r="10617">
          <cell r="F10617" t="str">
            <v>Sundaram Medium Term Bond Fund -Qtrly Dividend</v>
          </cell>
        </row>
        <row r="10618">
          <cell r="F10618" t="str">
            <v>Sundaram Medium Term Bond Fund -Regular Bonus Option</v>
          </cell>
        </row>
        <row r="10619">
          <cell r="F10619" t="str">
            <v>Sundaram Medium Term Bond Fund- Direct Plan - Growth Option</v>
          </cell>
        </row>
        <row r="10620">
          <cell r="F10620" t="str">
            <v>Sundaram Mid Cap Fund -Growth</v>
          </cell>
        </row>
        <row r="10621">
          <cell r="F10621" t="str">
            <v>Sundaram Mid Cap Fund -Institutional Dividend</v>
          </cell>
        </row>
        <row r="10622">
          <cell r="F10622" t="str">
            <v>Sundaram Mid Cap Fund -Institutional Growth</v>
          </cell>
        </row>
        <row r="10623">
          <cell r="F10623" t="str">
            <v>Sundaram Mid Cap Fund- Direct Plan - Dividend Option</v>
          </cell>
        </row>
        <row r="10624">
          <cell r="F10624" t="str">
            <v>Sundaram Mid Cap Fund- Direct Plan - Growth Option</v>
          </cell>
        </row>
        <row r="10625">
          <cell r="F10625" t="str">
            <v>Sundaram Mid Cap Fund- Regular Dividend</v>
          </cell>
        </row>
        <row r="10626">
          <cell r="F10626" t="str">
            <v>Sundaram Money Fund - Bonus Option</v>
          </cell>
        </row>
        <row r="10627">
          <cell r="F10627" t="str">
            <v>Sundaram Money Fund - Direct Plan - Bonus Option</v>
          </cell>
        </row>
        <row r="10628">
          <cell r="F10628" t="str">
            <v>Sundaram Money Fund - Direct Plan - Daily Dividend Reinvestment Option</v>
          </cell>
        </row>
        <row r="10629">
          <cell r="F10629" t="str">
            <v>Sundaram Money Fund - Direct Plan - Fortnightly Dividend Reinvestment Option</v>
          </cell>
        </row>
        <row r="10630">
          <cell r="F10630" t="str">
            <v>Sundaram Money Fund - Direct Plan - Growth Option</v>
          </cell>
        </row>
        <row r="10631">
          <cell r="F10631" t="str">
            <v>Sundaram Money Fund - Direct Plan - Monthly Dividend Option</v>
          </cell>
        </row>
        <row r="10632">
          <cell r="F10632" t="str">
            <v>Sundaram Money Fund - Direct Plan - Quarterly Dividend Reinvestment Option</v>
          </cell>
        </row>
        <row r="10633">
          <cell r="F10633" t="str">
            <v>Sundaram Money Fund - Direct Plan - Weekly Dividend Reinvestment Option</v>
          </cell>
        </row>
        <row r="10634">
          <cell r="F10634" t="str">
            <v>SUNDARAM MONEY FUND - UNCLAIMED AMOUNT PLAN - UNCLAIMED DIVIDEND LESS THAN THREE YEARS</v>
          </cell>
        </row>
        <row r="10635">
          <cell r="F10635" t="str">
            <v>SUNDARAM MONEY FUND - UNCLAIMED AMOUNT PLAN - UNCLAIMED DIVIDEND MORE THAN THREE YEARS</v>
          </cell>
        </row>
        <row r="10636">
          <cell r="F10636" t="str">
            <v>SUNDARAM MONEY FUND - UNCLAIMED AMOUNT PLAN - UNCLAIMED REDEMPTION LESS THAN THREE YEARS</v>
          </cell>
        </row>
        <row r="10637">
          <cell r="F10637" t="str">
            <v>SUNDARAM MONEY FUND - UNCLAIMED AMOUNT PLAN - UNCLAIMED REDEMPTION MORE THAN THREE YEARS</v>
          </cell>
        </row>
        <row r="10638">
          <cell r="F10638" t="str">
            <v>Sundaram Money Fund Regular Daily Div. Reinvest (Formerly Super Institutional Plan)</v>
          </cell>
        </row>
        <row r="10639">
          <cell r="F10639" t="str">
            <v>Sundaram Money Fund Regular fortnightly Div.Rein (Formerly Super Institutional Plan)</v>
          </cell>
        </row>
        <row r="10640">
          <cell r="F10640" t="str">
            <v>Sundaram Money Fund Regular Growth (Formerly Super Institutional Plan)</v>
          </cell>
        </row>
        <row r="10641">
          <cell r="F10641" t="str">
            <v>Sundaram Money Fund Regular monthly Div. (Formerly Super Institutional Plan)</v>
          </cell>
        </row>
        <row r="10642">
          <cell r="F10642" t="str">
            <v>Sundaram Money Fund Regular Qrtly Div. Reinvest (Formerly Super Institutional Plan)</v>
          </cell>
        </row>
        <row r="10643">
          <cell r="F10643" t="str">
            <v>Sundaram Money Fund Regular weekly Dividend. Rein (Formerly Super Institutional Plan)</v>
          </cell>
        </row>
        <row r="10644">
          <cell r="F10644" t="str">
            <v>Sundaram Money Fund- Retail Appreciation</v>
          </cell>
        </row>
        <row r="10645">
          <cell r="F10645" t="str">
            <v>Sundaram Money Fund- Retail Daily Dividend Reinvestment</v>
          </cell>
        </row>
        <row r="10646">
          <cell r="F10646" t="str">
            <v>Sundaram Money Fund- Retail Fortnightly Div Reinvst</v>
          </cell>
        </row>
        <row r="10647">
          <cell r="F10647" t="str">
            <v>Sundaram Money Fund- Retail Monthly Div. Reinvst</v>
          </cell>
        </row>
        <row r="10648">
          <cell r="F10648" t="str">
            <v>Sundaram Money Fund- Retail Quarterly Dividend Reinvestment</v>
          </cell>
        </row>
        <row r="10649">
          <cell r="F10649" t="str">
            <v>Sundaram Money Fund- Retail Weekly Div. Reinvst</v>
          </cell>
        </row>
        <row r="10650">
          <cell r="F10650" t="str">
            <v>Sundaram Money Fund-Institutional Plan-Daily Div. Reinvestment</v>
          </cell>
        </row>
        <row r="10651">
          <cell r="F10651" t="str">
            <v>Sundaram Money Fund-Institutional Plan-Growth Option</v>
          </cell>
        </row>
        <row r="10652">
          <cell r="F10652" t="str">
            <v>Sundaram Multi Asset Fund Direct Dividend</v>
          </cell>
        </row>
        <row r="10653">
          <cell r="F10653" t="str">
            <v>Sundaram Multi Asset Fund Direct Growth</v>
          </cell>
        </row>
        <row r="10654">
          <cell r="F10654" t="str">
            <v>Sundaram Multi Asset Fund Dividend Payout</v>
          </cell>
        </row>
        <row r="10655">
          <cell r="F10655" t="str">
            <v>Sundaram Multi Asset Fund Growth</v>
          </cell>
        </row>
        <row r="10656">
          <cell r="F10656" t="str">
            <v>Sundaram Regular Savings Fund - Direct Plan - Growth Option</v>
          </cell>
        </row>
        <row r="10657">
          <cell r="F10657" t="str">
            <v>Sundaram Regular Savings Fund - DIVIDEND</v>
          </cell>
        </row>
        <row r="10658">
          <cell r="F10658" t="str">
            <v>Sundaram Regular Savings Fund - GROWTH</v>
          </cell>
        </row>
        <row r="10659">
          <cell r="F10659" t="str">
            <v>Sundaram Regular Savings Fund - Half-yearly Dividend</v>
          </cell>
        </row>
        <row r="10660">
          <cell r="F10660" t="str">
            <v>Sundaram Regular Savings Fund - Quarterly Dividend</v>
          </cell>
        </row>
        <row r="10661">
          <cell r="F10661" t="str">
            <v>Sundaram Regular Savings Fund - Quarterly Dividend Option</v>
          </cell>
        </row>
        <row r="10662">
          <cell r="F10662" t="str">
            <v>Sundaram Rural and Consumption  Regular  Growth</v>
          </cell>
        </row>
        <row r="10663">
          <cell r="F10663" t="str">
            <v>Sundaram Rural and Consumption Fund - Direct Plan - Dividend Option</v>
          </cell>
        </row>
        <row r="10664">
          <cell r="F10664" t="str">
            <v>Sundaram Rural and Consumption Fund - Direct Plan - Growth Option</v>
          </cell>
        </row>
        <row r="10665">
          <cell r="F10665" t="str">
            <v>Sundaram Rural and Consumption Fund Inst Dividend</v>
          </cell>
        </row>
        <row r="10666">
          <cell r="F10666" t="str">
            <v>Sundaram Rural and Consumption Fund- Regular Dividend</v>
          </cell>
        </row>
        <row r="10667">
          <cell r="F10667" t="str">
            <v>Sundaram Select Focus - Direct Plan - Dividend Option</v>
          </cell>
        </row>
        <row r="10668">
          <cell r="F10668" t="str">
            <v>Sundaram Select Focus - Direct Plan - Growth Option</v>
          </cell>
        </row>
        <row r="10669">
          <cell r="F10669" t="str">
            <v>Sundaram Select Focus-Dividend</v>
          </cell>
        </row>
        <row r="10670">
          <cell r="F10670" t="str">
            <v>Sundaram Select Focus-Growth</v>
          </cell>
        </row>
        <row r="10671">
          <cell r="F10671" t="str">
            <v>Sundaram Select Focus-Inst Dividend</v>
          </cell>
        </row>
        <row r="10672">
          <cell r="F10672" t="str">
            <v>Sundaram Select Focus-Inst Growth</v>
          </cell>
        </row>
        <row r="10673">
          <cell r="F10673" t="str">
            <v>Sundaram Select Micro Cap Series I - Direct Plan - Dividend Option</v>
          </cell>
        </row>
        <row r="10674">
          <cell r="F10674" t="str">
            <v>Sundaram Select Micro Cap Series I - Direct Plan - Growth Option</v>
          </cell>
        </row>
        <row r="10675">
          <cell r="F10675" t="str">
            <v>Sundaram Select Micro Cap Series I - Regular Plan - Dividend Option</v>
          </cell>
        </row>
        <row r="10676">
          <cell r="F10676" t="str">
            <v>Sundaram Select Micro Cap Series I - Regular Plan - Growth Option</v>
          </cell>
        </row>
        <row r="10677">
          <cell r="F10677" t="str">
            <v>Sundaram Select Micro Cap Series II - Direct Plan - Dividend Option</v>
          </cell>
        </row>
        <row r="10678">
          <cell r="F10678" t="str">
            <v>Sundaram Select Micro Cap Series II - Direct Plan - Growth Option</v>
          </cell>
        </row>
        <row r="10679">
          <cell r="F10679" t="str">
            <v>Sundaram Select Micro Cap Series II - Regular Plan - Dividend Option</v>
          </cell>
        </row>
        <row r="10680">
          <cell r="F10680" t="str">
            <v>Sundaram Select Micro Cap Series II - Regular Plan - Growth Option</v>
          </cell>
        </row>
        <row r="10681">
          <cell r="F10681" t="str">
            <v>Sundaram Select Micro Cap Series III - Direct Plan - Dividend Option</v>
          </cell>
        </row>
        <row r="10682">
          <cell r="F10682" t="str">
            <v>Sundaram Select Micro Cap Series III - Direct Plan - Growth Option</v>
          </cell>
        </row>
        <row r="10683">
          <cell r="F10683" t="str">
            <v>Sundaram Select Micro Cap Series III - Regular Plan - Dividend Option</v>
          </cell>
        </row>
        <row r="10684">
          <cell r="F10684" t="str">
            <v>Sundaram Select Micro Cap Series III - Regular Plan - Growth Option</v>
          </cell>
        </row>
        <row r="10685">
          <cell r="F10685" t="str">
            <v>Sundaram Select Micro Cap Series IV - Direct Plan - Dividend Option</v>
          </cell>
        </row>
        <row r="10686">
          <cell r="F10686" t="str">
            <v>Sundaram Select Micro Cap Series IV - Direct Plan - Growth Option</v>
          </cell>
        </row>
        <row r="10687">
          <cell r="F10687" t="str">
            <v>Sundaram Select Micro Cap Series IV - Regular Plan - Dividend Option</v>
          </cell>
        </row>
        <row r="10688">
          <cell r="F10688" t="str">
            <v>Sundaram Select Micro Cap Series IV - Regular Plan - Growth Option</v>
          </cell>
        </row>
        <row r="10689">
          <cell r="F10689" t="str">
            <v>Sundaram Select Micro Cap Series IX - Direct Plan - Dividend Payout</v>
          </cell>
        </row>
        <row r="10690">
          <cell r="F10690" t="str">
            <v>Sundaram Select Micro Cap Series IX - Regular Plan - Dividend Payout</v>
          </cell>
        </row>
        <row r="10691">
          <cell r="F10691" t="str">
            <v>Sundaram Select Micro Cap Series IX - Regular Plan - Growth</v>
          </cell>
        </row>
        <row r="10692">
          <cell r="F10692" t="str">
            <v>Sundaram Select Micro Cap Series IX-Direct Plan Growth</v>
          </cell>
        </row>
        <row r="10693">
          <cell r="F10693" t="str">
            <v>Sundaram Select Micro Cap Series V - Direct Plan Growth Option</v>
          </cell>
        </row>
        <row r="10694">
          <cell r="F10694" t="str">
            <v>Sundaram Select Micro Cap Series V - Regular Plan Dividend Option</v>
          </cell>
        </row>
        <row r="10695">
          <cell r="F10695" t="str">
            <v>Sundaram Select Micro Cap Series V- Direct Plan Dividend Option</v>
          </cell>
        </row>
        <row r="10696">
          <cell r="F10696" t="str">
            <v>Sundaram Select Micro Cap Series V- Regular Plan Growth Option</v>
          </cell>
        </row>
        <row r="10697">
          <cell r="F10697" t="str">
            <v>Sundaram Select Micro Cap Series VI Direct Dividend Payout</v>
          </cell>
        </row>
        <row r="10698">
          <cell r="F10698" t="str">
            <v>Sundaram Select Micro Cap Series VI Direct Growth</v>
          </cell>
        </row>
        <row r="10699">
          <cell r="F10699" t="str">
            <v>Sundaram Select Micro Cap Series VI Regular Dividend Payout</v>
          </cell>
        </row>
        <row r="10700">
          <cell r="F10700" t="str">
            <v>Sundaram Select Micro Cap Series VI Regular Growth</v>
          </cell>
        </row>
        <row r="10701">
          <cell r="F10701" t="str">
            <v>Sundaram Select Micro Cap Series VII - Direct Plan Growth Option</v>
          </cell>
        </row>
        <row r="10702">
          <cell r="F10702" t="str">
            <v>Sundaram Select Micro Cap Series VII - Regular Plan Dividend Option</v>
          </cell>
        </row>
        <row r="10703">
          <cell r="F10703" t="str">
            <v>Sundaram Select Micro Cap Series VII- Direct Plan Dividend Option</v>
          </cell>
        </row>
        <row r="10704">
          <cell r="F10704" t="str">
            <v>Sundaram Select Micro Cap Series VII- Regular Plan Growth Option</v>
          </cell>
        </row>
        <row r="10705">
          <cell r="F10705" t="str">
            <v>Sundaram Select Micro Cap Series VIII  Direct Plan Growth</v>
          </cell>
        </row>
        <row r="10706">
          <cell r="F10706" t="str">
            <v>Sundaram Select Micro Cap Series VIII  Regular Plan Growth</v>
          </cell>
        </row>
        <row r="10707">
          <cell r="F10707" t="str">
            <v>Sundaram Select Micro Cap Series VIII Direct Plan Dividend</v>
          </cell>
        </row>
        <row r="10708">
          <cell r="F10708" t="str">
            <v>Sundaram Select Micro Cap Series VIII Regular Plan Dividend</v>
          </cell>
        </row>
        <row r="10709">
          <cell r="F10709" t="str">
            <v>SUNDARAM SELECT MICRO CAP SERIES X - DIRECT PLAN - DIVIDEND PAYOUT</v>
          </cell>
        </row>
        <row r="10710">
          <cell r="F10710" t="str">
            <v>SUNDARAM SELECT MICRO CAP SERIES X - DIRECT PLAN - GROWTH</v>
          </cell>
        </row>
        <row r="10711">
          <cell r="F10711" t="str">
            <v>SUNDARAM SELECT MICRO CAP SERIES X - REGULAR PLAN - DIVIDEND PAYOUT</v>
          </cell>
        </row>
        <row r="10712">
          <cell r="F10712" t="str">
            <v>SUNDARAM SELECT MICRO CAP SERIES X - REGULAR PLAN - GROWTH</v>
          </cell>
        </row>
        <row r="10713">
          <cell r="F10713" t="str">
            <v>SUNDARAM SELECT MICRO CAP SERIES XI - DIRECT PLAN - DIVIDEND</v>
          </cell>
        </row>
        <row r="10714">
          <cell r="F10714" t="str">
            <v>SUNDARAM SELECT MICRO CAP SERIES XI - DIRECT PLAN - GROWTH</v>
          </cell>
        </row>
        <row r="10715">
          <cell r="F10715" t="str">
            <v>SUNDARAM SELECT MICRO CAP SERIES XI - REGULAR PLAN - DIVIDEND</v>
          </cell>
        </row>
        <row r="10716">
          <cell r="F10716" t="str">
            <v>SUNDARAM SELECT MICRO CAP SERIES XI - REGULAR PLAN - GROWTH</v>
          </cell>
        </row>
        <row r="10717">
          <cell r="F10717" t="str">
            <v>SUNDARAM SELECT MICRO CAP SERIES XII - DIRECT PLAN DIVIDEND</v>
          </cell>
        </row>
        <row r="10718">
          <cell r="F10718" t="str">
            <v>SUNDARAM SELECT MICRO CAP SERIES XII - DIRECT PLAN GROWTH</v>
          </cell>
        </row>
        <row r="10719">
          <cell r="F10719" t="str">
            <v>SUNDARAM SELECT MICRO CAP SERIES XII - REGULAR PLAN - DIVIDEND</v>
          </cell>
        </row>
        <row r="10720">
          <cell r="F10720" t="str">
            <v>SUNDARAM SELECT MICRO CAP SERIES XII - REGULAR PLAN - GROWTH</v>
          </cell>
        </row>
        <row r="10721">
          <cell r="F10721" t="str">
            <v>SUNDARAM SELECT MICRO CAP SERIES XIV DIRECT PLAN DIVIDEND PAYOUT</v>
          </cell>
        </row>
        <row r="10722">
          <cell r="F10722" t="str">
            <v>SUNDARAM SELECT MICRO CAP SERIES XIV DIRECT PLAN GROWTH</v>
          </cell>
        </row>
        <row r="10723">
          <cell r="F10723" t="str">
            <v>SUNDARAM SELECT MICRO CAP SERIES XIV REGULAR GROWTH</v>
          </cell>
        </row>
        <row r="10724">
          <cell r="F10724" t="str">
            <v>SUNDARAM SELECT MICRO CAP SERIES XIV REGULAR PLAN DIVIDEND PAYOUT</v>
          </cell>
        </row>
        <row r="10725">
          <cell r="F10725" t="str">
            <v>SUNDARAM SELECT MICRO CAP SERIES XV - DIRECT PLAN DIVIDEND PAYOUT</v>
          </cell>
        </row>
        <row r="10726">
          <cell r="F10726" t="str">
            <v>SUNDARAM SELECT MICRO CAP SERIES XV DIRECT GROWTH</v>
          </cell>
        </row>
        <row r="10727">
          <cell r="F10727" t="str">
            <v>SUNDARAM SELECT MICRO CAP SERIES XV REGULAR DIVIDEND PAYOUT</v>
          </cell>
        </row>
        <row r="10728">
          <cell r="F10728" t="str">
            <v>SUNDARAM SELECT MICRO CAP SERIES XV REGULAR GROWTH</v>
          </cell>
        </row>
        <row r="10729">
          <cell r="F10729" t="str">
            <v>SUNDARAM SELECT MICRO CAP SERIES XVI DIRECT PLAN DIVIDEND PAYOUT</v>
          </cell>
        </row>
        <row r="10730">
          <cell r="F10730" t="str">
            <v>SUNDARAM SELECT MICRO CAP SERIES XVI DIRECT PLAN GROWTH</v>
          </cell>
        </row>
        <row r="10731">
          <cell r="F10731" t="str">
            <v>SUNDARAM SELECT MICRO CAP SERIES XVI REGULAR PLAN DIVIDEND PAYOUT</v>
          </cell>
        </row>
        <row r="10732">
          <cell r="F10732" t="str">
            <v>SUNDARAM SELECT MICRO CAP SERIES XVI REGULAR PLAN GROWTH</v>
          </cell>
        </row>
        <row r="10733">
          <cell r="F10733" t="str">
            <v>SUNDARAM SELECT MICRO CAP SERIES XVII DIRECT PLAN DIVIDEND PAYOUT</v>
          </cell>
        </row>
        <row r="10734">
          <cell r="F10734" t="str">
            <v>SUNDARAM SELECT MICRO CAP SERIES XVII DIRECT PLAN GROWTH</v>
          </cell>
        </row>
        <row r="10735">
          <cell r="F10735" t="str">
            <v>SUNDARAM SELECT MICRO CAP SERIES XVII REGULAR PLAN DIVIDEND PAYOUT</v>
          </cell>
        </row>
        <row r="10736">
          <cell r="F10736" t="str">
            <v>SUNDARAM SELECT MICRO CAP SERIES XVII REGULAR PLAN GROWTH</v>
          </cell>
        </row>
        <row r="10737">
          <cell r="F10737" t="str">
            <v>Sundaram Select Small Cap Series II Direct Dividend Payout</v>
          </cell>
        </row>
        <row r="10738">
          <cell r="F10738" t="str">
            <v>Sundaram Select Small Cap Series II Direct Growth</v>
          </cell>
        </row>
        <row r="10739">
          <cell r="F10739" t="str">
            <v>Sundaram Select Small Cap Series II Regular Dividend Payout</v>
          </cell>
        </row>
        <row r="10740">
          <cell r="F10740" t="str">
            <v>Sundaram Select Small Cap Series II Regular Growth</v>
          </cell>
        </row>
        <row r="10741">
          <cell r="F10741" t="str">
            <v>Sundaram Select Small Cap Series III Direct Dividend</v>
          </cell>
        </row>
        <row r="10742">
          <cell r="F10742" t="str">
            <v>Sundaram Select Small Cap Series III Direct Growth</v>
          </cell>
        </row>
        <row r="10743">
          <cell r="F10743" t="str">
            <v>Sundaram Select Small Cap Series III Regular Dividend</v>
          </cell>
        </row>
        <row r="10744">
          <cell r="F10744" t="str">
            <v>Sundaram Select Small Cap Series III Regular Growth</v>
          </cell>
        </row>
        <row r="10745">
          <cell r="F10745" t="str">
            <v>Sundaram Select Small Cap Series IV - Direct Dividend Payout</v>
          </cell>
        </row>
        <row r="10746">
          <cell r="F10746" t="str">
            <v>Sundaram Select Small Cap Series IV - Direct Growth</v>
          </cell>
        </row>
        <row r="10747">
          <cell r="F10747" t="str">
            <v>Sundaram Select Small Cap Series IV - Regular Dividend Payout</v>
          </cell>
        </row>
        <row r="10748">
          <cell r="F10748" t="str">
            <v>Sundaram Select Small Cap Series IV - Regular Growth</v>
          </cell>
        </row>
        <row r="10749">
          <cell r="F10749" t="str">
            <v>SUNDARAM SELECT SMALL CAP SERIES V DIRECT PLAN DIVIDEND PAYOUT</v>
          </cell>
        </row>
        <row r="10750">
          <cell r="F10750" t="str">
            <v>SUNDARAM SELECT SMALL CAP SERIES V DIRECT PLAN GROWTH</v>
          </cell>
        </row>
        <row r="10751">
          <cell r="F10751" t="str">
            <v>SUNDARAM SELECT SMALL CAP SERIES V REGULAR PLAN DIVIDEND PAYOUT</v>
          </cell>
        </row>
        <row r="10752">
          <cell r="F10752" t="str">
            <v>SUNDARAM SELECT SMALL CAP SERIES V REGULAR PLAN GROWTH</v>
          </cell>
        </row>
        <row r="10753">
          <cell r="F10753" t="str">
            <v>SUNDARAM SELECT SMALL CAP SERIES VI DIRECT PLAN DIVIDEND PAYOUT</v>
          </cell>
        </row>
        <row r="10754">
          <cell r="F10754" t="str">
            <v>SUNDARAM SELECT SMALL CAP SERIES VI DIRECT PLAN GROWTH</v>
          </cell>
        </row>
        <row r="10755">
          <cell r="F10755" t="str">
            <v>SUNDARAM SELECT SMALL CAP SERIES VI REGULAR PLAN DIVIDEND PAYOUT</v>
          </cell>
        </row>
        <row r="10756">
          <cell r="F10756" t="str">
            <v>SUNDARAM SELECT SMALL CAP SERIES VI REGULAR PLAN GROWTH</v>
          </cell>
        </row>
        <row r="10757">
          <cell r="F10757" t="str">
            <v>Sundaram Short Term Credit Risk Fund  - Direct Plan - Weekly Dividend</v>
          </cell>
        </row>
        <row r="10758">
          <cell r="F10758" t="str">
            <v>Sundaram Short Term Credit Risk Fund  - Regular Plan - Quarterly Dividend</v>
          </cell>
        </row>
        <row r="10759">
          <cell r="F10759" t="str">
            <v>Sundaram Short Term Credit Risk Fund - Direct Plan - Dividend Option</v>
          </cell>
        </row>
        <row r="10760">
          <cell r="F10760" t="str">
            <v>Sundaram Short Term Credit Risk Fund - Direct Plan - Growth Option</v>
          </cell>
        </row>
        <row r="10761">
          <cell r="F10761" t="str">
            <v>Sundaram Short Term Credit Risk Fund -Dividend</v>
          </cell>
        </row>
        <row r="10762">
          <cell r="F10762" t="str">
            <v>Sundaram Short Term Credit Risk Fund- Regular Plan - Monthly Dividend</v>
          </cell>
        </row>
        <row r="10763">
          <cell r="F10763" t="str">
            <v>Sundaram Short Term Credit Risk Fund- Regular Plan - Weekly Dividend</v>
          </cell>
        </row>
        <row r="10764">
          <cell r="F10764" t="str">
            <v>Sundaram Short Term Credit Risk Fund-Appreciation</v>
          </cell>
        </row>
        <row r="10765">
          <cell r="F10765" t="str">
            <v>Sundaram Short Term Debt Fund  - Direct Plan - Bonus Option</v>
          </cell>
        </row>
        <row r="10766">
          <cell r="F10766" t="str">
            <v>Sundaram Short Term Debt Fund  Monthly Dividend</v>
          </cell>
        </row>
        <row r="10767">
          <cell r="F10767" t="str">
            <v>Sundaram Short Term Debt Fund  Quarterly Div</v>
          </cell>
        </row>
        <row r="10768">
          <cell r="F10768" t="str">
            <v>Sundaram Short Term Debt Fund - Direct Plan - Half Yearly Dividend Option</v>
          </cell>
        </row>
        <row r="10769">
          <cell r="F10769" t="str">
            <v>Sundaram Short Term Debt Fund - Direct Plan - Weekly Dividend Option</v>
          </cell>
        </row>
        <row r="10770">
          <cell r="F10770" t="str">
            <v>Sundaram Short Term Debt Fund -Appreciation Option</v>
          </cell>
        </row>
        <row r="10771">
          <cell r="F10771" t="str">
            <v>Sundaram Short Term Debt Fund -Fortnighty Dividend Reinvst</v>
          </cell>
        </row>
        <row r="10772">
          <cell r="F10772" t="str">
            <v>Sundaram Short Term Debt Fund- Bonus Option</v>
          </cell>
        </row>
        <row r="10773">
          <cell r="F10773" t="str">
            <v>Sundaram Short Term Debt Fund- Direct Plan - Fortnightly Dividend Option</v>
          </cell>
        </row>
        <row r="10774">
          <cell r="F10774" t="str">
            <v>Sundaram Short Term Debt Fund- Direct Plan - Growth Option</v>
          </cell>
        </row>
        <row r="10775">
          <cell r="F10775" t="str">
            <v>Sundaram Short Term Debt Fund- Direct Plan - Monthly Dividend Option</v>
          </cell>
        </row>
        <row r="10776">
          <cell r="F10776" t="str">
            <v>Sundaram Short Term Debt Fund- Regular Annual Div</v>
          </cell>
        </row>
        <row r="10777">
          <cell r="F10777" t="str">
            <v>Sundaram Small Cap  Fund - Direct Plan - Dividend Option</v>
          </cell>
        </row>
        <row r="10778">
          <cell r="F10778" t="str">
            <v>Sundaram Small Cap Fund - Direct Plan - Growth Option</v>
          </cell>
        </row>
        <row r="10779">
          <cell r="F10779" t="str">
            <v>Sundaram Small Cap Fund -iNST Growth</v>
          </cell>
        </row>
        <row r="10780">
          <cell r="F10780" t="str">
            <v>Sundaram Small Cap Fund-Dividend</v>
          </cell>
        </row>
        <row r="10781">
          <cell r="F10781" t="str">
            <v>Sundaram Small Cap Fund-Inst Dividend</v>
          </cell>
        </row>
        <row r="10782">
          <cell r="F10782" t="str">
            <v>Sundaram Small Cap Fund-Regular Growth</v>
          </cell>
        </row>
        <row r="10783">
          <cell r="F10783" t="str">
            <v>Sundaram Smart Nifty 100 Equal Weight Fund - Direct Plan - Dividend Payout</v>
          </cell>
        </row>
        <row r="10784">
          <cell r="F10784" t="str">
            <v>Sundaram Smart Nifty 100 Equal Weight Fund - Direct Plan - Dividend Reinvestment</v>
          </cell>
        </row>
        <row r="10785">
          <cell r="F10785" t="str">
            <v>Sundaram Smart Nifty 100 Equal Weight Fund - Direct Plan - Growth</v>
          </cell>
        </row>
        <row r="10786">
          <cell r="F10786" t="str">
            <v>Sundaram Smart Nifty 100 Equal Weight Fund - Regular Plan - Dividend Payout</v>
          </cell>
        </row>
        <row r="10787">
          <cell r="F10787" t="str">
            <v>Sundaram Smart Nifty 100 Equal Weight Fund - Regular Plan - Dividend Reinvestment</v>
          </cell>
        </row>
        <row r="10788">
          <cell r="F10788" t="str">
            <v>Sundaram Smart Nifty 100 Equal Weight Fund - Regular Plan - Growth</v>
          </cell>
        </row>
        <row r="10789">
          <cell r="F10789" t="str">
            <v>Sundaram Top 100 Series V Direct Plan Dividend Payout</v>
          </cell>
        </row>
        <row r="10790">
          <cell r="F10790" t="str">
            <v>Sundaram Top 100 Series V Direct Plan Growth</v>
          </cell>
        </row>
        <row r="10791">
          <cell r="F10791" t="str">
            <v>Sundaram Top 100 Series V Regular Plan Dividend Payout</v>
          </cell>
        </row>
        <row r="10792">
          <cell r="F10792" t="str">
            <v>Sundaram Top 100 Series V Regular Plan Growth</v>
          </cell>
        </row>
        <row r="10793">
          <cell r="F10793" t="str">
            <v>Sundaram Top 100 Series VI Direct Plan Dividend Payout</v>
          </cell>
        </row>
        <row r="10794">
          <cell r="F10794" t="str">
            <v>Sundaram Top 100 Series VI Direct Plan Growth</v>
          </cell>
        </row>
        <row r="10795">
          <cell r="F10795" t="str">
            <v>Sundaram Top 100 Series VI Regular Plan Dividend</v>
          </cell>
        </row>
        <row r="10796">
          <cell r="F10796" t="str">
            <v>Sundaram Top 100 Series VI Regular Plan Growth</v>
          </cell>
        </row>
        <row r="10797">
          <cell r="F10797" t="str">
            <v>Sundaram Top 100 Series VII DIRECT PLAN DIVIDEND PAYOUT</v>
          </cell>
        </row>
        <row r="10798">
          <cell r="F10798" t="str">
            <v>Sundaram Top 100 Series VII DIRECT PLAN GROWTH</v>
          </cell>
        </row>
        <row r="10799">
          <cell r="F10799" t="str">
            <v>Sundaram Top 100 Series VII REGULAR PLAN DIVIDEND PAYOUT</v>
          </cell>
        </row>
        <row r="10800">
          <cell r="F10800" t="str">
            <v>SUNDARAM TOP 100 SERIES VII REGULAR PLAN GROWTH</v>
          </cell>
        </row>
        <row r="10801">
          <cell r="F10801" t="str">
            <v>Sundaram Value Fund Series  Direct Plan Growth</v>
          </cell>
        </row>
        <row r="10802">
          <cell r="F10802" t="str">
            <v>Sundaram Value Fund Series II Direct Plan Dividend Payout</v>
          </cell>
        </row>
        <row r="10803">
          <cell r="F10803" t="str">
            <v>Sundaram Value Fund Series II Direct Plan Growth</v>
          </cell>
        </row>
        <row r="10804">
          <cell r="F10804" t="str">
            <v>Sundaram Value Fund Series II Regular Plan Dividend Payout</v>
          </cell>
        </row>
        <row r="10805">
          <cell r="F10805" t="str">
            <v>Sundaram Value Fund Series II Regular Plan Growth</v>
          </cell>
        </row>
        <row r="10806">
          <cell r="F10806" t="str">
            <v>Sundaram Value Fund Series III Direct Plan Dividend Payout</v>
          </cell>
        </row>
        <row r="10807">
          <cell r="F10807" t="str">
            <v>Sundaram Value Fund Series III Regular Plan Dividend payout</v>
          </cell>
        </row>
        <row r="10808">
          <cell r="F10808" t="str">
            <v>Sundaram Value Fund Series III Regular Plan Growth</v>
          </cell>
        </row>
        <row r="10809">
          <cell r="F10809" t="str">
            <v>SUNDARAM VALUE FUND SERIES IX DIRECT PLAN DIVIDEND PAYOU</v>
          </cell>
        </row>
        <row r="10810">
          <cell r="F10810" t="str">
            <v>SUNDARAM VALUE FUND SERIES IX DIRECT PLAN GROWTH</v>
          </cell>
        </row>
        <row r="10811">
          <cell r="F10811" t="str">
            <v>SUNDARAM VALUE FUND SERIES IX REGULAR PLAN DIVIDEND PAYOUT</v>
          </cell>
        </row>
        <row r="10812">
          <cell r="F10812" t="str">
            <v>SUNDARAM VALUE FUND SERIES IX REGULAR PLAN GROWTH</v>
          </cell>
        </row>
        <row r="10813">
          <cell r="F10813" t="str">
            <v>Sundaram Value Fund Series VII Direct Plan Dividend Payout</v>
          </cell>
        </row>
        <row r="10814">
          <cell r="F10814" t="str">
            <v>Sundaram Value Fund Series VII Direct Plan Growth</v>
          </cell>
        </row>
        <row r="10815">
          <cell r="F10815" t="str">
            <v>Sundaram Value Fund Series VII Regular Plan Dividend Payout</v>
          </cell>
        </row>
        <row r="10816">
          <cell r="F10816" t="str">
            <v>Sundaram Value Fund Series VII Regular Plan Growth</v>
          </cell>
        </row>
        <row r="10817">
          <cell r="F10817" t="str">
            <v>Sundaram Value Fund Series VIII Direct Plan Dividend</v>
          </cell>
        </row>
        <row r="10818">
          <cell r="F10818" t="str">
            <v>Sundaram Value Fund Series VIII Direct Plan Growth</v>
          </cell>
        </row>
        <row r="10819">
          <cell r="F10819" t="str">
            <v>Sundaram Value Fund Series VIII Regular Plan Dividend Payout</v>
          </cell>
        </row>
        <row r="10820">
          <cell r="F10820" t="str">
            <v>Sundaram Value Fund Series VIII Regular Plan Growth</v>
          </cell>
        </row>
        <row r="10821">
          <cell r="F10821" t="str">
            <v>SUNDARAM VALUE FUND SERIES X DIRECT PLAN DIVIDEND PAYOUT</v>
          </cell>
        </row>
        <row r="10822">
          <cell r="F10822" t="str">
            <v>SUNDARAM VALUE FUND SERIES X DIRECT PLAN GROWTH</v>
          </cell>
        </row>
        <row r="10823">
          <cell r="F10823" t="str">
            <v>SUNDARAM VALUE FUND SERIES X REGULAR PLAN DIVIDEND PAYOUT</v>
          </cell>
        </row>
        <row r="10824">
          <cell r="F10824" t="str">
            <v>SUNDARAM VALUE FUND SERIES X REGULAR PLAN GROWTH</v>
          </cell>
        </row>
        <row r="10825">
          <cell r="F10825" t="str">
            <v>Sundaram World Brand Fund Series II Direct Plan Dividend Payout</v>
          </cell>
        </row>
        <row r="10826">
          <cell r="F10826" t="str">
            <v>Sundaram World Brand Fund Series II Direct Plan Growth</v>
          </cell>
        </row>
        <row r="10827">
          <cell r="F10827" t="str">
            <v>Sundaram World Brand Fund Series II Regular Plan Dividend Payout</v>
          </cell>
        </row>
        <row r="10828">
          <cell r="F10828" t="str">
            <v>Sundaram World Brand Fund Series II Regular Plan Growth</v>
          </cell>
        </row>
        <row r="10829">
          <cell r="F10829" t="str">
            <v>Sundaram World Brand Fund Series III Direct Plan Dividend Payout</v>
          </cell>
        </row>
        <row r="10830">
          <cell r="F10830" t="str">
            <v>Sundaram World Brand Fund Series III Direct Plan Growth</v>
          </cell>
        </row>
        <row r="10831">
          <cell r="F10831" t="str">
            <v>Sundaram World Brand Fund Series III Regular Plan Dividend Payout</v>
          </cell>
        </row>
        <row r="10832">
          <cell r="F10832" t="str">
            <v>Sundaram World Brand Fund Series III Regular Plan Growth</v>
          </cell>
        </row>
        <row r="10833">
          <cell r="F10833" t="str">
            <v>SUNDARAM, HYBRID SERIES N REGULAR PLAN HALF YEARLY DIVIDEND PAYOUT</v>
          </cell>
        </row>
        <row r="10834">
          <cell r="F10834" t="str">
            <v>SUNDARAMMUL</v>
          </cell>
        </row>
        <row r="10835">
          <cell r="F10835" t="str">
            <v>SUNDARMFIN</v>
          </cell>
        </row>
        <row r="10836">
          <cell r="F10836" t="str">
            <v>SUNDRMBRAK</v>
          </cell>
        </row>
        <row r="10837">
          <cell r="F10837" t="str">
            <v>SUNFLAG</v>
          </cell>
        </row>
        <row r="10838">
          <cell r="F10838" t="str">
            <v>SUNIL AGRO F</v>
          </cell>
        </row>
        <row r="10839">
          <cell r="F10839" t="str">
            <v>SUNIL HEALTH</v>
          </cell>
        </row>
        <row r="10840">
          <cell r="F10840" t="str">
            <v>SUNIL HITECH</v>
          </cell>
        </row>
        <row r="10841">
          <cell r="F10841" t="str">
            <v>SUNPHA ADV</v>
          </cell>
        </row>
        <row r="10842">
          <cell r="F10842" t="str">
            <v>SUNPHARMA</v>
          </cell>
        </row>
        <row r="10843">
          <cell r="F10843" t="str">
            <v>SUNRAJ DIAM.</v>
          </cell>
        </row>
        <row r="10844">
          <cell r="F10844" t="str">
            <v>SUNSHIELD CH</v>
          </cell>
        </row>
        <row r="10845">
          <cell r="F10845" t="str">
            <v>SUNSTAR R</v>
          </cell>
        </row>
        <row r="10846">
          <cell r="F10846" t="str">
            <v>SUNTECK</v>
          </cell>
        </row>
        <row r="10847">
          <cell r="F10847" t="str">
            <v>SUPER BAKERS</v>
          </cell>
        </row>
        <row r="10848">
          <cell r="F10848" t="str">
            <v>SUPER CROP.</v>
          </cell>
        </row>
        <row r="10849">
          <cell r="F10849" t="str">
            <v>SUPER HOUSE</v>
          </cell>
        </row>
        <row r="10850">
          <cell r="F10850" t="str">
            <v>SUPER SAL IN</v>
          </cell>
        </row>
        <row r="10851">
          <cell r="F10851" t="str">
            <v>SUPER SPIN.</v>
          </cell>
        </row>
        <row r="10852">
          <cell r="F10852" t="str">
            <v>SUPER TANNER</v>
          </cell>
        </row>
        <row r="10853">
          <cell r="F10853" t="str">
            <v>SUPERB PAPER</v>
          </cell>
        </row>
        <row r="10854">
          <cell r="F10854" t="str">
            <v>SUPERTEX IND</v>
          </cell>
        </row>
        <row r="10855">
          <cell r="F10855" t="str">
            <v>SUPRAJIT</v>
          </cell>
        </row>
        <row r="10856">
          <cell r="F10856" t="str">
            <v>SUPRAP</v>
          </cell>
        </row>
        <row r="10857">
          <cell r="F10857" t="str">
            <v>SUPREME HO</v>
          </cell>
        </row>
        <row r="10858">
          <cell r="F10858" t="str">
            <v>SUPREME PET</v>
          </cell>
        </row>
        <row r="10859">
          <cell r="F10859" t="str">
            <v>SUPREME TEX</v>
          </cell>
        </row>
        <row r="10860">
          <cell r="F10860" t="str">
            <v>SUPREMEIND</v>
          </cell>
        </row>
        <row r="10861">
          <cell r="F10861" t="str">
            <v>SUPREMEINF</v>
          </cell>
        </row>
        <row r="10862">
          <cell r="F10862" t="str">
            <v>SUPREMEX</v>
          </cell>
        </row>
        <row r="10863">
          <cell r="F10863" t="str">
            <v>SURAJ LTD</v>
          </cell>
        </row>
        <row r="10864">
          <cell r="F10864" t="str">
            <v>SURAJ PRODUC</v>
          </cell>
        </row>
        <row r="10865">
          <cell r="F10865" t="str">
            <v>SURANA INDS</v>
          </cell>
        </row>
        <row r="10866">
          <cell r="F10866" t="str">
            <v>SURANASOL</v>
          </cell>
        </row>
        <row r="10867">
          <cell r="F10867" t="str">
            <v>SURANAT&amp;P</v>
          </cell>
        </row>
        <row r="10868">
          <cell r="F10868" t="str">
            <v>SURAT TEXT.</v>
          </cell>
        </row>
        <row r="10869">
          <cell r="F10869" t="str">
            <v>SURYACHAKRA</v>
          </cell>
        </row>
        <row r="10870">
          <cell r="F10870" t="str">
            <v>SURYALATA SP</v>
          </cell>
        </row>
        <row r="10871">
          <cell r="F10871" t="str">
            <v>SURYAMBA SP</v>
          </cell>
        </row>
        <row r="10872">
          <cell r="F10872" t="str">
            <v>SURYAROSNI</v>
          </cell>
        </row>
        <row r="10873">
          <cell r="F10873" t="str">
            <v>SURYAVA SPIN</v>
          </cell>
        </row>
        <row r="10874">
          <cell r="F10874" t="str">
            <v>SURYLAK.COTT</v>
          </cell>
        </row>
        <row r="10875">
          <cell r="F10875" t="str">
            <v>SUTLEJ TEXT</v>
          </cell>
        </row>
        <row r="10876">
          <cell r="F10876" t="str">
            <v>SUVEN</v>
          </cell>
        </row>
        <row r="10877">
          <cell r="F10877" t="str">
            <v>SUYOG TELE</v>
          </cell>
        </row>
        <row r="10878">
          <cell r="F10878" t="str">
            <v>SUZLON</v>
          </cell>
        </row>
        <row r="10879">
          <cell r="F10879" t="str">
            <v>SV GLOBAL</v>
          </cell>
        </row>
        <row r="10880">
          <cell r="F10880" t="str">
            <v>SVARTCORP</v>
          </cell>
        </row>
        <row r="10881">
          <cell r="F10881" t="str">
            <v>SVPGLOB</v>
          </cell>
        </row>
        <row r="10882">
          <cell r="F10882" t="str">
            <v>SWADESHI IND</v>
          </cell>
        </row>
        <row r="10883">
          <cell r="F10883" t="str">
            <v>SWAGRUHA</v>
          </cell>
        </row>
        <row r="10884">
          <cell r="F10884" t="str">
            <v>SWAN ENG</v>
          </cell>
        </row>
        <row r="10885">
          <cell r="F10885" t="str">
            <v>SWARAJ ENGIN</v>
          </cell>
        </row>
        <row r="10886">
          <cell r="F10886" t="str">
            <v>SWARNASA</v>
          </cell>
        </row>
        <row r="10887">
          <cell r="F10887" t="str">
            <v>SWASTI VINAY</v>
          </cell>
        </row>
        <row r="10888">
          <cell r="F10888" t="str">
            <v>SWASTIK INV</v>
          </cell>
        </row>
        <row r="10889">
          <cell r="F10889" t="str">
            <v>SWELECTES</v>
          </cell>
        </row>
        <row r="10890">
          <cell r="F10890" t="str">
            <v>SWIL</v>
          </cell>
        </row>
        <row r="10891">
          <cell r="F10891" t="str">
            <v>SWISS GLASS</v>
          </cell>
        </row>
        <row r="10892">
          <cell r="F10892" t="str">
            <v>SWORDEDGE</v>
          </cell>
        </row>
        <row r="10893">
          <cell r="F10893" t="str">
            <v>SYBLY INDS.</v>
          </cell>
        </row>
        <row r="10894">
          <cell r="F10894" t="str">
            <v>SYLPH TECH</v>
          </cell>
        </row>
        <row r="10895">
          <cell r="F10895" t="str">
            <v>SYMBIOX</v>
          </cell>
        </row>
        <row r="10896">
          <cell r="F10896" t="str">
            <v>SYMPHONY</v>
          </cell>
        </row>
        <row r="10897">
          <cell r="F10897" t="str">
            <v>SYNCOM FORM.</v>
          </cell>
        </row>
        <row r="10898">
          <cell r="F10898" t="str">
            <v>SYNCOM HEAL</v>
          </cell>
        </row>
        <row r="10899">
          <cell r="F10899" t="str">
            <v>SYNDICATE BN</v>
          </cell>
        </row>
        <row r="10900">
          <cell r="F10900" t="str">
            <v>SYNGENE</v>
          </cell>
        </row>
        <row r="10901">
          <cell r="F10901" t="str">
            <v>SYSCHEM (I)</v>
          </cell>
        </row>
        <row r="10902">
          <cell r="F10902" t="str">
            <v>SYSCO</v>
          </cell>
        </row>
        <row r="10903">
          <cell r="F10903" t="str">
            <v>SYSTAMATIX C</v>
          </cell>
        </row>
        <row r="10904">
          <cell r="F10904" t="str">
            <v>T &amp; I GLOBAL</v>
          </cell>
        </row>
        <row r="10905">
          <cell r="F10905" t="str">
            <v>T C M LTD.</v>
          </cell>
        </row>
        <row r="10906">
          <cell r="F10906" t="str">
            <v>T.N.STEEL TU</v>
          </cell>
        </row>
        <row r="10907">
          <cell r="F10907" t="str">
            <v>T.P.L.</v>
          </cell>
        </row>
        <row r="10908">
          <cell r="F10908" t="str">
            <v>TAALENT</v>
          </cell>
        </row>
        <row r="10909">
          <cell r="F10909" t="str">
            <v>TAHL</v>
          </cell>
        </row>
        <row r="10910">
          <cell r="F10910" t="str">
            <v>TAINWALCHM</v>
          </cell>
        </row>
        <row r="10911">
          <cell r="F10911" t="str">
            <v>TAJ GVK HOTL</v>
          </cell>
        </row>
        <row r="10912">
          <cell r="F10912" t="str">
            <v>TAKE SOLUT</v>
          </cell>
        </row>
        <row r="10913">
          <cell r="F10913" t="str">
            <v>TALBROAUTO</v>
          </cell>
        </row>
        <row r="10914">
          <cell r="F10914" t="str">
            <v>TALBROSENG</v>
          </cell>
        </row>
        <row r="10915">
          <cell r="F10915" t="str">
            <v>TALWALKAR</v>
          </cell>
        </row>
        <row r="10916">
          <cell r="F10916" t="str">
            <v>TAM.JAI.MILL</v>
          </cell>
        </row>
        <row r="10917">
          <cell r="F10917" t="str">
            <v>TAMBOLI CAP</v>
          </cell>
        </row>
        <row r="10918">
          <cell r="F10918" t="str">
            <v>TAMIL.TELE.</v>
          </cell>
        </row>
        <row r="10919">
          <cell r="F10919" t="str">
            <v>TANEJA AERO.</v>
          </cell>
        </row>
        <row r="10920">
          <cell r="F10920" t="str">
            <v>TANFAC IND.</v>
          </cell>
        </row>
        <row r="10921">
          <cell r="F10921" t="str">
            <v>TANLA</v>
          </cell>
        </row>
        <row r="10922">
          <cell r="F10922" t="str">
            <v>TANTIA CONS</v>
          </cell>
        </row>
        <row r="10923">
          <cell r="F10923" t="str">
            <v>TANVI</v>
          </cell>
        </row>
        <row r="10924">
          <cell r="F10924" t="str">
            <v>TARAI FOODS</v>
          </cell>
        </row>
        <row r="10925">
          <cell r="F10925" t="str">
            <v>TARAJEWELS</v>
          </cell>
        </row>
        <row r="10926">
          <cell r="F10926" t="str">
            <v>TARAPUR</v>
          </cell>
        </row>
        <row r="10927">
          <cell r="F10927" t="str">
            <v>TARINI</v>
          </cell>
        </row>
        <row r="10928">
          <cell r="F10928" t="str">
            <v>TARMAT</v>
          </cell>
        </row>
        <row r="10929">
          <cell r="F10929" t="str">
            <v>TASTYBITE</v>
          </cell>
        </row>
        <row r="10930">
          <cell r="F10930" t="str">
            <v>Tata Banking And Financial Services Fund-Direct Plan-Dividend Payout</v>
          </cell>
        </row>
        <row r="10931">
          <cell r="F10931" t="str">
            <v>Tata Banking And Financial Services Fund-Direct Plan-Dividend Reinvestment</v>
          </cell>
        </row>
        <row r="10932">
          <cell r="F10932" t="str">
            <v>Tata Banking And Financial Services Fund-Direct Plan-Growth</v>
          </cell>
        </row>
        <row r="10933">
          <cell r="F10933" t="str">
            <v>Tata Banking And Financial Services Fund-Regular Plan -Dividend Payout</v>
          </cell>
        </row>
        <row r="10934">
          <cell r="F10934" t="str">
            <v>Tata Banking And Financial Services Fund-Regular Plan-Dividend Reinvestment</v>
          </cell>
        </row>
        <row r="10935">
          <cell r="F10935" t="str">
            <v>Tata Banking And Financial Services Fund-Regular Plan-Growth</v>
          </cell>
        </row>
        <row r="10936">
          <cell r="F10936" t="str">
            <v>TATA CHEM.</v>
          </cell>
        </row>
        <row r="10937">
          <cell r="F10937" t="str">
            <v>TATA COFFEE</v>
          </cell>
        </row>
        <row r="10938">
          <cell r="F10938" t="str">
            <v>Tata Corporate Bond Fund -Regular Plan  -  Daily Dividend</v>
          </cell>
        </row>
        <row r="10939">
          <cell r="F10939" t="str">
            <v>Tata Corporate Bond Fund -Regular Plan -  Growth</v>
          </cell>
        </row>
        <row r="10940">
          <cell r="F10940" t="str">
            <v>Tata Corporate Bond Fund -Regular Plan -  Monthly Dividend</v>
          </cell>
        </row>
        <row r="10941">
          <cell r="F10941" t="str">
            <v>Tata Corporate Bond Fund- Direct Plan-Daily Dividend</v>
          </cell>
        </row>
        <row r="10942">
          <cell r="F10942" t="str">
            <v>Tata Corporate Bond Fund- Direct Plan-Growth</v>
          </cell>
        </row>
        <row r="10943">
          <cell r="F10943" t="str">
            <v>Tata Corporate Bond Fund- Direct Plan-Monthly Dividend</v>
          </cell>
        </row>
        <row r="10944">
          <cell r="F10944" t="str">
            <v>Tata Corporate Bond Fund- Direct Plan-Weekly Dividend</v>
          </cell>
        </row>
        <row r="10945">
          <cell r="F10945" t="str">
            <v>Tata Corporate Bond Fund-Regular Plan - Weekly Dividend</v>
          </cell>
        </row>
        <row r="10946">
          <cell r="F10946" t="str">
            <v>Tata Digital India Fund-Direct Plan-Dividend Payout</v>
          </cell>
        </row>
        <row r="10947">
          <cell r="F10947" t="str">
            <v>Tata Digital India Fund-Direct Plan-Dividend Reinvetsment</v>
          </cell>
        </row>
        <row r="10948">
          <cell r="F10948" t="str">
            <v>Tata Digital India Fund-Direct Plan-Growth</v>
          </cell>
        </row>
        <row r="10949">
          <cell r="F10949" t="str">
            <v>Tata Digital India Fund-Regular Plan-Dividend Payout</v>
          </cell>
        </row>
        <row r="10950">
          <cell r="F10950" t="str">
            <v>Tata Digital India Fund-Regular Plan-Dividend Reinvestment</v>
          </cell>
        </row>
        <row r="10951">
          <cell r="F10951" t="str">
            <v>Tata Digital India Fund-Regular Plan-Growth</v>
          </cell>
        </row>
        <row r="10952">
          <cell r="F10952" t="str">
            <v>Tata Dividend Yield Fund  Regular Plan -( Div)</v>
          </cell>
        </row>
        <row r="10953">
          <cell r="F10953" t="str">
            <v>Tata Dividend Yield Fund Regular Plan</v>
          </cell>
        </row>
        <row r="10954">
          <cell r="F10954" t="str">
            <v>Tata Dividend Yield Fund-Direct Plan Dividend</v>
          </cell>
        </row>
        <row r="10955">
          <cell r="F10955" t="str">
            <v>Tata Dividend Yield Fund-Direct Plan Growth</v>
          </cell>
        </row>
        <row r="10956">
          <cell r="F10956" t="str">
            <v>Tata Dual Advantage Fund Series 2 Scheme C Direct Plan Dividend Payout</v>
          </cell>
        </row>
        <row r="10957">
          <cell r="F10957" t="str">
            <v>Tata Dual Advantage Fund Series 2 Scheme C Direct Plan Growth</v>
          </cell>
        </row>
        <row r="10958">
          <cell r="F10958" t="str">
            <v>Tata Dual Advantage Fund Series 2 Scheme C Plan A Dividend Payout</v>
          </cell>
        </row>
        <row r="10959">
          <cell r="F10959" t="str">
            <v>Tata Dual Advantage Fund Series 2 Scheme C Plan A Growth</v>
          </cell>
        </row>
        <row r="10960">
          <cell r="F10960" t="str">
            <v>Tata Dual Advantage Fund Series 3 Scheme A Direct Plan Dividend Payout</v>
          </cell>
        </row>
        <row r="10961">
          <cell r="F10961" t="str">
            <v>Tata Dual Advantage Fund Series 3 Scheme A Direct Plan Growth</v>
          </cell>
        </row>
        <row r="10962">
          <cell r="F10962" t="str">
            <v>Tata Dual Advantage Fund Series 3 Scheme A Plan A Dividend Payout</v>
          </cell>
        </row>
        <row r="10963">
          <cell r="F10963" t="str">
            <v>Tata Dual Advantage Fund Series 3 Scheme A Plan A Growth</v>
          </cell>
        </row>
        <row r="10964">
          <cell r="F10964" t="str">
            <v>Tata Dynamic Bond Fund Regular Plan - Dividend</v>
          </cell>
        </row>
        <row r="10965">
          <cell r="F10965" t="str">
            <v>Tata Dynamic Bond Fund Regular Plan - Growth</v>
          </cell>
        </row>
        <row r="10966">
          <cell r="F10966" t="str">
            <v>Tata Dynamic Bond Fund- Direct Plan-Bonus/Dividend</v>
          </cell>
        </row>
        <row r="10967">
          <cell r="F10967" t="str">
            <v>Tata Dynamic Bond Fund- Direct Plan-Growth</v>
          </cell>
        </row>
        <row r="10968">
          <cell r="F10968" t="str">
            <v>TATA ELXSI</v>
          </cell>
        </row>
        <row r="10969">
          <cell r="F10969" t="str">
            <v>Tata Equity P/E Fund -Direct Plan Dividend Trigger A (5%)</v>
          </cell>
        </row>
        <row r="10970">
          <cell r="F10970" t="str">
            <v>Tata Equity P/E Fund -Direct Plan Dividend Trigger B(10%)</v>
          </cell>
        </row>
        <row r="10971">
          <cell r="F10971" t="str">
            <v>Tata Equity P/E Fund -Direct Plan Growth</v>
          </cell>
        </row>
        <row r="10972">
          <cell r="F10972" t="str">
            <v>Tata Equity P/E Fund Regular Plan (Dividend Trigger Option A - 5%)</v>
          </cell>
        </row>
        <row r="10973">
          <cell r="F10973" t="str">
            <v>Tata Equity P/E Fund Regular Plan (Dividend Trigger Option B - 10%)</v>
          </cell>
        </row>
        <row r="10974">
          <cell r="F10974" t="str">
            <v>Tata Equity P/E Fund Regular Plan -(Growth Option)</v>
          </cell>
        </row>
        <row r="10975">
          <cell r="F10975" t="str">
            <v>Tata Equity Savings Fund - Regular Plan-Periodic Dividend</v>
          </cell>
        </row>
        <row r="10976">
          <cell r="F10976" t="str">
            <v>Tata Equity Savings Fund -Regular Plan-Growth</v>
          </cell>
        </row>
        <row r="10977">
          <cell r="F10977" t="str">
            <v>Tata Equity Savings Fund- Direct Plan -Monthly Dividend</v>
          </cell>
        </row>
        <row r="10978">
          <cell r="F10978" t="str">
            <v>Tata Equity Savings Fund- Direct Plan -Periodic Dividend</v>
          </cell>
        </row>
        <row r="10979">
          <cell r="F10979" t="str">
            <v>Tata Equity Savings Fund- Direct Plan- Growth</v>
          </cell>
        </row>
        <row r="10980">
          <cell r="F10980" t="str">
            <v>Tata Equity Savngs Fund - RegularPlan- Monthly Dividend</v>
          </cell>
        </row>
        <row r="10981">
          <cell r="F10981" t="str">
            <v>Tata Ethical Fund -Direct Plan Dividend</v>
          </cell>
        </row>
        <row r="10982">
          <cell r="F10982" t="str">
            <v>Tata Ethical Fund -Direct Plan Growth</v>
          </cell>
        </row>
        <row r="10983">
          <cell r="F10983" t="str">
            <v>Tata Ethical Fund Regular Plan  - Growth</v>
          </cell>
        </row>
        <row r="10984">
          <cell r="F10984" t="str">
            <v>Tata Ethical Fund Regular Plan - Dividend</v>
          </cell>
        </row>
        <row r="10985">
          <cell r="F10985" t="str">
            <v>Tata Fixed Maturity Plan Series 47 Scheme C-Direct Plan-Dividend Payout</v>
          </cell>
        </row>
        <row r="10986">
          <cell r="F10986" t="str">
            <v>Tata Fixed Maturity Plan Series 47 Scheme C-Direct Plan-Growth</v>
          </cell>
        </row>
        <row r="10987">
          <cell r="F10987" t="str">
            <v>Tata Fixed Maturity Plan Series 47 Scheme C-Plan A -Dividend Payout</v>
          </cell>
        </row>
        <row r="10988">
          <cell r="F10988" t="str">
            <v>Tata Fixed Maturity Plan Series 47 Scheme C-Plan A -Growth</v>
          </cell>
        </row>
        <row r="10989">
          <cell r="F10989" t="str">
            <v>Tata Fixed Maturity Plan Series 47 Scheme D-Direct Plan-Dividend Payout</v>
          </cell>
        </row>
        <row r="10990">
          <cell r="F10990" t="str">
            <v>Tata Fixed Maturity Plan Series 47 Scheme D-Direct Plan-Growth</v>
          </cell>
        </row>
        <row r="10991">
          <cell r="F10991" t="str">
            <v>Tata Fixed Maturity Plan Series 47 Scheme D-Plan A -Dividend Payout</v>
          </cell>
        </row>
        <row r="10992">
          <cell r="F10992" t="str">
            <v>Tata Fixed Maturity Plan Series 47 Scheme D-Plan A -Growth</v>
          </cell>
        </row>
        <row r="10993">
          <cell r="F10993" t="str">
            <v>Tata Fixed Maturity Plan Series 47 Scheme E Direct Plan Growth</v>
          </cell>
        </row>
        <row r="10994">
          <cell r="F10994" t="str">
            <v>Tata Fixed Maturity Plan Series 47 Scheme E Plan A Dividend Payout</v>
          </cell>
        </row>
        <row r="10995">
          <cell r="F10995" t="str">
            <v>Tata Fixed Maturity Plan Series 47 Scheme E Plan A Growth</v>
          </cell>
        </row>
        <row r="10996">
          <cell r="F10996" t="str">
            <v>Tata FMP Series 44 Scheme D - Direct Plan -Growth Option</v>
          </cell>
        </row>
        <row r="10997">
          <cell r="F10997" t="str">
            <v>Tata FMP Series 44 Scheme D- Plan A -Growth Option</v>
          </cell>
        </row>
        <row r="10998">
          <cell r="F10998" t="str">
            <v>Tata FMP Series 46 Scheme D - Direct Plan -Growth Option</v>
          </cell>
        </row>
        <row r="10999">
          <cell r="F10999" t="str">
            <v>Tata FMP Series 46 Scheme D- Plan A -Growth Option</v>
          </cell>
        </row>
        <row r="11000">
          <cell r="F11000" t="str">
            <v>Tata FMP Series 46 Scheme K - Direct Plan -Growth Option</v>
          </cell>
        </row>
        <row r="11001">
          <cell r="F11001" t="str">
            <v>Tata FMP Series 46 Scheme K - Plan A -Dividend Option ( Payout)</v>
          </cell>
        </row>
        <row r="11002">
          <cell r="F11002" t="str">
            <v>Tata FMP Series 46 Scheme K- Plan A -Growth Option</v>
          </cell>
        </row>
        <row r="11003">
          <cell r="F11003" t="str">
            <v>Tata FMP Series 46 Scheme M - Direct Plan - Dividend Option ( Payout)</v>
          </cell>
        </row>
        <row r="11004">
          <cell r="F11004" t="str">
            <v>Tata FMP Series 46 Scheme M - Direct Plan -Growth Option</v>
          </cell>
        </row>
        <row r="11005">
          <cell r="F11005" t="str">
            <v>Tata FMP Series 46 Scheme M - Plan A -Dividend Option ( Payout)</v>
          </cell>
        </row>
        <row r="11006">
          <cell r="F11006" t="str">
            <v>Tata FMP Series 46 Scheme M - Plan A -Growth Option</v>
          </cell>
        </row>
        <row r="11007">
          <cell r="F11007" t="str">
            <v>Tata FMP Series 46 Scheme N - Direct Plan -Growth Option</v>
          </cell>
        </row>
        <row r="11008">
          <cell r="F11008" t="str">
            <v>Tata FMP Series 46 Scheme N - Plan A -Dividend Option ( Payout)</v>
          </cell>
        </row>
        <row r="11009">
          <cell r="F11009" t="str">
            <v>Tata FMP Series 46 Scheme N - Plan A -Growth Option</v>
          </cell>
        </row>
        <row r="11010">
          <cell r="F11010" t="str">
            <v>Tata FMP Series 46 Scheme Q - Direct Plan - Dividend Option ( Payout)</v>
          </cell>
        </row>
        <row r="11011">
          <cell r="F11011" t="str">
            <v>Tata FMP Series 46 Scheme Q - Direct Plan -Growth Option</v>
          </cell>
        </row>
        <row r="11012">
          <cell r="F11012" t="str">
            <v>Tata FMP Series 46 Scheme Q - Plan A -Dividend Option ( Payout)</v>
          </cell>
        </row>
        <row r="11013">
          <cell r="F11013" t="str">
            <v>Tata FMP Series 46 Scheme Q - Plan A -Growth Option</v>
          </cell>
        </row>
        <row r="11014">
          <cell r="F11014" t="str">
            <v>Tata FMP Series 46 Scheme R - Direct Plan - Dividend Option ( Payout)</v>
          </cell>
        </row>
        <row r="11015">
          <cell r="F11015" t="str">
            <v>Tata FMP Series 46 Scheme R - Direct Plan -Growth Option</v>
          </cell>
        </row>
        <row r="11016">
          <cell r="F11016" t="str">
            <v>Tata FMP Series 46 Scheme R - Plan A -Dividend Option ( Payout)</v>
          </cell>
        </row>
        <row r="11017">
          <cell r="F11017" t="str">
            <v>Tata FMP Series 46 Scheme R - Plan A -Growth Option</v>
          </cell>
        </row>
        <row r="11018">
          <cell r="F11018" t="str">
            <v>Tata FMP Series 46 Scheme T - Direct Plan -Growth Option</v>
          </cell>
        </row>
        <row r="11019">
          <cell r="F11019" t="str">
            <v>Tata FMP Series 46 Scheme T - Plan A -Growth Option</v>
          </cell>
        </row>
        <row r="11020">
          <cell r="F11020" t="str">
            <v>Tata FMP Series 47 Scheme F - Direct Plan -Growth Option</v>
          </cell>
        </row>
        <row r="11021">
          <cell r="F11021" t="str">
            <v>Tata FMP Series 47 Scheme F - Plan A -Dividend Option ( Payout)</v>
          </cell>
        </row>
        <row r="11022">
          <cell r="F11022" t="str">
            <v>Tata FMP Series 47 Scheme F - Plan A -Growth Option</v>
          </cell>
        </row>
        <row r="11023">
          <cell r="F11023" t="str">
            <v>Tata FMP Series 47 Scheme H - Direct Plan -Growth Option</v>
          </cell>
        </row>
        <row r="11024">
          <cell r="F11024" t="str">
            <v>Tata FMP Series 47 Scheme H - Plan A -Dividend Option ( Payout)</v>
          </cell>
        </row>
        <row r="11025">
          <cell r="F11025" t="str">
            <v>Tata FMP Series 47 Scheme H - Plan A -Growth Option</v>
          </cell>
        </row>
        <row r="11026">
          <cell r="F11026" t="str">
            <v>Tata FMP Series 47 Scheme J - Direct Plan - Dividend Option ( Payout)</v>
          </cell>
        </row>
        <row r="11027">
          <cell r="F11027" t="str">
            <v>Tata FMP Series 47 Scheme J - Direct Plan -Growth Option</v>
          </cell>
        </row>
        <row r="11028">
          <cell r="F11028" t="str">
            <v>Tata FMP Series 47 Scheme J - Plan A -Dividend Option ( Payout)</v>
          </cell>
        </row>
        <row r="11029">
          <cell r="F11029" t="str">
            <v>Tata FMP Series 47 Scheme J - Plan A -Growth Option</v>
          </cell>
        </row>
        <row r="11030">
          <cell r="F11030" t="str">
            <v>Tata Gilt Mid Term Fund - Direct Plan - Growth</v>
          </cell>
        </row>
        <row r="11031">
          <cell r="F11031" t="str">
            <v>Tata Gilt Mid Term Fund - Direct Plan - Periodic Dividend</v>
          </cell>
        </row>
        <row r="11032">
          <cell r="F11032" t="str">
            <v>Tata Gilt Mid Term Fund - Regular Plan -Periodic Dividend</v>
          </cell>
        </row>
        <row r="11033">
          <cell r="F11033" t="str">
            <v>Tata Gilt Mid Term Fund -Regular Plan- Growth</v>
          </cell>
        </row>
        <row r="11034">
          <cell r="F11034" t="str">
            <v>Tata Gilt Retirement Plan 28/2/25 Growth Option</v>
          </cell>
        </row>
        <row r="11035">
          <cell r="F11035" t="str">
            <v>Tata Gilt Retirement Plan28/2/25 Dividend Option</v>
          </cell>
        </row>
        <row r="11036">
          <cell r="F11036" t="str">
            <v>Tata Gilt Securities Fund -Regular Plan- Growth</v>
          </cell>
        </row>
        <row r="11037">
          <cell r="F11037" t="str">
            <v>Tata Gilt Securities Fund Regular Plan -  Dividend</v>
          </cell>
        </row>
        <row r="11038">
          <cell r="F11038" t="str">
            <v>Tata Gilt Securities Fund- Direct Plan - Dividend</v>
          </cell>
        </row>
        <row r="11039">
          <cell r="F11039" t="str">
            <v>Tata Gilt Securities Fund- Direct Plan - Growth</v>
          </cell>
        </row>
        <row r="11040">
          <cell r="F11040" t="str">
            <v>Tata Hybrid Equity Fund -Direct Plan- Growth</v>
          </cell>
        </row>
        <row r="11041">
          <cell r="F11041" t="str">
            <v>Tata Hybrid Equity Fund -Direct Plan- Monthly Dividend option</v>
          </cell>
        </row>
        <row r="11042">
          <cell r="F11042" t="str">
            <v>Tata Hybrid Equity Fund -Direct Plan-Dividend Option</v>
          </cell>
        </row>
        <row r="11043">
          <cell r="F11043" t="str">
            <v>Tata Hybrid Equity Fund Regular Plan - Dividend Option</v>
          </cell>
        </row>
        <row r="11044">
          <cell r="F11044" t="str">
            <v>Tata Hybrid Equity Fund Regular Plan - Growth</v>
          </cell>
        </row>
        <row r="11045">
          <cell r="F11045" t="str">
            <v>Tata Hybrid Equity Fund Regular Plan- Monthly Dividend Option</v>
          </cell>
        </row>
        <row r="11046">
          <cell r="F11046" t="str">
            <v>Tata Income Fund - Direct Plan - Growth</v>
          </cell>
        </row>
        <row r="11047">
          <cell r="F11047" t="str">
            <v>Tata Income Fund - Direct Plan - Half Yearly Dividend</v>
          </cell>
        </row>
        <row r="11048">
          <cell r="F11048" t="str">
            <v>Tata Income Fund - Direct Plan - Periodic Dividend</v>
          </cell>
        </row>
        <row r="11049">
          <cell r="F11049" t="str">
            <v>Tata Income Fund - Regular Plan  - Periodic Dividend</v>
          </cell>
        </row>
        <row r="11050">
          <cell r="F11050" t="str">
            <v>Tata Income Fund - Regular Plan - Half Yearly Dividend</v>
          </cell>
        </row>
        <row r="11051">
          <cell r="F11051" t="str">
            <v>Tata Income Fund -Regular Plan  - Growth</v>
          </cell>
        </row>
        <row r="11052">
          <cell r="F11052" t="str">
            <v>Tata Index Fund  - Nifty-Direct Plan Nifty</v>
          </cell>
        </row>
        <row r="11053">
          <cell r="F11053" t="str">
            <v>Tata Index Fund  - Sensex Direct Plan Sensex</v>
          </cell>
        </row>
        <row r="11054">
          <cell r="F11054" t="str">
            <v>Tata Index Fund - Nifty-Regular  Plan</v>
          </cell>
        </row>
        <row r="11055">
          <cell r="F11055" t="str">
            <v>Tata Index Fund - Sensex-Regular Plan</v>
          </cell>
        </row>
        <row r="11056">
          <cell r="F11056" t="str">
            <v>Tata India Consumer Fund-Direct Plan-Dividend Payout</v>
          </cell>
        </row>
        <row r="11057">
          <cell r="F11057" t="str">
            <v>Tata India Consumer Fund-Direct Plan-Dividend Reinvestment</v>
          </cell>
        </row>
        <row r="11058">
          <cell r="F11058" t="str">
            <v>Tata India Consumer Fund-Direct Plan-Growth</v>
          </cell>
        </row>
        <row r="11059">
          <cell r="F11059" t="str">
            <v>Tata India Consumer Fund-Regular Plan-Dividend Payout</v>
          </cell>
        </row>
        <row r="11060">
          <cell r="F11060" t="str">
            <v>Tata India Consumer Fund-Regular Plan-Dividend Reinvestment</v>
          </cell>
        </row>
        <row r="11061">
          <cell r="F11061" t="str">
            <v>Tata India Consumer Fund-Regular Plan-Growth</v>
          </cell>
        </row>
        <row r="11062">
          <cell r="F11062" t="str">
            <v>Tata India Pharma &amp; Healthcare Fund-Direct Plan-Dividend Payout</v>
          </cell>
        </row>
        <row r="11063">
          <cell r="F11063" t="str">
            <v>Tata India Pharma &amp; Healthcare Fund-Direct Plan-Dividend Reinvestment</v>
          </cell>
        </row>
        <row r="11064">
          <cell r="F11064" t="str">
            <v>Tata India Pharma &amp; Healthcare Fund-Direct Plan-Growth</v>
          </cell>
        </row>
        <row r="11065">
          <cell r="F11065" t="str">
            <v>Tata India Pharma &amp; Healthcare Fund-Regular Plan-Dividend Payout</v>
          </cell>
        </row>
        <row r="11066">
          <cell r="F11066" t="str">
            <v>Tata India Pharma &amp; Healthcare Fund-Regular Plan-Dividend Reinvestment</v>
          </cell>
        </row>
        <row r="11067">
          <cell r="F11067" t="str">
            <v>Tata India Pharma &amp; Healthcare Fund-Regular Plan-Growth</v>
          </cell>
        </row>
        <row r="11068">
          <cell r="F11068" t="str">
            <v>Tata India Tax Savings Fund-Dividend -Direct Plan</v>
          </cell>
        </row>
        <row r="11069">
          <cell r="F11069" t="str">
            <v>Tata India Tax Savings Fund-Dividend- Regular Plan</v>
          </cell>
        </row>
        <row r="11070">
          <cell r="F11070" t="str">
            <v>Tata India Tax Savings Fund-Growth-Direct Plan</v>
          </cell>
        </row>
        <row r="11071">
          <cell r="F11071" t="str">
            <v>Tata India Tax Savings Fund-Growth-Regular Plan</v>
          </cell>
        </row>
        <row r="11072">
          <cell r="F11072" t="str">
            <v>Tata Infrastructure Fund -Direct Plan Dividend</v>
          </cell>
        </row>
        <row r="11073">
          <cell r="F11073" t="str">
            <v>Tata Infrastructure Fund -Direct Plan Growth</v>
          </cell>
        </row>
        <row r="11074">
          <cell r="F11074" t="str">
            <v>Tata Infrastructure Fund-Regular Plan - Dividend</v>
          </cell>
        </row>
        <row r="11075">
          <cell r="F11075" t="str">
            <v>Tata Infrastructure Fund-Regular Plan- Growth</v>
          </cell>
        </row>
        <row r="11076">
          <cell r="F11076" t="str">
            <v>Tata Infrastructure Tax Saving Fund - Dividend</v>
          </cell>
        </row>
        <row r="11077">
          <cell r="F11077" t="str">
            <v>Tata Infrastructure Tax Saving Fund - Growth</v>
          </cell>
        </row>
        <row r="11078">
          <cell r="F11078" t="str">
            <v>TATA INVEST.</v>
          </cell>
        </row>
        <row r="11079">
          <cell r="F11079" t="str">
            <v>Tata Large &amp; Mid Cap Fund -Direct Plan Dividend</v>
          </cell>
        </row>
        <row r="11080">
          <cell r="F11080" t="str">
            <v>Tata Large &amp; MId Cap Fund -Direct Plan Growth</v>
          </cell>
        </row>
        <row r="11081">
          <cell r="F11081" t="str">
            <v>Tata Large &amp; Mid Cap Fund Regular Plan - Dividend</v>
          </cell>
        </row>
        <row r="11082">
          <cell r="F11082" t="str">
            <v>Tata Large &amp; Mid Cap Fund- Regular Plan - Growth</v>
          </cell>
        </row>
        <row r="11083">
          <cell r="F11083" t="str">
            <v>Tata Large Cap Fund -Direct Plan Dividend</v>
          </cell>
        </row>
        <row r="11084">
          <cell r="F11084" t="str">
            <v>Tata Large Cap Fund -Direct Plan Growth</v>
          </cell>
        </row>
        <row r="11085">
          <cell r="F11085" t="str">
            <v>Tata Large Cap Fund -Regular Plan - Dividend Option</v>
          </cell>
        </row>
        <row r="11086">
          <cell r="F11086" t="str">
            <v>Tata Large Cap Fund Regular Plan - Growth</v>
          </cell>
        </row>
        <row r="11087">
          <cell r="F11087" t="str">
            <v>Tata Liquid Fund -Regular Plan  -  Growth</v>
          </cell>
        </row>
        <row r="11088">
          <cell r="F11088" t="str">
            <v>Tata Liquid Fund Regular Plan  - Daily Dividend</v>
          </cell>
        </row>
        <row r="11089">
          <cell r="F11089" t="str">
            <v>Tata Liquid Fund- Direct Plan-Daily Dividend</v>
          </cell>
        </row>
        <row r="11090">
          <cell r="F11090" t="str">
            <v>Tata Liquid Fund- Direct Plan-Growth</v>
          </cell>
        </row>
        <row r="11091">
          <cell r="F11091" t="str">
            <v>Tata Medium Term Fund Regular Plan -  Bonus/Dividend</v>
          </cell>
        </row>
        <row r="11092">
          <cell r="F11092" t="str">
            <v>Tata Medium Term Fund Regular Plan - Growth</v>
          </cell>
        </row>
        <row r="11093">
          <cell r="F11093" t="str">
            <v>Tata Medium Term Fund- Direct Plan- Growth</v>
          </cell>
        </row>
        <row r="11094">
          <cell r="F11094" t="str">
            <v>Tata Medium Term Fund- Direct Plan-Bonus/Dividend</v>
          </cell>
        </row>
        <row r="11095">
          <cell r="F11095" t="str">
            <v>TATA METALIK</v>
          </cell>
        </row>
        <row r="11096">
          <cell r="F11096" t="str">
            <v>Tata Mid Cap Growth Fund - Direct Plan Dividend</v>
          </cell>
        </row>
        <row r="11097">
          <cell r="F11097" t="str">
            <v>Tata Mid Cap Growth Fund - Direct Plan Growth</v>
          </cell>
        </row>
        <row r="11098">
          <cell r="F11098" t="str">
            <v>Tata Mid Cap Growth Fund Regular Plan- Growth</v>
          </cell>
        </row>
        <row r="11099">
          <cell r="F11099" t="str">
            <v>Tata Mid Cap Growth Fund-Regular Plan - Dividend</v>
          </cell>
        </row>
        <row r="11100">
          <cell r="F11100" t="str">
            <v>Tata Money Market Fund- Direct Plan- Growth</v>
          </cell>
        </row>
        <row r="11101">
          <cell r="F11101" t="str">
            <v>Tata Money Market Fund- Direct Plan-Daily Dividend</v>
          </cell>
        </row>
        <row r="11102">
          <cell r="F11102" t="str">
            <v>Tata Money Market Fund-Regular Plan  -  Daily Dividend</v>
          </cell>
        </row>
        <row r="11103">
          <cell r="F11103" t="str">
            <v>Tata Money Market Fund-Regular Plan  -  Growth</v>
          </cell>
        </row>
        <row r="11104">
          <cell r="F11104" t="str">
            <v>TATA MOTORS</v>
          </cell>
        </row>
        <row r="11105">
          <cell r="F11105" t="str">
            <v>TATA POWER</v>
          </cell>
        </row>
        <row r="11106">
          <cell r="F11106" t="str">
            <v>Tata Resources &amp; Energy Fund-Direct Plan-Dividend Payout</v>
          </cell>
        </row>
        <row r="11107">
          <cell r="F11107" t="str">
            <v>Tata Resources &amp; Energy Fund-Direct Plan-Dividend Reinvestment</v>
          </cell>
        </row>
        <row r="11108">
          <cell r="F11108" t="str">
            <v>Tata Resources &amp; Energy Fund-Direct Plan-Growth</v>
          </cell>
        </row>
        <row r="11109">
          <cell r="F11109" t="str">
            <v>Tata Resources &amp; Energy Fund-Regular Plan-Dividend Payout</v>
          </cell>
        </row>
        <row r="11110">
          <cell r="F11110" t="str">
            <v>Tata Resources &amp; Energy Fund-Regular Plan-Dividend Reinvestment</v>
          </cell>
        </row>
        <row r="11111">
          <cell r="F11111" t="str">
            <v>Tata Resources &amp; Energy Fund-Regular Plan-Growth</v>
          </cell>
        </row>
        <row r="11112">
          <cell r="F11112" t="str">
            <v>Tata Retirement Savings Fund -Regular Plan -Progressive -Growth</v>
          </cell>
        </row>
        <row r="11113">
          <cell r="F11113" t="str">
            <v>Tata Retirement Savings Fund Conservative-Direct Plan Growth</v>
          </cell>
        </row>
        <row r="11114">
          <cell r="F11114" t="str">
            <v>Tata Retirement Savings Fund Moderate -Direct Plan Growth</v>
          </cell>
        </row>
        <row r="11115">
          <cell r="F11115" t="str">
            <v>Tata Retirement Savings Fund Moderate -Regular Plan (Growth)</v>
          </cell>
        </row>
        <row r="11116">
          <cell r="F11116" t="str">
            <v>Tata Retirement Savings Fund Regular Plan-Conservative Plan (Growth)</v>
          </cell>
        </row>
        <row r="11117">
          <cell r="F11117" t="str">
            <v>Tata Retirement Savings Fund-Direct Plan Growth</v>
          </cell>
        </row>
        <row r="11118">
          <cell r="F11118" t="str">
            <v>Tata Short Term Bond Fund - Direct Plan - Growth</v>
          </cell>
        </row>
        <row r="11119">
          <cell r="F11119" t="str">
            <v>Tata Short Term Bond Fund - Direct Plan -Monthly Dividened</v>
          </cell>
        </row>
        <row r="11120">
          <cell r="F11120" t="str">
            <v>Tata Short Term Bond Fund - Regular Plan-Monthly Dividend Option</v>
          </cell>
        </row>
        <row r="11121">
          <cell r="F11121" t="str">
            <v>Tata Short Term Bond Fund -Regular Plan- Growth Option</v>
          </cell>
        </row>
        <row r="11122">
          <cell r="F11122" t="str">
            <v>Tata Short Term Bond Fund- Direct Plan - Periodic Dividend Option</v>
          </cell>
        </row>
        <row r="11123">
          <cell r="F11123" t="str">
            <v>Tata Short Term Bond Fund- Regular Plan- Periodic Dividend Option</v>
          </cell>
        </row>
        <row r="11124">
          <cell r="F11124" t="str">
            <v>TATA SPONGE</v>
          </cell>
        </row>
        <row r="11125">
          <cell r="F11125" t="str">
            <v>TATA TELESER</v>
          </cell>
        </row>
        <row r="11126">
          <cell r="F11126" t="str">
            <v>Tata Treasury Advantage Fund - Direct Plan - Daily Dividend</v>
          </cell>
        </row>
        <row r="11127">
          <cell r="F11127" t="str">
            <v>Tata Treasury Advantage Fund - Direct Plan - Growth</v>
          </cell>
        </row>
        <row r="11128">
          <cell r="F11128" t="str">
            <v>Tata Treasury Advantage Fund - Direct Plan - Periodic Dividend</v>
          </cell>
        </row>
        <row r="11129">
          <cell r="F11129" t="str">
            <v>Tata Treasury Advantage Fund - Direct Plan - Weekly Dividend</v>
          </cell>
        </row>
        <row r="11130">
          <cell r="F11130" t="str">
            <v>Tata Treasury Advantage Fund - Regular Plan  - Growth</v>
          </cell>
        </row>
        <row r="11131">
          <cell r="F11131" t="str">
            <v>Tata Treasury Advantage Fund - Regular Plan  - Periodic Dividend Option</v>
          </cell>
        </row>
        <row r="11132">
          <cell r="F11132" t="str">
            <v>Tata Treasury Advantage Fund -Regular Plan - Weekly Dividend</v>
          </cell>
        </row>
        <row r="11133">
          <cell r="F11133" t="str">
            <v>Tata Treasury Advantage Fund- Regular Plan - Daily Dividend</v>
          </cell>
        </row>
        <row r="11134">
          <cell r="F11134" t="str">
            <v>TATA YODOGAW</v>
          </cell>
        </row>
        <row r="11135">
          <cell r="F11135" t="str">
            <v>Tata Young Citizen -Regular Plan-Growth</v>
          </cell>
        </row>
        <row r="11136">
          <cell r="F11136" t="str">
            <v>Tata Young Citizen Fund [&gt;3 years upto 7 years] Regular Plan</v>
          </cell>
        </row>
        <row r="11137">
          <cell r="F11137" t="str">
            <v>Tata Young Citizen Fund [Upto 3 years] Regular Plan</v>
          </cell>
        </row>
        <row r="11138">
          <cell r="F11138" t="str">
            <v>Tata Young Citizens Fund [&gt; 3 years upto 7 years]-Direct Plan Growth</v>
          </cell>
        </row>
        <row r="11139">
          <cell r="F11139" t="str">
            <v>Tata Young Citizens Fund [Upto 3 years]-Direct Plan Growth</v>
          </cell>
        </row>
        <row r="11140">
          <cell r="F11140" t="str">
            <v>Tata Young Citizens Fund-Direct Plan-Growth</v>
          </cell>
        </row>
        <row r="11141">
          <cell r="F11141" t="str">
            <v>TATACHEM</v>
          </cell>
        </row>
        <row r="11142">
          <cell r="F11142" t="str">
            <v>TATACOMM</v>
          </cell>
        </row>
        <row r="11143">
          <cell r="F11143" t="str">
            <v>TATAGLOBAL</v>
          </cell>
        </row>
        <row r="11144">
          <cell r="F11144" t="str">
            <v>TATAMTRTDVR</v>
          </cell>
        </row>
        <row r="11145">
          <cell r="F11145" t="str">
            <v>TATASTEEL</v>
          </cell>
        </row>
        <row r="11146">
          <cell r="F11146" t="str">
            <v>Taurus Banking &amp; Financial Services Fund - Regular Plan - Dividend Option</v>
          </cell>
        </row>
        <row r="11147">
          <cell r="F11147" t="str">
            <v>Taurus Banking &amp; Financial Services Fund - Regular Plan - Growth Option</v>
          </cell>
        </row>
        <row r="11148">
          <cell r="F11148" t="str">
            <v>Taurus Banking &amp; Financial Services Fund-Direct Plan-Dividend Option</v>
          </cell>
        </row>
        <row r="11149">
          <cell r="F11149" t="str">
            <v>Taurus Banking &amp; Financial Services Fund-Direct Plan-Growth Option</v>
          </cell>
        </row>
        <row r="11150">
          <cell r="F11150" t="str">
            <v>Taurus Discovery (Midcap) Fund - Regular Plan - Divided Option</v>
          </cell>
        </row>
        <row r="11151">
          <cell r="F11151" t="str">
            <v>Taurus Discovery (Midcap) Fund - Regular Plan - Growth Option</v>
          </cell>
        </row>
        <row r="11152">
          <cell r="F11152" t="str">
            <v>Taurus Discovery (Midcap) Fund-Direct Plan-Dividend Option</v>
          </cell>
        </row>
        <row r="11153">
          <cell r="F11153" t="str">
            <v>Taurus Discovery (Midcap) Fund-Direct Plan-Growth Option</v>
          </cell>
        </row>
        <row r="11154">
          <cell r="F11154" t="str">
            <v>Taurus Dynamic Income Fund - Regular Plan - Dividend Option</v>
          </cell>
        </row>
        <row r="11155">
          <cell r="F11155" t="str">
            <v>Taurus Dynamic Income Fund - Regular Plan - Growth Option</v>
          </cell>
        </row>
        <row r="11156">
          <cell r="F11156" t="str">
            <v>Taurus Dynamic Income Fund-Direct Plan-Dividend Option</v>
          </cell>
        </row>
        <row r="11157">
          <cell r="F11157" t="str">
            <v>Taurus Dynamic Income Fund-Direct Plan-Growth Option</v>
          </cell>
        </row>
        <row r="11158">
          <cell r="F11158" t="str">
            <v>Taurus Ethical Fund -  Regular Plan - Bonus Option</v>
          </cell>
        </row>
        <row r="11159">
          <cell r="F11159" t="str">
            <v>Taurus Ethical Fund - Regular Plan - Dividend Option</v>
          </cell>
        </row>
        <row r="11160">
          <cell r="F11160" t="str">
            <v>Taurus Ethical Fund - Regular Plan - Growth Option</v>
          </cell>
        </row>
        <row r="11161">
          <cell r="F11161" t="str">
            <v>Taurus Ethical Fund-Direct Plan-Bonus Option #</v>
          </cell>
        </row>
        <row r="11162">
          <cell r="F11162" t="str">
            <v>Taurus Ethical Fund-Direct Plan-Dividend Option</v>
          </cell>
        </row>
        <row r="11163">
          <cell r="F11163" t="str">
            <v>Taurus Ethical Fund-Direct Plan-Growth Option</v>
          </cell>
        </row>
        <row r="11164">
          <cell r="F11164" t="str">
            <v>Taurus Infrastructure Fund - Regular Plan - Growth Option</v>
          </cell>
        </row>
        <row r="11165">
          <cell r="F11165" t="str">
            <v>Taurus Infrastructure Fund -Regular Plan - Dividend Option</v>
          </cell>
        </row>
        <row r="11166">
          <cell r="F11166" t="str">
            <v>Taurus Infrastructure Fund-Direct Plan-Dividend Option</v>
          </cell>
        </row>
        <row r="11167">
          <cell r="F11167" t="str">
            <v>Taurus Infrastructure Fund-Direct Plan-Growth Option</v>
          </cell>
        </row>
        <row r="11168">
          <cell r="F11168" t="str">
            <v>Taurus Investor Education Pool - Unclaimed Dividend - Growth</v>
          </cell>
        </row>
        <row r="11169">
          <cell r="F11169" t="str">
            <v>Taurus Investor Education Pool - Unclaimed Redemption - Growth</v>
          </cell>
        </row>
        <row r="11170">
          <cell r="F11170" t="str">
            <v>Taurus Largecap Equity Fund- Regular Plan - Dividend Option</v>
          </cell>
        </row>
        <row r="11171">
          <cell r="F11171" t="str">
            <v>Taurus Largecap Equity Fund- Regular Plan - Growth Option</v>
          </cell>
        </row>
        <row r="11172">
          <cell r="F11172" t="str">
            <v>Taurus Largecap Equity Fund-Direct Plan-Dividend Option</v>
          </cell>
        </row>
        <row r="11173">
          <cell r="F11173" t="str">
            <v>Taurus Largecap Equity Fund-Direct Plan-Growth Option</v>
          </cell>
        </row>
        <row r="11174">
          <cell r="F11174" t="str">
            <v>Taurus Liquid Fund - Regular Plan - SI Growth Option</v>
          </cell>
        </row>
        <row r="11175">
          <cell r="F11175" t="str">
            <v>Taurus Liquid Fund - Regular Plan - SI Weekly Dividend Option</v>
          </cell>
        </row>
        <row r="11176">
          <cell r="F11176" t="str">
            <v>Taurus Liquid Fund - Regular Plan -SI Daily Dividend Option</v>
          </cell>
        </row>
        <row r="11177">
          <cell r="F11177" t="str">
            <v>Taurus Liquid Fund-Direct Plan-SI Daily Dividend Option</v>
          </cell>
        </row>
        <row r="11178">
          <cell r="F11178" t="str">
            <v>Taurus Liquid Fund-Direct Plan-SI Growth Option</v>
          </cell>
        </row>
        <row r="11179">
          <cell r="F11179" t="str">
            <v>Taurus Liquid Fund-Direct Plan-SI Weekly Dividend Option</v>
          </cell>
        </row>
        <row r="11180">
          <cell r="F11180" t="str">
            <v>Taurus Liquid Fund-Dividend</v>
          </cell>
        </row>
        <row r="11181">
          <cell r="F11181" t="str">
            <v>Taurus Liquid Fund-Growth</v>
          </cell>
        </row>
        <row r="11182">
          <cell r="F11182" t="str">
            <v>Taurus Nifty Index Fund - Regular Plan - Dividend Option</v>
          </cell>
        </row>
        <row r="11183">
          <cell r="F11183" t="str">
            <v>Taurus Nifty Index Fund - Regular Plan - Growth Option</v>
          </cell>
        </row>
        <row r="11184">
          <cell r="F11184" t="str">
            <v>Taurus Nifty Index Fund-Direct Plan-Dividend Option</v>
          </cell>
        </row>
        <row r="11185">
          <cell r="F11185" t="str">
            <v>Taurus Nifty Index Fund-Direct Plan-Growth Option</v>
          </cell>
        </row>
        <row r="11186">
          <cell r="F11186" t="str">
            <v>Taurus Short Term Income Fund- Regular Plan - Dividend Option</v>
          </cell>
        </row>
        <row r="11187">
          <cell r="F11187" t="str">
            <v>Taurus Short Term Income Fund- Regular Plan - Growth Option</v>
          </cell>
        </row>
        <row r="11188">
          <cell r="F11188" t="str">
            <v>Taurus Short Term Income Fund-Direct Plan-Dividend Option</v>
          </cell>
        </row>
        <row r="11189">
          <cell r="F11189" t="str">
            <v>Taurus Short Term Income Fund-Direct Plan-Growth Option</v>
          </cell>
        </row>
        <row r="11190">
          <cell r="F11190" t="str">
            <v>Taurus Starshare (Multi Cap) Fund -Direct Plan-Growth Option</v>
          </cell>
        </row>
        <row r="11191">
          <cell r="F11191" t="str">
            <v>Taurus Starshare (Multi Cap) Fund- Regular Plan -  Dividend Option</v>
          </cell>
        </row>
        <row r="11192">
          <cell r="F11192" t="str">
            <v>Taurus Starshare (Multi Cap) Fund-Direct Plan-Dividend Option</v>
          </cell>
        </row>
        <row r="11193">
          <cell r="F11193" t="str">
            <v>Taurus Starshare (Multi Cap)Fund - Regular Plan - Growth Option</v>
          </cell>
        </row>
        <row r="11194">
          <cell r="F11194" t="str">
            <v>Taurus Tax Shield- Regular Plan - Growth Option</v>
          </cell>
        </row>
        <row r="11195">
          <cell r="F11195" t="str">
            <v>Taurus Tax Shield- Regular Plan -Dividend Option</v>
          </cell>
        </row>
        <row r="11196">
          <cell r="F11196" t="str">
            <v>Taurus Tax Shield-Direct Plan-Dividend Option</v>
          </cell>
        </row>
        <row r="11197">
          <cell r="F11197" t="str">
            <v>Taurus Tax Shield-Direct Plan-Growth Option</v>
          </cell>
        </row>
        <row r="11198">
          <cell r="F11198" t="str">
            <v>Taurus Ultra Short Term Bond  Fund - Retail Weekly Dividend Option  #</v>
          </cell>
        </row>
        <row r="11199">
          <cell r="F11199" t="str">
            <v>Taurus Ultra Short Term Bond Fund - Regular Plan - SI Daily Dividend Option</v>
          </cell>
        </row>
        <row r="11200">
          <cell r="F11200" t="str">
            <v>Taurus Ultra Short Term Bond Fund - Regular Plan - SI Growth Option</v>
          </cell>
        </row>
        <row r="11201">
          <cell r="F11201" t="str">
            <v>Taurus Ultra Short Term Bond Fund - Regular Plan - SI Weekly Dividend Option</v>
          </cell>
        </row>
        <row r="11202">
          <cell r="F11202" t="str">
            <v>Taurus Ultra Short Term Bond Fund - Retail Growth Option #</v>
          </cell>
        </row>
        <row r="11203">
          <cell r="F11203" t="str">
            <v>Taurus Ultra Short Term Bond Fund - Retails Daily Dividend Option #</v>
          </cell>
        </row>
        <row r="11204">
          <cell r="F11204" t="str">
            <v>Taurus Ultra Short Term Bond Fund-Direct Plan-SI Daily Dividend Option</v>
          </cell>
        </row>
        <row r="11205">
          <cell r="F11205" t="str">
            <v>Taurus Ultra Short Term Bond Fund-Direct Plan-SI Growth Option</v>
          </cell>
        </row>
        <row r="11206">
          <cell r="F11206" t="str">
            <v>Taurus Ultra Short Term Bond Fund-Direct Plan-SI Weekly Dividend Option</v>
          </cell>
        </row>
        <row r="11207">
          <cell r="F11207" t="str">
            <v>Taurus Unclaimed Dividend - Growth</v>
          </cell>
        </row>
        <row r="11208">
          <cell r="F11208" t="str">
            <v>Taurus Unclaimed Redemption - Growth</v>
          </cell>
        </row>
        <row r="11209">
          <cell r="F11209" t="str">
            <v>TBZ LTD</v>
          </cell>
        </row>
        <row r="11210">
          <cell r="F11210" t="str">
            <v>TCFC FINANCE</v>
          </cell>
        </row>
        <row r="11211">
          <cell r="F11211" t="str">
            <v>TCI FINANCE</v>
          </cell>
        </row>
        <row r="11212">
          <cell r="F11212" t="str">
            <v>TCI INDUS.</v>
          </cell>
        </row>
        <row r="11213">
          <cell r="F11213" t="str">
            <v>TCIDEVELOP</v>
          </cell>
        </row>
        <row r="11214">
          <cell r="F11214" t="str">
            <v>TCIEXP</v>
          </cell>
        </row>
        <row r="11215">
          <cell r="F11215" t="str">
            <v>TCPL PACK</v>
          </cell>
        </row>
        <row r="11216">
          <cell r="F11216" t="str">
            <v>TCS</v>
          </cell>
        </row>
        <row r="11217">
          <cell r="F11217" t="str">
            <v>TD POWER</v>
          </cell>
        </row>
        <row r="11218">
          <cell r="F11218" t="str">
            <v>TEAMLEASE</v>
          </cell>
        </row>
        <row r="11219">
          <cell r="F11219" t="str">
            <v>TECHIN</v>
          </cell>
        </row>
        <row r="11220">
          <cell r="F11220" t="str">
            <v>TECHM</v>
          </cell>
        </row>
        <row r="11221">
          <cell r="F11221" t="str">
            <v>TECHNO</v>
          </cell>
        </row>
        <row r="11222">
          <cell r="F11222" t="str">
            <v>TECHNOFAB</v>
          </cell>
        </row>
        <row r="11223">
          <cell r="F11223" t="str">
            <v>TEESTA AGRO</v>
          </cell>
        </row>
        <row r="11224">
          <cell r="F11224" t="str">
            <v>TEJASNET</v>
          </cell>
        </row>
        <row r="11225">
          <cell r="F11225" t="str">
            <v>Templeton India Equity Income Fund - Direct - Dividend</v>
          </cell>
        </row>
        <row r="11226">
          <cell r="F11226" t="str">
            <v>Templeton India Equity Income Fund - Direct - Growth</v>
          </cell>
        </row>
        <row r="11227">
          <cell r="F11227" t="str">
            <v>Templeton India Equity Income Fund-Dividend Plan</v>
          </cell>
        </row>
        <row r="11228">
          <cell r="F11228" t="str">
            <v>Templeton India Equity Income Fund-Growth Plan</v>
          </cell>
        </row>
        <row r="11229">
          <cell r="F11229" t="str">
            <v>Templeton India Value Fund - Direct - Dividend</v>
          </cell>
        </row>
        <row r="11230">
          <cell r="F11230" t="str">
            <v>Templeton India Value Fund - Direct - Growth</v>
          </cell>
        </row>
        <row r="11231">
          <cell r="F11231" t="str">
            <v>Templeton India Value Fund - Dividend Plan</v>
          </cell>
        </row>
        <row r="11232">
          <cell r="F11232" t="str">
            <v>Templeton India Value Fund - Growth Plan</v>
          </cell>
        </row>
        <row r="11233">
          <cell r="F11233" t="str">
            <v>TERASOFTWARE</v>
          </cell>
        </row>
        <row r="11234">
          <cell r="F11234" t="str">
            <v>TEXINFRA</v>
          </cell>
        </row>
        <row r="11235">
          <cell r="F11235" t="str">
            <v>TEXMACO RAIL</v>
          </cell>
        </row>
        <row r="11236">
          <cell r="F11236" t="str">
            <v>TEXMOPIPES</v>
          </cell>
        </row>
        <row r="11237">
          <cell r="F11237" t="str">
            <v>TFCILTD</v>
          </cell>
        </row>
        <row r="11238">
          <cell r="F11238" t="str">
            <v>TFL</v>
          </cell>
        </row>
        <row r="11239">
          <cell r="F11239" t="str">
            <v>TGBHOTELS</v>
          </cell>
        </row>
        <row r="11240">
          <cell r="F11240" t="str">
            <v>TGF MEDIA SY</v>
          </cell>
        </row>
        <row r="11241">
          <cell r="F11241" t="str">
            <v>TGVSL</v>
          </cell>
        </row>
        <row r="11242">
          <cell r="F11242" t="str">
            <v>THACKER</v>
          </cell>
        </row>
        <row r="11243">
          <cell r="F11243" t="str">
            <v>THAKKERS DEV</v>
          </cell>
        </row>
        <row r="11244">
          <cell r="F11244" t="str">
            <v>THANGAMAYIL</v>
          </cell>
        </row>
        <row r="11245">
          <cell r="F11245" t="str">
            <v>THEMISMED</v>
          </cell>
        </row>
        <row r="11246">
          <cell r="F11246" t="str">
            <v>THERMAX</v>
          </cell>
        </row>
        <row r="11247">
          <cell r="F11247" t="str">
            <v>THIRU A.SUG.</v>
          </cell>
        </row>
        <row r="11248">
          <cell r="F11248" t="str">
            <v>THOMAS COOK</v>
          </cell>
        </row>
        <row r="11249">
          <cell r="F11249" t="str">
            <v>THYROCARE</v>
          </cell>
        </row>
        <row r="11250">
          <cell r="F11250" t="str">
            <v>TIDE WATE(PS</v>
          </cell>
        </row>
        <row r="11251">
          <cell r="F11251" t="str">
            <v>TIFIN</v>
          </cell>
        </row>
        <row r="11252">
          <cell r="F11252" t="str">
            <v>TIGER LOGS</v>
          </cell>
        </row>
        <row r="11253">
          <cell r="F11253" t="str">
            <v>TIIL</v>
          </cell>
        </row>
        <row r="11254">
          <cell r="F11254" t="str">
            <v>TIINDIA</v>
          </cell>
        </row>
        <row r="11255">
          <cell r="F11255" t="str">
            <v>TIJARIA PPL</v>
          </cell>
        </row>
        <row r="11256">
          <cell r="F11256" t="str">
            <v>TIL</v>
          </cell>
        </row>
        <row r="11257">
          <cell r="F11257" t="str">
            <v>TILAKNAG IND</v>
          </cell>
        </row>
        <row r="11258">
          <cell r="F11258" t="str">
            <v>TIMES GUARAN</v>
          </cell>
        </row>
        <row r="11259">
          <cell r="F11259" t="str">
            <v>TIMETECHNO</v>
          </cell>
        </row>
        <row r="11260">
          <cell r="F11260" t="str">
            <v>TIMEX GROUP</v>
          </cell>
        </row>
        <row r="11261">
          <cell r="F11261" t="str">
            <v>TIMKEN (I)</v>
          </cell>
        </row>
        <row r="11262">
          <cell r="F11262" t="str">
            <v>TINPLATE</v>
          </cell>
        </row>
        <row r="11263">
          <cell r="F11263" t="str">
            <v>TIPSINDUSTR</v>
          </cell>
        </row>
        <row r="11264">
          <cell r="F11264" t="str">
            <v>TIRUMALCHM</v>
          </cell>
        </row>
        <row r="11265">
          <cell r="F11265" t="str">
            <v>TIRUPATI IND</v>
          </cell>
        </row>
        <row r="11266">
          <cell r="F11266" t="str">
            <v>TIRUPATI SAR</v>
          </cell>
        </row>
        <row r="11267">
          <cell r="F11267" t="str">
            <v>TIRUPATIFL</v>
          </cell>
        </row>
        <row r="11268">
          <cell r="F11268" t="str">
            <v>TITAN</v>
          </cell>
        </row>
        <row r="11269">
          <cell r="F11269" t="str">
            <v>TITAN BIOTEC</v>
          </cell>
        </row>
        <row r="11270">
          <cell r="F11270" t="str">
            <v>TITAN SECUR.</v>
          </cell>
        </row>
        <row r="11271">
          <cell r="F11271" t="str">
            <v>TMRVL</v>
          </cell>
        </row>
        <row r="11272">
          <cell r="F11272" t="str">
            <v>TNPL</v>
          </cell>
        </row>
        <row r="11273">
          <cell r="F11273" t="str">
            <v>TOKYO PLAST</v>
          </cell>
        </row>
        <row r="11274">
          <cell r="F11274" t="str">
            <v>TORNT POWER</v>
          </cell>
        </row>
        <row r="11275">
          <cell r="F11275" t="str">
            <v>TORNTPHARM</v>
          </cell>
        </row>
        <row r="11276">
          <cell r="F11276" t="str">
            <v>TOTAL</v>
          </cell>
        </row>
        <row r="11277">
          <cell r="F11277" t="str">
            <v>TOUCHWOOD</v>
          </cell>
        </row>
        <row r="11278">
          <cell r="F11278" t="str">
            <v>TOYAMIND</v>
          </cell>
        </row>
        <row r="11279">
          <cell r="F11279" t="str">
            <v>TPLPLASTEH</v>
          </cell>
        </row>
        <row r="11280">
          <cell r="F11280" t="str">
            <v>TPROJECT</v>
          </cell>
        </row>
        <row r="11281">
          <cell r="F11281" t="str">
            <v>TRANSCHEM</v>
          </cell>
        </row>
        <row r="11282">
          <cell r="F11282" t="str">
            <v>TRANSCORP IN</v>
          </cell>
        </row>
        <row r="11283">
          <cell r="F11283" t="str">
            <v>TRANSFREIGHT</v>
          </cell>
        </row>
        <row r="11284">
          <cell r="F11284" t="str">
            <v>TRANSGENE BI</v>
          </cell>
        </row>
        <row r="11285">
          <cell r="F11285" t="str">
            <v>TRANSGL.FOOD</v>
          </cell>
        </row>
        <row r="11286">
          <cell r="F11286" t="str">
            <v>TRANSPEK</v>
          </cell>
        </row>
        <row r="11287">
          <cell r="F11287" t="str">
            <v>TRANSPORT CO</v>
          </cell>
        </row>
        <row r="11288">
          <cell r="F11288" t="str">
            <v>TRANSWIND</v>
          </cell>
        </row>
        <row r="11289">
          <cell r="F11289" t="str">
            <v>TREE HOUSE</v>
          </cell>
        </row>
        <row r="11290">
          <cell r="F11290" t="str">
            <v>TREND ELECT</v>
          </cell>
        </row>
        <row r="11291">
          <cell r="F11291" t="str">
            <v>TRENT</v>
          </cell>
        </row>
        <row r="11292">
          <cell r="F11292" t="str">
            <v>TRF</v>
          </cell>
        </row>
        <row r="11293">
          <cell r="F11293" t="str">
            <v>TRICOMFRU</v>
          </cell>
        </row>
        <row r="11294">
          <cell r="F11294" t="str">
            <v>TRIDENT</v>
          </cell>
        </row>
        <row r="11295">
          <cell r="F11295" t="str">
            <v>TRIGYN</v>
          </cell>
        </row>
        <row r="11296">
          <cell r="F11296" t="str">
            <v>TRIL</v>
          </cell>
        </row>
        <row r="11297">
          <cell r="F11297" t="str">
            <v>TRILOGIC</v>
          </cell>
        </row>
        <row r="11298">
          <cell r="F11298" t="str">
            <v>TRIMURTHI</v>
          </cell>
        </row>
        <row r="11299">
          <cell r="F11299" t="str">
            <v>TRIO MERCAN</v>
          </cell>
        </row>
        <row r="11300">
          <cell r="F11300" t="str">
            <v>TRITON CORP.</v>
          </cell>
        </row>
        <row r="11301">
          <cell r="F11301" t="str">
            <v>TRITON VALVE</v>
          </cell>
        </row>
        <row r="11302">
          <cell r="F11302" t="str">
            <v>TRITRADE</v>
          </cell>
        </row>
        <row r="11303">
          <cell r="F11303" t="str">
            <v>TRITURBINE</v>
          </cell>
        </row>
        <row r="11304">
          <cell r="F11304" t="str">
            <v>TRIVENI ENGG</v>
          </cell>
        </row>
        <row r="11305">
          <cell r="F11305" t="str">
            <v>TRIVENI GLAS</v>
          </cell>
        </row>
        <row r="11306">
          <cell r="F11306" t="str">
            <v>TSIL</v>
          </cell>
        </row>
        <row r="11307">
          <cell r="F11307" t="str">
            <v>TT LTD.</v>
          </cell>
        </row>
        <row r="11308">
          <cell r="F11308" t="str">
            <v>TTFL</v>
          </cell>
        </row>
        <row r="11309">
          <cell r="F11309" t="str">
            <v>TTIENT</v>
          </cell>
        </row>
        <row r="11310">
          <cell r="F11310" t="str">
            <v>TTIL</v>
          </cell>
        </row>
        <row r="11311">
          <cell r="F11311" t="str">
            <v>TTK HEALTHCA</v>
          </cell>
        </row>
        <row r="11312">
          <cell r="F11312" t="str">
            <v>TTK PRESTIGE</v>
          </cell>
        </row>
        <row r="11313">
          <cell r="F11313" t="str">
            <v>TULIP STAR H</v>
          </cell>
        </row>
        <row r="11314">
          <cell r="F11314" t="str">
            <v>TULSI EXTRU</v>
          </cell>
        </row>
        <row r="11315">
          <cell r="F11315" t="str">
            <v>TUMUS ELECTR</v>
          </cell>
        </row>
        <row r="11316">
          <cell r="F11316" t="str">
            <v>TUTICORIN.</v>
          </cell>
        </row>
        <row r="11317">
          <cell r="F11317" t="str">
            <v>TV TODAY</v>
          </cell>
        </row>
        <row r="11318">
          <cell r="F11318" t="str">
            <v>TV18BRDCST</v>
          </cell>
        </row>
        <row r="11319">
          <cell r="F11319" t="str">
            <v>TVS SRICHAKR</v>
          </cell>
        </row>
        <row r="11320">
          <cell r="F11320" t="str">
            <v>TVSELE</v>
          </cell>
        </row>
        <row r="11321">
          <cell r="F11321" t="str">
            <v>TVSMOTOR</v>
          </cell>
        </row>
        <row r="11322">
          <cell r="F11322" t="str">
            <v>TVVISION</v>
          </cell>
        </row>
        <row r="11323">
          <cell r="F11323" t="str">
            <v>TWINSTAR SOF</v>
          </cell>
        </row>
        <row r="11324">
          <cell r="F11324" t="str">
            <v>TWL</v>
          </cell>
        </row>
        <row r="11325">
          <cell r="F11325" t="str">
            <v>TYCHE INDS</v>
          </cell>
        </row>
        <row r="11326">
          <cell r="F11326" t="str">
            <v>TYROON TEA</v>
          </cell>
        </row>
        <row r="11327">
          <cell r="F11327" t="str">
            <v>UCALFUEL</v>
          </cell>
        </row>
        <row r="11328">
          <cell r="F11328" t="str">
            <v>UCOBANK</v>
          </cell>
        </row>
        <row r="11329">
          <cell r="F11329" t="str">
            <v>UDAIPUR CEME</v>
          </cell>
        </row>
        <row r="11330">
          <cell r="F11330" t="str">
            <v>UDAYJEW</v>
          </cell>
        </row>
        <row r="11331">
          <cell r="F11331" t="str">
            <v>UDL</v>
          </cell>
        </row>
        <row r="11332">
          <cell r="F11332" t="str">
            <v>UFLEX LTD</v>
          </cell>
        </row>
        <row r="11333">
          <cell r="F11333" t="str">
            <v>UFO</v>
          </cell>
        </row>
        <row r="11334">
          <cell r="F11334" t="str">
            <v>UGARSUGAR</v>
          </cell>
        </row>
        <row r="11335">
          <cell r="F11335" t="str">
            <v>UJAAS</v>
          </cell>
        </row>
        <row r="11336">
          <cell r="F11336" t="str">
            <v>UJJIVAN</v>
          </cell>
        </row>
        <row r="11337">
          <cell r="F11337" t="str">
            <v>UJJIVAN2</v>
          </cell>
        </row>
        <row r="11338">
          <cell r="F11338" t="str">
            <v>ULTRACAB</v>
          </cell>
        </row>
        <row r="11339">
          <cell r="F11339" t="str">
            <v>ULTRAMARINE</v>
          </cell>
        </row>
        <row r="11340">
          <cell r="F11340" t="str">
            <v>ULTRATECH CM</v>
          </cell>
        </row>
        <row r="11341">
          <cell r="F11341" t="str">
            <v>UMANGDAIRY</v>
          </cell>
        </row>
        <row r="11342">
          <cell r="F11342" t="str">
            <v>UMESLTD</v>
          </cell>
        </row>
        <row r="11343">
          <cell r="F11343" t="str">
            <v>UNI ABEX</v>
          </cell>
        </row>
        <row r="11344">
          <cell r="F11344" t="str">
            <v>UNI OFF AUTO</v>
          </cell>
        </row>
        <row r="11345">
          <cell r="F11345" t="str">
            <v>UNIAUTO</v>
          </cell>
        </row>
        <row r="11346">
          <cell r="F11346" t="str">
            <v>UNICHEMLAB</v>
          </cell>
        </row>
        <row r="11347">
          <cell r="F11347" t="str">
            <v>UNIENTER</v>
          </cell>
        </row>
        <row r="11348">
          <cell r="F11348" t="str">
            <v>UNIMODE OVER</v>
          </cell>
        </row>
        <row r="11349">
          <cell r="F11349" t="str">
            <v>Union Asset Allocation Fund - Direct Plan - Dividend Option</v>
          </cell>
        </row>
        <row r="11350">
          <cell r="F11350" t="str">
            <v>Union Asset Allocation Fund - Direct Plan - Growth Option</v>
          </cell>
        </row>
        <row r="11351">
          <cell r="F11351" t="str">
            <v>Union Asset Allocation Fund - Dividend Option</v>
          </cell>
        </row>
        <row r="11352">
          <cell r="F11352" t="str">
            <v>Union Asset Allocation Fund - Growth Option</v>
          </cell>
        </row>
        <row r="11353">
          <cell r="F11353" t="str">
            <v>Union Balanced Advantage Fund - Direct Plan - Dividend Option</v>
          </cell>
        </row>
        <row r="11354">
          <cell r="F11354" t="str">
            <v>Union Balanced Advantage Fund - Direct Plan - Growth Option</v>
          </cell>
        </row>
        <row r="11355">
          <cell r="F11355" t="str">
            <v>Union Balanced Advantage Fund - Regular Plan - Dividend Option</v>
          </cell>
        </row>
        <row r="11356">
          <cell r="F11356" t="str">
            <v>Union Balanced Advantage Fund - Regular Plan - Growth Option</v>
          </cell>
        </row>
        <row r="11357">
          <cell r="F11357" t="str">
            <v>Union Capital Protection Oriented Fund - Series 6 - Direct Plan - Dividend Option</v>
          </cell>
        </row>
        <row r="11358">
          <cell r="F11358" t="str">
            <v>Union Capital Protection Oriented Fund - Series 6 - Direct Plan - Growth Option</v>
          </cell>
        </row>
        <row r="11359">
          <cell r="F11359" t="str">
            <v>Union Capital Protection Oriented Fund - Series 6 - Regular Plan - Growth Option</v>
          </cell>
        </row>
        <row r="11360">
          <cell r="F11360" t="str">
            <v>Union Capital Protection Oriented Fund - Series 7 - Direct Plan - Dividend Option</v>
          </cell>
        </row>
        <row r="11361">
          <cell r="F11361" t="str">
            <v>Union Capital Protection Oriented Fund - Series 7 - Direct Plan - Growth Option</v>
          </cell>
        </row>
        <row r="11362">
          <cell r="F11362" t="str">
            <v>Union Capital Protection Oriented Fund - Series 7 - Regular Plan - Dividend Option</v>
          </cell>
        </row>
        <row r="11363">
          <cell r="F11363" t="str">
            <v>Union Capital Protection Oriented Fund - Series 7 - Regular Plan - Growth Option</v>
          </cell>
        </row>
        <row r="11364">
          <cell r="F11364" t="str">
            <v>Union Capital Protection Oriented Fund - Series 8 - Direct Plan - Growth Option</v>
          </cell>
        </row>
        <row r="11365">
          <cell r="F11365" t="str">
            <v>Union Capital Protection Oriented Fund - Series 8 - Regular Plan - Dividend Option</v>
          </cell>
        </row>
        <row r="11366">
          <cell r="F11366" t="str">
            <v>Union Capital Protection Oriented Fund - Series 8 - Regular Plan - Growth Option</v>
          </cell>
        </row>
        <row r="11367">
          <cell r="F11367" t="str">
            <v>Union Dynamic Bond Fund - Direct Plan - Dividend Option</v>
          </cell>
        </row>
        <row r="11368">
          <cell r="F11368" t="str">
            <v>Union Dynamic Bond Fund - Direct Plan - Growth Option</v>
          </cell>
        </row>
        <row r="11369">
          <cell r="F11369" t="str">
            <v>Union Dynamic Bond Fund - Dividend Option</v>
          </cell>
        </row>
        <row r="11370">
          <cell r="F11370" t="str">
            <v>Union Dynamic Bond Fund - Growth Option</v>
          </cell>
        </row>
        <row r="11371">
          <cell r="F11371" t="str">
            <v>Union Largecap Fund - Direct Plan - Dividend Option</v>
          </cell>
        </row>
        <row r="11372">
          <cell r="F11372" t="str">
            <v>Union Largecap Fund - Direct Plan - Growth Option</v>
          </cell>
        </row>
        <row r="11373">
          <cell r="F11373" t="str">
            <v>Union Largecap Fund - Regular Plan - Dividend Option</v>
          </cell>
        </row>
        <row r="11374">
          <cell r="F11374" t="str">
            <v>Union Largecap Fund - Regular Plan - Growth Option</v>
          </cell>
        </row>
        <row r="11375">
          <cell r="F11375" t="str">
            <v>Union Liquid Fund - Daily Dividend Option</v>
          </cell>
        </row>
        <row r="11376">
          <cell r="F11376" t="str">
            <v>Union Liquid Fund - Direct Plan - Daily Dividend Option</v>
          </cell>
        </row>
        <row r="11377">
          <cell r="F11377" t="str">
            <v>Union Liquid Fund - Direct Plan - Fortnightly Dividend Option</v>
          </cell>
        </row>
        <row r="11378">
          <cell r="F11378" t="str">
            <v>Union Liquid Fund - Direct Plan - Growth Option</v>
          </cell>
        </row>
        <row r="11379">
          <cell r="F11379" t="str">
            <v>Union Liquid Fund - Direct Plan - Monthly Dividend Option</v>
          </cell>
        </row>
        <row r="11380">
          <cell r="F11380" t="str">
            <v>Union Liquid Fund - Direct Plan - Weekly Dividend Option</v>
          </cell>
        </row>
        <row r="11381">
          <cell r="F11381" t="str">
            <v>Union Liquid Fund - Fortnightly Dividend Option</v>
          </cell>
        </row>
        <row r="11382">
          <cell r="F11382" t="str">
            <v>Union Liquid Fund - Growth Option</v>
          </cell>
        </row>
        <row r="11383">
          <cell r="F11383" t="str">
            <v>Union Liquid Fund - Monthly Dividend Option</v>
          </cell>
        </row>
        <row r="11384">
          <cell r="F11384" t="str">
            <v>Union Liquid Fund - Unclaimed Amounts Plan - Dividend Beyond 3 years</v>
          </cell>
        </row>
        <row r="11385">
          <cell r="F11385" t="str">
            <v>Union Liquid Fund - Unclaimed Amounts Plan - Dividend Upto 3 years</v>
          </cell>
        </row>
        <row r="11386">
          <cell r="F11386" t="str">
            <v>Union Liquid Fund - Unclaimed Amounts Plan - Redemption Beyond 3 years</v>
          </cell>
        </row>
        <row r="11387">
          <cell r="F11387" t="str">
            <v>Union Liquid Fund - Unclaimed Amounts Plan - Redemption Upto 3 years</v>
          </cell>
        </row>
        <row r="11388">
          <cell r="F11388" t="str">
            <v>Union Liquid Fund - Weekly Dividend Option</v>
          </cell>
        </row>
        <row r="11389">
          <cell r="F11389" t="str">
            <v>Union Multi Cap Fund - Direct Plan - Dividend Option</v>
          </cell>
        </row>
        <row r="11390">
          <cell r="F11390" t="str">
            <v>Union Multi Cap Fund - Direct Plan - Growth Option</v>
          </cell>
        </row>
        <row r="11391">
          <cell r="F11391" t="str">
            <v>Union Multi Cap Fund - Dividend Option</v>
          </cell>
        </row>
        <row r="11392">
          <cell r="F11392" t="str">
            <v>Union Multi Cap Fund - Growth Option</v>
          </cell>
        </row>
        <row r="11393">
          <cell r="F11393" t="str">
            <v>Union Short Term Fund - Daily Dividend Option</v>
          </cell>
        </row>
        <row r="11394">
          <cell r="F11394" t="str">
            <v>Union Short Term Fund - Direct Plan - Daily Dividend Option</v>
          </cell>
        </row>
        <row r="11395">
          <cell r="F11395" t="str">
            <v>Union Short Term Fund - Direct Plan - Fortnightly Dividend Option</v>
          </cell>
        </row>
        <row r="11396">
          <cell r="F11396" t="str">
            <v>Union Short Term Fund - Direct Plan - Growth Option</v>
          </cell>
        </row>
        <row r="11397">
          <cell r="F11397" t="str">
            <v>Union Short Term Fund - Direct Plan - Monthly Dividend Option</v>
          </cell>
        </row>
        <row r="11398">
          <cell r="F11398" t="str">
            <v>Union Short Term Fund - Direct Plan - Weekly Dividend Option</v>
          </cell>
        </row>
        <row r="11399">
          <cell r="F11399" t="str">
            <v>Union Short Term Fund - Fortnightly Dividend Option</v>
          </cell>
        </row>
        <row r="11400">
          <cell r="F11400" t="str">
            <v>Union Short Term Fund - Growth Option</v>
          </cell>
        </row>
        <row r="11401">
          <cell r="F11401" t="str">
            <v>Union Short Term Fund - Monthly Dividend Option</v>
          </cell>
        </row>
        <row r="11402">
          <cell r="F11402" t="str">
            <v>Union Short Term Fund - Weekly Dividend Option</v>
          </cell>
        </row>
        <row r="11403">
          <cell r="F11403" t="str">
            <v>Union Small Cap Fund - Direct Plan - Dividend Option</v>
          </cell>
        </row>
        <row r="11404">
          <cell r="F11404" t="str">
            <v>Union Small Cap Fund - Direct Plan - Growth Option</v>
          </cell>
        </row>
        <row r="11405">
          <cell r="F11405" t="str">
            <v>Union Small Cap Fund - Regular Plan - Dividend Option</v>
          </cell>
        </row>
        <row r="11406">
          <cell r="F11406" t="str">
            <v>Union Small Cap Fund - Regular Plan - Growth Option</v>
          </cell>
        </row>
        <row r="11407">
          <cell r="F11407" t="str">
            <v>Union Tax Saver Scheme - Direct Plan - Dividend Option</v>
          </cell>
        </row>
        <row r="11408">
          <cell r="F11408" t="str">
            <v>Union Tax Saver Scheme - Direct Plan - Growth Option</v>
          </cell>
        </row>
        <row r="11409">
          <cell r="F11409" t="str">
            <v>Union Tax Saver Scheme - Dividend Option</v>
          </cell>
        </row>
        <row r="11410">
          <cell r="F11410" t="str">
            <v>Union Tax Saver Scheme - Growth Option</v>
          </cell>
        </row>
        <row r="11411">
          <cell r="F11411" t="str">
            <v>UNIONBANK</v>
          </cell>
        </row>
        <row r="11412">
          <cell r="F11412" t="str">
            <v>UNIPLY IND</v>
          </cell>
        </row>
        <row r="11413">
          <cell r="F11413" t="str">
            <v>UNIQUE ORGAN</v>
          </cell>
        </row>
        <row r="11414">
          <cell r="F11414" t="str">
            <v>UNIROYAL MAR</v>
          </cell>
        </row>
        <row r="11415">
          <cell r="F11415" t="str">
            <v>UNISHIRE</v>
          </cell>
        </row>
        <row r="11416">
          <cell r="F11416" t="str">
            <v>UNISTAR MULT</v>
          </cell>
        </row>
        <row r="11417">
          <cell r="F11417" t="str">
            <v>UNITECH INTE</v>
          </cell>
        </row>
        <row r="11418">
          <cell r="F11418" t="str">
            <v>UNITECH LTD</v>
          </cell>
        </row>
        <row r="11419">
          <cell r="F11419" t="str">
            <v>UNITED BANK</v>
          </cell>
        </row>
        <row r="11420">
          <cell r="F11420" t="str">
            <v>UNITED BREWA</v>
          </cell>
        </row>
        <row r="11421">
          <cell r="F11421" t="str">
            <v>UNITED CRED.</v>
          </cell>
        </row>
        <row r="11422">
          <cell r="F11422" t="str">
            <v>UNITED DRILL</v>
          </cell>
        </row>
        <row r="11423">
          <cell r="F11423" t="str">
            <v>UNITEDTEA</v>
          </cell>
        </row>
        <row r="11424">
          <cell r="F11424" t="str">
            <v>UNITY INFRA</v>
          </cell>
        </row>
        <row r="11425">
          <cell r="F11425" t="str">
            <v>UNIVCABLES</v>
          </cell>
        </row>
        <row r="11426">
          <cell r="F11426" t="str">
            <v>UNIVERSAL CR</v>
          </cell>
        </row>
        <row r="11427">
          <cell r="F11427" t="str">
            <v>UNIWORTH LTD</v>
          </cell>
        </row>
        <row r="11428">
          <cell r="F11428" t="str">
            <v>UNJHA FORMUL</v>
          </cell>
        </row>
        <row r="11429">
          <cell r="F11429" t="str">
            <v>UPL</v>
          </cell>
        </row>
        <row r="11430">
          <cell r="F11430" t="str">
            <v>UPL2</v>
          </cell>
        </row>
        <row r="11431">
          <cell r="F11431" t="str">
            <v>UPROTECH</v>
          </cell>
        </row>
        <row r="11432">
          <cell r="F11432" t="str">
            <v>UPSURGE INV.</v>
          </cell>
        </row>
        <row r="11433">
          <cell r="F11433" t="str">
            <v>URJA</v>
          </cell>
        </row>
        <row r="11434">
          <cell r="F11434" t="str">
            <v>USHAMART</v>
          </cell>
        </row>
        <row r="11435">
          <cell r="F11435" t="str">
            <v>USHDEV INTNL</v>
          </cell>
        </row>
        <row r="11436">
          <cell r="F11436" t="str">
            <v>USHERAGRO</v>
          </cell>
        </row>
        <row r="11437">
          <cell r="F11437" t="str">
            <v>UTI - Core Equity Fund - Direct Plan - Growth Option</v>
          </cell>
        </row>
        <row r="11438">
          <cell r="F11438" t="str">
            <v>UTI - Core Equity Fund - Direct Plan - Income Option</v>
          </cell>
        </row>
        <row r="11439">
          <cell r="F11439" t="str">
            <v>UTI - Core Equity Fund - Regular Plan - Growth Option</v>
          </cell>
        </row>
        <row r="11440">
          <cell r="F11440" t="str">
            <v>UTI - Core Equity Fund - Regular Plan - Income Option</v>
          </cell>
        </row>
        <row r="11441">
          <cell r="F11441" t="str">
            <v>UTI - CRTS 81 - Dividend Option</v>
          </cell>
        </row>
        <row r="11442">
          <cell r="F11442" t="str">
            <v>UTI - CRTS 81 - Dividend Option- Direct</v>
          </cell>
        </row>
        <row r="11443">
          <cell r="F11443" t="str">
            <v>UTI - CRTS 81 - Growth Option</v>
          </cell>
        </row>
        <row r="11444">
          <cell r="F11444" t="str">
            <v>UTI - CRTS 81 - Growth Option- Direct</v>
          </cell>
        </row>
        <row r="11445">
          <cell r="F11445" t="str">
            <v>UTI - Dual Advantage Fixed Term Series II-IV (1278 Days) - Direct Plan - Dividend Option</v>
          </cell>
        </row>
        <row r="11446">
          <cell r="F11446" t="str">
            <v>UTI - Dual Advantage Fixed Term Series II-IV (1997 Days) - Direct Plan - Dividend Option</v>
          </cell>
        </row>
        <row r="11447">
          <cell r="F11447" t="str">
            <v>UTI - Dual Advantage Fixed Term Series II-IV (1997 Days) - Direct Plan - Growth Option</v>
          </cell>
        </row>
        <row r="11448">
          <cell r="F11448" t="str">
            <v>UTI - Dual Advantage Fixed Term Series II-IV (1997 Days) - Regular Plan - Dividend Option</v>
          </cell>
        </row>
        <row r="11449">
          <cell r="F11449" t="str">
            <v>UTI - Dual Advantage Fixed Term Series II-IV (1997 Days) - Regular Plan - Growth Option</v>
          </cell>
        </row>
        <row r="11450">
          <cell r="F11450" t="str">
            <v>UTI - Dual Advantage Fixed Term Series II-V (1997 Days) - Direct Plan - Dividend Option</v>
          </cell>
        </row>
        <row r="11451">
          <cell r="F11451" t="str">
            <v>UTI - Dual Advantage Fixed Term Series II-V (1997 Days) - Direct Plan - Growth Option</v>
          </cell>
        </row>
        <row r="11452">
          <cell r="F11452" t="str">
            <v>UTI - Dual Advantage Fixed Term Series II-V (1997 Days) - Regular Plan - Dividend Option</v>
          </cell>
        </row>
        <row r="11453">
          <cell r="F11453" t="str">
            <v>UTI - Dual Advantage Fixed Term Series II-V (1997 Days) - Regular Plan - Growth Option</v>
          </cell>
        </row>
        <row r="11454">
          <cell r="F11454" t="str">
            <v>UTI - Dual Advantage Fixed Term Series III-I (1998 Days) - Direct Plan - Dividend Option</v>
          </cell>
        </row>
        <row r="11455">
          <cell r="F11455" t="str">
            <v>UTI - Dual Advantage Fixed Term Series III-I (1998 Days) - Direct Plan - Growth Option</v>
          </cell>
        </row>
        <row r="11456">
          <cell r="F11456" t="str">
            <v>UTI - Dual Advantage Fixed Term Series III-I (1998 Days) - Regular Plan - Dividend Option</v>
          </cell>
        </row>
        <row r="11457">
          <cell r="F11457" t="str">
            <v>UTI - Dual Advantage Fixed Term Series III-I (1998 Days) - Regular Plan - Growth Option</v>
          </cell>
        </row>
        <row r="11458">
          <cell r="F11458" t="str">
            <v>UTI - Dual Advantage Fixed Term Series III-II (1278 Days) - Direct Plan - Growth Option</v>
          </cell>
        </row>
        <row r="11459">
          <cell r="F11459" t="str">
            <v>UTI - Dual Advantage Fixed Term Series III-II (1278 Days) - Regular Plan - Dividend Option</v>
          </cell>
        </row>
        <row r="11460">
          <cell r="F11460" t="str">
            <v>UTI - Dual Advantage Fixed Term Series III-II (1278 Days) - Regular Plan - Growth Option</v>
          </cell>
        </row>
        <row r="11461">
          <cell r="F11461" t="str">
            <v>UTI - Dual Advantage Fixed Term Series III-III (1102 Days) - Direct Plan - Dividend Option</v>
          </cell>
        </row>
        <row r="11462">
          <cell r="F11462" t="str">
            <v>UTI - Dual Advantage Fixed Term Series III-III (1102 Days) - Direct Plan - Growth Option</v>
          </cell>
        </row>
        <row r="11463">
          <cell r="F11463" t="str">
            <v>UTI - Dual Advantage Fixed Term Series III-III (1102 Days) - Regular Plan - Dividend Option</v>
          </cell>
        </row>
        <row r="11464">
          <cell r="F11464" t="str">
            <v>UTI - Dual Advantage Fixed Term Series III-III(1102 Days) - Regular Plan - Growth Option</v>
          </cell>
        </row>
        <row r="11465">
          <cell r="F11465" t="str">
            <v>UTI - Dual Advantage Fixed Term Series IV-I (1279 Days) - Direct Plan - Dividend Option</v>
          </cell>
        </row>
        <row r="11466">
          <cell r="F11466" t="str">
            <v>UTI - Dual Advantage Fixed Term Series IV-I (1279 Days) - Direct Plan - Growth Option</v>
          </cell>
        </row>
        <row r="11467">
          <cell r="F11467" t="str">
            <v>UTI - Dual Advantage Fixed Term Series IV-I (1279 Days) - Regular Plan - Dividend Option</v>
          </cell>
        </row>
        <row r="11468">
          <cell r="F11468" t="str">
            <v>UTI - Dual Advantage Fixed Term Series IV-I (1279 Days) - Regular Plan - Growth Option</v>
          </cell>
        </row>
        <row r="11469">
          <cell r="F11469" t="str">
            <v>UTI - Dual Advantage Fixed Term Series IV-II (1278 Days) - Direct  Plan - Dividend Option</v>
          </cell>
        </row>
        <row r="11470">
          <cell r="F11470" t="str">
            <v>UTI - Dual Advantage Fixed Term Series IV-II (1278 Days) - Direct Plan - Growth Option</v>
          </cell>
        </row>
        <row r="11471">
          <cell r="F11471" t="str">
            <v>UTI - Dual Advantage Fixed Term Series IV-II (1278 Days) - Regular Plan - Dividend Option</v>
          </cell>
        </row>
        <row r="11472">
          <cell r="F11472" t="str">
            <v>UTI - Dual Advantage Fixed Term Series IV-II (1278 Days) - Regular Plan - Growth Option</v>
          </cell>
        </row>
        <row r="11473">
          <cell r="F11473" t="str">
            <v>UTI - Dual Advantage Fixed Term Series IV-III (1279 Days) - Direct Plan - Dividend Option</v>
          </cell>
        </row>
        <row r="11474">
          <cell r="F11474" t="str">
            <v>UTI - Dual Advantage Fixed Term Series IV-III (1279 Days) - Direct Plan - Growth Option</v>
          </cell>
        </row>
        <row r="11475">
          <cell r="F11475" t="str">
            <v>UTI - Dual Advantage Fixed Term Series IV-III (1279 Days) - Regular Plan - Dividend Option</v>
          </cell>
        </row>
        <row r="11476">
          <cell r="F11476" t="str">
            <v>UTI - Dual Advantage Fixed Term Series IV-III (1279 Days) - Regular Plan - Growth Option</v>
          </cell>
        </row>
        <row r="11477">
          <cell r="F11477" t="str">
            <v>UTI - Dual Advantage Fixed Term Series IV-IV (1997 Days) - Direct Plan - Dividend Option</v>
          </cell>
        </row>
        <row r="11478">
          <cell r="F11478" t="str">
            <v>UTI - Dual Advantage Fixed Term Series IV-IV (1997 Days) - Direct Plan - Growth Option</v>
          </cell>
        </row>
        <row r="11479">
          <cell r="F11479" t="str">
            <v>UTI - Dual Advantage Fixed Term Series IV-IV (1997 Days) - Regular Plan - Dividend Option</v>
          </cell>
        </row>
        <row r="11480">
          <cell r="F11480" t="str">
            <v>UTI - Dual Advantage Fixed Term Series IV-IV (1997 Days) - Regular Plan - Growth Option</v>
          </cell>
        </row>
        <row r="11481">
          <cell r="F11481" t="str">
            <v>UTI - Equity Fund-Growth Option</v>
          </cell>
        </row>
        <row r="11482">
          <cell r="F11482" t="str">
            <v>UTI - Equity Fund-Growth Option - Direct</v>
          </cell>
        </row>
        <row r="11483">
          <cell r="F11483" t="str">
            <v>UTI - Equity Fund-Income Option</v>
          </cell>
        </row>
        <row r="11484">
          <cell r="F11484" t="str">
            <v>UTI - Equity Fund-Income Option - Direct</v>
          </cell>
        </row>
        <row r="11485">
          <cell r="F11485" t="str">
            <v>UTI - Fixed Income Interval Fund - Monthly Interval Plan  - Direct Plan - Dividend Option</v>
          </cell>
        </row>
        <row r="11486">
          <cell r="F11486" t="str">
            <v>UTI - Fixed Income Interval Fund - Monthly Interval Plan  - Direct Plan - Growth Option</v>
          </cell>
        </row>
        <row r="11487">
          <cell r="F11487" t="str">
            <v>UTI - Fixed Income Interval Fund - Monthly Interval Plan  - Regular Plan - Growth Option</v>
          </cell>
        </row>
        <row r="11488">
          <cell r="F11488" t="str">
            <v>UTI - Fixed Income Interval Fund - Monthly Interval Plan - Institutional Dividend Option</v>
          </cell>
        </row>
        <row r="11489">
          <cell r="F11489" t="str">
            <v>UTI - Fixed Income Interval Fund - Monthly Interval Plan - Regular Plan - Dividend Option</v>
          </cell>
        </row>
        <row r="11490">
          <cell r="F11490" t="str">
            <v>UTI - FTIF Series XXII - V (1099 Days) - Direct Plan - Growth Option</v>
          </cell>
        </row>
        <row r="11491">
          <cell r="F11491" t="str">
            <v>UTI - FTIF Series XXII-V (1099 Days) -  Regular Plan - Growth Option</v>
          </cell>
        </row>
        <row r="11492">
          <cell r="F11492" t="str">
            <v>UTI - FTIF Series XXII-V (1099 Days) - Direct Plan - Annual Div Option</v>
          </cell>
        </row>
        <row r="11493">
          <cell r="F11493" t="str">
            <v>UTI - FTIF Series XXII-V (1099 Days) - Direct Plan - Quarterly Div Option</v>
          </cell>
        </row>
        <row r="11494">
          <cell r="F11494" t="str">
            <v>UTI - FTIF Series XXII-V (1099 Days) - Regular Plan - Annual Div Option</v>
          </cell>
        </row>
        <row r="11495">
          <cell r="F11495" t="str">
            <v>UTI - FTIF Series XXII-V (1099 Days) - Regular Plan - Flexi Div Option</v>
          </cell>
        </row>
        <row r="11496">
          <cell r="F11496" t="str">
            <v>UTI - FTIF Series XXII-V (1099 Days) - Regular Plan - Quarterly Div Option</v>
          </cell>
        </row>
        <row r="11497">
          <cell r="F11497" t="str">
            <v>UTI - GILT FUND - Direct Plan - Dividend Option</v>
          </cell>
        </row>
        <row r="11498">
          <cell r="F11498" t="str">
            <v>UTI - GILT FUND - Direct Plan - Growth Option</v>
          </cell>
        </row>
        <row r="11499">
          <cell r="F11499" t="str">
            <v>UTI - GILT FUND - Discontinued PF Plan - Growth Option</v>
          </cell>
        </row>
        <row r="11500">
          <cell r="F11500" t="str">
            <v>UTI - GILT FUND - Discontinued PF Plan Prescribed Date Auto Redemption Option</v>
          </cell>
        </row>
        <row r="11501">
          <cell r="F11501" t="str">
            <v>UTI - GILT FUND - Regular Plan - Growth Option</v>
          </cell>
        </row>
        <row r="11502">
          <cell r="F11502" t="str">
            <v>UTI - GILT FUND -Discontinued PF Plan -Dividend Option</v>
          </cell>
        </row>
        <row r="11503">
          <cell r="F11503" t="str">
            <v>UTI - GILT FUND -Regular Plan - Dividend Option</v>
          </cell>
        </row>
        <row r="11504">
          <cell r="F11504" t="str">
            <v>UTI - Hybrid Equity Fund - Direct Plan - Income</v>
          </cell>
        </row>
        <row r="11505">
          <cell r="F11505" t="str">
            <v>UTI - Hybrid Equity Fund - Regular Plan - Growth</v>
          </cell>
        </row>
        <row r="11506">
          <cell r="F11506" t="str">
            <v>UTI - Hybrid Equity Fund - Regular Plan -Income</v>
          </cell>
        </row>
        <row r="11507">
          <cell r="F11507" t="str">
            <v>UTI - Hybrid Equity Fund -Direct Plan - Growth</v>
          </cell>
        </row>
        <row r="11508">
          <cell r="F11508" t="str">
            <v>UTI - Liquid Cash Plan - Direct Plan - Annual Dividend Option</v>
          </cell>
        </row>
        <row r="11509">
          <cell r="F11509" t="str">
            <v>UTI - Liquid Cash Plan - Direct Plan - Fortnightly Dividend Option</v>
          </cell>
        </row>
        <row r="11510">
          <cell r="F11510" t="str">
            <v>UTI - Liquid Cash Plan - Direct Plan - Half Yearly Dividend Option</v>
          </cell>
        </row>
        <row r="11511">
          <cell r="F11511" t="str">
            <v>UTI - Liquid Cash Plan - Direct Plan - Monthly Dividend Option</v>
          </cell>
        </row>
        <row r="11512">
          <cell r="F11512" t="str">
            <v>UTI - Liquid Cash Plan - Direct Plan - Quarterly Dividend Option</v>
          </cell>
        </row>
        <row r="11513">
          <cell r="F11513" t="str">
            <v>UTI - Liquid Cash Plan - Regular Plan - Annual Dividend Option</v>
          </cell>
        </row>
        <row r="11514">
          <cell r="F11514" t="str">
            <v>UTI - Liquid Cash Plan - Regular Plan - Fortnightly Dividend Option</v>
          </cell>
        </row>
        <row r="11515">
          <cell r="F11515" t="str">
            <v>UTI - Liquid Cash Plan - Regular Plan - Quarterly Dividend Option</v>
          </cell>
        </row>
        <row r="11516">
          <cell r="F11516" t="str">
            <v>UTI - Long Term Equity Fund (Tax Saving) - Direct Plan - Growth Option</v>
          </cell>
        </row>
        <row r="11517">
          <cell r="F11517" t="str">
            <v>UTI - Long Term Equity Fund (Tax Saving) - Regular Plan - Dividend Option</v>
          </cell>
        </row>
        <row r="11518">
          <cell r="F11518" t="str">
            <v>UTI - Long Term Equity Fund (Tax Saving) - Regular Plan - Growth Option</v>
          </cell>
        </row>
        <row r="11519">
          <cell r="F11519" t="str">
            <v>UTI - Long Term Equity fund (Tax Saving) Direct Plan - Dividend Option</v>
          </cell>
        </row>
        <row r="11520">
          <cell r="F11520" t="str">
            <v>UTI - Master Equity Plan Unit Scheme</v>
          </cell>
        </row>
        <row r="11521">
          <cell r="F11521" t="str">
            <v>UTI - Master Share-Growth Option</v>
          </cell>
        </row>
        <row r="11522">
          <cell r="F11522" t="str">
            <v>UTI - Master Share-Growth Option - Direct</v>
          </cell>
        </row>
        <row r="11523">
          <cell r="F11523" t="str">
            <v>UTI - Master Share-Income Option</v>
          </cell>
        </row>
        <row r="11524">
          <cell r="F11524" t="str">
            <v>UTI - Master Share-Income Option - Direct</v>
          </cell>
        </row>
        <row r="11525">
          <cell r="F11525" t="str">
            <v>UTI - MIS-Growth</v>
          </cell>
        </row>
        <row r="11526">
          <cell r="F11526" t="str">
            <v>UTI - MIS-Growth-Direct</v>
          </cell>
        </row>
        <row r="11527">
          <cell r="F11527" t="str">
            <v>UTI - MIS-Income</v>
          </cell>
        </row>
        <row r="11528">
          <cell r="F11528" t="str">
            <v>UTI - MIS-Income-Direct</v>
          </cell>
        </row>
        <row r="11529">
          <cell r="F11529" t="str">
            <v>UTI - MNC Fund - Growth Option - Direct</v>
          </cell>
        </row>
        <row r="11530">
          <cell r="F11530" t="str">
            <v>UTI - MNC Fund - Regular Plan - Growth Option</v>
          </cell>
        </row>
        <row r="11531">
          <cell r="F11531" t="str">
            <v>UTI - MNC Fund - Regular Plan - Income Option</v>
          </cell>
        </row>
        <row r="11532">
          <cell r="F11532" t="str">
            <v>UTI - MNC Fund -Income Option- Direct</v>
          </cell>
        </row>
        <row r="11533">
          <cell r="F11533" t="str">
            <v>UTI - Multi Asset Fund  - Regular Plan - Dividend Option</v>
          </cell>
        </row>
        <row r="11534">
          <cell r="F11534" t="str">
            <v>UTI - Multi Asset Fund - Direct Plan - Dividend Option</v>
          </cell>
        </row>
        <row r="11535">
          <cell r="F11535" t="str">
            <v>UTI - Multi Asset Fund - Regular Plan - Growth Option</v>
          </cell>
        </row>
        <row r="11536">
          <cell r="F11536" t="str">
            <v>UTI - Multi Asset Fund- Direct Plan - Growth Option</v>
          </cell>
        </row>
        <row r="11537">
          <cell r="F11537" t="str">
            <v>UTI - NIFTY Index Fund- Regular Plan - Growth Option</v>
          </cell>
        </row>
        <row r="11538">
          <cell r="F11538" t="str">
            <v>UTI - NIFTY Index Fund- Regular Plan - Income Option</v>
          </cell>
        </row>
        <row r="11539">
          <cell r="F11539" t="str">
            <v>UTI - NIFTY Index Fund-Growth Option- Direct</v>
          </cell>
        </row>
        <row r="11540">
          <cell r="F11540" t="str">
            <v>UTI - NIFTY Index Fund-Income Option- Direct</v>
          </cell>
        </row>
        <row r="11541">
          <cell r="F11541" t="str">
            <v>UTI - Overnight  Fund - Regular Plan - Growth Option</v>
          </cell>
        </row>
        <row r="11542">
          <cell r="F11542" t="str">
            <v>UTI - Overnight Fund - Direct Plan - Daily Div Option</v>
          </cell>
        </row>
        <row r="11543">
          <cell r="F11543" t="str">
            <v>UTI - Overnight Fund - Direct Plan - Growth Option</v>
          </cell>
        </row>
        <row r="11544">
          <cell r="F11544" t="str">
            <v>UTI - Overnight Fund - Direct Plan - Periodic Div Option</v>
          </cell>
        </row>
        <row r="11545">
          <cell r="F11545" t="str">
            <v>UTI - Overnight Fund - Regular Plan - Daily Div Option</v>
          </cell>
        </row>
        <row r="11546">
          <cell r="F11546" t="str">
            <v>UTI - Overnight Fund - Regular Plan - Periodic Div Option</v>
          </cell>
        </row>
        <row r="11547">
          <cell r="F11547" t="str">
            <v>UTI - Regular Savings Fund - Direct Plan - Flexi Dividend Option</v>
          </cell>
        </row>
        <row r="11548">
          <cell r="F11548" t="str">
            <v>UTI - Regular Savings Fund - Direct Plan - Growth Option</v>
          </cell>
        </row>
        <row r="11549">
          <cell r="F11549" t="str">
            <v>UTI - Regular Savings Fund - Direct Plan - Monthly Dividend Option</v>
          </cell>
        </row>
        <row r="11550">
          <cell r="F11550" t="str">
            <v>UTI - Regular Savings Fund - Direct Plan - Monthly Payment Option</v>
          </cell>
        </row>
        <row r="11551">
          <cell r="F11551" t="str">
            <v>UTI - Regular Savings Fund - Regular Plan - Flexi Dividend Option</v>
          </cell>
        </row>
        <row r="11552">
          <cell r="F11552" t="str">
            <v>UTI - Regular Savings Fund - Regular Plan - Growth Option</v>
          </cell>
        </row>
        <row r="11553">
          <cell r="F11553" t="str">
            <v>UTI - Regular Savings Fund - Regular Plan - Monthly Payment Option</v>
          </cell>
        </row>
        <row r="11554">
          <cell r="F11554" t="str">
            <v>UTI - Regular Savings Fund -Regular Plan - Monthly Dividend Option</v>
          </cell>
        </row>
        <row r="11555">
          <cell r="F11555" t="str">
            <v>UTI - Retirement Benefit Pension Fund - Regular Plan</v>
          </cell>
        </row>
        <row r="11556">
          <cell r="F11556" t="str">
            <v>UTI - Retirement Benefit Pension Fund- Direct</v>
          </cell>
        </row>
        <row r="11557">
          <cell r="F11557" t="str">
            <v>UTI - Short Term Income Fund - Direct Plan - Annual Dividend Option</v>
          </cell>
        </row>
        <row r="11558">
          <cell r="F11558" t="str">
            <v>UTI - Short Term Income Fund - Direct Plan - Flexi Dividend Option</v>
          </cell>
        </row>
        <row r="11559">
          <cell r="F11559" t="str">
            <v>UTI - Short Term Income Fund - Direct Plan - Growth Option</v>
          </cell>
        </row>
        <row r="11560">
          <cell r="F11560" t="str">
            <v>UTI - Short Term Income Fund - Direct Plan - Half Yearly Dividend Option</v>
          </cell>
        </row>
        <row r="11561">
          <cell r="F11561" t="str">
            <v>UTI - Short Term Income Fund - Direct Plan - Monthly Dividend Option</v>
          </cell>
        </row>
        <row r="11562">
          <cell r="F11562" t="str">
            <v>UTI - Short Term Income Fund - Direct Plan - Quarterly Dividend Option</v>
          </cell>
        </row>
        <row r="11563">
          <cell r="F11563" t="str">
            <v>UTI - Short Term Income Fund - Discontinued Regular Option - Dividend Sub Option</v>
          </cell>
        </row>
        <row r="11564">
          <cell r="F11564" t="str">
            <v>UTI - Short Term Income Fund - Discontinued Regular Option -Growth Sub Option</v>
          </cell>
        </row>
        <row r="11565">
          <cell r="F11565" t="str">
            <v>UTI - Short Term Income Fund - Regular Plan - Annual Dividend Option</v>
          </cell>
        </row>
        <row r="11566">
          <cell r="F11566" t="str">
            <v>UTI - Short Term Income Fund - Regular Plan - Flexi Dividend Option</v>
          </cell>
        </row>
        <row r="11567">
          <cell r="F11567" t="str">
            <v>UTI - Short Term Income Fund - Regular Plan - Growth Option</v>
          </cell>
        </row>
        <row r="11568">
          <cell r="F11568" t="str">
            <v>UTI - Short Term Income Fund - Regular Plan - Half Yearly Dividend Option</v>
          </cell>
        </row>
        <row r="11569">
          <cell r="F11569" t="str">
            <v>UTI - Short Term Income Fund - Regular Plan - Monthly Dividend Option</v>
          </cell>
        </row>
        <row r="11570">
          <cell r="F11570" t="str">
            <v>UTI - Short Term Income Fund - Regular Plan - Quarterly Div Option</v>
          </cell>
        </row>
        <row r="11571">
          <cell r="F11571" t="str">
            <v>UTI - Treasury Advantage Fund - Direct Plan - Annual Dividend Option</v>
          </cell>
        </row>
        <row r="11572">
          <cell r="F11572" t="str">
            <v>UTI - Treasury Advantage Fund - Direct Plan - Bonus Option</v>
          </cell>
        </row>
        <row r="11573">
          <cell r="F11573" t="str">
            <v>UTI - Treasury Advantage Fund - Direct Plan - Daily Dividend Reinvestment Option</v>
          </cell>
        </row>
        <row r="11574">
          <cell r="F11574" t="str">
            <v>UTI - Treasury Advantage Fund - Direct Plan - Flexi Dividend Option</v>
          </cell>
        </row>
        <row r="11575">
          <cell r="F11575" t="str">
            <v>UTI - Treasury Advantage Fund - Direct Plan - Fortnightly Dividend Option</v>
          </cell>
        </row>
        <row r="11576">
          <cell r="F11576" t="str">
            <v>UTI - Treasury Advantage Fund - Direct Plan - Growth Option</v>
          </cell>
        </row>
        <row r="11577">
          <cell r="F11577" t="str">
            <v>UTI - Treasury Advantage Fund - Direct Plan - Half Yearly Dividend Option</v>
          </cell>
        </row>
        <row r="11578">
          <cell r="F11578" t="str">
            <v>UTI - Treasury Advantage Fund - Direct Plan - Monthly Dividend Option</v>
          </cell>
        </row>
        <row r="11579">
          <cell r="F11579" t="str">
            <v>UTI - Treasury Advantage Fund - Direct Plan - Quarterly Dividend Option</v>
          </cell>
        </row>
        <row r="11580">
          <cell r="F11580" t="str">
            <v>UTI - Treasury Advantage Fund - Direct Plan - Weekly Dividend Option</v>
          </cell>
        </row>
        <row r="11581">
          <cell r="F11581" t="str">
            <v>UTI - Treasury Advantage Fund - Discontinued - Annaul Dividend Option</v>
          </cell>
        </row>
        <row r="11582">
          <cell r="F11582" t="str">
            <v>UTI - Treasury Advantage Fund - Discontinued - Periodic Dividend Plan</v>
          </cell>
        </row>
        <row r="11583">
          <cell r="F11583" t="str">
            <v>UTI - Treasury Advantage Fund - Discontinued - Quarterly Dividend Option</v>
          </cell>
        </row>
        <row r="11584">
          <cell r="F11584" t="str">
            <v>UTI - Treasury Advantage Fund - Discontinued Bonus Option</v>
          </cell>
        </row>
        <row r="11585">
          <cell r="F11585" t="str">
            <v>UTI - Treasury Advantage Fund - Discontinued Flexi Dividend Plan</v>
          </cell>
        </row>
        <row r="11586">
          <cell r="F11586" t="str">
            <v>UTI - Treasury Advantage Fund - Discontinued Growth Option</v>
          </cell>
        </row>
        <row r="11587">
          <cell r="F11587" t="str">
            <v>UTI - Treasury Advantage Fund - Discontinued Monthly Dividend Option</v>
          </cell>
        </row>
        <row r="11588">
          <cell r="F11588" t="str">
            <v>UTI - Treasury Advantage Fund - Regular Plan - Bonus Option</v>
          </cell>
        </row>
        <row r="11589">
          <cell r="F11589" t="str">
            <v>UTI - Treasury Advantage Fund - Regular Plan - Daily Dividend Reinvestment Option</v>
          </cell>
        </row>
        <row r="11590">
          <cell r="F11590" t="str">
            <v>UTI - Treasury Advantage Fund - Regular Plan - Flexi Dividend Option</v>
          </cell>
        </row>
        <row r="11591">
          <cell r="F11591" t="str">
            <v>UTI - Treasury Advantage Fund - Regular Plan - Fortnightly Dividend Option</v>
          </cell>
        </row>
        <row r="11592">
          <cell r="F11592" t="str">
            <v>UTI - Treasury Advantage Fund - Regular Plan - Growth Option</v>
          </cell>
        </row>
        <row r="11593">
          <cell r="F11593" t="str">
            <v>UTI - Treasury Advantage Fund - Regular Plan - Half Yearly Dividend Option</v>
          </cell>
        </row>
        <row r="11594">
          <cell r="F11594" t="str">
            <v>UTI - Treasury Advantage Fund - Regular Plan - Monthly Dividend Option</v>
          </cell>
        </row>
        <row r="11595">
          <cell r="F11595" t="str">
            <v>UTI - Treasury Advantage Fund - Regular Plan - Quarterly Dividend Option</v>
          </cell>
        </row>
        <row r="11596">
          <cell r="F11596" t="str">
            <v>UTI - Treasury Advantage Fund - Regular Plan - Weekly Dividend Option</v>
          </cell>
        </row>
        <row r="11597">
          <cell r="F11597" t="str">
            <v>UTI - Ultra Short Term Fund - Direct Plan - Annual Dividend Option</v>
          </cell>
        </row>
        <row r="11598">
          <cell r="F11598" t="str">
            <v>UTI - Ultra Short Term Fund - Direct Plan - Daily Dividend Reinvestment Option</v>
          </cell>
        </row>
        <row r="11599">
          <cell r="F11599" t="str">
            <v>UTI - Ultra Short Term Fund - Direct Plan - Growth Option</v>
          </cell>
        </row>
        <row r="11600">
          <cell r="F11600" t="str">
            <v>UTI - Ultra Short Term Fund - Direct Plan - Monthly Dividend Option</v>
          </cell>
        </row>
        <row r="11601">
          <cell r="F11601" t="str">
            <v>UTI - Ultra Short Term Fund - Direct Plan - Quarterly Dividend Option</v>
          </cell>
        </row>
        <row r="11602">
          <cell r="F11602" t="str">
            <v>UTI - Ultra Short Term Fund - Direct Plan -Flexi Dividend Option</v>
          </cell>
        </row>
        <row r="11603">
          <cell r="F11603" t="str">
            <v>UTI - Ultra Short Term Fund - Direct Plan -Weekly Dividend Reinvestment Option</v>
          </cell>
        </row>
        <row r="11604">
          <cell r="F11604" t="str">
            <v>UTI - Ultra Short Term Fund - Discontinued - INSTN GROWTH OPTION</v>
          </cell>
        </row>
        <row r="11605">
          <cell r="F11605" t="str">
            <v>UTI - Ultra Short Term Fund - Discontinued - INSTN PLAN - PERIODIC DIVIDEND OPTION</v>
          </cell>
        </row>
        <row r="11606">
          <cell r="F11606" t="str">
            <v>UTI - Ultra Short Term Fund - Regular Plan - Annual Dividend Option</v>
          </cell>
        </row>
        <row r="11607">
          <cell r="F11607" t="str">
            <v>UTI - Ultra Short Term Fund - Regular Plan - Daily Dividend Reinvestment Option</v>
          </cell>
        </row>
        <row r="11608">
          <cell r="F11608" t="str">
            <v>UTI - Ultra Short Term Fund - Regular Plan - Fortnightly Dividend Option</v>
          </cell>
        </row>
        <row r="11609">
          <cell r="F11609" t="str">
            <v>UTI - Ultra Short Term Fund - Regular Plan - Growth Option</v>
          </cell>
        </row>
        <row r="11610">
          <cell r="F11610" t="str">
            <v>UTI - Ultra Short Term Fund - Regular Plan - Half Yearly Dividend Option</v>
          </cell>
        </row>
        <row r="11611">
          <cell r="F11611" t="str">
            <v>UTI - Ultra Short Term Fund - Regular Plan - Monthly Dividend Option</v>
          </cell>
        </row>
        <row r="11612">
          <cell r="F11612" t="str">
            <v>UTI - Ultra Short Term Fund - Regular Plan - Quarterly Dividend Option</v>
          </cell>
        </row>
        <row r="11613">
          <cell r="F11613" t="str">
            <v>UTI - Ultra Short Term Fund - Regular Plan - Weekly Dividend Reinvestment Option</v>
          </cell>
        </row>
        <row r="11614">
          <cell r="F11614" t="str">
            <v>UTI - Ultra Short Term Fund -Regular Plan -Flexi Dividend Option</v>
          </cell>
        </row>
        <row r="11615">
          <cell r="F11615" t="str">
            <v>UTI - Unit Linked Insurance Plan</v>
          </cell>
        </row>
        <row r="11616">
          <cell r="F11616" t="str">
            <v>UTI - Unit Linked Insurance Plan- Direct</v>
          </cell>
        </row>
        <row r="11617">
          <cell r="F11617" t="str">
            <v>UTI Arbitrage Fund - Direct Plan - Growth Option</v>
          </cell>
        </row>
        <row r="11618">
          <cell r="F11618" t="str">
            <v>UTI Arbitrage Fund - Direct Plan -Dividend Option</v>
          </cell>
        </row>
        <row r="11619">
          <cell r="F11619" t="str">
            <v>UTI Arbitrage Fund - Regular Plan - Dividend Option</v>
          </cell>
        </row>
        <row r="11620">
          <cell r="F11620" t="str">
            <v>UTI Arbitrage Fund - Regular Plan - Growth Option</v>
          </cell>
        </row>
        <row r="11621">
          <cell r="F11621" t="str">
            <v>UTI Banking &amp; PSU Debt Fund - Direct Plan - Annual Div Option</v>
          </cell>
        </row>
        <row r="11622">
          <cell r="F11622" t="str">
            <v>UTI Banking &amp; PSU Debt Fund - Direct Plan - Flexi Div Option</v>
          </cell>
        </row>
        <row r="11623">
          <cell r="F11623" t="str">
            <v>UTI Banking &amp; PSU Debt Fund - Direct Plan - Growth Option</v>
          </cell>
        </row>
        <row r="11624">
          <cell r="F11624" t="str">
            <v>UTI Banking &amp; PSU Debt Fund - Direct Plan - Half Yearly  Div Option</v>
          </cell>
        </row>
        <row r="11625">
          <cell r="F11625" t="str">
            <v>UTI Banking &amp; PSU Debt Fund - Direct Plan - Monthly Div Option</v>
          </cell>
        </row>
        <row r="11626">
          <cell r="F11626" t="str">
            <v>UTI Banking &amp; PSU Debt Fund - Direct Plan - Quarterly Div Option</v>
          </cell>
        </row>
        <row r="11627">
          <cell r="F11627" t="str">
            <v>UTI Banking &amp; PSU Debt Fund - Regular Plan - Annual Div Option</v>
          </cell>
        </row>
        <row r="11628">
          <cell r="F11628" t="str">
            <v>UTI Banking &amp; PSU Debt Fund - Regular Plan - Flexi Div Option</v>
          </cell>
        </row>
        <row r="11629">
          <cell r="F11629" t="str">
            <v>UTI Banking &amp; PSU Debt Fund - Regular Plan - Half Yearly Div Option</v>
          </cell>
        </row>
        <row r="11630">
          <cell r="F11630" t="str">
            <v>UTI Banking &amp; PSU Debt Fund - Regular Plan - Monthly div Option</v>
          </cell>
        </row>
        <row r="11631">
          <cell r="F11631" t="str">
            <v>UTI Banking &amp; PSU Debt Fund- Regular Plan - Growth Option</v>
          </cell>
        </row>
        <row r="11632">
          <cell r="F11632" t="str">
            <v>UTI Banking &amp; PSU Debt Fund- Regular Plan - Quarterly Div Option</v>
          </cell>
        </row>
        <row r="11633">
          <cell r="F11633" t="str">
            <v>UTI Banking and Financial Services Fund - Direct Plan - Growth Option</v>
          </cell>
        </row>
        <row r="11634">
          <cell r="F11634" t="str">
            <v>UTI Banking and Financial Services Fund - Direct Plan - Income Option</v>
          </cell>
        </row>
        <row r="11635">
          <cell r="F11635" t="str">
            <v>UTI Banking and Financial Services Fund - Regular Plan - Growth Option</v>
          </cell>
        </row>
        <row r="11636">
          <cell r="F11636" t="str">
            <v>UTI Banking and Financial Services Fund - Regular Plan - Income Option</v>
          </cell>
        </row>
        <row r="11637">
          <cell r="F11637" t="str">
            <v>UTI Bluechip Flexicap Fund - Direct Plan - Dividend Option</v>
          </cell>
        </row>
        <row r="11638">
          <cell r="F11638" t="str">
            <v>UTI Bluechip Flexicap Fund - Direct Plan - Growth Option</v>
          </cell>
        </row>
        <row r="11639">
          <cell r="F11639" t="str">
            <v>UTI Bluechip Flexicap Fund - Regular Plan - Dividend Option</v>
          </cell>
        </row>
        <row r="11640">
          <cell r="F11640" t="str">
            <v>UTI Bluechip Flexicap Fund - Regular Plan - Growth option</v>
          </cell>
        </row>
        <row r="11641">
          <cell r="F11641" t="str">
            <v>UTI Bond Fund - Annual Div Option</v>
          </cell>
        </row>
        <row r="11642">
          <cell r="F11642" t="str">
            <v>UTI Bond Fund - Direct Plan - Annual Div Option</v>
          </cell>
        </row>
        <row r="11643">
          <cell r="F11643" t="str">
            <v>UTI Bond Fund - Flexi Dividend Option</v>
          </cell>
        </row>
        <row r="11644">
          <cell r="F11644" t="str">
            <v>UTI Bond Fund - Flexi Dividend Option - Direct</v>
          </cell>
        </row>
        <row r="11645">
          <cell r="F11645" t="str">
            <v>UTI Bond Fund - Half Yearly Div Option</v>
          </cell>
        </row>
        <row r="11646">
          <cell r="F11646" t="str">
            <v>UTI Bond Fund- Quarterly Div Option - Direct</v>
          </cell>
        </row>
        <row r="11647">
          <cell r="F11647" t="str">
            <v>UTI Bond Fund- Regular Plan - Growth</v>
          </cell>
        </row>
        <row r="11648">
          <cell r="F11648" t="str">
            <v>UTI Bond Fund-Growth - Direct</v>
          </cell>
        </row>
        <row r="11649">
          <cell r="F11649" t="str">
            <v>UTI Bond Fund-Quarterly Div Option</v>
          </cell>
        </row>
        <row r="11650">
          <cell r="F11650" t="str">
            <v>UTI Capital Protection Oriented Scheme - Series V-I (1163 Days) - Dividend Option</v>
          </cell>
        </row>
        <row r="11651">
          <cell r="F11651" t="str">
            <v>UTI Capital Protection Oriented Scheme - Series V-I (1163 Days) - Dividend Option - Direct</v>
          </cell>
        </row>
        <row r="11652">
          <cell r="F11652" t="str">
            <v>UTI Capital Protection Oriented Scheme - Series V-I (1163 Days) - Growth Option</v>
          </cell>
        </row>
        <row r="11653">
          <cell r="F11653" t="str">
            <v>UTI Capital Protection Oriented Scheme - Series V-I (1163 Days) - Growth Option - Direct</v>
          </cell>
        </row>
        <row r="11654">
          <cell r="F11654" t="str">
            <v>UTI Capital Protection Oriented Scheme - Series VI-I (1098 Days) - Direct Plan - Dividend Option</v>
          </cell>
        </row>
        <row r="11655">
          <cell r="F11655" t="str">
            <v>UTI Capital Protection Oriented Scheme - Series VI-I (1098 Days) - Regular Plan - Dividend Option</v>
          </cell>
        </row>
        <row r="11656">
          <cell r="F11656" t="str">
            <v>UTI Capital Protection Oriented Scheme - Series VI-I (1098 Days) - Regular Plan - Growth Option</v>
          </cell>
        </row>
        <row r="11657">
          <cell r="F11657" t="str">
            <v>UTI Capital Protection Oriented Scheme Series - VI-I (1098 Days) - Direct Plan - Growth Option</v>
          </cell>
        </row>
        <row r="11658">
          <cell r="F11658" t="str">
            <v>UTI Capital Protection Oriented Scheme Series IX-I (1467 Days) - Direct Plan - Dividend Option</v>
          </cell>
        </row>
        <row r="11659">
          <cell r="F11659" t="str">
            <v>UTI Capital Protection Oriented Scheme Series IX-I (1467 Days) - Direct Plan - Growth Option</v>
          </cell>
        </row>
        <row r="11660">
          <cell r="F11660" t="str">
            <v>UTI Capital Protection Oriented Scheme Series IX-I (1467 Days) - Regular Plan - Dividend Option</v>
          </cell>
        </row>
        <row r="11661">
          <cell r="F11661" t="str">
            <v>UTI Capital Protection Oriented Scheme Series IX-I (1467 Days) - Regular Plan - Growth Option</v>
          </cell>
        </row>
        <row r="11662">
          <cell r="F11662" t="str">
            <v>UTI Capital Protection Oriented Scheme Series IX-II ( 1462 Days) - Direct Plan - Dividend Option</v>
          </cell>
        </row>
        <row r="11663">
          <cell r="F11663" t="str">
            <v>UTI Capital Protection Oriented Scheme Series IX-II ( 1462 Days) - Direct Plan - Growth Option</v>
          </cell>
        </row>
        <row r="11664">
          <cell r="F11664" t="str">
            <v>UTI Capital Protection Oriented Scheme Series IX-II ( 1462 Days) - Regular Plan - Dividend Option</v>
          </cell>
        </row>
        <row r="11665">
          <cell r="F11665" t="str">
            <v>UTI Capital Protection Oriented Scheme Series IX-II ( 1462 Days) - Regular Plan - Growth Option</v>
          </cell>
        </row>
        <row r="11666">
          <cell r="F11666" t="str">
            <v>UTI Capital Protection Oriented Scheme Series IX-III ( 1389 Days) - Direct Plan - Dividend Option</v>
          </cell>
        </row>
        <row r="11667">
          <cell r="F11667" t="str">
            <v>UTI Capital Protection Oriented Scheme Series IX-III ( 1389 Days) - Direct Plan - Growth Option</v>
          </cell>
        </row>
        <row r="11668">
          <cell r="F11668" t="str">
            <v>UTI Capital Protection Oriented Scheme Series IX-III ( 1389 Days) - Regular Plan - Dividend Option</v>
          </cell>
        </row>
        <row r="11669">
          <cell r="F11669" t="str">
            <v>UTI Capital Protection Oriented Scheme Series IX-III ( 1389 Days) - Regular Plan - Growth Option</v>
          </cell>
        </row>
        <row r="11670">
          <cell r="F11670" t="str">
            <v>UTI Capital Protection Oriented Scheme Series V-II (1135 Days) - Dividend Option</v>
          </cell>
        </row>
        <row r="11671">
          <cell r="F11671" t="str">
            <v>UTI Capital Protection Oriented Scheme Series V-II (1135 Days) - Dividend Option - Direct</v>
          </cell>
        </row>
        <row r="11672">
          <cell r="F11672" t="str">
            <v>UTI Capital Protection Oriented Scheme Series V-II (1135 Days) - Growth Option</v>
          </cell>
        </row>
        <row r="11673">
          <cell r="F11673" t="str">
            <v>UTI Capital Protection Oriented Scheme Series V-II (1135 Days) - Growth Option - Direct</v>
          </cell>
        </row>
        <row r="11674">
          <cell r="F11674" t="str">
            <v>UTI Capital Protection Oriented Scheme Series VI-II ( 1100 Days) - Regular Plan - Growth Option</v>
          </cell>
        </row>
        <row r="11675">
          <cell r="F11675" t="str">
            <v>UTI Capital Protection Oriented Scheme Series VI-II (1100 DAys ) - Direct Plan - Growth Option</v>
          </cell>
        </row>
        <row r="11676">
          <cell r="F11676" t="str">
            <v>UTI Capital Protection Oriented Scheme Series VI-II (1100 Days) - Direct Plan - Dividend Option</v>
          </cell>
        </row>
        <row r="11677">
          <cell r="F11677" t="str">
            <v>UTI Capital Protection Oriented Scheme Series VI-II (1100 Days) - Regular Plan - Dividend Option</v>
          </cell>
        </row>
        <row r="11678">
          <cell r="F11678" t="str">
            <v>UTI Capital Protection Oriented Scheme Series VI-III (1098 Days) - Direct Plan - Dividend Option</v>
          </cell>
        </row>
        <row r="11679">
          <cell r="F11679" t="str">
            <v>UTI Capital Protection Oriented Scheme Series VI-III (1098 Days) - Direct Plan - Growth Option</v>
          </cell>
        </row>
        <row r="11680">
          <cell r="F11680" t="str">
            <v>UTI Capital Protection Oriented Scheme Series VI-III (1098 Days) - Regular Plan - Dividend Option</v>
          </cell>
        </row>
        <row r="11681">
          <cell r="F11681" t="str">
            <v>UTI Capital Protection Oriented Scheme Series VI-III (1098 Days) - Regular Plan - Growth Option</v>
          </cell>
        </row>
        <row r="11682">
          <cell r="F11682" t="str">
            <v>UTI Capital Protection Oriented Scheme Series VII-I (1098 Days) - Direct Plan - Dividend Option</v>
          </cell>
        </row>
        <row r="11683">
          <cell r="F11683" t="str">
            <v>UTI Capital Protection Oriented Scheme Series VII-I (1098 Days) - Direct Plan - Growth Option</v>
          </cell>
        </row>
        <row r="11684">
          <cell r="F11684" t="str">
            <v>UTI Capital Protection Oriented Scheme Series VII-I (1098 Days) - Regular Plan - Dividend Option</v>
          </cell>
        </row>
        <row r="11685">
          <cell r="F11685" t="str">
            <v>UTI Capital Protection Oriented Scheme Series VII-I (1098 Days) - Regular Plan - Growth Option</v>
          </cell>
        </row>
        <row r="11686">
          <cell r="F11686" t="str">
            <v>UTI Capital Protection Oriented Scheme Series VII-II (1281 Days) - Direct Plan - Dividend Option</v>
          </cell>
        </row>
        <row r="11687">
          <cell r="F11687" t="str">
            <v>UTI Capital Protection Oriented Scheme Series VII-II (1281 Days) - Direct Plan - Growth Option</v>
          </cell>
        </row>
        <row r="11688">
          <cell r="F11688" t="str">
            <v>UTI Capital Protection Oriented Scheme Series VII-II (1281 Days) - Regular Plan - Dividend Option</v>
          </cell>
        </row>
        <row r="11689">
          <cell r="F11689" t="str">
            <v>UTI Capital Protection Oriented Scheme Series VII-II (1281 Days) - Regular Plan - Growth Option</v>
          </cell>
        </row>
        <row r="11690">
          <cell r="F11690" t="str">
            <v>UTI Capital Protection Oriented Scheme Series VII-III (1279 Days) - Direct Plan - Dividend Option</v>
          </cell>
        </row>
        <row r="11691">
          <cell r="F11691" t="str">
            <v>UTI Capital Protection Oriented Scheme Series VII-III (1279 Days) - Direct Plan - Growth Option</v>
          </cell>
        </row>
        <row r="11692">
          <cell r="F11692" t="str">
            <v>UTI Capital Protection Oriented Scheme Series VII-III (1279 Days) - Regular Plan - Dividend Option</v>
          </cell>
        </row>
        <row r="11693">
          <cell r="F11693" t="str">
            <v>UTI Capital Protection Oriented Scheme Series VII-III (1279 Days) - Regular Plan - Growth Option</v>
          </cell>
        </row>
        <row r="11694">
          <cell r="F11694" t="str">
            <v>UTI Capital Protection Oriented Scheme Series VII-IV (1278 Days) - Direct Plan - Dividend Option</v>
          </cell>
        </row>
        <row r="11695">
          <cell r="F11695" t="str">
            <v>UTI Capital Protection Oriented Scheme Series VII-IV (1278 Days) - Direct Plan - Growth Option</v>
          </cell>
        </row>
        <row r="11696">
          <cell r="F11696" t="str">
            <v>UTI Capital Protection Oriented Scheme Series VII-IV (1278 Days) - Regular Plan - Dividend Option</v>
          </cell>
        </row>
        <row r="11697">
          <cell r="F11697" t="str">
            <v>UTI Capital Protection Oriented Scheme Series VII-IV (1278 Days) - Regular Plan - Growth Option</v>
          </cell>
        </row>
        <row r="11698">
          <cell r="F11698" t="str">
            <v>UTI Capital Protection Oriented Scheme Series VII-V (1281 Days) - Direct Plan - Dividend Option</v>
          </cell>
        </row>
        <row r="11699">
          <cell r="F11699" t="str">
            <v>UTI Capital Protection Oriented Scheme Series VII-V (1281 Days) - Direct Plan - Growth Option</v>
          </cell>
        </row>
        <row r="11700">
          <cell r="F11700" t="str">
            <v>UTI Capital Protection Oriented Scheme Series VII-V (1281 Days) - Regular Plan - Dividend Option</v>
          </cell>
        </row>
        <row r="11701">
          <cell r="F11701" t="str">
            <v>UTI Capital Protection Oriented Scheme Series VII-V (1281 Days) - Regular Plan - Growth Option</v>
          </cell>
        </row>
        <row r="11702">
          <cell r="F11702" t="str">
            <v>UTI Capital Protection Oriented Scheme Series VIII - II (1831 Days) - Regular Plan - Dividend Option</v>
          </cell>
        </row>
        <row r="11703">
          <cell r="F11703" t="str">
            <v>UTI Capital Protection Oriented Scheme Series VIII - II (1831 Days) - Regular Plan - Growth Option</v>
          </cell>
        </row>
        <row r="11704">
          <cell r="F11704" t="str">
            <v>UTI Capital Protection Oriented Scheme Series VIII -II  (1831 Days) - Direct Plan - Growth Option</v>
          </cell>
        </row>
        <row r="11705">
          <cell r="F11705" t="str">
            <v>UTI Capital Protection Oriented Scheme Series VIII-I (1278 Days) - Direct Plan - Dividend Option</v>
          </cell>
        </row>
        <row r="11706">
          <cell r="F11706" t="str">
            <v>UTI Capital Protection Oriented Scheme Series VIII-I (1278 Days) - Direct Plan - Growth Option</v>
          </cell>
        </row>
        <row r="11707">
          <cell r="F11707" t="str">
            <v>UTI Capital Protection Oriented Scheme Series VIII-I (1278 Days) - Regular Plan - Dividend Option</v>
          </cell>
        </row>
        <row r="11708">
          <cell r="F11708" t="str">
            <v>UTI Capital Protection Oriented Scheme Series VIII-I (1278 Days) - Regular Plan - Growth Option</v>
          </cell>
        </row>
        <row r="11709">
          <cell r="F11709" t="str">
            <v>UTI Capital Protection Oriented Scheme Series VIII-II (1831 Days) - Direct Plan - Dividend Option</v>
          </cell>
        </row>
        <row r="11710">
          <cell r="F11710" t="str">
            <v>UTI Capital Protection Oriented Scheme Series VIII-III (1281 Days) - Direct Plan - Dividend Option</v>
          </cell>
        </row>
        <row r="11711">
          <cell r="F11711" t="str">
            <v>UTI Capital Protection Oriented Scheme Series VIII-III (1281 Days) - Regular Plan - Dividend Option</v>
          </cell>
        </row>
        <row r="11712">
          <cell r="F11712" t="str">
            <v>UTI Capital Protection Oriented Scheme Series VIII-III (1281 Days) - Regular Plan - Growth Option</v>
          </cell>
        </row>
        <row r="11713">
          <cell r="F11713" t="str">
            <v>UTI Capital Protection Oriented Scheme Series VIII-III (1281Days) - Direct Plan - Growth Option</v>
          </cell>
        </row>
        <row r="11714">
          <cell r="F11714" t="str">
            <v>UTI Capital Protection Oriented Scheme Series VIII-IV (1996 Days) - Direct Plan - Dividend Option</v>
          </cell>
        </row>
        <row r="11715">
          <cell r="F11715" t="str">
            <v>UTI Capital Protection Oriented Scheme Series VIII-IV (1996 Days) - Direct Plan - Growth Option</v>
          </cell>
        </row>
        <row r="11716">
          <cell r="F11716" t="str">
            <v>UTI Capital Protection Oriented Scheme Series VIII-IV (1996 Days) - Regular Plan - Dividend Option</v>
          </cell>
        </row>
        <row r="11717">
          <cell r="F11717" t="str">
            <v>UTI Capital Protection Oriented Scheme Series VIII-IV (1996 Days) - Regular Plan - Growth Option</v>
          </cell>
        </row>
        <row r="11718">
          <cell r="F11718" t="str">
            <v>UTI CCF Investment Plan - Direct Plan - Growth Option</v>
          </cell>
        </row>
        <row r="11719">
          <cell r="F11719" t="str">
            <v>UTI CCF Investment Plan - Direct Plan - Income Option</v>
          </cell>
        </row>
        <row r="11720">
          <cell r="F11720" t="str">
            <v>UTI CCF Investment Plan - Regular Plan - Growth Option</v>
          </cell>
        </row>
        <row r="11721">
          <cell r="F11721" t="str">
            <v>UTI CCF Investment Plan - Regular Plan - Income Option</v>
          </cell>
        </row>
        <row r="11722">
          <cell r="F11722" t="str">
            <v>UTI CCF Saving Plan - Direct Plan</v>
          </cell>
        </row>
        <row r="11723">
          <cell r="F11723" t="str">
            <v>UTI CCF Saving Plan - Regular Plan</v>
          </cell>
        </row>
        <row r="11724">
          <cell r="F11724" t="str">
            <v>UTI Credit Risk Fund  - Regular Plan - Growth Option</v>
          </cell>
        </row>
        <row r="11725">
          <cell r="F11725" t="str">
            <v>UTI Credit Risk Fund  - Regular Plan - Quarterly Div Option</v>
          </cell>
        </row>
        <row r="11726">
          <cell r="F11726" t="str">
            <v>UTI Credit Risk Fund - Direct Plan - Annual Div Option</v>
          </cell>
        </row>
        <row r="11727">
          <cell r="F11727" t="str">
            <v>UTI Credit Risk Fund - Direct Plan - Flexi Div Option</v>
          </cell>
        </row>
        <row r="11728">
          <cell r="F11728" t="str">
            <v>UTI Credit Risk Fund - Direct Plan - Growth Option</v>
          </cell>
        </row>
        <row r="11729">
          <cell r="F11729" t="str">
            <v>UTI Credit Risk Fund - Direct Plan - Half Yearly Div Option</v>
          </cell>
        </row>
        <row r="11730">
          <cell r="F11730" t="str">
            <v>UTI Credit Risk Fund - Direct Plan - Monthly Div Option</v>
          </cell>
        </row>
        <row r="11731">
          <cell r="F11731" t="str">
            <v>UTI Credit Risk Fund - Direct Plan - Quarterly Div Option</v>
          </cell>
        </row>
        <row r="11732">
          <cell r="F11732" t="str">
            <v>UTI Credit Risk Fund - Regular Plan - Annual Div Option</v>
          </cell>
        </row>
        <row r="11733">
          <cell r="F11733" t="str">
            <v>UTI Credit Risk Fund - Regular Plan - Flexi Div Option</v>
          </cell>
        </row>
        <row r="11734">
          <cell r="F11734" t="str">
            <v>UTI Credit Risk Fund - Regular Plan - Half Yearly Div Option</v>
          </cell>
        </row>
        <row r="11735">
          <cell r="F11735" t="str">
            <v>UTI Credit Risk Fund - Regular Plan - Monthly Div Option</v>
          </cell>
        </row>
        <row r="11736">
          <cell r="F11736" t="str">
            <v>UTI Dual Advantage Fixed Term Fund  Series V-I ( 1103 days) - Direct  Plan - Growth Option</v>
          </cell>
        </row>
        <row r="11737">
          <cell r="F11737" t="str">
            <v>UTI Dual Advantage Fixed Term Fund  Series V-I ( 1103 days) - Direct Plan - Dividend Option</v>
          </cell>
        </row>
        <row r="11738">
          <cell r="F11738" t="str">
            <v>UTI Dual Advantage Fixed Term Fund  Series V-I ( 1103 days) - Regular Plan - Dividend Option</v>
          </cell>
        </row>
        <row r="11739">
          <cell r="F11739" t="str">
            <v>UTI Dual Advantage Fixed Term Fund  Series V-I ( 1103 days) - Regular Plan - Growth Option</v>
          </cell>
        </row>
        <row r="11740">
          <cell r="F11740" t="str">
            <v>UTI Dual Advantage Fixed Term Fund Series I - II (1145 Days) - Dividend Option - Direct</v>
          </cell>
        </row>
        <row r="11741">
          <cell r="F11741" t="str">
            <v>UTI Dual Advantage Fixed Term Fund Series I -II (1145 Days) - Growth Option - Direct</v>
          </cell>
        </row>
        <row r="11742">
          <cell r="F11742" t="str">
            <v>UTI Dual Advantage Fixed Term Fund Series I- II (1145 Days) - Dividend Option</v>
          </cell>
        </row>
        <row r="11743">
          <cell r="F11743" t="str">
            <v>UTI Dual Advantage Fixed Term Fund Series I-II (1145 Days) - Growth Option</v>
          </cell>
        </row>
        <row r="11744">
          <cell r="F11744" t="str">
            <v>UTI Dual Advantage Fixed Term Fund Series I-III (1111 Days) - Dividend Option</v>
          </cell>
        </row>
        <row r="11745">
          <cell r="F11745" t="str">
            <v>UTI Dual Advantage Fixed Term Fund Series I-III (1111 Days) - Dividend Option - Direct</v>
          </cell>
        </row>
        <row r="11746">
          <cell r="F11746" t="str">
            <v>UTI Dual Advantage Fixed Term Fund Series I-III (1111 Days) - Growth Option</v>
          </cell>
        </row>
        <row r="11747">
          <cell r="F11747" t="str">
            <v>UTI Dual Advantage Fixed Term Fund Series I-III (1111 Days) - Growth Option - Direct</v>
          </cell>
        </row>
        <row r="11748">
          <cell r="F11748" t="str">
            <v>UTI Dual Advantage Fixed Term Fund Series I-IV (1099 Days) - Direct Plan - Dividend Option</v>
          </cell>
        </row>
        <row r="11749">
          <cell r="F11749" t="str">
            <v>UTI Dual Advantage Fixed Term Fund Series I-IV (1099 Days) - Direct Plan - Growth Option</v>
          </cell>
        </row>
        <row r="11750">
          <cell r="F11750" t="str">
            <v>UTI Dual Advantage Fixed Term Fund Series I-IV (1099 Days) - Regular Plan - Dividend Option</v>
          </cell>
        </row>
        <row r="11751">
          <cell r="F11751" t="str">
            <v>UTI Dual Advantage Fixed Term Fund Series I-IV (1099 Days) - Regular Plan -Growth Option</v>
          </cell>
        </row>
        <row r="11752">
          <cell r="F11752" t="str">
            <v>UTI Dual Advantage Fixed Term Fund Series I-V (1099 Days) - Direct Plan - Dividend Option</v>
          </cell>
        </row>
        <row r="11753">
          <cell r="F11753" t="str">
            <v>UTI Dual Advantage Fixed Term Fund Series I-V (1099 Days) - Direct Plan - Growth Option</v>
          </cell>
        </row>
        <row r="11754">
          <cell r="F11754" t="str">
            <v>UTI Dual Advantage Fixed Term Fund Series I-V (1099 Days) - Regular Plan - Dividend Option</v>
          </cell>
        </row>
        <row r="11755">
          <cell r="F11755" t="str">
            <v>UTI Dual Advantage Fixed Term Fund Series I-V (1099 Days) - Regular Plan - Growth Option</v>
          </cell>
        </row>
        <row r="11756">
          <cell r="F11756" t="str">
            <v>UTI Dual Advantage Fixed Term Fund Series II-I (1998 Days) - Direct Plan - Dividend Option</v>
          </cell>
        </row>
        <row r="11757">
          <cell r="F11757" t="str">
            <v>UTI Dual Advantage Fixed Term Fund Series II-I (1998 Days) - Direct Plan - Growth Option</v>
          </cell>
        </row>
        <row r="11758">
          <cell r="F11758" t="str">
            <v>UTI Dual Advantage Fixed Term Fund Series II-I (1998 Days) - Regular Plan - Dividend Option</v>
          </cell>
        </row>
        <row r="11759">
          <cell r="F11759" t="str">
            <v>UTI Dual Advantage Fixed Term Fund Series II-I (1998 Days) - Regular Plan - Growth Option</v>
          </cell>
        </row>
        <row r="11760">
          <cell r="F11760" t="str">
            <v>UTI Dual Advantage Fixed Term Fund Series II-II (1997 Days) - Direct Plan - Dividend Option</v>
          </cell>
        </row>
        <row r="11761">
          <cell r="F11761" t="str">
            <v>UTI Dual Advantage Fixed Term Fund Series II-II (1997 Days) - Direct Plan- Growth Option</v>
          </cell>
        </row>
        <row r="11762">
          <cell r="F11762" t="str">
            <v>UTI Dual Advantage Fixed Term Fund Series II-II (1997 days) - Regular Plan - Dividend Option</v>
          </cell>
        </row>
        <row r="11763">
          <cell r="F11763" t="str">
            <v>UTI Dual Advantage Fixed Term Fund Series II-II (1997 Days) - Regular Plan - Growth Option</v>
          </cell>
        </row>
        <row r="11764">
          <cell r="F11764" t="str">
            <v>UTI Dual Advantage Fixed Term Fund Series II-III (1998 Days) - Direct Plan - Dividend Option</v>
          </cell>
        </row>
        <row r="11765">
          <cell r="F11765" t="str">
            <v>UTI Dual Advantage Fixed Term Fund Series II-III (1998 Days) - Direct Plan - Growth Option</v>
          </cell>
        </row>
        <row r="11766">
          <cell r="F11766" t="str">
            <v>UTI Dual Advantage Fixed Term Fund Series II-III (1998 Days) - Regular Plan - Dividend Option</v>
          </cell>
        </row>
        <row r="11767">
          <cell r="F11767" t="str">
            <v>UTI Dual Advantage Fixed Term Fund Series II-III (1998 Days) - Regular Plan - Growth Option</v>
          </cell>
        </row>
        <row r="11768">
          <cell r="F11768" t="str">
            <v>UTI Dynamic Bond Fund - Direct Plan - Annual Div Option</v>
          </cell>
        </row>
        <row r="11769">
          <cell r="F11769" t="str">
            <v>UTI Dynamic Bond Fund - Direct Plan - Dividend Option</v>
          </cell>
        </row>
        <row r="11770">
          <cell r="F11770" t="str">
            <v>UTI Dynamic Bond Fund - Direct Plan - Flexi Dividend Option</v>
          </cell>
        </row>
        <row r="11771">
          <cell r="F11771" t="str">
            <v>UTI Dynamic Bond Fund - Direct Plan - Growth Option</v>
          </cell>
        </row>
        <row r="11772">
          <cell r="F11772" t="str">
            <v>UTI Dynamic Bond Fund - Direct Plan - Half Yearly Div Option</v>
          </cell>
        </row>
        <row r="11773">
          <cell r="F11773" t="str">
            <v>UTI Dynamic Bond Fund - Regular Plan - Annual Div Option</v>
          </cell>
        </row>
        <row r="11774">
          <cell r="F11774" t="str">
            <v>UTI Dynamic Bond Fund - Regular Plan - Flexi Div Option</v>
          </cell>
        </row>
        <row r="11775">
          <cell r="F11775" t="str">
            <v>UTI Dynamic Bond Fund - Regular Plan - Growth Option</v>
          </cell>
        </row>
        <row r="11776">
          <cell r="F11776" t="str">
            <v>UTI Dynamic Bond Fund - Regular Plan - Half Yearly Div Option</v>
          </cell>
        </row>
        <row r="11777">
          <cell r="F11777" t="str">
            <v>UTI Dynamic Bond Fund - Regular Plan - Quarterly Div Option</v>
          </cell>
        </row>
        <row r="11778">
          <cell r="F11778" t="str">
            <v>UTI F I I F Series II -Quarterly Interval Plan - IV -Direct Plan - Dividend Option</v>
          </cell>
        </row>
        <row r="11779">
          <cell r="F11779" t="str">
            <v>UTI F I I F Series II -Quarterly Interval Plan - IV -Direct Plan - Growth Option</v>
          </cell>
        </row>
        <row r="11780">
          <cell r="F11780" t="str">
            <v>UTI F I I F Series II -Quarterly Interval Plan - IV -Instn. Growth  Option</v>
          </cell>
        </row>
        <row r="11781">
          <cell r="F11781" t="str">
            <v>UTI F I I F Series II -Quarterly Interval Plan - IV -Regular Plan - Dividend Option</v>
          </cell>
        </row>
        <row r="11782">
          <cell r="F11782" t="str">
            <v>UTI F I I F Series II -Quarterly Interval Plan - IV -Regular Plan - Growth Option</v>
          </cell>
        </row>
        <row r="11783">
          <cell r="F11783" t="str">
            <v>UTI F I I F Series II -Quarterly Interval Plan - V - Direct Plan - Dividend Option</v>
          </cell>
        </row>
        <row r="11784">
          <cell r="F11784" t="str">
            <v>UTI F I I F Series II -Quarterly Interval Plan - V - Direct Plan - Growth Option</v>
          </cell>
        </row>
        <row r="11785">
          <cell r="F11785" t="str">
            <v>UTI F I I F Series II -Quarterly Interval Plan - V - Regular Plan - Dividend Option</v>
          </cell>
        </row>
        <row r="11786">
          <cell r="F11786" t="str">
            <v>UTI F I I F Series II -Quarterly Interval Plan - V - Regular Plan - Growth Option</v>
          </cell>
        </row>
        <row r="11787">
          <cell r="F11787" t="str">
            <v>UTI F I I F Series II -Quarterly Interval Plan - VI-Direct Plan - Growth Option</v>
          </cell>
        </row>
        <row r="11788">
          <cell r="F11788" t="str">
            <v>UTI F I I F Series II -Quarterly Interval Plan - VI-Regular Plan - Divided Option</v>
          </cell>
        </row>
        <row r="11789">
          <cell r="F11789" t="str">
            <v>UTI F I I F Series II -Quarterly Interval Plan - VI-Regular Plan - Growth Option</v>
          </cell>
        </row>
        <row r="11790">
          <cell r="F11790" t="str">
            <v>UTI F I I F Series II -Quarterly Interval Plan - VII - Direct Plan - Dividend Option</v>
          </cell>
        </row>
        <row r="11791">
          <cell r="F11791" t="str">
            <v>UTI F I I F Series II -Quarterly Interval Plan - VII - Direct Plan - Growth Option</v>
          </cell>
        </row>
        <row r="11792">
          <cell r="F11792" t="str">
            <v>UTI F I I F Series II -Quarterly Interval Plan - VII - Regular Plan - Dividend Option</v>
          </cell>
        </row>
        <row r="11793">
          <cell r="F11793" t="str">
            <v>UTI F I I F Series II -Quarterly Interval Plan - VII - Regular Plan - Growth Option</v>
          </cell>
        </row>
        <row r="11794">
          <cell r="F11794" t="str">
            <v>UTI F I I F Series II -Quarterly Interval Plan-VI-Direct Plan - Divided Option</v>
          </cell>
        </row>
        <row r="11795">
          <cell r="F11795" t="str">
            <v>UTI F I I F-Annual Interval Plan Series - II - Direct Plan - Dividend Option</v>
          </cell>
        </row>
        <row r="11796">
          <cell r="F11796" t="str">
            <v>UTI F I I F-Annual Interval Plan Series - II - Direct Plan - Growth Option</v>
          </cell>
        </row>
        <row r="11797">
          <cell r="F11797" t="str">
            <v>UTI F I I F-Annual Interval Plan Series - II - Institutional  Growth Option</v>
          </cell>
        </row>
        <row r="11798">
          <cell r="F11798" t="str">
            <v>UTI F I I F-Annual Interval Plan Series - II - Regular Plan - Growth Option</v>
          </cell>
        </row>
        <row r="11799">
          <cell r="F11799" t="str">
            <v>UTI F I I F-Annual Interval Plan Series - II - Regular Plan -Dividend Option</v>
          </cell>
        </row>
        <row r="11800">
          <cell r="F11800" t="str">
            <v>UTI Fixed  Income Interval Fund ( Half Yearly Plan - I) - Direct Plan - Dividend Option</v>
          </cell>
        </row>
        <row r="11801">
          <cell r="F11801" t="str">
            <v>UTI Fixed  Income Interval Fund ( Half Yearly Plan - I) - Direct Plan - Growth Option</v>
          </cell>
        </row>
        <row r="11802">
          <cell r="F11802" t="str">
            <v>UTI Fixed  Income Interval Fund ( Half Yearly Plan - I) - Regular Plan - Dividend Option</v>
          </cell>
        </row>
        <row r="11803">
          <cell r="F11803" t="str">
            <v>UTI Fixed  Income Interval Fund ( Half Yearly Plan - I) - Regular Plan - Growth Option</v>
          </cell>
        </row>
        <row r="11804">
          <cell r="F11804" t="str">
            <v>UTI Fixed  Income Interval Fund ( Quarterly Interval Plan - I) - Direct Plan - Dividend Option</v>
          </cell>
        </row>
        <row r="11805">
          <cell r="F11805" t="str">
            <v>UTI Fixed  Income Interval Fund ( Quarterly Interval Plan - I) - Regular Plan - Dividend Option</v>
          </cell>
        </row>
        <row r="11806">
          <cell r="F11806" t="str">
            <v>UTI Fixed  Income Interval Fund ( Quarterly Interval Plan - I) - Regular Plan - Growth Option</v>
          </cell>
        </row>
        <row r="11807">
          <cell r="F11807" t="str">
            <v>UTI Fixed  Income Interval Fund ( Quarterly Interval Plan - I) -Direct Plan - Growth Option</v>
          </cell>
        </row>
        <row r="11808">
          <cell r="F11808" t="str">
            <v>UTI Fixed  Income Interval Fund ( Quarterly Interval Plan - III) - Direct Plan - Dividend Option</v>
          </cell>
        </row>
        <row r="11809">
          <cell r="F11809" t="str">
            <v>UTI Fixed  Income Interval Fund ( Quarterly Interval Plan - III) - Direct Plan - Growth Option</v>
          </cell>
        </row>
        <row r="11810">
          <cell r="F11810" t="str">
            <v>UTI Fixed  Income Interval Fund ( Quarterly Interval Plan - III) - Inst Growth Plan</v>
          </cell>
        </row>
        <row r="11811">
          <cell r="F11811" t="str">
            <v>UTI Fixed  Income Interval Fund ( Quarterly Interval Plan - III) - Regular Plan - Dividend Option</v>
          </cell>
        </row>
        <row r="11812">
          <cell r="F11812" t="str">
            <v>UTI Fixed  Income Interval Fund ( Quarterly Interval Plan - III) -Regular Plan - Growth Option</v>
          </cell>
        </row>
        <row r="11813">
          <cell r="F11813" t="str">
            <v>UTI Fixed  Income Interval Fund ( Quarterly Interval Plan -III) - Inst Dividend Plan</v>
          </cell>
        </row>
        <row r="11814">
          <cell r="F11814" t="str">
            <v>UTI Fixed Income Interval Fund ( Half Yearly Plan-II)- Direct Plan - Growth Option</v>
          </cell>
        </row>
        <row r="11815">
          <cell r="F11815" t="str">
            <v>UTI Fixed Income Interval Fund ( Half Yearly Plan-II)- Regular Plan - Dividend Option</v>
          </cell>
        </row>
        <row r="11816">
          <cell r="F11816" t="str">
            <v>UTI Fixed Income Interval Fund ( Half Yearly Plan-II)- Regular Plan - Growth Option</v>
          </cell>
        </row>
        <row r="11817">
          <cell r="F11817" t="str">
            <v>UTI Fixed Income Interval Fund - Annual Interval Plan Series - I ( Instn Growth Option )</v>
          </cell>
        </row>
        <row r="11818">
          <cell r="F11818" t="str">
            <v>UTI Fixed Income Interval Fund - Annual Interval Plan Series - I - Direct Plan - Dividend Option</v>
          </cell>
        </row>
        <row r="11819">
          <cell r="F11819" t="str">
            <v>UTI Fixed Income Interval Fund - Annual Interval Plan Series - I - Direct Plan - Growth Option</v>
          </cell>
        </row>
        <row r="11820">
          <cell r="F11820" t="str">
            <v>UTI Fixed Income Interval Fund - Annual Interval Plan Series - I - Regular Plan - Growth Option</v>
          </cell>
        </row>
        <row r="11821">
          <cell r="F11821" t="str">
            <v>UTI Fixed Income Interval Fund - Annual Interval Plan Series - I Regular Plan - Dividend Option</v>
          </cell>
        </row>
        <row r="11822">
          <cell r="F11822" t="str">
            <v>UTI Fixed Income Interval Fund - Monthly Interval Plan II-Direct Plan - Dividend Option</v>
          </cell>
        </row>
        <row r="11823">
          <cell r="F11823" t="str">
            <v>UTI Fixed Income Interval Fund - Monthly Interval Plan II-Direct Plan - Growth Option</v>
          </cell>
        </row>
        <row r="11824">
          <cell r="F11824" t="str">
            <v>UTI Fixed Income Interval Fund - Monthly Interval Plan II-Regular Plan - Dividend Option</v>
          </cell>
        </row>
        <row r="11825">
          <cell r="F11825" t="str">
            <v>UTI Fixed Income Interval Fund - Monthly Interval Plan II-Regular Plan - Growth Option</v>
          </cell>
        </row>
        <row r="11826">
          <cell r="F11826" t="str">
            <v>UTI Fixed Interval Income Fund (Annual Interval Fund)  Series III - Direct Plan - Growth Option</v>
          </cell>
        </row>
        <row r="11827">
          <cell r="F11827" t="str">
            <v>UTI Fixed Interval Income Fund (Annual Interval Fund)  Series III - Instn Growth Option</v>
          </cell>
        </row>
        <row r="11828">
          <cell r="F11828" t="str">
            <v>UTI Fixed Interval Income Fund (Annual Interval Fund)  Series III - Regular Plan - Growth Option</v>
          </cell>
        </row>
        <row r="11829">
          <cell r="F11829" t="str">
            <v>UTI Fixed Interval Income Fund (Annual Interval Fund) Series III - Direct Plan - Dividend Option</v>
          </cell>
        </row>
        <row r="11830">
          <cell r="F11830" t="str">
            <v>UTI Fixed Interval Income Fund (Annual Interval Fund) Series III - Regular Plan - Dividend Option</v>
          </cell>
        </row>
        <row r="11831">
          <cell r="F11831" t="str">
            <v>UTI Fixed Interval Income Fund (Annual Interval Plan) Series IV - Direct Plan - Dividend Option</v>
          </cell>
        </row>
        <row r="11832">
          <cell r="F11832" t="str">
            <v>UTI Fixed Interval Income Fund (Annual Interval Plan) Series IV - Direct Plan - Growth Option</v>
          </cell>
        </row>
        <row r="11833">
          <cell r="F11833" t="str">
            <v>UTI Fixed Interval Income Fund (Annual Interval Plan) Series IV - Instn Growth Option</v>
          </cell>
        </row>
        <row r="11834">
          <cell r="F11834" t="str">
            <v>UTI Fixed Interval Income Fund (Annual Interval Plan) Series IV - Regular Plan - Dividend Option</v>
          </cell>
        </row>
        <row r="11835">
          <cell r="F11835" t="str">
            <v>UTI Fixed Interval Income Fund (Annual Interval Plan) Series IV - Regular Plan - Growth Option</v>
          </cell>
        </row>
        <row r="11836">
          <cell r="F11836" t="str">
            <v>UTI Focussed Equity Fund - Series IV (1104 Days) - Direct Plan - Dividend  Option</v>
          </cell>
        </row>
        <row r="11837">
          <cell r="F11837" t="str">
            <v>UTI Focussed Equity Fund - Series IV (1104 Days) - Direct Plan - Growth Option</v>
          </cell>
        </row>
        <row r="11838">
          <cell r="F11838" t="str">
            <v>UTI Focussed Equity Fund - Series IV (1104 Days) - Regular Plan - Dividend Option</v>
          </cell>
        </row>
        <row r="11839">
          <cell r="F11839" t="str">
            <v>UTI Focussed Equity Fund - Series IV (1104 Days) - Regular Plan - Growth Option</v>
          </cell>
        </row>
        <row r="11840">
          <cell r="F11840" t="str">
            <v>UTI Focussed Equity Fund - Series V (1102 Days) - Direct Plan - Dividend Option</v>
          </cell>
        </row>
        <row r="11841">
          <cell r="F11841" t="str">
            <v>UTI Focussed Equity Fund - Series V (1102 Days) - Direct Plan - Growth Option</v>
          </cell>
        </row>
        <row r="11842">
          <cell r="F11842" t="str">
            <v>UTI Focussed Equity Fund - Series V (1102 Days) - Regular Plan - Dividend Option</v>
          </cell>
        </row>
        <row r="11843">
          <cell r="F11843" t="str">
            <v>UTI Focussed Equity Fund - Series V (1102 Days) - Regular Plan - Growth Option</v>
          </cell>
        </row>
        <row r="11844">
          <cell r="F11844" t="str">
            <v>UTI Focussed Equity Fund Series - 1 (2195 Days) - Direct Plan - Dividend Option</v>
          </cell>
        </row>
        <row r="11845">
          <cell r="F11845" t="str">
            <v>UTI Focussed Equity Fund Series - 1 (2195 Days) - Direct Plan - Growth Option</v>
          </cell>
        </row>
        <row r="11846">
          <cell r="F11846" t="str">
            <v>UTI Focussed Equity Fund Series - 1 (2195 Days) - Regular Plan - Dividend Option</v>
          </cell>
        </row>
        <row r="11847">
          <cell r="F11847" t="str">
            <v>UTI Focussed Equity Fund Series - 1 (2195 Days) - Regular Plan - Growth Option</v>
          </cell>
        </row>
        <row r="11848">
          <cell r="F11848" t="str">
            <v>UTI FTIF Series XIX - III (368 Days) - Growth Option - Direct</v>
          </cell>
        </row>
        <row r="11849">
          <cell r="F11849" t="str">
            <v>UTI FTIF Series XIX - III (368 Days)- Growth  Option</v>
          </cell>
        </row>
        <row r="11850">
          <cell r="F11850" t="str">
            <v>UTI FTIF Series XIX - IV (366 Days) - Growth Option - Direct</v>
          </cell>
        </row>
        <row r="11851">
          <cell r="F11851" t="str">
            <v>UTI FTIF Series XIX - IV (366 Days)- Growth Option</v>
          </cell>
        </row>
        <row r="11852">
          <cell r="F11852" t="str">
            <v>UTI FTIF Series XIX - V (1095 Days) - Growth Option</v>
          </cell>
        </row>
        <row r="11853">
          <cell r="F11853" t="str">
            <v>UTI FTIF Series XIX - V (1095 Days) - Growth Option - Direct</v>
          </cell>
        </row>
        <row r="11854">
          <cell r="F11854" t="str">
            <v>UTI FTIF Series XIX - VI (366 Days) - Growth Option</v>
          </cell>
        </row>
        <row r="11855">
          <cell r="F11855" t="str">
            <v>UTI FTIF Series XIX - VI (366 Days)- Growth Option - Direct</v>
          </cell>
        </row>
        <row r="11856">
          <cell r="F11856" t="str">
            <v>UTI FTIF Series XIX - VIII ( 368 Days )- Growth Option</v>
          </cell>
        </row>
        <row r="11857">
          <cell r="F11857" t="str">
            <v>UTI FTIF Series XIX - VIII (368 Days) - Growth Option - Direct</v>
          </cell>
        </row>
        <row r="11858">
          <cell r="F11858" t="str">
            <v>UTI FTIF Series XIX- I (369 Days) - Growth Option</v>
          </cell>
        </row>
        <row r="11859">
          <cell r="F11859" t="str">
            <v>UTI FTIF Series XIX- I (369 Days)- Growth Option - Direct</v>
          </cell>
        </row>
        <row r="11860">
          <cell r="F11860" t="str">
            <v>UTI FTIF Series XVII - XII (1148 DAYS)-Annual Div Option - Direct</v>
          </cell>
        </row>
        <row r="11861">
          <cell r="F11861" t="str">
            <v>UTI FTIF Series XVII - XII (1148 DAYS)-Growth Option</v>
          </cell>
        </row>
        <row r="11862">
          <cell r="F11862" t="str">
            <v>UTI FTIF Series XVII - XII (1148 DAYS)-Growth Option - Direct</v>
          </cell>
        </row>
        <row r="11863">
          <cell r="F11863" t="str">
            <v>UTI FTIF Series XVII - XIII (369 DAYS)-Growth Option</v>
          </cell>
        </row>
        <row r="11864">
          <cell r="F11864" t="str">
            <v>UTI FTIF Series XVII - XIII (369 DAYS)-Growth Option - Direct</v>
          </cell>
        </row>
        <row r="11865">
          <cell r="F11865" t="str">
            <v>UTI FTIF Series XVII -VII (465 DAYS)- Growth Option</v>
          </cell>
        </row>
        <row r="11866">
          <cell r="F11866" t="str">
            <v>UTI FTIF Series XVII -VII (465 DAYS)- Growth Option - Direct</v>
          </cell>
        </row>
        <row r="11867">
          <cell r="F11867" t="str">
            <v>UTI FTIF Series XVII -VII (465 DAYS)- Quarterly Div Option</v>
          </cell>
        </row>
        <row r="11868">
          <cell r="F11868" t="str">
            <v>UTI FTIF Series XVII -X (1152 DAYS)-Growth Option</v>
          </cell>
        </row>
        <row r="11869">
          <cell r="F11869" t="str">
            <v>UTI FTIF Series XVII -X (1152 DAYS)-Growth Option - Direct</v>
          </cell>
        </row>
        <row r="11870">
          <cell r="F11870" t="str">
            <v>UTI FTIF Series XVII -XIV (423 DAYS)- Growth Option</v>
          </cell>
        </row>
        <row r="11871">
          <cell r="F11871" t="str">
            <v>UTI FTIF Series XVII -XIV (423 DAYS)-Growth Option - Direct</v>
          </cell>
        </row>
        <row r="11872">
          <cell r="F11872" t="str">
            <v>UTI FTIF Series XVII -XV (1825 DAYS)- Annual Div Option</v>
          </cell>
        </row>
        <row r="11873">
          <cell r="F11873" t="str">
            <v>UTI FTIF Series XVII -XV (1825 DAYS)-Flexi Div Option</v>
          </cell>
        </row>
        <row r="11874">
          <cell r="F11874" t="str">
            <v>UTI FTIF Series XVII -XV (1825 DAYS)-Growth Option</v>
          </cell>
        </row>
        <row r="11875">
          <cell r="F11875" t="str">
            <v>UTI FTIF Series XVII -XV (1825 DAYS)-Growth Option - Direct</v>
          </cell>
        </row>
        <row r="11876">
          <cell r="F11876" t="str">
            <v>UTI FTIF Series XVII -XV (1825 DAYS)-Maturity Div Option</v>
          </cell>
        </row>
        <row r="11877">
          <cell r="F11877" t="str">
            <v>UTI FTIF Series XVII -XV (1825 DAYS)-Quarterly Div Option</v>
          </cell>
        </row>
        <row r="11878">
          <cell r="F11878" t="str">
            <v>UTI FTIF Series XVII -XV (1825 DAYS)-Quarterly Div Option - Direct</v>
          </cell>
        </row>
        <row r="11879">
          <cell r="F11879" t="str">
            <v>UTI FTIF Series XVII -XVI (367 DAYS)- Growth Option</v>
          </cell>
        </row>
        <row r="11880">
          <cell r="F11880" t="str">
            <v>UTI FTIF Series XVII -XVI (367 DAYS)-Growth Option - Direct</v>
          </cell>
        </row>
        <row r="11881">
          <cell r="F11881" t="str">
            <v>UTI FTIF Series XVII -XVIII (796 DAYS)-Growth Option</v>
          </cell>
        </row>
        <row r="11882">
          <cell r="F11882" t="str">
            <v>UTI FTIF Series XVII -XVIII (796 DAYS)-Growth Option - Direct</v>
          </cell>
        </row>
        <row r="11883">
          <cell r="F11883" t="str">
            <v>UTI FTIF Series XVII -XVIII (796 DAYS)-Quarterly Div Option</v>
          </cell>
        </row>
        <row r="11884">
          <cell r="F11884" t="str">
            <v>UTI FTIF Series XVIII - IX (733 Days) - Annual Div Option - Direct</v>
          </cell>
        </row>
        <row r="11885">
          <cell r="F11885" t="str">
            <v>UTI FTIF Series XVIII - IX (733 Days) - Growth Option</v>
          </cell>
        </row>
        <row r="11886">
          <cell r="F11886" t="str">
            <v>UTI FTIF Series XVIII - IX (733 Days) - Growth Option - Direct</v>
          </cell>
        </row>
        <row r="11887">
          <cell r="F11887" t="str">
            <v>UTI FTIF Series XVIII - IX (733 Days) - Maturity Div Option</v>
          </cell>
        </row>
        <row r="11888">
          <cell r="F11888" t="str">
            <v>UTI FTIF Series XVIII - VIII (366 Days) - Growth Option - Direct</v>
          </cell>
        </row>
        <row r="11889">
          <cell r="F11889" t="str">
            <v>UTI FTIF Series XVIII - VIII (366 days)- Growth Option</v>
          </cell>
        </row>
        <row r="11890">
          <cell r="F11890" t="str">
            <v>UTI FTIF Series XVIII - X (366 Days) - Growth Option</v>
          </cell>
        </row>
        <row r="11891">
          <cell r="F11891" t="str">
            <v>UTI FTIF Series XVIII - X (366 Days) - Growth Option - Direct</v>
          </cell>
        </row>
        <row r="11892">
          <cell r="F11892" t="str">
            <v>UTI FTIF Series XVIII - XI (1095 Days) - Growth Option</v>
          </cell>
        </row>
        <row r="11893">
          <cell r="F11893" t="str">
            <v>UTI FTIF Series XVIII - XI (1095 Days) - Growth Option - Direct</v>
          </cell>
        </row>
        <row r="11894">
          <cell r="F11894" t="str">
            <v>UTI FTIF Series XVIII - XI (1095 Days) - Quarterly Div Option</v>
          </cell>
        </row>
        <row r="11895">
          <cell r="F11895" t="str">
            <v>UTI FTIF Series XVIII - XII (366 Days) - Growth Option</v>
          </cell>
        </row>
        <row r="11896">
          <cell r="F11896" t="str">
            <v>UTI FTIF Series XVIII - XII (366 Days) - Growth Option - Direct</v>
          </cell>
        </row>
        <row r="11897">
          <cell r="F11897" t="str">
            <v>UTI FTIF Series XVIII - XIII (366 Days) - Annual Div Option</v>
          </cell>
        </row>
        <row r="11898">
          <cell r="F11898" t="str">
            <v>UTI FTIF Series XVIII - XIII(366 Days) - Growth Option</v>
          </cell>
        </row>
        <row r="11899">
          <cell r="F11899" t="str">
            <v>UTI FTIF Series XVIII - XIII(366 Days) - Growth Option - Direct</v>
          </cell>
        </row>
        <row r="11900">
          <cell r="F11900" t="str">
            <v>UTI FTIF Series XVIII - XIII(366 Days) - Quarterly Div Option - Direct</v>
          </cell>
        </row>
        <row r="11901">
          <cell r="F11901" t="str">
            <v>UTI FTIF Series XVIII -I (400 DAYS)-Growth Option</v>
          </cell>
        </row>
        <row r="11902">
          <cell r="F11902" t="str">
            <v>UTI FTIF Series XVIII -I (400 DAYS)-Growth Option - Direct</v>
          </cell>
        </row>
        <row r="11903">
          <cell r="F11903" t="str">
            <v>UTI FTIF Series XVIII -II (1825 DAYS) - Growth Option - Direct</v>
          </cell>
        </row>
        <row r="11904">
          <cell r="F11904" t="str">
            <v>UTI FTIF Series XVIII -II (1825 DAYS)- Growth Option</v>
          </cell>
        </row>
        <row r="11905">
          <cell r="F11905" t="str">
            <v>UTI FTIF Series XVIII -II (1825 DAYS)-Annual Div Option</v>
          </cell>
        </row>
        <row r="11906">
          <cell r="F11906" t="str">
            <v>UTI FTIF Series XVIII -II (1825 DAYS)-Annual Div Option - Direct</v>
          </cell>
        </row>
        <row r="11907">
          <cell r="F11907" t="str">
            <v>UTI FTIF Series XVIII -II (1825 DAYS)-Flexi Div Option</v>
          </cell>
        </row>
        <row r="11908">
          <cell r="F11908" t="str">
            <v>UTI FTIF Series XVIII -II (1825 DAYS)-Maturity Div Option</v>
          </cell>
        </row>
        <row r="11909">
          <cell r="F11909" t="str">
            <v>UTI FTIF Series XVIII -II (1825 DAYS)-Quarterly Div Option</v>
          </cell>
        </row>
        <row r="11910">
          <cell r="F11910" t="str">
            <v>UTI FTIF Series XVIII -II (1825 DAYS)-Quarterly Div Option - Direct</v>
          </cell>
        </row>
        <row r="11911">
          <cell r="F11911" t="str">
            <v>UTI FTIF Series XVIII -IV (366 DAYS) - Growth Option - Direct</v>
          </cell>
        </row>
        <row r="11912">
          <cell r="F11912" t="str">
            <v>UTI FTIF Series XVIII -IV (366 DAYS)- Growth Option</v>
          </cell>
        </row>
        <row r="11913">
          <cell r="F11913" t="str">
            <v>UTI FTIF Series XVIII -V (370 DAYS) - Growth Option - Direct</v>
          </cell>
        </row>
        <row r="11914">
          <cell r="F11914" t="str">
            <v>UTI FTIF Series XVIII -V (370 DAYS)- Growth Option</v>
          </cell>
        </row>
        <row r="11915">
          <cell r="F11915" t="str">
            <v>UTI FTIF Series XVIII -V (370 DAYS)-Annual Div Option - Direct</v>
          </cell>
        </row>
        <row r="11916">
          <cell r="F11916" t="str">
            <v>UTI FTIF Series XVIII -VII (368 DAYS) - Growth Option - Direct</v>
          </cell>
        </row>
        <row r="11917">
          <cell r="F11917" t="str">
            <v>UTI FTIF Series XVIII -VII (368 DAYS)- Growth Option</v>
          </cell>
        </row>
        <row r="11918">
          <cell r="F11918" t="str">
            <v>UTI FTIF Series XXI-III (1158 Days) - Annual Div Option</v>
          </cell>
        </row>
        <row r="11919">
          <cell r="F11919" t="str">
            <v>UTI FTIF Series XXI-III (1158 Days) - Annual Div Option - Direct</v>
          </cell>
        </row>
        <row r="11920">
          <cell r="F11920" t="str">
            <v>UTI FTIF Series XXI-III (1158 Days) - Growth Option</v>
          </cell>
        </row>
        <row r="11921">
          <cell r="F11921" t="str">
            <v>UTI FTIF series XXI-III (1158 Days) - Growth Option - Direct</v>
          </cell>
        </row>
        <row r="11922">
          <cell r="F11922" t="str">
            <v>UTI FTIF Series XXI-III (1158 Days) - Maturity Div Option - Direct</v>
          </cell>
        </row>
        <row r="11923">
          <cell r="F11923" t="str">
            <v>UTI FTIF Series XXI-III (1158 Days) - Quarterly Div Option</v>
          </cell>
        </row>
        <row r="11924">
          <cell r="F11924" t="str">
            <v>UTI FTIF Series XXI-IV (1146 Days) - Annual Div Option</v>
          </cell>
        </row>
        <row r="11925">
          <cell r="F11925" t="str">
            <v>UTI FTIF Series XXI-IV (1146 Days) - Annual Div Option - Direct</v>
          </cell>
        </row>
        <row r="11926">
          <cell r="F11926" t="str">
            <v>UTI FTIF Series XXI-IV (1146 Days) - Flexi Div Option</v>
          </cell>
        </row>
        <row r="11927">
          <cell r="F11927" t="str">
            <v>UTI FTIF Series XXI-IV (1146 Days) - Growth Option</v>
          </cell>
        </row>
        <row r="11928">
          <cell r="F11928" t="str">
            <v>UTI FTIF Series XXI-IV (1146 Days) - Growth Option - Direct</v>
          </cell>
        </row>
        <row r="11929">
          <cell r="F11929" t="str">
            <v>UTI FTIF Series XXI-IV (1146 Days) - Maturity Div Option</v>
          </cell>
        </row>
        <row r="11930">
          <cell r="F11930" t="str">
            <v>UTI FTIF Series XXI-IV (1146 Days) - Maturity Div Option - Direct</v>
          </cell>
        </row>
        <row r="11931">
          <cell r="F11931" t="str">
            <v>UTI FTIF Series XXI-IV (1146 Days) - Quarterly Div Option</v>
          </cell>
        </row>
        <row r="11932">
          <cell r="F11932" t="str">
            <v>UTI FTIF Series XXI-IV (1146 Days) - Quarterly Div Option - Direct</v>
          </cell>
        </row>
        <row r="11933">
          <cell r="F11933" t="str">
            <v>UTI FTIF Series XXI-VI (1145 Days) - Annual Div Option</v>
          </cell>
        </row>
        <row r="11934">
          <cell r="F11934" t="str">
            <v>UTI FTIF Series XXI-VI (1145 Days) - Flexi Div Option</v>
          </cell>
        </row>
        <row r="11935">
          <cell r="F11935" t="str">
            <v>UTI FTIF Series XXI-VI (1145 Days) - Growth Option</v>
          </cell>
        </row>
        <row r="11936">
          <cell r="F11936" t="str">
            <v>UTI FTIF Series XXI-VI (1145 Days) - Growth Option - Direct</v>
          </cell>
        </row>
        <row r="11937">
          <cell r="F11937" t="str">
            <v>UTI FTIF Series XXI-VI (1145 Days) - Maturity Div Option - Direct</v>
          </cell>
        </row>
        <row r="11938">
          <cell r="F11938" t="str">
            <v>UTI FTIF Series XXI-VI (1145 Days) - Quarterly Div Option</v>
          </cell>
        </row>
        <row r="11939">
          <cell r="F11939" t="str">
            <v>UTI FTIF Series XXI-VI (1145 Days) - Quarterly Div Option - Direct</v>
          </cell>
        </row>
        <row r="11940">
          <cell r="F11940" t="str">
            <v>UTI FTIF Series XXI-VII (1143 Days) - Annual Div Option</v>
          </cell>
        </row>
        <row r="11941">
          <cell r="F11941" t="str">
            <v>UTI FTIF Series XXI-VII (1143 Days) - Annual Div Option - Direct</v>
          </cell>
        </row>
        <row r="11942">
          <cell r="F11942" t="str">
            <v>UTI FTIF Series XXI-VII (1143 Days) - Growth Option</v>
          </cell>
        </row>
        <row r="11943">
          <cell r="F11943" t="str">
            <v>UTI FTIF Series XXI-VII (1143 Days) - Growth Option - Direct</v>
          </cell>
        </row>
        <row r="11944">
          <cell r="F11944" t="str">
            <v>UTI FTIF Series XXI-VII (1143 Days) - Maturity Div Option</v>
          </cell>
        </row>
        <row r="11945">
          <cell r="F11945" t="str">
            <v>UTI FTIF Series XXI-VII (1143 Days) - Quarterly Div Option</v>
          </cell>
        </row>
        <row r="11946">
          <cell r="F11946" t="str">
            <v>UTI FTIF Series XXI-VIII (1136 Days) - Annual Div Option</v>
          </cell>
        </row>
        <row r="11947">
          <cell r="F11947" t="str">
            <v>UTI FTIF Series XXI-VIII (1136 Days) - Annual Div Option - Direct</v>
          </cell>
        </row>
        <row r="11948">
          <cell r="F11948" t="str">
            <v>UTI FTIF Series XXI-VIII (1136 Days) - Growth Option</v>
          </cell>
        </row>
        <row r="11949">
          <cell r="F11949" t="str">
            <v>UTI FTIF Series XXI-VIII (1136 Days) - Maturity Div Option</v>
          </cell>
        </row>
        <row r="11950">
          <cell r="F11950" t="str">
            <v>UTI FTIF Series XXI-VIII (1136 Days) - Quarterly Div Option</v>
          </cell>
        </row>
        <row r="11951">
          <cell r="F11951" t="str">
            <v>UTI FTIF Series XXI-VIII (1136 Days)- Growth Option - Direct</v>
          </cell>
        </row>
        <row r="11952">
          <cell r="F11952" t="str">
            <v>UTI FTIF Series XXI-X (1112 Days) - Annual Div Option</v>
          </cell>
        </row>
        <row r="11953">
          <cell r="F11953" t="str">
            <v>UTI FTIF Series XXI-X (1112 Days) - Annual Div Option - Direct</v>
          </cell>
        </row>
        <row r="11954">
          <cell r="F11954" t="str">
            <v>UTI FTIF Series XXI-X (1112 Days) - Growth Option</v>
          </cell>
        </row>
        <row r="11955">
          <cell r="F11955" t="str">
            <v>UTI FTIF Series XXI-X (1112 Days) - Growth Option - Direct</v>
          </cell>
        </row>
        <row r="11956">
          <cell r="F11956" t="str">
            <v>UTI FTIF Series XXI-X (1112 Days) - Quarterly Div Option</v>
          </cell>
        </row>
        <row r="11957">
          <cell r="F11957" t="str">
            <v>UTI FTIF Series XXI-X (1112 Days) - Quarterly Div Option - Direct</v>
          </cell>
        </row>
        <row r="11958">
          <cell r="F11958" t="str">
            <v>UTI FTIF Series XXI-XI (1112 Days) - Annual Div Option - Direct</v>
          </cell>
        </row>
        <row r="11959">
          <cell r="F11959" t="str">
            <v>UTI FTIF Series XXI-XI (1112 Days) - Growth Option</v>
          </cell>
        </row>
        <row r="11960">
          <cell r="F11960" t="str">
            <v>UTI FTIF Series XXI-XI (1112 Days) - Growth Option - Direct</v>
          </cell>
        </row>
        <row r="11961">
          <cell r="F11961" t="str">
            <v>UTI FTIF Series XXI-XII (1106 Days) - Annual Div Option</v>
          </cell>
        </row>
        <row r="11962">
          <cell r="F11962" t="str">
            <v>UTI FTIF Series XXI-XII (1106 Days) - Annual Div Option - Direct</v>
          </cell>
        </row>
        <row r="11963">
          <cell r="F11963" t="str">
            <v>UTI FTIF Series XXI-XII (1106 Days) - Flexi Div Option</v>
          </cell>
        </row>
        <row r="11964">
          <cell r="F11964" t="str">
            <v>UTI FTIF Series XXI-XII (1106 Days) - Growth Option</v>
          </cell>
        </row>
        <row r="11965">
          <cell r="F11965" t="str">
            <v>UTI FTIF Series XXI-XII (1106 Days) - Growth Option - Direct</v>
          </cell>
        </row>
        <row r="11966">
          <cell r="F11966" t="str">
            <v>UTI FTIF Series XXI-XII (1106 Days) - Quarterly Div Option</v>
          </cell>
        </row>
        <row r="11967">
          <cell r="F11967" t="str">
            <v>UTI FTIF Series XXI-XIV (1103 Day) - Maturity Div Option - Direct</v>
          </cell>
        </row>
        <row r="11968">
          <cell r="F11968" t="str">
            <v>UTI FTIF Series XXI-XIV (1103 Days) - Annual Div Option - Direct</v>
          </cell>
        </row>
        <row r="11969">
          <cell r="F11969" t="str">
            <v>UTI FTIF Series XXI-XIV (1103 Days) - Growth Option</v>
          </cell>
        </row>
        <row r="11970">
          <cell r="F11970" t="str">
            <v>UTI FTIF Series XXI-XIV (1103 Days) - Growth Option - Direct</v>
          </cell>
        </row>
        <row r="11971">
          <cell r="F11971" t="str">
            <v>UTI FTIF Series XXI-XIV (1103 Days) - Quarterly Div Option - Direct</v>
          </cell>
        </row>
        <row r="11972">
          <cell r="F11972" t="str">
            <v>UTI FTIF series XXI-XV (1103 Days) - Annual Div Option</v>
          </cell>
        </row>
        <row r="11973">
          <cell r="F11973" t="str">
            <v>UTI FTIF Series XXI-XV (1103 Days) - Annual Div Option - Direct</v>
          </cell>
        </row>
        <row r="11974">
          <cell r="F11974" t="str">
            <v>UTI FTIF Series XXI-XV (1103 Days) - Flexi Div Option</v>
          </cell>
        </row>
        <row r="11975">
          <cell r="F11975" t="str">
            <v>UTI FTIF Series XXI-XV (1103 Days) - Growth Option</v>
          </cell>
        </row>
        <row r="11976">
          <cell r="F11976" t="str">
            <v>UTI FTIF Series XXI-XV (1103 Days) - Growth Option - Direct</v>
          </cell>
        </row>
        <row r="11977">
          <cell r="F11977" t="str">
            <v>UTI FTIF Series XXI-XV (1103 Days) - Maturity Div Option</v>
          </cell>
        </row>
        <row r="11978">
          <cell r="F11978" t="str">
            <v>UTI FTIF Series XXI-XV (1103 Days) - Maturity Div Option - Direct</v>
          </cell>
        </row>
        <row r="11979">
          <cell r="F11979" t="str">
            <v>UTI FTIF Series XXI-XV (1103 Days) - Quarterly Div Option</v>
          </cell>
        </row>
        <row r="11980">
          <cell r="F11980" t="str">
            <v>UTI FTIF Series XXI-XV (1103 Days) - Quarterly Div Option - Direct</v>
          </cell>
        </row>
        <row r="11981">
          <cell r="F11981" t="str">
            <v>UTI FTIF Series XXII-I (1099 Days) - Direct Plan - Annual Div Option</v>
          </cell>
        </row>
        <row r="11982">
          <cell r="F11982" t="str">
            <v>UTI FTIF Series XXII-I (1099 Days) - Direct Plan - Growth Option</v>
          </cell>
        </row>
        <row r="11983">
          <cell r="F11983" t="str">
            <v>UTI FTIF Series XXII-I (1099 Days) - Direct Plan - Maturity Div Option</v>
          </cell>
        </row>
        <row r="11984">
          <cell r="F11984" t="str">
            <v>UTI FTIF Series XXII-I (1099 Days) - Direct Plan - Quarterly Div Option</v>
          </cell>
        </row>
        <row r="11985">
          <cell r="F11985" t="str">
            <v>UTI FTIF Series XXII-I (1099 Days) - Regular Plan - Annual Div Option</v>
          </cell>
        </row>
        <row r="11986">
          <cell r="F11986" t="str">
            <v>UTI FTIF Series XXII-I (1099 Days) - Regular Plan - Flexi Div Option</v>
          </cell>
        </row>
        <row r="11987">
          <cell r="F11987" t="str">
            <v>UTI FTIF Series XXII-I (1099 Days) - Regular Plan - Growth Option</v>
          </cell>
        </row>
        <row r="11988">
          <cell r="F11988" t="str">
            <v>UTI FTIF Series XXII-I (1099 Days) - Regular Plan - Maturity Div Option</v>
          </cell>
        </row>
        <row r="11989">
          <cell r="F11989" t="str">
            <v>UTI FTIF Series XXII-I (1099 Days) - Regular Plan - Quarterly Div Option</v>
          </cell>
        </row>
        <row r="11990">
          <cell r="F11990" t="str">
            <v>UTI FTIF Series XXII-II (1099 Days) - Annual Div Option</v>
          </cell>
        </row>
        <row r="11991">
          <cell r="F11991" t="str">
            <v>UTI FTIF Series XXII-II (1099 Days) - Annual Div Option - Direct</v>
          </cell>
        </row>
        <row r="11992">
          <cell r="F11992" t="str">
            <v>UTI FTIF Series XXII-II (1099 Days) - Flexi Div Option</v>
          </cell>
        </row>
        <row r="11993">
          <cell r="F11993" t="str">
            <v>UTI FTIF Series XXII-II (1099 Days) - Growth Option</v>
          </cell>
        </row>
        <row r="11994">
          <cell r="F11994" t="str">
            <v>UTI FTIF Series XXII-II (1099 Days) - Growth Option - Direct</v>
          </cell>
        </row>
        <row r="11995">
          <cell r="F11995" t="str">
            <v>UTI FTIF Series XXII-II (1099 Days) - Maturity Div Option</v>
          </cell>
        </row>
        <row r="11996">
          <cell r="F11996" t="str">
            <v>UTI FTIF Series XXII-II (1099 Days) - Quarterly Div Option</v>
          </cell>
        </row>
        <row r="11997">
          <cell r="F11997" t="str">
            <v>UTI FTIF Series XXII-II (1099 Days) - Quarterly Div Option - Direct</v>
          </cell>
        </row>
        <row r="11998">
          <cell r="F11998" t="str">
            <v>UTI FTIF Series XXII-III (1099 Days) - Direct Plan  - Maturity Div Option</v>
          </cell>
        </row>
        <row r="11999">
          <cell r="F11999" t="str">
            <v>UTI FTIF Series XXII-III (1099 Days) - Direct Plan - Annual Div Option</v>
          </cell>
        </row>
        <row r="12000">
          <cell r="F12000" t="str">
            <v>UTI FTIF Series XXII-III (1099 Days) - Direct Plan - Growth Option</v>
          </cell>
        </row>
        <row r="12001">
          <cell r="F12001" t="str">
            <v>UTI FTIF Series XXII-III (1099 Days) - Direct Plan - Quarterly Div Option</v>
          </cell>
        </row>
        <row r="12002">
          <cell r="F12002" t="str">
            <v>UTI FTIF Series XXII-III (1099 Days) - Regular Plan  - Flexi Div Option</v>
          </cell>
        </row>
        <row r="12003">
          <cell r="F12003" t="str">
            <v>UTI FTIF Series XXII-III (1099 Days) - Regular Plan - Annual Div Option</v>
          </cell>
        </row>
        <row r="12004">
          <cell r="F12004" t="str">
            <v>UTI FTIF Series XXII-III (1099 Days) - Regular Plan - Growth Option</v>
          </cell>
        </row>
        <row r="12005">
          <cell r="F12005" t="str">
            <v>UTI FTIF Series XXII-III (1099 Days) - Regular Plan - Maturity Div Option</v>
          </cell>
        </row>
        <row r="12006">
          <cell r="F12006" t="str">
            <v>UTI FTIF Series XXII-III (1099 Days) - Regular Plan - Quarterly Div Option</v>
          </cell>
        </row>
        <row r="12007">
          <cell r="F12007" t="str">
            <v>UTI FTIF Series XXII-IV (1098 Days) - Direct Plan - Annual Div Option</v>
          </cell>
        </row>
        <row r="12008">
          <cell r="F12008" t="str">
            <v>UTI FTIF Series XXII-IV (1098 Days) - Direct Plan - Growth Option</v>
          </cell>
        </row>
        <row r="12009">
          <cell r="F12009" t="str">
            <v>UTI FTIF Series XXII-IV (1098 Days) - Direct Plan - Maturity Div Option</v>
          </cell>
        </row>
        <row r="12010">
          <cell r="F12010" t="str">
            <v>UTI FTIF Series XXII-IV (1098 Days) - Direct Plan - Quarterly Div Option</v>
          </cell>
        </row>
        <row r="12011">
          <cell r="F12011" t="str">
            <v>UTI FTIF Series XXII-IV (1098 Days) - Regular Plan - Annual Div Option</v>
          </cell>
        </row>
        <row r="12012">
          <cell r="F12012" t="str">
            <v>UTI FTIF Series XXII-IV (1098 Days) - Regular Plan - Growth Option</v>
          </cell>
        </row>
        <row r="12013">
          <cell r="F12013" t="str">
            <v>UTI FTIF Series XXII-IV (1098 Days) - Regular Plan - Maturity Div Option</v>
          </cell>
        </row>
        <row r="12014">
          <cell r="F12014" t="str">
            <v>UTI FTIF Series XXII-IV (1098 Days) - Regular Plan - Quarterly Div Option</v>
          </cell>
        </row>
        <row r="12015">
          <cell r="F12015" t="str">
            <v>UTI FTIF Series XXII-IX (1099 Days) - Direct Plan - Growth Option</v>
          </cell>
        </row>
        <row r="12016">
          <cell r="F12016" t="str">
            <v>UTI FTIF Series XXII-IX (1099 Days) - Regular Plan - Growth Option</v>
          </cell>
        </row>
        <row r="12017">
          <cell r="F12017" t="str">
            <v>UTI FTIF Series XXII-IX (1099 Days) - Regular Plan - Maturity Div Option</v>
          </cell>
        </row>
        <row r="12018">
          <cell r="F12018" t="str">
            <v>UTI FTIF Series XXII-IX (1099 Days) - Regular Plan - Quarterly Div Option</v>
          </cell>
        </row>
        <row r="12019">
          <cell r="F12019" t="str">
            <v>UTI FTIF Series XXII-VI (1098 Days) -  Regular Plan - Growth Option</v>
          </cell>
        </row>
        <row r="12020">
          <cell r="F12020" t="str">
            <v>UTI FTIF Series XXII-VI (1098 Days) - Direct Plan - Annual Div Option</v>
          </cell>
        </row>
        <row r="12021">
          <cell r="F12021" t="str">
            <v>UTI FTIF Series XXII-VI (1098 Days) - Direct Plan - Growth Option</v>
          </cell>
        </row>
        <row r="12022">
          <cell r="F12022" t="str">
            <v>UTI FTIF Series XXII-VI (1098 Days) - Regular Plan - Annual Div Option</v>
          </cell>
        </row>
        <row r="12023">
          <cell r="F12023" t="str">
            <v>UTI FTIF Series XXII-VI (1098 Days) - Regular Plan - Flexi Div Option</v>
          </cell>
        </row>
        <row r="12024">
          <cell r="F12024" t="str">
            <v>UTI FTIF Series XXII-VI (1098 Days) - Regular Plan - Maturity Div Option</v>
          </cell>
        </row>
        <row r="12025">
          <cell r="F12025" t="str">
            <v>UTI FTIF Series XXII-VI (1098 Days) - Regular Plan - Quarterly Div Option</v>
          </cell>
        </row>
        <row r="12026">
          <cell r="F12026" t="str">
            <v>UTI FTIF Series XXII-VII (1098 Days) - Direct Plan - Growth Option</v>
          </cell>
        </row>
        <row r="12027">
          <cell r="F12027" t="str">
            <v>UTI FTIF Series XXII-VII (1098 Days) - Direct Plan - Quarterly Div Option</v>
          </cell>
        </row>
        <row r="12028">
          <cell r="F12028" t="str">
            <v>UTI FTIF Series XXII-VII (1098 Days) - Regular Plan - Annual Div Option</v>
          </cell>
        </row>
        <row r="12029">
          <cell r="F12029" t="str">
            <v>UTI FTIF Series XXII-VII (1098 Days) - Regular Plan - Flexi Div Option</v>
          </cell>
        </row>
        <row r="12030">
          <cell r="F12030" t="str">
            <v>UTI FTIF Series XXII-VII (1098 Days) - Regular Plan - Growth Option</v>
          </cell>
        </row>
        <row r="12031">
          <cell r="F12031" t="str">
            <v>UTI FTIF Series XXII-VII (1098 Days) - Regular Plan - Maturity Div Option</v>
          </cell>
        </row>
        <row r="12032">
          <cell r="F12032" t="str">
            <v>UTI FTIF Series XXII-VII (1098 Days) - Regular Plan - Quarterly Div Option</v>
          </cell>
        </row>
        <row r="12033">
          <cell r="F12033" t="str">
            <v>UTI FTIF Series XXII-VIII (1099 Days) - Direct Plan - Annual Div Option</v>
          </cell>
        </row>
        <row r="12034">
          <cell r="F12034" t="str">
            <v>UTI FTIF Series XXII-VIII (1099 Days) - Direct Plan - Growth Option</v>
          </cell>
        </row>
        <row r="12035">
          <cell r="F12035" t="str">
            <v>UTI FTIF Series XXII-VIII (1099 Days) - Direct Plan - Quarterly Div Option</v>
          </cell>
        </row>
        <row r="12036">
          <cell r="F12036" t="str">
            <v>UTI FTIF Series XXII-VIII (1099 Days) - Regular Plan - Annual Div Option</v>
          </cell>
        </row>
        <row r="12037">
          <cell r="F12037" t="str">
            <v>UTI FTIF Series XXII-VIII (1099 Days) - Regular Plan - Growth Option</v>
          </cell>
        </row>
        <row r="12038">
          <cell r="F12038" t="str">
            <v>UTI FTIF Series XXII-VIII (1099 Days) - Regular Plan - Maturity Div Option</v>
          </cell>
        </row>
        <row r="12039">
          <cell r="F12039" t="str">
            <v>UTI FTIF Series XXII-VIII (1099 Days) - Regular Plan - Quarterly Div Option</v>
          </cell>
        </row>
        <row r="12040">
          <cell r="F12040" t="str">
            <v>UTI FTIF Series XXII-X (1098 Days) - Direct Plan - Growth Option</v>
          </cell>
        </row>
        <row r="12041">
          <cell r="F12041" t="str">
            <v>UTI FTIF series XXII-X (1098 Days) - Regular Plan - Growth Option</v>
          </cell>
        </row>
        <row r="12042">
          <cell r="F12042" t="str">
            <v>UTI FTIF Series XXII-XI (1098 Days) - Direct Plan - Growth Option</v>
          </cell>
        </row>
        <row r="12043">
          <cell r="F12043" t="str">
            <v>UTI FTIF Series XXII-XI (1098 Days) - Regular Plan - Growth Option</v>
          </cell>
        </row>
        <row r="12044">
          <cell r="F12044" t="str">
            <v>UTI FTIF Series XXII-XII (1100 Days) - Direct Plan - Annual Div Option</v>
          </cell>
        </row>
        <row r="12045">
          <cell r="F12045" t="str">
            <v>UTI FTIF Series XXII-XII (1100 Days) - Direct Plan - Growth Option</v>
          </cell>
        </row>
        <row r="12046">
          <cell r="F12046" t="str">
            <v>UTI FTIF Series XXII-XII (1100 Days) - Direct Plan - Quarterly Div Option</v>
          </cell>
        </row>
        <row r="12047">
          <cell r="F12047" t="str">
            <v>UTI FTIF Series XXII-XII (1100 Days) - Flexi Div Option</v>
          </cell>
        </row>
        <row r="12048">
          <cell r="F12048" t="str">
            <v>UTI FTIF Series XXII-XII (1100 Days) - Maturity Div Option</v>
          </cell>
        </row>
        <row r="12049">
          <cell r="F12049" t="str">
            <v>UTI FTIF Series XXII-XII (1100 Days) - Regular Plan - Annual Div Option</v>
          </cell>
        </row>
        <row r="12050">
          <cell r="F12050" t="str">
            <v>UTI FTIF Series XXII-XII (1100 Days) - Regular Plan - Growth Option</v>
          </cell>
        </row>
        <row r="12051">
          <cell r="F12051" t="str">
            <v>UTI FTIF Series XXII-XII (1100 Days) - Regular Plan - Quarterly Div Option</v>
          </cell>
        </row>
        <row r="12052">
          <cell r="F12052" t="str">
            <v>UTI FTIF Series XXII-XIII (1100 Days) - Direct Plan - Annual Div Option</v>
          </cell>
        </row>
        <row r="12053">
          <cell r="F12053" t="str">
            <v>UTI FTIF Series XXII-XIII (1100 Days) - Direct Plan - Growth Option</v>
          </cell>
        </row>
        <row r="12054">
          <cell r="F12054" t="str">
            <v>UTI FTIF Series XXII-XIII (1100 Days) - Direct Plan - Maturity Div Option</v>
          </cell>
        </row>
        <row r="12055">
          <cell r="F12055" t="str">
            <v>UTI FTIF Series XXII-XIII (1100 Days) - Direct Plan - Quarterly Div Option</v>
          </cell>
        </row>
        <row r="12056">
          <cell r="F12056" t="str">
            <v>UTI FTIF Series XXII-XIII (1100 Days) - Regular Plan - Annual Div Option</v>
          </cell>
        </row>
        <row r="12057">
          <cell r="F12057" t="str">
            <v>UTI FTIF Series XXII-XIII (1100 Days) - Regular Plan - Flexi Div Option</v>
          </cell>
        </row>
        <row r="12058">
          <cell r="F12058" t="str">
            <v>UTI FTIF Series XXII-XIII (1100 Days) - Regular Plan - Growth Option</v>
          </cell>
        </row>
        <row r="12059">
          <cell r="F12059" t="str">
            <v>UTI FTIF Series XXII-XIII (1100 Days) - Regular Plan - Maturity Div Option</v>
          </cell>
        </row>
        <row r="12060">
          <cell r="F12060" t="str">
            <v>UTI FTIF Series XXII-XIII (1100 Days) - Regular Plan - Quarterly Div Option</v>
          </cell>
        </row>
        <row r="12061">
          <cell r="F12061" t="str">
            <v>UTI FTIF Series XXII-XIV (1100 Days) - Direct Plan - Growth Option</v>
          </cell>
        </row>
        <row r="12062">
          <cell r="F12062" t="str">
            <v>UTI FTIF Series XXII-XIV (1100 Days) - Regular Plan - Growth Option</v>
          </cell>
        </row>
        <row r="12063">
          <cell r="F12063" t="str">
            <v>UTI FTIF Series XXII-XIV (1100 Days) - Regular Plan - Quarterly Div Option</v>
          </cell>
        </row>
        <row r="12064">
          <cell r="F12064" t="str">
            <v>UTI FTIF Series XXII-XV (1098 Days) - Direct Plan - Growth Option</v>
          </cell>
        </row>
        <row r="12065">
          <cell r="F12065" t="str">
            <v>UTI FTIF Series XXII-XV (1098 Days) - Regular Plan - Annual Div Option</v>
          </cell>
        </row>
        <row r="12066">
          <cell r="F12066" t="str">
            <v>UTi FTIF Series XXII-XV (1098 Days) - Regular Plan - Flexi Div Option</v>
          </cell>
        </row>
        <row r="12067">
          <cell r="F12067" t="str">
            <v>UTI FTIF Series XXII-XV (1098 Days) - Regular Plan - Maturity Div Option</v>
          </cell>
        </row>
        <row r="12068">
          <cell r="F12068" t="str">
            <v>UTI FTIF Series XXII-XV (1098 Days) - Regular Plan - Quarterly Div Otion</v>
          </cell>
        </row>
        <row r="12069">
          <cell r="F12069" t="str">
            <v>UTI FTIF Series XXII-XV (1098Days) - Regular Plan - Growth Option</v>
          </cell>
        </row>
        <row r="12070">
          <cell r="F12070" t="str">
            <v>UTI FTIF Series XXIII-I (1098 Days) - Direct Plan - Annual Div Option</v>
          </cell>
        </row>
        <row r="12071">
          <cell r="F12071" t="str">
            <v>UTI FTIF Series XXIII-I (1098 Days) - Direct Plan - Flexi Div Option</v>
          </cell>
        </row>
        <row r="12072">
          <cell r="F12072" t="str">
            <v>UTI FTIF Series XXIII-I (1098 Days) - Direct Plan - Growth Option</v>
          </cell>
        </row>
        <row r="12073">
          <cell r="F12073" t="str">
            <v>UTI FTIF Series XXIII-I (1098 Days) - Direct Plan - Maturity Div Option</v>
          </cell>
        </row>
        <row r="12074">
          <cell r="F12074" t="str">
            <v>UTI FTIF Series XXIII-I (1098 Days) - Direct Plan - Quarterly Div Option</v>
          </cell>
        </row>
        <row r="12075">
          <cell r="F12075" t="str">
            <v>UTI FTIF Series XXIII-I (1098 Days) - Regular Plan - Annual Div Option</v>
          </cell>
        </row>
        <row r="12076">
          <cell r="F12076" t="str">
            <v>UTI FTIF Series XXIII-I (1098 Days) - Regular Plan - Flexi Div Option</v>
          </cell>
        </row>
        <row r="12077">
          <cell r="F12077" t="str">
            <v>UTI FTIF Series XXIII-I (1098 Days) - Regular Plan - Growth Option</v>
          </cell>
        </row>
        <row r="12078">
          <cell r="F12078" t="str">
            <v>UTI FTIF Series XXIII-I (1098 Days) - Regular Plan - Maturity Div Option</v>
          </cell>
        </row>
        <row r="12079">
          <cell r="F12079" t="str">
            <v>UTI FTIF Series XXIII-I (1098 Days) - Regular Plan - Quarterly Div Option</v>
          </cell>
        </row>
        <row r="12080">
          <cell r="F12080" t="str">
            <v>UTI FTIF Series XXIII-II (1100 Days) - Direct Plan - Annual Div Option</v>
          </cell>
        </row>
        <row r="12081">
          <cell r="F12081" t="str">
            <v>UTI FTIF Series XXIII-II (1100 Days) - Direct Plan - Growth Option</v>
          </cell>
        </row>
        <row r="12082">
          <cell r="F12082" t="str">
            <v>UTI FTIF Series XXIII-II (1100 Days) - Direct Plan - Maturity Div Option</v>
          </cell>
        </row>
        <row r="12083">
          <cell r="F12083" t="str">
            <v>UTI FTIF Series XXIII-II (1100 Days) - Direct Plan - Quarterly Div Option</v>
          </cell>
        </row>
        <row r="12084">
          <cell r="F12084" t="str">
            <v>UTI FTIF Series XXIII-II (1100 Days) - Regular Plan - Annual Div Option</v>
          </cell>
        </row>
        <row r="12085">
          <cell r="F12085" t="str">
            <v>UTI FTIF Series XXIII-II (1100 Days) - Regular Plan - Flexi Div Option</v>
          </cell>
        </row>
        <row r="12086">
          <cell r="F12086" t="str">
            <v>UTI FTIF Series XXIII-II (1100 Days) - Regular Plan - Maturity Div Option</v>
          </cell>
        </row>
        <row r="12087">
          <cell r="F12087" t="str">
            <v>UTI FTIF Series XXIII-II (1100 Days) - Regular Plan - Quarterly Div Option</v>
          </cell>
        </row>
        <row r="12088">
          <cell r="F12088" t="str">
            <v>UTI FTIF Series XXIII-II (1100 Days)- Regular Plan - Growth Option</v>
          </cell>
        </row>
        <row r="12089">
          <cell r="F12089" t="str">
            <v>UTI FTIF Series XXIII-III (1098 Days) - Direct Plan - Growth Option</v>
          </cell>
        </row>
        <row r="12090">
          <cell r="F12090" t="str">
            <v>UTI FTIF Series XXIII-III (1098 Days) - Regular Plan - Growth Option</v>
          </cell>
        </row>
        <row r="12091">
          <cell r="F12091" t="str">
            <v>UTI FTIF Series XXIII-IV (1100 Days) - Direct Plan - Annual Div Option</v>
          </cell>
        </row>
        <row r="12092">
          <cell r="F12092" t="str">
            <v>UTI FTIF Series XXIII-IV (1100 Days) - Direct Plan - Growth Option</v>
          </cell>
        </row>
        <row r="12093">
          <cell r="F12093" t="str">
            <v>UTI FTIF Series XXIII-IV (1100 Days) - Direct Plan - Maturity Div Option</v>
          </cell>
        </row>
        <row r="12094">
          <cell r="F12094" t="str">
            <v>UTI FTIF Series XXIII-IV (1100 Days) - Direct Plan - Quarterly Div Option</v>
          </cell>
        </row>
        <row r="12095">
          <cell r="F12095" t="str">
            <v>UTI FTIF Series XXIII-IV (1100 Days) - Regular Plan - Annual Div Option</v>
          </cell>
        </row>
        <row r="12096">
          <cell r="F12096" t="str">
            <v>UTI FTIF Series XXIII-IV (1100 Days) - Regular Plan - Growth Option</v>
          </cell>
        </row>
        <row r="12097">
          <cell r="F12097" t="str">
            <v>UTI FTIF Series XXIII-IV (1100 Days) - Regular Plan - Maturity Div Option</v>
          </cell>
        </row>
        <row r="12098">
          <cell r="F12098" t="str">
            <v>UTI FTIF Series XXIII-IV (1100 Days) - Regular Plan - Quarterly Div Option</v>
          </cell>
        </row>
        <row r="12099">
          <cell r="F12099" t="str">
            <v>UTI FTIF Series XXIII-IX (1100 Days)- Direct Plan - Annual Div Option</v>
          </cell>
        </row>
        <row r="12100">
          <cell r="F12100" t="str">
            <v>UTI FTIF Series XXIII-IX (1100 Days)- Direct Plan - Growth Option</v>
          </cell>
        </row>
        <row r="12101">
          <cell r="F12101" t="str">
            <v>UTI FTIF Series XXIII-IX (1100 Days)- Direct Plan - Maturity Div Option</v>
          </cell>
        </row>
        <row r="12102">
          <cell r="F12102" t="str">
            <v>UTI FTIF Series XXIII-IX (1100 Days)- Direct Plan - Quarterly Div Option</v>
          </cell>
        </row>
        <row r="12103">
          <cell r="F12103" t="str">
            <v>UTI FTIF Series XXIII-IX (1100 Days)- Regular Plan - Annual Div Option</v>
          </cell>
        </row>
        <row r="12104">
          <cell r="F12104" t="str">
            <v>UTI FTIF Series XXIII-IX (1100 Days)- Regular Plan - Flexi Div Option</v>
          </cell>
        </row>
        <row r="12105">
          <cell r="F12105" t="str">
            <v>UTI FTIF Series XXIII-IX (1100 Days)- Regular Plan - Growth Option</v>
          </cell>
        </row>
        <row r="12106">
          <cell r="F12106" t="str">
            <v>UTI FTIF Series XXIII-IX (1100 Days)- Regular Plan - Maturity Div Option</v>
          </cell>
        </row>
        <row r="12107">
          <cell r="F12107" t="str">
            <v>UTI FTIF Series XXIII-IX (1100 Days)- Regular Plan - Quarterly Div Option</v>
          </cell>
        </row>
        <row r="12108">
          <cell r="F12108" t="str">
            <v>UTI FTIF Series XXIII-V (1100 Days) - Direct Plan - Annual Div Option</v>
          </cell>
        </row>
        <row r="12109">
          <cell r="F12109" t="str">
            <v>UTI FTIF Series XXIII-V (1100 Days) - Direct Plan - Growth Option</v>
          </cell>
        </row>
        <row r="12110">
          <cell r="F12110" t="str">
            <v>UTI FTIF Series XXIII-V (1100 Days) - Direct Plan - Quarterly Div Option</v>
          </cell>
        </row>
        <row r="12111">
          <cell r="F12111" t="str">
            <v>UTI FTIF Series XXIII-V (1100 Days) - Regular Plan - Annual Div Option</v>
          </cell>
        </row>
        <row r="12112">
          <cell r="F12112" t="str">
            <v>UTI FTIF Series XXIII-V (1100 Days) - Regular Plan - Growth Option</v>
          </cell>
        </row>
        <row r="12113">
          <cell r="F12113" t="str">
            <v>UTI FTIF Series XXIII-V (1100 Days) - Regular Plan - Maturity Div Option</v>
          </cell>
        </row>
        <row r="12114">
          <cell r="F12114" t="str">
            <v>UTI FTIF Series XXIII-V (1100 Days) - Regular Plan - Quarterly Div Option</v>
          </cell>
        </row>
        <row r="12115">
          <cell r="F12115" t="str">
            <v>UTI FTIF Series XXIII-VI (1100 Days)- Direct Plan - Growth Option</v>
          </cell>
        </row>
        <row r="12116">
          <cell r="F12116" t="str">
            <v>UTI FTIF Series XXIII-VI (1100 Days)- Direct Plan - Maturity Div Option</v>
          </cell>
        </row>
        <row r="12117">
          <cell r="F12117" t="str">
            <v>UTI FTIF Series XXIII-VI (1100 Days)- Direct Plan - Quarterly Div Option</v>
          </cell>
        </row>
        <row r="12118">
          <cell r="F12118" t="str">
            <v>UTI FTIF Series XXIII-VI (1100 Days)- Regular Plan - Annual Div Option</v>
          </cell>
        </row>
        <row r="12119">
          <cell r="F12119" t="str">
            <v>UTI FTIF Series XXIII-VI (1100 Days)- Regular Plan - Flexi Div Option</v>
          </cell>
        </row>
        <row r="12120">
          <cell r="F12120" t="str">
            <v>UTI FTIF Series XXIII-VI (1100 Days)- Regular Plan - Growth Option</v>
          </cell>
        </row>
        <row r="12121">
          <cell r="F12121" t="str">
            <v>UTI FTIF Series XXIII-VI (1100 Days)- Regular Plan - Quarterly Div Option</v>
          </cell>
        </row>
        <row r="12122">
          <cell r="F12122" t="str">
            <v>UTI FTIF Series XXIII-VII (1098 Days) - Direct Plan - Growth Option</v>
          </cell>
        </row>
        <row r="12123">
          <cell r="F12123" t="str">
            <v>UTI FTIF Series XXIII-VII (1098 Days) - Regular Plan - Growth Option</v>
          </cell>
        </row>
        <row r="12124">
          <cell r="F12124" t="str">
            <v>UTI FTIF Series XXIII-VIII (1100 Days)- Direct Plan - Annual Div Option</v>
          </cell>
        </row>
        <row r="12125">
          <cell r="F12125" t="str">
            <v>UTI FTIF Series XXIII-VIII (1100 Days)- Direct Plan - Growth Option</v>
          </cell>
        </row>
        <row r="12126">
          <cell r="F12126" t="str">
            <v>UTI FTIF Series XXIII-VIII (1100 Days)- Direct Plan - Maturity Div Option</v>
          </cell>
        </row>
        <row r="12127">
          <cell r="F12127" t="str">
            <v>UTI FTIF Series XXIII-VIII (1100 Days)- Direct Plan - Quarterly Div Option</v>
          </cell>
        </row>
        <row r="12128">
          <cell r="F12128" t="str">
            <v>UTI FTIF Series XXIII-VIII (1100 Days)- Regular Plan - Annual Div Option</v>
          </cell>
        </row>
        <row r="12129">
          <cell r="F12129" t="str">
            <v>UTI FTIF Series XXIII-VIII (1100 Days)- Regular Plan - Flexi Div Option</v>
          </cell>
        </row>
        <row r="12130">
          <cell r="F12130" t="str">
            <v>UTI FTIF Series XXIII-VIII (1100 Days)- Regular Plan - Growth Option</v>
          </cell>
        </row>
        <row r="12131">
          <cell r="F12131" t="str">
            <v>UTI FTIF Series XXIII-VIII (1100 Days)- Regular Plan - Maturity Div Option</v>
          </cell>
        </row>
        <row r="12132">
          <cell r="F12132" t="str">
            <v>UTI FTIF Series XXIII-VIII (1100 Days)- Regular Plan - Quarterly Div Option</v>
          </cell>
        </row>
        <row r="12133">
          <cell r="F12133" t="str">
            <v>UTI FTIF Series XXIII-X (1100 Days) - Direct Plan - Annual Div Option</v>
          </cell>
        </row>
        <row r="12134">
          <cell r="F12134" t="str">
            <v>UTI FTIF Series XXIII-X (1100 Days) - Direct Plan - Flexi Div Option</v>
          </cell>
        </row>
        <row r="12135">
          <cell r="F12135" t="str">
            <v>UTI FTIF Series XXIII-X (1100 Days) - Direct Plan - Growth Option</v>
          </cell>
        </row>
        <row r="12136">
          <cell r="F12136" t="str">
            <v>UTI FTIF Series XXIII-X (1100 Days) - Direct Plan - Maturity Div Option</v>
          </cell>
        </row>
        <row r="12137">
          <cell r="F12137" t="str">
            <v>UTI FTIF Series XXIII-X (1100 Days) - Direct Plan - Quarterly Div Option</v>
          </cell>
        </row>
        <row r="12138">
          <cell r="F12138" t="str">
            <v>UTI FTIF Series XXIII-X (1100 Days) - Regular Plan - Annual Div Option</v>
          </cell>
        </row>
        <row r="12139">
          <cell r="F12139" t="str">
            <v>UTI FTIF Series XXIII-X (1100 Days) - Regular Plan - Growth Option</v>
          </cell>
        </row>
        <row r="12140">
          <cell r="F12140" t="str">
            <v>UTI FTIF Series XXIII-X (1100 Days) - Regular Plan - Maturity Div Option</v>
          </cell>
        </row>
        <row r="12141">
          <cell r="F12141" t="str">
            <v>UTI FTIF Series XXIII-X (1100 Days) - Regular Plan - Quarterly Div Option</v>
          </cell>
        </row>
        <row r="12142">
          <cell r="F12142" t="str">
            <v>UTI FTIF Series XXIII-XI (1100 Days)- Direct Plan - Annual Div Option</v>
          </cell>
        </row>
        <row r="12143">
          <cell r="F12143" t="str">
            <v>UTI FTIF Series XXIII-XI (1100 Days)- Direct Plan - Growth Option</v>
          </cell>
        </row>
        <row r="12144">
          <cell r="F12144" t="str">
            <v>UTI FTIF Series XXIII-XI (1100 Days)- Regular Plan - Annual Div Option</v>
          </cell>
        </row>
        <row r="12145">
          <cell r="F12145" t="str">
            <v>UTI FTIF Series XXIII-XI (1100 Days)- Regular Plan - Growth Option</v>
          </cell>
        </row>
        <row r="12146">
          <cell r="F12146" t="str">
            <v>UTI FTIF Series XXIII-XII (1100 Days)- Direct Plan - Annual Div Option</v>
          </cell>
        </row>
        <row r="12147">
          <cell r="F12147" t="str">
            <v>UTI FTIF Series XXIII-XII (1100 Days)- Direct Plan - Growth Option</v>
          </cell>
        </row>
        <row r="12148">
          <cell r="F12148" t="str">
            <v>UTI FTIF Series XXIII-XII (1100 Days)- Direct Plan - Maturity Div Option</v>
          </cell>
        </row>
        <row r="12149">
          <cell r="F12149" t="str">
            <v>UTI FTIF Series XXIII-XII (1100 Days)- Direct Plan - Quarterly Div Option</v>
          </cell>
        </row>
        <row r="12150">
          <cell r="F12150" t="str">
            <v>UTI FTIF Series XXIII-XII (1100 Days)- Regular Plan - Annual Div Option</v>
          </cell>
        </row>
        <row r="12151">
          <cell r="F12151" t="str">
            <v>UTI FTIF Series XXIII-XII (1100 Days)- Regular Plan - Flexi Div Option</v>
          </cell>
        </row>
        <row r="12152">
          <cell r="F12152" t="str">
            <v>UTI FTIF Series XXIII-XII (1100 Days)- Regular Plan - Growth Option</v>
          </cell>
        </row>
        <row r="12153">
          <cell r="F12153" t="str">
            <v>UTI FTIF Series XXIII-XII (1100 Days)- Regular Plan - Quarterly Div Option</v>
          </cell>
        </row>
        <row r="12154">
          <cell r="F12154" t="str">
            <v>UTI FTIF Series XXIII-XIII (1100 Days)- Direct Plan - Annual Div Option</v>
          </cell>
        </row>
        <row r="12155">
          <cell r="F12155" t="str">
            <v>UTI FTIF Series XXIII-XIII (1100 Days)- Direct Plan - Growth Option</v>
          </cell>
        </row>
        <row r="12156">
          <cell r="F12156" t="str">
            <v>UTI FTIF Series XXIII-XIII (1100 Days)- Direct Plan - Maturity Div Option</v>
          </cell>
        </row>
        <row r="12157">
          <cell r="F12157" t="str">
            <v>UTI FTIF Series XXIII-XIII (1100 Days)- Direct Plan - Quarterly Div Option</v>
          </cell>
        </row>
        <row r="12158">
          <cell r="F12158" t="str">
            <v>UTI FTIF Series XXIII-XIII (1100 Days)- Regular Plan - Annual Div Option</v>
          </cell>
        </row>
        <row r="12159">
          <cell r="F12159" t="str">
            <v>UTI FTIF Series XXIII-XIII (1100 Days)- Regular Plan - Growth Option</v>
          </cell>
        </row>
        <row r="12160">
          <cell r="F12160" t="str">
            <v>UTI FTIF Series XXIII-XIII (1100 Days)- Regular Plan - Maturity Div Option</v>
          </cell>
        </row>
        <row r="12161">
          <cell r="F12161" t="str">
            <v>UTI FTIF Series XXIII-XIII (1100 Days)- Regular Plan - Quarterly Div Option</v>
          </cell>
        </row>
        <row r="12162">
          <cell r="F12162" t="str">
            <v>UTI FTIF Series XXIII-XIV (1145 Days)- Direct Plan - Annual Div Option</v>
          </cell>
        </row>
        <row r="12163">
          <cell r="F12163" t="str">
            <v>UTI FTIF Series XXIII-XIV (1145 Days)- Direct Plan - Flexi Div Option</v>
          </cell>
        </row>
        <row r="12164">
          <cell r="F12164" t="str">
            <v>UTI FTIF Series XXIII-XIV (1145 Days)- Direct Plan - Growth Option</v>
          </cell>
        </row>
        <row r="12165">
          <cell r="F12165" t="str">
            <v>UTI FTIF Series XXIII-XIV (1145 Days)- Direct Plan - Maturity Div Option</v>
          </cell>
        </row>
        <row r="12166">
          <cell r="F12166" t="str">
            <v>UTI FTIF Series XXIII-XIV (1145 Days)- Direct Plan - Quarterly Div Option</v>
          </cell>
        </row>
        <row r="12167">
          <cell r="F12167" t="str">
            <v>UTI FTIF Series XXIII-XIV (1145 Days)- Regular Plan - Annual Div Option</v>
          </cell>
        </row>
        <row r="12168">
          <cell r="F12168" t="str">
            <v>UTI FTIF Series XXIII-XIV (1145 Days)- Regular Plan - Growth Option</v>
          </cell>
        </row>
        <row r="12169">
          <cell r="F12169" t="str">
            <v>UTI FTIF Series XXIII-XIV (1145 Days)- Regular Plan - Maturity Div Option</v>
          </cell>
        </row>
        <row r="12170">
          <cell r="F12170" t="str">
            <v>UTI FTIF Series XXIII-XIV (1145 Days)- Regular Plan - Quarterly Div Option</v>
          </cell>
        </row>
        <row r="12171">
          <cell r="F12171" t="str">
            <v>UTI FTIF Series XXIII-XV (1176 Days)- Direct Plan - Growth Option</v>
          </cell>
        </row>
        <row r="12172">
          <cell r="F12172" t="str">
            <v>UTI FTIF Series XXIII-XV (1176 Days)- Regular Plan - Growth Option</v>
          </cell>
        </row>
        <row r="12173">
          <cell r="F12173" t="str">
            <v>UTI FTIF Series XXIV - II (1142 Days) - Regular Plan - Flexi Div Option</v>
          </cell>
        </row>
        <row r="12174">
          <cell r="F12174" t="str">
            <v>UTI FTIF Series XXIV - II (1142 Days) - Regular Plan - Quarterly Div Option</v>
          </cell>
        </row>
        <row r="12175">
          <cell r="F12175" t="str">
            <v>UTI FTIF Series XXIV-II (1142 Days)- Direct Plan - Growth Option</v>
          </cell>
        </row>
        <row r="12176">
          <cell r="F12176" t="str">
            <v>UTI FTIF Series XXIV-II (1142 Days)- Direct Plan - Maturity Div Option</v>
          </cell>
        </row>
        <row r="12177">
          <cell r="F12177" t="str">
            <v>UTI FTIF Series XXIV-II (1142 Days)- Regular Plan - Growth Option</v>
          </cell>
        </row>
        <row r="12178">
          <cell r="F12178" t="str">
            <v>UTI FTIF Series XXIV-IX (1183 Days)- Direct Plan - Growth Option</v>
          </cell>
        </row>
        <row r="12179">
          <cell r="F12179" t="str">
            <v>UTI FTIF Series XXIV-IX (1183 Days)- Regular Plan - Growth Option</v>
          </cell>
        </row>
        <row r="12180">
          <cell r="F12180" t="str">
            <v>UTI FTIF Series XXIV-V (1132 Days)- Direct Plan - Growth Option</v>
          </cell>
        </row>
        <row r="12181">
          <cell r="F12181" t="str">
            <v>UTI FTIF Series XXIV-V (1132 Days)- Direct Plan - Maturity Div Option</v>
          </cell>
        </row>
        <row r="12182">
          <cell r="F12182" t="str">
            <v>UTI FTIF Series XXIV-V (1132 Days)- Direct Plan - Quarterly Div Option</v>
          </cell>
        </row>
        <row r="12183">
          <cell r="F12183" t="str">
            <v>UTI FTIF Series XXIV-V (1132 Days)- Regular Plan - Annual Div Option</v>
          </cell>
        </row>
        <row r="12184">
          <cell r="F12184" t="str">
            <v>UTI FTIF Series XXIV-V (1132 Days)- Regular Plan - Growth Option</v>
          </cell>
        </row>
        <row r="12185">
          <cell r="F12185" t="str">
            <v>UTI FTIF Series XXIV-V (1132 Days)- Regular Plan - Maturity Div Option</v>
          </cell>
        </row>
        <row r="12186">
          <cell r="F12186" t="str">
            <v>UTI FTIF Series XXIV-V (1132 Days)- Regular Plan - Quarterly Div Option</v>
          </cell>
        </row>
        <row r="12187">
          <cell r="F12187" t="str">
            <v>UTI FTIF Series XXIV-VI (1181 Days)- Direct Plan - Growth Option</v>
          </cell>
        </row>
        <row r="12188">
          <cell r="F12188" t="str">
            <v>UTI FTIF Series XXIV-VI (1181 Days)- Regular Plan - Growth Option</v>
          </cell>
        </row>
        <row r="12189">
          <cell r="F12189" t="str">
            <v>UTI FTIF Series XXIV-VII (1182 Days)- Direct Plan - Growth Option</v>
          </cell>
        </row>
        <row r="12190">
          <cell r="F12190" t="str">
            <v>UTI FTIF Series XXIV-VII (1182 Days)- Regular Plan - Growth Option</v>
          </cell>
        </row>
        <row r="12191">
          <cell r="F12191" t="str">
            <v>UTI FTIF Series XXIV-VIII (1184 Days) - Direct Plan - Maturity Div Option</v>
          </cell>
        </row>
        <row r="12192">
          <cell r="F12192" t="str">
            <v>UTI FTIF Series XXIV-VIII (1184 Days)- Direct Plan - Growth Option</v>
          </cell>
        </row>
        <row r="12193">
          <cell r="F12193" t="str">
            <v>UTI FTIF Series XXIV-VIII (1184 Days)- Regular Paln - Growth Option</v>
          </cell>
        </row>
        <row r="12194">
          <cell r="F12194" t="str">
            <v>UTI FTIF Series XXIV-X (1118 Days) - Direct Plan - Annual Div Option</v>
          </cell>
        </row>
        <row r="12195">
          <cell r="F12195" t="str">
            <v>UTI FTIF Series XXIV-X (1118 Days)- Direct Plan - Growth Option</v>
          </cell>
        </row>
        <row r="12196">
          <cell r="F12196" t="str">
            <v>UTI FTIF Series XXIV-X (1118 Days)- Direct Plan - Maturity Div Option</v>
          </cell>
        </row>
        <row r="12197">
          <cell r="F12197" t="str">
            <v>UTI FTIF Series XXIV-X (1118 Days)- Direct Plan - Quarterly Div Option</v>
          </cell>
        </row>
        <row r="12198">
          <cell r="F12198" t="str">
            <v>UTI FTIF Series XXIV-X (1118 Days)- Regular Plan - Annual Div Option</v>
          </cell>
        </row>
        <row r="12199">
          <cell r="F12199" t="str">
            <v>UTI FTIF Series XXIV-X (1118 Days)- Regular Plan - Growth Option</v>
          </cell>
        </row>
        <row r="12200">
          <cell r="F12200" t="str">
            <v>UTI FTIF Series XXIV-X (1118 Days)- Regular Plan - Quarterly Div Option</v>
          </cell>
        </row>
        <row r="12201">
          <cell r="F12201" t="str">
            <v>UTI FTIF Series XXIV-XI (1098 Days)- Direct Plan - Annual Div Option</v>
          </cell>
        </row>
        <row r="12202">
          <cell r="F12202" t="str">
            <v>UTI FTIF Series XXIV-XI (1098 Days)- Direct Plan - Growth Option</v>
          </cell>
        </row>
        <row r="12203">
          <cell r="F12203" t="str">
            <v>UTI FTIF Series XXIV-XI (1098 Days)- Direct Plan - Maturity Div Option</v>
          </cell>
        </row>
        <row r="12204">
          <cell r="F12204" t="str">
            <v>UTI FTIF Series XXIV-XI (1098 Days)- Direct Plan - Quarterly Div Option</v>
          </cell>
        </row>
        <row r="12205">
          <cell r="F12205" t="str">
            <v>UTI FTIF Series XXIV-XI (1098 Days)- Regular Plan - Annual Div Option</v>
          </cell>
        </row>
        <row r="12206">
          <cell r="F12206" t="str">
            <v>UTI FTIF Series XXIV-XI (1098 Days)- Regular Plan - Growth Option</v>
          </cell>
        </row>
        <row r="12207">
          <cell r="F12207" t="str">
            <v>UTI FTIF Series XXIV-XI (1098 Days)- Regular Plan - Quarterly Div Option</v>
          </cell>
        </row>
        <row r="12208">
          <cell r="F12208" t="str">
            <v>UTI FTIF Series XXIV-XI (10980 Days)- Regular Plan - Maturity Div Option</v>
          </cell>
        </row>
        <row r="12209">
          <cell r="F12209" t="str">
            <v>UTI FTIF Series XXIV-XII (1099 Days)- Direct Plan - Annual Div Option</v>
          </cell>
        </row>
        <row r="12210">
          <cell r="F12210" t="str">
            <v>UTI FTIF Series XXIV-XII (1099 Days)- Direct Plan - Growth Option</v>
          </cell>
        </row>
        <row r="12211">
          <cell r="F12211" t="str">
            <v>UTI FTIF Series XXIV-XII (1099 Days)- Direct Plan - Maturity Div Option</v>
          </cell>
        </row>
        <row r="12212">
          <cell r="F12212" t="str">
            <v>UTI FTIF Series XXIV-XII (1099 Days)- Direct Plan - Quarterly Dividend Option</v>
          </cell>
        </row>
        <row r="12213">
          <cell r="F12213" t="str">
            <v>UTI FTIF Series XXIV-XII (1099 Days)- Regular Plan - Annual Div Option</v>
          </cell>
        </row>
        <row r="12214">
          <cell r="F12214" t="str">
            <v>UTI FTIF Series XXIV-XII (1099 Days)- Regular Plan - Flexi Div Option</v>
          </cell>
        </row>
        <row r="12215">
          <cell r="F12215" t="str">
            <v>UTI FTIF Series XXIV-XII (1099 Days)- Regular Plan - Growth Option</v>
          </cell>
        </row>
        <row r="12216">
          <cell r="F12216" t="str">
            <v>UTI FTIF Series XXIV-XII (1099 Days)- Regular Plan - Maturity Div Option</v>
          </cell>
        </row>
        <row r="12217">
          <cell r="F12217" t="str">
            <v>UTI FTIF Series XXIV-XII (1099 Days)- Regular Plan - Quarterly Div Option</v>
          </cell>
        </row>
        <row r="12218">
          <cell r="F12218" t="str">
            <v>UTI FTIF Series XXIV-XIII (1097 Days)- Direct Plan - Annual Div Option</v>
          </cell>
        </row>
        <row r="12219">
          <cell r="F12219" t="str">
            <v>UTI FTIF Series XXIV-XIII (1097 Days)- Direct Plan - Growth Option</v>
          </cell>
        </row>
        <row r="12220">
          <cell r="F12220" t="str">
            <v>UTI FTIF Series XXIV-XIII (1097 Days)- Direct Plan - Maturity Div Option</v>
          </cell>
        </row>
        <row r="12221">
          <cell r="F12221" t="str">
            <v>UTI FTIF Series XXIV-XIII (1097 Days)- Direct Plan - Quarterly Div Option</v>
          </cell>
        </row>
        <row r="12222">
          <cell r="F12222" t="str">
            <v>UTI FTIF Series XXIV-XIII (1097 Days)- Regular Plan - Annual Div Option</v>
          </cell>
        </row>
        <row r="12223">
          <cell r="F12223" t="str">
            <v>UTI FTIF Series XXIV-XIII (1097 Days)- Regular Plan - Flexi Div Option</v>
          </cell>
        </row>
        <row r="12224">
          <cell r="F12224" t="str">
            <v>UTI FTIF Series XXIV-XIII (1097 Days)- Regular Plan - Growth Option</v>
          </cell>
        </row>
        <row r="12225">
          <cell r="F12225" t="str">
            <v>UTI FTIF Series XXIV-XIII (1097 Days)- Regular Plan - Maturity Div Option</v>
          </cell>
        </row>
        <row r="12226">
          <cell r="F12226" t="str">
            <v>UTI FTIF Series XXIV-XIII (1097 Days)- Regular Plan - Quarterly Div Option</v>
          </cell>
        </row>
        <row r="12227">
          <cell r="F12227" t="str">
            <v>UTI FTIF Series XXIV-XIV (1831 Days)- Direct Plan - Growth Option</v>
          </cell>
        </row>
        <row r="12228">
          <cell r="F12228" t="str">
            <v>UTI FTIF Series XXIV-XIV (1831 Days)- Direct Plan - Maturity Div Option</v>
          </cell>
        </row>
        <row r="12229">
          <cell r="F12229" t="str">
            <v>UTI FTIF Series XXIV-XIV (1831 Days)- Regular - Annual Div Option</v>
          </cell>
        </row>
        <row r="12230">
          <cell r="F12230" t="str">
            <v>UTI FTIF Series XXIV-XIV (1831 Days)- Regular Plan -  Quarterly Div Option</v>
          </cell>
        </row>
        <row r="12231">
          <cell r="F12231" t="str">
            <v>UTI FTIF Series XXIV-XIV (1831 Days)- Regular Plan - Flexi Div Option</v>
          </cell>
        </row>
        <row r="12232">
          <cell r="F12232" t="str">
            <v>UTI FTIF Series XXIV-XIV (1831 Days)- Regular Plan - Growth Option</v>
          </cell>
        </row>
        <row r="12233">
          <cell r="F12233" t="str">
            <v>UTI FTIF Series XXIV-XIV (1831 Days)- Regular Plan - Maturity Div Option</v>
          </cell>
        </row>
        <row r="12234">
          <cell r="F12234" t="str">
            <v>UTI FTIF Series XXIV-XIV (1831Days)- Direct Plan - Quarterly Div Option</v>
          </cell>
        </row>
        <row r="12235">
          <cell r="F12235" t="str">
            <v>UTI FTIF Series XXIV-XV (1099 Days)- Direct Plan - Annual Div Option</v>
          </cell>
        </row>
        <row r="12236">
          <cell r="F12236" t="str">
            <v>UTI FTIF Series XXIV-XV (1099 Days)- Direct Plan - Growth Option</v>
          </cell>
        </row>
        <row r="12237">
          <cell r="F12237" t="str">
            <v>UTI FTIF Series XXIV-XV (1099 Days)- Direct Plan - Maturity Div Option</v>
          </cell>
        </row>
        <row r="12238">
          <cell r="F12238" t="str">
            <v>UTI FTIF Series XXIV-XV (1099 Days)- Direct Plan - Quarterly Div Option</v>
          </cell>
        </row>
        <row r="12239">
          <cell r="F12239" t="str">
            <v>UTI FTIF Series XXIV-XV (1099 Days)- Regular Plan - Annual Div Option</v>
          </cell>
        </row>
        <row r="12240">
          <cell r="F12240" t="str">
            <v>UTI FTIF Series XXIV-XV (1099 Days)- Regular Plan - Flexi Div Option</v>
          </cell>
        </row>
        <row r="12241">
          <cell r="F12241" t="str">
            <v>UTI FTIF Series XXIV-XV (1099 Days)- Regular Plan - Growth Option</v>
          </cell>
        </row>
        <row r="12242">
          <cell r="F12242" t="str">
            <v>UTI FTIF Series XXIV-XV (1099 Days)- Regular Plan - Maturity Div Option</v>
          </cell>
        </row>
        <row r="12243">
          <cell r="F12243" t="str">
            <v>UTI FTIF Series XXIV-XV (1099 Days)- Regular Plan - Quarterly Div Option</v>
          </cell>
        </row>
        <row r="12244">
          <cell r="F12244" t="str">
            <v>UTI FTIF Series XXIV-XVII (1098 Days)- Direct Plan - Annual Div Option</v>
          </cell>
        </row>
        <row r="12245">
          <cell r="F12245" t="str">
            <v>UTI FTIF Series XXIV-XVII (1098 Days)- Direct Plan - Growth Option</v>
          </cell>
        </row>
        <row r="12246">
          <cell r="F12246" t="str">
            <v>UTI FTIF Series XXIV-XVII (1098 Days)- Direct Plan - Maturity Div Option</v>
          </cell>
        </row>
        <row r="12247">
          <cell r="F12247" t="str">
            <v>UTI FTIF Series XXIV-XVII (1098 Days)- Direct Plan - Quarterly Div Option</v>
          </cell>
        </row>
        <row r="12248">
          <cell r="F12248" t="str">
            <v>UTI FTIF Series XXIV-XVII (1098 Days)- Regular Plan - Annual Div Option</v>
          </cell>
        </row>
        <row r="12249">
          <cell r="F12249" t="str">
            <v>UTI FTIF Series XXIV-XVII (1098 Days)- Regular Plan - Flexi Div Option</v>
          </cell>
        </row>
        <row r="12250">
          <cell r="F12250" t="str">
            <v>UTI FTIF Series XXIV-XVII (1098 Days)- Regular Plan - Growth Option</v>
          </cell>
        </row>
        <row r="12251">
          <cell r="F12251" t="str">
            <v>UTI FTIF Series XXIV-XVII (1098 Days)- Regular Plan - Maturity Div Option</v>
          </cell>
        </row>
        <row r="12252">
          <cell r="F12252" t="str">
            <v>UTI FTIF Series XXIV-XVII (1098 Days)- Regular Plan - Quarterly Div Option</v>
          </cell>
        </row>
        <row r="12253">
          <cell r="F12253" t="str">
            <v>UTI FTIF Series XXV-I (1099 Days)- Direct Plan - Annual Div Option</v>
          </cell>
        </row>
        <row r="12254">
          <cell r="F12254" t="str">
            <v>UTI FTIF Series XXV-I (1099 Days)- Direct Plan - Growth Option</v>
          </cell>
        </row>
        <row r="12255">
          <cell r="F12255" t="str">
            <v>UTI FTIF Series XXV-I (1099 Days)- Direct Plan - Maturity Div Option</v>
          </cell>
        </row>
        <row r="12256">
          <cell r="F12256" t="str">
            <v>UTI FTIF Series XXV-I (1099 Days)- Direct Plan - Quarterly Div Option</v>
          </cell>
        </row>
        <row r="12257">
          <cell r="F12257" t="str">
            <v>UTI FTIF Series XXV-I (1099 Days)- Regular Plan - Annual Div Option</v>
          </cell>
        </row>
        <row r="12258">
          <cell r="F12258" t="str">
            <v>UTI FTIF Series XXV-I (1099 Days)- Regular Plan - Flexi Div Option</v>
          </cell>
        </row>
        <row r="12259">
          <cell r="F12259" t="str">
            <v>UTI FTIF Series XXV-I (1099 Days)- Regular Plan - Growth Option</v>
          </cell>
        </row>
        <row r="12260">
          <cell r="F12260" t="str">
            <v>UTI FTIF Series XXV-I (1099 Days)- Regular Plan - Maturity Div Option</v>
          </cell>
        </row>
        <row r="12261">
          <cell r="F12261" t="str">
            <v>UTI FTIF Series XXV-I (1099 Days)- Regular Plan - Quarterly Div Option</v>
          </cell>
        </row>
        <row r="12262">
          <cell r="F12262" t="str">
            <v>UTI FTIF Series XXV-II (1097 Days)- Direct Plan - Annual Div Option</v>
          </cell>
        </row>
        <row r="12263">
          <cell r="F12263" t="str">
            <v>UTI FTIF Series XXV-II (1097 Days)- Direct Plan - Flexi Div Option</v>
          </cell>
        </row>
        <row r="12264">
          <cell r="F12264" t="str">
            <v>UTI FTIF Series XXV-II (1097 Days)- Direct Plan - Growth Option</v>
          </cell>
        </row>
        <row r="12265">
          <cell r="F12265" t="str">
            <v>UTI FTIF Series XXV-II (1097 Days)- Direct Plan - Maturity Div Option</v>
          </cell>
        </row>
        <row r="12266">
          <cell r="F12266" t="str">
            <v>UTI FTIF Series XXV-II (1097 Days)- Direct Plan - Quarterly Div Option</v>
          </cell>
        </row>
        <row r="12267">
          <cell r="F12267" t="str">
            <v>UTI FTIF Series XXV-II (1097 Days)- Regular Plan - Annual Div Option</v>
          </cell>
        </row>
        <row r="12268">
          <cell r="F12268" t="str">
            <v>UTI FTIF Series XXV-II (1097 Days)- Regular Plan - Flexi Div Option</v>
          </cell>
        </row>
        <row r="12269">
          <cell r="F12269" t="str">
            <v>UTI FTIF Series XXV-II (1097 Days)- Regular Plan - Growth Option</v>
          </cell>
        </row>
        <row r="12270">
          <cell r="F12270" t="str">
            <v>UTI FTIF Series XXV-II (1097 Days)- Regular Plan - Maturity Div Option</v>
          </cell>
        </row>
        <row r="12271">
          <cell r="F12271" t="str">
            <v>UTI FTIF Series XXV-II (1097 Days)- Regular Plan - Quarterly Div Option</v>
          </cell>
        </row>
        <row r="12272">
          <cell r="F12272" t="str">
            <v>UTI FTIF Series XXV-III (1100 Days)- Direct Plan - Annual Div Option</v>
          </cell>
        </row>
        <row r="12273">
          <cell r="F12273" t="str">
            <v>UTI FTIF Series XXV-III (1100 Days)- Direct Plan - Flexi Div Option</v>
          </cell>
        </row>
        <row r="12274">
          <cell r="F12274" t="str">
            <v>UTI FTIF Series XXV-III (1100 Days)- Direct Plan - Maturity Div Option</v>
          </cell>
        </row>
        <row r="12275">
          <cell r="F12275" t="str">
            <v>UTI FTIF Series XXV-III (1100 Days)- Direct Plan - Quarterly Div Option</v>
          </cell>
        </row>
        <row r="12276">
          <cell r="F12276" t="str">
            <v>UTI FTIF Series XXV-III (1100 Days)- Regular Plan - Annual Div Option</v>
          </cell>
        </row>
        <row r="12277">
          <cell r="F12277" t="str">
            <v>UTI FTIF Series XXV-III (1100 Days)- Regular Plan - Flexi Div Option</v>
          </cell>
        </row>
        <row r="12278">
          <cell r="F12278" t="str">
            <v>UTI FTIF Series XXV-III (1100 Days)- Regular Plan - Growth Option</v>
          </cell>
        </row>
        <row r="12279">
          <cell r="F12279" t="str">
            <v>UTI FTIF Series XXV-III (1100 Days)- Regular Plan - Maturity Div Option</v>
          </cell>
        </row>
        <row r="12280">
          <cell r="F12280" t="str">
            <v>UTI FTIF Series XXV-III (1100 Days)- Regular Plan - Quarterly Div Option</v>
          </cell>
        </row>
        <row r="12281">
          <cell r="F12281" t="str">
            <v>UTI FTIF Series XXV-IV (1100 Days)- Direct Plan - Annual Div Option</v>
          </cell>
        </row>
        <row r="12282">
          <cell r="F12282" t="str">
            <v>UTI FTIF Series XXV-IV (1100 Days)- Direct Plan - Growth Option</v>
          </cell>
        </row>
        <row r="12283">
          <cell r="F12283" t="str">
            <v>UTI FTIF Series XXV-IV (1100 Days)- Direct Plan - Maturity Div Option</v>
          </cell>
        </row>
        <row r="12284">
          <cell r="F12284" t="str">
            <v>UTI FTIF Series XXV-IV (1100 Days)- Direct Plan - Quarterly Div Option</v>
          </cell>
        </row>
        <row r="12285">
          <cell r="F12285" t="str">
            <v>UTI FTIF Series XXV-IV (1100 Days)- Regular Plan - Annual Div Option</v>
          </cell>
        </row>
        <row r="12286">
          <cell r="F12286" t="str">
            <v>UTI FTIF Series XXV-IV (1100 Days)- Regular Plan - Flexi Div Option</v>
          </cell>
        </row>
        <row r="12287">
          <cell r="F12287" t="str">
            <v>UTI FTIF Series XXV-IV (1100 Days)- Regular Plan - Growth Option</v>
          </cell>
        </row>
        <row r="12288">
          <cell r="F12288" t="str">
            <v>UTI FTIF Series XXV-IV (1100 Days)- Regular Plan - Maturity Div Option</v>
          </cell>
        </row>
        <row r="12289">
          <cell r="F12289" t="str">
            <v>UTI FTIF Series XXV-IV (1100 Days)- Regular Plan - Quarterly Div Option</v>
          </cell>
        </row>
        <row r="12290">
          <cell r="F12290" t="str">
            <v>UTI FTIF Series XXV-IX (1098 Days)- Direct Plan - Annual Div Option</v>
          </cell>
        </row>
        <row r="12291">
          <cell r="F12291" t="str">
            <v>UTI FTIF Series XXV-IX (1098 Days)- Direct Plan - Growth Option</v>
          </cell>
        </row>
        <row r="12292">
          <cell r="F12292" t="str">
            <v>UTI FTIF Series XXV-IX (1098 Days)- Direct Plan - Maturity Div Option</v>
          </cell>
        </row>
        <row r="12293">
          <cell r="F12293" t="str">
            <v>UTI FTIF Series XXV-IX (1098 Days)- Direct Plan - Quarterly Div Option</v>
          </cell>
        </row>
        <row r="12294">
          <cell r="F12294" t="str">
            <v>UTI FTIF Series XXV-IX (1098 Days)- Regular Plan - Annual Div Option</v>
          </cell>
        </row>
        <row r="12295">
          <cell r="F12295" t="str">
            <v>UTI FTIF Series XXV-IX (1098 Days)- Regular Plan - Flexi Div Option</v>
          </cell>
        </row>
        <row r="12296">
          <cell r="F12296" t="str">
            <v>UTI FTIF Series XXV-IX (1098 Days)- Regular Plan - Growth Option</v>
          </cell>
        </row>
        <row r="12297">
          <cell r="F12297" t="str">
            <v>UTI FTIF Series XXV-IX (1098 Days)- Regular Plan - Maturity Div Option</v>
          </cell>
        </row>
        <row r="12298">
          <cell r="F12298" t="str">
            <v>UTI FTIF Series XXV-IX (1098 Days)- Regular Plan - Quarterly Div Option</v>
          </cell>
        </row>
        <row r="12299">
          <cell r="F12299" t="str">
            <v>UTI FTIF Series XXV-V (1100 Days)- Direct Plan - Growth Option</v>
          </cell>
        </row>
        <row r="12300">
          <cell r="F12300" t="str">
            <v>UTI FTIF Series XXV-V (1100 Days)- Direct Plan - Maturity Div Option</v>
          </cell>
        </row>
        <row r="12301">
          <cell r="F12301" t="str">
            <v>UTI FTIF Series XXV-V (1100 Days)- Direct Plan - Quarterly Div Option</v>
          </cell>
        </row>
        <row r="12302">
          <cell r="F12302" t="str">
            <v>UTI FTIF Series XXV-V (1100 Days)- Regular Plan - Flexi Div Option</v>
          </cell>
        </row>
        <row r="12303">
          <cell r="F12303" t="str">
            <v>UTI FTIF Series XXV-V (1100 Days)- Regular Plan - Growth Option</v>
          </cell>
        </row>
        <row r="12304">
          <cell r="F12304" t="str">
            <v>UTI FTIF Series XXV-V (1100 Days)- Regular Plan - Quarterly Div Option</v>
          </cell>
        </row>
        <row r="12305">
          <cell r="F12305" t="str">
            <v>UTI FTIF Series XXV-VI (1098 Days) - Regular Plan - Maturity Div Option</v>
          </cell>
        </row>
        <row r="12306">
          <cell r="F12306" t="str">
            <v>UTI FTIF Series XXV-VI (1098 Days)- Direct Plan - Annual Div Option</v>
          </cell>
        </row>
        <row r="12307">
          <cell r="F12307" t="str">
            <v>UTI FTIF Series XXV-VI (1098 Days)- Direct Plan - Growth Option</v>
          </cell>
        </row>
        <row r="12308">
          <cell r="F12308" t="str">
            <v>UTI FTIF Series XXV-VI (1098 Days)- Direct Plan - Maturity Div Option</v>
          </cell>
        </row>
        <row r="12309">
          <cell r="F12309" t="str">
            <v>UTI FTIF Series XXV-VI (1098 Days)- Direct Plan - Quarterly Div Option</v>
          </cell>
        </row>
        <row r="12310">
          <cell r="F12310" t="str">
            <v>UTI FTIF Series XXV-VI (1098 Days)- Regular Plan - Annual Div Dividend Option</v>
          </cell>
        </row>
        <row r="12311">
          <cell r="F12311" t="str">
            <v>UTI FTIF Series XXV-VI (1098 Days)- Regular Plan - Growth Option</v>
          </cell>
        </row>
        <row r="12312">
          <cell r="F12312" t="str">
            <v>UTI FTIF Series XXV-VI (1098 Days)- Regular Plan - Quarterly Div Option</v>
          </cell>
        </row>
        <row r="12313">
          <cell r="F12313" t="str">
            <v>UTI FTIF Series XXV-VII (1097 Days)- Direct Plan - Annual Div Option</v>
          </cell>
        </row>
        <row r="12314">
          <cell r="F12314" t="str">
            <v>UTI FTIF Series XXV-VII (1097 Days)- Direct Plan - Flexi Div Option</v>
          </cell>
        </row>
        <row r="12315">
          <cell r="F12315" t="str">
            <v>UTI FTIF Series XXV-VII (1097 Days)- Direct Plan - Growth Option</v>
          </cell>
        </row>
        <row r="12316">
          <cell r="F12316" t="str">
            <v>UTI FTIF Series XXV-VII (1097 Days)- Direct Plan - Maturity Div Option</v>
          </cell>
        </row>
        <row r="12317">
          <cell r="F12317" t="str">
            <v>UTI FTIF Series XXV-VII (1097 Days)- Direct Plan - Quarterly Div Option</v>
          </cell>
        </row>
        <row r="12318">
          <cell r="F12318" t="str">
            <v>UTI FTIF Series XXV-VII (1097 Days)- Regular Plan - Annual Div Option</v>
          </cell>
        </row>
        <row r="12319">
          <cell r="F12319" t="str">
            <v>UTI FTIF Series XXV-VII (1097 Days)- Regular Plan - Flexi Div Option</v>
          </cell>
        </row>
        <row r="12320">
          <cell r="F12320" t="str">
            <v>UTI FTIF Series XXV-VII (1097 Days)- Regular Plan - Growth Option</v>
          </cell>
        </row>
        <row r="12321">
          <cell r="F12321" t="str">
            <v>UTI FTIF Series XXV-VII (1097 Days)- Regular Plan - Maturity Div Option</v>
          </cell>
        </row>
        <row r="12322">
          <cell r="F12322" t="str">
            <v>UTI FTIF Series XXV-VII (1097 Days)- Regular Plan - Quarterly Div Option</v>
          </cell>
        </row>
        <row r="12323">
          <cell r="F12323" t="str">
            <v>UTI FTIF Series XXV-VIII (1100 Days)- Direct Plan - Growth Option</v>
          </cell>
        </row>
        <row r="12324">
          <cell r="F12324" t="str">
            <v>UTI FTIF Series XXV-VIII (1100 Days)- Direct Plan - Maturity Div Option</v>
          </cell>
        </row>
        <row r="12325">
          <cell r="F12325" t="str">
            <v>UTI FTIF Series XXV-VIII (1100 Days)- Direct Plan - Quarterly Div Option</v>
          </cell>
        </row>
        <row r="12326">
          <cell r="F12326" t="str">
            <v>UTI FTIF Series XXV-VIII (1100 Days)- Regular Plan - Annual Div Option</v>
          </cell>
        </row>
        <row r="12327">
          <cell r="F12327" t="str">
            <v>UTI FTIF Series XXV-VIII (1100 Days)- Regular Plan - Flexi Div Option</v>
          </cell>
        </row>
        <row r="12328">
          <cell r="F12328" t="str">
            <v>UTI FTIF Series XXV-VIII (1100 Days)- Regular Plan - Growth Option</v>
          </cell>
        </row>
        <row r="12329">
          <cell r="F12329" t="str">
            <v>UTI FTIF Series XXV-VIII (1100 Days)- Regular Plan - Maturity Div Option</v>
          </cell>
        </row>
        <row r="12330">
          <cell r="F12330" t="str">
            <v>UTI FTIF Series XXV-VIII (1100 Days)- Regular Plan - Quarterly Div Option</v>
          </cell>
        </row>
        <row r="12331">
          <cell r="F12331" t="str">
            <v>UTI FTIF Series XXV-VIII(1100 Days)- Direct Plan - Annual Div Option</v>
          </cell>
        </row>
        <row r="12332">
          <cell r="F12332" t="str">
            <v>UTI FTIF Series XXV-X (1229 Days)- Direct Plan - Annual Div Option</v>
          </cell>
        </row>
        <row r="12333">
          <cell r="F12333" t="str">
            <v>UTI FTIF Series XXV-X (1229 Days)- Direct Plan - Growth Option</v>
          </cell>
        </row>
        <row r="12334">
          <cell r="F12334" t="str">
            <v>UTI FTIF Series XXV-X (1229 Days)- Direct Plan - Quarterly Div Option</v>
          </cell>
        </row>
        <row r="12335">
          <cell r="F12335" t="str">
            <v>UTI FTIF Series XXV-X (1229 Days)- Regular Plan - Annual Div Option</v>
          </cell>
        </row>
        <row r="12336">
          <cell r="F12336" t="str">
            <v>UTI FTIF Series XXV-X (1229 Days)- Regular Plan - Flexi Div Option</v>
          </cell>
        </row>
        <row r="12337">
          <cell r="F12337" t="str">
            <v>UTI FTIF Series XXV-X (1229 Days)- Regular Plan - Growth Option</v>
          </cell>
        </row>
        <row r="12338">
          <cell r="F12338" t="str">
            <v>UTI FTIF Series XXV-X (1229 Days)- Regular Plan - Maturity Div Option</v>
          </cell>
        </row>
        <row r="12339">
          <cell r="F12339" t="str">
            <v>UTI FTIF Series XXV-X (1229 Days)- Regular Plan - Quarterly Div Option</v>
          </cell>
        </row>
        <row r="12340">
          <cell r="F12340" t="str">
            <v>UTI FTIF Series XXV-XI (1211 Days)- Direct Plan - Annual Div Option</v>
          </cell>
        </row>
        <row r="12341">
          <cell r="F12341" t="str">
            <v>UTI FTIF Series XXV-XI (1211 Days)- Direct Plan - Flexi Div Option</v>
          </cell>
        </row>
        <row r="12342">
          <cell r="F12342" t="str">
            <v>UTI FTIF Series XXV-XI (1211 Days)- Direct Plan - Growth Option</v>
          </cell>
        </row>
        <row r="12343">
          <cell r="F12343" t="str">
            <v>UTI FTIF Series XXV-XI (1211 Days)- Direct Plan - Maturity Div Option</v>
          </cell>
        </row>
        <row r="12344">
          <cell r="F12344" t="str">
            <v>UTI FTIF Series XXV-XI (1211 Days)- Direct Plan - Quarterly Div Option</v>
          </cell>
        </row>
        <row r="12345">
          <cell r="F12345" t="str">
            <v>UTI FTIF Series XXV-XI (1211 Days)- Regular Plan - Annual Div Option</v>
          </cell>
        </row>
        <row r="12346">
          <cell r="F12346" t="str">
            <v>UTI FTIF Series XXV-XI (1211 Days)- Regular Plan - Flexi Div Option</v>
          </cell>
        </row>
        <row r="12347">
          <cell r="F12347" t="str">
            <v>UTI FTIF Series XXV-XI (1211 Days)- Regular Plan - Growth Option</v>
          </cell>
        </row>
        <row r="12348">
          <cell r="F12348" t="str">
            <v>UTI FTIF Series XXV-XI (1211 Days)- Regular Plan - Maturity Div Option</v>
          </cell>
        </row>
        <row r="12349">
          <cell r="F12349" t="str">
            <v>UTI FTIF Series XXV-XI (1211 Days)- Regular Plan - Quarterly Div Option</v>
          </cell>
        </row>
        <row r="12350">
          <cell r="F12350" t="str">
            <v>UTI FTIF Series XXV-XII (1198 Days) - Regular Plan - Quarterly Div Option</v>
          </cell>
        </row>
        <row r="12351">
          <cell r="F12351" t="str">
            <v>UTI FTIF Series XXV-XII (1198 Days)- Direct Plan - Annual Div Option</v>
          </cell>
        </row>
        <row r="12352">
          <cell r="F12352" t="str">
            <v>UTI FTIF Series XXV-XII (1198 Days)- Direct Plan - Growth Option</v>
          </cell>
        </row>
        <row r="12353">
          <cell r="F12353" t="str">
            <v>UTI FTIF Series XXV-XII (1198 Days)- Direct Plan - Maturity Div Option</v>
          </cell>
        </row>
        <row r="12354">
          <cell r="F12354" t="str">
            <v>UTI FTIF Series XXV-XII (1198 Days)- Direct Plan - Quarterly Div Option</v>
          </cell>
        </row>
        <row r="12355">
          <cell r="F12355" t="str">
            <v>UTI FTIF Series XXV-XII (1198 Days)- Regular Plan - Annual Div Option</v>
          </cell>
        </row>
        <row r="12356">
          <cell r="F12356" t="str">
            <v>UTI FTIF Series XXV-XII (1198 Days)- Regular Plan - Flexi Div Option</v>
          </cell>
        </row>
        <row r="12357">
          <cell r="F12357" t="str">
            <v>UTI FTIF Series XXV-XII (1198 Days)- Regular Plan - Growth Option</v>
          </cell>
        </row>
        <row r="12358">
          <cell r="F12358" t="str">
            <v>UTI FTIF Series XXV-XII (1198 Days)- Regular Plan - Maturity Div Option</v>
          </cell>
        </row>
        <row r="12359">
          <cell r="F12359" t="str">
            <v>UTI FTIF Series XXVI-I (1182 Days)- Direct Plan - Annual Div Option</v>
          </cell>
        </row>
        <row r="12360">
          <cell r="F12360" t="str">
            <v>UTI FTIF Series XXVI-I (1182 Days)- Direct Plan - Flexi Div Option</v>
          </cell>
        </row>
        <row r="12361">
          <cell r="F12361" t="str">
            <v>UTI FTIF Series XXVI-I (1182 Days)- Direct Plan - Growth Option</v>
          </cell>
        </row>
        <row r="12362">
          <cell r="F12362" t="str">
            <v>UTI FTIF Series XXVI-I (1182 Days)- Direct Plan - Maturity Div Option</v>
          </cell>
        </row>
        <row r="12363">
          <cell r="F12363" t="str">
            <v>UTI FTIF Series XXVI-I (1182 Days)- Direct Plan - Quarterly Div Option</v>
          </cell>
        </row>
        <row r="12364">
          <cell r="F12364" t="str">
            <v>UTI FTIF Series XXVI-I (1182 Days)- Regular Plan - Annual Div Option</v>
          </cell>
        </row>
        <row r="12365">
          <cell r="F12365" t="str">
            <v>UTI FTIF Series XXVI-I (1182 Days)- Regular Plan - Flexi Div Option</v>
          </cell>
        </row>
        <row r="12366">
          <cell r="F12366" t="str">
            <v>UTI FTIF Series XXVI-I (1182 Days)- Regular Plan - Growth Option</v>
          </cell>
        </row>
        <row r="12367">
          <cell r="F12367" t="str">
            <v>UTI FTIF Series XXVI-I (1182 Days)- Regular Plan - Maturity Div Option</v>
          </cell>
        </row>
        <row r="12368">
          <cell r="F12368" t="str">
            <v>UTI FTIF Series XXVI-I (1182 Days)- Regular Plan - Quarterly Div Option</v>
          </cell>
        </row>
        <row r="12369">
          <cell r="F12369" t="str">
            <v>UTI FTIF Series XXVI-II (1176 Days)- Direct Plan - Annual Div Option</v>
          </cell>
        </row>
        <row r="12370">
          <cell r="F12370" t="str">
            <v>UTI FTIF Series XXVI-II (1176 Days)- Direct Plan - Flexi Div Option</v>
          </cell>
        </row>
        <row r="12371">
          <cell r="F12371" t="str">
            <v>UTI FTIF Series XXVI-II (1176 Days)- Direct Plan - Growth Option</v>
          </cell>
        </row>
        <row r="12372">
          <cell r="F12372" t="str">
            <v>UTI FTIF Series XXVI-II (1176 Days)- Direct Plan - Maturity Div Option</v>
          </cell>
        </row>
        <row r="12373">
          <cell r="F12373" t="str">
            <v>UTI FTIF Series XXVI-II (1176 Days)- Direct Plan - Quarterly Div Option</v>
          </cell>
        </row>
        <row r="12374">
          <cell r="F12374" t="str">
            <v>UTI FTIF Series XXVI-II (1176 Days)- Regular Plan - Annual Div Option</v>
          </cell>
        </row>
        <row r="12375">
          <cell r="F12375" t="str">
            <v>UTI FTIF Series XXVI-II (1176 Days)- Regular Plan - Flexi Div Option</v>
          </cell>
        </row>
        <row r="12376">
          <cell r="F12376" t="str">
            <v>UTI FTIF Series XXVI-II (1176 Days)- Regular Plan - Growth Option</v>
          </cell>
        </row>
        <row r="12377">
          <cell r="F12377" t="str">
            <v>UTI FTIF Series XXVI-II (1176 Days)- Regular Plan - Maturity Div Option</v>
          </cell>
        </row>
        <row r="12378">
          <cell r="F12378" t="str">
            <v>UTI FTIF Series XXVI-II (1176 Days)- Regular Plan - Quarterly Div Option</v>
          </cell>
        </row>
        <row r="12379">
          <cell r="F12379" t="str">
            <v>UTI FTIF Series XXVI-III (1169 Days)- Direct Plan - Growth Option</v>
          </cell>
        </row>
        <row r="12380">
          <cell r="F12380" t="str">
            <v>UTI FTIF Series XXVI-III (1169 Days)- Direct Plan - Quarterly Div Option</v>
          </cell>
        </row>
        <row r="12381">
          <cell r="F12381" t="str">
            <v>UTI FTIF Series XXVI-III (1169 Days)- Regular Plan - Annual Div Option</v>
          </cell>
        </row>
        <row r="12382">
          <cell r="F12382" t="str">
            <v>UTI FTIF Series XXVI-III (1169 Days)- Regular Plan - Flexi Div Option</v>
          </cell>
        </row>
        <row r="12383">
          <cell r="F12383" t="str">
            <v>UTI FTIF Series XXVI-III (1169 Days)- Regular Plan - Growth Option</v>
          </cell>
        </row>
        <row r="12384">
          <cell r="F12384" t="str">
            <v>UTI FTIF Series XXVI-III (1169 Days)- Regular Plan - Maturity Div Option</v>
          </cell>
        </row>
        <row r="12385">
          <cell r="F12385" t="str">
            <v>UTI FTIF Series XXVI-III (1169 Days)- Regular Plan - Quarterly Div Option</v>
          </cell>
        </row>
        <row r="12386">
          <cell r="F12386" t="str">
            <v>UTI FTIF Series XXVI-IX (1113 Days)- Direct Plan - Annual Div Option</v>
          </cell>
        </row>
        <row r="12387">
          <cell r="F12387" t="str">
            <v>UTI FTIF Series XXVI-IX (1113 Days)- Direct Plan - Growth Option</v>
          </cell>
        </row>
        <row r="12388">
          <cell r="F12388" t="str">
            <v>UTI FTIF Series XXVI-IX (1113 Days)- Direct Plan - Maturity Div Option</v>
          </cell>
        </row>
        <row r="12389">
          <cell r="F12389" t="str">
            <v>UTI FTIF Series XXVI-IX (1113 Days)- Direct Plan - Quarterly Div Option</v>
          </cell>
        </row>
        <row r="12390">
          <cell r="F12390" t="str">
            <v>UTI FTIF Series XXVI-IX (1113 Days)- Regular Plan - Annual Div Option</v>
          </cell>
        </row>
        <row r="12391">
          <cell r="F12391" t="str">
            <v>UTI FTIF Series XXVI-IX (1113 Days)- Regular Plan - Flexi Div Option</v>
          </cell>
        </row>
        <row r="12392">
          <cell r="F12392" t="str">
            <v>UTI FTIF Series XXVI-IX (1113 Days)- Regular Plan - Growth Option</v>
          </cell>
        </row>
        <row r="12393">
          <cell r="F12393" t="str">
            <v>UTI FTIF Series XXVI-IX (1113 Days)- Regular Plan - Maturity Div Option</v>
          </cell>
        </row>
        <row r="12394">
          <cell r="F12394" t="str">
            <v>UTI FTIF Series XXVI-IX (1113 Days)- Regular Plan - Quarterly Div Option</v>
          </cell>
        </row>
        <row r="12395">
          <cell r="F12395" t="str">
            <v>UTI FTIF Series XXVI-V (1160 Days)- Direct Plan - Annual Div Option</v>
          </cell>
        </row>
        <row r="12396">
          <cell r="F12396" t="str">
            <v>UTI FTIF Series XXVI-V (1160 Days)- Direct Plan - Flexi Div Option</v>
          </cell>
        </row>
        <row r="12397">
          <cell r="F12397" t="str">
            <v>UTI FTIF Series XXVI-V (1160 Days)- Direct Plan - Growth Option</v>
          </cell>
        </row>
        <row r="12398">
          <cell r="F12398" t="str">
            <v>UTI FTIF Series XXVI-V (1160 Days)- Direct Plan - Maturity Div Option</v>
          </cell>
        </row>
        <row r="12399">
          <cell r="F12399" t="str">
            <v>UTI FTIF Series XXVI-V (1160 Days)- Direct Plan - Quarterly Div Option</v>
          </cell>
        </row>
        <row r="12400">
          <cell r="F12400" t="str">
            <v>UTI FTIF Series XXVI-V (1160 Days)- Regular Plan - Annual Div Option</v>
          </cell>
        </row>
        <row r="12401">
          <cell r="F12401" t="str">
            <v>UTI FTIF Series XXVI-V (1160 Days)- Regular Plan - Growth Option</v>
          </cell>
        </row>
        <row r="12402">
          <cell r="F12402" t="str">
            <v>UTI FTIF Series XXVI-V (1160 Days)- Regular Plan - Maturity Div Option</v>
          </cell>
        </row>
        <row r="12403">
          <cell r="F12403" t="str">
            <v>UTI FTIF Series XXVI-V (1160 Days)- Regular Plan - Quarterly Div Option</v>
          </cell>
        </row>
        <row r="12404">
          <cell r="F12404" t="str">
            <v>UTI FTIF Series XXVI-VI (1146 Days)- Direct Plan - Annual Div Option</v>
          </cell>
        </row>
        <row r="12405">
          <cell r="F12405" t="str">
            <v>UTI FTIF Series XXVI-VI (1146 Days)- Direct Plan - Growth Option</v>
          </cell>
        </row>
        <row r="12406">
          <cell r="F12406" t="str">
            <v>UTI FTIF Series XXVI-VI (1146 Days)- Direct Plan - Maturity Div Option</v>
          </cell>
        </row>
        <row r="12407">
          <cell r="F12407" t="str">
            <v>UTI FTIF Series XXVI-VI (1146 Days)- Direct Plan - Quarterly Div Option</v>
          </cell>
        </row>
        <row r="12408">
          <cell r="F12408" t="str">
            <v>UTI FTIF Series XXVI-VI (1146 Days)- Regular Plan - Flexi Div Option</v>
          </cell>
        </row>
        <row r="12409">
          <cell r="F12409" t="str">
            <v>UTI FTIF Series XXVI-VI (1146 Days)- Regular Plan - Growth Option</v>
          </cell>
        </row>
        <row r="12410">
          <cell r="F12410" t="str">
            <v>UTI FTIF Series XXVI-VI (1146 Days)- Regular Plan - Maturity Div Option</v>
          </cell>
        </row>
        <row r="12411">
          <cell r="F12411" t="str">
            <v>UTI FTIF Series XXVI-VI (1146 Days)- Regular Plan - Quarterly Div Option</v>
          </cell>
        </row>
        <row r="12412">
          <cell r="F12412" t="str">
            <v>UTI FTIF Series XXVI-VII (1140 Days)- Direct Plan - Annual Div Option</v>
          </cell>
        </row>
        <row r="12413">
          <cell r="F12413" t="str">
            <v>UTI FTIF Series XXVI-VII (1140 Days)- Direct Plan - Growth Option</v>
          </cell>
        </row>
        <row r="12414">
          <cell r="F12414" t="str">
            <v>UTI FTIF Series XXVI-VII (1140 Days)- Direct Plan - Maturity Div Option</v>
          </cell>
        </row>
        <row r="12415">
          <cell r="F12415" t="str">
            <v>UTI FTIF Series XXVI-VII (1140 Days)- Direct Plan - Quarterly Div Option</v>
          </cell>
        </row>
        <row r="12416">
          <cell r="F12416" t="str">
            <v>UTI FTIF Series XXVI-VII (1140 Days)- Regular Plan - Annual Div Option</v>
          </cell>
        </row>
        <row r="12417">
          <cell r="F12417" t="str">
            <v>UTI FTIF Series XXVI-VII (1140 Days)- Regular Plan - Flexi Div Option</v>
          </cell>
        </row>
        <row r="12418">
          <cell r="F12418" t="str">
            <v>UTI FTIF Series XXVI-VII (1140 Days)- Regular Plan - Growth Option</v>
          </cell>
        </row>
        <row r="12419">
          <cell r="F12419" t="str">
            <v>UTI FTIF Series XXVI-VII (1140 Days)- Regular Plan - Maturity Div Option</v>
          </cell>
        </row>
        <row r="12420">
          <cell r="F12420" t="str">
            <v>UTI FTIF Series XXVI-VII (1140 Days)- Regular Plan - Quarterly Div Option</v>
          </cell>
        </row>
        <row r="12421">
          <cell r="F12421" t="str">
            <v>UTI FTIF Series XXVI-VIII (1154 Days)- Direct Plan - Annual Div Option</v>
          </cell>
        </row>
        <row r="12422">
          <cell r="F12422" t="str">
            <v>UTI FTIF Series XXVI-VIII (1154 Days)- Direct Plan - Flexi Div Option</v>
          </cell>
        </row>
        <row r="12423">
          <cell r="F12423" t="str">
            <v>UTI FTIF Series XXVI-VIII (1154 Days)- Direct Plan - Growth Option</v>
          </cell>
        </row>
        <row r="12424">
          <cell r="F12424" t="str">
            <v>UTI FTIF Series XXVI-VIII (1154 Days)- Direct Plan - Maturity Div Option</v>
          </cell>
        </row>
        <row r="12425">
          <cell r="F12425" t="str">
            <v>UTI FTIF Series XXVI-VIII (1154 Days)- Direct Plan - Quarterly Div Option</v>
          </cell>
        </row>
        <row r="12426">
          <cell r="F12426" t="str">
            <v>UTI FTIF Series XXVI-VIII (1154 Days)- Regular Plan - Annual Div Option</v>
          </cell>
        </row>
        <row r="12427">
          <cell r="F12427" t="str">
            <v>UTI FTIF Series XXVI-VIII (1154 Days)- Regular Plan - Growth Option</v>
          </cell>
        </row>
        <row r="12428">
          <cell r="F12428" t="str">
            <v>UTI FTIF Series XXVI-VIII (1154 Days)- Regular Plan - Maturity Div Option</v>
          </cell>
        </row>
        <row r="12429">
          <cell r="F12429" t="str">
            <v>UTI FTIF Series XXVI-VIII (1154 Days)- Regular Plan - Quarterly Div Option</v>
          </cell>
        </row>
        <row r="12430">
          <cell r="F12430" t="str">
            <v>UTI FTIF Series XXVI-X (1107 Days)- Direct Plan - Annual Div Option</v>
          </cell>
        </row>
        <row r="12431">
          <cell r="F12431" t="str">
            <v>UTI FTIF Series XXVI-X (1107 Days)- Direct Plan - Flexi Div Option</v>
          </cell>
        </row>
        <row r="12432">
          <cell r="F12432" t="str">
            <v>UTI FTIF Series XXVI-X (1107 Days)- Direct Plan - Growth Option</v>
          </cell>
        </row>
        <row r="12433">
          <cell r="F12433" t="str">
            <v>UTI FTIF Series XXVI-X (1107 Days)- Direct Plan - Maturity Div Option</v>
          </cell>
        </row>
        <row r="12434">
          <cell r="F12434" t="str">
            <v>UTI FTIF Series XXVI-X (1107 Days)- Direct Plan - Quarterly Div Option</v>
          </cell>
        </row>
        <row r="12435">
          <cell r="F12435" t="str">
            <v>UTI FTIF Series XXVI-X (1107 Days)- Regular Plan - Annual Div Option</v>
          </cell>
        </row>
        <row r="12436">
          <cell r="F12436" t="str">
            <v>UTI FTIF Series XXVI-X (1107 Days)- Regular Plan - Growth Option</v>
          </cell>
        </row>
        <row r="12437">
          <cell r="F12437" t="str">
            <v>UTI FTIF Series XXVI-X (1107 Days)- Regular Plan - Maturity Div Option</v>
          </cell>
        </row>
        <row r="12438">
          <cell r="F12438" t="str">
            <v>UTI FTIF Series XXVI-X (1107 Days)- Regular Plan - Quarterly Div Option</v>
          </cell>
        </row>
        <row r="12439">
          <cell r="F12439" t="str">
            <v>UTI FTIF Series XXVI-XI (1105 Days)- Direct Plan - Annual Div Option</v>
          </cell>
        </row>
        <row r="12440">
          <cell r="F12440" t="str">
            <v>UTI FTIF Series XXVI-XI (1105 Days)- Direct Plan - Flexi Div Option</v>
          </cell>
        </row>
        <row r="12441">
          <cell r="F12441" t="str">
            <v>UTI FTIF Series XXVI-XI (1105 Days)- Direct Plan - Growth Option</v>
          </cell>
        </row>
        <row r="12442">
          <cell r="F12442" t="str">
            <v>UTI FTIF Series XXVI-XI (1105 Days)- Direct Plan - Maturity Div Option</v>
          </cell>
        </row>
        <row r="12443">
          <cell r="F12443" t="str">
            <v>UTI FTIF Series XXVI-XI (1105 Days)- Direct Plan - Quarterly Div  Option</v>
          </cell>
        </row>
        <row r="12444">
          <cell r="F12444" t="str">
            <v>UTI FTIF Series XXVI-XI (1105 Days)- Regular Plan - Annual Div Option</v>
          </cell>
        </row>
        <row r="12445">
          <cell r="F12445" t="str">
            <v>UTI FTIF Series XXVI-XI (1105 Days)- Regular Plan - Flexi Div Option</v>
          </cell>
        </row>
        <row r="12446">
          <cell r="F12446" t="str">
            <v>UTI FTIF Series XXVI-XI (1105 Days)- Regular Plan - Growth Option</v>
          </cell>
        </row>
        <row r="12447">
          <cell r="F12447" t="str">
            <v>UTI FTIF Series XXVI-XI (1105 Days)- Regular Plan - Maturity Div Option</v>
          </cell>
        </row>
        <row r="12448">
          <cell r="F12448" t="str">
            <v>UTI FTIF Series XXVI-XI (1105 Days)- Regular Plan - Quarterly Div Option</v>
          </cell>
        </row>
        <row r="12449">
          <cell r="F12449" t="str">
            <v>UTI FTIF Series XXVI-XII (1096 Days)- Direct Plan  - Maturity Div Option</v>
          </cell>
        </row>
        <row r="12450">
          <cell r="F12450" t="str">
            <v>UTI FTIF Series XXVI-XII (1096 Days)- Direct Plan - Annual Div Option</v>
          </cell>
        </row>
        <row r="12451">
          <cell r="F12451" t="str">
            <v>UTI FTIF Series XXVI-XII (1096 Days)- Direct Plan - Flexi Div Option</v>
          </cell>
        </row>
        <row r="12452">
          <cell r="F12452" t="str">
            <v>UTI FTIF Series XXVI-XII (1096 Days)- Direct Plan - Growth Option</v>
          </cell>
        </row>
        <row r="12453">
          <cell r="F12453" t="str">
            <v>UTI FTIF Series XXVI-XII (1096 Days)- Direct Plan - Quarterly Div Option</v>
          </cell>
        </row>
        <row r="12454">
          <cell r="F12454" t="str">
            <v>UTI FTIF Series XXVI-XII (1096 Days)- Regular Plan - Annual Div Option</v>
          </cell>
        </row>
        <row r="12455">
          <cell r="F12455" t="str">
            <v>UTI FTIF Series XXVI-XII (1096 Days)- Regular Plan - Growth Option</v>
          </cell>
        </row>
        <row r="12456">
          <cell r="F12456" t="str">
            <v>UTI FTIF Series XXVI-XII (1096 Days)- Regular Plan - Maturity Div Option</v>
          </cell>
        </row>
        <row r="12457">
          <cell r="F12457" t="str">
            <v>UTI FTIF Series XXVI-XII (1096 Days)- Regular Plan - Quarterly Div Option</v>
          </cell>
        </row>
        <row r="12458">
          <cell r="F12458" t="str">
            <v>UTI FTIF Series XXVI-XIII (1124 Days)- Direct Plan - Annual Div Option</v>
          </cell>
        </row>
        <row r="12459">
          <cell r="F12459" t="str">
            <v>UTI FTIF Series XXVI-XIII (1124 Days)- Direct Plan - Growth Option</v>
          </cell>
        </row>
        <row r="12460">
          <cell r="F12460" t="str">
            <v>UTI FTIF Series XXVI-XIII (1124 Days)- Direct Plan - Maturity Div Option</v>
          </cell>
        </row>
        <row r="12461">
          <cell r="F12461" t="str">
            <v>UTI FTIF Series XXVI-XIII (1124 Days)- Direct Plan - Quarterly Div Option</v>
          </cell>
        </row>
        <row r="12462">
          <cell r="F12462" t="str">
            <v>UTI FTIF Series XXVI-XIII (1124 Days)- Regular Plan - Annual Div Option</v>
          </cell>
        </row>
        <row r="12463">
          <cell r="F12463" t="str">
            <v>UTI FTIF Series XXVI-XIII (1124 Days)- Regular Plan - Flexi Div Option</v>
          </cell>
        </row>
        <row r="12464">
          <cell r="F12464" t="str">
            <v>UTI FTIF Series XXVI-XIII (1124 Days)- Regular Plan - Growth Option</v>
          </cell>
        </row>
        <row r="12465">
          <cell r="F12465" t="str">
            <v>UTI FTIF Series XXVI-XIII (1124 Days)- Regular Plan - Maturity Div Option</v>
          </cell>
        </row>
        <row r="12466">
          <cell r="F12466" t="str">
            <v>UTI FTIF Series XXVI-XIII (1124 Days)- Regular Plan - Quarterly Div Option</v>
          </cell>
        </row>
        <row r="12467">
          <cell r="F12467" t="str">
            <v>UTI FTIF Series XXVI-XIV (1105 Days) - Direct Plan - Annual Div Option</v>
          </cell>
        </row>
        <row r="12468">
          <cell r="F12468" t="str">
            <v>UTI FTIF Series XXVI-XIV (1105 Days) - Direct Plan - Flexi Div Option</v>
          </cell>
        </row>
        <row r="12469">
          <cell r="F12469" t="str">
            <v>UTI FTIF Series XXVI-XIV (1105 Days) - Direct Plan - Growth Option</v>
          </cell>
        </row>
        <row r="12470">
          <cell r="F12470" t="str">
            <v>UTI FTIF Series XXVI-XIV (1105 Days) - Direct Plan - Maturity Div Div Option</v>
          </cell>
        </row>
        <row r="12471">
          <cell r="F12471" t="str">
            <v>UTI FTIF Series XXVI-XIV (1105 Days) - Direct Plan - Quarterly Div Option</v>
          </cell>
        </row>
        <row r="12472">
          <cell r="F12472" t="str">
            <v>UTI FTIF Series XXVI-XIV (1105 Days) - Regular Plan - Annual Div Option</v>
          </cell>
        </row>
        <row r="12473">
          <cell r="F12473" t="str">
            <v>UTI FTIF Series XXVI-XIV (1105 Days) - Regular Plan - Flexi Div Option</v>
          </cell>
        </row>
        <row r="12474">
          <cell r="F12474" t="str">
            <v>UTI FTIF Series XXVI-XIV (1105 Days) - Regular Plan - Growth Option</v>
          </cell>
        </row>
        <row r="12475">
          <cell r="F12475" t="str">
            <v>UTI FTIF Series XXVI-XIV (1105 Days) - Regular Plan - Maturity Div Option</v>
          </cell>
        </row>
        <row r="12476">
          <cell r="F12476" t="str">
            <v>UTI FTIF Series XXVI-XIV (1105 Days) - Regular Plan - Quarterly Div Option</v>
          </cell>
        </row>
        <row r="12477">
          <cell r="F12477" t="str">
            <v>UTI FTIF Series XXVI-XV (1097 Days) - Direct Plan - Annual Div Option</v>
          </cell>
        </row>
        <row r="12478">
          <cell r="F12478" t="str">
            <v>UTI FTIF Series XXVI-XV (1097 Days) - Direct Plan - Growth Option</v>
          </cell>
        </row>
        <row r="12479">
          <cell r="F12479" t="str">
            <v>UTI FTIF Series XXVI-XV (1097 Days) - Direct Plan - Maturity Div Option</v>
          </cell>
        </row>
        <row r="12480">
          <cell r="F12480" t="str">
            <v>UTI FTIF Series XXVI-XV (1097 Days) - Direct Plan - Quarterly Div Option</v>
          </cell>
        </row>
        <row r="12481">
          <cell r="F12481" t="str">
            <v>UTI FTIF Series XXVI-XV (1097 Days) - Regular Plan - Annual Div Option</v>
          </cell>
        </row>
        <row r="12482">
          <cell r="F12482" t="str">
            <v>UTI FTIF Series XXVI-XV (1097 Days) - Regular Plan - Flexi Div Option</v>
          </cell>
        </row>
        <row r="12483">
          <cell r="F12483" t="str">
            <v>UTI FTIF Series XXVI-XV (1097 Days) - Regular Plan - Growth Option</v>
          </cell>
        </row>
        <row r="12484">
          <cell r="F12484" t="str">
            <v>UTI FTIF Series XXVI-XV (1097 Days) - Regular Plan - Maturity Div Option</v>
          </cell>
        </row>
        <row r="12485">
          <cell r="F12485" t="str">
            <v>UTI FTIF Series XXVI-XV (1097 Days) - Regular Plan - Quarterly Div Option</v>
          </cell>
        </row>
        <row r="12486">
          <cell r="F12486" t="str">
            <v>UTI FTIF Series XXVII- V (1097 Days) - Direct Plan - Quarterly Div Option</v>
          </cell>
        </row>
        <row r="12487">
          <cell r="F12487" t="str">
            <v>UTI FTIF Series XXVII- V (1097 Days) - Regular Plan - Flexi Div Option</v>
          </cell>
        </row>
        <row r="12488">
          <cell r="F12488" t="str">
            <v>UTI FTIF Series XXVII-I (1113 Days) - Direct Plan - Annual Div Option</v>
          </cell>
        </row>
        <row r="12489">
          <cell r="F12489" t="str">
            <v>UTI FTIF Series XXVII-I (1113 Days) - Direct Plan - Flexi Div Option</v>
          </cell>
        </row>
        <row r="12490">
          <cell r="F12490" t="str">
            <v>UTI FTIF Series XXVII-I (1113 Days) - Direct Plan - Growth Option</v>
          </cell>
        </row>
        <row r="12491">
          <cell r="F12491" t="str">
            <v>UTI FTIF Series XXVII-I (1113 Days) - Direct Plan - Maturity Div Option</v>
          </cell>
        </row>
        <row r="12492">
          <cell r="F12492" t="str">
            <v>UTI FTIF Series XXVII-I (1113 Days) - Direct Plan - Quarterly Div Option</v>
          </cell>
        </row>
        <row r="12493">
          <cell r="F12493" t="str">
            <v>UTI FTIF Series XXVII-I (1113 Days) - Regular Plan - Annual Div Option</v>
          </cell>
        </row>
        <row r="12494">
          <cell r="F12494" t="str">
            <v>UTI FTIF Series XXVII-I (1113 Days) - Regular Plan - Flexi Div Option</v>
          </cell>
        </row>
        <row r="12495">
          <cell r="F12495" t="str">
            <v>UTI FTIF Series XXVII-I (1113 Days) - Regular Plan - Growth Option</v>
          </cell>
        </row>
        <row r="12496">
          <cell r="F12496" t="str">
            <v>UTI FTIF Series XXVII-I (1113 Days) - Regular Plan - Maturity Div Option</v>
          </cell>
        </row>
        <row r="12497">
          <cell r="F12497" t="str">
            <v>UTI FTIF Series XXVII-I (1113 Days) - Regular Plan - Quarterly Div Option</v>
          </cell>
        </row>
        <row r="12498">
          <cell r="F12498" t="str">
            <v>UTI FTIF Series XXVII-II (1161 Days) - Direct Plan - Annual Div Option</v>
          </cell>
        </row>
        <row r="12499">
          <cell r="F12499" t="str">
            <v>UTI FTIF Series XXVII-II (1161 Days) - Direct Plan - Growth Option</v>
          </cell>
        </row>
        <row r="12500">
          <cell r="F12500" t="str">
            <v>UTI FTIF Series XXVII-II (1161 Days) - Direct Plan - Quarterly Div Option</v>
          </cell>
        </row>
        <row r="12501">
          <cell r="F12501" t="str">
            <v>UTI FTIF Series XXVII-II (1161 Days) - Regular Plan - Annual Div Option</v>
          </cell>
        </row>
        <row r="12502">
          <cell r="F12502" t="str">
            <v>UTI FTIF Series XXVII-II (1161 Days) - Regular Plan - Flexi Div Option</v>
          </cell>
        </row>
        <row r="12503">
          <cell r="F12503" t="str">
            <v>UTI FTIF Series XXVII-II (1161 Days) - Regular Plan - Growth Option</v>
          </cell>
        </row>
        <row r="12504">
          <cell r="F12504" t="str">
            <v>UTI FTIF Series XXVII-II (1161 Days) - Regular Plan - Maturity Div Option</v>
          </cell>
        </row>
        <row r="12505">
          <cell r="F12505" t="str">
            <v>UTI FTIF Series XXVII-II (1161 Days) - Regular Plan - Quarterly Div Option</v>
          </cell>
        </row>
        <row r="12506">
          <cell r="F12506" t="str">
            <v>UTI FTIF Series XXVII-III (1096 Days) - Direct Plan - Annual Div Option</v>
          </cell>
        </row>
        <row r="12507">
          <cell r="F12507" t="str">
            <v>UTI FTIF Series XXVII-III (1096 Days) - Direct Plan - Growth Option</v>
          </cell>
        </row>
        <row r="12508">
          <cell r="F12508" t="str">
            <v>UTI FTIF Series XXVII-III (1096 Days) - Direct Plan - Maturity Div Option</v>
          </cell>
        </row>
        <row r="12509">
          <cell r="F12509" t="str">
            <v>UTI FTIF Series XXVII-III (1096 Days) - Direct Plan - Quarterly Div Option</v>
          </cell>
        </row>
        <row r="12510">
          <cell r="F12510" t="str">
            <v>UTI FTIF Series XXVII-III (1096 Days) - Regular Plan - Annual Div Option</v>
          </cell>
        </row>
        <row r="12511">
          <cell r="F12511" t="str">
            <v>UTI FTIF Series XXVII-III (1096 Days) - Regular Plan - Growth Option</v>
          </cell>
        </row>
        <row r="12512">
          <cell r="F12512" t="str">
            <v>UTI FTIF Series XXVII-III (1096 Days) - Regular Plan - Maturity Div Option</v>
          </cell>
        </row>
        <row r="12513">
          <cell r="F12513" t="str">
            <v>UTI FTIF Series XXVII-III (1096 Days) - Regular Plan - Quarterly Div Option</v>
          </cell>
        </row>
        <row r="12514">
          <cell r="F12514" t="str">
            <v>UTI FTIF Series XXVII-IV (1113 Days) - Direct Plan - Annual Div Option</v>
          </cell>
        </row>
        <row r="12515">
          <cell r="F12515" t="str">
            <v>UTI FTIF Series XXVII-IV (1113 Days) - Direct Plan - Flexi Div Option</v>
          </cell>
        </row>
        <row r="12516">
          <cell r="F12516" t="str">
            <v>UTI FTIF Series XXVII-IV (1113 Days) - Direct Plan - Growth Option</v>
          </cell>
        </row>
        <row r="12517">
          <cell r="F12517" t="str">
            <v>UTI FTIF Series XXVII-IV (1113 Days) - Direct Plan - Maturity Div Option</v>
          </cell>
        </row>
        <row r="12518">
          <cell r="F12518" t="str">
            <v>UTI FTIF Series XXVII-IV (1113 Days) - Direct Plan - Quarterly Div Option</v>
          </cell>
        </row>
        <row r="12519">
          <cell r="F12519" t="str">
            <v>UTI FTIF Series XXVII-IV (1113 Days) - Regular - Growth Option</v>
          </cell>
        </row>
        <row r="12520">
          <cell r="F12520" t="str">
            <v>UTI FTIF Series XXVII-IV (1113 Days) - Regular Plan - Annual Div Option</v>
          </cell>
        </row>
        <row r="12521">
          <cell r="F12521" t="str">
            <v>UTI FTIF Series XXVII-IV (1113 Days) - Regular Plan - Flexi Div Option</v>
          </cell>
        </row>
        <row r="12522">
          <cell r="F12522" t="str">
            <v>UTI FTIF Series XXVII-IV (1113 Days) - Regular Plan - Maturity Div Option</v>
          </cell>
        </row>
        <row r="12523">
          <cell r="F12523" t="str">
            <v>UTI FTIF Series XXVII-IV (1113 Days) - Regular Plan - Quarterly Div Option</v>
          </cell>
        </row>
        <row r="12524">
          <cell r="F12524" t="str">
            <v>UTI FTIF Series XXVII-IX (1160 Days) - Direct Plan - Growth Option</v>
          </cell>
        </row>
        <row r="12525">
          <cell r="F12525" t="str">
            <v>UTI FTIF Series XXVII-IX (1160 Days) - Direct Plan - Quarterly Div Option</v>
          </cell>
        </row>
        <row r="12526">
          <cell r="F12526" t="str">
            <v>UTI FTIF Series XXVII-IX (1160 Days) - Regular Plan - Growth Option</v>
          </cell>
        </row>
        <row r="12527">
          <cell r="F12527" t="str">
            <v>UTI FTIF Series XXVII-V (1097 Days) - Direct Plan - Annual Div Option</v>
          </cell>
        </row>
        <row r="12528">
          <cell r="F12528" t="str">
            <v>UTI FTIF Series XXVII-V (1097 Days) - Direct Plan - Flexi Div Option</v>
          </cell>
        </row>
        <row r="12529">
          <cell r="F12529" t="str">
            <v>UTI FTIF Series XXVII-V (1097 Days) - Direct Plan - Growth Option</v>
          </cell>
        </row>
        <row r="12530">
          <cell r="F12530" t="str">
            <v>UTI FTIF Series XXVII-V (1097 Days) - Direct Plan - Maturity Div Option</v>
          </cell>
        </row>
        <row r="12531">
          <cell r="F12531" t="str">
            <v>UTI FTIF Series XXVII-V (1097 Days) - Regular Plan - Annual Div Option</v>
          </cell>
        </row>
        <row r="12532">
          <cell r="F12532" t="str">
            <v>UTI FTIF Series XXVII-V (1097 Days) - Regular Plan - Growth Option</v>
          </cell>
        </row>
        <row r="12533">
          <cell r="F12533" t="str">
            <v>UTI FTIF Series XXVII-V (1097 Days) - Regular Plan - Maturity Div Option</v>
          </cell>
        </row>
        <row r="12534">
          <cell r="F12534" t="str">
            <v>UTI FTIF Series XXVII-V (1097 Days) - Regular Plan - Quarterly Div Option</v>
          </cell>
        </row>
        <row r="12535">
          <cell r="F12535" t="str">
            <v>UTI FTIF Series XXVII-VI (1113 Days) - Direct Plan - Annual Div Option</v>
          </cell>
        </row>
        <row r="12536">
          <cell r="F12536" t="str">
            <v>UTI FTIF Series XXVII-VI (1113 Days) - Direct Plan - Flexi Div Option</v>
          </cell>
        </row>
        <row r="12537">
          <cell r="F12537" t="str">
            <v>UTI FTIF Series XXVII-VI (1113 Days) - Direct Plan - Growth Option</v>
          </cell>
        </row>
        <row r="12538">
          <cell r="F12538" t="str">
            <v>UTI FTIF Series XXVII-VI (1113 Days) - Direct Plan - Maturity Div Option</v>
          </cell>
        </row>
        <row r="12539">
          <cell r="F12539" t="str">
            <v>UTI FTIF Series XXVII-VI (1113 Days) - Direct Plan - Quarterly Div Option</v>
          </cell>
        </row>
        <row r="12540">
          <cell r="F12540" t="str">
            <v>UTI FTIF Series XXVII-VI (1113 Days) - Regular Plan - Annual Div Option</v>
          </cell>
        </row>
        <row r="12541">
          <cell r="F12541" t="str">
            <v>UTI FTIF Series XXVII-VI (1113 Days) - Regular Plan - Flexi Div Option</v>
          </cell>
        </row>
        <row r="12542">
          <cell r="F12542" t="str">
            <v>UTI FTIF Series XXVII-VI (1113 Days) - Regular Plan - Growth Option</v>
          </cell>
        </row>
        <row r="12543">
          <cell r="F12543" t="str">
            <v>UTI FTIF Series XXVII-VI (1113 Days) - Regular Plan - Maturity Div Option</v>
          </cell>
        </row>
        <row r="12544">
          <cell r="F12544" t="str">
            <v>UTI FTIF Series XXVII-VI (1113 Days) - Regular Plan - Quarterly Div Option</v>
          </cell>
        </row>
        <row r="12545">
          <cell r="F12545" t="str">
            <v>UTI FTIF Series XXVII-VII (1104 Days) - Direct Plan - Annual Div Option</v>
          </cell>
        </row>
        <row r="12546">
          <cell r="F12546" t="str">
            <v>UTI FTIF Series XXVII-VII (1104 Days) - Direct Plan - Growth Option</v>
          </cell>
        </row>
        <row r="12547">
          <cell r="F12547" t="str">
            <v>UTI FTIF Series XXVII-VII (1104 Days) - Direct Plan - Maturity Div Option</v>
          </cell>
        </row>
        <row r="12548">
          <cell r="F12548" t="str">
            <v>UTI FTIF Series XXVII-VII (1104 Days) - Direct Plan - Quarterly Div Option</v>
          </cell>
        </row>
        <row r="12549">
          <cell r="F12549" t="str">
            <v>UTI FTIF Series XXVII-VII (1104 Days) - Regular Plan - Annual Div Option</v>
          </cell>
        </row>
        <row r="12550">
          <cell r="F12550" t="str">
            <v>UTI FTIF Series XXVII-VII (1104 Days) - Regular Plan - Flexi Div Option</v>
          </cell>
        </row>
        <row r="12551">
          <cell r="F12551" t="str">
            <v>UTI FTIF Series XXVII-VII (1104 Days) - Regular Plan - Growth Option</v>
          </cell>
        </row>
        <row r="12552">
          <cell r="F12552" t="str">
            <v>UTI FTIF Series XXVII-VII (1104 Days) - Regular Plan - Maturity Div Option</v>
          </cell>
        </row>
        <row r="12553">
          <cell r="F12553" t="str">
            <v>UTI FTIF Series XXVII-VII (1104 Days) - Regular Plan - Quarterly Div Option</v>
          </cell>
        </row>
        <row r="12554">
          <cell r="F12554" t="str">
            <v>UTI FTIF Series XXVII-VIII (1117 Days) - Direct Plan - Annual Div Option</v>
          </cell>
        </row>
        <row r="12555">
          <cell r="F12555" t="str">
            <v>UTI FTIF Series XXVII-VIII (1117 Days) - Direct Plan - Growth Option</v>
          </cell>
        </row>
        <row r="12556">
          <cell r="F12556" t="str">
            <v>UTI FTIF Series XXVII-VIII (1117 Days) - Direct Plan - Maturity Div Option</v>
          </cell>
        </row>
        <row r="12557">
          <cell r="F12557" t="str">
            <v>UTI FTIF Series XXVII-VIII (1117 Days) - Direct Plan - Quarterly Div Option</v>
          </cell>
        </row>
        <row r="12558">
          <cell r="F12558" t="str">
            <v>UTI FTIF Series XXVII-VIII (1117 Days) - Regular Plan - Annual Div Option</v>
          </cell>
        </row>
        <row r="12559">
          <cell r="F12559" t="str">
            <v>UTI FTIF Series XXVII-VIII (1117 Days) - Regular Plan - Flexi Div Option</v>
          </cell>
        </row>
        <row r="12560">
          <cell r="F12560" t="str">
            <v>UTI FTIF Series XXVII-VIII (1117 Days) - Regular Plan - Growth Option</v>
          </cell>
        </row>
        <row r="12561">
          <cell r="F12561" t="str">
            <v>UTI FTIF Series XXVII-VIII (1117 Days) - Regular Plan - Maturity Div Option</v>
          </cell>
        </row>
        <row r="12562">
          <cell r="F12562" t="str">
            <v>UTI FTIF Series XXVII-VIII (1117 Days) - Regular Plan - Quarterly Div Option</v>
          </cell>
        </row>
        <row r="12563">
          <cell r="F12563" t="str">
            <v>UTI FTIF Series XXVII-X (1118 Days) - Direct Plan - Annual Div Option</v>
          </cell>
        </row>
        <row r="12564">
          <cell r="F12564" t="str">
            <v>UTI FTIF Series XXVII-X (1118 Days) - Direct Plan - Growth Option</v>
          </cell>
        </row>
        <row r="12565">
          <cell r="F12565" t="str">
            <v>UTI FTIF Series XXVII-X (1118 Days) - Direct Plan - Maturity Div Option</v>
          </cell>
        </row>
        <row r="12566">
          <cell r="F12566" t="str">
            <v>UTI FTIF Series XXVII-X (1118 Days) - Direct Plan - Quarterly Div Option</v>
          </cell>
        </row>
        <row r="12567">
          <cell r="F12567" t="str">
            <v>UTI FTIF Series XXVII-X (1118 Days) - Regular Plan - Annual Div Option</v>
          </cell>
        </row>
        <row r="12568">
          <cell r="F12568" t="str">
            <v>UTI FTIF Series XXVII-X (1118 Days) - Regular Plan - Flexi Div Option</v>
          </cell>
        </row>
        <row r="12569">
          <cell r="F12569" t="str">
            <v>UTI FTIF Series XXVII-X (1118 Days) - Regular Plan - Growth Option</v>
          </cell>
        </row>
        <row r="12570">
          <cell r="F12570" t="str">
            <v>UTI FTIF Series XXVII-X (1118 Days) - Regular Plan - Maturity Div Option</v>
          </cell>
        </row>
        <row r="12571">
          <cell r="F12571" t="str">
            <v>UTI FTIF Series XXVII-X (1118 Days) - Regular Plan - Quarterly Div Option</v>
          </cell>
        </row>
        <row r="12572">
          <cell r="F12572" t="str">
            <v>UTI FTIF Series XXVIII-I (1230 Days) - Direct Plan - Annual Div Option</v>
          </cell>
        </row>
        <row r="12573">
          <cell r="F12573" t="str">
            <v>UTI FTIF Series XXVIII-I (1230 Days) - Direct Plan - Growth Option</v>
          </cell>
        </row>
        <row r="12574">
          <cell r="F12574" t="str">
            <v>UTI FTIF Series XXVIII-I (1230 Days) - Direct Plan - Quarterly Div Option</v>
          </cell>
        </row>
        <row r="12575">
          <cell r="F12575" t="str">
            <v>UTI FTIF Series XXVIII-I (1230 Days) - Regular Plan - Annual Div Option</v>
          </cell>
        </row>
        <row r="12576">
          <cell r="F12576" t="str">
            <v>UTI FTIF Series XXVIII-I (1230 Days) - Regular Plan - Flexi Div Option</v>
          </cell>
        </row>
        <row r="12577">
          <cell r="F12577" t="str">
            <v>UTI FTIF Series XXVIII-I (1230 Days) - Regular Plan - Growth Option</v>
          </cell>
        </row>
        <row r="12578">
          <cell r="F12578" t="str">
            <v>UTI FTIF Series XXVIII-I (1230 Days) - Regular Plan - Maturity Div Option</v>
          </cell>
        </row>
        <row r="12579">
          <cell r="F12579" t="str">
            <v>UTI FTIF Series XXVIII-I (1230 Days) - Regular Plan - Quarterly Div Option</v>
          </cell>
        </row>
        <row r="12580">
          <cell r="F12580" t="str">
            <v>UTI FTIF Series XXVIII-II (1210 Days) - Direct Plan - Annual Div Option</v>
          </cell>
        </row>
        <row r="12581">
          <cell r="F12581" t="str">
            <v>UTI FTIF Series XXVIII-II (1210 Days) - Direct Plan - Flexi Div Option</v>
          </cell>
        </row>
        <row r="12582">
          <cell r="F12582" t="str">
            <v>UTI FTIF Series XXVIII-II (1210 Days) - Direct Plan - Growth Option</v>
          </cell>
        </row>
        <row r="12583">
          <cell r="F12583" t="str">
            <v>UTI FTIF Series XXVIII-II (1210 Days) - Direct Plan - Maturity Div Option</v>
          </cell>
        </row>
        <row r="12584">
          <cell r="F12584" t="str">
            <v>UTI FTIF Series XXVIII-II (1210 Days) - Direct Plan - Quarterly Div Option</v>
          </cell>
        </row>
        <row r="12585">
          <cell r="F12585" t="str">
            <v>UTI FTIF Series XXVIII-II (1210 Days) - Regular Plan - Annual Div Option</v>
          </cell>
        </row>
        <row r="12586">
          <cell r="F12586" t="str">
            <v>UTI FTIF Series XXVIII-II (1210 Days) - Regular Plan - Flexi Div Option</v>
          </cell>
        </row>
        <row r="12587">
          <cell r="F12587" t="str">
            <v>UTI FTIF Series XXVIII-II (1210 Days) - Regular Plan - Growth Option</v>
          </cell>
        </row>
        <row r="12588">
          <cell r="F12588" t="str">
            <v>UTI FTIF Series XXVIII-II (1210 Days) - Regular Plan - Maturity Div Option</v>
          </cell>
        </row>
        <row r="12589">
          <cell r="F12589" t="str">
            <v>UTI FTIF Series XXVIII-II (1210 Days) - Regular Plan - Quarterly Div Option</v>
          </cell>
        </row>
        <row r="12590">
          <cell r="F12590" t="str">
            <v>UTI FTIF Series XXVIII-III (1203 Days) - Direct Plan - Annual Div Option</v>
          </cell>
        </row>
        <row r="12591">
          <cell r="F12591" t="str">
            <v>UTI FTIF Series XXVIII-III (1203 Days) - Direct Plan - Flexi Div Option</v>
          </cell>
        </row>
        <row r="12592">
          <cell r="F12592" t="str">
            <v>UTI FTIF Series XXVIII-III (1203 Days) - Direct Plan - Growth Option</v>
          </cell>
        </row>
        <row r="12593">
          <cell r="F12593" t="str">
            <v>UTI FTIF Series XXVIII-III (1203 Days) - Direct Plan - Maturity Div Option</v>
          </cell>
        </row>
        <row r="12594">
          <cell r="F12594" t="str">
            <v>UTI FTIF Series XXVIII-III (1203 Days) - Direct Plan - Quarterly Div Option</v>
          </cell>
        </row>
        <row r="12595">
          <cell r="F12595" t="str">
            <v>UTI FTIF Series XXVIII-III (1203 Days) - Regular Plan - Annual Div Option</v>
          </cell>
        </row>
        <row r="12596">
          <cell r="F12596" t="str">
            <v>UTI FTIF Series XXVIII-III (1203 Days) - Regular Plan - Flexi Div Option</v>
          </cell>
        </row>
        <row r="12597">
          <cell r="F12597" t="str">
            <v>UTI FTIF Series XXVIII-III (1203 Days) - Regular Plan - Growth Option</v>
          </cell>
        </row>
        <row r="12598">
          <cell r="F12598" t="str">
            <v>UTI FTIF Series XXVIII-III (1203 Days) - Regular Plan - Maturity Div Option</v>
          </cell>
        </row>
        <row r="12599">
          <cell r="F12599" t="str">
            <v>UTI FTIF Series XXVIII-III (1203 Days) - Regular Plan - Quarterly Div Option</v>
          </cell>
        </row>
        <row r="12600">
          <cell r="F12600" t="str">
            <v>UTI FTIF Series XXVIII-IV (1204 Days) Direct Plan - Growth Option</v>
          </cell>
        </row>
        <row r="12601">
          <cell r="F12601" t="str">
            <v>UTI FTIF Series XXVIII-IV (1204 Days) Regular Plan - Growth Option</v>
          </cell>
        </row>
        <row r="12602">
          <cell r="F12602" t="str">
            <v>UTI FTIF Series XXVIII-V (1190 Days) Direct Plan - Annual Div Option</v>
          </cell>
        </row>
        <row r="12603">
          <cell r="F12603" t="str">
            <v>UTI FTIF Series XXVIII-V (1190 Days) Direct Plan - Growth Option</v>
          </cell>
        </row>
        <row r="12604">
          <cell r="F12604" t="str">
            <v>UTI FTIF Series XXVIII-V (1190 Days) Direct Plan - Maturity Div Option</v>
          </cell>
        </row>
        <row r="12605">
          <cell r="F12605" t="str">
            <v>UTI FTIF Series XXVIII-V (1190 Days) Direct Plan - Quarterly Div Option</v>
          </cell>
        </row>
        <row r="12606">
          <cell r="F12606" t="str">
            <v>UTI FTIF Series XXVIII-V (1190 Days) Regular Plan - Annual Div Option</v>
          </cell>
        </row>
        <row r="12607">
          <cell r="F12607" t="str">
            <v>UTI FTIF Series XXVIII-V (1190 Days) Regular Plan - Growth Option</v>
          </cell>
        </row>
        <row r="12608">
          <cell r="F12608" t="str">
            <v>UTI FTIF Series XXVIII-V (1190 Days) Regular Plan - Maturity Div Option</v>
          </cell>
        </row>
        <row r="12609">
          <cell r="F12609" t="str">
            <v>UTI FTIF Series XXVIII-V (1190 Days) Regular Plan - Quarterly Div Option</v>
          </cell>
        </row>
        <row r="12610">
          <cell r="F12610" t="str">
            <v>UTI FTIF Series XXVIII-VI (1190 Days) - Direct Plan - Flexi Div Option</v>
          </cell>
        </row>
        <row r="12611">
          <cell r="F12611" t="str">
            <v>UTI FTIF Series XXVIII-VI (1190 Days) - Direct Plan - Growth Option</v>
          </cell>
        </row>
        <row r="12612">
          <cell r="F12612" t="str">
            <v>UTI FTIF Series XXVIII-VI (1190 Days) - Direct Plan - Quarterly Div Option</v>
          </cell>
        </row>
        <row r="12613">
          <cell r="F12613" t="str">
            <v>UTI FTIF Series XXVIII-VI (1190 Days) - Regular Plan - Growth Option</v>
          </cell>
        </row>
        <row r="12614">
          <cell r="F12614" t="str">
            <v>UTI FTIF Series XXVIII-VI (1190 Days) - Regular Plan - Quarterly Div Option</v>
          </cell>
        </row>
        <row r="12615">
          <cell r="F12615" t="str">
            <v>UTI FTIF-Series XXV-III (1100 Days)- Direct Plan - Growth Option</v>
          </cell>
        </row>
        <row r="12616">
          <cell r="F12616" t="str">
            <v>UTI GOLD Exchange Traded Fund</v>
          </cell>
        </row>
        <row r="12617">
          <cell r="F12617" t="str">
            <v>UTI Healthcare Fund - Direct Plan - Growth Option</v>
          </cell>
        </row>
        <row r="12618">
          <cell r="F12618" t="str">
            <v>UTI Healthcare Fund - Regular Plan - Growth Option</v>
          </cell>
        </row>
        <row r="12619">
          <cell r="F12619" t="str">
            <v>UTI Healthcare Fund - Regular Plan - Income Option</v>
          </cell>
        </row>
        <row r="12620">
          <cell r="F12620" t="str">
            <v>UTI Healthcare Fund -Direct Plan - Income Option</v>
          </cell>
        </row>
        <row r="12621">
          <cell r="F12621" t="str">
            <v>UTI India Consumer Fund - Direct Plan - Dividend Option</v>
          </cell>
        </row>
        <row r="12622">
          <cell r="F12622" t="str">
            <v>UTI India Consumer Fund - Direct Plan - Growth Option</v>
          </cell>
        </row>
        <row r="12623">
          <cell r="F12623" t="str">
            <v>UTI India Consumer Fund - Regular Plan - Dividend Option</v>
          </cell>
        </row>
        <row r="12624">
          <cell r="F12624" t="str">
            <v>UTI India Consumer Fund - Regular Plan - Growth Option</v>
          </cell>
        </row>
        <row r="12625">
          <cell r="F12625" t="str">
            <v>UTI Infrastructure Fund-Growth Option</v>
          </cell>
        </row>
        <row r="12626">
          <cell r="F12626" t="str">
            <v>UTI Infrastructure Fund-Growth Option- Direct</v>
          </cell>
        </row>
        <row r="12627">
          <cell r="F12627" t="str">
            <v>UTI Infrastructure Fund-Income Option</v>
          </cell>
        </row>
        <row r="12628">
          <cell r="F12628" t="str">
            <v>UTI Infrastructure Fund-Income Option- Direct</v>
          </cell>
        </row>
        <row r="12629">
          <cell r="F12629" t="str">
            <v>UTI Long Term Advantage Fund Series III - Direct Plan - Dividend Option</v>
          </cell>
        </row>
        <row r="12630">
          <cell r="F12630" t="str">
            <v>UTI Long Term Advantage Fund Series III - Direct Plan - Growth Option</v>
          </cell>
        </row>
        <row r="12631">
          <cell r="F12631" t="str">
            <v>UTI Long Term Advantage Fund Series III - Regular Plan - Dividend Option</v>
          </cell>
        </row>
        <row r="12632">
          <cell r="F12632" t="str">
            <v>UTI Long Term Advantage Fund Series III - Regular Plan - Growth Option</v>
          </cell>
        </row>
        <row r="12633">
          <cell r="F12633" t="str">
            <v>UTI Long Term Advantage Fund Series IV - Direct Plan - Dividend Option</v>
          </cell>
        </row>
        <row r="12634">
          <cell r="F12634" t="str">
            <v>UTI Long Term Advantage Fund Series IV - Direct Plan - Growth Option</v>
          </cell>
        </row>
        <row r="12635">
          <cell r="F12635" t="str">
            <v>UTI Long Term Advantage Fund Series IV - Regular Plan - Dividend Option</v>
          </cell>
        </row>
        <row r="12636">
          <cell r="F12636" t="str">
            <v>UTI Long Term Advantage Fund Series IV - Regular Plan - Growth Option</v>
          </cell>
        </row>
        <row r="12637">
          <cell r="F12637" t="str">
            <v>UTI Long Term Advantage Fund Series V - Direct Plan - Dividend Option</v>
          </cell>
        </row>
        <row r="12638">
          <cell r="F12638" t="str">
            <v>UTI Long Term Advantage Fund Series V - Direct Plan - Growth Option</v>
          </cell>
        </row>
        <row r="12639">
          <cell r="F12639" t="str">
            <v>UTI Long Term Advantage Fund Series V - Regular Plan - Dividend Option</v>
          </cell>
        </row>
        <row r="12640">
          <cell r="F12640" t="str">
            <v>UTI Long Term Advantage Fund Series V - Regular Plan - Growth Option</v>
          </cell>
        </row>
        <row r="12641">
          <cell r="F12641" t="str">
            <v>UTI Long Term Advantage Fund Series VI - Direct Plan - Dividend Option</v>
          </cell>
        </row>
        <row r="12642">
          <cell r="F12642" t="str">
            <v>UTI Long Term Advantage Fund Series VI - Direct Plan - Growth Option</v>
          </cell>
        </row>
        <row r="12643">
          <cell r="F12643" t="str">
            <v>UTI Long Term Advantage Fund Series VI - Regular Plan - Dividend Option</v>
          </cell>
        </row>
        <row r="12644">
          <cell r="F12644" t="str">
            <v>UTI Long Term Advantage Fund Series VI - Regular Plan - Growth Option</v>
          </cell>
        </row>
        <row r="12645">
          <cell r="F12645" t="str">
            <v>UTI Medium Term Fund - Direct Plan - Annual Div Option</v>
          </cell>
        </row>
        <row r="12646">
          <cell r="F12646" t="str">
            <v>UTI Medium Term Fund - Direct Plan - Flexi Div Option</v>
          </cell>
        </row>
        <row r="12647">
          <cell r="F12647" t="str">
            <v>UTI Medium Term Fund - Direct Plan - Growth Option</v>
          </cell>
        </row>
        <row r="12648">
          <cell r="F12648" t="str">
            <v>UTI Medium Term Fund - Direct Plan - Half Yearly Div Option</v>
          </cell>
        </row>
        <row r="12649">
          <cell r="F12649" t="str">
            <v>UTI Medium Term Fund - Direct Plan - Monthly Div Option</v>
          </cell>
        </row>
        <row r="12650">
          <cell r="F12650" t="str">
            <v>UTI Medium Term Fund - Direct Plan - Quarterly Div Option</v>
          </cell>
        </row>
        <row r="12651">
          <cell r="F12651" t="str">
            <v>UTI Medium Term Fund - Regular Plan - Annual Div Option</v>
          </cell>
        </row>
        <row r="12652">
          <cell r="F12652" t="str">
            <v>UTI Medium Term Fund - Regular Plan - Flexi Div Option</v>
          </cell>
        </row>
        <row r="12653">
          <cell r="F12653" t="str">
            <v>UTI Medium Term Fund - Regular Plan - Growth Option</v>
          </cell>
        </row>
        <row r="12654">
          <cell r="F12654" t="str">
            <v>UTI Medium Term Fund - Regular Plan - Half Yearly Div Option</v>
          </cell>
        </row>
        <row r="12655">
          <cell r="F12655" t="str">
            <v>UTI Medium Term Fund - Regular Plan - Monthly Div Option</v>
          </cell>
        </row>
        <row r="12656">
          <cell r="F12656" t="str">
            <v>UTI Medium Term Fund - Regular Plan - Quarterly Div Option</v>
          </cell>
        </row>
        <row r="12657">
          <cell r="F12657" t="str">
            <v>UTI Mid Cap Fund-Growth Option</v>
          </cell>
        </row>
        <row r="12658">
          <cell r="F12658" t="str">
            <v>UTI Mid Cap Fund-Growth Option- Direct</v>
          </cell>
        </row>
        <row r="12659">
          <cell r="F12659" t="str">
            <v>UTI Mid Cap Fund-Income Option</v>
          </cell>
        </row>
        <row r="12660">
          <cell r="F12660" t="str">
            <v>UTI Mid Cap Fund-Income Option- Direct</v>
          </cell>
        </row>
        <row r="12661">
          <cell r="F12661" t="str">
            <v>UTI MMF - Direct Plan - Annual Dividend Option</v>
          </cell>
        </row>
        <row r="12662">
          <cell r="F12662" t="str">
            <v>UTI MMF - Direct Plan - Daily Dividend Reinvestment Option</v>
          </cell>
        </row>
        <row r="12663">
          <cell r="F12663" t="str">
            <v>UTI MMF - Direct Plan - Fortnightly Div Option</v>
          </cell>
        </row>
        <row r="12664">
          <cell r="F12664" t="str">
            <v>UTI MMF - Direct Plan - Growth Option</v>
          </cell>
        </row>
        <row r="12665">
          <cell r="F12665" t="str">
            <v>UTI MMF - Direct Plan - Monthly Dividend Option</v>
          </cell>
        </row>
        <row r="12666">
          <cell r="F12666" t="str">
            <v>UTI MMF - Direct Plan - Quarterly Dividend Option</v>
          </cell>
        </row>
        <row r="12667">
          <cell r="F12667" t="str">
            <v>UTI MMF - Direct Plan - Weekly Dividend Option</v>
          </cell>
        </row>
        <row r="12668">
          <cell r="F12668" t="str">
            <v>UTI MMF - Regular Plan - Annual Dividend Option</v>
          </cell>
        </row>
        <row r="12669">
          <cell r="F12669" t="str">
            <v>UTI MMF - Regular Plan - Daily Dividend Reinvestment Option</v>
          </cell>
        </row>
        <row r="12670">
          <cell r="F12670" t="str">
            <v>UTI MMF - Regular Plan - Fortnightly Dividend Option</v>
          </cell>
        </row>
        <row r="12671">
          <cell r="F12671" t="str">
            <v>UTI MMF - Regular Plan - Growth Option</v>
          </cell>
        </row>
        <row r="12672">
          <cell r="F12672" t="str">
            <v>UTI MMF - Regular Plan - Half Yearly Dividend Option</v>
          </cell>
        </row>
        <row r="12673">
          <cell r="F12673" t="str">
            <v>UTI MMF - Regular Plan - Monthly Dividend Option</v>
          </cell>
        </row>
        <row r="12674">
          <cell r="F12674" t="str">
            <v>UTI MMF - Regular Plan - Weekly Dividend Option</v>
          </cell>
        </row>
        <row r="12675">
          <cell r="F12675" t="str">
            <v>UTI MMF - Regular Plan-  Quarterly Dividend Option</v>
          </cell>
        </row>
        <row r="12676">
          <cell r="F12676" t="str">
            <v>UTI MMF- Discontinued - Regular Plan - Flexi Dividend Option</v>
          </cell>
        </row>
        <row r="12677">
          <cell r="F12677" t="str">
            <v>UTI MMF- Discontinued - Regular Plan - Periodic Dividend Option</v>
          </cell>
        </row>
        <row r="12678">
          <cell r="F12678" t="str">
            <v>UTI MMF-Discontinued - Regular Plan -Growth</v>
          </cell>
        </row>
        <row r="12679">
          <cell r="F12679" t="str">
            <v>UTI Multi Cap Fund - Dividend Option</v>
          </cell>
        </row>
        <row r="12680">
          <cell r="F12680" t="str">
            <v>UTI Multi Cap Fund - Dividend Option - Direct</v>
          </cell>
        </row>
        <row r="12681">
          <cell r="F12681" t="str">
            <v>UTI Multi Cap Fund - Growth Option</v>
          </cell>
        </row>
        <row r="12682">
          <cell r="F12682" t="str">
            <v>UTI Multi Cap Fund - Growth Option - Direct</v>
          </cell>
        </row>
        <row r="12683">
          <cell r="F12683" t="str">
            <v>UTI NIFTY Exhcange  Traded Fund</v>
          </cell>
        </row>
        <row r="12684">
          <cell r="F12684" t="str">
            <v>UTI Nifty Next 50 Exchange Traded Fund</v>
          </cell>
        </row>
        <row r="12685">
          <cell r="F12685" t="str">
            <v>UTI SENSEX Exchange Traded Fund</v>
          </cell>
        </row>
        <row r="12686">
          <cell r="F12686" t="str">
            <v>UTI Smart Woman Savings Plan - Dividend Option</v>
          </cell>
        </row>
        <row r="12687">
          <cell r="F12687" t="str">
            <v>UTI Smart Woman Savings Plan - Dividend Option- Direct</v>
          </cell>
        </row>
        <row r="12688">
          <cell r="F12688" t="str">
            <v>UTI Smart Woman Savings Plan - Growth Option</v>
          </cell>
        </row>
        <row r="12689">
          <cell r="F12689" t="str">
            <v>UTI Smart Woman Savings Plan - Growth Option- Direct</v>
          </cell>
        </row>
        <row r="12690">
          <cell r="F12690" t="str">
            <v>UTI Value Opportunities Fund - Direct Plan - Dividend Option</v>
          </cell>
        </row>
        <row r="12691">
          <cell r="F12691" t="str">
            <v>UTI Value Opportunities Fund- Direct Plan - Growth Option</v>
          </cell>
        </row>
        <row r="12692">
          <cell r="F12692" t="str">
            <v>UTI Value Opportunities Fund- Regular Plan - Dividend Option</v>
          </cell>
        </row>
        <row r="12693">
          <cell r="F12693" t="str">
            <v>UTI Value Opportunities Fund- Regular Plan - Growth Option</v>
          </cell>
        </row>
        <row r="12694">
          <cell r="F12694" t="str">
            <v>UTI-  Liquid Cash Plan - Direct Plan - Daily Dividend Reinvestment Option</v>
          </cell>
        </row>
        <row r="12695">
          <cell r="F12695" t="str">
            <v>UTI-  Liquid Cash Plan - Direct Plan - Growth Option</v>
          </cell>
        </row>
        <row r="12696">
          <cell r="F12696" t="str">
            <v>UTI-  Liquid Cash Plan - Direct Plan - Weekly Dividend Option</v>
          </cell>
        </row>
        <row r="12697">
          <cell r="F12697" t="str">
            <v>UTI-  Liquid Cash Plan - Regular Plan - Daily Dividend Reinvestment Option</v>
          </cell>
        </row>
        <row r="12698">
          <cell r="F12698" t="str">
            <v>UTI-  Liquid cash plan - Regular Plan - Flexi Dividend Option</v>
          </cell>
        </row>
        <row r="12699">
          <cell r="F12699" t="str">
            <v>UTI-  Liquid Cash Plan - Regular Plan - Growth Option</v>
          </cell>
        </row>
        <row r="12700">
          <cell r="F12700" t="str">
            <v>UTI-  Liquid Cash Plan - Regular Plan - Monthly Dividend Option</v>
          </cell>
        </row>
        <row r="12701">
          <cell r="F12701" t="str">
            <v>UTI-  Liquid Cash Plan - Regular Plan - Weekly Dividend Option</v>
          </cell>
        </row>
        <row r="12702">
          <cell r="F12702" t="str">
            <v>UTI-  Liquid Cash Plan- Discontinued - Regular Plan - Monthly Dividend Option</v>
          </cell>
        </row>
        <row r="12703">
          <cell r="F12703" t="str">
            <v>UTI-  Liquid Cash Plan- Discontinued - Regular Plan -Growth</v>
          </cell>
        </row>
        <row r="12704">
          <cell r="F12704" t="str">
            <v>UTI-  Liquid Cash Plan- Discontinued -Regular Plan Periodic Dividend Option</v>
          </cell>
        </row>
        <row r="12705">
          <cell r="F12705" t="str">
            <v>UTI-Dividend Yield Fund.-Growth</v>
          </cell>
        </row>
        <row r="12706">
          <cell r="F12706" t="str">
            <v>UTI-Dividend Yield Fund.-Growth-Direct</v>
          </cell>
        </row>
        <row r="12707">
          <cell r="F12707" t="str">
            <v>UTI-Dividend Yield Fund.-Income</v>
          </cell>
        </row>
        <row r="12708">
          <cell r="F12708" t="str">
            <v>UTI-Dividend Yield Fund.-Income-Direct</v>
          </cell>
        </row>
        <row r="12709">
          <cell r="F12709" t="str">
            <v>UTI-FMP-Yearly Series March 2014 - Growth Option</v>
          </cell>
        </row>
        <row r="12710">
          <cell r="F12710" t="str">
            <v>UTI-FMP-Yearly Series March 2014 - Growth Option - Direct</v>
          </cell>
        </row>
        <row r="12711">
          <cell r="F12711" t="str">
            <v>UTI-Long Term Advantage Fund Series -II - Growth Option</v>
          </cell>
        </row>
        <row r="12712">
          <cell r="F12712" t="str">
            <v>UTI-Long Term Advantage Fund Series-II - Dividend Option</v>
          </cell>
        </row>
        <row r="12713">
          <cell r="F12713" t="str">
            <v>UTI-Transportation and Logistics Fund-Income Option</v>
          </cell>
        </row>
        <row r="12714">
          <cell r="F12714" t="str">
            <v>UTI-Transportation and Logistics Fund-Income Option- Direct</v>
          </cell>
        </row>
        <row r="12715">
          <cell r="F12715" t="str">
            <v>UTI-Transpotation and Logistics  Fund-Growth Option</v>
          </cell>
        </row>
        <row r="12716">
          <cell r="F12716" t="str">
            <v>UTI-Transpotation and Logistics  Fund-Growth Option- Direct</v>
          </cell>
        </row>
        <row r="12717">
          <cell r="F12717" t="str">
            <v>UTIFEFRGR4</v>
          </cell>
        </row>
        <row r="12718">
          <cell r="F12718" t="str">
            <v>UTINEXT50</v>
          </cell>
        </row>
        <row r="12719">
          <cell r="F12719" t="str">
            <v>UTINIFTETF</v>
          </cell>
        </row>
        <row r="12720">
          <cell r="F12720" t="str">
            <v>UTISENSETF</v>
          </cell>
        </row>
        <row r="12721">
          <cell r="F12721" t="str">
            <v>UTTAMSTL</v>
          </cell>
        </row>
        <row r="12722">
          <cell r="F12722" t="str">
            <v>UTTAMSUGAR</v>
          </cell>
        </row>
        <row r="12723">
          <cell r="F12723" t="str">
            <v>UTTAMVALUE</v>
          </cell>
        </row>
        <row r="12724">
          <cell r="F12724" t="str">
            <v>V2RETAIL</v>
          </cell>
        </row>
        <row r="12725">
          <cell r="F12725" t="str">
            <v>VAARAD</v>
          </cell>
        </row>
        <row r="12726">
          <cell r="F12726" t="str">
            <v>VADILAL ENT</v>
          </cell>
        </row>
        <row r="12727">
          <cell r="F12727" t="str">
            <v>VADILAL IND</v>
          </cell>
        </row>
        <row r="12728">
          <cell r="F12728" t="str">
            <v>VAIBHAVGBL</v>
          </cell>
        </row>
        <row r="12729">
          <cell r="F12729" t="str">
            <v>VAISHALI</v>
          </cell>
        </row>
        <row r="12730">
          <cell r="F12730" t="str">
            <v>VAKRANGEE</v>
          </cell>
        </row>
        <row r="12731">
          <cell r="F12731" t="str">
            <v>VALIANT COMM</v>
          </cell>
        </row>
        <row r="12732">
          <cell r="F12732" t="str">
            <v>VALIANTORG</v>
          </cell>
        </row>
        <row r="12733">
          <cell r="F12733" t="str">
            <v>VALLABH STEL</v>
          </cell>
        </row>
        <row r="12734">
          <cell r="F12734" t="str">
            <v>VALSON INDUS</v>
          </cell>
        </row>
        <row r="12735">
          <cell r="F12735" t="str">
            <v>VALUEIND</v>
          </cell>
        </row>
        <row r="12736">
          <cell r="F12736" t="str">
            <v>VAMA INDS</v>
          </cell>
        </row>
        <row r="12737">
          <cell r="F12737" t="str">
            <v>VAMSHI RUBB.</v>
          </cell>
        </row>
        <row r="12738">
          <cell r="F12738" t="str">
            <v>VANDANA</v>
          </cell>
        </row>
        <row r="12739">
          <cell r="F12739" t="str">
            <v>VANICOM</v>
          </cell>
        </row>
        <row r="12740">
          <cell r="F12740" t="str">
            <v>VANTABIO</v>
          </cell>
        </row>
        <row r="12741">
          <cell r="F12741" t="str">
            <v>VARDHACRLC</v>
          </cell>
        </row>
        <row r="12742">
          <cell r="F12742" t="str">
            <v>VARDHMAN</v>
          </cell>
        </row>
        <row r="12743">
          <cell r="F12743" t="str">
            <v>VARDHMAN IND</v>
          </cell>
        </row>
        <row r="12744">
          <cell r="F12744" t="str">
            <v>VARDHMAN POL</v>
          </cell>
        </row>
        <row r="12745">
          <cell r="F12745" t="str">
            <v>VAS INFRA</v>
          </cell>
        </row>
        <row r="12746">
          <cell r="F12746" t="str">
            <v>VASCONEQ</v>
          </cell>
        </row>
        <row r="12747">
          <cell r="F12747" t="str">
            <v>VASWANI</v>
          </cell>
        </row>
        <row r="12748">
          <cell r="F12748" t="str">
            <v>VBC FERRO</v>
          </cell>
        </row>
        <row r="12749">
          <cell r="F12749" t="str">
            <v>VBIND</v>
          </cell>
        </row>
        <row r="12750">
          <cell r="F12750" t="str">
            <v>VBL</v>
          </cell>
        </row>
        <row r="12751">
          <cell r="F12751" t="str">
            <v>VCCL LTD</v>
          </cell>
        </row>
        <row r="12752">
          <cell r="F12752" t="str">
            <v>VEDAVAAG</v>
          </cell>
        </row>
        <row r="12753">
          <cell r="F12753" t="str">
            <v>VEDL</v>
          </cell>
        </row>
        <row r="12754">
          <cell r="F12754" t="str">
            <v>VEDL2</v>
          </cell>
        </row>
        <row r="12755">
          <cell r="F12755" t="str">
            <v>VEEJAY LAKSH</v>
          </cell>
        </row>
        <row r="12756">
          <cell r="F12756" t="str">
            <v>VEER ENERGY</v>
          </cell>
        </row>
        <row r="12757">
          <cell r="F12757" t="str">
            <v>VEERHEALTH</v>
          </cell>
        </row>
        <row r="12758">
          <cell r="F12758" t="str">
            <v>VEGETABLE</v>
          </cell>
        </row>
        <row r="12759">
          <cell r="F12759" t="str">
            <v>VELAN HOTELS</v>
          </cell>
        </row>
        <row r="12760">
          <cell r="F12760" t="str">
            <v>VELJAN</v>
          </cell>
        </row>
        <row r="12761">
          <cell r="F12761" t="str">
            <v>VENKEY'S (I)</v>
          </cell>
        </row>
        <row r="12762">
          <cell r="F12762" t="str">
            <v>VENLON ENTR</v>
          </cell>
        </row>
        <row r="12763">
          <cell r="F12763" t="str">
            <v>VENUSREM</v>
          </cell>
        </row>
        <row r="12764">
          <cell r="F12764" t="str">
            <v>VERTEX SEC.</v>
          </cell>
        </row>
        <row r="12765">
          <cell r="F12765" t="str">
            <v>VERTOZ</v>
          </cell>
        </row>
        <row r="12766">
          <cell r="F12766" t="str">
            <v>VESUVIUS</v>
          </cell>
        </row>
        <row r="12767">
          <cell r="F12767" t="str">
            <v>VETO</v>
          </cell>
        </row>
        <row r="12768">
          <cell r="F12768" t="str">
            <v>VFL</v>
          </cell>
        </row>
        <row r="12769">
          <cell r="F12769" t="str">
            <v>VGCL</v>
          </cell>
        </row>
        <row r="12770">
          <cell r="F12770" t="str">
            <v>VGUARD</v>
          </cell>
        </row>
        <row r="12771">
          <cell r="F12771" t="str">
            <v>VHL</v>
          </cell>
        </row>
        <row r="12772">
          <cell r="F12772" t="str">
            <v>VIAANINDUS</v>
          </cell>
        </row>
        <row r="12773">
          <cell r="F12773" t="str">
            <v>VICEROY</v>
          </cell>
        </row>
        <row r="12774">
          <cell r="F12774" t="str">
            <v>VICTORIA MIL</v>
          </cell>
        </row>
        <row r="12775">
          <cell r="F12775" t="str">
            <v>VICTORY PAPR</v>
          </cell>
        </row>
        <row r="12776">
          <cell r="F12776" t="str">
            <v>VIDEOIND</v>
          </cell>
        </row>
        <row r="12777">
          <cell r="F12777" t="str">
            <v>VIDHIING</v>
          </cell>
        </row>
        <row r="12778">
          <cell r="F12778" t="str">
            <v>VIDLI</v>
          </cell>
        </row>
        <row r="12779">
          <cell r="F12779" t="str">
            <v>VIJAY SHA.BU</v>
          </cell>
        </row>
        <row r="12780">
          <cell r="F12780" t="str">
            <v>VIJAY SOLVEX</v>
          </cell>
        </row>
        <row r="12781">
          <cell r="F12781" t="str">
            <v>VIJAY TEXTIL</v>
          </cell>
        </row>
        <row r="12782">
          <cell r="F12782" t="str">
            <v>VIJAYABANK</v>
          </cell>
        </row>
        <row r="12783">
          <cell r="F12783" t="str">
            <v>VIKAS GRAN</v>
          </cell>
        </row>
        <row r="12784">
          <cell r="F12784" t="str">
            <v>VIKAS WSP</v>
          </cell>
        </row>
        <row r="12785">
          <cell r="F12785" t="str">
            <v>VIKASECO</v>
          </cell>
        </row>
        <row r="12786">
          <cell r="F12786" t="str">
            <v>VIKRAM THERM</v>
          </cell>
        </row>
        <row r="12787">
          <cell r="F12787" t="str">
            <v>VIMTALABS</v>
          </cell>
        </row>
        <row r="12788">
          <cell r="F12788" t="str">
            <v>VINATI ORG.</v>
          </cell>
        </row>
        <row r="12789">
          <cell r="F12789" t="str">
            <v>VINDHYA TELE</v>
          </cell>
        </row>
        <row r="12790">
          <cell r="F12790" t="str">
            <v>VINTRON INF.</v>
          </cell>
        </row>
        <row r="12791">
          <cell r="F12791" t="str">
            <v>VINYLINDIA</v>
          </cell>
        </row>
        <row r="12792">
          <cell r="F12792" t="str">
            <v>VINYOFLEX LT</v>
          </cell>
        </row>
        <row r="12793">
          <cell r="F12793" t="str">
            <v>VIPCLOTHNG</v>
          </cell>
        </row>
        <row r="12794">
          <cell r="F12794" t="str">
            <v>VIPIND</v>
          </cell>
        </row>
        <row r="12795">
          <cell r="F12795" t="str">
            <v>VIPPY SPIN.</v>
          </cell>
        </row>
        <row r="12796">
          <cell r="F12796" t="str">
            <v>VIPUL LTD</v>
          </cell>
        </row>
        <row r="12797">
          <cell r="F12797" t="str">
            <v>VIPULORG</v>
          </cell>
        </row>
        <row r="12798">
          <cell r="F12798" t="str">
            <v>VIRAT CRANE</v>
          </cell>
        </row>
        <row r="12799">
          <cell r="F12799" t="str">
            <v>VIRAT INDUS.</v>
          </cell>
        </row>
        <row r="12800">
          <cell r="F12800" t="str">
            <v>VIRINCHI</v>
          </cell>
        </row>
        <row r="12801">
          <cell r="F12801" t="str">
            <v>VIRTUAL GLO</v>
          </cell>
        </row>
        <row r="12802">
          <cell r="F12802" t="str">
            <v>VISA STEEL</v>
          </cell>
        </row>
        <row r="12803">
          <cell r="F12803" t="str">
            <v>VISAGAR FIN</v>
          </cell>
        </row>
        <row r="12804">
          <cell r="F12804" t="str">
            <v>VISAGAR POL</v>
          </cell>
        </row>
        <row r="12805">
          <cell r="F12805" t="str">
            <v>VISAKA IND.</v>
          </cell>
        </row>
        <row r="12806">
          <cell r="F12806" t="str">
            <v>VISCO</v>
          </cell>
        </row>
        <row r="12807">
          <cell r="F12807" t="str">
            <v>VISESH INFO.</v>
          </cell>
        </row>
        <row r="12808">
          <cell r="F12808" t="str">
            <v>VISHAL</v>
          </cell>
        </row>
        <row r="12809">
          <cell r="F12809" t="str">
            <v>VISHNU CHEM</v>
          </cell>
        </row>
        <row r="12810">
          <cell r="F12810" t="str">
            <v>VISION CORPO</v>
          </cell>
        </row>
        <row r="12811">
          <cell r="F12811" t="str">
            <v>VISTA PHARMA</v>
          </cell>
        </row>
        <row r="12812">
          <cell r="F12812" t="str">
            <v>VISTARAMAR</v>
          </cell>
        </row>
        <row r="12813">
          <cell r="F12813" t="str">
            <v>VIVANZA</v>
          </cell>
        </row>
        <row r="12814">
          <cell r="F12814" t="str">
            <v>VIVID IND</v>
          </cell>
        </row>
        <row r="12815">
          <cell r="F12815" t="str">
            <v>VIVIMEDLAB</v>
          </cell>
        </row>
        <row r="12816">
          <cell r="F12816" t="str">
            <v>VIVO BIO TEC</v>
          </cell>
        </row>
        <row r="12817">
          <cell r="F12817" t="str">
            <v>VKJINFRA</v>
          </cell>
        </row>
        <row r="12818">
          <cell r="F12818" t="str">
            <v>VLSFINANCE</v>
          </cell>
        </row>
        <row r="12819">
          <cell r="F12819" t="str">
            <v>VMART</v>
          </cell>
        </row>
        <row r="12820">
          <cell r="F12820" t="str">
            <v>VOITH PAPER</v>
          </cell>
        </row>
        <row r="12821">
          <cell r="F12821" t="str">
            <v>VOLTAMP</v>
          </cell>
        </row>
        <row r="12822">
          <cell r="F12822" t="str">
            <v>VOLTAS LTD</v>
          </cell>
        </row>
        <row r="12823">
          <cell r="F12823" t="str">
            <v>VORA CONST.</v>
          </cell>
        </row>
        <row r="12824">
          <cell r="F12824" t="str">
            <v>VRL</v>
          </cell>
        </row>
        <row r="12825">
          <cell r="F12825" t="str">
            <v>VRLLOG</v>
          </cell>
        </row>
        <row r="12826">
          <cell r="F12826" t="str">
            <v>VSCL</v>
          </cell>
        </row>
        <row r="12827">
          <cell r="F12827" t="str">
            <v>VSSL</v>
          </cell>
        </row>
        <row r="12828">
          <cell r="F12828" t="str">
            <v>VSTIND</v>
          </cell>
        </row>
        <row r="12829">
          <cell r="F12829" t="str">
            <v>VSTTILLERS</v>
          </cell>
        </row>
        <row r="12830">
          <cell r="F12830" t="str">
            <v>VTL</v>
          </cell>
        </row>
        <row r="12831">
          <cell r="F12831" t="str">
            <v>VTM LTD</v>
          </cell>
        </row>
        <row r="12832">
          <cell r="F12832" t="str">
            <v>VXL INSTRUM.</v>
          </cell>
        </row>
        <row r="12833">
          <cell r="F12833" t="str">
            <v>VYAPAR INDS</v>
          </cell>
        </row>
        <row r="12834">
          <cell r="F12834" t="str">
            <v>W.H.BRADY</v>
          </cell>
        </row>
        <row r="12835">
          <cell r="F12835" t="str">
            <v>WABAG</v>
          </cell>
        </row>
        <row r="12836">
          <cell r="F12836" t="str">
            <v>WABCOINDIA</v>
          </cell>
        </row>
        <row r="12837">
          <cell r="F12837" t="str">
            <v>WALCHAND PF</v>
          </cell>
        </row>
        <row r="12838">
          <cell r="F12838" t="str">
            <v>WALCHANDNGR</v>
          </cell>
        </row>
        <row r="12839">
          <cell r="F12839" t="str">
            <v>WALL ST.FIN.</v>
          </cell>
        </row>
        <row r="12840">
          <cell r="F12840" t="str">
            <v>WALLFORT FIN</v>
          </cell>
        </row>
        <row r="12841">
          <cell r="F12841" t="str">
            <v>WANBURY</v>
          </cell>
        </row>
        <row r="12842">
          <cell r="F12842" t="str">
            <v>WARREN TEA</v>
          </cell>
        </row>
        <row r="12843">
          <cell r="F12843" t="str">
            <v>WATERBASE</v>
          </cell>
        </row>
        <row r="12844">
          <cell r="F12844" t="str">
            <v>WEALTH</v>
          </cell>
        </row>
        <row r="12845">
          <cell r="F12845" t="str">
            <v>WEBELSOLAR</v>
          </cell>
        </row>
        <row r="12846">
          <cell r="F12846" t="str">
            <v>WEIZFOREX</v>
          </cell>
        </row>
        <row r="12847">
          <cell r="F12847" t="str">
            <v>WEIZMANN LTD</v>
          </cell>
        </row>
        <row r="12848">
          <cell r="F12848" t="str">
            <v>WELCAST</v>
          </cell>
        </row>
        <row r="12849">
          <cell r="F12849" t="str">
            <v>WELCORP</v>
          </cell>
        </row>
        <row r="12850">
          <cell r="F12850" t="str">
            <v>WELENT</v>
          </cell>
        </row>
        <row r="12851">
          <cell r="F12851" t="str">
            <v>WELSPUN INV</v>
          </cell>
        </row>
        <row r="12852">
          <cell r="F12852" t="str">
            <v>WELSPUNIND</v>
          </cell>
        </row>
        <row r="12853">
          <cell r="F12853" t="str">
            <v>WENDT(INDIA)</v>
          </cell>
        </row>
        <row r="12854">
          <cell r="F12854" t="str">
            <v>WEPSOLN</v>
          </cell>
        </row>
        <row r="12855">
          <cell r="F12855" t="str">
            <v>WESTLIFE DEV</v>
          </cell>
        </row>
        <row r="12856">
          <cell r="F12856" t="str">
            <v>WHEELS INDIA</v>
          </cell>
        </row>
        <row r="12857">
          <cell r="F12857" t="str">
            <v>WHIRLPOOL</v>
          </cell>
        </row>
        <row r="12858">
          <cell r="F12858" t="str">
            <v>WHITEORG</v>
          </cell>
        </row>
        <row r="12859">
          <cell r="F12859" t="str">
            <v>WILLAMAGOR</v>
          </cell>
        </row>
        <row r="12860">
          <cell r="F12860" t="str">
            <v>WIM PLAST LT</v>
          </cell>
        </row>
        <row r="12861">
          <cell r="F12861" t="str">
            <v>WIMSOME TEXT</v>
          </cell>
        </row>
        <row r="12862">
          <cell r="F12862" t="str">
            <v>WINDSOR MACH</v>
          </cell>
        </row>
        <row r="12863">
          <cell r="F12863" t="str">
            <v>WINSOME BREW</v>
          </cell>
        </row>
        <row r="12864">
          <cell r="F12864" t="str">
            <v>WINSOME YRN</v>
          </cell>
        </row>
        <row r="12865">
          <cell r="F12865" t="str">
            <v>WINTAC LTD</v>
          </cell>
        </row>
        <row r="12866">
          <cell r="F12866" t="str">
            <v>WIPL</v>
          </cell>
        </row>
        <row r="12867">
          <cell r="F12867" t="str">
            <v>WIPRO LTD.</v>
          </cell>
        </row>
        <row r="12868">
          <cell r="F12868" t="str">
            <v>WIRES FABRIK</v>
          </cell>
        </row>
        <row r="12869">
          <cell r="F12869" t="str">
            <v>WOCKHARDT</v>
          </cell>
        </row>
        <row r="12870">
          <cell r="F12870" t="str">
            <v>WOMEN NETWOR</v>
          </cell>
        </row>
        <row r="12871">
          <cell r="F12871" t="str">
            <v>WONDERLA</v>
          </cell>
        </row>
        <row r="12872">
          <cell r="F12872" t="str">
            <v>WORTH</v>
          </cell>
        </row>
        <row r="12873">
          <cell r="F12873" t="str">
            <v>WPIL LTD.</v>
          </cell>
        </row>
        <row r="12874">
          <cell r="F12874" t="str">
            <v>WSI</v>
          </cell>
        </row>
        <row r="12875">
          <cell r="F12875" t="str">
            <v>WSTCSTPAPR</v>
          </cell>
        </row>
        <row r="12876">
          <cell r="F12876" t="str">
            <v>XCHANGING</v>
          </cell>
        </row>
        <row r="12877">
          <cell r="F12877" t="str">
            <v>XLENERGY</v>
          </cell>
        </row>
        <row r="12878">
          <cell r="F12878" t="str">
            <v>XPRO INDI(PS</v>
          </cell>
        </row>
        <row r="12879">
          <cell r="F12879" t="str">
            <v>YAMINI INVES</v>
          </cell>
        </row>
        <row r="12880">
          <cell r="F12880" t="str">
            <v>YASH PAPERS</v>
          </cell>
        </row>
        <row r="12881">
          <cell r="F12881" t="str">
            <v>YASHCHEM</v>
          </cell>
        </row>
        <row r="12882">
          <cell r="F12882" t="str">
            <v>YESBANK</v>
          </cell>
        </row>
        <row r="12883">
          <cell r="F12883" t="str">
            <v>YOGI SUNGWON</v>
          </cell>
        </row>
        <row r="12884">
          <cell r="F12884" t="str">
            <v>YUG</v>
          </cell>
        </row>
        <row r="12885">
          <cell r="F12885" t="str">
            <v>YUKEN INDIA</v>
          </cell>
        </row>
        <row r="12886">
          <cell r="F12886" t="str">
            <v>YUVRAAJHPL</v>
          </cell>
        </row>
        <row r="12887">
          <cell r="F12887" t="str">
            <v>ZANDUREALTY</v>
          </cell>
        </row>
        <row r="12888">
          <cell r="F12888" t="str">
            <v>ZEAL</v>
          </cell>
        </row>
        <row r="12889">
          <cell r="F12889" t="str">
            <v>ZEE ENTER</v>
          </cell>
        </row>
        <row r="12890">
          <cell r="F12890" t="str">
            <v>ZEEL</v>
          </cell>
        </row>
        <row r="12891">
          <cell r="F12891" t="str">
            <v>ZEELEARN</v>
          </cell>
        </row>
        <row r="12892">
          <cell r="F12892" t="str">
            <v>ZEEMEDIA</v>
          </cell>
        </row>
        <row r="12893">
          <cell r="F12893" t="str">
            <v>ZEN TECH</v>
          </cell>
        </row>
        <row r="12894">
          <cell r="F12894" t="str">
            <v>ZENITH COMP.</v>
          </cell>
        </row>
        <row r="12895">
          <cell r="F12895" t="str">
            <v>ZENITH FIBRE</v>
          </cell>
        </row>
        <row r="12896">
          <cell r="F12896" t="str">
            <v>ZENITHBIR</v>
          </cell>
        </row>
        <row r="12897">
          <cell r="F12897" t="str">
            <v>ZENITHEXPO</v>
          </cell>
        </row>
        <row r="12898">
          <cell r="F12898" t="str">
            <v>ZENLABS</v>
          </cell>
        </row>
        <row r="12899">
          <cell r="F12899" t="str">
            <v>ZENOTECH</v>
          </cell>
        </row>
        <row r="12900">
          <cell r="F12900" t="str">
            <v>ZENSAR TECH.</v>
          </cell>
        </row>
        <row r="12901">
          <cell r="F12901" t="str">
            <v>ZF STEERING</v>
          </cell>
        </row>
        <row r="12902">
          <cell r="F12902" t="str">
            <v>ZICOM</v>
          </cell>
        </row>
        <row r="12903">
          <cell r="F12903" t="str">
            <v>ZODIAC</v>
          </cell>
        </row>
        <row r="12904">
          <cell r="F12904" t="str">
            <v>ZODIAC CLOTH</v>
          </cell>
        </row>
        <row r="12905">
          <cell r="F12905" t="str">
            <v>ZODJRDMKJ</v>
          </cell>
        </row>
        <row r="12906">
          <cell r="F12906" t="str">
            <v>ZOTA</v>
          </cell>
        </row>
        <row r="12907">
          <cell r="F12907" t="str">
            <v>ZUARI AGRO</v>
          </cell>
        </row>
        <row r="12908">
          <cell r="F12908" t="str">
            <v>ZUARIGLOB</v>
          </cell>
        </row>
        <row r="12909">
          <cell r="F12909" t="str">
            <v>ZYDUS WELL</v>
          </cell>
        </row>
        <row r="12910">
          <cell r="F12910" t="str">
            <v>ZYLOG</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ient's Details"/>
      <sheetName val="Tb 2020-21"/>
      <sheetName val="Depreciation Adjustment"/>
      <sheetName val="2021-22"/>
      <sheetName val="Adjusting Entries"/>
      <sheetName val="Closing TB"/>
      <sheetName val="Final TB 2021-22"/>
      <sheetName val="BS SCH"/>
      <sheetName val="PL SCH"/>
      <sheetName val="BS"/>
      <sheetName val="SPL"/>
      <sheetName val="CFS"/>
      <sheetName val="2-7"/>
      <sheetName val="8"/>
      <sheetName val="9-15"/>
      <sheetName val="13.1-13.2"/>
      <sheetName val="16-25"/>
      <sheetName val="26-32"/>
      <sheetName val="33-34"/>
      <sheetName val="6.1 Workings"/>
      <sheetName val="6.2 Workings"/>
      <sheetName val="13.1, 13.2 Workings"/>
      <sheetName val="IT"/>
      <sheetName val="CFS Workings"/>
      <sheetName val="AS-15 Workings"/>
      <sheetName val="Deprn 21-22"/>
      <sheetName val="IT DEPRECIATION"/>
      <sheetName val="Deffered Tax"/>
      <sheetName val="80JJAA"/>
      <sheetName val="Employees Joined and Left"/>
      <sheetName val="Capital Gain on JDA"/>
    </sheetNames>
    <sheetDataSet>
      <sheetData sheetId="0">
        <row r="48">
          <cell r="A48" t="str">
            <v>RAJESH C SUBRAMANIAM</v>
          </cell>
          <cell r="B48" t="str">
            <v>02083138</v>
          </cell>
          <cell r="C48" t="str">
            <v>DIRECTOR</v>
          </cell>
        </row>
        <row r="49">
          <cell r="A49" t="str">
            <v>C S SUBRAMANIAM</v>
          </cell>
          <cell r="B49" t="str">
            <v>02227541</v>
          </cell>
          <cell r="C49" t="str">
            <v>DIRECTOR</v>
          </cell>
        </row>
      </sheetData>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5">
          <cell r="G25">
            <v>0</v>
          </cell>
        </row>
      </sheetData>
      <sheetData sheetId="23" refreshError="1"/>
      <sheetData sheetId="24" refreshError="1"/>
      <sheetData sheetId="25" refreshError="1"/>
      <sheetData sheetId="26" refreshError="1"/>
      <sheetData sheetId="27"/>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n_Salary"/>
      <sheetName val="cs"/>
    </sheetNames>
    <sheetDataSet>
      <sheetData sheetId="0"/>
      <sheetData sheetId="1">
        <row r="3">
          <cell r="A3" t="str">
            <v xml:space="preserve">ANDAMAN AND NICOBAR ISLANDS                       </v>
          </cell>
        </row>
        <row r="4">
          <cell r="A4" t="str">
            <v xml:space="preserve">ANDHRA PRADESH                                    </v>
          </cell>
        </row>
        <row r="5">
          <cell r="A5" t="str">
            <v xml:space="preserve">ARUNACHAL PRADESH          </v>
          </cell>
        </row>
        <row r="6">
          <cell r="A6" t="str">
            <v xml:space="preserve">ASSAM                                             </v>
          </cell>
        </row>
        <row r="7">
          <cell r="A7" t="str">
            <v xml:space="preserve">BIHAR                      </v>
          </cell>
        </row>
        <row r="8">
          <cell r="A8" t="str">
            <v xml:space="preserve">CHANDIGARH                 </v>
          </cell>
        </row>
        <row r="9">
          <cell r="A9" t="str">
            <v xml:space="preserve">CHHATISHGARH               </v>
          </cell>
        </row>
        <row r="10">
          <cell r="A10" t="str">
            <v xml:space="preserve">DADRA &amp; NAGAR HAVELI       </v>
          </cell>
        </row>
        <row r="11">
          <cell r="A11" t="str">
            <v xml:space="preserve">DAMAN &amp; DIU                </v>
          </cell>
        </row>
        <row r="12">
          <cell r="A12" t="str">
            <v xml:space="preserve">DELHI                      </v>
          </cell>
        </row>
        <row r="13">
          <cell r="A13" t="str">
            <v xml:space="preserve">GOA                        </v>
          </cell>
        </row>
        <row r="14">
          <cell r="A14" t="str">
            <v xml:space="preserve">GUJARAT                    </v>
          </cell>
        </row>
        <row r="15">
          <cell r="A15" t="str">
            <v xml:space="preserve">HARYANA                    </v>
          </cell>
        </row>
        <row r="16">
          <cell r="A16" t="str">
            <v xml:space="preserve">HIMACHAL PRADESH           </v>
          </cell>
        </row>
        <row r="17">
          <cell r="A17" t="str">
            <v xml:space="preserve">JAMMU &amp; KASHMIR            </v>
          </cell>
        </row>
        <row r="18">
          <cell r="A18" t="str">
            <v xml:space="preserve">JHARKHAND                  </v>
          </cell>
        </row>
        <row r="19">
          <cell r="A19" t="str">
            <v xml:space="preserve">KARNATAKA                  </v>
          </cell>
        </row>
        <row r="20">
          <cell r="A20" t="str">
            <v xml:space="preserve">KERALA                     </v>
          </cell>
        </row>
        <row r="21">
          <cell r="A21" t="str">
            <v xml:space="preserve">LAKHSWADEEP                </v>
          </cell>
        </row>
        <row r="22">
          <cell r="A22" t="str">
            <v xml:space="preserve">MADHYA PRADESH             </v>
          </cell>
        </row>
        <row r="23">
          <cell r="A23" t="str">
            <v xml:space="preserve">MAHARASHTRA                </v>
          </cell>
        </row>
        <row r="24">
          <cell r="A24" t="str">
            <v xml:space="preserve">MANIPUR                    </v>
          </cell>
        </row>
        <row r="25">
          <cell r="A25" t="str">
            <v xml:space="preserve">MEGHALAYA                  </v>
          </cell>
        </row>
        <row r="26">
          <cell r="A26" t="str">
            <v xml:space="preserve">MIZORAM                    </v>
          </cell>
        </row>
        <row r="27">
          <cell r="A27" t="str">
            <v xml:space="preserve">NAGALAND                   </v>
          </cell>
        </row>
        <row r="28">
          <cell r="A28" t="str">
            <v xml:space="preserve">ORISSA                     </v>
          </cell>
        </row>
        <row r="29">
          <cell r="A29" t="str">
            <v xml:space="preserve">PONDICHERRY                </v>
          </cell>
        </row>
        <row r="30">
          <cell r="A30" t="str">
            <v xml:space="preserve">PUNJAB                     </v>
          </cell>
        </row>
        <row r="31">
          <cell r="A31" t="str">
            <v xml:space="preserve">RAJASTHAN                  </v>
          </cell>
        </row>
        <row r="32">
          <cell r="A32" t="str">
            <v xml:space="preserve">SIKKIM                     </v>
          </cell>
        </row>
        <row r="33">
          <cell r="A33" t="str">
            <v xml:space="preserve">TAMILNADU                  </v>
          </cell>
        </row>
        <row r="34">
          <cell r="A34" t="str">
            <v xml:space="preserve">TRIPURA                    </v>
          </cell>
        </row>
        <row r="35">
          <cell r="A35" t="str">
            <v xml:space="preserve">UTTAR PRADESH              </v>
          </cell>
        </row>
        <row r="36">
          <cell r="A36" t="str">
            <v xml:space="preserve">UTTARANCHAL                </v>
          </cell>
        </row>
        <row r="37">
          <cell r="A37" t="str">
            <v xml:space="preserve">WEST BENGAL                </v>
          </cell>
        </row>
        <row r="38">
          <cell r="A38" t="str">
            <v xml:space="preserve">OVERSEAS                   </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ennai Tally TB"/>
      <sheetName val="Chennai GST Adjusting Entries"/>
      <sheetName val="Delhi Tally TB"/>
      <sheetName val="Chennai TB"/>
      <sheetName val="Delhi TB"/>
      <sheetName val="Consolidated TB 2020-21"/>
      <sheetName val="Consolidated TB 2021-22"/>
      <sheetName val="TB CHN-22-23"/>
      <sheetName val="TB BLR-22-23"/>
      <sheetName val="TB-CHN-Jan'23 To Mar'23"/>
      <sheetName val="TB-BLR-Jan'23 To Mar'23"/>
      <sheetName val="TB DEL-Apr'22 To Dec'2022"/>
      <sheetName val="Final Consolidated TB 22-23"/>
      <sheetName val="BS"/>
      <sheetName val="SPL"/>
      <sheetName val="3-8"/>
      <sheetName val="9.1 Workings - 22-23"/>
      <sheetName val="9.2 Workings 22-23"/>
      <sheetName val="10 - FY 2024-25"/>
      <sheetName val="11-17"/>
      <sheetName val="17.1-17.2"/>
      <sheetName val="18-28"/>
      <sheetName val="29-33"/>
      <sheetName val="34-35"/>
      <sheetName val="Ratio Workings"/>
      <sheetName val="MIPL-CHN TB 23-24"/>
      <sheetName val="MIPL-BLR TB 23-24"/>
      <sheetName val="As on Begining of the 2024-25"/>
      <sheetName val="As on Begining of the Year"/>
      <sheetName val="BS SCH"/>
      <sheetName val="PL SCH"/>
      <sheetName val="11 - FY 2023-24"/>
      <sheetName val="Final Consolidated TB 24-25"/>
      <sheetName val="Final Consolidated TB 23-24 "/>
      <sheetName val="MIPL-BLR TB 24-25"/>
      <sheetName val="MIPL-CHN TB 24-25"/>
      <sheetName val="MINPL"/>
      <sheetName val="Depreciation PY"/>
      <sheetName val="9.1 Workings 24-25"/>
      <sheetName val="9.2 Workings 24-25"/>
      <sheetName val="17.1, 17.2 Workings"/>
      <sheetName val="Deffered Tax"/>
      <sheetName val="CFS"/>
      <sheetName val="9.2 Workings-FY 2020-21"/>
      <sheetName val="11 - FY 2021-22"/>
      <sheetName val="IT DEPRECIATION"/>
      <sheetName val="IT"/>
      <sheetName val="Sheet2"/>
      <sheetName val="Asset schedule"/>
      <sheetName val="Land as at 31032024"/>
      <sheetName val="Land as at 31032025"/>
      <sheetName val="Depreciation"/>
      <sheetName val="11-Asset Workings 2021-22"/>
      <sheetName val="Sobha Receivable Mar-2022"/>
      <sheetName val="11-Asset Workings 2020-21"/>
      <sheetName val="IT Rent as BI"/>
      <sheetName val="Capital Gain - FSI of 1 Acre"/>
      <sheetName val="CG &amp; BI on Sale of Flats"/>
      <sheetName val="Seneerkuppam Land"/>
      <sheetName val="Capital Gain on JDA"/>
      <sheetName val="CFS Working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2">
          <cell r="B2" t="str">
            <v>MILANO INTERNATIONAL (INDIA) PRIVATE LIMITED</v>
          </cell>
        </row>
        <row r="3">
          <cell r="B3" t="str">
            <v xml:space="preserve">C-4, COMMUNITY CENTRE,NARAINA VIHAR, NEW DELHI-110028 </v>
          </cell>
        </row>
        <row r="4">
          <cell r="B4" t="str">
            <v>CIN : U74899DL1978PTC008991</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lief"/>
      <sheetName val="Income (2)"/>
      <sheetName val="TDS"/>
      <sheetName val="Exp"/>
      <sheetName val="BS"/>
      <sheetName val="P&amp;L"/>
      <sheetName val="3-8"/>
      <sheetName val="9"/>
      <sheetName val="10-13"/>
      <sheetName val="14-21"/>
      <sheetName val="22-26"/>
      <sheetName val="Ratio Analysis"/>
      <sheetName val="Deferred Tax"/>
      <sheetName val="IT DEPRECIATION"/>
      <sheetName val="IT computation"/>
      <sheetName val="Ledger"/>
      <sheetName val="Sch"/>
      <sheetName val="Sheet1"/>
    </sheetNames>
    <sheetDataSet>
      <sheetData sheetId="0" refreshError="1"/>
      <sheetData sheetId="1" refreshError="1"/>
      <sheetData sheetId="2" refreshError="1"/>
      <sheetData sheetId="3" refreshError="1"/>
      <sheetData sheetId="4">
        <row r="15">
          <cell r="I15">
            <v>453603.63510969671</v>
          </cell>
        </row>
        <row r="18">
          <cell r="I18">
            <v>0</v>
          </cell>
        </row>
        <row r="24">
          <cell r="I24">
            <v>272640</v>
          </cell>
        </row>
        <row r="30">
          <cell r="I30">
            <v>412488.46</v>
          </cell>
        </row>
        <row r="48">
          <cell r="I48">
            <v>0</v>
          </cell>
        </row>
        <row r="49">
          <cell r="I49">
            <v>0</v>
          </cell>
        </row>
        <row r="53">
          <cell r="I53">
            <v>818236.55999999994</v>
          </cell>
        </row>
        <row r="54">
          <cell r="I54">
            <v>866092.10234504682</v>
          </cell>
        </row>
      </sheetData>
      <sheetData sheetId="5">
        <row r="14">
          <cell r="I14">
            <v>439622.005435</v>
          </cell>
        </row>
        <row r="19">
          <cell r="I19">
            <v>62232.01</v>
          </cell>
        </row>
        <row r="20">
          <cell r="I20">
            <v>96509.944309999875</v>
          </cell>
        </row>
        <row r="34">
          <cell r="I34">
            <v>18342.940320000002</v>
          </cell>
        </row>
        <row r="36">
          <cell r="I36">
            <v>54538.955370000091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G16"/>
  <sheetViews>
    <sheetView workbookViewId="0"/>
  </sheetViews>
  <sheetFormatPr defaultColWidth="9.1796875" defaultRowHeight="15" x14ac:dyDescent="0.3"/>
  <cols>
    <col min="1" max="2" width="8.1796875" style="345" customWidth="1"/>
    <col min="3" max="3" width="35.7265625" style="345" bestFit="1" customWidth="1"/>
    <col min="4" max="4" width="20.7265625" style="345" bestFit="1" customWidth="1"/>
    <col min="5" max="6" width="9.1796875" style="345"/>
    <col min="7" max="7" width="12.26953125" style="345" bestFit="1" customWidth="1"/>
    <col min="8" max="16384" width="9.1796875" style="345"/>
  </cols>
  <sheetData>
    <row r="1" spans="1:7" ht="15.5" thickBot="1" x14ac:dyDescent="0.35"/>
    <row r="2" spans="1:7" x14ac:dyDescent="0.3">
      <c r="A2" s="606"/>
      <c r="C2" s="607" t="s">
        <v>450</v>
      </c>
      <c r="D2" s="608" t="s">
        <v>462</v>
      </c>
    </row>
    <row r="3" spans="1:7" ht="15.5" thickBot="1" x14ac:dyDescent="0.35">
      <c r="C3" s="609"/>
      <c r="D3" s="610"/>
    </row>
    <row r="4" spans="1:7" x14ac:dyDescent="0.3">
      <c r="C4" s="532" t="s">
        <v>451</v>
      </c>
      <c r="D4" s="611" t="e">
        <f>#REF!</f>
        <v>#REF!</v>
      </c>
    </row>
    <row r="5" spans="1:7" x14ac:dyDescent="0.3">
      <c r="C5" s="532" t="s">
        <v>444</v>
      </c>
      <c r="D5" s="611" t="e">
        <f>#REF!</f>
        <v>#REF!</v>
      </c>
      <c r="G5" s="100"/>
    </row>
    <row r="6" spans="1:7" x14ac:dyDescent="0.3">
      <c r="C6" s="532" t="s">
        <v>452</v>
      </c>
      <c r="D6" s="611" t="e">
        <f>D4+D5</f>
        <v>#REF!</v>
      </c>
    </row>
    <row r="7" spans="1:7" x14ac:dyDescent="0.3">
      <c r="C7" s="532" t="s">
        <v>453</v>
      </c>
      <c r="D7" s="611">
        <v>0</v>
      </c>
    </row>
    <row r="8" spans="1:7" x14ac:dyDescent="0.3">
      <c r="C8" s="532" t="s">
        <v>327</v>
      </c>
      <c r="D8" s="611" t="e">
        <f>D6-D7</f>
        <v>#REF!</v>
      </c>
    </row>
    <row r="9" spans="1:7" x14ac:dyDescent="0.3">
      <c r="C9" s="532" t="s">
        <v>454</v>
      </c>
      <c r="D9" s="611">
        <f>'IT computation'!G35</f>
        <v>5133</v>
      </c>
    </row>
    <row r="10" spans="1:7" x14ac:dyDescent="0.3">
      <c r="C10" s="532" t="s">
        <v>461</v>
      </c>
      <c r="D10" s="611">
        <f>D9*10%</f>
        <v>513.30000000000007</v>
      </c>
    </row>
    <row r="11" spans="1:7" x14ac:dyDescent="0.3">
      <c r="C11" s="532" t="s">
        <v>455</v>
      </c>
      <c r="D11" s="611">
        <f>(D9+D10)*4%</f>
        <v>225.852</v>
      </c>
    </row>
    <row r="12" spans="1:7" x14ac:dyDescent="0.3">
      <c r="C12" s="532" t="s">
        <v>456</v>
      </c>
      <c r="D12" s="611">
        <f>ROUND(SUM(D9:D11),0)</f>
        <v>5872</v>
      </c>
    </row>
    <row r="13" spans="1:7" x14ac:dyDescent="0.3">
      <c r="C13" s="532" t="s">
        <v>457</v>
      </c>
      <c r="D13" s="611" t="e">
        <f>D12/D8*100</f>
        <v>#REF!</v>
      </c>
    </row>
    <row r="14" spans="1:7" x14ac:dyDescent="0.3">
      <c r="C14" s="532" t="s">
        <v>458</v>
      </c>
      <c r="D14" s="611" t="e">
        <f>D5*D13/100</f>
        <v>#REF!</v>
      </c>
    </row>
    <row r="15" spans="1:7" x14ac:dyDescent="0.3">
      <c r="C15" s="532" t="s">
        <v>459</v>
      </c>
      <c r="D15" s="611" t="e">
        <f>#REF!</f>
        <v>#REF!</v>
      </c>
    </row>
    <row r="16" spans="1:7" ht="15.5" thickBot="1" x14ac:dyDescent="0.35">
      <c r="C16" s="612" t="s">
        <v>460</v>
      </c>
      <c r="D16" s="613" t="e">
        <f>IF(D15&lt;D14,D15,D14)</f>
        <v>#REF!</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Z37"/>
  <sheetViews>
    <sheetView showGridLines="0" topLeftCell="XFD1" workbookViewId="0">
      <selection activeCell="XFD1" sqref="A1:XFD1048576"/>
    </sheetView>
  </sheetViews>
  <sheetFormatPr defaultColWidth="0" defaultRowHeight="14.5" x14ac:dyDescent="0.35"/>
  <cols>
    <col min="1" max="1" width="5.81640625" hidden="1" customWidth="1"/>
    <col min="2" max="2" width="4.54296875" hidden="1" customWidth="1"/>
    <col min="3" max="3" width="12" hidden="1" customWidth="1"/>
    <col min="4" max="4" width="15.7265625" hidden="1" customWidth="1"/>
    <col min="5" max="8" width="13.453125" hidden="1" customWidth="1"/>
    <col min="9" max="10" width="11.54296875" style="5" hidden="1" customWidth="1"/>
    <col min="11" max="11" width="11.54296875" hidden="1" customWidth="1"/>
    <col min="12" max="12" width="13.26953125" style="5" hidden="1" customWidth="1"/>
    <col min="13" max="13" width="9.7265625" style="5" hidden="1" customWidth="1"/>
    <col min="14" max="15" width="11.26953125" style="5" hidden="1" customWidth="1"/>
    <col min="16" max="16" width="11.54296875" hidden="1" customWidth="1"/>
    <col min="17" max="17" width="10.7265625" hidden="1" customWidth="1"/>
    <col min="18" max="18" width="10" hidden="1" customWidth="1"/>
    <col min="19" max="19" width="9.1796875" hidden="1" customWidth="1"/>
    <col min="20" max="20" width="10.453125" hidden="1" customWidth="1"/>
    <col min="21" max="26" width="0" hidden="1" customWidth="1"/>
    <col min="27" max="16384" width="9.1796875" hidden="1"/>
  </cols>
  <sheetData>
    <row r="1" spans="2:18" ht="13.5" customHeight="1" thickBot="1" x14ac:dyDescent="0.4"/>
    <row r="2" spans="2:18" s="2" customFormat="1" ht="44" thickBot="1" x14ac:dyDescent="0.4">
      <c r="B2" s="17" t="s">
        <v>128</v>
      </c>
      <c r="C2" s="17" t="s">
        <v>129</v>
      </c>
      <c r="D2" s="17" t="s">
        <v>130</v>
      </c>
      <c r="E2" s="17" t="s">
        <v>131</v>
      </c>
      <c r="F2" s="17" t="s">
        <v>135</v>
      </c>
      <c r="G2" s="17" t="s">
        <v>238</v>
      </c>
      <c r="H2" s="17" t="s">
        <v>136</v>
      </c>
      <c r="I2" s="26" t="s">
        <v>134</v>
      </c>
      <c r="J2" s="26" t="s">
        <v>239</v>
      </c>
      <c r="K2" s="17" t="s">
        <v>132</v>
      </c>
      <c r="L2" s="26" t="s">
        <v>133</v>
      </c>
      <c r="M2" s="26" t="s">
        <v>137</v>
      </c>
      <c r="N2" s="26" t="s">
        <v>232</v>
      </c>
      <c r="O2" s="38" t="s">
        <v>234</v>
      </c>
    </row>
    <row r="3" spans="2:18" x14ac:dyDescent="0.35">
      <c r="B3" s="4">
        <v>1</v>
      </c>
      <c r="C3" s="4"/>
      <c r="D3" s="4" t="s">
        <v>122</v>
      </c>
      <c r="E3" s="18">
        <v>44335</v>
      </c>
      <c r="F3" s="19">
        <f>150</f>
        <v>150</v>
      </c>
      <c r="G3" s="19"/>
      <c r="H3" s="22">
        <v>72.966999999999999</v>
      </c>
      <c r="I3" s="70">
        <f>F3*H3</f>
        <v>10945.05</v>
      </c>
      <c r="J3" s="70"/>
      <c r="K3" s="18">
        <v>44348</v>
      </c>
      <c r="L3" s="84">
        <f>9842.24</f>
        <v>9842.24</v>
      </c>
      <c r="M3" s="29">
        <f>I3*10%</f>
        <v>1094.5049999999999</v>
      </c>
      <c r="N3" s="27">
        <f>I3-L3-M3</f>
        <v>8.3049999999996089</v>
      </c>
      <c r="O3" s="52"/>
      <c r="P3" s="1"/>
    </row>
    <row r="4" spans="2:18" x14ac:dyDescent="0.35">
      <c r="B4" s="4">
        <v>2</v>
      </c>
      <c r="C4" s="4" t="s">
        <v>138</v>
      </c>
      <c r="D4" s="4" t="s">
        <v>123</v>
      </c>
      <c r="E4" s="18">
        <v>44348</v>
      </c>
      <c r="F4" s="20">
        <v>30000</v>
      </c>
      <c r="G4" s="20"/>
      <c r="H4" s="23">
        <v>0</v>
      </c>
      <c r="I4" s="70">
        <v>30000</v>
      </c>
      <c r="J4" s="70"/>
      <c r="K4" s="18">
        <v>44362</v>
      </c>
      <c r="L4" s="84">
        <v>27000</v>
      </c>
      <c r="M4" s="29">
        <f>I4*10%</f>
        <v>3000</v>
      </c>
      <c r="N4" s="27">
        <f>I4-L4-M4</f>
        <v>0</v>
      </c>
      <c r="O4" s="52"/>
    </row>
    <row r="5" spans="2:18" ht="15" thickBot="1" x14ac:dyDescent="0.4">
      <c r="B5" s="4">
        <v>3</v>
      </c>
      <c r="C5" s="4" t="s">
        <v>139</v>
      </c>
      <c r="D5" s="4" t="s">
        <v>123</v>
      </c>
      <c r="E5" s="18">
        <v>44370</v>
      </c>
      <c r="F5" s="20">
        <v>30000</v>
      </c>
      <c r="G5" s="20"/>
      <c r="H5" s="23">
        <v>0</v>
      </c>
      <c r="I5" s="70">
        <v>30000</v>
      </c>
      <c r="J5" s="70"/>
      <c r="K5" s="18">
        <v>44386</v>
      </c>
      <c r="L5" s="84">
        <v>27000</v>
      </c>
      <c r="M5" s="29">
        <f>I5*10%</f>
        <v>3000</v>
      </c>
      <c r="N5" s="27">
        <f>I5-L5-M5</f>
        <v>0</v>
      </c>
      <c r="O5" s="52"/>
    </row>
    <row r="6" spans="2:18" ht="15" thickBot="1" x14ac:dyDescent="0.4">
      <c r="B6" s="4">
        <v>4</v>
      </c>
      <c r="C6" s="4" t="s">
        <v>140</v>
      </c>
      <c r="D6" s="4" t="s">
        <v>124</v>
      </c>
      <c r="E6" s="18">
        <v>44404</v>
      </c>
      <c r="F6" s="21">
        <v>40</v>
      </c>
      <c r="G6" s="21">
        <v>8</v>
      </c>
      <c r="H6" s="24">
        <v>74.415999999999997</v>
      </c>
      <c r="I6" s="70">
        <f>F6*H6</f>
        <v>2976.64</v>
      </c>
      <c r="J6" s="70">
        <f>+(F6-G6)*H6</f>
        <v>2381.3119999999999</v>
      </c>
      <c r="K6" s="18">
        <v>44410</v>
      </c>
      <c r="L6" s="84">
        <f>2224.08</f>
        <v>2224.08</v>
      </c>
      <c r="M6" s="27">
        <f>I6*1%</f>
        <v>29.766400000000001</v>
      </c>
      <c r="N6" s="27">
        <f>+J6-L6-M6</f>
        <v>127.46559999999997</v>
      </c>
      <c r="O6" s="52"/>
      <c r="P6" s="1"/>
      <c r="Q6" s="1"/>
    </row>
    <row r="7" spans="2:18" x14ac:dyDescent="0.35">
      <c r="B7" s="4">
        <v>5</v>
      </c>
      <c r="C7" s="76" t="s">
        <v>141</v>
      </c>
      <c r="D7" s="76" t="s">
        <v>124</v>
      </c>
      <c r="E7" s="77">
        <v>44439</v>
      </c>
      <c r="F7" s="78">
        <v>160</v>
      </c>
      <c r="G7" s="78">
        <v>32</v>
      </c>
      <c r="H7" s="79">
        <v>73.153599999999997</v>
      </c>
      <c r="I7" s="80">
        <f>F7*H7</f>
        <v>11704.575999999999</v>
      </c>
      <c r="J7" s="80">
        <f>+(F7-G7)*H7</f>
        <v>9363.6607999999997</v>
      </c>
      <c r="K7" s="77">
        <v>44446</v>
      </c>
      <c r="L7" s="85"/>
      <c r="M7" s="81">
        <f t="shared" ref="M7:M9" si="0">I7*1%</f>
        <v>117.04575999999999</v>
      </c>
      <c r="N7" s="81"/>
      <c r="O7" s="82"/>
      <c r="P7" s="1"/>
      <c r="Q7" s="1"/>
    </row>
    <row r="8" spans="2:18" x14ac:dyDescent="0.35">
      <c r="B8" s="4"/>
      <c r="C8" s="76" t="s">
        <v>143</v>
      </c>
      <c r="D8" s="76" t="s">
        <v>124</v>
      </c>
      <c r="E8" s="77">
        <v>44439</v>
      </c>
      <c r="F8" s="78">
        <v>50</v>
      </c>
      <c r="G8" s="78">
        <v>10</v>
      </c>
      <c r="H8" s="79">
        <v>73.153599999999997</v>
      </c>
      <c r="I8" s="80">
        <f>F8*H8</f>
        <v>3657.68</v>
      </c>
      <c r="J8" s="80">
        <f t="shared" ref="J8:J29" si="1">+(F8-G8)*H8</f>
        <v>2926.1439999999998</v>
      </c>
      <c r="K8" s="77">
        <v>44446</v>
      </c>
      <c r="L8" s="85">
        <f>11793.87</f>
        <v>11793.87</v>
      </c>
      <c r="M8" s="81">
        <f t="shared" si="0"/>
        <v>36.576799999999999</v>
      </c>
      <c r="N8" s="81">
        <f>+J7+J8-L8-M7-M8</f>
        <v>342.31223999999912</v>
      </c>
      <c r="O8" s="82"/>
      <c r="P8" s="1"/>
      <c r="Q8" s="1"/>
      <c r="R8" s="1"/>
    </row>
    <row r="9" spans="2:18" x14ac:dyDescent="0.35">
      <c r="B9" s="4">
        <v>6</v>
      </c>
      <c r="C9" s="4" t="s">
        <v>142</v>
      </c>
      <c r="D9" s="4" t="s">
        <v>124</v>
      </c>
      <c r="E9" s="18">
        <v>44465</v>
      </c>
      <c r="F9" s="21">
        <v>105</v>
      </c>
      <c r="G9" s="21">
        <v>21</v>
      </c>
      <c r="H9" s="23">
        <v>73.656700000000001</v>
      </c>
      <c r="I9" s="70">
        <f t="shared" ref="I9:I30" si="2">F9*H9</f>
        <v>7733.9534999999996</v>
      </c>
      <c r="J9" s="70">
        <f t="shared" si="1"/>
        <v>6187.1628000000001</v>
      </c>
      <c r="K9" s="18">
        <v>44475</v>
      </c>
      <c r="L9" s="84">
        <f>5969.73</f>
        <v>5969.73</v>
      </c>
      <c r="M9" s="27">
        <f t="shared" si="0"/>
        <v>77.339534999999998</v>
      </c>
      <c r="N9" s="27">
        <f t="shared" ref="N9:N30" si="3">+J9-L9-M9</f>
        <v>140.09326500000049</v>
      </c>
      <c r="O9" s="52"/>
      <c r="P9" s="1"/>
      <c r="Q9" s="1"/>
      <c r="R9" s="1"/>
    </row>
    <row r="10" spans="2:18" x14ac:dyDescent="0.35">
      <c r="B10" s="4">
        <v>7</v>
      </c>
      <c r="C10" s="4"/>
      <c r="D10" s="4" t="s">
        <v>122</v>
      </c>
      <c r="E10" s="18">
        <v>44484</v>
      </c>
      <c r="F10" s="21">
        <v>37.5</v>
      </c>
      <c r="G10" s="21"/>
      <c r="H10" s="23">
        <v>75.303899999999999</v>
      </c>
      <c r="I10" s="70">
        <f t="shared" si="2"/>
        <v>2823.8962499999998</v>
      </c>
      <c r="J10" s="70">
        <f t="shared" si="1"/>
        <v>2823.8962499999998</v>
      </c>
      <c r="K10" s="18">
        <v>44494</v>
      </c>
      <c r="L10" s="84">
        <f>2531.27</f>
        <v>2531.27</v>
      </c>
      <c r="M10" s="29">
        <f>I10*10%</f>
        <v>282.38962499999997</v>
      </c>
      <c r="N10" s="27">
        <f t="shared" si="3"/>
        <v>10.236624999999833</v>
      </c>
      <c r="O10" s="52"/>
      <c r="P10" s="1"/>
      <c r="Q10" s="1"/>
    </row>
    <row r="11" spans="2:18" x14ac:dyDescent="0.35">
      <c r="B11" s="4">
        <v>8</v>
      </c>
      <c r="C11" s="4" t="s">
        <v>144</v>
      </c>
      <c r="D11" s="4" t="s">
        <v>124</v>
      </c>
      <c r="E11" s="18">
        <v>44494</v>
      </c>
      <c r="F11" s="21">
        <v>110</v>
      </c>
      <c r="G11" s="21">
        <v>22</v>
      </c>
      <c r="H11" s="23">
        <v>75.101900000000001</v>
      </c>
      <c r="I11" s="70">
        <f t="shared" si="2"/>
        <v>8261.2090000000007</v>
      </c>
      <c r="J11" s="70">
        <f t="shared" si="1"/>
        <v>6608.9672</v>
      </c>
      <c r="K11" s="18">
        <v>44501</v>
      </c>
      <c r="L11" s="84">
        <f>6289.5</f>
        <v>6289.5</v>
      </c>
      <c r="M11" s="27">
        <f>I11*1%</f>
        <v>82.612090000000009</v>
      </c>
      <c r="N11" s="27">
        <f t="shared" si="3"/>
        <v>236.85511000000002</v>
      </c>
      <c r="O11" s="39"/>
      <c r="P11" s="1"/>
      <c r="Q11" s="1"/>
    </row>
    <row r="12" spans="2:18" x14ac:dyDescent="0.35">
      <c r="B12" s="4">
        <v>9</v>
      </c>
      <c r="C12" s="4"/>
      <c r="D12" s="4" t="s">
        <v>145</v>
      </c>
      <c r="E12" s="4"/>
      <c r="F12" s="54"/>
      <c r="G12" s="74"/>
      <c r="H12" s="55">
        <v>73.9191</v>
      </c>
      <c r="I12" s="71">
        <v>9570</v>
      </c>
      <c r="J12" s="70">
        <f t="shared" si="1"/>
        <v>0</v>
      </c>
      <c r="K12" s="30">
        <v>44509</v>
      </c>
      <c r="L12" s="86">
        <v>9570</v>
      </c>
      <c r="M12" s="28"/>
      <c r="N12" s="27"/>
      <c r="O12" s="39"/>
      <c r="P12" s="1"/>
      <c r="Q12" s="1"/>
    </row>
    <row r="13" spans="2:18" x14ac:dyDescent="0.35">
      <c r="B13" s="4">
        <v>10</v>
      </c>
      <c r="C13" s="4" t="s">
        <v>147</v>
      </c>
      <c r="D13" s="4" t="s">
        <v>146</v>
      </c>
      <c r="E13" s="18">
        <v>44516</v>
      </c>
      <c r="F13" s="21">
        <v>9.99</v>
      </c>
      <c r="G13" s="21">
        <v>2</v>
      </c>
      <c r="H13" s="23">
        <v>74.453500000000005</v>
      </c>
      <c r="I13" s="70">
        <f t="shared" si="2"/>
        <v>743.79046500000004</v>
      </c>
      <c r="J13" s="70">
        <f t="shared" si="1"/>
        <v>594.88346500000011</v>
      </c>
      <c r="K13" s="18">
        <v>44523</v>
      </c>
      <c r="L13" s="84">
        <v>501.54</v>
      </c>
      <c r="M13" s="27">
        <f t="shared" ref="M13:M18" si="4">I13*1%</f>
        <v>7.4379046500000001</v>
      </c>
      <c r="N13" s="27">
        <f t="shared" si="3"/>
        <v>85.905560350000087</v>
      </c>
      <c r="O13" s="39"/>
      <c r="P13" s="1"/>
      <c r="Q13" s="1"/>
    </row>
    <row r="14" spans="2:18" s="57" customFormat="1" x14ac:dyDescent="0.35">
      <c r="B14" s="61"/>
      <c r="C14" s="61"/>
      <c r="D14" s="61" t="s">
        <v>146</v>
      </c>
      <c r="E14" s="62">
        <v>44528</v>
      </c>
      <c r="F14" s="63">
        <v>10</v>
      </c>
      <c r="G14" s="63">
        <v>2</v>
      </c>
      <c r="H14" s="23">
        <v>75.090999999999994</v>
      </c>
      <c r="I14" s="72">
        <f>H14*F14</f>
        <v>750.91</v>
      </c>
      <c r="J14" s="70">
        <f t="shared" si="1"/>
        <v>600.72799999999995</v>
      </c>
      <c r="K14" s="62"/>
      <c r="L14" s="87"/>
      <c r="M14" s="65"/>
      <c r="N14" s="27"/>
      <c r="O14" s="73">
        <f>+I14</f>
        <v>750.91</v>
      </c>
      <c r="P14" s="60" t="s">
        <v>240</v>
      </c>
      <c r="Q14" s="1"/>
    </row>
    <row r="15" spans="2:18" x14ac:dyDescent="0.35">
      <c r="B15" s="4">
        <v>11</v>
      </c>
      <c r="C15" s="4" t="s">
        <v>149</v>
      </c>
      <c r="D15" s="4" t="s">
        <v>148</v>
      </c>
      <c r="E15" s="18">
        <v>44530</v>
      </c>
      <c r="F15" s="21">
        <v>50</v>
      </c>
      <c r="G15" s="21">
        <v>10</v>
      </c>
      <c r="H15" s="23">
        <v>75.088499999999996</v>
      </c>
      <c r="I15" s="70">
        <f t="shared" si="2"/>
        <v>3754.4249999999997</v>
      </c>
      <c r="J15" s="70">
        <f t="shared" si="1"/>
        <v>3003.54</v>
      </c>
      <c r="K15" s="18">
        <v>44537</v>
      </c>
      <c r="L15" s="84">
        <f>3414</f>
        <v>3414</v>
      </c>
      <c r="M15" s="27">
        <f t="shared" si="4"/>
        <v>37.544249999999998</v>
      </c>
      <c r="N15" s="27">
        <f t="shared" si="3"/>
        <v>-448.00425000000001</v>
      </c>
      <c r="O15" s="39"/>
      <c r="P15" s="1"/>
      <c r="Q15" s="1"/>
    </row>
    <row r="16" spans="2:18" x14ac:dyDescent="0.35">
      <c r="B16" s="4">
        <v>12</v>
      </c>
      <c r="C16" s="4"/>
      <c r="D16" s="4" t="s">
        <v>145</v>
      </c>
      <c r="E16" s="4"/>
      <c r="F16" s="54"/>
      <c r="G16" s="74"/>
      <c r="H16" s="55">
        <v>75.473299999999995</v>
      </c>
      <c r="I16" s="71">
        <v>7425</v>
      </c>
      <c r="J16" s="70">
        <f t="shared" si="1"/>
        <v>0</v>
      </c>
      <c r="K16" s="30">
        <v>44538</v>
      </c>
      <c r="L16" s="86">
        <v>7425</v>
      </c>
      <c r="M16" s="28"/>
      <c r="N16" s="27"/>
      <c r="O16" s="39"/>
      <c r="P16" s="1"/>
      <c r="Q16" s="1"/>
    </row>
    <row r="17" spans="2:17" x14ac:dyDescent="0.35">
      <c r="B17" s="4">
        <v>13</v>
      </c>
      <c r="C17" s="4" t="s">
        <v>150</v>
      </c>
      <c r="D17" s="4" t="s">
        <v>148</v>
      </c>
      <c r="E17" s="18">
        <v>44537</v>
      </c>
      <c r="F17" s="21">
        <v>50</v>
      </c>
      <c r="G17" s="21">
        <v>10</v>
      </c>
      <c r="H17" s="23">
        <v>75.353200000000001</v>
      </c>
      <c r="I17" s="70">
        <f t="shared" si="2"/>
        <v>3767.66</v>
      </c>
      <c r="J17" s="70">
        <f t="shared" si="1"/>
        <v>3014.1280000000002</v>
      </c>
      <c r="K17" s="18">
        <v>44546</v>
      </c>
      <c r="L17" s="84">
        <v>2864.38</v>
      </c>
      <c r="M17" s="27">
        <f t="shared" si="4"/>
        <v>37.676600000000001</v>
      </c>
      <c r="N17" s="27">
        <f t="shared" si="3"/>
        <v>112.07140000000004</v>
      </c>
      <c r="O17" s="39"/>
      <c r="P17" s="1"/>
      <c r="Q17" s="1"/>
    </row>
    <row r="18" spans="2:17" x14ac:dyDescent="0.35">
      <c r="B18" s="4">
        <v>14</v>
      </c>
      <c r="C18" s="4" t="s">
        <v>151</v>
      </c>
      <c r="D18" s="4" t="s">
        <v>148</v>
      </c>
      <c r="E18" s="18">
        <v>44550</v>
      </c>
      <c r="F18" s="21">
        <v>50</v>
      </c>
      <c r="G18" s="21">
        <v>10</v>
      </c>
      <c r="H18" s="23">
        <v>75.986500000000007</v>
      </c>
      <c r="I18" s="70">
        <f t="shared" si="2"/>
        <v>3799.3250000000003</v>
      </c>
      <c r="J18" s="70">
        <f t="shared" si="1"/>
        <v>3039.46</v>
      </c>
      <c r="K18" s="18">
        <v>44565</v>
      </c>
      <c r="L18" s="84">
        <v>2802.58</v>
      </c>
      <c r="M18" s="27">
        <f t="shared" si="4"/>
        <v>37.993250000000003</v>
      </c>
      <c r="N18" s="27">
        <f t="shared" si="3"/>
        <v>198.88675000000012</v>
      </c>
      <c r="O18" s="39"/>
      <c r="P18" s="1"/>
      <c r="Q18" s="1"/>
    </row>
    <row r="19" spans="2:17" x14ac:dyDescent="0.35">
      <c r="B19" s="4">
        <v>15</v>
      </c>
      <c r="C19" s="4"/>
      <c r="D19" s="4" t="s">
        <v>122</v>
      </c>
      <c r="E19" s="18">
        <v>44574</v>
      </c>
      <c r="F19" s="54">
        <v>300</v>
      </c>
      <c r="G19" s="54"/>
      <c r="H19" s="25">
        <v>73.934799999999996</v>
      </c>
      <c r="I19" s="71">
        <f>+F19*H19</f>
        <v>22180.44</v>
      </c>
      <c r="J19" s="70">
        <f t="shared" si="1"/>
        <v>22180.44</v>
      </c>
      <c r="K19" s="30">
        <v>44585</v>
      </c>
      <c r="L19" s="86">
        <v>17851.330000000002</v>
      </c>
      <c r="M19" s="28"/>
      <c r="N19" s="27"/>
      <c r="O19" s="39"/>
      <c r="P19" s="1"/>
      <c r="Q19" s="1"/>
    </row>
    <row r="20" spans="2:17" x14ac:dyDescent="0.35">
      <c r="B20" s="4">
        <v>16</v>
      </c>
      <c r="C20" s="4" t="s">
        <v>151</v>
      </c>
      <c r="D20" s="4" t="s">
        <v>148</v>
      </c>
      <c r="E20" s="18">
        <v>44565</v>
      </c>
      <c r="F20" s="21">
        <v>50</v>
      </c>
      <c r="G20" s="21">
        <v>10</v>
      </c>
      <c r="H20" s="4">
        <v>74.571700000000007</v>
      </c>
      <c r="I20" s="70">
        <f t="shared" si="2"/>
        <v>3728.5850000000005</v>
      </c>
      <c r="J20" s="70">
        <f t="shared" si="1"/>
        <v>2982.8680000000004</v>
      </c>
      <c r="K20" s="18">
        <v>44588</v>
      </c>
      <c r="L20" s="84">
        <v>2824.51</v>
      </c>
      <c r="M20" s="27">
        <f>I20*1%</f>
        <v>37.285850000000003</v>
      </c>
      <c r="N20" s="27">
        <f t="shared" si="3"/>
        <v>121.07215000000016</v>
      </c>
      <c r="O20" s="39"/>
      <c r="P20" s="1"/>
      <c r="Q20" s="1"/>
    </row>
    <row r="21" spans="2:17" x14ac:dyDescent="0.35">
      <c r="B21" s="4">
        <v>17</v>
      </c>
      <c r="C21" s="4" t="s">
        <v>152</v>
      </c>
      <c r="D21" s="4" t="s">
        <v>148</v>
      </c>
      <c r="E21" s="18">
        <v>44588</v>
      </c>
      <c r="F21" s="21">
        <v>50</v>
      </c>
      <c r="G21" s="21">
        <v>10</v>
      </c>
      <c r="H21" s="23">
        <v>75.172399999999996</v>
      </c>
      <c r="I21" s="70">
        <f t="shared" si="2"/>
        <v>3758.62</v>
      </c>
      <c r="J21" s="70">
        <f t="shared" si="1"/>
        <v>3006.8959999999997</v>
      </c>
      <c r="K21" s="18">
        <v>44595</v>
      </c>
      <c r="L21" s="84">
        <v>2814.58</v>
      </c>
      <c r="M21" s="27">
        <f t="shared" ref="M21:M30" si="5">I21*1%</f>
        <v>37.586199999999998</v>
      </c>
      <c r="N21" s="27">
        <f t="shared" si="3"/>
        <v>154.72979999999981</v>
      </c>
      <c r="O21" s="52"/>
      <c r="P21" s="1"/>
      <c r="Q21" s="1"/>
    </row>
    <row r="22" spans="2:17" x14ac:dyDescent="0.35">
      <c r="B22" s="4">
        <v>18</v>
      </c>
      <c r="C22" s="4" t="s">
        <v>153</v>
      </c>
      <c r="D22" s="4" t="s">
        <v>125</v>
      </c>
      <c r="E22" s="18">
        <v>44593</v>
      </c>
      <c r="F22" s="21">
        <v>30</v>
      </c>
      <c r="G22" s="21">
        <v>6</v>
      </c>
      <c r="H22" s="23">
        <v>74.529499999999999</v>
      </c>
      <c r="I22" s="70">
        <f t="shared" si="2"/>
        <v>2235.8849999999998</v>
      </c>
      <c r="J22" s="70">
        <f t="shared" si="1"/>
        <v>1788.7080000000001</v>
      </c>
      <c r="K22" s="18">
        <v>44599</v>
      </c>
      <c r="L22" s="84">
        <v>1656.25</v>
      </c>
      <c r="M22" s="27">
        <f t="shared" si="5"/>
        <v>22.358849999999997</v>
      </c>
      <c r="N22" s="27">
        <f t="shared" si="3"/>
        <v>110.09915000000009</v>
      </c>
      <c r="O22" s="52"/>
      <c r="P22" s="1"/>
      <c r="Q22" s="1"/>
    </row>
    <row r="23" spans="2:17" x14ac:dyDescent="0.35">
      <c r="B23" s="4"/>
      <c r="C23" s="76" t="s">
        <v>154</v>
      </c>
      <c r="D23" s="76" t="s">
        <v>125</v>
      </c>
      <c r="E23" s="77">
        <v>44599</v>
      </c>
      <c r="F23" s="83">
        <v>45</v>
      </c>
      <c r="G23" s="83">
        <v>9</v>
      </c>
      <c r="H23" s="79">
        <v>74.69</v>
      </c>
      <c r="I23" s="80">
        <f t="shared" si="2"/>
        <v>3361.0499999999997</v>
      </c>
      <c r="J23" s="80">
        <f t="shared" si="1"/>
        <v>2688.84</v>
      </c>
      <c r="K23" s="77">
        <v>44606</v>
      </c>
      <c r="L23" s="85"/>
      <c r="M23" s="81">
        <f t="shared" si="5"/>
        <v>33.610499999999995</v>
      </c>
      <c r="N23" s="81"/>
      <c r="O23" s="82"/>
      <c r="P23" s="1"/>
      <c r="Q23" s="1"/>
    </row>
    <row r="24" spans="2:17" x14ac:dyDescent="0.35">
      <c r="B24" s="4"/>
      <c r="C24" s="76" t="s">
        <v>160</v>
      </c>
      <c r="D24" s="76" t="s">
        <v>125</v>
      </c>
      <c r="E24" s="77">
        <v>44599</v>
      </c>
      <c r="F24" s="83">
        <v>5</v>
      </c>
      <c r="G24" s="83">
        <v>1</v>
      </c>
      <c r="H24" s="79">
        <v>74.69</v>
      </c>
      <c r="I24" s="80">
        <f t="shared" si="2"/>
        <v>373.45</v>
      </c>
      <c r="J24" s="80">
        <f t="shared" si="1"/>
        <v>298.76</v>
      </c>
      <c r="K24" s="77">
        <v>44606</v>
      </c>
      <c r="L24" s="85">
        <v>2841.44</v>
      </c>
      <c r="M24" s="81">
        <f t="shared" si="5"/>
        <v>3.7345000000000002</v>
      </c>
      <c r="N24" s="81">
        <f>+J23+J24-L24-M23-M24</f>
        <v>108.81500000000031</v>
      </c>
      <c r="O24" s="82"/>
      <c r="P24" s="1"/>
      <c r="Q24" s="1"/>
    </row>
    <row r="25" spans="2:17" x14ac:dyDescent="0.35">
      <c r="B25" s="4">
        <v>19</v>
      </c>
      <c r="C25" s="4" t="s">
        <v>156</v>
      </c>
      <c r="D25" s="4" t="s">
        <v>155</v>
      </c>
      <c r="E25" s="18">
        <v>44603</v>
      </c>
      <c r="F25" s="21">
        <v>250</v>
      </c>
      <c r="G25" s="21">
        <v>50</v>
      </c>
      <c r="H25" s="23">
        <v>75.354200000000006</v>
      </c>
      <c r="I25" s="70">
        <f t="shared" si="2"/>
        <v>18838.550000000003</v>
      </c>
      <c r="J25" s="70">
        <f t="shared" si="1"/>
        <v>15070.840000000002</v>
      </c>
      <c r="K25" s="18">
        <v>44608</v>
      </c>
      <c r="L25" s="84">
        <v>14398.59</v>
      </c>
      <c r="M25" s="27">
        <f t="shared" si="5"/>
        <v>188.38550000000004</v>
      </c>
      <c r="N25" s="27">
        <f t="shared" si="3"/>
        <v>483.86450000000178</v>
      </c>
      <c r="O25" s="52"/>
      <c r="P25" s="1"/>
      <c r="Q25" s="1"/>
    </row>
    <row r="26" spans="2:17" x14ac:dyDescent="0.35">
      <c r="B26" s="4"/>
      <c r="C26" s="76" t="s">
        <v>157</v>
      </c>
      <c r="D26" s="76" t="s">
        <v>155</v>
      </c>
      <c r="E26" s="77">
        <v>44612</v>
      </c>
      <c r="F26" s="83">
        <v>250</v>
      </c>
      <c r="G26" s="83">
        <v>50</v>
      </c>
      <c r="H26" s="79">
        <v>74.479699999999994</v>
      </c>
      <c r="I26" s="80">
        <f t="shared" si="2"/>
        <v>18619.924999999999</v>
      </c>
      <c r="J26" s="80">
        <f t="shared" si="1"/>
        <v>14895.939999999999</v>
      </c>
      <c r="K26" s="77">
        <v>44620</v>
      </c>
      <c r="L26" s="85"/>
      <c r="M26" s="81">
        <f t="shared" si="5"/>
        <v>186.19925000000001</v>
      </c>
      <c r="N26" s="81"/>
      <c r="O26" s="82"/>
      <c r="P26" s="1"/>
      <c r="Q26" s="1"/>
    </row>
    <row r="27" spans="2:17" x14ac:dyDescent="0.35">
      <c r="B27" s="4"/>
      <c r="C27" s="76" t="s">
        <v>159</v>
      </c>
      <c r="D27" s="76" t="s">
        <v>155</v>
      </c>
      <c r="E27" s="77">
        <v>44612</v>
      </c>
      <c r="F27" s="83">
        <v>100</v>
      </c>
      <c r="G27" s="83">
        <v>10</v>
      </c>
      <c r="H27" s="79">
        <v>74.479699999999994</v>
      </c>
      <c r="I27" s="80">
        <f t="shared" si="2"/>
        <v>7447.9699999999993</v>
      </c>
      <c r="J27" s="80">
        <f t="shared" si="1"/>
        <v>6703.1729999999998</v>
      </c>
      <c r="K27" s="77">
        <v>44620</v>
      </c>
      <c r="L27" s="85">
        <v>20931.23</v>
      </c>
      <c r="M27" s="81">
        <f t="shared" si="5"/>
        <v>74.479699999999994</v>
      </c>
      <c r="N27" s="81">
        <f>+J26+J27-L27-M27-M26</f>
        <v>407.20404999999801</v>
      </c>
      <c r="O27" s="82"/>
      <c r="P27" s="1"/>
      <c r="Q27" s="1"/>
    </row>
    <row r="28" spans="2:17" s="57" customFormat="1" x14ac:dyDescent="0.35">
      <c r="B28" s="61"/>
      <c r="C28" s="61"/>
      <c r="D28" s="61"/>
      <c r="E28" s="62">
        <v>44631</v>
      </c>
      <c r="F28" s="68">
        <v>3013</v>
      </c>
      <c r="G28" s="68"/>
      <c r="H28" s="64"/>
      <c r="I28" s="72">
        <f>+F28</f>
        <v>3013</v>
      </c>
      <c r="J28" s="70">
        <f t="shared" si="1"/>
        <v>0</v>
      </c>
      <c r="K28" s="62"/>
      <c r="L28" s="87"/>
      <c r="M28" s="65">
        <v>30</v>
      </c>
      <c r="N28" s="27"/>
      <c r="O28" s="67">
        <f>+I28-M28</f>
        <v>2983</v>
      </c>
      <c r="P28" s="57" t="s">
        <v>236</v>
      </c>
      <c r="Q28" s="1"/>
    </row>
    <row r="29" spans="2:17" s="57" customFormat="1" x14ac:dyDescent="0.35">
      <c r="B29" s="61"/>
      <c r="C29" s="61"/>
      <c r="D29" s="61"/>
      <c r="E29" s="62">
        <v>44631</v>
      </c>
      <c r="F29" s="66">
        <v>1883</v>
      </c>
      <c r="G29" s="66"/>
      <c r="H29" s="64"/>
      <c r="I29" s="72">
        <f>+F29</f>
        <v>1883</v>
      </c>
      <c r="J29" s="70">
        <f t="shared" si="1"/>
        <v>0</v>
      </c>
      <c r="K29" s="62"/>
      <c r="L29" s="87"/>
      <c r="M29" s="65">
        <v>19</v>
      </c>
      <c r="N29" s="27"/>
      <c r="O29" s="67">
        <f>+I29-M29</f>
        <v>1864</v>
      </c>
      <c r="P29" s="1"/>
      <c r="Q29" s="1"/>
    </row>
    <row r="30" spans="2:17" ht="15" thickBot="1" x14ac:dyDescent="0.4">
      <c r="B30" s="4">
        <v>20</v>
      </c>
      <c r="C30" s="4" t="s">
        <v>158</v>
      </c>
      <c r="D30" s="4" t="s">
        <v>155</v>
      </c>
      <c r="E30" s="18">
        <v>44632</v>
      </c>
      <c r="F30" s="89">
        <v>500</v>
      </c>
      <c r="G30" s="21">
        <v>5</v>
      </c>
      <c r="H30" s="23">
        <v>76.435900000000004</v>
      </c>
      <c r="I30" s="70">
        <f t="shared" si="2"/>
        <v>38217.950000000004</v>
      </c>
      <c r="J30" s="70">
        <f>+(F32-G30)*H30</f>
        <v>37481.107924000004</v>
      </c>
      <c r="K30" s="18">
        <v>44276</v>
      </c>
      <c r="L30" s="84">
        <v>36794.51</v>
      </c>
      <c r="M30" s="27">
        <f t="shared" si="5"/>
        <v>382.17950000000008</v>
      </c>
      <c r="N30" s="27">
        <f t="shared" si="3"/>
        <v>304.41842400000144</v>
      </c>
      <c r="O30" s="52"/>
      <c r="P30" s="1"/>
      <c r="Q30" s="1"/>
    </row>
    <row r="31" spans="2:17" ht="15" thickBot="1" x14ac:dyDescent="0.4">
      <c r="B31" s="3"/>
      <c r="C31" s="31"/>
      <c r="D31" s="31"/>
      <c r="E31" s="31"/>
      <c r="F31" s="32"/>
      <c r="G31" s="32"/>
      <c r="H31" s="32"/>
      <c r="I31" s="33">
        <f>SUM(I3:I30)</f>
        <v>261572.54021500002</v>
      </c>
      <c r="J31" s="33"/>
      <c r="K31" s="31"/>
      <c r="L31" s="88">
        <f>SUM(L3:L30)</f>
        <v>219340.63</v>
      </c>
      <c r="M31" s="33">
        <f>+SUM(M3:M30)</f>
        <v>8855.7070646499997</v>
      </c>
      <c r="N31" s="33">
        <f>SUM(N3:N30)</f>
        <v>2504.3303743500005</v>
      </c>
      <c r="O31" s="69">
        <f>+SUM(O3:O30)</f>
        <v>5597.91</v>
      </c>
      <c r="P31" s="1"/>
      <c r="Q31" s="1"/>
    </row>
    <row r="32" spans="2:17" x14ac:dyDescent="0.35">
      <c r="F32" s="90">
        <v>495.36</v>
      </c>
      <c r="G32" s="1"/>
      <c r="H32" s="1"/>
      <c r="I32" s="8"/>
      <c r="J32" s="8"/>
      <c r="K32" s="1"/>
      <c r="L32" s="5">
        <f>I31-L31</f>
        <v>42231.910215000011</v>
      </c>
      <c r="M32" s="8"/>
      <c r="N32" s="8"/>
      <c r="O32" s="8"/>
      <c r="P32" s="1"/>
    </row>
    <row r="33" spans="6:26" x14ac:dyDescent="0.35">
      <c r="F33" s="6"/>
      <c r="G33" s="6"/>
      <c r="H33" s="6"/>
      <c r="I33" s="7"/>
      <c r="J33" s="7"/>
      <c r="K33" s="6"/>
      <c r="M33" s="7"/>
      <c r="N33" s="7"/>
      <c r="O33" s="7"/>
      <c r="R33" s="57"/>
      <c r="S33" s="57"/>
      <c r="T33" s="58"/>
      <c r="U33" s="59"/>
      <c r="W33" s="56"/>
      <c r="X33" s="58"/>
      <c r="Y33" s="60"/>
      <c r="Z33" s="56">
        <f t="shared" ref="Z33" si="6">W33*1%</f>
        <v>0</v>
      </c>
    </row>
    <row r="34" spans="6:26" x14ac:dyDescent="0.35">
      <c r="F34" s="6"/>
      <c r="G34" s="6"/>
      <c r="H34" s="6"/>
      <c r="I34" s="7"/>
      <c r="J34" s="7"/>
      <c r="K34" s="6"/>
      <c r="M34" s="7"/>
      <c r="N34" s="7"/>
      <c r="O34" s="7"/>
    </row>
    <row r="35" spans="6:26" x14ac:dyDescent="0.35">
      <c r="F35" s="6"/>
      <c r="G35" s="6"/>
      <c r="H35" s="6"/>
      <c r="I35" s="7"/>
      <c r="J35" s="7"/>
      <c r="K35" s="6"/>
      <c r="M35" s="7"/>
      <c r="N35" s="7"/>
      <c r="O35" s="7"/>
    </row>
    <row r="36" spans="6:26" x14ac:dyDescent="0.35">
      <c r="F36" s="6"/>
      <c r="G36" s="6"/>
      <c r="H36" s="6"/>
      <c r="I36" s="7"/>
      <c r="J36" s="7"/>
      <c r="K36" s="6"/>
      <c r="M36" s="7"/>
      <c r="N36" s="7"/>
      <c r="O36" s="7"/>
    </row>
    <row r="37" spans="6:26" x14ac:dyDescent="0.35">
      <c r="F37" s="6"/>
      <c r="G37" s="6"/>
      <c r="H37" s="6"/>
      <c r="I37" s="7"/>
      <c r="J37" s="7"/>
      <c r="K37" s="6"/>
      <c r="M37" s="7"/>
      <c r="N37" s="7"/>
      <c r="O37" s="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U30"/>
  <sheetViews>
    <sheetView topLeftCell="A16" workbookViewId="0">
      <selection activeCell="U25" sqref="U25"/>
    </sheetView>
  </sheetViews>
  <sheetFormatPr defaultRowHeight="14.5" x14ac:dyDescent="0.35"/>
  <cols>
    <col min="5" max="5" width="4.26953125" customWidth="1"/>
    <col min="16" max="16" width="1.26953125" customWidth="1"/>
    <col min="17" max="17" width="6.81640625" customWidth="1"/>
    <col min="18" max="18" width="2.54296875" customWidth="1"/>
    <col min="19" max="19" width="0.1796875" customWidth="1"/>
    <col min="20" max="20" width="2.26953125" customWidth="1"/>
  </cols>
  <sheetData>
    <row r="1" spans="1:21" x14ac:dyDescent="0.35">
      <c r="A1" s="836" t="s">
        <v>161</v>
      </c>
      <c r="B1" s="837"/>
      <c r="C1" s="837"/>
      <c r="D1" s="837"/>
      <c r="E1" s="837"/>
      <c r="F1" s="837"/>
      <c r="G1" s="837"/>
      <c r="H1" s="837"/>
      <c r="I1" s="837"/>
      <c r="J1" s="837"/>
      <c r="K1" s="837"/>
      <c r="L1" s="837"/>
      <c r="M1" s="837"/>
      <c r="N1" s="837"/>
      <c r="O1" s="837"/>
      <c r="P1" s="837"/>
      <c r="Q1" s="837"/>
      <c r="R1" s="837"/>
      <c r="S1" s="9"/>
      <c r="T1" s="9"/>
    </row>
    <row r="2" spans="1:21" ht="301" x14ac:dyDescent="0.35">
      <c r="A2" s="12" t="s">
        <v>162</v>
      </c>
      <c r="B2" s="13" t="s">
        <v>163</v>
      </c>
      <c r="C2" s="13" t="s">
        <v>164</v>
      </c>
      <c r="D2" s="13" t="s">
        <v>165</v>
      </c>
      <c r="E2" s="13" t="s">
        <v>166</v>
      </c>
      <c r="F2" s="12" t="s">
        <v>167</v>
      </c>
      <c r="G2" s="12" t="s">
        <v>168</v>
      </c>
      <c r="H2" s="12" t="s">
        <v>169</v>
      </c>
      <c r="I2" s="12" t="s">
        <v>170</v>
      </c>
      <c r="J2" s="12" t="s">
        <v>171</v>
      </c>
      <c r="K2" s="12" t="s">
        <v>172</v>
      </c>
      <c r="L2" s="12" t="s">
        <v>173</v>
      </c>
      <c r="M2" s="12" t="s">
        <v>174</v>
      </c>
      <c r="N2" s="12" t="s">
        <v>175</v>
      </c>
      <c r="O2" s="12" t="s">
        <v>176</v>
      </c>
      <c r="P2" s="12" t="s">
        <v>177</v>
      </c>
      <c r="Q2" s="12" t="s">
        <v>178</v>
      </c>
      <c r="R2" s="12" t="s">
        <v>179</v>
      </c>
      <c r="S2" s="15" t="s">
        <v>180</v>
      </c>
      <c r="T2" s="15" t="s">
        <v>181</v>
      </c>
    </row>
    <row r="3" spans="1:21" x14ac:dyDescent="0.35">
      <c r="A3" s="10" t="s">
        <v>182</v>
      </c>
      <c r="B3" s="9"/>
      <c r="C3" s="9"/>
      <c r="D3" s="9"/>
      <c r="E3" s="9"/>
      <c r="F3" s="11" t="s">
        <v>183</v>
      </c>
      <c r="G3" s="10">
        <v>30000</v>
      </c>
      <c r="H3" s="10">
        <v>3000</v>
      </c>
      <c r="I3" s="10">
        <v>3000</v>
      </c>
      <c r="J3" s="10" t="s">
        <v>184</v>
      </c>
      <c r="K3" s="10" t="s">
        <v>5</v>
      </c>
      <c r="L3" s="10" t="s">
        <v>185</v>
      </c>
      <c r="M3" s="10" t="s">
        <v>185</v>
      </c>
      <c r="N3" s="10" t="s">
        <v>185</v>
      </c>
      <c r="O3" s="10" t="s">
        <v>185</v>
      </c>
      <c r="P3" s="10" t="s">
        <v>5</v>
      </c>
      <c r="Q3" s="10" t="s">
        <v>186</v>
      </c>
      <c r="R3" s="10" t="s">
        <v>5</v>
      </c>
      <c r="S3" s="14" t="s">
        <v>5</v>
      </c>
      <c r="T3" s="14" t="s">
        <v>5</v>
      </c>
      <c r="U3">
        <f>+G3-H3</f>
        <v>27000</v>
      </c>
    </row>
    <row r="4" spans="1:21" x14ac:dyDescent="0.35">
      <c r="A4" s="10" t="s">
        <v>182</v>
      </c>
      <c r="B4" s="9"/>
      <c r="C4" s="9"/>
      <c r="D4" s="9"/>
      <c r="E4" s="9"/>
      <c r="F4" s="11" t="s">
        <v>187</v>
      </c>
      <c r="G4" s="10">
        <v>30000</v>
      </c>
      <c r="H4" s="10">
        <v>3000</v>
      </c>
      <c r="I4" s="10">
        <v>3000</v>
      </c>
      <c r="J4" s="10" t="s">
        <v>184</v>
      </c>
      <c r="K4" s="10" t="s">
        <v>5</v>
      </c>
      <c r="L4" s="10" t="s">
        <v>185</v>
      </c>
      <c r="M4" s="10" t="s">
        <v>185</v>
      </c>
      <c r="N4" s="10" t="s">
        <v>185</v>
      </c>
      <c r="O4" s="10" t="s">
        <v>185</v>
      </c>
      <c r="P4" s="10" t="s">
        <v>5</v>
      </c>
      <c r="Q4" s="10" t="s">
        <v>186</v>
      </c>
      <c r="R4" s="10" t="s">
        <v>5</v>
      </c>
      <c r="S4" s="14" t="s">
        <v>5</v>
      </c>
      <c r="T4" s="14" t="s">
        <v>5</v>
      </c>
      <c r="U4">
        <f t="shared" ref="U4:U27" si="0">+G4-H4</f>
        <v>27000</v>
      </c>
    </row>
    <row r="5" spans="1:21" x14ac:dyDescent="0.35">
      <c r="A5" s="10" t="s">
        <v>188</v>
      </c>
      <c r="B5" s="9"/>
      <c r="C5" s="9"/>
      <c r="D5" s="9"/>
      <c r="E5" s="9"/>
      <c r="F5" s="11" t="s">
        <v>183</v>
      </c>
      <c r="G5" s="10">
        <v>10936</v>
      </c>
      <c r="H5" s="10">
        <v>1094</v>
      </c>
      <c r="I5" s="10">
        <v>1094</v>
      </c>
      <c r="J5" s="10" t="s">
        <v>189</v>
      </c>
      <c r="K5" s="10" t="s">
        <v>5</v>
      </c>
      <c r="L5" s="10" t="s">
        <v>185</v>
      </c>
      <c r="M5" s="10" t="s">
        <v>185</v>
      </c>
      <c r="N5" s="10" t="s">
        <v>185</v>
      </c>
      <c r="O5" s="10" t="s">
        <v>185</v>
      </c>
      <c r="P5" s="10" t="s">
        <v>5</v>
      </c>
      <c r="Q5" s="10" t="s">
        <v>186</v>
      </c>
      <c r="R5" s="10" t="s">
        <v>5</v>
      </c>
      <c r="S5" s="14" t="s">
        <v>5</v>
      </c>
      <c r="T5" s="14" t="s">
        <v>5</v>
      </c>
      <c r="U5">
        <f t="shared" si="0"/>
        <v>9842</v>
      </c>
    </row>
    <row r="6" spans="1:21" x14ac:dyDescent="0.35">
      <c r="A6" s="10" t="s">
        <v>188</v>
      </c>
      <c r="B6" s="9"/>
      <c r="C6" s="9"/>
      <c r="D6" s="9"/>
      <c r="E6" s="9"/>
      <c r="F6" s="11" t="s">
        <v>190</v>
      </c>
      <c r="G6" s="10">
        <v>2812</v>
      </c>
      <c r="H6" s="10">
        <v>281</v>
      </c>
      <c r="I6" s="10">
        <v>281</v>
      </c>
      <c r="J6" s="10" t="s">
        <v>189</v>
      </c>
      <c r="K6" s="10" t="s">
        <v>5</v>
      </c>
      <c r="L6" s="10" t="s">
        <v>185</v>
      </c>
      <c r="M6" s="10" t="s">
        <v>185</v>
      </c>
      <c r="N6" s="10" t="s">
        <v>185</v>
      </c>
      <c r="O6" s="10" t="s">
        <v>185</v>
      </c>
      <c r="P6" s="10" t="s">
        <v>5</v>
      </c>
      <c r="Q6" s="10" t="s">
        <v>186</v>
      </c>
      <c r="R6" s="10" t="s">
        <v>5</v>
      </c>
      <c r="S6" s="14" t="s">
        <v>5</v>
      </c>
      <c r="T6" s="14" t="s">
        <v>5</v>
      </c>
      <c r="U6">
        <f t="shared" si="0"/>
        <v>2531</v>
      </c>
    </row>
    <row r="7" spans="1:21" x14ac:dyDescent="0.35">
      <c r="A7" s="10" t="s">
        <v>191</v>
      </c>
      <c r="B7" s="9"/>
      <c r="C7" s="9"/>
      <c r="D7" s="9"/>
      <c r="E7" s="9"/>
      <c r="F7" s="11" t="s">
        <v>192</v>
      </c>
      <c r="G7" s="10">
        <v>2957</v>
      </c>
      <c r="H7" s="10">
        <v>30</v>
      </c>
      <c r="I7" s="10">
        <v>30</v>
      </c>
      <c r="J7" s="10" t="s">
        <v>193</v>
      </c>
      <c r="K7" s="10" t="s">
        <v>5</v>
      </c>
      <c r="L7" s="10" t="s">
        <v>185</v>
      </c>
      <c r="M7" s="10" t="s">
        <v>185</v>
      </c>
      <c r="N7" s="10" t="s">
        <v>185</v>
      </c>
      <c r="O7" s="10" t="s">
        <v>185</v>
      </c>
      <c r="P7" s="10" t="s">
        <v>5</v>
      </c>
      <c r="Q7" s="10" t="s">
        <v>194</v>
      </c>
      <c r="R7" s="10" t="s">
        <v>5</v>
      </c>
      <c r="S7" s="14" t="s">
        <v>5</v>
      </c>
      <c r="T7" s="14" t="s">
        <v>5</v>
      </c>
      <c r="U7">
        <f t="shared" si="0"/>
        <v>2927</v>
      </c>
    </row>
    <row r="8" spans="1:21" x14ac:dyDescent="0.35">
      <c r="A8" s="10" t="s">
        <v>191</v>
      </c>
      <c r="B8" s="9"/>
      <c r="C8" s="9"/>
      <c r="D8" s="9"/>
      <c r="E8" s="9"/>
      <c r="F8" s="11" t="s">
        <v>195</v>
      </c>
      <c r="G8" s="10">
        <v>11656</v>
      </c>
      <c r="H8" s="10">
        <v>117</v>
      </c>
      <c r="I8" s="10">
        <v>117</v>
      </c>
      <c r="J8" s="10" t="s">
        <v>193</v>
      </c>
      <c r="K8" s="10" t="s">
        <v>5</v>
      </c>
      <c r="L8" s="10" t="s">
        <v>185</v>
      </c>
      <c r="M8" s="10" t="s">
        <v>185</v>
      </c>
      <c r="N8" s="10" t="s">
        <v>185</v>
      </c>
      <c r="O8" s="10" t="s">
        <v>185</v>
      </c>
      <c r="P8" s="10" t="s">
        <v>5</v>
      </c>
      <c r="Q8" s="10" t="s">
        <v>194</v>
      </c>
      <c r="R8" s="10" t="s">
        <v>5</v>
      </c>
      <c r="S8" s="14" t="s">
        <v>5</v>
      </c>
      <c r="T8" s="14" t="s">
        <v>5</v>
      </c>
      <c r="U8">
        <f t="shared" si="0"/>
        <v>11539</v>
      </c>
    </row>
    <row r="9" spans="1:21" x14ac:dyDescent="0.35">
      <c r="A9" s="10" t="s">
        <v>191</v>
      </c>
      <c r="B9" s="9"/>
      <c r="C9" s="9"/>
      <c r="D9" s="9"/>
      <c r="E9" s="9"/>
      <c r="F9" s="11" t="s">
        <v>195</v>
      </c>
      <c r="G9" s="10">
        <v>3643</v>
      </c>
      <c r="H9" s="10">
        <v>36</v>
      </c>
      <c r="I9" s="10">
        <v>36</v>
      </c>
      <c r="J9" s="10" t="s">
        <v>193</v>
      </c>
      <c r="K9" s="10" t="s">
        <v>5</v>
      </c>
      <c r="L9" s="10" t="s">
        <v>185</v>
      </c>
      <c r="M9" s="10" t="s">
        <v>185</v>
      </c>
      <c r="N9" s="10" t="s">
        <v>185</v>
      </c>
      <c r="O9" s="10" t="s">
        <v>185</v>
      </c>
      <c r="P9" s="10" t="s">
        <v>5</v>
      </c>
      <c r="Q9" s="10" t="s">
        <v>194</v>
      </c>
      <c r="R9" s="10" t="s">
        <v>5</v>
      </c>
      <c r="S9" s="14" t="s">
        <v>5</v>
      </c>
      <c r="T9" s="14" t="s">
        <v>5</v>
      </c>
      <c r="U9">
        <f t="shared" si="0"/>
        <v>3607</v>
      </c>
    </row>
    <row r="10" spans="1:21" x14ac:dyDescent="0.35">
      <c r="A10" s="10" t="s">
        <v>191</v>
      </c>
      <c r="B10" s="9"/>
      <c r="C10" s="9"/>
      <c r="D10" s="9"/>
      <c r="E10" s="9"/>
      <c r="F10" s="11" t="s">
        <v>196</v>
      </c>
      <c r="G10" s="10">
        <v>7754</v>
      </c>
      <c r="H10" s="10">
        <v>78</v>
      </c>
      <c r="I10" s="10">
        <v>78</v>
      </c>
      <c r="J10" s="10" t="s">
        <v>193</v>
      </c>
      <c r="K10" s="10" t="s">
        <v>5</v>
      </c>
      <c r="L10" s="10" t="s">
        <v>185</v>
      </c>
      <c r="M10" s="10" t="s">
        <v>185</v>
      </c>
      <c r="N10" s="10" t="s">
        <v>185</v>
      </c>
      <c r="O10" s="10" t="s">
        <v>185</v>
      </c>
      <c r="P10" s="10" t="s">
        <v>5</v>
      </c>
      <c r="Q10" s="10" t="s">
        <v>194</v>
      </c>
      <c r="R10" s="10" t="s">
        <v>5</v>
      </c>
      <c r="S10" s="14" t="s">
        <v>5</v>
      </c>
      <c r="T10" s="14" t="s">
        <v>5</v>
      </c>
      <c r="U10">
        <f t="shared" si="0"/>
        <v>7676</v>
      </c>
    </row>
    <row r="11" spans="1:21" x14ac:dyDescent="0.35">
      <c r="A11" s="10" t="s">
        <v>191</v>
      </c>
      <c r="B11" s="9"/>
      <c r="C11" s="9"/>
      <c r="D11" s="9"/>
      <c r="E11" s="9"/>
      <c r="F11" s="11" t="s">
        <v>197</v>
      </c>
      <c r="G11" s="10">
        <v>8195</v>
      </c>
      <c r="H11" s="10">
        <v>82</v>
      </c>
      <c r="I11" s="10">
        <v>82</v>
      </c>
      <c r="J11" s="10" t="s">
        <v>193</v>
      </c>
      <c r="K11" s="10" t="s">
        <v>5</v>
      </c>
      <c r="L11" s="10" t="s">
        <v>185</v>
      </c>
      <c r="M11" s="10" t="s">
        <v>185</v>
      </c>
      <c r="N11" s="10" t="s">
        <v>185</v>
      </c>
      <c r="O11" s="10" t="s">
        <v>185</v>
      </c>
      <c r="P11" s="10" t="s">
        <v>5</v>
      </c>
      <c r="Q11" s="10" t="s">
        <v>194</v>
      </c>
      <c r="R11" s="10" t="s">
        <v>5</v>
      </c>
      <c r="S11" s="14" t="s">
        <v>5</v>
      </c>
      <c r="T11" s="14" t="s">
        <v>5</v>
      </c>
      <c r="U11">
        <f t="shared" si="0"/>
        <v>8113</v>
      </c>
    </row>
    <row r="12" spans="1:21" x14ac:dyDescent="0.35">
      <c r="A12" s="10" t="s">
        <v>191</v>
      </c>
      <c r="B12" s="9"/>
      <c r="C12" s="9"/>
      <c r="D12" s="9"/>
      <c r="E12" s="9"/>
      <c r="F12" s="11" t="s">
        <v>198</v>
      </c>
      <c r="G12" s="10">
        <v>745</v>
      </c>
      <c r="H12" s="10">
        <v>7</v>
      </c>
      <c r="I12" s="10">
        <v>7</v>
      </c>
      <c r="J12" s="10" t="s">
        <v>193</v>
      </c>
      <c r="K12" s="10" t="s">
        <v>5</v>
      </c>
      <c r="L12" s="10" t="s">
        <v>185</v>
      </c>
      <c r="M12" s="10" t="s">
        <v>185</v>
      </c>
      <c r="N12" s="10" t="s">
        <v>185</v>
      </c>
      <c r="O12" s="10" t="s">
        <v>185</v>
      </c>
      <c r="P12" s="10" t="s">
        <v>5</v>
      </c>
      <c r="Q12" s="10" t="s">
        <v>194</v>
      </c>
      <c r="R12" s="10" t="s">
        <v>5</v>
      </c>
      <c r="S12" s="14" t="s">
        <v>5</v>
      </c>
      <c r="T12" s="14" t="s">
        <v>5</v>
      </c>
      <c r="U12">
        <f t="shared" si="0"/>
        <v>738</v>
      </c>
    </row>
    <row r="13" spans="1:21" x14ac:dyDescent="0.35">
      <c r="A13" s="10" t="s">
        <v>191</v>
      </c>
      <c r="B13" s="9"/>
      <c r="C13" s="9"/>
      <c r="D13" s="9"/>
      <c r="E13" s="9"/>
      <c r="F13" s="11" t="s">
        <v>199</v>
      </c>
      <c r="G13" s="10">
        <v>745</v>
      </c>
      <c r="H13" s="10">
        <v>7</v>
      </c>
      <c r="I13" s="10">
        <v>7</v>
      </c>
      <c r="J13" s="10" t="s">
        <v>193</v>
      </c>
      <c r="K13" s="10" t="s">
        <v>5</v>
      </c>
      <c r="L13" s="10" t="s">
        <v>185</v>
      </c>
      <c r="M13" s="10" t="s">
        <v>185</v>
      </c>
      <c r="N13" s="10" t="s">
        <v>185</v>
      </c>
      <c r="O13" s="10" t="s">
        <v>185</v>
      </c>
      <c r="P13" s="10" t="s">
        <v>5</v>
      </c>
      <c r="Q13" s="10" t="s">
        <v>194</v>
      </c>
      <c r="R13" s="10" t="s">
        <v>5</v>
      </c>
      <c r="S13" s="14" t="s">
        <v>5</v>
      </c>
      <c r="T13" s="14" t="s">
        <v>5</v>
      </c>
      <c r="U13">
        <f t="shared" si="0"/>
        <v>738</v>
      </c>
    </row>
    <row r="14" spans="1:21" x14ac:dyDescent="0.35">
      <c r="A14" s="10" t="s">
        <v>191</v>
      </c>
      <c r="B14" s="9"/>
      <c r="C14" s="9"/>
      <c r="D14" s="9"/>
      <c r="E14" s="9"/>
      <c r="F14" s="11" t="s">
        <v>200</v>
      </c>
      <c r="G14" s="10">
        <v>3727</v>
      </c>
      <c r="H14" s="10">
        <v>37</v>
      </c>
      <c r="I14" s="10">
        <v>37</v>
      </c>
      <c r="J14" s="10" t="s">
        <v>193</v>
      </c>
      <c r="K14" s="10" t="s">
        <v>5</v>
      </c>
      <c r="L14" s="10" t="s">
        <v>185</v>
      </c>
      <c r="M14" s="10" t="s">
        <v>185</v>
      </c>
      <c r="N14" s="10" t="s">
        <v>185</v>
      </c>
      <c r="O14" s="10" t="s">
        <v>185</v>
      </c>
      <c r="P14" s="10" t="s">
        <v>5</v>
      </c>
      <c r="Q14" s="10" t="s">
        <v>194</v>
      </c>
      <c r="R14" s="10" t="s">
        <v>5</v>
      </c>
      <c r="S14" s="14" t="s">
        <v>5</v>
      </c>
      <c r="T14" s="14" t="s">
        <v>5</v>
      </c>
      <c r="U14">
        <f t="shared" si="0"/>
        <v>3690</v>
      </c>
    </row>
    <row r="15" spans="1:21" x14ac:dyDescent="0.35">
      <c r="A15" s="10" t="s">
        <v>191</v>
      </c>
      <c r="B15" s="9"/>
      <c r="C15" s="9"/>
      <c r="D15" s="9"/>
      <c r="E15" s="9"/>
      <c r="F15" s="11" t="s">
        <v>201</v>
      </c>
      <c r="G15" s="10">
        <v>3703</v>
      </c>
      <c r="H15" s="10">
        <v>37</v>
      </c>
      <c r="I15" s="10">
        <v>37</v>
      </c>
      <c r="J15" s="10" t="s">
        <v>193</v>
      </c>
      <c r="K15" s="10" t="s">
        <v>5</v>
      </c>
      <c r="L15" s="10" t="s">
        <v>185</v>
      </c>
      <c r="M15" s="10" t="s">
        <v>185</v>
      </c>
      <c r="N15" s="10" t="s">
        <v>185</v>
      </c>
      <c r="O15" s="10" t="s">
        <v>185</v>
      </c>
      <c r="P15" s="10" t="s">
        <v>5</v>
      </c>
      <c r="Q15" s="10" t="s">
        <v>194</v>
      </c>
      <c r="R15" s="10" t="s">
        <v>5</v>
      </c>
      <c r="S15" s="14" t="s">
        <v>5</v>
      </c>
      <c r="T15" s="14" t="s">
        <v>5</v>
      </c>
      <c r="U15">
        <f t="shared" si="0"/>
        <v>3666</v>
      </c>
    </row>
    <row r="16" spans="1:21" x14ac:dyDescent="0.35">
      <c r="A16" s="10" t="s">
        <v>191</v>
      </c>
      <c r="B16" s="9"/>
      <c r="C16" s="9"/>
      <c r="D16" s="9"/>
      <c r="E16" s="9"/>
      <c r="F16" s="11" t="s">
        <v>202</v>
      </c>
      <c r="G16" s="10">
        <v>3703</v>
      </c>
      <c r="H16" s="10">
        <v>37</v>
      </c>
      <c r="I16" s="10">
        <v>37</v>
      </c>
      <c r="J16" s="10" t="s">
        <v>193</v>
      </c>
      <c r="K16" s="10" t="s">
        <v>5</v>
      </c>
      <c r="L16" s="10" t="s">
        <v>185</v>
      </c>
      <c r="M16" s="10" t="s">
        <v>185</v>
      </c>
      <c r="N16" s="10" t="s">
        <v>185</v>
      </c>
      <c r="O16" s="10" t="s">
        <v>185</v>
      </c>
      <c r="P16" s="10" t="s">
        <v>5</v>
      </c>
      <c r="Q16" s="10" t="s">
        <v>194</v>
      </c>
      <c r="R16" s="10" t="s">
        <v>5</v>
      </c>
      <c r="S16" s="14" t="s">
        <v>5</v>
      </c>
      <c r="T16" s="14" t="s">
        <v>5</v>
      </c>
      <c r="U16">
        <f t="shared" si="0"/>
        <v>3666</v>
      </c>
    </row>
    <row r="17" spans="1:21" x14ac:dyDescent="0.35">
      <c r="A17" s="10" t="s">
        <v>191</v>
      </c>
      <c r="B17" s="9"/>
      <c r="C17" s="9"/>
      <c r="D17" s="9"/>
      <c r="E17" s="9"/>
      <c r="F17" s="11" t="s">
        <v>203</v>
      </c>
      <c r="G17" s="10">
        <v>3728</v>
      </c>
      <c r="H17" s="10">
        <v>37</v>
      </c>
      <c r="I17" s="10">
        <v>37</v>
      </c>
      <c r="J17" s="10" t="s">
        <v>193</v>
      </c>
      <c r="K17" s="10" t="s">
        <v>5</v>
      </c>
      <c r="L17" s="10" t="s">
        <v>185</v>
      </c>
      <c r="M17" s="10" t="s">
        <v>185</v>
      </c>
      <c r="N17" s="10" t="s">
        <v>185</v>
      </c>
      <c r="O17" s="10" t="s">
        <v>185</v>
      </c>
      <c r="P17" s="10" t="s">
        <v>5</v>
      </c>
      <c r="Q17" s="10" t="s">
        <v>194</v>
      </c>
      <c r="R17" s="10" t="s">
        <v>5</v>
      </c>
      <c r="S17" s="14" t="s">
        <v>5</v>
      </c>
      <c r="T17" s="14" t="s">
        <v>5</v>
      </c>
      <c r="U17">
        <f t="shared" si="0"/>
        <v>3691</v>
      </c>
    </row>
    <row r="18" spans="1:21" x14ac:dyDescent="0.35">
      <c r="A18" s="10" t="s">
        <v>191</v>
      </c>
      <c r="B18" s="9"/>
      <c r="C18" s="9"/>
      <c r="D18" s="9"/>
      <c r="E18" s="9"/>
      <c r="F18" s="11" t="s">
        <v>204</v>
      </c>
      <c r="G18" s="10">
        <v>3728</v>
      </c>
      <c r="H18" s="10">
        <v>37</v>
      </c>
      <c r="I18" s="10">
        <v>37</v>
      </c>
      <c r="J18" s="10" t="s">
        <v>193</v>
      </c>
      <c r="K18" s="10" t="s">
        <v>5</v>
      </c>
      <c r="L18" s="10" t="s">
        <v>185</v>
      </c>
      <c r="M18" s="10" t="s">
        <v>185</v>
      </c>
      <c r="N18" s="10" t="s">
        <v>185</v>
      </c>
      <c r="O18" s="10" t="s">
        <v>185</v>
      </c>
      <c r="P18" s="10" t="s">
        <v>5</v>
      </c>
      <c r="Q18" s="10" t="s">
        <v>194</v>
      </c>
      <c r="R18" s="10" t="s">
        <v>5</v>
      </c>
      <c r="S18" s="14" t="s">
        <v>5</v>
      </c>
      <c r="T18" s="14" t="s">
        <v>5</v>
      </c>
      <c r="U18">
        <f t="shared" si="0"/>
        <v>3691</v>
      </c>
    </row>
    <row r="19" spans="1:21" x14ac:dyDescent="0.35">
      <c r="A19" s="10" t="s">
        <v>191</v>
      </c>
      <c r="B19" s="9"/>
      <c r="C19" s="9"/>
      <c r="D19" s="9"/>
      <c r="E19" s="9"/>
      <c r="F19" s="11" t="s">
        <v>205</v>
      </c>
      <c r="G19" s="10">
        <v>2261</v>
      </c>
      <c r="H19" s="10">
        <v>23</v>
      </c>
      <c r="I19" s="10">
        <v>23</v>
      </c>
      <c r="J19" s="10" t="s">
        <v>193</v>
      </c>
      <c r="K19" s="10" t="s">
        <v>5</v>
      </c>
      <c r="L19" s="10" t="s">
        <v>185</v>
      </c>
      <c r="M19" s="10" t="s">
        <v>185</v>
      </c>
      <c r="N19" s="10" t="s">
        <v>185</v>
      </c>
      <c r="O19" s="10" t="s">
        <v>185</v>
      </c>
      <c r="P19" s="10" t="s">
        <v>5</v>
      </c>
      <c r="Q19" s="10" t="s">
        <v>194</v>
      </c>
      <c r="R19" s="10" t="s">
        <v>5</v>
      </c>
      <c r="S19" s="14" t="s">
        <v>5</v>
      </c>
      <c r="T19" s="14" t="s">
        <v>5</v>
      </c>
      <c r="U19">
        <f t="shared" si="0"/>
        <v>2238</v>
      </c>
    </row>
    <row r="20" spans="1:21" x14ac:dyDescent="0.35">
      <c r="A20" s="10" t="s">
        <v>191</v>
      </c>
      <c r="B20" s="9"/>
      <c r="C20" s="9"/>
      <c r="D20" s="9"/>
      <c r="E20" s="9"/>
      <c r="F20" s="11" t="s">
        <v>206</v>
      </c>
      <c r="G20" s="10">
        <v>377</v>
      </c>
      <c r="H20" s="10">
        <v>4</v>
      </c>
      <c r="I20" s="10">
        <v>4</v>
      </c>
      <c r="J20" s="10" t="s">
        <v>193</v>
      </c>
      <c r="K20" s="10" t="s">
        <v>5</v>
      </c>
      <c r="L20" s="10" t="s">
        <v>185</v>
      </c>
      <c r="M20" s="10" t="s">
        <v>185</v>
      </c>
      <c r="N20" s="10" t="s">
        <v>185</v>
      </c>
      <c r="O20" s="10" t="s">
        <v>185</v>
      </c>
      <c r="P20" s="10" t="s">
        <v>5</v>
      </c>
      <c r="Q20" s="10" t="s">
        <v>194</v>
      </c>
      <c r="R20" s="10" t="s">
        <v>5</v>
      </c>
      <c r="S20" s="14" t="s">
        <v>5</v>
      </c>
      <c r="T20" s="14" t="s">
        <v>5</v>
      </c>
      <c r="U20">
        <f t="shared" si="0"/>
        <v>373</v>
      </c>
    </row>
    <row r="21" spans="1:21" x14ac:dyDescent="0.35">
      <c r="A21" s="10" t="s">
        <v>191</v>
      </c>
      <c r="B21" s="9"/>
      <c r="C21" s="9"/>
      <c r="D21" s="9"/>
      <c r="E21" s="9"/>
      <c r="F21" s="11" t="s">
        <v>206</v>
      </c>
      <c r="G21" s="10">
        <v>3391</v>
      </c>
      <c r="H21" s="10">
        <v>34</v>
      </c>
      <c r="I21" s="10">
        <v>34</v>
      </c>
      <c r="J21" s="10" t="s">
        <v>193</v>
      </c>
      <c r="K21" s="10" t="s">
        <v>5</v>
      </c>
      <c r="L21" s="10" t="s">
        <v>185</v>
      </c>
      <c r="M21" s="10" t="s">
        <v>185</v>
      </c>
      <c r="N21" s="10" t="s">
        <v>185</v>
      </c>
      <c r="O21" s="10" t="s">
        <v>185</v>
      </c>
      <c r="P21" s="10" t="s">
        <v>5</v>
      </c>
      <c r="Q21" s="10" t="s">
        <v>194</v>
      </c>
      <c r="R21" s="10" t="s">
        <v>5</v>
      </c>
      <c r="S21" s="14" t="s">
        <v>5</v>
      </c>
      <c r="T21" s="14" t="s">
        <v>5</v>
      </c>
      <c r="U21">
        <f t="shared" si="0"/>
        <v>3357</v>
      </c>
    </row>
    <row r="22" spans="1:21" x14ac:dyDescent="0.35">
      <c r="A22" s="10" t="s">
        <v>191</v>
      </c>
      <c r="B22" s="9"/>
      <c r="C22" s="9"/>
      <c r="D22" s="9"/>
      <c r="E22" s="9"/>
      <c r="F22" s="11" t="s">
        <v>207</v>
      </c>
      <c r="G22" s="10">
        <v>18838</v>
      </c>
      <c r="H22" s="10">
        <v>188</v>
      </c>
      <c r="I22" s="10">
        <v>188</v>
      </c>
      <c r="J22" s="10" t="s">
        <v>193</v>
      </c>
      <c r="K22" s="10" t="s">
        <v>5</v>
      </c>
      <c r="L22" s="10" t="s">
        <v>185</v>
      </c>
      <c r="M22" s="10" t="s">
        <v>185</v>
      </c>
      <c r="N22" s="10" t="s">
        <v>185</v>
      </c>
      <c r="O22" s="10" t="s">
        <v>185</v>
      </c>
      <c r="P22" s="10" t="s">
        <v>5</v>
      </c>
      <c r="Q22" s="10" t="s">
        <v>194</v>
      </c>
      <c r="R22" s="10" t="s">
        <v>5</v>
      </c>
      <c r="S22" s="14" t="s">
        <v>5</v>
      </c>
      <c r="T22" s="14" t="s">
        <v>5</v>
      </c>
      <c r="U22">
        <f t="shared" si="0"/>
        <v>18650</v>
      </c>
    </row>
    <row r="23" spans="1:21" x14ac:dyDescent="0.35">
      <c r="A23" s="10" t="s">
        <v>191</v>
      </c>
      <c r="B23" s="9"/>
      <c r="C23" s="9"/>
      <c r="D23" s="9"/>
      <c r="E23" s="9"/>
      <c r="F23" s="11" t="s">
        <v>208</v>
      </c>
      <c r="G23" s="10">
        <v>7535</v>
      </c>
      <c r="H23" s="10">
        <v>75</v>
      </c>
      <c r="I23" s="10">
        <v>75</v>
      </c>
      <c r="J23" s="10" t="s">
        <v>193</v>
      </c>
      <c r="K23" s="10" t="s">
        <v>5</v>
      </c>
      <c r="L23" s="10" t="s">
        <v>185</v>
      </c>
      <c r="M23" s="10" t="s">
        <v>185</v>
      </c>
      <c r="N23" s="10" t="s">
        <v>185</v>
      </c>
      <c r="O23" s="10" t="s">
        <v>185</v>
      </c>
      <c r="P23" s="10" t="s">
        <v>5</v>
      </c>
      <c r="Q23" s="10" t="s">
        <v>194</v>
      </c>
      <c r="R23" s="10" t="s">
        <v>5</v>
      </c>
      <c r="S23" s="14" t="s">
        <v>5</v>
      </c>
      <c r="T23" s="14" t="s">
        <v>5</v>
      </c>
      <c r="U23">
        <f t="shared" si="0"/>
        <v>7460</v>
      </c>
    </row>
    <row r="24" spans="1:21" x14ac:dyDescent="0.35">
      <c r="A24" s="10" t="s">
        <v>191</v>
      </c>
      <c r="B24" s="9"/>
      <c r="C24" s="9"/>
      <c r="D24" s="9"/>
      <c r="E24" s="9"/>
      <c r="F24" s="11" t="s">
        <v>208</v>
      </c>
      <c r="G24" s="10">
        <v>18838</v>
      </c>
      <c r="H24" s="10">
        <v>188</v>
      </c>
      <c r="I24" s="10">
        <v>188</v>
      </c>
      <c r="J24" s="10" t="s">
        <v>193</v>
      </c>
      <c r="K24" s="10" t="s">
        <v>5</v>
      </c>
      <c r="L24" s="10" t="s">
        <v>185</v>
      </c>
      <c r="M24" s="10" t="s">
        <v>185</v>
      </c>
      <c r="N24" s="10" t="s">
        <v>185</v>
      </c>
      <c r="O24" s="10" t="s">
        <v>185</v>
      </c>
      <c r="P24" s="10" t="s">
        <v>5</v>
      </c>
      <c r="Q24" s="10" t="s">
        <v>194</v>
      </c>
      <c r="R24" s="10" t="s">
        <v>5</v>
      </c>
      <c r="S24" s="14" t="s">
        <v>5</v>
      </c>
      <c r="T24" s="14" t="s">
        <v>5</v>
      </c>
      <c r="U24">
        <f t="shared" si="0"/>
        <v>18650</v>
      </c>
    </row>
    <row r="25" spans="1:21" x14ac:dyDescent="0.35">
      <c r="A25" s="10" t="s">
        <v>191</v>
      </c>
      <c r="B25" s="9"/>
      <c r="C25" s="9"/>
      <c r="D25" s="9"/>
      <c r="E25" s="9"/>
      <c r="F25" s="11" t="s">
        <v>209</v>
      </c>
      <c r="G25" s="10">
        <v>3013</v>
      </c>
      <c r="H25" s="53">
        <v>30</v>
      </c>
      <c r="I25" s="10">
        <v>30</v>
      </c>
      <c r="J25" s="10" t="s">
        <v>193</v>
      </c>
      <c r="K25" s="10" t="s">
        <v>5</v>
      </c>
      <c r="L25" s="10" t="s">
        <v>185</v>
      </c>
      <c r="M25" s="10" t="s">
        <v>185</v>
      </c>
      <c r="N25" s="10" t="s">
        <v>185</v>
      </c>
      <c r="O25" s="10" t="s">
        <v>185</v>
      </c>
      <c r="P25" s="10" t="s">
        <v>5</v>
      </c>
      <c r="Q25" s="10" t="s">
        <v>194</v>
      </c>
      <c r="R25" s="10" t="s">
        <v>5</v>
      </c>
      <c r="S25" s="14" t="s">
        <v>5</v>
      </c>
      <c r="T25" s="14" t="s">
        <v>5</v>
      </c>
      <c r="U25">
        <f t="shared" si="0"/>
        <v>2983</v>
      </c>
    </row>
    <row r="26" spans="1:21" x14ac:dyDescent="0.35">
      <c r="A26" s="10" t="s">
        <v>191</v>
      </c>
      <c r="B26" s="9"/>
      <c r="C26" s="9"/>
      <c r="D26" s="9"/>
      <c r="E26" s="9"/>
      <c r="F26" s="11" t="s">
        <v>209</v>
      </c>
      <c r="G26" s="10">
        <v>1883</v>
      </c>
      <c r="H26" s="53">
        <v>19</v>
      </c>
      <c r="I26" s="10">
        <v>19</v>
      </c>
      <c r="J26" s="10" t="s">
        <v>193</v>
      </c>
      <c r="K26" s="10" t="s">
        <v>5</v>
      </c>
      <c r="L26" s="10" t="s">
        <v>185</v>
      </c>
      <c r="M26" s="10" t="s">
        <v>185</v>
      </c>
      <c r="N26" s="10" t="s">
        <v>185</v>
      </c>
      <c r="O26" s="10" t="s">
        <v>185</v>
      </c>
      <c r="P26" s="10" t="s">
        <v>5</v>
      </c>
      <c r="Q26" s="10" t="s">
        <v>194</v>
      </c>
      <c r="R26" s="10" t="s">
        <v>5</v>
      </c>
      <c r="S26" s="14" t="s">
        <v>5</v>
      </c>
      <c r="T26" s="14" t="s">
        <v>5</v>
      </c>
      <c r="U26">
        <f t="shared" si="0"/>
        <v>1864</v>
      </c>
    </row>
    <row r="27" spans="1:21" x14ac:dyDescent="0.35">
      <c r="A27" s="10" t="s">
        <v>191</v>
      </c>
      <c r="B27" s="9"/>
      <c r="C27" s="9"/>
      <c r="D27" s="9"/>
      <c r="E27" s="9"/>
      <c r="F27" s="11" t="s">
        <v>210</v>
      </c>
      <c r="G27" s="10">
        <v>37660</v>
      </c>
      <c r="H27" s="53">
        <v>377</v>
      </c>
      <c r="I27" s="10">
        <v>377</v>
      </c>
      <c r="J27" s="10" t="s">
        <v>193</v>
      </c>
      <c r="K27" s="10" t="s">
        <v>5</v>
      </c>
      <c r="L27" s="10" t="s">
        <v>185</v>
      </c>
      <c r="M27" s="10" t="s">
        <v>185</v>
      </c>
      <c r="N27" s="10" t="s">
        <v>185</v>
      </c>
      <c r="O27" s="10" t="s">
        <v>185</v>
      </c>
      <c r="P27" s="10" t="s">
        <v>5</v>
      </c>
      <c r="Q27" s="10" t="s">
        <v>194</v>
      </c>
      <c r="R27" s="10" t="s">
        <v>5</v>
      </c>
      <c r="S27" s="14" t="s">
        <v>5</v>
      </c>
      <c r="T27" s="14" t="s">
        <v>5</v>
      </c>
      <c r="U27">
        <f t="shared" si="0"/>
        <v>37283</v>
      </c>
    </row>
    <row r="28" spans="1:21" x14ac:dyDescent="0.35">
      <c r="A28" s="9"/>
      <c r="B28" s="9"/>
      <c r="C28" s="9"/>
      <c r="D28" s="9"/>
      <c r="E28" s="9"/>
      <c r="F28" s="9"/>
      <c r="G28" s="16">
        <v>221828</v>
      </c>
      <c r="H28" s="16">
        <v>8855</v>
      </c>
      <c r="I28" s="16">
        <v>8855</v>
      </c>
      <c r="J28" s="9"/>
      <c r="K28" s="9"/>
      <c r="L28" s="9"/>
      <c r="M28" s="9"/>
      <c r="N28" s="9"/>
      <c r="O28" s="9"/>
      <c r="P28" s="9"/>
      <c r="Q28" s="9"/>
      <c r="R28" s="9"/>
      <c r="S28" s="9"/>
      <c r="T28" s="9"/>
    </row>
    <row r="30" spans="1:21" x14ac:dyDescent="0.35">
      <c r="K30">
        <f>30+19+5</f>
        <v>54</v>
      </c>
    </row>
  </sheetData>
  <mergeCells count="1">
    <mergeCell ref="A1:R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B3:L25"/>
  <sheetViews>
    <sheetView showGridLines="0" topLeftCell="A4" workbookViewId="0">
      <selection activeCell="F14" sqref="F14"/>
    </sheetView>
  </sheetViews>
  <sheetFormatPr defaultRowHeight="14.5" x14ac:dyDescent="0.35"/>
  <cols>
    <col min="2" max="2" width="5.7265625" customWidth="1"/>
    <col min="3" max="3" width="11" bestFit="1" customWidth="1"/>
    <col min="4" max="4" width="14.1796875" bestFit="1" customWidth="1"/>
    <col min="5" max="5" width="10.453125" bestFit="1" customWidth="1"/>
    <col min="8" max="8" width="10" bestFit="1" customWidth="1"/>
  </cols>
  <sheetData>
    <row r="3" spans="2:12" ht="15.5" x14ac:dyDescent="0.35">
      <c r="B3" s="40" t="s">
        <v>211</v>
      </c>
    </row>
    <row r="4" spans="2:12" ht="15" thickBot="1" x14ac:dyDescent="0.4"/>
    <row r="5" spans="2:12" ht="44" thickBot="1" x14ac:dyDescent="0.4">
      <c r="B5" s="43" t="s">
        <v>128</v>
      </c>
      <c r="C5" s="43" t="s">
        <v>129</v>
      </c>
      <c r="D5" s="43" t="s">
        <v>130</v>
      </c>
      <c r="E5" s="42" t="s">
        <v>131</v>
      </c>
      <c r="F5" s="17" t="s">
        <v>135</v>
      </c>
      <c r="G5" s="17" t="s">
        <v>136</v>
      </c>
      <c r="H5" s="38" t="s">
        <v>134</v>
      </c>
      <c r="I5" s="34"/>
      <c r="J5" s="34"/>
      <c r="K5" s="35"/>
      <c r="L5" s="35"/>
    </row>
    <row r="6" spans="2:12" x14ac:dyDescent="0.35">
      <c r="B6" s="44">
        <v>1</v>
      </c>
      <c r="C6" s="44" t="s">
        <v>212</v>
      </c>
      <c r="D6" s="44" t="s">
        <v>213</v>
      </c>
      <c r="E6" s="45">
        <v>44404</v>
      </c>
      <c r="F6" s="47">
        <v>8</v>
      </c>
      <c r="G6">
        <v>74.415999999999997</v>
      </c>
      <c r="H6" s="50">
        <f>F6*G6</f>
        <v>595.32799999999997</v>
      </c>
      <c r="I6" s="36"/>
      <c r="J6" s="1"/>
      <c r="K6" s="37"/>
      <c r="L6" s="37"/>
    </row>
    <row r="7" spans="2:12" x14ac:dyDescent="0.35">
      <c r="B7" s="44">
        <v>2</v>
      </c>
      <c r="C7" s="44" t="s">
        <v>214</v>
      </c>
      <c r="D7" s="44" t="s">
        <v>213</v>
      </c>
      <c r="E7" s="46">
        <v>44439</v>
      </c>
      <c r="F7" s="48">
        <v>32</v>
      </c>
      <c r="G7">
        <v>73.153599999999997</v>
      </c>
      <c r="H7" s="39">
        <f t="shared" ref="H7:H24" si="0">F7*G7</f>
        <v>2340.9151999999999</v>
      </c>
      <c r="I7" s="36"/>
      <c r="J7" s="1"/>
      <c r="K7" s="37"/>
      <c r="L7" s="37"/>
    </row>
    <row r="8" spans="2:12" x14ac:dyDescent="0.35">
      <c r="B8" s="44">
        <v>3</v>
      </c>
      <c r="C8" s="44" t="s">
        <v>215</v>
      </c>
      <c r="D8" s="44" t="s">
        <v>213</v>
      </c>
      <c r="E8" s="46">
        <v>44439</v>
      </c>
      <c r="F8" s="48">
        <v>10</v>
      </c>
      <c r="G8">
        <v>73.153599999999997</v>
      </c>
      <c r="H8" s="39">
        <f t="shared" si="0"/>
        <v>731.53599999999994</v>
      </c>
      <c r="I8" s="36"/>
      <c r="J8" s="1"/>
      <c r="K8" s="37"/>
      <c r="L8" s="37"/>
    </row>
    <row r="9" spans="2:12" x14ac:dyDescent="0.35">
      <c r="B9" s="44">
        <v>4</v>
      </c>
      <c r="C9" s="44" t="s">
        <v>216</v>
      </c>
      <c r="D9" s="44" t="s">
        <v>213</v>
      </c>
      <c r="E9" s="46">
        <v>44465</v>
      </c>
      <c r="F9" s="48">
        <v>21</v>
      </c>
      <c r="G9">
        <v>73.656700000000001</v>
      </c>
      <c r="H9" s="39">
        <f t="shared" si="0"/>
        <v>1546.7907</v>
      </c>
      <c r="I9" s="36"/>
      <c r="J9" s="1"/>
      <c r="K9" s="37"/>
      <c r="L9" s="37"/>
    </row>
    <row r="10" spans="2:12" x14ac:dyDescent="0.35">
      <c r="B10" s="44">
        <v>5</v>
      </c>
      <c r="C10" s="44" t="s">
        <v>217</v>
      </c>
      <c r="D10" s="44" t="s">
        <v>213</v>
      </c>
      <c r="E10" s="46">
        <v>44494</v>
      </c>
      <c r="F10" s="49">
        <v>22</v>
      </c>
      <c r="G10">
        <v>75.019099999999995</v>
      </c>
      <c r="H10" s="39">
        <f t="shared" si="0"/>
        <v>1650.4201999999998</v>
      </c>
      <c r="I10" s="36"/>
      <c r="K10" s="37"/>
      <c r="L10" s="37"/>
    </row>
    <row r="11" spans="2:12" x14ac:dyDescent="0.35">
      <c r="B11" s="44">
        <v>6</v>
      </c>
      <c r="C11" s="44" t="s">
        <v>218</v>
      </c>
      <c r="D11" s="44" t="s">
        <v>213</v>
      </c>
      <c r="E11" s="46">
        <v>44516</v>
      </c>
      <c r="F11" s="49">
        <v>2</v>
      </c>
      <c r="G11">
        <v>74.453500000000005</v>
      </c>
      <c r="H11" s="39">
        <f t="shared" si="0"/>
        <v>148.90700000000001</v>
      </c>
      <c r="I11" s="36"/>
      <c r="J11" s="1"/>
      <c r="K11" s="37"/>
      <c r="L11" s="37"/>
    </row>
    <row r="12" spans="2:12" x14ac:dyDescent="0.35">
      <c r="B12" s="44">
        <v>7</v>
      </c>
      <c r="C12" s="44" t="s">
        <v>219</v>
      </c>
      <c r="D12" s="44" t="s">
        <v>213</v>
      </c>
      <c r="E12" s="46">
        <v>44528</v>
      </c>
      <c r="F12" s="48">
        <v>2</v>
      </c>
      <c r="G12">
        <v>75.090999999999994</v>
      </c>
      <c r="H12" s="39">
        <f t="shared" si="0"/>
        <v>150.18199999999999</v>
      </c>
      <c r="I12" s="36"/>
      <c r="J12" s="1"/>
      <c r="K12" s="37"/>
      <c r="L12" s="37"/>
    </row>
    <row r="13" spans="2:12" x14ac:dyDescent="0.35">
      <c r="B13" s="44">
        <v>8</v>
      </c>
      <c r="C13" s="44" t="s">
        <v>220</v>
      </c>
      <c r="D13" s="44" t="s">
        <v>213</v>
      </c>
      <c r="E13" s="46">
        <v>44530</v>
      </c>
      <c r="F13" s="48">
        <v>10</v>
      </c>
      <c r="G13">
        <v>75.088499999999996</v>
      </c>
      <c r="H13" s="39">
        <f t="shared" si="0"/>
        <v>750.88499999999999</v>
      </c>
      <c r="I13" s="36"/>
      <c r="J13" s="1"/>
      <c r="K13" s="37"/>
      <c r="L13" s="37"/>
    </row>
    <row r="14" spans="2:12" x14ac:dyDescent="0.35">
      <c r="B14" s="44">
        <v>9</v>
      </c>
      <c r="C14" s="44" t="s">
        <v>221</v>
      </c>
      <c r="D14" s="44" t="s">
        <v>213</v>
      </c>
      <c r="E14" s="46">
        <v>44532</v>
      </c>
      <c r="F14" s="75">
        <v>10</v>
      </c>
      <c r="G14">
        <v>74.998900000000006</v>
      </c>
      <c r="H14" s="39">
        <f t="shared" si="0"/>
        <v>749.98900000000003</v>
      </c>
      <c r="I14" s="36"/>
      <c r="J14" s="1"/>
      <c r="K14" s="37"/>
      <c r="L14" s="37"/>
    </row>
    <row r="15" spans="2:12" x14ac:dyDescent="0.35">
      <c r="B15" s="44">
        <v>10</v>
      </c>
      <c r="C15" s="44" t="s">
        <v>222</v>
      </c>
      <c r="D15" s="44" t="s">
        <v>213</v>
      </c>
      <c r="E15" s="46">
        <v>44550</v>
      </c>
      <c r="F15" s="48">
        <v>10</v>
      </c>
      <c r="G15">
        <v>75.986500000000007</v>
      </c>
      <c r="H15" s="39">
        <f t="shared" si="0"/>
        <v>759.86500000000001</v>
      </c>
      <c r="I15" s="36"/>
      <c r="J15" s="1"/>
      <c r="K15" s="37"/>
      <c r="L15" s="37"/>
    </row>
    <row r="16" spans="2:12" x14ac:dyDescent="0.35">
      <c r="B16" s="44">
        <v>11</v>
      </c>
      <c r="C16" s="44" t="s">
        <v>223</v>
      </c>
      <c r="D16" s="44" t="s">
        <v>213</v>
      </c>
      <c r="E16" s="46">
        <v>44565</v>
      </c>
      <c r="F16" s="48">
        <v>10</v>
      </c>
      <c r="G16">
        <v>74.571700000000007</v>
      </c>
      <c r="H16" s="39">
        <f t="shared" si="0"/>
        <v>745.7170000000001</v>
      </c>
      <c r="I16" s="36"/>
      <c r="J16" s="1"/>
      <c r="K16" s="37"/>
      <c r="L16" s="37"/>
    </row>
    <row r="17" spans="2:12" x14ac:dyDescent="0.35">
      <c r="B17" s="44">
        <v>12</v>
      </c>
      <c r="C17" s="44" t="s">
        <v>224</v>
      </c>
      <c r="D17" s="44" t="s">
        <v>213</v>
      </c>
      <c r="E17" s="46">
        <v>44588</v>
      </c>
      <c r="F17" s="48">
        <v>10</v>
      </c>
      <c r="G17">
        <v>75.172399999999996</v>
      </c>
      <c r="H17" s="39">
        <f t="shared" si="0"/>
        <v>751.72399999999993</v>
      </c>
      <c r="I17" s="36"/>
      <c r="J17" s="1"/>
      <c r="K17" s="37"/>
      <c r="L17" s="37"/>
    </row>
    <row r="18" spans="2:12" x14ac:dyDescent="0.35">
      <c r="B18" s="44">
        <v>13</v>
      </c>
      <c r="C18" s="44" t="s">
        <v>225</v>
      </c>
      <c r="D18" s="44" t="s">
        <v>213</v>
      </c>
      <c r="E18" s="46">
        <v>44593</v>
      </c>
      <c r="F18" s="48">
        <v>6</v>
      </c>
      <c r="G18">
        <v>74.529499999999999</v>
      </c>
      <c r="H18" s="39">
        <f t="shared" si="0"/>
        <v>447.17700000000002</v>
      </c>
      <c r="I18" s="36"/>
      <c r="J18" s="1"/>
      <c r="K18" s="37"/>
      <c r="L18" s="37"/>
    </row>
    <row r="19" spans="2:12" x14ac:dyDescent="0.35">
      <c r="B19" s="44">
        <v>14</v>
      </c>
      <c r="C19" s="44" t="s">
        <v>226</v>
      </c>
      <c r="D19" s="44" t="s">
        <v>213</v>
      </c>
      <c r="E19" s="46">
        <v>44599</v>
      </c>
      <c r="F19" s="48">
        <v>9</v>
      </c>
      <c r="G19">
        <v>74.69</v>
      </c>
      <c r="H19" s="39">
        <f t="shared" si="0"/>
        <v>672.21</v>
      </c>
      <c r="I19" s="36"/>
      <c r="K19" s="37"/>
      <c r="L19" s="37"/>
    </row>
    <row r="20" spans="2:12" x14ac:dyDescent="0.35">
      <c r="B20" s="44">
        <v>15</v>
      </c>
      <c r="C20" s="44" t="s">
        <v>227</v>
      </c>
      <c r="D20" s="44" t="s">
        <v>213</v>
      </c>
      <c r="E20" s="46">
        <v>44599</v>
      </c>
      <c r="F20" s="48">
        <v>1</v>
      </c>
      <c r="G20">
        <v>74.69</v>
      </c>
      <c r="H20" s="39">
        <f t="shared" si="0"/>
        <v>74.69</v>
      </c>
      <c r="I20" s="36"/>
      <c r="K20" s="37"/>
      <c r="L20" s="37"/>
    </row>
    <row r="21" spans="2:12" x14ac:dyDescent="0.35">
      <c r="B21" s="44">
        <v>16</v>
      </c>
      <c r="C21" s="44" t="s">
        <v>228</v>
      </c>
      <c r="D21" s="44" t="s">
        <v>213</v>
      </c>
      <c r="E21" s="46">
        <v>44603</v>
      </c>
      <c r="F21" s="48">
        <v>50</v>
      </c>
      <c r="G21">
        <v>75.354200000000006</v>
      </c>
      <c r="H21" s="39">
        <f t="shared" si="0"/>
        <v>3767.7100000000005</v>
      </c>
      <c r="I21" s="36"/>
      <c r="K21" s="37"/>
      <c r="L21" s="37"/>
    </row>
    <row r="22" spans="2:12" x14ac:dyDescent="0.35">
      <c r="B22" s="44">
        <v>17</v>
      </c>
      <c r="C22" s="44" t="s">
        <v>229</v>
      </c>
      <c r="D22" s="44" t="s">
        <v>213</v>
      </c>
      <c r="E22" s="46">
        <v>44612</v>
      </c>
      <c r="F22" s="48">
        <v>50</v>
      </c>
      <c r="G22">
        <v>74.479699999999994</v>
      </c>
      <c r="H22" s="39">
        <f t="shared" si="0"/>
        <v>3723.9849999999997</v>
      </c>
      <c r="I22" s="36"/>
      <c r="K22" s="37"/>
      <c r="L22" s="37"/>
    </row>
    <row r="23" spans="2:12" x14ac:dyDescent="0.35">
      <c r="B23" s="44">
        <v>18</v>
      </c>
      <c r="C23" s="44" t="s">
        <v>230</v>
      </c>
      <c r="D23" s="44" t="s">
        <v>213</v>
      </c>
      <c r="E23" s="46">
        <v>44612</v>
      </c>
      <c r="F23" s="48">
        <v>10</v>
      </c>
      <c r="G23">
        <v>74.479699999999994</v>
      </c>
      <c r="H23" s="39">
        <f t="shared" si="0"/>
        <v>744.79699999999991</v>
      </c>
    </row>
    <row r="24" spans="2:12" x14ac:dyDescent="0.35">
      <c r="B24" s="44">
        <v>19</v>
      </c>
      <c r="C24" s="44" t="s">
        <v>231</v>
      </c>
      <c r="D24" s="44" t="s">
        <v>213</v>
      </c>
      <c r="E24" s="46">
        <v>44632</v>
      </c>
      <c r="F24" s="48">
        <v>50</v>
      </c>
      <c r="G24">
        <v>76.608599999999996</v>
      </c>
      <c r="H24" s="39">
        <f t="shared" si="0"/>
        <v>3830.43</v>
      </c>
    </row>
    <row r="25" spans="2:12" ht="15" thickBot="1" x14ac:dyDescent="0.4">
      <c r="B25" s="41"/>
      <c r="C25" s="41"/>
      <c r="D25" s="41"/>
      <c r="E25" s="41"/>
      <c r="F25" s="41"/>
      <c r="G25" s="41"/>
      <c r="H25" s="51">
        <f>SUM(H6:H24)</f>
        <v>24183.258100000003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0"/>
  <sheetViews>
    <sheetView workbookViewId="0">
      <selection activeCell="B4" sqref="B4"/>
    </sheetView>
  </sheetViews>
  <sheetFormatPr defaultRowHeight="14.5" x14ac:dyDescent="0.35"/>
  <cols>
    <col min="2" max="2" width="30.81640625" bestFit="1" customWidth="1"/>
    <col min="3" max="3" width="8.7265625" bestFit="1" customWidth="1"/>
  </cols>
  <sheetData>
    <row r="3" spans="1:2" x14ac:dyDescent="0.35">
      <c r="A3">
        <v>1</v>
      </c>
      <c r="B3" t="s">
        <v>581</v>
      </c>
    </row>
    <row r="4" spans="1:2" x14ac:dyDescent="0.35">
      <c r="A4">
        <v>2</v>
      </c>
      <c r="B4" t="s">
        <v>583</v>
      </c>
    </row>
    <row r="5" spans="1:2" x14ac:dyDescent="0.35">
      <c r="A5">
        <v>3</v>
      </c>
      <c r="B5" t="s">
        <v>584</v>
      </c>
    </row>
    <row r="6" spans="1:2" x14ac:dyDescent="0.35">
      <c r="A6">
        <v>4</v>
      </c>
      <c r="B6" t="s">
        <v>585</v>
      </c>
    </row>
    <row r="7" spans="1:2" x14ac:dyDescent="0.35">
      <c r="A7">
        <v>5</v>
      </c>
      <c r="B7" t="s">
        <v>587</v>
      </c>
    </row>
    <row r="8" spans="1:2" x14ac:dyDescent="0.35">
      <c r="A8">
        <v>6</v>
      </c>
      <c r="B8" t="s">
        <v>591</v>
      </c>
    </row>
    <row r="9" spans="1:2" x14ac:dyDescent="0.35">
      <c r="A9">
        <v>7</v>
      </c>
      <c r="B9" t="s">
        <v>597</v>
      </c>
    </row>
    <row r="10" spans="1:2" x14ac:dyDescent="0.35">
      <c r="A10">
        <v>9</v>
      </c>
      <c r="B10" t="s">
        <v>604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M204"/>
  <sheetViews>
    <sheetView zoomScaleNormal="100" workbookViewId="0"/>
  </sheetViews>
  <sheetFormatPr defaultRowHeight="14.5" x14ac:dyDescent="0.35"/>
  <cols>
    <col min="3" max="3" width="104.81640625" customWidth="1"/>
    <col min="4" max="5" width="16.54296875" style="6" bestFit="1" customWidth="1"/>
    <col min="6" max="9" width="18" style="6" bestFit="1" customWidth="1"/>
    <col min="10" max="10" width="24.81640625" bestFit="1" customWidth="1"/>
    <col min="11" max="11" width="10.54296875" bestFit="1" customWidth="1"/>
    <col min="12" max="12" width="9.453125" bestFit="1" customWidth="1"/>
  </cols>
  <sheetData>
    <row r="3" spans="2:13" ht="15" thickBot="1" x14ac:dyDescent="0.4"/>
    <row r="4" spans="2:13" ht="16" thickBot="1" x14ac:dyDescent="0.4">
      <c r="B4" s="96"/>
      <c r="C4" s="838"/>
      <c r="D4" s="839"/>
      <c r="E4" s="839"/>
      <c r="F4" s="839"/>
      <c r="G4" s="839"/>
      <c r="H4" s="839"/>
      <c r="I4" s="840"/>
    </row>
    <row r="5" spans="2:13" ht="15.5" x14ac:dyDescent="0.35">
      <c r="B5" s="96"/>
      <c r="C5" s="841" t="s">
        <v>529</v>
      </c>
      <c r="D5" s="842"/>
      <c r="E5" s="842"/>
      <c r="F5" s="842"/>
      <c r="G5" s="842"/>
      <c r="H5" s="842"/>
      <c r="I5" s="843"/>
    </row>
    <row r="6" spans="2:13" ht="16" thickBot="1" x14ac:dyDescent="0.4">
      <c r="B6" s="96"/>
      <c r="C6" s="844"/>
      <c r="D6" s="845"/>
      <c r="E6" s="845"/>
      <c r="F6" s="845"/>
      <c r="G6" s="845"/>
      <c r="H6" s="845"/>
      <c r="I6" s="846"/>
    </row>
    <row r="7" spans="2:13" ht="16" thickBot="1" x14ac:dyDescent="0.4">
      <c r="B7" s="96"/>
      <c r="C7" s="644"/>
      <c r="D7" s="847" t="s">
        <v>95</v>
      </c>
      <c r="E7" s="848"/>
      <c r="F7" s="847" t="s">
        <v>498</v>
      </c>
      <c r="G7" s="848"/>
      <c r="H7" s="847" t="s">
        <v>96</v>
      </c>
      <c r="I7" s="848"/>
    </row>
    <row r="8" spans="2:13" ht="16" thickBot="1" x14ac:dyDescent="0.4">
      <c r="B8" s="96"/>
      <c r="C8" s="93" t="s">
        <v>0</v>
      </c>
      <c r="D8" s="705" t="s">
        <v>499</v>
      </c>
      <c r="E8" s="705" t="s">
        <v>500</v>
      </c>
      <c r="F8" s="705" t="s">
        <v>499</v>
      </c>
      <c r="G8" s="705" t="s">
        <v>500</v>
      </c>
      <c r="H8" s="705" t="s">
        <v>499</v>
      </c>
      <c r="I8" s="705" t="s">
        <v>500</v>
      </c>
    </row>
    <row r="9" spans="2:13" ht="15.5" x14ac:dyDescent="0.35">
      <c r="B9" s="96"/>
      <c r="C9" s="645" t="s">
        <v>348</v>
      </c>
      <c r="D9" s="706"/>
      <c r="E9" s="706"/>
      <c r="F9" s="706"/>
      <c r="G9" s="706"/>
      <c r="H9" s="706"/>
      <c r="I9" s="707"/>
    </row>
    <row r="10" spans="2:13" ht="15.5" x14ac:dyDescent="0.35">
      <c r="B10" s="96"/>
      <c r="C10" s="646" t="s">
        <v>501</v>
      </c>
      <c r="D10" s="708">
        <v>0</v>
      </c>
      <c r="E10" s="708">
        <v>100000</v>
      </c>
      <c r="F10" s="708"/>
      <c r="G10" s="708"/>
      <c r="H10" s="708"/>
      <c r="I10" s="729">
        <f>E10-D10+G10-F10</f>
        <v>100000</v>
      </c>
    </row>
    <row r="11" spans="2:13" ht="15.5" x14ac:dyDescent="0.35">
      <c r="B11" s="96"/>
      <c r="C11" s="646" t="s">
        <v>502</v>
      </c>
      <c r="D11" s="708">
        <v>0</v>
      </c>
      <c r="E11" s="708">
        <f>512074.62</f>
        <v>512074.62</v>
      </c>
      <c r="F11" s="708"/>
      <c r="G11" s="708"/>
      <c r="H11" s="708"/>
      <c r="I11" s="709">
        <f>E11-D11+G11-F11</f>
        <v>512074.62</v>
      </c>
      <c r="M11" s="661">
        <f>I72+I73+I75-SUM(H77:H92)</f>
        <v>24618.489999999758</v>
      </c>
    </row>
    <row r="12" spans="2:13" ht="15.5" x14ac:dyDescent="0.35">
      <c r="B12" s="96"/>
      <c r="C12" s="648" t="s">
        <v>25</v>
      </c>
      <c r="D12" s="710"/>
      <c r="E12" s="710"/>
      <c r="F12" s="710"/>
      <c r="G12" s="711"/>
      <c r="H12" s="710"/>
      <c r="I12" s="709"/>
    </row>
    <row r="13" spans="2:13" ht="15.5" x14ac:dyDescent="0.35">
      <c r="B13" s="96"/>
      <c r="C13" s="647" t="s">
        <v>503</v>
      </c>
      <c r="D13" s="710"/>
      <c r="E13" s="710"/>
      <c r="F13" s="710"/>
      <c r="G13" s="711"/>
      <c r="H13" s="710"/>
      <c r="I13" s="709"/>
      <c r="K13" s="661"/>
    </row>
    <row r="14" spans="2:13" ht="15.5" x14ac:dyDescent="0.35">
      <c r="B14" s="96"/>
      <c r="C14" s="664" t="s">
        <v>566</v>
      </c>
      <c r="D14" s="710"/>
      <c r="E14" s="710"/>
      <c r="F14" s="710">
        <f>17561.8+D129</f>
        <v>19158.48</v>
      </c>
      <c r="G14" s="711">
        <v>19158.48</v>
      </c>
      <c r="H14" s="710"/>
      <c r="I14" s="709">
        <f t="shared" ref="I14:I26" si="0">D14+E14-F14+G14</f>
        <v>0</v>
      </c>
      <c r="K14" s="661"/>
    </row>
    <row r="15" spans="2:13" ht="15.5" x14ac:dyDescent="0.35">
      <c r="B15" s="96"/>
      <c r="C15" s="664" t="s">
        <v>567</v>
      </c>
      <c r="D15" s="710"/>
      <c r="E15" s="710"/>
      <c r="F15" s="710">
        <v>9616.76</v>
      </c>
      <c r="G15" s="711">
        <v>9616.76</v>
      </c>
      <c r="H15" s="710"/>
      <c r="I15" s="709">
        <f t="shared" si="0"/>
        <v>0</v>
      </c>
      <c r="K15" s="661"/>
    </row>
    <row r="16" spans="2:13" ht="15.5" x14ac:dyDescent="0.35">
      <c r="B16" s="96"/>
      <c r="C16" s="664" t="s">
        <v>568</v>
      </c>
      <c r="D16" s="710"/>
      <c r="E16" s="710"/>
      <c r="F16" s="710">
        <v>6530</v>
      </c>
      <c r="G16" s="711">
        <v>6530</v>
      </c>
      <c r="H16" s="710"/>
      <c r="I16" s="709">
        <f t="shared" si="0"/>
        <v>0</v>
      </c>
      <c r="K16" s="661"/>
    </row>
    <row r="17" spans="1:11" ht="15.5" x14ac:dyDescent="0.35">
      <c r="B17" s="96"/>
      <c r="C17" s="664" t="s">
        <v>569</v>
      </c>
      <c r="D17" s="710"/>
      <c r="E17" s="710"/>
      <c r="F17" s="710">
        <v>3498</v>
      </c>
      <c r="G17" s="711">
        <v>3498</v>
      </c>
      <c r="H17" s="710"/>
      <c r="I17" s="709">
        <f t="shared" si="0"/>
        <v>0</v>
      </c>
      <c r="K17" s="661"/>
    </row>
    <row r="18" spans="1:11" ht="15.5" x14ac:dyDescent="0.35">
      <c r="B18" s="96"/>
      <c r="C18" s="664" t="s">
        <v>570</v>
      </c>
      <c r="D18" s="710"/>
      <c r="E18" s="710"/>
      <c r="F18" s="710">
        <v>106200</v>
      </c>
      <c r="G18" s="711">
        <v>106200</v>
      </c>
      <c r="H18" s="710"/>
      <c r="I18" s="709">
        <f t="shared" si="0"/>
        <v>0</v>
      </c>
      <c r="K18" s="661"/>
    </row>
    <row r="19" spans="1:11" ht="15.5" x14ac:dyDescent="0.35">
      <c r="B19" s="96"/>
      <c r="C19" s="664" t="s">
        <v>571</v>
      </c>
      <c r="D19" s="710"/>
      <c r="E19" s="710"/>
      <c r="F19" s="710">
        <v>2655</v>
      </c>
      <c r="G19" s="711">
        <v>2655</v>
      </c>
      <c r="H19" s="710"/>
      <c r="I19" s="709">
        <f t="shared" si="0"/>
        <v>0</v>
      </c>
      <c r="K19" s="661"/>
    </row>
    <row r="20" spans="1:11" ht="15.5" x14ac:dyDescent="0.35">
      <c r="B20" s="96"/>
      <c r="C20" s="664" t="s">
        <v>572</v>
      </c>
      <c r="D20" s="710"/>
      <c r="E20" s="710"/>
      <c r="F20" s="710">
        <v>127.53</v>
      </c>
      <c r="G20" s="711">
        <v>127.53</v>
      </c>
      <c r="H20" s="710"/>
      <c r="I20" s="709">
        <f t="shared" si="0"/>
        <v>0</v>
      </c>
      <c r="K20" s="661"/>
    </row>
    <row r="21" spans="1:11" ht="15.5" x14ac:dyDescent="0.35">
      <c r="B21" s="96"/>
      <c r="C21" s="664" t="s">
        <v>573</v>
      </c>
      <c r="D21" s="710"/>
      <c r="E21" s="710"/>
      <c r="F21" s="710">
        <v>1716</v>
      </c>
      <c r="G21" s="711">
        <v>1716</v>
      </c>
      <c r="H21" s="710"/>
      <c r="I21" s="709">
        <f t="shared" si="0"/>
        <v>0</v>
      </c>
      <c r="K21" s="661"/>
    </row>
    <row r="22" spans="1:11" ht="15.5" x14ac:dyDescent="0.35">
      <c r="B22" s="96"/>
      <c r="C22" s="664" t="s">
        <v>574</v>
      </c>
      <c r="D22" s="710"/>
      <c r="E22" s="710"/>
      <c r="F22" s="710">
        <v>4899</v>
      </c>
      <c r="G22" s="711">
        <v>4899</v>
      </c>
      <c r="H22" s="710"/>
      <c r="I22" s="709">
        <f t="shared" si="0"/>
        <v>0</v>
      </c>
      <c r="K22" s="661"/>
    </row>
    <row r="23" spans="1:11" ht="15.5" x14ac:dyDescent="0.35">
      <c r="B23" s="96"/>
      <c r="C23" s="664" t="s">
        <v>575</v>
      </c>
      <c r="D23" s="710"/>
      <c r="E23" s="710"/>
      <c r="F23" s="710">
        <v>3000</v>
      </c>
      <c r="G23" s="711">
        <v>3000</v>
      </c>
      <c r="H23" s="710"/>
      <c r="I23" s="709">
        <f t="shared" si="0"/>
        <v>0</v>
      </c>
      <c r="K23" s="661"/>
    </row>
    <row r="24" spans="1:11" ht="15.5" x14ac:dyDescent="0.35">
      <c r="B24" s="96"/>
      <c r="C24" s="664" t="s">
        <v>576</v>
      </c>
      <c r="D24" s="710"/>
      <c r="E24" s="710"/>
      <c r="F24" s="710">
        <v>11800</v>
      </c>
      <c r="G24" s="711">
        <v>11800</v>
      </c>
      <c r="H24" s="710"/>
      <c r="I24" s="709">
        <f t="shared" si="0"/>
        <v>0</v>
      </c>
      <c r="K24" s="661"/>
    </row>
    <row r="25" spans="1:11" ht="15.5" x14ac:dyDescent="0.35">
      <c r="B25" s="96"/>
      <c r="C25" s="664" t="s">
        <v>577</v>
      </c>
      <c r="D25" s="710"/>
      <c r="E25" s="710"/>
      <c r="F25" s="710">
        <v>29687</v>
      </c>
      <c r="G25" s="711">
        <v>29687</v>
      </c>
      <c r="H25" s="710"/>
      <c r="I25" s="709">
        <f t="shared" si="0"/>
        <v>0</v>
      </c>
      <c r="K25" s="661"/>
    </row>
    <row r="26" spans="1:11" ht="15.5" x14ac:dyDescent="0.35">
      <c r="B26" s="96"/>
      <c r="C26" s="664" t="s">
        <v>578</v>
      </c>
      <c r="D26" s="710"/>
      <c r="E26" s="710"/>
      <c r="F26" s="710">
        <v>9558</v>
      </c>
      <c r="G26" s="711">
        <v>9558</v>
      </c>
      <c r="H26" s="710"/>
      <c r="I26" s="709">
        <f t="shared" si="0"/>
        <v>0</v>
      </c>
      <c r="K26" s="661"/>
    </row>
    <row r="27" spans="1:11" ht="15.5" x14ac:dyDescent="0.35">
      <c r="B27" s="96"/>
      <c r="C27" s="664" t="s">
        <v>579</v>
      </c>
      <c r="D27" s="710"/>
      <c r="E27" s="710"/>
      <c r="F27" s="710">
        <f>2840.1+D163+D198</f>
        <v>156544.45000000001</v>
      </c>
      <c r="G27" s="711">
        <f>155461.5+E203</f>
        <v>156544.45000000001</v>
      </c>
      <c r="H27" s="710"/>
      <c r="I27" s="709">
        <f>D27+E27-F27+G27</f>
        <v>0</v>
      </c>
      <c r="K27" s="661"/>
    </row>
    <row r="28" spans="1:11" s="55" customFormat="1" ht="15.5" x14ac:dyDescent="0.35">
      <c r="B28" s="693"/>
      <c r="C28" s="694" t="s">
        <v>520</v>
      </c>
      <c r="D28" s="712"/>
      <c r="E28" s="712">
        <v>47640</v>
      </c>
      <c r="F28" s="712">
        <v>47640</v>
      </c>
      <c r="G28" s="713"/>
      <c r="H28" s="712">
        <v>0</v>
      </c>
      <c r="I28" s="714">
        <f>E28-D28+G28-F28</f>
        <v>0</v>
      </c>
      <c r="K28" s="695"/>
    </row>
    <row r="29" spans="1:11" ht="15.75" customHeight="1" x14ac:dyDescent="0.35">
      <c r="B29" s="96"/>
      <c r="C29" s="648" t="s">
        <v>13</v>
      </c>
      <c r="D29" s="710"/>
      <c r="E29" s="710"/>
      <c r="F29" s="710" t="s">
        <v>5</v>
      </c>
      <c r="G29" s="711"/>
      <c r="H29" s="710"/>
      <c r="I29" s="709"/>
      <c r="K29" s="661"/>
    </row>
    <row r="30" spans="1:11" ht="15.5" x14ac:dyDescent="0.35">
      <c r="B30" s="96"/>
      <c r="C30" s="647" t="s">
        <v>504</v>
      </c>
      <c r="D30" s="710">
        <v>0</v>
      </c>
      <c r="E30" s="710">
        <v>10000</v>
      </c>
      <c r="F30" s="715">
        <v>10000</v>
      </c>
      <c r="G30" s="715">
        <f>E156</f>
        <v>10000</v>
      </c>
      <c r="H30" s="710"/>
      <c r="I30" s="729">
        <f>E30-D30+G30-F30</f>
        <v>10000</v>
      </c>
      <c r="K30" s="2"/>
    </row>
    <row r="31" spans="1:11" ht="15.5" x14ac:dyDescent="0.35">
      <c r="B31" s="96"/>
      <c r="C31" s="648" t="s">
        <v>31</v>
      </c>
      <c r="D31" s="710"/>
      <c r="E31" s="710"/>
      <c r="F31" s="711"/>
      <c r="G31" s="711"/>
      <c r="H31" s="710"/>
      <c r="I31" s="709"/>
      <c r="K31" s="661"/>
    </row>
    <row r="32" spans="1:11" ht="15.5" x14ac:dyDescent="0.35">
      <c r="A32" s="650"/>
      <c r="B32" s="96"/>
      <c r="C32" s="664" t="s">
        <v>594</v>
      </c>
      <c r="D32" s="716"/>
      <c r="E32" s="710">
        <v>97172</v>
      </c>
      <c r="F32" s="710">
        <f>D149</f>
        <v>97172</v>
      </c>
      <c r="G32" s="711"/>
      <c r="H32" s="710"/>
      <c r="I32" s="729">
        <f>E32-D32+G32-F32</f>
        <v>0</v>
      </c>
    </row>
    <row r="33" spans="2:9" ht="15.5" x14ac:dyDescent="0.35">
      <c r="B33" s="96"/>
      <c r="C33" s="664" t="s">
        <v>595</v>
      </c>
      <c r="D33" s="716"/>
      <c r="E33" s="710">
        <v>24157</v>
      </c>
      <c r="F33" s="710"/>
      <c r="G33" s="711"/>
      <c r="H33" s="710"/>
      <c r="I33" s="729">
        <f>E33-D33+G33-F33</f>
        <v>24157</v>
      </c>
    </row>
    <row r="34" spans="2:9" ht="15.5" x14ac:dyDescent="0.35">
      <c r="B34" s="96"/>
      <c r="C34" s="664" t="s">
        <v>596</v>
      </c>
      <c r="D34" s="716"/>
      <c r="E34" s="710">
        <v>57607</v>
      </c>
      <c r="F34" s="710"/>
      <c r="G34" s="711"/>
      <c r="H34" s="710"/>
      <c r="I34" s="729">
        <f>E34-D34+G34-F34</f>
        <v>57607</v>
      </c>
    </row>
    <row r="35" spans="2:9" ht="15.5" x14ac:dyDescent="0.35">
      <c r="B35" s="96"/>
      <c r="C35" s="664" t="s">
        <v>601</v>
      </c>
      <c r="D35" s="716"/>
      <c r="E35" s="710"/>
      <c r="F35" s="710">
        <f>52260-E146</f>
        <v>0</v>
      </c>
      <c r="G35" s="711">
        <f>E118</f>
        <v>5872</v>
      </c>
      <c r="H35" s="710"/>
      <c r="I35" s="729">
        <f>E35-D35+G35-F35</f>
        <v>5872</v>
      </c>
    </row>
    <row r="36" spans="2:9" ht="15.5" x14ac:dyDescent="0.35">
      <c r="B36" s="96"/>
      <c r="C36" s="648" t="s">
        <v>246</v>
      </c>
      <c r="D36" s="710"/>
      <c r="E36" s="710"/>
      <c r="F36" s="710"/>
      <c r="G36" s="711"/>
      <c r="H36" s="710"/>
      <c r="I36" s="709"/>
    </row>
    <row r="37" spans="2:9" ht="15.5" x14ac:dyDescent="0.35">
      <c r="B37" s="96"/>
      <c r="C37" s="664" t="s">
        <v>513</v>
      </c>
      <c r="D37" s="710">
        <v>56641.02</v>
      </c>
      <c r="E37" s="710"/>
      <c r="F37" s="710"/>
      <c r="G37" s="711">
        <f>E106+E110</f>
        <v>25878</v>
      </c>
      <c r="H37" s="725">
        <f>D37-E37+F37-G37</f>
        <v>30763.019999999997</v>
      </c>
      <c r="I37" s="709"/>
    </row>
    <row r="38" spans="2:9" ht="15.5" x14ac:dyDescent="0.35">
      <c r="B38" s="96"/>
      <c r="C38" s="648" t="s">
        <v>505</v>
      </c>
      <c r="D38" s="710"/>
      <c r="E38" s="710"/>
      <c r="F38" s="710"/>
      <c r="G38" s="711"/>
      <c r="H38" s="710"/>
      <c r="I38" s="709"/>
    </row>
    <row r="39" spans="2:9" ht="15.5" x14ac:dyDescent="0.35">
      <c r="B39" s="96"/>
      <c r="C39" s="664" t="s">
        <v>506</v>
      </c>
      <c r="D39" s="716">
        <v>5623.65</v>
      </c>
      <c r="E39" s="710">
        <v>0</v>
      </c>
      <c r="F39" s="710"/>
      <c r="G39" s="711">
        <f>E114</f>
        <v>617.36999999999989</v>
      </c>
      <c r="H39" s="725">
        <f>D39-E39+F39-G39</f>
        <v>5006.28</v>
      </c>
      <c r="I39" s="709"/>
    </row>
    <row r="40" spans="2:9" ht="15.5" x14ac:dyDescent="0.35">
      <c r="B40" s="96"/>
      <c r="C40" s="648" t="s">
        <v>40</v>
      </c>
      <c r="D40" s="716"/>
      <c r="E40" s="710"/>
      <c r="F40" s="710"/>
      <c r="G40" s="711"/>
      <c r="H40" s="710"/>
      <c r="I40" s="709"/>
    </row>
    <row r="41" spans="2:9" ht="15.5" x14ac:dyDescent="0.35">
      <c r="B41" s="96"/>
      <c r="C41" s="664" t="s">
        <v>565</v>
      </c>
      <c r="D41" s="710">
        <v>5323.11</v>
      </c>
      <c r="E41" s="710"/>
      <c r="F41" s="710"/>
      <c r="G41" s="711">
        <v>5323.11</v>
      </c>
      <c r="H41" s="710">
        <f>D41-E41+F41-G41</f>
        <v>0</v>
      </c>
      <c r="I41" s="709"/>
    </row>
    <row r="42" spans="2:9" ht="15.5" x14ac:dyDescent="0.35">
      <c r="B42" s="96"/>
      <c r="C42" s="700" t="s">
        <v>507</v>
      </c>
      <c r="D42" s="710"/>
      <c r="E42" s="710"/>
      <c r="F42" s="710"/>
      <c r="G42" s="711"/>
      <c r="H42" s="710">
        <f>D42-E42+F42-G42</f>
        <v>0</v>
      </c>
      <c r="I42" s="709"/>
    </row>
    <row r="43" spans="2:9" ht="15.5" x14ac:dyDescent="0.35">
      <c r="B43" s="96"/>
      <c r="C43" s="699" t="s">
        <v>606</v>
      </c>
      <c r="D43" s="710"/>
      <c r="E43" s="710"/>
      <c r="F43" s="710">
        <v>118300</v>
      </c>
      <c r="G43" s="711">
        <f>106470+E181</f>
        <v>118300</v>
      </c>
      <c r="H43" s="710">
        <f>D43-E43+F43-G43</f>
        <v>0</v>
      </c>
      <c r="I43" s="709"/>
    </row>
    <row r="44" spans="2:9" ht="15.5" x14ac:dyDescent="0.35">
      <c r="B44" s="96"/>
      <c r="C44" s="699" t="s">
        <v>607</v>
      </c>
      <c r="D44" s="710"/>
      <c r="E44" s="710"/>
      <c r="F44" s="710">
        <v>39957.65</v>
      </c>
      <c r="G44" s="711">
        <f>35026.98+E164</f>
        <v>39957.65</v>
      </c>
      <c r="H44" s="710">
        <f>D44-E44+F44-G44</f>
        <v>0</v>
      </c>
      <c r="I44" s="709"/>
    </row>
    <row r="45" spans="2:9" ht="15.5" x14ac:dyDescent="0.35">
      <c r="B45" s="96"/>
      <c r="C45" s="699" t="s">
        <v>608</v>
      </c>
      <c r="D45" s="710"/>
      <c r="E45" s="710"/>
      <c r="F45" s="710">
        <v>51261.98</v>
      </c>
      <c r="G45" s="711">
        <f>44134.73+E165</f>
        <v>51261.98</v>
      </c>
      <c r="H45" s="710">
        <f t="shared" ref="H45:H57" si="1">D45-E45+F45-G45</f>
        <v>0</v>
      </c>
      <c r="I45" s="709"/>
    </row>
    <row r="46" spans="2:9" ht="15.5" x14ac:dyDescent="0.35">
      <c r="B46" s="96"/>
      <c r="C46" s="699" t="s">
        <v>609</v>
      </c>
      <c r="D46" s="710"/>
      <c r="E46" s="710"/>
      <c r="F46" s="710">
        <v>32076.25</v>
      </c>
      <c r="G46" s="711">
        <f>28176.75+E166</f>
        <v>32076.25</v>
      </c>
      <c r="H46" s="710">
        <f t="shared" si="1"/>
        <v>0</v>
      </c>
      <c r="I46" s="709"/>
    </row>
    <row r="47" spans="2:9" ht="15.5" x14ac:dyDescent="0.35">
      <c r="B47" s="96"/>
      <c r="C47" s="699" t="s">
        <v>610</v>
      </c>
      <c r="D47" s="710"/>
      <c r="E47" s="710"/>
      <c r="F47" s="710">
        <v>170032.43</v>
      </c>
      <c r="G47" s="711">
        <f>148732.9+E167</f>
        <v>170032.43</v>
      </c>
      <c r="H47" s="710">
        <f t="shared" si="1"/>
        <v>0</v>
      </c>
      <c r="I47" s="709"/>
    </row>
    <row r="48" spans="2:9" ht="15.5" x14ac:dyDescent="0.35">
      <c r="B48" s="96"/>
      <c r="C48" s="699" t="s">
        <v>611</v>
      </c>
      <c r="D48" s="710"/>
      <c r="E48" s="710"/>
      <c r="F48" s="710">
        <v>61212.19</v>
      </c>
      <c r="G48" s="711">
        <f>53581.43+E168</f>
        <v>61212.19</v>
      </c>
      <c r="H48" s="710">
        <f t="shared" si="1"/>
        <v>0</v>
      </c>
      <c r="I48" s="709"/>
    </row>
    <row r="49" spans="2:12" ht="15.5" x14ac:dyDescent="0.35">
      <c r="B49" s="96"/>
      <c r="C49" s="699" t="s">
        <v>612</v>
      </c>
      <c r="D49" s="710"/>
      <c r="E49" s="710"/>
      <c r="F49" s="710">
        <v>42733.26</v>
      </c>
      <c r="G49" s="711">
        <f>36555.83+E169</f>
        <v>42733.26</v>
      </c>
      <c r="H49" s="710">
        <f t="shared" si="1"/>
        <v>0</v>
      </c>
      <c r="I49" s="709"/>
    </row>
    <row r="50" spans="2:12" ht="15.5" x14ac:dyDescent="0.35">
      <c r="B50" s="96"/>
      <c r="C50" s="699" t="s">
        <v>613</v>
      </c>
      <c r="D50" s="710"/>
      <c r="E50" s="710"/>
      <c r="F50" s="710">
        <v>343569.16</v>
      </c>
      <c r="G50" s="711">
        <f>301585.48+E170</f>
        <v>343569.16</v>
      </c>
      <c r="H50" s="710">
        <f>D50-E50+F50-G50</f>
        <v>0</v>
      </c>
      <c r="I50" s="709"/>
    </row>
    <row r="51" spans="2:12" ht="15.5" x14ac:dyDescent="0.35">
      <c r="B51" s="96"/>
      <c r="C51" s="699" t="s">
        <v>614</v>
      </c>
      <c r="D51" s="710"/>
      <c r="E51" s="710"/>
      <c r="F51" s="710">
        <v>62721.04</v>
      </c>
      <c r="G51" s="711">
        <f>55174.23+E171</f>
        <v>62721.04</v>
      </c>
      <c r="H51" s="710">
        <f t="shared" si="1"/>
        <v>0</v>
      </c>
      <c r="I51" s="709"/>
    </row>
    <row r="52" spans="2:12" ht="15.5" x14ac:dyDescent="0.35">
      <c r="B52" s="96"/>
      <c r="C52" s="699" t="s">
        <v>615</v>
      </c>
      <c r="D52" s="710"/>
      <c r="E52" s="710"/>
      <c r="F52" s="710">
        <v>12573.4</v>
      </c>
      <c r="G52" s="711">
        <f>10994.18+E172</f>
        <v>12573.4</v>
      </c>
      <c r="H52" s="710">
        <f t="shared" si="1"/>
        <v>0</v>
      </c>
      <c r="I52" s="709"/>
    </row>
    <row r="53" spans="2:12" ht="15.5" x14ac:dyDescent="0.35">
      <c r="B53" s="96"/>
      <c r="C53" s="699" t="s">
        <v>616</v>
      </c>
      <c r="D53" s="710"/>
      <c r="E53" s="710"/>
      <c r="F53" s="710">
        <v>41624.6</v>
      </c>
      <c r="G53" s="711">
        <f>36588+E173</f>
        <v>41624.6</v>
      </c>
      <c r="H53" s="710">
        <f t="shared" si="1"/>
        <v>0</v>
      </c>
      <c r="I53" s="709"/>
    </row>
    <row r="54" spans="2:12" ht="15.5" x14ac:dyDescent="0.35">
      <c r="B54" s="96"/>
      <c r="C54" s="699" t="s">
        <v>617</v>
      </c>
      <c r="D54" s="710"/>
      <c r="E54" s="710"/>
      <c r="F54" s="710">
        <v>189846.01</v>
      </c>
      <c r="G54" s="711">
        <f>166741.41+E174</f>
        <v>189846.01</v>
      </c>
      <c r="H54" s="710">
        <f t="shared" si="1"/>
        <v>0</v>
      </c>
      <c r="I54" s="709"/>
    </row>
    <row r="55" spans="2:12" ht="15.5" x14ac:dyDescent="0.35">
      <c r="B55" s="96"/>
      <c r="C55" s="699" t="s">
        <v>618</v>
      </c>
      <c r="D55" s="710"/>
      <c r="E55" s="710"/>
      <c r="F55" s="710">
        <v>5005.75</v>
      </c>
      <c r="G55" s="711">
        <f>4327.46+E175</f>
        <v>5005.75</v>
      </c>
      <c r="H55" s="710">
        <f t="shared" si="1"/>
        <v>0</v>
      </c>
      <c r="I55" s="709"/>
    </row>
    <row r="56" spans="2:12" ht="15.5" x14ac:dyDescent="0.35">
      <c r="B56" s="96"/>
      <c r="C56" s="699" t="s">
        <v>619</v>
      </c>
      <c r="D56" s="710"/>
      <c r="E56" s="710"/>
      <c r="F56" s="710">
        <v>3773.06</v>
      </c>
      <c r="G56" s="711">
        <f>3323.64+E176</f>
        <v>3773.06</v>
      </c>
      <c r="H56" s="710">
        <f t="shared" si="1"/>
        <v>0</v>
      </c>
      <c r="I56" s="709"/>
    </row>
    <row r="57" spans="2:12" ht="15.5" x14ac:dyDescent="0.35">
      <c r="B57" s="96"/>
      <c r="C57" s="699" t="s">
        <v>620</v>
      </c>
      <c r="D57" s="710"/>
      <c r="E57" s="710"/>
      <c r="F57" s="710">
        <v>2086.12</v>
      </c>
      <c r="G57" s="711">
        <f>1754.84+E177</f>
        <v>2086.12</v>
      </c>
      <c r="H57" s="710">
        <f t="shared" si="1"/>
        <v>0</v>
      </c>
      <c r="I57" s="709"/>
    </row>
    <row r="58" spans="2:12" ht="15.5" x14ac:dyDescent="0.35">
      <c r="B58" s="96"/>
      <c r="C58" s="648" t="s">
        <v>45</v>
      </c>
      <c r="D58" s="710"/>
      <c r="E58" s="710"/>
      <c r="F58" s="710"/>
      <c r="G58" s="711"/>
      <c r="H58" s="710"/>
      <c r="I58" s="709"/>
    </row>
    <row r="59" spans="2:12" ht="15.5" x14ac:dyDescent="0.35">
      <c r="B59" s="96"/>
      <c r="C59" s="664" t="s">
        <v>489</v>
      </c>
      <c r="D59" s="710">
        <v>9213</v>
      </c>
      <c r="E59" s="710"/>
      <c r="F59" s="710"/>
      <c r="G59" s="711"/>
      <c r="H59" s="725">
        <f>D59-E59+F59-G59</f>
        <v>9213</v>
      </c>
      <c r="I59" s="709"/>
    </row>
    <row r="60" spans="2:12" ht="15.5" x14ac:dyDescent="0.35">
      <c r="B60" s="96"/>
      <c r="C60" s="664" t="s">
        <v>472</v>
      </c>
      <c r="D60" s="710">
        <v>19718</v>
      </c>
      <c r="E60" s="710"/>
      <c r="F60" s="710"/>
      <c r="G60" s="711">
        <f>E151</f>
        <v>19718</v>
      </c>
      <c r="H60" s="710">
        <f t="shared" ref="H60:H66" si="2">D60-E60+F60-G60</f>
        <v>0</v>
      </c>
      <c r="I60" s="709"/>
    </row>
    <row r="61" spans="2:12" ht="15.5" x14ac:dyDescent="0.35">
      <c r="B61" s="96"/>
      <c r="C61" s="664" t="s">
        <v>473</v>
      </c>
      <c r="D61" s="710">
        <v>10019.41</v>
      </c>
      <c r="E61" s="710"/>
      <c r="F61" s="710"/>
      <c r="G61" s="711"/>
      <c r="H61" s="725">
        <f>D61-E61+F61-G61</f>
        <v>10019.41</v>
      </c>
      <c r="I61" s="709"/>
    </row>
    <row r="62" spans="2:12" ht="15.5" x14ac:dyDescent="0.35">
      <c r="B62" s="96"/>
      <c r="C62" s="664" t="s">
        <v>474</v>
      </c>
      <c r="D62" s="710">
        <v>5822.35</v>
      </c>
      <c r="E62" s="710"/>
      <c r="F62" s="710"/>
      <c r="G62" s="711"/>
      <c r="H62" s="725">
        <f t="shared" si="2"/>
        <v>5822.35</v>
      </c>
      <c r="I62" s="709"/>
    </row>
    <row r="63" spans="2:12" ht="15.5" x14ac:dyDescent="0.35">
      <c r="B63" s="96"/>
      <c r="C63" s="664" t="s">
        <v>603</v>
      </c>
      <c r="D63" s="710"/>
      <c r="E63" s="710"/>
      <c r="F63" s="710">
        <f>D180+D202</f>
        <v>24742.95</v>
      </c>
      <c r="G63" s="711">
        <v>11830</v>
      </c>
      <c r="H63" s="725">
        <f>D63-E63+F63-G63</f>
        <v>12912.95</v>
      </c>
      <c r="I63" s="709"/>
      <c r="K63">
        <v>12782</v>
      </c>
      <c r="L63" s="6">
        <f>K63-H63</f>
        <v>-130.95000000000073</v>
      </c>
    </row>
    <row r="64" spans="2:12" ht="15.5" x14ac:dyDescent="0.35">
      <c r="B64" s="96"/>
      <c r="C64" s="664" t="s">
        <v>592</v>
      </c>
      <c r="D64" s="710">
        <v>86010</v>
      </c>
      <c r="E64" s="710"/>
      <c r="F64" s="710"/>
      <c r="G64" s="711">
        <f>+E152</f>
        <v>86010</v>
      </c>
      <c r="H64" s="710">
        <f t="shared" si="2"/>
        <v>0</v>
      </c>
      <c r="I64" s="709"/>
    </row>
    <row r="65" spans="2:12" ht="15.5" x14ac:dyDescent="0.35">
      <c r="B65" s="96"/>
      <c r="C65" s="664" t="s">
        <v>593</v>
      </c>
      <c r="D65" s="710">
        <v>15410</v>
      </c>
      <c r="E65" s="710"/>
      <c r="F65" s="710"/>
      <c r="G65" s="711"/>
      <c r="H65" s="725">
        <f t="shared" si="2"/>
        <v>15410</v>
      </c>
      <c r="I65" s="709"/>
    </row>
    <row r="66" spans="2:12" ht="15.5" x14ac:dyDescent="0.35">
      <c r="B66" s="96"/>
      <c r="C66" s="664" t="s">
        <v>580</v>
      </c>
      <c r="D66" s="716"/>
      <c r="E66" s="710"/>
      <c r="F66" s="710">
        <f>TB!D145</f>
        <v>52260</v>
      </c>
      <c r="G66" s="711"/>
      <c r="H66" s="725">
        <f t="shared" si="2"/>
        <v>52260</v>
      </c>
      <c r="I66" s="709"/>
    </row>
    <row r="67" spans="2:12" ht="15.5" x14ac:dyDescent="0.35">
      <c r="B67" s="96"/>
      <c r="C67" s="648" t="s">
        <v>14</v>
      </c>
      <c r="D67" s="710"/>
      <c r="E67" s="710"/>
      <c r="F67" s="710"/>
      <c r="G67" s="711"/>
      <c r="H67" s="710"/>
      <c r="I67" s="709"/>
    </row>
    <row r="68" spans="2:12" ht="15.5" x14ac:dyDescent="0.35">
      <c r="B68" s="96"/>
      <c r="C68" s="647" t="s">
        <v>508</v>
      </c>
      <c r="D68" s="710">
        <v>606079.9</v>
      </c>
      <c r="E68" s="710">
        <v>0</v>
      </c>
      <c r="F68" s="710">
        <v>1033167.68</v>
      </c>
      <c r="G68" s="711">
        <f>1083643+D121-D125</f>
        <v>1088025</v>
      </c>
      <c r="H68" s="725">
        <f>D68-E68+F68-G68</f>
        <v>551222.58000000007</v>
      </c>
      <c r="I68" s="709"/>
      <c r="K68" s="661"/>
    </row>
    <row r="69" spans="2:12" ht="15.5" x14ac:dyDescent="0.35">
      <c r="B69" s="96"/>
      <c r="C69" s="647" t="s">
        <v>509</v>
      </c>
      <c r="D69" s="710">
        <v>28790.18</v>
      </c>
      <c r="E69" s="710">
        <v>0</v>
      </c>
      <c r="F69" s="710">
        <f>45000</f>
        <v>45000</v>
      </c>
      <c r="G69" s="710">
        <f>43666.59+E130+E126+E134+E138+E142</f>
        <v>45969.77</v>
      </c>
      <c r="H69" s="725">
        <f>D69-E69+F69-G69</f>
        <v>27820.409999999996</v>
      </c>
      <c r="I69" s="709"/>
      <c r="K69" s="661"/>
    </row>
    <row r="70" spans="2:12" ht="15.5" x14ac:dyDescent="0.35">
      <c r="B70" s="96"/>
      <c r="C70" s="648"/>
      <c r="D70" s="710"/>
      <c r="E70" s="710"/>
      <c r="F70" s="710"/>
      <c r="G70" s="710"/>
      <c r="H70" s="710"/>
      <c r="I70" s="709"/>
    </row>
    <row r="71" spans="2:12" ht="15.5" x14ac:dyDescent="0.35">
      <c r="B71" s="96"/>
      <c r="C71" s="648" t="s">
        <v>127</v>
      </c>
      <c r="D71" s="710"/>
      <c r="E71" s="710"/>
      <c r="F71" s="710"/>
      <c r="G71" s="710"/>
      <c r="H71" s="710"/>
      <c r="I71" s="709"/>
    </row>
    <row r="72" spans="2:12" ht="15.5" x14ac:dyDescent="0.35">
      <c r="B72" s="96"/>
      <c r="C72" s="647" t="s">
        <v>448</v>
      </c>
      <c r="D72" s="710"/>
      <c r="E72" s="710"/>
      <c r="F72" s="710">
        <f>131805.2-E160</f>
        <v>0.20000000001164153</v>
      </c>
      <c r="G72" s="710">
        <f>1058472.9</f>
        <v>1058472.8999999999</v>
      </c>
      <c r="H72" s="710"/>
      <c r="I72" s="729">
        <f>E72-D72+G72-F72</f>
        <v>1058472.7</v>
      </c>
    </row>
    <row r="73" spans="2:12" ht="15.5" x14ac:dyDescent="0.35">
      <c r="B73" s="96"/>
      <c r="C73" s="647" t="s">
        <v>449</v>
      </c>
      <c r="D73" s="710"/>
      <c r="E73" s="710"/>
      <c r="F73" s="710">
        <f>11830-E182</f>
        <v>0</v>
      </c>
      <c r="G73" s="710">
        <v>118300</v>
      </c>
      <c r="H73" s="710"/>
      <c r="I73" s="729">
        <f t="shared" ref="I73:I75" si="3">E73-D73+G73-F73</f>
        <v>118300</v>
      </c>
    </row>
    <row r="74" spans="2:12" ht="15.5" x14ac:dyDescent="0.35">
      <c r="B74" s="96"/>
      <c r="C74" s="696" t="s">
        <v>621</v>
      </c>
      <c r="D74" s="710"/>
      <c r="E74" s="710"/>
      <c r="F74" s="710"/>
      <c r="G74" s="710"/>
      <c r="H74" s="710"/>
      <c r="I74" s="709"/>
    </row>
    <row r="75" spans="2:12" s="55" customFormat="1" ht="15.5" x14ac:dyDescent="0.35">
      <c r="B75" s="693"/>
      <c r="C75" s="697" t="s">
        <v>514</v>
      </c>
      <c r="D75" s="712"/>
      <c r="E75" s="712"/>
      <c r="F75" s="712"/>
      <c r="G75" s="712">
        <f>2840.1+E199-0.18</f>
        <v>24769.23</v>
      </c>
      <c r="H75" s="712"/>
      <c r="I75" s="724">
        <f t="shared" si="3"/>
        <v>24769.23</v>
      </c>
      <c r="K75"/>
      <c r="L75"/>
    </row>
    <row r="76" spans="2:12" ht="15.5" x14ac:dyDescent="0.35">
      <c r="B76" s="96"/>
      <c r="C76" s="696" t="s">
        <v>622</v>
      </c>
      <c r="D76" s="710"/>
      <c r="E76" s="710"/>
      <c r="F76" s="710"/>
      <c r="G76" s="717"/>
      <c r="H76" s="710"/>
      <c r="I76" s="709"/>
    </row>
    <row r="77" spans="2:12" ht="15.5" x14ac:dyDescent="0.35">
      <c r="B77" s="96"/>
      <c r="C77" s="698" t="s">
        <v>510</v>
      </c>
      <c r="D77" s="710"/>
      <c r="E77" s="710"/>
      <c r="F77" s="710">
        <v>29687</v>
      </c>
      <c r="G77" s="710"/>
      <c r="H77" s="725">
        <f>D77-E77+F77-G77</f>
        <v>29687</v>
      </c>
      <c r="I77" s="709"/>
    </row>
    <row r="78" spans="2:12" ht="15.5" x14ac:dyDescent="0.35">
      <c r="B78" s="96"/>
      <c r="C78" s="698" t="s">
        <v>511</v>
      </c>
      <c r="D78" s="710"/>
      <c r="E78" s="710"/>
      <c r="F78" s="710">
        <f>11800+D155</f>
        <v>21800</v>
      </c>
      <c r="G78" s="710">
        <v>10000</v>
      </c>
      <c r="H78" s="725">
        <f>F78-G78</f>
        <v>11800</v>
      </c>
      <c r="I78" s="709"/>
    </row>
    <row r="79" spans="2:12" ht="15.5" x14ac:dyDescent="0.35">
      <c r="B79" s="96"/>
      <c r="C79" s="664" t="s">
        <v>235</v>
      </c>
      <c r="D79" s="710"/>
      <c r="E79" s="710"/>
      <c r="F79" s="711">
        <f>D105+D109</f>
        <v>25878</v>
      </c>
      <c r="G79" s="711"/>
      <c r="H79" s="725">
        <f>F79</f>
        <v>25878</v>
      </c>
      <c r="I79" s="709">
        <v>0</v>
      </c>
    </row>
    <row r="80" spans="2:12" ht="15.5" x14ac:dyDescent="0.35">
      <c r="B80" s="96"/>
      <c r="C80" s="664" t="s">
        <v>672</v>
      </c>
      <c r="D80" s="710"/>
      <c r="E80" s="710"/>
      <c r="F80" s="711">
        <v>127.53</v>
      </c>
      <c r="G80" s="711"/>
      <c r="H80" s="725">
        <f t="shared" ref="H80:H93" si="4">D80-E80+F80-G80</f>
        <v>127.53</v>
      </c>
      <c r="I80" s="709"/>
    </row>
    <row r="81" spans="2:9" ht="15.5" x14ac:dyDescent="0.35">
      <c r="B81" s="96"/>
      <c r="C81" s="664" t="s">
        <v>516</v>
      </c>
      <c r="D81" s="710"/>
      <c r="E81" s="710"/>
      <c r="F81" s="711">
        <v>9616.76</v>
      </c>
      <c r="G81" s="711"/>
      <c r="H81" s="725">
        <f t="shared" si="4"/>
        <v>9616.76</v>
      </c>
      <c r="I81" s="709"/>
    </row>
    <row r="82" spans="2:9" ht="15.5" x14ac:dyDescent="0.35">
      <c r="B82" s="96"/>
      <c r="C82" s="664" t="s">
        <v>512</v>
      </c>
      <c r="D82" s="710"/>
      <c r="E82" s="710"/>
      <c r="F82" s="711">
        <f>775000+E122</f>
        <v>780000</v>
      </c>
      <c r="G82" s="711"/>
      <c r="H82" s="725">
        <f>D82-E82+F82-G82</f>
        <v>780000</v>
      </c>
      <c r="I82" s="709"/>
    </row>
    <row r="83" spans="2:9" ht="15.5" x14ac:dyDescent="0.35">
      <c r="B83" s="96"/>
      <c r="C83" s="664" t="s">
        <v>518</v>
      </c>
      <c r="D83" s="710"/>
      <c r="E83" s="710"/>
      <c r="F83" s="711">
        <v>36615.480000000003</v>
      </c>
      <c r="G83" s="711"/>
      <c r="H83" s="725">
        <f t="shared" si="4"/>
        <v>36615.480000000003</v>
      </c>
      <c r="I83" s="709"/>
    </row>
    <row r="84" spans="2:9" ht="15.5" x14ac:dyDescent="0.35">
      <c r="B84" s="96"/>
      <c r="C84" s="664" t="s">
        <v>517</v>
      </c>
      <c r="D84" s="710"/>
      <c r="E84" s="710"/>
      <c r="F84" s="711">
        <v>106200</v>
      </c>
      <c r="G84" s="711"/>
      <c r="H84" s="725">
        <f t="shared" si="4"/>
        <v>106200</v>
      </c>
      <c r="I84" s="709"/>
    </row>
    <row r="85" spans="2:9" ht="15.5" x14ac:dyDescent="0.35">
      <c r="B85" s="96"/>
      <c r="C85" s="664" t="s">
        <v>519</v>
      </c>
      <c r="D85" s="710"/>
      <c r="E85" s="710"/>
      <c r="F85" s="711">
        <v>4371</v>
      </c>
      <c r="G85" s="711"/>
      <c r="H85" s="725">
        <f t="shared" si="4"/>
        <v>4371</v>
      </c>
      <c r="I85" s="709"/>
    </row>
    <row r="86" spans="2:9" ht="15.5" x14ac:dyDescent="0.35">
      <c r="B86" s="96"/>
      <c r="C86" s="664" t="s">
        <v>475</v>
      </c>
      <c r="D86" s="710"/>
      <c r="E86" s="710"/>
      <c r="F86" s="711">
        <v>6530</v>
      </c>
      <c r="G86" s="711"/>
      <c r="H86" s="725">
        <f t="shared" si="4"/>
        <v>6530</v>
      </c>
      <c r="I86" s="709"/>
    </row>
    <row r="87" spans="2:9" ht="15.5" x14ac:dyDescent="0.35">
      <c r="B87" s="96"/>
      <c r="C87" s="664" t="s">
        <v>631</v>
      </c>
      <c r="D87" s="710"/>
      <c r="E87" s="710"/>
      <c r="F87" s="711">
        <f>D159</f>
        <v>131805</v>
      </c>
      <c r="G87" s="711"/>
      <c r="H87" s="725">
        <f>D87-E87+F87-G87</f>
        <v>131805</v>
      </c>
      <c r="I87" s="709"/>
    </row>
    <row r="88" spans="2:9" ht="15.5" x14ac:dyDescent="0.35">
      <c r="B88" s="96"/>
      <c r="C88" s="664" t="s">
        <v>673</v>
      </c>
      <c r="D88" s="710"/>
      <c r="E88" s="710"/>
      <c r="F88" s="711">
        <v>3498</v>
      </c>
      <c r="G88" s="711"/>
      <c r="H88" s="725">
        <f t="shared" si="4"/>
        <v>3498</v>
      </c>
      <c r="I88" s="709"/>
    </row>
    <row r="89" spans="2:9" ht="15.5" x14ac:dyDescent="0.35">
      <c r="B89" s="96"/>
      <c r="C89" s="664" t="s">
        <v>515</v>
      </c>
      <c r="D89" s="710"/>
      <c r="E89" s="710"/>
      <c r="F89" s="711">
        <f>560.5+D133+D137+D141</f>
        <v>649</v>
      </c>
      <c r="G89" s="711"/>
      <c r="H89" s="710">
        <f t="shared" si="4"/>
        <v>649</v>
      </c>
      <c r="I89" s="709"/>
    </row>
    <row r="90" spans="2:9" ht="15.5" x14ac:dyDescent="0.35">
      <c r="B90" s="96"/>
      <c r="C90" s="664" t="s">
        <v>530</v>
      </c>
      <c r="D90" s="710"/>
      <c r="E90" s="710"/>
      <c r="F90" s="711">
        <v>23656.3</v>
      </c>
      <c r="G90" s="711"/>
      <c r="H90" s="710">
        <f t="shared" si="4"/>
        <v>23656.3</v>
      </c>
      <c r="I90" s="709"/>
    </row>
    <row r="91" spans="2:9" ht="15.5" x14ac:dyDescent="0.35">
      <c r="B91" s="96"/>
      <c r="C91" s="664" t="s">
        <v>65</v>
      </c>
      <c r="D91" s="710"/>
      <c r="E91" s="710"/>
      <c r="F91" s="711">
        <f>D117</f>
        <v>5872</v>
      </c>
      <c r="G91" s="711"/>
      <c r="H91" s="710">
        <f t="shared" si="4"/>
        <v>5872</v>
      </c>
      <c r="I91" s="709"/>
    </row>
    <row r="92" spans="2:9" ht="15.5" x14ac:dyDescent="0.35">
      <c r="B92" s="96"/>
      <c r="C92" s="664" t="s">
        <v>600</v>
      </c>
      <c r="D92" s="710"/>
      <c r="E92" s="710"/>
      <c r="F92" s="711">
        <f>D113</f>
        <v>617.36999999999989</v>
      </c>
      <c r="G92" s="711"/>
      <c r="H92" s="710">
        <f t="shared" si="4"/>
        <v>617.36999999999989</v>
      </c>
      <c r="I92" s="709"/>
    </row>
    <row r="93" spans="2:9" ht="15.5" x14ac:dyDescent="0.35">
      <c r="B93" s="96"/>
      <c r="C93" s="664" t="s">
        <v>665</v>
      </c>
      <c r="D93" s="710"/>
      <c r="E93" s="710"/>
      <c r="F93" s="711">
        <v>5323.11</v>
      </c>
      <c r="G93" s="711"/>
      <c r="H93" s="710">
        <f t="shared" si="4"/>
        <v>5323.11</v>
      </c>
      <c r="I93" s="709"/>
    </row>
    <row r="94" spans="2:9" ht="15.5" x14ac:dyDescent="0.35">
      <c r="B94" s="96"/>
      <c r="C94" s="664"/>
      <c r="D94" s="710"/>
      <c r="E94" s="710"/>
      <c r="F94" s="711"/>
      <c r="G94" s="711"/>
      <c r="H94" s="725"/>
      <c r="I94" s="709"/>
    </row>
    <row r="95" spans="2:9" ht="15.5" x14ac:dyDescent="0.35">
      <c r="B95" s="96"/>
      <c r="C95" s="696" t="s">
        <v>62</v>
      </c>
      <c r="D95" s="710"/>
      <c r="E95" s="710"/>
      <c r="F95" s="711"/>
      <c r="G95" s="711"/>
      <c r="H95" s="725"/>
      <c r="I95" s="709"/>
    </row>
    <row r="96" spans="2:9" ht="15.5" x14ac:dyDescent="0.35">
      <c r="B96" s="96"/>
      <c r="C96" s="664" t="s">
        <v>678</v>
      </c>
      <c r="D96" s="710"/>
      <c r="E96" s="710"/>
      <c r="F96" s="711">
        <f>D150</f>
        <v>8556</v>
      </c>
      <c r="G96" s="711"/>
      <c r="H96" s="710">
        <f t="shared" ref="H96" si="5">D96-E96+F96-G96</f>
        <v>8556</v>
      </c>
      <c r="I96" s="709"/>
    </row>
    <row r="97" spans="2:11" ht="15.5" x14ac:dyDescent="0.35">
      <c r="B97" s="96"/>
      <c r="C97" s="664"/>
      <c r="D97" s="710"/>
      <c r="E97" s="710"/>
      <c r="F97" s="711"/>
      <c r="G97" s="711"/>
      <c r="H97" s="710"/>
      <c r="I97" s="709"/>
    </row>
    <row r="98" spans="2:11" ht="15.5" x14ac:dyDescent="0.35">
      <c r="B98" s="96"/>
      <c r="C98" s="648" t="s">
        <v>97</v>
      </c>
      <c r="D98" s="718">
        <f t="shared" ref="D98:E98" si="6">SUM(D9:D97)</f>
        <v>848650.62000000011</v>
      </c>
      <c r="E98" s="718">
        <f t="shared" si="6"/>
        <v>848650.62</v>
      </c>
      <c r="F98" s="718">
        <f>SUM(F9:F97)</f>
        <v>4052548.4999999995</v>
      </c>
      <c r="G98" s="718">
        <f>SUM(G9:G97)</f>
        <v>4052548.5</v>
      </c>
      <c r="H98" s="718">
        <f t="shared" ref="H98:I98" si="7">SUM(H9:H97)</f>
        <v>1911252.5500000003</v>
      </c>
      <c r="I98" s="719">
        <f t="shared" si="7"/>
        <v>1911252.5499999998</v>
      </c>
    </row>
    <row r="99" spans="2:11" ht="15.5" x14ac:dyDescent="0.35">
      <c r="B99" s="96"/>
      <c r="C99" s="648"/>
      <c r="D99" s="718"/>
      <c r="E99" s="718"/>
      <c r="F99" s="718"/>
      <c r="G99" s="718"/>
      <c r="H99" s="718"/>
      <c r="I99" s="719"/>
    </row>
    <row r="100" spans="2:11" ht="16" thickBot="1" x14ac:dyDescent="0.4">
      <c r="B100" s="96"/>
      <c r="C100" s="649"/>
      <c r="D100" s="720"/>
      <c r="E100" s="720">
        <f>+E98-D98</f>
        <v>0</v>
      </c>
      <c r="F100" s="720"/>
      <c r="G100" s="721">
        <f>+F98-G98</f>
        <v>0</v>
      </c>
      <c r="H100" s="721"/>
      <c r="I100" s="722">
        <f>+H98-I98</f>
        <v>0</v>
      </c>
    </row>
    <row r="102" spans="2:11" ht="15.5" x14ac:dyDescent="0.35">
      <c r="K102" s="651"/>
    </row>
    <row r="103" spans="2:11" x14ac:dyDescent="0.35">
      <c r="C103" s="630" t="s">
        <v>550</v>
      </c>
      <c r="I103" s="6">
        <f>SUM(I72:I75)-H90</f>
        <v>1177885.6299999999</v>
      </c>
    </row>
    <row r="104" spans="2:11" x14ac:dyDescent="0.35">
      <c r="I104" s="6">
        <f>SUM(H77:H89,H93)</f>
        <v>1152100.8800000001</v>
      </c>
    </row>
    <row r="105" spans="2:11" x14ac:dyDescent="0.35">
      <c r="B105">
        <v>1</v>
      </c>
      <c r="C105" t="s">
        <v>551</v>
      </c>
      <c r="D105" s="6">
        <f>'9'!K13</f>
        <v>21157</v>
      </c>
      <c r="I105" s="6">
        <f>I103-I104</f>
        <v>25784.749999999767</v>
      </c>
    </row>
    <row r="106" spans="2:11" x14ac:dyDescent="0.35">
      <c r="C106" t="s">
        <v>553</v>
      </c>
      <c r="E106" s="6">
        <v>21157</v>
      </c>
    </row>
    <row r="107" spans="2:11" x14ac:dyDescent="0.35">
      <c r="C107" s="630" t="s">
        <v>555</v>
      </c>
    </row>
    <row r="109" spans="2:11" x14ac:dyDescent="0.35">
      <c r="B109">
        <v>2</v>
      </c>
      <c r="C109" t="s">
        <v>552</v>
      </c>
      <c r="D109" s="6">
        <f>'9'!K14</f>
        <v>4721</v>
      </c>
    </row>
    <row r="110" spans="2:11" x14ac:dyDescent="0.35">
      <c r="C110" t="s">
        <v>554</v>
      </c>
      <c r="E110" s="6">
        <f>D109</f>
        <v>4721</v>
      </c>
    </row>
    <row r="111" spans="2:11" x14ac:dyDescent="0.35">
      <c r="C111" s="630" t="s">
        <v>555</v>
      </c>
    </row>
    <row r="113" spans="2:5" ht="15" customHeight="1" x14ac:dyDescent="0.35">
      <c r="B113">
        <v>3</v>
      </c>
      <c r="C113" t="s">
        <v>598</v>
      </c>
      <c r="D113" s="6">
        <f>-'Deferred Tax'!E21</f>
        <v>617.36999999999989</v>
      </c>
    </row>
    <row r="114" spans="2:5" x14ac:dyDescent="0.35">
      <c r="C114" t="s">
        <v>599</v>
      </c>
      <c r="E114" s="6">
        <f>D113</f>
        <v>617.36999999999989</v>
      </c>
    </row>
    <row r="115" spans="2:5" x14ac:dyDescent="0.35">
      <c r="C115" s="630" t="s">
        <v>556</v>
      </c>
    </row>
    <row r="117" spans="2:5" x14ac:dyDescent="0.35">
      <c r="B117">
        <v>4</v>
      </c>
      <c r="C117" t="s">
        <v>598</v>
      </c>
      <c r="D117" s="6">
        <f>E118</f>
        <v>5872</v>
      </c>
    </row>
    <row r="118" spans="2:5" x14ac:dyDescent="0.35">
      <c r="C118" t="s">
        <v>557</v>
      </c>
      <c r="E118" s="6">
        <f>'IT computation'!G38</f>
        <v>5872</v>
      </c>
    </row>
    <row r="119" spans="2:5" x14ac:dyDescent="0.35">
      <c r="C119" s="630" t="s">
        <v>558</v>
      </c>
    </row>
    <row r="121" spans="2:5" x14ac:dyDescent="0.35">
      <c r="B121">
        <v>5</v>
      </c>
      <c r="C121" t="s">
        <v>636</v>
      </c>
      <c r="D121" s="6">
        <v>5000</v>
      </c>
    </row>
    <row r="122" spans="2:5" x14ac:dyDescent="0.35">
      <c r="C122" t="s">
        <v>656</v>
      </c>
      <c r="E122" s="6">
        <f>5000</f>
        <v>5000</v>
      </c>
    </row>
    <row r="123" spans="2:5" x14ac:dyDescent="0.35">
      <c r="C123" s="630" t="s">
        <v>666</v>
      </c>
    </row>
    <row r="125" spans="2:5" x14ac:dyDescent="0.35">
      <c r="B125">
        <v>6</v>
      </c>
      <c r="C125" t="s">
        <v>561</v>
      </c>
      <c r="D125" s="6">
        <v>618</v>
      </c>
    </row>
    <row r="126" spans="2:5" x14ac:dyDescent="0.35">
      <c r="C126" t="s">
        <v>564</v>
      </c>
      <c r="E126" s="6">
        <v>618</v>
      </c>
    </row>
    <row r="127" spans="2:5" x14ac:dyDescent="0.35">
      <c r="C127" s="630" t="s">
        <v>625</v>
      </c>
    </row>
    <row r="128" spans="2:5" x14ac:dyDescent="0.35">
      <c r="C128" s="630"/>
    </row>
    <row r="129" spans="2:5" x14ac:dyDescent="0.35">
      <c r="B129">
        <v>7</v>
      </c>
      <c r="C129" t="s">
        <v>602</v>
      </c>
      <c r="D129" s="6">
        <v>1596.68</v>
      </c>
    </row>
    <row r="130" spans="2:5" x14ac:dyDescent="0.35">
      <c r="C130" t="s">
        <v>564</v>
      </c>
      <c r="E130" s="6">
        <f>D129</f>
        <v>1596.68</v>
      </c>
    </row>
    <row r="131" spans="2:5" x14ac:dyDescent="0.35">
      <c r="C131" s="630" t="s">
        <v>626</v>
      </c>
    </row>
    <row r="132" spans="2:5" x14ac:dyDescent="0.35">
      <c r="C132" s="630"/>
    </row>
    <row r="133" spans="2:5" x14ac:dyDescent="0.35">
      <c r="B133">
        <v>8</v>
      </c>
      <c r="C133" t="s">
        <v>562</v>
      </c>
      <c r="D133" s="6">
        <v>29.5</v>
      </c>
    </row>
    <row r="134" spans="2:5" x14ac:dyDescent="0.35">
      <c r="C134" t="s">
        <v>560</v>
      </c>
      <c r="E134" s="6">
        <v>29.5</v>
      </c>
    </row>
    <row r="135" spans="2:5" x14ac:dyDescent="0.35">
      <c r="C135" s="630" t="s">
        <v>627</v>
      </c>
    </row>
    <row r="136" spans="2:5" x14ac:dyDescent="0.35">
      <c r="C136" s="630"/>
    </row>
    <row r="137" spans="2:5" x14ac:dyDescent="0.35">
      <c r="B137">
        <v>9</v>
      </c>
      <c r="C137" t="s">
        <v>563</v>
      </c>
      <c r="D137" s="6">
        <v>29.5</v>
      </c>
    </row>
    <row r="138" spans="2:5" x14ac:dyDescent="0.35">
      <c r="C138" t="s">
        <v>560</v>
      </c>
      <c r="E138" s="6">
        <v>29.5</v>
      </c>
    </row>
    <row r="139" spans="2:5" x14ac:dyDescent="0.35">
      <c r="C139" s="630" t="s">
        <v>627</v>
      </c>
    </row>
    <row r="140" spans="2:5" x14ac:dyDescent="0.35">
      <c r="C140" s="630"/>
    </row>
    <row r="141" spans="2:5" x14ac:dyDescent="0.35">
      <c r="B141">
        <v>10</v>
      </c>
      <c r="C141" t="s">
        <v>563</v>
      </c>
      <c r="D141" s="6">
        <v>29.5</v>
      </c>
    </row>
    <row r="142" spans="2:5" x14ac:dyDescent="0.35">
      <c r="C142" t="s">
        <v>564</v>
      </c>
      <c r="E142" s="6">
        <v>29.5</v>
      </c>
    </row>
    <row r="143" spans="2:5" x14ac:dyDescent="0.35">
      <c r="C143" s="630" t="s">
        <v>627</v>
      </c>
    </row>
    <row r="144" spans="2:5" x14ac:dyDescent="0.35">
      <c r="C144" s="630"/>
    </row>
    <row r="145" spans="2:5" x14ac:dyDescent="0.35">
      <c r="B145">
        <v>11</v>
      </c>
      <c r="C145" t="s">
        <v>580</v>
      </c>
      <c r="D145" s="6">
        <v>52260</v>
      </c>
    </row>
    <row r="146" spans="2:5" x14ac:dyDescent="0.35">
      <c r="C146" t="s">
        <v>637</v>
      </c>
      <c r="E146" s="6">
        <f>D145</f>
        <v>52260</v>
      </c>
    </row>
    <row r="147" spans="2:5" x14ac:dyDescent="0.35">
      <c r="C147" s="630" t="s">
        <v>669</v>
      </c>
    </row>
    <row r="148" spans="2:5" x14ac:dyDescent="0.35">
      <c r="C148" s="630"/>
    </row>
    <row r="149" spans="2:5" x14ac:dyDescent="0.35">
      <c r="B149">
        <v>12</v>
      </c>
      <c r="C149" t="s">
        <v>582</v>
      </c>
      <c r="D149" s="6">
        <v>97172</v>
      </c>
    </row>
    <row r="150" spans="2:5" x14ac:dyDescent="0.35">
      <c r="C150" t="s">
        <v>677</v>
      </c>
      <c r="D150" s="6">
        <f>E151+E152-D149</f>
        <v>8556</v>
      </c>
    </row>
    <row r="151" spans="2:5" x14ac:dyDescent="0.35">
      <c r="C151" t="s">
        <v>638</v>
      </c>
      <c r="E151" s="6">
        <v>19718</v>
      </c>
    </row>
    <row r="152" spans="2:5" x14ac:dyDescent="0.35">
      <c r="C152" t="s">
        <v>639</v>
      </c>
      <c r="E152" s="6">
        <v>86010</v>
      </c>
    </row>
    <row r="153" spans="2:5" x14ac:dyDescent="0.35">
      <c r="C153" s="630" t="s">
        <v>630</v>
      </c>
    </row>
    <row r="154" spans="2:5" x14ac:dyDescent="0.35">
      <c r="C154" s="630"/>
    </row>
    <row r="155" spans="2:5" x14ac:dyDescent="0.35">
      <c r="B155">
        <f>B149+1</f>
        <v>13</v>
      </c>
      <c r="C155" t="s">
        <v>586</v>
      </c>
      <c r="D155" s="6">
        <v>10000</v>
      </c>
    </row>
    <row r="156" spans="2:5" x14ac:dyDescent="0.35">
      <c r="C156" t="s">
        <v>640</v>
      </c>
      <c r="E156" s="6">
        <v>10000</v>
      </c>
    </row>
    <row r="157" spans="2:5" x14ac:dyDescent="0.35">
      <c r="C157" s="630" t="s">
        <v>490</v>
      </c>
    </row>
    <row r="159" spans="2:5" x14ac:dyDescent="0.35">
      <c r="B159">
        <f>B155+1</f>
        <v>14</v>
      </c>
      <c r="C159" t="s">
        <v>635</v>
      </c>
      <c r="D159" s="6">
        <v>131805</v>
      </c>
    </row>
    <row r="160" spans="2:5" x14ac:dyDescent="0.35">
      <c r="C160" t="s">
        <v>641</v>
      </c>
      <c r="E160" s="6">
        <f>D159</f>
        <v>131805</v>
      </c>
    </row>
    <row r="161" spans="2:5" x14ac:dyDescent="0.35">
      <c r="C161" s="630" t="s">
        <v>629</v>
      </c>
    </row>
    <row r="162" spans="2:5" x14ac:dyDescent="0.35">
      <c r="C162" s="630"/>
    </row>
    <row r="163" spans="2:5" x14ac:dyDescent="0.35">
      <c r="B163">
        <f>B159+1</f>
        <v>15</v>
      </c>
      <c r="C163" t="s">
        <v>657</v>
      </c>
      <c r="D163" s="6">
        <f>E164+E165+E166+E167+E168+E169+E170+E171+E172+E173+E174+E175+E176+E177</f>
        <v>131775.04000000001</v>
      </c>
    </row>
    <row r="164" spans="2:5" x14ac:dyDescent="0.35">
      <c r="C164" s="704" t="s">
        <v>642</v>
      </c>
      <c r="E164" s="6">
        <v>4930.6699999999983</v>
      </c>
    </row>
    <row r="165" spans="2:5" x14ac:dyDescent="0.35">
      <c r="C165" s="704" t="s">
        <v>643</v>
      </c>
      <c r="E165" s="6">
        <v>7127.25</v>
      </c>
    </row>
    <row r="166" spans="2:5" x14ac:dyDescent="0.35">
      <c r="C166" s="704" t="s">
        <v>644</v>
      </c>
      <c r="E166" s="6">
        <v>3899.5</v>
      </c>
    </row>
    <row r="167" spans="2:5" x14ac:dyDescent="0.35">
      <c r="C167" s="704" t="s">
        <v>645</v>
      </c>
      <c r="E167" s="6">
        <v>21299.53</v>
      </c>
    </row>
    <row r="168" spans="2:5" x14ac:dyDescent="0.35">
      <c r="C168" s="704" t="s">
        <v>646</v>
      </c>
      <c r="E168" s="6">
        <v>7630.760000000002</v>
      </c>
    </row>
    <row r="169" spans="2:5" x14ac:dyDescent="0.35">
      <c r="C169" s="704" t="s">
        <v>647</v>
      </c>
      <c r="E169" s="6">
        <v>6177.43</v>
      </c>
    </row>
    <row r="170" spans="2:5" x14ac:dyDescent="0.35">
      <c r="C170" s="704" t="s">
        <v>648</v>
      </c>
      <c r="E170" s="6">
        <f>42013.68-30</f>
        <v>41983.68</v>
      </c>
    </row>
    <row r="171" spans="2:5" x14ac:dyDescent="0.35">
      <c r="C171" s="704" t="s">
        <v>649</v>
      </c>
      <c r="E171" s="6">
        <v>7546.8099999999977</v>
      </c>
    </row>
    <row r="172" spans="2:5" x14ac:dyDescent="0.35">
      <c r="C172" s="704" t="s">
        <v>650</v>
      </c>
      <c r="E172" s="6">
        <v>1579.2199999999993</v>
      </c>
    </row>
    <row r="173" spans="2:5" x14ac:dyDescent="0.35">
      <c r="C173" s="704" t="s">
        <v>651</v>
      </c>
      <c r="E173" s="6">
        <v>5036.5999999999985</v>
      </c>
    </row>
    <row r="174" spans="2:5" x14ac:dyDescent="0.35">
      <c r="C174" s="704" t="s">
        <v>652</v>
      </c>
      <c r="E174" s="6">
        <v>23104.600000000006</v>
      </c>
    </row>
    <row r="175" spans="2:5" x14ac:dyDescent="0.35">
      <c r="C175" s="704" t="s">
        <v>653</v>
      </c>
      <c r="E175" s="6">
        <v>678.29</v>
      </c>
    </row>
    <row r="176" spans="2:5" x14ac:dyDescent="0.35">
      <c r="C176" s="704" t="s">
        <v>654</v>
      </c>
      <c r="E176" s="6">
        <v>449.42000000000007</v>
      </c>
    </row>
    <row r="177" spans="2:5" x14ac:dyDescent="0.35">
      <c r="C177" s="704" t="s">
        <v>655</v>
      </c>
      <c r="E177" s="6">
        <v>331.28</v>
      </c>
    </row>
    <row r="178" spans="2:5" x14ac:dyDescent="0.35">
      <c r="C178" s="630" t="s">
        <v>628</v>
      </c>
    </row>
    <row r="179" spans="2:5" x14ac:dyDescent="0.35">
      <c r="C179" s="630"/>
    </row>
    <row r="180" spans="2:5" x14ac:dyDescent="0.35">
      <c r="B180">
        <f>B163+1</f>
        <v>16</v>
      </c>
      <c r="C180" t="s">
        <v>623</v>
      </c>
      <c r="D180" s="6">
        <f>E181+E182</f>
        <v>23660</v>
      </c>
    </row>
    <row r="181" spans="2:5" x14ac:dyDescent="0.35">
      <c r="C181" t="s">
        <v>663</v>
      </c>
      <c r="E181" s="6">
        <f>E182</f>
        <v>11830</v>
      </c>
    </row>
    <row r="182" spans="2:5" x14ac:dyDescent="0.35">
      <c r="C182" t="s">
        <v>624</v>
      </c>
      <c r="E182" s="6">
        <v>11830</v>
      </c>
    </row>
    <row r="183" spans="2:5" x14ac:dyDescent="0.35">
      <c r="C183" s="630" t="s">
        <v>605</v>
      </c>
    </row>
    <row r="185" spans="2:5" x14ac:dyDescent="0.35">
      <c r="B185">
        <f>B180+1</f>
        <v>17</v>
      </c>
      <c r="C185" t="s">
        <v>588</v>
      </c>
      <c r="D185" s="723">
        <v>9213</v>
      </c>
    </row>
    <row r="186" spans="2:5" x14ac:dyDescent="0.35">
      <c r="C186" t="s">
        <v>659</v>
      </c>
      <c r="D186" s="6">
        <v>19718</v>
      </c>
    </row>
    <row r="187" spans="2:5" x14ac:dyDescent="0.35">
      <c r="C187" t="s">
        <v>660</v>
      </c>
      <c r="D187" s="6">
        <v>10019.41</v>
      </c>
    </row>
    <row r="188" spans="2:5" x14ac:dyDescent="0.35">
      <c r="C188" t="s">
        <v>661</v>
      </c>
      <c r="D188" s="6">
        <v>5822.35</v>
      </c>
    </row>
    <row r="189" spans="2:5" x14ac:dyDescent="0.35">
      <c r="C189" t="s">
        <v>589</v>
      </c>
      <c r="D189" s="6">
        <v>86010</v>
      </c>
    </row>
    <row r="190" spans="2:5" x14ac:dyDescent="0.35">
      <c r="C190" t="s">
        <v>590</v>
      </c>
      <c r="D190" s="6">
        <v>15410</v>
      </c>
    </row>
    <row r="191" spans="2:5" x14ac:dyDescent="0.35">
      <c r="C191" t="s">
        <v>662</v>
      </c>
      <c r="E191" s="6">
        <f>SUM(D185:D190)</f>
        <v>146192.76</v>
      </c>
    </row>
    <row r="192" spans="2:5" x14ac:dyDescent="0.35">
      <c r="C192" s="630" t="s">
        <v>671</v>
      </c>
    </row>
    <row r="194" spans="2:7" x14ac:dyDescent="0.35">
      <c r="B194">
        <v>18</v>
      </c>
      <c r="C194" t="s">
        <v>658</v>
      </c>
      <c r="D194" s="6">
        <f>F93</f>
        <v>5323.11</v>
      </c>
    </row>
    <row r="195" spans="2:7" x14ac:dyDescent="0.35">
      <c r="C195" t="s">
        <v>664</v>
      </c>
      <c r="E195" s="6">
        <f>G41</f>
        <v>5323.11</v>
      </c>
    </row>
    <row r="196" spans="2:7" x14ac:dyDescent="0.35">
      <c r="C196" s="630" t="s">
        <v>667</v>
      </c>
    </row>
    <row r="198" spans="2:7" x14ac:dyDescent="0.35">
      <c r="B198">
        <v>19</v>
      </c>
      <c r="C198" t="s">
        <v>668</v>
      </c>
      <c r="D198" s="6">
        <f>20846.36+D202</f>
        <v>21929.31</v>
      </c>
      <c r="G198" s="6">
        <f>20846.36-1082.95</f>
        <v>19763.41</v>
      </c>
    </row>
    <row r="199" spans="2:7" x14ac:dyDescent="0.35">
      <c r="C199" t="s">
        <v>670</v>
      </c>
      <c r="E199" s="6">
        <f>D198</f>
        <v>21929.31</v>
      </c>
    </row>
    <row r="200" spans="2:7" x14ac:dyDescent="0.35">
      <c r="C200" t="s">
        <v>684</v>
      </c>
    </row>
    <row r="202" spans="2:7" ht="15.5" x14ac:dyDescent="0.35">
      <c r="B202">
        <v>20</v>
      </c>
      <c r="C202" s="831" t="s">
        <v>603</v>
      </c>
      <c r="D202" s="6">
        <v>1082.95</v>
      </c>
    </row>
    <row r="203" spans="2:7" x14ac:dyDescent="0.35">
      <c r="C203" s="830" t="s">
        <v>791</v>
      </c>
      <c r="E203" s="6">
        <f>D202</f>
        <v>1082.95</v>
      </c>
    </row>
    <row r="204" spans="2:7" x14ac:dyDescent="0.35">
      <c r="C204" s="704" t="s">
        <v>792</v>
      </c>
    </row>
  </sheetData>
  <autoFilter ref="C8:L100" xr:uid="{00000000-0009-0000-0000-000005000000}"/>
  <mergeCells count="5">
    <mergeCell ref="C4:I4"/>
    <mergeCell ref="C5:I6"/>
    <mergeCell ref="D7:E7"/>
    <mergeCell ref="F7:G7"/>
    <mergeCell ref="H7:I7"/>
  </mergeCells>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B1:K74"/>
  <sheetViews>
    <sheetView tabSelected="1" topLeftCell="A67" zoomScaleNormal="100" workbookViewId="0">
      <selection activeCell="H21" sqref="H21"/>
    </sheetView>
  </sheetViews>
  <sheetFormatPr defaultColWidth="9.26953125" defaultRowHeight="15" x14ac:dyDescent="0.3"/>
  <cols>
    <col min="1" max="1" width="11.54296875" style="92" customWidth="1"/>
    <col min="2" max="5" width="3.54296875" style="98" customWidth="1"/>
    <col min="6" max="6" width="42.453125" style="92" customWidth="1"/>
    <col min="7" max="7" width="10.7265625" style="92" customWidth="1"/>
    <col min="8" max="8" width="25.54296875" style="99" customWidth="1"/>
    <col min="9" max="9" width="25" style="100" bestFit="1" customWidth="1"/>
    <col min="10" max="10" width="15" style="92" bestFit="1" customWidth="1"/>
    <col min="11" max="11" width="14" style="92" bestFit="1" customWidth="1"/>
    <col min="12" max="16384" width="9.26953125" style="92"/>
  </cols>
  <sheetData>
    <row r="1" spans="2:11" ht="15.5" thickBot="1" x14ac:dyDescent="0.35"/>
    <row r="2" spans="2:11" s="106" customFormat="1" ht="17.5" x14ac:dyDescent="0.35">
      <c r="B2" s="101" t="s">
        <v>251</v>
      </c>
      <c r="C2" s="102"/>
      <c r="D2" s="102"/>
      <c r="E2" s="102"/>
      <c r="F2" s="103"/>
      <c r="G2" s="103"/>
      <c r="H2" s="104"/>
      <c r="I2" s="105"/>
    </row>
    <row r="3" spans="2:11" s="106" customFormat="1" ht="17.5" x14ac:dyDescent="0.35">
      <c r="B3" s="107" t="s">
        <v>253</v>
      </c>
      <c r="C3" s="108"/>
      <c r="D3" s="108"/>
      <c r="E3" s="108"/>
      <c r="H3" s="109"/>
      <c r="I3" s="110"/>
    </row>
    <row r="4" spans="2:11" s="112" customFormat="1" ht="17.5" x14ac:dyDescent="0.35">
      <c r="B4" s="111" t="s">
        <v>252</v>
      </c>
      <c r="C4" s="108"/>
      <c r="D4" s="108"/>
      <c r="E4" s="108"/>
      <c r="H4" s="113"/>
      <c r="I4" s="114"/>
    </row>
    <row r="5" spans="2:11" s="106" customFormat="1" ht="18" thickBot="1" x14ac:dyDescent="0.4">
      <c r="B5" s="115" t="s">
        <v>101</v>
      </c>
      <c r="C5" s="116"/>
      <c r="D5" s="116"/>
      <c r="E5" s="116"/>
      <c r="F5" s="117"/>
      <c r="G5" s="117"/>
      <c r="H5" s="118"/>
      <c r="I5" s="119"/>
    </row>
    <row r="6" spans="2:11" ht="15.5" thickBot="1" x14ac:dyDescent="0.35">
      <c r="B6" s="120"/>
      <c r="C6" s="120"/>
      <c r="D6" s="120"/>
      <c r="E6" s="120"/>
    </row>
    <row r="7" spans="2:11" ht="15.5" thickBot="1" x14ac:dyDescent="0.35">
      <c r="B7" s="853" t="s">
        <v>495</v>
      </c>
      <c r="C7" s="854"/>
      <c r="D7" s="854"/>
      <c r="E7" s="854"/>
      <c r="F7" s="854"/>
      <c r="G7" s="854"/>
      <c r="H7" s="854"/>
      <c r="I7" s="855"/>
    </row>
    <row r="8" spans="2:11" ht="15.5" thickBot="1" x14ac:dyDescent="0.35">
      <c r="B8" s="121"/>
      <c r="C8" s="121"/>
      <c r="D8" s="121"/>
      <c r="E8" s="121"/>
    </row>
    <row r="9" spans="2:11" ht="32.15" customHeight="1" thickBot="1" x14ac:dyDescent="0.35">
      <c r="B9" s="849" t="s">
        <v>0</v>
      </c>
      <c r="C9" s="850"/>
      <c r="D9" s="850"/>
      <c r="E9" s="850"/>
      <c r="F9" s="850"/>
      <c r="G9" s="122" t="s">
        <v>15</v>
      </c>
      <c r="H9" s="123" t="s">
        <v>496</v>
      </c>
      <c r="I9" s="124" t="s">
        <v>486</v>
      </c>
    </row>
    <row r="10" spans="2:11" x14ac:dyDescent="0.3">
      <c r="B10" s="125"/>
      <c r="C10" s="126" t="s">
        <v>1</v>
      </c>
      <c r="D10" s="126"/>
      <c r="E10" s="126"/>
      <c r="F10" s="127"/>
      <c r="G10" s="128"/>
      <c r="H10" s="615"/>
      <c r="I10" s="129"/>
    </row>
    <row r="11" spans="2:11" x14ac:dyDescent="0.3">
      <c r="B11" s="130"/>
      <c r="C11" s="96"/>
      <c r="D11" s="131" t="s">
        <v>348</v>
      </c>
      <c r="E11" s="96"/>
      <c r="G11" s="132"/>
      <c r="H11" s="616"/>
      <c r="I11" s="133"/>
    </row>
    <row r="12" spans="2:11" x14ac:dyDescent="0.3">
      <c r="B12" s="134"/>
      <c r="C12" s="121"/>
      <c r="D12" s="92"/>
      <c r="E12" s="92" t="s">
        <v>16</v>
      </c>
      <c r="G12" s="132">
        <v>3</v>
      </c>
      <c r="H12" s="730">
        <f>+'3-8'!C17</f>
        <v>100000</v>
      </c>
      <c r="I12" s="133">
        <v>100000</v>
      </c>
      <c r="J12" s="94"/>
      <c r="K12" s="94"/>
    </row>
    <row r="13" spans="2:11" x14ac:dyDescent="0.3">
      <c r="B13" s="134"/>
      <c r="C13" s="121"/>
      <c r="D13" s="92"/>
      <c r="E13" s="92" t="s">
        <v>17</v>
      </c>
      <c r="G13" s="132">
        <v>4</v>
      </c>
      <c r="H13" s="617">
        <f>+'3-8'!C61</f>
        <v>522814.34510969685</v>
      </c>
      <c r="I13" s="133">
        <v>512074.62</v>
      </c>
      <c r="J13" s="94"/>
      <c r="K13" s="94"/>
    </row>
    <row r="14" spans="2:11" x14ac:dyDescent="0.3">
      <c r="B14" s="134"/>
      <c r="C14" s="121"/>
      <c r="D14" s="92"/>
      <c r="E14" s="92" t="s">
        <v>18</v>
      </c>
      <c r="G14" s="132"/>
      <c r="H14" s="618" t="s">
        <v>5</v>
      </c>
      <c r="I14" s="133">
        <v>0</v>
      </c>
      <c r="J14" s="94"/>
    </row>
    <row r="15" spans="2:11" x14ac:dyDescent="0.3">
      <c r="B15" s="130"/>
      <c r="C15" s="121"/>
      <c r="D15" s="121"/>
      <c r="E15" s="121"/>
      <c r="G15" s="132"/>
      <c r="H15" s="619">
        <f>SUM(H12:H14)</f>
        <v>622814.34510969685</v>
      </c>
      <c r="I15" s="136">
        <f>SUM(I12:I14)</f>
        <v>612074.62</v>
      </c>
      <c r="J15" s="94"/>
      <c r="K15" s="94"/>
    </row>
    <row r="16" spans="2:11" x14ac:dyDescent="0.3">
      <c r="B16" s="130"/>
      <c r="C16" s="121"/>
      <c r="D16" s="131" t="s">
        <v>19</v>
      </c>
      <c r="E16" s="131"/>
      <c r="G16" s="132"/>
      <c r="H16" s="619">
        <f>0</f>
        <v>0</v>
      </c>
      <c r="I16" s="133">
        <v>0</v>
      </c>
      <c r="J16" s="94"/>
    </row>
    <row r="17" spans="2:11" x14ac:dyDescent="0.3">
      <c r="B17" s="130"/>
      <c r="C17" s="121"/>
      <c r="D17" s="131" t="s">
        <v>20</v>
      </c>
      <c r="E17" s="131"/>
      <c r="F17" s="121"/>
      <c r="G17" s="132"/>
      <c r="H17" s="619"/>
      <c r="I17" s="133"/>
      <c r="J17" s="94"/>
    </row>
    <row r="18" spans="2:11" x14ac:dyDescent="0.3">
      <c r="B18" s="130"/>
      <c r="C18" s="121"/>
      <c r="D18" s="121"/>
      <c r="E18" s="137" t="s">
        <v>21</v>
      </c>
      <c r="G18" s="132"/>
      <c r="H18" s="619">
        <f>0</f>
        <v>0</v>
      </c>
      <c r="I18" s="133">
        <v>0</v>
      </c>
      <c r="J18" s="94"/>
    </row>
    <row r="19" spans="2:11" x14ac:dyDescent="0.3">
      <c r="B19" s="130"/>
      <c r="C19" s="121"/>
      <c r="D19" s="121"/>
      <c r="E19" s="137" t="s">
        <v>22</v>
      </c>
      <c r="G19" s="132">
        <v>5</v>
      </c>
      <c r="H19" s="619">
        <f>'3-8'!C80</f>
        <v>0</v>
      </c>
      <c r="I19" s="133">
        <v>0</v>
      </c>
      <c r="J19" s="94"/>
      <c r="K19" s="94"/>
    </row>
    <row r="20" spans="2:11" x14ac:dyDescent="0.3">
      <c r="B20" s="130"/>
      <c r="C20" s="121"/>
      <c r="D20" s="121"/>
      <c r="E20" s="137" t="s">
        <v>23</v>
      </c>
      <c r="G20" s="132"/>
      <c r="H20" s="619">
        <f>0</f>
        <v>0</v>
      </c>
      <c r="I20" s="133">
        <v>0</v>
      </c>
      <c r="J20" s="94"/>
    </row>
    <row r="21" spans="2:11" x14ac:dyDescent="0.3">
      <c r="B21" s="130"/>
      <c r="C21" s="121"/>
      <c r="D21" s="92"/>
      <c r="E21" s="137" t="s">
        <v>24</v>
      </c>
      <c r="G21" s="132">
        <v>6</v>
      </c>
      <c r="H21" s="744">
        <f>'3-8'!C102</f>
        <v>81764</v>
      </c>
      <c r="I21" s="133">
        <f>'3-8'!D102</f>
        <v>121329</v>
      </c>
      <c r="J21" s="94"/>
    </row>
    <row r="22" spans="2:11" x14ac:dyDescent="0.3">
      <c r="B22" s="130"/>
      <c r="C22" s="121"/>
      <c r="D22" s="92"/>
      <c r="E22" s="92"/>
      <c r="F22" s="137"/>
      <c r="G22" s="132"/>
      <c r="H22" s="620">
        <f>SUM(H18:H21)</f>
        <v>81764</v>
      </c>
      <c r="I22" s="627">
        <f>SUM(I18:I21)</f>
        <v>121329</v>
      </c>
      <c r="J22" s="94"/>
      <c r="K22" s="94"/>
    </row>
    <row r="23" spans="2:11" x14ac:dyDescent="0.3">
      <c r="B23" s="138"/>
      <c r="C23" s="92"/>
      <c r="D23" s="96" t="s">
        <v>25</v>
      </c>
      <c r="E23" s="96"/>
      <c r="G23" s="132"/>
      <c r="H23" s="616"/>
      <c r="I23" s="133"/>
      <c r="J23" s="94"/>
    </row>
    <row r="24" spans="2:11" x14ac:dyDescent="0.3">
      <c r="B24" s="138"/>
      <c r="C24" s="92"/>
      <c r="D24" s="96"/>
      <c r="E24" s="92" t="s">
        <v>26</v>
      </c>
      <c r="G24" s="132">
        <v>7</v>
      </c>
      <c r="H24" s="619">
        <f>'3-8'!C108</f>
        <v>0</v>
      </c>
      <c r="I24" s="197">
        <v>47640</v>
      </c>
      <c r="J24" s="94"/>
      <c r="K24" s="94"/>
    </row>
    <row r="25" spans="2:11" x14ac:dyDescent="0.3">
      <c r="B25" s="134"/>
      <c r="C25" s="121"/>
      <c r="D25" s="92"/>
      <c r="E25" s="92" t="s">
        <v>27</v>
      </c>
      <c r="G25" s="132"/>
      <c r="H25" s="621"/>
      <c r="I25" s="133"/>
      <c r="J25" s="94"/>
    </row>
    <row r="26" spans="2:11" ht="30" x14ac:dyDescent="0.3">
      <c r="B26" s="134"/>
      <c r="C26" s="121"/>
      <c r="D26" s="92"/>
      <c r="E26" s="140" t="s">
        <v>28</v>
      </c>
      <c r="F26" s="141" t="s">
        <v>260</v>
      </c>
      <c r="G26" s="132"/>
      <c r="H26" s="621"/>
      <c r="I26" s="133"/>
      <c r="J26" s="94"/>
    </row>
    <row r="27" spans="2:11" ht="33" customHeight="1" x14ac:dyDescent="0.3">
      <c r="B27" s="134"/>
      <c r="C27" s="121"/>
      <c r="D27" s="92"/>
      <c r="E27" s="142" t="s">
        <v>29</v>
      </c>
      <c r="F27" s="143" t="s">
        <v>30</v>
      </c>
      <c r="G27" s="132"/>
      <c r="H27" s="621"/>
      <c r="I27" s="133"/>
      <c r="J27" s="94"/>
    </row>
    <row r="28" spans="2:11" x14ac:dyDescent="0.3">
      <c r="B28" s="134"/>
      <c r="C28" s="121"/>
      <c r="D28" s="92"/>
      <c r="E28" s="92" t="s">
        <v>13</v>
      </c>
      <c r="G28" s="132">
        <v>8</v>
      </c>
      <c r="H28" s="730">
        <f>+'3-8'!C117</f>
        <v>10000</v>
      </c>
      <c r="I28" s="133">
        <v>10000</v>
      </c>
      <c r="J28" s="94"/>
      <c r="K28" s="94"/>
    </row>
    <row r="29" spans="2:11" x14ac:dyDescent="0.3">
      <c r="B29" s="134"/>
      <c r="C29" s="121"/>
      <c r="D29" s="92"/>
      <c r="E29" s="92" t="s">
        <v>31</v>
      </c>
      <c r="G29" s="132">
        <v>6</v>
      </c>
      <c r="H29" s="745">
        <f>'3-8'!C93</f>
        <v>5872</v>
      </c>
      <c r="I29" s="133">
        <f>'3-8'!D93</f>
        <v>57607</v>
      </c>
      <c r="J29" s="94"/>
      <c r="K29" s="94"/>
    </row>
    <row r="30" spans="2:11" x14ac:dyDescent="0.3">
      <c r="B30" s="130"/>
      <c r="C30" s="121"/>
      <c r="D30" s="121"/>
      <c r="E30" s="121"/>
      <c r="G30" s="132"/>
      <c r="H30" s="619">
        <f>+SUM(H24:H29)</f>
        <v>15872</v>
      </c>
      <c r="I30" s="136">
        <f>SUM(I24:I29)</f>
        <v>115247</v>
      </c>
      <c r="J30" s="94"/>
      <c r="K30" s="94"/>
    </row>
    <row r="31" spans="2:11" x14ac:dyDescent="0.3">
      <c r="B31" s="144"/>
      <c r="C31" s="145" t="s">
        <v>2</v>
      </c>
      <c r="D31" s="145"/>
      <c r="E31" s="145"/>
      <c r="F31" s="145"/>
      <c r="G31" s="146"/>
      <c r="H31" s="622">
        <f>H15+H16+H22+H30</f>
        <v>720450.34510969685</v>
      </c>
      <c r="I31" s="147">
        <f>I15+I22+I30</f>
        <v>848650.62</v>
      </c>
      <c r="J31" s="94"/>
      <c r="K31" s="94"/>
    </row>
    <row r="32" spans="2:11" x14ac:dyDescent="0.3">
      <c r="B32" s="130"/>
      <c r="C32" s="121"/>
      <c r="D32" s="121"/>
      <c r="E32" s="121"/>
      <c r="F32" s="96"/>
      <c r="G32" s="132"/>
      <c r="H32" s="616"/>
      <c r="I32" s="136"/>
      <c r="J32" s="94"/>
    </row>
    <row r="33" spans="2:11" x14ac:dyDescent="0.3">
      <c r="B33" s="138"/>
      <c r="C33" s="96" t="s">
        <v>3</v>
      </c>
      <c r="D33" s="96"/>
      <c r="E33" s="96"/>
      <c r="G33" s="132"/>
      <c r="H33" s="621"/>
      <c r="I33" s="133"/>
      <c r="J33" s="94"/>
    </row>
    <row r="34" spans="2:11" x14ac:dyDescent="0.3">
      <c r="B34" s="138"/>
      <c r="C34" s="92"/>
      <c r="D34" s="96" t="s">
        <v>77</v>
      </c>
      <c r="E34" s="96"/>
      <c r="G34" s="132"/>
      <c r="H34" s="616"/>
      <c r="I34" s="133"/>
      <c r="J34" s="94"/>
    </row>
    <row r="35" spans="2:11" x14ac:dyDescent="0.3">
      <c r="B35" s="134"/>
      <c r="C35" s="121"/>
      <c r="D35" s="92"/>
      <c r="E35" s="92" t="s">
        <v>32</v>
      </c>
      <c r="G35" s="132">
        <v>9</v>
      </c>
      <c r="H35" s="621"/>
      <c r="I35" s="133"/>
      <c r="J35" s="94"/>
    </row>
    <row r="36" spans="2:11" x14ac:dyDescent="0.3">
      <c r="B36" s="134"/>
      <c r="C36" s="121"/>
      <c r="D36" s="121"/>
      <c r="E36" s="121"/>
      <c r="F36" s="92" t="s">
        <v>33</v>
      </c>
      <c r="G36" s="132"/>
      <c r="H36" s="730">
        <f>'9'!N16</f>
        <v>30763.020000000011</v>
      </c>
      <c r="I36" s="133">
        <v>56641.02</v>
      </c>
      <c r="J36" s="94">
        <f>I36-'9'!O16</f>
        <v>0</v>
      </c>
      <c r="K36" s="94"/>
    </row>
    <row r="37" spans="2:11" x14ac:dyDescent="0.3">
      <c r="B37" s="134"/>
      <c r="C37" s="121"/>
      <c r="D37" s="121"/>
      <c r="E37" s="121"/>
      <c r="F37" s="92" t="s">
        <v>34</v>
      </c>
      <c r="G37" s="132"/>
      <c r="H37" s="617">
        <f>0</f>
        <v>0</v>
      </c>
      <c r="I37" s="133">
        <v>0</v>
      </c>
      <c r="J37" s="94"/>
    </row>
    <row r="38" spans="2:11" x14ac:dyDescent="0.3">
      <c r="B38" s="134"/>
      <c r="C38" s="121"/>
      <c r="D38" s="121"/>
      <c r="E38" s="121"/>
      <c r="F38" s="92" t="s">
        <v>35</v>
      </c>
      <c r="G38" s="132"/>
      <c r="H38" s="617">
        <f>0</f>
        <v>0</v>
      </c>
      <c r="I38" s="133">
        <v>0</v>
      </c>
      <c r="J38" s="94"/>
    </row>
    <row r="39" spans="2:11" x14ac:dyDescent="0.3">
      <c r="B39" s="134"/>
      <c r="C39" s="121"/>
      <c r="D39" s="121"/>
      <c r="E39" s="121"/>
      <c r="F39" s="92" t="s">
        <v>36</v>
      </c>
      <c r="G39" s="132"/>
      <c r="H39" s="618">
        <f>0</f>
        <v>0</v>
      </c>
      <c r="I39" s="133">
        <v>0</v>
      </c>
      <c r="J39" s="94"/>
    </row>
    <row r="40" spans="2:11" x14ac:dyDescent="0.3">
      <c r="B40" s="130"/>
      <c r="C40" s="121"/>
      <c r="D40" s="121"/>
      <c r="E40" s="121"/>
      <c r="G40" s="132"/>
      <c r="H40" s="623">
        <f>SUM(H36:H39)</f>
        <v>30763.020000000011</v>
      </c>
      <c r="I40" s="147">
        <f>I36</f>
        <v>56641.02</v>
      </c>
      <c r="J40" s="94"/>
      <c r="K40" s="94"/>
    </row>
    <row r="41" spans="2:11" x14ac:dyDescent="0.3">
      <c r="B41" s="130"/>
      <c r="C41" s="121"/>
      <c r="D41" s="121"/>
      <c r="E41" s="92" t="s">
        <v>37</v>
      </c>
      <c r="G41" s="132"/>
      <c r="H41" s="623"/>
      <c r="I41" s="133"/>
      <c r="J41" s="94"/>
    </row>
    <row r="42" spans="2:11" x14ac:dyDescent="0.3">
      <c r="B42" s="134"/>
      <c r="C42" s="92"/>
      <c r="D42" s="92" t="s">
        <v>38</v>
      </c>
      <c r="E42" s="92"/>
      <c r="G42" s="132">
        <v>5</v>
      </c>
      <c r="H42" s="744">
        <f>+'3-8'!C79</f>
        <v>5006.63</v>
      </c>
      <c r="I42" s="133">
        <v>5623.65</v>
      </c>
      <c r="J42" s="94"/>
    </row>
    <row r="43" spans="2:11" x14ac:dyDescent="0.3">
      <c r="B43" s="130"/>
      <c r="C43" s="92"/>
      <c r="D43" s="92" t="s">
        <v>39</v>
      </c>
      <c r="E43" s="92"/>
      <c r="G43" s="132"/>
      <c r="H43" s="617">
        <f>0</f>
        <v>0</v>
      </c>
      <c r="I43" s="133">
        <v>0</v>
      </c>
      <c r="J43" s="94"/>
    </row>
    <row r="44" spans="2:11" x14ac:dyDescent="0.3">
      <c r="B44" s="130"/>
      <c r="C44" s="92"/>
      <c r="D44" s="92" t="s">
        <v>541</v>
      </c>
      <c r="E44" s="92"/>
      <c r="G44" s="132"/>
      <c r="H44" s="618">
        <f>0</f>
        <v>0</v>
      </c>
      <c r="I44" s="133">
        <v>0</v>
      </c>
      <c r="J44" s="94"/>
    </row>
    <row r="45" spans="2:11" x14ac:dyDescent="0.3">
      <c r="B45" s="130"/>
      <c r="C45" s="92"/>
      <c r="E45" s="92"/>
      <c r="G45" s="132"/>
      <c r="H45" s="623">
        <f>SUM(H40:H44)</f>
        <v>35769.650000000009</v>
      </c>
      <c r="I45" s="147">
        <f>+I40+I42</f>
        <v>62264.67</v>
      </c>
      <c r="J45" s="94"/>
      <c r="K45" s="94"/>
    </row>
    <row r="46" spans="2:11" x14ac:dyDescent="0.3">
      <c r="B46" s="130"/>
      <c r="C46" s="96" t="s">
        <v>40</v>
      </c>
      <c r="D46" s="149"/>
      <c r="E46" s="92"/>
      <c r="G46" s="132"/>
      <c r="H46" s="616"/>
      <c r="I46" s="133"/>
      <c r="J46" s="94"/>
    </row>
    <row r="47" spans="2:11" x14ac:dyDescent="0.3">
      <c r="B47" s="95"/>
      <c r="C47" s="96"/>
      <c r="D47" s="92" t="s">
        <v>41</v>
      </c>
      <c r="E47" s="92"/>
      <c r="G47" s="132"/>
      <c r="H47" s="619">
        <v>0</v>
      </c>
      <c r="I47" s="133">
        <v>0</v>
      </c>
      <c r="J47" s="94"/>
      <c r="K47" s="94"/>
    </row>
    <row r="48" spans="2:11" x14ac:dyDescent="0.3">
      <c r="B48" s="95"/>
      <c r="C48" s="121"/>
      <c r="D48" s="92" t="s">
        <v>42</v>
      </c>
      <c r="E48" s="92"/>
      <c r="G48" s="132"/>
      <c r="H48" s="617">
        <v>0</v>
      </c>
      <c r="I48" s="133">
        <v>0</v>
      </c>
      <c r="J48" s="94"/>
    </row>
    <row r="49" spans="2:11" x14ac:dyDescent="0.3">
      <c r="B49" s="95"/>
      <c r="C49" s="121"/>
      <c r="D49" s="92" t="s">
        <v>43</v>
      </c>
      <c r="E49" s="92"/>
      <c r="G49" s="132">
        <v>10</v>
      </c>
      <c r="H49" s="617">
        <f>'10-13'!C17</f>
        <v>0</v>
      </c>
      <c r="I49" s="133">
        <v>5323.11</v>
      </c>
      <c r="J49" s="94"/>
      <c r="K49" s="94"/>
    </row>
    <row r="50" spans="2:11" x14ac:dyDescent="0.3">
      <c r="B50" s="95"/>
      <c r="C50" s="121"/>
      <c r="D50" s="92" t="s">
        <v>14</v>
      </c>
      <c r="E50" s="92"/>
      <c r="G50" s="132">
        <v>11</v>
      </c>
      <c r="H50" s="730">
        <f>'10-13'!C48</f>
        <v>579042.99000000011</v>
      </c>
      <c r="I50" s="133">
        <v>634870.07999999996</v>
      </c>
      <c r="J50" s="94"/>
      <c r="K50" s="94"/>
    </row>
    <row r="51" spans="2:11" x14ac:dyDescent="0.3">
      <c r="B51" s="95"/>
      <c r="C51" s="121"/>
      <c r="D51" s="92" t="s">
        <v>44</v>
      </c>
      <c r="E51" s="92"/>
      <c r="G51" s="132"/>
      <c r="H51" s="617">
        <v>0</v>
      </c>
      <c r="I51" s="133">
        <v>0</v>
      </c>
      <c r="J51" s="94"/>
    </row>
    <row r="52" spans="2:11" x14ac:dyDescent="0.3">
      <c r="B52" s="95"/>
      <c r="C52" s="121"/>
      <c r="D52" s="92" t="s">
        <v>45</v>
      </c>
      <c r="E52" s="92"/>
      <c r="G52" s="132">
        <v>12</v>
      </c>
      <c r="H52" s="730">
        <f>+'10-13'!C64</f>
        <v>105637.71</v>
      </c>
      <c r="I52" s="133">
        <v>146192.76</v>
      </c>
      <c r="J52" s="94"/>
      <c r="K52" s="94"/>
    </row>
    <row r="53" spans="2:11" x14ac:dyDescent="0.3">
      <c r="B53" s="95"/>
      <c r="E53" s="92"/>
      <c r="G53" s="132"/>
      <c r="H53" s="624">
        <f>+SUM(H47:H52)</f>
        <v>684680.70000000007</v>
      </c>
      <c r="I53" s="147">
        <f>SUM(I47:I52)</f>
        <v>786385.95</v>
      </c>
      <c r="J53" s="94"/>
      <c r="K53" s="94"/>
    </row>
    <row r="54" spans="2:11" ht="15.65" customHeight="1" x14ac:dyDescent="0.3">
      <c r="B54" s="144" t="s">
        <v>2</v>
      </c>
      <c r="C54" s="145"/>
      <c r="D54" s="145"/>
      <c r="E54" s="150"/>
      <c r="F54" s="145"/>
      <c r="G54" s="146"/>
      <c r="H54" s="625">
        <f>H45+H53</f>
        <v>720450.35000000009</v>
      </c>
      <c r="I54" s="632">
        <f>I53+I45</f>
        <v>848650.62</v>
      </c>
      <c r="J54" s="94"/>
      <c r="K54" s="94"/>
    </row>
    <row r="55" spans="2:11" x14ac:dyDescent="0.3">
      <c r="B55" s="151"/>
      <c r="C55" s="152"/>
      <c r="D55" s="152"/>
      <c r="E55" s="150"/>
      <c r="F55" s="153"/>
      <c r="G55" s="154"/>
      <c r="H55" s="625">
        <f>+H31-H54</f>
        <v>-4.8903032438829541E-3</v>
      </c>
      <c r="I55" s="632">
        <f>ROUND(+I31-I54,0)</f>
        <v>0</v>
      </c>
      <c r="K55" s="94"/>
    </row>
    <row r="56" spans="2:11" x14ac:dyDescent="0.3">
      <c r="B56" s="156" t="s">
        <v>298</v>
      </c>
      <c r="C56" s="121"/>
      <c r="D56" s="121"/>
      <c r="E56" s="92"/>
      <c r="G56" s="851" t="s">
        <v>421</v>
      </c>
      <c r="H56" s="640"/>
      <c r="I56" s="614"/>
    </row>
    <row r="57" spans="2:11" ht="15.5" thickBot="1" x14ac:dyDescent="0.35">
      <c r="B57" s="157" t="s">
        <v>299</v>
      </c>
      <c r="C57" s="158"/>
      <c r="D57" s="158"/>
      <c r="E57" s="159"/>
      <c r="F57" s="159"/>
      <c r="G57" s="852"/>
      <c r="H57" s="626"/>
      <c r="I57" s="160"/>
    </row>
    <row r="58" spans="2:11" x14ac:dyDescent="0.3">
      <c r="B58" s="161" t="s">
        <v>46</v>
      </c>
      <c r="C58" s="162"/>
      <c r="D58" s="162"/>
      <c r="E58" s="162"/>
      <c r="F58" s="127"/>
      <c r="G58" s="163"/>
      <c r="H58" s="164"/>
      <c r="I58" s="165"/>
    </row>
    <row r="59" spans="2:11" x14ac:dyDescent="0.3">
      <c r="B59" s="166" t="s">
        <v>47</v>
      </c>
      <c r="C59" s="167"/>
      <c r="D59" s="167"/>
      <c r="E59" s="167"/>
      <c r="I59" s="168"/>
    </row>
    <row r="60" spans="2:11" x14ac:dyDescent="0.3">
      <c r="B60" s="166"/>
      <c r="C60" s="167"/>
      <c r="D60" s="167"/>
      <c r="E60" s="167"/>
      <c r="I60" s="168"/>
    </row>
    <row r="61" spans="2:11" x14ac:dyDescent="0.3">
      <c r="B61" s="166" t="s">
        <v>8</v>
      </c>
      <c r="C61" s="169"/>
      <c r="D61" s="169"/>
      <c r="E61" s="169"/>
      <c r="G61" s="170" t="s">
        <v>9</v>
      </c>
      <c r="H61" s="171"/>
      <c r="I61" s="172"/>
    </row>
    <row r="62" spans="2:11" x14ac:dyDescent="0.3">
      <c r="B62" s="166" t="s">
        <v>10</v>
      </c>
      <c r="C62" s="167"/>
      <c r="D62" s="167"/>
      <c r="E62" s="167"/>
      <c r="G62" s="94"/>
      <c r="H62" s="171"/>
      <c r="I62" s="168"/>
    </row>
    <row r="63" spans="2:11" x14ac:dyDescent="0.3">
      <c r="B63" s="166" t="s">
        <v>48</v>
      </c>
      <c r="C63" s="169"/>
      <c r="D63" s="169"/>
      <c r="E63" s="169"/>
      <c r="G63" s="94"/>
      <c r="H63" s="171"/>
      <c r="I63" s="168"/>
    </row>
    <row r="64" spans="2:11" x14ac:dyDescent="0.3">
      <c r="B64" s="95"/>
      <c r="C64" s="92"/>
      <c r="D64" s="92"/>
      <c r="E64" s="92"/>
      <c r="G64" s="94"/>
      <c r="H64" s="171"/>
      <c r="I64" s="168"/>
    </row>
    <row r="65" spans="2:9" x14ac:dyDescent="0.3">
      <c r="B65" s="134"/>
      <c r="G65" s="94"/>
      <c r="H65" s="171"/>
      <c r="I65" s="168"/>
    </row>
    <row r="66" spans="2:9" x14ac:dyDescent="0.3">
      <c r="B66" s="173" t="s">
        <v>491</v>
      </c>
      <c r="C66" s="169"/>
      <c r="D66" s="169"/>
      <c r="E66" s="92"/>
      <c r="F66" s="96"/>
      <c r="G66" s="94"/>
      <c r="H66" s="171"/>
      <c r="I66" s="168"/>
    </row>
    <row r="67" spans="2:9" x14ac:dyDescent="0.3">
      <c r="B67" s="174" t="s">
        <v>255</v>
      </c>
      <c r="C67" s="169"/>
      <c r="D67" s="169"/>
      <c r="E67" s="169"/>
      <c r="G67" s="175" t="s">
        <v>257</v>
      </c>
      <c r="H67" s="171"/>
      <c r="I67" s="168"/>
    </row>
    <row r="68" spans="2:9" x14ac:dyDescent="0.3">
      <c r="B68" s="174" t="s">
        <v>254</v>
      </c>
      <c r="C68" s="169"/>
      <c r="D68" s="169"/>
      <c r="E68" s="169"/>
      <c r="G68" s="175" t="s">
        <v>256</v>
      </c>
      <c r="H68" s="171"/>
      <c r="I68" s="168"/>
    </row>
    <row r="69" spans="2:9" x14ac:dyDescent="0.3">
      <c r="B69" s="176" t="s">
        <v>5</v>
      </c>
      <c r="C69" s="177"/>
      <c r="D69" s="177"/>
      <c r="E69" s="177"/>
      <c r="I69" s="168"/>
    </row>
    <row r="70" spans="2:9" x14ac:dyDescent="0.3">
      <c r="B70" s="174" t="s">
        <v>12</v>
      </c>
      <c r="C70" s="167"/>
      <c r="D70" s="169" t="s">
        <v>49</v>
      </c>
      <c r="E70" s="92"/>
      <c r="G70" s="167"/>
      <c r="I70" s="168"/>
    </row>
    <row r="71" spans="2:9" x14ac:dyDescent="0.3">
      <c r="B71" s="174" t="s">
        <v>50</v>
      </c>
      <c r="C71" s="167"/>
      <c r="D71" s="167"/>
      <c r="E71" s="178"/>
      <c r="F71" s="178"/>
      <c r="G71" s="167"/>
      <c r="I71" s="168"/>
    </row>
    <row r="72" spans="2:9" x14ac:dyDescent="0.3">
      <c r="B72" s="174"/>
      <c r="C72" s="167"/>
      <c r="D72" s="167"/>
      <c r="E72" s="178"/>
      <c r="F72" s="178"/>
      <c r="G72" s="167"/>
      <c r="I72" s="168"/>
    </row>
    <row r="73" spans="2:9" x14ac:dyDescent="0.3">
      <c r="B73" s="174" t="s">
        <v>51</v>
      </c>
      <c r="C73" s="167"/>
      <c r="D73" s="167"/>
      <c r="E73" s="96"/>
      <c r="F73" s="179"/>
      <c r="G73" s="167"/>
      <c r="I73" s="168"/>
    </row>
    <row r="74" spans="2:9" ht="15.5" thickBot="1" x14ac:dyDescent="0.35">
      <c r="B74" s="180"/>
      <c r="C74" s="181"/>
      <c r="D74" s="181"/>
      <c r="E74" s="181"/>
      <c r="F74" s="182"/>
      <c r="G74" s="182"/>
      <c r="H74" s="183"/>
      <c r="I74" s="184"/>
    </row>
  </sheetData>
  <mergeCells count="3">
    <mergeCell ref="B9:F9"/>
    <mergeCell ref="G56:G57"/>
    <mergeCell ref="B7:I7"/>
  </mergeCells>
  <pageMargins left="0.7" right="0.7" top="0.75" bottom="0.75" header="0.3" footer="0.3"/>
  <pageSetup paperSize="9" orientation="portrait" r:id="rId1"/>
  <ignoredErrors>
    <ignoredError sqref="H15"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L64"/>
  <sheetViews>
    <sheetView topLeftCell="A8" zoomScale="89" zoomScaleNormal="160" workbookViewId="0">
      <selection activeCell="K36" sqref="K36"/>
    </sheetView>
  </sheetViews>
  <sheetFormatPr defaultColWidth="9.26953125" defaultRowHeight="15" x14ac:dyDescent="0.3"/>
  <cols>
    <col min="1" max="1" width="10.1796875" style="92" customWidth="1"/>
    <col min="2" max="2" width="3" style="98" customWidth="1"/>
    <col min="3" max="5" width="3.54296875" style="98" customWidth="1"/>
    <col min="6" max="6" width="51.81640625" style="92" customWidth="1"/>
    <col min="7" max="7" width="9.26953125" style="92"/>
    <col min="8" max="8" width="25.54296875" style="94" customWidth="1"/>
    <col min="9" max="9" width="22.1796875" style="100" customWidth="1"/>
    <col min="10" max="10" width="12" style="92" bestFit="1" customWidth="1"/>
    <col min="11" max="11" width="14.1796875" style="92" bestFit="1" customWidth="1"/>
    <col min="12" max="16384" width="9.26953125" style="92"/>
  </cols>
  <sheetData>
    <row r="1" spans="2:11" ht="15.5" thickBot="1" x14ac:dyDescent="0.35"/>
    <row r="2" spans="2:11" ht="17.5" x14ac:dyDescent="0.35">
      <c r="B2" s="101" t="s">
        <v>251</v>
      </c>
      <c r="C2" s="126"/>
      <c r="D2" s="126"/>
      <c r="E2" s="126"/>
      <c r="F2" s="127"/>
      <c r="G2" s="127"/>
      <c r="H2" s="185"/>
      <c r="I2" s="165"/>
    </row>
    <row r="3" spans="2:11" ht="17.5" x14ac:dyDescent="0.35">
      <c r="B3" s="107" t="s">
        <v>249</v>
      </c>
      <c r="C3" s="120"/>
      <c r="D3" s="120"/>
      <c r="E3" s="120"/>
      <c r="I3" s="168"/>
    </row>
    <row r="4" spans="2:11" ht="17.5" x14ac:dyDescent="0.35">
      <c r="B4" s="111" t="s">
        <v>250</v>
      </c>
      <c r="C4" s="120"/>
      <c r="D4" s="120"/>
      <c r="E4" s="120"/>
      <c r="I4" s="168"/>
    </row>
    <row r="5" spans="2:11" ht="18" thickBot="1" x14ac:dyDescent="0.4">
      <c r="B5" s="115" t="s">
        <v>101</v>
      </c>
      <c r="C5" s="186"/>
      <c r="D5" s="186"/>
      <c r="E5" s="186"/>
      <c r="F5" s="182"/>
      <c r="G5" s="182"/>
      <c r="H5" s="187"/>
      <c r="I5" s="184"/>
    </row>
    <row r="6" spans="2:11" x14ac:dyDescent="0.3">
      <c r="B6" s="188"/>
      <c r="C6" s="120"/>
      <c r="D6" s="120"/>
      <c r="E6" s="120"/>
    </row>
    <row r="7" spans="2:11" x14ac:dyDescent="0.3">
      <c r="B7" s="856" t="s">
        <v>528</v>
      </c>
      <c r="C7" s="856"/>
      <c r="D7" s="856"/>
      <c r="E7" s="856"/>
      <c r="F7" s="856"/>
      <c r="G7" s="856"/>
      <c r="H7" s="856"/>
      <c r="I7" s="856"/>
    </row>
    <row r="8" spans="2:11" ht="15.5" thickBot="1" x14ac:dyDescent="0.35">
      <c r="B8" s="121"/>
      <c r="C8" s="121"/>
      <c r="D8" s="121"/>
      <c r="E8" s="121"/>
    </row>
    <row r="9" spans="2:11" ht="30.5" thickBot="1" x14ac:dyDescent="0.35">
      <c r="B9" s="849" t="s">
        <v>0</v>
      </c>
      <c r="C9" s="850"/>
      <c r="D9" s="850"/>
      <c r="E9" s="850"/>
      <c r="F9" s="850"/>
      <c r="G9" s="189" t="s">
        <v>15</v>
      </c>
      <c r="H9" s="190" t="s">
        <v>527</v>
      </c>
      <c r="I9" s="191" t="s">
        <v>487</v>
      </c>
    </row>
    <row r="10" spans="2:11" x14ac:dyDescent="0.3">
      <c r="B10" s="192" t="s">
        <v>349</v>
      </c>
      <c r="C10" s="193"/>
      <c r="D10" s="193"/>
      <c r="E10" s="193"/>
      <c r="F10" s="127"/>
      <c r="G10" s="194"/>
      <c r="H10" s="195"/>
      <c r="I10" s="165"/>
    </row>
    <row r="11" spans="2:11" x14ac:dyDescent="0.3">
      <c r="B11" s="130"/>
      <c r="C11" s="92" t="s">
        <v>52</v>
      </c>
      <c r="G11" s="196">
        <v>13</v>
      </c>
      <c r="H11" s="726">
        <f>+'14-22'!C14</f>
        <v>1176772.7</v>
      </c>
      <c r="I11" s="168">
        <v>786474.67</v>
      </c>
    </row>
    <row r="12" spans="2:11" x14ac:dyDescent="0.3">
      <c r="B12" s="130"/>
      <c r="C12" s="92" t="s">
        <v>53</v>
      </c>
      <c r="G12" s="196">
        <v>14</v>
      </c>
      <c r="H12" s="726">
        <f>'14-22'!C21</f>
        <v>1112.9300000000003</v>
      </c>
      <c r="I12" s="168">
        <v>19481</v>
      </c>
    </row>
    <row r="13" spans="2:11" x14ac:dyDescent="0.3">
      <c r="B13" s="130"/>
      <c r="C13" s="92"/>
      <c r="G13" s="196"/>
      <c r="H13" s="198"/>
      <c r="I13" s="168"/>
    </row>
    <row r="14" spans="2:11" x14ac:dyDescent="0.3">
      <c r="B14" s="199" t="s">
        <v>54</v>
      </c>
      <c r="C14" s="131"/>
      <c r="D14" s="92"/>
      <c r="E14" s="92"/>
      <c r="G14" s="196"/>
      <c r="H14" s="200">
        <f>SUM(H11:H12)</f>
        <v>1177885.6299999999</v>
      </c>
      <c r="I14" s="201">
        <f>SUM(I11:I13)</f>
        <v>805955.67</v>
      </c>
    </row>
    <row r="15" spans="2:11" x14ac:dyDescent="0.3">
      <c r="B15" s="130"/>
      <c r="C15" s="121"/>
      <c r="D15" s="92"/>
      <c r="E15" s="92"/>
      <c r="G15" s="196"/>
      <c r="H15" s="202"/>
      <c r="I15" s="168"/>
      <c r="K15" s="92">
        <f>1176772-786474</f>
        <v>390298</v>
      </c>
    </row>
    <row r="16" spans="2:11" x14ac:dyDescent="0.3">
      <c r="B16" s="199" t="s">
        <v>4</v>
      </c>
      <c r="C16" s="131"/>
      <c r="D16" s="121"/>
      <c r="E16" s="121"/>
      <c r="G16" s="196"/>
      <c r="H16" s="197"/>
      <c r="I16" s="168"/>
    </row>
    <row r="17" spans="2:12" x14ac:dyDescent="0.3">
      <c r="B17" s="138"/>
      <c r="C17" s="137" t="s">
        <v>55</v>
      </c>
      <c r="G17" s="196">
        <v>15</v>
      </c>
      <c r="H17" s="726">
        <f>+'14-22'!C28</f>
        <v>780000</v>
      </c>
      <c r="I17" s="168">
        <v>255000</v>
      </c>
    </row>
    <row r="18" spans="2:12" x14ac:dyDescent="0.3">
      <c r="B18" s="138"/>
      <c r="C18" s="137" t="s">
        <v>56</v>
      </c>
      <c r="G18" s="196">
        <v>16</v>
      </c>
      <c r="H18" s="726">
        <f>+'14-22'!C34</f>
        <v>0</v>
      </c>
      <c r="I18" s="168">
        <v>16031.56</v>
      </c>
    </row>
    <row r="19" spans="2:12" x14ac:dyDescent="0.3">
      <c r="B19" s="130"/>
      <c r="C19" s="92" t="s">
        <v>57</v>
      </c>
      <c r="D19" s="92"/>
      <c r="G19" s="196">
        <v>17</v>
      </c>
      <c r="H19" s="727">
        <f>TB!H79</f>
        <v>25878</v>
      </c>
      <c r="I19" s="168">
        <v>29286</v>
      </c>
    </row>
    <row r="20" spans="2:12" x14ac:dyDescent="0.3">
      <c r="B20" s="130"/>
      <c r="C20" s="92" t="s">
        <v>11</v>
      </c>
      <c r="G20" s="196">
        <v>18</v>
      </c>
      <c r="H20" s="727">
        <f>+'14-22'!C64</f>
        <v>346222.52999999997</v>
      </c>
      <c r="I20" s="168">
        <v>288960.93</v>
      </c>
      <c r="J20" s="203"/>
    </row>
    <row r="21" spans="2:12" x14ac:dyDescent="0.3">
      <c r="B21" s="130"/>
      <c r="C21" s="92"/>
      <c r="G21" s="196"/>
      <c r="H21" s="204"/>
      <c r="I21" s="168"/>
      <c r="J21" s="203"/>
    </row>
    <row r="22" spans="2:12" x14ac:dyDescent="0.3">
      <c r="B22" s="199" t="s">
        <v>58</v>
      </c>
      <c r="C22" s="131"/>
      <c r="D22" s="92"/>
      <c r="E22" s="92"/>
      <c r="G22" s="196"/>
      <c r="H22" s="200">
        <f>H17+H18+H19+H20</f>
        <v>1152100.53</v>
      </c>
      <c r="I22" s="201">
        <f>SUM(I17:I21)</f>
        <v>589278.49</v>
      </c>
    </row>
    <row r="23" spans="2:12" x14ac:dyDescent="0.3">
      <c r="B23" s="199"/>
      <c r="C23" s="121"/>
      <c r="D23" s="121"/>
      <c r="E23" s="121"/>
      <c r="G23" s="196"/>
      <c r="H23" s="202"/>
      <c r="I23" s="168"/>
    </row>
    <row r="24" spans="2:12" x14ac:dyDescent="0.3">
      <c r="B24" s="205" t="s">
        <v>59</v>
      </c>
      <c r="C24" s="206"/>
      <c r="D24" s="206"/>
      <c r="E24" s="206"/>
      <c r="F24" s="207"/>
      <c r="G24" s="196"/>
      <c r="H24" s="208">
        <f>H14-H22</f>
        <v>25785.09999999986</v>
      </c>
      <c r="I24" s="208">
        <f>I14-I22</f>
        <v>216677.18000000005</v>
      </c>
      <c r="K24" s="94"/>
      <c r="L24" s="94"/>
    </row>
    <row r="25" spans="2:12" x14ac:dyDescent="0.3">
      <c r="B25" s="95"/>
      <c r="C25" s="92" t="s">
        <v>60</v>
      </c>
      <c r="D25" s="121"/>
      <c r="E25" s="121"/>
      <c r="F25" s="96"/>
      <c r="G25" s="196"/>
      <c r="H25" s="204">
        <v>0</v>
      </c>
      <c r="I25" s="209">
        <v>0</v>
      </c>
    </row>
    <row r="26" spans="2:12" x14ac:dyDescent="0.3">
      <c r="B26" s="859" t="s">
        <v>61</v>
      </c>
      <c r="C26" s="860"/>
      <c r="D26" s="860"/>
      <c r="E26" s="860"/>
      <c r="F26" s="861"/>
      <c r="G26" s="196"/>
      <c r="H26" s="208">
        <f>SUM(H24:H25)</f>
        <v>25785.09999999986</v>
      </c>
      <c r="I26" s="208">
        <f>SUM(I24:I25)</f>
        <v>216677.18000000005</v>
      </c>
    </row>
    <row r="27" spans="2:12" x14ac:dyDescent="0.3">
      <c r="B27" s="210"/>
      <c r="C27" s="92" t="s">
        <v>7</v>
      </c>
      <c r="D27" s="96"/>
      <c r="E27" s="96"/>
      <c r="G27" s="196"/>
      <c r="H27" s="202">
        <v>0</v>
      </c>
      <c r="I27" s="168">
        <v>0</v>
      </c>
    </row>
    <row r="28" spans="2:12" x14ac:dyDescent="0.3">
      <c r="B28" s="210"/>
      <c r="C28" s="92" t="s">
        <v>62</v>
      </c>
      <c r="D28" s="121"/>
      <c r="E28" s="121"/>
      <c r="G28" s="196">
        <v>19</v>
      </c>
      <c r="H28" s="204">
        <f>'14-22'!C69</f>
        <v>-8556</v>
      </c>
      <c r="I28" s="211">
        <f>'14-22'!D69</f>
        <v>0</v>
      </c>
    </row>
    <row r="29" spans="2:12" x14ac:dyDescent="0.3">
      <c r="B29" s="199" t="s">
        <v>63</v>
      </c>
      <c r="C29" s="92"/>
      <c r="D29" s="121"/>
      <c r="E29" s="121"/>
      <c r="G29" s="196"/>
      <c r="H29" s="208">
        <f>SUM(H26:H28)</f>
        <v>17229.09999999986</v>
      </c>
      <c r="I29" s="208">
        <f>SUM(I26:I28)</f>
        <v>216677.18000000005</v>
      </c>
    </row>
    <row r="30" spans="2:12" x14ac:dyDescent="0.3">
      <c r="B30" s="210" t="s">
        <v>64</v>
      </c>
      <c r="C30" s="131"/>
      <c r="D30" s="121"/>
      <c r="E30" s="121"/>
      <c r="G30" s="196"/>
      <c r="H30" s="202"/>
      <c r="I30" s="212"/>
    </row>
    <row r="31" spans="2:12" x14ac:dyDescent="0.3">
      <c r="B31" s="130"/>
      <c r="C31" s="137" t="s">
        <v>65</v>
      </c>
      <c r="D31" s="92"/>
      <c r="E31" s="92"/>
      <c r="G31" s="196">
        <v>20</v>
      </c>
      <c r="H31" s="727">
        <f>+'14-22'!C74</f>
        <v>5872</v>
      </c>
      <c r="I31" s="168">
        <v>57607</v>
      </c>
      <c r="K31" s="94"/>
    </row>
    <row r="32" spans="2:12" x14ac:dyDescent="0.3">
      <c r="B32" s="130"/>
      <c r="C32" s="92" t="s">
        <v>66</v>
      </c>
      <c r="D32" s="92"/>
      <c r="E32" s="92"/>
      <c r="G32" s="196"/>
      <c r="H32" s="727">
        <f>-'Deferred Tax'!E14</f>
        <v>617.37</v>
      </c>
      <c r="I32" s="168">
        <v>778.95</v>
      </c>
      <c r="K32" s="94"/>
    </row>
    <row r="33" spans="2:11" x14ac:dyDescent="0.3">
      <c r="B33" s="130"/>
      <c r="C33" s="92" t="s">
        <v>67</v>
      </c>
      <c r="D33" s="92"/>
      <c r="E33" s="92"/>
      <c r="G33" s="196"/>
      <c r="H33" s="204">
        <v>0</v>
      </c>
      <c r="I33" s="209">
        <v>0</v>
      </c>
    </row>
    <row r="34" spans="2:11" x14ac:dyDescent="0.3">
      <c r="B34" s="130"/>
      <c r="C34" s="131" t="s">
        <v>68</v>
      </c>
      <c r="D34" s="121"/>
      <c r="E34" s="121"/>
      <c r="G34" s="196"/>
      <c r="H34" s="208">
        <f>SUM(H31:H33)</f>
        <v>6489.37</v>
      </c>
      <c r="I34" s="208">
        <f>SUM(I31:I33)</f>
        <v>58385.95</v>
      </c>
    </row>
    <row r="35" spans="2:11" x14ac:dyDescent="0.3">
      <c r="B35" s="130"/>
      <c r="C35" s="121"/>
      <c r="D35" s="121"/>
      <c r="E35" s="121"/>
      <c r="G35" s="196"/>
      <c r="H35" s="202"/>
      <c r="I35" s="168"/>
      <c r="K35" s="94"/>
    </row>
    <row r="36" spans="2:11" ht="15.5" thickBot="1" x14ac:dyDescent="0.35">
      <c r="B36" s="199" t="s">
        <v>69</v>
      </c>
      <c r="C36" s="131"/>
      <c r="D36" s="121"/>
      <c r="E36" s="121"/>
      <c r="G36" s="196"/>
      <c r="H36" s="213">
        <f>H29-H34</f>
        <v>10739.729999999861</v>
      </c>
      <c r="I36" s="213">
        <f>I29-I34</f>
        <v>158291.23000000004</v>
      </c>
      <c r="K36" s="92">
        <f>158291-10739</f>
        <v>147552</v>
      </c>
    </row>
    <row r="37" spans="2:11" ht="15.5" thickTop="1" x14ac:dyDescent="0.3">
      <c r="B37" s="151"/>
      <c r="C37" s="152"/>
      <c r="D37" s="152"/>
      <c r="E37" s="152"/>
      <c r="F37" s="153"/>
      <c r="G37" s="214"/>
      <c r="H37" s="204"/>
      <c r="I37" s="168"/>
    </row>
    <row r="38" spans="2:11" x14ac:dyDescent="0.3">
      <c r="B38" s="199" t="s">
        <v>70</v>
      </c>
      <c r="C38" s="92"/>
      <c r="D38" s="92"/>
      <c r="E38" s="121"/>
      <c r="G38" s="196">
        <v>21</v>
      </c>
      <c r="H38" s="202"/>
      <c r="I38" s="752"/>
    </row>
    <row r="39" spans="2:11" x14ac:dyDescent="0.3">
      <c r="B39" s="130"/>
      <c r="G39" s="196"/>
      <c r="H39" s="202"/>
      <c r="I39" s="168"/>
    </row>
    <row r="40" spans="2:11" x14ac:dyDescent="0.3">
      <c r="B40" s="199" t="s">
        <v>71</v>
      </c>
      <c r="C40" s="121"/>
      <c r="D40" s="121"/>
      <c r="E40" s="92"/>
      <c r="G40" s="196"/>
      <c r="H40" s="202"/>
      <c r="I40" s="168"/>
    </row>
    <row r="41" spans="2:11" x14ac:dyDescent="0.3">
      <c r="B41" s="156" t="s">
        <v>72</v>
      </c>
      <c r="C41" s="92"/>
      <c r="D41" s="92"/>
      <c r="E41" s="92"/>
      <c r="G41" s="196"/>
      <c r="H41" s="202">
        <f>+'14-22'!C83</f>
        <v>1.0739729999999861</v>
      </c>
      <c r="I41" s="215">
        <f>+'14-22'!C96</f>
        <v>15.829123000000004</v>
      </c>
    </row>
    <row r="42" spans="2:11" x14ac:dyDescent="0.3">
      <c r="B42" s="156" t="s">
        <v>73</v>
      </c>
      <c r="C42" s="137"/>
      <c r="D42" s="137"/>
      <c r="E42" s="92"/>
      <c r="G42" s="196"/>
      <c r="H42" s="202">
        <f>+'14-22'!D83</f>
        <v>1.0739729999999861</v>
      </c>
      <c r="I42" s="753">
        <f>+'14-22'!D96</f>
        <v>15.829123000000004</v>
      </c>
    </row>
    <row r="43" spans="2:11" x14ac:dyDescent="0.3">
      <c r="B43" s="173" t="s">
        <v>419</v>
      </c>
      <c r="C43" s="121"/>
      <c r="D43" s="137"/>
      <c r="E43" s="92"/>
      <c r="G43" s="196"/>
      <c r="H43" s="202"/>
      <c r="I43" s="168"/>
    </row>
    <row r="44" spans="2:11" x14ac:dyDescent="0.3">
      <c r="B44" s="156" t="s">
        <v>72</v>
      </c>
      <c r="C44" s="121"/>
      <c r="D44" s="92"/>
      <c r="E44" s="92"/>
      <c r="G44" s="196"/>
      <c r="H44" s="202">
        <f>+'14-22'!C88</f>
        <v>1.0739729999999861</v>
      </c>
      <c r="I44" s="168">
        <f>+'14-22'!C101</f>
        <v>15.829123000000004</v>
      </c>
    </row>
    <row r="45" spans="2:11" ht="15.5" thickBot="1" x14ac:dyDescent="0.35">
      <c r="B45" s="156" t="s">
        <v>73</v>
      </c>
      <c r="C45" s="137"/>
      <c r="D45" s="137"/>
      <c r="E45" s="92"/>
      <c r="G45" s="196"/>
      <c r="H45" s="202">
        <f>+'14-22'!D88</f>
        <v>1.0739729999999861</v>
      </c>
      <c r="I45" s="168">
        <f>+'14-22'!D101</f>
        <v>15.829123000000004</v>
      </c>
    </row>
    <row r="46" spans="2:11" x14ac:dyDescent="0.3">
      <c r="B46" s="216" t="s">
        <v>298</v>
      </c>
      <c r="C46" s="217"/>
      <c r="D46" s="218"/>
      <c r="E46" s="127"/>
      <c r="F46" s="219"/>
      <c r="G46" s="857" t="s">
        <v>421</v>
      </c>
      <c r="H46" s="195"/>
      <c r="I46" s="220"/>
    </row>
    <row r="47" spans="2:11" ht="15.5" thickBot="1" x14ac:dyDescent="0.35">
      <c r="B47" s="157" t="s">
        <v>299</v>
      </c>
      <c r="C47" s="159"/>
      <c r="D47" s="159"/>
      <c r="E47" s="182"/>
      <c r="F47" s="221"/>
      <c r="G47" s="858"/>
      <c r="H47" s="222"/>
      <c r="I47" s="160"/>
    </row>
    <row r="48" spans="2:11" x14ac:dyDescent="0.3">
      <c r="B48" s="161" t="s">
        <v>46</v>
      </c>
      <c r="C48" s="162"/>
      <c r="D48" s="162"/>
      <c r="E48" s="127"/>
      <c r="F48" s="127"/>
      <c r="G48" s="163"/>
      <c r="H48" s="223"/>
      <c r="I48" s="165"/>
    </row>
    <row r="49" spans="1:9" x14ac:dyDescent="0.3">
      <c r="B49" s="166"/>
      <c r="C49" s="167"/>
      <c r="D49" s="167"/>
      <c r="E49" s="92"/>
      <c r="I49" s="168"/>
    </row>
    <row r="50" spans="1:9" x14ac:dyDescent="0.3">
      <c r="B50" s="225"/>
      <c r="C50" s="167"/>
      <c r="D50" s="167"/>
      <c r="E50" s="92"/>
      <c r="I50" s="168"/>
    </row>
    <row r="51" spans="1:9" x14ac:dyDescent="0.3">
      <c r="B51" s="166" t="s">
        <v>8</v>
      </c>
      <c r="C51" s="169"/>
      <c r="D51" s="169"/>
      <c r="E51" s="92"/>
      <c r="G51" s="170" t="s">
        <v>9</v>
      </c>
      <c r="I51" s="168"/>
    </row>
    <row r="52" spans="1:9" x14ac:dyDescent="0.3">
      <c r="B52" s="166" t="s">
        <v>10</v>
      </c>
      <c r="C52" s="167"/>
      <c r="D52" s="167"/>
      <c r="E52" s="92"/>
      <c r="G52" s="94"/>
      <c r="I52" s="168"/>
    </row>
    <row r="53" spans="1:9" x14ac:dyDescent="0.3">
      <c r="B53" s="166" t="s">
        <v>48</v>
      </c>
      <c r="C53" s="169"/>
      <c r="D53" s="169"/>
      <c r="E53" s="92"/>
      <c r="G53" s="94"/>
      <c r="I53" s="168"/>
    </row>
    <row r="54" spans="1:9" x14ac:dyDescent="0.3">
      <c r="B54" s="166"/>
      <c r="C54" s="169"/>
      <c r="D54" s="169"/>
      <c r="E54" s="92"/>
      <c r="G54" s="94"/>
      <c r="I54" s="168"/>
    </row>
    <row r="55" spans="1:9" x14ac:dyDescent="0.3">
      <c r="B55" s="134"/>
      <c r="G55" s="94"/>
      <c r="I55" s="168"/>
    </row>
    <row r="56" spans="1:9" x14ac:dyDescent="0.3">
      <c r="B56" s="173" t="s">
        <v>102</v>
      </c>
      <c r="C56" s="169"/>
      <c r="D56" s="169"/>
      <c r="E56" s="92"/>
      <c r="F56" s="96"/>
      <c r="G56" s="94"/>
      <c r="I56" s="168"/>
    </row>
    <row r="57" spans="1:9" x14ac:dyDescent="0.3">
      <c r="B57" s="174" t="s">
        <v>255</v>
      </c>
      <c r="C57" s="169"/>
      <c r="D57" s="169"/>
      <c r="E57" s="169"/>
      <c r="G57" s="175" t="s">
        <v>257</v>
      </c>
      <c r="I57" s="168"/>
    </row>
    <row r="58" spans="1:9" x14ac:dyDescent="0.3">
      <c r="B58" s="174" t="s">
        <v>254</v>
      </c>
      <c r="C58" s="169"/>
      <c r="D58" s="169"/>
      <c r="E58" s="169"/>
      <c r="G58" s="175" t="s">
        <v>256</v>
      </c>
      <c r="I58" s="168"/>
    </row>
    <row r="59" spans="1:9" x14ac:dyDescent="0.3">
      <c r="B59" s="176" t="s">
        <v>5</v>
      </c>
      <c r="C59" s="177"/>
      <c r="D59" s="177"/>
      <c r="E59" s="177"/>
      <c r="I59" s="168"/>
    </row>
    <row r="60" spans="1:9" x14ac:dyDescent="0.3">
      <c r="B60" s="174" t="s">
        <v>12</v>
      </c>
      <c r="C60" s="167"/>
      <c r="D60" s="169" t="s">
        <v>49</v>
      </c>
      <c r="E60" s="92"/>
      <c r="G60" s="167"/>
      <c r="I60" s="168"/>
    </row>
    <row r="61" spans="1:9" x14ac:dyDescent="0.3">
      <c r="A61" s="92" t="s">
        <v>5</v>
      </c>
      <c r="B61" s="174" t="s">
        <v>50</v>
      </c>
      <c r="C61" s="167"/>
      <c r="D61" s="167"/>
      <c r="E61" s="178"/>
      <c r="F61" s="178"/>
      <c r="G61" s="167"/>
      <c r="I61" s="168"/>
    </row>
    <row r="62" spans="1:9" x14ac:dyDescent="0.3">
      <c r="B62" s="174"/>
      <c r="C62" s="167"/>
      <c r="D62" s="167"/>
      <c r="E62" s="178"/>
      <c r="F62" s="178"/>
      <c r="G62" s="167"/>
      <c r="I62" s="168"/>
    </row>
    <row r="63" spans="1:9" x14ac:dyDescent="0.3">
      <c r="B63" s="174" t="s">
        <v>51</v>
      </c>
      <c r="C63" s="167"/>
      <c r="D63" s="167"/>
      <c r="E63" s="96"/>
      <c r="F63" s="179"/>
      <c r="G63" s="167"/>
      <c r="I63" s="168"/>
    </row>
    <row r="64" spans="1:9" ht="15.5" thickBot="1" x14ac:dyDescent="0.35">
      <c r="B64" s="180"/>
      <c r="C64" s="181"/>
      <c r="D64" s="181"/>
      <c r="E64" s="181"/>
      <c r="F64" s="182"/>
      <c r="G64" s="182"/>
      <c r="H64" s="187"/>
      <c r="I64" s="184"/>
    </row>
  </sheetData>
  <mergeCells count="4">
    <mergeCell ref="B7:I7"/>
    <mergeCell ref="G46:G47"/>
    <mergeCell ref="B9:F9"/>
    <mergeCell ref="B26:F26"/>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B1:G119"/>
  <sheetViews>
    <sheetView topLeftCell="A104" zoomScaleNormal="100" workbookViewId="0">
      <selection activeCell="C108" sqref="C108"/>
    </sheetView>
  </sheetViews>
  <sheetFormatPr defaultColWidth="9.26953125" defaultRowHeight="15" x14ac:dyDescent="0.3"/>
  <cols>
    <col min="1" max="1" width="10.81640625" style="92" customWidth="1"/>
    <col min="2" max="2" width="59.7265625" style="92" customWidth="1"/>
    <col min="3" max="3" width="24.54296875" style="94" customWidth="1"/>
    <col min="4" max="4" width="24" style="94" customWidth="1"/>
    <col min="5" max="5" width="20.81640625" style="94" customWidth="1"/>
    <col min="6" max="6" width="18.26953125" style="92" customWidth="1"/>
    <col min="7" max="7" width="12.453125" style="92" customWidth="1"/>
    <col min="8" max="8" width="13.81640625" style="92" customWidth="1"/>
    <col min="9" max="16384" width="9.26953125" style="92"/>
  </cols>
  <sheetData>
    <row r="1" spans="2:5" ht="15.5" thickBot="1" x14ac:dyDescent="0.35"/>
    <row r="2" spans="2:5" s="229" customFormat="1" ht="17.5" x14ac:dyDescent="0.35">
      <c r="B2" s="101" t="s">
        <v>251</v>
      </c>
      <c r="C2" s="227"/>
      <c r="D2" s="228"/>
    </row>
    <row r="3" spans="2:5" s="229" customFormat="1" ht="17.5" x14ac:dyDescent="0.35">
      <c r="B3" s="107" t="s">
        <v>249</v>
      </c>
      <c r="C3" s="230"/>
      <c r="D3" s="231"/>
    </row>
    <row r="4" spans="2:5" s="229" customFormat="1" ht="17.5" x14ac:dyDescent="0.35">
      <c r="B4" s="111" t="s">
        <v>250</v>
      </c>
      <c r="C4" s="230"/>
      <c r="D4" s="231"/>
    </row>
    <row r="5" spans="2:5" s="229" customFormat="1" ht="18" thickBot="1" x14ac:dyDescent="0.4">
      <c r="B5" s="115" t="s">
        <v>101</v>
      </c>
      <c r="C5" s="232"/>
      <c r="D5" s="233"/>
    </row>
    <row r="6" spans="2:5" x14ac:dyDescent="0.3">
      <c r="B6" s="188"/>
    </row>
    <row r="7" spans="2:5" x14ac:dyDescent="0.3">
      <c r="B7" s="870" t="s">
        <v>521</v>
      </c>
      <c r="C7" s="870"/>
      <c r="D7" s="870"/>
      <c r="E7" s="234"/>
    </row>
    <row r="8" spans="2:5" ht="15.5" thickBot="1" x14ac:dyDescent="0.35">
      <c r="B8" s="96" t="s">
        <v>422</v>
      </c>
    </row>
    <row r="9" spans="2:5" ht="16.149999999999999" customHeight="1" thickBot="1" x14ac:dyDescent="0.35">
      <c r="B9" s="235" t="s">
        <v>0</v>
      </c>
      <c r="C9" s="236" t="s">
        <v>496</v>
      </c>
      <c r="D9" s="237" t="s">
        <v>486</v>
      </c>
      <c r="E9" s="238"/>
    </row>
    <row r="10" spans="2:5" x14ac:dyDescent="0.3">
      <c r="B10" s="210" t="s">
        <v>74</v>
      </c>
      <c r="C10" s="195"/>
      <c r="D10" s="239"/>
    </row>
    <row r="11" spans="2:5" x14ac:dyDescent="0.3">
      <c r="B11" s="95" t="s">
        <v>99</v>
      </c>
      <c r="C11" s="240">
        <v>100000</v>
      </c>
      <c r="D11" s="241">
        <v>100000</v>
      </c>
      <c r="E11" s="242"/>
    </row>
    <row r="12" spans="2:5" x14ac:dyDescent="0.3">
      <c r="B12" s="95"/>
      <c r="C12" s="240"/>
      <c r="D12" s="241"/>
      <c r="E12" s="242"/>
    </row>
    <row r="13" spans="2:5" x14ac:dyDescent="0.3">
      <c r="B13" s="210" t="s">
        <v>75</v>
      </c>
      <c r="C13" s="240"/>
      <c r="D13" s="241"/>
      <c r="E13" s="242"/>
    </row>
    <row r="14" spans="2:5" x14ac:dyDescent="0.3">
      <c r="B14" s="95" t="s">
        <v>99</v>
      </c>
      <c r="C14" s="240">
        <v>100000</v>
      </c>
      <c r="D14" s="241">
        <v>100000</v>
      </c>
      <c r="E14" s="242"/>
    </row>
    <row r="15" spans="2:5" x14ac:dyDescent="0.3">
      <c r="B15" s="95"/>
      <c r="C15" s="240"/>
      <c r="D15" s="241"/>
      <c r="E15" s="242"/>
    </row>
    <row r="16" spans="2:5" x14ac:dyDescent="0.3">
      <c r="B16" s="210" t="s">
        <v>76</v>
      </c>
      <c r="C16" s="240"/>
      <c r="D16" s="241"/>
      <c r="E16" s="242"/>
    </row>
    <row r="17" spans="2:7" x14ac:dyDescent="0.3">
      <c r="B17" s="95" t="s">
        <v>99</v>
      </c>
      <c r="C17" s="731">
        <f>TB!I10</f>
        <v>100000</v>
      </c>
      <c r="D17" s="243">
        <v>100000</v>
      </c>
      <c r="E17" s="238"/>
    </row>
    <row r="18" spans="2:7" ht="15.5" thickBot="1" x14ac:dyDescent="0.35">
      <c r="B18" s="244"/>
      <c r="C18" s="245"/>
      <c r="D18" s="246"/>
      <c r="E18" s="242"/>
    </row>
    <row r="20" spans="2:7" ht="15.5" thickBot="1" x14ac:dyDescent="0.35">
      <c r="B20" s="96" t="s">
        <v>423</v>
      </c>
    </row>
    <row r="21" spans="2:7" ht="15.5" thickBot="1" x14ac:dyDescent="0.35">
      <c r="B21" s="247" t="s">
        <v>0</v>
      </c>
      <c r="C21" s="862" t="s">
        <v>496</v>
      </c>
      <c r="D21" s="863"/>
      <c r="E21" s="862" t="s">
        <v>486</v>
      </c>
      <c r="F21" s="864"/>
    </row>
    <row r="22" spans="2:7" ht="15.5" thickBot="1" x14ac:dyDescent="0.35">
      <c r="B22" s="248"/>
      <c r="C22" s="249" t="s">
        <v>78</v>
      </c>
      <c r="D22" s="250" t="s">
        <v>79</v>
      </c>
      <c r="E22" s="249" t="s">
        <v>78</v>
      </c>
      <c r="F22" s="251" t="s">
        <v>79</v>
      </c>
    </row>
    <row r="23" spans="2:7" x14ac:dyDescent="0.3">
      <c r="B23" s="95" t="s">
        <v>80</v>
      </c>
      <c r="C23" s="252">
        <v>10000</v>
      </c>
      <c r="D23" s="253">
        <f>C23*10</f>
        <v>100000</v>
      </c>
      <c r="E23" s="254">
        <v>10000</v>
      </c>
      <c r="F23" s="255">
        <f>E23*10</f>
        <v>100000</v>
      </c>
    </row>
    <row r="24" spans="2:7" x14ac:dyDescent="0.3">
      <c r="B24" s="95" t="s">
        <v>81</v>
      </c>
      <c r="C24" s="252">
        <v>0</v>
      </c>
      <c r="D24" s="256">
        <f>C24*10</f>
        <v>0</v>
      </c>
      <c r="E24" s="254">
        <v>0</v>
      </c>
      <c r="F24" s="257">
        <f>E24*10</f>
        <v>0</v>
      </c>
    </row>
    <row r="25" spans="2:7" x14ac:dyDescent="0.3">
      <c r="B25" s="95" t="s">
        <v>82</v>
      </c>
      <c r="C25" s="252">
        <v>0</v>
      </c>
      <c r="D25" s="258">
        <f>C25*100</f>
        <v>0</v>
      </c>
      <c r="E25" s="259"/>
      <c r="F25" s="260"/>
    </row>
    <row r="26" spans="2:7" x14ac:dyDescent="0.3">
      <c r="B26" s="95" t="s">
        <v>83</v>
      </c>
      <c r="C26" s="261">
        <f>SUM(C23:C25)</f>
        <v>10000</v>
      </c>
      <c r="D26" s="262">
        <f>SUM(D23:D25)</f>
        <v>100000</v>
      </c>
      <c r="E26" s="263">
        <f>SUM(E23:E25)</f>
        <v>10000</v>
      </c>
      <c r="F26" s="264">
        <f>SUM(F23:F25)</f>
        <v>100000</v>
      </c>
    </row>
    <row r="27" spans="2:7" ht="15.5" thickBot="1" x14ac:dyDescent="0.35">
      <c r="B27" s="244"/>
      <c r="C27" s="265"/>
      <c r="D27" s="266"/>
      <c r="E27" s="267"/>
      <c r="F27" s="268"/>
    </row>
    <row r="29" spans="2:7" x14ac:dyDescent="0.3">
      <c r="B29" s="96" t="s">
        <v>424</v>
      </c>
    </row>
    <row r="30" spans="2:7" x14ac:dyDescent="0.3">
      <c r="B30" s="96"/>
    </row>
    <row r="31" spans="2:7" ht="15" customHeight="1" x14ac:dyDescent="0.3">
      <c r="B31" s="871" t="s">
        <v>399</v>
      </c>
      <c r="C31" s="871"/>
      <c r="D31" s="871"/>
      <c r="E31" s="871"/>
      <c r="F31" s="871"/>
      <c r="G31" s="871"/>
    </row>
    <row r="32" spans="2:7" ht="15.75" customHeight="1" x14ac:dyDescent="0.3">
      <c r="B32" s="871"/>
      <c r="C32" s="871"/>
      <c r="D32" s="871"/>
      <c r="E32" s="871"/>
      <c r="F32" s="871"/>
      <c r="G32" s="871"/>
    </row>
    <row r="33" spans="2:7" ht="15.75" customHeight="1" x14ac:dyDescent="0.3">
      <c r="B33" s="871"/>
      <c r="C33" s="871"/>
      <c r="D33" s="871"/>
      <c r="E33" s="871"/>
      <c r="F33" s="871"/>
      <c r="G33" s="871"/>
    </row>
    <row r="34" spans="2:7" ht="15.75" customHeight="1" x14ac:dyDescent="0.3">
      <c r="B34" s="871"/>
      <c r="C34" s="871"/>
      <c r="D34" s="871"/>
      <c r="E34" s="871"/>
      <c r="F34" s="871"/>
      <c r="G34" s="871"/>
    </row>
    <row r="35" spans="2:7" ht="15.75" customHeight="1" x14ac:dyDescent="0.3">
      <c r="B35" s="871"/>
      <c r="C35" s="871"/>
      <c r="D35" s="871"/>
      <c r="E35" s="871"/>
      <c r="F35" s="871"/>
      <c r="G35" s="871"/>
    </row>
    <row r="36" spans="2:7" x14ac:dyDescent="0.3">
      <c r="B36" s="96" t="s">
        <v>425</v>
      </c>
    </row>
    <row r="37" spans="2:7" ht="15.5" thickBot="1" x14ac:dyDescent="0.35"/>
    <row r="38" spans="2:7" ht="16.149999999999999" customHeight="1" x14ac:dyDescent="0.3">
      <c r="B38" s="865" t="s">
        <v>0</v>
      </c>
      <c r="C38" s="867" t="str">
        <f>+C21</f>
        <v>As at March 31, 2026</v>
      </c>
      <c r="D38" s="868"/>
      <c r="E38" s="869"/>
    </row>
    <row r="39" spans="2:7" ht="30.5" thickBot="1" x14ac:dyDescent="0.35">
      <c r="B39" s="866"/>
      <c r="C39" s="269" t="s">
        <v>84</v>
      </c>
      <c r="D39" s="270" t="s">
        <v>79</v>
      </c>
      <c r="E39" s="271" t="s">
        <v>85</v>
      </c>
    </row>
    <row r="40" spans="2:7" x14ac:dyDescent="0.3">
      <c r="B40" s="272"/>
      <c r="C40" s="273"/>
      <c r="D40" s="274"/>
      <c r="E40" s="275"/>
    </row>
    <row r="41" spans="2:7" x14ac:dyDescent="0.3">
      <c r="B41" s="95" t="s">
        <v>103</v>
      </c>
      <c r="C41" s="252">
        <v>10000</v>
      </c>
      <c r="D41" s="276">
        <v>100000</v>
      </c>
      <c r="E41" s="277">
        <v>1</v>
      </c>
    </row>
    <row r="42" spans="2:7" ht="15.5" thickBot="1" x14ac:dyDescent="0.35">
      <c r="B42" s="244"/>
      <c r="C42" s="265"/>
      <c r="D42" s="278"/>
      <c r="E42" s="279"/>
    </row>
    <row r="44" spans="2:7" x14ac:dyDescent="0.3">
      <c r="B44" s="96" t="s">
        <v>497</v>
      </c>
      <c r="E44" s="92"/>
    </row>
    <row r="45" spans="2:7" ht="15.5" thickBot="1" x14ac:dyDescent="0.35">
      <c r="B45" s="96"/>
      <c r="E45" s="92"/>
    </row>
    <row r="46" spans="2:7" ht="30.5" thickBot="1" x14ac:dyDescent="0.35">
      <c r="B46" s="93" t="s">
        <v>296</v>
      </c>
      <c r="C46" s="190" t="s">
        <v>84</v>
      </c>
      <c r="D46" s="190" t="s">
        <v>85</v>
      </c>
      <c r="E46" s="190" t="s">
        <v>297</v>
      </c>
    </row>
    <row r="47" spans="2:7" x14ac:dyDescent="0.3">
      <c r="B47" s="280"/>
      <c r="C47" s="95"/>
      <c r="D47" s="281"/>
      <c r="E47" s="241"/>
    </row>
    <row r="48" spans="2:7" x14ac:dyDescent="0.3">
      <c r="B48" s="282" t="s">
        <v>103</v>
      </c>
      <c r="C48" s="283">
        <v>10000</v>
      </c>
      <c r="D48" s="284">
        <v>1</v>
      </c>
      <c r="E48" s="241">
        <v>0</v>
      </c>
    </row>
    <row r="49" spans="2:6" ht="15.5" thickBot="1" x14ac:dyDescent="0.35">
      <c r="B49" s="285"/>
      <c r="C49" s="244"/>
      <c r="D49" s="278"/>
      <c r="E49" s="246"/>
    </row>
    <row r="52" spans="2:6" x14ac:dyDescent="0.3">
      <c r="B52" s="96" t="s">
        <v>426</v>
      </c>
    </row>
    <row r="53" spans="2:6" ht="15.5" thickBot="1" x14ac:dyDescent="0.35"/>
    <row r="54" spans="2:6" ht="16.149999999999999" customHeight="1" thickBot="1" x14ac:dyDescent="0.35">
      <c r="B54" s="235" t="s">
        <v>0</v>
      </c>
      <c r="C54" s="286" t="s">
        <v>496</v>
      </c>
      <c r="D54" s="236" t="s">
        <v>486</v>
      </c>
      <c r="E54" s="92"/>
    </row>
    <row r="55" spans="2:6" x14ac:dyDescent="0.3">
      <c r="B55" s="210" t="s">
        <v>401</v>
      </c>
      <c r="C55" s="287"/>
      <c r="D55" s="197"/>
      <c r="E55" s="92"/>
    </row>
    <row r="56" spans="2:6" x14ac:dyDescent="0.3">
      <c r="B56" s="95" t="s">
        <v>95</v>
      </c>
      <c r="C56" s="287">
        <f>D61</f>
        <v>512074.61510969698</v>
      </c>
      <c r="D56" s="197">
        <v>353603.635109697</v>
      </c>
      <c r="E56" s="92"/>
    </row>
    <row r="57" spans="2:6" x14ac:dyDescent="0.3">
      <c r="B57" s="95" t="s">
        <v>400</v>
      </c>
      <c r="C57" s="287">
        <f>'P&amp;L'!H36</f>
        <v>10739.729999999861</v>
      </c>
      <c r="D57" s="197">
        <v>158470.98000000001</v>
      </c>
      <c r="E57" s="94">
        <f>D57-'P&amp;L'!I36</f>
        <v>179.7499999999709</v>
      </c>
    </row>
    <row r="58" spans="2:6" x14ac:dyDescent="0.3">
      <c r="B58" s="95"/>
      <c r="C58" s="288"/>
      <c r="D58" s="198"/>
      <c r="E58" s="92"/>
    </row>
    <row r="59" spans="2:6" x14ac:dyDescent="0.3">
      <c r="B59" s="210" t="s">
        <v>96</v>
      </c>
      <c r="C59" s="289">
        <f>SUM(C56:C57)</f>
        <v>522814.34510969685</v>
      </c>
      <c r="D59" s="290">
        <f>SUM(D56:D58)</f>
        <v>512074.61510969698</v>
      </c>
      <c r="E59" s="92"/>
      <c r="F59" s="94"/>
    </row>
    <row r="60" spans="2:6" x14ac:dyDescent="0.3">
      <c r="B60" s="95"/>
      <c r="C60" s="291"/>
      <c r="D60" s="155"/>
      <c r="E60" s="92"/>
    </row>
    <row r="61" spans="2:6" ht="15.5" thickBot="1" x14ac:dyDescent="0.35">
      <c r="B61" s="210" t="s">
        <v>402</v>
      </c>
      <c r="C61" s="292">
        <f>+C59</f>
        <v>522814.34510969685</v>
      </c>
      <c r="D61" s="293">
        <f>+D59</f>
        <v>512074.61510969698</v>
      </c>
      <c r="E61" s="92"/>
    </row>
    <row r="62" spans="2:6" ht="16" thickTop="1" thickBot="1" x14ac:dyDescent="0.35">
      <c r="B62" s="244"/>
      <c r="C62" s="294"/>
      <c r="D62" s="295"/>
      <c r="E62" s="92"/>
    </row>
    <row r="64" spans="2:6" x14ac:dyDescent="0.3">
      <c r="B64" s="96" t="s">
        <v>427</v>
      </c>
    </row>
    <row r="65" spans="2:4" ht="15.5" thickBot="1" x14ac:dyDescent="0.35"/>
    <row r="66" spans="2:4" ht="15.5" thickBot="1" x14ac:dyDescent="0.35">
      <c r="B66" s="296" t="s">
        <v>0</v>
      </c>
      <c r="C66" s="286" t="s">
        <v>496</v>
      </c>
      <c r="D66" s="236" t="s">
        <v>486</v>
      </c>
    </row>
    <row r="67" spans="2:4" x14ac:dyDescent="0.3">
      <c r="B67" s="210" t="s">
        <v>300</v>
      </c>
      <c r="C67" s="297"/>
      <c r="D67" s="298"/>
    </row>
    <row r="68" spans="2:4" x14ac:dyDescent="0.3">
      <c r="B68" s="95" t="s">
        <v>235</v>
      </c>
      <c r="C68" s="197">
        <v>0</v>
      </c>
      <c r="D68" s="139">
        <v>0</v>
      </c>
    </row>
    <row r="69" spans="2:4" x14ac:dyDescent="0.3">
      <c r="B69" s="95" t="s">
        <v>301</v>
      </c>
      <c r="C69" s="197">
        <v>0</v>
      </c>
      <c r="D69" s="139">
        <v>0</v>
      </c>
    </row>
    <row r="70" spans="2:4" x14ac:dyDescent="0.3">
      <c r="B70" s="95"/>
      <c r="C70" s="197"/>
      <c r="D70" s="139"/>
    </row>
    <row r="71" spans="2:4" ht="15.5" thickBot="1" x14ac:dyDescent="0.35">
      <c r="B71" s="210" t="s">
        <v>302</v>
      </c>
      <c r="C71" s="293">
        <f>+SUM(C68:C69)</f>
        <v>0</v>
      </c>
      <c r="D71" s="293">
        <f>+SUM(D68:D69)</f>
        <v>0</v>
      </c>
    </row>
    <row r="72" spans="2:4" ht="15.5" thickTop="1" x14ac:dyDescent="0.3">
      <c r="B72" s="95"/>
      <c r="C72" s="197"/>
      <c r="D72" s="139"/>
    </row>
    <row r="73" spans="2:4" x14ac:dyDescent="0.3">
      <c r="B73" s="210" t="s">
        <v>303</v>
      </c>
      <c r="C73" s="197"/>
      <c r="D73" s="139"/>
    </row>
    <row r="74" spans="2:4" x14ac:dyDescent="0.3">
      <c r="B74" s="95" t="s">
        <v>235</v>
      </c>
      <c r="C74" s="197">
        <f>+'Deferred Tax'!E19</f>
        <v>5006.63</v>
      </c>
      <c r="D74" s="139">
        <v>5623.65</v>
      </c>
    </row>
    <row r="75" spans="2:4" x14ac:dyDescent="0.3">
      <c r="B75" s="95" t="s">
        <v>301</v>
      </c>
      <c r="C75" s="197">
        <v>0</v>
      </c>
      <c r="D75" s="139">
        <v>0</v>
      </c>
    </row>
    <row r="76" spans="2:4" x14ac:dyDescent="0.3">
      <c r="B76" s="95"/>
      <c r="C76" s="197"/>
      <c r="D76" s="139"/>
    </row>
    <row r="77" spans="2:4" ht="15.5" thickBot="1" x14ac:dyDescent="0.35">
      <c r="B77" s="210" t="s">
        <v>304</v>
      </c>
      <c r="C77" s="293">
        <f>+SUM(C74:C75)</f>
        <v>5006.63</v>
      </c>
      <c r="D77" s="293">
        <f>+SUM(D74:D75)</f>
        <v>5623.65</v>
      </c>
    </row>
    <row r="78" spans="2:4" ht="15.5" thickTop="1" x14ac:dyDescent="0.3">
      <c r="B78" s="95"/>
      <c r="C78" s="197"/>
      <c r="D78" s="139"/>
    </row>
    <row r="79" spans="2:4" x14ac:dyDescent="0.3">
      <c r="B79" s="210" t="s">
        <v>242</v>
      </c>
      <c r="C79" s="747">
        <f>+C77-C71</f>
        <v>5006.63</v>
      </c>
      <c r="D79" s="200">
        <f>D77-D71</f>
        <v>5623.65</v>
      </c>
    </row>
    <row r="80" spans="2:4" x14ac:dyDescent="0.3">
      <c r="B80" s="210" t="s">
        <v>305</v>
      </c>
      <c r="C80" s="299">
        <v>0</v>
      </c>
      <c r="D80" s="200">
        <v>0</v>
      </c>
    </row>
    <row r="81" spans="2:6" ht="15.5" thickBot="1" x14ac:dyDescent="0.35">
      <c r="B81" s="244"/>
      <c r="C81" s="222"/>
      <c r="D81" s="279"/>
    </row>
    <row r="83" spans="2:6" x14ac:dyDescent="0.3">
      <c r="B83" s="96" t="s">
        <v>428</v>
      </c>
      <c r="C83" s="300"/>
      <c r="D83" s="301"/>
    </row>
    <row r="84" spans="2:6" ht="15.5" thickBot="1" x14ac:dyDescent="0.35">
      <c r="B84" s="96"/>
      <c r="C84" s="300"/>
      <c r="D84" s="301"/>
    </row>
    <row r="85" spans="2:6" ht="15.5" thickBot="1" x14ac:dyDescent="0.35">
      <c r="B85" s="93" t="s">
        <v>0</v>
      </c>
      <c r="C85" s="286" t="s">
        <v>496</v>
      </c>
      <c r="D85" s="236" t="s">
        <v>486</v>
      </c>
    </row>
    <row r="86" spans="2:6" x14ac:dyDescent="0.3">
      <c r="B86" s="739"/>
      <c r="C86" s="703"/>
      <c r="D86" s="667"/>
    </row>
    <row r="87" spans="2:6" x14ac:dyDescent="0.3">
      <c r="B87" s="740" t="s">
        <v>681</v>
      </c>
      <c r="C87" s="734"/>
      <c r="D87" s="669"/>
    </row>
    <row r="88" spans="2:6" x14ac:dyDescent="0.3">
      <c r="B88" s="741"/>
      <c r="C88" s="734"/>
      <c r="D88" s="669"/>
    </row>
    <row r="89" spans="2:6" x14ac:dyDescent="0.3">
      <c r="B89" s="741" t="s">
        <v>312</v>
      </c>
      <c r="C89" s="668"/>
      <c r="D89" s="669"/>
    </row>
    <row r="90" spans="2:6" x14ac:dyDescent="0.3">
      <c r="B90" s="742" t="s">
        <v>477</v>
      </c>
      <c r="C90" s="668">
        <v>0</v>
      </c>
      <c r="D90" s="669">
        <v>57607</v>
      </c>
    </row>
    <row r="91" spans="2:6" x14ac:dyDescent="0.3">
      <c r="B91" s="742" t="s">
        <v>559</v>
      </c>
      <c r="C91" s="668">
        <f>'IT computation'!G38</f>
        <v>5872</v>
      </c>
      <c r="D91" s="669">
        <v>0</v>
      </c>
      <c r="E91" s="92"/>
      <c r="F91" s="663"/>
    </row>
    <row r="92" spans="2:6" x14ac:dyDescent="0.3">
      <c r="B92" s="742"/>
      <c r="C92" s="668"/>
      <c r="D92" s="669"/>
      <c r="E92" s="92"/>
      <c r="F92" s="663"/>
    </row>
    <row r="93" spans="2:6" ht="15.5" thickBot="1" x14ac:dyDescent="0.35">
      <c r="B93" s="740" t="s">
        <v>682</v>
      </c>
      <c r="C93" s="701">
        <f>SUM(C89:C92)</f>
        <v>5872</v>
      </c>
      <c r="D93" s="702">
        <f>SUM(D89:D92)</f>
        <v>57607</v>
      </c>
      <c r="E93" s="92"/>
    </row>
    <row r="94" spans="2:6" x14ac:dyDescent="0.3">
      <c r="B94" s="740"/>
      <c r="C94" s="735"/>
      <c r="D94" s="736"/>
      <c r="E94" s="92"/>
    </row>
    <row r="95" spans="2:6" x14ac:dyDescent="0.3">
      <c r="B95" s="740" t="s">
        <v>634</v>
      </c>
      <c r="C95" s="735"/>
      <c r="D95" s="736"/>
      <c r="E95" s="92"/>
    </row>
    <row r="96" spans="2:6" x14ac:dyDescent="0.3">
      <c r="B96" s="740"/>
      <c r="C96" s="735"/>
      <c r="D96" s="736"/>
      <c r="E96" s="92"/>
    </row>
    <row r="97" spans="2:6" x14ac:dyDescent="0.3">
      <c r="B97" s="741" t="s">
        <v>312</v>
      </c>
      <c r="C97" s="735"/>
      <c r="D97" s="736"/>
      <c r="E97" s="92"/>
    </row>
    <row r="98" spans="2:6" x14ac:dyDescent="0.3">
      <c r="B98" s="742" t="s">
        <v>311</v>
      </c>
      <c r="C98" s="668">
        <f>97172-TB!D149</f>
        <v>0</v>
      </c>
      <c r="D98" s="669">
        <v>97172</v>
      </c>
      <c r="E98" s="92"/>
    </row>
    <row r="99" spans="2:6" x14ac:dyDescent="0.3">
      <c r="B99" s="742" t="s">
        <v>442</v>
      </c>
      <c r="C99" s="668">
        <v>24157</v>
      </c>
      <c r="D99" s="669">
        <v>24157</v>
      </c>
      <c r="E99" s="92"/>
    </row>
    <row r="100" spans="2:6" x14ac:dyDescent="0.3">
      <c r="B100" s="742" t="s">
        <v>477</v>
      </c>
      <c r="C100" s="668">
        <v>57607</v>
      </c>
      <c r="D100" s="669"/>
      <c r="E100" s="92"/>
      <c r="F100" s="663"/>
    </row>
    <row r="101" spans="2:6" x14ac:dyDescent="0.3">
      <c r="B101" s="742"/>
      <c r="C101" s="668"/>
      <c r="D101" s="669"/>
      <c r="E101" s="92"/>
      <c r="F101" s="663"/>
    </row>
    <row r="102" spans="2:6" ht="15.5" thickBot="1" x14ac:dyDescent="0.35">
      <c r="B102" s="740" t="s">
        <v>683</v>
      </c>
      <c r="C102" s="737">
        <f>SUM(C98:C101)</f>
        <v>81764</v>
      </c>
      <c r="D102" s="305">
        <f>SUM(D98:D101)</f>
        <v>121329</v>
      </c>
      <c r="E102" s="92"/>
    </row>
    <row r="103" spans="2:6" ht="15.5" thickBot="1" x14ac:dyDescent="0.35">
      <c r="B103" s="738"/>
      <c r="C103" s="351"/>
      <c r="D103" s="743"/>
      <c r="E103" s="92"/>
    </row>
    <row r="105" spans="2:6" x14ac:dyDescent="0.3">
      <c r="B105" s="96" t="s">
        <v>429</v>
      </c>
    </row>
    <row r="106" spans="2:6" ht="15.5" thickBot="1" x14ac:dyDescent="0.35"/>
    <row r="107" spans="2:6" ht="15.5" thickBot="1" x14ac:dyDescent="0.35">
      <c r="B107" s="235" t="s">
        <v>0</v>
      </c>
      <c r="C107" s="286" t="s">
        <v>496</v>
      </c>
      <c r="D107" s="236" t="s">
        <v>486</v>
      </c>
      <c r="E107" s="92"/>
    </row>
    <row r="108" spans="2:6" x14ac:dyDescent="0.3">
      <c r="B108" s="304" t="s">
        <v>119</v>
      </c>
      <c r="C108" s="195">
        <v>0</v>
      </c>
      <c r="D108" s="195">
        <v>47640</v>
      </c>
      <c r="E108" s="92"/>
    </row>
    <row r="109" spans="2:6" ht="15.5" thickBot="1" x14ac:dyDescent="0.35">
      <c r="B109" s="285"/>
      <c r="C109" s="305">
        <f>C108</f>
        <v>0</v>
      </c>
      <c r="D109" s="305">
        <f>D108</f>
        <v>47640</v>
      </c>
      <c r="E109" s="92"/>
    </row>
    <row r="110" spans="2:6" x14ac:dyDescent="0.3">
      <c r="C110" s="309"/>
      <c r="D110" s="309"/>
      <c r="E110" s="92"/>
    </row>
    <row r="111" spans="2:6" x14ac:dyDescent="0.3">
      <c r="B111" s="96" t="s">
        <v>680</v>
      </c>
      <c r="E111" s="92"/>
    </row>
    <row r="112" spans="2:6" ht="15.5" thickBot="1" x14ac:dyDescent="0.35">
      <c r="E112" s="92"/>
    </row>
    <row r="113" spans="2:5" ht="15.5" thickBot="1" x14ac:dyDescent="0.35">
      <c r="B113" s="235" t="s">
        <v>0</v>
      </c>
      <c r="C113" s="286" t="s">
        <v>496</v>
      </c>
      <c r="D113" s="236" t="s">
        <v>486</v>
      </c>
      <c r="E113" s="92"/>
    </row>
    <row r="114" spans="2:5" x14ac:dyDescent="0.3">
      <c r="B114" s="306" t="s">
        <v>98</v>
      </c>
      <c r="C114" s="287"/>
      <c r="D114" s="307"/>
      <c r="E114" s="92"/>
    </row>
    <row r="115" spans="2:5" x14ac:dyDescent="0.3">
      <c r="B115" s="302" t="s">
        <v>295</v>
      </c>
      <c r="C115" s="287">
        <f>TB!I30</f>
        <v>10000</v>
      </c>
      <c r="D115" s="135">
        <v>10000</v>
      </c>
      <c r="E115" s="92"/>
    </row>
    <row r="116" spans="2:5" x14ac:dyDescent="0.3">
      <c r="B116" s="302" t="s">
        <v>445</v>
      </c>
      <c r="C116" s="288" t="s">
        <v>537</v>
      </c>
      <c r="D116" s="670">
        <v>0</v>
      </c>
      <c r="E116" s="92"/>
    </row>
    <row r="117" spans="2:5" ht="15.5" thickBot="1" x14ac:dyDescent="0.35">
      <c r="B117" s="285"/>
      <c r="C117" s="733">
        <f>SUM(C115:C116)</f>
        <v>10000</v>
      </c>
      <c r="D117" s="308">
        <f>SUM(D115:D116)</f>
        <v>10000</v>
      </c>
      <c r="E117" s="92"/>
    </row>
    <row r="118" spans="2:5" x14ac:dyDescent="0.3">
      <c r="C118" s="309"/>
      <c r="D118" s="309"/>
      <c r="E118" s="92"/>
    </row>
    <row r="119" spans="2:5" x14ac:dyDescent="0.3">
      <c r="B119" s="92" t="s">
        <v>5</v>
      </c>
      <c r="C119" s="309"/>
      <c r="D119" s="309"/>
      <c r="E119" s="92"/>
    </row>
  </sheetData>
  <mergeCells count="6">
    <mergeCell ref="C21:D21"/>
    <mergeCell ref="E21:F21"/>
    <mergeCell ref="B38:B39"/>
    <mergeCell ref="C38:E38"/>
    <mergeCell ref="B7:D7"/>
    <mergeCell ref="B31:G35"/>
  </mergeCells>
  <pageMargins left="0.7" right="0.7" top="0.75" bottom="0.75" header="0.3" footer="0.3"/>
  <pageSetup orientation="portrait" r:id="rId1"/>
  <ignoredErrors>
    <ignoredError sqref="D24"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V35"/>
  <sheetViews>
    <sheetView showGridLines="0" zoomScaleNormal="100" zoomScaleSheetLayoutView="100" workbookViewId="0"/>
  </sheetViews>
  <sheetFormatPr defaultColWidth="9.1796875" defaultRowHeight="15" x14ac:dyDescent="0.3"/>
  <cols>
    <col min="1" max="1" width="2.54296875" style="92" customWidth="1"/>
    <col min="2" max="2" width="18.453125" style="92" customWidth="1"/>
    <col min="3" max="3" width="26.1796875" style="92" customWidth="1"/>
    <col min="4" max="4" width="14.26953125" style="92" customWidth="1"/>
    <col min="5" max="5" width="15.453125" style="94" customWidth="1"/>
    <col min="6" max="6" width="14.1796875" style="94" customWidth="1"/>
    <col min="7" max="7" width="14.26953125" style="94" customWidth="1"/>
    <col min="8" max="8" width="14.54296875" style="94" bestFit="1" customWidth="1"/>
    <col min="9" max="9" width="16.7265625" style="94" customWidth="1"/>
    <col min="10" max="10" width="15.26953125" style="94" customWidth="1"/>
    <col min="11" max="11" width="15.81640625" style="94" bestFit="1" customWidth="1"/>
    <col min="12" max="12" width="14.81640625" style="94" bestFit="1" customWidth="1"/>
    <col min="13" max="13" width="15.26953125" style="94" bestFit="1" customWidth="1"/>
    <col min="14" max="14" width="15.54296875" style="94" customWidth="1"/>
    <col min="15" max="15" width="14.453125" style="94" customWidth="1"/>
    <col min="16" max="16" width="14.54296875" style="92" bestFit="1" customWidth="1"/>
    <col min="17" max="17" width="15.81640625" style="92" bestFit="1" customWidth="1"/>
    <col min="18" max="18" width="13.54296875" style="92" bestFit="1" customWidth="1"/>
    <col min="19" max="19" width="14.81640625" style="92" bestFit="1" customWidth="1"/>
    <col min="20" max="20" width="13.54296875" style="92" bestFit="1" customWidth="1"/>
    <col min="21" max="21" width="12.453125" style="92" bestFit="1" customWidth="1"/>
    <col min="22" max="16384" width="9.1796875" style="92"/>
  </cols>
  <sheetData>
    <row r="1" spans="2:22" ht="15.5" thickBot="1" x14ac:dyDescent="0.35"/>
    <row r="2" spans="2:22" s="106" customFormat="1" ht="17.5" x14ac:dyDescent="0.35">
      <c r="B2" s="101" t="s">
        <v>251</v>
      </c>
      <c r="C2" s="310"/>
      <c r="D2" s="311"/>
      <c r="E2" s="312"/>
      <c r="F2" s="312"/>
      <c r="G2" s="312"/>
      <c r="H2" s="312"/>
      <c r="I2" s="313"/>
      <c r="J2" s="314"/>
      <c r="K2" s="314"/>
      <c r="L2" s="314"/>
      <c r="M2" s="314"/>
      <c r="N2" s="314"/>
      <c r="O2" s="314"/>
    </row>
    <row r="3" spans="2:22" s="106" customFormat="1" ht="17.5" x14ac:dyDescent="0.35">
      <c r="B3" s="107" t="s">
        <v>249</v>
      </c>
      <c r="C3" s="315"/>
      <c r="D3" s="586"/>
      <c r="E3" s="314"/>
      <c r="F3" s="314"/>
      <c r="G3" s="314"/>
      <c r="H3" s="314"/>
      <c r="I3" s="316"/>
      <c r="J3" s="314"/>
      <c r="K3" s="314"/>
      <c r="L3" s="314"/>
      <c r="M3" s="314"/>
      <c r="N3" s="314"/>
      <c r="O3" s="314"/>
    </row>
    <row r="4" spans="2:22" s="106" customFormat="1" ht="17.5" x14ac:dyDescent="0.35">
      <c r="B4" s="111" t="s">
        <v>250</v>
      </c>
      <c r="C4" s="315"/>
      <c r="D4" s="586"/>
      <c r="E4" s="314"/>
      <c r="F4" s="314"/>
      <c r="G4" s="314"/>
      <c r="H4" s="314"/>
      <c r="I4" s="316"/>
      <c r="J4" s="314"/>
      <c r="K4" s="314"/>
      <c r="L4" s="314"/>
      <c r="M4" s="314"/>
      <c r="N4" s="314"/>
      <c r="O4" s="314"/>
    </row>
    <row r="5" spans="2:22" s="106" customFormat="1" ht="18" thickBot="1" x14ac:dyDescent="0.4">
      <c r="B5" s="115" t="s">
        <v>101</v>
      </c>
      <c r="C5" s="459"/>
      <c r="D5" s="116"/>
      <c r="E5" s="318"/>
      <c r="F5" s="318"/>
      <c r="G5" s="318"/>
      <c r="H5" s="318"/>
      <c r="I5" s="319"/>
      <c r="J5" s="314"/>
      <c r="K5" s="314"/>
      <c r="L5" s="314"/>
      <c r="M5" s="314"/>
      <c r="N5" s="314"/>
      <c r="O5" s="314"/>
    </row>
    <row r="6" spans="2:22" x14ac:dyDescent="0.3">
      <c r="B6" s="206" t="s">
        <v>522</v>
      </c>
      <c r="C6" s="206"/>
      <c r="D6" s="320"/>
    </row>
    <row r="7" spans="2:22" x14ac:dyDescent="0.3">
      <c r="B7" s="206"/>
      <c r="C7" s="206"/>
      <c r="D7" s="320"/>
    </row>
    <row r="8" spans="2:22" ht="15.5" thickBot="1" x14ac:dyDescent="0.35">
      <c r="B8" s="96" t="s">
        <v>430</v>
      </c>
      <c r="C8" s="320"/>
      <c r="D8" s="320"/>
    </row>
    <row r="9" spans="2:22" ht="15.5" thickBot="1" x14ac:dyDescent="0.35">
      <c r="B9" s="841" t="s">
        <v>104</v>
      </c>
      <c r="C9" s="843"/>
      <c r="D9" s="874" t="s">
        <v>105</v>
      </c>
      <c r="E9" s="876" t="s">
        <v>106</v>
      </c>
      <c r="F9" s="877"/>
      <c r="G9" s="877"/>
      <c r="H9" s="877"/>
      <c r="I9" s="878"/>
      <c r="J9" s="879" t="s">
        <v>107</v>
      </c>
      <c r="K9" s="880"/>
      <c r="L9" s="880"/>
      <c r="M9" s="881"/>
      <c r="N9" s="876" t="s">
        <v>108</v>
      </c>
      <c r="O9" s="878"/>
    </row>
    <row r="10" spans="2:22" ht="60.5" thickBot="1" x14ac:dyDescent="0.35">
      <c r="B10" s="872"/>
      <c r="C10" s="873"/>
      <c r="D10" s="875"/>
      <c r="E10" s="273" t="s">
        <v>532</v>
      </c>
      <c r="F10" s="273" t="s">
        <v>109</v>
      </c>
      <c r="G10" s="680" t="s">
        <v>263</v>
      </c>
      <c r="H10" s="274" t="s">
        <v>110</v>
      </c>
      <c r="I10" s="275" t="s">
        <v>533</v>
      </c>
      <c r="J10" s="273" t="s">
        <v>532</v>
      </c>
      <c r="K10" s="680" t="s">
        <v>111</v>
      </c>
      <c r="L10" s="274" t="s">
        <v>264</v>
      </c>
      <c r="M10" s="275" t="s">
        <v>467</v>
      </c>
      <c r="N10" s="275" t="s">
        <v>533</v>
      </c>
      <c r="O10" s="385" t="s">
        <v>467</v>
      </c>
    </row>
    <row r="11" spans="2:22" x14ac:dyDescent="0.3">
      <c r="B11" s="676" t="s">
        <v>6</v>
      </c>
      <c r="C11" s="685" t="s">
        <v>33</v>
      </c>
      <c r="D11" s="666"/>
      <c r="E11" s="385"/>
      <c r="F11" s="385"/>
      <c r="G11" s="385"/>
      <c r="H11" s="385"/>
      <c r="I11" s="385"/>
      <c r="J11" s="385"/>
      <c r="K11" s="385"/>
      <c r="L11" s="385"/>
      <c r="M11" s="385"/>
      <c r="N11" s="385"/>
      <c r="O11" s="679"/>
    </row>
    <row r="12" spans="2:22" x14ac:dyDescent="0.3">
      <c r="B12" s="282"/>
      <c r="C12" s="686" t="s">
        <v>273</v>
      </c>
      <c r="D12" s="282"/>
      <c r="E12" s="197"/>
      <c r="F12" s="197"/>
      <c r="G12" s="197"/>
      <c r="H12" s="197"/>
      <c r="I12" s="197"/>
      <c r="J12" s="197"/>
      <c r="K12" s="197"/>
      <c r="L12" s="197"/>
      <c r="M12" s="197"/>
      <c r="N12" s="197"/>
      <c r="O12" s="139"/>
    </row>
    <row r="13" spans="2:22" x14ac:dyDescent="0.3">
      <c r="B13" s="677"/>
      <c r="C13" s="687" t="s">
        <v>118</v>
      </c>
      <c r="D13" s="688">
        <v>3</v>
      </c>
      <c r="E13" s="672">
        <f>SUM(I21:I24)</f>
        <v>181583.49000000002</v>
      </c>
      <c r="F13" s="197"/>
      <c r="G13" s="672">
        <v>0</v>
      </c>
      <c r="H13" s="672">
        <v>0</v>
      </c>
      <c r="I13" s="673">
        <f>SUM(E13:G13)-H13</f>
        <v>181583.49000000002</v>
      </c>
      <c r="J13" s="672">
        <v>135415.51</v>
      </c>
      <c r="K13" s="672">
        <f>SUM(M21:M24)</f>
        <v>21157</v>
      </c>
      <c r="L13" s="672">
        <v>0</v>
      </c>
      <c r="M13" s="672">
        <f>J13+K13+L13</f>
        <v>156572.51</v>
      </c>
      <c r="N13" s="672">
        <f>I13-M13</f>
        <v>25010.98000000001</v>
      </c>
      <c r="O13" s="322">
        <f>E13-J13</f>
        <v>46167.98000000001</v>
      </c>
      <c r="P13" s="94"/>
      <c r="Q13" s="323"/>
      <c r="R13" s="323"/>
      <c r="S13" s="324"/>
      <c r="T13" s="324"/>
      <c r="U13" s="324"/>
      <c r="V13" s="171"/>
    </row>
    <row r="14" spans="2:22" x14ac:dyDescent="0.3">
      <c r="B14" s="677"/>
      <c r="C14" s="687" t="s">
        <v>271</v>
      </c>
      <c r="D14" s="688">
        <v>5</v>
      </c>
      <c r="E14" s="673">
        <f>SUM(I25:I26)</f>
        <v>25989.040000000001</v>
      </c>
      <c r="F14" s="197"/>
      <c r="G14" s="672">
        <v>0</v>
      </c>
      <c r="H14" s="672">
        <v>0</v>
      </c>
      <c r="I14" s="673">
        <f>SUM(E14:G14)-H14</f>
        <v>25989.040000000001</v>
      </c>
      <c r="J14" s="672">
        <v>15516</v>
      </c>
      <c r="K14" s="672">
        <f>SUM(M25:M26)</f>
        <v>4721</v>
      </c>
      <c r="L14" s="672">
        <v>0</v>
      </c>
      <c r="M14" s="672">
        <f>J14+K14+L14</f>
        <v>20237</v>
      </c>
      <c r="N14" s="672">
        <f>I14-M14</f>
        <v>5752.0400000000009</v>
      </c>
      <c r="O14" s="322">
        <f>E14-J14</f>
        <v>10473.040000000001</v>
      </c>
      <c r="P14" s="94"/>
      <c r="Q14" s="94"/>
      <c r="R14" s="94"/>
    </row>
    <row r="15" spans="2:22" ht="15.5" thickBot="1" x14ac:dyDescent="0.35">
      <c r="B15" s="678"/>
      <c r="C15" s="678"/>
      <c r="D15" s="678"/>
      <c r="E15" s="674"/>
      <c r="F15" s="689"/>
      <c r="G15" s="689"/>
      <c r="H15" s="689"/>
      <c r="I15" s="689"/>
      <c r="J15" s="689"/>
      <c r="K15" s="689"/>
      <c r="L15" s="689"/>
      <c r="M15" s="689"/>
      <c r="N15" s="689"/>
      <c r="O15" s="690"/>
    </row>
    <row r="16" spans="2:22" ht="15.5" thickBot="1" x14ac:dyDescent="0.35">
      <c r="B16" s="675"/>
      <c r="C16" s="681" t="s">
        <v>97</v>
      </c>
      <c r="D16" s="682"/>
      <c r="E16" s="671">
        <f>SUM(E13:E14)</f>
        <v>207572.53000000003</v>
      </c>
      <c r="F16" s="683">
        <f t="shared" ref="F16:M16" si="0">SUM(F13:F15)</f>
        <v>0</v>
      </c>
      <c r="G16" s="683">
        <f t="shared" si="0"/>
        <v>0</v>
      </c>
      <c r="H16" s="683">
        <f t="shared" si="0"/>
        <v>0</v>
      </c>
      <c r="I16" s="684">
        <f t="shared" si="0"/>
        <v>207572.53000000003</v>
      </c>
      <c r="J16" s="684">
        <f t="shared" si="0"/>
        <v>150931.51</v>
      </c>
      <c r="K16" s="684">
        <f t="shared" si="0"/>
        <v>25878</v>
      </c>
      <c r="L16" s="684">
        <f t="shared" si="0"/>
        <v>0</v>
      </c>
      <c r="M16" s="684">
        <f t="shared" si="0"/>
        <v>176809.51</v>
      </c>
      <c r="N16" s="746">
        <f>SUM(N13:N15)</f>
        <v>30763.020000000011</v>
      </c>
      <c r="O16" s="684">
        <f>SUM(O13:O14)</f>
        <v>56641.020000000011</v>
      </c>
      <c r="P16" s="309"/>
    </row>
    <row r="17" spans="2:20" ht="16" thickTop="1" thickBot="1" x14ac:dyDescent="0.35">
      <c r="B17" s="325"/>
      <c r="C17" s="326"/>
      <c r="D17" s="327"/>
      <c r="E17" s="328"/>
      <c r="F17" s="329"/>
      <c r="G17" s="329"/>
      <c r="H17" s="329"/>
      <c r="I17" s="330"/>
      <c r="J17" s="328"/>
      <c r="K17" s="329"/>
      <c r="L17" s="329"/>
      <c r="M17" s="330"/>
      <c r="N17" s="328"/>
      <c r="O17" s="330"/>
      <c r="P17" s="309"/>
    </row>
    <row r="18" spans="2:20" ht="15.5" thickTop="1" x14ac:dyDescent="0.3"/>
    <row r="19" spans="2:20" x14ac:dyDescent="0.3">
      <c r="C19" s="96" t="s">
        <v>270</v>
      </c>
      <c r="G19" s="92"/>
      <c r="I19" s="331">
        <v>45747</v>
      </c>
      <c r="L19" s="331">
        <v>46112</v>
      </c>
      <c r="P19" s="94"/>
    </row>
    <row r="20" spans="2:20" ht="60" x14ac:dyDescent="0.3">
      <c r="B20" s="332" t="s">
        <v>112</v>
      </c>
      <c r="C20" s="332" t="s">
        <v>113</v>
      </c>
      <c r="D20" s="333" t="s">
        <v>114</v>
      </c>
      <c r="E20" s="334" t="s">
        <v>266</v>
      </c>
      <c r="F20" s="335" t="s">
        <v>115</v>
      </c>
      <c r="G20" s="335" t="s">
        <v>269</v>
      </c>
      <c r="H20" s="333" t="s">
        <v>267</v>
      </c>
      <c r="I20" s="335" t="s">
        <v>268</v>
      </c>
      <c r="J20" s="336" t="s">
        <v>464</v>
      </c>
      <c r="K20" s="336" t="s">
        <v>441</v>
      </c>
      <c r="L20" s="336" t="s">
        <v>440</v>
      </c>
      <c r="M20" s="336" t="s">
        <v>535</v>
      </c>
      <c r="N20" s="336" t="s">
        <v>534</v>
      </c>
      <c r="O20" s="336" t="s">
        <v>116</v>
      </c>
      <c r="P20" s="336" t="s">
        <v>117</v>
      </c>
      <c r="Q20" s="94"/>
    </row>
    <row r="21" spans="2:20" x14ac:dyDescent="0.3">
      <c r="B21" s="337" t="s">
        <v>118</v>
      </c>
      <c r="C21" s="338" t="s">
        <v>547</v>
      </c>
      <c r="D21" s="582">
        <v>44126</v>
      </c>
      <c r="E21" s="339">
        <v>0.63159685013596123</v>
      </c>
      <c r="F21" s="340">
        <v>3</v>
      </c>
      <c r="G21" s="584">
        <f>MAX(ROUND((H21-$L$19-1)/366,3),0)</f>
        <v>0</v>
      </c>
      <c r="H21" s="582">
        <f>D21+(F21*366)</f>
        <v>45224</v>
      </c>
      <c r="I21" s="341">
        <v>45724.45</v>
      </c>
      <c r="J21" s="342">
        <v>1648.9436796827576</v>
      </c>
      <c r="K21" s="660" t="s">
        <v>548</v>
      </c>
      <c r="L21" s="660">
        <v>0</v>
      </c>
      <c r="M21" s="659">
        <f>ROUND(IF(G21&gt;0,IF(L21=0,(J21*E21),(L21*E21*(K21-L$19)/366)),0),0)</f>
        <v>0</v>
      </c>
      <c r="N21" s="342">
        <f>J21-M21</f>
        <v>1648.9436796827576</v>
      </c>
      <c r="O21" s="341">
        <f>ROUND(I21*0.05,0)</f>
        <v>2286</v>
      </c>
      <c r="P21" s="659"/>
      <c r="Q21" s="94"/>
    </row>
    <row r="22" spans="2:20" x14ac:dyDescent="0.3">
      <c r="B22" s="656" t="s">
        <v>118</v>
      </c>
      <c r="C22" s="656" t="s">
        <v>543</v>
      </c>
      <c r="D22" s="654" t="s">
        <v>546</v>
      </c>
      <c r="E22" s="658">
        <v>0.63160000000000005</v>
      </c>
      <c r="F22" s="471">
        <v>3</v>
      </c>
      <c r="G22" s="584">
        <f t="shared" ref="G22:G26" si="1">MAX(ROUND((H22-$L$19-1)/366,3),0)</f>
        <v>0</v>
      </c>
      <c r="H22" s="582">
        <v>46021</v>
      </c>
      <c r="I22" s="341">
        <v>48490</v>
      </c>
      <c r="J22" s="659">
        <v>5511</v>
      </c>
      <c r="K22" s="655" t="s">
        <v>549</v>
      </c>
      <c r="L22" s="655">
        <v>0</v>
      </c>
      <c r="M22" s="659">
        <f t="shared" ref="M22:M26" si="2">ROUND(IF(G22&gt;0,IF(L22=0,(J22*E22),(L22*E22*(K22-L$19)/366)),0),0)</f>
        <v>0</v>
      </c>
      <c r="N22" s="342">
        <f t="shared" ref="N22:N26" si="3">J22-M22</f>
        <v>5511</v>
      </c>
      <c r="O22" s="341">
        <f t="shared" ref="O22:O26" si="4">ROUND(I22*0.05,0)</f>
        <v>2425</v>
      </c>
      <c r="P22" s="655"/>
      <c r="Q22" s="94"/>
      <c r="R22" s="94"/>
      <c r="S22" s="94"/>
      <c r="T22" s="94"/>
    </row>
    <row r="23" spans="2:20" x14ac:dyDescent="0.3">
      <c r="B23" s="656" t="s">
        <v>118</v>
      </c>
      <c r="C23" s="656" t="s">
        <v>543</v>
      </c>
      <c r="D23" s="657" t="s">
        <v>544</v>
      </c>
      <c r="E23" s="658">
        <v>0.63160000000000005</v>
      </c>
      <c r="F23" s="471">
        <v>3</v>
      </c>
      <c r="G23" s="584">
        <f t="shared" si="1"/>
        <v>0</v>
      </c>
      <c r="H23" s="582">
        <v>46021</v>
      </c>
      <c r="I23" s="341">
        <v>48490</v>
      </c>
      <c r="J23" s="659">
        <v>5511</v>
      </c>
      <c r="K23" s="655" t="s">
        <v>549</v>
      </c>
      <c r="L23" s="655">
        <v>0</v>
      </c>
      <c r="M23" s="659">
        <f t="shared" si="2"/>
        <v>0</v>
      </c>
      <c r="N23" s="342">
        <f t="shared" si="3"/>
        <v>5511</v>
      </c>
      <c r="O23" s="341">
        <f t="shared" si="4"/>
        <v>2425</v>
      </c>
      <c r="P23" s="655"/>
      <c r="Q23" s="94"/>
      <c r="R23" s="94"/>
      <c r="S23" s="94"/>
      <c r="T23" s="94"/>
    </row>
    <row r="24" spans="2:20" ht="19.5" customHeight="1" x14ac:dyDescent="0.3">
      <c r="B24" s="337" t="s">
        <v>118</v>
      </c>
      <c r="C24" s="338" t="s">
        <v>465</v>
      </c>
      <c r="D24" s="665">
        <v>45668</v>
      </c>
      <c r="E24" s="339">
        <v>0.63159685013596123</v>
      </c>
      <c r="F24" s="340">
        <v>3</v>
      </c>
      <c r="G24" s="584">
        <f t="shared" si="1"/>
        <v>1.776</v>
      </c>
      <c r="H24" s="582">
        <f>D24+(F24*365)</f>
        <v>46763</v>
      </c>
      <c r="I24" s="341">
        <v>38879.040000000001</v>
      </c>
      <c r="J24" s="342">
        <v>33497.040000000001</v>
      </c>
      <c r="K24" s="342">
        <v>0</v>
      </c>
      <c r="L24" s="342">
        <v>0</v>
      </c>
      <c r="M24" s="659">
        <f>ROUND(IF(G24&gt;0,IF(L24=0,(J24*E24),(L24*E24*(K24-L$19)/366)),0),0)</f>
        <v>21157</v>
      </c>
      <c r="N24" s="342">
        <f t="shared" si="3"/>
        <v>12340.04</v>
      </c>
      <c r="O24" s="341">
        <f t="shared" si="4"/>
        <v>1944</v>
      </c>
      <c r="P24" s="337"/>
      <c r="Q24" s="94"/>
    </row>
    <row r="25" spans="2:20" ht="19.5" customHeight="1" x14ac:dyDescent="0.3">
      <c r="B25" s="337" t="s">
        <v>271</v>
      </c>
      <c r="C25" s="338" t="s">
        <v>466</v>
      </c>
      <c r="D25" s="665">
        <v>45668</v>
      </c>
      <c r="E25" s="339">
        <v>0.45071972834694107</v>
      </c>
      <c r="F25" s="340">
        <v>5</v>
      </c>
      <c r="G25" s="584">
        <f t="shared" si="1"/>
        <v>3.77</v>
      </c>
      <c r="H25" s="582">
        <f>D25+(F25*365)</f>
        <v>47493</v>
      </c>
      <c r="I25" s="341">
        <v>5595.04</v>
      </c>
      <c r="J25" s="342">
        <v>5042.04</v>
      </c>
      <c r="K25" s="342">
        <v>0</v>
      </c>
      <c r="L25" s="342">
        <v>0</v>
      </c>
      <c r="M25" s="659">
        <f t="shared" si="2"/>
        <v>2273</v>
      </c>
      <c r="N25" s="342">
        <f t="shared" si="3"/>
        <v>2769.04</v>
      </c>
      <c r="O25" s="341">
        <f t="shared" si="4"/>
        <v>280</v>
      </c>
      <c r="P25" s="337"/>
      <c r="Q25" s="94"/>
    </row>
    <row r="26" spans="2:20" x14ac:dyDescent="0.3">
      <c r="B26" s="337" t="s">
        <v>271</v>
      </c>
      <c r="C26" s="338" t="s">
        <v>272</v>
      </c>
      <c r="D26" s="583">
        <v>44922</v>
      </c>
      <c r="E26" s="339">
        <v>0.45071972834694107</v>
      </c>
      <c r="F26" s="340">
        <v>5</v>
      </c>
      <c r="G26" s="584">
        <f t="shared" si="1"/>
        <v>1.746</v>
      </c>
      <c r="H26" s="582">
        <f>D26+(F26*366)</f>
        <v>46752</v>
      </c>
      <c r="I26" s="341">
        <v>20394</v>
      </c>
      <c r="J26" s="342">
        <v>5431</v>
      </c>
      <c r="K26" s="342">
        <v>0</v>
      </c>
      <c r="L26" s="342">
        <v>0</v>
      </c>
      <c r="M26" s="659">
        <f t="shared" si="2"/>
        <v>2448</v>
      </c>
      <c r="N26" s="342">
        <f t="shared" si="3"/>
        <v>2983</v>
      </c>
      <c r="O26" s="341">
        <f t="shared" si="4"/>
        <v>1020</v>
      </c>
      <c r="P26" s="337"/>
      <c r="Q26" s="94"/>
    </row>
    <row r="27" spans="2:20" x14ac:dyDescent="0.3">
      <c r="F27" s="343"/>
      <c r="G27" s="92"/>
      <c r="J27" s="344"/>
    </row>
    <row r="28" spans="2:20" ht="15.5" thickBot="1" x14ac:dyDescent="0.35">
      <c r="B28" s="96"/>
      <c r="F28" s="343"/>
      <c r="G28" s="92"/>
      <c r="I28" s="303">
        <f>SUM(I21:I26)</f>
        <v>207572.53000000003</v>
      </c>
      <c r="J28" s="303">
        <f>SUM(J21:J27)</f>
        <v>56641.023679682759</v>
      </c>
      <c r="K28" s="303">
        <f t="shared" ref="K28:L28" si="5">SUM(K24:K27)</f>
        <v>0</v>
      </c>
      <c r="L28" s="303">
        <f t="shared" si="5"/>
        <v>0</v>
      </c>
      <c r="M28" s="303">
        <f>SUM(M22:M27)</f>
        <v>25878</v>
      </c>
      <c r="N28" s="303">
        <f>SUM(N21:N27)</f>
        <v>30763.023679682759</v>
      </c>
      <c r="O28" s="303">
        <f>SUM(O21:O27)</f>
        <v>10380</v>
      </c>
    </row>
    <row r="29" spans="2:20" ht="15.5" thickTop="1" x14ac:dyDescent="0.3">
      <c r="B29" s="96"/>
      <c r="F29" s="343"/>
      <c r="G29" s="92"/>
      <c r="J29" s="344"/>
    </row>
    <row r="31" spans="2:20" x14ac:dyDescent="0.3">
      <c r="K31" s="94">
        <f>J22*E22*9/12</f>
        <v>2610.5607</v>
      </c>
    </row>
    <row r="32" spans="2:20" x14ac:dyDescent="0.3">
      <c r="K32" s="94">
        <f>J23*E23*9/12</f>
        <v>2610.5607</v>
      </c>
    </row>
    <row r="33" spans="11:12" x14ac:dyDescent="0.3">
      <c r="K33" s="94">
        <f>J24*E24</f>
        <v>21156.624952878301</v>
      </c>
      <c r="L33" s="94">
        <f>SUM(K31:K35)</f>
        <v>31596.746352878301</v>
      </c>
    </row>
    <row r="34" spans="11:12" x14ac:dyDescent="0.3">
      <c r="K34" s="94">
        <f>2771</f>
        <v>2771</v>
      </c>
    </row>
    <row r="35" spans="11:12" x14ac:dyDescent="0.3">
      <c r="K35" s="94">
        <f>2448</f>
        <v>2448</v>
      </c>
    </row>
  </sheetData>
  <protectedRanges>
    <protectedRange sqref="B24:C26" name="Range1_2_1"/>
    <protectedRange sqref="B21" name="Range1_2_1_1"/>
    <protectedRange sqref="C21" name="Range1_2_1_2"/>
  </protectedRanges>
  <mergeCells count="5">
    <mergeCell ref="B9:C10"/>
    <mergeCell ref="D9:D10"/>
    <mergeCell ref="E9:I9"/>
    <mergeCell ref="J9:M9"/>
    <mergeCell ref="N9:O9"/>
  </mergeCells>
  <pageMargins left="0.7" right="0.7" top="0.75" bottom="0.75" header="0.3" footer="0.3"/>
  <pageSetup paperSize="9" scale="60" orientation="landscape" r:id="rId1"/>
  <ignoredErrors>
    <ignoredError sqref="E13:E14"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rgb="FFFFC000"/>
  </sheetPr>
  <dimension ref="B1:H76"/>
  <sheetViews>
    <sheetView zoomScaleNormal="100" workbookViewId="0"/>
  </sheetViews>
  <sheetFormatPr defaultColWidth="9.26953125" defaultRowHeight="15" x14ac:dyDescent="0.3"/>
  <cols>
    <col min="1" max="1" width="9.7265625" style="92" customWidth="1"/>
    <col min="2" max="2" width="59.26953125" style="94" customWidth="1"/>
    <col min="3" max="3" width="25.26953125" style="94" customWidth="1"/>
    <col min="4" max="4" width="23.7265625" style="94" customWidth="1"/>
    <col min="5" max="5" width="15.26953125" style="92" bestFit="1" customWidth="1"/>
    <col min="6" max="6" width="14.7265625" style="92" bestFit="1" customWidth="1"/>
    <col min="7" max="7" width="13.7265625" style="92" customWidth="1"/>
    <col min="8" max="8" width="14" style="92" customWidth="1"/>
    <col min="9" max="16384" width="9.26953125" style="92"/>
  </cols>
  <sheetData>
    <row r="1" spans="2:8" ht="15.5" thickBot="1" x14ac:dyDescent="0.35"/>
    <row r="2" spans="2:8" s="229" customFormat="1" ht="17.5" x14ac:dyDescent="0.35">
      <c r="B2" s="101" t="s">
        <v>251</v>
      </c>
      <c r="C2" s="311"/>
      <c r="D2" s="310"/>
      <c r="E2" s="230"/>
    </row>
    <row r="3" spans="2:8" s="229" customFormat="1" ht="17.5" x14ac:dyDescent="0.35">
      <c r="B3" s="107" t="s">
        <v>249</v>
      </c>
      <c r="C3" s="586"/>
      <c r="D3" s="315"/>
      <c r="E3" s="230"/>
    </row>
    <row r="4" spans="2:8" s="229" customFormat="1" ht="17.5" x14ac:dyDescent="0.35">
      <c r="B4" s="111" t="s">
        <v>250</v>
      </c>
      <c r="C4" s="112"/>
      <c r="D4" s="315"/>
      <c r="E4" s="230"/>
    </row>
    <row r="5" spans="2:8" s="229" customFormat="1" ht="18" thickBot="1" x14ac:dyDescent="0.4">
      <c r="B5" s="115" t="s">
        <v>101</v>
      </c>
      <c r="C5" s="691"/>
      <c r="D5" s="317"/>
      <c r="E5" s="230"/>
    </row>
    <row r="6" spans="2:8" x14ac:dyDescent="0.3">
      <c r="B6" s="188"/>
      <c r="C6" s="206"/>
    </row>
    <row r="7" spans="2:8" x14ac:dyDescent="0.3">
      <c r="B7" s="887" t="s">
        <v>522</v>
      </c>
      <c r="C7" s="887"/>
      <c r="D7" s="887"/>
      <c r="F7" s="188"/>
      <c r="G7" s="188"/>
      <c r="H7" s="188"/>
    </row>
    <row r="10" spans="2:8" ht="15.5" thickBot="1" x14ac:dyDescent="0.35">
      <c r="B10" s="347" t="s">
        <v>686</v>
      </c>
      <c r="C10" s="347"/>
      <c r="D10" s="352"/>
    </row>
    <row r="11" spans="2:8" ht="15.5" thickBot="1" x14ac:dyDescent="0.35">
      <c r="B11" s="353" t="s">
        <v>0</v>
      </c>
      <c r="C11" s="190" t="s">
        <v>496</v>
      </c>
      <c r="D11" s="190" t="s">
        <v>486</v>
      </c>
    </row>
    <row r="12" spans="2:8" x14ac:dyDescent="0.3">
      <c r="B12" s="354" t="s">
        <v>306</v>
      </c>
      <c r="C12" s="355"/>
      <c r="D12" s="356"/>
    </row>
    <row r="13" spans="2:8" x14ac:dyDescent="0.3">
      <c r="B13" s="357" t="s">
        <v>307</v>
      </c>
      <c r="C13" s="358">
        <v>0</v>
      </c>
      <c r="D13" s="359">
        <v>0</v>
      </c>
    </row>
    <row r="14" spans="2:8" x14ac:dyDescent="0.3">
      <c r="B14" s="357" t="s">
        <v>308</v>
      </c>
      <c r="C14" s="358">
        <v>0</v>
      </c>
      <c r="D14" s="359">
        <v>0</v>
      </c>
    </row>
    <row r="15" spans="2:8" x14ac:dyDescent="0.3">
      <c r="B15" s="357" t="s">
        <v>309</v>
      </c>
      <c r="C15" s="358">
        <v>0</v>
      </c>
      <c r="D15" s="359">
        <v>0</v>
      </c>
    </row>
    <row r="16" spans="2:8" x14ac:dyDescent="0.3">
      <c r="B16" s="354" t="s">
        <v>310</v>
      </c>
      <c r="C16" s="355"/>
      <c r="D16" s="356"/>
    </row>
    <row r="17" spans="2:8" x14ac:dyDescent="0.3">
      <c r="B17" s="357" t="s">
        <v>307</v>
      </c>
      <c r="C17" s="358">
        <f>TB!H41</f>
        <v>0</v>
      </c>
      <c r="D17" s="359">
        <v>5323.11</v>
      </c>
    </row>
    <row r="18" spans="2:8" x14ac:dyDescent="0.3">
      <c r="B18" s="357" t="s">
        <v>308</v>
      </c>
      <c r="C18" s="358">
        <v>0</v>
      </c>
      <c r="D18" s="359"/>
    </row>
    <row r="19" spans="2:8" x14ac:dyDescent="0.3">
      <c r="B19" s="357" t="s">
        <v>309</v>
      </c>
      <c r="C19" s="358">
        <v>0</v>
      </c>
      <c r="D19" s="359">
        <v>0</v>
      </c>
    </row>
    <row r="20" spans="2:8" x14ac:dyDescent="0.3">
      <c r="B20" s="360"/>
      <c r="C20" s="358"/>
      <c r="D20" s="359"/>
    </row>
    <row r="21" spans="2:8" ht="15.5" thickBot="1" x14ac:dyDescent="0.35">
      <c r="B21" s="361" t="s">
        <v>258</v>
      </c>
      <c r="C21" s="362">
        <f>ROUND(SUM(C12:C19),100)</f>
        <v>0</v>
      </c>
      <c r="D21" s="363">
        <f>SUM(D12:D19)</f>
        <v>5323.11</v>
      </c>
    </row>
    <row r="23" spans="2:8" x14ac:dyDescent="0.3">
      <c r="B23" s="347" t="s">
        <v>523</v>
      </c>
      <c r="C23" s="364"/>
      <c r="D23" s="364"/>
      <c r="E23" s="365"/>
      <c r="F23" s="366"/>
      <c r="G23" s="347"/>
      <c r="H23" s="367"/>
    </row>
    <row r="24" spans="2:8" ht="15.5" thickBot="1" x14ac:dyDescent="0.35">
      <c r="B24" s="368"/>
      <c r="C24" s="369"/>
      <c r="D24" s="369"/>
      <c r="E24" s="368"/>
      <c r="F24" s="368"/>
      <c r="G24" s="347"/>
      <c r="H24" s="370"/>
    </row>
    <row r="25" spans="2:8" x14ac:dyDescent="0.3">
      <c r="B25" s="882" t="s">
        <v>0</v>
      </c>
      <c r="C25" s="884" t="s">
        <v>388</v>
      </c>
      <c r="D25" s="885"/>
      <c r="E25" s="885"/>
      <c r="F25" s="885"/>
      <c r="G25" s="886"/>
      <c r="H25" s="371"/>
    </row>
    <row r="26" spans="2:8" ht="30" x14ac:dyDescent="0.3">
      <c r="B26" s="883"/>
      <c r="C26" s="372" t="s">
        <v>389</v>
      </c>
      <c r="D26" s="372" t="s">
        <v>390</v>
      </c>
      <c r="E26" s="373" t="s">
        <v>391</v>
      </c>
      <c r="F26" s="374" t="s">
        <v>392</v>
      </c>
      <c r="G26" s="375" t="s">
        <v>393</v>
      </c>
      <c r="H26" s="376" t="s">
        <v>97</v>
      </c>
    </row>
    <row r="27" spans="2:8" x14ac:dyDescent="0.3">
      <c r="B27" s="377" t="s">
        <v>394</v>
      </c>
      <c r="C27" s="639">
        <v>0</v>
      </c>
      <c r="D27" s="378">
        <v>0</v>
      </c>
      <c r="E27" s="372">
        <v>0</v>
      </c>
      <c r="F27" s="372">
        <v>0</v>
      </c>
      <c r="G27" s="372">
        <v>0</v>
      </c>
      <c r="H27" s="379">
        <f>SUM(C27:G27)</f>
        <v>0</v>
      </c>
    </row>
    <row r="28" spans="2:8" x14ac:dyDescent="0.3">
      <c r="B28" s="377" t="s">
        <v>395</v>
      </c>
      <c r="C28" s="372">
        <v>0</v>
      </c>
      <c r="D28" s="372">
        <v>0</v>
      </c>
      <c r="E28" s="372">
        <v>0</v>
      </c>
      <c r="F28" s="372">
        <v>0</v>
      </c>
      <c r="G28" s="372">
        <v>0</v>
      </c>
      <c r="H28" s="379">
        <f>SUM(C28:G28)</f>
        <v>0</v>
      </c>
    </row>
    <row r="29" spans="2:8" x14ac:dyDescent="0.3">
      <c r="B29" s="377" t="s">
        <v>396</v>
      </c>
      <c r="C29" s="372">
        <v>0</v>
      </c>
      <c r="D29" s="372">
        <v>0</v>
      </c>
      <c r="E29" s="372">
        <v>0</v>
      </c>
      <c r="F29" s="372">
        <v>0</v>
      </c>
      <c r="G29" s="372">
        <v>0</v>
      </c>
      <c r="H29" s="379">
        <f>SUM(C29:G29)</f>
        <v>0</v>
      </c>
    </row>
    <row r="30" spans="2:8" ht="15.5" thickBot="1" x14ac:dyDescent="0.35">
      <c r="B30" s="380" t="s">
        <v>397</v>
      </c>
      <c r="C30" s="381">
        <v>0</v>
      </c>
      <c r="D30" s="381">
        <v>0</v>
      </c>
      <c r="E30" s="381">
        <v>0</v>
      </c>
      <c r="F30" s="381">
        <v>0</v>
      </c>
      <c r="G30" s="381">
        <v>0</v>
      </c>
      <c r="H30" s="382">
        <f>SUM(C30:G30)</f>
        <v>0</v>
      </c>
    </row>
    <row r="32" spans="2:8" x14ac:dyDescent="0.3">
      <c r="B32" s="347" t="s">
        <v>536</v>
      </c>
      <c r="C32" s="364"/>
      <c r="D32" s="364"/>
      <c r="E32" s="365"/>
      <c r="F32" s="366"/>
      <c r="G32" s="347"/>
      <c r="H32" s="367"/>
    </row>
    <row r="33" spans="2:8" ht="15.5" thickBot="1" x14ac:dyDescent="0.35">
      <c r="B33" s="368"/>
      <c r="C33" s="369"/>
      <c r="D33" s="369"/>
      <c r="E33" s="368"/>
      <c r="F33" s="368"/>
      <c r="G33" s="347"/>
      <c r="H33" s="370"/>
    </row>
    <row r="34" spans="2:8" x14ac:dyDescent="0.3">
      <c r="B34" s="882" t="s">
        <v>0</v>
      </c>
      <c r="C34" s="884" t="s">
        <v>388</v>
      </c>
      <c r="D34" s="885"/>
      <c r="E34" s="885"/>
      <c r="F34" s="885"/>
      <c r="G34" s="886"/>
      <c r="H34" s="371"/>
    </row>
    <row r="35" spans="2:8" ht="30" x14ac:dyDescent="0.3">
      <c r="B35" s="883"/>
      <c r="C35" s="372" t="s">
        <v>389</v>
      </c>
      <c r="D35" s="372" t="s">
        <v>390</v>
      </c>
      <c r="E35" s="373" t="s">
        <v>391</v>
      </c>
      <c r="F35" s="374" t="s">
        <v>392</v>
      </c>
      <c r="G35" s="375" t="s">
        <v>393</v>
      </c>
      <c r="H35" s="376" t="s">
        <v>97</v>
      </c>
    </row>
    <row r="36" spans="2:8" x14ac:dyDescent="0.3">
      <c r="B36" s="377" t="s">
        <v>394</v>
      </c>
      <c r="C36" s="764">
        <f>5323.11</f>
        <v>5323.11</v>
      </c>
      <c r="D36" s="765">
        <v>0</v>
      </c>
      <c r="E36" s="764">
        <v>0</v>
      </c>
      <c r="F36" s="764">
        <v>0</v>
      </c>
      <c r="G36" s="764">
        <v>0</v>
      </c>
      <c r="H36" s="379">
        <f>SUM(C36:G36)</f>
        <v>5323.11</v>
      </c>
    </row>
    <row r="37" spans="2:8" x14ac:dyDescent="0.3">
      <c r="B37" s="377" t="s">
        <v>395</v>
      </c>
      <c r="C37" s="764">
        <v>0</v>
      </c>
      <c r="D37" s="764">
        <v>0</v>
      </c>
      <c r="E37" s="764">
        <v>0</v>
      </c>
      <c r="F37" s="764">
        <v>0</v>
      </c>
      <c r="G37" s="764">
        <v>0</v>
      </c>
      <c r="H37" s="379">
        <f>SUM(C37:G37)</f>
        <v>0</v>
      </c>
    </row>
    <row r="38" spans="2:8" x14ac:dyDescent="0.3">
      <c r="B38" s="377" t="s">
        <v>396</v>
      </c>
      <c r="C38" s="764">
        <v>0</v>
      </c>
      <c r="D38" s="764">
        <v>0</v>
      </c>
      <c r="E38" s="764">
        <v>0</v>
      </c>
      <c r="F38" s="764">
        <v>0</v>
      </c>
      <c r="G38" s="764">
        <v>0</v>
      </c>
      <c r="H38" s="379">
        <f>SUM(C38:G38)</f>
        <v>0</v>
      </c>
    </row>
    <row r="39" spans="2:8" ht="15.5" thickBot="1" x14ac:dyDescent="0.35">
      <c r="B39" s="380" t="s">
        <v>397</v>
      </c>
      <c r="C39" s="766">
        <v>0</v>
      </c>
      <c r="D39" s="766">
        <v>0</v>
      </c>
      <c r="E39" s="766">
        <v>0</v>
      </c>
      <c r="F39" s="766">
        <v>0</v>
      </c>
      <c r="G39" s="766">
        <v>0</v>
      </c>
      <c r="H39" s="382">
        <f>SUM(C39:G39)</f>
        <v>0</v>
      </c>
    </row>
    <row r="40" spans="2:8" x14ac:dyDescent="0.3">
      <c r="B40" s="633"/>
      <c r="C40" s="634"/>
      <c r="D40" s="634"/>
      <c r="E40" s="634"/>
      <c r="F40" s="634"/>
      <c r="G40" s="634"/>
      <c r="H40" s="635"/>
    </row>
    <row r="41" spans="2:8" x14ac:dyDescent="0.3">
      <c r="B41" s="309" t="s">
        <v>687</v>
      </c>
      <c r="C41" s="383"/>
    </row>
    <row r="42" spans="2:8" ht="15.5" thickBot="1" x14ac:dyDescent="0.35"/>
    <row r="43" spans="2:8" ht="15.5" thickBot="1" x14ac:dyDescent="0.35">
      <c r="B43" s="384" t="s">
        <v>0</v>
      </c>
      <c r="C43" s="385" t="s">
        <v>496</v>
      </c>
      <c r="D43" s="385" t="s">
        <v>486</v>
      </c>
    </row>
    <row r="44" spans="2:8" x14ac:dyDescent="0.3">
      <c r="B44" s="386" t="s">
        <v>259</v>
      </c>
      <c r="C44" s="387"/>
      <c r="D44" s="388"/>
    </row>
    <row r="45" spans="2:8" x14ac:dyDescent="0.3">
      <c r="B45" s="287" t="s">
        <v>120</v>
      </c>
      <c r="C45" s="751">
        <f>TB!H68</f>
        <v>551222.58000000007</v>
      </c>
      <c r="D45" s="197">
        <v>606079.9</v>
      </c>
    </row>
    <row r="46" spans="2:8" x14ac:dyDescent="0.3">
      <c r="B46" s="389" t="s">
        <v>121</v>
      </c>
      <c r="C46" s="751">
        <f>TB!H69</f>
        <v>27820.409999999996</v>
      </c>
      <c r="D46" s="197">
        <v>28790.18</v>
      </c>
      <c r="E46" s="94"/>
    </row>
    <row r="47" spans="2:8" ht="15.5" thickBot="1" x14ac:dyDescent="0.35">
      <c r="B47" s="389"/>
      <c r="C47" s="390"/>
      <c r="D47" s="285"/>
    </row>
    <row r="48" spans="2:8" ht="15.5" thickBot="1" x14ac:dyDescent="0.35">
      <c r="B48" s="351" t="s">
        <v>258</v>
      </c>
      <c r="C48" s="222">
        <f>SUM(C45+C46)</f>
        <v>579042.99000000011</v>
      </c>
      <c r="D48" s="391">
        <f>SUM(D45:D47)</f>
        <v>634870.08000000007</v>
      </c>
    </row>
    <row r="50" spans="2:7" ht="15.5" thickBot="1" x14ac:dyDescent="0.35">
      <c r="B50" s="347" t="s">
        <v>688</v>
      </c>
      <c r="C50" s="347"/>
      <c r="D50" s="352"/>
      <c r="E50" s="348"/>
    </row>
    <row r="51" spans="2:7" ht="15.5" thickBot="1" x14ac:dyDescent="0.35">
      <c r="B51" s="349" t="s">
        <v>0</v>
      </c>
      <c r="C51" s="385" t="str">
        <f>C43</f>
        <v>As at March 31, 2026</v>
      </c>
      <c r="D51" s="190" t="str">
        <f>D43</f>
        <v>As at March 31, 2025</v>
      </c>
    </row>
    <row r="52" spans="2:7" x14ac:dyDescent="0.3">
      <c r="B52" s="636"/>
      <c r="C52" s="385"/>
      <c r="D52" s="275"/>
    </row>
    <row r="53" spans="2:7" x14ac:dyDescent="0.3">
      <c r="B53" s="638" t="s">
        <v>489</v>
      </c>
      <c r="C53" s="748">
        <f>TB!H59</f>
        <v>9213</v>
      </c>
      <c r="D53" s="653">
        <v>9213</v>
      </c>
    </row>
    <row r="54" spans="2:7" x14ac:dyDescent="0.3">
      <c r="B54" s="392" t="s">
        <v>137</v>
      </c>
      <c r="C54" s="637"/>
      <c r="D54" s="393"/>
    </row>
    <row r="55" spans="2:7" x14ac:dyDescent="0.3">
      <c r="B55" s="394" t="s">
        <v>311</v>
      </c>
      <c r="C55" s="395">
        <f>19718-TB!E151</f>
        <v>0</v>
      </c>
      <c r="D55" s="350">
        <v>19718</v>
      </c>
    </row>
    <row r="56" spans="2:7" x14ac:dyDescent="0.3">
      <c r="B56" s="394" t="s">
        <v>442</v>
      </c>
      <c r="C56" s="749">
        <v>10019.41</v>
      </c>
      <c r="D56" s="350">
        <v>10019.41</v>
      </c>
    </row>
    <row r="57" spans="2:7" x14ac:dyDescent="0.3">
      <c r="B57" s="394" t="s">
        <v>477</v>
      </c>
      <c r="C57" s="749">
        <f>D57</f>
        <v>5822.35</v>
      </c>
      <c r="D57" s="350">
        <v>5822.35</v>
      </c>
    </row>
    <row r="58" spans="2:7" x14ac:dyDescent="0.3">
      <c r="B58" s="394" t="s">
        <v>559</v>
      </c>
      <c r="C58" s="749">
        <f>TB!H63</f>
        <v>12912.95</v>
      </c>
      <c r="D58" s="350"/>
      <c r="F58" s="94">
        <f>C58</f>
        <v>12912.95</v>
      </c>
      <c r="G58" s="94">
        <f>F58-130</f>
        <v>12782.95</v>
      </c>
    </row>
    <row r="59" spans="2:7" x14ac:dyDescent="0.3">
      <c r="B59" s="631" t="s">
        <v>471</v>
      </c>
      <c r="C59" s="396"/>
      <c r="D59" s="350"/>
      <c r="E59" s="94"/>
      <c r="F59" s="663"/>
    </row>
    <row r="60" spans="2:7" x14ac:dyDescent="0.3">
      <c r="B60" s="394" t="s">
        <v>311</v>
      </c>
      <c r="C60" s="749">
        <f>86010-TB!E152</f>
        <v>0</v>
      </c>
      <c r="D60" s="350">
        <v>86010</v>
      </c>
    </row>
    <row r="61" spans="2:7" x14ac:dyDescent="0.3">
      <c r="B61" s="394" t="s">
        <v>442</v>
      </c>
      <c r="C61" s="749">
        <v>15410</v>
      </c>
      <c r="D61" s="350">
        <v>15410</v>
      </c>
    </row>
    <row r="62" spans="2:7" x14ac:dyDescent="0.3">
      <c r="B62" s="394" t="s">
        <v>477</v>
      </c>
      <c r="C62" s="749">
        <f>TB!H66</f>
        <v>52260</v>
      </c>
      <c r="D62" s="350">
        <v>0</v>
      </c>
    </row>
    <row r="63" spans="2:7" ht="15.5" thickBot="1" x14ac:dyDescent="0.35">
      <c r="B63" s="394"/>
      <c r="C63" s="750"/>
      <c r="D63" s="350"/>
    </row>
    <row r="64" spans="2:7" ht="15.5" thickBot="1" x14ac:dyDescent="0.35">
      <c r="B64" s="397" t="s">
        <v>258</v>
      </c>
      <c r="C64" s="692">
        <f>SUM(C53:C63)</f>
        <v>105637.71</v>
      </c>
      <c r="D64" s="398">
        <f>SUM(D53:D61)</f>
        <v>146192.76</v>
      </c>
    </row>
    <row r="65" s="92" customFormat="1" x14ac:dyDescent="0.3"/>
    <row r="66" s="92" customFormat="1" x14ac:dyDescent="0.3"/>
    <row r="67" s="92" customFormat="1" x14ac:dyDescent="0.3"/>
    <row r="68" s="92" customFormat="1" x14ac:dyDescent="0.3"/>
    <row r="69" s="92" customFormat="1" x14ac:dyDescent="0.3"/>
    <row r="70" s="92" customFormat="1" x14ac:dyDescent="0.3"/>
    <row r="71" s="92" customFormat="1" x14ac:dyDescent="0.3"/>
    <row r="72" s="92" customFormat="1" x14ac:dyDescent="0.3"/>
    <row r="73" s="92" customFormat="1" x14ac:dyDescent="0.3"/>
    <row r="74" s="92" customFormat="1" x14ac:dyDescent="0.3"/>
    <row r="75" s="92" customFormat="1" x14ac:dyDescent="0.3"/>
    <row r="76" s="92" customFormat="1" x14ac:dyDescent="0.3"/>
  </sheetData>
  <mergeCells count="5">
    <mergeCell ref="B25:B26"/>
    <mergeCell ref="C25:G25"/>
    <mergeCell ref="B7:D7"/>
    <mergeCell ref="B34:B35"/>
    <mergeCell ref="C34:G34"/>
  </mergeCells>
  <phoneticPr fontId="6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tabColor rgb="FFFFC000"/>
  </sheetPr>
  <dimension ref="B1:L102"/>
  <sheetViews>
    <sheetView topLeftCell="A79" zoomScale="104" zoomScaleNormal="175" workbookViewId="0"/>
  </sheetViews>
  <sheetFormatPr defaultColWidth="9.1796875" defaultRowHeight="15" x14ac:dyDescent="0.3"/>
  <cols>
    <col min="1" max="1" width="6.54296875" style="92" customWidth="1"/>
    <col min="2" max="2" width="73.54296875" style="92" customWidth="1"/>
    <col min="3" max="4" width="25" style="92" bestFit="1" customWidth="1"/>
    <col min="5" max="7" width="9.1796875" style="92"/>
    <col min="8" max="8" width="11" style="92" bestFit="1" customWidth="1"/>
    <col min="9" max="11" width="9.1796875" style="92"/>
    <col min="12" max="12" width="1.81640625" style="92" bestFit="1" customWidth="1"/>
    <col min="13" max="16384" width="9.1796875" style="92"/>
  </cols>
  <sheetData>
    <row r="1" spans="2:12" ht="15.5" thickBot="1" x14ac:dyDescent="0.35"/>
    <row r="2" spans="2:12" s="229" customFormat="1" ht="17.5" x14ac:dyDescent="0.35">
      <c r="B2" s="101" t="s">
        <v>251</v>
      </c>
      <c r="C2" s="310"/>
      <c r="D2" s="230"/>
      <c r="E2" s="230"/>
      <c r="F2" s="230"/>
    </row>
    <row r="3" spans="2:12" s="229" customFormat="1" ht="17.5" x14ac:dyDescent="0.35">
      <c r="B3" s="107" t="s">
        <v>249</v>
      </c>
      <c r="C3" s="315"/>
      <c r="D3" s="230"/>
      <c r="E3" s="230"/>
      <c r="F3" s="230"/>
    </row>
    <row r="4" spans="2:12" s="229" customFormat="1" ht="17.5" x14ac:dyDescent="0.35">
      <c r="B4" s="111" t="s">
        <v>250</v>
      </c>
      <c r="C4" s="315"/>
      <c r="D4" s="230"/>
      <c r="E4" s="230"/>
      <c r="F4" s="230"/>
    </row>
    <row r="5" spans="2:12" s="229" customFormat="1" ht="18" thickBot="1" x14ac:dyDescent="0.4">
      <c r="B5" s="115" t="s">
        <v>101</v>
      </c>
      <c r="C5" s="317"/>
      <c r="D5" s="230"/>
      <c r="E5" s="230"/>
      <c r="F5" s="230"/>
    </row>
    <row r="6" spans="2:12" x14ac:dyDescent="0.3">
      <c r="B6" s="120"/>
      <c r="C6" s="120"/>
      <c r="D6" s="94"/>
      <c r="E6" s="94"/>
      <c r="F6" s="94"/>
    </row>
    <row r="7" spans="2:12" x14ac:dyDescent="0.3">
      <c r="B7" s="96" t="s">
        <v>522</v>
      </c>
      <c r="C7" s="96"/>
      <c r="D7" s="94"/>
      <c r="E7" s="94"/>
      <c r="F7" s="94"/>
    </row>
    <row r="9" spans="2:12" ht="15.5" thickBot="1" x14ac:dyDescent="0.35">
      <c r="B9" s="309" t="s">
        <v>689</v>
      </c>
    </row>
    <row r="10" spans="2:12" ht="15" customHeight="1" thickBot="1" x14ac:dyDescent="0.35">
      <c r="B10" s="384" t="s">
        <v>0</v>
      </c>
      <c r="C10" s="236" t="s">
        <v>496</v>
      </c>
      <c r="D10" s="236" t="s">
        <v>486</v>
      </c>
    </row>
    <row r="11" spans="2:12" x14ac:dyDescent="0.3">
      <c r="B11" s="287" t="s">
        <v>127</v>
      </c>
      <c r="C11" s="195"/>
      <c r="D11" s="135"/>
    </row>
    <row r="12" spans="2:12" x14ac:dyDescent="0.3">
      <c r="B12" s="287" t="s">
        <v>448</v>
      </c>
      <c r="C12" s="197">
        <f>TB!I72</f>
        <v>1058472.7</v>
      </c>
      <c r="D12" s="139">
        <v>766038.34</v>
      </c>
    </row>
    <row r="13" spans="2:12" x14ac:dyDescent="0.3">
      <c r="B13" s="287" t="s">
        <v>449</v>
      </c>
      <c r="C13" s="197">
        <f>TB!I73</f>
        <v>118300</v>
      </c>
      <c r="D13" s="139">
        <v>20436.330000000002</v>
      </c>
    </row>
    <row r="14" spans="2:12" ht="15.5" thickBot="1" x14ac:dyDescent="0.35">
      <c r="B14" s="390"/>
      <c r="C14" s="399">
        <f>SUM(C12:C13)</f>
        <v>1176772.7</v>
      </c>
      <c r="D14" s="399">
        <f>SUM(D12:D13)</f>
        <v>786474.66999999993</v>
      </c>
      <c r="L14" s="92" t="s">
        <v>237</v>
      </c>
    </row>
    <row r="16" spans="2:12" ht="15.5" thickBot="1" x14ac:dyDescent="0.35">
      <c r="B16" s="309" t="s">
        <v>690</v>
      </c>
    </row>
    <row r="17" spans="2:5" ht="15.75" customHeight="1" thickBot="1" x14ac:dyDescent="0.35">
      <c r="B17" s="384" t="s">
        <v>0</v>
      </c>
      <c r="C17" s="236" t="s">
        <v>496</v>
      </c>
      <c r="D17" s="236" t="s">
        <v>486</v>
      </c>
    </row>
    <row r="18" spans="2:5" x14ac:dyDescent="0.3">
      <c r="B18" s="287" t="s">
        <v>233</v>
      </c>
      <c r="C18" s="197">
        <v>0</v>
      </c>
      <c r="D18" s="135">
        <v>19481</v>
      </c>
    </row>
    <row r="19" spans="2:5" ht="15" customHeight="1" x14ac:dyDescent="0.3">
      <c r="B19" s="287" t="s">
        <v>313</v>
      </c>
      <c r="C19" s="197">
        <v>0</v>
      </c>
      <c r="D19" s="139">
        <v>0</v>
      </c>
    </row>
    <row r="20" spans="2:5" ht="15" customHeight="1" x14ac:dyDescent="0.3">
      <c r="B20" s="287" t="s">
        <v>675</v>
      </c>
      <c r="C20" s="197">
        <f>TB!I75-TB!H90</f>
        <v>1112.9300000000003</v>
      </c>
      <c r="D20" s="139">
        <v>0</v>
      </c>
    </row>
    <row r="21" spans="2:5" ht="15.5" thickBot="1" x14ac:dyDescent="0.35">
      <c r="B21" s="390"/>
      <c r="C21" s="399">
        <f>SUM(C18:C20)</f>
        <v>1112.9300000000003</v>
      </c>
      <c r="D21" s="399">
        <f>SUM(D18:D20)</f>
        <v>19481</v>
      </c>
    </row>
    <row r="23" spans="2:5" ht="15.5" thickBot="1" x14ac:dyDescent="0.35">
      <c r="B23" s="400" t="s">
        <v>691</v>
      </c>
      <c r="C23" s="401"/>
      <c r="D23" s="402"/>
      <c r="E23" s="403"/>
    </row>
    <row r="24" spans="2:5" ht="15.5" thickBot="1" x14ac:dyDescent="0.35">
      <c r="B24" s="404" t="s">
        <v>0</v>
      </c>
      <c r="C24" s="236" t="s">
        <v>496</v>
      </c>
      <c r="D24" s="236" t="s">
        <v>486</v>
      </c>
    </row>
    <row r="25" spans="2:5" x14ac:dyDescent="0.3">
      <c r="B25" s="405"/>
      <c r="C25" s="406"/>
      <c r="D25" s="407"/>
    </row>
    <row r="26" spans="2:5" x14ac:dyDescent="0.3">
      <c r="B26" s="408" t="s">
        <v>447</v>
      </c>
      <c r="C26" s="409">
        <v>180000</v>
      </c>
      <c r="D26" s="410">
        <f>15000*12</f>
        <v>180000</v>
      </c>
    </row>
    <row r="27" spans="2:5" x14ac:dyDescent="0.3">
      <c r="B27" s="408" t="s">
        <v>446</v>
      </c>
      <c r="C27" s="409">
        <v>600000</v>
      </c>
      <c r="D27" s="410">
        <f>15000*5</f>
        <v>75000</v>
      </c>
    </row>
    <row r="28" spans="2:5" ht="15.5" thickBot="1" x14ac:dyDescent="0.35">
      <c r="B28" s="411" t="s">
        <v>258</v>
      </c>
      <c r="C28" s="412">
        <f>SUM(C26:C27)</f>
        <v>780000</v>
      </c>
      <c r="D28" s="413">
        <f>SUM(D26+D27)</f>
        <v>255000</v>
      </c>
    </row>
    <row r="29" spans="2:5" x14ac:dyDescent="0.3">
      <c r="B29" s="400"/>
      <c r="C29" s="414"/>
      <c r="D29" s="414"/>
    </row>
    <row r="30" spans="2:5" ht="15.5" thickBot="1" x14ac:dyDescent="0.35">
      <c r="B30" s="309" t="s">
        <v>692</v>
      </c>
      <c r="C30" s="345"/>
      <c r="D30" s="345"/>
    </row>
    <row r="31" spans="2:5" ht="15.5" thickBot="1" x14ac:dyDescent="0.35">
      <c r="B31" s="415" t="s">
        <v>0</v>
      </c>
      <c r="C31" s="236" t="s">
        <v>496</v>
      </c>
      <c r="D31" s="236" t="s">
        <v>486</v>
      </c>
    </row>
    <row r="32" spans="2:5" x14ac:dyDescent="0.3">
      <c r="B32" s="197" t="s">
        <v>530</v>
      </c>
      <c r="C32" s="197">
        <v>0</v>
      </c>
      <c r="D32" s="139">
        <v>8097.56</v>
      </c>
    </row>
    <row r="33" spans="2:5" x14ac:dyDescent="0.3">
      <c r="B33" s="197" t="s">
        <v>698</v>
      </c>
      <c r="C33" s="197">
        <v>0</v>
      </c>
      <c r="D33" s="139">
        <v>7934</v>
      </c>
    </row>
    <row r="34" spans="2:5" ht="15.5" thickBot="1" x14ac:dyDescent="0.35">
      <c r="B34" s="222"/>
      <c r="C34" s="293">
        <f>SUM(C32:C32)</f>
        <v>0</v>
      </c>
      <c r="D34" s="293">
        <f>SUM(D32:D33)</f>
        <v>16031.560000000001</v>
      </c>
    </row>
    <row r="35" spans="2:5" x14ac:dyDescent="0.3">
      <c r="B35" s="94"/>
      <c r="C35" s="309"/>
      <c r="D35" s="309"/>
    </row>
    <row r="36" spans="2:5" s="91" customFormat="1" ht="15.5" thickBot="1" x14ac:dyDescent="0.35">
      <c r="B36" s="309" t="s">
        <v>693</v>
      </c>
      <c r="C36" s="345"/>
      <c r="D36" s="345"/>
    </row>
    <row r="37" spans="2:5" s="91" customFormat="1" ht="15.5" thickBot="1" x14ac:dyDescent="0.35">
      <c r="B37" s="415" t="s">
        <v>0</v>
      </c>
      <c r="C37" s="236" t="s">
        <v>496</v>
      </c>
      <c r="D37" s="236" t="s">
        <v>486</v>
      </c>
    </row>
    <row r="38" spans="2:5" s="91" customFormat="1" x14ac:dyDescent="0.3">
      <c r="B38" s="195" t="s">
        <v>352</v>
      </c>
      <c r="C38" s="197">
        <f>TB!F79</f>
        <v>25878</v>
      </c>
      <c r="D38" s="139">
        <v>29286</v>
      </c>
    </row>
    <row r="39" spans="2:5" s="91" customFormat="1" ht="16.5" customHeight="1" x14ac:dyDescent="0.3">
      <c r="B39" s="197" t="s">
        <v>353</v>
      </c>
      <c r="C39" s="197">
        <v>0</v>
      </c>
      <c r="D39" s="139">
        <v>0</v>
      </c>
    </row>
    <row r="40" spans="2:5" s="91" customFormat="1" ht="17.25" customHeight="1" thickBot="1" x14ac:dyDescent="0.35">
      <c r="B40" s="222"/>
      <c r="C40" s="293">
        <f>SUM(C38:C39)</f>
        <v>25878</v>
      </c>
      <c r="D40" s="293">
        <f>SUM(D38:D39)</f>
        <v>29286</v>
      </c>
    </row>
    <row r="41" spans="2:5" x14ac:dyDescent="0.3">
      <c r="B41" s="416"/>
      <c r="C41" s="416"/>
      <c r="D41" s="417"/>
      <c r="E41" s="417"/>
    </row>
    <row r="42" spans="2:5" ht="15.5" thickBot="1" x14ac:dyDescent="0.35">
      <c r="B42" s="309" t="s">
        <v>694</v>
      </c>
      <c r="C42" s="383"/>
      <c r="D42" s="94"/>
    </row>
    <row r="43" spans="2:5" ht="15.5" thickBot="1" x14ac:dyDescent="0.35">
      <c r="B43" s="415" t="s">
        <v>0</v>
      </c>
      <c r="C43" s="236" t="s">
        <v>496</v>
      </c>
      <c r="D43" s="236" t="s">
        <v>486</v>
      </c>
    </row>
    <row r="44" spans="2:5" x14ac:dyDescent="0.3">
      <c r="B44" s="418" t="s">
        <v>100</v>
      </c>
      <c r="C44" s="195"/>
      <c r="D44" s="388"/>
    </row>
    <row r="45" spans="2:5" x14ac:dyDescent="0.3">
      <c r="B45" s="419" t="s">
        <v>314</v>
      </c>
      <c r="C45" s="726">
        <f>TB!H78</f>
        <v>11800</v>
      </c>
      <c r="D45" s="420">
        <v>14300</v>
      </c>
    </row>
    <row r="46" spans="2:5" x14ac:dyDescent="0.3">
      <c r="B46" s="419" t="s">
        <v>676</v>
      </c>
      <c r="C46" s="726">
        <f>TB!H89</f>
        <v>649</v>
      </c>
      <c r="D46" s="420"/>
    </row>
    <row r="47" spans="2:5" x14ac:dyDescent="0.3">
      <c r="B47" s="419" t="s">
        <v>261</v>
      </c>
      <c r="C47" s="726">
        <f>TB!H77</f>
        <v>29687</v>
      </c>
      <c r="D47" s="420">
        <v>23600</v>
      </c>
    </row>
    <row r="48" spans="2:5" x14ac:dyDescent="0.3">
      <c r="B48" s="421" t="s">
        <v>126</v>
      </c>
      <c r="C48" s="726">
        <v>0</v>
      </c>
      <c r="D48" s="420">
        <v>1517</v>
      </c>
    </row>
    <row r="49" spans="2:8" x14ac:dyDescent="0.3">
      <c r="B49" s="421" t="s">
        <v>265</v>
      </c>
      <c r="C49" s="726">
        <f>TB!H84</f>
        <v>106200</v>
      </c>
      <c r="D49" s="197">
        <v>102660</v>
      </c>
    </row>
    <row r="50" spans="2:8" x14ac:dyDescent="0.3">
      <c r="B50" s="421" t="s">
        <v>294</v>
      </c>
      <c r="C50" s="726">
        <v>0</v>
      </c>
      <c r="D50" s="652" t="s">
        <v>531</v>
      </c>
    </row>
    <row r="51" spans="2:8" x14ac:dyDescent="0.3">
      <c r="B51" s="421" t="s">
        <v>479</v>
      </c>
      <c r="C51" s="726">
        <f>TB!H86</f>
        <v>6530</v>
      </c>
      <c r="D51" s="197">
        <v>6255</v>
      </c>
    </row>
    <row r="52" spans="2:8" x14ac:dyDescent="0.3">
      <c r="B52" s="421" t="s">
        <v>632</v>
      </c>
      <c r="C52" s="726">
        <f>TB!H81</f>
        <v>9616.76</v>
      </c>
      <c r="D52" s="652" t="s">
        <v>531</v>
      </c>
    </row>
    <row r="53" spans="2:8" x14ac:dyDescent="0.3">
      <c r="B53" s="421" t="s">
        <v>633</v>
      </c>
      <c r="C53" s="726">
        <f>TB!H88</f>
        <v>3498</v>
      </c>
      <c r="D53" s="652" t="s">
        <v>531</v>
      </c>
    </row>
    <row r="54" spans="2:8" x14ac:dyDescent="0.3">
      <c r="B54" s="421" t="s">
        <v>482</v>
      </c>
      <c r="C54" s="726">
        <f>TB!F87</f>
        <v>131805</v>
      </c>
      <c r="D54" s="197">
        <v>90392.54</v>
      </c>
    </row>
    <row r="55" spans="2:8" x14ac:dyDescent="0.3">
      <c r="B55" s="421" t="s">
        <v>470</v>
      </c>
      <c r="C55" s="197"/>
      <c r="D55" s="197">
        <v>19.27</v>
      </c>
    </row>
    <row r="56" spans="2:8" x14ac:dyDescent="0.3">
      <c r="B56" s="421" t="s">
        <v>481</v>
      </c>
      <c r="C56" s="726">
        <f>TB!H85</f>
        <v>4371</v>
      </c>
      <c r="D56" s="197">
        <v>2590</v>
      </c>
      <c r="H56" s="94"/>
    </row>
    <row r="57" spans="2:8" x14ac:dyDescent="0.3">
      <c r="B57" s="421" t="s">
        <v>469</v>
      </c>
      <c r="C57" s="197">
        <v>0</v>
      </c>
      <c r="D57" s="197">
        <v>6680</v>
      </c>
    </row>
    <row r="58" spans="2:8" x14ac:dyDescent="0.3">
      <c r="B58" s="421" t="s">
        <v>476</v>
      </c>
      <c r="C58" s="197">
        <v>0</v>
      </c>
      <c r="D58" s="197">
        <v>4463.74</v>
      </c>
    </row>
    <row r="59" spans="2:8" x14ac:dyDescent="0.3">
      <c r="B59" s="421" t="s">
        <v>478</v>
      </c>
      <c r="C59" s="726">
        <f>TB!H83</f>
        <v>36615.480000000003</v>
      </c>
      <c r="D59" s="197">
        <v>35977.480000000003</v>
      </c>
    </row>
    <row r="60" spans="2:8" x14ac:dyDescent="0.3">
      <c r="B60" s="419" t="s">
        <v>480</v>
      </c>
      <c r="C60" s="215">
        <v>0</v>
      </c>
      <c r="D60" s="197">
        <v>505.9</v>
      </c>
    </row>
    <row r="61" spans="2:8" x14ac:dyDescent="0.3">
      <c r="B61" s="419" t="s">
        <v>674</v>
      </c>
      <c r="C61" s="728">
        <v>5323.11</v>
      </c>
      <c r="D61" s="197"/>
    </row>
    <row r="62" spans="2:8" x14ac:dyDescent="0.3">
      <c r="B62" s="419" t="s">
        <v>685</v>
      </c>
      <c r="C62" s="726">
        <f>TB!H80-0.35</f>
        <v>127.18</v>
      </c>
      <c r="D62" s="197" t="s">
        <v>531</v>
      </c>
    </row>
    <row r="63" spans="2:8" x14ac:dyDescent="0.3">
      <c r="B63" s="421"/>
      <c r="C63" s="726"/>
      <c r="D63" s="732"/>
    </row>
    <row r="64" spans="2:8" ht="15.5" thickBot="1" x14ac:dyDescent="0.35">
      <c r="B64" s="390"/>
      <c r="C64" s="305">
        <f>+SUM(C45:C63)</f>
        <v>346222.52999999997</v>
      </c>
      <c r="D64" s="305">
        <f>+SUM(D45:D63)</f>
        <v>288960.93</v>
      </c>
    </row>
    <row r="65" spans="2:4" x14ac:dyDescent="0.3">
      <c r="B65" s="94"/>
      <c r="C65" s="309"/>
      <c r="D65" s="422"/>
    </row>
    <row r="66" spans="2:4" s="345" customFormat="1" ht="15.5" thickBot="1" x14ac:dyDescent="0.35">
      <c r="B66" s="309" t="s">
        <v>695</v>
      </c>
    </row>
    <row r="67" spans="2:4" s="345" customFormat="1" ht="15.5" thickBot="1" x14ac:dyDescent="0.35">
      <c r="B67" s="415" t="s">
        <v>0</v>
      </c>
      <c r="C67" s="236" t="s">
        <v>496</v>
      </c>
      <c r="D67" s="236" t="s">
        <v>486</v>
      </c>
    </row>
    <row r="68" spans="2:4" s="345" customFormat="1" x14ac:dyDescent="0.3">
      <c r="B68" s="195" t="s">
        <v>678</v>
      </c>
      <c r="C68" s="197">
        <f>-TB!H96</f>
        <v>-8556</v>
      </c>
      <c r="D68" s="202">
        <v>0</v>
      </c>
    </row>
    <row r="69" spans="2:4" s="345" customFormat="1" ht="15.5" thickBot="1" x14ac:dyDescent="0.35">
      <c r="B69" s="222"/>
      <c r="C69" s="293">
        <f>SUM(C68)</f>
        <v>-8556</v>
      </c>
      <c r="D69" s="293">
        <f>SUM(D68)</f>
        <v>0</v>
      </c>
    </row>
    <row r="70" spans="2:4" s="345" customFormat="1" x14ac:dyDescent="0.3">
      <c r="C70" s="309"/>
    </row>
    <row r="71" spans="2:4" s="345" customFormat="1" ht="15.5" thickBot="1" x14ac:dyDescent="0.35">
      <c r="B71" s="309" t="s">
        <v>696</v>
      </c>
    </row>
    <row r="72" spans="2:4" s="345" customFormat="1" ht="15.5" thickBot="1" x14ac:dyDescent="0.35">
      <c r="B72" s="415" t="s">
        <v>0</v>
      </c>
      <c r="C72" s="236" t="s">
        <v>496</v>
      </c>
      <c r="D72" s="236" t="s">
        <v>486</v>
      </c>
    </row>
    <row r="73" spans="2:4" s="345" customFormat="1" x14ac:dyDescent="0.3">
      <c r="B73" s="195" t="s">
        <v>351</v>
      </c>
      <c r="C73" s="197">
        <f>'IT computation'!G38</f>
        <v>5872</v>
      </c>
      <c r="D73" s="202">
        <v>57607</v>
      </c>
    </row>
    <row r="74" spans="2:4" s="345" customFormat="1" ht="15.5" thickBot="1" x14ac:dyDescent="0.35">
      <c r="B74" s="222"/>
      <c r="C74" s="293">
        <f>SUM(C73)</f>
        <v>5872</v>
      </c>
      <c r="D74" s="293">
        <f>SUM(D73)</f>
        <v>57607</v>
      </c>
    </row>
    <row r="75" spans="2:4" s="345" customFormat="1" x14ac:dyDescent="0.3">
      <c r="C75" s="309"/>
    </row>
    <row r="76" spans="2:4" x14ac:dyDescent="0.3">
      <c r="B76" s="94"/>
      <c r="D76" s="422"/>
    </row>
    <row r="77" spans="2:4" ht="15.5" thickBot="1" x14ac:dyDescent="0.35">
      <c r="B77" s="309" t="s">
        <v>697</v>
      </c>
      <c r="C77" s="383"/>
      <c r="D77" s="94"/>
    </row>
    <row r="78" spans="2:4" ht="15" customHeight="1" x14ac:dyDescent="0.3">
      <c r="B78" s="888" t="s">
        <v>0</v>
      </c>
      <c r="C78" s="890" t="s">
        <v>527</v>
      </c>
      <c r="D78" s="891"/>
    </row>
    <row r="79" spans="2:4" ht="30.5" thickBot="1" x14ac:dyDescent="0.35">
      <c r="B79" s="889"/>
      <c r="C79" s="269" t="s">
        <v>86</v>
      </c>
      <c r="D79" s="423" t="s">
        <v>87</v>
      </c>
    </row>
    <row r="80" spans="2:4" ht="18" x14ac:dyDescent="0.6">
      <c r="B80" s="424" t="s">
        <v>71</v>
      </c>
      <c r="C80" s="321"/>
      <c r="D80" s="135"/>
    </row>
    <row r="81" spans="2:4" x14ac:dyDescent="0.3">
      <c r="B81" s="386" t="s">
        <v>88</v>
      </c>
      <c r="C81" s="321">
        <f>+'P&amp;L'!H36</f>
        <v>10739.729999999861</v>
      </c>
      <c r="D81" s="135">
        <f>+'P&amp;L'!H36</f>
        <v>10739.729999999861</v>
      </c>
    </row>
    <row r="82" spans="2:4" ht="15" customHeight="1" x14ac:dyDescent="0.3">
      <c r="B82" s="386" t="s">
        <v>89</v>
      </c>
      <c r="C82" s="321">
        <f>+'3-8'!C26</f>
        <v>10000</v>
      </c>
      <c r="D82" s="135">
        <f>+'3-8'!C26</f>
        <v>10000</v>
      </c>
    </row>
    <row r="83" spans="2:4" x14ac:dyDescent="0.3">
      <c r="B83" s="386" t="s">
        <v>90</v>
      </c>
      <c r="C83" s="425">
        <f>C81/C82</f>
        <v>1.0739729999999861</v>
      </c>
      <c r="D83" s="148">
        <f>D81/D82</f>
        <v>1.0739729999999861</v>
      </c>
    </row>
    <row r="84" spans="2:4" x14ac:dyDescent="0.3">
      <c r="B84" s="386"/>
      <c r="C84" s="321"/>
      <c r="D84" s="135"/>
    </row>
    <row r="85" spans="2:4" ht="18" x14ac:dyDescent="0.6">
      <c r="B85" s="426" t="s">
        <v>91</v>
      </c>
      <c r="C85" s="321"/>
      <c r="D85" s="135"/>
    </row>
    <row r="86" spans="2:4" x14ac:dyDescent="0.3">
      <c r="B86" s="386" t="s">
        <v>92</v>
      </c>
      <c r="C86" s="321">
        <f>+'P&amp;L'!H36</f>
        <v>10739.729999999861</v>
      </c>
      <c r="D86" s="135">
        <f>+'P&amp;L'!H36</f>
        <v>10739.729999999861</v>
      </c>
    </row>
    <row r="87" spans="2:4" ht="15" customHeight="1" x14ac:dyDescent="0.3">
      <c r="B87" s="386" t="s">
        <v>93</v>
      </c>
      <c r="C87" s="321">
        <f>+'3-8'!C26</f>
        <v>10000</v>
      </c>
      <c r="D87" s="135">
        <f>+'3-8'!C26</f>
        <v>10000</v>
      </c>
    </row>
    <row r="88" spans="2:4" x14ac:dyDescent="0.3">
      <c r="B88" s="386" t="s">
        <v>94</v>
      </c>
      <c r="C88" s="425">
        <f>C86/C87</f>
        <v>1.0739729999999861</v>
      </c>
      <c r="D88" s="148">
        <f>D86/D87</f>
        <v>1.0739729999999861</v>
      </c>
    </row>
    <row r="89" spans="2:4" ht="15.5" thickBot="1" x14ac:dyDescent="0.35">
      <c r="B89" s="390"/>
      <c r="C89" s="265"/>
      <c r="D89" s="427"/>
    </row>
    <row r="90" spans="2:4" ht="15.5" thickBot="1" x14ac:dyDescent="0.35">
      <c r="B90" s="94"/>
      <c r="C90" s="94"/>
      <c r="D90" s="94"/>
    </row>
    <row r="91" spans="2:4" x14ac:dyDescent="0.3">
      <c r="B91" s="888" t="s">
        <v>0</v>
      </c>
      <c r="C91" s="890" t="s">
        <v>487</v>
      </c>
      <c r="D91" s="891"/>
    </row>
    <row r="92" spans="2:4" ht="30.5" thickBot="1" x14ac:dyDescent="0.35">
      <c r="B92" s="889"/>
      <c r="C92" s="269" t="s">
        <v>86</v>
      </c>
      <c r="D92" s="423" t="s">
        <v>87</v>
      </c>
    </row>
    <row r="93" spans="2:4" ht="18" x14ac:dyDescent="0.6">
      <c r="B93" s="424" t="s">
        <v>71</v>
      </c>
      <c r="C93" s="321"/>
      <c r="D93" s="135"/>
    </row>
    <row r="94" spans="2:4" x14ac:dyDescent="0.3">
      <c r="B94" s="386" t="s">
        <v>88</v>
      </c>
      <c r="C94" s="321">
        <f>+'P&amp;L'!I36</f>
        <v>158291.23000000004</v>
      </c>
      <c r="D94" s="135">
        <f>+'P&amp;L'!I36</f>
        <v>158291.23000000004</v>
      </c>
    </row>
    <row r="95" spans="2:4" x14ac:dyDescent="0.3">
      <c r="B95" s="386" t="s">
        <v>89</v>
      </c>
      <c r="C95" s="321">
        <f>+'3-8'!E26</f>
        <v>10000</v>
      </c>
      <c r="D95" s="139">
        <f>+'3-8'!E26</f>
        <v>10000</v>
      </c>
    </row>
    <row r="96" spans="2:4" x14ac:dyDescent="0.3">
      <c r="B96" s="386" t="s">
        <v>90</v>
      </c>
      <c r="C96" s="425">
        <f>C94/C95</f>
        <v>15.829123000000004</v>
      </c>
      <c r="D96" s="148">
        <f>D94/D95</f>
        <v>15.829123000000004</v>
      </c>
    </row>
    <row r="97" spans="2:4" x14ac:dyDescent="0.3">
      <c r="B97" s="386"/>
      <c r="C97" s="321"/>
      <c r="D97" s="135"/>
    </row>
    <row r="98" spans="2:4" ht="18" x14ac:dyDescent="0.6">
      <c r="B98" s="426" t="s">
        <v>91</v>
      </c>
      <c r="C98" s="321"/>
      <c r="D98" s="135"/>
    </row>
    <row r="99" spans="2:4" x14ac:dyDescent="0.3">
      <c r="B99" s="386" t="s">
        <v>92</v>
      </c>
      <c r="C99" s="321">
        <f>+'P&amp;L'!I36</f>
        <v>158291.23000000004</v>
      </c>
      <c r="D99" s="139">
        <f>+'P&amp;L'!I36</f>
        <v>158291.23000000004</v>
      </c>
    </row>
    <row r="100" spans="2:4" x14ac:dyDescent="0.3">
      <c r="B100" s="386" t="s">
        <v>93</v>
      </c>
      <c r="C100" s="321">
        <f>+'3-8'!E26</f>
        <v>10000</v>
      </c>
      <c r="D100" s="139">
        <f>+'3-8'!E26</f>
        <v>10000</v>
      </c>
    </row>
    <row r="101" spans="2:4" x14ac:dyDescent="0.3">
      <c r="B101" s="386" t="s">
        <v>94</v>
      </c>
      <c r="C101" s="425">
        <f>C99/C100</f>
        <v>15.829123000000004</v>
      </c>
      <c r="D101" s="148">
        <f>D99/D100</f>
        <v>15.829123000000004</v>
      </c>
    </row>
    <row r="102" spans="2:4" ht="15.5" thickBot="1" x14ac:dyDescent="0.35">
      <c r="B102" s="390"/>
      <c r="C102" s="265"/>
      <c r="D102" s="427"/>
    </row>
  </sheetData>
  <mergeCells count="4">
    <mergeCell ref="B78:B79"/>
    <mergeCell ref="C78:D78"/>
    <mergeCell ref="B91:B92"/>
    <mergeCell ref="C91:D91"/>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N105"/>
  <sheetViews>
    <sheetView topLeftCell="A13" workbookViewId="0"/>
  </sheetViews>
  <sheetFormatPr defaultColWidth="9.1796875" defaultRowHeight="15" x14ac:dyDescent="0.3"/>
  <cols>
    <col min="1" max="1" width="9.1796875" style="345"/>
    <col min="2" max="2" width="7.26953125" style="345" bestFit="1" customWidth="1"/>
    <col min="3" max="3" width="44.7265625" style="345" customWidth="1"/>
    <col min="4" max="4" width="18.7265625" style="345" customWidth="1"/>
    <col min="5" max="5" width="19.1796875" style="345" bestFit="1" customWidth="1"/>
    <col min="6" max="6" width="15.1796875" style="345" customWidth="1"/>
    <col min="7" max="7" width="14.81640625" style="345" customWidth="1"/>
    <col min="8" max="8" width="16" style="345" customWidth="1"/>
    <col min="9" max="9" width="12.453125" style="345" customWidth="1"/>
    <col min="10" max="16384" width="9.1796875" style="345"/>
  </cols>
  <sheetData>
    <row r="1" spans="2:14" ht="15.5" thickBot="1" x14ac:dyDescent="0.35"/>
    <row r="2" spans="2:14" s="229" customFormat="1" ht="17.5" x14ac:dyDescent="0.35">
      <c r="B2" s="101" t="s">
        <v>251</v>
      </c>
      <c r="C2" s="455"/>
      <c r="D2" s="227"/>
      <c r="E2" s="227"/>
      <c r="F2" s="227"/>
      <c r="G2" s="456"/>
    </row>
    <row r="3" spans="2:14" s="229" customFormat="1" ht="17.5" x14ac:dyDescent="0.35">
      <c r="B3" s="107" t="s">
        <v>249</v>
      </c>
      <c r="C3" s="457"/>
      <c r="D3" s="230"/>
      <c r="E3" s="230"/>
      <c r="F3" s="230"/>
      <c r="G3" s="458"/>
    </row>
    <row r="4" spans="2:14" s="229" customFormat="1" ht="17.5" x14ac:dyDescent="0.35">
      <c r="B4" s="111" t="s">
        <v>250</v>
      </c>
      <c r="C4" s="457"/>
      <c r="D4" s="230"/>
      <c r="E4" s="230"/>
      <c r="F4" s="230"/>
      <c r="G4" s="458"/>
    </row>
    <row r="5" spans="2:14" s="229" customFormat="1" ht="18" thickBot="1" x14ac:dyDescent="0.4">
      <c r="B5" s="115" t="s">
        <v>101</v>
      </c>
      <c r="C5" s="459"/>
      <c r="D5" s="232"/>
      <c r="E5" s="232"/>
      <c r="F5" s="232"/>
      <c r="G5" s="460"/>
    </row>
    <row r="7" spans="2:14" s="428" customFormat="1" x14ac:dyDescent="0.3">
      <c r="B7" s="461" t="s">
        <v>432</v>
      </c>
      <c r="M7" s="462"/>
      <c r="N7" s="462"/>
    </row>
    <row r="8" spans="2:14" s="428" customFormat="1" x14ac:dyDescent="0.3">
      <c r="B8" s="461" t="s">
        <v>374</v>
      </c>
    </row>
    <row r="9" spans="2:14" s="428" customFormat="1" x14ac:dyDescent="0.3">
      <c r="B9" s="429" t="s">
        <v>375</v>
      </c>
      <c r="C9" s="429" t="s">
        <v>386</v>
      </c>
      <c r="D9" s="429"/>
      <c r="E9" s="429"/>
      <c r="F9" s="429"/>
      <c r="G9" s="429"/>
      <c r="H9" s="429"/>
      <c r="I9" s="429"/>
    </row>
    <row r="10" spans="2:14" s="428" customFormat="1" x14ac:dyDescent="0.3"/>
    <row r="11" spans="2:14" s="428" customFormat="1" x14ac:dyDescent="0.3">
      <c r="B11" s="461" t="s">
        <v>433</v>
      </c>
      <c r="F11" s="429" t="s">
        <v>376</v>
      </c>
      <c r="G11" s="429"/>
      <c r="H11" s="429"/>
    </row>
    <row r="12" spans="2:14" s="428" customFormat="1" x14ac:dyDescent="0.3"/>
    <row r="13" spans="2:14" s="428" customFormat="1" x14ac:dyDescent="0.3">
      <c r="B13" s="445" t="s">
        <v>383</v>
      </c>
      <c r="C13" s="445" t="s">
        <v>377</v>
      </c>
      <c r="D13" s="903" t="s">
        <v>378</v>
      </c>
      <c r="E13" s="903"/>
      <c r="F13" s="903"/>
      <c r="G13" s="429"/>
      <c r="H13" s="463"/>
      <c r="I13" s="463"/>
    </row>
    <row r="14" spans="2:14" s="428" customFormat="1" ht="15" customHeight="1" x14ac:dyDescent="0.3">
      <c r="B14" s="906">
        <v>1</v>
      </c>
      <c r="C14" s="906" t="s">
        <v>103</v>
      </c>
      <c r="D14" s="906" t="s">
        <v>354</v>
      </c>
      <c r="E14" s="906"/>
      <c r="F14" s="906"/>
      <c r="H14" s="463"/>
      <c r="I14" s="463"/>
    </row>
    <row r="15" spans="2:14" s="428" customFormat="1" x14ac:dyDescent="0.3">
      <c r="B15" s="906"/>
      <c r="C15" s="906"/>
      <c r="D15" s="906"/>
      <c r="E15" s="906"/>
      <c r="F15" s="906"/>
      <c r="G15" s="401"/>
    </row>
    <row r="16" spans="2:14" s="428" customFormat="1" x14ac:dyDescent="0.3">
      <c r="B16" s="463"/>
      <c r="C16" s="464"/>
      <c r="D16" s="464"/>
      <c r="E16" s="464"/>
      <c r="F16" s="464"/>
      <c r="G16" s="464"/>
    </row>
    <row r="17" spans="2:9" s="428" customFormat="1" x14ac:dyDescent="0.3">
      <c r="B17" s="461" t="s">
        <v>524</v>
      </c>
      <c r="I17" s="465"/>
    </row>
    <row r="18" spans="2:9" s="428" customFormat="1" x14ac:dyDescent="0.3"/>
    <row r="19" spans="2:9" s="428" customFormat="1" x14ac:dyDescent="0.3">
      <c r="B19" s="904" t="s">
        <v>383</v>
      </c>
      <c r="C19" s="904" t="s">
        <v>0</v>
      </c>
      <c r="D19" s="907" t="s">
        <v>379</v>
      </c>
      <c r="E19" s="908"/>
      <c r="F19" s="907" t="s">
        <v>380</v>
      </c>
      <c r="G19" s="908"/>
      <c r="H19" s="907" t="s">
        <v>381</v>
      </c>
      <c r="I19" s="908"/>
    </row>
    <row r="20" spans="2:9" s="428" customFormat="1" x14ac:dyDescent="0.3">
      <c r="B20" s="905"/>
      <c r="C20" s="905"/>
      <c r="D20" s="445" t="s">
        <v>483</v>
      </c>
      <c r="E20" s="445" t="s">
        <v>439</v>
      </c>
      <c r="F20" s="445" t="str">
        <f>D20</f>
        <v>2025-26</v>
      </c>
      <c r="G20" s="445" t="s">
        <v>439</v>
      </c>
      <c r="H20" s="447" t="str">
        <f>F20</f>
        <v>2025-26</v>
      </c>
      <c r="I20" s="445" t="str">
        <f>G20</f>
        <v>2024-25</v>
      </c>
    </row>
    <row r="21" spans="2:9" s="428" customFormat="1" x14ac:dyDescent="0.3">
      <c r="B21" s="466">
        <v>1</v>
      </c>
      <c r="C21" s="467" t="s">
        <v>382</v>
      </c>
      <c r="D21" s="468">
        <v>0</v>
      </c>
      <c r="E21" s="468">
        <v>0</v>
      </c>
      <c r="F21" s="468">
        <v>0</v>
      </c>
      <c r="G21" s="468">
        <v>0</v>
      </c>
      <c r="H21" s="468">
        <f>'14-22'!C26</f>
        <v>180000</v>
      </c>
      <c r="I21" s="468">
        <f>+'14-22'!D26</f>
        <v>180000</v>
      </c>
    </row>
    <row r="22" spans="2:9" s="428" customFormat="1" x14ac:dyDescent="0.3">
      <c r="B22" s="466">
        <v>2</v>
      </c>
      <c r="C22" s="467" t="s">
        <v>446</v>
      </c>
      <c r="D22" s="468">
        <v>0</v>
      </c>
      <c r="E22" s="468">
        <v>0</v>
      </c>
      <c r="F22" s="468">
        <v>0</v>
      </c>
      <c r="G22" s="468">
        <v>0</v>
      </c>
      <c r="H22" s="468">
        <f>'14-22'!C27</f>
        <v>600000</v>
      </c>
      <c r="I22" s="468">
        <f>+'14-22'!D27</f>
        <v>75000</v>
      </c>
    </row>
    <row r="23" spans="2:9" s="428" customFormat="1" ht="15.5" thickBot="1" x14ac:dyDescent="0.35">
      <c r="B23" s="469"/>
      <c r="C23" s="469" t="s">
        <v>97</v>
      </c>
      <c r="D23" s="470">
        <f t="shared" ref="D23:I23" si="0">SUM(D21:D22)</f>
        <v>0</v>
      </c>
      <c r="E23" s="470">
        <f t="shared" si="0"/>
        <v>0</v>
      </c>
      <c r="F23" s="470">
        <f t="shared" si="0"/>
        <v>0</v>
      </c>
      <c r="G23" s="470">
        <f t="shared" si="0"/>
        <v>0</v>
      </c>
      <c r="H23" s="470">
        <f>SUM(H21:H22)</f>
        <v>780000</v>
      </c>
      <c r="I23" s="470">
        <f t="shared" si="0"/>
        <v>255000</v>
      </c>
    </row>
    <row r="24" spans="2:9" s="428" customFormat="1" ht="15.5" thickTop="1" x14ac:dyDescent="0.3">
      <c r="B24" s="461"/>
      <c r="C24" s="461"/>
      <c r="D24" s="641"/>
      <c r="E24" s="641"/>
      <c r="F24" s="641"/>
      <c r="G24" s="641"/>
      <c r="H24" s="641"/>
      <c r="I24" s="641"/>
    </row>
    <row r="25" spans="2:9" s="428" customFormat="1" x14ac:dyDescent="0.3">
      <c r="B25" s="461" t="s">
        <v>525</v>
      </c>
      <c r="C25" s="461"/>
      <c r="D25" s="641"/>
      <c r="E25" s="641"/>
      <c r="F25" s="641"/>
      <c r="G25" s="641"/>
      <c r="H25" s="641"/>
      <c r="I25" s="641"/>
    </row>
    <row r="26" spans="2:9" s="428" customFormat="1" x14ac:dyDescent="0.3">
      <c r="B26" s="461"/>
      <c r="C26" s="461"/>
      <c r="D26" s="641"/>
      <c r="E26" s="641"/>
      <c r="F26" s="641"/>
      <c r="G26" s="641"/>
      <c r="H26" s="641"/>
      <c r="I26" s="641"/>
    </row>
    <row r="27" spans="2:9" s="428" customFormat="1" x14ac:dyDescent="0.3">
      <c r="B27" s="904" t="s">
        <v>383</v>
      </c>
      <c r="C27" s="904" t="s">
        <v>0</v>
      </c>
      <c r="D27" s="907" t="s">
        <v>494</v>
      </c>
      <c r="E27" s="908"/>
      <c r="F27" s="641"/>
      <c r="G27" s="641"/>
      <c r="H27" s="641"/>
      <c r="I27" s="641"/>
    </row>
    <row r="28" spans="2:9" s="428" customFormat="1" x14ac:dyDescent="0.3">
      <c r="B28" s="905"/>
      <c r="C28" s="905"/>
      <c r="D28" s="445" t="s">
        <v>483</v>
      </c>
      <c r="E28" s="445" t="s">
        <v>439</v>
      </c>
      <c r="F28" s="641"/>
      <c r="G28" s="641"/>
      <c r="H28" s="641"/>
      <c r="I28" s="641"/>
    </row>
    <row r="29" spans="2:9" s="428" customFormat="1" x14ac:dyDescent="0.3">
      <c r="B29" s="466">
        <v>1</v>
      </c>
      <c r="C29" s="467" t="s">
        <v>493</v>
      </c>
      <c r="D29" s="642" t="s">
        <v>538</v>
      </c>
      <c r="E29" s="642">
        <v>47640</v>
      </c>
      <c r="F29" s="641"/>
      <c r="G29" s="641"/>
      <c r="H29" s="641"/>
      <c r="I29" s="641"/>
    </row>
    <row r="30" spans="2:9" s="428" customFormat="1" ht="15.5" thickBot="1" x14ac:dyDescent="0.35">
      <c r="B30" s="469"/>
      <c r="C30" s="469" t="s">
        <v>97</v>
      </c>
      <c r="D30" s="643">
        <f>SUM(D29:D29)</f>
        <v>0</v>
      </c>
      <c r="E30" s="643">
        <f>SUM(E29:E29)</f>
        <v>47640</v>
      </c>
    </row>
    <row r="31" spans="2:9" s="428" customFormat="1" ht="15.5" thickTop="1" x14ac:dyDescent="0.3">
      <c r="B31" s="461"/>
      <c r="C31" s="461"/>
      <c r="D31" s="641"/>
      <c r="E31" s="641"/>
    </row>
    <row r="32" spans="2:9" x14ac:dyDescent="0.3">
      <c r="B32" s="309" t="s">
        <v>398</v>
      </c>
    </row>
    <row r="34" spans="2:8" x14ac:dyDescent="0.3">
      <c r="B34" s="851">
        <v>23.1</v>
      </c>
      <c r="C34" s="896" t="s">
        <v>361</v>
      </c>
      <c r="D34" s="896"/>
      <c r="E34" s="896"/>
      <c r="F34" s="896"/>
      <c r="G34" s="896"/>
      <c r="H34" s="896"/>
    </row>
    <row r="35" spans="2:8" x14ac:dyDescent="0.3">
      <c r="B35" s="897"/>
      <c r="C35" s="896"/>
      <c r="D35" s="896"/>
      <c r="E35" s="896"/>
      <c r="F35" s="896"/>
      <c r="G35" s="896"/>
      <c r="H35" s="896"/>
    </row>
    <row r="36" spans="2:8" x14ac:dyDescent="0.3">
      <c r="B36" s="471">
        <v>23.2</v>
      </c>
      <c r="C36" s="898" t="s">
        <v>362</v>
      </c>
      <c r="D36" s="899"/>
      <c r="E36" s="899"/>
      <c r="F36" s="899"/>
      <c r="G36" s="899"/>
      <c r="H36" s="900"/>
    </row>
    <row r="37" spans="2:8" x14ac:dyDescent="0.3">
      <c r="B37" s="471">
        <v>23.3</v>
      </c>
      <c r="C37" s="472" t="s">
        <v>363</v>
      </c>
      <c r="D37" s="337"/>
      <c r="E37" s="337"/>
      <c r="F37" s="337"/>
      <c r="G37" s="337"/>
      <c r="H37" s="337"/>
    </row>
    <row r="38" spans="2:8" x14ac:dyDescent="0.3">
      <c r="B38" s="471">
        <v>23.399999999999995</v>
      </c>
      <c r="C38" s="898" t="s">
        <v>364</v>
      </c>
      <c r="D38" s="899"/>
      <c r="E38" s="899"/>
      <c r="F38" s="899"/>
      <c r="G38" s="899"/>
      <c r="H38" s="900"/>
    </row>
    <row r="39" spans="2:8" x14ac:dyDescent="0.3">
      <c r="B39" s="851">
        <v>23.499999999999993</v>
      </c>
      <c r="C39" s="896" t="s">
        <v>365</v>
      </c>
      <c r="D39" s="896"/>
      <c r="E39" s="896"/>
      <c r="F39" s="896"/>
      <c r="G39" s="896"/>
      <c r="H39" s="896"/>
    </row>
    <row r="40" spans="2:8" x14ac:dyDescent="0.3">
      <c r="B40" s="897"/>
      <c r="C40" s="896"/>
      <c r="D40" s="896"/>
      <c r="E40" s="896"/>
      <c r="F40" s="896"/>
      <c r="G40" s="896"/>
      <c r="H40" s="896"/>
    </row>
    <row r="41" spans="2:8" x14ac:dyDescent="0.3">
      <c r="B41" s="851">
        <v>23.599999999999991</v>
      </c>
      <c r="C41" s="901" t="s">
        <v>366</v>
      </c>
      <c r="D41" s="901"/>
      <c r="E41" s="901"/>
      <c r="F41" s="901"/>
      <c r="G41" s="901"/>
      <c r="H41" s="901"/>
    </row>
    <row r="42" spans="2:8" ht="31.5" customHeight="1" x14ac:dyDescent="0.3">
      <c r="B42" s="897"/>
      <c r="C42" s="901"/>
      <c r="D42" s="901"/>
      <c r="E42" s="901"/>
      <c r="F42" s="901"/>
      <c r="G42" s="901"/>
      <c r="H42" s="901"/>
    </row>
    <row r="43" spans="2:8" x14ac:dyDescent="0.3">
      <c r="B43" s="851">
        <v>23.699999999999989</v>
      </c>
      <c r="C43" s="896" t="s">
        <v>367</v>
      </c>
      <c r="D43" s="896"/>
      <c r="E43" s="896"/>
      <c r="F43" s="896"/>
      <c r="G43" s="896"/>
      <c r="H43" s="896"/>
    </row>
    <row r="44" spans="2:8" x14ac:dyDescent="0.3">
      <c r="B44" s="902"/>
      <c r="C44" s="896"/>
      <c r="D44" s="896"/>
      <c r="E44" s="896"/>
      <c r="F44" s="896"/>
      <c r="G44" s="896"/>
      <c r="H44" s="896"/>
    </row>
    <row r="45" spans="2:8" x14ac:dyDescent="0.3">
      <c r="B45" s="902"/>
      <c r="C45" s="896" t="s">
        <v>368</v>
      </c>
      <c r="D45" s="896"/>
      <c r="E45" s="896"/>
      <c r="F45" s="896"/>
      <c r="G45" s="896"/>
      <c r="H45" s="896"/>
    </row>
    <row r="46" spans="2:8" x14ac:dyDescent="0.3">
      <c r="B46" s="902"/>
      <c r="C46" s="896"/>
      <c r="D46" s="896"/>
      <c r="E46" s="896"/>
      <c r="F46" s="896"/>
      <c r="G46" s="896"/>
      <c r="H46" s="896"/>
    </row>
    <row r="47" spans="2:8" x14ac:dyDescent="0.3">
      <c r="B47" s="897"/>
      <c r="C47" s="898" t="s">
        <v>369</v>
      </c>
      <c r="D47" s="899"/>
      <c r="E47" s="899"/>
      <c r="F47" s="899"/>
      <c r="G47" s="899"/>
      <c r="H47" s="900"/>
    </row>
    <row r="48" spans="2:8" x14ac:dyDescent="0.3">
      <c r="B48" s="851">
        <v>23.799999999999986</v>
      </c>
      <c r="C48" s="896" t="s">
        <v>370</v>
      </c>
      <c r="D48" s="896"/>
      <c r="E48" s="896"/>
      <c r="F48" s="896"/>
      <c r="G48" s="896"/>
      <c r="H48" s="896"/>
    </row>
    <row r="49" spans="2:10" x14ac:dyDescent="0.3">
      <c r="B49" s="902"/>
      <c r="C49" s="896"/>
      <c r="D49" s="896"/>
      <c r="E49" s="896"/>
      <c r="F49" s="896"/>
      <c r="G49" s="896"/>
      <c r="H49" s="896"/>
    </row>
    <row r="50" spans="2:10" x14ac:dyDescent="0.3">
      <c r="B50" s="902"/>
      <c r="C50" s="896" t="s">
        <v>371</v>
      </c>
      <c r="D50" s="896"/>
      <c r="E50" s="896"/>
      <c r="F50" s="896"/>
      <c r="G50" s="896"/>
      <c r="H50" s="896"/>
    </row>
    <row r="51" spans="2:10" x14ac:dyDescent="0.3">
      <c r="B51" s="902"/>
      <c r="C51" s="896"/>
      <c r="D51" s="896"/>
      <c r="E51" s="896"/>
      <c r="F51" s="896"/>
      <c r="G51" s="896"/>
      <c r="H51" s="896"/>
    </row>
    <row r="52" spans="2:10" x14ac:dyDescent="0.3">
      <c r="B52" s="897"/>
      <c r="C52" s="898" t="s">
        <v>372</v>
      </c>
      <c r="D52" s="899"/>
      <c r="E52" s="899"/>
      <c r="F52" s="899"/>
      <c r="G52" s="899"/>
      <c r="H52" s="900"/>
    </row>
    <row r="53" spans="2:10" x14ac:dyDescent="0.3">
      <c r="B53" s="471">
        <v>23.899999999999984</v>
      </c>
      <c r="C53" s="898" t="s">
        <v>373</v>
      </c>
      <c r="D53" s="899"/>
      <c r="E53" s="899"/>
      <c r="F53" s="899"/>
      <c r="G53" s="899"/>
      <c r="H53" s="900"/>
    </row>
    <row r="54" spans="2:10" x14ac:dyDescent="0.3">
      <c r="J54" s="473"/>
    </row>
    <row r="55" spans="2:10" x14ac:dyDescent="0.3">
      <c r="B55" s="309" t="s">
        <v>434</v>
      </c>
      <c r="J55" s="473"/>
    </row>
    <row r="56" spans="2:10" x14ac:dyDescent="0.3">
      <c r="J56" s="473"/>
    </row>
    <row r="57" spans="2:10" x14ac:dyDescent="0.3">
      <c r="B57" s="909" t="s">
        <v>385</v>
      </c>
      <c r="C57" s="909"/>
      <c r="D57" s="909"/>
      <c r="E57" s="909"/>
      <c r="F57" s="909"/>
      <c r="G57" s="909"/>
      <c r="H57" s="909"/>
      <c r="J57" s="473"/>
    </row>
    <row r="58" spans="2:10" ht="15.5" thickBot="1" x14ac:dyDescent="0.35">
      <c r="C58" s="474"/>
      <c r="J58" s="473"/>
    </row>
    <row r="59" spans="2:10" ht="15.5" thickBot="1" x14ac:dyDescent="0.35">
      <c r="B59" s="862" t="s">
        <v>0</v>
      </c>
      <c r="C59" s="863"/>
      <c r="D59" s="863"/>
      <c r="E59" s="863"/>
      <c r="F59" s="863"/>
      <c r="G59" s="864"/>
      <c r="H59" s="475">
        <v>46112</v>
      </c>
      <c r="J59" s="473"/>
    </row>
    <row r="60" spans="2:10" x14ac:dyDescent="0.3">
      <c r="B60" s="892"/>
      <c r="C60" s="893"/>
      <c r="D60" s="893"/>
      <c r="E60" s="893"/>
      <c r="F60" s="893"/>
      <c r="G60" s="893"/>
      <c r="H60" s="476"/>
      <c r="J60" s="473"/>
    </row>
    <row r="61" spans="2:10" x14ac:dyDescent="0.3">
      <c r="B61" s="892" t="s">
        <v>355</v>
      </c>
      <c r="C61" s="893"/>
      <c r="D61" s="893"/>
      <c r="E61" s="893"/>
      <c r="F61" s="893"/>
      <c r="G61" s="893"/>
      <c r="H61" s="477" t="s">
        <v>384</v>
      </c>
      <c r="J61" s="473"/>
    </row>
    <row r="62" spans="2:10" x14ac:dyDescent="0.3">
      <c r="B62" s="892" t="s">
        <v>356</v>
      </c>
      <c r="C62" s="893"/>
      <c r="D62" s="893"/>
      <c r="E62" s="893"/>
      <c r="F62" s="893"/>
      <c r="G62" s="893"/>
      <c r="H62" s="477">
        <v>0</v>
      </c>
      <c r="J62" s="473"/>
    </row>
    <row r="63" spans="2:10" x14ac:dyDescent="0.3">
      <c r="B63" s="892" t="s">
        <v>357</v>
      </c>
      <c r="C63" s="893"/>
      <c r="D63" s="893"/>
      <c r="E63" s="893"/>
      <c r="F63" s="893"/>
      <c r="G63" s="893"/>
      <c r="H63" s="477">
        <v>0</v>
      </c>
    </row>
    <row r="64" spans="2:10" x14ac:dyDescent="0.3">
      <c r="B64" s="892" t="s">
        <v>358</v>
      </c>
      <c r="C64" s="893"/>
      <c r="D64" s="893"/>
      <c r="E64" s="893"/>
      <c r="F64" s="893"/>
      <c r="G64" s="893"/>
      <c r="H64" s="477">
        <v>0</v>
      </c>
    </row>
    <row r="65" spans="2:8" x14ac:dyDescent="0.3">
      <c r="B65" s="892" t="s">
        <v>359</v>
      </c>
      <c r="C65" s="893"/>
      <c r="D65" s="893"/>
      <c r="E65" s="893"/>
      <c r="F65" s="893"/>
      <c r="G65" s="893"/>
      <c r="H65" s="477">
        <v>0</v>
      </c>
    </row>
    <row r="66" spans="2:8" ht="15.5" thickBot="1" x14ac:dyDescent="0.35">
      <c r="B66" s="894" t="s">
        <v>360</v>
      </c>
      <c r="C66" s="895"/>
      <c r="D66" s="895"/>
      <c r="E66" s="895"/>
      <c r="F66" s="895"/>
      <c r="G66" s="895"/>
      <c r="H66" s="477">
        <v>0</v>
      </c>
    </row>
    <row r="67" spans="2:8" ht="15.5" thickBot="1" x14ac:dyDescent="0.35">
      <c r="B67" s="862" t="s">
        <v>97</v>
      </c>
      <c r="C67" s="863"/>
      <c r="D67" s="863"/>
      <c r="E67" s="863"/>
      <c r="F67" s="863"/>
      <c r="G67" s="864"/>
      <c r="H67" s="478">
        <f>SUM(H61:H66)</f>
        <v>0</v>
      </c>
    </row>
    <row r="69" spans="2:8" x14ac:dyDescent="0.3">
      <c r="B69" s="479" t="s">
        <v>435</v>
      </c>
      <c r="C69" s="480"/>
      <c r="D69" s="480"/>
      <c r="E69" s="480"/>
    </row>
    <row r="70" spans="2:8" ht="15.5" thickBot="1" x14ac:dyDescent="0.35">
      <c r="B70" s="479"/>
      <c r="C70" s="480"/>
      <c r="D70" s="480"/>
      <c r="E70" s="480"/>
    </row>
    <row r="71" spans="2:8" ht="15.5" thickBot="1" x14ac:dyDescent="0.35">
      <c r="B71" s="480"/>
      <c r="C71" s="481" t="s">
        <v>0</v>
      </c>
      <c r="D71" s="481" t="s">
        <v>526</v>
      </c>
      <c r="E71" s="481" t="s">
        <v>488</v>
      </c>
    </row>
    <row r="72" spans="2:8" ht="15.5" thickBot="1" x14ac:dyDescent="0.35">
      <c r="B72" s="480"/>
      <c r="C72" s="482" t="s">
        <v>420</v>
      </c>
      <c r="D72" s="483">
        <f>+'14-22'!C54</f>
        <v>131805</v>
      </c>
      <c r="E72" s="484">
        <v>90392.54</v>
      </c>
    </row>
    <row r="73" spans="2:8" ht="18.75" customHeight="1" thickBot="1" x14ac:dyDescent="0.35">
      <c r="B73" s="480"/>
      <c r="C73" s="485" t="s">
        <v>97</v>
      </c>
      <c r="D73" s="486">
        <f>SUM(D72)</f>
        <v>131805</v>
      </c>
      <c r="E73" s="486">
        <f>SUM(E72)</f>
        <v>90392.54</v>
      </c>
    </row>
    <row r="74" spans="2:8" ht="20.25" customHeight="1" x14ac:dyDescent="0.3"/>
    <row r="75" spans="2:8" x14ac:dyDescent="0.3">
      <c r="B75" s="479" t="s">
        <v>436</v>
      </c>
    </row>
    <row r="76" spans="2:8" ht="15.5" thickBot="1" x14ac:dyDescent="0.35"/>
    <row r="77" spans="2:8" ht="15.75" customHeight="1" thickBot="1" x14ac:dyDescent="0.35">
      <c r="C77" s="481" t="s">
        <v>0</v>
      </c>
      <c r="D77" s="587" t="str">
        <f>D71</f>
        <v>31st March 2026</v>
      </c>
      <c r="E77" s="587" t="str">
        <f>E71</f>
        <v>31st March 2025</v>
      </c>
    </row>
    <row r="78" spans="2:8" ht="15.5" thickBot="1" x14ac:dyDescent="0.35">
      <c r="C78" s="588" t="s">
        <v>346</v>
      </c>
      <c r="D78" s="589">
        <f>+'14-22'!C12</f>
        <v>1058472.7</v>
      </c>
      <c r="E78" s="590">
        <f>+'14-22'!D12</f>
        <v>766038.34</v>
      </c>
    </row>
    <row r="79" spans="2:8" ht="15.5" thickBot="1" x14ac:dyDescent="0.35">
      <c r="C79" s="591" t="s">
        <v>97</v>
      </c>
      <c r="D79" s="592">
        <f>SUM(D78)</f>
        <v>1058472.7</v>
      </c>
      <c r="E79" s="593">
        <f>SUM(E78)</f>
        <v>766038.34</v>
      </c>
    </row>
    <row r="81" spans="3:6" x14ac:dyDescent="0.3">
      <c r="D81" s="594"/>
      <c r="E81" s="487"/>
    </row>
    <row r="82" spans="3:6" x14ac:dyDescent="0.3">
      <c r="C82" s="488"/>
      <c r="D82" s="489"/>
      <c r="E82" s="488"/>
    </row>
    <row r="83" spans="3:6" x14ac:dyDescent="0.3">
      <c r="C83" s="490"/>
      <c r="D83" s="490"/>
      <c r="E83" s="490"/>
      <c r="F83" s="490"/>
    </row>
    <row r="84" spans="3:6" x14ac:dyDescent="0.3">
      <c r="C84" s="491"/>
      <c r="D84" s="91"/>
      <c r="E84" s="91"/>
      <c r="F84" s="91"/>
    </row>
    <row r="85" spans="3:6" x14ac:dyDescent="0.3">
      <c r="D85" s="492"/>
      <c r="E85" s="492"/>
    </row>
    <row r="86" spans="3:6" x14ac:dyDescent="0.3">
      <c r="D86" s="492"/>
      <c r="E86" s="492"/>
    </row>
    <row r="87" spans="3:6" x14ac:dyDescent="0.3">
      <c r="D87" s="492"/>
      <c r="E87" s="492"/>
    </row>
    <row r="88" spans="3:6" x14ac:dyDescent="0.3">
      <c r="D88" s="492"/>
      <c r="E88" s="492"/>
    </row>
    <row r="89" spans="3:6" x14ac:dyDescent="0.3">
      <c r="D89" s="492"/>
      <c r="E89" s="492"/>
    </row>
    <row r="90" spans="3:6" x14ac:dyDescent="0.3">
      <c r="D90" s="492"/>
      <c r="E90" s="492"/>
    </row>
    <row r="91" spans="3:6" x14ac:dyDescent="0.3">
      <c r="D91" s="492"/>
      <c r="E91" s="492"/>
    </row>
    <row r="92" spans="3:6" x14ac:dyDescent="0.3">
      <c r="D92" s="492"/>
      <c r="E92" s="492"/>
    </row>
    <row r="93" spans="3:6" x14ac:dyDescent="0.3">
      <c r="D93" s="492"/>
      <c r="E93" s="492"/>
    </row>
    <row r="94" spans="3:6" x14ac:dyDescent="0.3">
      <c r="D94" s="492"/>
      <c r="E94" s="492"/>
    </row>
    <row r="95" spans="3:6" x14ac:dyDescent="0.3">
      <c r="D95" s="492"/>
      <c r="E95" s="492"/>
    </row>
    <row r="96" spans="3:6" x14ac:dyDescent="0.3">
      <c r="D96" s="492"/>
      <c r="E96" s="492"/>
    </row>
    <row r="97" spans="4:5" x14ac:dyDescent="0.3">
      <c r="D97" s="492"/>
      <c r="E97" s="492"/>
    </row>
    <row r="98" spans="4:5" x14ac:dyDescent="0.3">
      <c r="D98" s="492"/>
      <c r="E98" s="492"/>
    </row>
    <row r="99" spans="4:5" x14ac:dyDescent="0.3">
      <c r="D99" s="492"/>
      <c r="E99" s="492"/>
    </row>
    <row r="100" spans="4:5" x14ac:dyDescent="0.3">
      <c r="D100" s="492"/>
      <c r="E100" s="492"/>
    </row>
    <row r="101" spans="4:5" x14ac:dyDescent="0.3">
      <c r="D101" s="492"/>
      <c r="E101" s="492"/>
    </row>
    <row r="102" spans="4:5" x14ac:dyDescent="0.3">
      <c r="D102" s="492"/>
      <c r="E102" s="492"/>
    </row>
    <row r="103" spans="4:5" x14ac:dyDescent="0.3">
      <c r="D103" s="492"/>
      <c r="E103" s="492"/>
    </row>
    <row r="104" spans="4:5" x14ac:dyDescent="0.3">
      <c r="D104" s="492"/>
      <c r="E104" s="492"/>
    </row>
    <row r="105" spans="4:5" x14ac:dyDescent="0.3">
      <c r="D105" s="493"/>
      <c r="E105" s="493"/>
    </row>
  </sheetData>
  <mergeCells count="39">
    <mergeCell ref="C27:C28"/>
    <mergeCell ref="D27:E27"/>
    <mergeCell ref="B57:H57"/>
    <mergeCell ref="B59:G59"/>
    <mergeCell ref="H19:I19"/>
    <mergeCell ref="C36:H36"/>
    <mergeCell ref="C38:H38"/>
    <mergeCell ref="C52:H52"/>
    <mergeCell ref="C39:H40"/>
    <mergeCell ref="B27:B28"/>
    <mergeCell ref="D13:F13"/>
    <mergeCell ref="B19:B20"/>
    <mergeCell ref="C19:C20"/>
    <mergeCell ref="B14:B15"/>
    <mergeCell ref="C14:C15"/>
    <mergeCell ref="D14:F15"/>
    <mergeCell ref="D19:E19"/>
    <mergeCell ref="F19:G19"/>
    <mergeCell ref="B60:G60"/>
    <mergeCell ref="B61:G61"/>
    <mergeCell ref="B62:G62"/>
    <mergeCell ref="B63:G63"/>
    <mergeCell ref="B64:G64"/>
    <mergeCell ref="B65:G65"/>
    <mergeCell ref="B66:G66"/>
    <mergeCell ref="B67:G67"/>
    <mergeCell ref="C34:H35"/>
    <mergeCell ref="B34:B35"/>
    <mergeCell ref="C53:H53"/>
    <mergeCell ref="C45:H46"/>
    <mergeCell ref="C48:H49"/>
    <mergeCell ref="C50:H51"/>
    <mergeCell ref="B39:B40"/>
    <mergeCell ref="C41:H42"/>
    <mergeCell ref="B41:B42"/>
    <mergeCell ref="C43:H44"/>
    <mergeCell ref="B48:B52"/>
    <mergeCell ref="B43:B47"/>
    <mergeCell ref="C47:H47"/>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K40"/>
  <sheetViews>
    <sheetView showGridLines="0" zoomScale="85" zoomScaleNormal="85" workbookViewId="0"/>
  </sheetViews>
  <sheetFormatPr defaultColWidth="9.1796875" defaultRowHeight="15" x14ac:dyDescent="0.3"/>
  <cols>
    <col min="1" max="1" width="3" style="428" customWidth="1"/>
    <col min="2" max="2" width="15.54296875" style="595" customWidth="1"/>
    <col min="3" max="3" width="30.54296875" style="428" customWidth="1"/>
    <col min="4" max="4" width="15.54296875" style="428" customWidth="1"/>
    <col min="5" max="5" width="15.54296875" style="429" customWidth="1"/>
    <col min="6" max="6" width="18.54296875" style="428" customWidth="1"/>
    <col min="7" max="7" width="20.1796875" style="429" customWidth="1"/>
    <col min="8" max="8" width="18.54296875" style="428" customWidth="1"/>
    <col min="9" max="9" width="18.54296875" style="430" customWidth="1"/>
    <col min="10" max="10" width="18.81640625" style="428" customWidth="1"/>
    <col min="11" max="16384" width="9.1796875" style="428"/>
  </cols>
  <sheetData>
    <row r="1" spans="2:10" ht="15.5" thickBot="1" x14ac:dyDescent="0.35"/>
    <row r="2" spans="2:10" s="434" customFormat="1" ht="17.5" x14ac:dyDescent="0.35">
      <c r="B2" s="101" t="s">
        <v>251</v>
      </c>
      <c r="C2" s="431"/>
      <c r="D2" s="431"/>
      <c r="E2" s="432"/>
      <c r="F2" s="433"/>
      <c r="G2" s="433"/>
      <c r="I2" s="435"/>
    </row>
    <row r="3" spans="2:10" s="434" customFormat="1" ht="17.5" x14ac:dyDescent="0.35">
      <c r="B3" s="107" t="s">
        <v>249</v>
      </c>
      <c r="C3" s="436"/>
      <c r="D3" s="436"/>
      <c r="E3" s="437"/>
      <c r="F3" s="438"/>
      <c r="G3" s="439"/>
      <c r="I3" s="435"/>
    </row>
    <row r="4" spans="2:10" s="434" customFormat="1" ht="17.5" x14ac:dyDescent="0.35">
      <c r="B4" s="111" t="s">
        <v>250</v>
      </c>
      <c r="C4" s="433"/>
      <c r="D4" s="433"/>
      <c r="E4" s="440"/>
      <c r="F4" s="433"/>
      <c r="G4" s="433"/>
      <c r="I4" s="435"/>
    </row>
    <row r="5" spans="2:10" s="434" customFormat="1" ht="18" thickBot="1" x14ac:dyDescent="0.4">
      <c r="B5" s="115" t="s">
        <v>101</v>
      </c>
      <c r="C5" s="441"/>
      <c r="D5" s="441"/>
      <c r="E5" s="442"/>
      <c r="F5" s="433"/>
      <c r="G5" s="433"/>
      <c r="I5" s="435"/>
    </row>
    <row r="6" spans="2:10" x14ac:dyDescent="0.3">
      <c r="B6" s="400"/>
      <c r="C6" s="400"/>
      <c r="D6" s="400"/>
      <c r="E6" s="400"/>
      <c r="F6" s="400"/>
      <c r="G6" s="400"/>
    </row>
    <row r="7" spans="2:10" x14ac:dyDescent="0.3">
      <c r="B7" s="443" t="s">
        <v>463</v>
      </c>
      <c r="C7" s="443"/>
      <c r="D7" s="443"/>
      <c r="E7" s="443"/>
      <c r="F7" s="443"/>
      <c r="G7" s="443"/>
    </row>
    <row r="8" spans="2:10" ht="15.5" thickBot="1" x14ac:dyDescent="0.35">
      <c r="C8" s="429"/>
      <c r="D8" s="429"/>
      <c r="F8" s="429"/>
      <c r="I8" s="444"/>
    </row>
    <row r="9" spans="2:10" s="429" customFormat="1" ht="47" thickBot="1" x14ac:dyDescent="0.35">
      <c r="B9" s="788" t="s">
        <v>744</v>
      </c>
      <c r="C9" s="789" t="s">
        <v>0</v>
      </c>
      <c r="D9" s="789" t="s">
        <v>745</v>
      </c>
      <c r="E9" s="789" t="s">
        <v>338</v>
      </c>
      <c r="F9" s="789" t="s">
        <v>339</v>
      </c>
      <c r="G9" s="790" t="s">
        <v>743</v>
      </c>
      <c r="H9" s="790" t="s">
        <v>701</v>
      </c>
      <c r="I9" s="789" t="s">
        <v>443</v>
      </c>
      <c r="J9" s="791" t="s">
        <v>746</v>
      </c>
    </row>
    <row r="10" spans="2:10" ht="31" x14ac:dyDescent="0.3">
      <c r="B10" s="792">
        <v>1</v>
      </c>
      <c r="C10" s="793" t="s">
        <v>340</v>
      </c>
      <c r="D10" s="793" t="s">
        <v>747</v>
      </c>
      <c r="E10" s="793" t="s">
        <v>748</v>
      </c>
      <c r="F10" s="793" t="s">
        <v>25</v>
      </c>
      <c r="G10" s="794">
        <f>'Ratio Workings'!E8</f>
        <v>43.137644909274201</v>
      </c>
      <c r="H10" s="794">
        <f>'Ratio Workings'!F8</f>
        <v>6.8234830407732954</v>
      </c>
      <c r="I10" s="795">
        <f t="shared" ref="I10:I18" si="0">IFERROR((G10-H10)/H10,"NA")</f>
        <v>5.3219391990143308</v>
      </c>
      <c r="J10" s="796" t="str">
        <f>'Ratio Workings'!H8</f>
        <v>Decrease in Current Liabilities</v>
      </c>
    </row>
    <row r="11" spans="2:10" ht="77.5" x14ac:dyDescent="0.3">
      <c r="B11" s="797">
        <v>2</v>
      </c>
      <c r="C11" s="798" t="s">
        <v>750</v>
      </c>
      <c r="D11" s="798" t="s">
        <v>747</v>
      </c>
      <c r="E11" s="799" t="s">
        <v>751</v>
      </c>
      <c r="F11" s="798" t="s">
        <v>752</v>
      </c>
      <c r="G11" s="794" t="str">
        <f>'Ratio Workings'!E9</f>
        <v>NA</v>
      </c>
      <c r="H11" s="794">
        <f>'Ratio Workings'!F9</f>
        <v>7.7833647145833296E-2</v>
      </c>
      <c r="I11" s="795" t="str">
        <f t="shared" si="0"/>
        <v>NA</v>
      </c>
      <c r="J11" s="796" t="str">
        <f>'Ratio Workings'!H9</f>
        <v>Since there is no Debt for Current Year, this ratio cannot be calculated.</v>
      </c>
    </row>
    <row r="12" spans="2:10" ht="124" x14ac:dyDescent="0.3">
      <c r="B12" s="797">
        <v>3</v>
      </c>
      <c r="C12" s="798" t="s">
        <v>753</v>
      </c>
      <c r="D12" s="798" t="s">
        <v>747</v>
      </c>
      <c r="E12" s="799" t="s">
        <v>754</v>
      </c>
      <c r="F12" s="799" t="s">
        <v>755</v>
      </c>
      <c r="G12" s="800" t="str">
        <f>'Ratio Workings'!E17</f>
        <v>NA</v>
      </c>
      <c r="H12" s="800" t="str">
        <f>'Ratio Workings'!F17</f>
        <v>NA</v>
      </c>
      <c r="I12" s="795" t="str">
        <f t="shared" si="0"/>
        <v>NA</v>
      </c>
      <c r="J12" s="796">
        <f>'Ratio Workings'!H17</f>
        <v>0</v>
      </c>
    </row>
    <row r="13" spans="2:10" ht="93" x14ac:dyDescent="0.3">
      <c r="B13" s="797">
        <v>4</v>
      </c>
      <c r="C13" s="798" t="s">
        <v>341</v>
      </c>
      <c r="D13" s="798" t="s">
        <v>756</v>
      </c>
      <c r="E13" s="798" t="s">
        <v>757</v>
      </c>
      <c r="F13" s="799" t="s">
        <v>758</v>
      </c>
      <c r="G13" s="801">
        <f>'Ratio Workings'!E10</f>
        <v>1.7393839127950807E-2</v>
      </c>
      <c r="H13" s="801">
        <f>'Ratio Workings'!F10</f>
        <v>0.29707133319278656</v>
      </c>
      <c r="I13" s="795">
        <f>IFERROR((G13-H13)/H13,"NA")</f>
        <v>-0.94144894783010613</v>
      </c>
      <c r="J13" s="796" t="str">
        <f>'Ratio Workings'!H10</f>
        <v>Decrease in Net Profit and Increase in Average Shareholders' Funds</v>
      </c>
    </row>
    <row r="14" spans="2:10" ht="124" x14ac:dyDescent="0.3">
      <c r="B14" s="797">
        <v>5</v>
      </c>
      <c r="C14" s="798" t="s">
        <v>759</v>
      </c>
      <c r="D14" s="798" t="s">
        <v>747</v>
      </c>
      <c r="E14" s="799" t="s">
        <v>52</v>
      </c>
      <c r="F14" s="799" t="s">
        <v>760</v>
      </c>
      <c r="G14" s="801" t="str">
        <f>'Ratio Workings'!E11</f>
        <v>NA</v>
      </c>
      <c r="H14" s="801" t="str">
        <f>'Ratio Workings'!F11</f>
        <v>NA</v>
      </c>
      <c r="I14" s="795" t="str">
        <f t="shared" si="0"/>
        <v>NA</v>
      </c>
      <c r="J14" s="796" t="str">
        <f>'Ratio Workings'!H11</f>
        <v>The Company is in the business of Engineering and Management Consultancy and hence does not have any Inventory</v>
      </c>
    </row>
    <row r="15" spans="2:10" ht="93" x14ac:dyDescent="0.3">
      <c r="B15" s="797">
        <v>6</v>
      </c>
      <c r="C15" s="799" t="s">
        <v>342</v>
      </c>
      <c r="D15" s="798" t="s">
        <v>747</v>
      </c>
      <c r="E15" s="799" t="s">
        <v>762</v>
      </c>
      <c r="F15" s="799" t="s">
        <v>763</v>
      </c>
      <c r="G15" s="801">
        <f>'Ratio Workings'!E12</f>
        <v>442.5554346988884</v>
      </c>
      <c r="H15" s="801">
        <f>'Ratio Workings'!F12</f>
        <v>302.81383251520259</v>
      </c>
      <c r="I15" s="795">
        <f t="shared" si="0"/>
        <v>0.46147694450738203</v>
      </c>
      <c r="J15" s="796" t="str">
        <f>'Ratio Workings'!H12</f>
        <v>Increase in Net Credit Sales</v>
      </c>
    </row>
    <row r="16" spans="2:10" ht="108.5" x14ac:dyDescent="0.3">
      <c r="B16" s="797">
        <v>7</v>
      </c>
      <c r="C16" s="799" t="s">
        <v>764</v>
      </c>
      <c r="D16" s="798" t="s">
        <v>747</v>
      </c>
      <c r="E16" s="799" t="s">
        <v>736</v>
      </c>
      <c r="F16" s="799" t="s">
        <v>765</v>
      </c>
      <c r="G16" s="801" t="str">
        <f>'Ratio Workings'!E13</f>
        <v>NA</v>
      </c>
      <c r="H16" s="801" t="str">
        <f>'Ratio Workings'!F13</f>
        <v>NA</v>
      </c>
      <c r="I16" s="795" t="str">
        <f t="shared" si="0"/>
        <v>NA</v>
      </c>
      <c r="J16" s="796" t="str">
        <f>'Ratio Workings'!H13</f>
        <v>The Trade Payable Turnover cannot be calculated as the Company does not have Average Trade Payables.</v>
      </c>
    </row>
    <row r="17" spans="2:11" ht="77.5" x14ac:dyDescent="0.3">
      <c r="B17" s="797">
        <v>8</v>
      </c>
      <c r="C17" s="798" t="s">
        <v>343</v>
      </c>
      <c r="D17" s="798" t="s">
        <v>747</v>
      </c>
      <c r="E17" s="799" t="s">
        <v>766</v>
      </c>
      <c r="F17" s="799" t="s">
        <v>767</v>
      </c>
      <c r="G17" s="801">
        <f>'Ratio Workings'!E14</f>
        <v>1.7611697186355377</v>
      </c>
      <c r="H17" s="801">
        <f>'Ratio Workings'!F14</f>
        <v>1.2008775083013734</v>
      </c>
      <c r="I17" s="795">
        <f t="shared" si="0"/>
        <v>0.46656899347435593</v>
      </c>
      <c r="J17" s="796" t="str">
        <f>'Ratio Workings'!H14</f>
        <v>Increase in Net Sales</v>
      </c>
    </row>
    <row r="18" spans="2:11" ht="62" x14ac:dyDescent="0.3">
      <c r="B18" s="797">
        <v>9</v>
      </c>
      <c r="C18" s="798" t="s">
        <v>344</v>
      </c>
      <c r="D18" s="798" t="s">
        <v>756</v>
      </c>
      <c r="E18" s="798" t="s">
        <v>345</v>
      </c>
      <c r="F18" s="799" t="s">
        <v>766</v>
      </c>
      <c r="G18" s="801">
        <f>'Ratio Workings'!E15</f>
        <v>9.1178037378721252E-3</v>
      </c>
      <c r="H18" s="801">
        <f>'Ratio Workings'!F15</f>
        <v>0.19640190632321008</v>
      </c>
      <c r="I18" s="795">
        <f t="shared" si="0"/>
        <v>-0.95357578799226439</v>
      </c>
      <c r="J18" s="796" t="str">
        <f>'Ratio Workings'!H15</f>
        <v>Decrease in Net Profit of the Company.</v>
      </c>
    </row>
    <row r="19" spans="2:11" ht="46.5" x14ac:dyDescent="0.3">
      <c r="B19" s="797">
        <v>10</v>
      </c>
      <c r="C19" s="798" t="s">
        <v>768</v>
      </c>
      <c r="D19" s="798" t="s">
        <v>756</v>
      </c>
      <c r="E19" s="799" t="s">
        <v>769</v>
      </c>
      <c r="F19" s="799" t="s">
        <v>770</v>
      </c>
      <c r="G19" s="801">
        <f>'Ratio Workings'!E16</f>
        <v>2.7663299882672555E-2</v>
      </c>
      <c r="H19" s="801">
        <f>'Ratio Workings'!F16</f>
        <v>0.32844077337561511</v>
      </c>
      <c r="I19" s="795">
        <f>IFERROR((G19-H19)/H19,"NA")</f>
        <v>-0.91577385597300376</v>
      </c>
      <c r="J19" s="796" t="str">
        <f>'Ratio Workings'!H16</f>
        <v>Decrease in EBIT during the year.</v>
      </c>
    </row>
    <row r="20" spans="2:11" ht="31.5" thickBot="1" x14ac:dyDescent="0.35">
      <c r="B20" s="797">
        <v>11</v>
      </c>
      <c r="C20" s="802" t="s">
        <v>771</v>
      </c>
      <c r="D20" s="802" t="s">
        <v>756</v>
      </c>
      <c r="E20" s="802" t="s">
        <v>345</v>
      </c>
      <c r="F20" s="802" t="s">
        <v>739</v>
      </c>
      <c r="G20" s="801">
        <f>'Ratio Workings'!E18</f>
        <v>1.3689023466730583E-2</v>
      </c>
      <c r="H20" s="801">
        <f>'Ratio Workings'!F18</f>
        <v>0.18462388314851597</v>
      </c>
      <c r="I20" s="795">
        <f>IFERROR((G20-H20)/H20,"NA")</f>
        <v>-0.92585453608015167</v>
      </c>
      <c r="J20" s="796" t="str">
        <f>'Ratio Workings'!H18</f>
        <v>Decrease in Profit during the year.</v>
      </c>
    </row>
    <row r="21" spans="2:11" x14ac:dyDescent="0.3">
      <c r="B21" s="782"/>
      <c r="C21" s="401"/>
      <c r="D21" s="783"/>
      <c r="E21" s="785"/>
      <c r="F21" s="783"/>
      <c r="G21" s="785"/>
      <c r="H21" s="786"/>
      <c r="I21" s="784"/>
      <c r="J21" s="787"/>
      <c r="K21" s="446"/>
    </row>
    <row r="22" spans="2:11" x14ac:dyDescent="0.3">
      <c r="B22" s="309" t="s">
        <v>431</v>
      </c>
      <c r="C22" s="94"/>
      <c r="D22" s="94"/>
      <c r="E22" s="92"/>
      <c r="F22" s="92"/>
      <c r="G22" s="92"/>
    </row>
    <row r="23" spans="2:11" x14ac:dyDescent="0.3">
      <c r="B23" s="94" t="s">
        <v>350</v>
      </c>
      <c r="C23" s="94"/>
      <c r="D23" s="94"/>
      <c r="E23" s="92"/>
      <c r="F23" s="92"/>
      <c r="G23" s="92"/>
    </row>
    <row r="24" spans="2:11" x14ac:dyDescent="0.3">
      <c r="B24" s="94"/>
      <c r="C24" s="94"/>
      <c r="D24" s="94"/>
      <c r="E24" s="92"/>
      <c r="F24" s="92"/>
      <c r="G24" s="92"/>
    </row>
    <row r="25" spans="2:11" ht="15.5" thickBot="1" x14ac:dyDescent="0.35">
      <c r="B25" s="94"/>
      <c r="C25" s="94"/>
      <c r="D25" s="94"/>
      <c r="E25" s="92"/>
      <c r="F25" s="92"/>
      <c r="G25" s="92"/>
    </row>
    <row r="26" spans="2:11" x14ac:dyDescent="0.3">
      <c r="B26" s="387" t="s">
        <v>387</v>
      </c>
      <c r="C26" s="449"/>
      <c r="D26" s="449"/>
      <c r="E26" s="450"/>
      <c r="F26" s="449"/>
      <c r="G26" s="450"/>
      <c r="H26" s="451"/>
      <c r="I26" s="452"/>
    </row>
    <row r="27" spans="2:11" x14ac:dyDescent="0.3">
      <c r="B27" s="166" t="s">
        <v>8</v>
      </c>
      <c r="C27" s="169"/>
      <c r="D27" s="169"/>
      <c r="E27" s="92"/>
      <c r="F27" s="170" t="s">
        <v>9</v>
      </c>
      <c r="G27" s="92"/>
      <c r="H27" s="172"/>
      <c r="I27" s="428"/>
    </row>
    <row r="28" spans="2:11" x14ac:dyDescent="0.3">
      <c r="B28" s="166" t="s">
        <v>10</v>
      </c>
      <c r="C28" s="167"/>
      <c r="D28" s="167"/>
      <c r="E28" s="92"/>
      <c r="F28" s="94"/>
      <c r="G28" s="92"/>
      <c r="H28" s="172"/>
      <c r="I28" s="428"/>
    </row>
    <row r="29" spans="2:11" x14ac:dyDescent="0.3">
      <c r="B29" s="166" t="s">
        <v>48</v>
      </c>
      <c r="C29" s="169"/>
      <c r="D29" s="169"/>
      <c r="E29" s="92"/>
      <c r="F29" s="94"/>
      <c r="G29" s="92"/>
      <c r="H29" s="172"/>
      <c r="I29" s="428"/>
    </row>
    <row r="30" spans="2:11" x14ac:dyDescent="0.3">
      <c r="B30" s="166"/>
      <c r="C30" s="169"/>
      <c r="D30" s="169"/>
      <c r="E30" s="92"/>
      <c r="F30" s="94"/>
      <c r="G30" s="92"/>
      <c r="H30" s="172"/>
      <c r="I30" s="428"/>
    </row>
    <row r="31" spans="2:11" x14ac:dyDescent="0.3">
      <c r="B31" s="134"/>
      <c r="C31" s="98"/>
      <c r="D31" s="98"/>
      <c r="E31" s="92"/>
      <c r="F31" s="94"/>
      <c r="G31" s="92"/>
      <c r="H31" s="172"/>
      <c r="I31" s="428"/>
    </row>
    <row r="32" spans="2:11" x14ac:dyDescent="0.3">
      <c r="B32" s="173" t="s">
        <v>491</v>
      </c>
      <c r="C32" s="169"/>
      <c r="D32" s="169"/>
      <c r="E32" s="96"/>
      <c r="F32" s="94"/>
      <c r="G32" s="92"/>
      <c r="H32" s="172"/>
      <c r="I32" s="428"/>
    </row>
    <row r="33" spans="2:9" x14ac:dyDescent="0.3">
      <c r="B33" s="174" t="s">
        <v>255</v>
      </c>
      <c r="C33" s="169"/>
      <c r="D33" s="169"/>
      <c r="E33" s="92"/>
      <c r="F33" s="175" t="s">
        <v>257</v>
      </c>
      <c r="G33" s="92"/>
      <c r="H33" s="172"/>
      <c r="I33" s="428"/>
    </row>
    <row r="34" spans="2:9" x14ac:dyDescent="0.3">
      <c r="B34" s="174" t="s">
        <v>254</v>
      </c>
      <c r="C34" s="169"/>
      <c r="D34" s="169"/>
      <c r="E34" s="92"/>
      <c r="F34" s="175" t="s">
        <v>256</v>
      </c>
      <c r="G34" s="92"/>
      <c r="H34" s="172"/>
      <c r="I34" s="428"/>
    </row>
    <row r="35" spans="2:9" x14ac:dyDescent="0.3">
      <c r="B35" s="176" t="s">
        <v>5</v>
      </c>
      <c r="C35" s="177"/>
      <c r="D35" s="177"/>
      <c r="E35" s="92"/>
      <c r="F35" s="92"/>
      <c r="G35" s="94"/>
      <c r="H35" s="172"/>
      <c r="I35" s="428"/>
    </row>
    <row r="36" spans="2:9" x14ac:dyDescent="0.3">
      <c r="B36" s="174" t="s">
        <v>12</v>
      </c>
      <c r="C36" s="169" t="s">
        <v>49</v>
      </c>
      <c r="E36" s="92"/>
      <c r="F36" s="167"/>
      <c r="G36" s="94"/>
      <c r="H36" s="172"/>
      <c r="I36" s="428"/>
    </row>
    <row r="37" spans="2:9" x14ac:dyDescent="0.3">
      <c r="B37" s="174" t="s">
        <v>50</v>
      </c>
      <c r="C37" s="167"/>
      <c r="D37" s="167"/>
      <c r="E37" s="178"/>
      <c r="F37" s="167"/>
      <c r="G37" s="94"/>
      <c r="H37" s="172"/>
      <c r="I37" s="428"/>
    </row>
    <row r="38" spans="2:9" x14ac:dyDescent="0.3">
      <c r="B38" s="174"/>
      <c r="C38" s="167"/>
      <c r="D38" s="167"/>
      <c r="E38" s="178"/>
      <c r="F38" s="167"/>
      <c r="G38" s="94"/>
      <c r="H38" s="172"/>
      <c r="I38" s="428"/>
    </row>
    <row r="39" spans="2:9" ht="15.5" thickBot="1" x14ac:dyDescent="0.35">
      <c r="B39" s="596" t="s">
        <v>51</v>
      </c>
      <c r="C39" s="453"/>
      <c r="D39" s="453"/>
      <c r="E39" s="454"/>
      <c r="F39" s="453"/>
      <c r="G39" s="187"/>
      <c r="H39" s="226"/>
      <c r="I39" s="428"/>
    </row>
    <row r="40" spans="2:9" x14ac:dyDescent="0.3">
      <c r="B40" s="98"/>
      <c r="C40" s="98"/>
      <c r="D40" s="98"/>
      <c r="E40" s="92"/>
      <c r="F40" s="92"/>
      <c r="G40" s="94"/>
      <c r="H40" s="345"/>
      <c r="I40" s="428"/>
    </row>
  </sheetData>
  <printOptions horizontalCentered="1"/>
  <pageMargins left="0.31496062992125984" right="0.31496062992125984" top="0.15748031496062992" bottom="0.15748031496062992" header="0.31496062992125984" footer="0.31496062992125984"/>
  <pageSetup paperSize="9" scale="84"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H54"/>
  <sheetViews>
    <sheetView zoomScaleNormal="100" workbookViewId="0"/>
  </sheetViews>
  <sheetFormatPr defaultColWidth="8.81640625" defaultRowHeight="15.5" x14ac:dyDescent="0.35"/>
  <cols>
    <col min="1" max="1" width="3.81640625" style="781" bestFit="1" customWidth="1"/>
    <col min="2" max="2" width="26.1796875" style="781" customWidth="1"/>
    <col min="3" max="3" width="20" style="781" bestFit="1" customWidth="1"/>
    <col min="4" max="4" width="20.1796875" style="781" bestFit="1" customWidth="1"/>
    <col min="5" max="6" width="20" style="781" bestFit="1" customWidth="1"/>
    <col min="7" max="7" width="18.1796875" style="781" bestFit="1" customWidth="1"/>
    <col min="8" max="8" width="19.1796875" style="781" customWidth="1"/>
    <col min="9" max="16384" width="8.81640625" style="781"/>
  </cols>
  <sheetData>
    <row r="2" spans="2:8" x14ac:dyDescent="0.35">
      <c r="B2" s="803" t="str">
        <f>'[11]29-33'!B2</f>
        <v>MILANO INTERNATIONAL (INDIA) PRIVATE LIMITED</v>
      </c>
    </row>
    <row r="3" spans="2:8" x14ac:dyDescent="0.35">
      <c r="B3" s="803" t="str">
        <f>'[11]29-33'!B3</f>
        <v xml:space="preserve">C-4, COMMUNITY CENTRE,NARAINA VIHAR, NEW DELHI-110028 </v>
      </c>
    </row>
    <row r="4" spans="2:8" x14ac:dyDescent="0.35">
      <c r="B4" s="803" t="str">
        <f>'[11]29-33'!B4</f>
        <v>CIN : U74899DL1978PTC008991</v>
      </c>
    </row>
    <row r="6" spans="2:8" ht="16" thickBot="1" x14ac:dyDescent="0.4">
      <c r="B6" s="775" t="s">
        <v>772</v>
      </c>
      <c r="C6" s="768"/>
      <c r="D6" s="768"/>
      <c r="E6" s="768"/>
      <c r="F6" s="768"/>
      <c r="G6" s="768"/>
      <c r="H6" s="768"/>
    </row>
    <row r="7" spans="2:8" ht="31.5" thickBot="1" x14ac:dyDescent="0.4">
      <c r="B7" s="804" t="s">
        <v>773</v>
      </c>
      <c r="C7" s="805" t="s">
        <v>774</v>
      </c>
      <c r="D7" s="805" t="s">
        <v>339</v>
      </c>
      <c r="E7" s="805" t="s">
        <v>743</v>
      </c>
      <c r="F7" s="805" t="s">
        <v>701</v>
      </c>
      <c r="G7" s="806" t="s">
        <v>775</v>
      </c>
      <c r="H7" s="807" t="s">
        <v>776</v>
      </c>
    </row>
    <row r="8" spans="2:8" ht="31" x14ac:dyDescent="0.35">
      <c r="B8" s="808" t="s">
        <v>340</v>
      </c>
      <c r="C8" s="809" t="s">
        <v>748</v>
      </c>
      <c r="D8" s="809" t="s">
        <v>25</v>
      </c>
      <c r="E8" s="810">
        <f>IFERROR(E25/E26,"NA")</f>
        <v>43.137644909274201</v>
      </c>
      <c r="F8" s="811">
        <f>IFERROR(F25/F26,"NA")</f>
        <v>6.8234830407732954</v>
      </c>
      <c r="G8" s="812">
        <f>IFERROR((E8-F8)/F8,"NA")</f>
        <v>5.3219391990143308</v>
      </c>
      <c r="H8" s="813" t="s">
        <v>749</v>
      </c>
    </row>
    <row r="9" spans="2:8" ht="77.5" x14ac:dyDescent="0.35">
      <c r="B9" s="808" t="s">
        <v>750</v>
      </c>
      <c r="C9" s="809" t="s">
        <v>751</v>
      </c>
      <c r="D9" s="809" t="s">
        <v>752</v>
      </c>
      <c r="E9" s="814" t="s">
        <v>761</v>
      </c>
      <c r="F9" s="811">
        <f>IFERROR(F28/F29,"NA")</f>
        <v>7.7833647145833296E-2</v>
      </c>
      <c r="G9" s="812" t="str">
        <f t="shared" ref="G9:G17" si="0">IFERROR((E9-F9)/F9,"NA")</f>
        <v>NA</v>
      </c>
      <c r="H9" s="815" t="s">
        <v>782</v>
      </c>
    </row>
    <row r="10" spans="2:8" ht="93" x14ac:dyDescent="0.35">
      <c r="B10" s="808" t="s">
        <v>341</v>
      </c>
      <c r="C10" s="809" t="s">
        <v>757</v>
      </c>
      <c r="D10" s="809" t="s">
        <v>758</v>
      </c>
      <c r="E10" s="816">
        <f>IFERROR(E31/E30,"NA")</f>
        <v>1.7393839127950807E-2</v>
      </c>
      <c r="F10" s="817">
        <f>IFERROR(F31/F30,"NA")</f>
        <v>0.29707133319278656</v>
      </c>
      <c r="G10" s="812">
        <f>IFERROR((E10-F10)/F10,"NA")</f>
        <v>-0.94144894783010613</v>
      </c>
      <c r="H10" s="818" t="s">
        <v>783</v>
      </c>
    </row>
    <row r="11" spans="2:8" ht="124" x14ac:dyDescent="0.35">
      <c r="B11" s="808" t="s">
        <v>759</v>
      </c>
      <c r="C11" s="809" t="s">
        <v>52</v>
      </c>
      <c r="D11" s="809" t="s">
        <v>760</v>
      </c>
      <c r="E11" s="810" t="s">
        <v>761</v>
      </c>
      <c r="F11" s="811" t="str">
        <f>IFERROR(F44/F46,"NA")</f>
        <v>NA</v>
      </c>
      <c r="G11" s="812" t="str">
        <f t="shared" si="0"/>
        <v>NA</v>
      </c>
      <c r="H11" s="819" t="s">
        <v>790</v>
      </c>
    </row>
    <row r="12" spans="2:8" ht="77.5" x14ac:dyDescent="0.35">
      <c r="B12" s="808" t="s">
        <v>342</v>
      </c>
      <c r="C12" s="809" t="s">
        <v>762</v>
      </c>
      <c r="D12" s="809" t="s">
        <v>763</v>
      </c>
      <c r="E12" s="810">
        <f>IFERROR(E44/E48,"NA")</f>
        <v>442.5554346988884</v>
      </c>
      <c r="F12" s="811">
        <f>IFERROR(F44/F48,"NA")</f>
        <v>302.81383251520259</v>
      </c>
      <c r="G12" s="812">
        <f t="shared" si="0"/>
        <v>0.46147694450738203</v>
      </c>
      <c r="H12" s="819" t="s">
        <v>785</v>
      </c>
    </row>
    <row r="13" spans="2:8" ht="108.5" x14ac:dyDescent="0.35">
      <c r="B13" s="808" t="s">
        <v>764</v>
      </c>
      <c r="C13" s="809" t="s">
        <v>736</v>
      </c>
      <c r="D13" s="809" t="s">
        <v>765</v>
      </c>
      <c r="E13" s="810" t="str">
        <f>IFERROR(E49/E51,"NA")</f>
        <v>NA</v>
      </c>
      <c r="F13" s="811" t="str">
        <f>IFERROR(F49/F51,"NA")</f>
        <v>NA</v>
      </c>
      <c r="G13" s="812" t="str">
        <f t="shared" si="0"/>
        <v>NA</v>
      </c>
      <c r="H13" s="819" t="s">
        <v>784</v>
      </c>
    </row>
    <row r="14" spans="2:8" ht="62" x14ac:dyDescent="0.35">
      <c r="B14" s="808" t="s">
        <v>343</v>
      </c>
      <c r="C14" s="809" t="s">
        <v>766</v>
      </c>
      <c r="D14" s="809" t="s">
        <v>767</v>
      </c>
      <c r="E14" s="816">
        <f>IFERROR(E44/E27,"NA")</f>
        <v>1.7611697186355377</v>
      </c>
      <c r="F14" s="817">
        <f>IFERROR(F44/F27,"NA")</f>
        <v>1.2008775083013734</v>
      </c>
      <c r="G14" s="812">
        <f t="shared" si="0"/>
        <v>0.46656899347435593</v>
      </c>
      <c r="H14" s="819" t="s">
        <v>786</v>
      </c>
    </row>
    <row r="15" spans="2:8" ht="62" x14ac:dyDescent="0.35">
      <c r="B15" s="808" t="s">
        <v>344</v>
      </c>
      <c r="C15" s="809" t="s">
        <v>345</v>
      </c>
      <c r="D15" s="809" t="s">
        <v>766</v>
      </c>
      <c r="E15" s="816">
        <f>IFERROR(E31/E44,"NA")</f>
        <v>9.1178037378721252E-3</v>
      </c>
      <c r="F15" s="817">
        <f>IFERROR(F31/F44,"NA")</f>
        <v>0.19640190632321008</v>
      </c>
      <c r="G15" s="812">
        <f t="shared" si="0"/>
        <v>-0.95357578799226439</v>
      </c>
      <c r="H15" s="819" t="s">
        <v>787</v>
      </c>
    </row>
    <row r="16" spans="2:8" ht="46.5" x14ac:dyDescent="0.35">
      <c r="B16" s="808" t="s">
        <v>768</v>
      </c>
      <c r="C16" s="809" t="s">
        <v>769</v>
      </c>
      <c r="D16" s="809" t="s">
        <v>770</v>
      </c>
      <c r="E16" s="816">
        <f>IFERROR(E34/E53,"NA")</f>
        <v>2.7663299882672555E-2</v>
      </c>
      <c r="F16" s="817">
        <f>IFERROR(F34/F53,"NA")</f>
        <v>0.32844077337561511</v>
      </c>
      <c r="G16" s="812">
        <f>IFERROR((E16-F16)/F16,"NA")</f>
        <v>-0.91577385597300376</v>
      </c>
      <c r="H16" s="818" t="s">
        <v>788</v>
      </c>
    </row>
    <row r="17" spans="1:8" ht="93" x14ac:dyDescent="0.35">
      <c r="B17" s="808" t="s">
        <v>753</v>
      </c>
      <c r="C17" s="809" t="s">
        <v>754</v>
      </c>
      <c r="D17" s="809" t="s">
        <v>755</v>
      </c>
      <c r="E17" s="820" t="str">
        <f>IFERROR(E40/E43,"NA")</f>
        <v>NA</v>
      </c>
      <c r="F17" s="821" t="str">
        <f>IFERROR(F40/F43,"NA")</f>
        <v>NA</v>
      </c>
      <c r="G17" s="812" t="str">
        <f t="shared" si="0"/>
        <v>NA</v>
      </c>
      <c r="H17" s="815"/>
    </row>
    <row r="18" spans="1:8" ht="31.5" thickBot="1" x14ac:dyDescent="0.4">
      <c r="B18" s="822" t="s">
        <v>771</v>
      </c>
      <c r="C18" s="823" t="s">
        <v>345</v>
      </c>
      <c r="D18" s="823" t="s">
        <v>777</v>
      </c>
      <c r="E18" s="824">
        <f>IFERROR(E31/E54,"NA")</f>
        <v>1.3689023466730583E-2</v>
      </c>
      <c r="F18" s="825">
        <f>IFERROR(F31/F54,"NA")</f>
        <v>0.18462388314851597</v>
      </c>
      <c r="G18" s="826">
        <f>IFERROR((E18-F18)/F18,"NA")</f>
        <v>-0.92585453608015167</v>
      </c>
      <c r="H18" s="827" t="s">
        <v>789</v>
      </c>
    </row>
    <row r="19" spans="1:8" x14ac:dyDescent="0.35">
      <c r="B19" s="775" t="s">
        <v>778</v>
      </c>
      <c r="C19" s="768"/>
      <c r="D19" s="768"/>
      <c r="E19" s="768"/>
      <c r="F19" s="768"/>
      <c r="G19" s="768"/>
      <c r="H19" s="768"/>
    </row>
    <row r="20" spans="1:8" x14ac:dyDescent="0.35">
      <c r="B20" s="910" t="s">
        <v>779</v>
      </c>
      <c r="C20" s="910"/>
      <c r="D20" s="910"/>
      <c r="E20" s="910"/>
      <c r="F20" s="910"/>
      <c r="G20" s="910"/>
      <c r="H20" s="910"/>
    </row>
    <row r="21" spans="1:8" x14ac:dyDescent="0.35">
      <c r="B21" s="768" t="s">
        <v>780</v>
      </c>
      <c r="C21" s="768"/>
      <c r="D21" s="768"/>
      <c r="E21" s="768"/>
      <c r="F21" s="768"/>
      <c r="G21" s="768"/>
      <c r="H21" s="768"/>
    </row>
    <row r="22" spans="1:8" x14ac:dyDescent="0.35">
      <c r="B22" s="768" t="s">
        <v>781</v>
      </c>
      <c r="C22" s="768"/>
      <c r="D22" s="768"/>
      <c r="E22" s="768"/>
      <c r="F22" s="768"/>
      <c r="G22" s="768"/>
      <c r="H22" s="768"/>
    </row>
    <row r="23" spans="1:8" x14ac:dyDescent="0.35">
      <c r="B23" s="767" t="s">
        <v>699</v>
      </c>
      <c r="C23" s="768"/>
      <c r="D23" s="768"/>
      <c r="E23" s="768"/>
      <c r="F23" s="768"/>
      <c r="G23" s="769"/>
      <c r="H23" s="768"/>
    </row>
    <row r="24" spans="1:8" ht="16" thickBot="1" x14ac:dyDescent="0.4">
      <c r="B24" s="770" t="s">
        <v>0</v>
      </c>
      <c r="C24" s="771"/>
      <c r="D24" s="770" t="s">
        <v>700</v>
      </c>
      <c r="E24" s="770" t="s">
        <v>743</v>
      </c>
      <c r="F24" s="770" t="s">
        <v>701</v>
      </c>
      <c r="G24" s="770" t="s">
        <v>702</v>
      </c>
      <c r="H24" s="768"/>
    </row>
    <row r="25" spans="1:8" x14ac:dyDescent="0.35">
      <c r="A25" s="781">
        <v>1</v>
      </c>
      <c r="B25" s="772" t="s">
        <v>703</v>
      </c>
      <c r="C25" s="768"/>
      <c r="D25" s="773" t="s">
        <v>704</v>
      </c>
      <c r="E25" s="774">
        <f>BS!H53</f>
        <v>684680.70000000007</v>
      </c>
      <c r="F25" s="774">
        <f>BS!I53</f>
        <v>786385.95</v>
      </c>
      <c r="G25" s="136">
        <f>[12]BS!$I$53</f>
        <v>818236.55999999994</v>
      </c>
      <c r="H25" s="768"/>
    </row>
    <row r="26" spans="1:8" x14ac:dyDescent="0.35">
      <c r="A26" s="781">
        <v>2</v>
      </c>
      <c r="B26" s="772" t="s">
        <v>25</v>
      </c>
      <c r="C26" s="768"/>
      <c r="D26" s="773" t="s">
        <v>704</v>
      </c>
      <c r="E26" s="774">
        <f>BS!H30</f>
        <v>15872</v>
      </c>
      <c r="F26" s="774">
        <f>BS!I30</f>
        <v>115247</v>
      </c>
      <c r="G26" s="774">
        <f>[12]BS!$I$30</f>
        <v>412488.46</v>
      </c>
      <c r="H26" s="768"/>
    </row>
    <row r="27" spans="1:8" x14ac:dyDescent="0.35">
      <c r="A27" s="781">
        <v>3</v>
      </c>
      <c r="B27" s="775" t="s">
        <v>705</v>
      </c>
      <c r="C27" s="768"/>
      <c r="D27" s="776" t="s">
        <v>706</v>
      </c>
      <c r="E27" s="774">
        <f>E25-E26</f>
        <v>668808.70000000007</v>
      </c>
      <c r="F27" s="774">
        <f>F25-F26</f>
        <v>671138.95</v>
      </c>
      <c r="G27" s="774">
        <f>G25-G26</f>
        <v>405748.09999999992</v>
      </c>
      <c r="H27" s="768"/>
    </row>
    <row r="28" spans="1:8" x14ac:dyDescent="0.35">
      <c r="A28" s="781">
        <v>4</v>
      </c>
      <c r="B28" s="768" t="s">
        <v>707</v>
      </c>
      <c r="C28" s="768"/>
      <c r="D28" s="773" t="s">
        <v>704</v>
      </c>
      <c r="E28" s="774">
        <f>BS!H24+BS!H18</f>
        <v>0</v>
      </c>
      <c r="F28" s="774">
        <f>BS!I18+BS!I24</f>
        <v>47640</v>
      </c>
      <c r="G28" s="774">
        <f>[12]BS!$I$18+[12]BS!$I$24</f>
        <v>272640</v>
      </c>
      <c r="H28" s="768"/>
    </row>
    <row r="29" spans="1:8" x14ac:dyDescent="0.35">
      <c r="A29" s="781">
        <v>5</v>
      </c>
      <c r="B29" s="768" t="s">
        <v>708</v>
      </c>
      <c r="C29" s="768"/>
      <c r="D29" s="773" t="s">
        <v>704</v>
      </c>
      <c r="E29" s="774">
        <f>BS!H15</f>
        <v>622814.34510969685</v>
      </c>
      <c r="F29" s="774">
        <f>BS!I15</f>
        <v>612074.62</v>
      </c>
      <c r="G29" s="774">
        <f>[12]BS!$I$15</f>
        <v>453603.63510969671</v>
      </c>
      <c r="H29" s="828"/>
    </row>
    <row r="30" spans="1:8" x14ac:dyDescent="0.35">
      <c r="A30" s="781">
        <v>6</v>
      </c>
      <c r="B30" s="775" t="s">
        <v>709</v>
      </c>
      <c r="C30" s="768"/>
      <c r="D30" s="776" t="s">
        <v>710</v>
      </c>
      <c r="E30" s="774">
        <f>(E29+F29)/2</f>
        <v>617444.48255484842</v>
      </c>
      <c r="F30" s="774">
        <f>(F29+G29)/2</f>
        <v>532839.12755484832</v>
      </c>
      <c r="G30" s="774"/>
      <c r="H30" s="768"/>
    </row>
    <row r="31" spans="1:8" x14ac:dyDescent="0.35">
      <c r="A31" s="781">
        <v>7</v>
      </c>
      <c r="B31" s="768" t="s">
        <v>711</v>
      </c>
      <c r="C31" s="768"/>
      <c r="D31" s="773" t="s">
        <v>712</v>
      </c>
      <c r="E31" s="774">
        <f>'P&amp;L'!H36</f>
        <v>10739.729999999861</v>
      </c>
      <c r="F31" s="774">
        <f>'P&amp;L'!I36</f>
        <v>158291.23000000004</v>
      </c>
      <c r="G31" s="774">
        <f>'[12]P&amp;L'!$I$36</f>
        <v>54538.955370000091</v>
      </c>
      <c r="H31" s="768"/>
    </row>
    <row r="32" spans="1:8" x14ac:dyDescent="0.35">
      <c r="A32" s="781">
        <v>8</v>
      </c>
      <c r="B32" s="768" t="s">
        <v>713</v>
      </c>
      <c r="C32" s="768"/>
      <c r="D32" s="773" t="s">
        <v>712</v>
      </c>
      <c r="E32" s="774">
        <v>0</v>
      </c>
      <c r="F32" s="774">
        <v>0</v>
      </c>
      <c r="G32" s="774">
        <v>0</v>
      </c>
      <c r="H32" s="768"/>
    </row>
    <row r="33" spans="1:8" x14ac:dyDescent="0.35">
      <c r="A33" s="781">
        <v>9</v>
      </c>
      <c r="B33" s="768" t="s">
        <v>714</v>
      </c>
      <c r="C33" s="768"/>
      <c r="D33" s="773" t="s">
        <v>712</v>
      </c>
      <c r="E33" s="774">
        <f>'P&amp;L'!H34</f>
        <v>6489.37</v>
      </c>
      <c r="F33" s="774">
        <f>'P&amp;L'!I34</f>
        <v>58385.95</v>
      </c>
      <c r="G33" s="774">
        <f>'[12]P&amp;L'!$I$34</f>
        <v>18342.940320000002</v>
      </c>
      <c r="H33" s="768"/>
    </row>
    <row r="34" spans="1:8" x14ac:dyDescent="0.35">
      <c r="A34" s="781">
        <v>10</v>
      </c>
      <c r="B34" s="775" t="s">
        <v>347</v>
      </c>
      <c r="C34" s="768"/>
      <c r="D34" s="776" t="s">
        <v>715</v>
      </c>
      <c r="E34" s="774">
        <f>SUM(E31:E33)</f>
        <v>17229.09999999986</v>
      </c>
      <c r="F34" s="774">
        <f>SUM(F31:F33)</f>
        <v>216677.18000000005</v>
      </c>
      <c r="G34" s="774">
        <f>SUM(G31:G33)</f>
        <v>72881.895690000092</v>
      </c>
      <c r="H34" s="828"/>
    </row>
    <row r="35" spans="1:8" x14ac:dyDescent="0.35">
      <c r="A35" s="781">
        <v>11</v>
      </c>
      <c r="B35" s="777" t="s">
        <v>716</v>
      </c>
      <c r="C35" s="768"/>
      <c r="D35" s="773" t="s">
        <v>712</v>
      </c>
      <c r="E35" s="774">
        <f>'P&amp;L'!H19</f>
        <v>25878</v>
      </c>
      <c r="F35" s="774">
        <f>'P&amp;L'!I19</f>
        <v>29286</v>
      </c>
      <c r="G35" s="774">
        <f>'[12]P&amp;L'!$I$19</f>
        <v>62232.01</v>
      </c>
      <c r="H35" s="768"/>
    </row>
    <row r="36" spans="1:8" x14ac:dyDescent="0.35">
      <c r="A36" s="781">
        <v>12</v>
      </c>
      <c r="B36" s="777" t="s">
        <v>717</v>
      </c>
      <c r="C36" s="768"/>
      <c r="D36" s="776" t="s">
        <v>718</v>
      </c>
      <c r="E36" s="774">
        <v>0</v>
      </c>
      <c r="F36" s="774">
        <v>0</v>
      </c>
      <c r="G36" s="774">
        <v>0</v>
      </c>
      <c r="H36" s="829"/>
    </row>
    <row r="37" spans="1:8" x14ac:dyDescent="0.35">
      <c r="A37" s="781">
        <v>13</v>
      </c>
      <c r="B37" s="777" t="s">
        <v>719</v>
      </c>
      <c r="C37" s="768"/>
      <c r="D37" s="776" t="s">
        <v>718</v>
      </c>
      <c r="E37" s="774">
        <v>0</v>
      </c>
      <c r="F37" s="774">
        <v>0</v>
      </c>
      <c r="G37" s="774">
        <v>0</v>
      </c>
      <c r="H37" s="829"/>
    </row>
    <row r="38" spans="1:8" x14ac:dyDescent="0.35">
      <c r="A38" s="781">
        <v>14</v>
      </c>
      <c r="B38" s="778" t="s">
        <v>720</v>
      </c>
      <c r="C38" s="768"/>
      <c r="D38" s="776" t="s">
        <v>721</v>
      </c>
      <c r="E38" s="774">
        <v>0</v>
      </c>
      <c r="F38" s="774">
        <v>0</v>
      </c>
      <c r="G38" s="774">
        <v>0</v>
      </c>
      <c r="H38" s="829"/>
    </row>
    <row r="39" spans="1:8" x14ac:dyDescent="0.35">
      <c r="A39" s="781">
        <v>15</v>
      </c>
      <c r="B39" s="779" t="s">
        <v>722</v>
      </c>
      <c r="C39" s="768"/>
      <c r="D39" s="776" t="s">
        <v>723</v>
      </c>
      <c r="E39" s="774">
        <f>SUM(E35:E38)</f>
        <v>25878</v>
      </c>
      <c r="F39" s="774">
        <f>SUM(F35:F38)</f>
        <v>29286</v>
      </c>
      <c r="G39" s="774">
        <f>SUM(G35:G38)</f>
        <v>62232.01</v>
      </c>
      <c r="H39" s="829"/>
    </row>
    <row r="40" spans="1:8" x14ac:dyDescent="0.35">
      <c r="A40" s="781">
        <v>16</v>
      </c>
      <c r="B40" s="775" t="s">
        <v>724</v>
      </c>
      <c r="C40" s="768"/>
      <c r="D40" s="776" t="s">
        <v>725</v>
      </c>
      <c r="E40" s="774">
        <f>E34+E39-E33</f>
        <v>36617.729999999858</v>
      </c>
      <c r="F40" s="774">
        <f>F34+F39-F33</f>
        <v>187577.23000000004</v>
      </c>
      <c r="G40" s="774">
        <f>G34+G39-G33</f>
        <v>116770.96537000011</v>
      </c>
      <c r="H40" s="768"/>
    </row>
    <row r="41" spans="1:8" x14ac:dyDescent="0.35">
      <c r="A41" s="781">
        <v>17</v>
      </c>
      <c r="B41" s="768" t="s">
        <v>726</v>
      </c>
      <c r="C41" s="768"/>
      <c r="D41" s="776" t="s">
        <v>718</v>
      </c>
      <c r="E41" s="774">
        <v>0</v>
      </c>
      <c r="F41" s="774">
        <v>0</v>
      </c>
      <c r="G41" s="774"/>
      <c r="H41" s="768"/>
    </row>
    <row r="42" spans="1:8" x14ac:dyDescent="0.35">
      <c r="A42" s="781">
        <v>18</v>
      </c>
      <c r="B42" s="768" t="s">
        <v>727</v>
      </c>
      <c r="C42" s="768"/>
      <c r="D42" s="776" t="s">
        <v>718</v>
      </c>
      <c r="E42" s="774">
        <v>0</v>
      </c>
      <c r="F42" s="774">
        <v>0</v>
      </c>
      <c r="G42" s="774"/>
      <c r="H42" s="768"/>
    </row>
    <row r="43" spans="1:8" x14ac:dyDescent="0.35">
      <c r="A43" s="781">
        <v>19</v>
      </c>
      <c r="B43" s="775" t="s">
        <v>728</v>
      </c>
      <c r="C43" s="768"/>
      <c r="D43" s="776" t="s">
        <v>729</v>
      </c>
      <c r="E43" s="774">
        <f>E41+E42</f>
        <v>0</v>
      </c>
      <c r="F43" s="774">
        <f>F41+F42</f>
        <v>0</v>
      </c>
      <c r="G43" s="774"/>
      <c r="H43" s="768"/>
    </row>
    <row r="44" spans="1:8" x14ac:dyDescent="0.35">
      <c r="A44" s="781">
        <v>20</v>
      </c>
      <c r="B44" s="768" t="s">
        <v>730</v>
      </c>
      <c r="C44" s="768"/>
      <c r="D44" s="776" t="s">
        <v>712</v>
      </c>
      <c r="E44" s="774">
        <f>'P&amp;L'!H14</f>
        <v>1177885.6299999999</v>
      </c>
      <c r="F44" s="774">
        <f>'P&amp;L'!I14</f>
        <v>805955.67</v>
      </c>
      <c r="G44" s="774">
        <f>'[12]P&amp;L'!$I$14</f>
        <v>439622.005435</v>
      </c>
      <c r="H44" s="768"/>
    </row>
    <row r="45" spans="1:8" x14ac:dyDescent="0.35">
      <c r="A45" s="781">
        <v>21</v>
      </c>
      <c r="B45" s="768" t="s">
        <v>731</v>
      </c>
      <c r="C45" s="768"/>
      <c r="D45" s="776" t="s">
        <v>704</v>
      </c>
      <c r="E45" s="774">
        <f>BS!H48</f>
        <v>0</v>
      </c>
      <c r="F45" s="774">
        <f>BS!I48</f>
        <v>0</v>
      </c>
      <c r="G45" s="774">
        <f>[12]BS!$I$48</f>
        <v>0</v>
      </c>
      <c r="H45" s="768"/>
    </row>
    <row r="46" spans="1:8" x14ac:dyDescent="0.35">
      <c r="A46" s="781">
        <v>22</v>
      </c>
      <c r="B46" s="775" t="s">
        <v>732</v>
      </c>
      <c r="C46" s="768"/>
      <c r="D46" s="776" t="s">
        <v>733</v>
      </c>
      <c r="E46" s="774">
        <f>(E45+F45)/2</f>
        <v>0</v>
      </c>
      <c r="F46" s="774">
        <f>(F45+G45)/2</f>
        <v>0</v>
      </c>
      <c r="G46" s="774"/>
      <c r="H46" s="768"/>
    </row>
    <row r="47" spans="1:8" x14ac:dyDescent="0.35">
      <c r="A47" s="781">
        <v>23</v>
      </c>
      <c r="B47" s="768" t="s">
        <v>43</v>
      </c>
      <c r="C47" s="768"/>
      <c r="D47" s="776" t="s">
        <v>704</v>
      </c>
      <c r="E47" s="774">
        <f>BS!H49</f>
        <v>0</v>
      </c>
      <c r="F47" s="774">
        <f>BS!I49</f>
        <v>5323.11</v>
      </c>
      <c r="G47" s="774">
        <f>[12]BS!$I$49</f>
        <v>0</v>
      </c>
      <c r="H47" s="768"/>
    </row>
    <row r="48" spans="1:8" x14ac:dyDescent="0.35">
      <c r="A48" s="781">
        <v>24</v>
      </c>
      <c r="B48" s="775" t="s">
        <v>734</v>
      </c>
      <c r="C48" s="768"/>
      <c r="D48" s="776" t="s">
        <v>735</v>
      </c>
      <c r="E48" s="774">
        <f>(E47+F47)/2</f>
        <v>2661.5549999999998</v>
      </c>
      <c r="F48" s="774">
        <f>(F47+G47)/2</f>
        <v>2661.5549999999998</v>
      </c>
      <c r="G48" s="774"/>
      <c r="H48" s="768"/>
    </row>
    <row r="49" spans="1:8" x14ac:dyDescent="0.35">
      <c r="A49" s="781">
        <v>25</v>
      </c>
      <c r="B49" s="768" t="s">
        <v>736</v>
      </c>
      <c r="C49" s="768"/>
      <c r="D49" s="776" t="s">
        <v>712</v>
      </c>
      <c r="E49" s="774">
        <f>'P&amp;L'!H20</f>
        <v>346222.52999999997</v>
      </c>
      <c r="F49" s="774">
        <f>'P&amp;L'!I20</f>
        <v>288960.93</v>
      </c>
      <c r="G49" s="774">
        <f>'[12]P&amp;L'!$I$20</f>
        <v>96509.944309999875</v>
      </c>
      <c r="H49" s="768"/>
    </row>
    <row r="50" spans="1:8" x14ac:dyDescent="0.35">
      <c r="A50" s="781">
        <v>26</v>
      </c>
      <c r="B50" s="768" t="s">
        <v>27</v>
      </c>
      <c r="C50" s="768"/>
      <c r="D50" s="776" t="s">
        <v>704</v>
      </c>
      <c r="E50" s="774">
        <f>BS!H25</f>
        <v>0</v>
      </c>
      <c r="F50" s="774">
        <f>BS!I25</f>
        <v>0</v>
      </c>
      <c r="G50" s="774">
        <f>[12]BS!$I$25</f>
        <v>0</v>
      </c>
      <c r="H50" s="768"/>
    </row>
    <row r="51" spans="1:8" x14ac:dyDescent="0.35">
      <c r="A51" s="781">
        <v>27</v>
      </c>
      <c r="B51" s="775" t="s">
        <v>737</v>
      </c>
      <c r="C51" s="768"/>
      <c r="D51" s="776" t="s">
        <v>738</v>
      </c>
      <c r="E51" s="774">
        <f>(E50+F50)/2</f>
        <v>0</v>
      </c>
      <c r="F51" s="774">
        <f>(F50+G50)/2</f>
        <v>0</v>
      </c>
      <c r="G51" s="774"/>
      <c r="H51" s="768"/>
    </row>
    <row r="52" spans="1:8" x14ac:dyDescent="0.35">
      <c r="A52" s="781">
        <v>28</v>
      </c>
      <c r="B52" s="768" t="s">
        <v>739</v>
      </c>
      <c r="C52" s="768"/>
      <c r="D52" s="776" t="s">
        <v>704</v>
      </c>
      <c r="E52" s="774">
        <f>BS!H54</f>
        <v>720450.35000000009</v>
      </c>
      <c r="F52" s="774">
        <f>BS!I54</f>
        <v>848650.62</v>
      </c>
      <c r="G52" s="774">
        <f>[12]BS!$I$54</f>
        <v>866092.10234504682</v>
      </c>
      <c r="H52" s="768"/>
    </row>
    <row r="53" spans="1:8" x14ac:dyDescent="0.35">
      <c r="A53" s="781">
        <v>29</v>
      </c>
      <c r="B53" s="775" t="s">
        <v>740</v>
      </c>
      <c r="C53" s="768"/>
      <c r="D53" s="776" t="s">
        <v>741</v>
      </c>
      <c r="E53" s="774">
        <f>E29+E28</f>
        <v>622814.34510969685</v>
      </c>
      <c r="F53" s="774">
        <f>F29+F28</f>
        <v>659714.62</v>
      </c>
      <c r="G53" s="774">
        <f>G29+G28</f>
        <v>726243.63510969677</v>
      </c>
      <c r="H53" s="768"/>
    </row>
    <row r="54" spans="1:8" x14ac:dyDescent="0.35">
      <c r="A54" s="781">
        <v>30</v>
      </c>
      <c r="B54" s="780" t="s">
        <v>742</v>
      </c>
      <c r="C54" s="768"/>
      <c r="D54" s="768"/>
      <c r="E54" s="774">
        <f>(F52+E52)/2</f>
        <v>784550.4850000001</v>
      </c>
      <c r="F54" s="774">
        <f>(G52+F52)/2</f>
        <v>857371.36117252335</v>
      </c>
      <c r="G54" s="774"/>
      <c r="H54" s="828"/>
    </row>
  </sheetData>
  <mergeCells count="1">
    <mergeCell ref="B20:H20"/>
  </mergeCells>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1"/>
  <sheetViews>
    <sheetView zoomScaleSheetLayoutView="100" workbookViewId="0"/>
  </sheetViews>
  <sheetFormatPr defaultColWidth="9.1796875" defaultRowHeight="15" x14ac:dyDescent="0.3"/>
  <cols>
    <col min="1" max="1" width="7.453125" style="97" customWidth="1"/>
    <col min="2" max="2" width="74.1796875" style="97" customWidth="1"/>
    <col min="3" max="3" width="13.81640625" style="502" customWidth="1"/>
    <col min="4" max="4" width="14" style="502" customWidth="1"/>
    <col min="5" max="5" width="18.26953125" style="754" bestFit="1" customWidth="1"/>
    <col min="6" max="6" width="9.1796875" style="97"/>
    <col min="7" max="7" width="19.81640625" style="97" bestFit="1" customWidth="1"/>
    <col min="8" max="8" width="9" style="495" bestFit="1" customWidth="1"/>
    <col min="9" max="16384" width="9.1796875" style="97"/>
  </cols>
  <sheetData>
    <row r="1" spans="1:8" ht="15.5" thickBot="1" x14ac:dyDescent="0.35"/>
    <row r="2" spans="1:8" s="496" customFormat="1" ht="17.5" x14ac:dyDescent="0.35">
      <c r="B2" s="101" t="s">
        <v>251</v>
      </c>
      <c r="C2" s="755"/>
      <c r="D2" s="755"/>
      <c r="E2" s="228"/>
      <c r="H2" s="497"/>
    </row>
    <row r="3" spans="1:8" s="496" customFormat="1" ht="17.5" x14ac:dyDescent="0.35">
      <c r="B3" s="107" t="s">
        <v>249</v>
      </c>
      <c r="C3" s="756"/>
      <c r="D3" s="756"/>
      <c r="E3" s="231"/>
      <c r="H3" s="497"/>
    </row>
    <row r="4" spans="1:8" s="496" customFormat="1" ht="17.5" x14ac:dyDescent="0.35">
      <c r="B4" s="111" t="s">
        <v>250</v>
      </c>
      <c r="C4" s="756"/>
      <c r="D4" s="756"/>
      <c r="E4" s="231"/>
      <c r="H4" s="497"/>
    </row>
    <row r="5" spans="1:8" s="496" customFormat="1" ht="18" thickBot="1" x14ac:dyDescent="0.4">
      <c r="B5" s="115" t="s">
        <v>101</v>
      </c>
      <c r="C5" s="757"/>
      <c r="D5" s="757"/>
      <c r="E5" s="233"/>
      <c r="H5" s="497"/>
    </row>
    <row r="6" spans="1:8" x14ac:dyDescent="0.3">
      <c r="B6" s="206"/>
      <c r="C6" s="309"/>
      <c r="D6" s="309"/>
      <c r="E6" s="94"/>
    </row>
    <row r="7" spans="1:8" x14ac:dyDescent="0.3">
      <c r="A7" s="494"/>
      <c r="B7" s="96"/>
      <c r="C7" s="309"/>
      <c r="D7" s="309"/>
      <c r="E7" s="94"/>
    </row>
    <row r="8" spans="1:8" ht="15.5" thickBot="1" x14ac:dyDescent="0.35">
      <c r="B8" s="498"/>
      <c r="G8" s="504"/>
    </row>
    <row r="9" spans="1:8" x14ac:dyDescent="0.3">
      <c r="B9" s="499" t="s">
        <v>248</v>
      </c>
      <c r="C9" s="911" t="s">
        <v>540</v>
      </c>
      <c r="D9" s="911"/>
      <c r="E9" s="758" t="s">
        <v>247</v>
      </c>
    </row>
    <row r="10" spans="1:8" x14ac:dyDescent="0.3">
      <c r="B10" s="500" t="s">
        <v>539</v>
      </c>
      <c r="E10" s="501">
        <v>5624</v>
      </c>
      <c r="G10" s="502"/>
    </row>
    <row r="11" spans="1:8" x14ac:dyDescent="0.3">
      <c r="B11" s="503" t="s">
        <v>246</v>
      </c>
      <c r="E11" s="501"/>
    </row>
    <row r="12" spans="1:8" x14ac:dyDescent="0.3">
      <c r="B12" s="500" t="s">
        <v>245</v>
      </c>
      <c r="C12" s="502">
        <f>'9'!K16+'9'!L16</f>
        <v>25878</v>
      </c>
      <c r="E12" s="501"/>
    </row>
    <row r="13" spans="1:8" x14ac:dyDescent="0.3">
      <c r="B13" s="500" t="s">
        <v>244</v>
      </c>
      <c r="C13" s="759">
        <f>'IT DEPRECIATION'!M13</f>
        <v>28331</v>
      </c>
      <c r="D13" s="760">
        <f>+C12-C13</f>
        <v>-2453</v>
      </c>
      <c r="E13" s="501"/>
      <c r="G13" s="97" t="s">
        <v>293</v>
      </c>
      <c r="H13" s="495">
        <v>0.22</v>
      </c>
    </row>
    <row r="14" spans="1:8" x14ac:dyDescent="0.3">
      <c r="B14" s="500"/>
      <c r="D14" s="760">
        <f>H16</f>
        <v>0.25168000000000001</v>
      </c>
      <c r="E14" s="501">
        <f>ROUND(D13*D14,2)</f>
        <v>-617.37</v>
      </c>
      <c r="G14" s="97" t="s">
        <v>291</v>
      </c>
      <c r="H14" s="495">
        <f>H13*0.1</f>
        <v>2.2000000000000002E-2</v>
      </c>
    </row>
    <row r="15" spans="1:8" ht="15.5" thickBot="1" x14ac:dyDescent="0.35">
      <c r="B15" s="500" t="s">
        <v>468</v>
      </c>
      <c r="E15" s="505">
        <f>(E14+E10)</f>
        <v>5006.63</v>
      </c>
      <c r="G15" s="97" t="s">
        <v>292</v>
      </c>
      <c r="H15" s="495" cm="1">
        <f t="array" ref="H15">SUM(H13:H14*0.04)</f>
        <v>9.6800000000000011E-3</v>
      </c>
    </row>
    <row r="16" spans="1:8" ht="16" thickTop="1" thickBot="1" x14ac:dyDescent="0.35">
      <c r="B16" s="500"/>
      <c r="E16" s="501"/>
      <c r="H16" s="506">
        <f>SUM(H13:H15)</f>
        <v>0.25168000000000001</v>
      </c>
    </row>
    <row r="17" spans="2:5" ht="15.5" thickTop="1" x14ac:dyDescent="0.3">
      <c r="B17" s="507" t="s">
        <v>262</v>
      </c>
      <c r="E17" s="501"/>
    </row>
    <row r="18" spans="2:5" x14ac:dyDescent="0.3">
      <c r="B18" s="500" t="s">
        <v>243</v>
      </c>
      <c r="C18" s="502">
        <v>0</v>
      </c>
      <c r="D18" s="502">
        <v>0</v>
      </c>
      <c r="E18" s="501">
        <f>ROUND(C18*D18,0)</f>
        <v>0</v>
      </c>
    </row>
    <row r="19" spans="2:5" ht="15.5" thickBot="1" x14ac:dyDescent="0.35">
      <c r="B19" s="500" t="s">
        <v>242</v>
      </c>
      <c r="E19" s="761">
        <f>E15-E18</f>
        <v>5006.63</v>
      </c>
    </row>
    <row r="20" spans="2:5" ht="15.5" thickBot="1" x14ac:dyDescent="0.35">
      <c r="B20" s="500"/>
      <c r="E20" s="501"/>
    </row>
    <row r="21" spans="2:5" ht="15.5" thickBot="1" x14ac:dyDescent="0.35">
      <c r="B21" s="508" t="s">
        <v>241</v>
      </c>
      <c r="C21" s="762"/>
      <c r="D21" s="762"/>
      <c r="E21" s="763">
        <f>E19-E10</f>
        <v>-617.36999999999989</v>
      </c>
    </row>
  </sheetData>
  <mergeCells count="1">
    <mergeCell ref="C9:D9"/>
  </mergeCells>
  <printOptions horizontalCentered="1"/>
  <pageMargins left="0.70866141732283472" right="0.70866141732283472" top="0.74803149606299213" bottom="0.74803149606299213" header="0.31496062992125984" footer="0.31496062992125984"/>
  <pageSetup paperSize="9" scale="85"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N26"/>
  <sheetViews>
    <sheetView showGridLines="0" zoomScale="85" zoomScaleNormal="85" zoomScaleSheetLayoutView="100" workbookViewId="0"/>
  </sheetViews>
  <sheetFormatPr defaultColWidth="9.453125" defaultRowHeight="15" x14ac:dyDescent="0.3"/>
  <cols>
    <col min="1" max="1" width="1.81640625" style="345" customWidth="1"/>
    <col min="2" max="2" width="6.54296875" style="345" customWidth="1"/>
    <col min="3" max="3" width="18.81640625" style="345" customWidth="1"/>
    <col min="4" max="4" width="9" style="345" customWidth="1"/>
    <col min="5" max="5" width="15.1796875" style="100" customWidth="1"/>
    <col min="6" max="6" width="15.26953125" style="100" customWidth="1"/>
    <col min="7" max="7" width="15.26953125" style="345" customWidth="1"/>
    <col min="8" max="8" width="17.26953125" style="345" customWidth="1"/>
    <col min="9" max="9" width="17" style="345" customWidth="1"/>
    <col min="10" max="10" width="15.54296875" style="345" customWidth="1"/>
    <col min="11" max="12" width="12.81640625" style="345" customWidth="1"/>
    <col min="13" max="13" width="15.1796875" style="345" customWidth="1"/>
    <col min="14" max="14" width="17.54296875" style="345" bestFit="1" customWidth="1"/>
    <col min="15" max="15" width="20.54296875" style="345" customWidth="1"/>
    <col min="16" max="16" width="9.54296875" style="345" bestFit="1" customWidth="1"/>
    <col min="17" max="16384" width="9.453125" style="345"/>
  </cols>
  <sheetData>
    <row r="1" spans="2:14" ht="15.5" thickBot="1" x14ac:dyDescent="0.35"/>
    <row r="2" spans="2:14" ht="17.5" x14ac:dyDescent="0.35">
      <c r="B2" s="101" t="s">
        <v>251</v>
      </c>
      <c r="C2" s="509"/>
      <c r="D2" s="509"/>
      <c r="E2" s="185"/>
      <c r="F2" s="510"/>
      <c r="G2" s="224"/>
    </row>
    <row r="3" spans="2:14" ht="17.5" x14ac:dyDescent="0.35">
      <c r="B3" s="107" t="s">
        <v>249</v>
      </c>
      <c r="C3" s="206"/>
      <c r="D3" s="206"/>
      <c r="E3" s="94"/>
      <c r="F3" s="345"/>
      <c r="G3" s="172"/>
    </row>
    <row r="4" spans="2:14" ht="17.5" x14ac:dyDescent="0.35">
      <c r="B4" s="111" t="s">
        <v>250</v>
      </c>
      <c r="C4" s="206"/>
      <c r="D4" s="206"/>
      <c r="E4" s="94"/>
      <c r="F4" s="345"/>
      <c r="G4" s="172"/>
    </row>
    <row r="5" spans="2:14" ht="18" thickBot="1" x14ac:dyDescent="0.4">
      <c r="B5" s="115" t="s">
        <v>101</v>
      </c>
      <c r="C5" s="511"/>
      <c r="D5" s="511"/>
      <c r="E5" s="187"/>
      <c r="F5" s="512"/>
      <c r="G5" s="513"/>
      <c r="H5" s="514"/>
    </row>
    <row r="6" spans="2:14" ht="15.5" thickBot="1" x14ac:dyDescent="0.35">
      <c r="B6" s="515"/>
      <c r="E6" s="345"/>
      <c r="F6" s="345"/>
    </row>
    <row r="7" spans="2:14" ht="30" customHeight="1" x14ac:dyDescent="0.3">
      <c r="B7" s="914" t="s">
        <v>274</v>
      </c>
      <c r="C7" s="916" t="s">
        <v>275</v>
      </c>
      <c r="D7" s="918" t="s">
        <v>276</v>
      </c>
      <c r="E7" s="920" t="s">
        <v>492</v>
      </c>
      <c r="F7" s="922" t="s">
        <v>277</v>
      </c>
      <c r="G7" s="923"/>
      <c r="H7" s="922" t="s">
        <v>278</v>
      </c>
      <c r="I7" s="923"/>
      <c r="J7" s="924" t="s">
        <v>97</v>
      </c>
      <c r="K7" s="926" t="s">
        <v>235</v>
      </c>
      <c r="L7" s="926"/>
      <c r="M7" s="927" t="s">
        <v>279</v>
      </c>
      <c r="N7" s="920" t="s">
        <v>542</v>
      </c>
    </row>
    <row r="8" spans="2:14" s="474" customFormat="1" ht="60.5" thickBot="1" x14ac:dyDescent="0.35">
      <c r="B8" s="915"/>
      <c r="C8" s="917"/>
      <c r="D8" s="919"/>
      <c r="E8" s="921"/>
      <c r="F8" s="516" t="s">
        <v>280</v>
      </c>
      <c r="G8" s="517" t="s">
        <v>281</v>
      </c>
      <c r="H8" s="517" t="s">
        <v>282</v>
      </c>
      <c r="I8" s="516" t="s">
        <v>283</v>
      </c>
      <c r="J8" s="925"/>
      <c r="K8" s="518" t="s">
        <v>280</v>
      </c>
      <c r="L8" s="518" t="s">
        <v>281</v>
      </c>
      <c r="M8" s="928"/>
      <c r="N8" s="921"/>
    </row>
    <row r="9" spans="2:14" x14ac:dyDescent="0.3">
      <c r="B9" s="519"/>
      <c r="C9" s="520"/>
      <c r="D9" s="510"/>
      <c r="E9" s="520"/>
      <c r="F9" s="521"/>
      <c r="G9" s="522"/>
      <c r="H9" s="523"/>
      <c r="I9" s="523"/>
      <c r="J9" s="523"/>
      <c r="K9" s="524"/>
      <c r="L9" s="524"/>
      <c r="M9" s="524"/>
      <c r="N9" s="525"/>
    </row>
    <row r="10" spans="2:14" ht="45" x14ac:dyDescent="0.3">
      <c r="B10" s="526">
        <v>1</v>
      </c>
      <c r="C10" s="527" t="s">
        <v>284</v>
      </c>
      <c r="D10" s="528">
        <v>0.15</v>
      </c>
      <c r="E10" s="529">
        <v>18804.04</v>
      </c>
      <c r="F10" s="100">
        <f>ROUND(SUM(E19),0)</f>
        <v>0</v>
      </c>
      <c r="G10" s="529"/>
      <c r="H10" s="529">
        <v>0</v>
      </c>
      <c r="I10" s="529">
        <f>SUM(F25)</f>
        <v>0</v>
      </c>
      <c r="J10" s="529">
        <f t="shared" ref="J10:J11" si="0">SUM(E10:G10)-SUM(H10:I10)</f>
        <v>18804.04</v>
      </c>
      <c r="K10" s="524">
        <f>ROUND((SUM(E10:F10)-H10)*D10,0)</f>
        <v>2821</v>
      </c>
      <c r="L10" s="524">
        <f t="shared" ref="L10:L11" si="1">ROUND((G10-I10)*D10/2,0)</f>
        <v>0</v>
      </c>
      <c r="M10" s="524">
        <f t="shared" ref="M10:M11" si="2">SUM(K10:L10)</f>
        <v>2821</v>
      </c>
      <c r="N10" s="530">
        <f>J10-M10</f>
        <v>15983.04</v>
      </c>
    </row>
    <row r="11" spans="2:14" ht="30" x14ac:dyDescent="0.3">
      <c r="B11" s="526">
        <v>2</v>
      </c>
      <c r="C11" s="531" t="s">
        <v>285</v>
      </c>
      <c r="D11" s="528">
        <v>0.4</v>
      </c>
      <c r="E11" s="529">
        <f>63774.04</f>
        <v>63774.04</v>
      </c>
      <c r="F11" s="100">
        <f>ROUND(SUM(E18:E18),0)</f>
        <v>0</v>
      </c>
      <c r="G11" s="529"/>
      <c r="H11" s="529">
        <f>SUM(E24:E24)</f>
        <v>0</v>
      </c>
      <c r="I11" s="529">
        <f>SUM(F24:F24)</f>
        <v>0</v>
      </c>
      <c r="J11" s="529">
        <f t="shared" si="0"/>
        <v>63774.04</v>
      </c>
      <c r="K11" s="524">
        <f t="shared" ref="K11" si="3">ROUND((SUM(E11:F11)-H11)*D11,0)</f>
        <v>25510</v>
      </c>
      <c r="L11" s="524">
        <f t="shared" si="1"/>
        <v>0</v>
      </c>
      <c r="M11" s="524">
        <f t="shared" si="2"/>
        <v>25510</v>
      </c>
      <c r="N11" s="530">
        <f t="shared" ref="N11" si="4">J11-M11</f>
        <v>38264.04</v>
      </c>
    </row>
    <row r="12" spans="2:14" x14ac:dyDescent="0.3">
      <c r="B12" s="532"/>
      <c r="C12" s="533"/>
      <c r="D12" s="346"/>
      <c r="E12" s="529"/>
      <c r="G12" s="529"/>
      <c r="H12" s="529"/>
      <c r="I12" s="529"/>
      <c r="J12" s="529"/>
      <c r="K12" s="524"/>
      <c r="L12" s="524"/>
      <c r="M12" s="524"/>
      <c r="N12" s="530"/>
    </row>
    <row r="13" spans="2:14" ht="15.5" thickBot="1" x14ac:dyDescent="0.35">
      <c r="B13" s="534"/>
      <c r="C13" s="535" t="s">
        <v>97</v>
      </c>
      <c r="D13" s="536"/>
      <c r="E13" s="537">
        <f t="shared" ref="E13:N13" si="5">SUM(E10:E12)</f>
        <v>82578.080000000002</v>
      </c>
      <c r="F13" s="537">
        <f t="shared" si="5"/>
        <v>0</v>
      </c>
      <c r="G13" s="537">
        <f t="shared" si="5"/>
        <v>0</v>
      </c>
      <c r="H13" s="537">
        <f t="shared" si="5"/>
        <v>0</v>
      </c>
      <c r="I13" s="537">
        <f t="shared" si="5"/>
        <v>0</v>
      </c>
      <c r="J13" s="537">
        <f t="shared" si="5"/>
        <v>82578.080000000002</v>
      </c>
      <c r="K13" s="537">
        <f>SUM(K10:K12)</f>
        <v>28331</v>
      </c>
      <c r="L13" s="537">
        <f t="shared" si="5"/>
        <v>0</v>
      </c>
      <c r="M13" s="537">
        <f t="shared" si="5"/>
        <v>28331</v>
      </c>
      <c r="N13" s="538">
        <f t="shared" si="5"/>
        <v>54247.08</v>
      </c>
    </row>
    <row r="14" spans="2:14" x14ac:dyDescent="0.3">
      <c r="E14" s="345"/>
      <c r="F14" s="345"/>
    </row>
    <row r="15" spans="2:14" x14ac:dyDescent="0.3">
      <c r="C15" s="448" t="s">
        <v>545</v>
      </c>
    </row>
    <row r="16" spans="2:14" x14ac:dyDescent="0.3">
      <c r="C16" s="539" t="s">
        <v>246</v>
      </c>
      <c r="D16" s="540"/>
      <c r="E16" s="912" t="s">
        <v>277</v>
      </c>
      <c r="F16" s="913"/>
      <c r="G16" s="539" t="s">
        <v>97</v>
      </c>
    </row>
    <row r="17" spans="3:13" x14ac:dyDescent="0.3">
      <c r="C17" s="540"/>
      <c r="D17" s="540"/>
      <c r="E17" s="541" t="s">
        <v>286</v>
      </c>
      <c r="F17" s="542" t="s">
        <v>287</v>
      </c>
      <c r="G17" s="540"/>
    </row>
    <row r="18" spans="3:13" x14ac:dyDescent="0.3">
      <c r="C18" s="540" t="s">
        <v>288</v>
      </c>
      <c r="D18" s="543"/>
      <c r="E18" s="544"/>
      <c r="F18" s="544">
        <v>0</v>
      </c>
      <c r="G18" s="544">
        <f t="shared" ref="G18:G19" si="6">+E18+F18</f>
        <v>0</v>
      </c>
      <c r="J18" s="662"/>
      <c r="K18" s="662"/>
      <c r="L18" s="100"/>
      <c r="M18" s="100"/>
    </row>
    <row r="19" spans="3:13" x14ac:dyDescent="0.3">
      <c r="C19" s="540" t="s">
        <v>290</v>
      </c>
      <c r="D19" s="543"/>
      <c r="E19" s="544"/>
      <c r="F19" s="544">
        <v>0</v>
      </c>
      <c r="G19" s="544">
        <f t="shared" si="6"/>
        <v>0</v>
      </c>
      <c r="J19" s="100"/>
      <c r="M19" s="100"/>
    </row>
    <row r="20" spans="3:13" x14ac:dyDescent="0.3">
      <c r="C20" s="539" t="s">
        <v>97</v>
      </c>
      <c r="D20" s="545"/>
      <c r="E20" s="546">
        <f>SUM(E18:E19)</f>
        <v>0</v>
      </c>
      <c r="F20" s="546">
        <f>SUM(F18:F19)</f>
        <v>0</v>
      </c>
      <c r="G20" s="546">
        <f>SUM(G18:G19)</f>
        <v>0</v>
      </c>
    </row>
    <row r="21" spans="3:13" x14ac:dyDescent="0.3">
      <c r="C21" s="547"/>
      <c r="D21" s="548"/>
      <c r="E21" s="549"/>
      <c r="F21" s="549"/>
      <c r="G21" s="549"/>
    </row>
    <row r="22" spans="3:13" x14ac:dyDescent="0.3">
      <c r="C22" s="539" t="s">
        <v>246</v>
      </c>
      <c r="D22" s="539"/>
      <c r="E22" s="912" t="s">
        <v>289</v>
      </c>
      <c r="F22" s="913"/>
      <c r="G22" s="545" t="s">
        <v>97</v>
      </c>
    </row>
    <row r="23" spans="3:13" x14ac:dyDescent="0.3">
      <c r="C23" s="540"/>
      <c r="D23" s="540"/>
      <c r="E23" s="541" t="s">
        <v>286</v>
      </c>
      <c r="F23" s="542" t="s">
        <v>287</v>
      </c>
      <c r="G23" s="540"/>
    </row>
    <row r="24" spans="3:13" x14ac:dyDescent="0.3">
      <c r="C24" s="540" t="s">
        <v>288</v>
      </c>
      <c r="D24" s="543"/>
      <c r="E24" s="544">
        <v>0</v>
      </c>
      <c r="F24" s="544">
        <v>0</v>
      </c>
      <c r="G24" s="544">
        <f t="shared" ref="G24:G25" si="7">+E24+F24</f>
        <v>0</v>
      </c>
    </row>
    <row r="25" spans="3:13" x14ac:dyDescent="0.3">
      <c r="C25" s="540" t="s">
        <v>290</v>
      </c>
      <c r="D25" s="543"/>
      <c r="E25" s="544">
        <v>0</v>
      </c>
      <c r="F25" s="544">
        <v>0</v>
      </c>
      <c r="G25" s="544">
        <f t="shared" si="7"/>
        <v>0</v>
      </c>
    </row>
    <row r="26" spans="3:13" x14ac:dyDescent="0.3">
      <c r="C26" s="539" t="s">
        <v>97</v>
      </c>
      <c r="D26" s="545"/>
      <c r="E26" s="546">
        <f>SUM(E24:E25)</f>
        <v>0</v>
      </c>
      <c r="F26" s="546">
        <f>SUM(F24:F25)</f>
        <v>0</v>
      </c>
      <c r="G26" s="546">
        <f>SUM(G24:G25)</f>
        <v>0</v>
      </c>
    </row>
  </sheetData>
  <mergeCells count="12">
    <mergeCell ref="J7:J8"/>
    <mergeCell ref="K7:L7"/>
    <mergeCell ref="M7:M8"/>
    <mergeCell ref="N7:N8"/>
    <mergeCell ref="H7:I7"/>
    <mergeCell ref="E22:F22"/>
    <mergeCell ref="B7:B8"/>
    <mergeCell ref="C7:C8"/>
    <mergeCell ref="D7:D8"/>
    <mergeCell ref="E7:E8"/>
    <mergeCell ref="F7:G7"/>
    <mergeCell ref="E16:F16"/>
  </mergeCells>
  <pageMargins left="0.7" right="0.7" top="0.75" bottom="0.75" header="0.3" footer="0.3"/>
  <pageSetup paperSize="9" scale="73"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M74"/>
  <sheetViews>
    <sheetView showGridLines="0" zoomScale="85" zoomScaleNormal="85" zoomScaleSheetLayoutView="100" workbookViewId="0">
      <selection activeCell="H50" sqref="H50"/>
    </sheetView>
  </sheetViews>
  <sheetFormatPr defaultColWidth="9.453125" defaultRowHeight="15" x14ac:dyDescent="0.3"/>
  <cols>
    <col min="1" max="2" width="3.54296875" style="345" customWidth="1"/>
    <col min="3" max="3" width="37.81640625" style="345" customWidth="1"/>
    <col min="4" max="4" width="18" style="345" bestFit="1" customWidth="1"/>
    <col min="5" max="5" width="16.7265625" style="100" customWidth="1"/>
    <col min="6" max="6" width="14.81640625" style="100" customWidth="1"/>
    <col min="7" max="7" width="33" style="100" customWidth="1"/>
    <col min="8" max="8" width="18" style="345" customWidth="1"/>
    <col min="9" max="9" width="11" style="345" customWidth="1"/>
    <col min="10" max="10" width="17.1796875" style="345" customWidth="1"/>
    <col min="11" max="11" width="45.54296875" style="345" customWidth="1"/>
    <col min="12" max="28" width="15.54296875" style="345" customWidth="1"/>
    <col min="29" max="29" width="16.54296875" style="345" bestFit="1" customWidth="1"/>
    <col min="30" max="30" width="15.54296875" style="345" bestFit="1" customWidth="1"/>
    <col min="31" max="16384" width="9.453125" style="345"/>
  </cols>
  <sheetData>
    <row r="1" spans="2:9" ht="15.5" thickBot="1" x14ac:dyDescent="0.35"/>
    <row r="2" spans="2:9" x14ac:dyDescent="0.3">
      <c r="B2" s="550" t="s">
        <v>437</v>
      </c>
      <c r="C2" s="510"/>
      <c r="D2" s="510"/>
      <c r="E2" s="551" t="s">
        <v>332</v>
      </c>
      <c r="F2" s="552"/>
      <c r="G2" s="165"/>
    </row>
    <row r="3" spans="2:9" x14ac:dyDescent="0.3">
      <c r="B3" s="553" t="s">
        <v>438</v>
      </c>
      <c r="E3" s="832" t="s">
        <v>333</v>
      </c>
      <c r="F3" s="832"/>
      <c r="G3" s="833"/>
    </row>
    <row r="4" spans="2:9" x14ac:dyDescent="0.3">
      <c r="B4" s="553"/>
      <c r="E4" s="554" t="s">
        <v>334</v>
      </c>
      <c r="F4" s="555"/>
      <c r="G4" s="556"/>
    </row>
    <row r="5" spans="2:9" x14ac:dyDescent="0.3">
      <c r="B5" s="553" t="s">
        <v>315</v>
      </c>
      <c r="E5" s="557" t="s">
        <v>335</v>
      </c>
      <c r="G5" s="168"/>
    </row>
    <row r="6" spans="2:9" x14ac:dyDescent="0.3">
      <c r="B6" s="532"/>
      <c r="G6" s="168"/>
    </row>
    <row r="7" spans="2:9" x14ac:dyDescent="0.3">
      <c r="B7" s="558" t="s">
        <v>484</v>
      </c>
      <c r="C7" s="515"/>
      <c r="D7" s="515"/>
      <c r="E7" s="557" t="s">
        <v>439</v>
      </c>
      <c r="G7" s="168"/>
      <c r="H7" s="515"/>
      <c r="I7" s="515"/>
    </row>
    <row r="8" spans="2:9" x14ac:dyDescent="0.3">
      <c r="B8" s="558" t="s">
        <v>316</v>
      </c>
      <c r="C8" s="515"/>
      <c r="D8" s="515"/>
      <c r="E8" s="557" t="s">
        <v>483</v>
      </c>
      <c r="G8" s="168"/>
      <c r="H8" s="515"/>
      <c r="I8" s="515"/>
    </row>
    <row r="9" spans="2:9" ht="15.5" thickBot="1" x14ac:dyDescent="0.35">
      <c r="B9" s="559" t="s">
        <v>317</v>
      </c>
      <c r="C9" s="560"/>
      <c r="D9" s="560"/>
      <c r="E9" s="561">
        <v>44008</v>
      </c>
      <c r="F9" s="562"/>
      <c r="G9" s="184"/>
      <c r="H9" s="515"/>
      <c r="I9" s="515"/>
    </row>
    <row r="10" spans="2:9" ht="15.5" thickBot="1" x14ac:dyDescent="0.35">
      <c r="B10" s="558" t="s">
        <v>318</v>
      </c>
      <c r="C10" s="515"/>
      <c r="D10" s="515"/>
      <c r="E10" s="563" t="s">
        <v>418</v>
      </c>
      <c r="G10" s="168"/>
      <c r="H10" s="515"/>
      <c r="I10" s="515"/>
    </row>
    <row r="11" spans="2:9" x14ac:dyDescent="0.3">
      <c r="B11" s="519"/>
      <c r="C11" s="510"/>
      <c r="D11" s="510"/>
      <c r="E11" s="552"/>
      <c r="F11" s="552"/>
      <c r="G11" s="165"/>
    </row>
    <row r="12" spans="2:9" x14ac:dyDescent="0.3">
      <c r="B12" s="564" t="s">
        <v>319</v>
      </c>
      <c r="C12" s="448" t="s">
        <v>320</v>
      </c>
      <c r="D12" s="448"/>
      <c r="G12" s="168"/>
    </row>
    <row r="13" spans="2:9" x14ac:dyDescent="0.3">
      <c r="B13" s="565"/>
      <c r="G13" s="168"/>
    </row>
    <row r="14" spans="2:9" x14ac:dyDescent="0.3">
      <c r="B14" s="565"/>
      <c r="C14" s="345" t="s">
        <v>321</v>
      </c>
      <c r="F14" s="100">
        <f>ROUND('P&amp;L'!H29,0)</f>
        <v>17229</v>
      </c>
      <c r="G14" s="168"/>
    </row>
    <row r="15" spans="2:9" x14ac:dyDescent="0.3">
      <c r="B15" s="565"/>
      <c r="G15" s="168"/>
    </row>
    <row r="16" spans="2:9" x14ac:dyDescent="0.3">
      <c r="B16" s="565"/>
      <c r="C16" s="566" t="s">
        <v>322</v>
      </c>
      <c r="E16" s="100">
        <f>'P&amp;L'!H19</f>
        <v>25878</v>
      </c>
      <c r="G16" s="168"/>
      <c r="H16" s="474"/>
      <c r="I16" s="448"/>
    </row>
    <row r="17" spans="2:12" x14ac:dyDescent="0.3">
      <c r="B17" s="565"/>
      <c r="C17" s="480" t="s">
        <v>336</v>
      </c>
      <c r="D17" s="100"/>
      <c r="E17" s="100">
        <f>+'IT DEPRECIATION'!M13</f>
        <v>28331</v>
      </c>
      <c r="F17" s="100">
        <f>+E16-E17</f>
        <v>-2453</v>
      </c>
      <c r="G17" s="168"/>
      <c r="I17" s="100"/>
    </row>
    <row r="18" spans="2:12" x14ac:dyDescent="0.3">
      <c r="B18" s="565"/>
      <c r="F18" s="567"/>
      <c r="G18" s="168"/>
    </row>
    <row r="19" spans="2:12" x14ac:dyDescent="0.3">
      <c r="B19" s="565"/>
      <c r="F19" s="100">
        <f>SUM(F14:F17)</f>
        <v>14776</v>
      </c>
      <c r="G19" s="168"/>
      <c r="H19" s="448"/>
    </row>
    <row r="20" spans="2:12" x14ac:dyDescent="0.3">
      <c r="B20" s="565"/>
      <c r="C20" s="345" t="s">
        <v>337</v>
      </c>
      <c r="E20" s="100">
        <f>'14-22'!C18</f>
        <v>0</v>
      </c>
      <c r="G20" s="168"/>
    </row>
    <row r="21" spans="2:12" x14ac:dyDescent="0.3">
      <c r="B21" s="565"/>
      <c r="C21" s="345" t="s">
        <v>679</v>
      </c>
      <c r="E21" s="567">
        <f>-'14-22'!C68</f>
        <v>8556</v>
      </c>
      <c r="F21" s="100">
        <f>SUM(E20:E21)</f>
        <v>8556</v>
      </c>
      <c r="G21" s="168"/>
    </row>
    <row r="22" spans="2:12" x14ac:dyDescent="0.3">
      <c r="B22" s="565"/>
      <c r="G22" s="568">
        <f>SUM(F19:F21)</f>
        <v>23332</v>
      </c>
      <c r="H22" s="171"/>
      <c r="I22" s="171"/>
      <c r="J22" s="569"/>
      <c r="K22" s="171"/>
      <c r="L22" s="171"/>
    </row>
    <row r="23" spans="2:12" x14ac:dyDescent="0.3">
      <c r="B23" s="564" t="s">
        <v>323</v>
      </c>
      <c r="C23" s="448" t="s">
        <v>324</v>
      </c>
      <c r="D23" s="448"/>
      <c r="G23" s="168"/>
      <c r="L23" s="100"/>
    </row>
    <row r="24" spans="2:12" x14ac:dyDescent="0.3">
      <c r="B24" s="532"/>
      <c r="C24" s="345" t="s">
        <v>325</v>
      </c>
      <c r="F24" s="100">
        <f>+'14-22'!C18</f>
        <v>0</v>
      </c>
      <c r="G24" s="168"/>
      <c r="L24" s="100"/>
    </row>
    <row r="25" spans="2:12" x14ac:dyDescent="0.3">
      <c r="B25" s="532"/>
      <c r="C25" s="345" t="s">
        <v>326</v>
      </c>
      <c r="F25" s="100">
        <v>0</v>
      </c>
      <c r="G25" s="168"/>
      <c r="L25" s="100"/>
    </row>
    <row r="26" spans="2:12" x14ac:dyDescent="0.3">
      <c r="B26" s="532"/>
      <c r="F26" s="567"/>
      <c r="G26" s="168"/>
      <c r="L26" s="100"/>
    </row>
    <row r="27" spans="2:12" x14ac:dyDescent="0.3">
      <c r="B27" s="532"/>
      <c r="C27" s="448" t="s">
        <v>324</v>
      </c>
      <c r="G27" s="168">
        <f>SUM(F24:F26)</f>
        <v>0</v>
      </c>
      <c r="L27" s="100"/>
    </row>
    <row r="28" spans="2:12" x14ac:dyDescent="0.3">
      <c r="B28" s="532"/>
      <c r="G28" s="570"/>
    </row>
    <row r="29" spans="2:12" ht="15.5" thickBot="1" x14ac:dyDescent="0.35">
      <c r="B29" s="553"/>
      <c r="C29" s="448" t="s">
        <v>327</v>
      </c>
      <c r="D29" s="448"/>
      <c r="G29" s="571">
        <f>SUM(G12:G28)</f>
        <v>23332</v>
      </c>
      <c r="I29" s="585"/>
      <c r="J29" s="572"/>
      <c r="L29" s="100"/>
    </row>
    <row r="30" spans="2:12" ht="16" thickTop="1" thickBot="1" x14ac:dyDescent="0.35">
      <c r="B30" s="553"/>
      <c r="C30" s="448" t="s">
        <v>328</v>
      </c>
      <c r="D30" s="448"/>
      <c r="G30" s="573">
        <f>MROUND(G29,10)</f>
        <v>23330</v>
      </c>
      <c r="I30" s="585"/>
      <c r="J30" s="100"/>
    </row>
    <row r="31" spans="2:12" ht="15.5" thickTop="1" x14ac:dyDescent="0.3">
      <c r="B31" s="553"/>
      <c r="D31" s="448"/>
      <c r="G31" s="568"/>
      <c r="H31" s="514"/>
      <c r="I31" s="585"/>
      <c r="J31" s="100"/>
    </row>
    <row r="32" spans="2:12" x14ac:dyDescent="0.3">
      <c r="B32" s="553"/>
      <c r="D32" s="448"/>
      <c r="G32" s="568"/>
      <c r="H32" s="629"/>
    </row>
    <row r="33" spans="2:12" x14ac:dyDescent="0.3">
      <c r="B33" s="553"/>
      <c r="C33" s="448" t="s">
        <v>329</v>
      </c>
      <c r="D33" s="448"/>
      <c r="E33" s="345"/>
      <c r="G33" s="168">
        <f>ROUND(G30*22%,0)</f>
        <v>5133</v>
      </c>
      <c r="H33" s="324"/>
    </row>
    <row r="34" spans="2:12" x14ac:dyDescent="0.3">
      <c r="B34" s="553"/>
      <c r="E34" s="345"/>
      <c r="G34" s="574"/>
    </row>
    <row r="35" spans="2:12" x14ac:dyDescent="0.3">
      <c r="B35" s="553"/>
      <c r="E35" s="345"/>
      <c r="G35" s="574">
        <f>+G33</f>
        <v>5133</v>
      </c>
    </row>
    <row r="36" spans="2:12" x14ac:dyDescent="0.3">
      <c r="B36" s="553"/>
      <c r="C36" s="345" t="s">
        <v>330</v>
      </c>
      <c r="G36" s="574">
        <f>ROUND(G35*10%,0)</f>
        <v>513</v>
      </c>
      <c r="H36" s="323"/>
      <c r="I36" s="100"/>
    </row>
    <row r="37" spans="2:12" x14ac:dyDescent="0.3">
      <c r="B37" s="553"/>
      <c r="C37" s="345" t="s">
        <v>485</v>
      </c>
      <c r="G37" s="574">
        <f>ROUND((G35+G36)*4%,1)</f>
        <v>225.8</v>
      </c>
      <c r="H37" s="324"/>
    </row>
    <row r="38" spans="2:12" x14ac:dyDescent="0.3">
      <c r="B38" s="553"/>
      <c r="G38" s="575">
        <f>ROUND(SUM(G34:G37),0)</f>
        <v>5872</v>
      </c>
      <c r="H38" s="100"/>
    </row>
    <row r="39" spans="2:12" x14ac:dyDescent="0.3">
      <c r="B39" s="553"/>
      <c r="C39" s="345" t="s">
        <v>331</v>
      </c>
      <c r="G39" s="576">
        <f>TB!H63</f>
        <v>12912.95</v>
      </c>
    </row>
    <row r="40" spans="2:12" x14ac:dyDescent="0.3">
      <c r="B40" s="553"/>
      <c r="G40" s="577"/>
    </row>
    <row r="41" spans="2:12" x14ac:dyDescent="0.3">
      <c r="B41" s="553"/>
      <c r="C41" s="448" t="str">
        <f>IF(SUM(G41:G41)&lt;0,"Tax Refundable","Tax Payable")</f>
        <v>Tax Refundable</v>
      </c>
      <c r="D41" s="448"/>
      <c r="G41" s="576">
        <f>+G38-G39</f>
        <v>-7040.9500000000007</v>
      </c>
      <c r="J41" s="572"/>
      <c r="K41" s="100"/>
      <c r="L41" s="100"/>
    </row>
    <row r="42" spans="2:12" x14ac:dyDescent="0.3">
      <c r="B42" s="553"/>
      <c r="C42" s="448"/>
      <c r="D42" s="448"/>
      <c r="G42" s="576"/>
      <c r="J42" s="572"/>
      <c r="K42" s="100"/>
      <c r="L42" s="100"/>
    </row>
    <row r="43" spans="2:12" x14ac:dyDescent="0.3">
      <c r="B43" s="553"/>
      <c r="C43" s="345" t="s">
        <v>416</v>
      </c>
      <c r="D43" s="448"/>
      <c r="F43" s="100">
        <f>D63</f>
        <v>0</v>
      </c>
      <c r="G43" s="576"/>
      <c r="J43" s="572"/>
      <c r="K43" s="100"/>
      <c r="L43" s="100"/>
    </row>
    <row r="44" spans="2:12" x14ac:dyDescent="0.3">
      <c r="B44" s="553"/>
      <c r="C44" s="345" t="s">
        <v>417</v>
      </c>
      <c r="D44" s="448"/>
      <c r="F44" s="567">
        <f>J73</f>
        <v>0</v>
      </c>
      <c r="G44" s="576"/>
      <c r="J44" s="572"/>
      <c r="K44" s="100"/>
      <c r="L44" s="100"/>
    </row>
    <row r="45" spans="2:12" x14ac:dyDescent="0.3">
      <c r="B45" s="553"/>
      <c r="C45" s="448"/>
      <c r="D45" s="448"/>
      <c r="G45" s="578">
        <f>SUM(F43:F44)</f>
        <v>0</v>
      </c>
      <c r="J45" s="572"/>
      <c r="K45" s="100"/>
      <c r="L45" s="100"/>
    </row>
    <row r="46" spans="2:12" x14ac:dyDescent="0.3">
      <c r="B46" s="553"/>
      <c r="C46" s="448" t="s">
        <v>793</v>
      </c>
      <c r="D46" s="448"/>
      <c r="G46" s="576">
        <f>G41+G45</f>
        <v>-7040.9500000000007</v>
      </c>
      <c r="J46" s="572"/>
      <c r="K46" s="100"/>
      <c r="L46" s="100"/>
    </row>
    <row r="47" spans="2:12" x14ac:dyDescent="0.3">
      <c r="B47" s="553"/>
      <c r="C47" s="448"/>
      <c r="D47" s="448"/>
      <c r="G47" s="576"/>
      <c r="J47" s="572"/>
      <c r="K47" s="100"/>
      <c r="L47" s="100"/>
    </row>
    <row r="48" spans="2:12" ht="15.5" thickBot="1" x14ac:dyDescent="0.35">
      <c r="B48" s="553"/>
      <c r="C48" s="448" t="str">
        <f>IF(SUM(G40:G40)&lt;0,"Tax Refundable Rounded Off U/s 288B","Tax Refundable Rounded Off U/s 288B")</f>
        <v>Tax Refundable Rounded Off U/s 288B</v>
      </c>
      <c r="D48" s="448"/>
      <c r="G48" s="628">
        <f>-MAX(ROUND(G46,10))</f>
        <v>7040.95</v>
      </c>
      <c r="H48" s="323"/>
      <c r="I48" s="100"/>
    </row>
    <row r="49" spans="2:13" ht="16" thickTop="1" thickBot="1" x14ac:dyDescent="0.35">
      <c r="B49" s="579"/>
      <c r="C49" s="580"/>
      <c r="D49" s="580"/>
      <c r="E49" s="562"/>
      <c r="F49" s="562"/>
      <c r="G49" s="184"/>
    </row>
    <row r="50" spans="2:13" x14ac:dyDescent="0.3">
      <c r="K50" s="346"/>
      <c r="L50" s="346"/>
      <c r="M50" s="100"/>
    </row>
    <row r="53" spans="2:13" x14ac:dyDescent="0.3">
      <c r="C53" s="448" t="s">
        <v>403</v>
      </c>
      <c r="D53" s="572"/>
      <c r="G53" s="345"/>
    </row>
    <row r="54" spans="2:13" x14ac:dyDescent="0.3">
      <c r="D54" s="572"/>
      <c r="G54" s="345"/>
    </row>
    <row r="55" spans="2:13" x14ac:dyDescent="0.3">
      <c r="C55" s="337" t="s">
        <v>404</v>
      </c>
      <c r="D55" s="341">
        <f>G38</f>
        <v>5872</v>
      </c>
      <c r="G55" s="345"/>
    </row>
    <row r="56" spans="2:13" x14ac:dyDescent="0.3">
      <c r="C56" s="337" t="s">
        <v>405</v>
      </c>
      <c r="D56" s="341">
        <f>D55*90%</f>
        <v>5284.8</v>
      </c>
      <c r="G56" s="345"/>
    </row>
    <row r="57" spans="2:13" x14ac:dyDescent="0.3">
      <c r="C57" s="337" t="s">
        <v>406</v>
      </c>
      <c r="D57" s="341">
        <f>G39</f>
        <v>12912.95</v>
      </c>
      <c r="G57" s="345"/>
    </row>
    <row r="58" spans="2:13" x14ac:dyDescent="0.3">
      <c r="D58" s="100"/>
      <c r="G58" s="345"/>
    </row>
    <row r="59" spans="2:13" ht="15.5" thickBot="1" x14ac:dyDescent="0.35">
      <c r="C59" s="345" t="s">
        <v>407</v>
      </c>
      <c r="D59" s="581">
        <f>D55-D57</f>
        <v>-7040.9500000000007</v>
      </c>
      <c r="G59" s="345"/>
    </row>
    <row r="60" spans="2:13" ht="15.5" thickTop="1" x14ac:dyDescent="0.3">
      <c r="D60" s="572"/>
      <c r="G60" s="345"/>
    </row>
    <row r="61" spans="2:13" x14ac:dyDescent="0.3">
      <c r="C61" s="345" t="str">
        <f>IF(D57&gt;D56,"Since 90% of Tax Due has been paid, Section 234 B of Income Tax Act, 1956 has not been attracted.","Since 90% of Tax Due has not been paid Section ,234 B of the Income Tax Act, 1961 has been attracted.")</f>
        <v>Since 90% of Tax Due has been paid, Section 234 B of Income Tax Act, 1956 has not been attracted.</v>
      </c>
      <c r="D61" s="572"/>
      <c r="G61" s="345"/>
    </row>
    <row r="62" spans="2:13" x14ac:dyDescent="0.3">
      <c r="D62" s="572"/>
      <c r="G62" s="345"/>
    </row>
    <row r="63" spans="2:13" x14ac:dyDescent="0.3">
      <c r="C63" s="448" t="s">
        <v>408</v>
      </c>
      <c r="D63" s="309">
        <f>IF(D59&lt;0,0,ROUND(D59*1%*3,0))</f>
        <v>0</v>
      </c>
      <c r="G63" s="345"/>
    </row>
    <row r="64" spans="2:13" x14ac:dyDescent="0.3">
      <c r="D64" s="100"/>
      <c r="G64" s="345"/>
    </row>
    <row r="65" spans="3:10" x14ac:dyDescent="0.3">
      <c r="C65" s="448" t="s">
        <v>409</v>
      </c>
      <c r="D65" s="572"/>
      <c r="G65" s="345"/>
    </row>
    <row r="66" spans="3:10" x14ac:dyDescent="0.3">
      <c r="D66" s="572"/>
      <c r="G66" s="345"/>
    </row>
    <row r="67" spans="3:10" x14ac:dyDescent="0.3">
      <c r="C67" s="597" t="s">
        <v>410</v>
      </c>
      <c r="D67" s="598" t="s">
        <v>411</v>
      </c>
      <c r="E67" s="834" t="s">
        <v>412</v>
      </c>
      <c r="F67" s="834"/>
      <c r="G67" s="597" t="s">
        <v>413</v>
      </c>
      <c r="H67" s="518" t="s">
        <v>414</v>
      </c>
      <c r="I67" s="835" t="s">
        <v>415</v>
      </c>
      <c r="J67" s="835"/>
    </row>
    <row r="68" spans="3:10" x14ac:dyDescent="0.3">
      <c r="C68" s="600"/>
      <c r="D68" s="601"/>
      <c r="E68" s="599" t="s">
        <v>276</v>
      </c>
      <c r="F68" s="599" t="s">
        <v>79</v>
      </c>
      <c r="G68" s="597"/>
      <c r="H68" s="597"/>
      <c r="I68" s="597" t="s">
        <v>276</v>
      </c>
      <c r="J68" s="598" t="s">
        <v>79</v>
      </c>
    </row>
    <row r="69" spans="3:10" x14ac:dyDescent="0.3">
      <c r="C69" s="602">
        <v>45458</v>
      </c>
      <c r="D69" s="341">
        <f>G41</f>
        <v>-7040.9500000000007</v>
      </c>
      <c r="E69" s="603">
        <v>0.15</v>
      </c>
      <c r="F69" s="341">
        <f>ROUND(D69*E69,0)</f>
        <v>-1056</v>
      </c>
      <c r="G69" s="341">
        <f>E32</f>
        <v>0</v>
      </c>
      <c r="H69" s="341">
        <f>FLOOR(IF((F69-G69)&lt;=0,0,(F69-G69)),100)</f>
        <v>0</v>
      </c>
      <c r="I69" s="603">
        <v>0.03</v>
      </c>
      <c r="J69" s="341">
        <f>H69*I69</f>
        <v>0</v>
      </c>
    </row>
    <row r="70" spans="3:10" x14ac:dyDescent="0.3">
      <c r="C70" s="602">
        <v>45550</v>
      </c>
      <c r="D70" s="341">
        <f>G41</f>
        <v>-7040.9500000000007</v>
      </c>
      <c r="E70" s="603">
        <v>0.45</v>
      </c>
      <c r="F70" s="341">
        <f>ROUND(D70*E70,0)</f>
        <v>-3168</v>
      </c>
      <c r="G70" s="341">
        <f>E33+G69</f>
        <v>0</v>
      </c>
      <c r="H70" s="341">
        <f t="shared" ref="H70" si="0">FLOOR(IF((F70-G70)&lt;=0,0,(F70-G70)),100)</f>
        <v>0</v>
      </c>
      <c r="I70" s="603">
        <v>0.03</v>
      </c>
      <c r="J70" s="341">
        <f>H70*I70</f>
        <v>0</v>
      </c>
    </row>
    <row r="71" spans="3:10" x14ac:dyDescent="0.3">
      <c r="C71" s="602">
        <v>45641</v>
      </c>
      <c r="D71" s="341">
        <f>G41</f>
        <v>-7040.9500000000007</v>
      </c>
      <c r="E71" s="603">
        <v>0.75</v>
      </c>
      <c r="F71" s="341">
        <f>ROUND(D71*E71,0)</f>
        <v>-5281</v>
      </c>
      <c r="G71" s="341">
        <f>E34+G70</f>
        <v>0</v>
      </c>
      <c r="H71" s="341">
        <f>FLOOR(IF((F71-G71)&lt;=0,0,(F71-G71)),100)</f>
        <v>0</v>
      </c>
      <c r="I71" s="603">
        <v>0.03</v>
      </c>
      <c r="J71" s="341">
        <f>H71*I71</f>
        <v>0</v>
      </c>
    </row>
    <row r="72" spans="3:10" x14ac:dyDescent="0.3">
      <c r="C72" s="602">
        <v>45731</v>
      </c>
      <c r="D72" s="341">
        <f>G41</f>
        <v>-7040.9500000000007</v>
      </c>
      <c r="E72" s="603">
        <v>1</v>
      </c>
      <c r="F72" s="341">
        <f>ROUND(D72*E72,0)</f>
        <v>-7041</v>
      </c>
      <c r="G72" s="341">
        <f>E35+G71</f>
        <v>0</v>
      </c>
      <c r="H72" s="341">
        <f>FLOOR(IF((F72-G72)&lt;=0,0,(F72-G72)),100)</f>
        <v>0</v>
      </c>
      <c r="I72" s="603">
        <v>0.01</v>
      </c>
      <c r="J72" s="341">
        <f>H72*I72</f>
        <v>0</v>
      </c>
    </row>
    <row r="73" spans="3:10" x14ac:dyDescent="0.3">
      <c r="C73" s="337"/>
      <c r="D73" s="604"/>
      <c r="E73" s="341"/>
      <c r="F73" s="341"/>
      <c r="G73" s="337"/>
      <c r="H73" s="337"/>
      <c r="I73" s="337"/>
      <c r="J73" s="605">
        <f>SUM(J69:J72)</f>
        <v>0</v>
      </c>
    </row>
    <row r="74" spans="3:10" x14ac:dyDescent="0.3">
      <c r="D74" s="572"/>
      <c r="G74" s="345"/>
    </row>
  </sheetData>
  <mergeCells count="3">
    <mergeCell ref="E3:G3"/>
    <mergeCell ref="E67:F67"/>
    <mergeCell ref="I67:J67"/>
  </mergeCells>
  <pageMargins left="0.15748031496062992" right="0.11811023622047245" top="0.35433070866141736" bottom="0.31496062992125984" header="0.31496062992125984" footer="0.31496062992125984"/>
  <pageSetup paperSize="9" scale="75" orientation="portrait" horizontalDpi="4294967293"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F4"/>
  <sheetViews>
    <sheetView workbookViewId="0"/>
  </sheetViews>
  <sheetFormatPr defaultRowHeight="14.5" x14ac:dyDescent="0.35"/>
  <cols>
    <col min="6" max="6" width="10" bestFit="1" customWidth="1"/>
    <col min="8" max="8" width="12.26953125" bestFit="1" customWidth="1"/>
  </cols>
  <sheetData>
    <row r="4" spans="6:6" x14ac:dyDescent="0.35">
      <c r="F4"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549CAC2-145E-4A85-AA5B-346BF46755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5</vt:i4>
      </vt:variant>
    </vt:vector>
  </HeadingPairs>
  <TitlesOfParts>
    <vt:vector size="24" baseType="lpstr">
      <vt:lpstr>Relief</vt:lpstr>
      <vt:lpstr>Income (2)</vt:lpstr>
      <vt:lpstr>TDS</vt:lpstr>
      <vt:lpstr>Exp</vt:lpstr>
      <vt:lpstr>Sheet1</vt:lpstr>
      <vt:lpstr>TB</vt:lpstr>
      <vt:lpstr>BS</vt:lpstr>
      <vt:lpstr>P&amp;L</vt:lpstr>
      <vt:lpstr>3-8</vt:lpstr>
      <vt:lpstr>9</vt:lpstr>
      <vt:lpstr>10-13</vt:lpstr>
      <vt:lpstr>14-22</vt:lpstr>
      <vt:lpstr>22-26</vt:lpstr>
      <vt:lpstr>Ratio Analysis</vt:lpstr>
      <vt:lpstr>Ratio Workings</vt:lpstr>
      <vt:lpstr>Deferred Tax</vt:lpstr>
      <vt:lpstr>IT DEPRECIATION</vt:lpstr>
      <vt:lpstr>IT computation</vt:lpstr>
      <vt:lpstr>Depreciation</vt:lpstr>
      <vt:lpstr>'9'!Print_Area</vt:lpstr>
      <vt:lpstr>'Deferred Tax'!Print_Area</vt:lpstr>
      <vt:lpstr>'IT computation'!Print_Area</vt:lpstr>
      <vt:lpstr>'IT DEPRECIATION'!Print_Area</vt:lpstr>
      <vt:lpstr>'Ratio Analysis'!Print_Area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Akshayam Mathangee</cp:lastModifiedBy>
  <cp:lastPrinted>2026-06-01T09:01:16Z</cp:lastPrinted>
  <dcterms:created xsi:type="dcterms:W3CDTF">2014-06-26T10:15:11Z</dcterms:created>
  <dcterms:modified xsi:type="dcterms:W3CDTF">2026-09-04T09:56:42Z</dcterms:modified>
</cp:coreProperties>
</file>