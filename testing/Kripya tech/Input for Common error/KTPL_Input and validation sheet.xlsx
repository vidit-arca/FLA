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Z:\corporate laws\Kripya Technologies\2026-27\All other correspondence\"/>
    </mc:Choice>
  </mc:AlternateContent>
  <xr:revisionPtr revIDLastSave="0" documentId="13_ncr:1_{23AE2E93-2F49-4C93-85D5-56522F35D53F}" xr6:coauthVersionLast="47" xr6:coauthVersionMax="47" xr10:uidLastSave="{00000000-0000-0000-0000-000000000000}"/>
  <bookViews>
    <workbookView xWindow="-108" yWindow="-108" windowWidth="23256" windowHeight="12456" activeTab="7" xr2:uid="{BE80E396-781E-4F33-9E7C-D4ABFAF474DE}"/>
  </bookViews>
  <sheets>
    <sheet name="MASTER DATA" sheetId="1" r:id="rId1"/>
    <sheet name="INDEX OF CHARGES" sheetId="2" r:id="rId2"/>
    <sheet name="View Signatory details" sheetId="3" r:id="rId3"/>
    <sheet name="DIN Details" sheetId="4" r:id="rId4"/>
    <sheet name="DIN Approval Status" sheetId="5" r:id="rId5"/>
    <sheet name="VPD" sheetId="6" r:id="rId6"/>
    <sheet name="List of forms filed" sheetId="7" r:id="rId7"/>
    <sheet name="Meeting Control Sheet" sheetId="8" r:id="rId8"/>
    <sheet name="BM Control Sheet" sheetId="9" r:id="rId9"/>
    <sheet name="MGT 7 Validation sheet" sheetId="12" r:id="rId10"/>
    <sheet name="ADT 1" sheetId="13" r:id="rId11"/>
    <sheet name="DIR 12" sheetId="14"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28" i="8" l="1"/>
  <c r="E27" i="8"/>
  <c r="E26" i="8"/>
  <c r="E25" i="8"/>
  <c r="E24" i="8"/>
  <c r="H3" i="14"/>
  <c r="C12" i="7"/>
  <c r="C10" i="7"/>
  <c r="C8" i="7"/>
  <c r="C7" i="7"/>
  <c r="C6" i="7"/>
  <c r="C5" i="7"/>
</calcChain>
</file>

<file path=xl/sharedStrings.xml><?xml version="1.0" encoding="utf-8"?>
<sst xmlns="http://schemas.openxmlformats.org/spreadsheetml/2006/main" count="777" uniqueCount="354">
  <si>
    <t>Company Information</t>
  </si>
  <si>
    <t>CIN</t>
  </si>
  <si>
    <t>U62011TN2010PTC078513</t>
  </si>
  <si>
    <t>Company Name</t>
  </si>
  <si>
    <t>KRIPYA TECHNOLOGIES PRIVATE LIMITED</t>
  </si>
  <si>
    <t>ROC Name</t>
  </si>
  <si>
    <t>ROC Chennai</t>
  </si>
  <si>
    <t>Registration Number</t>
  </si>
  <si>
    <t>078513</t>
  </si>
  <si>
    <t>Date of Incorporation</t>
  </si>
  <si>
    <t>22/12/2010</t>
  </si>
  <si>
    <t>Email Id</t>
  </si>
  <si>
    <t>solar[at]kripya[dot]com</t>
  </si>
  <si>
    <t>Registered Address</t>
  </si>
  <si>
    <t>KGN Towers, B Wing, 3rd Floor, New No.62, Ethiraj Salai, Chennai, Egmore Nungambakka, Tamil Nadu, India, 600008</t>
  </si>
  <si>
    <t>Address at which the books of account are to be maintained</t>
  </si>
  <si>
    <t>-</t>
  </si>
  <si>
    <t>Listed in Stock Exchange(s) (Y/N)</t>
  </si>
  <si>
    <t>No</t>
  </si>
  <si>
    <t>Category of Company</t>
  </si>
  <si>
    <t>Company limited by shares</t>
  </si>
  <si>
    <t>Subcategory of the Company</t>
  </si>
  <si>
    <t>Non-government company</t>
  </si>
  <si>
    <t>Class of Company</t>
  </si>
  <si>
    <t>Private</t>
  </si>
  <si>
    <t>ACTIVE compliance</t>
  </si>
  <si>
    <t>ACTIVE Compliant</t>
  </si>
  <si>
    <t>Authorised Capital (Rs)</t>
  </si>
  <si>
    <t>10,00,000</t>
  </si>
  <si>
    <t>Paid up Capital (Rs)</t>
  </si>
  <si>
    <t>5,11,600</t>
  </si>
  <si>
    <t>Date of last AGM</t>
  </si>
  <si>
    <t>24/09/2025</t>
  </si>
  <si>
    <t>Date of Balance Sheet</t>
  </si>
  <si>
    <t>31/03/2025</t>
  </si>
  <si>
    <t>Company Status</t>
  </si>
  <si>
    <t>Active</t>
  </si>
  <si>
    <t>Small Company</t>
  </si>
  <si>
    <t>Jurisdiction</t>
  </si>
  <si>
    <t>ROC (name and office)</t>
  </si>
  <si>
    <t>RD (name and Region)</t>
  </si>
  <si>
    <t>RD Chennai, Southern Region Directorate</t>
  </si>
  <si>
    <t>No Records found</t>
  </si>
  <si>
    <t>Sr. No</t>
  </si>
  <si>
    <t>Director/SignatoryDetails</t>
  </si>
  <si>
    <t>DIN/PAN</t>
  </si>
  <si>
    <t>Name</t>
  </si>
  <si>
    <t>Designation</t>
  </si>
  <si>
    <t>Category</t>
  </si>
  <si>
    <t>Date of Appointment</t>
  </si>
  <si>
    <t>Cessation Date</t>
  </si>
  <si>
    <t>Signatory</t>
  </si>
  <si>
    <t>1</t>
  </si>
  <si>
    <t>01278549</t>
  </si>
  <si>
    <t>VILAKKUDI G VEERARAGHAVAN</t>
  </si>
  <si>
    <t>Director</t>
  </si>
  <si>
    <t>Professional</t>
  </si>
  <si>
    <t>Yes</t>
  </si>
  <si>
    <t>2</t>
  </si>
  <si>
    <t>00650290</t>
  </si>
  <si>
    <t>RAMASWAMY GOPALASWAMY</t>
  </si>
  <si>
    <t>3</t>
  </si>
  <si>
    <t>00800925</t>
  </si>
  <si>
    <t>SRINIVASAN MADHAVAN</t>
  </si>
  <si>
    <t>Additional Director</t>
  </si>
  <si>
    <t>26/03/2026</t>
  </si>
  <si>
    <t>Directors/Designated Partner</t>
  </si>
  <si>
    <t>Details</t>
  </si>
  <si>
    <t>DIN/DPIN</t>
  </si>
  <si>
    <t>Name of Director/Designated Partner</t>
  </si>
  <si>
    <t/>
  </si>
  <si>
    <t>List of Associated Companies</t>
  </si>
  <si>
    <t>CIN/FCRN</t>
  </si>
  <si>
    <t>Original Date of appointment</t>
  </si>
  <si>
    <t>Date of Appointment at Current Designation</t>
  </si>
  <si>
    <t>Date of cessation (if applicable)</t>
  </si>
  <si>
    <t>U72501TN2006PTC061013</t>
  </si>
  <si>
    <t>KRIPYA SOLUTIONS PRIVATE LIMITED</t>
  </si>
  <si>
    <t>Independent</t>
  </si>
  <si>
    <t>18/09/2006</t>
  </si>
  <si>
    <t>21/03/2025</t>
  </si>
  <si>
    <t>20/03/2025</t>
  </si>
  <si>
    <t>List of Associated LLPs</t>
  </si>
  <si>
    <t>LLPIN</t>
  </si>
  <si>
    <t>LLP Name</t>
  </si>
  <si>
    <t>LLP Status</t>
  </si>
  <si>
    <t>No data available</t>
  </si>
  <si>
    <t>RAMASWAMY  GOPALASWAMY</t>
  </si>
  <si>
    <t>Promoter</t>
  </si>
  <si>
    <t>04/09/2006</t>
  </si>
  <si>
    <t>SRINIVASAN  MADHAVAN</t>
  </si>
  <si>
    <t>U72900TN2008PTC067570</t>
  </si>
  <si>
    <t>GREEN QUOTIENT SYSTEMS PRIVATE LIMITED</t>
  </si>
  <si>
    <t>Strike Off</t>
  </si>
  <si>
    <t>01/08/2008</t>
  </si>
  <si>
    <t>31/03/2017</t>
  </si>
  <si>
    <t>15/04/2021</t>
  </si>
  <si>
    <t>01/04/2026</t>
  </si>
  <si>
    <t>4</t>
  </si>
  <si>
    <t>Managing Director</t>
  </si>
  <si>
    <t>21/07/2022</t>
  </si>
  <si>
    <t>31/03/2026</t>
  </si>
  <si>
    <t>5</t>
  </si>
  <si>
    <t>CEO</t>
  </si>
  <si>
    <t>30/08/2024</t>
  </si>
  <si>
    <t>6</t>
  </si>
  <si>
    <t>28/09/2009</t>
  </si>
  <si>
    <t>7</t>
  </si>
  <si>
    <t>U29309TN1991PTC020805</t>
  </si>
  <si>
    <t>ACQUEON TECHNOLOGIES PRIVATE LIMITED</t>
  </si>
  <si>
    <t>10/12/2007</t>
  </si>
  <si>
    <t>13/01/2015</t>
  </si>
  <si>
    <t>8</t>
  </si>
  <si>
    <t>Whole-time director</t>
  </si>
  <si>
    <t>01/10/1996</t>
  </si>
  <si>
    <t>9</t>
  </si>
  <si>
    <t>01/07/2014</t>
  </si>
  <si>
    <t>10</t>
  </si>
  <si>
    <t>01/10/2021</t>
  </si>
  <si>
    <t>11</t>
  </si>
  <si>
    <t>30/09/2021</t>
  </si>
  <si>
    <t>12</t>
  </si>
  <si>
    <t>U72900TN2014PTC094975</t>
  </si>
  <si>
    <t>XEBIA NDS INDIA PRIVATE LIMITED</t>
  </si>
  <si>
    <t>04/02/2019</t>
  </si>
  <si>
    <t>16/07/2019</t>
  </si>
  <si>
    <t>13</t>
  </si>
  <si>
    <t>14</t>
  </si>
  <si>
    <t>29/09/2009</t>
  </si>
  <si>
    <t>15</t>
  </si>
  <si>
    <t>U72900TN2011PTC081122</t>
  </si>
  <si>
    <t>HAKUNA MATATA SOLUTIONS PRIVATE LIMITED</t>
  </si>
  <si>
    <t>08/01/2020</t>
  </si>
  <si>
    <t>19/01/2022</t>
  </si>
  <si>
    <t>AAA-7612</t>
  </si>
  <si>
    <t>GREEN ECOSPECIALISTS LLP</t>
  </si>
  <si>
    <t>Designated Partner</t>
  </si>
  <si>
    <t>28/01/2014</t>
  </si>
  <si>
    <t>Partner</t>
  </si>
  <si>
    <t>12/01/2012</t>
  </si>
  <si>
    <t>18/12/2013</t>
  </si>
  <si>
    <t>19/12/2013</t>
  </si>
  <si>
    <t>DIN Details</t>
  </si>
  <si>
    <t>DIN</t>
  </si>
  <si>
    <t>Director Name</t>
  </si>
  <si>
    <t>DIN Status</t>
  </si>
  <si>
    <t>Approved</t>
  </si>
  <si>
    <t>Director of ACTIVE non-compliant company</t>
  </si>
  <si>
    <t>Date of Approval (if DIN status is active)</t>
  </si>
  <si>
    <t>V2</t>
  </si>
  <si>
    <t>V3</t>
  </si>
  <si>
    <t>Certificates</t>
  </si>
  <si>
    <t>Change in Directors:</t>
  </si>
  <si>
    <t>Incorporation Doc:</t>
  </si>
  <si>
    <t>NIL</t>
  </si>
  <si>
    <t>Charge Doc</t>
  </si>
  <si>
    <t>Annual Return and Eform Documents</t>
  </si>
  <si>
    <t>Other Eform Doc:</t>
  </si>
  <si>
    <t>List of forms filed</t>
  </si>
  <si>
    <t>S. NO</t>
  </si>
  <si>
    <t>FORM NO</t>
  </si>
  <si>
    <t>Due Date</t>
  </si>
  <si>
    <t>SRN date/Date of filing</t>
  </si>
  <si>
    <t>SRN</t>
  </si>
  <si>
    <t>Delay</t>
  </si>
  <si>
    <t>Particulars</t>
  </si>
  <si>
    <t>Minutes Item /resolution no.</t>
  </si>
  <si>
    <t>BM Date</t>
  </si>
  <si>
    <t>AGM/EGM</t>
  </si>
  <si>
    <t>Authorisation resolution number</t>
  </si>
  <si>
    <t>Authority Resolution date</t>
  </si>
  <si>
    <t>Dir 3 Kyc</t>
  </si>
  <si>
    <t>Ramamoorthy Srinivasan</t>
  </si>
  <si>
    <t xml:space="preserve">Dir 12 - </t>
  </si>
  <si>
    <t>AB3505532</t>
  </si>
  <si>
    <t>Change in designation</t>
  </si>
  <si>
    <t>Na</t>
  </si>
  <si>
    <t xml:space="preserve">Dir 12 </t>
  </si>
  <si>
    <t>AB3500321</t>
  </si>
  <si>
    <t>Appt of Ramamoorthy and resgn of Venkatesh</t>
  </si>
  <si>
    <t>NA</t>
  </si>
  <si>
    <t>3, 9</t>
  </si>
  <si>
    <t xml:space="preserve">Mgt 14 - </t>
  </si>
  <si>
    <t>AB3869137</t>
  </si>
  <si>
    <t>Change in name</t>
  </si>
  <si>
    <t>AB3866483</t>
  </si>
  <si>
    <t>Change in object clause</t>
  </si>
  <si>
    <t>Inc 24</t>
  </si>
  <si>
    <t>AB3870717</t>
  </si>
  <si>
    <t>Mgt 14 -</t>
  </si>
  <si>
    <t>AB3863146</t>
  </si>
  <si>
    <t xml:space="preserve"> Alteration of AOA</t>
  </si>
  <si>
    <t>Inc 22</t>
  </si>
  <si>
    <t>AB4067536</t>
  </si>
  <si>
    <t>Change in RO</t>
  </si>
  <si>
    <t>Gnl 2</t>
  </si>
  <si>
    <t>AB4107749</t>
  </si>
  <si>
    <t>Dpt 3</t>
  </si>
  <si>
    <t>AB4694876</t>
  </si>
  <si>
    <t>Deposit return</t>
  </si>
  <si>
    <t>Mgt 6</t>
  </si>
  <si>
    <t>AB5261688</t>
  </si>
  <si>
    <t xml:space="preserve">Beneficial interest in shares </t>
  </si>
  <si>
    <t>Dir 12</t>
  </si>
  <si>
    <t>AB8111812</t>
  </si>
  <si>
    <t>Regularisation of director</t>
  </si>
  <si>
    <t>Aoc 4</t>
  </si>
  <si>
    <t>AB8051017</t>
  </si>
  <si>
    <t>Financials</t>
  </si>
  <si>
    <t>Mgt 7</t>
  </si>
  <si>
    <t>AB8414920</t>
  </si>
  <si>
    <t xml:space="preserve">Annual return </t>
  </si>
  <si>
    <t>AOA verification – 2025</t>
  </si>
  <si>
    <t>Applicability (Yes or No)</t>
  </si>
  <si>
    <t>a) Explanatory statement</t>
  </si>
  <si>
    <t>b) Short notice</t>
  </si>
  <si>
    <t>c) Retirement by rotation</t>
  </si>
  <si>
    <t xml:space="preserve">AGM Notice with Explanatory statement </t>
  </si>
  <si>
    <t>To check whether the following to be included in AGM notice</t>
  </si>
  <si>
    <t>Cost Auditor appointment</t>
  </si>
  <si>
    <t>WTD appointment  - if company has MD/ED/WTD – to appoint for 3 years</t>
  </si>
  <si>
    <t>RPT(188)</t>
  </si>
  <si>
    <t>Loan and investment by Company (186)</t>
  </si>
  <si>
    <t>Omnibus approval under 180 (1)(a) and 180(1)(c)</t>
  </si>
  <si>
    <t>Loan to Directors - Approval from Shareholders under S 185</t>
  </si>
  <si>
    <t>Whether any director crossed 70 years of age?</t>
  </si>
  <si>
    <t xml:space="preserve"> If so, Special resolution passed &amp; MGT 14 filed? If so, task created for MGT 14</t>
  </si>
  <si>
    <t>2025-26</t>
  </si>
  <si>
    <t xml:space="preserve">Board Meeting </t>
  </si>
  <si>
    <t>Date</t>
  </si>
  <si>
    <t xml:space="preserve">Gap </t>
  </si>
  <si>
    <t>Notice/Agenda</t>
  </si>
  <si>
    <t>Attendance</t>
  </si>
  <si>
    <t>POD Notice</t>
  </si>
  <si>
    <t>POD Draft Minutes</t>
  </si>
  <si>
    <t>POD Signed Minutes</t>
  </si>
  <si>
    <t>Signed Minutes</t>
  </si>
  <si>
    <t>01</t>
  </si>
  <si>
    <t>02</t>
  </si>
  <si>
    <t>03</t>
  </si>
  <si>
    <t>04</t>
  </si>
  <si>
    <t>05</t>
  </si>
  <si>
    <t>available</t>
  </si>
  <si>
    <t>unavailable</t>
  </si>
  <si>
    <t>General Meeting</t>
  </si>
  <si>
    <t>Notice</t>
  </si>
  <si>
    <t>Minutes</t>
  </si>
  <si>
    <t>AGM</t>
  </si>
  <si>
    <t>EGM</t>
  </si>
  <si>
    <t>Sl. No</t>
  </si>
  <si>
    <t>TOTAL</t>
  </si>
  <si>
    <t>IX (D)</t>
  </si>
  <si>
    <t>IX(B)</t>
  </si>
  <si>
    <t>RAMAMOORTHY SRINIVASAN</t>
  </si>
  <si>
    <t>MEETING DATES</t>
  </si>
  <si>
    <t>No. of meetings a director is entitled to attend</t>
  </si>
  <si>
    <t>Date of appointment</t>
  </si>
  <si>
    <t xml:space="preserve">No. of directors Entitled to attend BM </t>
  </si>
  <si>
    <t>S.No</t>
  </si>
  <si>
    <t>Particulars to check</t>
  </si>
  <si>
    <t>Yes/No/NA</t>
  </si>
  <si>
    <t>Remarks (with documents verfied for the same)</t>
  </si>
  <si>
    <t xml:space="preserve">Its status under the Act; </t>
  </si>
  <si>
    <t xml:space="preserve">Maintenance of registers/records &amp; making entries therein within the time prescribed thereof; </t>
  </si>
  <si>
    <t xml:space="preserve">Filing of forms and returns as stated in the annual return, with the Registrar of Companies, Regional Director, Central Government, the Tribunal, Court or other authorities within and beyond the prescribed time; </t>
  </si>
  <si>
    <t xml:space="preserve">Calling/ convening/ holding meetings of Board of Directors or its committees, if any, and the meetings of the members of the company on due dates as stated in the annual return in respect of which meetings, proper notices were given and the proceedings including the circular resolutions and resolutions passed by postal ballot, if any, have been properly recorded in the Minute Book/registers maintained for the purpose and the same have been signed; </t>
  </si>
  <si>
    <t xml:space="preserve">Closure of Register of Members / Security holders, as the case may be. </t>
  </si>
  <si>
    <t xml:space="preserve">advances/loans to its directors and/or persons or firms or companies referred in section 185 of the Act; </t>
  </si>
  <si>
    <t xml:space="preserve">contracts/arrangements with related parties as specified in section 188 of the Act,; </t>
  </si>
  <si>
    <t xml:space="preserve">Issue or allotment or transfer or transmission or buy back of securities/ redemption of preference shares or debentures/ alteration or reduction of share capital/ conversion of shares/ securities and issue of security certificates in all instances; </t>
  </si>
  <si>
    <t xml:space="preserve">Keeping in abeyance the rights to dividend, rights shares and bonus shares pending registration of transfer of shares in compliance with the provisions of the Act </t>
  </si>
  <si>
    <t xml:space="preserve">Declaration/ payment of dividend; transfer of unpaid/ unclaimed dividend/other amounts as applicable to the Investor Education and Protection Fund in accordance with section 125 of the Act; </t>
  </si>
  <si>
    <t xml:space="preserve">signing of audited financial statement as per the provisions of section 134 of the Act and report of directors is as per sub - sections (3), (4) and (5) thereof; </t>
  </si>
  <si>
    <t xml:space="preserve">Constitution/ appointment/ re-appointments/ retirement/ filling up casual vacancies/ disclosures of the Directors, Key Managerial Personnel and the remuneration paid to them; </t>
  </si>
  <si>
    <t xml:space="preserve">Appointment/ reappointment/ filling up casual vacancies of auditors as per the provisions of section 139 of the Act; </t>
  </si>
  <si>
    <t>Approvals required to be taken from the Central Government, Tribunal, Regional Director, Registrar, Court or such other authorities under the various provisions of the Act;</t>
  </si>
  <si>
    <t xml:space="preserve">Acceptance/ renewal/ repayment of deposits; </t>
  </si>
  <si>
    <t xml:space="preserve">Borrowings from its directors, members, public financial institutions, banks and others and creation/ modification/ satisfaction of charges in that respect, wherever applicable; </t>
  </si>
  <si>
    <t xml:space="preserve">Loans and investments or guarantees given or providing of securities to other bodies corporate or persons falling under the provisions of section 186 of the Act ; </t>
  </si>
  <si>
    <t xml:space="preserve">Alteration of the provisions of the Memorandum and/ or Articles of Association of the Company; </t>
  </si>
  <si>
    <t>In case of Public company whether MGT 14 for Accounts Approval is filed</t>
  </si>
  <si>
    <t>Whether a KMP (CS) is appointed under Sec 203 of the Co Act</t>
  </si>
  <si>
    <t>Whether DPT 3 is filed for return of deposi and also for items that are not considered as deposit</t>
  </si>
  <si>
    <t xml:space="preserve">Whether MSME form 1 is filed for all outstanding dues to Micro or small enterprises suppliers which are more than 45 days </t>
  </si>
  <si>
    <t>Whether all the directors are qualified (i.e. the DIN Status is Approved)</t>
  </si>
  <si>
    <t>In case of Listed Co and Material Subsidiary of Public Company, whether a separate report is submitted to SEBI</t>
  </si>
  <si>
    <t>In case of Listed Co , whether all the secretarial complainces are complied with SEBI</t>
  </si>
  <si>
    <t>Does the company have a ECS. If yes then whether they have affixed signature</t>
  </si>
  <si>
    <t xml:space="preserve">Is MGT 7 to be certified by PCS. If yes, whether UDIN generated </t>
  </si>
  <si>
    <t>Paste folder link</t>
  </si>
  <si>
    <t>FY 2020-21</t>
  </si>
  <si>
    <t>FY 2021-22</t>
  </si>
  <si>
    <t>Folio</t>
  </si>
  <si>
    <t>Name of Shareholders</t>
  </si>
  <si>
    <t>Share Certificate</t>
  </si>
  <si>
    <t>Statutory Register entry</t>
  </si>
  <si>
    <t>No of Shares</t>
  </si>
  <si>
    <t>%</t>
  </si>
  <si>
    <t>ADT 1</t>
  </si>
  <si>
    <t>NAME OF THE COMPANY</t>
  </si>
  <si>
    <t>NAME OF THE AUDITOR/FIRM</t>
  </si>
  <si>
    <t>FIRM REGISTRATION NUMBER</t>
  </si>
  <si>
    <t>DATE OF APPOINTMENT</t>
  </si>
  <si>
    <t>TENURE</t>
  </si>
  <si>
    <t xml:space="preserve">NEXT APPOINTMENT IN THE AGM OF </t>
  </si>
  <si>
    <t xml:space="preserve">SRN </t>
  </si>
  <si>
    <t xml:space="preserve">Whether ADT 1 list is updated </t>
  </si>
  <si>
    <t>Name of Director</t>
  </si>
  <si>
    <t>Status of Promoter/Professional, ED/NED</t>
  </si>
  <si>
    <t>Regularisation as ED for 3 years</t>
  </si>
  <si>
    <t xml:space="preserve">Whether Board resolution passed for MD reappointment &amp; MGT 14 is filed? </t>
  </si>
  <si>
    <t>Date of Birth</t>
  </si>
  <si>
    <t>Age</t>
  </si>
  <si>
    <t>If above 70 years, whether a Special resolution is passed &amp; MGT 14 is filed?</t>
  </si>
  <si>
    <t>Whether DIR 12 list is updated</t>
  </si>
  <si>
    <t>Sl.no</t>
  </si>
  <si>
    <t>Name of the form</t>
  </si>
  <si>
    <t>INC-33 eMOA</t>
  </si>
  <si>
    <t>INC-34 e-AOA</t>
  </si>
  <si>
    <t>Certificate of Incorporation pursuant to change of name</t>
  </si>
  <si>
    <t>Certificate of registration of the Special Resolution confirming alteration of object clause(s)</t>
  </si>
  <si>
    <t>Form AOC-4</t>
  </si>
  <si>
    <t>Form MGT-7</t>
  </si>
  <si>
    <t>Form INC-24</t>
  </si>
  <si>
    <t>Form MGT-14</t>
  </si>
  <si>
    <t>Form DPT-3</t>
  </si>
  <si>
    <t>Form MGT-6</t>
  </si>
  <si>
    <t>Form INC-22</t>
  </si>
  <si>
    <t xml:space="preserve">DIR 12 </t>
  </si>
  <si>
    <t>AC2955607</t>
  </si>
  <si>
    <t xml:space="preserve">No </t>
  </si>
  <si>
    <t>Cessation of Ramamoorthy Srinivasan</t>
  </si>
  <si>
    <t>8A</t>
  </si>
  <si>
    <t>AC3149929</t>
  </si>
  <si>
    <t xml:space="preserve">Appointment of Madhavan Srinivasan as Additional Director </t>
  </si>
  <si>
    <t>8B</t>
  </si>
  <si>
    <t>Yes - Madhavan Srinivasan</t>
  </si>
  <si>
    <t xml:space="preserve">NA </t>
  </si>
  <si>
    <t xml:space="preserve">Included - First meeting of the quarter </t>
  </si>
  <si>
    <t xml:space="preserve">To be confirmed upon receipt of financials </t>
  </si>
  <si>
    <t xml:space="preserve">No - </t>
  </si>
  <si>
    <t>2024-25</t>
  </si>
  <si>
    <t xml:space="preserve">Yes </t>
  </si>
  <si>
    <t xml:space="preserve">To be confirmed on receipt of financials </t>
  </si>
  <si>
    <t xml:space="preserve">No issue/allotment during the FY </t>
  </si>
  <si>
    <t>Appointment of Srinivasan Madhavan 
Cessation of Ramamoorthy Srinivasan</t>
  </si>
  <si>
    <t xml:space="preserve">Auditor is required to be appointed </t>
  </si>
  <si>
    <t>As confirmed by Director, there are no deposits as on 31.03.2026</t>
  </si>
  <si>
    <t xml:space="preserve">Based on confirmation from company, no dues to MSME, However, to be confirmed with the financials once </t>
  </si>
  <si>
    <t xml:space="preserve">KRIPYA TECHNOLOGIES PRIVATE LIMITED </t>
  </si>
  <si>
    <t>RVK &amp; CO</t>
  </si>
  <si>
    <t>015063S</t>
  </si>
  <si>
    <t>Additional to director in AGM 2025-26</t>
  </si>
  <si>
    <t>Yes - GR and VG Veeraraghavan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</si>
</sst>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d/mmm/yy;@"/>
    <numFmt numFmtId="165" formatCode="[$-409]d\-mmm\-yy;@"/>
    <numFmt numFmtId="166" formatCode="[$-409]d/mmm/yy;@"/>
  </numFmts>
  <fonts count="23" x14ac:knownFonts="1">
    <font>
      <sz val="11"/>
      <color theme="1"/>
      <name val="Aptos Narrow"/>
      <family val="2"/>
      <scheme val="minor"/>
    </font>
    <font>
      <sz val="11"/>
      <color theme="1"/>
      <name val="Aptos Narrow"/>
      <family val="2"/>
      <scheme val="minor"/>
    </font>
    <font>
      <b/>
      <sz val="11"/>
      <color theme="1"/>
      <name val="Aptos Narrow"/>
      <family val="2"/>
      <scheme val="minor"/>
    </font>
    <font>
      <sz val="12"/>
      <color theme="1"/>
      <name val="Aptos Narrow"/>
      <family val="2"/>
      <scheme val="minor"/>
    </font>
    <font>
      <sz val="12"/>
      <color theme="1"/>
      <name val="Times New Roman"/>
      <family val="1"/>
    </font>
    <font>
      <u/>
      <sz val="11"/>
      <color theme="10"/>
      <name val="Aptos Narrow"/>
      <family val="2"/>
      <scheme val="minor"/>
    </font>
    <font>
      <b/>
      <sz val="12"/>
      <color theme="1"/>
      <name val="Times New Roman"/>
      <family val="1"/>
    </font>
    <font>
      <b/>
      <sz val="12"/>
      <color theme="1"/>
      <name val="Aptos Narrow"/>
      <family val="2"/>
      <scheme val="minor"/>
    </font>
    <font>
      <b/>
      <sz val="11"/>
      <color rgb="FFFFFFFF"/>
      <name val="Segoe UI"/>
      <family val="2"/>
    </font>
    <font>
      <sz val="10"/>
      <color rgb="FF1D1D1C"/>
      <name val="Segoe UI"/>
      <family val="2"/>
    </font>
    <font>
      <b/>
      <sz val="14"/>
      <color indexed="8"/>
      <name val="Aptos Narrow"/>
      <family val="2"/>
      <scheme val="minor"/>
    </font>
    <font>
      <b/>
      <sz val="11"/>
      <name val="Aptos Narrow"/>
      <family val="2"/>
      <scheme val="minor"/>
    </font>
    <font>
      <sz val="11"/>
      <name val="Aptos Narrow"/>
      <family val="2"/>
      <scheme val="minor"/>
    </font>
    <font>
      <b/>
      <sz val="10"/>
      <color theme="1"/>
      <name val="Aptos Narrow"/>
      <family val="2"/>
      <scheme val="minor"/>
    </font>
    <font>
      <b/>
      <sz val="11"/>
      <color theme="1"/>
      <name val="Arial"/>
      <family val="2"/>
    </font>
    <font>
      <sz val="11"/>
      <color theme="1"/>
      <name val="Arial"/>
      <family val="2"/>
    </font>
    <font>
      <sz val="12"/>
      <color theme="1"/>
      <name val="Aptos Display"/>
      <family val="2"/>
    </font>
    <font>
      <sz val="11"/>
      <color theme="1"/>
      <name val="Aptos"/>
      <family val="2"/>
    </font>
    <font>
      <sz val="12"/>
      <color rgb="FF000000"/>
      <name val="Times New Roman"/>
      <family val="1"/>
    </font>
    <font>
      <sz val="12"/>
      <color rgb="FF000000"/>
      <name val="Aptos Narrow"/>
      <family val="2"/>
      <scheme val="minor"/>
    </font>
    <font>
      <sz val="12"/>
      <name val="Aptos Narrow"/>
      <family val="2"/>
      <scheme val="minor"/>
    </font>
    <font>
      <sz val="11"/>
      <color indexed="8"/>
      <name val="Aptos Narrow"/>
      <family val="2"/>
      <scheme val="minor"/>
    </font>
    <font>
      <sz val="11"/>
      <color rgb="FF000000"/>
      <name val="Aptos Narrow"/>
      <family val="2"/>
      <scheme val="minor"/>
    </font>
  </fonts>
  <fills count="7">
    <fill>
      <patternFill patternType="none"/>
    </fill>
    <fill>
      <patternFill patternType="gray125"/>
    </fill>
    <fill>
      <patternFill patternType="solid">
        <fgColor rgb="FFFFFF00"/>
        <bgColor indexed="64"/>
      </patternFill>
    </fill>
    <fill>
      <patternFill patternType="solid">
        <fgColor rgb="FF848482"/>
        <bgColor indexed="64"/>
      </patternFill>
    </fill>
    <fill>
      <patternFill patternType="solid">
        <fgColor rgb="FFE5E4E2"/>
        <bgColor indexed="64"/>
      </patternFill>
    </fill>
    <fill>
      <patternFill patternType="solid">
        <fgColor theme="0" tint="-0.14999847407452621"/>
        <bgColor indexed="64"/>
      </patternFill>
    </fill>
    <fill>
      <patternFill patternType="solid">
        <fgColor rgb="FF92D05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rgb="FF000000"/>
      </right>
      <top style="thin">
        <color indexed="64"/>
      </top>
      <bottom/>
      <diagonal/>
    </border>
    <border>
      <left/>
      <right style="thin">
        <color indexed="64"/>
      </right>
      <top style="thin">
        <color indexed="64"/>
      </top>
      <bottom/>
      <diagonal/>
    </border>
    <border>
      <left style="thin">
        <color indexed="64"/>
      </left>
      <right style="medium">
        <color rgb="FF000000"/>
      </right>
      <top/>
      <bottom/>
      <diagonal/>
    </border>
    <border>
      <left/>
      <right style="thin">
        <color indexed="64"/>
      </right>
      <top/>
      <bottom/>
      <diagonal/>
    </border>
    <border>
      <left style="thin">
        <color indexed="64"/>
      </left>
      <right style="medium">
        <color rgb="FF000000"/>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5">
    <xf numFmtId="0" fontId="0" fillId="0" borderId="0"/>
    <xf numFmtId="0" fontId="5" fillId="0" borderId="0" applyNumberFormat="0" applyFill="0" applyBorder="0" applyAlignment="0" applyProtection="0"/>
    <xf numFmtId="0" fontId="1" fillId="0" borderId="0"/>
    <xf numFmtId="0" fontId="1" fillId="0" borderId="0"/>
    <xf numFmtId="0" fontId="21" fillId="0" borderId="0"/>
  </cellStyleXfs>
  <cellXfs count="124">
    <xf numFmtId="0" fontId="0" fillId="0" borderId="0" xfId="0"/>
    <xf numFmtId="0" fontId="3" fillId="0" borderId="0" xfId="0" applyFont="1"/>
    <xf numFmtId="0" fontId="3" fillId="2" borderId="0" xfId="0" applyFont="1" applyFill="1"/>
    <xf numFmtId="0" fontId="4" fillId="0" borderId="0" xfId="0" applyFont="1"/>
    <xf numFmtId="0" fontId="6" fillId="2" borderId="0" xfId="0" applyFont="1" applyFill="1"/>
    <xf numFmtId="0" fontId="0" fillId="2" borderId="0" xfId="0" applyFill="1"/>
    <xf numFmtId="0" fontId="9" fillId="4" borderId="1" xfId="0" applyFont="1" applyFill="1" applyBorder="1" applyAlignment="1">
      <alignment horizontal="left" vertical="center" wrapText="1"/>
    </xf>
    <xf numFmtId="0" fontId="9" fillId="4" borderId="1" xfId="0" applyFont="1" applyFill="1" applyBorder="1" applyAlignment="1">
      <alignment horizontal="center" vertical="center" wrapText="1"/>
    </xf>
    <xf numFmtId="14" fontId="9" fillId="4" borderId="1" xfId="0" applyNumberFormat="1" applyFont="1" applyFill="1" applyBorder="1" applyAlignment="1">
      <alignment horizontal="center" vertical="center" wrapText="1"/>
    </xf>
    <xf numFmtId="0" fontId="9" fillId="4" borderId="1" xfId="0" quotePrefix="1" applyFont="1" applyFill="1" applyBorder="1" applyAlignment="1">
      <alignment horizontal="center" vertical="center" wrapText="1"/>
    </xf>
    <xf numFmtId="0" fontId="11" fillId="0" borderId="1" xfId="0" applyFont="1" applyBorder="1"/>
    <xf numFmtId="0" fontId="11" fillId="0" borderId="1" xfId="0" applyFont="1" applyBorder="1" applyAlignment="1">
      <alignment horizontal="left" wrapText="1"/>
    </xf>
    <xf numFmtId="0" fontId="11" fillId="0" borderId="1" xfId="0" applyFont="1" applyBorder="1" applyAlignment="1">
      <alignment horizontal="right"/>
    </xf>
    <xf numFmtId="0" fontId="2" fillId="0" borderId="0" xfId="0" applyFont="1"/>
    <xf numFmtId="0" fontId="12" fillId="0" borderId="1" xfId="0" applyFont="1" applyBorder="1"/>
    <xf numFmtId="0" fontId="9" fillId="4" borderId="0" xfId="0" applyFont="1" applyFill="1" applyAlignment="1">
      <alignment horizontal="center" wrapText="1"/>
    </xf>
    <xf numFmtId="14" fontId="9" fillId="4" borderId="0" xfId="0" applyNumberFormat="1" applyFont="1" applyFill="1" applyAlignment="1">
      <alignment horizontal="center" wrapText="1"/>
    </xf>
    <xf numFmtId="0" fontId="12" fillId="2" borderId="1" xfId="0" applyFont="1" applyFill="1" applyBorder="1"/>
    <xf numFmtId="0" fontId="9" fillId="2" borderId="0" xfId="0" applyFont="1" applyFill="1" applyAlignment="1">
      <alignment horizontal="center" wrapText="1"/>
    </xf>
    <xf numFmtId="14" fontId="9" fillId="2" borderId="0" xfId="0" applyNumberFormat="1" applyFont="1" applyFill="1" applyAlignment="1">
      <alignment horizontal="center" wrapText="1"/>
    </xf>
    <xf numFmtId="0" fontId="12" fillId="2" borderId="0" xfId="0" applyFont="1" applyFill="1"/>
    <xf numFmtId="0" fontId="2" fillId="0" borderId="1" xfId="0" applyFont="1" applyBorder="1"/>
    <xf numFmtId="0" fontId="2" fillId="0" borderId="1" xfId="0" applyFont="1" applyBorder="1" applyAlignment="1">
      <alignment horizontal="left" wrapText="1"/>
    </xf>
    <xf numFmtId="0" fontId="2" fillId="0" borderId="1" xfId="0" applyFont="1" applyBorder="1" applyAlignment="1">
      <alignment horizontal="right"/>
    </xf>
    <xf numFmtId="0" fontId="0" fillId="2" borderId="1" xfId="0" applyFill="1" applyBorder="1"/>
    <xf numFmtId="0" fontId="0" fillId="0" borderId="1" xfId="0" applyBorder="1"/>
    <xf numFmtId="0" fontId="0" fillId="0" borderId="0" xfId="0" applyAlignment="1">
      <alignment vertical="top"/>
    </xf>
    <xf numFmtId="0" fontId="13" fillId="0" borderId="1" xfId="2" applyFont="1" applyBorder="1" applyAlignment="1">
      <alignment horizontal="left" vertical="top" wrapText="1"/>
    </xf>
    <xf numFmtId="164" fontId="13" fillId="0" borderId="1" xfId="2" applyNumberFormat="1" applyFont="1"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vertical="top"/>
    </xf>
    <xf numFmtId="15" fontId="0" fillId="0" borderId="1" xfId="0" applyNumberFormat="1" applyBorder="1" applyAlignment="1">
      <alignment horizontal="left" vertical="top"/>
    </xf>
    <xf numFmtId="15" fontId="0" fillId="0" borderId="1" xfId="0" applyNumberFormat="1" applyBorder="1" applyAlignment="1">
      <alignment vertical="top"/>
    </xf>
    <xf numFmtId="0" fontId="0" fillId="0" borderId="1" xfId="0" applyBorder="1" applyAlignment="1">
      <alignment horizontal="left" vertical="top"/>
    </xf>
    <xf numFmtId="15" fontId="0" fillId="0" borderId="0" xfId="0" applyNumberFormat="1" applyAlignment="1">
      <alignment vertical="top"/>
    </xf>
    <xf numFmtId="0" fontId="14" fillId="0" borderId="2" xfId="0" applyFont="1" applyBorder="1" applyAlignment="1">
      <alignment vertical="center" wrapText="1"/>
    </xf>
    <xf numFmtId="0" fontId="2" fillId="0" borderId="3" xfId="0" applyFont="1" applyBorder="1"/>
    <xf numFmtId="0" fontId="15" fillId="0" borderId="4" xfId="0" applyFont="1" applyBorder="1" applyAlignment="1">
      <alignment vertical="center" wrapText="1"/>
    </xf>
    <xf numFmtId="0" fontId="0" fillId="0" borderId="5" xfId="0" applyBorder="1"/>
    <xf numFmtId="0" fontId="15" fillId="0" borderId="6" xfId="0" applyFont="1" applyBorder="1" applyAlignment="1">
      <alignment vertical="center" wrapText="1"/>
    </xf>
    <xf numFmtId="0" fontId="0" fillId="0" borderId="7" xfId="0" applyBorder="1"/>
    <xf numFmtId="0" fontId="7" fillId="0" borderId="2" xfId="0" applyFont="1" applyBorder="1" applyAlignment="1">
      <alignment vertical="center" wrapText="1"/>
    </xf>
    <xf numFmtId="0" fontId="7" fillId="0" borderId="3" xfId="0" applyFont="1" applyBorder="1" applyAlignment="1">
      <alignment wrapText="1"/>
    </xf>
    <xf numFmtId="0" fontId="3" fillId="0" borderId="4" xfId="0" applyFont="1" applyBorder="1" applyAlignment="1">
      <alignment horizontal="left" vertical="center" wrapText="1"/>
    </xf>
    <xf numFmtId="0" fontId="3" fillId="0" borderId="5" xfId="0" applyFont="1" applyBorder="1"/>
    <xf numFmtId="0" fontId="0" fillId="0" borderId="1" xfId="0" applyBorder="1" applyAlignment="1">
      <alignment horizontal="left"/>
    </xf>
    <xf numFmtId="165" fontId="2" fillId="0" borderId="1" xfId="0" applyNumberFormat="1" applyFont="1" applyBorder="1" applyAlignment="1">
      <alignment horizontal="left" wrapText="1"/>
    </xf>
    <xf numFmtId="0" fontId="0" fillId="0" borderId="0" xfId="0" quotePrefix="1"/>
    <xf numFmtId="14" fontId="0" fillId="0" borderId="0" xfId="0" applyNumberFormat="1"/>
    <xf numFmtId="0" fontId="7" fillId="0" borderId="1" xfId="0" applyFont="1" applyBorder="1" applyAlignment="1">
      <alignment horizontal="center"/>
    </xf>
    <xf numFmtId="14" fontId="7" fillId="0" borderId="1" xfId="0" applyNumberFormat="1" applyFont="1" applyBorder="1" applyAlignment="1">
      <alignment horizontal="center"/>
    </xf>
    <xf numFmtId="14" fontId="0" fillId="0" borderId="1" xfId="0" applyNumberFormat="1" applyBorder="1"/>
    <xf numFmtId="0" fontId="7" fillId="0" borderId="0" xfId="0" applyFont="1" applyAlignment="1">
      <alignment horizontal="center"/>
    </xf>
    <xf numFmtId="0" fontId="3" fillId="0" borderId="1" xfId="0" applyFont="1" applyBorder="1" applyAlignment="1">
      <alignment horizontal="center"/>
    </xf>
    <xf numFmtId="0" fontId="3" fillId="0" borderId="1" xfId="0" applyFont="1" applyBorder="1"/>
    <xf numFmtId="0" fontId="3" fillId="5" borderId="1" xfId="0" applyFont="1" applyFill="1" applyBorder="1"/>
    <xf numFmtId="0" fontId="3" fillId="6" borderId="1" xfId="0" applyFont="1" applyFill="1" applyBorder="1"/>
    <xf numFmtId="0" fontId="7" fillId="2" borderId="1" xfId="0" applyFont="1" applyFill="1" applyBorder="1" applyAlignment="1">
      <alignment horizontal="center"/>
    </xf>
    <xf numFmtId="0" fontId="3" fillId="0" borderId="0" xfId="0" applyFont="1" applyAlignment="1">
      <alignment horizontal="center"/>
    </xf>
    <xf numFmtId="0" fontId="7" fillId="0" borderId="1" xfId="0" applyFont="1" applyBorder="1"/>
    <xf numFmtId="14" fontId="0" fillId="0" borderId="1" xfId="0" applyNumberFormat="1" applyBorder="1" applyAlignment="1">
      <alignment horizontal="center" vertical="center"/>
    </xf>
    <xf numFmtId="0" fontId="7" fillId="0" borderId="1" xfId="0" applyFont="1" applyBorder="1" applyAlignment="1">
      <alignment wrapText="1"/>
    </xf>
    <xf numFmtId="14" fontId="3" fillId="0" borderId="1" xfId="0" applyNumberFormat="1" applyFont="1" applyBorder="1"/>
    <xf numFmtId="14" fontId="18" fillId="0" borderId="0" xfId="0" applyNumberFormat="1" applyFont="1" applyAlignment="1">
      <alignment horizontal="left"/>
    </xf>
    <xf numFmtId="0" fontId="7" fillId="0" borderId="1" xfId="3" applyFont="1" applyBorder="1" applyAlignment="1">
      <alignment horizontal="center"/>
    </xf>
    <xf numFmtId="0" fontId="7" fillId="0" borderId="1" xfId="3" applyFont="1" applyBorder="1" applyAlignment="1">
      <alignment horizontal="center" wrapText="1"/>
    </xf>
    <xf numFmtId="0" fontId="3" fillId="0" borderId="0" xfId="3" applyFont="1"/>
    <xf numFmtId="0" fontId="3" fillId="0" borderId="1" xfId="3" applyFont="1" applyBorder="1" applyAlignment="1">
      <alignment horizontal="center"/>
    </xf>
    <xf numFmtId="0" fontId="3" fillId="0" borderId="1" xfId="3" applyFont="1" applyBorder="1" applyAlignment="1">
      <alignment horizontal="justify"/>
    </xf>
    <xf numFmtId="0" fontId="3" fillId="0" borderId="1" xfId="3" applyFont="1" applyBorder="1" applyAlignment="1">
      <alignment wrapText="1"/>
    </xf>
    <xf numFmtId="0" fontId="3" fillId="0" borderId="1" xfId="3" applyFont="1" applyBorder="1"/>
    <xf numFmtId="0" fontId="19" fillId="0" borderId="0" xfId="3" applyFont="1"/>
    <xf numFmtId="0" fontId="3" fillId="0" borderId="8" xfId="3" applyFont="1" applyBorder="1" applyAlignment="1">
      <alignment horizontal="justify"/>
    </xf>
    <xf numFmtId="0" fontId="20" fillId="0" borderId="0" xfId="3" applyFont="1"/>
    <xf numFmtId="0" fontId="3" fillId="0" borderId="8" xfId="3" applyFont="1" applyBorder="1"/>
    <xf numFmtId="0" fontId="3" fillId="0" borderId="8" xfId="3" applyFont="1" applyBorder="1" applyAlignment="1">
      <alignment wrapText="1"/>
    </xf>
    <xf numFmtId="0" fontId="3" fillId="0" borderId="0" xfId="3" applyFont="1" applyAlignment="1">
      <alignment wrapText="1"/>
    </xf>
    <xf numFmtId="0" fontId="3" fillId="0" borderId="0" xfId="3" applyFont="1" applyAlignment="1">
      <alignment horizontal="center"/>
    </xf>
    <xf numFmtId="0" fontId="7" fillId="0" borderId="0" xfId="3" applyFont="1" applyAlignment="1">
      <alignment horizontal="center"/>
    </xf>
    <xf numFmtId="0" fontId="7" fillId="0" borderId="0" xfId="3" applyFont="1"/>
    <xf numFmtId="0" fontId="7" fillId="2" borderId="0" xfId="3" applyFont="1" applyFill="1" applyAlignment="1">
      <alignment horizontal="center"/>
    </xf>
    <xf numFmtId="0" fontId="2" fillId="0" borderId="9" xfId="0" applyFont="1" applyBorder="1" applyAlignment="1">
      <alignment horizontal="left" vertical="center" wrapText="1"/>
    </xf>
    <xf numFmtId="0" fontId="2" fillId="0" borderId="1" xfId="0" applyFont="1" applyBorder="1" applyAlignment="1">
      <alignment horizontal="center" vertical="center" wrapText="1"/>
    </xf>
    <xf numFmtId="166" fontId="2" fillId="0" borderId="1" xfId="0" applyNumberFormat="1" applyFont="1" applyBorder="1" applyAlignment="1">
      <alignment horizontal="center" vertical="center" wrapText="1"/>
    </xf>
    <xf numFmtId="0" fontId="21" fillId="0" borderId="1" xfId="4" applyBorder="1" applyAlignment="1">
      <alignment wrapText="1"/>
    </xf>
    <xf numFmtId="0" fontId="21" fillId="0" borderId="1" xfId="4" quotePrefix="1" applyBorder="1" applyAlignment="1">
      <alignment wrapText="1"/>
    </xf>
    <xf numFmtId="166" fontId="0" fillId="0" borderId="1" xfId="0" applyNumberFormat="1" applyBorder="1" applyAlignment="1">
      <alignment horizontal="center" vertical="center"/>
    </xf>
    <xf numFmtId="0" fontId="0" fillId="0" borderId="1" xfId="0" applyBorder="1" applyAlignment="1">
      <alignment horizontal="center" vertical="center"/>
    </xf>
    <xf numFmtId="22" fontId="5" fillId="0" borderId="0" xfId="1" applyNumberFormat="1"/>
    <xf numFmtId="0" fontId="2" fillId="0" borderId="9" xfId="0" applyFont="1" applyBorder="1" applyAlignment="1">
      <alignment horizontal="center" vertical="center" wrapText="1"/>
    </xf>
    <xf numFmtId="0" fontId="0" fillId="0" borderId="1" xfId="0" applyBorder="1" applyAlignment="1">
      <alignment wrapText="1"/>
    </xf>
    <xf numFmtId="1" fontId="0" fillId="0" borderId="1" xfId="0" applyNumberFormat="1" applyBorder="1"/>
    <xf numFmtId="15" fontId="0" fillId="0" borderId="1" xfId="0" applyNumberFormat="1" applyBorder="1"/>
    <xf numFmtId="0" fontId="11" fillId="0" borderId="0" xfId="0" applyFont="1" applyAlignment="1">
      <alignment horizontal="left" wrapText="1"/>
    </xf>
    <xf numFmtId="0" fontId="11" fillId="0" borderId="0" xfId="0" applyFont="1" applyAlignment="1">
      <alignment horizontal="right"/>
    </xf>
    <xf numFmtId="0" fontId="22" fillId="0" borderId="0" xfId="0" applyFont="1"/>
    <xf numFmtId="14" fontId="22" fillId="0" borderId="0" xfId="0" applyNumberFormat="1" applyFont="1"/>
    <xf numFmtId="0" fontId="12" fillId="0" borderId="0" xfId="0" applyFont="1"/>
    <xf numFmtId="0" fontId="12" fillId="0" borderId="1" xfId="0" applyFont="1" applyBorder="1" applyAlignment="1">
      <alignment horizontal="left" wrapText="1"/>
    </xf>
    <xf numFmtId="14" fontId="12" fillId="0" borderId="1" xfId="0" applyNumberFormat="1" applyFont="1" applyBorder="1" applyAlignment="1">
      <alignment horizontal="right"/>
    </xf>
    <xf numFmtId="0" fontId="12" fillId="0" borderId="0" xfId="0" applyFont="1" applyAlignment="1">
      <alignment horizontal="left" wrapText="1"/>
    </xf>
    <xf numFmtId="1" fontId="10" fillId="0" borderId="1" xfId="0" applyNumberFormat="1" applyFont="1" applyBorder="1" applyAlignment="1">
      <alignment horizontal="center" wrapText="1"/>
    </xf>
    <xf numFmtId="0" fontId="3" fillId="0" borderId="0" xfId="0" applyFont="1"/>
    <xf numFmtId="0" fontId="4" fillId="0" borderId="0" xfId="0" applyFont="1"/>
    <xf numFmtId="0" fontId="8" fillId="3" borderId="1" xfId="0" applyFont="1" applyFill="1" applyBorder="1" applyAlignment="1">
      <alignment horizontal="center" vertical="center" wrapText="1"/>
    </xf>
    <xf numFmtId="0" fontId="2" fillId="0" borderId="0" xfId="0" applyFont="1" applyAlignment="1">
      <alignment horizontal="center" vertical="top"/>
    </xf>
    <xf numFmtId="0" fontId="7" fillId="0" borderId="0" xfId="3" applyFont="1" applyAlignment="1">
      <alignment horizontal="center"/>
    </xf>
    <xf numFmtId="0" fontId="0" fillId="0" borderId="1" xfId="0" applyBorder="1" applyAlignment="1">
      <alignment horizontal="center" wrapText="1"/>
    </xf>
    <xf numFmtId="14" fontId="0" fillId="0" borderId="1" xfId="0" applyNumberFormat="1" applyBorder="1" applyAlignment="1">
      <alignment vertical="top"/>
    </xf>
    <xf numFmtId="0" fontId="0" fillId="0" borderId="1" xfId="0" applyBorder="1" applyAlignment="1">
      <alignment vertical="top" wrapText="1"/>
    </xf>
    <xf numFmtId="0" fontId="0" fillId="0" borderId="1" xfId="0" quotePrefix="1" applyBorder="1"/>
    <xf numFmtId="14" fontId="16" fillId="0" borderId="1" xfId="0" applyNumberFormat="1" applyFont="1" applyBorder="1"/>
    <xf numFmtId="14" fontId="17" fillId="0" borderId="1" xfId="0" applyNumberFormat="1" applyFont="1" applyBorder="1"/>
    <xf numFmtId="0" fontId="3" fillId="2" borderId="1" xfId="0" applyFont="1" applyFill="1" applyBorder="1" applyAlignment="1">
      <alignment horizontal="left" vertical="center" wrapText="1"/>
    </xf>
    <xf numFmtId="0" fontId="3" fillId="2" borderId="1" xfId="0" applyFont="1" applyFill="1" applyBorder="1"/>
    <xf numFmtId="0" fontId="3" fillId="2" borderId="1" xfId="3" applyFont="1" applyFill="1" applyBorder="1" applyAlignment="1">
      <alignment horizontal="justify"/>
    </xf>
    <xf numFmtId="0" fontId="3" fillId="2" borderId="1" xfId="3" applyFont="1" applyFill="1" applyBorder="1"/>
    <xf numFmtId="0" fontId="2" fillId="2" borderId="1"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4" fillId="0" borderId="1" xfId="0" applyFont="1" applyBorder="1"/>
    <xf numFmtId="14" fontId="18" fillId="2" borderId="1" xfId="0" applyNumberFormat="1" applyFont="1" applyFill="1" applyBorder="1" applyAlignment="1">
      <alignment horizontal="left"/>
    </xf>
    <xf numFmtId="0" fontId="4" fillId="2" borderId="1" xfId="0" applyFont="1" applyFill="1" applyBorder="1"/>
    <xf numFmtId="1" fontId="0" fillId="2" borderId="1" xfId="0" applyNumberFormat="1" applyFill="1" applyBorder="1"/>
    <xf numFmtId="0" fontId="0" fillId="2" borderId="1" xfId="0" applyFill="1" applyBorder="1" applyAlignment="1">
      <alignment wrapText="1"/>
    </xf>
  </cellXfs>
  <cellStyles count="5">
    <cellStyle name="Hyperlink" xfId="1" builtinId="8"/>
    <cellStyle name="Normal" xfId="0" builtinId="0"/>
    <cellStyle name="Normal 15 3" xfId="2" xr:uid="{3D12F207-0D7F-43C6-9D20-207516DF57A0}"/>
    <cellStyle name="Normal 2" xfId="4" xr:uid="{E33CDC9F-9B6B-4893-B689-0B9B75188CD2}"/>
    <cellStyle name="Normal 2 7" xfId="3" xr:uid="{3A822FDA-C684-4FAC-B0C4-DC708F5D7C6D}"/>
  </cellStyles>
  <dxfs count="6">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2.xml.rels><?xml version="1.0" encoding="UTF-8" standalone="yes"?>
<Relationships xmlns="http://schemas.openxmlformats.org/package/2006/relationships"><Relationship Id="rId1" Type="http://schemas.openxmlformats.org/officeDocument/2006/relationships/hyperlink" Target="mailto:=@no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EF41C-9729-440E-BEB5-A6A2ED06851C}">
  <dimension ref="A1:B23"/>
  <sheetViews>
    <sheetView workbookViewId="0">
      <selection activeCell="B6" sqref="B6"/>
    </sheetView>
  </sheetViews>
  <sheetFormatPr defaultColWidth="79.21875" defaultRowHeight="15.6" x14ac:dyDescent="0.3"/>
  <cols>
    <col min="1" max="16384" width="79.21875" style="1"/>
  </cols>
  <sheetData>
    <row r="1" spans="1:2" x14ac:dyDescent="0.3">
      <c r="A1" s="102" t="s">
        <v>0</v>
      </c>
      <c r="B1" s="102"/>
    </row>
    <row r="2" spans="1:2" x14ac:dyDescent="0.3">
      <c r="A2" s="1" t="s">
        <v>1</v>
      </c>
      <c r="B2" s="1" t="s">
        <v>2</v>
      </c>
    </row>
    <row r="3" spans="1:2" x14ac:dyDescent="0.3">
      <c r="A3" s="1" t="s">
        <v>3</v>
      </c>
      <c r="B3" s="2" t="s">
        <v>4</v>
      </c>
    </row>
    <row r="4" spans="1:2" x14ac:dyDescent="0.3">
      <c r="A4" s="1" t="s">
        <v>5</v>
      </c>
      <c r="B4" s="1" t="s">
        <v>6</v>
      </c>
    </row>
    <row r="5" spans="1:2" x14ac:dyDescent="0.3">
      <c r="A5" s="1" t="s">
        <v>7</v>
      </c>
      <c r="B5" s="1" t="s">
        <v>8</v>
      </c>
    </row>
    <row r="6" spans="1:2" x14ac:dyDescent="0.3">
      <c r="A6" s="1" t="s">
        <v>9</v>
      </c>
      <c r="B6" s="1" t="s">
        <v>10</v>
      </c>
    </row>
    <row r="7" spans="1:2" x14ac:dyDescent="0.3">
      <c r="A7" s="1" t="s">
        <v>11</v>
      </c>
      <c r="B7" s="1" t="s">
        <v>12</v>
      </c>
    </row>
    <row r="8" spans="1:2" x14ac:dyDescent="0.3">
      <c r="A8" s="1" t="s">
        <v>13</v>
      </c>
      <c r="B8" s="1" t="s">
        <v>14</v>
      </c>
    </row>
    <row r="9" spans="1:2" x14ac:dyDescent="0.3">
      <c r="A9" s="1" t="s">
        <v>15</v>
      </c>
      <c r="B9" s="1" t="s">
        <v>16</v>
      </c>
    </row>
    <row r="10" spans="1:2" x14ac:dyDescent="0.3">
      <c r="A10" s="1" t="s">
        <v>17</v>
      </c>
      <c r="B10" s="1" t="s">
        <v>18</v>
      </c>
    </row>
    <row r="11" spans="1:2" x14ac:dyDescent="0.3">
      <c r="A11" s="1" t="s">
        <v>19</v>
      </c>
      <c r="B11" s="1" t="s">
        <v>20</v>
      </c>
    </row>
    <row r="12" spans="1:2" x14ac:dyDescent="0.3">
      <c r="A12" s="1" t="s">
        <v>21</v>
      </c>
      <c r="B12" s="1" t="s">
        <v>22</v>
      </c>
    </row>
    <row r="13" spans="1:2" x14ac:dyDescent="0.3">
      <c r="A13" s="1" t="s">
        <v>23</v>
      </c>
      <c r="B13" s="1" t="s">
        <v>24</v>
      </c>
    </row>
    <row r="14" spans="1:2" x14ac:dyDescent="0.3">
      <c r="A14" s="1" t="s">
        <v>25</v>
      </c>
      <c r="B14" s="1" t="s">
        <v>26</v>
      </c>
    </row>
    <row r="15" spans="1:2" x14ac:dyDescent="0.3">
      <c r="A15" s="1" t="s">
        <v>27</v>
      </c>
      <c r="B15" s="1" t="s">
        <v>28</v>
      </c>
    </row>
    <row r="16" spans="1:2" x14ac:dyDescent="0.3">
      <c r="A16" s="1" t="s">
        <v>29</v>
      </c>
      <c r="B16" s="1" t="s">
        <v>30</v>
      </c>
    </row>
    <row r="17" spans="1:2" x14ac:dyDescent="0.3">
      <c r="A17" s="1" t="s">
        <v>31</v>
      </c>
      <c r="B17" s="1" t="s">
        <v>32</v>
      </c>
    </row>
    <row r="18" spans="1:2" x14ac:dyDescent="0.3">
      <c r="A18" s="1" t="s">
        <v>33</v>
      </c>
      <c r="B18" s="1" t="s">
        <v>34</v>
      </c>
    </row>
    <row r="19" spans="1:2" x14ac:dyDescent="0.3">
      <c r="A19" s="1" t="s">
        <v>35</v>
      </c>
      <c r="B19" s="1" t="s">
        <v>36</v>
      </c>
    </row>
    <row r="20" spans="1:2" x14ac:dyDescent="0.3">
      <c r="A20" s="1" t="s">
        <v>37</v>
      </c>
      <c r="B20" s="1" t="s">
        <v>18</v>
      </c>
    </row>
    <row r="21" spans="1:2" x14ac:dyDescent="0.3">
      <c r="A21" s="1" t="s">
        <v>38</v>
      </c>
    </row>
    <row r="22" spans="1:2" x14ac:dyDescent="0.3">
      <c r="A22" s="1" t="s">
        <v>39</v>
      </c>
      <c r="B22" s="1" t="s">
        <v>6</v>
      </c>
    </row>
    <row r="23" spans="1:2" x14ac:dyDescent="0.3">
      <c r="A23" s="1" t="s">
        <v>40</v>
      </c>
      <c r="B23" s="1" t="s">
        <v>41</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F2F51-06A9-4A68-BD36-FB137D18006E}">
  <dimension ref="A1:A2"/>
  <sheetViews>
    <sheetView workbookViewId="0">
      <selection activeCell="F23" sqref="F23"/>
    </sheetView>
  </sheetViews>
  <sheetFormatPr defaultRowHeight="14.4" x14ac:dyDescent="0.3"/>
  <sheetData>
    <row r="1" spans="1:1" x14ac:dyDescent="0.3">
      <c r="A1" t="s">
        <v>42</v>
      </c>
    </row>
    <row r="2" spans="1:1" x14ac:dyDescent="0.3">
      <c r="A2" t="s">
        <v>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D8405-4DC6-4171-B0DF-86656764CEF4}">
  <dimension ref="A1:H5"/>
  <sheetViews>
    <sheetView workbookViewId="0">
      <selection activeCell="E3" sqref="E3:E5"/>
    </sheetView>
  </sheetViews>
  <sheetFormatPr defaultColWidth="23.88671875" defaultRowHeight="15.6" x14ac:dyDescent="0.3"/>
  <cols>
    <col min="1" max="2" width="23.88671875" style="3"/>
    <col min="3" max="3" width="45.77734375" style="3" customWidth="1"/>
    <col min="4" max="16384" width="23.88671875" style="3"/>
  </cols>
  <sheetData>
    <row r="1" spans="1:8" x14ac:dyDescent="0.3">
      <c r="A1" s="103" t="s">
        <v>44</v>
      </c>
      <c r="B1" s="103"/>
    </row>
    <row r="2" spans="1:8" x14ac:dyDescent="0.3">
      <c r="A2" s="3" t="s">
        <v>43</v>
      </c>
      <c r="B2" s="3" t="s">
        <v>45</v>
      </c>
      <c r="C2" s="3" t="s">
        <v>46</v>
      </c>
      <c r="D2" s="3" t="s">
        <v>47</v>
      </c>
      <c r="E2" s="3" t="s">
        <v>48</v>
      </c>
      <c r="F2" s="3" t="s">
        <v>49</v>
      </c>
      <c r="G2" s="3" t="s">
        <v>50</v>
      </c>
      <c r="H2" s="3" t="s">
        <v>51</v>
      </c>
    </row>
    <row r="3" spans="1:8" x14ac:dyDescent="0.3">
      <c r="A3" s="3" t="s">
        <v>52</v>
      </c>
      <c r="B3" s="3" t="s">
        <v>53</v>
      </c>
      <c r="C3" s="3" t="s">
        <v>54</v>
      </c>
      <c r="D3" s="3" t="s">
        <v>55</v>
      </c>
      <c r="E3" s="3" t="s">
        <v>56</v>
      </c>
      <c r="F3" s="3" t="s">
        <v>10</v>
      </c>
      <c r="G3" s="3" t="s">
        <v>16</v>
      </c>
      <c r="H3" s="3" t="s">
        <v>57</v>
      </c>
    </row>
    <row r="4" spans="1:8" x14ac:dyDescent="0.3">
      <c r="A4" s="3" t="s">
        <v>58</v>
      </c>
      <c r="B4" s="3" t="s">
        <v>59</v>
      </c>
      <c r="C4" s="3" t="s">
        <v>60</v>
      </c>
      <c r="D4" s="3" t="s">
        <v>55</v>
      </c>
      <c r="E4" s="3" t="s">
        <v>56</v>
      </c>
      <c r="F4" s="3" t="s">
        <v>10</v>
      </c>
      <c r="G4" s="3" t="s">
        <v>16</v>
      </c>
      <c r="H4" s="3" t="s">
        <v>57</v>
      </c>
    </row>
    <row r="5" spans="1:8" x14ac:dyDescent="0.3">
      <c r="A5" s="3" t="s">
        <v>61</v>
      </c>
      <c r="B5" s="3" t="s">
        <v>62</v>
      </c>
      <c r="C5" s="3" t="s">
        <v>63</v>
      </c>
      <c r="D5" s="3" t="s">
        <v>64</v>
      </c>
      <c r="E5" s="3" t="s">
        <v>56</v>
      </c>
      <c r="F5" s="3" t="s">
        <v>65</v>
      </c>
      <c r="G5" s="3" t="s">
        <v>16</v>
      </c>
      <c r="H5" s="3" t="s">
        <v>57</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3C3C2-4D35-498D-8E1C-5534FBC14EB2}">
  <dimension ref="A2:O59"/>
  <sheetViews>
    <sheetView zoomScaleNormal="100" workbookViewId="0">
      <selection activeCell="B34" sqref="B34"/>
    </sheetView>
  </sheetViews>
  <sheetFormatPr defaultRowHeight="15.6" x14ac:dyDescent="0.3"/>
  <cols>
    <col min="1" max="1" width="37.109375" style="3" customWidth="1"/>
    <col min="2" max="2" width="39" style="3" customWidth="1"/>
    <col min="3" max="3" width="58.44140625" style="3" customWidth="1"/>
    <col min="4" max="4" width="21.5546875" style="3" customWidth="1"/>
    <col min="5" max="5" width="27" style="3" customWidth="1"/>
    <col min="6" max="6" width="27.88671875" style="3" customWidth="1"/>
    <col min="7" max="7" width="46.33203125" style="3" customWidth="1"/>
    <col min="8" max="8" width="40.6640625" style="3" customWidth="1"/>
    <col min="9" max="9" width="38.21875" style="3" customWidth="1"/>
    <col min="10" max="16384" width="8.88671875" style="3"/>
  </cols>
  <sheetData>
    <row r="2" spans="1:9" x14ac:dyDescent="0.3">
      <c r="A2" s="3" t="s">
        <v>66</v>
      </c>
    </row>
    <row r="3" spans="1:9" x14ac:dyDescent="0.3">
      <c r="A3" s="3" t="s">
        <v>67</v>
      </c>
    </row>
    <row r="4" spans="1:9" x14ac:dyDescent="0.3">
      <c r="A4" s="3" t="s">
        <v>68</v>
      </c>
      <c r="B4" s="3" t="s">
        <v>53</v>
      </c>
    </row>
    <row r="5" spans="1:9" x14ac:dyDescent="0.3">
      <c r="A5" s="3" t="s">
        <v>69</v>
      </c>
      <c r="B5" s="4" t="s">
        <v>54</v>
      </c>
    </row>
    <row r="6" spans="1:9" x14ac:dyDescent="0.3">
      <c r="A6" s="3" t="s">
        <v>70</v>
      </c>
    </row>
    <row r="7" spans="1:9" x14ac:dyDescent="0.3">
      <c r="A7" s="3" t="s">
        <v>71</v>
      </c>
    </row>
    <row r="8" spans="1:9" x14ac:dyDescent="0.3">
      <c r="A8" s="3" t="s">
        <v>43</v>
      </c>
      <c r="B8" s="3" t="s">
        <v>72</v>
      </c>
      <c r="C8" s="3" t="s">
        <v>3</v>
      </c>
      <c r="D8" s="3" t="s">
        <v>35</v>
      </c>
      <c r="E8" s="3" t="s">
        <v>47</v>
      </c>
      <c r="F8" s="3" t="s">
        <v>48</v>
      </c>
      <c r="G8" s="3" t="s">
        <v>73</v>
      </c>
      <c r="H8" s="3" t="s">
        <v>74</v>
      </c>
      <c r="I8" s="3" t="s">
        <v>75</v>
      </c>
    </row>
    <row r="9" spans="1:9" x14ac:dyDescent="0.3">
      <c r="A9" s="3" t="s">
        <v>52</v>
      </c>
      <c r="B9" s="3" t="s">
        <v>76</v>
      </c>
      <c r="C9" s="3" t="s">
        <v>77</v>
      </c>
      <c r="D9" s="3" t="s">
        <v>36</v>
      </c>
      <c r="E9" s="3" t="s">
        <v>55</v>
      </c>
      <c r="F9" s="3" t="s">
        <v>78</v>
      </c>
      <c r="G9" s="3" t="s">
        <v>79</v>
      </c>
      <c r="H9" s="3" t="s">
        <v>79</v>
      </c>
      <c r="I9" s="3" t="s">
        <v>16</v>
      </c>
    </row>
    <row r="10" spans="1:9" x14ac:dyDescent="0.3">
      <c r="A10" s="3" t="s">
        <v>58</v>
      </c>
      <c r="B10" s="3" t="s">
        <v>2</v>
      </c>
      <c r="C10" s="3" t="s">
        <v>4</v>
      </c>
      <c r="D10" s="3" t="s">
        <v>36</v>
      </c>
      <c r="E10" s="3" t="s">
        <v>55</v>
      </c>
      <c r="F10" s="3" t="s">
        <v>56</v>
      </c>
      <c r="G10" s="3" t="s">
        <v>10</v>
      </c>
      <c r="H10" s="3" t="s">
        <v>80</v>
      </c>
      <c r="I10" s="3" t="s">
        <v>16</v>
      </c>
    </row>
    <row r="11" spans="1:9" x14ac:dyDescent="0.3">
      <c r="A11" s="3" t="s">
        <v>61</v>
      </c>
      <c r="B11" s="3" t="s">
        <v>2</v>
      </c>
      <c r="C11" s="3" t="s">
        <v>4</v>
      </c>
      <c r="D11" s="3" t="s">
        <v>36</v>
      </c>
      <c r="E11" s="3" t="s">
        <v>55</v>
      </c>
      <c r="F11" s="3" t="s">
        <v>16</v>
      </c>
      <c r="G11" s="3" t="s">
        <v>16</v>
      </c>
      <c r="H11" s="3" t="s">
        <v>10</v>
      </c>
      <c r="I11" s="3" t="s">
        <v>81</v>
      </c>
    </row>
    <row r="12" spans="1:9" x14ac:dyDescent="0.3">
      <c r="A12" s="3" t="s">
        <v>70</v>
      </c>
    </row>
    <row r="13" spans="1:9" x14ac:dyDescent="0.3">
      <c r="A13" s="3" t="s">
        <v>82</v>
      </c>
    </row>
    <row r="14" spans="1:9" x14ac:dyDescent="0.3">
      <c r="A14" s="3" t="s">
        <v>43</v>
      </c>
      <c r="B14" s="3" t="s">
        <v>83</v>
      </c>
      <c r="C14" s="3" t="s">
        <v>84</v>
      </c>
      <c r="D14" s="3" t="s">
        <v>85</v>
      </c>
      <c r="E14" s="3" t="s">
        <v>47</v>
      </c>
      <c r="F14" s="3" t="s">
        <v>73</v>
      </c>
      <c r="G14" s="3" t="s">
        <v>74</v>
      </c>
      <c r="H14" s="3" t="s">
        <v>75</v>
      </c>
    </row>
    <row r="15" spans="1:9" x14ac:dyDescent="0.3">
      <c r="A15" s="3" t="s">
        <v>86</v>
      </c>
    </row>
    <row r="17" spans="1:15" x14ac:dyDescent="0.3">
      <c r="A17" s="3" t="s">
        <v>66</v>
      </c>
      <c r="J17"/>
      <c r="K17"/>
    </row>
    <row r="18" spans="1:15" x14ac:dyDescent="0.3">
      <c r="A18" s="3" t="s">
        <v>67</v>
      </c>
      <c r="J18"/>
      <c r="K18"/>
    </row>
    <row r="19" spans="1:15" x14ac:dyDescent="0.3">
      <c r="A19" s="3" t="s">
        <v>68</v>
      </c>
      <c r="B19" s="3" t="s">
        <v>59</v>
      </c>
      <c r="J19"/>
      <c r="K19"/>
    </row>
    <row r="20" spans="1:15" x14ac:dyDescent="0.3">
      <c r="A20" s="3" t="s">
        <v>69</v>
      </c>
      <c r="B20" s="4" t="s">
        <v>87</v>
      </c>
      <c r="J20"/>
      <c r="K20"/>
    </row>
    <row r="21" spans="1:15" x14ac:dyDescent="0.3">
      <c r="A21" s="3" t="s">
        <v>70</v>
      </c>
      <c r="J21"/>
      <c r="K21"/>
    </row>
    <row r="22" spans="1:15" x14ac:dyDescent="0.3">
      <c r="A22" s="3" t="s">
        <v>71</v>
      </c>
      <c r="J22"/>
      <c r="K22"/>
    </row>
    <row r="23" spans="1:15" x14ac:dyDescent="0.3">
      <c r="A23" s="3" t="s">
        <v>43</v>
      </c>
      <c r="B23" s="3" t="s">
        <v>72</v>
      </c>
      <c r="C23" s="3" t="s">
        <v>3</v>
      </c>
      <c r="D23" s="3" t="s">
        <v>35</v>
      </c>
      <c r="E23" s="3" t="s">
        <v>47</v>
      </c>
      <c r="F23" s="3" t="s">
        <v>48</v>
      </c>
      <c r="G23" s="3" t="s">
        <v>73</v>
      </c>
      <c r="H23" s="3" t="s">
        <v>74</v>
      </c>
      <c r="I23" s="3" t="s">
        <v>75</v>
      </c>
      <c r="J23"/>
      <c r="K23"/>
    </row>
    <row r="24" spans="1:15" x14ac:dyDescent="0.3">
      <c r="A24" s="3" t="s">
        <v>52</v>
      </c>
      <c r="B24" s="3" t="s">
        <v>76</v>
      </c>
      <c r="C24" s="3" t="s">
        <v>77</v>
      </c>
      <c r="D24" s="3" t="s">
        <v>36</v>
      </c>
      <c r="E24" s="3" t="s">
        <v>55</v>
      </c>
      <c r="F24" s="3" t="s">
        <v>88</v>
      </c>
      <c r="G24" s="3" t="s">
        <v>89</v>
      </c>
      <c r="H24" s="3" t="s">
        <v>89</v>
      </c>
      <c r="I24" s="3" t="s">
        <v>16</v>
      </c>
      <c r="J24"/>
      <c r="K24"/>
    </row>
    <row r="25" spans="1:15" x14ac:dyDescent="0.3">
      <c r="A25" s="3" t="s">
        <v>58</v>
      </c>
      <c r="B25" s="3" t="s">
        <v>2</v>
      </c>
      <c r="C25" s="3" t="s">
        <v>4</v>
      </c>
      <c r="D25" s="3" t="s">
        <v>36</v>
      </c>
      <c r="E25" s="3" t="s">
        <v>55</v>
      </c>
      <c r="F25" s="3" t="s">
        <v>56</v>
      </c>
      <c r="G25" s="3" t="s">
        <v>10</v>
      </c>
      <c r="H25" s="3" t="s">
        <v>80</v>
      </c>
      <c r="I25" s="3" t="s">
        <v>16</v>
      </c>
      <c r="J25"/>
      <c r="K25"/>
    </row>
    <row r="26" spans="1:15" x14ac:dyDescent="0.3">
      <c r="A26" s="3" t="s">
        <v>61</v>
      </c>
      <c r="B26" s="3" t="s">
        <v>2</v>
      </c>
      <c r="C26" s="3" t="s">
        <v>4</v>
      </c>
      <c r="D26" s="3" t="s">
        <v>36</v>
      </c>
      <c r="E26" s="3" t="s">
        <v>55</v>
      </c>
      <c r="F26" s="3" t="s">
        <v>16</v>
      </c>
      <c r="G26" s="3" t="s">
        <v>16</v>
      </c>
      <c r="H26" s="3" t="s">
        <v>10</v>
      </c>
      <c r="I26" s="3" t="s">
        <v>81</v>
      </c>
      <c r="J26"/>
      <c r="K26"/>
    </row>
    <row r="27" spans="1:15" x14ac:dyDescent="0.3">
      <c r="A27" s="3" t="s">
        <v>70</v>
      </c>
      <c r="J27"/>
      <c r="K27"/>
    </row>
    <row r="28" spans="1:15" x14ac:dyDescent="0.3">
      <c r="A28" s="3" t="s">
        <v>82</v>
      </c>
      <c r="J28"/>
      <c r="K28"/>
    </row>
    <row r="29" spans="1:15" x14ac:dyDescent="0.3">
      <c r="A29" s="3" t="s">
        <v>43</v>
      </c>
      <c r="B29" s="3" t="s">
        <v>83</v>
      </c>
      <c r="C29" s="3" t="s">
        <v>84</v>
      </c>
      <c r="D29" s="3" t="s">
        <v>85</v>
      </c>
      <c r="E29" s="3" t="s">
        <v>47</v>
      </c>
      <c r="F29" s="3" t="s">
        <v>73</v>
      </c>
      <c r="G29" s="3" t="s">
        <v>74</v>
      </c>
      <c r="H29" s="3" t="s">
        <v>75</v>
      </c>
      <c r="J29"/>
      <c r="K29"/>
    </row>
    <row r="30" spans="1:15" x14ac:dyDescent="0.3">
      <c r="A30" s="3" t="s">
        <v>86</v>
      </c>
      <c r="J30"/>
      <c r="K30"/>
    </row>
    <row r="32" spans="1:15" x14ac:dyDescent="0.3">
      <c r="A32" s="3" t="s">
        <v>66</v>
      </c>
      <c r="J32"/>
      <c r="K32"/>
      <c r="L32"/>
      <c r="M32"/>
      <c r="N32"/>
      <c r="O32"/>
    </row>
    <row r="33" spans="1:15" x14ac:dyDescent="0.3">
      <c r="A33" s="3" t="s">
        <v>67</v>
      </c>
      <c r="J33"/>
      <c r="K33"/>
      <c r="L33"/>
      <c r="M33"/>
      <c r="N33"/>
      <c r="O33"/>
    </row>
    <row r="34" spans="1:15" x14ac:dyDescent="0.3">
      <c r="A34" s="3" t="s">
        <v>68</v>
      </c>
      <c r="B34" s="3" t="s">
        <v>62</v>
      </c>
      <c r="J34"/>
      <c r="K34"/>
      <c r="L34"/>
      <c r="M34"/>
      <c r="N34"/>
      <c r="O34"/>
    </row>
    <row r="35" spans="1:15" x14ac:dyDescent="0.3">
      <c r="A35" s="3" t="s">
        <v>69</v>
      </c>
      <c r="B35" s="4" t="s">
        <v>90</v>
      </c>
      <c r="J35"/>
      <c r="K35"/>
      <c r="L35"/>
      <c r="M35"/>
      <c r="N35"/>
      <c r="O35"/>
    </row>
    <row r="36" spans="1:15" x14ac:dyDescent="0.3">
      <c r="A36" s="3" t="s">
        <v>70</v>
      </c>
      <c r="J36"/>
      <c r="K36"/>
      <c r="L36"/>
      <c r="M36"/>
      <c r="N36"/>
      <c r="O36"/>
    </row>
    <row r="37" spans="1:15" x14ac:dyDescent="0.3">
      <c r="A37" s="3" t="s">
        <v>71</v>
      </c>
      <c r="J37"/>
      <c r="K37"/>
      <c r="L37"/>
      <c r="M37"/>
      <c r="N37"/>
      <c r="O37"/>
    </row>
    <row r="38" spans="1:15" x14ac:dyDescent="0.3">
      <c r="A38" s="3" t="s">
        <v>43</v>
      </c>
      <c r="B38" s="3" t="s">
        <v>72</v>
      </c>
      <c r="C38" s="3" t="s">
        <v>3</v>
      </c>
      <c r="D38" s="3" t="s">
        <v>35</v>
      </c>
      <c r="E38" s="3" t="s">
        <v>47</v>
      </c>
      <c r="F38" s="3" t="s">
        <v>48</v>
      </c>
      <c r="G38" s="3" t="s">
        <v>73</v>
      </c>
      <c r="H38" s="3" t="s">
        <v>74</v>
      </c>
      <c r="I38" s="3" t="s">
        <v>75</v>
      </c>
      <c r="J38"/>
      <c r="K38"/>
      <c r="L38"/>
      <c r="M38"/>
      <c r="N38"/>
      <c r="O38"/>
    </row>
    <row r="39" spans="1:15" x14ac:dyDescent="0.3">
      <c r="A39" s="3" t="s">
        <v>52</v>
      </c>
      <c r="B39" s="3" t="s">
        <v>91</v>
      </c>
      <c r="C39" s="3" t="s">
        <v>92</v>
      </c>
      <c r="D39" s="3" t="s">
        <v>93</v>
      </c>
      <c r="E39" s="3" t="s">
        <v>55</v>
      </c>
      <c r="F39" s="3" t="s">
        <v>88</v>
      </c>
      <c r="G39" s="3" t="s">
        <v>94</v>
      </c>
      <c r="H39" s="3" t="s">
        <v>95</v>
      </c>
      <c r="I39" s="3" t="s">
        <v>16</v>
      </c>
      <c r="J39"/>
      <c r="K39"/>
      <c r="L39"/>
      <c r="M39"/>
      <c r="N39"/>
      <c r="O39"/>
    </row>
    <row r="40" spans="1:15" x14ac:dyDescent="0.3">
      <c r="A40" s="3" t="s">
        <v>58</v>
      </c>
      <c r="B40" s="3" t="s">
        <v>76</v>
      </c>
      <c r="C40" s="3" t="s">
        <v>77</v>
      </c>
      <c r="D40" s="3" t="s">
        <v>36</v>
      </c>
      <c r="E40" s="3" t="s">
        <v>55</v>
      </c>
      <c r="F40" s="3" t="s">
        <v>56</v>
      </c>
      <c r="G40" s="3" t="s">
        <v>96</v>
      </c>
      <c r="H40" s="3" t="s">
        <v>97</v>
      </c>
      <c r="I40" s="3" t="s">
        <v>16</v>
      </c>
      <c r="J40"/>
      <c r="K40"/>
      <c r="L40"/>
      <c r="M40"/>
      <c r="N40"/>
      <c r="O40"/>
    </row>
    <row r="41" spans="1:15" x14ac:dyDescent="0.3">
      <c r="A41" s="3" t="s">
        <v>61</v>
      </c>
      <c r="B41" s="3" t="s">
        <v>2</v>
      </c>
      <c r="C41" s="3" t="s">
        <v>4</v>
      </c>
      <c r="D41" s="3" t="s">
        <v>36</v>
      </c>
      <c r="E41" s="3" t="s">
        <v>64</v>
      </c>
      <c r="F41" s="3" t="s">
        <v>56</v>
      </c>
      <c r="G41" s="3" t="s">
        <v>65</v>
      </c>
      <c r="H41" s="3" t="s">
        <v>65</v>
      </c>
      <c r="I41" s="3" t="s">
        <v>16</v>
      </c>
      <c r="J41"/>
      <c r="K41"/>
      <c r="L41"/>
      <c r="M41"/>
      <c r="N41"/>
      <c r="O41"/>
    </row>
    <row r="42" spans="1:15" x14ac:dyDescent="0.3">
      <c r="A42" s="3" t="s">
        <v>98</v>
      </c>
      <c r="B42" s="3" t="s">
        <v>76</v>
      </c>
      <c r="C42" s="3" t="s">
        <v>77</v>
      </c>
      <c r="D42" s="3" t="s">
        <v>36</v>
      </c>
      <c r="E42" s="3" t="s">
        <v>99</v>
      </c>
      <c r="F42" s="3" t="s">
        <v>16</v>
      </c>
      <c r="G42" s="3" t="s">
        <v>16</v>
      </c>
      <c r="H42" s="3" t="s">
        <v>100</v>
      </c>
      <c r="I42" s="3" t="s">
        <v>101</v>
      </c>
      <c r="J42"/>
      <c r="K42"/>
      <c r="L42"/>
      <c r="M42"/>
      <c r="N42"/>
      <c r="O42"/>
    </row>
    <row r="43" spans="1:15" x14ac:dyDescent="0.3">
      <c r="A43" s="3" t="s">
        <v>102</v>
      </c>
      <c r="B43" s="3" t="s">
        <v>76</v>
      </c>
      <c r="C43" s="3" t="s">
        <v>77</v>
      </c>
      <c r="D43" s="3" t="s">
        <v>36</v>
      </c>
      <c r="E43" s="3" t="s">
        <v>103</v>
      </c>
      <c r="F43" s="3" t="s">
        <v>16</v>
      </c>
      <c r="G43" s="3" t="s">
        <v>16</v>
      </c>
      <c r="H43" s="3" t="s">
        <v>100</v>
      </c>
      <c r="I43" s="3" t="s">
        <v>104</v>
      </c>
      <c r="J43"/>
      <c r="K43"/>
      <c r="L43"/>
      <c r="M43"/>
      <c r="N43"/>
      <c r="O43"/>
    </row>
    <row r="44" spans="1:15" x14ac:dyDescent="0.3">
      <c r="A44" s="3" t="s">
        <v>105</v>
      </c>
      <c r="B44" s="3" t="s">
        <v>91</v>
      </c>
      <c r="C44" s="3" t="s">
        <v>92</v>
      </c>
      <c r="D44" s="3" t="s">
        <v>93</v>
      </c>
      <c r="E44" s="3" t="s">
        <v>55</v>
      </c>
      <c r="F44" s="3" t="s">
        <v>16</v>
      </c>
      <c r="G44" s="3" t="s">
        <v>16</v>
      </c>
      <c r="H44" s="3" t="s">
        <v>94</v>
      </c>
      <c r="I44" s="3" t="s">
        <v>106</v>
      </c>
      <c r="J44"/>
      <c r="K44"/>
      <c r="L44"/>
      <c r="M44"/>
      <c r="N44"/>
      <c r="O44"/>
    </row>
    <row r="45" spans="1:15" x14ac:dyDescent="0.3">
      <c r="A45" s="3" t="s">
        <v>107</v>
      </c>
      <c r="B45" s="3" t="s">
        <v>108</v>
      </c>
      <c r="C45" s="3" t="s">
        <v>109</v>
      </c>
      <c r="D45" s="3" t="s">
        <v>36</v>
      </c>
      <c r="E45" s="3" t="s">
        <v>55</v>
      </c>
      <c r="F45" s="3" t="s">
        <v>16</v>
      </c>
      <c r="G45" s="3" t="s">
        <v>16</v>
      </c>
      <c r="H45" s="3" t="s">
        <v>110</v>
      </c>
      <c r="I45" s="3" t="s">
        <v>111</v>
      </c>
      <c r="J45"/>
      <c r="K45"/>
      <c r="L45"/>
      <c r="M45"/>
      <c r="N45"/>
      <c r="O45"/>
    </row>
    <row r="46" spans="1:15" x14ac:dyDescent="0.3">
      <c r="A46" s="3" t="s">
        <v>112</v>
      </c>
      <c r="B46" s="3" t="s">
        <v>108</v>
      </c>
      <c r="C46" s="3" t="s">
        <v>109</v>
      </c>
      <c r="D46" s="3" t="s">
        <v>36</v>
      </c>
      <c r="E46" s="3" t="s">
        <v>113</v>
      </c>
      <c r="F46" s="3" t="s">
        <v>16</v>
      </c>
      <c r="G46" s="3" t="s">
        <v>16</v>
      </c>
      <c r="H46" s="3" t="s">
        <v>114</v>
      </c>
      <c r="I46" s="3" t="s">
        <v>110</v>
      </c>
      <c r="J46"/>
      <c r="K46"/>
      <c r="L46"/>
      <c r="M46"/>
      <c r="N46"/>
      <c r="O46"/>
    </row>
    <row r="47" spans="1:15" x14ac:dyDescent="0.3">
      <c r="A47" s="3" t="s">
        <v>115</v>
      </c>
      <c r="B47" s="3" t="s">
        <v>91</v>
      </c>
      <c r="C47" s="3" t="s">
        <v>92</v>
      </c>
      <c r="D47" s="3" t="s">
        <v>93</v>
      </c>
      <c r="E47" s="3" t="s">
        <v>99</v>
      </c>
      <c r="F47" s="3" t="s">
        <v>16</v>
      </c>
      <c r="G47" s="3" t="s">
        <v>16</v>
      </c>
      <c r="H47" s="3" t="s">
        <v>116</v>
      </c>
      <c r="I47" s="3" t="s">
        <v>95</v>
      </c>
      <c r="J47"/>
      <c r="K47"/>
      <c r="L47"/>
      <c r="M47"/>
      <c r="N47"/>
      <c r="O47"/>
    </row>
    <row r="48" spans="1:15" x14ac:dyDescent="0.3">
      <c r="A48" s="3" t="s">
        <v>117</v>
      </c>
      <c r="B48" s="3" t="s">
        <v>76</v>
      </c>
      <c r="C48" s="3" t="s">
        <v>77</v>
      </c>
      <c r="D48" s="3" t="s">
        <v>36</v>
      </c>
      <c r="E48" s="3" t="s">
        <v>113</v>
      </c>
      <c r="F48" s="3" t="s">
        <v>16</v>
      </c>
      <c r="G48" s="3" t="s">
        <v>16</v>
      </c>
      <c r="H48" s="3" t="s">
        <v>118</v>
      </c>
      <c r="I48" s="3" t="s">
        <v>100</v>
      </c>
      <c r="J48"/>
      <c r="K48"/>
      <c r="L48"/>
      <c r="M48"/>
      <c r="N48"/>
      <c r="O48"/>
    </row>
    <row r="49" spans="1:15" x14ac:dyDescent="0.3">
      <c r="A49" s="3" t="s">
        <v>119</v>
      </c>
      <c r="B49" s="3" t="s">
        <v>76</v>
      </c>
      <c r="C49" s="3" t="s">
        <v>77</v>
      </c>
      <c r="D49" s="3" t="s">
        <v>36</v>
      </c>
      <c r="E49" s="3" t="s">
        <v>55</v>
      </c>
      <c r="F49" s="3" t="s">
        <v>16</v>
      </c>
      <c r="G49" s="3" t="s">
        <v>16</v>
      </c>
      <c r="H49" s="3" t="s">
        <v>120</v>
      </c>
      <c r="I49" s="3" t="s">
        <v>118</v>
      </c>
      <c r="J49"/>
      <c r="K49"/>
      <c r="L49"/>
      <c r="M49"/>
      <c r="N49"/>
      <c r="O49"/>
    </row>
    <row r="50" spans="1:15" x14ac:dyDescent="0.3">
      <c r="A50" s="3" t="s">
        <v>121</v>
      </c>
      <c r="B50" s="3" t="s">
        <v>122</v>
      </c>
      <c r="C50" s="3" t="s">
        <v>123</v>
      </c>
      <c r="D50" s="3" t="s">
        <v>36</v>
      </c>
      <c r="E50" s="3" t="s">
        <v>55</v>
      </c>
      <c r="F50" s="3" t="s">
        <v>16</v>
      </c>
      <c r="G50" s="3" t="s">
        <v>16</v>
      </c>
      <c r="H50" s="3" t="s">
        <v>124</v>
      </c>
      <c r="I50" s="3" t="s">
        <v>125</v>
      </c>
      <c r="J50"/>
      <c r="K50"/>
      <c r="L50"/>
      <c r="M50"/>
      <c r="N50"/>
      <c r="O50"/>
    </row>
    <row r="51" spans="1:15" x14ac:dyDescent="0.3">
      <c r="A51" s="3" t="s">
        <v>126</v>
      </c>
      <c r="B51" s="3" t="s">
        <v>76</v>
      </c>
      <c r="C51" s="3" t="s">
        <v>77</v>
      </c>
      <c r="D51" s="3" t="s">
        <v>36</v>
      </c>
      <c r="E51" s="3" t="s">
        <v>64</v>
      </c>
      <c r="F51" s="3" t="s">
        <v>16</v>
      </c>
      <c r="G51" s="3" t="s">
        <v>16</v>
      </c>
      <c r="H51" s="3" t="s">
        <v>96</v>
      </c>
      <c r="I51" s="3" t="s">
        <v>120</v>
      </c>
      <c r="J51"/>
      <c r="K51"/>
      <c r="L51"/>
      <c r="M51"/>
      <c r="N51"/>
      <c r="O51"/>
    </row>
    <row r="52" spans="1:15" x14ac:dyDescent="0.3">
      <c r="A52" s="3" t="s">
        <v>127</v>
      </c>
      <c r="B52" s="3" t="s">
        <v>91</v>
      </c>
      <c r="C52" s="3" t="s">
        <v>92</v>
      </c>
      <c r="D52" s="3" t="s">
        <v>93</v>
      </c>
      <c r="E52" s="3" t="s">
        <v>55</v>
      </c>
      <c r="F52" s="3" t="s">
        <v>16</v>
      </c>
      <c r="G52" s="3" t="s">
        <v>16</v>
      </c>
      <c r="H52" s="3" t="s">
        <v>128</v>
      </c>
      <c r="I52" s="3" t="s">
        <v>116</v>
      </c>
      <c r="J52"/>
      <c r="K52"/>
      <c r="L52"/>
      <c r="M52"/>
      <c r="N52"/>
      <c r="O52"/>
    </row>
    <row r="53" spans="1:15" x14ac:dyDescent="0.3">
      <c r="A53" s="3" t="s">
        <v>129</v>
      </c>
      <c r="B53" s="3" t="s">
        <v>130</v>
      </c>
      <c r="C53" s="3" t="s">
        <v>131</v>
      </c>
      <c r="D53" s="3" t="s">
        <v>36</v>
      </c>
      <c r="E53" s="3" t="s">
        <v>55</v>
      </c>
      <c r="F53" s="3" t="s">
        <v>16</v>
      </c>
      <c r="G53" s="3" t="s">
        <v>16</v>
      </c>
      <c r="H53" s="3" t="s">
        <v>132</v>
      </c>
      <c r="I53" s="3" t="s">
        <v>133</v>
      </c>
      <c r="J53"/>
      <c r="K53"/>
      <c r="L53"/>
      <c r="M53"/>
      <c r="N53"/>
      <c r="O53"/>
    </row>
    <row r="54" spans="1:15" x14ac:dyDescent="0.3">
      <c r="A54" s="3" t="s">
        <v>70</v>
      </c>
      <c r="J54"/>
      <c r="K54"/>
      <c r="L54"/>
      <c r="M54"/>
      <c r="N54"/>
      <c r="O54"/>
    </row>
    <row r="55" spans="1:15" x14ac:dyDescent="0.3">
      <c r="A55" s="3" t="s">
        <v>82</v>
      </c>
      <c r="J55"/>
      <c r="K55"/>
      <c r="L55"/>
      <c r="M55"/>
      <c r="N55"/>
      <c r="O55"/>
    </row>
    <row r="56" spans="1:15" x14ac:dyDescent="0.3">
      <c r="A56" s="3" t="s">
        <v>43</v>
      </c>
      <c r="B56" s="3" t="s">
        <v>83</v>
      </c>
      <c r="C56" s="3" t="s">
        <v>84</v>
      </c>
      <c r="D56" s="3" t="s">
        <v>85</v>
      </c>
      <c r="E56" s="3" t="s">
        <v>47</v>
      </c>
      <c r="F56" s="3" t="s">
        <v>73</v>
      </c>
      <c r="G56" s="3" t="s">
        <v>74</v>
      </c>
      <c r="H56" s="3" t="s">
        <v>75</v>
      </c>
      <c r="J56"/>
      <c r="K56"/>
      <c r="L56"/>
      <c r="M56"/>
      <c r="N56"/>
      <c r="O56"/>
    </row>
    <row r="57" spans="1:15" x14ac:dyDescent="0.3">
      <c r="A57" s="3" t="s">
        <v>52</v>
      </c>
      <c r="B57" s="3" t="s">
        <v>134</v>
      </c>
      <c r="C57" s="3" t="s">
        <v>135</v>
      </c>
      <c r="D57" s="3" t="s">
        <v>93</v>
      </c>
      <c r="E57" s="3" t="s">
        <v>136</v>
      </c>
      <c r="F57" s="3" t="s">
        <v>16</v>
      </c>
      <c r="G57" s="3" t="s">
        <v>137</v>
      </c>
      <c r="H57" s="3" t="s">
        <v>16</v>
      </c>
      <c r="J57"/>
      <c r="K57"/>
      <c r="L57"/>
      <c r="M57"/>
      <c r="N57"/>
      <c r="O57"/>
    </row>
    <row r="58" spans="1:15" x14ac:dyDescent="0.3">
      <c r="A58" s="3" t="s">
        <v>58</v>
      </c>
      <c r="B58" s="3" t="s">
        <v>134</v>
      </c>
      <c r="C58" s="3" t="s">
        <v>135</v>
      </c>
      <c r="D58" s="3" t="s">
        <v>93</v>
      </c>
      <c r="E58" s="3" t="s">
        <v>138</v>
      </c>
      <c r="F58" s="3" t="s">
        <v>16</v>
      </c>
      <c r="G58" s="3" t="s">
        <v>139</v>
      </c>
      <c r="H58" s="3" t="s">
        <v>140</v>
      </c>
      <c r="J58"/>
      <c r="K58"/>
      <c r="L58"/>
      <c r="M58"/>
      <c r="N58"/>
      <c r="O58"/>
    </row>
    <row r="59" spans="1:15" x14ac:dyDescent="0.3">
      <c r="A59" s="3" t="s">
        <v>61</v>
      </c>
      <c r="B59" s="3" t="s">
        <v>134</v>
      </c>
      <c r="C59" s="3" t="s">
        <v>135</v>
      </c>
      <c r="D59" s="3" t="s">
        <v>93</v>
      </c>
      <c r="E59" s="3" t="s">
        <v>136</v>
      </c>
      <c r="F59" s="3" t="s">
        <v>16</v>
      </c>
      <c r="G59" s="3" t="s">
        <v>141</v>
      </c>
      <c r="H59" s="3" t="s">
        <v>137</v>
      </c>
      <c r="J59"/>
      <c r="K59"/>
      <c r="L59"/>
      <c r="M59"/>
      <c r="N59"/>
      <c r="O5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F9EA3-00E7-4E83-A087-07016C82850E}">
  <dimension ref="B3:C22"/>
  <sheetViews>
    <sheetView workbookViewId="0">
      <selection activeCell="C26" sqref="C26"/>
    </sheetView>
  </sheetViews>
  <sheetFormatPr defaultRowHeight="14.4" x14ac:dyDescent="0.3"/>
  <cols>
    <col min="2" max="2" width="51.109375" customWidth="1"/>
    <col min="3" max="3" width="49.44140625" customWidth="1"/>
  </cols>
  <sheetData>
    <row r="3" spans="2:3" ht="16.8" x14ac:dyDescent="0.3">
      <c r="B3" s="104" t="s">
        <v>142</v>
      </c>
      <c r="C3" s="104"/>
    </row>
    <row r="4" spans="2:3" ht="15" x14ac:dyDescent="0.3">
      <c r="B4" s="6" t="s">
        <v>143</v>
      </c>
      <c r="C4" s="9" t="s">
        <v>53</v>
      </c>
    </row>
    <row r="5" spans="2:3" ht="15" x14ac:dyDescent="0.3">
      <c r="B5" s="6" t="s">
        <v>144</v>
      </c>
      <c r="C5" s="7" t="s">
        <v>54</v>
      </c>
    </row>
    <row r="6" spans="2:3" ht="15" x14ac:dyDescent="0.3">
      <c r="B6" s="6" t="s">
        <v>145</v>
      </c>
      <c r="C6" s="7" t="s">
        <v>146</v>
      </c>
    </row>
    <row r="7" spans="2:3" ht="15" x14ac:dyDescent="0.3">
      <c r="B7" s="6" t="s">
        <v>147</v>
      </c>
      <c r="C7" s="7" t="s">
        <v>18</v>
      </c>
    </row>
    <row r="8" spans="2:3" ht="15" x14ac:dyDescent="0.3">
      <c r="B8" s="6" t="s">
        <v>148</v>
      </c>
      <c r="C8" s="8">
        <v>39126</v>
      </c>
    </row>
    <row r="10" spans="2:3" ht="16.8" x14ac:dyDescent="0.3">
      <c r="B10" s="104" t="s">
        <v>142</v>
      </c>
      <c r="C10" s="104"/>
    </row>
    <row r="11" spans="2:3" ht="15" x14ac:dyDescent="0.3">
      <c r="B11" s="6" t="s">
        <v>143</v>
      </c>
      <c r="C11" s="9" t="s">
        <v>59</v>
      </c>
    </row>
    <row r="12" spans="2:3" ht="15" x14ac:dyDescent="0.3">
      <c r="B12" s="6" t="s">
        <v>144</v>
      </c>
      <c r="C12" s="7" t="s">
        <v>87</v>
      </c>
    </row>
    <row r="13" spans="2:3" ht="15" x14ac:dyDescent="0.3">
      <c r="B13" s="6" t="s">
        <v>145</v>
      </c>
      <c r="C13" s="7" t="s">
        <v>146</v>
      </c>
    </row>
    <row r="14" spans="2:3" ht="15" x14ac:dyDescent="0.3">
      <c r="B14" s="6" t="s">
        <v>147</v>
      </c>
      <c r="C14" s="7" t="s">
        <v>18</v>
      </c>
    </row>
    <row r="15" spans="2:3" ht="15" x14ac:dyDescent="0.3">
      <c r="B15" s="6" t="s">
        <v>148</v>
      </c>
      <c r="C15" s="8">
        <v>39099</v>
      </c>
    </row>
    <row r="17" spans="2:3" ht="16.8" x14ac:dyDescent="0.3">
      <c r="B17" s="104" t="s">
        <v>142</v>
      </c>
      <c r="C17" s="104"/>
    </row>
    <row r="18" spans="2:3" ht="15" x14ac:dyDescent="0.3">
      <c r="B18" s="6" t="s">
        <v>143</v>
      </c>
      <c r="C18" s="9" t="s">
        <v>62</v>
      </c>
    </row>
    <row r="19" spans="2:3" ht="15" x14ac:dyDescent="0.3">
      <c r="B19" s="6" t="s">
        <v>144</v>
      </c>
      <c r="C19" s="7" t="s">
        <v>90</v>
      </c>
    </row>
    <row r="20" spans="2:3" ht="15" x14ac:dyDescent="0.3">
      <c r="B20" s="6" t="s">
        <v>145</v>
      </c>
      <c r="C20" s="7" t="s">
        <v>146</v>
      </c>
    </row>
    <row r="21" spans="2:3" ht="15" x14ac:dyDescent="0.3">
      <c r="B21" s="6" t="s">
        <v>147</v>
      </c>
      <c r="C21" s="7" t="s">
        <v>18</v>
      </c>
    </row>
    <row r="22" spans="2:3" ht="15" x14ac:dyDescent="0.3">
      <c r="B22" s="6" t="s">
        <v>148</v>
      </c>
      <c r="C22" s="8">
        <v>39036</v>
      </c>
    </row>
  </sheetData>
  <mergeCells count="3">
    <mergeCell ref="B3:C3"/>
    <mergeCell ref="B10:C10"/>
    <mergeCell ref="B17:C1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25EF6-84A7-4555-AC95-18E78A8D3D0B}">
  <dimension ref="B1:I47"/>
  <sheetViews>
    <sheetView topLeftCell="A8" workbookViewId="0">
      <selection activeCell="G16" sqref="G16"/>
    </sheetView>
  </sheetViews>
  <sheetFormatPr defaultRowHeight="14.4" x14ac:dyDescent="0.3"/>
  <cols>
    <col min="3" max="3" width="55.44140625" customWidth="1"/>
    <col min="4" max="4" width="24" customWidth="1"/>
  </cols>
  <sheetData>
    <row r="1" spans="2:9" x14ac:dyDescent="0.3">
      <c r="C1" s="5" t="s">
        <v>149</v>
      </c>
      <c r="I1" s="5" t="s">
        <v>150</v>
      </c>
    </row>
    <row r="3" spans="2:9" ht="18" x14ac:dyDescent="0.35">
      <c r="B3" s="101">
        <v>2025</v>
      </c>
      <c r="C3" s="101"/>
      <c r="D3" s="101"/>
      <c r="G3" s="101">
        <v>2025</v>
      </c>
      <c r="H3" s="101"/>
      <c r="I3" s="101"/>
    </row>
    <row r="4" spans="2:9" x14ac:dyDescent="0.3">
      <c r="B4" s="10">
        <v>1</v>
      </c>
      <c r="C4" s="11" t="s">
        <v>151</v>
      </c>
      <c r="D4" s="12"/>
      <c r="E4" s="13"/>
    </row>
    <row r="5" spans="2:9" x14ac:dyDescent="0.3">
      <c r="B5" s="10" t="s">
        <v>315</v>
      </c>
      <c r="C5" s="93" t="s">
        <v>316</v>
      </c>
      <c r="D5" s="94" t="s">
        <v>229</v>
      </c>
      <c r="E5" s="13"/>
    </row>
    <row r="6" spans="2:9" x14ac:dyDescent="0.3">
      <c r="B6" s="14">
        <v>1</v>
      </c>
      <c r="C6" s="100" t="s">
        <v>319</v>
      </c>
      <c r="D6" s="99">
        <v>45783</v>
      </c>
      <c r="E6" s="13"/>
    </row>
    <row r="7" spans="2:9" ht="30" x14ac:dyDescent="0.35">
      <c r="B7" s="14">
        <v>2</v>
      </c>
      <c r="C7" s="15" t="s">
        <v>320</v>
      </c>
      <c r="D7" s="99">
        <v>45783</v>
      </c>
    </row>
    <row r="8" spans="2:9" ht="15" x14ac:dyDescent="0.35">
      <c r="B8" s="14"/>
      <c r="C8" s="15"/>
      <c r="D8" s="99"/>
    </row>
    <row r="9" spans="2:9" x14ac:dyDescent="0.3">
      <c r="B9" s="10">
        <v>2</v>
      </c>
      <c r="C9" s="11" t="s">
        <v>152</v>
      </c>
      <c r="D9" s="12"/>
      <c r="E9" s="13"/>
    </row>
    <row r="10" spans="2:9" ht="15" x14ac:dyDescent="0.35">
      <c r="B10" s="17"/>
      <c r="C10" s="18"/>
      <c r="D10" s="19"/>
    </row>
    <row r="11" spans="2:9" x14ac:dyDescent="0.3">
      <c r="B11" s="10">
        <v>3</v>
      </c>
      <c r="C11" s="11" t="s">
        <v>153</v>
      </c>
      <c r="D11" s="12" t="s">
        <v>154</v>
      </c>
      <c r="E11" s="13"/>
    </row>
    <row r="12" spans="2:9" x14ac:dyDescent="0.3">
      <c r="B12" s="10" t="s">
        <v>315</v>
      </c>
      <c r="C12" s="11" t="s">
        <v>316</v>
      </c>
      <c r="D12" s="12" t="s">
        <v>229</v>
      </c>
      <c r="E12" s="13"/>
    </row>
    <row r="13" spans="2:9" x14ac:dyDescent="0.3">
      <c r="B13" s="14">
        <v>1</v>
      </c>
      <c r="C13" s="98" t="s">
        <v>317</v>
      </c>
      <c r="D13" s="99">
        <v>45783</v>
      </c>
      <c r="E13" s="13"/>
    </row>
    <row r="14" spans="2:9" x14ac:dyDescent="0.3">
      <c r="B14" s="14">
        <v>2</v>
      </c>
      <c r="C14" s="98" t="s">
        <v>318</v>
      </c>
      <c r="D14" s="99">
        <v>45783</v>
      </c>
      <c r="E14" s="13"/>
    </row>
    <row r="15" spans="2:9" x14ac:dyDescent="0.3">
      <c r="B15" s="14"/>
      <c r="C15" s="98"/>
      <c r="D15" s="99"/>
      <c r="E15" s="13"/>
    </row>
    <row r="16" spans="2:9" x14ac:dyDescent="0.3">
      <c r="B16" s="10">
        <v>4</v>
      </c>
      <c r="C16" s="11" t="s">
        <v>155</v>
      </c>
      <c r="D16" s="12" t="s">
        <v>154</v>
      </c>
      <c r="E16" s="13"/>
    </row>
    <row r="17" spans="2:5" x14ac:dyDescent="0.3">
      <c r="B17" s="10"/>
      <c r="C17" s="11"/>
      <c r="D17" s="12"/>
      <c r="E17" s="13"/>
    </row>
    <row r="18" spans="2:5" x14ac:dyDescent="0.3">
      <c r="B18" s="10">
        <v>5</v>
      </c>
      <c r="C18" s="11" t="s">
        <v>156</v>
      </c>
      <c r="D18" s="12"/>
      <c r="E18" s="13"/>
    </row>
    <row r="19" spans="2:5" x14ac:dyDescent="0.3">
      <c r="B19" s="10" t="s">
        <v>315</v>
      </c>
      <c r="C19" s="11" t="s">
        <v>316</v>
      </c>
      <c r="D19" s="12" t="s">
        <v>229</v>
      </c>
    </row>
    <row r="20" spans="2:5" x14ac:dyDescent="0.3">
      <c r="B20" s="14">
        <v>1</v>
      </c>
      <c r="C20" s="95" t="s">
        <v>321</v>
      </c>
      <c r="D20" s="96">
        <v>45943</v>
      </c>
    </row>
    <row r="21" spans="2:5" x14ac:dyDescent="0.3">
      <c r="B21" s="14">
        <v>2</v>
      </c>
      <c r="C21" s="95" t="s">
        <v>322</v>
      </c>
      <c r="D21" s="96">
        <v>45953</v>
      </c>
    </row>
    <row r="22" spans="2:5" x14ac:dyDescent="0.3">
      <c r="B22" s="14"/>
      <c r="C22" s="95"/>
      <c r="D22" s="96"/>
    </row>
    <row r="23" spans="2:5" x14ac:dyDescent="0.3">
      <c r="B23" s="10">
        <v>6</v>
      </c>
      <c r="C23" s="11" t="s">
        <v>157</v>
      </c>
      <c r="D23" s="12"/>
      <c r="E23" s="13"/>
    </row>
    <row r="24" spans="2:5" x14ac:dyDescent="0.3">
      <c r="B24" s="10" t="s">
        <v>315</v>
      </c>
      <c r="C24" s="11" t="s">
        <v>316</v>
      </c>
      <c r="D24" s="12" t="s">
        <v>229</v>
      </c>
    </row>
    <row r="25" spans="2:5" ht="15" x14ac:dyDescent="0.35">
      <c r="B25" s="20"/>
      <c r="C25" s="18"/>
      <c r="D25" s="19"/>
    </row>
    <row r="26" spans="2:5" x14ac:dyDescent="0.3">
      <c r="B26" s="97">
        <v>1</v>
      </c>
      <c r="C26" s="95" t="s">
        <v>323</v>
      </c>
      <c r="D26" s="96">
        <v>45783</v>
      </c>
    </row>
    <row r="27" spans="2:5" x14ac:dyDescent="0.3">
      <c r="B27" s="97">
        <v>2</v>
      </c>
      <c r="C27" s="95" t="s">
        <v>324</v>
      </c>
      <c r="D27" s="96">
        <v>45783</v>
      </c>
    </row>
    <row r="28" spans="2:5" x14ac:dyDescent="0.3">
      <c r="B28" s="97">
        <v>3</v>
      </c>
      <c r="C28" s="95" t="s">
        <v>325</v>
      </c>
      <c r="D28" s="96">
        <v>45825</v>
      </c>
    </row>
    <row r="29" spans="2:5" x14ac:dyDescent="0.3">
      <c r="B29" s="97">
        <v>4</v>
      </c>
      <c r="C29" s="95" t="s">
        <v>326</v>
      </c>
      <c r="D29" s="96">
        <v>45855</v>
      </c>
    </row>
    <row r="30" spans="2:5" x14ac:dyDescent="0.3">
      <c r="B30" s="97">
        <v>5</v>
      </c>
      <c r="C30" s="95" t="s">
        <v>327</v>
      </c>
      <c r="D30" s="96">
        <v>45796</v>
      </c>
    </row>
    <row r="33" spans="2:9" ht="18" x14ac:dyDescent="0.35">
      <c r="B33" s="101">
        <v>2026</v>
      </c>
      <c r="C33" s="101"/>
      <c r="D33" s="101"/>
      <c r="G33" s="101">
        <v>2026</v>
      </c>
      <c r="H33" s="101"/>
      <c r="I33" s="101"/>
    </row>
    <row r="34" spans="2:9" x14ac:dyDescent="0.3">
      <c r="B34" s="21">
        <v>1</v>
      </c>
      <c r="C34" s="22" t="s">
        <v>151</v>
      </c>
      <c r="D34" s="23" t="s">
        <v>154</v>
      </c>
      <c r="E34" s="13"/>
    </row>
    <row r="35" spans="2:9" x14ac:dyDescent="0.3">
      <c r="B35" s="21">
        <v>2</v>
      </c>
      <c r="C35" s="22" t="s">
        <v>152</v>
      </c>
      <c r="D35" s="23"/>
      <c r="E35" s="13"/>
    </row>
    <row r="36" spans="2:9" ht="15" x14ac:dyDescent="0.35">
      <c r="B36" s="24"/>
      <c r="C36" s="18"/>
      <c r="D36" s="19"/>
      <c r="E36" s="5"/>
    </row>
    <row r="37" spans="2:9" ht="15" x14ac:dyDescent="0.35">
      <c r="B37" s="25"/>
      <c r="C37" s="15"/>
      <c r="D37" s="16"/>
    </row>
    <row r="38" spans="2:9" ht="15" x14ac:dyDescent="0.35">
      <c r="B38" s="25"/>
      <c r="C38" s="15"/>
      <c r="D38" s="16"/>
    </row>
    <row r="39" spans="2:9" ht="15" x14ac:dyDescent="0.35">
      <c r="B39" s="25"/>
      <c r="C39" s="15"/>
      <c r="D39" s="16"/>
    </row>
    <row r="40" spans="2:9" ht="15" x14ac:dyDescent="0.35">
      <c r="B40" s="25"/>
      <c r="C40" s="15"/>
      <c r="D40" s="16"/>
    </row>
    <row r="41" spans="2:9" ht="15" x14ac:dyDescent="0.35">
      <c r="B41" s="25"/>
      <c r="C41" s="15"/>
      <c r="D41" s="16"/>
    </row>
    <row r="42" spans="2:9" ht="15" x14ac:dyDescent="0.35">
      <c r="B42" s="25"/>
      <c r="C42" s="15"/>
      <c r="D42" s="16"/>
    </row>
    <row r="43" spans="2:9" ht="15" x14ac:dyDescent="0.35">
      <c r="B43" s="24"/>
      <c r="C43" s="18"/>
      <c r="D43" s="19"/>
      <c r="E43" s="5"/>
    </row>
    <row r="44" spans="2:9" x14ac:dyDescent="0.3">
      <c r="B44" s="21">
        <v>3</v>
      </c>
      <c r="C44" s="22" t="s">
        <v>153</v>
      </c>
      <c r="D44" s="23" t="s">
        <v>154</v>
      </c>
    </row>
    <row r="45" spans="2:9" x14ac:dyDescent="0.3">
      <c r="B45" s="21">
        <v>4</v>
      </c>
      <c r="C45" s="22" t="s">
        <v>155</v>
      </c>
      <c r="D45" s="23" t="s">
        <v>154</v>
      </c>
    </row>
    <row r="46" spans="2:9" x14ac:dyDescent="0.3">
      <c r="B46" s="21">
        <v>5</v>
      </c>
      <c r="C46" s="22" t="s">
        <v>156</v>
      </c>
      <c r="D46" s="23" t="s">
        <v>154</v>
      </c>
    </row>
    <row r="47" spans="2:9" x14ac:dyDescent="0.3">
      <c r="B47" s="21">
        <v>6</v>
      </c>
      <c r="C47" s="22" t="s">
        <v>157</v>
      </c>
      <c r="D47" s="23" t="s">
        <v>154</v>
      </c>
    </row>
  </sheetData>
  <mergeCells count="4">
    <mergeCell ref="B3:D3"/>
    <mergeCell ref="G3:I3"/>
    <mergeCell ref="B33:D33"/>
    <mergeCell ref="G33:I3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C64ED-720C-4CAF-8166-6E885EBE93D9}">
  <dimension ref="A1:L19"/>
  <sheetViews>
    <sheetView topLeftCell="A4" workbookViewId="0">
      <selection activeCell="B11" sqref="B11"/>
    </sheetView>
  </sheetViews>
  <sheetFormatPr defaultColWidth="8.77734375" defaultRowHeight="14.4" x14ac:dyDescent="0.3"/>
  <cols>
    <col min="1" max="1" width="9.109375" style="26" customWidth="1"/>
    <col min="2" max="2" width="38.21875" style="26" customWidth="1"/>
    <col min="3" max="3" width="28" style="26" customWidth="1"/>
    <col min="4" max="4" width="27.109375" style="26" customWidth="1"/>
    <col min="5" max="5" width="19.77734375" style="26" customWidth="1"/>
    <col min="6" max="6" width="31.44140625" style="26" customWidth="1"/>
    <col min="7" max="7" width="34.21875" style="26" customWidth="1"/>
    <col min="8" max="8" width="23.33203125" style="26" customWidth="1"/>
    <col min="9" max="9" width="22.44140625" style="26" customWidth="1"/>
    <col min="10" max="10" width="32.88671875" style="26" customWidth="1"/>
    <col min="11" max="11" width="24.109375" style="26" customWidth="1"/>
    <col min="12" max="12" width="28.109375" style="26" customWidth="1"/>
    <col min="13" max="16384" width="8.77734375" style="26"/>
  </cols>
  <sheetData>
    <row r="1" spans="1:12" x14ac:dyDescent="0.3">
      <c r="A1" s="105" t="s">
        <v>158</v>
      </c>
      <c r="B1" s="105"/>
      <c r="C1" s="105"/>
    </row>
    <row r="3" spans="1:12" ht="55.2" x14ac:dyDescent="0.3">
      <c r="A3" s="27" t="s">
        <v>159</v>
      </c>
      <c r="B3" s="27" t="s">
        <v>160</v>
      </c>
      <c r="C3" s="27" t="s">
        <v>161</v>
      </c>
      <c r="D3" s="28" t="s">
        <v>162</v>
      </c>
      <c r="E3" s="27" t="s">
        <v>163</v>
      </c>
      <c r="F3" s="27" t="s">
        <v>164</v>
      </c>
      <c r="G3" s="27" t="s">
        <v>165</v>
      </c>
      <c r="H3" s="27" t="s">
        <v>166</v>
      </c>
      <c r="I3" s="27" t="s">
        <v>167</v>
      </c>
      <c r="J3" s="27" t="s">
        <v>168</v>
      </c>
      <c r="K3" s="27" t="s">
        <v>169</v>
      </c>
      <c r="L3" s="27" t="s">
        <v>170</v>
      </c>
    </row>
    <row r="4" spans="1:12" x14ac:dyDescent="0.3">
      <c r="A4" s="29">
        <v>9</v>
      </c>
      <c r="B4" s="30" t="s">
        <v>171</v>
      </c>
      <c r="C4" s="31"/>
      <c r="D4" s="32">
        <v>45736</v>
      </c>
      <c r="E4" s="33"/>
      <c r="F4" s="29" t="s">
        <v>18</v>
      </c>
      <c r="G4" s="29" t="s">
        <v>172</v>
      </c>
      <c r="H4" s="33"/>
      <c r="I4" s="31"/>
      <c r="J4" s="29"/>
      <c r="K4" s="33"/>
      <c r="L4" s="31"/>
    </row>
    <row r="5" spans="1:12" ht="28.8" x14ac:dyDescent="0.3">
      <c r="A5" s="29">
        <v>4</v>
      </c>
      <c r="B5" s="30" t="s">
        <v>173</v>
      </c>
      <c r="C5" s="31">
        <f>I5+30</f>
        <v>45767</v>
      </c>
      <c r="D5" s="32">
        <v>45765</v>
      </c>
      <c r="E5" s="29" t="s">
        <v>174</v>
      </c>
      <c r="F5" s="29" t="s">
        <v>18</v>
      </c>
      <c r="G5" s="29" t="s">
        <v>175</v>
      </c>
      <c r="H5" s="29"/>
      <c r="I5" s="31">
        <v>45737</v>
      </c>
      <c r="J5" s="31" t="s">
        <v>176</v>
      </c>
      <c r="K5" s="29">
        <v>8</v>
      </c>
      <c r="L5" s="31">
        <v>45737</v>
      </c>
    </row>
    <row r="6" spans="1:12" ht="28.8" x14ac:dyDescent="0.3">
      <c r="A6" s="29">
        <v>11</v>
      </c>
      <c r="B6" s="30" t="s">
        <v>177</v>
      </c>
      <c r="C6" s="31">
        <f>I6+30</f>
        <v>45767</v>
      </c>
      <c r="D6" s="32">
        <v>45766</v>
      </c>
      <c r="E6" s="33" t="s">
        <v>178</v>
      </c>
      <c r="F6" s="33" t="s">
        <v>18</v>
      </c>
      <c r="G6" s="29" t="s">
        <v>179</v>
      </c>
      <c r="H6" s="33"/>
      <c r="I6" s="31">
        <v>45737</v>
      </c>
      <c r="J6" s="31" t="s">
        <v>180</v>
      </c>
      <c r="K6" s="33" t="s">
        <v>181</v>
      </c>
      <c r="L6" s="31">
        <v>45737</v>
      </c>
    </row>
    <row r="7" spans="1:12" ht="28.8" x14ac:dyDescent="0.3">
      <c r="A7" s="29">
        <v>1</v>
      </c>
      <c r="B7" s="30" t="s">
        <v>182</v>
      </c>
      <c r="C7" s="31">
        <f t="shared" ref="C7:C8" si="0">J7+30</f>
        <v>45784</v>
      </c>
      <c r="D7" s="32">
        <v>45783</v>
      </c>
      <c r="E7" s="29" t="s">
        <v>183</v>
      </c>
      <c r="F7" s="29" t="s">
        <v>18</v>
      </c>
      <c r="G7" s="29" t="s">
        <v>184</v>
      </c>
      <c r="H7" s="29">
        <v>10</v>
      </c>
      <c r="I7" s="31">
        <v>45754</v>
      </c>
      <c r="J7" s="31">
        <v>45754</v>
      </c>
      <c r="K7" s="29">
        <v>10</v>
      </c>
      <c r="L7" s="31">
        <v>45754</v>
      </c>
    </row>
    <row r="8" spans="1:12" ht="28.8" x14ac:dyDescent="0.3">
      <c r="A8" s="29">
        <v>3</v>
      </c>
      <c r="B8" s="30" t="s">
        <v>182</v>
      </c>
      <c r="C8" s="31">
        <f t="shared" si="0"/>
        <v>45784</v>
      </c>
      <c r="D8" s="32">
        <v>45783</v>
      </c>
      <c r="E8" s="29" t="s">
        <v>185</v>
      </c>
      <c r="F8" s="29" t="s">
        <v>18</v>
      </c>
      <c r="G8" s="29" t="s">
        <v>186</v>
      </c>
      <c r="H8" s="29">
        <v>11</v>
      </c>
      <c r="I8" s="31">
        <v>45754</v>
      </c>
      <c r="J8" s="31">
        <v>45754</v>
      </c>
      <c r="K8" s="29">
        <v>11</v>
      </c>
      <c r="L8" s="31">
        <v>45754</v>
      </c>
    </row>
    <row r="9" spans="1:12" ht="28.8" x14ac:dyDescent="0.3">
      <c r="A9" s="29">
        <v>5</v>
      </c>
      <c r="B9" s="30" t="s">
        <v>187</v>
      </c>
      <c r="C9" s="31">
        <v>45791</v>
      </c>
      <c r="D9" s="32">
        <v>45783</v>
      </c>
      <c r="E9" s="29" t="s">
        <v>188</v>
      </c>
      <c r="F9" s="29" t="s">
        <v>18</v>
      </c>
      <c r="G9" s="29" t="s">
        <v>184</v>
      </c>
      <c r="H9" s="29">
        <v>10</v>
      </c>
      <c r="I9" s="31">
        <v>45754</v>
      </c>
      <c r="J9" s="31">
        <v>45754</v>
      </c>
      <c r="K9" s="29">
        <v>10</v>
      </c>
      <c r="L9" s="31">
        <v>45754</v>
      </c>
    </row>
    <row r="10" spans="1:12" ht="28.8" x14ac:dyDescent="0.3">
      <c r="A10" s="29">
        <v>2</v>
      </c>
      <c r="B10" s="30" t="s">
        <v>189</v>
      </c>
      <c r="C10" s="31">
        <f>J10+30</f>
        <v>45784</v>
      </c>
      <c r="D10" s="32">
        <v>45784</v>
      </c>
      <c r="E10" s="29" t="s">
        <v>190</v>
      </c>
      <c r="F10" s="29" t="s">
        <v>18</v>
      </c>
      <c r="G10" s="29" t="s">
        <v>191</v>
      </c>
      <c r="H10" s="29">
        <v>12</v>
      </c>
      <c r="I10" s="31">
        <v>45754</v>
      </c>
      <c r="J10" s="31">
        <v>45754</v>
      </c>
      <c r="K10" s="29">
        <v>12</v>
      </c>
      <c r="L10" s="31">
        <v>45754</v>
      </c>
    </row>
    <row r="11" spans="1:12" x14ac:dyDescent="0.3">
      <c r="A11" s="29">
        <v>8</v>
      </c>
      <c r="B11" s="30" t="s">
        <v>192</v>
      </c>
      <c r="C11" s="34">
        <v>45808</v>
      </c>
      <c r="D11" s="32">
        <v>45796</v>
      </c>
      <c r="E11" s="31" t="s">
        <v>193</v>
      </c>
      <c r="F11" s="29" t="s">
        <v>18</v>
      </c>
      <c r="G11" s="29" t="s">
        <v>194</v>
      </c>
      <c r="H11" s="33"/>
      <c r="I11" s="31"/>
      <c r="J11" s="29" t="s">
        <v>180</v>
      </c>
      <c r="K11" s="29">
        <v>11</v>
      </c>
      <c r="L11" s="31">
        <v>45737</v>
      </c>
    </row>
    <row r="12" spans="1:12" ht="28.8" x14ac:dyDescent="0.3">
      <c r="A12" s="29">
        <v>6</v>
      </c>
      <c r="B12" s="30" t="s">
        <v>195</v>
      </c>
      <c r="C12" s="31">
        <f>J12+30</f>
        <v>45822</v>
      </c>
      <c r="D12" s="32">
        <v>45805</v>
      </c>
      <c r="E12" s="29" t="s">
        <v>196</v>
      </c>
      <c r="F12" s="29" t="s">
        <v>18</v>
      </c>
      <c r="G12" s="29" t="s">
        <v>184</v>
      </c>
      <c r="H12" s="29">
        <v>10</v>
      </c>
      <c r="I12" s="31">
        <v>45754</v>
      </c>
      <c r="J12" s="31">
        <v>45792</v>
      </c>
      <c r="K12" s="29"/>
      <c r="L12" s="31">
        <v>45754</v>
      </c>
    </row>
    <row r="13" spans="1:12" x14ac:dyDescent="0.3">
      <c r="A13" s="29">
        <v>10</v>
      </c>
      <c r="B13" s="30" t="s">
        <v>197</v>
      </c>
      <c r="C13" s="31">
        <v>45838</v>
      </c>
      <c r="D13" s="32">
        <v>45825</v>
      </c>
      <c r="E13" s="33" t="s">
        <v>198</v>
      </c>
      <c r="F13" s="29" t="s">
        <v>18</v>
      </c>
      <c r="G13" s="29" t="s">
        <v>199</v>
      </c>
      <c r="H13" s="33"/>
      <c r="I13" s="31">
        <v>45456</v>
      </c>
      <c r="J13" s="31"/>
      <c r="K13" s="29">
        <v>1</v>
      </c>
      <c r="L13" s="31">
        <v>45456</v>
      </c>
    </row>
    <row r="14" spans="1:12" ht="28.8" x14ac:dyDescent="0.3">
      <c r="A14" s="29">
        <v>7</v>
      </c>
      <c r="B14" s="30" t="s">
        <v>200</v>
      </c>
      <c r="C14" s="31"/>
      <c r="D14" s="32">
        <v>45855</v>
      </c>
      <c r="E14" s="29" t="s">
        <v>201</v>
      </c>
      <c r="F14" s="29" t="s">
        <v>57</v>
      </c>
      <c r="G14" s="29" t="s">
        <v>202</v>
      </c>
      <c r="H14" s="29"/>
      <c r="I14" s="31"/>
      <c r="J14" s="31" t="s">
        <v>176</v>
      </c>
      <c r="K14" s="29"/>
      <c r="L14" s="31">
        <v>45638</v>
      </c>
    </row>
    <row r="15" spans="1:12" x14ac:dyDescent="0.3">
      <c r="A15" s="29">
        <v>12</v>
      </c>
      <c r="B15" s="30" t="s">
        <v>203</v>
      </c>
      <c r="C15" s="31">
        <v>45953</v>
      </c>
      <c r="D15" s="32">
        <v>45940</v>
      </c>
      <c r="E15" s="33" t="s">
        <v>204</v>
      </c>
      <c r="F15" s="33" t="s">
        <v>18</v>
      </c>
      <c r="G15" s="29" t="s">
        <v>205</v>
      </c>
      <c r="H15" s="33">
        <v>13</v>
      </c>
      <c r="I15" s="31">
        <v>45841</v>
      </c>
      <c r="J15" s="31">
        <v>45924</v>
      </c>
      <c r="K15" s="33">
        <v>13</v>
      </c>
      <c r="L15" s="31">
        <v>45841</v>
      </c>
    </row>
    <row r="16" spans="1:12" x14ac:dyDescent="0.3">
      <c r="A16" s="29">
        <v>13</v>
      </c>
      <c r="B16" s="30" t="s">
        <v>206</v>
      </c>
      <c r="C16" s="31">
        <v>46053</v>
      </c>
      <c r="D16" s="31">
        <v>45943</v>
      </c>
      <c r="E16" s="33" t="s">
        <v>207</v>
      </c>
      <c r="F16" s="33" t="s">
        <v>18</v>
      </c>
      <c r="G16" s="29" t="s">
        <v>208</v>
      </c>
      <c r="H16" s="33">
        <v>10</v>
      </c>
      <c r="I16" s="31">
        <v>45841</v>
      </c>
      <c r="J16" s="31">
        <v>45924</v>
      </c>
      <c r="K16" s="33">
        <v>10</v>
      </c>
      <c r="L16" s="31">
        <v>45841</v>
      </c>
    </row>
    <row r="17" spans="1:12" x14ac:dyDescent="0.3">
      <c r="A17" s="29">
        <v>14</v>
      </c>
      <c r="B17" s="30" t="s">
        <v>209</v>
      </c>
      <c r="C17" s="31">
        <v>46053</v>
      </c>
      <c r="D17" s="31">
        <v>45953</v>
      </c>
      <c r="E17" s="33" t="s">
        <v>210</v>
      </c>
      <c r="F17" s="33" t="s">
        <v>18</v>
      </c>
      <c r="G17" s="29" t="s">
        <v>211</v>
      </c>
      <c r="H17" s="33">
        <v>10</v>
      </c>
      <c r="I17" s="31">
        <v>45841</v>
      </c>
      <c r="J17" s="31">
        <v>45924</v>
      </c>
      <c r="K17" s="33">
        <v>10</v>
      </c>
      <c r="L17" s="31">
        <v>45841</v>
      </c>
    </row>
    <row r="18" spans="1:12" x14ac:dyDescent="0.3">
      <c r="A18" s="30">
        <v>15</v>
      </c>
      <c r="B18" s="30" t="s">
        <v>328</v>
      </c>
      <c r="C18" s="108">
        <v>46107</v>
      </c>
      <c r="D18" s="108">
        <v>46122</v>
      </c>
      <c r="E18" s="30" t="s">
        <v>329</v>
      </c>
      <c r="F18" s="30" t="s">
        <v>330</v>
      </c>
      <c r="G18" s="30" t="s">
        <v>331</v>
      </c>
      <c r="H18" s="30" t="s">
        <v>332</v>
      </c>
      <c r="I18" s="108">
        <v>46107</v>
      </c>
      <c r="J18" s="30"/>
      <c r="K18" s="30" t="s">
        <v>332</v>
      </c>
      <c r="L18" s="108">
        <v>46107</v>
      </c>
    </row>
    <row r="19" spans="1:12" ht="28.8" x14ac:dyDescent="0.3">
      <c r="A19" s="30">
        <v>16</v>
      </c>
      <c r="B19" s="30" t="s">
        <v>328</v>
      </c>
      <c r="C19" s="108">
        <v>46107</v>
      </c>
      <c r="D19" s="108">
        <v>46136</v>
      </c>
      <c r="E19" s="30" t="s">
        <v>333</v>
      </c>
      <c r="F19" s="30" t="s">
        <v>330</v>
      </c>
      <c r="G19" s="109" t="s">
        <v>334</v>
      </c>
      <c r="H19" s="30" t="s">
        <v>335</v>
      </c>
      <c r="I19" s="108">
        <v>46107</v>
      </c>
      <c r="J19" s="30"/>
      <c r="K19" s="30" t="s">
        <v>335</v>
      </c>
      <c r="L19" s="108">
        <v>46107</v>
      </c>
    </row>
  </sheetData>
  <mergeCells count="1">
    <mergeCell ref="A1:C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732D0-DDB6-4275-9D13-612F0E444D0B}">
  <dimension ref="B2:K33"/>
  <sheetViews>
    <sheetView tabSelected="1" topLeftCell="A4" workbookViewId="0">
      <selection activeCell="B15" sqref="B15"/>
    </sheetView>
  </sheetViews>
  <sheetFormatPr defaultRowHeight="14.4" x14ac:dyDescent="0.3"/>
  <cols>
    <col min="2" max="2" width="37.88671875" customWidth="1"/>
    <col min="3" max="3" width="39.44140625" customWidth="1"/>
    <col min="4" max="4" width="10.88671875" customWidth="1"/>
    <col min="5" max="5" width="14.5546875" customWidth="1"/>
    <col min="6" max="6" width="16.21875" customWidth="1"/>
    <col min="7" max="7" width="16.5546875" customWidth="1"/>
    <col min="8" max="8" width="12.5546875" customWidth="1"/>
    <col min="9" max="9" width="13.109375" customWidth="1"/>
    <col min="10" max="10" width="15" customWidth="1"/>
    <col min="11" max="11" width="11" customWidth="1"/>
  </cols>
  <sheetData>
    <row r="2" spans="2:3" ht="16.8" customHeight="1" x14ac:dyDescent="0.3">
      <c r="B2" s="35" t="s">
        <v>212</v>
      </c>
      <c r="C2" s="36" t="s">
        <v>213</v>
      </c>
    </row>
    <row r="3" spans="2:3" ht="31.2" customHeight="1" x14ac:dyDescent="0.3">
      <c r="B3" s="37" t="s">
        <v>214</v>
      </c>
      <c r="C3" s="38" t="s">
        <v>18</v>
      </c>
    </row>
    <row r="4" spans="2:3" ht="27.6" x14ac:dyDescent="0.3">
      <c r="B4" s="37" t="s">
        <v>215</v>
      </c>
      <c r="C4" s="38" t="s">
        <v>57</v>
      </c>
    </row>
    <row r="5" spans="2:3" ht="22.2" customHeight="1" x14ac:dyDescent="0.3">
      <c r="B5" s="39" t="s">
        <v>216</v>
      </c>
      <c r="C5" s="40" t="s">
        <v>18</v>
      </c>
    </row>
    <row r="8" spans="2:3" ht="15.6" x14ac:dyDescent="0.3">
      <c r="B8" s="1"/>
    </row>
    <row r="9" spans="2:3" ht="45" customHeight="1" x14ac:dyDescent="0.3">
      <c r="B9" s="41" t="s">
        <v>217</v>
      </c>
      <c r="C9" s="42" t="s">
        <v>218</v>
      </c>
    </row>
    <row r="10" spans="2:3" ht="32.4" customHeight="1" x14ac:dyDescent="0.3">
      <c r="B10" s="43" t="s">
        <v>175</v>
      </c>
      <c r="C10" s="44" t="s">
        <v>336</v>
      </c>
    </row>
    <row r="11" spans="2:3" ht="27" customHeight="1" x14ac:dyDescent="0.3">
      <c r="B11" s="43" t="s">
        <v>219</v>
      </c>
      <c r="C11" s="44" t="s">
        <v>337</v>
      </c>
    </row>
    <row r="12" spans="2:3" ht="51.6" customHeight="1" x14ac:dyDescent="0.3">
      <c r="B12" s="43" t="s">
        <v>220</v>
      </c>
      <c r="C12" s="44" t="s">
        <v>337</v>
      </c>
    </row>
    <row r="13" spans="2:3" ht="31.2" x14ac:dyDescent="0.3">
      <c r="B13" s="43" t="s">
        <v>221</v>
      </c>
      <c r="C13" s="44" t="s">
        <v>338</v>
      </c>
    </row>
    <row r="14" spans="2:3" ht="45.6" customHeight="1" x14ac:dyDescent="0.3">
      <c r="B14" s="43" t="s">
        <v>222</v>
      </c>
      <c r="C14" s="44" t="s">
        <v>339</v>
      </c>
    </row>
    <row r="15" spans="2:3" ht="43.2" customHeight="1" x14ac:dyDescent="0.3">
      <c r="B15" s="43" t="s">
        <v>223</v>
      </c>
      <c r="C15" s="44" t="s">
        <v>339</v>
      </c>
    </row>
    <row r="16" spans="2:3" ht="29.4" customHeight="1" x14ac:dyDescent="0.3">
      <c r="B16" s="43" t="s">
        <v>224</v>
      </c>
      <c r="C16" s="44" t="s">
        <v>339</v>
      </c>
    </row>
    <row r="17" spans="2:11" ht="30" customHeight="1" x14ac:dyDescent="0.3">
      <c r="B17" s="113" t="s">
        <v>225</v>
      </c>
      <c r="C17" s="114" t="s">
        <v>353</v>
      </c>
    </row>
    <row r="18" spans="2:11" ht="46.2" customHeight="1" x14ac:dyDescent="0.3">
      <c r="B18" s="113" t="s">
        <v>226</v>
      </c>
      <c r="C18" s="114" t="s">
        <v>340</v>
      </c>
    </row>
    <row r="22" spans="2:11" ht="11.4" customHeight="1" x14ac:dyDescent="0.3">
      <c r="B22" t="s">
        <v>341</v>
      </c>
      <c r="D22" s="48">
        <v>45737</v>
      </c>
    </row>
    <row r="23" spans="2:11" ht="36" customHeight="1" x14ac:dyDescent="0.3">
      <c r="B23" s="45" t="s">
        <v>227</v>
      </c>
      <c r="C23" s="22" t="s">
        <v>228</v>
      </c>
      <c r="D23" s="46" t="s">
        <v>229</v>
      </c>
      <c r="E23" s="46" t="s">
        <v>230</v>
      </c>
      <c r="F23" s="46" t="s">
        <v>231</v>
      </c>
      <c r="G23" s="46" t="s">
        <v>232</v>
      </c>
      <c r="H23" s="22" t="s">
        <v>233</v>
      </c>
      <c r="I23" s="22" t="s">
        <v>234</v>
      </c>
      <c r="J23" s="22" t="s">
        <v>235</v>
      </c>
      <c r="K23" s="22" t="s">
        <v>236</v>
      </c>
    </row>
    <row r="24" spans="2:11" ht="15.6" x14ac:dyDescent="0.3">
      <c r="B24" s="25"/>
      <c r="C24" s="110" t="s">
        <v>237</v>
      </c>
      <c r="D24" s="51">
        <v>45754</v>
      </c>
      <c r="E24" s="25">
        <f>D24-D22</f>
        <v>17</v>
      </c>
      <c r="F24" s="111">
        <v>45756</v>
      </c>
      <c r="G24" s="25" t="s">
        <v>242</v>
      </c>
      <c r="H24" s="25" t="s">
        <v>242</v>
      </c>
      <c r="I24" s="25" t="s">
        <v>242</v>
      </c>
      <c r="J24" s="25" t="s">
        <v>242</v>
      </c>
      <c r="K24" s="25" t="s">
        <v>242</v>
      </c>
    </row>
    <row r="25" spans="2:11" x14ac:dyDescent="0.3">
      <c r="B25" s="25"/>
      <c r="C25" s="110" t="s">
        <v>238</v>
      </c>
      <c r="D25" s="51">
        <v>45841</v>
      </c>
      <c r="E25" s="25">
        <f>D25-D24</f>
        <v>87</v>
      </c>
      <c r="F25" s="112">
        <v>45834</v>
      </c>
      <c r="G25" s="25" t="s">
        <v>242</v>
      </c>
      <c r="H25" s="25" t="s">
        <v>243</v>
      </c>
      <c r="I25" s="25" t="s">
        <v>242</v>
      </c>
      <c r="J25" s="25" t="s">
        <v>242</v>
      </c>
      <c r="K25" s="25" t="s">
        <v>242</v>
      </c>
    </row>
    <row r="26" spans="2:11" x14ac:dyDescent="0.3">
      <c r="B26" s="25"/>
      <c r="C26" s="110" t="s">
        <v>239</v>
      </c>
      <c r="D26" s="51">
        <v>45924</v>
      </c>
      <c r="E26" s="25">
        <f>D26-D25</f>
        <v>83</v>
      </c>
      <c r="F26" s="51">
        <v>45910</v>
      </c>
      <c r="G26" s="25" t="s">
        <v>243</v>
      </c>
      <c r="H26" s="25" t="s">
        <v>242</v>
      </c>
      <c r="I26" s="25" t="s">
        <v>242</v>
      </c>
      <c r="J26" s="25" t="s">
        <v>242</v>
      </c>
      <c r="K26" s="25" t="s">
        <v>242</v>
      </c>
    </row>
    <row r="27" spans="2:11" x14ac:dyDescent="0.3">
      <c r="B27" s="25"/>
      <c r="C27" s="110" t="s">
        <v>240</v>
      </c>
      <c r="D27" s="51">
        <v>46009</v>
      </c>
      <c r="E27" s="25">
        <f>D27-D26</f>
        <v>85</v>
      </c>
      <c r="F27" s="51">
        <v>46002</v>
      </c>
      <c r="G27" s="25" t="s">
        <v>242</v>
      </c>
      <c r="H27" s="25" t="s">
        <v>243</v>
      </c>
      <c r="I27" s="25" t="s">
        <v>243</v>
      </c>
      <c r="J27" s="25" t="s">
        <v>243</v>
      </c>
      <c r="K27" s="25" t="s">
        <v>242</v>
      </c>
    </row>
    <row r="28" spans="2:11" x14ac:dyDescent="0.3">
      <c r="B28" s="25"/>
      <c r="C28" s="110" t="s">
        <v>241</v>
      </c>
      <c r="D28" s="51">
        <v>46107</v>
      </c>
      <c r="E28" s="25">
        <f>D28-D27</f>
        <v>98</v>
      </c>
      <c r="F28" s="112">
        <v>46098</v>
      </c>
      <c r="G28" s="25" t="s">
        <v>242</v>
      </c>
      <c r="H28" s="25" t="s">
        <v>242</v>
      </c>
      <c r="I28" s="25" t="s">
        <v>242</v>
      </c>
      <c r="J28" s="25" t="s">
        <v>243</v>
      </c>
      <c r="K28" s="25" t="s">
        <v>243</v>
      </c>
    </row>
    <row r="29" spans="2:11" x14ac:dyDescent="0.3">
      <c r="C29" s="47"/>
    </row>
    <row r="30" spans="2:11" x14ac:dyDescent="0.3">
      <c r="C30" s="47"/>
    </row>
    <row r="31" spans="2:11" x14ac:dyDescent="0.3">
      <c r="B31" s="21" t="s">
        <v>244</v>
      </c>
      <c r="C31" s="21" t="s">
        <v>229</v>
      </c>
      <c r="D31" s="21" t="s">
        <v>245</v>
      </c>
      <c r="E31" s="21" t="s">
        <v>246</v>
      </c>
    </row>
    <row r="32" spans="2:11" x14ac:dyDescent="0.3">
      <c r="B32" t="s">
        <v>247</v>
      </c>
      <c r="C32" s="48">
        <v>45924</v>
      </c>
      <c r="D32" s="48">
        <v>45841</v>
      </c>
      <c r="E32" t="s">
        <v>243</v>
      </c>
    </row>
    <row r="33" spans="2:5" x14ac:dyDescent="0.3">
      <c r="B33" t="s">
        <v>248</v>
      </c>
      <c r="C33" s="48">
        <v>45754</v>
      </c>
      <c r="D33" s="48">
        <v>45754</v>
      </c>
      <c r="E33" t="s">
        <v>242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3D940-469A-4775-A7DD-F6A717B1468C}">
  <dimension ref="C7:P24"/>
  <sheetViews>
    <sheetView topLeftCell="A8" workbookViewId="0">
      <selection activeCell="F26" sqref="F26"/>
    </sheetView>
  </sheetViews>
  <sheetFormatPr defaultRowHeight="14.4" x14ac:dyDescent="0.3"/>
  <cols>
    <col min="2" max="2" width="6.33203125" customWidth="1"/>
    <col min="3" max="3" width="28.88671875" customWidth="1"/>
    <col min="4" max="4" width="29.109375" customWidth="1"/>
    <col min="7" max="7" width="14" customWidth="1"/>
    <col min="8" max="8" width="14.21875" customWidth="1"/>
    <col min="9" max="9" width="11.21875" customWidth="1"/>
    <col min="10" max="10" width="12" customWidth="1"/>
    <col min="11" max="11" width="11.77734375" customWidth="1"/>
    <col min="12" max="12" width="18.6640625" customWidth="1"/>
    <col min="13" max="13" width="12" customWidth="1"/>
    <col min="14" max="14" width="24.21875" customWidth="1"/>
    <col min="15" max="15" width="17.6640625" customWidth="1"/>
  </cols>
  <sheetData>
    <row r="7" spans="3:12" ht="15.6" x14ac:dyDescent="0.3">
      <c r="C7" s="49" t="s">
        <v>249</v>
      </c>
      <c r="D7" s="49" t="s">
        <v>144</v>
      </c>
      <c r="E7" s="50"/>
      <c r="F7" s="51">
        <v>45754</v>
      </c>
      <c r="G7" s="51">
        <v>45841</v>
      </c>
      <c r="H7" s="51">
        <v>45924</v>
      </c>
      <c r="I7" s="51">
        <v>46009</v>
      </c>
      <c r="J7" s="51">
        <v>46107</v>
      </c>
      <c r="K7" s="49"/>
      <c r="L7" s="52"/>
    </row>
    <row r="8" spans="3:12" ht="30" x14ac:dyDescent="0.3">
      <c r="C8" s="53">
        <v>1</v>
      </c>
      <c r="D8" s="7" t="s">
        <v>54</v>
      </c>
      <c r="E8" s="54"/>
      <c r="F8" s="55">
        <v>1</v>
      </c>
      <c r="G8" s="55">
        <v>1</v>
      </c>
      <c r="H8" s="55">
        <v>1</v>
      </c>
      <c r="I8" s="55">
        <v>1</v>
      </c>
      <c r="J8" s="55">
        <v>1</v>
      </c>
      <c r="K8" s="56">
        <v>5</v>
      </c>
      <c r="L8" s="1" t="s">
        <v>251</v>
      </c>
    </row>
    <row r="9" spans="3:12" ht="30" x14ac:dyDescent="0.3">
      <c r="C9" s="53">
        <v>2</v>
      </c>
      <c r="D9" s="7" t="s">
        <v>87</v>
      </c>
      <c r="E9" s="54"/>
      <c r="F9" s="55">
        <v>1</v>
      </c>
      <c r="G9" s="55">
        <v>1</v>
      </c>
      <c r="H9" s="55">
        <v>1</v>
      </c>
      <c r="I9" s="55">
        <v>1</v>
      </c>
      <c r="J9" s="55">
        <v>1</v>
      </c>
      <c r="K9" s="56">
        <v>5</v>
      </c>
      <c r="L9" s="1" t="s">
        <v>251</v>
      </c>
    </row>
    <row r="10" spans="3:12" ht="15.6" x14ac:dyDescent="0.3">
      <c r="C10" s="53">
        <v>3</v>
      </c>
      <c r="D10" s="7" t="s">
        <v>90</v>
      </c>
      <c r="E10" s="54"/>
      <c r="F10" s="55"/>
      <c r="G10" s="55"/>
      <c r="H10" s="55"/>
      <c r="I10" s="55"/>
      <c r="J10" s="55"/>
      <c r="K10" s="56"/>
      <c r="L10" s="1" t="s">
        <v>251</v>
      </c>
    </row>
    <row r="11" spans="3:12" ht="15.6" x14ac:dyDescent="0.3">
      <c r="C11" s="53">
        <v>4</v>
      </c>
      <c r="D11" s="55" t="s">
        <v>253</v>
      </c>
      <c r="E11" s="54"/>
      <c r="F11" s="55">
        <v>1</v>
      </c>
      <c r="G11" s="55">
        <v>1</v>
      </c>
      <c r="H11" s="55">
        <v>1</v>
      </c>
      <c r="I11" s="55">
        <v>1</v>
      </c>
      <c r="J11" s="55">
        <v>1</v>
      </c>
      <c r="K11" s="56">
        <v>5</v>
      </c>
      <c r="L11" s="1" t="s">
        <v>251</v>
      </c>
    </row>
    <row r="12" spans="3:12" ht="15.6" x14ac:dyDescent="0.3">
      <c r="C12" s="49"/>
      <c r="D12" s="49" t="s">
        <v>250</v>
      </c>
      <c r="E12" s="49"/>
      <c r="F12" s="57">
        <v>3</v>
      </c>
      <c r="G12" s="57">
        <v>3</v>
      </c>
      <c r="H12" s="57">
        <v>3</v>
      </c>
      <c r="I12" s="57">
        <v>3</v>
      </c>
      <c r="J12" s="57">
        <v>3</v>
      </c>
      <c r="K12" s="57">
        <v>15</v>
      </c>
      <c r="L12" s="1" t="s">
        <v>251</v>
      </c>
    </row>
    <row r="13" spans="3:12" ht="15.6" x14ac:dyDescent="0.3">
      <c r="C13" s="58"/>
      <c r="D13" s="1"/>
      <c r="E13" s="1"/>
      <c r="F13" s="1" t="s">
        <v>252</v>
      </c>
      <c r="G13" s="1" t="s">
        <v>252</v>
      </c>
      <c r="H13" s="1" t="s">
        <v>252</v>
      </c>
      <c r="I13" s="1" t="s">
        <v>252</v>
      </c>
      <c r="J13" s="1" t="s">
        <v>252</v>
      </c>
      <c r="K13" s="1"/>
      <c r="L13" s="1" t="s">
        <v>251</v>
      </c>
    </row>
    <row r="15" spans="3:12" ht="0.6" customHeight="1" x14ac:dyDescent="0.3"/>
    <row r="16" spans="3:12" ht="75" customHeight="1" x14ac:dyDescent="0.3">
      <c r="C16" s="59" t="s">
        <v>254</v>
      </c>
      <c r="D16" s="54"/>
      <c r="E16" s="60">
        <v>45754</v>
      </c>
      <c r="F16" s="60">
        <v>45841</v>
      </c>
      <c r="G16" s="60">
        <v>45924</v>
      </c>
      <c r="H16" s="60">
        <v>46009</v>
      </c>
      <c r="I16" s="60">
        <v>46107</v>
      </c>
      <c r="J16" s="61" t="s">
        <v>255</v>
      </c>
      <c r="K16" s="1"/>
    </row>
    <row r="17" spans="3:16" ht="15.6" x14ac:dyDescent="0.3">
      <c r="C17" s="54"/>
      <c r="D17" s="54"/>
      <c r="E17" s="62"/>
      <c r="F17" s="62"/>
      <c r="G17" s="62"/>
      <c r="H17" s="62"/>
      <c r="I17" s="54"/>
      <c r="J17" s="54"/>
      <c r="K17" s="1"/>
    </row>
    <row r="18" spans="3:16" ht="15.6" x14ac:dyDescent="0.3">
      <c r="C18" s="54"/>
      <c r="D18" s="61" t="s">
        <v>256</v>
      </c>
      <c r="E18" s="54"/>
      <c r="F18" s="54"/>
      <c r="G18" s="54"/>
      <c r="H18" s="54"/>
      <c r="I18" s="54"/>
      <c r="J18" s="54"/>
      <c r="K18" s="1"/>
    </row>
    <row r="19" spans="3:16" ht="15.6" x14ac:dyDescent="0.3">
      <c r="C19" s="7" t="s">
        <v>54</v>
      </c>
      <c r="D19" s="3" t="s">
        <v>10</v>
      </c>
      <c r="E19" s="55">
        <v>1</v>
      </c>
      <c r="F19" s="55">
        <v>1</v>
      </c>
      <c r="G19" s="55">
        <v>1</v>
      </c>
      <c r="H19" s="55">
        <v>1</v>
      </c>
      <c r="I19" s="55">
        <v>1</v>
      </c>
      <c r="J19" s="56">
        <v>5</v>
      </c>
      <c r="K19" s="1" t="s">
        <v>251</v>
      </c>
    </row>
    <row r="20" spans="3:16" ht="15.6" x14ac:dyDescent="0.3">
      <c r="C20" s="7" t="s">
        <v>87</v>
      </c>
      <c r="D20" s="3" t="s">
        <v>10</v>
      </c>
      <c r="E20" s="55">
        <v>1</v>
      </c>
      <c r="F20" s="55">
        <v>1</v>
      </c>
      <c r="G20" s="55">
        <v>1</v>
      </c>
      <c r="H20" s="55">
        <v>1</v>
      </c>
      <c r="I20" s="55">
        <v>1</v>
      </c>
      <c r="J20" s="56">
        <v>5</v>
      </c>
      <c r="K20" s="1" t="s">
        <v>251</v>
      </c>
    </row>
    <row r="21" spans="3:16" ht="15.6" x14ac:dyDescent="0.3">
      <c r="C21" s="7" t="s">
        <v>90</v>
      </c>
      <c r="D21" s="3" t="s">
        <v>65</v>
      </c>
      <c r="E21" s="55"/>
      <c r="F21" s="55"/>
      <c r="G21" s="55"/>
      <c r="H21" s="55"/>
      <c r="I21" s="55"/>
      <c r="J21" s="56"/>
      <c r="K21" s="1" t="s">
        <v>251</v>
      </c>
    </row>
    <row r="22" spans="3:16" ht="15.6" x14ac:dyDescent="0.3">
      <c r="C22" s="55" t="s">
        <v>253</v>
      </c>
      <c r="D22" s="63">
        <v>45737</v>
      </c>
      <c r="E22" s="55">
        <v>1</v>
      </c>
      <c r="F22" s="55">
        <v>1</v>
      </c>
      <c r="G22" s="55">
        <v>1</v>
      </c>
      <c r="H22" s="55">
        <v>1</v>
      </c>
      <c r="I22" s="55">
        <v>1</v>
      </c>
      <c r="J22" s="56">
        <v>5</v>
      </c>
      <c r="K22" s="1" t="s">
        <v>251</v>
      </c>
    </row>
    <row r="23" spans="3:16" ht="31.2" x14ac:dyDescent="0.3">
      <c r="C23" s="54"/>
      <c r="D23" s="61" t="s">
        <v>257</v>
      </c>
      <c r="E23" s="57">
        <v>3</v>
      </c>
      <c r="F23" s="57">
        <v>3</v>
      </c>
      <c r="G23" s="57">
        <v>3</v>
      </c>
      <c r="H23" s="57">
        <v>3</v>
      </c>
      <c r="I23" s="57">
        <v>3</v>
      </c>
      <c r="J23" s="57">
        <v>15</v>
      </c>
      <c r="K23" s="1"/>
    </row>
    <row r="24" spans="3:16" ht="15.6" x14ac:dyDescent="0.3">
      <c r="C24" s="1"/>
      <c r="D24" s="1"/>
      <c r="E24" s="1" t="s">
        <v>252</v>
      </c>
      <c r="F24" s="1" t="s">
        <v>252</v>
      </c>
      <c r="G24" s="1" t="s">
        <v>252</v>
      </c>
      <c r="H24" s="1" t="s">
        <v>252</v>
      </c>
      <c r="I24" s="1" t="s">
        <v>252</v>
      </c>
      <c r="J24" s="1" t="s">
        <v>252</v>
      </c>
      <c r="K24" s="1" t="s">
        <v>252</v>
      </c>
      <c r="L24" s="1" t="s">
        <v>252</v>
      </c>
      <c r="M24" s="1" t="s">
        <v>252</v>
      </c>
      <c r="N24" s="1" t="s">
        <v>252</v>
      </c>
      <c r="O24" s="1"/>
      <c r="P24" s="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6D731-A443-4853-956A-22D78DB07081}">
  <dimension ref="A1:H33"/>
  <sheetViews>
    <sheetView topLeftCell="A23" workbookViewId="0">
      <selection activeCell="D23" sqref="D23"/>
    </sheetView>
  </sheetViews>
  <sheetFormatPr defaultColWidth="9.109375" defaultRowHeight="15.6" x14ac:dyDescent="0.3"/>
  <cols>
    <col min="1" max="1" width="9.109375" style="77"/>
    <col min="2" max="2" width="85.44140625" style="66" customWidth="1"/>
    <col min="3" max="3" width="24.88671875" style="66" customWidth="1"/>
    <col min="4" max="4" width="32" style="66" customWidth="1"/>
    <col min="5" max="16384" width="9.109375" style="66"/>
  </cols>
  <sheetData>
    <row r="1" spans="1:8" ht="31.2" x14ac:dyDescent="0.3">
      <c r="A1" s="64" t="s">
        <v>258</v>
      </c>
      <c r="B1" s="64" t="s">
        <v>259</v>
      </c>
      <c r="C1" s="64" t="s">
        <v>260</v>
      </c>
      <c r="D1" s="65" t="s">
        <v>261</v>
      </c>
    </row>
    <row r="2" spans="1:8" x14ac:dyDescent="0.3">
      <c r="A2" s="67">
        <v>1</v>
      </c>
      <c r="B2" s="68" t="s">
        <v>262</v>
      </c>
      <c r="C2" s="68" t="s">
        <v>342</v>
      </c>
      <c r="D2" s="69"/>
    </row>
    <row r="3" spans="1:8" x14ac:dyDescent="0.3">
      <c r="A3" s="67">
        <v>2</v>
      </c>
      <c r="B3" s="68" t="s">
        <v>263</v>
      </c>
      <c r="C3" s="68" t="s">
        <v>342</v>
      </c>
      <c r="D3" s="70"/>
    </row>
    <row r="4" spans="1:8" ht="46.8" x14ac:dyDescent="0.3">
      <c r="A4" s="67">
        <v>3</v>
      </c>
      <c r="B4" s="68" t="s">
        <v>264</v>
      </c>
      <c r="C4" s="68" t="s">
        <v>342</v>
      </c>
      <c r="D4" s="70"/>
    </row>
    <row r="5" spans="1:8" ht="93.6" x14ac:dyDescent="0.3">
      <c r="A5" s="67">
        <v>4</v>
      </c>
      <c r="B5" s="68" t="s">
        <v>265</v>
      </c>
      <c r="C5" s="68" t="s">
        <v>342</v>
      </c>
      <c r="D5" s="69"/>
    </row>
    <row r="6" spans="1:8" x14ac:dyDescent="0.3">
      <c r="A6" s="67">
        <v>5</v>
      </c>
      <c r="B6" s="68" t="s">
        <v>266</v>
      </c>
      <c r="C6" s="68" t="s">
        <v>180</v>
      </c>
      <c r="D6" s="70"/>
    </row>
    <row r="7" spans="1:8" ht="31.2" x14ac:dyDescent="0.3">
      <c r="A7" s="67">
        <v>6</v>
      </c>
      <c r="B7" s="115" t="s">
        <v>267</v>
      </c>
      <c r="C7" s="115" t="s">
        <v>343</v>
      </c>
      <c r="D7" s="116"/>
    </row>
    <row r="8" spans="1:8" ht="31.2" x14ac:dyDescent="0.3">
      <c r="A8" s="67">
        <v>7</v>
      </c>
      <c r="B8" s="68" t="s">
        <v>268</v>
      </c>
      <c r="C8" s="115" t="s">
        <v>343</v>
      </c>
      <c r="D8" s="70"/>
    </row>
    <row r="9" spans="1:8" ht="46.8" x14ac:dyDescent="0.3">
      <c r="A9" s="67">
        <v>8</v>
      </c>
      <c r="B9" s="68" t="s">
        <v>269</v>
      </c>
      <c r="C9" s="68" t="s">
        <v>180</v>
      </c>
      <c r="D9" s="68" t="s">
        <v>344</v>
      </c>
    </row>
    <row r="10" spans="1:8" ht="31.2" x14ac:dyDescent="0.3">
      <c r="A10" s="67">
        <v>9</v>
      </c>
      <c r="B10" s="68" t="s">
        <v>270</v>
      </c>
      <c r="C10" s="68" t="s">
        <v>180</v>
      </c>
      <c r="D10" s="70"/>
    </row>
    <row r="11" spans="1:8" ht="46.8" x14ac:dyDescent="0.3">
      <c r="A11" s="67">
        <v>10</v>
      </c>
      <c r="B11" s="68" t="s">
        <v>271</v>
      </c>
      <c r="C11" s="68" t="s">
        <v>180</v>
      </c>
      <c r="D11" s="70"/>
    </row>
    <row r="12" spans="1:8" ht="31.2" x14ac:dyDescent="0.3">
      <c r="A12" s="67">
        <v>11</v>
      </c>
      <c r="B12" s="68" t="s">
        <v>272</v>
      </c>
      <c r="C12" s="115" t="s">
        <v>343</v>
      </c>
      <c r="D12" s="69"/>
    </row>
    <row r="13" spans="1:8" ht="62.4" x14ac:dyDescent="0.3">
      <c r="A13" s="67">
        <v>12</v>
      </c>
      <c r="B13" s="68" t="s">
        <v>273</v>
      </c>
      <c r="C13" s="68" t="s">
        <v>342</v>
      </c>
      <c r="D13" s="69" t="s">
        <v>345</v>
      </c>
    </row>
    <row r="14" spans="1:8" ht="31.2" x14ac:dyDescent="0.3">
      <c r="A14" s="67">
        <v>13</v>
      </c>
      <c r="B14" s="68" t="s">
        <v>274</v>
      </c>
      <c r="C14" s="68" t="s">
        <v>342</v>
      </c>
      <c r="D14" s="70" t="s">
        <v>346</v>
      </c>
    </row>
    <row r="15" spans="1:8" ht="31.2" x14ac:dyDescent="0.3">
      <c r="A15" s="67">
        <v>14</v>
      </c>
      <c r="B15" s="68" t="s">
        <v>275</v>
      </c>
      <c r="C15" s="68" t="s">
        <v>180</v>
      </c>
      <c r="D15" s="70"/>
    </row>
    <row r="16" spans="1:8" ht="31.2" x14ac:dyDescent="0.3">
      <c r="A16" s="67">
        <v>15</v>
      </c>
      <c r="B16" s="68" t="s">
        <v>276</v>
      </c>
      <c r="C16" s="68" t="s">
        <v>180</v>
      </c>
      <c r="D16" s="69" t="s">
        <v>347</v>
      </c>
      <c r="H16" s="71"/>
    </row>
    <row r="17" spans="1:8" ht="31.2" x14ac:dyDescent="0.3">
      <c r="A17" s="67">
        <v>16</v>
      </c>
      <c r="B17" s="68" t="s">
        <v>277</v>
      </c>
      <c r="C17" s="115" t="s">
        <v>343</v>
      </c>
      <c r="D17" s="69"/>
    </row>
    <row r="18" spans="1:8" ht="31.2" x14ac:dyDescent="0.3">
      <c r="A18" s="67">
        <v>17</v>
      </c>
      <c r="B18" s="72" t="s">
        <v>278</v>
      </c>
      <c r="C18" s="115" t="s">
        <v>343</v>
      </c>
      <c r="D18" s="69"/>
    </row>
    <row r="19" spans="1:8" ht="31.2" x14ac:dyDescent="0.3">
      <c r="A19" s="67">
        <v>18</v>
      </c>
      <c r="B19" s="72" t="s">
        <v>279</v>
      </c>
      <c r="C19" s="72" t="s">
        <v>337</v>
      </c>
      <c r="D19" s="69"/>
      <c r="E19" s="73"/>
    </row>
    <row r="20" spans="1:8" x14ac:dyDescent="0.3">
      <c r="A20" s="67">
        <v>19</v>
      </c>
      <c r="B20" s="72" t="s">
        <v>280</v>
      </c>
      <c r="C20" s="72" t="s">
        <v>337</v>
      </c>
      <c r="D20" s="69"/>
    </row>
    <row r="21" spans="1:8" x14ac:dyDescent="0.3">
      <c r="A21" s="67">
        <v>20</v>
      </c>
      <c r="B21" s="74" t="s">
        <v>281</v>
      </c>
      <c r="C21" s="72" t="s">
        <v>337</v>
      </c>
      <c r="D21" s="69"/>
    </row>
    <row r="22" spans="1:8" x14ac:dyDescent="0.3">
      <c r="A22" s="67">
        <v>21</v>
      </c>
      <c r="B22" s="74" t="s">
        <v>282</v>
      </c>
      <c r="C22" s="72" t="s">
        <v>337</v>
      </c>
      <c r="D22" s="69"/>
    </row>
    <row r="23" spans="1:8" ht="62.4" x14ac:dyDescent="0.3">
      <c r="A23" s="67">
        <v>22</v>
      </c>
      <c r="B23" s="75" t="s">
        <v>283</v>
      </c>
      <c r="C23" s="72" t="s">
        <v>337</v>
      </c>
      <c r="D23" s="69" t="s">
        <v>348</v>
      </c>
    </row>
    <row r="24" spans="1:8" x14ac:dyDescent="0.3">
      <c r="A24" s="67">
        <v>23</v>
      </c>
      <c r="B24" s="70" t="s">
        <v>284</v>
      </c>
      <c r="C24" s="70" t="s">
        <v>342</v>
      </c>
      <c r="D24" s="70"/>
    </row>
    <row r="25" spans="1:8" ht="31.2" x14ac:dyDescent="0.3">
      <c r="A25" s="67">
        <v>24</v>
      </c>
      <c r="B25" s="69" t="s">
        <v>285</v>
      </c>
      <c r="C25" s="70" t="s">
        <v>180</v>
      </c>
      <c r="D25" s="70"/>
    </row>
    <row r="26" spans="1:8" x14ac:dyDescent="0.3">
      <c r="A26" s="67">
        <v>25</v>
      </c>
      <c r="B26" s="70" t="s">
        <v>286</v>
      </c>
      <c r="C26" s="70" t="s">
        <v>180</v>
      </c>
      <c r="D26" s="70"/>
    </row>
    <row r="27" spans="1:8" x14ac:dyDescent="0.3">
      <c r="A27" s="67"/>
      <c r="B27" s="69" t="s">
        <v>287</v>
      </c>
      <c r="C27" s="70" t="s">
        <v>180</v>
      </c>
      <c r="D27" s="70"/>
    </row>
    <row r="28" spans="1:8" x14ac:dyDescent="0.3">
      <c r="A28" s="67">
        <v>26</v>
      </c>
      <c r="B28" s="76" t="s">
        <v>288</v>
      </c>
      <c r="C28" s="70" t="s">
        <v>180</v>
      </c>
      <c r="D28" s="70"/>
    </row>
    <row r="29" spans="1:8" x14ac:dyDescent="0.3">
      <c r="B29" s="70"/>
    </row>
    <row r="32" spans="1:8" x14ac:dyDescent="0.3">
      <c r="A32" s="78"/>
      <c r="B32" s="79"/>
      <c r="C32" s="80" t="s">
        <v>289</v>
      </c>
      <c r="D32" s="80" t="s">
        <v>289</v>
      </c>
      <c r="E32" s="106" t="s">
        <v>290</v>
      </c>
      <c r="F32" s="106"/>
      <c r="G32" s="106" t="s">
        <v>291</v>
      </c>
      <c r="H32" s="106"/>
    </row>
    <row r="33" spans="1:8" x14ac:dyDescent="0.3">
      <c r="A33" s="78" t="s">
        <v>292</v>
      </c>
      <c r="B33" s="78" t="s">
        <v>293</v>
      </c>
      <c r="C33" s="79" t="s">
        <v>294</v>
      </c>
      <c r="D33" s="79" t="s">
        <v>295</v>
      </c>
      <c r="E33" s="79" t="s">
        <v>296</v>
      </c>
      <c r="F33" s="79" t="s">
        <v>297</v>
      </c>
      <c r="G33" s="79" t="s">
        <v>296</v>
      </c>
      <c r="H33" s="79" t="s">
        <v>297</v>
      </c>
    </row>
  </sheetData>
  <mergeCells count="2">
    <mergeCell ref="E32:F32"/>
    <mergeCell ref="G32:H32"/>
  </mergeCells>
  <conditionalFormatting sqref="C3:C28">
    <cfRule type="containsText" dxfId="5" priority="2" operator="containsText" text="No">
      <formula>NOT(ISERROR(SEARCH("No",C3)))</formula>
    </cfRule>
  </conditionalFormatting>
  <conditionalFormatting sqref="D9">
    <cfRule type="containsText" dxfId="0" priority="1" operator="containsText" text="No">
      <formula>NOT(ISERROR(SEARCH("No",D9)))</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7A7D1-A180-473A-851B-7EEF9B8E88ED}">
  <dimension ref="A2:H6"/>
  <sheetViews>
    <sheetView topLeftCell="A3" workbookViewId="0">
      <selection activeCell="E7" sqref="E7"/>
    </sheetView>
  </sheetViews>
  <sheetFormatPr defaultColWidth="15.6640625" defaultRowHeight="14.4" x14ac:dyDescent="0.3"/>
  <cols>
    <col min="1" max="1" width="41.109375" customWidth="1"/>
  </cols>
  <sheetData>
    <row r="2" spans="1:8" x14ac:dyDescent="0.3">
      <c r="A2" s="13" t="s">
        <v>298</v>
      </c>
    </row>
    <row r="3" spans="1:8" ht="43.2" x14ac:dyDescent="0.3">
      <c r="A3" s="81" t="s">
        <v>299</v>
      </c>
      <c r="B3" s="82" t="s">
        <v>300</v>
      </c>
      <c r="C3" s="82" t="s">
        <v>301</v>
      </c>
      <c r="D3" s="83" t="s">
        <v>302</v>
      </c>
      <c r="E3" s="82" t="s">
        <v>303</v>
      </c>
      <c r="F3" s="82" t="s">
        <v>304</v>
      </c>
      <c r="G3" s="117" t="s">
        <v>305</v>
      </c>
      <c r="H3" s="118" t="s">
        <v>306</v>
      </c>
    </row>
    <row r="4" spans="1:8" x14ac:dyDescent="0.3">
      <c r="A4" s="84" t="s">
        <v>349</v>
      </c>
      <c r="B4" s="84" t="s">
        <v>350</v>
      </c>
      <c r="C4" s="85" t="s">
        <v>351</v>
      </c>
      <c r="D4" s="86">
        <v>44491</v>
      </c>
      <c r="E4" s="87">
        <v>5</v>
      </c>
      <c r="F4" s="87" t="s">
        <v>227</v>
      </c>
      <c r="G4" s="24"/>
      <c r="H4" s="5"/>
    </row>
    <row r="6" spans="1:8" x14ac:dyDescent="0.3">
      <c r="A6" s="13"/>
    </row>
  </sheetData>
  <conditionalFormatting sqref="J54:J62">
    <cfRule type="containsText" dxfId="4" priority="1" operator="containsText" text="No">
      <formula>NOT(ISERROR(SEARCH("No",J54)))</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9FD61-3DCB-4A0E-B9E0-84ECAFFD47F1}">
  <dimension ref="A3:K9"/>
  <sheetViews>
    <sheetView workbookViewId="0">
      <selection activeCell="E12" sqref="E12"/>
    </sheetView>
  </sheetViews>
  <sheetFormatPr defaultColWidth="20.5546875" defaultRowHeight="14.4" x14ac:dyDescent="0.3"/>
  <cols>
    <col min="1" max="1" width="27.44140625" bestFit="1" customWidth="1"/>
    <col min="2" max="2" width="19.6640625" bestFit="1" customWidth="1"/>
    <col min="3" max="3" width="18.6640625" bestFit="1" customWidth="1"/>
    <col min="5" max="5" width="19" bestFit="1" customWidth="1"/>
    <col min="6" max="6" width="20.33203125" bestFit="1" customWidth="1"/>
    <col min="7" max="7" width="15.44140625" bestFit="1" customWidth="1"/>
    <col min="8" max="8" width="18.6640625" bestFit="1" customWidth="1"/>
  </cols>
  <sheetData>
    <row r="3" spans="1:11" x14ac:dyDescent="0.3">
      <c r="H3" s="88">
        <f ca="1">NOW()</f>
        <v>46181.530177777779</v>
      </c>
    </row>
    <row r="4" spans="1:11" ht="57.6" x14ac:dyDescent="0.3">
      <c r="A4" s="89" t="s">
        <v>307</v>
      </c>
      <c r="B4" s="82" t="s">
        <v>256</v>
      </c>
      <c r="C4" s="82" t="s">
        <v>47</v>
      </c>
      <c r="D4" s="82" t="s">
        <v>308</v>
      </c>
      <c r="E4" s="82" t="s">
        <v>309</v>
      </c>
      <c r="F4" s="82" t="s">
        <v>310</v>
      </c>
      <c r="G4" s="82" t="s">
        <v>311</v>
      </c>
      <c r="H4" s="117" t="s">
        <v>312</v>
      </c>
      <c r="I4" s="117" t="s">
        <v>313</v>
      </c>
      <c r="J4" s="82" t="s">
        <v>352</v>
      </c>
      <c r="K4" s="82" t="s">
        <v>314</v>
      </c>
    </row>
    <row r="5" spans="1:11" ht="30" x14ac:dyDescent="0.3">
      <c r="A5" s="7" t="s">
        <v>54</v>
      </c>
      <c r="B5" s="119" t="s">
        <v>10</v>
      </c>
      <c r="C5" s="119" t="s">
        <v>55</v>
      </c>
      <c r="D5" s="25" t="s">
        <v>56</v>
      </c>
      <c r="E5" s="25" t="s">
        <v>180</v>
      </c>
      <c r="F5" s="25" t="s">
        <v>180</v>
      </c>
      <c r="G5" s="51">
        <v>18373</v>
      </c>
      <c r="H5" s="122">
        <v>76</v>
      </c>
      <c r="I5" s="123"/>
      <c r="J5" s="90" t="s">
        <v>180</v>
      </c>
      <c r="K5" s="107"/>
    </row>
    <row r="6" spans="1:11" ht="30" x14ac:dyDescent="0.3">
      <c r="A6" s="7" t="s">
        <v>87</v>
      </c>
      <c r="B6" s="119" t="s">
        <v>10</v>
      </c>
      <c r="C6" s="119" t="s">
        <v>55</v>
      </c>
      <c r="D6" s="25" t="s">
        <v>56</v>
      </c>
      <c r="E6" s="25" t="s">
        <v>180</v>
      </c>
      <c r="F6" s="25" t="s">
        <v>180</v>
      </c>
      <c r="G6" s="51">
        <v>19495</v>
      </c>
      <c r="H6" s="122">
        <v>73</v>
      </c>
      <c r="I6" s="123"/>
      <c r="J6" s="90" t="s">
        <v>180</v>
      </c>
      <c r="K6" s="107"/>
    </row>
    <row r="7" spans="1:11" ht="15.6" x14ac:dyDescent="0.3">
      <c r="A7" s="7" t="s">
        <v>90</v>
      </c>
      <c r="B7" s="119" t="s">
        <v>65</v>
      </c>
      <c r="C7" s="119" t="s">
        <v>64</v>
      </c>
      <c r="D7" s="25" t="s">
        <v>56</v>
      </c>
      <c r="E7" s="25" t="s">
        <v>180</v>
      </c>
      <c r="F7" s="25" t="s">
        <v>180</v>
      </c>
      <c r="G7" s="92">
        <v>21266</v>
      </c>
      <c r="H7" s="122">
        <v>68</v>
      </c>
      <c r="I7" s="123"/>
      <c r="J7" s="90" t="s">
        <v>342</v>
      </c>
      <c r="K7" s="25" t="s">
        <v>342</v>
      </c>
    </row>
    <row r="8" spans="1:11" ht="15.6" x14ac:dyDescent="0.3">
      <c r="A8" s="114" t="s">
        <v>253</v>
      </c>
      <c r="B8" s="120">
        <v>45737</v>
      </c>
      <c r="C8" s="121" t="s">
        <v>55</v>
      </c>
      <c r="D8" s="25"/>
      <c r="E8" s="25"/>
      <c r="F8" s="25"/>
      <c r="G8" s="92"/>
      <c r="H8" s="91"/>
      <c r="I8" s="90"/>
      <c r="J8" s="90"/>
      <c r="K8" s="25"/>
    </row>
    <row r="9" spans="1:11" x14ac:dyDescent="0.3">
      <c r="A9" s="25"/>
      <c r="B9" s="51"/>
      <c r="C9" s="90"/>
      <c r="D9" s="25"/>
      <c r="E9" s="25"/>
      <c r="F9" s="25"/>
      <c r="G9" s="51"/>
      <c r="H9" s="91"/>
      <c r="I9" s="90"/>
      <c r="J9" s="90"/>
      <c r="K9" s="25"/>
    </row>
  </sheetData>
  <mergeCells count="1">
    <mergeCell ref="K5:K6"/>
  </mergeCells>
  <conditionalFormatting sqref="F10:F20">
    <cfRule type="containsText" dxfId="3" priority="3" operator="containsText" text="Yes">
      <formula>NOT(ISERROR(SEARCH("Yes",F10)))</formula>
    </cfRule>
  </conditionalFormatting>
  <conditionalFormatting sqref="G9:G37">
    <cfRule type="containsText" dxfId="2" priority="2" operator="containsText" text="No">
      <formula>NOT(ISERROR(SEARCH("No",G9)))</formula>
    </cfRule>
  </conditionalFormatting>
  <conditionalFormatting sqref="I5:J9">
    <cfRule type="containsText" dxfId="1" priority="1" operator="containsText" text="Yes">
      <formula>NOT(ISERROR(SEARCH("Yes",I5)))</formula>
    </cfRule>
  </conditionalFormatting>
  <hyperlinks>
    <hyperlink ref="H3" r:id="rId1" display="=@now()" xr:uid="{1141BFC0-A7A6-477A-887E-1566C5ECD0A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MASTER DATA</vt:lpstr>
      <vt:lpstr>INDEX OF CHARGES</vt:lpstr>
      <vt:lpstr>View Signatory details</vt:lpstr>
      <vt:lpstr>DIN Details</vt:lpstr>
      <vt:lpstr>DIN Approval Status</vt:lpstr>
      <vt:lpstr>VPD</vt:lpstr>
      <vt:lpstr>List of forms filed</vt:lpstr>
      <vt:lpstr>Meeting Control Sheet</vt:lpstr>
      <vt:lpstr>BM Control Sheet</vt:lpstr>
      <vt:lpstr>MGT 7 Validation sheet</vt:lpstr>
      <vt:lpstr>ADT 1</vt:lpstr>
      <vt:lpstr>DIR 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Akshayam Corporate</dc:creator>
  <cp:lastModifiedBy>Vijayashree Akshayam</cp:lastModifiedBy>
  <dcterms:created xsi:type="dcterms:W3CDTF">2026-06-03T08:06:57Z</dcterms:created>
  <dcterms:modified xsi:type="dcterms:W3CDTF">2026-06-08T07:13:32Z</dcterms:modified>
</cp:coreProperties>
</file>