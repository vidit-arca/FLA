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rnserver\D\MRN Files\CORPORATES\Marketsof1 Analytical Mktg Service Pvt Ltd (M-185)\2026\Audit\Final Audit\"/>
    </mc:Choice>
  </mc:AlternateContent>
  <xr:revisionPtr revIDLastSave="0" documentId="13_ncr:1_{748B14DA-ED8E-401B-A247-F431F5BC5972}" xr6:coauthVersionLast="47" xr6:coauthVersionMax="47" xr10:uidLastSave="{00000000-0000-0000-0000-000000000000}"/>
  <bookViews>
    <workbookView xWindow="-120" yWindow="-120" windowWidth="29040" windowHeight="15720" tabRatio="885" xr2:uid="{00000000-000D-0000-FFFF-FFFF00000000}"/>
  </bookViews>
  <sheets>
    <sheet name="Financial Statements" sheetId="24" r:id="rId1"/>
    <sheet name="1-2" sheetId="55" r:id="rId2"/>
    <sheet name="3-15" sheetId="3" r:id="rId3"/>
    <sheet name="Sub Schedule BS" sheetId="56" state="hidden" r:id="rId4"/>
    <sheet name="10" sheetId="51" r:id="rId5"/>
    <sheet name="Ageing schedule" sheetId="53" r:id="rId6"/>
    <sheet name="16-23" sheetId="25" r:id="rId7"/>
    <sheet name="24-41" sheetId="73" r:id="rId8"/>
    <sheet name="Trial Balance" sheetId="70" r:id="rId9"/>
    <sheet name="TB 2026" sheetId="69" r:id="rId10"/>
    <sheet name="TB 2025" sheetId="72" r:id="rId11"/>
    <sheet name="Sub Schedule P &amp; L" sheetId="57" state="hidden" r:id="rId12"/>
    <sheet name="Groupings P &amp;L" sheetId="59" state="hidden" r:id="rId13"/>
    <sheet name="Groupings BS" sheetId="58" state="hidden" r:id="rId14"/>
    <sheet name="Deferred Tax" sheetId="63" r:id="rId15"/>
    <sheet name="Current Tax" sheetId="74" r:id="rId16"/>
    <sheet name="Depreciation 2025" sheetId="67" state="hidden" r:id="rId17"/>
  </sheets>
  <definedNames>
    <definedName name="\a">#N/A</definedName>
    <definedName name="\B" localSheetId="1">#REF!</definedName>
    <definedName name="\B">#REF!</definedName>
    <definedName name="\C" localSheetId="1">#REF!</definedName>
    <definedName name="\C">#REF!</definedName>
    <definedName name="\e">#N/A</definedName>
    <definedName name="\m">#N/A</definedName>
    <definedName name="\P" localSheetId="1">#REF!</definedName>
    <definedName name="\P">#REF!</definedName>
    <definedName name="\q">#N/A</definedName>
    <definedName name="\x" localSheetId="1">#REF!</definedName>
    <definedName name="\x">#REF!</definedName>
    <definedName name="\y" localSheetId="1">#REF!</definedName>
    <definedName name="\y">#REF!</definedName>
    <definedName name="\z" localSheetId="1">#REF!</definedName>
    <definedName name="\z">#REF!</definedName>
    <definedName name="_">#REF!</definedName>
    <definedName name="_.ignore9._">#REF!</definedName>
    <definedName name="___????">#REF!</definedName>
    <definedName name="___?????????">#REF!</definedName>
    <definedName name="___??_???">#REF!</definedName>
    <definedName name="___?_??">#REF!</definedName>
    <definedName name="_________?">#REF!</definedName>
    <definedName name="________a2">#REF!</definedName>
    <definedName name="_______UCE08">#REF!</definedName>
    <definedName name="_______UCE09">#REF!</definedName>
    <definedName name="_______UCE10">#REF!</definedName>
    <definedName name="_______UCE11">#REF!</definedName>
    <definedName name="_______UCE12">#REF!</definedName>
    <definedName name="_______UCE13">#REF!</definedName>
    <definedName name="_______UCE14">#REF!</definedName>
    <definedName name="_______UCE15">#REF!</definedName>
    <definedName name="_______UCE16">#REF!</definedName>
    <definedName name="_______UCE17">#REF!</definedName>
    <definedName name="_______UCE18">#REF!</definedName>
    <definedName name="_______UCE19">#REF!</definedName>
    <definedName name="_______UCE20">#REF!</definedName>
    <definedName name="_______UCE21">#REF!</definedName>
    <definedName name="_______UCE22">#REF!</definedName>
    <definedName name="_______UCE23">#REF!</definedName>
    <definedName name="_______UCE24">#REF!</definedName>
    <definedName name="_______UCE25">#REF!</definedName>
    <definedName name="_______UCE26">#REF!</definedName>
    <definedName name="_______UCE27">#REF!</definedName>
    <definedName name="_______UCE28">#REF!</definedName>
    <definedName name="_______UCE29">#REF!</definedName>
    <definedName name="_______UCE30">#REF!</definedName>
    <definedName name="_______UCE31">#REF!</definedName>
    <definedName name="_______UCE32">#REF!</definedName>
    <definedName name="_______UCE33">#REF!</definedName>
    <definedName name="_______UCE34">#REF!</definedName>
    <definedName name="_______UCE35">#REF!</definedName>
    <definedName name="_______UCE36">#REF!</definedName>
    <definedName name="_______UCE37">#REF!</definedName>
    <definedName name="_______UCE38">#REF!</definedName>
    <definedName name="_______UCE39">#REF!</definedName>
    <definedName name="_______UCE40">#REF!</definedName>
    <definedName name="______UCE01">#REF!</definedName>
    <definedName name="______UCE02">#REF!</definedName>
    <definedName name="______UCE03">#REF!</definedName>
    <definedName name="______UCE04">#REF!</definedName>
    <definedName name="______UCE05">#REF!</definedName>
    <definedName name="______UCE06">#REF!</definedName>
    <definedName name="______UCE07">#REF!</definedName>
    <definedName name="______UCE08">#REF!</definedName>
    <definedName name="______UCE09">#REF!</definedName>
    <definedName name="______UCE10">#REF!</definedName>
    <definedName name="______UCE11">#REF!</definedName>
    <definedName name="______UCE12">#REF!</definedName>
    <definedName name="______UCE13">#REF!</definedName>
    <definedName name="______UCE14">#REF!</definedName>
    <definedName name="______UCE15">#REF!</definedName>
    <definedName name="______UCE16">#REF!</definedName>
    <definedName name="______UCE17">#REF!</definedName>
    <definedName name="______UCE18">#REF!</definedName>
    <definedName name="______UCE19">#REF!</definedName>
    <definedName name="______UCE20">#REF!</definedName>
    <definedName name="______UCE21">#REF!</definedName>
    <definedName name="______UCE22">#REF!</definedName>
    <definedName name="______UCE23">#REF!</definedName>
    <definedName name="______UCE24">#REF!</definedName>
    <definedName name="______UCE25">#REF!</definedName>
    <definedName name="______UCE26">#REF!</definedName>
    <definedName name="______UCE27">#REF!</definedName>
    <definedName name="______UCE28">#REF!</definedName>
    <definedName name="______UCE29">#REF!</definedName>
    <definedName name="______UCE30">#REF!</definedName>
    <definedName name="______UCE31">#REF!</definedName>
    <definedName name="______UCE32">#REF!</definedName>
    <definedName name="______UCE33">#REF!</definedName>
    <definedName name="______UCE34">#REF!</definedName>
    <definedName name="______UCE35">#REF!</definedName>
    <definedName name="______UCE36">#REF!</definedName>
    <definedName name="______UCE37">#REF!</definedName>
    <definedName name="______UCE38">#REF!</definedName>
    <definedName name="______UCE39">#REF!</definedName>
    <definedName name="______UCE40">#REF!</definedName>
    <definedName name="____AMT13300">#N/A</definedName>
    <definedName name="____AMT13502">#N/A</definedName>
    <definedName name="____AMT41301">#N/A</definedName>
    <definedName name="____AMT85116">#N/A</definedName>
    <definedName name="____AMT85125">#N/A</definedName>
    <definedName name="____AMT86106">#N/A</definedName>
    <definedName name="____OUT13300">#N/A</definedName>
    <definedName name="____OUT13502">#N/A</definedName>
    <definedName name="____OUT41301">#N/A</definedName>
    <definedName name="____OUT85116">#N/A</definedName>
    <definedName name="____OUT85125">#N/A</definedName>
    <definedName name="____OUT86106">#N/A</definedName>
    <definedName name="____QRA86106">#N/A</definedName>
    <definedName name="____VAR13300">#N/A</definedName>
    <definedName name="____VAR13502">#N/A</definedName>
    <definedName name="___A1" localSheetId="1">#REF!</definedName>
    <definedName name="___A1">#REF!</definedName>
    <definedName name="___AMT13300">#N/A</definedName>
    <definedName name="___AMT13502">#N/A</definedName>
    <definedName name="___AMT41301">#N/A</definedName>
    <definedName name="___AMT85116">#N/A</definedName>
    <definedName name="___AMT85125">#N/A</definedName>
    <definedName name="___AMT86106">#N/A</definedName>
    <definedName name="___INDEX_SHEET___ASAP_Utilities" localSheetId="1">#REF!</definedName>
    <definedName name="___INDEX_SHEET___ASAP_Utilities">#REF!</definedName>
    <definedName name="___OUT13300">#N/A</definedName>
    <definedName name="___OUT13502">#N/A</definedName>
    <definedName name="___OUT41301">#N/A</definedName>
    <definedName name="___OUT85116">#N/A</definedName>
    <definedName name="___OUT85125">#N/A</definedName>
    <definedName name="___OUT86106">#N/A</definedName>
    <definedName name="___QRA86106">#N/A</definedName>
    <definedName name="___VAR13300">#N/A</definedName>
    <definedName name="___VAR13502">#N/A</definedName>
    <definedName name="__A1" localSheetId="1">#REF!</definedName>
    <definedName name="__A1">#REF!</definedName>
    <definedName name="__a2" localSheetId="1">#REF!</definedName>
    <definedName name="__a2">#REF!</definedName>
    <definedName name="__AMT13300">#N/A</definedName>
    <definedName name="__AMT13502">#N/A</definedName>
    <definedName name="__AMT41301">#N/A</definedName>
    <definedName name="__AMT85116">#N/A</definedName>
    <definedName name="__AMT85125">#N/A</definedName>
    <definedName name="__AMT86106">#N/A</definedName>
    <definedName name="__empcnt__X">#REF!</definedName>
    <definedName name="__EXC2" localSheetId="1">#REF!</definedName>
    <definedName name="__EXC2">#REF!</definedName>
    <definedName name="__IntlFixup" hidden="1">TRUE</definedName>
    <definedName name="__IV400000" localSheetId="1">#REF!</definedName>
    <definedName name="__IV400000">#REF!</definedName>
    <definedName name="__IV500000" localSheetId="1">#REF!</definedName>
    <definedName name="__IV500000">#REF!</definedName>
    <definedName name="__IV70728" localSheetId="1">#REF!</definedName>
    <definedName name="__IV70728">#REF!</definedName>
    <definedName name="__IV99000">#REF!</definedName>
    <definedName name="__OUT13300">#N/A</definedName>
    <definedName name="__OUT13502">#N/A</definedName>
    <definedName name="__OUT41301">#N/A</definedName>
    <definedName name="__OUT85116">#N/A</definedName>
    <definedName name="__OUT85125">#N/A</definedName>
    <definedName name="__OUT86106">#N/A</definedName>
    <definedName name="__P1" localSheetId="1">#REF!</definedName>
    <definedName name="__P1">#REF!</definedName>
    <definedName name="__p11" localSheetId="1">#REF!</definedName>
    <definedName name="__p11">#REF!</definedName>
    <definedName name="__p2" localSheetId="1">#REF!</definedName>
    <definedName name="__p2">#REF!</definedName>
    <definedName name="__QRA86106">#N/A</definedName>
    <definedName name="__SM1" localSheetId="1">#REF!</definedName>
    <definedName name="__SM1">#REF!</definedName>
    <definedName name="__SSS1" localSheetId="1" hidden="1">#REF!</definedName>
    <definedName name="__SSS1" hidden="1">#REF!</definedName>
    <definedName name="__VAR13300">#N/A</definedName>
    <definedName name="__VAR13502">#N/A</definedName>
    <definedName name="_1" localSheetId="1">#REF!</definedName>
    <definedName name="_1">#REF!</definedName>
    <definedName name="_10T1" localSheetId="1">#REF!</definedName>
    <definedName name="_10T1">#REF!</definedName>
    <definedName name="_10T2" localSheetId="1">#REF!</definedName>
    <definedName name="_10T2">#REF!</definedName>
    <definedName name="_123" localSheetId="1">#N/A</definedName>
    <definedName name="_123">#N/A</definedName>
    <definedName name="_13_????" localSheetId="1">#REF!</definedName>
    <definedName name="_13_????">#REF!</definedName>
    <definedName name="_15_?????????" localSheetId="1">#REF!</definedName>
    <definedName name="_15_?????????">#REF!</definedName>
    <definedName name="_17_??_???" localSheetId="1">#REF!</definedName>
    <definedName name="_17_??_???">#REF!</definedName>
    <definedName name="_19_?_??">#REF!</definedName>
    <definedName name="_2">#REF!</definedName>
    <definedName name="_20T1">#REF!</definedName>
    <definedName name="_20T2">#REF!</definedName>
    <definedName name="_234ABC">#REF!</definedName>
    <definedName name="_3">#N/A</definedName>
    <definedName name="_40T1" localSheetId="1">#REF!</definedName>
    <definedName name="_40T1">#REF!</definedName>
    <definedName name="_40T2" localSheetId="1">#REF!</definedName>
    <definedName name="_40T2">#REF!</definedName>
    <definedName name="_42_99_sales_stock" localSheetId="1">#REF!</definedName>
    <definedName name="_42_99_sales_stock">#REF!</definedName>
    <definedName name="_50T1">#REF!</definedName>
    <definedName name="_50T2">#REF!</definedName>
    <definedName name="_60T1">#REF!</definedName>
    <definedName name="_60T2">#REF!</definedName>
    <definedName name="_61q_profit">#REF!</definedName>
    <definedName name="_70T1">#REF!</definedName>
    <definedName name="_70T2">#REF!</definedName>
    <definedName name="_8_?">#REF!</definedName>
    <definedName name="_90">#REF!</definedName>
    <definedName name="_90T1">#REF!</definedName>
    <definedName name="_90T2">#REF!</definedName>
    <definedName name="_99_sales_stock">#REF!</definedName>
    <definedName name="_a1">#REF!</definedName>
    <definedName name="_a1O" localSheetId="1">#REF!,#REF!,#REF!,#REF!,#REF!</definedName>
    <definedName name="_a1O">#REF!,#REF!,#REF!,#REF!,#REF!</definedName>
    <definedName name="_a1Z" localSheetId="1">#REF!,#REF!,#REF!,#REF!,#REF!</definedName>
    <definedName name="_a1Z">#REF!,#REF!,#REF!,#REF!,#REF!</definedName>
    <definedName name="_a2" localSheetId="1">#REF!</definedName>
    <definedName name="_a2">#REF!</definedName>
    <definedName name="_a2O" localSheetId="1">#REF!,#REF!,#REF!,#REF!,#REF!</definedName>
    <definedName name="_a2O">#REF!,#REF!,#REF!,#REF!,#REF!</definedName>
    <definedName name="_a2Z" localSheetId="1">#REF!,#REF!,#REF!,#REF!,#REF!</definedName>
    <definedName name="_a2Z">#REF!,#REF!,#REF!,#REF!,#REF!</definedName>
    <definedName name="_a3" localSheetId="1">#REF!</definedName>
    <definedName name="_a3">#REF!</definedName>
    <definedName name="_a3O" localSheetId="1">#REF!,#REF!,#REF!,#REF!,#REF!</definedName>
    <definedName name="_a3O">#REF!,#REF!,#REF!,#REF!,#REF!</definedName>
    <definedName name="_a3Z" localSheetId="1">#REF!,#REF!,#REF!,#REF!,#REF!</definedName>
    <definedName name="_a3Z">#REF!,#REF!,#REF!,#REF!,#REF!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MT13300">#N/A</definedName>
    <definedName name="_AMT13502">#N/A</definedName>
    <definedName name="_AMT41301">#N/A</definedName>
    <definedName name="_AMT85116">#N/A</definedName>
    <definedName name="_AMT85125">#N/A</definedName>
    <definedName name="_AMT86106">#N/A</definedName>
    <definedName name="_aO" localSheetId="1">'1-2'!_a1O,'1-2'!_a2O,'1-2'!_a3O</definedName>
    <definedName name="_aO">_a1O,_a2O,_a3O</definedName>
    <definedName name="_aZ" localSheetId="1">'1-2'!_a1Z,'1-2'!_a2Z,'1-2'!_a3Z</definedName>
    <definedName name="_aZ">_a1Z,_a2Z,_a3Z</definedName>
    <definedName name="_bmk_a" localSheetId="1">#REF!</definedName>
    <definedName name="_bmk_a">#REF!</definedName>
    <definedName name="_DISTDATA" localSheetId="1">#REF!</definedName>
    <definedName name="_DISTDATA">#REF!</definedName>
    <definedName name="_EXC2" localSheetId="1">#REF!</definedName>
    <definedName name="_EXC2">#REF!</definedName>
    <definedName name="_Fill" hidden="1">#REF!</definedName>
    <definedName name="_FILL1" hidden="1">#REF!</definedName>
    <definedName name="_xlnm._FilterDatabase" localSheetId="1" hidden="1">#REF!</definedName>
    <definedName name="_xlnm._FilterDatabase" localSheetId="16" hidden="1">'Depreciation 2025'!$A$2:$N$109</definedName>
    <definedName name="_xlnm._FilterDatabase" hidden="1">#REF!</definedName>
    <definedName name="_fix1">#REF!</definedName>
    <definedName name="_fix2">#REF!</definedName>
    <definedName name="_Hlk388850207" localSheetId="7">'24-41'!#REF!</definedName>
    <definedName name="_Hlk388850234" localSheetId="7">'24-41'!#REF!</definedName>
    <definedName name="_IV400000" localSheetId="1">#REF!</definedName>
    <definedName name="_IV400000">#REF!</definedName>
    <definedName name="_IV500000" localSheetId="1">#REF!</definedName>
    <definedName name="_IV500000">#REF!</definedName>
    <definedName name="_IV70728">#REF!</definedName>
    <definedName name="_IV99000">#REF!</definedName>
    <definedName name="_Key1" hidden="1">#REF!</definedName>
    <definedName name="_Key2" hidden="1">#REF!</definedName>
    <definedName name="_MSM">#REF!</definedName>
    <definedName name="_MSO">#REF!</definedName>
    <definedName name="_NCCTOTAL">#REF!</definedName>
    <definedName name="_Order1" hidden="1">255</definedName>
    <definedName name="_Order2" hidden="1">255</definedName>
    <definedName name="_OUT13300">#N/A</definedName>
    <definedName name="_OUT13502">#N/A</definedName>
    <definedName name="_OUT41301">#N/A</definedName>
    <definedName name="_OUT85116">#N/A</definedName>
    <definedName name="_OUT85125">#N/A</definedName>
    <definedName name="_OUT86106">#N/A</definedName>
    <definedName name="_P1" localSheetId="1">#REF!</definedName>
    <definedName name="_P1">#REF!</definedName>
    <definedName name="_p11" localSheetId="1">#REF!</definedName>
    <definedName name="_p11">#REF!</definedName>
    <definedName name="_p2" localSheetId="1">#REF!</definedName>
    <definedName name="_p2">#REF!</definedName>
    <definedName name="_PRESELL">#REF!</definedName>
    <definedName name="_pur2">#REF!</definedName>
    <definedName name="_QRA86106">#N/A</definedName>
    <definedName name="_REGDATA" localSheetId="1">#REF!</definedName>
    <definedName name="_REGDATA">#REF!</definedName>
    <definedName name="_RSE1">#REF!</definedName>
    <definedName name="_RSE2">#REF!</definedName>
    <definedName name="_SM1" localSheetId="1">#REF!</definedName>
    <definedName name="_SM1">#REF!</definedName>
    <definedName name="_Sort" localSheetId="1" hidden="1">#REF!</definedName>
    <definedName name="_Sort" hidden="1">#REF!</definedName>
    <definedName name="_SORT1" hidden="1">#REF!</definedName>
    <definedName name="_SSS1" hidden="1">#REF!</definedName>
    <definedName name="_TOG">#REF!</definedName>
    <definedName name="_UCE01">#REF!</definedName>
    <definedName name="_UCE02">#REF!</definedName>
    <definedName name="_UCE03">#REF!</definedName>
    <definedName name="_UCE04">#REF!</definedName>
    <definedName name="_UCE05">#REF!</definedName>
    <definedName name="_UCE06">#REF!</definedName>
    <definedName name="_UCE07">#REF!</definedName>
    <definedName name="_UCE08">#REF!</definedName>
    <definedName name="_UCE09">#REF!</definedName>
    <definedName name="_UCE10">#REF!</definedName>
    <definedName name="_UCE11">#REF!</definedName>
    <definedName name="_UCE12">#REF!</definedName>
    <definedName name="_UCE13">#REF!</definedName>
    <definedName name="_UCE14">#REF!</definedName>
    <definedName name="_UCE15">#REF!</definedName>
    <definedName name="_UCE16">#REF!</definedName>
    <definedName name="_UCE17">#REF!</definedName>
    <definedName name="_UCE18">#REF!</definedName>
    <definedName name="_UCE19">#REF!</definedName>
    <definedName name="_UCE20">#REF!</definedName>
    <definedName name="_UCE21">#REF!</definedName>
    <definedName name="_UCE22">#REF!</definedName>
    <definedName name="_UCE23">#REF!</definedName>
    <definedName name="_UCE24">#REF!</definedName>
    <definedName name="_UCE25">#REF!</definedName>
    <definedName name="_UCE26">#REF!</definedName>
    <definedName name="_UCE27">#REF!</definedName>
    <definedName name="_UCE28">#REF!</definedName>
    <definedName name="_UCE29">#REF!</definedName>
    <definedName name="_UCE30">#REF!</definedName>
    <definedName name="_UCE31">#REF!</definedName>
    <definedName name="_UCE32">#REF!</definedName>
    <definedName name="_UCE33">#REF!</definedName>
    <definedName name="_UCE34">#REF!</definedName>
    <definedName name="_UCE35">#REF!</definedName>
    <definedName name="_UCE36">#REF!</definedName>
    <definedName name="_UCE37">#REF!</definedName>
    <definedName name="_UCE38">#REF!</definedName>
    <definedName name="_UCE39">#REF!</definedName>
    <definedName name="_UCE40">#REF!</definedName>
    <definedName name="_VAR13300">#N/A</definedName>
    <definedName name="_VAR13502">#N/A</definedName>
    <definedName name="_xy12341351245" localSheetId="1" hidden="1">#REF!</definedName>
    <definedName name="_xy12341351245" hidden="1">#REF!</definedName>
    <definedName name="_xyz" localSheetId="1">#REF!</definedName>
    <definedName name="_xyz">#REF!</definedName>
    <definedName name="ⅡⅢⅣⅤⅥ_" localSheetId="1">#REF!</definedName>
    <definedName name="ⅡⅢⅣⅤⅥ_">#REF!</definedName>
    <definedName name="A" localSheetId="4">#REF!</definedName>
    <definedName name="A">#REF!</definedName>
    <definedName name="aa" localSheetId="1" hidden="1">{#N/A,#N/A,FALSE,"BS";#N/A,#N/A,FALSE,"PL";#N/A,#N/A,FALSE,"A";#N/A,#N/A,FALSE,"B";#N/A,#N/A,FALSE,"B1";#N/A,#N/A,FALSE,"C";#N/A,#N/A,FALSE,"C1";#N/A,#N/A,FALSE,"C2";#N/A,#N/A,FALSE,"D";#N/A,#N/A,FALSE,"E";#N/A,#N/A,FALSE,"F";#N/A,#N/A,FALSE,"AA";#N/A,#N/A,FALSE,"BB";#N/A,#N/A,FALSE,"CC";#N/A,#N/A,FALSE,"DD";#N/A,#N/A,FALSE,"EE";#N/A,#N/A,FALSE,"FF";#N/A,#N/A,FALSE,"PL10";#N/A,#N/A,FALSE,"PL20";#N/A,#N/A,FALSE,"PL30"}</definedName>
    <definedName name="aa" hidden="1">{#N/A,#N/A,FALSE,"BS";#N/A,#N/A,FALSE,"PL";#N/A,#N/A,FALSE,"A";#N/A,#N/A,FALSE,"B";#N/A,#N/A,FALSE,"B1";#N/A,#N/A,FALSE,"C";#N/A,#N/A,FALSE,"C1";#N/A,#N/A,FALSE,"C2";#N/A,#N/A,FALSE,"D";#N/A,#N/A,FALSE,"E";#N/A,#N/A,FALSE,"F";#N/A,#N/A,FALSE,"AA";#N/A,#N/A,FALSE,"BB";#N/A,#N/A,FALSE,"CC";#N/A,#N/A,FALSE,"DD";#N/A,#N/A,FALSE,"EE";#N/A,#N/A,FALSE,"FF";#N/A,#N/A,FALSE,"PL10";#N/A,#N/A,FALSE,"PL20";#N/A,#N/A,FALSE,"PL30"}</definedName>
    <definedName name="AccessDatabase" hidden="1">"C:\수출관리\하자관리.xls"</definedName>
    <definedName name="Account">#REF!</definedName>
    <definedName name="Account_Balance">#REF!</definedName>
    <definedName name="ACCOUNTS" localSheetId="1">#REF!</definedName>
    <definedName name="ACCOUNTS">#REF!</definedName>
    <definedName name="ACCT_CODE">#N/A</definedName>
    <definedName name="ACE_TEST1대" localSheetId="1">#REF!</definedName>
    <definedName name="ACE_TEST1대">#REF!</definedName>
    <definedName name="ACTEOH">#N/A</definedName>
    <definedName name="adf">#REF!</definedName>
    <definedName name="adg">#REF!</definedName>
    <definedName name="AdminExp" localSheetId="1">#REF!</definedName>
    <definedName name="AdminExp">#REF!</definedName>
    <definedName name="Aging_dollars">#REF!</definedName>
    <definedName name="Aging_percent">#REF!,#REF!</definedName>
    <definedName name="all" localSheetId="1">#REF!</definedName>
    <definedName name="all">#REF!</definedName>
    <definedName name="ALLOCATION">#REF!</definedName>
    <definedName name="Allowance_to_Receivables">#REF!,#REF!</definedName>
    <definedName name="Allowance_to_Sales">#REF!,#REF!</definedName>
    <definedName name="anscount" hidden="1">2</definedName>
    <definedName name="aq" localSheetId="1" hidden="1">{#N/A,#N/A,FALSE,"BS";#N/A,#N/A,FALSE,"PL";#N/A,#N/A,FALSE,"A";#N/A,#N/A,FALSE,"B";#N/A,#N/A,FALSE,"B1";#N/A,#N/A,FALSE,"C";#N/A,#N/A,FALSE,"C1";#N/A,#N/A,FALSE,"C2";#N/A,#N/A,FALSE,"D";#N/A,#N/A,FALSE,"E";#N/A,#N/A,FALSE,"F";#N/A,#N/A,FALSE,"AA";#N/A,#N/A,FALSE,"BB";#N/A,#N/A,FALSE,"CC";#N/A,#N/A,FALSE,"DD";#N/A,#N/A,FALSE,"EE";#N/A,#N/A,FALSE,"FF";#N/A,#N/A,FALSE,"PL10";#N/A,#N/A,FALSE,"PL20";#N/A,#N/A,FALSE,"PL30"}</definedName>
    <definedName name="aq" hidden="1">{#N/A,#N/A,FALSE,"BS";#N/A,#N/A,FALSE,"PL";#N/A,#N/A,FALSE,"A";#N/A,#N/A,FALSE,"B";#N/A,#N/A,FALSE,"B1";#N/A,#N/A,FALSE,"C";#N/A,#N/A,FALSE,"C1";#N/A,#N/A,FALSE,"C2";#N/A,#N/A,FALSE,"D";#N/A,#N/A,FALSE,"E";#N/A,#N/A,FALSE,"F";#N/A,#N/A,FALSE,"AA";#N/A,#N/A,FALSE,"BB";#N/A,#N/A,FALSE,"CC";#N/A,#N/A,FALSE,"DD";#N/A,#N/A,FALSE,"EE";#N/A,#N/A,FALSE,"FF";#N/A,#N/A,FALSE,"PL10";#N/A,#N/A,FALSE,"PL20";#N/A,#N/A,FALSE,"PL30"}</definedName>
    <definedName name="ARA_Threshold">#REF!</definedName>
    <definedName name="ARP_Threshold">#REF!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localSheetId="1" hidden="1">#REF!</definedName>
    <definedName name="AS2TickmarkLS" hidden="1">#REF!</definedName>
    <definedName name="AS2VersionLS" hidden="1">300</definedName>
    <definedName name="asdfghjk">#REF!</definedName>
    <definedName name="asset_sale" localSheetId="1">#REF!</definedName>
    <definedName name="asset_sale">#REF!</definedName>
    <definedName name="aug">#REF!</definedName>
    <definedName name="aut" localSheetId="1">#REF!</definedName>
    <definedName name="aut">#REF!</definedName>
    <definedName name="B_10" localSheetId="1">#REF!</definedName>
    <definedName name="B_10">#REF!</definedName>
    <definedName name="B_20">#REF!</definedName>
    <definedName name="B_40">#REF!</definedName>
    <definedName name="B_50">#REF!</definedName>
    <definedName name="B_60">#REF!</definedName>
    <definedName name="B_70">#REF!</definedName>
    <definedName name="B_90">#REF!</definedName>
    <definedName name="B_JEMU">#REF!</definedName>
    <definedName name="B_TOTAL">#REF!</definedName>
    <definedName name="B_TOTALT">#REF!</definedName>
    <definedName name="Bank_Shinbo_Refinancing">#REF!</definedName>
    <definedName name="BB">#REF!</definedName>
    <definedName name="BETRYUIHKLJMZCVX">#REF!</definedName>
    <definedName name="BG_Del" hidden="1">15</definedName>
    <definedName name="BG_Ins" hidden="1">4</definedName>
    <definedName name="BG_Mod" hidden="1">6</definedName>
    <definedName name="BOH_TOTAL">#N/A</definedName>
    <definedName name="BOH_UC">#N/A</definedName>
    <definedName name="BOHAMT">#N/A</definedName>
    <definedName name="BOHQTY">#N/A</definedName>
    <definedName name="bond_amount" localSheetId="1">#REF!</definedName>
    <definedName name="bond_amount">#REF!</definedName>
    <definedName name="bpct1">#REF!</definedName>
    <definedName name="bpct2">#REF!</definedName>
    <definedName name="brct1">#REF!</definedName>
    <definedName name="brct2">#REF!</definedName>
    <definedName name="BS_G" localSheetId="1">#REF!</definedName>
    <definedName name="BS_G">#REF!</definedName>
    <definedName name="BS_H" localSheetId="1">#REF!</definedName>
    <definedName name="BS_H">#REF!</definedName>
    <definedName name="BS_I">#REF!</definedName>
    <definedName name="BS_T">#REF!</definedName>
    <definedName name="bs분석" hidden="1">#REF!</definedName>
    <definedName name="BusproExp">#REF!</definedName>
    <definedName name="bzcvx">#REF!</definedName>
    <definedName name="C_">#REF!</definedName>
    <definedName name="CAPBOH">#N/A</definedName>
    <definedName name="CAPEOH">#N/A</definedName>
    <definedName name="capex_loan_amount" localSheetId="1">#REF!</definedName>
    <definedName name="capex_loan_amount">#REF!</definedName>
    <definedName name="capex_reduction" localSheetId="1">#REF!</definedName>
    <definedName name="capex_reduction">#REF!</definedName>
    <definedName name="Capital" localSheetId="1">#REF!</definedName>
    <definedName name="Capital">#REF!</definedName>
    <definedName name="case">#REF!</definedName>
    <definedName name="cb">#REF!</definedName>
    <definedName name="CCC" localSheetId="1" hidden="1">{#N/A,#N/A,FALSE,"BS";#N/A,#N/A,FALSE,"PL";#N/A,#N/A,FALSE,"처분";#N/A,#N/A,FALSE,"현금";#N/A,#N/A,FALSE,"매출";#N/A,#N/A,FALSE,"원가";#N/A,#N/A,FALSE,"경영"}</definedName>
    <definedName name="CCC" hidden="1">{#N/A,#N/A,FALSE,"BS";#N/A,#N/A,FALSE,"PL";#N/A,#N/A,FALSE,"처분";#N/A,#N/A,FALSE,"현금";#N/A,#N/A,FALSE,"매출";#N/A,#N/A,FALSE,"원가";#N/A,#N/A,FALSE,"경영"}</definedName>
    <definedName name="CD" localSheetId="1">#REF!</definedName>
    <definedName name="CD">#REF!</definedName>
    <definedName name="celo" localSheetId="1">#REF!</definedName>
    <definedName name="celo">#REF!</definedName>
    <definedName name="ceno" localSheetId="1">#REF!</definedName>
    <definedName name="ceno">#REF!</definedName>
    <definedName name="CENTA">#REF!</definedName>
    <definedName name="CENTA1">#REF!</definedName>
    <definedName name="CF03후" hidden="1">#REF!</definedName>
    <definedName name="clsg" localSheetId="7">#REF!</definedName>
    <definedName name="clsg">#REF!</definedName>
    <definedName name="CODE">#REF!</definedName>
    <definedName name="COM" localSheetId="7">#REF!</definedName>
    <definedName name="COM">#REF!</definedName>
    <definedName name="CommExp">#REF!</definedName>
    <definedName name="COMPUTATION">#REF!</definedName>
    <definedName name="con">#REF!</definedName>
    <definedName name="corrctn">#REF!</definedName>
    <definedName name="COS">#N/A</definedName>
    <definedName name="COS_UC">#N/A</definedName>
    <definedName name="cpct1">#REF!</definedName>
    <definedName name="cpct2">#REF!</definedName>
    <definedName name="CR3RT" localSheetId="1">#REF!</definedName>
    <definedName name="CR3RT">#REF!</definedName>
    <definedName name="CR3RTDK" localSheetId="1">#REF!</definedName>
    <definedName name="CR3RTDK">#REF!</definedName>
    <definedName name="CR5RTDK" localSheetId="1">#REF!</definedName>
    <definedName name="CR5RTDK">#REF!</definedName>
    <definedName name="crct1">#REF!</definedName>
    <definedName name="crct2">#REF!</definedName>
    <definedName name="CS" localSheetId="7">#REF!</definedName>
    <definedName name="CS">#REF!</definedName>
    <definedName name="CUR3MTH">6</definedName>
    <definedName name="CUR3MTH_CHG">8</definedName>
    <definedName name="CURCYTD">9</definedName>
    <definedName name="CURMTH">1</definedName>
    <definedName name="CURMYTD">12</definedName>
    <definedName name="CurrentAsst" localSheetId="1">#REF!</definedName>
    <definedName name="CurrentAsst">#REF!</definedName>
    <definedName name="CurrentAsst\" localSheetId="1">#REF!</definedName>
    <definedName name="CurrentAsst\">#REF!</definedName>
    <definedName name="CurrtLiab" localSheetId="1">#REF!</definedName>
    <definedName name="CurrtLiab">#REF!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TD_CHG">11</definedName>
    <definedName name="D" localSheetId="1">#REF!</definedName>
    <definedName name="D">#REF!</definedName>
    <definedName name="DA" localSheetId="1">#REF!</definedName>
    <definedName name="DA">#REF!</definedName>
    <definedName name="DATA" localSheetId="1">#REF!</definedName>
    <definedName name="DATA">#REF!</definedName>
    <definedName name="_xlnm.Database">#REF!</definedName>
    <definedName name="Days_in_Receivables">#REF!,#REF!</definedName>
    <definedName name="dcnt2">#REF!</definedName>
    <definedName name="DD">#REF!</definedName>
    <definedName name="DDD">#N/A</definedName>
    <definedName name="dddd" localSheetId="1" hidden="1">{#N/A,#N/A,FALSE,"BS";#N/A,#N/A,FALSE,"PL";#N/A,#N/A,FALSE,"처분";#N/A,#N/A,FALSE,"현금";#N/A,#N/A,FALSE,"매출";#N/A,#N/A,FALSE,"원가";#N/A,#N/A,FALSE,"경영"}</definedName>
    <definedName name="dddd" hidden="1">{#N/A,#N/A,FALSE,"BS";#N/A,#N/A,FALSE,"PL";#N/A,#N/A,FALSE,"처분";#N/A,#N/A,FALSE,"현금";#N/A,#N/A,FALSE,"매출";#N/A,#N/A,FALSE,"원가";#N/A,#N/A,FALSE,"경영"}</definedName>
    <definedName name="DE_Swap" localSheetId="1">#REF!</definedName>
    <definedName name="DE_Swap">#REF!</definedName>
    <definedName name="deb" localSheetId="1">#REF!</definedName>
    <definedName name="deb">#REF!</definedName>
    <definedName name="Debt_Exp_to_Sales">#REF!,#REF!</definedName>
    <definedName name="dek" localSheetId="1">#REF!</definedName>
    <definedName name="dek">#REF!</definedName>
    <definedName name="delay">#REF!</definedName>
    <definedName name="Depreciation">#REF!</definedName>
    <definedName name="Detail">#REF!</definedName>
    <definedName name="development">#REF!</definedName>
    <definedName name="DEVICE">#N/A</definedName>
    <definedName name="dfghjydtgrsdfx" hidden="1">#REF!</definedName>
    <definedName name="dgersawdfsbg">#REF!</definedName>
    <definedName name="die_discount" localSheetId="1">#REF!</definedName>
    <definedName name="die_discount">#REF!</definedName>
    <definedName name="Diff">#REF!</definedName>
    <definedName name="Difference">#REF!</definedName>
    <definedName name="Directorscost" localSheetId="1">#REF!</definedName>
    <definedName name="Directorscost">#REF!</definedName>
    <definedName name="Disaggregations" localSheetId="1">#REF!</definedName>
    <definedName name="Disaggregations">#REF!</definedName>
    <definedName name="disc">#REF!</definedName>
    <definedName name="Diss">#REF!</definedName>
    <definedName name="DMA">#REF!</definedName>
    <definedName name="dmf">#REF!</definedName>
    <definedName name="dnct1">#REF!</definedName>
    <definedName name="dnct2">#REF!</definedName>
    <definedName name="DOM_COS">#N/A</definedName>
    <definedName name="DOM_SALE">#N/A</definedName>
    <definedName name="DOMSALE">#N/A</definedName>
    <definedName name="DRAM_price_scenario" localSheetId="1">#REF!</definedName>
    <definedName name="DRAM_price_scenario">#REF!</definedName>
    <definedName name="DRAM_price_scenarios" localSheetId="1">#REF!</definedName>
    <definedName name="DRAM_price_scenarios">#REF!</definedName>
    <definedName name="e_00_end" localSheetId="1">#REF!/1000</definedName>
    <definedName name="e_00_end">#REF!/1000</definedName>
    <definedName name="e_q1">#REF!/1000</definedName>
    <definedName name="e_Q1_average">#REF!/1000</definedName>
    <definedName name="e_q1_end">#REF!/1000</definedName>
    <definedName name="ee">#REF!</definedName>
    <definedName name="ees">#REF!</definedName>
    <definedName name="eHD">#REF!</definedName>
    <definedName name="EI" localSheetId="7">#REF!</definedName>
    <definedName name="EI">#REF!</definedName>
    <definedName name="EOH">#N/A</definedName>
    <definedName name="EOH_UC">#N/A</definedName>
    <definedName name="EOHAMT">#N/A</definedName>
    <definedName name="EOHQTY">#N/A</definedName>
    <definedName name="equity_proceed2" localSheetId="1">#REF!</definedName>
    <definedName name="equity_proceed2">#REF!</definedName>
    <definedName name="equity_proceeds" localSheetId="1">#REF!</definedName>
    <definedName name="equity_proceeds">#REF!</definedName>
    <definedName name="er">1328</definedName>
    <definedName name="er_p">1300</definedName>
    <definedName name="escrow" localSheetId="1">#REF!</definedName>
    <definedName name="escrow">#REF!</definedName>
    <definedName name="etc" localSheetId="1">#REF!</definedName>
    <definedName name="etc">#REF!</definedName>
    <definedName name="ETE" localSheetId="1">#REF!</definedName>
    <definedName name="ETE">#REF!</definedName>
    <definedName name="etrwert">#REF!</definedName>
    <definedName name="Euro10">#REF!</definedName>
    <definedName name="Euro11">#REF!</definedName>
    <definedName name="Euro12">#REF!</definedName>
    <definedName name="Euro7">#REF!</definedName>
    <definedName name="Euro8">#REF!</definedName>
    <definedName name="Euro9">#REF!</definedName>
    <definedName name="ew">#REF!</definedName>
    <definedName name="ex_02">#REF!</definedName>
    <definedName name="ex_03">#REF!</definedName>
    <definedName name="ex_04">#REF!</definedName>
    <definedName name="ex_05">#REF!</definedName>
    <definedName name="ex_1">#REF!</definedName>
    <definedName name="ex_2">#REF!</definedName>
    <definedName name="ex_3">#REF!</definedName>
    <definedName name="EXC">#REF!</definedName>
    <definedName name="exc_HSA">#REF!</definedName>
    <definedName name="exc_HSA_cost">#REF!</definedName>
    <definedName name="exc_sales_subs">#REF!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3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1_1_1_1_1">#REF!</definedName>
    <definedName name="Excel_BuiltIn_Print_Area_5_1_1_1_1_1_1_1_1_1_1_1">#REF!</definedName>
    <definedName name="Excel_BuiltIn_Print_Area_5_1_1_1_1_1_1_1_1_1_1_1_1">#REF!</definedName>
    <definedName name="Excel_BuiltIn_Print_Area_5_1_1_1_1_1_1_1_1_1_1_1_1_1">#REF!</definedName>
    <definedName name="Excel_BuiltIn_Print_Area_5_1_1_1_1_1_1_1_1_1_1_1_1_1_1">#REF!</definedName>
    <definedName name="Excel_BuiltIn_Print_Area_5_1_1_1_1_1_1_1_1_1_1_1_1_1_1_1">#REF!</definedName>
    <definedName name="Excel_BuiltIn_Print_Area_5_1_1_1_1_1_1_1_1_1_1_1_1_1_1_1_1">#REF!</definedName>
    <definedName name="exchange_rate_2000YE">#REF!</definedName>
    <definedName name="exchange_rate_capex">#REF!</definedName>
    <definedName name="exchange_rate_q1_bs">#REF!</definedName>
    <definedName name="exchange_rate_q1_pl">#REF!</definedName>
    <definedName name="Exhibit_D_17_Total_Accumulated_Costs_by_Cost_Center_1Q.98">#REF!</definedName>
    <definedName name="EXP_COS">#N/A</definedName>
    <definedName name="EXP_SALE">#N/A</definedName>
    <definedName name="ExpBal">#REF!</definedName>
    <definedName name="Expected_balance">#REF!</definedName>
    <definedName name="EXPSALE">#N/A</definedName>
    <definedName name="Extend_Maturity" localSheetId="1">#REF!</definedName>
    <definedName name="Extend_Maturity">#REF!</definedName>
    <definedName name="_xlnm.Extract">#REF!</definedName>
    <definedName name="ey" localSheetId="1">#REF!</definedName>
    <definedName name="ey">#REF!</definedName>
    <definedName name="eyre" localSheetId="1">#REF!</definedName>
    <definedName name="eyre">#REF!</definedName>
    <definedName name="FAB">#N/A</definedName>
    <definedName name="FAB_I" localSheetId="1">#REF!</definedName>
    <definedName name="FAB_I">#REF!</definedName>
    <definedName name="fab_names" localSheetId="1">#REF!</definedName>
    <definedName name="fab_names">#REF!</definedName>
    <definedName name="FAB_O" localSheetId="1">#REF!</definedName>
    <definedName name="FAB_O">#REF!</definedName>
    <definedName name="FD">#REF!</definedName>
    <definedName name="FF" localSheetId="7">#REF!</definedName>
    <definedName name="FF">#REF!</definedName>
    <definedName name="FG46TBTB4RTDKDK">#REF!</definedName>
    <definedName name="FGSOUTMP">#N/A</definedName>
    <definedName name="FGSOUTPP">#N/A</definedName>
    <definedName name="fhdsDf" hidden="1">#REF!</definedName>
    <definedName name="finance" localSheetId="1">#REF!</definedName>
    <definedName name="finance">#REF!</definedName>
    <definedName name="FinCharge" localSheetId="1">#REF!</definedName>
    <definedName name="FinCharge">#REF!</definedName>
    <definedName name="fincharges" localSheetId="1">#REF!</definedName>
    <definedName name="fincharges">#REF!</definedName>
    <definedName name="fixed1">#REF!</definedName>
    <definedName name="fixed2">#REF!</definedName>
    <definedName name="FixedAsst">#REF!</definedName>
    <definedName name="flatline_ASPs">#REF!</definedName>
    <definedName name="FORYTD">#REF!</definedName>
    <definedName name="G13g81" localSheetId="4">#REF!</definedName>
    <definedName name="G13g81">#REF!</definedName>
    <definedName name="GBP_Exch" localSheetId="7">#REF!</definedName>
    <definedName name="GBP_Exch">#REF!</definedName>
    <definedName name="GDR_gross_spread" localSheetId="1">#REF!</definedName>
    <definedName name="GDR_gross_spread">#REF!</definedName>
    <definedName name="GDR_gross_spread2" localSheetId="1">#REF!</definedName>
    <definedName name="GDR_gross_spread2">#REF!</definedName>
    <definedName name="gfda" localSheetId="1">#REF!</definedName>
    <definedName name="gfda">#REF!</definedName>
    <definedName name="GG">#REF!</definedName>
    <definedName name="gjrhrdfbg">#REF!</definedName>
    <definedName name="GROUPINGS">#REF!</definedName>
    <definedName name="H">#REF!</definedName>
    <definedName name="H1_">#REF!</definedName>
    <definedName name="HAOS">#REF!</definedName>
    <definedName name="HATCI">#REF!</definedName>
    <definedName name="hdgfsad">#REF!</definedName>
    <definedName name="Header">#REF!</definedName>
    <definedName name="hh" localSheetId="1" hidden="1">{#N/A,#N/A,FALSE,"BS";#N/A,#N/A,FALSE,"PL";#N/A,#N/A,FALSE,"A";#N/A,#N/A,FALSE,"B";#N/A,#N/A,FALSE,"B1";#N/A,#N/A,FALSE,"C";#N/A,#N/A,FALSE,"C1";#N/A,#N/A,FALSE,"C2";#N/A,#N/A,FALSE,"D";#N/A,#N/A,FALSE,"E";#N/A,#N/A,FALSE,"F";#N/A,#N/A,FALSE,"AA";#N/A,#N/A,FALSE,"BB";#N/A,#N/A,FALSE,"CC";#N/A,#N/A,FALSE,"DD";#N/A,#N/A,FALSE,"EE";#N/A,#N/A,FALSE,"FF";#N/A,#N/A,FALSE,"PL10";#N/A,#N/A,FALSE,"PL20";#N/A,#N/A,FALSE,"PL30"}</definedName>
    <definedName name="hh" hidden="1">{#N/A,#N/A,FALSE,"BS";#N/A,#N/A,FALSE,"PL";#N/A,#N/A,FALSE,"A";#N/A,#N/A,FALSE,"B";#N/A,#N/A,FALSE,"B1";#N/A,#N/A,FALSE,"C";#N/A,#N/A,FALSE,"C1";#N/A,#N/A,FALSE,"C2";#N/A,#N/A,FALSE,"D";#N/A,#N/A,FALSE,"E";#N/A,#N/A,FALSE,"F";#N/A,#N/A,FALSE,"AA";#N/A,#N/A,FALSE,"BB";#N/A,#N/A,FALSE,"CC";#N/A,#N/A,FALSE,"DD";#N/A,#N/A,FALSE,"EE";#N/A,#N/A,FALSE,"FF";#N/A,#N/A,FALSE,"PL10";#N/A,#N/A,FALSE,"PL20";#N/A,#N/A,FALSE,"PL30"}</definedName>
    <definedName name="hhhh" localSheetId="1" hidden="1">{#N/A,#N/A,FALSE,"BS";#N/A,#N/A,FALSE,"PL";#N/A,#N/A,FALSE,"처분";#N/A,#N/A,FALSE,"현금";#N/A,#N/A,FALSE,"매출";#N/A,#N/A,FALSE,"원가";#N/A,#N/A,FALSE,"경영"}</definedName>
    <definedName name="hhhh" hidden="1">{#N/A,#N/A,FALSE,"BS";#N/A,#N/A,FALSE,"PL";#N/A,#N/A,FALSE,"처분";#N/A,#N/A,FALSE,"현금";#N/A,#N/A,FALSE,"매출";#N/A,#N/A,FALSE,"원가";#N/A,#N/A,FALSE,"경영"}</definedName>
    <definedName name="HICOUT">#N/A</definedName>
    <definedName name="high_yield_proceeds" localSheetId="1">#REF!</definedName>
    <definedName name="high_yield_proceeds">#REF!</definedName>
    <definedName name="HMA" localSheetId="1">#REF!</definedName>
    <definedName name="HMA">#REF!</definedName>
    <definedName name="HMFC" localSheetId="1">#REF!</definedName>
    <definedName name="HMFC">#REF!</definedName>
    <definedName name="HMI">#REF!</definedName>
    <definedName name="HMJ">#REF!</definedName>
    <definedName name="HMP">#REF!</definedName>
    <definedName name="HRExp">#REF!</definedName>
    <definedName name="hsa">#REF!</definedName>
    <definedName name="hsa_">#REF!</definedName>
    <definedName name="HSA_factor">#REF!</definedName>
    <definedName name="HSA_title_insert">#REF!</definedName>
    <definedName name="HT">#REF!</definedName>
    <definedName name="HTML_CodePage" hidden="1">949</definedName>
    <definedName name="HTML_Control" localSheetId="1" hidden="1">{"'7-2지역별'!$A$1:$R$44"}</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localSheetId="7" hidden="1">"C:\2689\Q\國內\00q3961台化龍德PTA3建造\MyHTML.htm"</definedName>
    <definedName name="HTML_PathFile" hidden="1">"C:\My Documents\981151"</definedName>
    <definedName name="HTML_Title" localSheetId="7" hidden="1">"00Q3961-SUM"</definedName>
    <definedName name="HTML_Title" hidden="1">"월보"</definedName>
    <definedName name="HYME" localSheetId="1">#REF!</definedName>
    <definedName name="HYME">#REF!</definedName>
    <definedName name="II" localSheetId="1">#REF!</definedName>
    <definedName name="II">#REF!</definedName>
    <definedName name="implementation_reference" localSheetId="1">#REF!</definedName>
    <definedName name="implementation_reference">#REF!</definedName>
    <definedName name="IN_TAMT">#N/A</definedName>
    <definedName name="IN_TOTAL">#N/A</definedName>
    <definedName name="IN_TQTY">#N/A</definedName>
    <definedName name="IN_UC">#N/A</definedName>
    <definedName name="INAMT">#N/A</definedName>
    <definedName name="inc_additional_financings" localSheetId="1">#REF!</definedName>
    <definedName name="inc_additional_financings">#REF!</definedName>
    <definedName name="inc_telecom_LCD" localSheetId="1">#REF!</definedName>
    <definedName name="inc_telecom_LCD">#REF!</definedName>
    <definedName name="INQTY">#N/A</definedName>
    <definedName name="Interval_cutoff">#REF!</definedName>
    <definedName name="Investment" localSheetId="1">#REF!</definedName>
    <definedName name="Investment">#REF!</definedName>
    <definedName name="ITC_Debenture" localSheetId="1">#REF!</definedName>
    <definedName name="ITC_Debenture">#REF!</definedName>
    <definedName name="ITC_fund" localSheetId="1">#REF!</definedName>
    <definedName name="ITC_fund">#REF!</definedName>
    <definedName name="J_cutoff">#REF!</definedName>
    <definedName name="jan">#REF!</definedName>
    <definedName name="KDB_Cancellation">#REF!</definedName>
    <definedName name="kdetc">#REF!</definedName>
    <definedName name="kdi" localSheetId="1" hidden="1">{#N/A,#N/A,FALSE,"BS";#N/A,#N/A,FALSE,"PL";#N/A,#N/A,FALSE,"A";#N/A,#N/A,FALSE,"B";#N/A,#N/A,FALSE,"B1";#N/A,#N/A,FALSE,"C";#N/A,#N/A,FALSE,"C1";#N/A,#N/A,FALSE,"C2";#N/A,#N/A,FALSE,"D";#N/A,#N/A,FALSE,"E";#N/A,#N/A,FALSE,"F";#N/A,#N/A,FALSE,"AA";#N/A,#N/A,FALSE,"BB";#N/A,#N/A,FALSE,"CC";#N/A,#N/A,FALSE,"DD";#N/A,#N/A,FALSE,"EE";#N/A,#N/A,FALSE,"FF";#N/A,#N/A,FALSE,"PL10";#N/A,#N/A,FALSE,"PL20";#N/A,#N/A,FALSE,"PL30"}</definedName>
    <definedName name="kdi" hidden="1">{#N/A,#N/A,FALSE,"BS";#N/A,#N/A,FALSE,"PL";#N/A,#N/A,FALSE,"A";#N/A,#N/A,FALSE,"B";#N/A,#N/A,FALSE,"B1";#N/A,#N/A,FALSE,"C";#N/A,#N/A,FALSE,"C1";#N/A,#N/A,FALSE,"C2";#N/A,#N/A,FALSE,"D";#N/A,#N/A,FALSE,"E";#N/A,#N/A,FALSE,"F";#N/A,#N/A,FALSE,"AA";#N/A,#N/A,FALSE,"BB";#N/A,#N/A,FALSE,"CC";#N/A,#N/A,FALSE,"DD";#N/A,#N/A,FALSE,"EE";#N/A,#N/A,FALSE,"FF";#N/A,#N/A,FALSE,"PL10";#N/A,#N/A,FALSE,"PL20";#N/A,#N/A,FALSE,"PL30"}</definedName>
    <definedName name="kdstock" localSheetId="1">#REF!</definedName>
    <definedName name="kdstock">#REF!</definedName>
    <definedName name="kdsum" localSheetId="1">#REF!</definedName>
    <definedName name="kdsum">#REF!</definedName>
    <definedName name="KK" localSheetId="1">#REF!</definedName>
    <definedName name="KK">#REF!</definedName>
    <definedName name="kkk" localSheetId="1" hidden="1">{#N/A,#N/A,FALSE,"BS";#N/A,#N/A,FALSE,"PL";#N/A,#N/A,FALSE,"처분";#N/A,#N/A,FALSE,"현금";#N/A,#N/A,FALSE,"매출";#N/A,#N/A,FALSE,"원가";#N/A,#N/A,FALSE,"경영"}</definedName>
    <definedName name="kkk" hidden="1">{#N/A,#N/A,FALSE,"BS";#N/A,#N/A,FALSE,"PL";#N/A,#N/A,FALSE,"처분";#N/A,#N/A,FALSE,"현금";#N/A,#N/A,FALSE,"매출";#N/A,#N/A,FALSE,"원가";#N/A,#N/A,FALSE,"경영"}</definedName>
    <definedName name="kujdfszvxb">#REF!</definedName>
    <definedName name="L_Adjust" localSheetId="7">#REF!</definedName>
    <definedName name="L_Adjust">#REF!</definedName>
    <definedName name="L_AJE_Tot" localSheetId="7">#REF!</definedName>
    <definedName name="L_AJE_Tot">#REF!</definedName>
    <definedName name="L_CY_Beg" localSheetId="7">#REF!</definedName>
    <definedName name="L_CY_Beg">#REF!</definedName>
    <definedName name="L_CY_End" localSheetId="7">#REF!</definedName>
    <definedName name="L_CY_End">#REF!</definedName>
    <definedName name="L_PY_End" localSheetId="7">#REF!</definedName>
    <definedName name="L_PY_End">#REF!</definedName>
    <definedName name="L_RJE_Tot" localSheetId="7">#REF!</definedName>
    <definedName name="L_RJE_Tot">#REF!</definedName>
    <definedName name="LC256PY" localSheetId="1">#REF!</definedName>
    <definedName name="LC256PY">#REF!</definedName>
    <definedName name="LC명" localSheetId="1">#REF!</definedName>
    <definedName name="LC명">#REF!</definedName>
    <definedName name="Leased_lines" localSheetId="1">#REF!</definedName>
    <definedName name="Leased_lines">#REF!</definedName>
    <definedName name="LEFT">#REF!</definedName>
    <definedName name="LEFT1">#REF!</definedName>
    <definedName name="lg_note">#REF!</definedName>
    <definedName name="LG64PY">#REF!</definedName>
    <definedName name="LoanAdv">#REF!</definedName>
    <definedName name="m" localSheetId="1" hidden="1">{#N/A,#N/A,FALSE,"BS";#N/A,#N/A,FALSE,"PL";#N/A,#N/A,FALSE,"처분";#N/A,#N/A,FALSE,"현금";#N/A,#N/A,FALSE,"매출";#N/A,#N/A,FALSE,"원가";#N/A,#N/A,FALSE,"경영"}</definedName>
    <definedName name="m" hidden="1">{#N/A,#N/A,FALSE,"BS";#N/A,#N/A,FALSE,"PL";#N/A,#N/A,FALSE,"처분";#N/A,#N/A,FALSE,"현금";#N/A,#N/A,FALSE,"매출";#N/A,#N/A,FALSE,"원가";#N/A,#N/A,FALSE,"경영"}</definedName>
    <definedName name="mainhead" localSheetId="4">#REF!</definedName>
    <definedName name="mainhead">#REF!</definedName>
    <definedName name="mainheadlist" localSheetId="4">#REF!</definedName>
    <definedName name="mainheadlist">#REF!</definedName>
    <definedName name="mainheadstart" localSheetId="4">#REF!</definedName>
    <definedName name="mainheadstart">#REF!</definedName>
    <definedName name="MaintExp" localSheetId="1">#REF!</definedName>
    <definedName name="MaintExp">#REF!</definedName>
    <definedName name="Materiality">#REF!</definedName>
    <definedName name="mcvxz">#REF!</definedName>
    <definedName name="MENO" localSheetId="1">#REF!</definedName>
    <definedName name="MENO">#REF!</definedName>
    <definedName name="Mic.Income">#REF!</definedName>
    <definedName name="MICON">#N/A</definedName>
    <definedName name="MISC" localSheetId="1">#REF!</definedName>
    <definedName name="MISC">#REF!</definedName>
    <definedName name="MiscExp" localSheetId="1">#REF!</definedName>
    <definedName name="MiscExp">#REF!</definedName>
    <definedName name="MM">#REF!</definedName>
    <definedName name="MNGDASRDFGH">#REF!</definedName>
    <definedName name="MODEL">#N/A</definedName>
    <definedName name="MoneP">#REF!</definedName>
    <definedName name="Monetary_Precision">#REF!</definedName>
    <definedName name="month" localSheetId="1">#REF!</definedName>
    <definedName name="month">#REF!</definedName>
    <definedName name="MP">#REF!</definedName>
    <definedName name="MPBOH">#N/A</definedName>
    <definedName name="MPEOH">#N/A</definedName>
    <definedName name="MTB" localSheetId="7">#REF!</definedName>
    <definedName name="MTB">#REF!</definedName>
    <definedName name="MV" localSheetId="7">#REF!</definedName>
    <definedName name="MV">#REF!</definedName>
    <definedName name="MYTD_CHG">14</definedName>
    <definedName name="MZ" localSheetId="1">#REF!</definedName>
    <definedName name="MZ">#REF!</definedName>
    <definedName name="M행" localSheetId="1">#REF!</definedName>
    <definedName name="M행">#REF!</definedName>
    <definedName name="NET" localSheetId="1">#REF!</definedName>
    <definedName name="NET">#REF!</definedName>
    <definedName name="new_capex_loan">#REF!</definedName>
    <definedName name="new_equity">#REF!</definedName>
    <definedName name="new_technology">#REF!</definedName>
    <definedName name="new_technology_AT_yields">#REF!</definedName>
    <definedName name="new_technology_data">#REF!</definedName>
    <definedName name="new_technology_fab_yields">#REF!</definedName>
    <definedName name="new_technology_probe_yields">#REF!</definedName>
    <definedName name="nmzcvxsADSF" hidden="1">#REF!</definedName>
    <definedName name="non_DRAM_price_sensitivity">#REF!</definedName>
    <definedName name="NORIN">#N/A</definedName>
    <definedName name="Number_of_Selections">#REF!</definedName>
    <definedName name="N행" localSheetId="1">#REF!</definedName>
    <definedName name="N행">#REF!</definedName>
    <definedName name="OE" localSheetId="7">#REF!</definedName>
    <definedName name="OE">#REF!</definedName>
    <definedName name="offering_price" localSheetId="1">#REF!</definedName>
    <definedName name="offering_price">#REF!</definedName>
    <definedName name="offering_price2" localSheetId="1">#REF!</definedName>
    <definedName name="offering_price2">#REF!</definedName>
    <definedName name="OFFICE">#REF!</definedName>
    <definedName name="OFFICEMEAL">#REF!</definedName>
    <definedName name="old_cumulative_yield">#REF!</definedName>
    <definedName name="old_die_per_wafer">#REF!</definedName>
    <definedName name="old_technology">#REF!</definedName>
    <definedName name="OLE_LINK10" localSheetId="7">'24-41'!$C$166</definedName>
    <definedName name="OLE_LINK38" localSheetId="7">'24-41'!#REF!</definedName>
    <definedName name="OLE_LINK7" localSheetId="7">'24-41'!$B$8</definedName>
    <definedName name="OLE_LINK9" localSheetId="7">'24-41'!#REF!</definedName>
    <definedName name="Operatexp." localSheetId="1">#REF!</definedName>
    <definedName name="Operatexp.">#REF!</definedName>
    <definedName name="Operational_Lease" localSheetId="1">#REF!</definedName>
    <definedName name="Operational_Lease">#REF!</definedName>
    <definedName name="opng" localSheetId="7">#REF!</definedName>
    <definedName name="opng">#REF!</definedName>
    <definedName name="OTH_UC">#N/A</definedName>
    <definedName name="OTHAMT">#N/A</definedName>
    <definedName name="OTHBOH">#N/A</definedName>
    <definedName name="OTHEOH">#N/A</definedName>
    <definedName name="OTHER">#N/A</definedName>
    <definedName name="Others" localSheetId="1">#REF!</definedName>
    <definedName name="Others">#REF!</definedName>
    <definedName name="OUT_TOTAL">#N/A</definedName>
    <definedName name="OUTAMT">#N/A</definedName>
    <definedName name="OUTQTY">#N/A</definedName>
    <definedName name="overdraft" localSheetId="1">#REF!</definedName>
    <definedName name="overdraft">#REF!</definedName>
    <definedName name="O행" localSheetId="1">#REF!</definedName>
    <definedName name="O행">#REF!</definedName>
    <definedName name="p">#REF!</definedName>
    <definedName name="Parent_Transfer_Memory_2001" localSheetId="1">#REF!</definedName>
    <definedName name="Parent_Transfer_Memory_2001">#REF!</definedName>
    <definedName name="Parent_Transfer_Memory_2002">#REF!</definedName>
    <definedName name="Parent_Transfer_nonMemory_2001">#REF!</definedName>
    <definedName name="PART1_110">#REF!</definedName>
    <definedName name="PART1_120">#REF!</definedName>
    <definedName name="PART1_130">#REF!</definedName>
    <definedName name="PART1_140">#REF!</definedName>
    <definedName name="PART1_150">#REF!,#REF!,#REF!,#REF!,#REF!,#REF!</definedName>
    <definedName name="PART1_157">#REF!</definedName>
    <definedName name="PART1_FORMULAS">#REF!,#REF!,#REF!,#REF!,#REF!,#REF!,#REF!</definedName>
    <definedName name="PART1_GREATERTHAN0">#REF!,#REF!,#REF!,#REF!,#REF!,#REF!,#REF!</definedName>
    <definedName name="PART1_READONLY">#REF!,#REF!,#REF!,#REF!,#REF!,#REF!,#REF!</definedName>
    <definedName name="PART10_ANNEX1">#REF!</definedName>
    <definedName name="PART10_ANNEX2">#REF!</definedName>
    <definedName name="PART10_B210">#REF!</definedName>
    <definedName name="PART2_200">#REF!,#REF!,#REF!,#REF!,#REF!,#REF!</definedName>
    <definedName name="PART2_210">#REF!</definedName>
    <definedName name="PART2_210A">#REF!</definedName>
    <definedName name="PART2_211">#REF!</definedName>
    <definedName name="PART2_230">#REF!</definedName>
    <definedName name="PART2_240">#REF!</definedName>
    <definedName name="PART2_251">#REF!</definedName>
    <definedName name="PART2_252">#REF!</definedName>
    <definedName name="PART2_GREATERTHAN0">#REF!,#REF!,#REF!,#REF!,#REF!,#REF!,#REF!,#REF!,#REF!,#REF!,#REF!,#REF!,#REF!,#REF!,#REF!,#REF!,#REF!,#REF!,#REF!,#REF!,#REF!,#REF!,#REF!,#REF!,#REF!,#REF!,#REF!,#REF!,#REF!,#REF!,#REF!,#REF!,#REF!,#REF!,#REF!,#REF!,#REF!,#REF!,#REF!,#REF!,#REF!,#REF!</definedName>
    <definedName name="PART2_GREATERTHAN0_1">#REF!,#REF!,#REF!,#REF!,#REF!</definedName>
    <definedName name="PART2_IC020">#REF!,#REF!,#REF!,#REF!</definedName>
    <definedName name="PART2_READONLY">#REF!,#REF!,#REF!,#REF!,#REF!,#REF!,#REF!,#REF!,#REF!</definedName>
    <definedName name="PART3_C31A00">#REF!,#REF!,#REF!,#REF!</definedName>
    <definedName name="PART3_C31A10">#REF!,#REF!,#REF!,#REF!</definedName>
    <definedName name="PART3_C31A112">#REF!</definedName>
    <definedName name="PART3_C31A14">#REF!</definedName>
    <definedName name="PART3_C31A15">#REF!</definedName>
    <definedName name="PART3_C31C00">#REF!,#REF!</definedName>
    <definedName name="PART3_C32A02">#REF!</definedName>
    <definedName name="PART3_C32C00">#REF!,#REF!,#REF!,#REF!</definedName>
    <definedName name="PART3_GREATERTHAN0">#REF!,#REF!,#REF!,#REF!,#REF!,#REF!,#REF!,#REF!,#REF!,#REF!,#REF!,#REF!,#REF!</definedName>
    <definedName name="PART3_READONLY">#REF!,#REF!,#REF!</definedName>
    <definedName name="PART4_GREATERTHAN0">#REF!,#REF!,#REF!,#REF!,#REF!,#REF!,#REF!,#REF!,#REF!,#REF!,#REF!</definedName>
    <definedName name="PART4_OS1000">#REF!</definedName>
    <definedName name="PART4_OS1010">#REF!</definedName>
    <definedName name="PART4_OS1020">#REF!</definedName>
    <definedName name="PART4_READONLY">#REF!,#REF!,#REF!,#REF!,#REF!,#REF!,#REF!,#REF!,#REF!,#REF!</definedName>
    <definedName name="PART5_901">#REF!</definedName>
    <definedName name="PART5_905">#REF!,#REF!</definedName>
    <definedName name="PART5_READONLY">#REF!,#REF!</definedName>
    <definedName name="PART6_READONLY">#REF!,#REF!,#REF!</definedName>
    <definedName name="PC_PROD">#REF!</definedName>
    <definedName name="PERSONNEL">#REF!</definedName>
    <definedName name="pk">#REF!</definedName>
    <definedName name="PKG_detail">#REF!</definedName>
    <definedName name="PKG_LD">#N/A</definedName>
    <definedName name="PKG_S" localSheetId="1">#REF!</definedName>
    <definedName name="PKG_S">#REF!</definedName>
    <definedName name="PKK" localSheetId="1">#REF!</definedName>
    <definedName name="PKK">#REF!</definedName>
    <definedName name="PKU" localSheetId="1">#REF!</definedName>
    <definedName name="PKU">#REF!</definedName>
    <definedName name="POR1C1R59C22RTSQKS15C6LRTPPPPPT">#REF!</definedName>
    <definedName name="PP\">#REF!</definedName>
    <definedName name="PPBOH">#N/A</definedName>
    <definedName name="PPEOH">#N/A</definedName>
    <definedName name="PPK" localSheetId="1">#REF!</definedName>
    <definedName name="PPK">#REF!</definedName>
    <definedName name="PPPPPPPP" localSheetId="1">#REF!</definedName>
    <definedName name="PPPPPPPP">#REF!</definedName>
    <definedName name="Pre_tax_materiality">#REF!</definedName>
    <definedName name="PRESENT_VALUE_DISCOUNT_ACCOUNT">"ㅣ"</definedName>
    <definedName name="price_sensitivity" localSheetId="1">#REF!</definedName>
    <definedName name="price_sensitivity">#REF!</definedName>
    <definedName name="PRIMTH">2</definedName>
    <definedName name="PRIMTH_CHG">4</definedName>
    <definedName name="_xlnm.Print_Area" localSheetId="4">'10'!$A$1:$L$44</definedName>
    <definedName name="_xlnm.Print_Area" localSheetId="1">'1-2'!$B$2:$D$119</definedName>
    <definedName name="_xlnm.Print_Area" localSheetId="6">'16-23'!$A$1:$D$102</definedName>
    <definedName name="_xlnm.Print_Area" localSheetId="7">'24-41'!$B$2:$G$276</definedName>
    <definedName name="_xlnm.Print_Area" localSheetId="2">'3-15'!$A$1:$F$134</definedName>
    <definedName name="_xlnm.Print_Area" localSheetId="5">'Ageing schedule'!$A$1:$J$42</definedName>
    <definedName name="_xlnm.Print_Area" localSheetId="0">'Financial Statements'!$A$2:$F$202</definedName>
    <definedName name="_xlnm.Print_Area" localSheetId="13">'Groupings BS'!$A$1:$E$18</definedName>
    <definedName name="_xlnm.Print_Area" localSheetId="12">'Groupings P &amp;L'!$A$1:$E$52</definedName>
    <definedName name="_xlnm.Print_Area">#REF!</definedName>
    <definedName name="Print_Area_MI" localSheetId="1">#REF!</definedName>
    <definedName name="Print_Area_MI">#REF!</definedName>
    <definedName name="PRINT_AREA_MI1" localSheetId="1">#REF!</definedName>
    <definedName name="PRINT_AREA_MI1">#REF!</definedName>
    <definedName name="_xlnm.Print_Titles" localSheetId="1">'1-2'!$2:$6</definedName>
    <definedName name="_xlnm.Print_Titles" localSheetId="6">'16-23'!$1:$7</definedName>
    <definedName name="_xlnm.Print_Titles" localSheetId="7">'24-41'!$2:$5</definedName>
    <definedName name="_xlnm.Print_Titles" localSheetId="2">'3-15'!$1:$7</definedName>
    <definedName name="_xlnm.Print_Titles">#N/A</definedName>
    <definedName name="Print_Titles_MI" localSheetId="1">#REF!</definedName>
    <definedName name="Print_Titles_MI">#REF!</definedName>
    <definedName name="PRINTALL" localSheetId="1">#REF!</definedName>
    <definedName name="PRINTALL">#REF!</definedName>
    <definedName name="PROD">#N/A</definedName>
    <definedName name="PRODUCT">#N/A</definedName>
    <definedName name="PROFIT_LOSS">#REF!</definedName>
    <definedName name="Proposal3" localSheetId="1">#REF!</definedName>
    <definedName name="Proposal3">#REF!</definedName>
    <definedName name="Proposal3_escrow" localSheetId="1">#REF!</definedName>
    <definedName name="Proposal3_escrow">#REF!</definedName>
    <definedName name="PRP" localSheetId="1">#REF!</definedName>
    <definedName name="PRP">#REF!</definedName>
    <definedName name="PTR">#REF!</definedName>
    <definedName name="pu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행">#REF!</definedName>
    <definedName name="QAMT86106">#N/A</definedName>
    <definedName name="qq0" localSheetId="1">#REF!</definedName>
    <definedName name="qq0">#REF!</definedName>
    <definedName name="QRABOH">#N/A</definedName>
    <definedName name="QRAEOH">#N/A</definedName>
    <definedName name="qrq" localSheetId="1">#REF!</definedName>
    <definedName name="qrq">#REF!</definedName>
    <definedName name="Q행" localSheetId="1">#REF!</definedName>
    <definedName name="Q행">#REF!</definedName>
    <definedName name="R_Factor">#REF!</definedName>
    <definedName name="Range8">#REF!</definedName>
    <definedName name="RawData" localSheetId="1">#REF!</definedName>
    <definedName name="RawData">#REF!</definedName>
    <definedName name="RecCurrent">#REF!</definedName>
    <definedName name="_xlnm.Recorder">#REF!</definedName>
    <definedName name="RecPY4_Sel1">#REF!</definedName>
    <definedName name="RecRollFWD">#REF!</definedName>
    <definedName name="rer">#REF!</definedName>
    <definedName name="Resdif">#REF!</definedName>
    <definedName name="Reserves">#REF!</definedName>
    <definedName name="Residual_difference">#REF!</definedName>
    <definedName name="retkyjgdnbfcs">#REF!</definedName>
    <definedName name="Revenues_from_international_sector">#REF!</definedName>
    <definedName name="Rfactor">#REF!</definedName>
    <definedName name="RIGHT">#REF!</definedName>
    <definedName name="rights">#REF!</definedName>
    <definedName name="rights_offering">#REF!</definedName>
    <definedName name="rights_offering_proceed">#REF!</definedName>
    <definedName name="rights_replacement">#REF!</definedName>
    <definedName name="RMIN">#N/A</definedName>
    <definedName name="RMREOH">#N/A</definedName>
    <definedName name="RMRNOT">#N/A</definedName>
    <definedName name="RNDBOH">#N/A</definedName>
    <definedName name="RNDEOH">#N/A</definedName>
    <definedName name="RR" localSheetId="1">#REF!</definedName>
    <definedName name="RR">#REF!</definedName>
    <definedName name="RTIN">#N/A</definedName>
    <definedName name="RTR" localSheetId="1">#REF!</definedName>
    <definedName name="RTR">#REF!</definedName>
    <definedName name="rytrey" localSheetId="1">#REF!</definedName>
    <definedName name="rytrey">#REF!</definedName>
    <definedName name="ryur" localSheetId="1">#REF!</definedName>
    <definedName name="ryur">#REF!</definedName>
    <definedName name="R행">#REF!</definedName>
    <definedName name="s" localSheetId="1">{"FORM16",#N/A,TRUE,"Personnel1";"FORM16.2",#N/A,TRUE,"Personnel2";"FORM16.2",#N/A,TRUE,"Personnel3";"FORM16.3",#N/A,TRUE,"Personnel4";"FORM16.4",#N/A,TRUE,"Personnel5"}</definedName>
    <definedName name="s" localSheetId="7">#REF!</definedName>
    <definedName name="s">{"FORM16",#N/A,TRUE,"Personnel1";"FORM16.2",#N/A,TRUE,"Personnel2";"FORM16.2",#N/A,TRUE,"Personnel3";"FORM16.3",#N/A,TRUE,"Personnel4";"FORM16.4",#N/A,TRUE,"Personnel5"}</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ALE">#N/A</definedName>
    <definedName name="SALE2" localSheetId="1">#REF!</definedName>
    <definedName name="SALE2">#REF!</definedName>
    <definedName name="SALE3" localSheetId="1">#REF!</definedName>
    <definedName name="SALE3">#REF!</definedName>
    <definedName name="SALE4" localSheetId="1">#REF!</definedName>
    <definedName name="SALE4">#REF!</definedName>
    <definedName name="SALEBOH">#N/A</definedName>
    <definedName name="salect2">#REF!</definedName>
    <definedName name="SALEEOH">#N/A</definedName>
    <definedName name="sales">#REF!</definedName>
    <definedName name="SalesDCBudget" localSheetId="1">#REF!</definedName>
    <definedName name="SalesDCBudget">#REF!</definedName>
    <definedName name="SAMBOH">#N/A</definedName>
    <definedName name="SAMEOH">#N/A</definedName>
    <definedName name="scenario" localSheetId="1">#REF!</definedName>
    <definedName name="scenario">#REF!</definedName>
    <definedName name="SCHEDULES">#REF!</definedName>
    <definedName name="SCRBOH">#N/A</definedName>
    <definedName name="SCREOH">#N/A</definedName>
    <definedName name="SDGFH">#REF!</definedName>
    <definedName name="sdrtfghbvcxz" hidden="1">#REF!</definedName>
    <definedName name="SecLoan" localSheetId="1">#REF!</definedName>
    <definedName name="SecLoan">#REF!</definedName>
    <definedName name="SEMIIN">#N/A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2">#N/A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inbo_Loan" localSheetId="1">#REF!</definedName>
    <definedName name="Shinbo_Loan">#REF!</definedName>
    <definedName name="SONBOH">#N/A</definedName>
    <definedName name="SONEOH">#N/A</definedName>
    <definedName name="SPC" localSheetId="1">#REF!</definedName>
    <definedName name="SPC">#REF!</definedName>
    <definedName name="ssubs" localSheetId="1">#REF!</definedName>
    <definedName name="ssubs">#REF!</definedName>
    <definedName name="ssubs_" localSheetId="1">#REF!</definedName>
    <definedName name="ssubs_">#REF!</definedName>
    <definedName name="Staffcost">#REF!</definedName>
    <definedName name="stock">#REF!</definedName>
    <definedName name="subhead" localSheetId="4">#REF!</definedName>
    <definedName name="subhead">#REF!</definedName>
    <definedName name="subul" localSheetId="1">#REF!</definedName>
    <definedName name="subul">#REF!</definedName>
    <definedName name="sum" localSheetId="1">#REF!</definedName>
    <definedName name="sum">#REF!</definedName>
    <definedName name="SundCred">#REF!</definedName>
    <definedName name="syso">#REF!</definedName>
    <definedName name="TABLE1">#REF!</definedName>
    <definedName name="Tabledata">#REF!</definedName>
    <definedName name="Tax_Effect_Income">#REF!</definedName>
    <definedName name="Tax_Effect_Liabs">#REF!</definedName>
    <definedName name="Tax_Effect_RetEarn">#REF!</definedName>
    <definedName name="Tax_Rate">#REF!</definedName>
    <definedName name="Texc2">#REF!</definedName>
    <definedName name="Texc3">#REF!</definedName>
    <definedName name="Texc5">#REF!</definedName>
    <definedName name="Texrcrc" hidden="1">8</definedName>
    <definedName name="Textrcopy">#REF!</definedName>
    <definedName name="TextRefCopy1" localSheetId="7">#REF!</definedName>
    <definedName name="TextRefCopy1">#REF!</definedName>
    <definedName name="TextRefCopy10">#REF!</definedName>
    <definedName name="TextRefCopy11">#REF!</definedName>
    <definedName name="TextRefCopy12">#REF!</definedName>
    <definedName name="TextRefCopy13">#REF!</definedName>
    <definedName name="TextRefCopy15">#REF!</definedName>
    <definedName name="TextRefCopy2">#REF!</definedName>
    <definedName name="TextRefCopy28">#REF!</definedName>
    <definedName name="TextRefCopy29">#REF!</definedName>
    <definedName name="TextRefCopy3" localSheetId="7">#REF!</definedName>
    <definedName name="TextRefCopy3">#REF!</definedName>
    <definedName name="TextRefCopy4">#REF!</definedName>
    <definedName name="TextRefCopy5">#REF!</definedName>
    <definedName name="TextRefCopy6">#N/A</definedName>
    <definedName name="TextRefCopy7">#N/A</definedName>
    <definedName name="TextRefCopy8">#N/A</definedName>
    <definedName name="TextRefCopy9">#N/A</definedName>
    <definedName name="TextRefCopyRangeCount" localSheetId="7" hidden="1">5</definedName>
    <definedName name="TextRefCopyRangeCount" hidden="1">1</definedName>
    <definedName name="thre">#REF!</definedName>
    <definedName name="Threshold">#REF!</definedName>
    <definedName name="tod" localSheetId="1">#REF!</definedName>
    <definedName name="tod">#REF!</definedName>
    <definedName name="TOT_111">#REF!</definedName>
    <definedName name="Tot_knw_Xfoot">#REF!</definedName>
    <definedName name="Tot_lik_Xfoot">#REF!</definedName>
    <definedName name="TOTAL" localSheetId="1">#REF!</definedName>
    <definedName name="TOTAL">#REF!</definedName>
    <definedName name="Total_Amount">#REF!</definedName>
    <definedName name="TOTAL1" localSheetId="1">#REF!</definedName>
    <definedName name="TOTAL1">#REF!</definedName>
    <definedName name="TOTAL2">#REF!</definedName>
    <definedName name="TOTAL3">#REF!</definedName>
    <definedName name="transfer_discount">#REF!</definedName>
    <definedName name="TRAVEL">#REF!</definedName>
    <definedName name="TrendCurrent">#REF!</definedName>
    <definedName name="TrendPY4_Sel1">#REF!</definedName>
    <definedName name="TrendRollFWD">#REF!</definedName>
    <definedName name="TS">#REF!</definedName>
    <definedName name="TT" localSheetId="7">#REF!</definedName>
    <definedName name="tt">1000</definedName>
    <definedName name="TTL_COS">#N/A</definedName>
    <definedName name="TTL_SALE">#N/A</definedName>
    <definedName name="TTL_UC">#N/A</definedName>
    <definedName name="TTLSALE">#N/A</definedName>
    <definedName name="tydrhgfdzv" hidden="1">#REF!</definedName>
    <definedName name="tyjhbvcxz" hidden="1">#REF!</definedName>
    <definedName name="tyjtrjmn">#REF!</definedName>
    <definedName name="UKExp" localSheetId="1">#REF!</definedName>
    <definedName name="UKExp">#REF!</definedName>
    <definedName name="UnsecLoan" localSheetId="1">#REF!</definedName>
    <definedName name="UnsecLoan">#REF!</definedName>
    <definedName name="utilization_sensitivity" localSheetId="1">#REF!</definedName>
    <definedName name="utilization_sensitivity">#REF!</definedName>
    <definedName name="U행">#REF!</definedName>
    <definedName name="V" localSheetId="1" hidden="1">{"FORM1",#N/A,FALSE,"Revenue";"FORMTR",#N/A,FALSE,"Revenue";"FORM3.1",#N/A,FALSE,"Revenue"}</definedName>
    <definedName name="V" hidden="1">{"FORM1",#N/A,FALSE,"Revenue";"FORMTR",#N/A,FALSE,"Revenue";"FORM3.1",#N/A,FALSE,"Revenue"}</definedName>
    <definedName name="VARAMT">#N/A</definedName>
    <definedName name="VAREOH">#N/A</definedName>
    <definedName name="vmkghv" localSheetId="1">'1-2'!_a1O,'1-2'!_a2O,'1-2'!_a3O</definedName>
    <definedName name="vmkghv">_a1O,_a2O,_a3O</definedName>
    <definedName name="V행" localSheetId="1">#REF!</definedName>
    <definedName name="V행">#REF!</definedName>
    <definedName name="wc" localSheetId="1">#REF!</definedName>
    <definedName name="wc">#REF!</definedName>
    <definedName name="wrew" localSheetId="1">#REF!</definedName>
    <definedName name="wrew">#REF!</definedName>
    <definedName name="wrn"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OMMISSION." localSheetId="1" hidden="1">{"FORM17",#N/A,FALSE,"Commission1";"FORM17.1",#N/A,FALSE,"Commission2"}</definedName>
    <definedName name="wrn.COMMISSION." hidden="1">{"FORM17",#N/A,FALSE,"Commission1";"FORM17.1",#N/A,FALSE,"Commission2"}</definedName>
    <definedName name="wrn.COSA._.FS._.국문." localSheetId="1"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ERSONNEL." localSheetId="1"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REV1." localSheetId="1" hidden="1">{"FORM1",#N/A,FALSE,"Revenue";"FORMTR",#N/A,FALSE,"Revenue";"FORM3.1",#N/A,FALSE,"Revenue"}</definedName>
    <definedName name="wrn.REV1." hidden="1">{"FORM1",#N/A,FALSE,"Revenue";"FORMTR",#N/A,FALSE,"Revenue";"FORM3.1",#N/A,FALSE,"Revenue"}</definedName>
    <definedName name="wrn.REVENUE." localSheetId="1" hidden="1">{"FORM1",#N/A,TRUE,"Revenue";"FORM1.1",#N/A,TRUE,"Revenue";"FORM1.2",#N/A,TRUE,"Revenue";"FORM2",#N/A,TRUE,"Revenue";"FORM2.1",#N/A,TRUE,"Revenue"}</definedName>
    <definedName name="wrn.REVENUE." hidden="1">{"FORM1",#N/A,TRUE,"Revenue";"FORM1.1",#N/A,TRUE,"Revenue";"FORM1.2",#N/A,TRUE,"Revenue";"FORM2",#N/A,TRUE,"Revenue";"FORM2.1",#N/A,TRUE,"Revenue"}</definedName>
    <definedName name="wrn.간단한세무조정계산서."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미판매." localSheetId="1" hidden="1">{#N/A,#N/A,FALSE,"미판매분"}</definedName>
    <definedName name="wrn.미판매." hidden="1">{#N/A,#N/A,FALSE,"미판매분"}</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신규dep._.full._.set." localSheetId="1">{#N/A,#N/A,FALSE,"신규dep";#N/A,#N/A,FALSE,"신규dep-금형상각후";#N/A,#N/A,FALSE,"신규dep-연구비상각후";#N/A,#N/A,FALSE,"신규dep-기계,공구상각후"}</definedName>
    <definedName name="wrn.신규dep._.full._.set.">{#N/A,#N/A,FALSE,"신규dep";#N/A,#N/A,FALSE,"신규dep-금형상각후";#N/A,#N/A,FALSE,"신규dep-연구비상각후";#N/A,#N/A,FALSE,"신규dep-기계,공구상각후"}</definedName>
    <definedName name="wrn.전부인쇄." localSheetId="1">{#N/A,#N/A,FALSE,"단축1";#N/A,#N/A,FALSE,"단축2";#N/A,#N/A,FALSE,"단축3";#N/A,#N/A,FALSE,"장축";#N/A,#N/A,FALSE,"4WD"}</definedName>
    <definedName name="wrn.전부인쇄.">{#N/A,#N/A,FALSE,"단축1";#N/A,#N/A,FALSE,"단축2";#N/A,#N/A,FALSE,"단축3";#N/A,#N/A,FALSE,"장축";#N/A,#N/A,FALSE,"4WD"}</definedName>
    <definedName name="wtrw" localSheetId="1">#REF!</definedName>
    <definedName name="wtrw">#REF!</definedName>
    <definedName name="x" localSheetId="1" hidden="1">{"FORM1",#N/A,FALSE,"Revenue";"FORMTR",#N/A,FALSE,"Revenue";"FORM3.1",#N/A,FALSE,"Revenue"}</definedName>
    <definedName name="x" hidden="1">{"FORM1",#N/A,FALSE,"Revenue";"FORMTR",#N/A,FALSE,"Revenue";"FORM3.1",#N/A,FALSE,"Revenue"}</definedName>
    <definedName name="x\">#REF!</definedName>
    <definedName name="X44A1" localSheetId="1">#REF!</definedName>
    <definedName name="X44A1">#REF!</definedName>
    <definedName name="X9802장판원본_원본_List" localSheetId="1">#REF!</definedName>
    <definedName name="X9802장판원본_원본_List">#REF!</definedName>
    <definedName name="XREF_COLUMN_1" localSheetId="1" hidden="1">#REF!</definedName>
    <definedName name="XREF_COLUMN_1" hidden="1">#REF!</definedName>
    <definedName name="XREF_COLUMN_10" localSheetId="1" hidden="1">#REF!</definedName>
    <definedName name="XREF_COLUMN_10" hidden="1">#REF!</definedName>
    <definedName name="XREF_COLUMN_11" localSheetId="1" hidden="1">#REF!</definedName>
    <definedName name="XREF_COLUMN_11" hidden="1">#REF!</definedName>
    <definedName name="XREF_COLUMN_12" localSheetId="1" hidden="1">#REF!</definedName>
    <definedName name="XREF_COLUMN_12" hidden="1">#REF!</definedName>
    <definedName name="XREF_COLUMN_13" localSheetId="7" hidden="1">#REF!</definedName>
    <definedName name="XREF_COLUMN_13" hidden="1">#REF!</definedName>
    <definedName name="XREF_COLUMN_14" hidden="1">#REF!</definedName>
    <definedName name="XREF_COLUMN_15" hidden="1">#REF!</definedName>
    <definedName name="XREF_COLUMN_16" hidden="1">#REF!</definedName>
    <definedName name="XREF_COLUMN_17" localSheetId="7" hidden="1">#REF!</definedName>
    <definedName name="XREF_COLUMN_17" hidden="1">#REF!</definedName>
    <definedName name="XREF_COLUMN_18" localSheetId="7" hidden="1">#REF!</definedName>
    <definedName name="XREF_COLUMN_18" hidden="1">#REF!</definedName>
    <definedName name="XREF_COLUMN_19" hidden="1">#REF!</definedName>
    <definedName name="XREF_COLUMN_2" hidden="1">#REF!</definedName>
    <definedName name="XREF_COLUMN_20" hidden="1">#REF!</definedName>
    <definedName name="XREF_COLUMN_24" hidden="1">#REF!</definedName>
    <definedName name="XREF_COLUMN_25" hidden="1">#REF!</definedName>
    <definedName name="XREF_COLUMN_29" hidden="1">#REF!</definedName>
    <definedName name="XREF_COLUMN_3" localSheetId="1" hidden="1">#REF!</definedName>
    <definedName name="XREF_COLUMN_3" hidden="1">#REF!</definedName>
    <definedName name="XREF_COLUMN_33" localSheetId="1" hidden="1">#REF!</definedName>
    <definedName name="XREF_COLUMN_33" hidden="1">#REF!</definedName>
    <definedName name="XREF_COLUMN_34" hidden="1">#REF!</definedName>
    <definedName name="XREF_COLUMN_4" localSheetId="1" hidden="1">#REF!</definedName>
    <definedName name="XREF_COLUMN_4" localSheetId="7" hidden="1">#REF!</definedName>
    <definedName name="XREF_COLUMN_4" hidden="1">#REF!</definedName>
    <definedName name="XREF_COLUMN_5" localSheetId="1" hidden="1">#REF!</definedName>
    <definedName name="XREF_COLUMN_5" hidden="1">#REF!</definedName>
    <definedName name="XREF_COLUMN_6" localSheetId="1" hidden="1">#REF!</definedName>
    <definedName name="XREF_COLUMN_6" localSheetId="7"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localSheetId="7" hidden="1">14</definedName>
    <definedName name="XRefColumnsCount" hidden="1">1</definedName>
    <definedName name="XRefCopy1" hidden="1">#REF!</definedName>
    <definedName name="XRefCopy10" localSheetId="1" hidden="1">#REF!</definedName>
    <definedName name="XRefCopy10" hidden="1">#REF!</definedName>
    <definedName name="XRefCopy10Row" localSheetId="1" hidden="1">#REF!</definedName>
    <definedName name="XRefCopy10Row" hidden="1">#REF!</definedName>
    <definedName name="XRefCopy11" hidden="1">#REF!</definedName>
    <definedName name="XRefCopy11Row" hidden="1">#REF!</definedName>
    <definedName name="XRefCopy12" localSheetId="1" hidden="1">#REF!</definedName>
    <definedName name="XRefCopy12" hidden="1">#REF!</definedName>
    <definedName name="XRefCopy12Row" localSheetId="1" hidden="1">#REF!</definedName>
    <definedName name="XRefCopy12Row" hidden="1">#REF!</definedName>
    <definedName name="XRefCopy13" localSheetId="1" hidden="1">#REF!</definedName>
    <definedName name="XRefCopy13" hidden="1">#REF!</definedName>
    <definedName name="XRefCopy133" localSheetId="1" hidden="1">#REF!</definedName>
    <definedName name="XRefCopy133" hidden="1">#REF!</definedName>
    <definedName name="XRefCopy133Row" localSheetId="1" hidden="1">#REF!</definedName>
    <definedName name="XRefCopy133Row" hidden="1">#REF!</definedName>
    <definedName name="XRefCopy13Row" localSheetId="1" hidden="1">#REF!</definedName>
    <definedName name="XRefCopy13Row" localSheetId="7" hidden="1">#REF!</definedName>
    <definedName name="XRefCopy13Row" hidden="1">#REF!</definedName>
    <definedName name="XRefCopy14Row" hidden="1">#REF!</definedName>
    <definedName name="XRefCopy15" hidden="1">#REF!</definedName>
    <definedName name="XRefCopy15Row" hidden="1">#REF!</definedName>
    <definedName name="XRefCopy16Row" hidden="1">#REF!</definedName>
    <definedName name="XRefCopy17" hidden="1">#REF!</definedName>
    <definedName name="XRefCopy17Row" hidden="1">#REF!</definedName>
    <definedName name="XRefCopy181" localSheetId="1" hidden="1">#REF!</definedName>
    <definedName name="XRefCopy181" hidden="1">#REF!</definedName>
    <definedName name="XRefCopy182" localSheetId="1" hidden="1">#REF!</definedName>
    <definedName name="XRefCopy182" hidden="1">#REF!</definedName>
    <definedName name="XRefCopy183" localSheetId="1" hidden="1">#REF!</definedName>
    <definedName name="XRefCopy183" hidden="1">#REF!</definedName>
    <definedName name="XRefCopy186" hidden="1">#REF!</definedName>
    <definedName name="XRefCopy188" hidden="1">#REF!</definedName>
    <definedName name="XRefCopy189" hidden="1">#REF!</definedName>
    <definedName name="XRefCopy18Row" hidden="1">#REF!</definedName>
    <definedName name="XRefCopy19" hidden="1">#REF!</definedName>
    <definedName name="XRefCopy190" localSheetId="1" hidden="1">#REF!</definedName>
    <definedName name="XRefCopy190" hidden="1">#REF!</definedName>
    <definedName name="XRefCopy191" localSheetId="1" hidden="1">#REF!</definedName>
    <definedName name="XRefCopy191" hidden="1">#REF!</definedName>
    <definedName name="XRefCopy192" localSheetId="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localSheetId="7" hidden="1">#REF!</definedName>
    <definedName name="XRefCopy1Row" hidden="1">#REF!</definedName>
    <definedName name="XRefCopy2" hidden="1">#REF!</definedName>
    <definedName name="XRefCopy20" hidden="1">#REF!</definedName>
    <definedName name="XRefCopy200" localSheetId="1" hidden="1">#REF!</definedName>
    <definedName name="XRefCopy200" hidden="1">#REF!</definedName>
    <definedName name="XRefCopy201" localSheetId="1" hidden="1">#REF!</definedName>
    <definedName name="XRefCopy201" hidden="1">#REF!</definedName>
    <definedName name="XRefCopy202" localSheetId="1" hidden="1">#REF!</definedName>
    <definedName name="XRefCopy202" hidden="1">#REF!</definedName>
    <definedName name="XRefCopy203" hidden="1">#REF!</definedName>
    <definedName name="XRefCopy204" hidden="1">#REF!</definedName>
    <definedName name="XRefCopy205" hidden="1">#REF!</definedName>
    <definedName name="XRefCopy207" hidden="1">#REF!</definedName>
    <definedName name="XRefCopy208" hidden="1">#REF!</definedName>
    <definedName name="XRefCopy209" hidden="1">#REF!</definedName>
    <definedName name="XRefCopy20Row" hidden="1">#REF!</definedName>
    <definedName name="XRefCopy210" localSheetId="1" hidden="1">#REF!</definedName>
    <definedName name="XRefCopy210" hidden="1">#REF!</definedName>
    <definedName name="XRefCopy211" localSheetId="1" hidden="1">#REF!</definedName>
    <definedName name="XRefCopy211" hidden="1">#REF!</definedName>
    <definedName name="XRefCopy212" localSheetId="1" hidden="1">#REF!</definedName>
    <definedName name="XRefCopy212" hidden="1">#REF!</definedName>
    <definedName name="XRefCopy213" hidden="1">#REF!</definedName>
    <definedName name="XRefCopy214" hidden="1">#REF!</definedName>
    <definedName name="XRefCopy215" hidden="1">#REF!</definedName>
    <definedName name="XRefCopy216" hidden="1">#REF!</definedName>
    <definedName name="XRefCopy217" hidden="1">#REF!</definedName>
    <definedName name="XRefCopy218" hidden="1">#REF!</definedName>
    <definedName name="XRefCopy219" hidden="1">#REF!</definedName>
    <definedName name="XRefCopy21Row" hidden="1">#REF!</definedName>
    <definedName name="XRefCopy22" hidden="1">#REF!</definedName>
    <definedName name="XRefCopy220" localSheetId="1" hidden="1">#REF!</definedName>
    <definedName name="XRefCopy220" hidden="1">#REF!</definedName>
    <definedName name="XRefCopy221" localSheetId="1" hidden="1">#REF!</definedName>
    <definedName name="XRefCopy221" hidden="1">#REF!</definedName>
    <definedName name="XRefCopy222" localSheetId="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localSheetId="7" hidden="1">#REF!</definedName>
    <definedName name="XRefCopy22Row" hidden="1">#REF!</definedName>
    <definedName name="XRefCopy23" hidden="1">#REF!</definedName>
    <definedName name="XRefCopy230" localSheetId="1" hidden="1">#REF!</definedName>
    <definedName name="XRefCopy230" hidden="1">#REF!</definedName>
    <definedName name="XRefCopy23Row" localSheetId="1" hidden="1">#REF!</definedName>
    <definedName name="XRefCopy23Row" hidden="1">#REF!</definedName>
    <definedName name="XRefCopy24Row" localSheetId="1" hidden="1">#REF!</definedName>
    <definedName name="XRefCopy24Row" localSheetId="7" hidden="1">#REF!</definedName>
    <definedName name="XRefCopy24Row" hidden="1">#REF!</definedName>
    <definedName name="XRefCopy25Row" hidden="1">#REF!</definedName>
    <definedName name="XRefCopy26Row" hidden="1">#REF!</definedName>
    <definedName name="XRefCopy27Row" hidden="1">#REF!</definedName>
    <definedName name="XRefCopy28" localSheetId="1" hidden="1">#REF!</definedName>
    <definedName name="XRefCopy28" hidden="1">#REF!</definedName>
    <definedName name="XRefCopy28Row" localSheetId="1" hidden="1">#REF!</definedName>
    <definedName name="XRefCopy28Row" hidden="1">#REF!</definedName>
    <definedName name="XRefCopy29" localSheetId="1" hidden="1">#REF!</definedName>
    <definedName name="XRefCopy29" hidden="1">#REF!</definedName>
    <definedName name="XRefCopy29Row" hidden="1">#REF!</definedName>
    <definedName name="XRefCopy2Row" localSheetId="7" hidden="1">#REF!</definedName>
    <definedName name="XRefCopy2Row" hidden="1">#REF!</definedName>
    <definedName name="XRefCopy3" hidden="1">#REF!</definedName>
    <definedName name="XRefCopy30Row" hidden="1">#REF!</definedName>
    <definedName name="XRefCopy31Row" hidden="1">#REF!</definedName>
    <definedName name="XRefCopy32Row" localSheetId="1" hidden="1">#REF!</definedName>
    <definedName name="XRefCopy32Row" hidden="1">#REF!</definedName>
    <definedName name="XRefCopy33Row" localSheetId="1" hidden="1">#REF!</definedName>
    <definedName name="XRefCopy33Row" hidden="1">#REF!</definedName>
    <definedName name="XRefCopy34Row" localSheetId="1" hidden="1">#REF!</definedName>
    <definedName name="XRefCopy34Row" hidden="1">#REF!</definedName>
    <definedName name="XRefCopy35Row" localSheetId="1" hidden="1">#REF!</definedName>
    <definedName name="XRefCopy35Row" hidden="1">#REF!</definedName>
    <definedName name="XRefCopy36Row" localSheetId="1" hidden="1">#REF!</definedName>
    <definedName name="XRefCopy36Row" hidden="1">#REF!</definedName>
    <definedName name="XRefCopy37Row" localSheetId="1" hidden="1">#REF!</definedName>
    <definedName name="XRefCopy37Row" hidden="1">#REF!</definedName>
    <definedName name="XRefCopy38Row" localSheetId="1" hidden="1">#REF!</definedName>
    <definedName name="XRefCopy38Row" hidden="1">#REF!</definedName>
    <definedName name="XRefCopy39Row" hidden="1">#REF!</definedName>
    <definedName name="XRefCopy3Row" hidden="1">#REF!</definedName>
    <definedName name="XRefCopy4" localSheetId="1" hidden="1">#REF!</definedName>
    <definedName name="XRefCopy4" hidden="1">#REF!</definedName>
    <definedName name="XRefCopy40Row" localSheetId="1" hidden="1">#REF!</definedName>
    <definedName name="XRefCopy40Row" hidden="1">#REF!</definedName>
    <definedName name="XRefCopy41Row" localSheetId="1" hidden="1">#REF!</definedName>
    <definedName name="XRefCopy41Row" hidden="1">#REF!</definedName>
    <definedName name="XRefCopy42Row" localSheetId="1" hidden="1">#REF!</definedName>
    <definedName name="XRefCopy42Row" hidden="1">#REF!</definedName>
    <definedName name="XRefCopy43Row" localSheetId="1" hidden="1">#REF!</definedName>
    <definedName name="XRefCopy43Row" hidden="1">#REF!</definedName>
    <definedName name="XRefCopy44Row" localSheetId="1" hidden="1">#REF!</definedName>
    <definedName name="XRefCopy44Row" hidden="1">#REF!</definedName>
    <definedName name="XRefCopy47" localSheetId="1" hidden="1">#REF!</definedName>
    <definedName name="XRefCopy47" hidden="1">#REF!</definedName>
    <definedName name="XRefCopy48Row" localSheetId="1" hidden="1">#REF!</definedName>
    <definedName name="XRefCopy48Row" hidden="1">#REF!</definedName>
    <definedName name="XRefCopy49" localSheetId="1" hidden="1">#REF!</definedName>
    <definedName name="XRefCopy49" hidden="1">#REF!</definedName>
    <definedName name="XRefCopy49Row" localSheetId="1" hidden="1">#REF!</definedName>
    <definedName name="XRefCopy49Row" hidden="1">#REF!</definedName>
    <definedName name="XRefCopy4Row" localSheetId="1" hidden="1">#REF!</definedName>
    <definedName name="XRefCopy4Row" hidden="1">#REF!</definedName>
    <definedName name="XRefCopy5" localSheetId="1" hidden="1">#REF!</definedName>
    <definedName name="XRefCopy5" hidden="1">#REF!</definedName>
    <definedName name="XRefCopy50" localSheetId="1" hidden="1">#REF!</definedName>
    <definedName name="XRefCopy50" hidden="1">#REF!</definedName>
    <definedName name="XRefCopy50Row" localSheetId="1" hidden="1">#REF!</definedName>
    <definedName name="XRefCopy50Row" hidden="1">#REF!</definedName>
    <definedName name="XRefCopy51" localSheetId="1" hidden="1">#REF!</definedName>
    <definedName name="XRefCopy51" hidden="1">#REF!</definedName>
    <definedName name="XRefCopy51Row" localSheetId="1" hidden="1">#REF!</definedName>
    <definedName name="XRefCopy51Row" hidden="1">#REF!</definedName>
    <definedName name="XRefCopy52" localSheetId="1" hidden="1">#REF!</definedName>
    <definedName name="XRefCopy52" hidden="1">#REF!</definedName>
    <definedName name="XRefCopy52Row" localSheetId="1" hidden="1">#REF!</definedName>
    <definedName name="XRefCopy52Row" hidden="1">#REF!</definedName>
    <definedName name="XRefCopy53" localSheetId="1" hidden="1">#REF!</definedName>
    <definedName name="XRefCopy53" hidden="1">#REF!</definedName>
    <definedName name="XRefCopy53Row" localSheetId="1" hidden="1">#REF!</definedName>
    <definedName name="XRefCopy53Row" hidden="1">#REF!</definedName>
    <definedName name="XRefCopy54" localSheetId="1" hidden="1">#REF!</definedName>
    <definedName name="XRefCopy54" hidden="1">#REF!</definedName>
    <definedName name="XRefCopy54Row" localSheetId="1" hidden="1">#REF!</definedName>
    <definedName name="XRefCopy54Row" hidden="1">#REF!</definedName>
    <definedName name="XRefCopy55" localSheetId="1" hidden="1">#REF!</definedName>
    <definedName name="XRefCopy55" hidden="1">#REF!</definedName>
    <definedName name="XRefCopy55Row" localSheetId="1" hidden="1">#REF!</definedName>
    <definedName name="XRefCopy55Row" hidden="1">#REF!</definedName>
    <definedName name="XRefCopy56" localSheetId="1" hidden="1">#REF!</definedName>
    <definedName name="XRefCopy56" hidden="1">#REF!</definedName>
    <definedName name="XRefCopy56Row" localSheetId="1" hidden="1">#REF!</definedName>
    <definedName name="XRefCopy56Row" hidden="1">#REF!</definedName>
    <definedName name="XRefCopy57" localSheetId="1" hidden="1">#REF!</definedName>
    <definedName name="XRefCopy57" hidden="1">#REF!</definedName>
    <definedName name="XRefCopy57Row" localSheetId="1" hidden="1">#REF!</definedName>
    <definedName name="XRefCopy57Row" hidden="1">#REF!</definedName>
    <definedName name="XRefCopy58" localSheetId="1" hidden="1">#REF!</definedName>
    <definedName name="XRefCopy58" hidden="1">#REF!</definedName>
    <definedName name="XRefCopy58Row" localSheetId="1" hidden="1">#REF!</definedName>
    <definedName name="XRefCopy58Row" hidden="1">#REF!</definedName>
    <definedName name="XRefCopy59" localSheetId="1" hidden="1">#REF!</definedName>
    <definedName name="XRefCopy59" hidden="1">#REF!</definedName>
    <definedName name="XRefCopy59Row" localSheetId="1" hidden="1">#REF!</definedName>
    <definedName name="XRefCopy59Row" hidden="1">#REF!</definedName>
    <definedName name="XRefCopy5Row" localSheetId="1" hidden="1">#REF!</definedName>
    <definedName name="XRefCopy5Row" hidden="1">#REF!</definedName>
    <definedName name="XRefCopy6" localSheetId="1" hidden="1">#REF!</definedName>
    <definedName name="XRefCopy6" hidden="1">#REF!</definedName>
    <definedName name="XRefCopy60Row" localSheetId="1" hidden="1">#REF!</definedName>
    <definedName name="XRefCopy60Row" hidden="1">#REF!</definedName>
    <definedName name="XRefCopy61" hidden="1">#REF!</definedName>
    <definedName name="XRefCopy61Row" localSheetId="1" hidden="1">#REF!</definedName>
    <definedName name="XRefCopy61Row" hidden="1">#REF!</definedName>
    <definedName name="XRefCopy6Row" localSheetId="1" hidden="1">#REF!</definedName>
    <definedName name="XRefCopy6Row" hidden="1">#REF!</definedName>
    <definedName name="XRefCopy7" localSheetId="1" hidden="1">#REF!</definedName>
    <definedName name="XRefCopy7" hidden="1">#REF!</definedName>
    <definedName name="XRefCopy7Row" localSheetId="1" hidden="1">#REF!</definedName>
    <definedName name="XRefCopy7Row" hidden="1">#REF!</definedName>
    <definedName name="XRefCopy8" localSheetId="1" hidden="1">#REF!</definedName>
    <definedName name="XRefCopy8" hidden="1">#REF!</definedName>
    <definedName name="XRefCopy8Row" localSheetId="1" hidden="1">#REF!</definedName>
    <definedName name="XRefCopy8Row" hidden="1">#REF!</definedName>
    <definedName name="XRefCopy9" localSheetId="1" hidden="1">#REF!</definedName>
    <definedName name="XRefCopy9" hidden="1">#REF!</definedName>
    <definedName name="XRefCopy91" hidden="1">#REF!</definedName>
    <definedName name="XRefCopy91Row" hidden="1">#REF!</definedName>
    <definedName name="XRefCopy9Row" hidden="1">#REF!</definedName>
    <definedName name="XRefCopyRangeCount" localSheetId="7" hidden="1">35</definedName>
    <definedName name="XRefCopyRangeCount" hidden="1">3</definedName>
    <definedName name="XRefPaste1" hidden="1">#REF!</definedName>
    <definedName name="XRefPaste10" hidden="1">#REF!</definedName>
    <definedName name="XRefPaste100" localSheetId="1" hidden="1">#REF!</definedName>
    <definedName name="XRefPaste100" hidden="1">#REF!</definedName>
    <definedName name="XRefPaste100Row" localSheetId="1" hidden="1">#REF!</definedName>
    <definedName name="XRefPaste100Row" hidden="1">#REF!</definedName>
    <definedName name="XRefPaste101" localSheetId="1"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Row" localSheetId="7" hidden="1">#REF!</definedName>
    <definedName name="XRefPaste10Row" hidden="1">#REF!</definedName>
    <definedName name="XRefPaste11" hidden="1">#REF!</definedName>
    <definedName name="XRefPaste11Row" localSheetId="7"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localSheetId="1" hidden="1">#REF!</definedName>
    <definedName name="XRefPaste15" hidden="1">#REF!</definedName>
    <definedName name="XRefPaste15Row" localSheetId="1"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localSheetId="1" hidden="1">#REF!</definedName>
    <definedName name="XRefPaste1Row" hidden="1">#REF!</definedName>
    <definedName name="XRefPaste2" hidden="1">#REF!</definedName>
    <definedName name="XRefPaste20" hidden="1">#REF!</definedName>
    <definedName name="XRefPaste20Row" localSheetId="1" hidden="1">#REF!</definedName>
    <definedName name="XRefPaste20Row" hidden="1">#REF!</definedName>
    <definedName name="XRefPaste21" hidden="1">#REF!</definedName>
    <definedName name="XRefPaste21Row" localSheetId="1" hidden="1">#REF!</definedName>
    <definedName name="XRefPaste21Row" hidden="1">#REF!</definedName>
    <definedName name="XRefPaste22" hidden="1">#REF!</definedName>
    <definedName name="XRefPaste22Row" localSheetId="1" hidden="1">#REF!</definedName>
    <definedName name="XRefPaste22Row" hidden="1">#REF!</definedName>
    <definedName name="XRefPaste23" hidden="1">#REF!</definedName>
    <definedName name="XRefPaste23Row" localSheetId="1" hidden="1">#REF!</definedName>
    <definedName name="XRefPaste23Row" hidden="1">#REF!</definedName>
    <definedName name="XRefPaste24" hidden="1">#REF!</definedName>
    <definedName name="XRefPaste24Row" localSheetId="1" hidden="1">#REF!</definedName>
    <definedName name="XRefPaste24Row" hidden="1">#REF!</definedName>
    <definedName name="XRefPaste25" hidden="1">#REF!</definedName>
    <definedName name="XRefPaste25Row" localSheetId="1" hidden="1">#REF!</definedName>
    <definedName name="XRefPaste25Row" hidden="1">#REF!</definedName>
    <definedName name="XRefPaste26" hidden="1">#REF!</definedName>
    <definedName name="XRefPaste26Row" localSheetId="1" hidden="1">#REF!</definedName>
    <definedName name="XRefPaste26Row" hidden="1">#REF!</definedName>
    <definedName name="XRefPaste27" hidden="1">#REF!</definedName>
    <definedName name="XRefPaste27Row" localSheetId="1" hidden="1">#REF!</definedName>
    <definedName name="XRefPaste27Row" hidden="1">#REF!</definedName>
    <definedName name="XRefPaste28" hidden="1">#REF!</definedName>
    <definedName name="XRefPaste29" hidden="1">#REF!</definedName>
    <definedName name="XRefPaste3" localSheetId="1"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localSheetId="1" hidden="1">#REF!</definedName>
    <definedName name="XRefPaste33Row" hidden="1">#REF!</definedName>
    <definedName name="XRefPaste34" localSheetId="1" hidden="1">#REF!</definedName>
    <definedName name="XRefPaste34" hidden="1">#REF!</definedName>
    <definedName name="XRefPaste34Row" localSheetId="1" hidden="1">#REF!</definedName>
    <definedName name="XRefPaste34Row" hidden="1">#REF!</definedName>
    <definedName name="XRefPaste35" localSheetId="1" hidden="1">#REF!</definedName>
    <definedName name="XRefPaste35" hidden="1">#REF!</definedName>
    <definedName name="XRefPaste35Row" localSheetId="1" hidden="1">#REF!</definedName>
    <definedName name="XRefPaste35Row" localSheetId="7" hidden="1">#REF!</definedName>
    <definedName name="XRefPaste35Row" hidden="1">#REF!</definedName>
    <definedName name="XRefPaste36" localSheetId="1" hidden="1">#REF!</definedName>
    <definedName name="XRefPaste36" hidden="1">#REF!</definedName>
    <definedName name="XRefPaste36Row" localSheetId="1" hidden="1">#REF!</definedName>
    <definedName name="XRefPaste36Row" localSheetId="7" hidden="1">#REF!</definedName>
    <definedName name="XRefPaste36Row" hidden="1">#REF!</definedName>
    <definedName name="XRefPaste37" hidden="1">#REF!</definedName>
    <definedName name="XRefPaste37Row" localSheetId="7" hidden="1">#REF!</definedName>
    <definedName name="XRefPaste37Row" hidden="1">#REF!</definedName>
    <definedName name="XRefPaste38" hidden="1">#REF!</definedName>
    <definedName name="XRefPaste38Row" localSheetId="7" hidden="1">#REF!</definedName>
    <definedName name="XRefPaste38Row" hidden="1">#REF!</definedName>
    <definedName name="XRefPaste39" hidden="1">#REF!</definedName>
    <definedName name="XRefPaste3Row" hidden="1">#REF!</definedName>
    <definedName name="XRefPaste4" hidden="1">#REF!</definedName>
    <definedName name="XRefPaste40" hidden="1">#REF!</definedName>
    <definedName name="XRefPaste41" hidden="1">#REF!</definedName>
    <definedName name="XRefPaste4Row" hidden="1">#REF!</definedName>
    <definedName name="XRefPaste5" hidden="1">#REF!</definedName>
    <definedName name="XRefPaste6" hidden="1">#REF!</definedName>
    <definedName name="XRefPaste65Row" hidden="1">#REF!</definedName>
    <definedName name="XRefPaste66Row" hidden="1">#REF!</definedName>
    <definedName name="XRefPaste68Row" hidden="1">#REF!</definedName>
    <definedName name="XRefPaste69Row" hidden="1">#REF!</definedName>
    <definedName name="XRefPaste7" hidden="1">#REF!</definedName>
    <definedName name="XRefPaste70Row" hidden="1">#REF!</definedName>
    <definedName name="XRefPaste71Row" hidden="1">#REF!</definedName>
    <definedName name="XRefPaste77" localSheetId="1" hidden="1">#REF!</definedName>
    <definedName name="XRefPaste77" hidden="1">#REF!</definedName>
    <definedName name="XRefPaste79" localSheetId="1" hidden="1">#REF!</definedName>
    <definedName name="XRefPaste79" hidden="1">#REF!</definedName>
    <definedName name="XRefPaste8" localSheetId="1" hidden="1">#REF!</definedName>
    <definedName name="XRefPaste8" hidden="1">#REF!</definedName>
    <definedName name="XRefPaste85" localSheetId="1" hidden="1">#REF!</definedName>
    <definedName name="XRefPaste85" hidden="1">#REF!</definedName>
    <definedName name="XRefPaste86" localSheetId="1" hidden="1">#REF!</definedName>
    <definedName name="XRefPaste86" hidden="1">#REF!</definedName>
    <definedName name="XRefPaste87" localSheetId="1" hidden="1">#REF!</definedName>
    <definedName name="XRefPaste87" hidden="1">#REF!</definedName>
    <definedName name="XRefPaste88" hidden="1">#REF!</definedName>
    <definedName name="XRefPaste89" hidden="1">#REF!</definedName>
    <definedName name="XRefPaste8Row" hidden="1">#REF!</definedName>
    <definedName name="XRefPaste9" hidden="1">#REF!</definedName>
    <definedName name="XRefPaste90" hidden="1">#REF!</definedName>
    <definedName name="XRefPaste91"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localSheetId="7" hidden="1">21</definedName>
    <definedName name="XRefPasteRangeCount" hidden="1">2</definedName>
    <definedName name="xx" localSheetId="1">#REF!</definedName>
    <definedName name="xx">#REF!</definedName>
    <definedName name="xxx" localSheetId="1">#REF!</definedName>
    <definedName name="xxx">#REF!</definedName>
    <definedName name="xxxxxxxxxxxxx" localSheetId="1">#REF!</definedName>
    <definedName name="xxxxxxxxxxxxx">#REF!</definedName>
    <definedName name="X행">#REF!</definedName>
    <definedName name="y8itygfhnjm">#REF!</definedName>
    <definedName name="yield_discount">#REF!</definedName>
    <definedName name="YRA3MTH">7</definedName>
    <definedName name="YRA3MTH_CHG">8</definedName>
    <definedName name="YRACYTD">10</definedName>
    <definedName name="YRAMTH">3</definedName>
    <definedName name="YRAMTH_CHG">5</definedName>
    <definedName name="YRAMYTD">13</definedName>
    <definedName name="yuresdfgasdf" hidden="1">#REF!</definedName>
    <definedName name="yutrdsfgh">#REF!</definedName>
    <definedName name="yutryetrsadfgh" hidden="1">#REF!</definedName>
    <definedName name="ㄱ" localSheetId="1">#REF!</definedName>
    <definedName name="ㄱ">#REF!</definedName>
    <definedName name="가스" localSheetId="1">#REF!</definedName>
    <definedName name="가스">#REF!</definedName>
    <definedName name="가입고2" localSheetId="1">#REF!</definedName>
    <definedName name="가입고2">#REF!</definedName>
    <definedName name="거" localSheetId="1">'1-2'!_a1Z,'1-2'!_a2Z,'1-2'!_a3Z</definedName>
    <definedName name="거">_a1Z,_a2Z,_a3Z</definedName>
    <definedName name="검색결과" localSheetId="1">#REF!</definedName>
    <definedName name="검색결과">#REF!</definedName>
    <definedName name="검색기준" localSheetId="1">#REF!</definedName>
    <definedName name="검색기준">#REF!</definedName>
    <definedName name="계1" localSheetId="1">#REF!</definedName>
    <definedName name="계1">#REF!</definedName>
    <definedName name="계10">#REF!</definedName>
    <definedName name="계11">#REF!</definedName>
    <definedName name="계12">#REF!</definedName>
    <definedName name="계2">#REF!</definedName>
    <definedName name="계3">#REF!</definedName>
    <definedName name="계4">#REF!</definedName>
    <definedName name="계5">#REF!</definedName>
    <definedName name="계6">#REF!</definedName>
    <definedName name="계7">#REF!</definedName>
    <definedName name="계8">#REF!</definedName>
    <definedName name="계9">#REF!</definedName>
    <definedName name="계상산">#REF!</definedName>
    <definedName name="계승산">#REF!</definedName>
    <definedName name="계실일월">#REF!</definedName>
    <definedName name="계전산">#REF!</definedName>
    <definedName name="공장별">#REF!</definedName>
    <definedName name="구분">#REF!</definedName>
    <definedName name="구분코드">#REF!</definedName>
    <definedName name="금액">#REF!</definedName>
    <definedName name="기본">#REF!</definedName>
    <definedName name="기아차">#REF!</definedName>
    <definedName name="기업투자">#REF!</definedName>
    <definedName name="기타금리">#REF!</definedName>
    <definedName name="기타상품">#REF!</definedName>
    <definedName name="기획채권">#REF!</definedName>
    <definedName name="김대봉1">#REF!</definedName>
    <definedName name="김대봉2">#REF!</definedName>
    <definedName name="김대봉3">#REF!</definedName>
    <definedName name="끝">#REF!</definedName>
    <definedName name="ㄴ">#REF!</definedName>
    <definedName name="ㄴㅇ">#REF!</definedName>
    <definedName name="내수용">#REF!</definedName>
    <definedName name="내수용.">#REF!</definedName>
    <definedName name="내수용열">#REF!</definedName>
    <definedName name="년___월___일_까지">#REF!</definedName>
    <definedName name="ㄷㄷ">#REF!</definedName>
    <definedName name="단위_백만원">#REF!</definedName>
    <definedName name="당월">#REF!</definedName>
    <definedName name="대회">#REF!</definedName>
    <definedName name="도착선">#REF!</definedName>
    <definedName name="동양종금">#REF!</definedName>
    <definedName name="ㄹ">#REF!</definedName>
    <definedName name="ㄹㅇ">#REF!</definedName>
    <definedName name="로템">#REF!</definedName>
    <definedName name="ㅁ1">#REF!</definedName>
    <definedName name="ㅁ1472">#REF!</definedName>
    <definedName name="ㅁ188">#REF!</definedName>
    <definedName name="ㅁ220">#REF!</definedName>
    <definedName name="ㅁ65">#REF!</definedName>
    <definedName name="ㅁㄻㄹ">#REF!</definedName>
    <definedName name="ㅁㅁ" localSheetId="1" hidden="1">{#N/A,#N/A,FALSE,"BS";#N/A,#N/A,FALSE,"PL";#N/A,#N/A,FALSE,"A";#N/A,#N/A,FALSE,"B";#N/A,#N/A,FALSE,"B1";#N/A,#N/A,FALSE,"C";#N/A,#N/A,FALSE,"C1";#N/A,#N/A,FALSE,"C2";#N/A,#N/A,FALSE,"D";#N/A,#N/A,FALSE,"E";#N/A,#N/A,FALSE,"F";#N/A,#N/A,FALSE,"AA";#N/A,#N/A,FALSE,"BB";#N/A,#N/A,FALSE,"CC";#N/A,#N/A,FALSE,"DD";#N/A,#N/A,FALSE,"EE";#N/A,#N/A,FALSE,"FF";#N/A,#N/A,FALSE,"PL10";#N/A,#N/A,FALSE,"PL20";#N/A,#N/A,FALSE,"PL30"}</definedName>
    <definedName name="ㅁㅁ" hidden="1">{#N/A,#N/A,FALSE,"BS";#N/A,#N/A,FALSE,"PL";#N/A,#N/A,FALSE,"A";#N/A,#N/A,FALSE,"B";#N/A,#N/A,FALSE,"B1";#N/A,#N/A,FALSE,"C";#N/A,#N/A,FALSE,"C1";#N/A,#N/A,FALSE,"C2";#N/A,#N/A,FALSE,"D";#N/A,#N/A,FALSE,"E";#N/A,#N/A,FALSE,"F";#N/A,#N/A,FALSE,"AA";#N/A,#N/A,FALSE,"BB";#N/A,#N/A,FALSE,"CC";#N/A,#N/A,FALSE,"DD";#N/A,#N/A,FALSE,"EE";#N/A,#N/A,FALSE,"FF";#N/A,#N/A,FALSE,"PL10";#N/A,#N/A,FALSE,"PL20";#N/A,#N/A,FALSE,"PL30"}</definedName>
    <definedName name="ㅁㅁㅁ" localSheetId="1" hidden="1">{#N/A,#N/A,FALSE,"BS";#N/A,#N/A,FALSE,"PL";#N/A,#N/A,FALSE,"A";#N/A,#N/A,FALSE,"B";#N/A,#N/A,FALSE,"B1";#N/A,#N/A,FALSE,"C";#N/A,#N/A,FALSE,"C1";#N/A,#N/A,FALSE,"C2";#N/A,#N/A,FALSE,"D";#N/A,#N/A,FALSE,"E";#N/A,#N/A,FALSE,"F";#N/A,#N/A,FALSE,"AA";#N/A,#N/A,FALSE,"BB";#N/A,#N/A,FALSE,"CC";#N/A,#N/A,FALSE,"DD";#N/A,#N/A,FALSE,"EE";#N/A,#N/A,FALSE,"FF";#N/A,#N/A,FALSE,"PL10";#N/A,#N/A,FALSE,"PL20";#N/A,#N/A,FALSE,"PL30"}</definedName>
    <definedName name="ㅁㅁㅁ" hidden="1">{#N/A,#N/A,FALSE,"BS";#N/A,#N/A,FALSE,"PL";#N/A,#N/A,FALSE,"A";#N/A,#N/A,FALSE,"B";#N/A,#N/A,FALSE,"B1";#N/A,#N/A,FALSE,"C";#N/A,#N/A,FALSE,"C1";#N/A,#N/A,FALSE,"C2";#N/A,#N/A,FALSE,"D";#N/A,#N/A,FALSE,"E";#N/A,#N/A,FALSE,"F";#N/A,#N/A,FALSE,"AA";#N/A,#N/A,FALSE,"BB";#N/A,#N/A,FALSE,"CC";#N/A,#N/A,FALSE,"DD";#N/A,#N/A,FALSE,"EE";#N/A,#N/A,FALSE,"FF";#N/A,#N/A,FALSE,"PL10";#N/A,#N/A,FALSE,"PL20";#N/A,#N/A,FALSE,"PL30"}</definedName>
    <definedName name="만" localSheetId="1">#REF!</definedName>
    <definedName name="만">#REF!</definedName>
    <definedName name="만기일" localSheetId="1">#REF!</definedName>
    <definedName name="만기일">#REF!</definedName>
    <definedName name="매출액" localSheetId="1">#REF!</definedName>
    <definedName name="매출액">#REF!</definedName>
    <definedName name="매출원가">#REF!</definedName>
    <definedName name="물량">#REF!</definedName>
    <definedName name="미" localSheetId="1" hidden="1">{#N/A,#N/A,FALSE,"미판매분"}</definedName>
    <definedName name="미" hidden="1">{#N/A,#N/A,FALSE,"미판매분"}</definedName>
    <definedName name="미수종합" localSheetId="1" hidden="1">{#N/A,#N/A,FALSE,"미판매분"}</definedName>
    <definedName name="미수종합" hidden="1">{#N/A,#N/A,FALSE,"미판매분"}</definedName>
    <definedName name="미지급분쟁" localSheetId="1">#REF!</definedName>
    <definedName name="미지급분쟁">#REF!</definedName>
    <definedName name="미지급분쟁대상" localSheetId="1">#REF!</definedName>
    <definedName name="미지급분쟁대상">#REF!</definedName>
    <definedName name="미지급분쟁무" localSheetId="1">#REF!</definedName>
    <definedName name="미지급분쟁무">#REF!</definedName>
    <definedName name="미지급이자분쟁무">#REF!</definedName>
    <definedName name="밋션별">#REF!</definedName>
    <definedName name="ㅂ">#REF!</definedName>
    <definedName name="발">#REF!</definedName>
    <definedName name="발생">#REF!</definedName>
    <definedName name="부___문">#REF!</definedName>
    <definedName name="부서">#REF!</definedName>
    <definedName name="분쟁대상미지급">#REF!</definedName>
    <definedName name="빨">#REF!</definedName>
    <definedName name="사업부문">#REF!</definedName>
    <definedName name="산기">#REF!</definedName>
    <definedName name="상각">#REF!</definedName>
    <definedName name="상사경유">#REF!</definedName>
    <definedName name="새것">#REF!</definedName>
    <definedName name="새이름">#REF!</definedName>
    <definedName name="소">#REF!</definedName>
    <definedName name="손익">#REF!</definedName>
    <definedName name="수급추이" localSheetId="1" hidden="1">{"'7-2지역별'!$A$1:$R$44"}</definedName>
    <definedName name="수급추이" hidden="1">{"'7-2지역별'!$A$1:$R$44"}</definedName>
    <definedName name="수불5_2.96.A">#REF!</definedName>
    <definedName name="수입3" localSheetId="1" hidden="1">{"'7-2지역별'!$A$1:$R$44"}</definedName>
    <definedName name="수입3" hidden="1">{"'7-2지역별'!$A$1:$R$44"}</definedName>
    <definedName name="수정사항">#REF!</definedName>
    <definedName name="수출순위" localSheetId="1" hidden="1">{"'7-2지역별'!$A$1:$R$44"}</definedName>
    <definedName name="수출순위" hidden="1">{"'7-2지역별'!$A$1:$R$44"}</definedName>
    <definedName name="수출용">#REF!</definedName>
    <definedName name="수출용열">#REF!</definedName>
    <definedName name="시산표마감후" localSheetId="1">{#N/A,#N/A,FALSE,"단축1";#N/A,#N/A,FALSE,"단축2";#N/A,#N/A,FALSE,"단축3";#N/A,#N/A,FALSE,"장축";#N/A,#N/A,FALSE,"4WD"}</definedName>
    <definedName name="시산표마감후">{#N/A,#N/A,FALSE,"단축1";#N/A,#N/A,FALSE,"단축2";#N/A,#N/A,FALSE,"단축3";#N/A,#N/A,FALSE,"장축";#N/A,#N/A,FALSE,"4WD"}</definedName>
    <definedName name="신판인력전환배치공문" localSheetId="1">#REF!</definedName>
    <definedName name="신판인력전환배치공문">#REF!</definedName>
    <definedName name="실" localSheetId="1">{#N/A,#N/A,FALSE,"단축1";#N/A,#N/A,FALSE,"단축2";#N/A,#N/A,FALSE,"단축3";#N/A,#N/A,FALSE,"장축";#N/A,#N/A,FALSE,"4WD"}</definedName>
    <definedName name="실">{#N/A,#N/A,FALSE,"단축1";#N/A,#N/A,FALSE,"단축2";#N/A,#N/A,FALSE,"단축3";#N/A,#N/A,FALSE,"장축";#N/A,#N/A,FALSE,"4WD"}</definedName>
    <definedName name="실적분석" localSheetId="1">#REF!</definedName>
    <definedName name="실적분석">#REF!</definedName>
    <definedName name="십이월" localSheetId="1">#REF!</definedName>
    <definedName name="십이월">#REF!</definedName>
    <definedName name="ㅇㄻㄴㅇㄻㄴ" localSheetId="1">#REF!</definedName>
    <definedName name="ㅇㄻㄴㅇㄻㄴ">#REF!</definedName>
    <definedName name="ㅇㅁ">#REF!</definedName>
    <definedName name="ㅇㅇㅇ">#REF!</definedName>
    <definedName name="ㅇㅇㅇㅇ">#REF!</definedName>
    <definedName name="아아앙" localSheetId="1">'1-2'!_a1O,'1-2'!_a2O,'1-2'!_a3O</definedName>
    <definedName name="아아앙">_a1O,_a2O,_a3O</definedName>
    <definedName name="아이고" localSheetId="1">#REF!</definedName>
    <definedName name="아이고">#REF!</definedName>
    <definedName name="안철우" localSheetId="1">#REF!</definedName>
    <definedName name="안철우">#REF!</definedName>
    <definedName name="어쩌구" localSheetId="1">#REF!</definedName>
    <definedName name="어쩌구">#REF!</definedName>
    <definedName name="연구">#REF!</definedName>
    <definedName name="영업권" localSheetId="1" hidden="1">{#N/A,#N/A,FALSE,"BS";#N/A,#N/A,FALSE,"PL";#N/A,#N/A,FALSE,"처분";#N/A,#N/A,FALSE,"현금";#N/A,#N/A,FALSE,"매출";#N/A,#N/A,FALSE,"원가";#N/A,#N/A,FALSE,"경영"}</definedName>
    <definedName name="영업권" hidden="1">{#N/A,#N/A,FALSE,"BS";#N/A,#N/A,FALSE,"PL";#N/A,#N/A,FALSE,"처분";#N/A,#N/A,FALSE,"현금";#N/A,#N/A,FALSE,"매출";#N/A,#N/A,FALSE,"원가";#N/A,#N/A,FALSE,"경영"}</definedName>
    <definedName name="외화장기DATA" localSheetId="1">#REF!</definedName>
    <definedName name="외화장기DATA">#REF!</definedName>
    <definedName name="원가" localSheetId="1">#REF!</definedName>
    <definedName name="원가">#REF!</definedName>
    <definedName name="월_판매" localSheetId="1">#REF!</definedName>
    <definedName name="월_판매">#REF!</definedName>
    <definedName name="위아">#REF!</definedName>
    <definedName name="유기">#REF!</definedName>
    <definedName name="유동성대체">#N/A</definedName>
    <definedName name="유럽" localSheetId="1" hidden="1">{#N/A,#N/A,FALSE,"미판매분"}</definedName>
    <definedName name="유럽" hidden="1">{#N/A,#N/A,FALSE,"미판매분"}</definedName>
    <definedName name="유휴율95" localSheetId="1">#REF!</definedName>
    <definedName name="유휴율95">#REF!</definedName>
    <definedName name="유휴율96" localSheetId="1">#REF!</definedName>
    <definedName name="유휴율96">#REF!</definedName>
    <definedName name="유휴율97" localSheetId="1">#REF!</definedName>
    <definedName name="유휴율97">#REF!</definedName>
    <definedName name="은행금리">#REF!</definedName>
    <definedName name="은행상품">#REF!</definedName>
    <definedName name="음">#REF!</definedName>
    <definedName name="이연법인세">#REF!</definedName>
    <definedName name="이익">#REF!</definedName>
    <definedName name="이천">#REF!</definedName>
    <definedName name="익월">#REF!</definedName>
    <definedName name="인쇄">#REF!</definedName>
    <definedName name="인원현황">#REF!</definedName>
    <definedName name="재고4_2.96.A">#REF!</definedName>
    <definedName name="저쩌구">#REF!</definedName>
    <definedName name="전년대비">#REF!</definedName>
    <definedName name="전년해당월">#REF!</definedName>
    <definedName name="전장">#REF!</definedName>
    <definedName name="제목">#REF!</definedName>
    <definedName name="제원">#REF!</definedName>
    <definedName name="제조원가">#REF!</definedName>
    <definedName name="조직">#REF!</definedName>
    <definedName name="직접율95">#REF!</definedName>
    <definedName name="직접율96">#REF!</definedName>
    <definedName name="직접율97">#REF!</definedName>
    <definedName name="ㅊ">#REF!</definedName>
    <definedName name="ㅊㅊ">#REF!</definedName>
    <definedName name="채권전체">#REF!</definedName>
    <definedName name="책연1">#REF!</definedName>
    <definedName name="책연2">#REF!</definedName>
    <definedName name="총무3" localSheetId="1">{#N/A,#N/A,FALSE,"단축1";#N/A,#N/A,FALSE,"단축2";#N/A,#N/A,FALSE,"단축3";#N/A,#N/A,FALSE,"장축";#N/A,#N/A,FALSE,"4WD"}</definedName>
    <definedName name="총무3">{#N/A,#N/A,FALSE,"단축1";#N/A,#N/A,FALSE,"단축2";#N/A,#N/A,FALSE,"단축3";#N/A,#N/A,FALSE,"장축";#N/A,#N/A,FALSE,"4WD"}</definedName>
    <definedName name="추정" localSheetId="1">#REF!</definedName>
    <definedName name="추정">#REF!</definedName>
    <definedName name="출발선" localSheetId="1">#REF!</definedName>
    <definedName name="출발선">#REF!</definedName>
    <definedName name="ㅋ" localSheetId="1">#REF!</definedName>
    <definedName name="ㅋ">#REF!</definedName>
    <definedName name="케피코">#REF!</definedName>
    <definedName name="ㅌ">#REF!</definedName>
    <definedName name="ㅌㅌ">#REF!</definedName>
    <definedName name="ㅌㅌㅌㅌㅌ">#REF!</definedName>
    <definedName name="타이어구입311월">#REF!</definedName>
    <definedName name="토건">#REF!</definedName>
    <definedName name="트로이젠" localSheetId="1" hidden="1">{#N/A,#N/A,FALSE,"미판매분"}</definedName>
    <definedName name="트로이젠" hidden="1">{#N/A,#N/A,FALSE,"미판매분"}</definedName>
    <definedName name="팀" localSheetId="1">#REF!</definedName>
    <definedName name="팀">#REF!</definedName>
    <definedName name="ㅍ77" localSheetId="1">#REF!</definedName>
    <definedName name="ㅍ77">#REF!</definedName>
    <definedName name="판가1" localSheetId="1">#REF!</definedName>
    <definedName name="판가1">#REF!</definedName>
    <definedName name="판가2">#REF!</definedName>
    <definedName name="판가3">#REF!</definedName>
    <definedName name="판가4">#REF!</definedName>
    <definedName name="평가손익2">#REF!</definedName>
    <definedName name="품의">#REF!</definedName>
    <definedName name="품질2">#REF!</definedName>
    <definedName name="ㅎㄹ" localSheetId="1">'1-2'!_a1O,'1-2'!_a2O,'1-2'!_a3O</definedName>
    <definedName name="ㅎㄹ">_a1O,_a2O,_a3O</definedName>
    <definedName name="ㅎ로" localSheetId="1">#REF!</definedName>
    <definedName name="ㅎ로">#REF!</definedName>
    <definedName name="ㅎㅎ" localSheetId="1" hidden="1">{#N/A,#N/A,FALSE,"BS";#N/A,#N/A,FALSE,"PL";#N/A,#N/A,FALSE,"A";#N/A,#N/A,FALSE,"B";#N/A,#N/A,FALSE,"B1";#N/A,#N/A,FALSE,"C";#N/A,#N/A,FALSE,"C1";#N/A,#N/A,FALSE,"C2";#N/A,#N/A,FALSE,"D";#N/A,#N/A,FALSE,"E";#N/A,#N/A,FALSE,"F";#N/A,#N/A,FALSE,"AA";#N/A,#N/A,FALSE,"BB";#N/A,#N/A,FALSE,"CC";#N/A,#N/A,FALSE,"DD";#N/A,#N/A,FALSE,"EE";#N/A,#N/A,FALSE,"FF";#N/A,#N/A,FALSE,"PL10";#N/A,#N/A,FALSE,"PL20";#N/A,#N/A,FALSE,"PL30"}</definedName>
    <definedName name="ㅎㅎ" hidden="1">{#N/A,#N/A,FALSE,"BS";#N/A,#N/A,FALSE,"PL";#N/A,#N/A,FALSE,"A";#N/A,#N/A,FALSE,"B";#N/A,#N/A,FALSE,"B1";#N/A,#N/A,FALSE,"C";#N/A,#N/A,FALSE,"C1";#N/A,#N/A,FALSE,"C2";#N/A,#N/A,FALSE,"D";#N/A,#N/A,FALSE,"E";#N/A,#N/A,FALSE,"F";#N/A,#N/A,FALSE,"AA";#N/A,#N/A,FALSE,"BB";#N/A,#N/A,FALSE,"CC";#N/A,#N/A,FALSE,"DD";#N/A,#N/A,FALSE,"EE";#N/A,#N/A,FALSE,"FF";#N/A,#N/A,FALSE,"PL10";#N/A,#N/A,FALSE,"PL20";#N/A,#N/A,FALSE,"PL30"}</definedName>
    <definedName name="한국DTS" localSheetId="1">#REF!</definedName>
    <definedName name="한국DTS">#REF!</definedName>
    <definedName name="해당월" localSheetId="1">#REF!</definedName>
    <definedName name="해당월">#REF!</definedName>
    <definedName name="해외생산1" localSheetId="1" hidden="1">{"'7-2지역별'!$A$1:$R$44"}</definedName>
    <definedName name="해외생산1" hidden="1">{"'7-2지역별'!$A$1:$R$44"}</definedName>
    <definedName name="현대차">#REF!</definedName>
    <definedName name="현대캐피탈">#REF!</definedName>
    <definedName name="현대파워텍">#REF!</definedName>
    <definedName name="현대하이스코">#REF!</definedName>
    <definedName name="호호호호ㅗㅎ" localSheetId="1">'1-2'!_a1O,'1-2'!_a2O,'1-2'!_a3O</definedName>
    <definedName name="호호호호ㅗㅎ">_a1O,_a2O,_a3O</definedName>
    <definedName name="화" localSheetId="1">#REF!</definedName>
    <definedName name="화">#REF!</definedName>
    <definedName name="환율상" localSheetId="1">#REF!</definedName>
    <definedName name="환율상">#REF!</definedName>
    <definedName name="환율하" localSheetId="1">#REF!</definedName>
    <definedName name="환율하">#REF!</definedName>
    <definedName name="흵____R3_t">#REF!</definedName>
    <definedName name="ㅏ">#REF!</definedName>
    <definedName name="ㅏㅏ">#REF!</definedName>
    <definedName name="ㅗ">#REF!</definedName>
    <definedName name="ㅜ">#REF!</definedName>
    <definedName name="ㅠ">#REF!</definedName>
    <definedName name="ㅠㄴ">#REF!</definedName>
    <definedName name="ㅣ">#REF!</definedName>
    <definedName name="現代綜合商事經由分">#REF!</definedName>
    <definedName name="菲淚__O">#REF!</definedName>
    <definedName name="計定明細.書2.A">#REF!</definedName>
    <definedName name="計定明細.書2.B">#REF!</definedName>
    <definedName name="計定明細.書2.D">#REF!</definedName>
    <definedName name="金額">#REF!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7" i="3" l="1"/>
  <c r="E132" i="3"/>
  <c r="D38" i="70" l="1"/>
  <c r="D73" i="70" l="1"/>
  <c r="C143" i="70"/>
  <c r="D116" i="24" l="1"/>
  <c r="C56" i="70"/>
  <c r="E56" i="70" s="1"/>
  <c r="E93" i="3" s="1"/>
  <c r="E145" i="24" s="1"/>
  <c r="C142" i="70"/>
  <c r="E142" i="70" s="1"/>
  <c r="E93" i="24" s="1"/>
  <c r="B7" i="74" s="1"/>
  <c r="E20" i="53"/>
  <c r="J15" i="51" l="1"/>
  <c r="D99" i="70" l="1"/>
  <c r="D6" i="70" s="1"/>
  <c r="D98" i="70"/>
  <c r="D39" i="70" s="1"/>
  <c r="C4" i="70"/>
  <c r="E4" i="70" s="1"/>
  <c r="C5" i="70"/>
  <c r="C6" i="70"/>
  <c r="C7" i="70"/>
  <c r="E7" i="70" s="1"/>
  <c r="C8" i="70"/>
  <c r="E8" i="70" s="1"/>
  <c r="C9" i="70"/>
  <c r="E9" i="70" s="1"/>
  <c r="D14" i="51" s="1"/>
  <c r="C10" i="70"/>
  <c r="E10" i="70" s="1"/>
  <c r="D20" i="51" s="1"/>
  <c r="C11" i="70"/>
  <c r="E11" i="70" s="1"/>
  <c r="C12" i="70"/>
  <c r="E12" i="70" s="1"/>
  <c r="C13" i="70"/>
  <c r="E13" i="70" s="1"/>
  <c r="C14" i="70"/>
  <c r="E14" i="70" s="1"/>
  <c r="C15" i="70"/>
  <c r="E15" i="70" s="1"/>
  <c r="C16" i="70"/>
  <c r="E16" i="70" s="1"/>
  <c r="C17" i="70"/>
  <c r="E17" i="70" s="1"/>
  <c r="C18" i="70"/>
  <c r="E18" i="70" s="1"/>
  <c r="C19" i="70"/>
  <c r="E19" i="70" s="1"/>
  <c r="C20" i="70"/>
  <c r="E20" i="70" s="1"/>
  <c r="D15" i="51" s="1"/>
  <c r="C21" i="70"/>
  <c r="E21" i="70" s="1"/>
  <c r="C22" i="70"/>
  <c r="E22" i="70" s="1"/>
  <c r="C23" i="70"/>
  <c r="E23" i="70" s="1"/>
  <c r="C24" i="70"/>
  <c r="E24" i="70" s="1"/>
  <c r="C25" i="70"/>
  <c r="E25" i="70" s="1"/>
  <c r="C26" i="70"/>
  <c r="E26" i="70" s="1"/>
  <c r="C27" i="70"/>
  <c r="E27" i="70" s="1"/>
  <c r="C28" i="70"/>
  <c r="E28" i="70" s="1"/>
  <c r="C29" i="70"/>
  <c r="E29" i="70" s="1"/>
  <c r="D21" i="51" s="1"/>
  <c r="C30" i="70"/>
  <c r="E30" i="70" s="1"/>
  <c r="C31" i="70"/>
  <c r="E31" i="70" s="1"/>
  <c r="C32" i="70"/>
  <c r="E32" i="70" s="1"/>
  <c r="C33" i="70"/>
  <c r="E33" i="70" s="1"/>
  <c r="C34" i="70"/>
  <c r="E34" i="70" s="1"/>
  <c r="C35" i="70"/>
  <c r="E35" i="70" s="1"/>
  <c r="D19" i="51" s="1"/>
  <c r="C36" i="70"/>
  <c r="E36" i="70" s="1"/>
  <c r="C37" i="70"/>
  <c r="C38" i="70"/>
  <c r="E38" i="70" s="1"/>
  <c r="C39" i="70"/>
  <c r="C40" i="70"/>
  <c r="E40" i="70" s="1"/>
  <c r="C41" i="70"/>
  <c r="E41" i="70" s="1"/>
  <c r="C42" i="70"/>
  <c r="E42" i="70" s="1"/>
  <c r="C43" i="70"/>
  <c r="E43" i="70" s="1"/>
  <c r="C44" i="70"/>
  <c r="E44" i="70" s="1"/>
  <c r="C45" i="70"/>
  <c r="E45" i="70" s="1"/>
  <c r="C46" i="70"/>
  <c r="E46" i="70" s="1"/>
  <c r="C47" i="70"/>
  <c r="E47" i="70" s="1"/>
  <c r="C48" i="70"/>
  <c r="E48" i="70" s="1"/>
  <c r="C49" i="70"/>
  <c r="E49" i="70" s="1"/>
  <c r="C50" i="70"/>
  <c r="E50" i="70" s="1"/>
  <c r="C51" i="70"/>
  <c r="E51" i="70" s="1"/>
  <c r="C52" i="70"/>
  <c r="E52" i="70" s="1"/>
  <c r="C53" i="70"/>
  <c r="E53" i="70" s="1"/>
  <c r="E92" i="3" s="1"/>
  <c r="C54" i="70"/>
  <c r="E54" i="70" s="1"/>
  <c r="C55" i="70"/>
  <c r="C57" i="70"/>
  <c r="E57" i="70" s="1"/>
  <c r="C58" i="70"/>
  <c r="E58" i="70" s="1"/>
  <c r="C59" i="70"/>
  <c r="E59" i="70" s="1"/>
  <c r="C60" i="70"/>
  <c r="E60" i="70" s="1"/>
  <c r="C61" i="70"/>
  <c r="E61" i="70" s="1"/>
  <c r="C62" i="70"/>
  <c r="E62" i="70" s="1"/>
  <c r="C63" i="70"/>
  <c r="E63" i="70" s="1"/>
  <c r="C64" i="70"/>
  <c r="E64" i="70" s="1"/>
  <c r="C65" i="70"/>
  <c r="C66" i="70"/>
  <c r="E66" i="70" s="1"/>
  <c r="C67" i="70"/>
  <c r="E67" i="70" s="1"/>
  <c r="C68" i="70"/>
  <c r="E68" i="70" s="1"/>
  <c r="C69" i="70"/>
  <c r="E69" i="70" s="1"/>
  <c r="C70" i="70"/>
  <c r="E70" i="70" s="1"/>
  <c r="C71" i="70"/>
  <c r="E71" i="70" s="1"/>
  <c r="C72" i="70"/>
  <c r="E72" i="70" s="1"/>
  <c r="C73" i="70"/>
  <c r="E73" i="70" s="1"/>
  <c r="C74" i="70"/>
  <c r="E74" i="70" s="1"/>
  <c r="C75" i="70"/>
  <c r="E75" i="70" s="1"/>
  <c r="C76" i="70"/>
  <c r="E76" i="70" s="1"/>
  <c r="C77" i="70"/>
  <c r="E77" i="70" s="1"/>
  <c r="C78" i="70"/>
  <c r="E78" i="70" s="1"/>
  <c r="C79" i="70"/>
  <c r="E79" i="70" s="1"/>
  <c r="C80" i="70"/>
  <c r="E80" i="70" s="1"/>
  <c r="C81" i="70"/>
  <c r="E81" i="70" s="1"/>
  <c r="C82" i="70"/>
  <c r="E82" i="70" s="1"/>
  <c r="C83" i="70"/>
  <c r="E83" i="70" s="1"/>
  <c r="C84" i="70"/>
  <c r="E84" i="70" s="1"/>
  <c r="C85" i="70"/>
  <c r="E85" i="70" s="1"/>
  <c r="C86" i="70"/>
  <c r="E86" i="70" s="1"/>
  <c r="C87" i="70"/>
  <c r="E87" i="70" s="1"/>
  <c r="C88" i="70"/>
  <c r="E88" i="70" s="1"/>
  <c r="C89" i="70"/>
  <c r="E89" i="70" s="1"/>
  <c r="C90" i="70"/>
  <c r="E90" i="70" s="1"/>
  <c r="C91" i="70"/>
  <c r="E91" i="70" s="1"/>
  <c r="C30" i="25" s="1" a="1"/>
  <c r="C30" i="25" s="1"/>
  <c r="C92" i="70"/>
  <c r="E92" i="70" s="1"/>
  <c r="C93" i="70"/>
  <c r="E93" i="70" s="1"/>
  <c r="C94" i="70"/>
  <c r="E94" i="70" s="1"/>
  <c r="C95" i="70"/>
  <c r="E95" i="70" s="1"/>
  <c r="C96" i="70"/>
  <c r="E96" i="70" s="1"/>
  <c r="C97" i="70"/>
  <c r="E97" i="70" s="1"/>
  <c r="C98" i="70"/>
  <c r="E98" i="70" s="1"/>
  <c r="C99" i="70"/>
  <c r="E99" i="70" s="1"/>
  <c r="C100" i="70"/>
  <c r="E100" i="70" s="1"/>
  <c r="C101" i="70"/>
  <c r="E101" i="70" s="1"/>
  <c r="C102" i="70"/>
  <c r="E102" i="70" s="1"/>
  <c r="C103" i="70"/>
  <c r="E103" i="70" s="1"/>
  <c r="C104" i="70"/>
  <c r="E104" i="70" s="1"/>
  <c r="C105" i="70"/>
  <c r="E105" i="70" s="1"/>
  <c r="C106" i="70"/>
  <c r="E106" i="70" s="1"/>
  <c r="C107" i="70"/>
  <c r="E107" i="70" s="1"/>
  <c r="C108" i="70"/>
  <c r="E108" i="70" s="1"/>
  <c r="C109" i="70"/>
  <c r="E109" i="70" s="1"/>
  <c r="C110" i="70"/>
  <c r="E110" i="70" s="1"/>
  <c r="C111" i="70"/>
  <c r="E111" i="70" s="1"/>
  <c r="C112" i="70"/>
  <c r="E112" i="70" s="1"/>
  <c r="C113" i="70"/>
  <c r="E113" i="70" s="1"/>
  <c r="C114" i="70"/>
  <c r="E114" i="70" s="1"/>
  <c r="C115" i="70"/>
  <c r="E115" i="70" s="1"/>
  <c r="C116" i="70"/>
  <c r="E116" i="70" s="1"/>
  <c r="C117" i="70"/>
  <c r="E117" i="70" s="1"/>
  <c r="C31" i="25" s="1" a="1"/>
  <c r="C31" i="25" s="1"/>
  <c r="C14" i="74" s="1"/>
  <c r="C118" i="70"/>
  <c r="E118" i="70" s="1"/>
  <c r="C119" i="70"/>
  <c r="E119" i="70" s="1"/>
  <c r="C120" i="70"/>
  <c r="E120" i="70" s="1"/>
  <c r="C121" i="70"/>
  <c r="E121" i="70" s="1"/>
  <c r="C122" i="70"/>
  <c r="E122" i="70" s="1"/>
  <c r="C123" i="70"/>
  <c r="E123" i="70" s="1"/>
  <c r="C124" i="70"/>
  <c r="E124" i="70" s="1"/>
  <c r="C125" i="70"/>
  <c r="E125" i="70" s="1"/>
  <c r="C126" i="70"/>
  <c r="E126" i="70" s="1"/>
  <c r="C127" i="70"/>
  <c r="E127" i="70" s="1"/>
  <c r="C128" i="70"/>
  <c r="E128" i="70" s="1"/>
  <c r="C129" i="70"/>
  <c r="E129" i="70" s="1"/>
  <c r="C130" i="70"/>
  <c r="E130" i="70" s="1"/>
  <c r="C131" i="70"/>
  <c r="E131" i="70" s="1"/>
  <c r="C132" i="70"/>
  <c r="E132" i="70" s="1"/>
  <c r="C133" i="70"/>
  <c r="E133" i="70" s="1"/>
  <c r="C134" i="70"/>
  <c r="E134" i="70" s="1"/>
  <c r="C135" i="70"/>
  <c r="E135" i="70" s="1"/>
  <c r="C136" i="70"/>
  <c r="E136" i="70" s="1"/>
  <c r="C137" i="70"/>
  <c r="E137" i="70" s="1"/>
  <c r="C138" i="70"/>
  <c r="E138" i="70" s="1"/>
  <c r="C139" i="70"/>
  <c r="E139" i="70" s="1"/>
  <c r="C140" i="70"/>
  <c r="E140" i="70" s="1"/>
  <c r="C141" i="70"/>
  <c r="E141" i="70" s="1"/>
  <c r="H110" i="69"/>
  <c r="H111" i="69"/>
  <c r="H112" i="69"/>
  <c r="H113" i="69"/>
  <c r="H114" i="69"/>
  <c r="H115" i="69"/>
  <c r="H116" i="69"/>
  <c r="H117" i="69"/>
  <c r="H118" i="69"/>
  <c r="H119" i="69"/>
  <c r="H120" i="69"/>
  <c r="H121" i="69"/>
  <c r="H122" i="69"/>
  <c r="H123" i="69"/>
  <c r="H124" i="69"/>
  <c r="H125" i="69"/>
  <c r="H126" i="69"/>
  <c r="H127" i="69"/>
  <c r="H128" i="69"/>
  <c r="H129" i="69"/>
  <c r="H130" i="69"/>
  <c r="H131" i="69"/>
  <c r="H132" i="69"/>
  <c r="H133" i="69"/>
  <c r="H134" i="69"/>
  <c r="H135" i="69"/>
  <c r="H136" i="69"/>
  <c r="H137" i="69"/>
  <c r="H138" i="69"/>
  <c r="H139" i="69"/>
  <c r="H140" i="69"/>
  <c r="H141" i="69"/>
  <c r="H142" i="69"/>
  <c r="H143" i="69"/>
  <c r="H144" i="69"/>
  <c r="H145" i="69"/>
  <c r="H146" i="69"/>
  <c r="H147" i="69"/>
  <c r="H148" i="69"/>
  <c r="H149" i="69"/>
  <c r="H150" i="69"/>
  <c r="H151" i="69"/>
  <c r="H152" i="69"/>
  <c r="H153" i="69"/>
  <c r="H154" i="69"/>
  <c r="H155" i="69"/>
  <c r="D62" i="70"/>
  <c r="D37" i="70"/>
  <c r="H6" i="69"/>
  <c r="H7" i="69"/>
  <c r="H8" i="69"/>
  <c r="H9" i="69"/>
  <c r="H10" i="69"/>
  <c r="H11" i="69"/>
  <c r="H12" i="69"/>
  <c r="H13" i="69"/>
  <c r="H14" i="69"/>
  <c r="H15" i="69"/>
  <c r="H16" i="69"/>
  <c r="H17" i="69"/>
  <c r="H18" i="69"/>
  <c r="H19" i="69"/>
  <c r="H20" i="69"/>
  <c r="H21" i="69"/>
  <c r="H22" i="69"/>
  <c r="H23" i="69"/>
  <c r="H24" i="69"/>
  <c r="H25" i="69"/>
  <c r="H26" i="69"/>
  <c r="H27" i="69"/>
  <c r="H28" i="69"/>
  <c r="H29" i="69"/>
  <c r="H30" i="69"/>
  <c r="H31" i="69"/>
  <c r="H32" i="69"/>
  <c r="H33" i="69"/>
  <c r="H34" i="69"/>
  <c r="H35" i="69"/>
  <c r="H36" i="69"/>
  <c r="H37" i="69"/>
  <c r="H38" i="69"/>
  <c r="H39" i="69"/>
  <c r="H40" i="69"/>
  <c r="H41" i="69"/>
  <c r="H42" i="69"/>
  <c r="H43" i="69"/>
  <c r="H44" i="69"/>
  <c r="H45" i="69"/>
  <c r="H46" i="69"/>
  <c r="H47" i="69"/>
  <c r="H48" i="69"/>
  <c r="H49" i="69"/>
  <c r="H50" i="69"/>
  <c r="H51" i="69"/>
  <c r="H52" i="69"/>
  <c r="H53" i="69"/>
  <c r="H54" i="69"/>
  <c r="H55" i="69"/>
  <c r="H56" i="69"/>
  <c r="H57" i="69"/>
  <c r="H58" i="69"/>
  <c r="H59" i="69"/>
  <c r="H60" i="69"/>
  <c r="H61" i="69"/>
  <c r="H62" i="69"/>
  <c r="H63" i="69"/>
  <c r="H64" i="69"/>
  <c r="H65" i="69"/>
  <c r="H66" i="69"/>
  <c r="H67" i="69"/>
  <c r="H68" i="69"/>
  <c r="H69" i="69"/>
  <c r="H70" i="69"/>
  <c r="H71" i="69"/>
  <c r="H72" i="69"/>
  <c r="H73" i="69"/>
  <c r="H74" i="69"/>
  <c r="H75" i="69"/>
  <c r="H76" i="69"/>
  <c r="H77" i="69"/>
  <c r="H78" i="69"/>
  <c r="H79" i="69"/>
  <c r="H80" i="69"/>
  <c r="H81" i="69"/>
  <c r="H82" i="69"/>
  <c r="H83" i="69"/>
  <c r="H84" i="69"/>
  <c r="H85" i="69"/>
  <c r="H86" i="69"/>
  <c r="H87" i="69"/>
  <c r="H88" i="69"/>
  <c r="H89" i="69"/>
  <c r="H90" i="69"/>
  <c r="H91" i="69"/>
  <c r="H92" i="69"/>
  <c r="H93" i="69"/>
  <c r="H94" i="69"/>
  <c r="H95" i="69"/>
  <c r="H96" i="69"/>
  <c r="H97" i="69"/>
  <c r="H98" i="69"/>
  <c r="H99" i="69"/>
  <c r="H100" i="69"/>
  <c r="H101" i="69"/>
  <c r="H102" i="69"/>
  <c r="H103" i="69"/>
  <c r="H104" i="69"/>
  <c r="H105" i="69"/>
  <c r="H106" i="69"/>
  <c r="H107" i="69"/>
  <c r="H108" i="69"/>
  <c r="H109" i="69"/>
  <c r="H5" i="69"/>
  <c r="G203" i="73"/>
  <c r="G200" i="73"/>
  <c r="G199" i="73"/>
  <c r="F172" i="24"/>
  <c r="F131" i="3"/>
  <c r="F157" i="24" s="1"/>
  <c r="D13" i="51"/>
  <c r="D16" i="51"/>
  <c r="D17" i="51"/>
  <c r="D18" i="51"/>
  <c r="D22" i="51"/>
  <c r="D12" i="51"/>
  <c r="F86" i="24"/>
  <c r="J11" i="53"/>
  <c r="I15" i="53"/>
  <c r="H15" i="53"/>
  <c r="G15" i="53"/>
  <c r="F15" i="53"/>
  <c r="D15" i="53"/>
  <c r="C15" i="53"/>
  <c r="D23" i="53"/>
  <c r="C23" i="53"/>
  <c r="A39" i="53"/>
  <c r="A40" i="53" s="1"/>
  <c r="A41" i="53" s="1"/>
  <c r="A33" i="53"/>
  <c r="A32" i="53"/>
  <c r="A31" i="53"/>
  <c r="E23" i="53"/>
  <c r="F35" i="24"/>
  <c r="E179" i="24"/>
  <c r="E140" i="24"/>
  <c r="G188" i="73"/>
  <c r="F188" i="73"/>
  <c r="G166" i="73"/>
  <c r="G13" i="73" s="1"/>
  <c r="G16" i="73" s="1"/>
  <c r="F166" i="73"/>
  <c r="F13" i="73" s="1"/>
  <c r="F16" i="73" s="1"/>
  <c r="G147" i="73"/>
  <c r="G120" i="73"/>
  <c r="F120" i="73"/>
  <c r="M119" i="73"/>
  <c r="G108" i="73"/>
  <c r="F108" i="73"/>
  <c r="G92" i="73"/>
  <c r="F92" i="73"/>
  <c r="D78" i="25"/>
  <c r="D91" i="25" s="1"/>
  <c r="D76" i="25"/>
  <c r="D73" i="25"/>
  <c r="D74" i="25" s="1"/>
  <c r="D72" i="25"/>
  <c r="D71" i="25"/>
  <c r="A132" i="24"/>
  <c r="A202" i="24" s="1"/>
  <c r="B276" i="73" s="1"/>
  <c r="A129" i="24"/>
  <c r="A199" i="24" s="1"/>
  <c r="B273" i="73" s="1"/>
  <c r="F109" i="24"/>
  <c r="E109" i="24"/>
  <c r="F110" i="3"/>
  <c r="C43" i="56"/>
  <c r="C37" i="56"/>
  <c r="F86" i="3"/>
  <c r="F85" i="3"/>
  <c r="F83" i="3"/>
  <c r="F92" i="3"/>
  <c r="F147" i="24" s="1"/>
  <c r="F158" i="24" s="1"/>
  <c r="F70" i="3"/>
  <c r="G153" i="73" s="1"/>
  <c r="G155" i="73" s="1"/>
  <c r="G43" i="72"/>
  <c r="G21" i="72"/>
  <c r="E75" i="3"/>
  <c r="E32" i="3"/>
  <c r="E37" i="3" s="1"/>
  <c r="E31" i="3"/>
  <c r="D26" i="3"/>
  <c r="C26" i="3"/>
  <c r="D25" i="3"/>
  <c r="C25" i="3"/>
  <c r="F62" i="3"/>
  <c r="E62" i="3"/>
  <c r="F61" i="3"/>
  <c r="E61" i="3"/>
  <c r="E55" i="3"/>
  <c r="E25" i="24"/>
  <c r="F37" i="3"/>
  <c r="E20" i="3"/>
  <c r="F171" i="73" s="1"/>
  <c r="F174" i="73" s="1"/>
  <c r="D68" i="25"/>
  <c r="D62" i="25"/>
  <c r="D42" i="25"/>
  <c r="D5" i="70" l="1"/>
  <c r="D65" i="70" s="1"/>
  <c r="E65" i="70" s="1"/>
  <c r="E39" i="70"/>
  <c r="E6" i="70"/>
  <c r="E37" i="70"/>
  <c r="F117" i="3"/>
  <c r="F152" i="73"/>
  <c r="G160" i="73"/>
  <c r="G161" i="73" s="1"/>
  <c r="G52" i="73"/>
  <c r="G151" i="73"/>
  <c r="F52" i="73"/>
  <c r="F151" i="73"/>
  <c r="E147" i="24"/>
  <c r="E158" i="24" s="1"/>
  <c r="D87" i="25"/>
  <c r="F81" i="3"/>
  <c r="F88" i="3" s="1"/>
  <c r="F27" i="24" s="1"/>
  <c r="F72" i="3"/>
  <c r="F20" i="24" s="1"/>
  <c r="F63" i="3"/>
  <c r="E63" i="3"/>
  <c r="C59" i="25" a="1"/>
  <c r="C83" i="25" a="1"/>
  <c r="C66" i="25" a="1"/>
  <c r="C40" i="25" a="1"/>
  <c r="C85" i="25" a="1"/>
  <c r="E5" i="70" l="1"/>
  <c r="C29" i="25" a="1"/>
  <c r="D11" i="25"/>
  <c r="D22" i="25" s="1"/>
  <c r="C10" i="25" a="1"/>
  <c r="E131" i="3" l="1"/>
  <c r="E129" i="3"/>
  <c r="E54" i="3"/>
  <c r="E56" i="3" s="1"/>
  <c r="E65" i="3" s="1"/>
  <c r="E18" i="24" s="1"/>
  <c r="E84" i="3"/>
  <c r="E83" i="3"/>
  <c r="C28" i="25" a="1"/>
  <c r="C32" i="25" a="1"/>
  <c r="C78" i="25" a="1"/>
  <c r="C38" i="25" a="1"/>
  <c r="E130" i="3" l="1"/>
  <c r="D30" i="53" s="1"/>
  <c r="F55" i="73"/>
  <c r="C46" i="25" a="1"/>
  <c r="F57" i="73"/>
  <c r="C76" i="25" a="1"/>
  <c r="C49" i="25" a="1"/>
  <c r="C73" i="25" a="1"/>
  <c r="E86" i="3"/>
  <c r="E85" i="3"/>
  <c r="E81" i="3"/>
  <c r="E76" i="3"/>
  <c r="E99" i="3"/>
  <c r="E46" i="3"/>
  <c r="C92" i="25" a="1"/>
  <c r="C87" i="25" a="1"/>
  <c r="C75" i="25" a="1"/>
  <c r="C90" i="25" a="1"/>
  <c r="C45" i="25" a="1"/>
  <c r="C54" i="25" a="1"/>
  <c r="C86" i="25" a="1"/>
  <c r="C48" i="25" a="1"/>
  <c r="C60" i="25" a="1"/>
  <c r="C99" i="25" a="1"/>
  <c r="C47" i="25" a="1"/>
  <c r="C93" i="25" a="1"/>
  <c r="C77" i="25" a="1"/>
  <c r="C55" i="25" a="1"/>
  <c r="C72" i="25" a="1"/>
  <c r="C11" i="25" a="1"/>
  <c r="D84" i="25"/>
  <c r="D77" i="25"/>
  <c r="E78" i="3" l="1"/>
  <c r="E26" i="24" s="1"/>
  <c r="E12" i="53"/>
  <c r="E88" i="3"/>
  <c r="E27" i="24" s="1"/>
  <c r="E159" i="24" s="1"/>
  <c r="C23" i="57"/>
  <c r="J27" i="24" l="1"/>
  <c r="E15" i="53"/>
  <c r="J12" i="53"/>
  <c r="J15" i="53" s="1"/>
  <c r="D105" i="67"/>
  <c r="H105" i="67"/>
  <c r="I105" i="67"/>
  <c r="M105" i="67" l="1"/>
  <c r="M53" i="67"/>
  <c r="M94" i="67"/>
  <c r="J70" i="67"/>
  <c r="J69" i="67"/>
  <c r="J68" i="67"/>
  <c r="J67" i="67"/>
  <c r="J66" i="67"/>
  <c r="J65" i="67"/>
  <c r="J64" i="67"/>
  <c r="J63" i="67"/>
  <c r="J62" i="67"/>
  <c r="J61" i="67"/>
  <c r="J60" i="67"/>
  <c r="J59" i="67"/>
  <c r="J58" i="67"/>
  <c r="J57" i="67"/>
  <c r="J56" i="67"/>
  <c r="J35" i="67"/>
  <c r="J36" i="67"/>
  <c r="J37" i="67"/>
  <c r="J38" i="67"/>
  <c r="J39" i="67"/>
  <c r="J40" i="67"/>
  <c r="J41" i="67"/>
  <c r="J42" i="67"/>
  <c r="J43" i="67"/>
  <c r="J44" i="67"/>
  <c r="J45" i="67"/>
  <c r="J46" i="67"/>
  <c r="J47" i="67"/>
  <c r="J48" i="67"/>
  <c r="J49" i="67"/>
  <c r="J50" i="67"/>
  <c r="J51" i="67"/>
  <c r="J52" i="67"/>
  <c r="E35" i="67"/>
  <c r="F35" i="67" s="1"/>
  <c r="G35" i="67" s="1"/>
  <c r="E36" i="67"/>
  <c r="F36" i="67" s="1"/>
  <c r="G36" i="67" s="1"/>
  <c r="E37" i="67"/>
  <c r="F37" i="67" s="1"/>
  <c r="G37" i="67" s="1"/>
  <c r="E38" i="67"/>
  <c r="F38" i="67" s="1"/>
  <c r="G38" i="67" s="1"/>
  <c r="E39" i="67"/>
  <c r="F39" i="67" s="1"/>
  <c r="G39" i="67" s="1"/>
  <c r="E40" i="67"/>
  <c r="F40" i="67" s="1"/>
  <c r="G40" i="67" s="1"/>
  <c r="E41" i="67"/>
  <c r="F41" i="67" s="1"/>
  <c r="G41" i="67" s="1"/>
  <c r="E42" i="67"/>
  <c r="F42" i="67" s="1"/>
  <c r="G42" i="67" s="1"/>
  <c r="E43" i="67"/>
  <c r="F43" i="67" s="1"/>
  <c r="G43" i="67" s="1"/>
  <c r="E44" i="67"/>
  <c r="F44" i="67" s="1"/>
  <c r="G44" i="67" s="1"/>
  <c r="E45" i="67"/>
  <c r="F45" i="67" s="1"/>
  <c r="G45" i="67" s="1"/>
  <c r="E46" i="67"/>
  <c r="F46" i="67" s="1"/>
  <c r="G46" i="67" s="1"/>
  <c r="E47" i="67"/>
  <c r="F47" i="67" s="1"/>
  <c r="G47" i="67" s="1"/>
  <c r="E48" i="67"/>
  <c r="F48" i="67" s="1"/>
  <c r="G48" i="67" s="1"/>
  <c r="E49" i="67"/>
  <c r="F49" i="67" s="1"/>
  <c r="G49" i="67" s="1"/>
  <c r="E50" i="67"/>
  <c r="F50" i="67" s="1"/>
  <c r="G50" i="67" s="1"/>
  <c r="E51" i="67"/>
  <c r="F51" i="67" s="1"/>
  <c r="G51" i="67" s="1"/>
  <c r="E52" i="67"/>
  <c r="F52" i="67" s="1"/>
  <c r="G52" i="67" s="1"/>
  <c r="J104" i="67"/>
  <c r="J103" i="67"/>
  <c r="J102" i="67"/>
  <c r="J100" i="67"/>
  <c r="J96" i="67"/>
  <c r="E104" i="67"/>
  <c r="F104" i="67" s="1"/>
  <c r="G104" i="67" s="1"/>
  <c r="D94" i="67"/>
  <c r="E92" i="67"/>
  <c r="F92" i="67" s="1"/>
  <c r="G92" i="67" s="1"/>
  <c r="E91" i="67"/>
  <c r="F91" i="67" s="1"/>
  <c r="G91" i="67" s="1"/>
  <c r="E90" i="67"/>
  <c r="F90" i="67" s="1"/>
  <c r="G90" i="67" s="1"/>
  <c r="E89" i="67"/>
  <c r="F89" i="67" s="1"/>
  <c r="G89" i="67" s="1"/>
  <c r="E88" i="67"/>
  <c r="F88" i="67" s="1"/>
  <c r="G88" i="67" s="1"/>
  <c r="E87" i="67"/>
  <c r="F87" i="67" s="1"/>
  <c r="G87" i="67" s="1"/>
  <c r="E86" i="67"/>
  <c r="F86" i="67" s="1"/>
  <c r="G86" i="67" s="1"/>
  <c r="E85" i="67"/>
  <c r="F85" i="67" s="1"/>
  <c r="G85" i="67" s="1"/>
  <c r="E84" i="67"/>
  <c r="F84" i="67" s="1"/>
  <c r="G84" i="67" s="1"/>
  <c r="J84" i="67"/>
  <c r="J85" i="67"/>
  <c r="J86" i="67"/>
  <c r="J87" i="67"/>
  <c r="J88" i="67"/>
  <c r="J89" i="67"/>
  <c r="J90" i="67"/>
  <c r="J91" i="67"/>
  <c r="J92" i="67"/>
  <c r="K50" i="67" l="1"/>
  <c r="N50" i="67" s="1"/>
  <c r="K38" i="67"/>
  <c r="N38" i="67" s="1"/>
  <c r="K49" i="67"/>
  <c r="N49" i="67" s="1"/>
  <c r="K45" i="67"/>
  <c r="N45" i="67" s="1"/>
  <c r="K41" i="67"/>
  <c r="N41" i="67" s="1"/>
  <c r="K37" i="67"/>
  <c r="N37" i="67" s="1"/>
  <c r="K46" i="67"/>
  <c r="N46" i="67" s="1"/>
  <c r="K42" i="67"/>
  <c r="N42" i="67" s="1"/>
  <c r="K51" i="67"/>
  <c r="N51" i="67" s="1"/>
  <c r="K43" i="67"/>
  <c r="N43" i="67" s="1"/>
  <c r="K35" i="67"/>
  <c r="N35" i="67" s="1"/>
  <c r="K48" i="67"/>
  <c r="N48" i="67" s="1"/>
  <c r="K40" i="67"/>
  <c r="N40" i="67" s="1"/>
  <c r="J105" i="67"/>
  <c r="K47" i="67"/>
  <c r="N47" i="67" s="1"/>
  <c r="K39" i="67"/>
  <c r="N39" i="67" s="1"/>
  <c r="K52" i="67"/>
  <c r="N52" i="67" s="1"/>
  <c r="K44" i="67"/>
  <c r="N44" i="67" s="1"/>
  <c r="K36" i="67"/>
  <c r="N36" i="67" s="1"/>
  <c r="M107" i="67"/>
  <c r="K86" i="67"/>
  <c r="N86" i="67" s="1"/>
  <c r="K104" i="67"/>
  <c r="N104" i="67" s="1"/>
  <c r="K88" i="67"/>
  <c r="N88" i="67" s="1"/>
  <c r="K87" i="67"/>
  <c r="N87" i="67" s="1"/>
  <c r="K89" i="67"/>
  <c r="N89" i="67" s="1"/>
  <c r="K90" i="67"/>
  <c r="N90" i="67" s="1"/>
  <c r="K84" i="67"/>
  <c r="N84" i="67" s="1"/>
  <c r="K91" i="67"/>
  <c r="N91" i="67" s="1"/>
  <c r="K92" i="67"/>
  <c r="N92" i="67" s="1"/>
  <c r="K85" i="67"/>
  <c r="N85" i="67" s="1"/>
  <c r="J14" i="67"/>
  <c r="J15" i="67"/>
  <c r="J16" i="67"/>
  <c r="J17" i="67"/>
  <c r="J18" i="67"/>
  <c r="J19" i="67"/>
  <c r="J20" i="67"/>
  <c r="J21" i="67"/>
  <c r="J22" i="67"/>
  <c r="J23" i="67"/>
  <c r="J24" i="67"/>
  <c r="J25" i="67"/>
  <c r="J26" i="67"/>
  <c r="J27" i="67"/>
  <c r="J28" i="67"/>
  <c r="J29" i="67"/>
  <c r="J30" i="67"/>
  <c r="J31" i="67"/>
  <c r="J32" i="67"/>
  <c r="J33" i="67"/>
  <c r="J34" i="67"/>
  <c r="J13" i="67"/>
  <c r="E103" i="67"/>
  <c r="F103" i="67" s="1"/>
  <c r="G103" i="67" s="1"/>
  <c r="E102" i="67"/>
  <c r="F102" i="67" s="1"/>
  <c r="G102" i="67" s="1"/>
  <c r="E100" i="67"/>
  <c r="F100" i="67" s="1"/>
  <c r="G100" i="67" s="1"/>
  <c r="E96" i="67"/>
  <c r="F96" i="67" s="1"/>
  <c r="G96" i="67" s="1"/>
  <c r="J83" i="67"/>
  <c r="E83" i="67"/>
  <c r="F83" i="67" s="1"/>
  <c r="G83" i="67" s="1"/>
  <c r="J82" i="67"/>
  <c r="E82" i="67"/>
  <c r="F82" i="67" s="1"/>
  <c r="G82" i="67" s="1"/>
  <c r="J81" i="67"/>
  <c r="E81" i="67"/>
  <c r="F81" i="67" s="1"/>
  <c r="G81" i="67" s="1"/>
  <c r="J80" i="67"/>
  <c r="E80" i="67"/>
  <c r="F80" i="67" s="1"/>
  <c r="G80" i="67" s="1"/>
  <c r="J79" i="67"/>
  <c r="E79" i="67"/>
  <c r="F79" i="67" s="1"/>
  <c r="G79" i="67" s="1"/>
  <c r="J78" i="67"/>
  <c r="E78" i="67"/>
  <c r="F78" i="67" s="1"/>
  <c r="G78" i="67" s="1"/>
  <c r="J77" i="67"/>
  <c r="E77" i="67"/>
  <c r="F77" i="67" s="1"/>
  <c r="G77" i="67" s="1"/>
  <c r="J76" i="67"/>
  <c r="E76" i="67"/>
  <c r="F76" i="67" s="1"/>
  <c r="G76" i="67" s="1"/>
  <c r="J75" i="67"/>
  <c r="E75" i="67"/>
  <c r="F75" i="67" s="1"/>
  <c r="G75" i="67" s="1"/>
  <c r="J74" i="67"/>
  <c r="E74" i="67"/>
  <c r="F74" i="67" s="1"/>
  <c r="G74" i="67" s="1"/>
  <c r="J73" i="67"/>
  <c r="E73" i="67"/>
  <c r="F73" i="67" s="1"/>
  <c r="G73" i="67" s="1"/>
  <c r="J72" i="67"/>
  <c r="E72" i="67"/>
  <c r="F72" i="67" s="1"/>
  <c r="G72" i="67" s="1"/>
  <c r="J71" i="67"/>
  <c r="E71" i="67"/>
  <c r="F71" i="67" s="1"/>
  <c r="G71" i="67" s="1"/>
  <c r="E70" i="67"/>
  <c r="F70" i="67" s="1"/>
  <c r="G70" i="67" s="1"/>
  <c r="E69" i="67"/>
  <c r="F69" i="67" s="1"/>
  <c r="G69" i="67" s="1"/>
  <c r="E68" i="67"/>
  <c r="F68" i="67" s="1"/>
  <c r="G68" i="67" s="1"/>
  <c r="E67" i="67"/>
  <c r="F67" i="67" s="1"/>
  <c r="G67" i="67" s="1"/>
  <c r="E66" i="67"/>
  <c r="F66" i="67" s="1"/>
  <c r="G66" i="67" s="1"/>
  <c r="E65" i="67"/>
  <c r="F65" i="67" s="1"/>
  <c r="G65" i="67" s="1"/>
  <c r="E64" i="67"/>
  <c r="F64" i="67" s="1"/>
  <c r="G64" i="67" s="1"/>
  <c r="E63" i="67"/>
  <c r="F63" i="67" s="1"/>
  <c r="G63" i="67" s="1"/>
  <c r="E62" i="67"/>
  <c r="F62" i="67" s="1"/>
  <c r="G62" i="67" s="1"/>
  <c r="E61" i="67"/>
  <c r="F61" i="67" s="1"/>
  <c r="G61" i="67" s="1"/>
  <c r="E60" i="67"/>
  <c r="F60" i="67" s="1"/>
  <c r="G60" i="67" s="1"/>
  <c r="E59" i="67"/>
  <c r="F59" i="67" s="1"/>
  <c r="G59" i="67" s="1"/>
  <c r="G58" i="67"/>
  <c r="E57" i="67"/>
  <c r="F57" i="67" s="1"/>
  <c r="G57" i="67" s="1"/>
  <c r="E56" i="67"/>
  <c r="F56" i="67" s="1"/>
  <c r="G56" i="67" s="1"/>
  <c r="E34" i="67"/>
  <c r="F34" i="67" s="1"/>
  <c r="G34" i="67" s="1"/>
  <c r="E33" i="67"/>
  <c r="F33" i="67" s="1"/>
  <c r="G33" i="67" s="1"/>
  <c r="E32" i="67"/>
  <c r="F32" i="67" s="1"/>
  <c r="G32" i="67" s="1"/>
  <c r="E31" i="67"/>
  <c r="F31" i="67" s="1"/>
  <c r="G31" i="67" s="1"/>
  <c r="E30" i="67"/>
  <c r="F30" i="67" s="1"/>
  <c r="G30" i="67" s="1"/>
  <c r="E29" i="67"/>
  <c r="F29" i="67" s="1"/>
  <c r="G29" i="67" s="1"/>
  <c r="E28" i="67"/>
  <c r="F28" i="67" s="1"/>
  <c r="G28" i="67" s="1"/>
  <c r="E27" i="67"/>
  <c r="F27" i="67" s="1"/>
  <c r="G27" i="67" s="1"/>
  <c r="E26" i="67"/>
  <c r="F26" i="67" s="1"/>
  <c r="G26" i="67" s="1"/>
  <c r="E25" i="67"/>
  <c r="F25" i="67" s="1"/>
  <c r="G25" i="67" s="1"/>
  <c r="E24" i="67"/>
  <c r="F24" i="67" s="1"/>
  <c r="G24" i="67" s="1"/>
  <c r="E23" i="67"/>
  <c r="F23" i="67" s="1"/>
  <c r="G23" i="67" s="1"/>
  <c r="E22" i="67"/>
  <c r="F22" i="67" s="1"/>
  <c r="G22" i="67" s="1"/>
  <c r="E21" i="67"/>
  <c r="F21" i="67" s="1"/>
  <c r="G21" i="67" s="1"/>
  <c r="E20" i="67"/>
  <c r="F20" i="67" s="1"/>
  <c r="G20" i="67" s="1"/>
  <c r="E19" i="67"/>
  <c r="F19" i="67" s="1"/>
  <c r="G19" i="67" s="1"/>
  <c r="E18" i="67"/>
  <c r="F18" i="67" s="1"/>
  <c r="G18" i="67" s="1"/>
  <c r="E17" i="67"/>
  <c r="F17" i="67" s="1"/>
  <c r="G17" i="67" s="1"/>
  <c r="E16" i="67"/>
  <c r="F16" i="67" s="1"/>
  <c r="G16" i="67" s="1"/>
  <c r="E15" i="67"/>
  <c r="F15" i="67" s="1"/>
  <c r="G15" i="67" s="1"/>
  <c r="E14" i="67"/>
  <c r="F14" i="67" s="1"/>
  <c r="G14" i="67" s="1"/>
  <c r="E13" i="67"/>
  <c r="F13" i="67" s="1"/>
  <c r="G13" i="67" s="1"/>
  <c r="D12" i="67"/>
  <c r="D53" i="67" s="1"/>
  <c r="D107" i="67" s="1"/>
  <c r="E11" i="67"/>
  <c r="F11" i="67" s="1"/>
  <c r="G11" i="67" s="1"/>
  <c r="K11" i="67" s="1"/>
  <c r="E10" i="67"/>
  <c r="F10" i="67" s="1"/>
  <c r="G10" i="67" s="1"/>
  <c r="K10" i="67" s="1"/>
  <c r="E9" i="67"/>
  <c r="F9" i="67" s="1"/>
  <c r="G9" i="67" s="1"/>
  <c r="K9" i="67" s="1"/>
  <c r="E8" i="67"/>
  <c r="F8" i="67" s="1"/>
  <c r="G8" i="67" s="1"/>
  <c r="K8" i="67" s="1"/>
  <c r="E7" i="67"/>
  <c r="F7" i="67" s="1"/>
  <c r="G7" i="67" s="1"/>
  <c r="K7" i="67" s="1"/>
  <c r="E6" i="67"/>
  <c r="F6" i="67" s="1"/>
  <c r="G6" i="67" s="1"/>
  <c r="K6" i="67" s="1"/>
  <c r="J5" i="67"/>
  <c r="E5" i="67"/>
  <c r="F5" i="67" s="1"/>
  <c r="G5" i="67" s="1"/>
  <c r="J3" i="67"/>
  <c r="E3" i="67"/>
  <c r="F179" i="24"/>
  <c r="K71" i="67" l="1"/>
  <c r="N71" i="67" s="1"/>
  <c r="F3" i="67"/>
  <c r="G105" i="67"/>
  <c r="K19" i="67"/>
  <c r="N19" i="67" s="1"/>
  <c r="K16" i="67"/>
  <c r="N16" i="67" s="1"/>
  <c r="G94" i="67"/>
  <c r="K58" i="67"/>
  <c r="N58" i="67" s="1"/>
  <c r="K67" i="67"/>
  <c r="N67" i="67" s="1"/>
  <c r="K75" i="67"/>
  <c r="N75" i="67" s="1"/>
  <c r="K83" i="67"/>
  <c r="N83" i="67" s="1"/>
  <c r="K65" i="67"/>
  <c r="N65" i="67" s="1"/>
  <c r="K69" i="67"/>
  <c r="N69" i="67" s="1"/>
  <c r="K20" i="67"/>
  <c r="N20" i="67" s="1"/>
  <c r="K103" i="67"/>
  <c r="N103" i="67" s="1"/>
  <c r="K96" i="67"/>
  <c r="N96" i="67" s="1"/>
  <c r="K17" i="67"/>
  <c r="N17" i="67" s="1"/>
  <c r="K66" i="67"/>
  <c r="N66" i="67" s="1"/>
  <c r="K81" i="67"/>
  <c r="N81" i="67" s="1"/>
  <c r="K59" i="67"/>
  <c r="N59" i="67" s="1"/>
  <c r="K100" i="67"/>
  <c r="K21" i="67"/>
  <c r="N21" i="67" s="1"/>
  <c r="K102" i="67"/>
  <c r="K57" i="67"/>
  <c r="N57" i="67" s="1"/>
  <c r="K68" i="67"/>
  <c r="N68" i="67" s="1"/>
  <c r="K72" i="67"/>
  <c r="N72" i="67" s="1"/>
  <c r="K73" i="67"/>
  <c r="N73" i="67" s="1"/>
  <c r="K77" i="67"/>
  <c r="N77" i="67" s="1"/>
  <c r="K70" i="67"/>
  <c r="N70" i="67" s="1"/>
  <c r="K74" i="67"/>
  <c r="N74" i="67" s="1"/>
  <c r="K82" i="67"/>
  <c r="N82" i="67" s="1"/>
  <c r="K60" i="67"/>
  <c r="N60" i="67" s="1"/>
  <c r="K61" i="67"/>
  <c r="N61" i="67" s="1"/>
  <c r="K15" i="67"/>
  <c r="N15" i="67" s="1"/>
  <c r="K18" i="67"/>
  <c r="N18" i="67" s="1"/>
  <c r="K22" i="67"/>
  <c r="N22" i="67" s="1"/>
  <c r="K14" i="67"/>
  <c r="N14" i="67" s="1"/>
  <c r="K13" i="67"/>
  <c r="N13" i="67" s="1"/>
  <c r="K64" i="67"/>
  <c r="N64" i="67" s="1"/>
  <c r="K76" i="67"/>
  <c r="N76" i="67" s="1"/>
  <c r="K79" i="67"/>
  <c r="N79" i="67" s="1"/>
  <c r="K80" i="67"/>
  <c r="N80" i="67" s="1"/>
  <c r="K62" i="67"/>
  <c r="N62" i="67" s="1"/>
  <c r="E12" i="67"/>
  <c r="E107" i="67" s="1"/>
  <c r="K63" i="67"/>
  <c r="N63" i="67" s="1"/>
  <c r="K78" i="67"/>
  <c r="N78" i="67" s="1"/>
  <c r="K23" i="67"/>
  <c r="N23" i="67" s="1"/>
  <c r="K25" i="67"/>
  <c r="N25" i="67" s="1"/>
  <c r="K27" i="67"/>
  <c r="N27" i="67" s="1"/>
  <c r="K29" i="67"/>
  <c r="N29" i="67" s="1"/>
  <c r="K31" i="67"/>
  <c r="N31" i="67" s="1"/>
  <c r="K33" i="67"/>
  <c r="N33" i="67" s="1"/>
  <c r="K56" i="67"/>
  <c r="K24" i="67"/>
  <c r="N24" i="67" s="1"/>
  <c r="K28" i="67"/>
  <c r="N28" i="67" s="1"/>
  <c r="K32" i="67"/>
  <c r="N32" i="67" s="1"/>
  <c r="K34" i="67"/>
  <c r="N34" i="67" s="1"/>
  <c r="K30" i="67"/>
  <c r="N30" i="67" s="1"/>
  <c r="K26" i="67"/>
  <c r="N26" i="67" s="1"/>
  <c r="K5" i="67"/>
  <c r="D92" i="25"/>
  <c r="C41" i="57"/>
  <c r="C44" i="57" s="1"/>
  <c r="D88" i="25"/>
  <c r="C64" i="57"/>
  <c r="C66" i="57" s="1"/>
  <c r="D86" i="25" s="1"/>
  <c r="C20" i="59"/>
  <c r="C29" i="59"/>
  <c r="C31" i="59" s="1"/>
  <c r="C57" i="57" s="1"/>
  <c r="C58" i="57"/>
  <c r="C52" i="59"/>
  <c r="C60" i="57" s="1"/>
  <c r="C39" i="59"/>
  <c r="C19" i="57" s="1"/>
  <c r="C12" i="59"/>
  <c r="C31" i="57" s="1"/>
  <c r="C34" i="57" s="1"/>
  <c r="C54" i="57"/>
  <c r="C38" i="57"/>
  <c r="N53" i="67" l="1"/>
  <c r="C26" i="57"/>
  <c r="F83" i="24" s="1"/>
  <c r="N56" i="67"/>
  <c r="K94" i="67"/>
  <c r="N100" i="67"/>
  <c r="K105" i="67"/>
  <c r="N102" i="67"/>
  <c r="G3" i="67"/>
  <c r="K3" i="67" s="1"/>
  <c r="F12" i="67"/>
  <c r="G12" i="67" s="1"/>
  <c r="C61" i="57"/>
  <c r="C15" i="57"/>
  <c r="D101" i="25"/>
  <c r="F100" i="24" s="1"/>
  <c r="F85" i="24"/>
  <c r="D54" i="25"/>
  <c r="D53" i="25"/>
  <c r="D47" i="25" s="1"/>
  <c r="D46" i="25"/>
  <c r="D45" i="25"/>
  <c r="D34" i="25"/>
  <c r="F79" i="24" s="1"/>
  <c r="D19" i="25"/>
  <c r="D10" i="25" s="1"/>
  <c r="F140" i="24"/>
  <c r="F129" i="3"/>
  <c r="C7" i="56"/>
  <c r="C8" i="56" s="1"/>
  <c r="C47" i="56"/>
  <c r="C46" i="56"/>
  <c r="F99" i="3"/>
  <c r="E171" i="24" s="1"/>
  <c r="F123" i="3"/>
  <c r="F114" i="3"/>
  <c r="F100" i="3"/>
  <c r="C17" i="56"/>
  <c r="C53" i="56"/>
  <c r="C10" i="58"/>
  <c r="C20" i="56" s="1"/>
  <c r="C29" i="56" s="1"/>
  <c r="C16" i="58"/>
  <c r="C63" i="56" s="1"/>
  <c r="C69" i="56" s="1"/>
  <c r="F119" i="3" l="1"/>
  <c r="F103" i="3"/>
  <c r="F40" i="24" s="1"/>
  <c r="K12" i="67"/>
  <c r="K53" i="67" s="1"/>
  <c r="G53" i="67"/>
  <c r="F107" i="67"/>
  <c r="N105" i="67"/>
  <c r="N94" i="67"/>
  <c r="D95" i="25"/>
  <c r="F87" i="24" s="1"/>
  <c r="D56" i="25"/>
  <c r="D48" i="25" s="1"/>
  <c r="D51" i="25" s="1"/>
  <c r="F91" i="3"/>
  <c r="C49" i="56"/>
  <c r="F128" i="3"/>
  <c r="F20" i="3"/>
  <c r="G171" i="73" s="1"/>
  <c r="G174" i="73" s="1"/>
  <c r="F46" i="24"/>
  <c r="F25" i="24"/>
  <c r="F47" i="24" l="1"/>
  <c r="F186" i="24" s="1"/>
  <c r="E185" i="24" s="1"/>
  <c r="G251" i="73"/>
  <c r="G255" i="73" s="1"/>
  <c r="F95" i="3"/>
  <c r="F28" i="24" s="1"/>
  <c r="F125" i="3"/>
  <c r="F48" i="24" s="1"/>
  <c r="F134" i="3"/>
  <c r="F49" i="24" s="1"/>
  <c r="E38" i="53"/>
  <c r="N107" i="67"/>
  <c r="K107" i="67"/>
  <c r="F84" i="24"/>
  <c r="F14" i="51"/>
  <c r="G24" i="51"/>
  <c r="D16" i="56" l="1"/>
  <c r="D35" i="56"/>
  <c r="D30" i="59"/>
  <c r="D15" i="57"/>
  <c r="D29" i="59"/>
  <c r="D18" i="59"/>
  <c r="E44" i="57" l="1"/>
  <c r="D41" i="57" l="1"/>
  <c r="C24" i="51" l="1"/>
  <c r="J14" i="51" l="1"/>
  <c r="D11" i="56" l="1"/>
  <c r="D22" i="56"/>
  <c r="D7" i="58"/>
  <c r="D12" i="56"/>
  <c r="D27" i="56"/>
  <c r="D15" i="56" l="1"/>
  <c r="D8" i="58"/>
  <c r="D24" i="56"/>
  <c r="D14" i="56"/>
  <c r="D13" i="56"/>
  <c r="D47" i="56"/>
  <c r="D15" i="58"/>
  <c r="D14" i="58"/>
  <c r="D13" i="58"/>
  <c r="D67" i="56"/>
  <c r="D42" i="56"/>
  <c r="D65" i="56"/>
  <c r="D41" i="56"/>
  <c r="D40" i="56"/>
  <c r="D33" i="56"/>
  <c r="D34" i="56"/>
  <c r="D57" i="56"/>
  <c r="D46" i="56"/>
  <c r="D64" i="57"/>
  <c r="D66" i="57" s="1"/>
  <c r="D59" i="57"/>
  <c r="D58" i="57"/>
  <c r="D53" i="57"/>
  <c r="D52" i="57"/>
  <c r="D43" i="57"/>
  <c r="D42" i="57"/>
  <c r="D37" i="57"/>
  <c r="D33" i="57"/>
  <c r="D32" i="57"/>
  <c r="D29" i="57"/>
  <c r="D24" i="57"/>
  <c r="D23" i="57"/>
  <c r="D21" i="57"/>
  <c r="D51" i="59"/>
  <c r="D50" i="59"/>
  <c r="D46" i="59"/>
  <c r="D45" i="59"/>
  <c r="D44" i="59"/>
  <c r="D43" i="59"/>
  <c r="D37" i="59"/>
  <c r="D36" i="59"/>
  <c r="D35" i="59"/>
  <c r="D27" i="59"/>
  <c r="D28" i="59"/>
  <c r="D17" i="59"/>
  <c r="D16" i="59"/>
  <c r="D15" i="59"/>
  <c r="D14" i="59"/>
  <c r="D11" i="59"/>
  <c r="D10" i="59"/>
  <c r="D9" i="59"/>
  <c r="D37" i="56" l="1"/>
  <c r="D20" i="59"/>
  <c r="D31" i="59"/>
  <c r="D17" i="56"/>
  <c r="D54" i="57"/>
  <c r="D38" i="57"/>
  <c r="D12" i="59"/>
  <c r="D44" i="57"/>
  <c r="D52" i="59"/>
  <c r="D39" i="59"/>
  <c r="E52" i="59"/>
  <c r="E17" i="56" l="1"/>
  <c r="G144" i="24" l="1"/>
  <c r="G168" i="24" s="1"/>
  <c r="L13" i="51" l="1"/>
  <c r="L14" i="51"/>
  <c r="L15" i="51"/>
  <c r="L16" i="51"/>
  <c r="L17" i="51"/>
  <c r="L18" i="51"/>
  <c r="L19" i="51"/>
  <c r="L20" i="51"/>
  <c r="L21" i="51"/>
  <c r="L22" i="51"/>
  <c r="J13" i="51"/>
  <c r="J16" i="51"/>
  <c r="J17" i="51"/>
  <c r="J18" i="51"/>
  <c r="J22" i="51"/>
  <c r="F13" i="51"/>
  <c r="F16" i="51"/>
  <c r="F17" i="51"/>
  <c r="F18" i="51"/>
  <c r="F22" i="51"/>
  <c r="K18" i="51" l="1"/>
  <c r="K22" i="51"/>
  <c r="K17" i="51"/>
  <c r="K16" i="51"/>
  <c r="K13" i="51"/>
  <c r="E36" i="3"/>
  <c r="E39" i="59"/>
  <c r="D19" i="57"/>
  <c r="E31" i="59"/>
  <c r="E61" i="57" s="1"/>
  <c r="D57" i="57"/>
  <c r="E24" i="59"/>
  <c r="D24" i="59"/>
  <c r="D22" i="57" s="1"/>
  <c r="E20" i="59"/>
  <c r="E12" i="59"/>
  <c r="E34" i="57" s="1"/>
  <c r="D31" i="57"/>
  <c r="D34" i="57" s="1"/>
  <c r="E16" i="58"/>
  <c r="E69" i="56" s="1"/>
  <c r="D16" i="58"/>
  <c r="D63" i="56" s="1"/>
  <c r="D69" i="56" s="1"/>
  <c r="E10" i="58"/>
  <c r="D10" i="58"/>
  <c r="D20" i="56" s="1"/>
  <c r="E65" i="58"/>
  <c r="E66" i="57"/>
  <c r="E54" i="57"/>
  <c r="E50" i="57"/>
  <c r="D50" i="57"/>
  <c r="E38" i="57"/>
  <c r="G31" i="57"/>
  <c r="E15" i="57"/>
  <c r="G49" i="24"/>
  <c r="E58" i="56"/>
  <c r="D58" i="56"/>
  <c r="E53" i="56"/>
  <c r="G46" i="24" s="1"/>
  <c r="D53" i="56"/>
  <c r="E49" i="56"/>
  <c r="D49" i="56"/>
  <c r="E43" i="56"/>
  <c r="D43" i="56"/>
  <c r="E37" i="56"/>
  <c r="G28" i="24"/>
  <c r="B2" i="57"/>
  <c r="G79" i="24"/>
  <c r="I42" i="53"/>
  <c r="H42" i="53"/>
  <c r="G42" i="53"/>
  <c r="F42" i="53"/>
  <c r="E42" i="53"/>
  <c r="D42" i="53"/>
  <c r="C42" i="53"/>
  <c r="J41" i="53"/>
  <c r="J40" i="53"/>
  <c r="J39" i="53"/>
  <c r="J38" i="53"/>
  <c r="J42" i="53" s="1"/>
  <c r="I34" i="53"/>
  <c r="H34" i="53"/>
  <c r="G34" i="53"/>
  <c r="F34" i="53"/>
  <c r="D34" i="53"/>
  <c r="C34" i="53"/>
  <c r="J33" i="53"/>
  <c r="J32" i="53"/>
  <c r="J31" i="53"/>
  <c r="I23" i="53"/>
  <c r="H23" i="53"/>
  <c r="G23" i="53"/>
  <c r="J14" i="53"/>
  <c r="G26" i="24" s="1"/>
  <c r="J13" i="53"/>
  <c r="G177" i="24"/>
  <c r="I40" i="51"/>
  <c r="H40" i="51"/>
  <c r="G40" i="51"/>
  <c r="E40" i="51"/>
  <c r="D40" i="51"/>
  <c r="C40" i="51"/>
  <c r="L38" i="51"/>
  <c r="L40" i="51" s="1"/>
  <c r="J38" i="51"/>
  <c r="J40" i="51" s="1"/>
  <c r="F38" i="51"/>
  <c r="F40" i="51" s="1"/>
  <c r="G41" i="24"/>
  <c r="G23" i="24"/>
  <c r="G20" i="24"/>
  <c r="G19" i="24"/>
  <c r="G76" i="24"/>
  <c r="G140" i="24" s="1"/>
  <c r="I35" i="51"/>
  <c r="H35" i="51"/>
  <c r="G35" i="51"/>
  <c r="E35" i="51"/>
  <c r="D35" i="51"/>
  <c r="C35" i="51"/>
  <c r="L33" i="51"/>
  <c r="L35" i="51" s="1"/>
  <c r="J33" i="51"/>
  <c r="F33" i="51"/>
  <c r="F35" i="51" s="1"/>
  <c r="I30" i="51"/>
  <c r="H30" i="51"/>
  <c r="G30" i="51"/>
  <c r="E30" i="51"/>
  <c r="D30" i="51"/>
  <c r="C30" i="51"/>
  <c r="L28" i="51"/>
  <c r="L30" i="51" s="1"/>
  <c r="J28" i="51"/>
  <c r="J30" i="51" s="1"/>
  <c r="E36" i="24" s="1"/>
  <c r="F28" i="51"/>
  <c r="F30" i="51" s="1"/>
  <c r="A27" i="51"/>
  <c r="A33" i="51" s="1"/>
  <c r="A38" i="51" s="1"/>
  <c r="I24" i="51"/>
  <c r="L12" i="51"/>
  <c r="J12" i="51"/>
  <c r="F12" i="51"/>
  <c r="G17" i="24"/>
  <c r="G45" i="24"/>
  <c r="C168" i="24"/>
  <c r="G38" i="24"/>
  <c r="G11" i="24"/>
  <c r="D11" i="24"/>
  <c r="A44" i="3"/>
  <c r="A52" i="3" s="1"/>
  <c r="A67" i="3" s="1"/>
  <c r="A10" i="3"/>
  <c r="A13" i="3" s="1"/>
  <c r="A17" i="3" s="1"/>
  <c r="A22" i="3" s="1"/>
  <c r="A28" i="3" s="1"/>
  <c r="A39" i="3" s="1"/>
  <c r="A70" i="24"/>
  <c r="A71" i="24"/>
  <c r="F59" i="3"/>
  <c r="E59" i="3" s="1"/>
  <c r="G164" i="24"/>
  <c r="G85" i="24"/>
  <c r="G146" i="24"/>
  <c r="A74" i="3" l="1"/>
  <c r="A68" i="3"/>
  <c r="G84" i="24"/>
  <c r="G78" i="24"/>
  <c r="G80" i="24" s="1"/>
  <c r="D26" i="57"/>
  <c r="D60" i="57"/>
  <c r="H46" i="24"/>
  <c r="K33" i="51"/>
  <c r="K35" i="51" s="1"/>
  <c r="J21" i="51"/>
  <c r="E26" i="57"/>
  <c r="G83" i="24" s="1"/>
  <c r="G87" i="24"/>
  <c r="C43" i="51"/>
  <c r="G48" i="24"/>
  <c r="D29" i="56"/>
  <c r="E29" i="56"/>
  <c r="G27" i="24" s="1"/>
  <c r="G40" i="24"/>
  <c r="G176" i="24"/>
  <c r="G179" i="24" s="1"/>
  <c r="I43" i="51"/>
  <c r="G148" i="24"/>
  <c r="J19" i="51"/>
  <c r="G43" i="51"/>
  <c r="G173" i="24"/>
  <c r="K12" i="51"/>
  <c r="K38" i="51"/>
  <c r="K40" i="51" s="1"/>
  <c r="K28" i="51"/>
  <c r="K30" i="51" s="1"/>
  <c r="J35" i="51"/>
  <c r="L24" i="51"/>
  <c r="G47" i="24"/>
  <c r="D12" i="24"/>
  <c r="D18" i="24" s="1"/>
  <c r="D20" i="24" s="1"/>
  <c r="D24" i="24" s="1"/>
  <c r="F31" i="3"/>
  <c r="F36" i="3" s="1"/>
  <c r="G14" i="58"/>
  <c r="G16" i="58" s="1"/>
  <c r="G103" i="24"/>
  <c r="G44" i="24"/>
  <c r="G25" i="24"/>
  <c r="D39" i="24" l="1"/>
  <c r="D27" i="24"/>
  <c r="D28" i="24" s="1"/>
  <c r="D34" i="24" s="1"/>
  <c r="D40" i="24" s="1"/>
  <c r="L43" i="51"/>
  <c r="C5" i="63" s="1"/>
  <c r="G186" i="24"/>
  <c r="G39" i="24"/>
  <c r="G50" i="24" s="1"/>
  <c r="D61" i="57"/>
  <c r="H47" i="24"/>
  <c r="H48" i="24"/>
  <c r="H40" i="24"/>
  <c r="H27" i="24"/>
  <c r="G88" i="24"/>
  <c r="G91" i="24" s="1"/>
  <c r="G105" i="24" s="1"/>
  <c r="J20" i="51"/>
  <c r="F20" i="51"/>
  <c r="E24" i="51"/>
  <c r="E43" i="51" s="1"/>
  <c r="A53" i="3"/>
  <c r="A58" i="3" s="1"/>
  <c r="K20" i="51" l="1"/>
  <c r="G12" i="24"/>
  <c r="G142" i="24" l="1"/>
  <c r="G150" i="24" s="1"/>
  <c r="G165" i="24" s="1"/>
  <c r="G183" i="24" s="1"/>
  <c r="H186" i="24" s="1"/>
  <c r="H187" i="24" s="1"/>
  <c r="G94" i="24"/>
  <c r="G97" i="24" s="1"/>
  <c r="G115" i="24"/>
  <c r="G114" i="24"/>
  <c r="K14" i="51"/>
  <c r="H24" i="51"/>
  <c r="F146" i="24" l="1"/>
  <c r="F88" i="24"/>
  <c r="H43" i="51"/>
  <c r="J24" i="51"/>
  <c r="F50" i="24" l="1"/>
  <c r="F173" i="24"/>
  <c r="J43" i="51"/>
  <c r="A19" i="53"/>
  <c r="A20" i="53" s="1"/>
  <c r="A21" i="53" s="1"/>
  <c r="A22" i="53" s="1"/>
  <c r="A11" i="53"/>
  <c r="A12" i="53" s="1"/>
  <c r="A13" i="53" s="1"/>
  <c r="A14" i="53" s="1"/>
  <c r="A80" i="3"/>
  <c r="A90" i="3" l="1"/>
  <c r="A81" i="3"/>
  <c r="A82" i="3" s="1"/>
  <c r="A91" i="3" l="1"/>
  <c r="A97" i="3"/>
  <c r="A92" i="3"/>
  <c r="A93" i="3" s="1"/>
  <c r="C6" i="63"/>
  <c r="H36" i="24"/>
  <c r="A105" i="3" l="1"/>
  <c r="A106" i="3" s="1"/>
  <c r="A98" i="3"/>
  <c r="D46" i="24"/>
  <c r="D47" i="24" l="1"/>
  <c r="D48" i="24" s="1"/>
  <c r="D49" i="24" s="1"/>
  <c r="D78" i="24" s="1"/>
  <c r="D79" i="24" s="1"/>
  <c r="D83" i="24" s="1"/>
  <c r="D84" i="24" s="1"/>
  <c r="D85" i="24" l="1"/>
  <c r="D86" i="24" s="1"/>
  <c r="D87" i="24" s="1"/>
  <c r="D100" i="24" s="1"/>
  <c r="A112" i="3"/>
  <c r="A121" i="3" l="1"/>
  <c r="A122" i="3" s="1"/>
  <c r="A113" i="3"/>
  <c r="A115" i="3" s="1"/>
  <c r="A116" i="3" s="1"/>
  <c r="A117" i="3" s="1"/>
  <c r="A127" i="3" l="1"/>
  <c r="A9" i="25" l="1"/>
  <c r="A128" i="3"/>
  <c r="A129" i="3" s="1"/>
  <c r="A130" i="3" s="1"/>
  <c r="A131" i="3" s="1"/>
  <c r="A132" i="3" s="1"/>
  <c r="A10" i="25" l="1"/>
  <c r="A11" i="25" s="1"/>
  <c r="A12" i="25" s="1"/>
  <c r="A25" i="25"/>
  <c r="A26" i="25" l="1"/>
  <c r="A30" i="25" s="1"/>
  <c r="A31" i="25" s="1"/>
  <c r="A32" i="25" s="1"/>
  <c r="A36" i="25"/>
  <c r="A37" i="25" l="1"/>
  <c r="A38" i="25" s="1"/>
  <c r="A39" i="25" s="1"/>
  <c r="A40" i="25" s="1"/>
  <c r="A44" i="25"/>
  <c r="A58" i="25" l="1"/>
  <c r="A45" i="25"/>
  <c r="A46" i="25" s="1"/>
  <c r="A47" i="25" s="1"/>
  <c r="A48" i="25" s="1"/>
  <c r="A49" i="25" s="1"/>
  <c r="A64" i="25" l="1"/>
  <c r="A59" i="25"/>
  <c r="A60" i="25" s="1"/>
  <c r="A65" i="25" l="1"/>
  <c r="A66" i="25" s="1"/>
  <c r="A70" i="25"/>
  <c r="A97" i="25" s="1"/>
  <c r="B8" i="73" l="1"/>
  <c r="C7" i="63"/>
  <c r="C8" i="63" s="1"/>
  <c r="B12" i="73" l="1"/>
  <c r="B18" i="73" s="1"/>
  <c r="B21" i="73" s="1"/>
  <c r="B26" i="73" s="1"/>
  <c r="B68" i="73" s="1"/>
  <c r="B150" i="73" s="1"/>
  <c r="B164" i="73" s="1"/>
  <c r="B181" i="73" s="1"/>
  <c r="B183" i="73" s="1"/>
  <c r="B190" i="73" s="1"/>
  <c r="B193" i="73" s="1"/>
  <c r="B196" i="73" s="1"/>
  <c r="B217" i="73" s="1"/>
  <c r="B238" i="73" s="1"/>
  <c r="B242" i="73" s="1"/>
  <c r="B249" i="73" s="1"/>
  <c r="B257" i="73" s="1"/>
  <c r="C9" i="63"/>
  <c r="C11" i="63" l="1"/>
  <c r="F54" i="3"/>
  <c r="F56" i="3" s="1"/>
  <c r="F65" i="3" s="1"/>
  <c r="E101" i="24" s="1"/>
  <c r="F18" i="24" l="1"/>
  <c r="J18" i="24" s="1"/>
  <c r="F101" i="24"/>
  <c r="F103" i="24" s="1"/>
  <c r="G6" i="63"/>
  <c r="H7" i="63" s="1"/>
  <c r="F23" i="53" l="1"/>
  <c r="J20" i="53"/>
  <c r="J23" i="53" s="1"/>
  <c r="D7" i="56" l="1"/>
  <c r="D8" i="56" s="1"/>
  <c r="F76" i="3"/>
  <c r="F78" i="3" s="1"/>
  <c r="F26" i="24" s="1"/>
  <c r="E7" i="56"/>
  <c r="E8" i="56" s="1"/>
  <c r="G24" i="24" s="1"/>
  <c r="J26" i="24" l="1"/>
  <c r="E160" i="24"/>
  <c r="G30" i="24"/>
  <c r="H24" i="24"/>
  <c r="H50" i="24" l="1"/>
  <c r="F164" i="24"/>
  <c r="D23" i="25"/>
  <c r="D14" i="25"/>
  <c r="F78" i="24" s="1"/>
  <c r="F80" i="24" l="1"/>
  <c r="F91" i="24" s="1"/>
  <c r="F94" i="24" l="1"/>
  <c r="F105" i="24"/>
  <c r="F111" i="24" s="1"/>
  <c r="G167" i="73" s="1"/>
  <c r="F142" i="24"/>
  <c r="F150" i="24" s="1"/>
  <c r="F165" i="24" s="1"/>
  <c r="F183" i="24" s="1"/>
  <c r="J186" i="24" s="1"/>
  <c r="G169" i="73" l="1"/>
  <c r="G178" i="73" s="1"/>
  <c r="G177" i="73"/>
  <c r="I94" i="24"/>
  <c r="F97" i="24"/>
  <c r="F206" i="73" s="1"/>
  <c r="F114" i="24"/>
  <c r="F47" i="3"/>
  <c r="F50" i="3" s="1"/>
  <c r="F115" i="24"/>
  <c r="F12" i="24" l="1"/>
  <c r="H46" i="3" l="1"/>
  <c r="C99" i="25" l="1"/>
  <c r="C93" i="25"/>
  <c r="C92" i="25"/>
  <c r="C90" i="25"/>
  <c r="C87" i="25"/>
  <c r="C86" i="25"/>
  <c r="C85" i="25"/>
  <c r="C83" i="25"/>
  <c r="C88" i="25" s="1" a="1"/>
  <c r="C88" i="25" s="1"/>
  <c r="C78" i="25"/>
  <c r="C77" i="25"/>
  <c r="C76" i="25"/>
  <c r="C75" i="25"/>
  <c r="C73" i="25"/>
  <c r="C72" i="25"/>
  <c r="C66" i="25"/>
  <c r="C60" i="25"/>
  <c r="C59" i="25"/>
  <c r="C55" i="25"/>
  <c r="C54" i="25"/>
  <c r="C49" i="25"/>
  <c r="C48" i="25"/>
  <c r="C47" i="25"/>
  <c r="C46" i="25"/>
  <c r="C45" i="25"/>
  <c r="C40" i="25"/>
  <c r="C38" i="25"/>
  <c r="C32" i="25"/>
  <c r="C29" i="25"/>
  <c r="C28" i="25"/>
  <c r="C11" i="25"/>
  <c r="C22" i="25" s="1"/>
  <c r="C23" i="25" s="1"/>
  <c r="C10" i="25"/>
  <c r="C62" i="25" l="1"/>
  <c r="E85" i="24" s="1"/>
  <c r="C14" i="25"/>
  <c r="E78" i="24" s="1"/>
  <c r="C51" i="25"/>
  <c r="E84" i="24" s="1"/>
  <c r="C37" i="25" l="1" a="1"/>
  <c r="C37" i="25" s="1"/>
  <c r="C71" i="25" a="1"/>
  <c r="C71" i="25" s="1"/>
  <c r="C53" i="25" a="1"/>
  <c r="C53" i="25" s="1"/>
  <c r="C56" i="25" s="1"/>
  <c r="C27" i="25" a="1"/>
  <c r="C27" i="25" s="1"/>
  <c r="C34" i="25" s="1"/>
  <c r="E79" i="24" s="1"/>
  <c r="E80" i="24" s="1"/>
  <c r="C65" i="25" a="1"/>
  <c r="C65" i="25" s="1"/>
  <c r="C68" i="25" s="1"/>
  <c r="E86" i="24" s="1"/>
  <c r="F15" i="51"/>
  <c r="F19" i="51"/>
  <c r="K19" i="51" s="1"/>
  <c r="F21" i="51"/>
  <c r="K21" i="51" s="1"/>
  <c r="E128" i="3"/>
  <c r="E134" i="3" s="1"/>
  <c r="E49" i="24" s="1"/>
  <c r="E157" i="24" s="1"/>
  <c r="E123" i="3"/>
  <c r="E125" i="3" s="1"/>
  <c r="E48" i="24" s="1"/>
  <c r="E155" i="24" s="1"/>
  <c r="E108" i="3"/>
  <c r="E110" i="3" s="1"/>
  <c r="E114" i="3"/>
  <c r="E11" i="3"/>
  <c r="F11" i="3" s="1"/>
  <c r="E69" i="3"/>
  <c r="E70" i="3"/>
  <c r="E100" i="3"/>
  <c r="E103" i="3" s="1"/>
  <c r="E40" i="24" s="1"/>
  <c r="E154" i="24" s="1"/>
  <c r="C39" i="25" a="1"/>
  <c r="C39" i="25" s="1"/>
  <c r="C91" i="25" a="1"/>
  <c r="C91" i="25" s="1"/>
  <c r="E116" i="3"/>
  <c r="C79" i="25" a="1"/>
  <c r="C79" i="25" s="1"/>
  <c r="C74" i="25" a="1"/>
  <c r="C74" i="25" s="1"/>
  <c r="C89" i="25" a="1"/>
  <c r="C89" i="25" s="1"/>
  <c r="F155" i="73" l="1"/>
  <c r="F153" i="73" s="1"/>
  <c r="B9" i="74"/>
  <c r="F146" i="73"/>
  <c r="F147" i="73" s="1"/>
  <c r="B8" i="74"/>
  <c r="E146" i="24"/>
  <c r="B10" i="74"/>
  <c r="E119" i="3"/>
  <c r="C42" i="25"/>
  <c r="E83" i="24" s="1"/>
  <c r="E72" i="3"/>
  <c r="E20" i="24" s="1"/>
  <c r="E161" i="24" s="1"/>
  <c r="J48" i="24"/>
  <c r="C95" i="25"/>
  <c r="E87" i="24" s="1"/>
  <c r="E30" i="53"/>
  <c r="E46" i="24"/>
  <c r="E153" i="24" s="1"/>
  <c r="J49" i="24"/>
  <c r="F24" i="51"/>
  <c r="K15" i="51"/>
  <c r="J40" i="24"/>
  <c r="D24" i="51"/>
  <c r="E14" i="3"/>
  <c r="E47" i="24" l="1"/>
  <c r="F251" i="73"/>
  <c r="F255" i="73" s="1"/>
  <c r="C10" i="74"/>
  <c r="F160" i="73"/>
  <c r="F161" i="73" s="1"/>
  <c r="J47" i="24"/>
  <c r="E186" i="24"/>
  <c r="E88" i="24"/>
  <c r="E91" i="24" s="1"/>
  <c r="E94" i="24" s="1"/>
  <c r="E97" i="24" s="1"/>
  <c r="J20" i="24"/>
  <c r="F14" i="3"/>
  <c r="F15" i="3" s="1"/>
  <c r="E15" i="3"/>
  <c r="E11" i="24" s="1"/>
  <c r="F43" i="51"/>
  <c r="K24" i="51"/>
  <c r="E172" i="24"/>
  <c r="E173" i="24" s="1"/>
  <c r="D43" i="51"/>
  <c r="R28" i="51"/>
  <c r="R29" i="51" s="1"/>
  <c r="E202" i="73"/>
  <c r="G202" i="73" s="1"/>
  <c r="J46" i="24"/>
  <c r="J30" i="53"/>
  <c r="J34" i="53" s="1"/>
  <c r="E34" i="53"/>
  <c r="C4" i="74" l="1"/>
  <c r="C16" i="74" s="1"/>
  <c r="C18" i="74" s="1"/>
  <c r="F11" i="24"/>
  <c r="F30" i="24" s="1"/>
  <c r="J50" i="24" s="1"/>
  <c r="E35" i="24"/>
  <c r="K43" i="51"/>
  <c r="H35" i="24" s="1"/>
  <c r="E142" i="24"/>
  <c r="E150" i="24" s="1"/>
  <c r="C19" i="74" l="1"/>
  <c r="C20" i="74" s="1"/>
  <c r="C22" i="74" s="1"/>
  <c r="C24" i="74" s="1"/>
  <c r="J11" i="24"/>
  <c r="J5" i="63"/>
  <c r="J6" i="63" s="1"/>
  <c r="J7" i="63" s="1"/>
  <c r="E50" i="24"/>
  <c r="J35" i="24"/>
  <c r="D55" i="70" l="1"/>
  <c r="E55" i="70" s="1"/>
  <c r="D143" i="70"/>
  <c r="E143" i="70" s="1"/>
  <c r="C98" i="25" s="1" a="1"/>
  <c r="C98" i="25" s="1"/>
  <c r="C101" i="25" s="1"/>
  <c r="E100" i="24" s="1"/>
  <c r="E103" i="24" s="1"/>
  <c r="E105" i="24" s="1"/>
  <c r="E91" i="3"/>
  <c r="C2" i="70" l="1"/>
  <c r="E2" i="70"/>
  <c r="D2" i="70"/>
  <c r="E115" i="24"/>
  <c r="E114" i="24"/>
  <c r="E205" i="73"/>
  <c r="G205" i="73" s="1"/>
  <c r="E111" i="24"/>
  <c r="F167" i="73" s="1"/>
  <c r="E47" i="3"/>
  <c r="E50" i="3" s="1"/>
  <c r="E12" i="24" s="1"/>
  <c r="J12" i="24" s="1"/>
  <c r="E95" i="3"/>
  <c r="E28" i="24" s="1"/>
  <c r="E162" i="24"/>
  <c r="E164" i="24" s="1"/>
  <c r="E165" i="24" s="1"/>
  <c r="E183" i="24" s="1"/>
  <c r="I186" i="24" s="1"/>
  <c r="F177" i="73" l="1"/>
  <c r="F169" i="73"/>
  <c r="F178" i="73" s="1"/>
  <c r="E201" i="73"/>
  <c r="G201" i="73" s="1"/>
  <c r="J28" i="24"/>
  <c r="E204" i="73"/>
  <c r="G204" i="73" s="1"/>
  <c r="E198" i="73"/>
  <c r="G198" i="73" s="1"/>
  <c r="E206" i="73"/>
  <c r="G206" i="73" s="1"/>
  <c r="E30" i="24"/>
  <c r="I50" i="2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<sst xmlns="http://schemas.openxmlformats.org/spreadsheetml/2006/main" count="2276" uniqueCount="977">
  <si>
    <t>Particulars</t>
  </si>
  <si>
    <t>Total</t>
  </si>
  <si>
    <t>Addition during the year</t>
  </si>
  <si>
    <t>Deduction during the year</t>
  </si>
  <si>
    <t xml:space="preserve">Gross Block  </t>
  </si>
  <si>
    <t>Net Block</t>
  </si>
  <si>
    <t>Tangible Assets</t>
  </si>
  <si>
    <t>II</t>
  </si>
  <si>
    <t>Others</t>
  </si>
  <si>
    <t xml:space="preserve"> </t>
  </si>
  <si>
    <t>Difference</t>
  </si>
  <si>
    <t xml:space="preserve">   (Previous Year)</t>
  </si>
  <si>
    <t>Name</t>
  </si>
  <si>
    <t>Trade Payables</t>
  </si>
  <si>
    <t>Other Income</t>
  </si>
  <si>
    <t>Donation</t>
  </si>
  <si>
    <t>Reconciliation Of Number of Shares</t>
  </si>
  <si>
    <t>Interest Income</t>
  </si>
  <si>
    <t>Sale of Products</t>
  </si>
  <si>
    <t>I</t>
  </si>
  <si>
    <t>Opening balance</t>
  </si>
  <si>
    <t>Prepaid Expenses</t>
  </si>
  <si>
    <t>Employees State Insurance</t>
  </si>
  <si>
    <t>Provident fund</t>
  </si>
  <si>
    <t>Note No.</t>
  </si>
  <si>
    <t>Depreciation</t>
  </si>
  <si>
    <t>Other Current Assets</t>
  </si>
  <si>
    <t>Intangible Asset</t>
  </si>
  <si>
    <t xml:space="preserve">Computer Software </t>
  </si>
  <si>
    <t>III</t>
  </si>
  <si>
    <t>Share Capital</t>
  </si>
  <si>
    <t>Reserves &amp; Surplus</t>
  </si>
  <si>
    <t>Long Term Provisions</t>
  </si>
  <si>
    <t>Inventories</t>
  </si>
  <si>
    <t>Director</t>
  </si>
  <si>
    <t>Amount</t>
  </si>
  <si>
    <t>Computer</t>
  </si>
  <si>
    <t>Reserves and Surplus</t>
  </si>
  <si>
    <t>Deferred Tax</t>
  </si>
  <si>
    <t>Surplus (Statement of Profit &amp; Loss )</t>
  </si>
  <si>
    <t>Other Current Liabilities</t>
  </si>
  <si>
    <t>Short Term Provisions</t>
  </si>
  <si>
    <t>1.</t>
  </si>
  <si>
    <t>2.</t>
  </si>
  <si>
    <t>3.</t>
  </si>
  <si>
    <t>4.</t>
  </si>
  <si>
    <t>a.</t>
  </si>
  <si>
    <t>b.</t>
  </si>
  <si>
    <t>c.</t>
  </si>
  <si>
    <t>d.</t>
  </si>
  <si>
    <t>e.</t>
  </si>
  <si>
    <t>f.</t>
  </si>
  <si>
    <t>g.</t>
  </si>
  <si>
    <t>h.</t>
  </si>
  <si>
    <t>EQUITY AND LIABILITIES</t>
  </si>
  <si>
    <t>Share application money pending allotment</t>
  </si>
  <si>
    <t>Non-Current Liabilities</t>
  </si>
  <si>
    <t>Deferred tax liabilities (Net)</t>
  </si>
  <si>
    <t>Long-term borrowings</t>
  </si>
  <si>
    <t>Current Liabilities</t>
  </si>
  <si>
    <t>Short-term borrowings</t>
  </si>
  <si>
    <t>Trade payables</t>
  </si>
  <si>
    <t>Other current liabilities</t>
  </si>
  <si>
    <t>ASSETS</t>
  </si>
  <si>
    <t>Non-current assets</t>
  </si>
  <si>
    <t>Non Current Investments</t>
  </si>
  <si>
    <t>Long term loans and advances</t>
  </si>
  <si>
    <t>Other Non Current Assets</t>
  </si>
  <si>
    <t>Current Assets</t>
  </si>
  <si>
    <t>Trade Receivables</t>
  </si>
  <si>
    <t>Short Term Loans and Advances</t>
  </si>
  <si>
    <t xml:space="preserve">Total </t>
  </si>
  <si>
    <t xml:space="preserve"> (ii)  Intangible Assets</t>
  </si>
  <si>
    <t>EXPENSES</t>
  </si>
  <si>
    <t>Employee Benefit Expenses</t>
  </si>
  <si>
    <t>Finance Cost</t>
  </si>
  <si>
    <t>Other Expenses</t>
  </si>
  <si>
    <t>Revenue from Operations</t>
  </si>
  <si>
    <t>Tax Expense</t>
  </si>
  <si>
    <t>Tax related to Previous years</t>
  </si>
  <si>
    <t>Basic</t>
  </si>
  <si>
    <t>Diluted</t>
  </si>
  <si>
    <t>IV</t>
  </si>
  <si>
    <t>V</t>
  </si>
  <si>
    <t>VI</t>
  </si>
  <si>
    <t>Authorized Share Capital</t>
  </si>
  <si>
    <t>Issued , Subscribed &amp; Fully Paid up Capital</t>
  </si>
  <si>
    <t>List of Shareholders holding more than 5% of Equity Shares of the company</t>
  </si>
  <si>
    <t>% of Shares</t>
  </si>
  <si>
    <t>Number of Shares</t>
  </si>
  <si>
    <t>Terms / Rights attached to Equity Shares</t>
  </si>
  <si>
    <t>Add : Profit During the Year</t>
  </si>
  <si>
    <t>Less : Loss during the year / Appropriations</t>
  </si>
  <si>
    <t>During the Year</t>
  </si>
  <si>
    <t>Long Term Loans &amp; Advances</t>
  </si>
  <si>
    <t>Note :</t>
  </si>
  <si>
    <t>Cash on hand</t>
  </si>
  <si>
    <t>Short term Loan &amp; Advances</t>
  </si>
  <si>
    <t>Sale of Services</t>
  </si>
  <si>
    <t>Other Operating Revenue</t>
  </si>
  <si>
    <t>Sale of Products Comprise of</t>
  </si>
  <si>
    <t>Sale of Services Comprise of</t>
  </si>
  <si>
    <t>i.)</t>
  </si>
  <si>
    <t>ii.)</t>
  </si>
  <si>
    <t>Staff welfare Expenses</t>
  </si>
  <si>
    <t>Details of Contribution to various Funds</t>
  </si>
  <si>
    <t>Contribution to Various Funds</t>
  </si>
  <si>
    <t>Finance Costs</t>
  </si>
  <si>
    <t>Interest Expense</t>
  </si>
  <si>
    <t>Consumption of Stores &amp; Spares</t>
  </si>
  <si>
    <t>Power &amp; Fuel Expenses</t>
  </si>
  <si>
    <t>Repair &amp; Maintenance - Plant &amp; Machinery</t>
  </si>
  <si>
    <t>Insurance</t>
  </si>
  <si>
    <t>Miscellaneous Expenses</t>
  </si>
  <si>
    <t>i.</t>
  </si>
  <si>
    <t>Nature of Balance</t>
  </si>
  <si>
    <t>Provision for gratuity</t>
  </si>
  <si>
    <t>Plant &amp; Machinery</t>
  </si>
  <si>
    <t>Short - term provisions</t>
  </si>
  <si>
    <t>For and on behalf of the Board of Directors</t>
  </si>
  <si>
    <t>Office Equipments</t>
  </si>
  <si>
    <t xml:space="preserve"> Earning per equity share of Rs. 10/- each  </t>
  </si>
  <si>
    <t>j.</t>
  </si>
  <si>
    <t>Interest Cost</t>
  </si>
  <si>
    <t>Past Service Cost</t>
  </si>
  <si>
    <t>Expected Return on Plan Assets</t>
  </si>
  <si>
    <t>Benefits Paid</t>
  </si>
  <si>
    <t>Discount Rate</t>
  </si>
  <si>
    <t>Cash Flow from Operating Activities</t>
  </si>
  <si>
    <t>Net profit as per The Statement of Profit &amp; Loss before Tax</t>
  </si>
  <si>
    <t>Expenses related with financing activities</t>
  </si>
  <si>
    <t>Operating Profit Before Working Capital Changes</t>
  </si>
  <si>
    <t>Adjustment for Current Assets &amp; Liabilities</t>
  </si>
  <si>
    <t>(Increase)/Decrease in trade receivable</t>
  </si>
  <si>
    <t>(Increase)/Decrease in stock in trade</t>
  </si>
  <si>
    <t>(Increase)/Decrease in other current assets</t>
  </si>
  <si>
    <t>Direct taxes paid</t>
  </si>
  <si>
    <t>Increase/(Decrease) in trade payable</t>
  </si>
  <si>
    <t>( A )</t>
  </si>
  <si>
    <t>(B)</t>
  </si>
  <si>
    <t>Purchase of fixed assets</t>
  </si>
  <si>
    <t>Cash flow from Investment Activities</t>
  </si>
  <si>
    <t>( B )</t>
  </si>
  <si>
    <t>Cash flow from Financing Activities</t>
  </si>
  <si>
    <t>(C)</t>
  </si>
  <si>
    <t>( C )</t>
  </si>
  <si>
    <t>Opening Cash &amp; Cash Equivalents</t>
  </si>
  <si>
    <t>Adjustment for:-</t>
  </si>
  <si>
    <t>Sale of Fixed Assets</t>
  </si>
  <si>
    <t>Increase/(Decrease) in current liabilities</t>
  </si>
  <si>
    <t>Interest &amp; other finance expenses paid</t>
  </si>
  <si>
    <t xml:space="preserve"> (iii) Capital Work in Progress</t>
  </si>
  <si>
    <t>-</t>
  </si>
  <si>
    <t>Cash Generated from (utilized in) Operating activities</t>
  </si>
  <si>
    <t>Cash generate from (utilised in) Investing activities</t>
  </si>
  <si>
    <t>Cash generated from (utilised in) Financing activities</t>
  </si>
  <si>
    <t>Cash and Bank Balance</t>
  </si>
  <si>
    <t>Accumulated Depreciation</t>
  </si>
  <si>
    <t>Corporate Social responsibility Expenses</t>
  </si>
  <si>
    <t>The company has only one class of equity share having par value of Rs.10 per share. Each holder of the equity share is entilted to one vote per share. Whenever the company declares dividend it will be paid in Indian Rupees.</t>
  </si>
  <si>
    <t>( Amount in Rs. )</t>
  </si>
  <si>
    <t>Travelling &amp; Conveyance</t>
  </si>
  <si>
    <t>Furniture &amp; Fittings</t>
  </si>
  <si>
    <t>Motor Vehicles</t>
  </si>
  <si>
    <t>(Increase)/Decrease in long term loans &amp; advances</t>
  </si>
  <si>
    <t>(Increase)/Decrease in short term loans &amp; advances</t>
  </si>
  <si>
    <t>Increase/(Decrease) in Short term borrowings</t>
  </si>
  <si>
    <t>Increase/(Decrease) in Long term borrowings</t>
  </si>
  <si>
    <t>Director's Salary</t>
  </si>
  <si>
    <t>Effect Foreign Exchange fluctuation</t>
  </si>
  <si>
    <t>In the event of liquidation of the Company, the holders of Equity Shares will be entitled to receive any of the remaining assets of the Company, after distribution of all preferential amounts. However, no such preferential amounts exist curently. The distribution will be in proportion to the number of Equity Shares held by the Shareholders.</t>
  </si>
  <si>
    <t>Number Of Equity Shares as at the beginning of the Financial year</t>
  </si>
  <si>
    <t>Number Of Equity Shares as at the end of the financial Years</t>
  </si>
  <si>
    <t>Shareholders' Funds</t>
  </si>
  <si>
    <t>Money received against share warrants</t>
  </si>
  <si>
    <t>Other Long term liabilities</t>
  </si>
  <si>
    <t>-total outstanding dues of creditors other than micro and small enterprises</t>
  </si>
  <si>
    <t>-total outstanding dues of micro and small enterprises</t>
  </si>
  <si>
    <t>Property, Plant &amp; Equipments and Intangible assets</t>
  </si>
  <si>
    <t xml:space="preserve">  (i)  Property, Plant and Equipment</t>
  </si>
  <si>
    <t>Deferred tax assets (net)</t>
  </si>
  <si>
    <t>Current Investments</t>
  </si>
  <si>
    <t>Total Income</t>
  </si>
  <si>
    <t>Depreciation and Amortization Expense</t>
  </si>
  <si>
    <t>Profit before exceptional and extraordinary items and tax</t>
  </si>
  <si>
    <t>Profit before extraordinary items and tax </t>
  </si>
  <si>
    <t>Extraordinary items</t>
  </si>
  <si>
    <t>Profit before tax </t>
  </si>
  <si>
    <t>Profit (Loss) for the period from continuing operations</t>
  </si>
  <si>
    <t>Profit/(loss) from discontinuing operations</t>
  </si>
  <si>
    <t>Tax expense of discontinuing operations</t>
  </si>
  <si>
    <t>Profit/(loss) from Discontinuing operations (after tax) (XII-XIII)</t>
  </si>
  <si>
    <t>Profit/ (Loss) after tax (XI + XIV)</t>
  </si>
  <si>
    <t>VII</t>
  </si>
  <si>
    <t>VIII</t>
  </si>
  <si>
    <t>IX</t>
  </si>
  <si>
    <t>X</t>
  </si>
  <si>
    <t>XI</t>
  </si>
  <si>
    <t>XII</t>
  </si>
  <si>
    <t>XIII</t>
  </si>
  <si>
    <t>XIV</t>
  </si>
  <si>
    <t>XV</t>
  </si>
  <si>
    <t>XVI</t>
  </si>
  <si>
    <t>Promoter Name</t>
  </si>
  <si>
    <t>Details of Shares held by promoters</t>
  </si>
  <si>
    <t>1-2 years</t>
  </si>
  <si>
    <t>2-3 years</t>
  </si>
  <si>
    <t>MSME</t>
  </si>
  <si>
    <t>Disputed dues-MSME</t>
  </si>
  <si>
    <t>Disputed dues-Other</t>
  </si>
  <si>
    <t>Other loans and advances (Specify Nature)</t>
  </si>
  <si>
    <t>Cash and cash equivalents</t>
  </si>
  <si>
    <t>Balances with Banks</t>
  </si>
  <si>
    <t>Cheques, drafts on hand</t>
  </si>
  <si>
    <t>Security Deposit</t>
  </si>
  <si>
    <t>Payment to Auditor</t>
  </si>
  <si>
    <t xml:space="preserve"> - as Tax Audit</t>
  </si>
  <si>
    <t xml:space="preserve"> - as Statutory Audit</t>
  </si>
  <si>
    <t>Amortization</t>
  </si>
  <si>
    <t>Less : MAT credit entitlement</t>
  </si>
  <si>
    <t>Net Current tax</t>
  </si>
  <si>
    <t>Current tax</t>
  </si>
  <si>
    <t>Net capital turnover ratio</t>
  </si>
  <si>
    <t>Net profit ratio</t>
  </si>
  <si>
    <t>Intangible assets under development</t>
  </si>
  <si>
    <t>Leasehold Land</t>
  </si>
  <si>
    <t>Freehold Land</t>
  </si>
  <si>
    <t>Office Building</t>
  </si>
  <si>
    <t>Factory Building</t>
  </si>
  <si>
    <t>&gt; 3 years</t>
  </si>
  <si>
    <t>Not due</t>
  </si>
  <si>
    <t>Other payables (specify nature)</t>
  </si>
  <si>
    <t>Trade payable ageing schedule</t>
  </si>
  <si>
    <t>Trade receivable ageing schedule</t>
  </si>
  <si>
    <t>&lt;  6 months</t>
  </si>
  <si>
    <t>Disputed Trade Receivables – considered good</t>
  </si>
  <si>
    <t>Disputed Trade Receivables – considered doubtful</t>
  </si>
  <si>
    <t>Undisputed Trade Receivables – considered doubtful</t>
  </si>
  <si>
    <t>Undisputed Trade Receivables – considered good</t>
  </si>
  <si>
    <t>-with related parties</t>
  </si>
  <si>
    <t>-with others</t>
  </si>
  <si>
    <t>Unbilled amount</t>
  </si>
  <si>
    <t>- in current account</t>
  </si>
  <si>
    <t>Salary &amp; Wages (Inculding bonus)</t>
  </si>
  <si>
    <t>Employee Benefits Expenses</t>
  </si>
  <si>
    <t>1.      General Information</t>
  </si>
  <si>
    <t>2.      Summary of Significant Accounting Policies</t>
  </si>
  <si>
    <t xml:space="preserve">2.1 Basis of Preparation </t>
  </si>
  <si>
    <t xml:space="preserve">These financial statements have been prepared in accordance with the generally accepted accounting principles in India under the historical cost convention on accrual basis. Pursuant to Section 133 of the Companies Act, 2013 read with Rule 7(1) of the Companies (Accounts) Rules, 2014, till the standards of accounting or any addendum thereto are prescribed by Central Government in consultation and recommendation of the National Financial Reporting Authority, the existing Accounting Standards notified under the Companies Act, 1956 shall continue to apply. Consequently, these financial statements have been prepared to comply in all material aspects with the Accounting Standards notified under Section 211(3C) of the Companies Act, 1956 [Companies (Accounting Standards) Rules, 2006, as amended] and other relevant provisions of the Companies Act, 2013. </t>
  </si>
  <si>
    <t>All assets and liabilities have been classified as current or non-current as per the Company’s normal operating cycle and other criteria set out in the Schedule III (Division I) to the Companies Act, 2013. Based on the nature of products and the time between the acquisition of assets for processing and their realisation in cash and cash equivalents, the Company has ascertained its operating cycle as 12 months for the purpose of current - non-current classification of assets and liabilities.</t>
  </si>
  <si>
    <t>2.2 Use of Estimates</t>
  </si>
  <si>
    <t>The preparation of the financial statements in conformity with the accounting principles generally accepted in India requires the Management to make estimates and assumptions that affect the reported amount of assets and liabilities as of the Balance Sheet date, reported amount of revenues and expenses for the period and disclosure of contingent liabilities as of the Balance Sheet date. The estimates and assumptions used in the financial statements are based on Management’s evaluation of the relevant facts and circumstances as of the date of the financial statements. The actual results may differ from these estimates and the difference between the actual results and the estimates are recognised in the period in which the results are known/materialise.</t>
  </si>
  <si>
    <t>2.3 Cash and Cash Equivalents</t>
  </si>
  <si>
    <t>In the cash flow statement, cash and cash equivalents include cash in hand and demand deposits with banks with original maturities of three months or less.</t>
  </si>
  <si>
    <t>2.4 Revenue Recognition</t>
  </si>
  <si>
    <t xml:space="preserve">Revenues on Services rendered are recognized in accordance with the related “AGREEMENTS FOR THE PROVISION OF SERVICES”
</t>
  </si>
  <si>
    <t>Revenue is recognized when the related services are performed and when there is no uncertainty as to the measurement and collection of such consideration.</t>
  </si>
  <si>
    <t>Recognition of Government grants are considered for inclusion in accounts where there is reasonable assurance that the enterprise will comply with the conditions attached to them and such benefits have been earned by the enterprise and it is reasonably certain that the ultimate collection will be made and appropriate amount in respect of such earned benefits are estimated on a prudent basis.</t>
  </si>
  <si>
    <t>Interest income is recognised on a time proportion basis taking into account the amount outstanding and the rate applicable.</t>
  </si>
  <si>
    <t>2.5 Expenditure</t>
  </si>
  <si>
    <t>2.6 Tangible Assets</t>
  </si>
  <si>
    <t>Tangible assets are stated at acquisition cost, net of accumulated depreciation and accumulated impairment losses, if any.</t>
  </si>
  <si>
    <t>Subsequent costs related to an item of Assets are recognised in the carrying amount of the item if the recognition criteria are met.</t>
  </si>
  <si>
    <t>An item of Assets are derecognised on disposal or when no future economic benefits   are expected from its use or disposal. The gain or loss arising on derecognition is recognised in the Statement of Profit and Loss.</t>
  </si>
  <si>
    <t>2.7 Intangible Assets</t>
  </si>
  <si>
    <t>Intangible assets are stated at acquisition cost, net of accumulated amortisation and accumulated impairment losses, if any. Intangible assets are amortised on a straight-line basis over their estimated useful lives. The amortisation period and the amortisation method are reviewed atleast at each financial year end. If the expected useful life of the asset is significantly different from previous estimates, the amortisation period is changed accordingly.</t>
  </si>
  <si>
    <t>2.8 Depreciation</t>
  </si>
  <si>
    <t>Depreciation is provided on a pro-rata basis on the straight-line method over the estimated useful lives of the assets, based on technical evaluation done by Management, in order to reflect the actual usage of the assets. The useful life, residual value and the depreciation method are reviewed atleast at each financial year end. If the expectations differ from previous estimates, the changes are accounted for prospectively as a change in accounting estimate.</t>
  </si>
  <si>
    <t>Assets costing Rs. 5,000 or less are fully depreciated in the year of purchase.</t>
  </si>
  <si>
    <t>2.9 Borrowing Costs</t>
  </si>
  <si>
    <t>Borrowing costs include interest, other costs incurred in connection with borrowing and exchange differences arising from foreign currency borrowings to the extent that they are regarded as an adjustment to the interest cost. General and specific borrowing costs directly attributable to the acquisition, construction or production of qualifying assets, which are assets that necessarily take a substantial period of time to get ready for their intended use or sale, are added to the cost of those assets, until such time as the assets are substantially ready for their intended use or sale. All other borrowing costs are recognised in Statement of Profit and Loss in the period in which they are incurred.</t>
  </si>
  <si>
    <t>2.10 Impairment of Assets</t>
  </si>
  <si>
    <t>2.11 Foreign Currency Translation</t>
  </si>
  <si>
    <t>Initial recognition:</t>
  </si>
  <si>
    <t xml:space="preserve">On initial recognition, all foreign currency transactions are recorded by applying to the foreign currency amount the exchange rate between the reporting currency and the foreign currency at the date of the transaction. </t>
  </si>
  <si>
    <t>Subsequent recognition:</t>
  </si>
  <si>
    <t xml:space="preserve">As at the reporting date, non-monetary items which are carried in terms of historical cost denominated in a foreign currency are reported using the exchange rate at the date of the transaction. </t>
  </si>
  <si>
    <t>All monetary assets and liabilities in foreign currency are restated at the end of accounting period. Exchange differences on restatement of all monetary items are recognised in the Statement of Profit and Loss.</t>
  </si>
  <si>
    <t>2.12 Employee Benefits</t>
  </si>
  <si>
    <t>a) Short-term employee benefits:</t>
  </si>
  <si>
    <t>All employee benefits payable wholly within 12 months of rendering the service are classified as short-term employee benefits. Benefits such as salaries, wages, performance incentives, etc. are recognised at actual amounts due in the period in which the employee renders the related service.</t>
  </si>
  <si>
    <t>b) Post-employment benefits:</t>
  </si>
  <si>
    <t>(i) Provident Fund</t>
  </si>
  <si>
    <t xml:space="preserve">Contribution towards provident fund for employees is made to the regulatory authorities, where the Company has no further obligations. Such benefits are classified as Defined Contribution Schemes as the Company does not carry any further obligations, apart from the contributions made on a monthly basis. </t>
  </si>
  <si>
    <t>(ii) Gratuity</t>
  </si>
  <si>
    <t xml:space="preserve">The Company provides for gratuity, a defined benefit plan (the “Gratuity Plan”) covering eligible employees in accordance with the Payment of Gratuity Act, 1972. The Gratuity Plan provides a lump sum payment to vested employees at retirement, death, incapacitation or termination of employment, of an amount based on the respective employee’s salary and the tenure of employment. The Company’s liability is actuarially determined (using the Projected Unit Credit method) at the end of each year. Actuarial losses/gains are recognised in the Statement of Profit and Loss in the year in which they arise.  </t>
  </si>
  <si>
    <t>(iii) Compensated Absences</t>
  </si>
  <si>
    <t xml:space="preserve">Accumulated compensated absences, which are expected to be availed or enchased within 12 months from the end of the year are treated as short-term employee benefits. The obligation towards the same is measured at the expected cost of accumulating compensated absences as the additional amount expected to be paid as a result of unused entitlement as at the year end. </t>
  </si>
  <si>
    <t xml:space="preserve">Accumulated compensated absences, which are expected to be availed or encashed beyond 12 months from the end of the year are treated as other long-term employee benefits. The Company’s liability is actuarially determined (using the Projected Unit Credit method) at the end of each year. Actuarial losses/gains are recognised in the Statement of Profit and Loss in the year in which they arise. </t>
  </si>
  <si>
    <t>2.13 Current and Deferred Tax</t>
  </si>
  <si>
    <t>Tax expense for the period, comprising current tax and deferred tax, are included in the determination of the net profit or loss for the period. Current tax is measured at the amount expected to be paid to the tax authorities in accordance with the prevailing taxation laws.</t>
  </si>
  <si>
    <t>Deferred tax is recognised for all the timing differences, subject to the consideration of prudence in respect of deferred tax assets. Deferred tax assets are recognised and carried forward only to the extent that there is a reasonable certainty that sufficient future taxable income will be available against which such deferred tax assets under tax laws can be realised. In situations, where the Company has unabsorbed depreciation or carry forward  losses, all deferred tax assets are recognised only to the extent that there is virtual certainty supported by convincing evidence that they can be realised against future taxable profits. Deferred tax assets and liabilities are measured using the tax rates and tax laws that have been enacted or substantively enacted by the Balance Sheet date. At each Balance Sheet date, the Company re-assesses unrecognised deferred tax assets, if any.</t>
  </si>
  <si>
    <t>Current tax assets and current tax liabilities are offset when there is a legally enforceable right to set off the recognised amounts and there is an intention to settle the asset and the liability on a net basis. Deferred tax assets and deferred tax liabilities are offset when there is a legally enforceable right to set off assets against liabilities representing current tax and where the deferred tax assets and the deferred tax liabilities relate to taxes on income levied by the same governing taxation laws.</t>
  </si>
  <si>
    <t>Minimum Alternative Tax ('MAT') credit is recognised as an asset only when and to the extent there is convincing evidence that the Company will pay normal income tax during the specified period.  In the year in which the MAT credit becomes eligible to be recognized as an asset in accordance with the provisions contained in the Guidance Note issued by the Institute of Chartered Accountants of India (ICAI), the said asset is created by way of a credit to the Statement of Profit and Loss and shown as MAT Credit Entitlement. The Company reviews the same at each Balance Sheet date and writes down the carrying amount of MAT Credit Entitlement to the extent there is no longer convincing evidence to the effect that the Company will pay normal Income Tax during the specified period.</t>
  </si>
  <si>
    <t>2.14 Segment Reporting</t>
  </si>
  <si>
    <t>The Company identifies primary segments based on the dominant source, nature of risks and returns and the internal organisation and management structure. The operating segments are the segments for which separate financial information is available and for which operating profit / (loss) amounts are evaluated regularly by the executive Management in deciding how to allocate resources and in assessing performance.</t>
  </si>
  <si>
    <t>2.15 Earnings per Share</t>
  </si>
  <si>
    <t xml:space="preserve">Basic earnings per share is computed by dividing the profit / (loss) after tax (including the post tax effect of extraordinary items, if any) by the weighted average number of equity shares outstanding during the year. Diluted earnings per share is computed by dividing  the profit / (loss) after tax (including the post 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t>
  </si>
  <si>
    <t xml:space="preserve">The number of  equity shares and potentially dilutive equity shares are adjusted for share splits / reverse share splits and bonus shares, as appropriate. </t>
  </si>
  <si>
    <t>2.16 Provisions and Contingent Liabilities</t>
  </si>
  <si>
    <t>2.17 Leases - As a lessee</t>
  </si>
  <si>
    <t>Leases in which a significant portion of the risks and rewards of ownership are retained by the lessor are classified as operating leases. Payments made under operating leases are charged to the Statement of Profit and Loss on a straight-line basis over the period of the lease.</t>
  </si>
  <si>
    <t>2.18 Service Tax /GST Input Credit</t>
  </si>
  <si>
    <t>Service tax/GST input credit is accounted for in the books in the period in which the underlying service received is accounted and when there is no uncertainty in availing / utilising the credits.</t>
  </si>
  <si>
    <t>2.19 Operating Cycle</t>
  </si>
  <si>
    <t>Based on the nature of  activities of the Company and the normal time between acquisition of assets and their realisation in cash or cash equivalents, the Company has determined its operating cycle as 12 months for the purpose of classification of its assets and liabilities as current and non-current.</t>
  </si>
  <si>
    <t>MARKETSOF1 ANALYTICAL MARKETING SERVICES PRIVATE LIMITED</t>
  </si>
  <si>
    <t>MARKETSOF1 ANALYTICAL MARKETING SERVICES  PRIVATE LIMITED</t>
  </si>
  <si>
    <t>CIN: U72501TN2019PTC129911</t>
  </si>
  <si>
    <t>a) Trade Payable</t>
  </si>
  <si>
    <t>b) Statutory dues including provident fund and tax deducted at source</t>
  </si>
  <si>
    <t xml:space="preserve"> - TDS Payable</t>
  </si>
  <si>
    <t xml:space="preserve"> - Professional Tax Payable</t>
  </si>
  <si>
    <t xml:space="preserve"> - ESI Payable</t>
  </si>
  <si>
    <t xml:space="preserve"> - GST Payable</t>
  </si>
  <si>
    <t xml:space="preserve"> - PF Payable</t>
  </si>
  <si>
    <t>c) Other Liabilities</t>
  </si>
  <si>
    <t xml:space="preserve"> - Accounts payable</t>
  </si>
  <si>
    <t xml:space="preserve"> - Accrued expense</t>
  </si>
  <si>
    <t xml:space="preserve"> - Salary Payable</t>
  </si>
  <si>
    <t xml:space="preserve"> - Provision for Audit Fees</t>
  </si>
  <si>
    <t xml:space="preserve"> - Loan from director</t>
  </si>
  <si>
    <t>Provision for Expenses</t>
  </si>
  <si>
    <t>e) Security Deposit</t>
  </si>
  <si>
    <t>Rent Advance - VLV Complex</t>
  </si>
  <si>
    <t>f) Other Advance</t>
  </si>
  <si>
    <t>Deposit - UPS</t>
  </si>
  <si>
    <t>Deposit - Computers</t>
  </si>
  <si>
    <t>Salary Advance</t>
  </si>
  <si>
    <t>g) Balances with Bank</t>
  </si>
  <si>
    <t xml:space="preserve"> - Current account</t>
  </si>
  <si>
    <t xml:space="preserve"> - in Fixed deposit accounts (including Interest accrued)</t>
  </si>
  <si>
    <t xml:space="preserve">h)Trade receivables (unsecured considered good) </t>
  </si>
  <si>
    <t>Kalyan Jewellers</t>
  </si>
  <si>
    <t>i)Advances to suppliers</t>
  </si>
  <si>
    <t>Volatile Tele System</t>
  </si>
  <si>
    <t>Eupraxia Telecom</t>
  </si>
  <si>
    <t>j)Income tax payments</t>
  </si>
  <si>
    <t>TDS Receivable-AY-20-21</t>
  </si>
  <si>
    <t>TDS Receivable-AY-21-22</t>
  </si>
  <si>
    <t>Input GST</t>
  </si>
  <si>
    <t>Income Tax Refund AY-20-21</t>
  </si>
  <si>
    <t>Income Tax Refund AY-21-22</t>
  </si>
  <si>
    <t>(i) Revenue From Services</t>
  </si>
  <si>
    <t>- Digital Design</t>
  </si>
  <si>
    <t>- Digital Profile</t>
  </si>
  <si>
    <t>- FTE &amp; Sales Process</t>
  </si>
  <si>
    <t>- MLMS</t>
  </si>
  <si>
    <t>- Offline Profile-Affiliate</t>
  </si>
  <si>
    <t>- Project operation</t>
  </si>
  <si>
    <t>(ii) Operating Expenses</t>
  </si>
  <si>
    <t>Campaign Expenses</t>
  </si>
  <si>
    <t>Brokerage Expenses</t>
  </si>
  <si>
    <t>ICT-Service</t>
  </si>
  <si>
    <t xml:space="preserve">(iii) Salaries, wages and bonus </t>
  </si>
  <si>
    <t>Salaries &amp; Wages</t>
  </si>
  <si>
    <t>Bonus</t>
  </si>
  <si>
    <t>Performance Payouts</t>
  </si>
  <si>
    <t xml:space="preserve">Staff Recriitment expenses </t>
  </si>
  <si>
    <t>Earned leave encashment</t>
  </si>
  <si>
    <t>(iv) Contribution to provident fund &amp; NPS</t>
  </si>
  <si>
    <t>Contribution to EPF</t>
  </si>
  <si>
    <t>(v) Staff welfare expenses</t>
  </si>
  <si>
    <t>Staff Welfare Expenses</t>
  </si>
  <si>
    <t>Staff Entertainment</t>
  </si>
  <si>
    <t>Contribution to ESIC</t>
  </si>
  <si>
    <t>(vi) Directors Remuneration</t>
  </si>
  <si>
    <t>Jayaram Iyer krishnamoorthy</t>
  </si>
  <si>
    <t>Mahadevan Jayaraman</t>
  </si>
  <si>
    <t>(vi) Printing &amp; Stationery</t>
  </si>
  <si>
    <t>Printing and stationery</t>
  </si>
  <si>
    <t>Subscriptions</t>
  </si>
  <si>
    <t>(vii) Office Maintenance</t>
  </si>
  <si>
    <t>Office Expenses</t>
  </si>
  <si>
    <t>Housekeeping expenses</t>
  </si>
  <si>
    <t>Security expense</t>
  </si>
  <si>
    <t xml:space="preserve">Other expenses </t>
  </si>
  <si>
    <t>(viii) Travelling &amp; Conveyance</t>
  </si>
  <si>
    <t>Domestic</t>
  </si>
  <si>
    <t>Foreign</t>
  </si>
  <si>
    <t>(i) Trade payable</t>
  </si>
  <si>
    <t>Aachi Masala Foods Pvt.Ltd.</t>
  </si>
  <si>
    <t>ACR INFOSYSTEMS</t>
  </si>
  <si>
    <t>Akshaya Security Services</t>
  </si>
  <si>
    <t>Airtel</t>
  </si>
  <si>
    <t>Bharani Kumar</t>
  </si>
  <si>
    <t>DeepQuanty Artificial Intelligence Labs Pvt Ltd</t>
  </si>
  <si>
    <t>DIGITAL CREST</t>
  </si>
  <si>
    <t>DQAI Telesales Pvt Ltd</t>
  </si>
  <si>
    <t>Facebook India Online services Pvt.Ltd.</t>
  </si>
  <si>
    <t>Freedom solution</t>
  </si>
  <si>
    <t>GALAXY POWER SOLUTION</t>
  </si>
  <si>
    <t>Google India Pvt Ltd</t>
  </si>
  <si>
    <t>Google India Pvt Ltd - Suites</t>
  </si>
  <si>
    <t>HDFC Credit Card 5522 -3959</t>
  </si>
  <si>
    <t>Info Edge (India) Ltd-naukri.com</t>
  </si>
  <si>
    <t>Jayaram K Iyer</t>
  </si>
  <si>
    <t>Jayaraman R</t>
  </si>
  <si>
    <t>Lakshmidhar Security Services</t>
  </si>
  <si>
    <t>M1 Marketing Services P Ltd</t>
  </si>
  <si>
    <t>Mani Catering</t>
  </si>
  <si>
    <t>Parvathavarthani J</t>
  </si>
  <si>
    <t>Quikr India Pvt Ltd</t>
  </si>
  <si>
    <t>R.V. corporate Needs</t>
  </si>
  <si>
    <t>Saravana Associates</t>
  </si>
  <si>
    <t>Senthilnathan</t>
  </si>
  <si>
    <t>SGS Global Services Pvt. Ltd.</t>
  </si>
  <si>
    <t>Sharon IT Infra solutions</t>
  </si>
  <si>
    <t>Shriwin Facilities Enterprises</t>
  </si>
  <si>
    <t>TATA TELE BUSINESS SERVICES</t>
  </si>
  <si>
    <t>The Global Realty</t>
  </si>
  <si>
    <t>TN EB</t>
  </si>
  <si>
    <t>Venus Associates</t>
  </si>
  <si>
    <t>Vijayalakshmi Manoharan</t>
  </si>
  <si>
    <t>Vinod A P</t>
  </si>
  <si>
    <t>Vodafone Idea Limited</t>
  </si>
  <si>
    <t>(i) Accounts payable</t>
  </si>
  <si>
    <t>Incentive Payable</t>
  </si>
  <si>
    <t>Government charges payable</t>
  </si>
  <si>
    <t>(ii) Input GST</t>
  </si>
  <si>
    <t>Input CGST</t>
  </si>
  <si>
    <t>Input SGST</t>
  </si>
  <si>
    <t>Input IGST</t>
  </si>
  <si>
    <t xml:space="preserve">Notes forming part of Financial Statements </t>
  </si>
  <si>
    <t>(i) Performance payout</t>
  </si>
  <si>
    <t>Attendance Bonus</t>
  </si>
  <si>
    <t>Holiday pay</t>
  </si>
  <si>
    <t>Incentive</t>
  </si>
  <si>
    <t>Spot Incentive</t>
  </si>
  <si>
    <t>Referral Bonus</t>
  </si>
  <si>
    <t>(ii) Rent</t>
  </si>
  <si>
    <t>System Rent</t>
  </si>
  <si>
    <t>UPS Rent</t>
  </si>
  <si>
    <t>Rent - VLV Complex</t>
  </si>
  <si>
    <t>(iii)Provision for Expenses</t>
  </si>
  <si>
    <t>Provision for COVID</t>
  </si>
  <si>
    <t>(iv) Office Expenses</t>
  </si>
  <si>
    <t>Pooja Expenses</t>
  </si>
  <si>
    <t>Office Maintenance Charges</t>
  </si>
  <si>
    <t>Electrical &amp; Electronic Consumables</t>
  </si>
  <si>
    <t>(v) Campaigns Expenses</t>
  </si>
  <si>
    <t>Campaigns-Affiliate</t>
  </si>
  <si>
    <t>Campaigns-Facebook</t>
  </si>
  <si>
    <t>Campaigns-Google</t>
  </si>
  <si>
    <t>Campaigns-Others</t>
  </si>
  <si>
    <t>(vi) Other Expenses</t>
  </si>
  <si>
    <t>Water Tax</t>
  </si>
  <si>
    <t>Asset Written Off</t>
  </si>
  <si>
    <t>Professional charges</t>
  </si>
  <si>
    <t>Diesel Charges</t>
  </si>
  <si>
    <t>Date of Purchase</t>
  </si>
  <si>
    <t>Useful Life</t>
  </si>
  <si>
    <t>Purchase amount</t>
  </si>
  <si>
    <t>Salvage Value</t>
  </si>
  <si>
    <t>Net amount</t>
  </si>
  <si>
    <t>Amt to be depreciated every year</t>
  </si>
  <si>
    <t>No of days used</t>
  </si>
  <si>
    <t>Depreciable Amount</t>
  </si>
  <si>
    <t>Computer Software</t>
  </si>
  <si>
    <t>01.01.2021</t>
  </si>
  <si>
    <t>Furniture</t>
  </si>
  <si>
    <t>Office Equipment</t>
  </si>
  <si>
    <t>Telephone</t>
  </si>
  <si>
    <t>Printer</t>
  </si>
  <si>
    <t>25.07.2021</t>
  </si>
  <si>
    <t>Computation of Deffered Tax</t>
  </si>
  <si>
    <t>WDV as per IT act</t>
  </si>
  <si>
    <t>WDV as per Books of Accounts</t>
  </si>
  <si>
    <t>Tax @22%</t>
  </si>
  <si>
    <t>Cess @4%</t>
  </si>
  <si>
    <t>Opening Balance</t>
  </si>
  <si>
    <t>5000 equity shares held by M1 Marketing Services Private Limited</t>
  </si>
  <si>
    <t>Statutory dues including provident fund and tax deducted at source</t>
  </si>
  <si>
    <t>Balance with Government Authorities</t>
  </si>
  <si>
    <t>Advances to Supplier</t>
  </si>
  <si>
    <t>Computers &amp; Accessories</t>
  </si>
  <si>
    <t>Computers Software</t>
  </si>
  <si>
    <t>k.</t>
  </si>
  <si>
    <t>TOTAL</t>
  </si>
  <si>
    <t>Revenue from Services</t>
  </si>
  <si>
    <t>Miscellaneous Income</t>
  </si>
  <si>
    <t>Operating Expenses</t>
  </si>
  <si>
    <t xml:space="preserve">   - Income Tax Matters</t>
  </si>
  <si>
    <t xml:space="preserve">   - Other Services</t>
  </si>
  <si>
    <t>Professional Fees</t>
  </si>
  <si>
    <t>Internet and Telephone charges</t>
  </si>
  <si>
    <t>Legal Expenses</t>
  </si>
  <si>
    <t>Printing &amp; Stationery</t>
  </si>
  <si>
    <t>Postage and courier</t>
  </si>
  <si>
    <t>Provision for Taxation</t>
  </si>
  <si>
    <t xml:space="preserve"> - HDFC Credit Card</t>
  </si>
  <si>
    <t xml:space="preserve"> - Provision for COVID-19</t>
  </si>
  <si>
    <t>Interest Accrued but not due</t>
  </si>
  <si>
    <t>MAHADEVAN JAYARAMAN</t>
  </si>
  <si>
    <t>DIN:07032354</t>
  </si>
  <si>
    <t xml:space="preserve">Director </t>
  </si>
  <si>
    <t>Place: Chennai</t>
  </si>
  <si>
    <t>Fixed Deposit with Bank</t>
  </si>
  <si>
    <t>Net Increase (Decrease) in Cash and cash equivalents ( A+B+C )</t>
  </si>
  <si>
    <t>Ganitscience Artificial Intelligence and analytics P Ltd (OPC)</t>
  </si>
  <si>
    <t>ILIVE Daily Creations P Ltd(OPC)</t>
  </si>
  <si>
    <t>M1 Marketing Services Pvt Ltd</t>
  </si>
  <si>
    <t>- Services</t>
  </si>
  <si>
    <t xml:space="preserve">Interest on TDS payment </t>
  </si>
  <si>
    <t xml:space="preserve">Interest on GST  payment </t>
  </si>
  <si>
    <t>Rent - Guindy</t>
  </si>
  <si>
    <t>Labour Welfare Fund</t>
  </si>
  <si>
    <t>Lease Brokerage</t>
  </si>
  <si>
    <t xml:space="preserve">Account </t>
  </si>
  <si>
    <t/>
  </si>
  <si>
    <t xml:space="preserve">          Interest Income</t>
  </si>
  <si>
    <t xml:space="preserve">          Interest on Income Tax Refund</t>
  </si>
  <si>
    <t xml:space="preserve">          Sales</t>
  </si>
  <si>
    <t xml:space="preserve">          All Infra Related: Diesel Charges</t>
  </si>
  <si>
    <t xml:space="preserve">          All Infra Related: EB</t>
  </si>
  <si>
    <t xml:space="preserve">          All Infra Related: Electrical &amp; Electronic Consumables</t>
  </si>
  <si>
    <t xml:space="preserve">          All Infra Related: Internet &amp; Communication-Internal</t>
  </si>
  <si>
    <t xml:space="preserve">          All Infra Related: Internet &amp; Communication-OPS</t>
  </si>
  <si>
    <t xml:space="preserve">          All Infra Related: Repairs and Maintenance</t>
  </si>
  <si>
    <t xml:space="preserve">          All Infra Related: Software &amp; Subscription Charges</t>
  </si>
  <si>
    <t xml:space="preserve">          All Infra Related: System Rental &amp; Infra Rental</t>
  </si>
  <si>
    <t xml:space="preserve">          All Infra Related: UPS Rent</t>
  </si>
  <si>
    <t xml:space="preserve">          All Infra Related: Water Tax</t>
  </si>
  <si>
    <t xml:space="preserve">          All Miscellaneous Expenses: Printing and Stationery</t>
  </si>
  <si>
    <t xml:space="preserve">          All Miscellaneous Expenses:Couriers Expenses</t>
  </si>
  <si>
    <t xml:space="preserve">          All Miscellaneous Expenses:Housekeeping Expenses</t>
  </si>
  <si>
    <t xml:space="preserve">          All Miscellaneous Expenses:Insurance Expenses</t>
  </si>
  <si>
    <t xml:space="preserve">          All Miscellaneous Expenses:Pooja Expenses</t>
  </si>
  <si>
    <t xml:space="preserve">          All Other Direct Costs-User licences for algorithms</t>
  </si>
  <si>
    <t xml:space="preserve">          All Other Direct Costs:Professional Fees for Analytics and UI/UX</t>
  </si>
  <si>
    <t xml:space="preserve">          Bank Fees and Charges</t>
  </si>
  <si>
    <t xml:space="preserve">          Campaigns-Affiliate</t>
  </si>
  <si>
    <t xml:space="preserve">          Campaigns-Expenses: Campaigns-Google</t>
  </si>
  <si>
    <t xml:space="preserve">          Campaigns-Facebook</t>
  </si>
  <si>
    <t xml:space="preserve">          Data Payment</t>
  </si>
  <si>
    <t xml:space="preserve">          Depreciation Expense</t>
  </si>
  <si>
    <t xml:space="preserve">          Earned leave Encashment</t>
  </si>
  <si>
    <t xml:space="preserve">          Govt Filing charges</t>
  </si>
  <si>
    <t xml:space="preserve">          Housekeeping Charges Off-roll</t>
  </si>
  <si>
    <t xml:space="preserve">          Labour Welfare Fund</t>
  </si>
  <si>
    <t xml:space="preserve">          Non-Payroll &amp; Professional Expenses:Accounting &amp; Audit Charges</t>
  </si>
  <si>
    <t xml:space="preserve">          Non-Payroll &amp; Professional Expenses:Professional Fees</t>
  </si>
  <si>
    <t xml:space="preserve">          Non-Payroll Staff Expenses:Security Charges</t>
  </si>
  <si>
    <t xml:space="preserve">          Office Expenses (CE)</t>
  </si>
  <si>
    <t xml:space="preserve">          Payroll Expenses: Employer Cont ESI</t>
  </si>
  <si>
    <t xml:space="preserve">          Payroll Expenses: Employer Cont PF</t>
  </si>
  <si>
    <t xml:space="preserve">          Payroll Expenses: Gross Salary</t>
  </si>
  <si>
    <t xml:space="preserve">          Payroll Expenses:Incentive</t>
  </si>
  <si>
    <t xml:space="preserve">          Payroll Expenses:Spot Incentive</t>
  </si>
  <si>
    <t xml:space="preserve">          Professional Charges</t>
  </si>
  <si>
    <t xml:space="preserve">          Provisions for Assets</t>
  </si>
  <si>
    <t xml:space="preserve">          Recruitment Charges: Consultants</t>
  </si>
  <si>
    <t xml:space="preserve">          Recruitment Charges:Referral Bonus</t>
  </si>
  <si>
    <t xml:space="preserve">          Staff Welfare: Canteen Expenses (Bulk)</t>
  </si>
  <si>
    <t xml:space="preserve">          Staff Welfare: Canteen Expenses(Casual)</t>
  </si>
  <si>
    <t xml:space="preserve">          Staff Welfare: General</t>
  </si>
  <si>
    <t xml:space="preserve">          Staff Welfare: R&amp;R</t>
  </si>
  <si>
    <t xml:space="preserve">          Staff Welfare:Bulk Tea/Coffee/Water Expenses</t>
  </si>
  <si>
    <t xml:space="preserve">          Staff Welfare:Special Day / Annual Day Celebrations</t>
  </si>
  <si>
    <t xml:space="preserve">          Travel Expenses:Local</t>
  </si>
  <si>
    <t xml:space="preserve">          Travel Expenses:Outstation</t>
  </si>
  <si>
    <t xml:space="preserve">          Rent Expense</t>
  </si>
  <si>
    <t xml:space="preserve">                    Maintenance Charges - Monthly Guindy</t>
  </si>
  <si>
    <t xml:space="preserve">                    Maintenance Charges- Monthly</t>
  </si>
  <si>
    <t xml:space="preserve">                    Rent for Guindy</t>
  </si>
  <si>
    <t xml:space="preserve">                    Rent for VLV Complex</t>
  </si>
  <si>
    <t xml:space="preserve">          Total for Rent Expense</t>
  </si>
  <si>
    <t xml:space="preserve">          Roundoff Expense</t>
  </si>
  <si>
    <t>Assets</t>
  </si>
  <si>
    <t>Rent Advance - Guindy</t>
  </si>
  <si>
    <t>TDS Receivable-AY-23-24</t>
  </si>
  <si>
    <t>Referral Bonus payable</t>
  </si>
  <si>
    <t>For the year ended 31.03.2023</t>
  </si>
  <si>
    <t>For the year ended 31.03.2024</t>
  </si>
  <si>
    <t xml:space="preserve">          All Other Direct Costs: Predictive modeling and updates</t>
  </si>
  <si>
    <t xml:space="preserve">                    Maintenance Charges - Monthly Temple steps</t>
  </si>
  <si>
    <t xml:space="preserve">                    Rent for Temple Steps</t>
  </si>
  <si>
    <t>Rent for Temple Steps</t>
  </si>
  <si>
    <t>Rental Advance - Temple Steps</t>
  </si>
  <si>
    <t xml:space="preserve"> - Earned leave Encashment Payable</t>
  </si>
  <si>
    <t xml:space="preserve">Interest on EPF  payment </t>
  </si>
  <si>
    <t xml:space="preserve">          Income from Provision</t>
  </si>
  <si>
    <t>As at
31st March 2023</t>
  </si>
  <si>
    <t>Interest from Income Tax Refund</t>
  </si>
  <si>
    <t>Current year DTL</t>
  </si>
  <si>
    <t>Closing Deferred Tax Liability (DTL)</t>
  </si>
  <si>
    <t>Deferred tax exp</t>
  </si>
  <si>
    <t>to def liab</t>
  </si>
  <si>
    <t>(P&amp;L item)</t>
  </si>
  <si>
    <t>As at
31st March 2025</t>
  </si>
  <si>
    <t>For the year ended 31.03.2025</t>
  </si>
  <si>
    <t>2024-25</t>
  </si>
  <si>
    <t>Rental Advance Coimbatore</t>
  </si>
  <si>
    <t>TDS Receivable-AY-24-25</t>
  </si>
  <si>
    <t>- Sales reimbursements</t>
  </si>
  <si>
    <t>Bad debts</t>
  </si>
  <si>
    <t>Other Finance Costs</t>
  </si>
  <si>
    <t>Rent for Coimbatore</t>
  </si>
  <si>
    <t>Notes forming part of Financial Statements as on March 31, 2025</t>
  </si>
  <si>
    <t>Dep as per client workings</t>
  </si>
  <si>
    <t>Outstanding for following periods from due date of payment (2024-25)</t>
  </si>
  <si>
    <t xml:space="preserve"> - Provision for Current Tax </t>
  </si>
  <si>
    <t xml:space="preserve">Accrued Revenue </t>
  </si>
  <si>
    <t>All Other Direct Costs:Professional Fees for Analytics and UI/UX</t>
  </si>
  <si>
    <t>All Other Direct Costs: Predictive modeling and updates</t>
  </si>
  <si>
    <t>All Other Direct Costs-User licences for algorithms</t>
  </si>
  <si>
    <r>
      <t>Assessment is done at each Balance Sheet date as to whether there is any indication that an asset(tangible and intangible) may be impaired. If any such indication exists, an estimate of the recoverable amount of the asset/cash generating unit is made. Recoverable amount is higher of an asset’s or cash generating unit’s net selling price and its value in use. Value in use is the present value of estimated future cash flows expected to arise from the continuing use of an asset and from its disposal at the end of its useful life. For the purpose of assessing impairment, the recoverable amount is determined for an individual asset, unless the asset does not generate cash inflows that are largely independent of those from other assets or groups of assets. The smallest identifiable group of assets that generates cash inflows from continuing use that are largely independent of the cash inflows from other assets or groups of assets, is considered as a cash generating unit (CGU). An asset or CGU whose carrying value exceeds its recoverable amount is considered impaired and is written down to its recoverable amount. Assessment is also done at each Balance Sheet date as to whether there is any indication that an impairment loss recognised for an asset in prior accounting periods may no longer exist or may have decreased. An impairment loss is reversed to the extent that the asset’s carrying amount does not exceed the carrying amount that would have been</t>
    </r>
    <r>
      <rPr>
        <b/>
        <sz val="11"/>
        <color theme="1"/>
        <rFont val="Aptos Serif"/>
        <family val="1"/>
      </rPr>
      <t xml:space="preserve"> </t>
    </r>
    <r>
      <rPr>
        <sz val="11"/>
        <color theme="1"/>
        <rFont val="Aptos Serif"/>
        <family val="1"/>
      </rPr>
      <t>determined if no impairment loss had previously been recognised.</t>
    </r>
  </si>
  <si>
    <r>
      <t>Provisions:</t>
    </r>
    <r>
      <rPr>
        <sz val="11"/>
        <color rgb="FF000000"/>
        <rFont val="Aptos Serif"/>
        <family val="1"/>
      </rPr>
      <t xml:space="preserve"> Provisions are recognised when there is a present obligation as a result of a past event, it is probable that an outflow of resources embodying economic benefits will be required to settle the obligation and there is a reliable estimate of the amount of the obligation. Provisions are measured at the best estimate of the expenditure required to settle the present obligation at the Balance Sheet date and are not discounted to its present value.</t>
    </r>
  </si>
  <si>
    <r>
      <t>Contingent Liabilities:</t>
    </r>
    <r>
      <rPr>
        <sz val="11"/>
        <color rgb="FF000000"/>
        <rFont val="Aptos Serif"/>
        <family val="1"/>
      </rPr>
      <t xml:space="preserve"> Contingent liabilities are disclosed when there is a possible obligation arising from past events, the existence of which will be confirmed only by the occurrence or non-occurrence of one or more uncertain future events not wholly within the control of the Company or a present obligation that arises from past events where it is either not probable that an outflow of resources will be required to settle or a reliable estimate of the amount cannot be made.</t>
    </r>
  </si>
  <si>
    <t>MARKETSOF1 ANALYTICAL MARKETING SERVICES Pvt Ltd, having its registered office at Ram Nivas apart-7, 1st floor, old No.79, New No.82, DRT Ranga Road, Mylapore, Chennai-600004.
The Subscribers to the Memorandum of association of this company are:-
a. M1 Marketing Services Pvt Ltd – having 50% stake
b. Jayaram K Iyer – having 50% stake</t>
  </si>
  <si>
    <t>Marketsof1 Analytical Marketing Services Private Limited
            Trial Balance
            Basis: Accrual
                        From 01/04/2025 To 31/03/2026</t>
  </si>
  <si>
    <t xml:space="preserve">Opening Balance </t>
  </si>
  <si>
    <t xml:space="preserve">Debit </t>
  </si>
  <si>
    <t xml:space="preserve">Credit </t>
  </si>
  <si>
    <t xml:space="preserve">Closing Balance </t>
  </si>
  <si>
    <t xml:space="preserve">          Accounts Receivable</t>
  </si>
  <si>
    <t xml:space="preserve">          Accounts Receivable (Debtors)</t>
  </si>
  <si>
    <t xml:space="preserve">          Accumulated Depreciation</t>
  </si>
  <si>
    <t xml:space="preserve">          Accured Interest On FD</t>
  </si>
  <si>
    <t xml:space="preserve">          Advance to Suppliers</t>
  </si>
  <si>
    <t xml:space="preserve">          computer software</t>
  </si>
  <si>
    <t xml:space="preserve">          Computers</t>
  </si>
  <si>
    <t xml:space="preserve">          Current Account-LITTLE MOUNT ANNASALAI-xxxxxxxxxx7205</t>
  </si>
  <si>
    <t xml:space="preserve">          Deposits - Rental Advance Coimbatore</t>
  </si>
  <si>
    <t xml:space="preserve">          Deposits - Rental Advance Kochi</t>
  </si>
  <si>
    <t xml:space="preserve">          Deposits - Rental Advance Temple Steps</t>
  </si>
  <si>
    <t xml:space="preserve">          Deposits - Rental Advance VLV Complex</t>
  </si>
  <si>
    <t xml:space="preserve">          Deposits - Rental Advance:Rent Advance - Guindy</t>
  </si>
  <si>
    <t xml:space="preserve">          Deposits - Rental Advance:Rental Deposit Computers</t>
  </si>
  <si>
    <t xml:space="preserve">          Deposits - Rental Advance:Rental Deposit UPS</t>
  </si>
  <si>
    <t xml:space="preserve">          Fixed Deposit</t>
  </si>
  <si>
    <t xml:space="preserve">          Furniture and Equipment</t>
  </si>
  <si>
    <t xml:space="preserve">          IDFC First Bank</t>
  </si>
  <si>
    <t xml:space="preserve">          Input Tax Credits</t>
  </si>
  <si>
    <t xml:space="preserve">                    Input CGST</t>
  </si>
  <si>
    <t xml:space="preserve">                    Input IGST</t>
  </si>
  <si>
    <t xml:space="preserve">                    Input SGST</t>
  </si>
  <si>
    <t xml:space="preserve">          Total for Input Tax Credits</t>
  </si>
  <si>
    <t xml:space="preserve">          Petty Cash</t>
  </si>
  <si>
    <t xml:space="preserve">          Prepaid Expenses</t>
  </si>
  <si>
    <t xml:space="preserve">          Prepaid Insurance</t>
  </si>
  <si>
    <t xml:space="preserve">          Printers</t>
  </si>
  <si>
    <t xml:space="preserve">          Refund Due FY25</t>
  </si>
  <si>
    <t xml:space="preserve">          Reverse Charge Tax Input but not due</t>
  </si>
  <si>
    <t xml:space="preserve">          Salary Advance</t>
  </si>
  <si>
    <t xml:space="preserve">          TDS Receivable AY 25-26</t>
  </si>
  <si>
    <t xml:space="preserve">          TDS Receivable AY 26-27</t>
  </si>
  <si>
    <t xml:space="preserve">          Telephone</t>
  </si>
  <si>
    <t xml:space="preserve">          Undeposited Funds</t>
  </si>
  <si>
    <t>Liabilities</t>
  </si>
  <si>
    <t xml:space="preserve">          Accounts Payable</t>
  </si>
  <si>
    <t xml:space="preserve">          Accounts payable (Creditors)</t>
  </si>
  <si>
    <t xml:space="preserve">          Deferred Income Tax</t>
  </si>
  <si>
    <t xml:space="preserve">          Directors Remuneration Payable</t>
  </si>
  <si>
    <t xml:space="preserve">          Earned leave Encashment Payable</t>
  </si>
  <si>
    <t xml:space="preserve">          Employee Reimbursements</t>
  </si>
  <si>
    <t xml:space="preserve">          ESIC Payable</t>
  </si>
  <si>
    <t xml:space="preserve">          Gratuity Payable</t>
  </si>
  <si>
    <t xml:space="preserve">          GST Payable</t>
  </si>
  <si>
    <t xml:space="preserve">                    Output CGST</t>
  </si>
  <si>
    <t xml:space="preserve">                    Output IGST</t>
  </si>
  <si>
    <t xml:space="preserve">                    Output SGST</t>
  </si>
  <si>
    <t xml:space="preserve">          Total for GST Payable</t>
  </si>
  <si>
    <t xml:space="preserve">          HDFC Credit Card *2119</t>
  </si>
  <si>
    <t xml:space="preserve">          HDFC Credit Card *6141</t>
  </si>
  <si>
    <t xml:space="preserve">          Incentive Payable</t>
  </si>
  <si>
    <t xml:space="preserve">          PF Payable</t>
  </si>
  <si>
    <t xml:space="preserve">          Provision for Audit Fee</t>
  </si>
  <si>
    <t xml:space="preserve">          Provision For Liabilities</t>
  </si>
  <si>
    <t xml:space="preserve">          Provision for Taxation</t>
  </si>
  <si>
    <t xml:space="preserve">          PT Payable</t>
  </si>
  <si>
    <t xml:space="preserve">          Referral Bonus Payable</t>
  </si>
  <si>
    <t xml:space="preserve">          Salary Payable</t>
  </si>
  <si>
    <t xml:space="preserve">          Spot Incentive Payable</t>
  </si>
  <si>
    <t xml:space="preserve">          TDS Payable</t>
  </si>
  <si>
    <t>Equities</t>
  </si>
  <si>
    <t xml:space="preserve">          Retained Earnings</t>
  </si>
  <si>
    <t xml:space="preserve">          Share Capital</t>
  </si>
  <si>
    <t>Income</t>
  </si>
  <si>
    <t xml:space="preserve">          Home Loan Interest</t>
  </si>
  <si>
    <t xml:space="preserve">          Other Charges</t>
  </si>
  <si>
    <t xml:space="preserve">                    Sales Reimbursement</t>
  </si>
  <si>
    <t xml:space="preserve">          Total for Sales</t>
  </si>
  <si>
    <t>Expense</t>
  </si>
  <si>
    <t xml:space="preserve">          All Infra Related: Diesel &amp; Water Charges</t>
  </si>
  <si>
    <t xml:space="preserve">          All Infra Related: Internet &amp; Communication-OPS  &amp; Jewellery</t>
  </si>
  <si>
    <t xml:space="preserve">          All Other Direct Costs: Directors Remuneration</t>
  </si>
  <si>
    <t xml:space="preserve">                    Deepa Mahadevan</t>
  </si>
  <si>
    <t xml:space="preserve">                    Mahadevan Jayaraman</t>
  </si>
  <si>
    <t xml:space="preserve">          Total for All Other Direct Costs: Directors Remuneration</t>
  </si>
  <si>
    <t xml:space="preserve">          Bad Debt</t>
  </si>
  <si>
    <t xml:space="preserve">          Campaigns-Advertising &amp; Marketing</t>
  </si>
  <si>
    <t xml:space="preserve">          Gratuity</t>
  </si>
  <si>
    <t xml:space="preserve">          Legal Fees</t>
  </si>
  <si>
    <t xml:space="preserve">          Non-Payroll &amp; Professional Expenses: Company Secretary Fees</t>
  </si>
  <si>
    <t xml:space="preserve">                    Maintenance Charges - Monthly Coimbatore</t>
  </si>
  <si>
    <t xml:space="preserve">                    Rent for Cochin</t>
  </si>
  <si>
    <t xml:space="preserve">                    Rent for Coimbatore</t>
  </si>
  <si>
    <t xml:space="preserve">          Staff Welfare : Per Diem Expenses</t>
  </si>
  <si>
    <t xml:space="preserve">          Staff Welfare: Maternity</t>
  </si>
  <si>
    <t xml:space="preserve">          Tax Expense</t>
  </si>
  <si>
    <t>Total for Trial Balance</t>
  </si>
  <si>
    <t>Adjustments</t>
  </si>
  <si>
    <t>Zoho Group</t>
  </si>
  <si>
    <t>Zoho Ledger</t>
  </si>
  <si>
    <t>Balance as on 31-03-2026</t>
  </si>
  <si>
    <t>Adjusted balance as on 31-03-2026</t>
  </si>
  <si>
    <t>FS Subgroup</t>
  </si>
  <si>
    <t>FS Group</t>
  </si>
  <si>
    <t>FS Head</t>
  </si>
  <si>
    <t>Interest on Staff Loans</t>
  </si>
  <si>
    <t>Interest on FD</t>
  </si>
  <si>
    <t>(All amounts are in thousands Indian Rupees, unless otherwise stated)</t>
  </si>
  <si>
    <t>Direct Costs-User licences for algorithms</t>
  </si>
  <si>
    <t>Direct Costs:Professional Fees for Analytics and UI/UX</t>
  </si>
  <si>
    <t>Direct Costs: Predictive modeling and updates</t>
  </si>
  <si>
    <t>Less : Prior years Excess Provision</t>
  </si>
  <si>
    <t>As at
31st March 2026</t>
  </si>
  <si>
    <t>For the year ended 31st March, 2026</t>
  </si>
  <si>
    <t>For the year ended 31st March, 2025</t>
  </si>
  <si>
    <t>Current Tax</t>
  </si>
  <si>
    <t>As at
31st March, 2026</t>
  </si>
  <si>
    <t>As at
31st March, 2025</t>
  </si>
  <si>
    <t>10,000 (Previous Year 10,000) Equity Shares of Rs. 10/- each.</t>
  </si>
  <si>
    <t>Add: Number of Shares Issued during the period</t>
  </si>
  <si>
    <t>2025-26</t>
  </si>
  <si>
    <t>5000 equity shares held by Mr. Jayaram K Iyer</t>
  </si>
  <si>
    <t>No. of Shares</t>
  </si>
  <si>
    <t>% of total shares</t>
  </si>
  <si>
    <t>Fixed Assets</t>
  </si>
  <si>
    <t>Balance Sheet as on March 31, 2026</t>
  </si>
  <si>
    <t>Notes to Financial Statements for the year ended March 31, 2026</t>
  </si>
  <si>
    <t>Deferred Tax Liability/ Asset (Net)</t>
  </si>
  <si>
    <t>Deferred Tax Liability</t>
  </si>
  <si>
    <t>Impact of WDV difference on Property, plant and equipment</t>
  </si>
  <si>
    <t>Gross deferred tax liability</t>
  </si>
  <si>
    <t>Deferred Tax Asset</t>
  </si>
  <si>
    <t>Impact of Provisions</t>
  </si>
  <si>
    <t>Gross deferred tax asset</t>
  </si>
  <si>
    <t>Net deferred tax liability</t>
  </si>
  <si>
    <t>Gains or losses arising from the retirement or disposal of an intangible asset are determined as the difference between the net disposal proceeds and the carrying amount of the asset and recognised as income or expense in the Statement of Profit and Loss.</t>
  </si>
  <si>
    <t>The accounting policies adopted for segment reporting are in line with the accounting policies of the Company. Segment revenue, segment expenses, segment assets and segment liabilities have been identified to segments on the basis of their relationship to the operating activities of the segment. 
Inter-segment revenue, where applicable, is accounted on the basis of transactions which are primarily determined based on market / fair value factors. 
Revenue, expenses, assets and liabilities which relate to the Company as a whole and are not allocable to segments on reasonable basis have been included under unallocated revenue / expenses / assets / liabilities.</t>
  </si>
  <si>
    <t>Accompanying notes form part of the financial statements</t>
  </si>
  <si>
    <t>DIN: 07032354</t>
  </si>
  <si>
    <t>Jayaram Krishnamoorthy</t>
  </si>
  <si>
    <t xml:space="preserve">Date: </t>
  </si>
  <si>
    <t>In accordance with our report of even date attached</t>
  </si>
  <si>
    <t>for M.R.NARAIN &amp; Co.,</t>
  </si>
  <si>
    <t>Chartered Accountants
FRN 002330S</t>
  </si>
  <si>
    <t>M. Prabakar</t>
  </si>
  <si>
    <t>Partner</t>
  </si>
  <si>
    <t>M.No 201987</t>
  </si>
  <si>
    <t>UDIN:</t>
  </si>
  <si>
    <t xml:space="preserve">          Amazon Pay</t>
  </si>
  <si>
    <t xml:space="preserve">          Refund Due FY24</t>
  </si>
  <si>
    <t xml:space="preserve">          TDS Receivable AY 24-25</t>
  </si>
  <si>
    <t>Provision for employee benefits</t>
  </si>
  <si>
    <t>Provision for leave benefits</t>
  </si>
  <si>
    <t>Marketsof1 Analytical Marketing Services Private Limited
            Trial Balance
            Basis: Accrual
                        From 01/03/2024 To 31/03/2025</t>
  </si>
  <si>
    <t xml:space="preserve">          Provisions for Doubtful Assets</t>
  </si>
  <si>
    <t xml:space="preserve">          Current Year Earnings</t>
  </si>
  <si>
    <t xml:space="preserve">          Asset Written Off</t>
  </si>
  <si>
    <t xml:space="preserve">          Deferred Tax Expense</t>
  </si>
  <si>
    <t>Provision for Audit fees</t>
  </si>
  <si>
    <t>Salary and Wages Payable</t>
  </si>
  <si>
    <t>Director Remuneration Payable</t>
  </si>
  <si>
    <t>Other Employee Payable</t>
  </si>
  <si>
    <t>Other Payable</t>
  </si>
  <si>
    <t>Employee Advances</t>
  </si>
  <si>
    <t>Non-Current Assets</t>
  </si>
  <si>
    <t>Others (Unsecured and considerd Good)</t>
  </si>
  <si>
    <t>Unsecured, Considered good</t>
  </si>
  <si>
    <t>Current Asset</t>
  </si>
  <si>
    <t>Cash Flow Statement for the year ended as on March 31, 2026</t>
  </si>
  <si>
    <t>For the year ended
31st March, 2026</t>
  </si>
  <si>
    <t>For the year ended
31st March, 2025</t>
  </si>
  <si>
    <t>Statement of Profit &amp; Loss for the Year ended on March 31, 2026</t>
  </si>
  <si>
    <t>Expenses</t>
  </si>
  <si>
    <t>Gratuity and Leave Encashment</t>
  </si>
  <si>
    <t>Marketsof1 Analytical Marketing Services Private Limited
            Trial Balance
            Basis: Accrual
                        From 01/04/2024 To 31/03/2025</t>
  </si>
  <si>
    <t>a</t>
  </si>
  <si>
    <t>x</t>
  </si>
  <si>
    <t>b</t>
  </si>
  <si>
    <t>y</t>
  </si>
  <si>
    <t>c</t>
  </si>
  <si>
    <t>z</t>
  </si>
  <si>
    <t>Rent of Building</t>
  </si>
  <si>
    <t>Rent of Plant and Machinery</t>
  </si>
  <si>
    <t>Building Maintenance</t>
  </si>
  <si>
    <t>Software &amp; Subscription Charges</t>
  </si>
  <si>
    <t>As at
March 31, 2026</t>
  </si>
  <si>
    <t>As at
March 31, 2025</t>
  </si>
  <si>
    <t xml:space="preserve">Contingent liabilities </t>
  </si>
  <si>
    <t>Amount in Rs.</t>
  </si>
  <si>
    <t xml:space="preserve"> Capital commitment (net of advances) </t>
  </si>
  <si>
    <t>Segment Reporting</t>
  </si>
  <si>
    <t>Related Party Disclosures</t>
  </si>
  <si>
    <t>A. List of Related Parties</t>
  </si>
  <si>
    <t>Nature of Relationship</t>
  </si>
  <si>
    <t>Party</t>
  </si>
  <si>
    <t>Entities in which key management personnel are interested</t>
  </si>
  <si>
    <t>B. Transactions with Related Parties during the year (excluding directors remuneration*)</t>
  </si>
  <si>
    <t>Transaction</t>
  </si>
  <si>
    <t>Related Party</t>
  </si>
  <si>
    <t>*- Refer C for Directors remuneration.</t>
  </si>
  <si>
    <t>C. Directors’ Remuneration</t>
  </si>
  <si>
    <t>Executive Directors</t>
  </si>
  <si>
    <t>Non-Executive Directors</t>
  </si>
  <si>
    <t>Sitting Fees</t>
  </si>
  <si>
    <t xml:space="preserve">D. Balances as at year end </t>
  </si>
  <si>
    <t>Payable</t>
  </si>
  <si>
    <t>Retirement Benefit</t>
  </si>
  <si>
    <t xml:space="preserve">(1) Description of the Gratuity Plan: </t>
  </si>
  <si>
    <t xml:space="preserve">(2) Amount recognized in the Balance Sheet and movements in net liability: </t>
  </si>
  <si>
    <t>Present Value of Funded Obligations</t>
  </si>
  <si>
    <t>Fair Value of Plan Assets</t>
  </si>
  <si>
    <t>Net Liability / (Asset) recognized in the Balance Sheet</t>
  </si>
  <si>
    <t>The fair value of the plan assets does not include the Company’s own financial instruments</t>
  </si>
  <si>
    <t>(3) Expenses recognized in the Statement of Profit &amp; Loss</t>
  </si>
  <si>
    <t xml:space="preserve">Current Service Cost </t>
  </si>
  <si>
    <t>Interest on Defined Benefit Obligation</t>
  </si>
  <si>
    <t>Net Actuarial Losses/ (Gains) Recognized in the year</t>
  </si>
  <si>
    <t>Other Charges</t>
  </si>
  <si>
    <t>(4)Reconciliation of Benefit Obligation &amp; Plan assets for the Period</t>
  </si>
  <si>
    <t>Change in Defined Benefit Obligation</t>
  </si>
  <si>
    <t>Opening Defined Benefit Obligation</t>
  </si>
  <si>
    <t>Current Service Cost</t>
  </si>
  <si>
    <t>Actuarial Losses /(Gain )</t>
  </si>
  <si>
    <t>Actuarial Losses / (Gain ) due to Curtailment</t>
  </si>
  <si>
    <t>Liabilities Extinguished on Settlements</t>
  </si>
  <si>
    <t>Liabilities Assumed on Acquisition / (Settled on Divestiture)</t>
  </si>
  <si>
    <t>Exchange Difference on Foreign Plans</t>
  </si>
  <si>
    <t>Closing Defined Benefit Obligation</t>
  </si>
  <si>
    <t>Change in Fair Value of Assets</t>
  </si>
  <si>
    <t>Opening Fair Value of Plan Assets</t>
  </si>
  <si>
    <t>Actuarial Gain / ( Losses )</t>
  </si>
  <si>
    <t>Assets Distributed on Settlements</t>
  </si>
  <si>
    <t>Contributions by Employer</t>
  </si>
  <si>
    <t>Assets Acquired on Acquisition /(Distributed on Divestiture)</t>
  </si>
  <si>
    <t>Check Number</t>
  </si>
  <si>
    <t>Closing Fair Value of Plan Assets</t>
  </si>
  <si>
    <t>(5)Actuarial Assumptions at the Valuation date</t>
  </si>
  <si>
    <t>Expected Rate of Return on Plan Assets*</t>
  </si>
  <si>
    <t>Salary Escalation Rate</t>
  </si>
  <si>
    <t>*This is based on expectation of the average long term rate of return expected on investments of the Fund during the estimated term of the obligations.</t>
  </si>
  <si>
    <t>(6) Descriptions of the Plan Assets</t>
  </si>
  <si>
    <t>Category of Assets</t>
  </si>
  <si>
    <t>2024-2025</t>
  </si>
  <si>
    <t>Government of India Securities</t>
  </si>
  <si>
    <t>Corporate Bonds</t>
  </si>
  <si>
    <t>Special Deposit Scheme</t>
  </si>
  <si>
    <t>Insurer Managed Funds</t>
  </si>
  <si>
    <t>Experience (gain)/loss on obligation</t>
  </si>
  <si>
    <t>Actuarial (gain)/loss on plan assets</t>
  </si>
  <si>
    <t>Current</t>
  </si>
  <si>
    <t>Non current</t>
  </si>
  <si>
    <t>Movement in compensated absences</t>
  </si>
  <si>
    <t>Opening Liability</t>
  </si>
  <si>
    <t>Add: Change / Charge for the period</t>
  </si>
  <si>
    <t>Less: Payment Made</t>
  </si>
  <si>
    <t>Closing Liability</t>
  </si>
  <si>
    <t>Current/Non current breakup</t>
  </si>
  <si>
    <t xml:space="preserve"> Earnings per share</t>
  </si>
  <si>
    <t>Net Profit After Tax</t>
  </si>
  <si>
    <t>Net profit/(loss) for calculation of basic EPS</t>
  </si>
  <si>
    <t>Weighted average number of equity shares in calculating basic EPS</t>
  </si>
  <si>
    <t>Effect of dilution:</t>
  </si>
  <si>
    <t>Convertible preference shares</t>
  </si>
  <si>
    <t>Weighted average number of equity shares in calculating diluted EPS</t>
  </si>
  <si>
    <t>Earnings per share (Face value of Rs. 10 per share)</t>
  </si>
  <si>
    <t>-       Basic</t>
  </si>
  <si>
    <t>-       Diluted</t>
  </si>
  <si>
    <t>March 31,2025</t>
  </si>
  <si>
    <t>March 31,2024</t>
  </si>
  <si>
    <t>Software License Fees</t>
  </si>
  <si>
    <t>There are no pending litigations comprise of claims against the Company and proceedings pending with Tax Authorities other than those disclosed in Note 22.</t>
  </si>
  <si>
    <t>Analytical Ratios</t>
  </si>
  <si>
    <t>Changes</t>
  </si>
  <si>
    <t xml:space="preserve">Current Ratio </t>
  </si>
  <si>
    <t>Debt Equity Ratio</t>
  </si>
  <si>
    <t>Debt Service Coverage Ratio</t>
  </si>
  <si>
    <t xml:space="preserve">Return on Equity Ratio </t>
  </si>
  <si>
    <t>Trade Receivable Turnover Ratio</t>
  </si>
  <si>
    <t>Trade Payable Turnover Ratio</t>
  </si>
  <si>
    <t xml:space="preserve">Return on Capital employed </t>
  </si>
  <si>
    <t>Statutory disclosure required as per Schedule III Division I of the Companies Act, 2013</t>
  </si>
  <si>
    <t>(i)</t>
  </si>
  <si>
    <t>(ii)</t>
  </si>
  <si>
    <t>The Company has complied with the number of layers prescribed under clause (87) of section 2 of the Companies Act, 2013 read with Companies (Restriction on number of Layers) Rules, 2017.</t>
  </si>
  <si>
    <t>(iii)</t>
  </si>
  <si>
    <t>During the year, no scheme of arrangements in relation to the Company has been approved by the competent authority in terms of Section 230 to 237 of the Companies Act, 2013. Accordingly, aforesaid disclosure are not applicable, since there were no such transaction.</t>
  </si>
  <si>
    <t>(iv)</t>
  </si>
  <si>
    <t>The Company does not have any transactions which were not recoded in the books of accounts, but offered as income during the year in the income tax assessment.</t>
  </si>
  <si>
    <t>(v)</t>
  </si>
  <si>
    <t>The Company has not traded or invested in Crypto currency or Virtual Currency during the financial year.</t>
  </si>
  <si>
    <t>(vi)</t>
  </si>
  <si>
    <t>The Company does not have any benami property, where any proceeding has been initiated or pending against the Company for holding any benami property.</t>
  </si>
  <si>
    <t>(vii)</t>
  </si>
  <si>
    <t>The Company has not revalued its Property, Plant and Equipment and Intangible assets.</t>
  </si>
  <si>
    <t>(viii)</t>
  </si>
  <si>
    <t>The Company has not taken any loan from bank or financial institutions consequently filling of quarterly returns or statements of current assets with bank or financial institutions is not applicable to Company.</t>
  </si>
  <si>
    <t>(ix)</t>
  </si>
  <si>
    <t>The Company has not been declared Wilful Defaulter by any bank or financial institution or any other lender.</t>
  </si>
  <si>
    <t>(x)</t>
  </si>
  <si>
    <t xml:space="preserve">The Company does not cover under section 135 of the companies act hence, no amount required to be spent by the Company during the year under CSR. </t>
  </si>
  <si>
    <t>Comparatives</t>
  </si>
  <si>
    <t>Previous year figures have been regrouped / reclassified wherever required to confirm with current year grouping / classification. Prior year comparatives have been audited by predecessor auditor.</t>
  </si>
  <si>
    <t>The accompanying notes form an integral part of these financial statements</t>
  </si>
  <si>
    <r>
      <t xml:space="preserve">The Company provides for gratuity a defined benefit retirement plan covering eligible employees. Gratuity plan provides for a lump sum payment to employees on retirement, death, incapacitation, termination of employment, of amounts that are based on salaries and tenure of the employees. </t>
    </r>
    <r>
      <rPr>
        <b/>
        <sz val="11"/>
        <rFont val="Aptos Serif"/>
        <family val="1"/>
      </rPr>
      <t>‘ Gratuity liability is funded with Life Insurance Corporation of India (LIC)’</t>
    </r>
    <r>
      <rPr>
        <sz val="11"/>
        <rFont val="Aptos Serif"/>
        <family val="1"/>
      </rPr>
      <t xml:space="preserve">
</t>
    </r>
  </si>
  <si>
    <t>As at 31st March, 2026 Rs. Nil. (31-Mar-2025: Rs. Nil).</t>
  </si>
  <si>
    <t>Key Managerial Personnel</t>
  </si>
  <si>
    <t>Increase/(Decrease) in short term provisions</t>
  </si>
  <si>
    <t>Increase/(Decrease) in long term provisions</t>
  </si>
  <si>
    <t>Security Deposit paid</t>
  </si>
  <si>
    <t>Note No. 10 : Property, Plant &amp; Equipments</t>
  </si>
  <si>
    <t>Capital Work in Progress</t>
  </si>
  <si>
    <t>As on
01-04-2025</t>
  </si>
  <si>
    <t>As on
31-03-2026</t>
  </si>
  <si>
    <t>As on
31-03-2025</t>
  </si>
  <si>
    <t>Note No. 7</t>
  </si>
  <si>
    <t>S.No.</t>
  </si>
  <si>
    <t>Outstanding for following periods from due date of payment (2025-26)</t>
  </si>
  <si>
    <t>Note No. 12</t>
  </si>
  <si>
    <t>Accrued Interest on FD</t>
  </si>
  <si>
    <t>Year Ended
March 31, 2026</t>
  </si>
  <si>
    <t>Year Ended
March 31, 2025</t>
  </si>
  <si>
    <t>Deepa Mahadevan</t>
  </si>
  <si>
    <t>2025-2026</t>
  </si>
  <si>
    <t xml:space="preserve">(7) Experience Adjustments </t>
  </si>
  <si>
    <t>(8) Current/ Non current classification</t>
  </si>
  <si>
    <t>Less: Dividend on convertible preference shares</t>
  </si>
  <si>
    <t>Earnings in foreign currency for the year ended 31st March, 2026: Nil (Previous year: Nil)</t>
  </si>
  <si>
    <t>Expenditure in foreign currency for the year ended 31st March, 2026: Rs. /- (Previous year:Nil)</t>
  </si>
  <si>
    <t>For the year ended 31 March 2026 the Company is not required to transfer any amount into the Investor Education &amp; Protection Fund. (Previous year: NIL).</t>
  </si>
  <si>
    <t>The Company does not have any transactions with struck-off companies under section 248 of the Companies Act, 2013.</t>
  </si>
  <si>
    <t>DIN: 07032485</t>
  </si>
  <si>
    <t>Note:</t>
  </si>
  <si>
    <t>i) Reduction in Trade receivable turnover ratio is due to increase in trade receivable at year end, compared to previous year.</t>
  </si>
  <si>
    <t>ii) Reduction in return on capital employed ratio is due to increase in Working capital employed during the year compared to previous year.</t>
  </si>
  <si>
    <t>6 month -1 year</t>
  </si>
  <si>
    <t>Provision for Litigation and Court claim</t>
  </si>
  <si>
    <t>Exceptional items</t>
  </si>
  <si>
    <t>The Financial Statements were approved for issue by the Board of Directors on ___________________________.</t>
  </si>
  <si>
    <t xml:space="preserve">Mahul H Shah </t>
  </si>
  <si>
    <t>Fixed deposits placed with court</t>
  </si>
  <si>
    <t>Cost comprises of the purchase price including import duties and non-refundable taxes, and directly attributable expenses incurred to bring the asset to the location and condition necessary for it to be capable of being operated in the manner intended by Management.</t>
  </si>
  <si>
    <t>Expenses are accounted on accrual basis and provisions are made for all known losses and liabilities. Costs associated with providing various services are accrued at the time when related revenues are recognized.</t>
  </si>
  <si>
    <t>Bad debts recovered</t>
  </si>
  <si>
    <t>Excess provision reversed</t>
  </si>
  <si>
    <t>iii) Reduction in Return on equity ratio, Net capital turnover ratio and Net profit ratio is due to Exceptional item of Provision for Litigation and Court claim created during the year.</t>
  </si>
  <si>
    <t>Based on the assessment made by the management, adequate provision have been provided for the contingent liabilities.</t>
  </si>
  <si>
    <t>Exceptional Items</t>
  </si>
  <si>
    <t>(Refer Note No. 39)</t>
  </si>
  <si>
    <t>PBT</t>
  </si>
  <si>
    <t>Provision</t>
  </si>
  <si>
    <t>Add:</t>
  </si>
  <si>
    <t>Less:</t>
  </si>
  <si>
    <t>Provision reversal</t>
  </si>
  <si>
    <t>Gratuity</t>
  </si>
  <si>
    <t>Leave Encashment</t>
  </si>
  <si>
    <t>Tax @ 22%</t>
  </si>
  <si>
    <t>Surcharge @ 10%</t>
  </si>
  <si>
    <t>Cess @ 4%</t>
  </si>
  <si>
    <t>TDS 92k disallowance not considered</t>
  </si>
  <si>
    <t xml:space="preserve">          Provision for Litigation and Court claim</t>
  </si>
  <si>
    <t xml:space="preserve">          Current Tax</t>
  </si>
  <si>
    <t>Closing Cash &amp; Cash Equivalents (Refer Note no. 40)</t>
  </si>
  <si>
    <t>Provision for Litigation and Court claim (refer note no. 39)</t>
  </si>
  <si>
    <t>In the opinion of the management, there is only one reportable segment. i.e. Marketing Consultancy Services and Company operates in only one geographic country i.e. India. Accordingly, no separate disclosure is required to be made under Accounting Standard 17, Segment Reporting.</t>
  </si>
  <si>
    <t>Reconciliation of Cash and Cash Equivalents</t>
  </si>
  <si>
    <t>Cash and Cash Equivalents as per Balance Sheet</t>
  </si>
  <si>
    <t>Add/(Less): Adjustments</t>
  </si>
  <si>
    <t>Less: Fixed deposit held under lien with Court</t>
  </si>
  <si>
    <t>Cash and Cash Equivalents as per Cash Flow Statement</t>
  </si>
  <si>
    <t>1-41</t>
  </si>
  <si>
    <t>Court Claim Fixed Deposit (Refer Note No. 39)</t>
  </si>
  <si>
    <t>The company has desosited Rs. 5 crores as a Fixed Deposit in the name of Hon'ble High Court of Madras in connection with dispute referred matter, which is uncertain and is contingent upon the outcome of the proceedings, however based on legal advice and assessment, the Management has recognized provision equivalent to such value as possible loss as at 31-03-2026, estimate of the probable outflow of economic resources required for the obligation.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</si>
</sst>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quot;$&quot;#,##0_);\(&quot;$&quot;#,##0\)"/>
    <numFmt numFmtId="165" formatCode="_(* #,##0_);_(* \(#,##0\);_(* &quot;-&quot;_);_(@_)"/>
    <numFmt numFmtId="166" formatCode="_(* #,##0.00_);_(* \(#,##0.00\);_(* &quot;-&quot;??_);_(@_)"/>
    <numFmt numFmtId="167" formatCode="_-* #,##0.00_-;\-* #,##0.00_-;_-* &quot;-&quot;??_-;_-@_-"/>
    <numFmt numFmtId="168" formatCode="_(* #,##0_);_(* \(#,##0\);_(* &quot;-&quot;??_);_(@_)"/>
    <numFmt numFmtId="169" formatCode="&quot;$&quot;\ #,##0;\-&quot;$&quot;\ #,##0"/>
    <numFmt numFmtId="170" formatCode="_-* #,##0_-;\-* #,##0_-;_-* &quot;-&quot;??_-;_-@_-"/>
    <numFmt numFmtId="171" formatCode="0.0"/>
    <numFmt numFmtId="172" formatCode="_ * #,##0_ ;_ * \-#,##0_ ;_ * &quot;-&quot;??_ ;_ @_ "/>
    <numFmt numFmtId="173" formatCode="[$-409]d/mmm/yy;@"/>
    <numFmt numFmtId="174" formatCode="_-* #,##0.00_-;\-* #,##0.00_-;_-* \-??_-;_-@_-"/>
    <numFmt numFmtId="175" formatCode="_-* #,##0.00\ [$€-1]_-;\-* #,##0.00\ [$€-1]_-;_-* &quot;-&quot;??\ [$€-1]"/>
    <numFmt numFmtId="176" formatCode="[$-14009]dd\ mmmm\ yyyy;@"/>
    <numFmt numFmtId="177" formatCode="[$-409]dd/mmm/yy;@"/>
  </numFmts>
  <fonts count="8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Helv"/>
      <charset val="204"/>
    </font>
    <font>
      <sz val="10"/>
      <name val="Arial"/>
      <family val="2"/>
    </font>
    <font>
      <sz val="11"/>
      <name val="Calibri"/>
      <family val="2"/>
      <scheme val="minor"/>
    </font>
    <font>
      <b/>
      <sz val="11"/>
      <color theme="1"/>
      <name val="Calibri"/>
      <family val="2"/>
      <scheme val="minor"/>
    </font>
    <font>
      <b/>
      <sz val="10"/>
      <name val="Verdana"/>
      <family val="2"/>
    </font>
    <font>
      <sz val="10"/>
      <name val="Verdana"/>
      <family val="2"/>
    </font>
    <font>
      <b/>
      <sz val="10"/>
      <color theme="1"/>
      <name val="Verdana"/>
      <family val="2"/>
    </font>
    <font>
      <sz val="10"/>
      <color theme="1"/>
      <name val="Verdana"/>
      <family val="2"/>
    </font>
    <font>
      <sz val="10"/>
      <color theme="1"/>
      <name val="Calibri"/>
      <family val="2"/>
      <scheme val="minor"/>
    </font>
    <font>
      <u/>
      <sz val="10"/>
      <color theme="10"/>
      <name val="Arial"/>
      <family val="2"/>
    </font>
    <font>
      <sz val="10"/>
      <name val="Trebuchet MS"/>
      <family val="2"/>
    </font>
    <font>
      <sz val="10"/>
      <color theme="1"/>
      <name val="Trebuchet MS"/>
      <family val="2"/>
    </font>
    <font>
      <sz val="8"/>
      <color indexed="8"/>
      <name val="Arial"/>
      <family val="2"/>
    </font>
    <font>
      <sz val="10"/>
      <color indexed="8"/>
      <name val="Verdana"/>
      <family val="2"/>
    </font>
    <font>
      <sz val="11"/>
      <color indexed="8"/>
      <name val="Arial"/>
      <family val="2"/>
    </font>
    <font>
      <b/>
      <sz val="10"/>
      <color indexed="8"/>
      <name val="Verdana"/>
      <family val="2"/>
    </font>
    <font>
      <sz val="11"/>
      <color rgb="FFFFFFFF"/>
      <name val="Arial"/>
      <family val="2"/>
    </font>
    <font>
      <sz val="11"/>
      <color rgb="FF000000"/>
      <name val="Arial"/>
      <family val="2"/>
    </font>
    <font>
      <b/>
      <sz val="12"/>
      <color rgb="FF000000"/>
      <name val="Arial"/>
      <family val="2"/>
    </font>
    <font>
      <sz val="8"/>
      <name val="Arial"/>
      <family val="2"/>
    </font>
    <font>
      <sz val="11"/>
      <color rgb="FFFF0000"/>
      <name val="Calibri"/>
      <family val="2"/>
      <scheme val="minor"/>
    </font>
    <font>
      <sz val="11"/>
      <color indexed="8"/>
      <name val="Calibri"/>
      <family val="2"/>
      <scheme val="minor"/>
    </font>
    <font>
      <sz val="10"/>
      <color theme="6" tint="-0.249977111117893"/>
      <name val="Arial"/>
      <family val="2"/>
    </font>
    <font>
      <b/>
      <sz val="10"/>
      <name val="Arial"/>
      <family val="2"/>
    </font>
    <font>
      <sz val="10"/>
      <color rgb="FF000000"/>
      <name val="Times New Roman"/>
      <family val="1"/>
    </font>
    <font>
      <sz val="9"/>
      <name val="Microsoft Sans Serif"/>
      <family val="2"/>
    </font>
    <font>
      <sz val="8"/>
      <name val="Calibri"/>
      <family val="2"/>
      <scheme val="minor"/>
    </font>
    <font>
      <sz val="11"/>
      <name val="Aptos Serif"/>
      <family val="1"/>
    </font>
    <font>
      <b/>
      <sz val="11"/>
      <name val="Aptos Serif"/>
      <family val="1"/>
    </font>
    <font>
      <b/>
      <sz val="11"/>
      <color theme="1"/>
      <name val="Aptos Serif"/>
      <family val="1"/>
    </font>
    <font>
      <b/>
      <u/>
      <sz val="11"/>
      <name val="Aptos Serif"/>
      <family val="1"/>
    </font>
    <font>
      <sz val="11"/>
      <color theme="1"/>
      <name val="Aptos Serif"/>
      <family val="1"/>
    </font>
    <font>
      <sz val="11"/>
      <color rgb="FF000000"/>
      <name val="Aptos Serif"/>
      <family val="1"/>
    </font>
    <font>
      <b/>
      <sz val="11"/>
      <color rgb="FF000000"/>
      <name val="Aptos Serif"/>
      <family val="1"/>
    </font>
    <font>
      <sz val="11"/>
      <color rgb="FF333333"/>
      <name val="Aptos Serif"/>
      <family val="1"/>
    </font>
    <font>
      <u/>
      <sz val="11"/>
      <name val="Aptos Serif"/>
      <family val="1"/>
    </font>
    <font>
      <b/>
      <sz val="11"/>
      <color rgb="FFDC6900"/>
      <name val="Aptos Serif"/>
      <family val="1"/>
    </font>
    <font>
      <b/>
      <sz val="12"/>
      <name val="Aptos Serif"/>
      <family val="1"/>
    </font>
    <font>
      <i/>
      <sz val="11"/>
      <name val="Aptos Serif"/>
      <family val="1"/>
    </font>
    <font>
      <b/>
      <sz val="12"/>
      <color theme="1"/>
      <name val="Aptos Serif"/>
      <family val="1"/>
    </font>
    <font>
      <sz val="10"/>
      <name val="Aptos Serif"/>
      <family val="1"/>
    </font>
    <font>
      <b/>
      <sz val="10"/>
      <name val="Aptos Serif"/>
      <family val="1"/>
    </font>
    <font>
      <b/>
      <sz val="10"/>
      <color rgb="FF000000"/>
      <name val="Aptos Serif"/>
      <family val="1"/>
    </font>
    <font>
      <sz val="10"/>
      <color rgb="FF000000"/>
      <name val="Aptos Serif"/>
      <family val="1"/>
    </font>
    <font>
      <sz val="11"/>
      <color rgb="FFFF0000"/>
      <name val="Aptos Serif"/>
      <family val="1"/>
    </font>
    <font>
      <sz val="11"/>
      <color rgb="FF000000"/>
      <name val="Calibri"/>
      <family val="2"/>
    </font>
    <font>
      <i/>
      <sz val="10"/>
      <name val="Aptos Serif"/>
      <family val="1"/>
    </font>
    <font>
      <b/>
      <i/>
      <sz val="11"/>
      <name val="Aptos Serif"/>
      <family val="1"/>
    </font>
  </fonts>
  <fills count="2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FFFF00"/>
        <bgColor indexed="64"/>
      </patternFill>
    </fill>
    <fill>
      <patternFill patternType="solid">
        <fgColor rgb="FF333A45"/>
      </patternFill>
    </fill>
    <fill>
      <patternFill patternType="solid">
        <fgColor rgb="FFF5F5F5"/>
      </patternFill>
    </fill>
    <fill>
      <patternFill patternType="solid">
        <fgColor rgb="FFFFFFFF"/>
      </patternFill>
    </fill>
    <fill>
      <patternFill patternType="solid">
        <fgColor rgb="FF92D050"/>
        <bgColor indexed="64"/>
      </patternFill>
    </fill>
  </fills>
  <borders count="8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style="thin">
        <color auto="1"/>
      </left>
      <right style="thin">
        <color indexed="64"/>
      </right>
      <top style="double">
        <color indexed="64"/>
      </top>
      <bottom/>
      <diagonal/>
    </border>
    <border>
      <left style="thin">
        <color rgb="FFD5D5D5"/>
      </left>
      <right style="thin">
        <color rgb="FFD5D5D5"/>
      </right>
      <top style="thin">
        <color rgb="FFD5D5D5"/>
      </top>
      <bottom style="thin">
        <color rgb="FFD5D5D5"/>
      </bottom>
      <diagonal/>
    </border>
    <border>
      <left/>
      <right style="medium">
        <color indexed="64"/>
      </right>
      <top style="thin">
        <color indexed="64"/>
      </top>
      <bottom style="double">
        <color indexed="64"/>
      </bottom>
      <diagonal/>
    </border>
    <border>
      <left style="medium">
        <color indexed="64"/>
      </left>
      <right/>
      <top style="thin">
        <color indexed="64"/>
      </top>
      <bottom/>
      <diagonal/>
    </border>
    <border>
      <left style="thin">
        <color indexed="64"/>
      </left>
      <right style="medium">
        <color indexed="64"/>
      </right>
      <top style="thin">
        <color indexed="64"/>
      </top>
      <bottom style="double">
        <color indexed="64"/>
      </bottom>
      <diagonal/>
    </border>
    <border>
      <left/>
      <right/>
      <top style="medium">
        <color indexed="64"/>
      </top>
      <bottom style="thin">
        <color indexed="64"/>
      </bottom>
      <diagonal/>
    </border>
    <border>
      <left style="medium">
        <color indexed="64"/>
      </left>
      <right/>
      <top/>
      <bottom style="thin">
        <color indexed="64"/>
      </bottom>
      <diagonal/>
    </border>
    <border>
      <left style="thin">
        <color rgb="FFD5D5D5"/>
      </left>
      <right style="thin">
        <color rgb="FFD5D5D5"/>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double">
        <color indexed="64"/>
      </bottom>
      <diagonal/>
    </border>
  </borders>
  <cellStyleXfs count="129">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9" borderId="0" applyNumberFormat="0" applyBorder="0" applyAlignment="0" applyProtection="0"/>
    <xf numFmtId="0" fontId="20" fillId="3" borderId="0" applyNumberFormat="0" applyBorder="0" applyAlignment="0" applyProtection="0"/>
    <xf numFmtId="0" fontId="21" fillId="20" borderId="1" applyNumberFormat="0" applyAlignment="0" applyProtection="0"/>
    <xf numFmtId="0" fontId="22" fillId="21" borderId="2" applyNumberFormat="0" applyAlignment="0" applyProtection="0"/>
    <xf numFmtId="167" fontId="17" fillId="0" borderId="0" applyFill="0" applyBorder="0" applyAlignment="0" applyProtection="0"/>
    <xf numFmtId="167" fontId="35" fillId="0" borderId="0" applyFill="0" applyBorder="0" applyAlignment="0" applyProtection="0"/>
    <xf numFmtId="167" fontId="35" fillId="0" borderId="0" applyFill="0" applyBorder="0" applyAlignment="0" applyProtection="0"/>
    <xf numFmtId="166" fontId="35" fillId="0" borderId="0" applyFont="0" applyFill="0" applyBorder="0" applyAlignment="0" applyProtection="0"/>
    <xf numFmtId="166" fontId="35" fillId="0" borderId="0" applyFont="0" applyFill="0" applyBorder="0" applyAlignment="0" applyProtection="0"/>
    <xf numFmtId="166" fontId="35" fillId="0" borderId="0" applyFont="0" applyFill="0" applyBorder="0" applyAlignment="0" applyProtection="0"/>
    <xf numFmtId="166" fontId="35" fillId="0" borderId="0" applyFont="0" applyFill="0" applyBorder="0" applyAlignment="0" applyProtection="0"/>
    <xf numFmtId="166" fontId="35" fillId="0" borderId="0" applyFont="0" applyFill="0" applyBorder="0" applyAlignment="0" applyProtection="0"/>
    <xf numFmtId="169" fontId="35" fillId="0" borderId="0" applyFont="0" applyFill="0" applyBorder="0" applyAlignment="0" applyProtection="0"/>
    <xf numFmtId="169" fontId="35" fillId="0" borderId="0" applyFont="0" applyFill="0" applyBorder="0" applyAlignment="0" applyProtection="0"/>
    <xf numFmtId="164" fontId="35" fillId="0" borderId="0" applyFont="0" applyFill="0" applyBorder="0" applyAlignment="0" applyProtection="0"/>
    <xf numFmtId="166" fontId="35" fillId="0" borderId="0" applyFont="0" applyFill="0" applyBorder="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7" borderId="1" applyNumberFormat="0" applyAlignment="0" applyProtection="0"/>
    <xf numFmtId="0" fontId="29" fillId="0" borderId="6" applyNumberFormat="0" applyFill="0" applyAlignment="0" applyProtection="0"/>
    <xf numFmtId="0" fontId="30" fillId="22" borderId="0" applyNumberFormat="0" applyBorder="0" applyAlignment="0" applyProtection="0"/>
    <xf numFmtId="0" fontId="18" fillId="0" borderId="0"/>
    <xf numFmtId="0" fontId="35" fillId="0" borderId="0"/>
    <xf numFmtId="0" fontId="35" fillId="0" borderId="0"/>
    <xf numFmtId="0" fontId="35" fillId="0" borderId="0"/>
    <xf numFmtId="0" fontId="35" fillId="0" borderId="0"/>
    <xf numFmtId="0" fontId="35" fillId="0" borderId="0"/>
    <xf numFmtId="0" fontId="17" fillId="0" borderId="0"/>
    <xf numFmtId="0" fontId="35" fillId="23" borderId="7" applyNumberFormat="0" applyAlignment="0" applyProtection="0"/>
    <xf numFmtId="0" fontId="31" fillId="20" borderId="8" applyNumberFormat="0" applyAlignment="0" applyProtection="0"/>
    <xf numFmtId="9" fontId="35" fillId="0" borderId="0" applyFont="0" applyFill="0" applyBorder="0" applyAlignment="0" applyProtection="0"/>
    <xf numFmtId="0" fontId="36" fillId="0" borderId="0"/>
    <xf numFmtId="0" fontId="32" fillId="0" borderId="0" applyNumberFormat="0" applyFill="0" applyBorder="0" applyAlignment="0" applyProtection="0"/>
    <xf numFmtId="0" fontId="33" fillId="0" borderId="9" applyNumberFormat="0" applyFill="0" applyAlignment="0" applyProtection="0"/>
    <xf numFmtId="0" fontId="34" fillId="0" borderId="0" applyNumberFormat="0" applyFill="0" applyBorder="0" applyAlignment="0" applyProtection="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7" fillId="0" borderId="0"/>
    <xf numFmtId="0" fontId="15" fillId="0" borderId="0"/>
    <xf numFmtId="0" fontId="37" fillId="0" borderId="0"/>
    <xf numFmtId="0" fontId="17" fillId="0" borderId="0"/>
    <xf numFmtId="0" fontId="17" fillId="0" borderId="0"/>
    <xf numFmtId="0" fontId="14" fillId="0" borderId="0"/>
    <xf numFmtId="166" fontId="18"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0" fontId="14" fillId="0" borderId="0"/>
    <xf numFmtId="0" fontId="13" fillId="0" borderId="0"/>
    <xf numFmtId="0" fontId="12" fillId="0" borderId="0"/>
    <xf numFmtId="166" fontId="17" fillId="0" borderId="0" applyFont="0" applyFill="0" applyBorder="0" applyAlignment="0" applyProtection="0"/>
    <xf numFmtId="0" fontId="11" fillId="0" borderId="0"/>
    <xf numFmtId="0" fontId="17" fillId="0" borderId="0"/>
    <xf numFmtId="0" fontId="10" fillId="0" borderId="0"/>
    <xf numFmtId="0" fontId="10" fillId="0" borderId="0"/>
    <xf numFmtId="0" fontId="9" fillId="0" borderId="0"/>
    <xf numFmtId="0" fontId="8" fillId="0" borderId="0"/>
    <xf numFmtId="43" fontId="8" fillId="0" borderId="0" applyFont="0" applyFill="0" applyBorder="0" applyAlignment="0" applyProtection="0"/>
    <xf numFmtId="0" fontId="7" fillId="0" borderId="0"/>
    <xf numFmtId="0" fontId="7" fillId="0" borderId="0"/>
    <xf numFmtId="0" fontId="6" fillId="0" borderId="0"/>
    <xf numFmtId="0" fontId="17" fillId="0" borderId="0"/>
    <xf numFmtId="0" fontId="5" fillId="0" borderId="0"/>
    <xf numFmtId="0" fontId="5" fillId="0" borderId="0"/>
    <xf numFmtId="0" fontId="4" fillId="0" borderId="0"/>
    <xf numFmtId="0" fontId="4" fillId="0" borderId="0"/>
    <xf numFmtId="0" fontId="45" fillId="0" borderId="0" applyNumberFormat="0" applyFill="0" applyBorder="0" applyAlignment="0" applyProtection="0"/>
    <xf numFmtId="0" fontId="17" fillId="0" borderId="0"/>
    <xf numFmtId="166" fontId="4" fillId="0" borderId="0" applyFont="0" applyFill="0" applyBorder="0" applyAlignment="0" applyProtection="0"/>
    <xf numFmtId="166" fontId="50" fillId="0" borderId="0" applyFont="0" applyFill="0" applyBorder="0" applyAlignment="0" applyProtection="0"/>
    <xf numFmtId="173" fontId="4" fillId="0" borderId="0"/>
    <xf numFmtId="166" fontId="18" fillId="0" borderId="0" applyFont="0" applyFill="0" applyBorder="0" applyAlignment="0" applyProtection="0"/>
    <xf numFmtId="0" fontId="57" fillId="0" borderId="0"/>
    <xf numFmtId="0" fontId="2" fillId="0" borderId="0"/>
    <xf numFmtId="43" fontId="2" fillId="0" borderId="0" applyFont="0" applyFill="0" applyBorder="0" applyAlignment="0" applyProtection="0"/>
    <xf numFmtId="0" fontId="18" fillId="0" borderId="0"/>
    <xf numFmtId="173" fontId="18" fillId="0" borderId="0" applyFill="0" applyBorder="0" applyAlignment="0" applyProtection="0"/>
    <xf numFmtId="43" fontId="2" fillId="0" borderId="0"/>
    <xf numFmtId="174" fontId="2" fillId="0" borderId="0" applyFont="0" applyFill="0" applyBorder="0" applyAlignment="0" applyProtection="0"/>
    <xf numFmtId="0" fontId="60" fillId="0" borderId="0"/>
    <xf numFmtId="175" fontId="81" fillId="0" borderId="0"/>
    <xf numFmtId="175" fontId="81" fillId="0" borderId="0"/>
    <xf numFmtId="43" fontId="81" fillId="0" borderId="0" applyFont="0" applyFill="0" applyBorder="0" applyAlignment="0" applyProtection="0"/>
    <xf numFmtId="43" fontId="81" fillId="0" borderId="0" applyFont="0" applyFill="0" applyBorder="0" applyAlignment="0" applyProtection="0"/>
    <xf numFmtId="166" fontId="1" fillId="0" borderId="0" applyFont="0" applyFill="0" applyBorder="0" applyAlignment="0" applyProtection="0"/>
    <xf numFmtId="0" fontId="1" fillId="0" borderId="0"/>
    <xf numFmtId="9" fontId="81" fillId="0" borderId="0" applyFont="0" applyFill="0" applyBorder="0" applyAlignment="0" applyProtection="0"/>
    <xf numFmtId="9" fontId="81" fillId="0" borderId="0" applyFont="0" applyFill="0" applyBorder="0" applyAlignment="0" applyProtection="0"/>
    <xf numFmtId="0" fontId="1" fillId="0" borderId="0"/>
    <xf numFmtId="166"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75" fontId="81" fillId="0" borderId="0"/>
  </cellStyleXfs>
  <cellXfs count="961">
    <xf numFmtId="0" fontId="0" fillId="0" borderId="0" xfId="0"/>
    <xf numFmtId="2" fontId="0" fillId="0" borderId="0" xfId="0" applyNumberFormat="1"/>
    <xf numFmtId="1" fontId="0" fillId="0" borderId="0" xfId="0" applyNumberFormat="1"/>
    <xf numFmtId="0" fontId="4" fillId="0" borderId="0" xfId="98"/>
    <xf numFmtId="0" fontId="38" fillId="0" borderId="0" xfId="98" applyFont="1"/>
    <xf numFmtId="0" fontId="40" fillId="0" borderId="36" xfId="101" applyFont="1" applyBorder="1" applyAlignment="1">
      <alignment horizontal="center" vertical="center" wrapText="1"/>
    </xf>
    <xf numFmtId="0" fontId="40" fillId="0" borderId="15" xfId="101" applyFont="1" applyBorder="1" applyAlignment="1">
      <alignment horizontal="center" vertical="center" wrapText="1"/>
    </xf>
    <xf numFmtId="0" fontId="40" fillId="0" borderId="12" xfId="101" applyFont="1" applyBorder="1" applyAlignment="1">
      <alignment horizontal="center" vertical="center" wrapText="1"/>
    </xf>
    <xf numFmtId="0" fontId="40" fillId="0" borderId="37" xfId="101" applyFont="1" applyBorder="1" applyAlignment="1">
      <alignment horizontal="center" vertical="center" wrapText="1"/>
    </xf>
    <xf numFmtId="0" fontId="40" fillId="0" borderId="36" xfId="101" applyFont="1" applyBorder="1" applyAlignment="1">
      <alignment vertical="center"/>
    </xf>
    <xf numFmtId="0" fontId="40" fillId="0" borderId="12" xfId="101" applyFont="1" applyBorder="1" applyAlignment="1">
      <alignment vertical="center"/>
    </xf>
    <xf numFmtId="0" fontId="40" fillId="0" borderId="37" xfId="101" applyFont="1" applyBorder="1" applyAlignment="1">
      <alignment vertical="center"/>
    </xf>
    <xf numFmtId="168" fontId="46" fillId="0" borderId="12" xfId="102" applyNumberFormat="1" applyFont="1" applyFill="1" applyBorder="1" applyAlignment="1">
      <alignment vertical="center"/>
    </xf>
    <xf numFmtId="168" fontId="47" fillId="0" borderId="37" xfId="102" applyNumberFormat="1" applyFont="1" applyFill="1" applyBorder="1" applyAlignment="1">
      <alignment vertical="center"/>
    </xf>
    <xf numFmtId="2" fontId="48" fillId="0" borderId="0" xfId="98" applyNumberFormat="1" applyFont="1" applyAlignment="1">
      <alignment horizontal="right" wrapText="1"/>
    </xf>
    <xf numFmtId="166" fontId="4" fillId="0" borderId="0" xfId="98" applyNumberFormat="1"/>
    <xf numFmtId="172" fontId="40" fillId="0" borderId="12" xfId="101" applyNumberFormat="1" applyFont="1" applyBorder="1" applyAlignment="1">
      <alignment vertical="center"/>
    </xf>
    <xf numFmtId="172" fontId="41" fillId="0" borderId="12" xfId="101" applyNumberFormat="1" applyFont="1" applyBorder="1" applyAlignment="1">
      <alignment vertical="center"/>
    </xf>
    <xf numFmtId="0" fontId="41" fillId="0" borderId="36" xfId="101" applyFont="1" applyBorder="1" applyAlignment="1">
      <alignment horizontal="left" vertical="center"/>
    </xf>
    <xf numFmtId="0" fontId="40" fillId="0" borderId="36" xfId="101" applyFont="1" applyBorder="1" applyAlignment="1">
      <alignment horizontal="left" vertical="center"/>
    </xf>
    <xf numFmtId="172" fontId="40" fillId="0" borderId="12" xfId="102" applyNumberFormat="1" applyFont="1" applyFill="1" applyBorder="1" applyAlignment="1">
      <alignment vertical="center"/>
    </xf>
    <xf numFmtId="172" fontId="41" fillId="0" borderId="12" xfId="102" applyNumberFormat="1" applyFont="1" applyFill="1" applyBorder="1" applyAlignment="1">
      <alignment vertical="center"/>
    </xf>
    <xf numFmtId="172" fontId="4" fillId="0" borderId="0" xfId="98" applyNumberFormat="1"/>
    <xf numFmtId="0" fontId="41" fillId="0" borderId="12" xfId="98" applyFont="1" applyBorder="1"/>
    <xf numFmtId="0" fontId="43" fillId="0" borderId="37" xfId="98" applyFont="1" applyBorder="1"/>
    <xf numFmtId="0" fontId="43" fillId="0" borderId="36" xfId="98" applyFont="1" applyBorder="1"/>
    <xf numFmtId="168" fontId="40" fillId="0" borderId="12" xfId="102" applyNumberFormat="1" applyFont="1" applyFill="1" applyBorder="1"/>
    <xf numFmtId="168" fontId="41" fillId="0" borderId="12" xfId="102" applyNumberFormat="1" applyFont="1" applyFill="1" applyBorder="1"/>
    <xf numFmtId="172" fontId="40" fillId="0" borderId="12" xfId="98" applyNumberFormat="1" applyFont="1" applyBorder="1"/>
    <xf numFmtId="172" fontId="41" fillId="0" borderId="12" xfId="98" applyNumberFormat="1" applyFont="1" applyBorder="1"/>
    <xf numFmtId="0" fontId="4" fillId="0" borderId="37" xfId="98" applyBorder="1"/>
    <xf numFmtId="0" fontId="40" fillId="0" borderId="36" xfId="98" applyFont="1" applyBorder="1"/>
    <xf numFmtId="0" fontId="41" fillId="0" borderId="37" xfId="98" applyFont="1" applyBorder="1"/>
    <xf numFmtId="0" fontId="41" fillId="0" borderId="36" xfId="98" quotePrefix="1" applyFont="1" applyBorder="1"/>
    <xf numFmtId="168" fontId="41" fillId="0" borderId="37" xfId="98" quotePrefix="1" applyNumberFormat="1" applyFont="1" applyBorder="1"/>
    <xf numFmtId="0" fontId="41" fillId="0" borderId="0" xfId="98" quotePrefix="1" applyFont="1"/>
    <xf numFmtId="168" fontId="40" fillId="0" borderId="37" xfId="98" quotePrefix="1" applyNumberFormat="1" applyFont="1" applyBorder="1"/>
    <xf numFmtId="168" fontId="49" fillId="0" borderId="12" xfId="102" applyNumberFormat="1" applyFont="1" applyFill="1" applyBorder="1" applyAlignment="1">
      <alignment vertical="center"/>
    </xf>
    <xf numFmtId="168" fontId="49" fillId="0" borderId="37" xfId="102" applyNumberFormat="1" applyFont="1" applyFill="1" applyBorder="1" applyAlignment="1">
      <alignment vertical="center"/>
    </xf>
    <xf numFmtId="0" fontId="43" fillId="0" borderId="0" xfId="101" applyFont="1" applyAlignment="1">
      <alignment vertical="center"/>
    </xf>
    <xf numFmtId="165" fontId="49" fillId="0" borderId="12" xfId="103" quotePrefix="1" applyNumberFormat="1" applyFont="1" applyFill="1" applyBorder="1"/>
    <xf numFmtId="165" fontId="49" fillId="0" borderId="37" xfId="103" quotePrefix="1" applyNumberFormat="1" applyFont="1" applyFill="1" applyBorder="1"/>
    <xf numFmtId="0" fontId="43" fillId="0" borderId="36" xfId="98" applyFont="1" applyBorder="1" applyAlignment="1">
      <alignment horizontal="justify" vertical="center"/>
    </xf>
    <xf numFmtId="168" fontId="47" fillId="0" borderId="12" xfId="102" applyNumberFormat="1" applyFont="1" applyFill="1" applyBorder="1" applyAlignment="1">
      <alignment vertical="center"/>
    </xf>
    <xf numFmtId="168" fontId="51" fillId="0" borderId="12" xfId="102" applyNumberFormat="1" applyFont="1" applyFill="1" applyBorder="1" applyAlignment="1">
      <alignment vertical="center"/>
    </xf>
    <xf numFmtId="168" fontId="51" fillId="0" borderId="37" xfId="102" applyNumberFormat="1" applyFont="1" applyFill="1" applyBorder="1" applyAlignment="1">
      <alignment vertical="center"/>
    </xf>
    <xf numFmtId="0" fontId="44" fillId="0" borderId="36" xfId="98" applyFont="1" applyBorder="1"/>
    <xf numFmtId="0" fontId="43" fillId="0" borderId="12" xfId="98" applyFont="1" applyBorder="1"/>
    <xf numFmtId="168" fontId="42" fillId="0" borderId="12" xfId="98" applyNumberFormat="1" applyFont="1" applyBorder="1"/>
    <xf numFmtId="168" fontId="42" fillId="0" borderId="37" xfId="98" applyNumberFormat="1" applyFont="1" applyBorder="1"/>
    <xf numFmtId="168" fontId="43" fillId="0" borderId="12" xfId="98" applyNumberFormat="1" applyFont="1" applyBorder="1"/>
    <xf numFmtId="168" fontId="43" fillId="0" borderId="37" xfId="98" applyNumberFormat="1" applyFont="1" applyBorder="1"/>
    <xf numFmtId="0" fontId="44" fillId="0" borderId="12" xfId="98" applyFont="1" applyBorder="1"/>
    <xf numFmtId="0" fontId="44" fillId="0" borderId="37" xfId="98" applyFont="1" applyBorder="1"/>
    <xf numFmtId="0" fontId="43" fillId="0" borderId="22" xfId="98" applyFont="1" applyBorder="1"/>
    <xf numFmtId="0" fontId="44" fillId="0" borderId="38" xfId="98" applyFont="1" applyBorder="1"/>
    <xf numFmtId="168" fontId="42" fillId="0" borderId="39" xfId="98" applyNumberFormat="1" applyFont="1" applyBorder="1"/>
    <xf numFmtId="0" fontId="43" fillId="0" borderId="0" xfId="98" applyFont="1"/>
    <xf numFmtId="0" fontId="40" fillId="0" borderId="45" xfId="101" applyFont="1" applyBorder="1" applyAlignment="1">
      <alignment horizontal="center" vertical="center" wrapText="1"/>
    </xf>
    <xf numFmtId="0" fontId="40" fillId="0" borderId="0" xfId="101" applyFont="1" applyAlignment="1">
      <alignment horizontal="left" vertical="center"/>
    </xf>
    <xf numFmtId="0" fontId="41" fillId="0" borderId="43" xfId="101" applyFont="1" applyBorder="1" applyAlignment="1">
      <alignment horizontal="left" vertical="center" wrapText="1"/>
    </xf>
    <xf numFmtId="0" fontId="41" fillId="0" borderId="0" xfId="101" applyFont="1" applyAlignment="1">
      <alignment horizontal="left" vertical="center" wrapText="1"/>
    </xf>
    <xf numFmtId="0" fontId="41" fillId="0" borderId="45" xfId="101" applyFont="1" applyBorder="1" applyAlignment="1">
      <alignment horizontal="right" vertical="center" wrapText="1"/>
    </xf>
    <xf numFmtId="0" fontId="41" fillId="0" borderId="36" xfId="101" applyFont="1" applyBorder="1" applyAlignment="1">
      <alignment horizontal="left" vertical="center" wrapText="1"/>
    </xf>
    <xf numFmtId="0" fontId="41" fillId="0" borderId="12" xfId="101" applyFont="1" applyBorder="1" applyAlignment="1">
      <alignment horizontal="left" vertical="center" wrapText="1"/>
    </xf>
    <xf numFmtId="0" fontId="41" fillId="0" borderId="37" xfId="101" applyFont="1" applyBorder="1" applyAlignment="1">
      <alignment horizontal="right" vertical="center" wrapText="1"/>
    </xf>
    <xf numFmtId="0" fontId="40" fillId="0" borderId="12" xfId="101" applyFont="1" applyBorder="1" applyAlignment="1">
      <alignment horizontal="left" vertical="center"/>
    </xf>
    <xf numFmtId="1" fontId="40" fillId="0" borderId="37" xfId="101" applyNumberFormat="1" applyFont="1" applyBorder="1" applyAlignment="1">
      <alignment horizontal="right" vertical="center" wrapText="1"/>
    </xf>
    <xf numFmtId="168" fontId="40" fillId="0" borderId="12" xfId="102" applyNumberFormat="1" applyFont="1" applyFill="1" applyBorder="1" applyAlignment="1">
      <alignment vertical="center"/>
    </xf>
    <xf numFmtId="0" fontId="41" fillId="0" borderId="38" xfId="101" applyFont="1" applyBorder="1" applyAlignment="1">
      <alignment horizontal="left" vertical="center"/>
    </xf>
    <xf numFmtId="0" fontId="41" fillId="0" borderId="26" xfId="101" applyFont="1" applyBorder="1" applyAlignment="1">
      <alignment horizontal="left" vertical="center"/>
    </xf>
    <xf numFmtId="168" fontId="51" fillId="0" borderId="28" xfId="102" applyNumberFormat="1" applyFont="1" applyFill="1" applyBorder="1" applyAlignment="1">
      <alignment vertical="center"/>
    </xf>
    <xf numFmtId="0" fontId="44" fillId="0" borderId="0" xfId="98" applyFont="1"/>
    <xf numFmtId="0" fontId="40" fillId="0" borderId="0" xfId="101" applyFont="1" applyAlignment="1">
      <alignment vertical="center"/>
    </xf>
    <xf numFmtId="0" fontId="40" fillId="0" borderId="13" xfId="101" applyFont="1" applyBorder="1" applyAlignment="1">
      <alignment horizontal="center" vertical="center" wrapText="1"/>
    </xf>
    <xf numFmtId="0" fontId="41" fillId="0" borderId="12" xfId="101" applyFont="1" applyBorder="1" applyAlignment="1">
      <alignment horizontal="left" vertical="center"/>
    </xf>
    <xf numFmtId="168" fontId="43" fillId="0" borderId="12" xfId="102" applyNumberFormat="1" applyFont="1" applyFill="1" applyBorder="1"/>
    <xf numFmtId="0" fontId="42" fillId="0" borderId="12" xfId="98" applyFont="1" applyBorder="1"/>
    <xf numFmtId="0" fontId="41" fillId="0" borderId="12" xfId="101" applyFont="1" applyBorder="1" applyAlignment="1">
      <alignment vertical="center"/>
    </xf>
    <xf numFmtId="168" fontId="41" fillId="0" borderId="12" xfId="102" applyNumberFormat="1" applyFont="1" applyFill="1" applyBorder="1" applyAlignment="1">
      <alignment vertical="center"/>
    </xf>
    <xf numFmtId="0" fontId="41" fillId="0" borderId="11" xfId="101" applyFont="1" applyBorder="1" applyAlignment="1">
      <alignment vertical="center"/>
    </xf>
    <xf numFmtId="1" fontId="40" fillId="0" borderId="12" xfId="101" applyNumberFormat="1" applyFont="1" applyBorder="1" applyAlignment="1">
      <alignment vertical="center"/>
    </xf>
    <xf numFmtId="168" fontId="40" fillId="0" borderId="64" xfId="102" applyNumberFormat="1" applyFont="1" applyFill="1" applyBorder="1" applyAlignment="1">
      <alignment vertical="center"/>
    </xf>
    <xf numFmtId="1" fontId="40" fillId="0" borderId="65" xfId="101" applyNumberFormat="1" applyFont="1" applyBorder="1" applyAlignment="1">
      <alignment vertical="center"/>
    </xf>
    <xf numFmtId="1" fontId="40" fillId="0" borderId="67" xfId="101" applyNumberFormat="1" applyFont="1" applyBorder="1" applyAlignment="1">
      <alignment vertical="center"/>
    </xf>
    <xf numFmtId="168" fontId="49" fillId="0" borderId="12" xfId="102" applyNumberFormat="1" applyFont="1" applyFill="1" applyBorder="1" applyAlignment="1">
      <alignment horizontal="right" wrapText="1"/>
    </xf>
    <xf numFmtId="0" fontId="41" fillId="0" borderId="14" xfId="101" applyFont="1" applyBorder="1" applyAlignment="1">
      <alignment vertical="center"/>
    </xf>
    <xf numFmtId="168" fontId="40" fillId="0" borderId="13" xfId="102" applyNumberFormat="1" applyFont="1" applyFill="1" applyBorder="1" applyAlignment="1">
      <alignment vertical="center"/>
    </xf>
    <xf numFmtId="0" fontId="4" fillId="0" borderId="13" xfId="98" applyBorder="1"/>
    <xf numFmtId="0" fontId="39" fillId="0" borderId="13" xfId="98" applyFont="1" applyBorder="1"/>
    <xf numFmtId="0" fontId="41" fillId="0" borderId="11" xfId="101" applyFont="1" applyBorder="1" applyAlignment="1">
      <alignment horizontal="left" vertical="center"/>
    </xf>
    <xf numFmtId="0" fontId="40" fillId="0" borderId="52" xfId="101" applyFont="1" applyBorder="1" applyAlignment="1">
      <alignment horizontal="center" vertical="center" wrapText="1"/>
    </xf>
    <xf numFmtId="0" fontId="41" fillId="0" borderId="11" xfId="101" applyFont="1" applyBorder="1" applyAlignment="1">
      <alignment horizontal="left" vertical="center" indent="1"/>
    </xf>
    <xf numFmtId="0" fontId="3" fillId="0" borderId="11" xfId="98" applyFont="1" applyBorder="1"/>
    <xf numFmtId="170" fontId="17" fillId="0" borderId="12" xfId="28" applyNumberFormat="1" applyFill="1" applyBorder="1"/>
    <xf numFmtId="0" fontId="40" fillId="0" borderId="22" xfId="101" applyFont="1" applyBorder="1" applyAlignment="1">
      <alignment horizontal="center" vertical="center" wrapText="1"/>
    </xf>
    <xf numFmtId="0" fontId="40" fillId="0" borderId="11" xfId="101" applyFont="1" applyBorder="1" applyAlignment="1">
      <alignment horizontal="center" vertical="center" wrapText="1"/>
    </xf>
    <xf numFmtId="0" fontId="40" fillId="0" borderId="11" xfId="101" applyFont="1" applyBorder="1" applyAlignment="1">
      <alignment vertical="center"/>
    </xf>
    <xf numFmtId="0" fontId="40" fillId="0" borderId="22" xfId="101" applyFont="1" applyBorder="1" applyAlignment="1">
      <alignment vertical="center"/>
    </xf>
    <xf numFmtId="168" fontId="47" fillId="0" borderId="22" xfId="102" applyNumberFormat="1" applyFont="1" applyFill="1" applyBorder="1" applyAlignment="1">
      <alignment vertical="center"/>
    </xf>
    <xf numFmtId="172" fontId="42" fillId="0" borderId="22" xfId="101" applyNumberFormat="1" applyFont="1" applyBorder="1" applyAlignment="1">
      <alignment vertical="center"/>
    </xf>
    <xf numFmtId="172" fontId="43" fillId="0" borderId="22" xfId="101" applyNumberFormat="1" applyFont="1" applyBorder="1" applyAlignment="1">
      <alignment vertical="center"/>
    </xf>
    <xf numFmtId="0" fontId="40" fillId="0" borderId="11" xfId="101" applyFont="1" applyBorder="1" applyAlignment="1">
      <alignment horizontal="left" vertical="center" wrapText="1"/>
    </xf>
    <xf numFmtId="0" fontId="40" fillId="0" borderId="11" xfId="101" applyFont="1" applyBorder="1" applyAlignment="1">
      <alignment horizontal="left" vertical="center"/>
    </xf>
    <xf numFmtId="0" fontId="41" fillId="0" borderId="11" xfId="101" quotePrefix="1" applyFont="1" applyBorder="1" applyAlignment="1">
      <alignment vertical="center"/>
    </xf>
    <xf numFmtId="172" fontId="41" fillId="0" borderId="22" xfId="102" applyNumberFormat="1" applyFont="1" applyFill="1" applyBorder="1" applyAlignment="1">
      <alignment vertical="center"/>
    </xf>
    <xf numFmtId="172" fontId="40" fillId="0" borderId="22" xfId="102" applyNumberFormat="1" applyFont="1" applyFill="1" applyBorder="1" applyAlignment="1">
      <alignment vertical="center"/>
    </xf>
    <xf numFmtId="0" fontId="42" fillId="0" borderId="11" xfId="98" applyFont="1" applyBorder="1"/>
    <xf numFmtId="0" fontId="43" fillId="0" borderId="11" xfId="98" applyFont="1" applyBorder="1"/>
    <xf numFmtId="168" fontId="42" fillId="0" borderId="22" xfId="102" applyNumberFormat="1" applyFont="1" applyFill="1" applyBorder="1"/>
    <xf numFmtId="168" fontId="43" fillId="0" borderId="22" xfId="102" applyNumberFormat="1" applyFont="1" applyFill="1" applyBorder="1"/>
    <xf numFmtId="172" fontId="40" fillId="0" borderId="22" xfId="98" applyNumberFormat="1" applyFont="1" applyBorder="1"/>
    <xf numFmtId="172" fontId="42" fillId="0" borderId="22" xfId="98" applyNumberFormat="1" applyFont="1" applyBorder="1"/>
    <xf numFmtId="0" fontId="40" fillId="0" borderId="11" xfId="101" applyFont="1" applyBorder="1" applyAlignment="1">
      <alignment horizontal="left"/>
    </xf>
    <xf numFmtId="172" fontId="43" fillId="0" borderId="22" xfId="98" applyNumberFormat="1" applyFont="1" applyBorder="1"/>
    <xf numFmtId="170" fontId="17" fillId="0" borderId="22" xfId="28" applyNumberFormat="1" applyFill="1" applyBorder="1"/>
    <xf numFmtId="170" fontId="17" fillId="0" borderId="12" xfId="28" applyNumberFormat="1" applyBorder="1"/>
    <xf numFmtId="0" fontId="43" fillId="0" borderId="17" xfId="98" applyFont="1" applyBorder="1"/>
    <xf numFmtId="168" fontId="40" fillId="0" borderId="14" xfId="102" applyNumberFormat="1" applyFont="1" applyFill="1" applyBorder="1"/>
    <xf numFmtId="168" fontId="42" fillId="0" borderId="31" xfId="102" applyNumberFormat="1" applyFont="1" applyFill="1" applyBorder="1"/>
    <xf numFmtId="0" fontId="39" fillId="0" borderId="0" xfId="0" applyFont="1"/>
    <xf numFmtId="0" fontId="39" fillId="0" borderId="0" xfId="0" applyFont="1" applyAlignment="1">
      <alignment wrapText="1"/>
    </xf>
    <xf numFmtId="14" fontId="0" fillId="0" borderId="0" xfId="0" applyNumberFormat="1"/>
    <xf numFmtId="0" fontId="0" fillId="24" borderId="0" xfId="0" applyFill="1"/>
    <xf numFmtId="14" fontId="0" fillId="0" borderId="0" xfId="0" applyNumberFormat="1" applyAlignment="1">
      <alignment horizontal="right"/>
    </xf>
    <xf numFmtId="0" fontId="56" fillId="0" borderId="0" xfId="0" applyFont="1"/>
    <xf numFmtId="1" fontId="39" fillId="0" borderId="0" xfId="0" applyNumberFormat="1" applyFont="1"/>
    <xf numFmtId="0" fontId="0" fillId="0" borderId="0" xfId="0" applyAlignment="1">
      <alignment horizontal="right"/>
    </xf>
    <xf numFmtId="168" fontId="47" fillId="0" borderId="45" xfId="102" applyNumberFormat="1" applyFont="1" applyFill="1" applyBorder="1" applyAlignment="1">
      <alignment vertical="center"/>
    </xf>
    <xf numFmtId="168" fontId="41" fillId="0" borderId="12" xfId="102" applyNumberFormat="1" applyFont="1" applyFill="1" applyBorder="1" applyAlignment="1">
      <alignment horizontal="right" vertical="center" wrapText="1"/>
    </xf>
    <xf numFmtId="168" fontId="40" fillId="0" borderId="12" xfId="102" applyNumberFormat="1" applyFont="1" applyFill="1" applyBorder="1" applyAlignment="1">
      <alignment horizontal="right" vertical="center" wrapText="1"/>
    </xf>
    <xf numFmtId="168" fontId="43" fillId="0" borderId="12" xfId="102" applyNumberFormat="1" applyFont="1" applyBorder="1"/>
    <xf numFmtId="168" fontId="51" fillId="0" borderId="14" xfId="102" applyNumberFormat="1" applyFont="1" applyFill="1" applyBorder="1" applyAlignment="1">
      <alignment vertical="center"/>
    </xf>
    <xf numFmtId="0" fontId="40" fillId="0" borderId="56" xfId="101" applyFont="1" applyBorder="1" applyAlignment="1">
      <alignment horizontal="center" vertical="center" wrapText="1"/>
    </xf>
    <xf numFmtId="0" fontId="40" fillId="0" borderId="37" xfId="101" applyFont="1" applyBorder="1" applyAlignment="1">
      <alignment horizontal="right" vertical="center" wrapText="1"/>
    </xf>
    <xf numFmtId="168" fontId="43" fillId="0" borderId="37" xfId="102" applyNumberFormat="1" applyFont="1" applyBorder="1"/>
    <xf numFmtId="168" fontId="51" fillId="0" borderId="54" xfId="102" applyNumberFormat="1" applyFont="1" applyFill="1" applyBorder="1" applyAlignment="1">
      <alignment vertical="center"/>
    </xf>
    <xf numFmtId="168" fontId="46" fillId="0" borderId="22" xfId="102" applyNumberFormat="1" applyFont="1" applyFill="1" applyBorder="1" applyAlignment="1">
      <alignment vertical="center"/>
    </xf>
    <xf numFmtId="4" fontId="0" fillId="0" borderId="0" xfId="0" applyNumberFormat="1"/>
    <xf numFmtId="14" fontId="58" fillId="0" borderId="0" xfId="0" applyNumberFormat="1" applyFont="1"/>
    <xf numFmtId="0" fontId="58" fillId="0" borderId="0" xfId="0" applyFont="1"/>
    <xf numFmtId="14" fontId="58" fillId="0" borderId="0" xfId="0" applyNumberFormat="1" applyFont="1" applyAlignment="1">
      <alignment horizontal="right"/>
    </xf>
    <xf numFmtId="0" fontId="59" fillId="0" borderId="0" xfId="0" applyFont="1"/>
    <xf numFmtId="1" fontId="59" fillId="0" borderId="0" xfId="0" applyNumberFormat="1" applyFont="1"/>
    <xf numFmtId="0" fontId="1" fillId="0" borderId="13" xfId="98" applyFont="1" applyBorder="1"/>
    <xf numFmtId="0" fontId="1" fillId="0" borderId="0" xfId="98" applyFont="1"/>
    <xf numFmtId="0" fontId="40" fillId="0" borderId="70" xfId="101" applyFont="1" applyBorder="1" applyAlignment="1">
      <alignment horizontal="center" vertical="center" wrapText="1"/>
    </xf>
    <xf numFmtId="0" fontId="41" fillId="0" borderId="73" xfId="101" applyFont="1" applyBorder="1" applyAlignment="1">
      <alignment horizontal="left" vertical="center"/>
    </xf>
    <xf numFmtId="4" fontId="43" fillId="0" borderId="12" xfId="98" applyNumberFormat="1" applyFont="1" applyBorder="1"/>
    <xf numFmtId="168" fontId="42" fillId="0" borderId="45" xfId="98" applyNumberFormat="1" applyFont="1" applyBorder="1"/>
    <xf numFmtId="0" fontId="40" fillId="0" borderId="59" xfId="101" applyFont="1" applyBorder="1" applyAlignment="1">
      <alignment vertical="center"/>
    </xf>
    <xf numFmtId="0" fontId="40" fillId="0" borderId="39" xfId="101" applyFont="1" applyBorder="1" applyAlignment="1">
      <alignment vertical="center" wrapText="1"/>
    </xf>
    <xf numFmtId="168" fontId="41" fillId="0" borderId="22" xfId="98" quotePrefix="1" applyNumberFormat="1" applyFont="1" applyBorder="1"/>
    <xf numFmtId="165" fontId="49" fillId="0" borderId="22" xfId="103" quotePrefix="1" applyNumberFormat="1" applyFont="1" applyFill="1" applyBorder="1"/>
    <xf numFmtId="168" fontId="43" fillId="0" borderId="22" xfId="98" applyNumberFormat="1" applyFont="1" applyBorder="1"/>
    <xf numFmtId="168" fontId="49" fillId="0" borderId="22" xfId="102" applyNumberFormat="1" applyFont="1" applyFill="1" applyBorder="1" applyAlignment="1">
      <alignment vertical="center"/>
    </xf>
    <xf numFmtId="0" fontId="40" fillId="0" borderId="60" xfId="101" applyFont="1" applyBorder="1" applyAlignment="1">
      <alignment horizontal="center" vertical="center" wrapText="1"/>
    </xf>
    <xf numFmtId="0" fontId="40" fillId="0" borderId="46" xfId="101" applyFont="1" applyBorder="1" applyAlignment="1">
      <alignment horizontal="center" vertical="center" wrapText="1"/>
    </xf>
    <xf numFmtId="0" fontId="41" fillId="0" borderId="45" xfId="98" applyFont="1" applyBorder="1"/>
    <xf numFmtId="168" fontId="41" fillId="0" borderId="45" xfId="98" quotePrefix="1" applyNumberFormat="1" applyFont="1" applyBorder="1"/>
    <xf numFmtId="168" fontId="40" fillId="0" borderId="45" xfId="98" quotePrefix="1" applyNumberFormat="1" applyFont="1" applyBorder="1"/>
    <xf numFmtId="168" fontId="40" fillId="0" borderId="45" xfId="101" applyNumberFormat="1" applyFont="1" applyBorder="1" applyAlignment="1">
      <alignment horizontal="center" vertical="center" wrapText="1"/>
    </xf>
    <xf numFmtId="0" fontId="40" fillId="0" borderId="45" xfId="101" applyFont="1" applyBorder="1" applyAlignment="1">
      <alignment vertical="center"/>
    </xf>
    <xf numFmtId="168" fontId="49" fillId="0" borderId="45" xfId="102" applyNumberFormat="1" applyFont="1" applyFill="1" applyBorder="1" applyAlignment="1">
      <alignment vertical="center"/>
    </xf>
    <xf numFmtId="165" fontId="49" fillId="0" borderId="45" xfId="103" quotePrefix="1" applyNumberFormat="1" applyFont="1" applyFill="1" applyBorder="1"/>
    <xf numFmtId="168" fontId="43" fillId="0" borderId="45" xfId="98" applyNumberFormat="1" applyFont="1" applyBorder="1"/>
    <xf numFmtId="172" fontId="40" fillId="0" borderId="45" xfId="102" applyNumberFormat="1" applyFont="1" applyFill="1" applyBorder="1" applyAlignment="1">
      <alignment vertical="center"/>
    </xf>
    <xf numFmtId="0" fontId="4" fillId="0" borderId="45" xfId="98" applyBorder="1"/>
    <xf numFmtId="168" fontId="51" fillId="0" borderId="45" xfId="102" applyNumberFormat="1" applyFont="1" applyFill="1" applyBorder="1" applyAlignment="1">
      <alignment vertical="center"/>
    </xf>
    <xf numFmtId="0" fontId="43" fillId="0" borderId="45" xfId="98" applyFont="1" applyBorder="1"/>
    <xf numFmtId="0" fontId="44" fillId="0" borderId="45" xfId="98" applyFont="1" applyBorder="1"/>
    <xf numFmtId="168" fontId="42" fillId="0" borderId="28" xfId="98" applyNumberFormat="1" applyFont="1" applyBorder="1"/>
    <xf numFmtId="0" fontId="61" fillId="0" borderId="12" xfId="101" applyFont="1" applyBorder="1" applyAlignment="1">
      <alignment horizontal="left" vertical="center"/>
    </xf>
    <xf numFmtId="0" fontId="40" fillId="0" borderId="34" xfId="101" applyFont="1" applyBorder="1" applyAlignment="1">
      <alignment horizontal="center" vertical="center" wrapText="1"/>
    </xf>
    <xf numFmtId="168" fontId="41" fillId="0" borderId="12" xfId="98" quotePrefix="1" applyNumberFormat="1" applyFont="1" applyBorder="1"/>
    <xf numFmtId="168" fontId="40" fillId="0" borderId="12" xfId="98" quotePrefix="1" applyNumberFormat="1" applyFont="1" applyBorder="1"/>
    <xf numFmtId="168" fontId="40" fillId="0" borderId="12" xfId="101" applyNumberFormat="1" applyFont="1" applyBorder="1" applyAlignment="1">
      <alignment horizontal="center" vertical="center" wrapText="1"/>
    </xf>
    <xf numFmtId="0" fontId="4" fillId="0" borderId="12" xfId="98" applyBorder="1"/>
    <xf numFmtId="168" fontId="42" fillId="0" borderId="27" xfId="98" applyNumberFormat="1" applyFont="1" applyBorder="1"/>
    <xf numFmtId="167" fontId="62" fillId="0" borderId="13" xfId="28" applyFont="1" applyFill="1" applyBorder="1" applyAlignment="1">
      <alignment horizontal="left" vertical="top"/>
    </xf>
    <xf numFmtId="0" fontId="59" fillId="0" borderId="0" xfId="0" applyFont="1" applyAlignment="1">
      <alignment wrapText="1"/>
    </xf>
    <xf numFmtId="2" fontId="59" fillId="0" borderId="0" xfId="0" applyNumberFormat="1" applyFont="1"/>
    <xf numFmtId="170" fontId="59" fillId="0" borderId="0" xfId="28" applyNumberFormat="1" applyFont="1"/>
    <xf numFmtId="170" fontId="17" fillId="0" borderId="11" xfId="28" applyNumberFormat="1" applyBorder="1"/>
    <xf numFmtId="168" fontId="0" fillId="0" borderId="13" xfId="102" applyNumberFormat="1" applyFont="1" applyFill="1" applyBorder="1"/>
    <xf numFmtId="168" fontId="0" fillId="0" borderId="13" xfId="102" applyNumberFormat="1" applyFont="1" applyBorder="1"/>
    <xf numFmtId="168" fontId="4" fillId="0" borderId="13" xfId="98" applyNumberFormat="1" applyBorder="1"/>
    <xf numFmtId="0" fontId="41" fillId="24" borderId="12" xfId="101" applyFont="1" applyFill="1" applyBorder="1" applyAlignment="1">
      <alignment vertical="center"/>
    </xf>
    <xf numFmtId="168" fontId="43" fillId="24" borderId="12" xfId="102" applyNumberFormat="1" applyFont="1" applyFill="1" applyBorder="1"/>
    <xf numFmtId="168" fontId="49" fillId="24" borderId="12" xfId="102" applyNumberFormat="1" applyFont="1" applyFill="1" applyBorder="1" applyAlignment="1">
      <alignment vertical="center"/>
    </xf>
    <xf numFmtId="168" fontId="41" fillId="24" borderId="12" xfId="102" applyNumberFormat="1" applyFont="1" applyFill="1" applyBorder="1" applyAlignment="1">
      <alignment vertical="center"/>
    </xf>
    <xf numFmtId="168" fontId="43" fillId="24" borderId="12" xfId="98" applyNumberFormat="1" applyFont="1" applyFill="1" applyBorder="1"/>
    <xf numFmtId="165" fontId="49" fillId="24" borderId="12" xfId="103" quotePrefix="1" applyNumberFormat="1" applyFont="1" applyFill="1" applyBorder="1"/>
    <xf numFmtId="3" fontId="41" fillId="24" borderId="11" xfId="101" applyNumberFormat="1" applyFont="1" applyFill="1" applyBorder="1" applyAlignment="1">
      <alignment vertical="center"/>
    </xf>
    <xf numFmtId="168" fontId="46" fillId="24" borderId="12" xfId="102" applyNumberFormat="1" applyFont="1" applyFill="1" applyBorder="1" applyAlignment="1">
      <alignment vertical="center"/>
    </xf>
    <xf numFmtId="3" fontId="41" fillId="24" borderId="12" xfId="101" applyNumberFormat="1" applyFont="1" applyFill="1" applyBorder="1" applyAlignment="1">
      <alignment horizontal="right" vertical="center" wrapText="1"/>
    </xf>
    <xf numFmtId="172" fontId="41" fillId="24" borderId="12" xfId="101" applyNumberFormat="1" applyFont="1" applyFill="1" applyBorder="1" applyAlignment="1">
      <alignment vertical="center"/>
    </xf>
    <xf numFmtId="172" fontId="41" fillId="24" borderId="12" xfId="102" applyNumberFormat="1" applyFont="1" applyFill="1" applyBorder="1" applyAlignment="1">
      <alignment vertical="center"/>
    </xf>
    <xf numFmtId="3" fontId="41" fillId="24" borderId="11" xfId="101" applyNumberFormat="1" applyFont="1" applyFill="1" applyBorder="1" applyAlignment="1">
      <alignment horizontal="right" vertical="center"/>
    </xf>
    <xf numFmtId="168" fontId="40" fillId="24" borderId="12" xfId="102" applyNumberFormat="1" applyFont="1" applyFill="1" applyBorder="1"/>
    <xf numFmtId="0" fontId="63" fillId="0" borderId="0" xfId="0" applyFont="1"/>
    <xf numFmtId="0" fontId="63" fillId="0" borderId="0" xfId="0" applyFont="1" applyAlignment="1">
      <alignment vertical="center" wrapText="1"/>
    </xf>
    <xf numFmtId="49" fontId="65" fillId="0" borderId="0" xfId="64" applyNumberFormat="1" applyFont="1" applyAlignment="1">
      <alignment horizontal="center" vertical="center" wrapText="1"/>
    </xf>
    <xf numFmtId="0" fontId="63" fillId="0" borderId="36" xfId="0" applyFont="1" applyBorder="1" applyAlignment="1">
      <alignment horizontal="center" vertical="center" wrapText="1"/>
    </xf>
    <xf numFmtId="0" fontId="63" fillId="0" borderId="0" xfId="0" applyFont="1" applyAlignment="1">
      <alignment horizontal="center" vertical="center" wrapText="1"/>
    </xf>
    <xf numFmtId="0" fontId="63" fillId="0" borderId="37" xfId="0" applyFont="1" applyBorder="1" applyAlignment="1">
      <alignment horizontal="center" vertical="center" wrapText="1"/>
    </xf>
    <xf numFmtId="0" fontId="64" fillId="0" borderId="13" xfId="0" applyFont="1" applyBorder="1" applyAlignment="1">
      <alignment horizontal="center" vertical="center" wrapText="1"/>
    </xf>
    <xf numFmtId="0" fontId="64" fillId="0" borderId="24" xfId="0" applyFont="1" applyBorder="1" applyAlignment="1">
      <alignment horizontal="center" vertical="center" wrapText="1"/>
    </xf>
    <xf numFmtId="0" fontId="64" fillId="0" borderId="43" xfId="0" applyFont="1" applyBorder="1" applyAlignment="1">
      <alignment horizontal="center" vertical="center" wrapText="1"/>
    </xf>
    <xf numFmtId="0" fontId="63" fillId="0" borderId="11" xfId="0" applyFont="1" applyBorder="1" applyAlignment="1">
      <alignment horizontal="center" vertical="center" wrapText="1"/>
    </xf>
    <xf numFmtId="167" fontId="63" fillId="0" borderId="56" xfId="28" applyFont="1" applyFill="1" applyBorder="1" applyAlignment="1">
      <alignment vertical="center" wrapText="1"/>
    </xf>
    <xf numFmtId="0" fontId="63" fillId="0" borderId="43" xfId="0" quotePrefix="1" applyFont="1" applyBorder="1" applyAlignment="1">
      <alignment horizontal="center" vertical="center" wrapText="1"/>
    </xf>
    <xf numFmtId="167" fontId="63" fillId="0" borderId="37" xfId="28" applyFont="1" applyFill="1" applyBorder="1" applyAlignment="1">
      <alignment vertical="center" wrapText="1"/>
    </xf>
    <xf numFmtId="0" fontId="63" fillId="0" borderId="43" xfId="0" applyFont="1" applyBorder="1" applyAlignment="1">
      <alignment horizontal="center" vertical="center" wrapText="1"/>
    </xf>
    <xf numFmtId="168" fontId="63" fillId="0" borderId="12" xfId="28" applyNumberFormat="1" applyFont="1" applyFill="1" applyBorder="1" applyAlignment="1">
      <alignment vertical="center" wrapText="1"/>
    </xf>
    <xf numFmtId="168" fontId="63" fillId="0" borderId="37" xfId="28" applyNumberFormat="1" applyFont="1" applyFill="1" applyBorder="1" applyAlignment="1">
      <alignment vertical="center" wrapText="1"/>
    </xf>
    <xf numFmtId="168" fontId="63" fillId="0" borderId="0" xfId="0" applyNumberFormat="1" applyFont="1" applyAlignment="1">
      <alignment vertical="center" wrapText="1"/>
    </xf>
    <xf numFmtId="168" fontId="63" fillId="0" borderId="45" xfId="28" applyNumberFormat="1" applyFont="1" applyFill="1" applyBorder="1" applyAlignment="1">
      <alignment vertical="center" wrapText="1"/>
    </xf>
    <xf numFmtId="0" fontId="63" fillId="0" borderId="12" xfId="0" applyFont="1" applyBorder="1" applyAlignment="1">
      <alignment vertical="center" wrapText="1"/>
    </xf>
    <xf numFmtId="0" fontId="63" fillId="0" borderId="37" xfId="0" applyFont="1" applyBorder="1" applyAlignment="1">
      <alignment vertical="center" wrapText="1"/>
    </xf>
    <xf numFmtId="0" fontId="63" fillId="0" borderId="0" xfId="0" quotePrefix="1" applyFont="1" applyAlignment="1">
      <alignment vertical="center" wrapText="1"/>
    </xf>
    <xf numFmtId="0" fontId="64" fillId="0" borderId="0" xfId="0" applyFont="1" applyAlignment="1">
      <alignment horizontal="right" vertical="center" wrapText="1"/>
    </xf>
    <xf numFmtId="168" fontId="64" fillId="0" borderId="69" xfId="28" applyNumberFormat="1" applyFont="1" applyFill="1" applyBorder="1" applyAlignment="1">
      <alignment vertical="center" wrapText="1"/>
    </xf>
    <xf numFmtId="166" fontId="63" fillId="0" borderId="37" xfId="28" applyNumberFormat="1" applyFont="1" applyFill="1" applyBorder="1" applyAlignment="1">
      <alignment vertical="center" wrapText="1"/>
    </xf>
    <xf numFmtId="0" fontId="63" fillId="0" borderId="0" xfId="0" applyFont="1" applyAlignment="1">
      <alignment horizontal="center" vertical="top" wrapText="1"/>
    </xf>
    <xf numFmtId="168" fontId="64" fillId="0" borderId="56" xfId="28" applyNumberFormat="1" applyFont="1" applyFill="1" applyBorder="1" applyAlignment="1">
      <alignment vertical="center" wrapText="1"/>
    </xf>
    <xf numFmtId="166" fontId="63" fillId="0" borderId="51" xfId="0" applyNumberFormat="1" applyFont="1" applyBorder="1" applyAlignment="1">
      <alignment horizontal="right" vertical="center" wrapText="1"/>
    </xf>
    <xf numFmtId="0" fontId="67" fillId="0" borderId="36" xfId="66" applyFont="1" applyBorder="1" applyAlignment="1">
      <alignment vertical="center" wrapText="1"/>
    </xf>
    <xf numFmtId="0" fontId="67" fillId="0" borderId="0" xfId="66" applyFont="1" applyAlignment="1">
      <alignment horizontal="right" vertical="center" wrapText="1"/>
    </xf>
    <xf numFmtId="0" fontId="65" fillId="0" borderId="0" xfId="66" applyFont="1" applyAlignment="1">
      <alignment horizontal="justify" vertical="center" wrapText="1"/>
    </xf>
    <xf numFmtId="0" fontId="67" fillId="0" borderId="0" xfId="66" applyFont="1" applyAlignment="1">
      <alignment vertical="center" wrapText="1"/>
    </xf>
    <xf numFmtId="0" fontId="67" fillId="0" borderId="37" xfId="66" applyFont="1" applyBorder="1" applyAlignment="1">
      <alignment vertical="center" wrapText="1"/>
    </xf>
    <xf numFmtId="0" fontId="65" fillId="0" borderId="36" xfId="66" applyFont="1" applyBorder="1" applyAlignment="1">
      <alignment horizontal="left" vertical="center"/>
    </xf>
    <xf numFmtId="0" fontId="65" fillId="0" borderId="0" xfId="66" applyFont="1" applyAlignment="1">
      <alignment horizontal="left" vertical="center"/>
    </xf>
    <xf numFmtId="0" fontId="65" fillId="0" borderId="37" xfId="66" applyFont="1" applyBorder="1" applyAlignment="1">
      <alignment horizontal="left" vertical="center"/>
    </xf>
    <xf numFmtId="0" fontId="65" fillId="0" borderId="0" xfId="66" applyFont="1" applyAlignment="1">
      <alignment vertical="center" wrapText="1"/>
    </xf>
    <xf numFmtId="49" fontId="65" fillId="0" borderId="36" xfId="66" applyNumberFormat="1" applyFont="1" applyBorder="1" applyAlignment="1">
      <alignment horizontal="left" vertical="center"/>
    </xf>
    <xf numFmtId="49" fontId="65" fillId="0" borderId="37" xfId="66" applyNumberFormat="1" applyFont="1" applyBorder="1" applyAlignment="1">
      <alignment horizontal="right" vertical="center"/>
    </xf>
    <xf numFmtId="0" fontId="68" fillId="0" borderId="36" xfId="66" applyFont="1" applyBorder="1" applyAlignment="1">
      <alignment horizontal="left" vertical="center"/>
    </xf>
    <xf numFmtId="0" fontId="65" fillId="0" borderId="37" xfId="66" applyFont="1" applyBorder="1" applyAlignment="1">
      <alignment horizontal="right" vertical="center" wrapText="1"/>
    </xf>
    <xf numFmtId="0" fontId="65" fillId="0" borderId="37" xfId="66" applyFont="1" applyBorder="1" applyAlignment="1">
      <alignment horizontal="right" vertical="center"/>
    </xf>
    <xf numFmtId="0" fontId="65" fillId="0" borderId="0" xfId="66" applyFont="1" applyAlignment="1">
      <alignment horizontal="right" vertical="center"/>
    </xf>
    <xf numFmtId="0" fontId="67" fillId="0" borderId="26" xfId="66" applyFont="1" applyBorder="1" applyAlignment="1">
      <alignment horizontal="right" vertical="center" wrapText="1"/>
    </xf>
    <xf numFmtId="0" fontId="67" fillId="0" borderId="26" xfId="66" applyFont="1" applyBorder="1" applyAlignment="1">
      <alignment vertical="center" wrapText="1"/>
    </xf>
    <xf numFmtId="0" fontId="65" fillId="0" borderId="26" xfId="66" applyFont="1" applyBorder="1" applyAlignment="1">
      <alignment horizontal="right" vertical="center"/>
    </xf>
    <xf numFmtId="0" fontId="65" fillId="0" borderId="39" xfId="66" applyFont="1" applyBorder="1" applyAlignment="1">
      <alignment vertical="center" wrapText="1"/>
    </xf>
    <xf numFmtId="49" fontId="68" fillId="0" borderId="60" xfId="66" applyNumberFormat="1" applyFont="1" applyBorder="1" applyAlignment="1">
      <alignment horizontal="left" vertical="center"/>
    </xf>
    <xf numFmtId="0" fontId="67" fillId="0" borderId="58" xfId="66" applyFont="1" applyBorder="1" applyAlignment="1">
      <alignment horizontal="right" vertical="center" wrapText="1"/>
    </xf>
    <xf numFmtId="0" fontId="67" fillId="0" borderId="58" xfId="66" applyFont="1" applyBorder="1" applyAlignment="1">
      <alignment vertical="center" wrapText="1"/>
    </xf>
    <xf numFmtId="0" fontId="67" fillId="0" borderId="59" xfId="66" applyFont="1" applyBorder="1" applyAlignment="1">
      <alignment vertical="center" wrapText="1"/>
    </xf>
    <xf numFmtId="0" fontId="63" fillId="0" borderId="61" xfId="0" quotePrefix="1" applyFont="1" applyBorder="1" applyAlignment="1">
      <alignment horizontal="center" vertical="center" wrapText="1"/>
    </xf>
    <xf numFmtId="0" fontId="63" fillId="0" borderId="29" xfId="0" applyFont="1" applyBorder="1" applyAlignment="1">
      <alignment horizontal="center" vertical="center" wrapText="1"/>
    </xf>
    <xf numFmtId="0" fontId="66" fillId="0" borderId="30" xfId="0" applyFont="1" applyBorder="1" applyAlignment="1">
      <alignment horizontal="left" vertical="center" wrapText="1"/>
    </xf>
    <xf numFmtId="0" fontId="63" fillId="0" borderId="21" xfId="0" applyFont="1" applyBorder="1" applyAlignment="1">
      <alignment vertical="center" wrapText="1"/>
    </xf>
    <xf numFmtId="0" fontId="63" fillId="0" borderId="11" xfId="0" applyFont="1" applyBorder="1" applyAlignment="1">
      <alignment vertical="center" wrapText="1"/>
    </xf>
    <xf numFmtId="0" fontId="63" fillId="0" borderId="45" xfId="0" applyFont="1" applyBorder="1" applyAlignment="1">
      <alignment vertical="center" wrapText="1"/>
    </xf>
    <xf numFmtId="0" fontId="63" fillId="0" borderId="0" xfId="0" quotePrefix="1" applyFont="1" applyAlignment="1">
      <alignment horizontal="center" vertical="center" wrapText="1"/>
    </xf>
    <xf numFmtId="0" fontId="63" fillId="0" borderId="22" xfId="0" applyFont="1" applyBorder="1" applyAlignment="1">
      <alignment vertical="center" wrapText="1"/>
    </xf>
    <xf numFmtId="168" fontId="63" fillId="0" borderId="11" xfId="0" applyNumberFormat="1" applyFont="1" applyBorder="1" applyAlignment="1">
      <alignment vertical="center" wrapText="1"/>
    </xf>
    <xf numFmtId="168" fontId="63" fillId="0" borderId="45" xfId="0" applyNumberFormat="1" applyFont="1" applyBorder="1" applyAlignment="1">
      <alignment vertical="center" wrapText="1"/>
    </xf>
    <xf numFmtId="0" fontId="64" fillId="0" borderId="22" xfId="0" applyFont="1" applyBorder="1" applyAlignment="1">
      <alignment horizontal="right" vertical="center" wrapText="1"/>
    </xf>
    <xf numFmtId="168" fontId="64" fillId="0" borderId="24" xfId="0" applyNumberFormat="1" applyFont="1" applyBorder="1" applyAlignment="1">
      <alignment vertical="center" wrapText="1"/>
    </xf>
    <xf numFmtId="0" fontId="64" fillId="0" borderId="0" xfId="0" applyFont="1" applyAlignment="1">
      <alignment horizontal="left" vertical="center" wrapText="1"/>
    </xf>
    <xf numFmtId="0" fontId="64" fillId="0" borderId="22" xfId="0" applyFont="1" applyBorder="1" applyAlignment="1">
      <alignment horizontal="left" vertical="center" wrapText="1"/>
    </xf>
    <xf numFmtId="166" fontId="63" fillId="0" borderId="11" xfId="0" applyNumberFormat="1" applyFont="1" applyBorder="1" applyAlignment="1">
      <alignment vertical="center" wrapText="1"/>
    </xf>
    <xf numFmtId="166" fontId="63" fillId="0" borderId="45" xfId="0" applyNumberFormat="1" applyFont="1" applyBorder="1" applyAlignment="1">
      <alignment vertical="center" wrapText="1"/>
    </xf>
    <xf numFmtId="172" fontId="63" fillId="0" borderId="45" xfId="49" applyNumberFormat="1" applyFont="1" applyBorder="1" applyAlignment="1">
      <alignment horizontal="center" vertical="center"/>
    </xf>
    <xf numFmtId="166" fontId="63" fillId="0" borderId="22" xfId="0" applyNumberFormat="1" applyFont="1" applyBorder="1" applyAlignment="1">
      <alignment vertical="center" wrapText="1"/>
    </xf>
    <xf numFmtId="168" fontId="64" fillId="0" borderId="71" xfId="0" applyNumberFormat="1" applyFont="1" applyBorder="1" applyAlignment="1">
      <alignment vertical="center" wrapText="1"/>
    </xf>
    <xf numFmtId="0" fontId="70" fillId="0" borderId="22" xfId="0" applyFont="1" applyBorder="1"/>
    <xf numFmtId="168" fontId="64" fillId="0" borderId="45" xfId="0" applyNumberFormat="1" applyFont="1" applyBorder="1" applyAlignment="1">
      <alignment vertical="center" wrapText="1"/>
    </xf>
    <xf numFmtId="10" fontId="63" fillId="0" borderId="45" xfId="78" applyNumberFormat="1" applyFont="1" applyFill="1" applyBorder="1" applyAlignment="1">
      <alignment vertical="center" wrapText="1"/>
    </xf>
    <xf numFmtId="168" fontId="64" fillId="0" borderId="24" xfId="28" applyNumberFormat="1" applyFont="1" applyFill="1" applyBorder="1" applyAlignment="1">
      <alignment vertical="center" wrapText="1"/>
    </xf>
    <xf numFmtId="168" fontId="67" fillId="0" borderId="0" xfId="84" applyNumberFormat="1" applyFont="1" applyFill="1" applyAlignment="1">
      <alignment vertical="center"/>
    </xf>
    <xf numFmtId="0" fontId="64" fillId="0" borderId="36" xfId="0" quotePrefix="1" applyFont="1" applyBorder="1" applyAlignment="1">
      <alignment horizontal="center" vertical="center" wrapText="1"/>
    </xf>
    <xf numFmtId="168" fontId="63" fillId="0" borderId="37" xfId="0" applyNumberFormat="1" applyFont="1" applyBorder="1" applyAlignment="1">
      <alignment vertical="center" wrapText="1"/>
    </xf>
    <xf numFmtId="0" fontId="63" fillId="0" borderId="12" xfId="0" applyFont="1" applyBorder="1" applyAlignment="1">
      <alignment horizontal="center" vertical="center" wrapText="1"/>
    </xf>
    <xf numFmtId="0" fontId="64" fillId="0" borderId="11" xfId="0" applyFont="1" applyBorder="1" applyAlignment="1">
      <alignment vertical="center" wrapText="1"/>
    </xf>
    <xf numFmtId="168" fontId="63" fillId="0" borderId="12" xfId="0" applyNumberFormat="1" applyFont="1" applyBorder="1" applyAlignment="1">
      <alignment vertical="center" wrapText="1"/>
    </xf>
    <xf numFmtId="166" fontId="63" fillId="0" borderId="37" xfId="0" applyNumberFormat="1" applyFont="1" applyBorder="1" applyAlignment="1">
      <alignment vertical="center" wrapText="1"/>
    </xf>
    <xf numFmtId="0" fontId="63" fillId="0" borderId="14" xfId="0" applyFont="1" applyBorder="1" applyAlignment="1">
      <alignment horizontal="center" vertical="center" wrapText="1"/>
    </xf>
    <xf numFmtId="49" fontId="63" fillId="0" borderId="24" xfId="0" applyNumberFormat="1" applyFont="1" applyBorder="1" applyAlignment="1">
      <alignment horizontal="center" vertical="center" wrapText="1"/>
    </xf>
    <xf numFmtId="49" fontId="65" fillId="0" borderId="0" xfId="66" applyNumberFormat="1" applyFont="1" applyAlignment="1">
      <alignment horizontal="right" vertical="center"/>
    </xf>
    <xf numFmtId="0" fontId="65" fillId="0" borderId="0" xfId="66" applyFont="1" applyAlignment="1">
      <alignment horizontal="right" vertical="center" wrapText="1"/>
    </xf>
    <xf numFmtId="49" fontId="68" fillId="0" borderId="38" xfId="66" applyNumberFormat="1" applyFont="1" applyBorder="1" applyAlignment="1">
      <alignment horizontal="left" vertical="center"/>
    </xf>
    <xf numFmtId="0" fontId="67" fillId="0" borderId="39" xfId="66" applyFont="1" applyBorder="1" applyAlignment="1">
      <alignment vertical="center" wrapText="1"/>
    </xf>
    <xf numFmtId="49" fontId="68" fillId="0" borderId="36" xfId="66" applyNumberFormat="1" applyFont="1" applyBorder="1" applyAlignment="1">
      <alignment horizontal="left" vertical="center"/>
    </xf>
    <xf numFmtId="49" fontId="65" fillId="0" borderId="58" xfId="64" applyNumberFormat="1" applyFont="1" applyBorder="1" applyAlignment="1">
      <alignment horizontal="center" vertical="center" wrapText="1"/>
    </xf>
    <xf numFmtId="0" fontId="64" fillId="0" borderId="18" xfId="0" applyFont="1" applyBorder="1" applyAlignment="1">
      <alignment horizontal="center" vertical="center" wrapText="1"/>
    </xf>
    <xf numFmtId="0" fontId="64" fillId="0" borderId="11" xfId="0" applyFont="1" applyBorder="1" applyAlignment="1">
      <alignment horizontal="left" vertical="center" wrapText="1"/>
    </xf>
    <xf numFmtId="0" fontId="63" fillId="0" borderId="36" xfId="0" quotePrefix="1" applyFont="1" applyBorder="1" applyAlignment="1">
      <alignment horizontal="center" vertical="center" wrapText="1"/>
    </xf>
    <xf numFmtId="168" fontId="63" fillId="0" borderId="45" xfId="0" applyNumberFormat="1" applyFont="1" applyBorder="1" applyAlignment="1">
      <alignment horizontal="center" vertical="center" wrapText="1"/>
    </xf>
    <xf numFmtId="0" fontId="63" fillId="0" borderId="45" xfId="0" applyFont="1" applyBorder="1" applyAlignment="1">
      <alignment horizontal="center" vertical="center" wrapText="1"/>
    </xf>
    <xf numFmtId="0" fontId="63" fillId="0" borderId="0" xfId="0" quotePrefix="1" applyFont="1" applyAlignment="1">
      <alignment horizontal="left" vertical="center" wrapText="1"/>
    </xf>
    <xf numFmtId="0" fontId="63" fillId="0" borderId="0" xfId="0" applyFont="1" applyAlignment="1">
      <alignment horizontal="left" vertical="center" wrapText="1"/>
    </xf>
    <xf numFmtId="167" fontId="63" fillId="0" borderId="51" xfId="28" quotePrefix="1" applyFont="1" applyFill="1" applyBorder="1" applyAlignment="1">
      <alignment vertical="center" wrapText="1"/>
    </xf>
    <xf numFmtId="168" fontId="64" fillId="0" borderId="13" xfId="0" applyNumberFormat="1" applyFont="1" applyBorder="1" applyAlignment="1">
      <alignment vertical="center" wrapText="1"/>
    </xf>
    <xf numFmtId="0" fontId="63" fillId="0" borderId="11" xfId="0" applyFont="1" applyBorder="1" applyAlignment="1">
      <alignment horizontal="left" vertical="center" wrapText="1"/>
    </xf>
    <xf numFmtId="0" fontId="63" fillId="0" borderId="11" xfId="0" quotePrefix="1" applyFont="1" applyBorder="1" applyAlignment="1">
      <alignment horizontal="left" vertical="center" wrapText="1"/>
    </xf>
    <xf numFmtId="165" fontId="63" fillId="0" borderId="45" xfId="0" applyNumberFormat="1" applyFont="1" applyBorder="1" applyAlignment="1">
      <alignment horizontal="center" vertical="center" wrapText="1"/>
    </xf>
    <xf numFmtId="168" fontId="63" fillId="0" borderId="24" xfId="0" applyNumberFormat="1" applyFont="1" applyBorder="1" applyAlignment="1">
      <alignment horizontal="center" vertical="center" wrapText="1"/>
    </xf>
    <xf numFmtId="168" fontId="63" fillId="0" borderId="0" xfId="0" applyNumberFormat="1" applyFont="1"/>
    <xf numFmtId="168" fontId="63" fillId="0" borderId="24" xfId="0" quotePrefix="1" applyNumberFormat="1" applyFont="1" applyBorder="1" applyAlignment="1">
      <alignment horizontal="right" vertical="center" wrapText="1"/>
    </xf>
    <xf numFmtId="168" fontId="64" fillId="0" borderId="24" xfId="0" quotePrefix="1" applyNumberFormat="1" applyFont="1" applyBorder="1" applyAlignment="1">
      <alignment horizontal="right" vertical="center" wrapText="1"/>
    </xf>
    <xf numFmtId="0" fontId="64" fillId="0" borderId="36" xfId="0" quotePrefix="1" applyFont="1" applyBorder="1" applyAlignment="1">
      <alignment horizontal="right" vertical="center" wrapText="1"/>
    </xf>
    <xf numFmtId="0" fontId="64" fillId="0" borderId="0" xfId="0" quotePrefix="1" applyFont="1" applyAlignment="1">
      <alignment horizontal="right" vertical="center" wrapText="1"/>
    </xf>
    <xf numFmtId="168" fontId="64" fillId="0" borderId="37" xfId="0" quotePrefix="1" applyNumberFormat="1" applyFont="1" applyBorder="1" applyAlignment="1">
      <alignment horizontal="right" vertical="center" wrapText="1"/>
    </xf>
    <xf numFmtId="0" fontId="63" fillId="0" borderId="0" xfId="95" applyFont="1" applyAlignment="1">
      <alignment horizontal="justify" vertical="top" wrapText="1"/>
    </xf>
    <xf numFmtId="0" fontId="63" fillId="0" borderId="0" xfId="95" applyFont="1" applyAlignment="1">
      <alignment vertical="top"/>
    </xf>
    <xf numFmtId="0" fontId="63" fillId="0" borderId="0" xfId="95" applyFont="1"/>
    <xf numFmtId="0" fontId="65" fillId="0" borderId="0" xfId="98" applyFont="1" applyAlignment="1">
      <alignment horizontal="justify" vertical="top" wrapText="1"/>
    </xf>
    <xf numFmtId="0" fontId="67" fillId="0" borderId="0" xfId="98" applyFont="1" applyAlignment="1">
      <alignment horizontal="justify" vertical="top" wrapText="1"/>
    </xf>
    <xf numFmtId="0" fontId="72" fillId="0" borderId="0" xfId="98" applyFont="1" applyAlignment="1">
      <alignment horizontal="justify" vertical="top" wrapText="1"/>
    </xf>
    <xf numFmtId="0" fontId="67" fillId="0" borderId="0" xfId="99" applyFont="1" applyAlignment="1">
      <alignment horizontal="justify" vertical="top"/>
    </xf>
    <xf numFmtId="0" fontId="63" fillId="0" borderId="0" xfId="95" applyFont="1" applyAlignment="1">
      <alignment horizontal="justify" vertical="top"/>
    </xf>
    <xf numFmtId="0" fontId="67" fillId="0" borderId="0" xfId="64" applyFont="1" applyAlignment="1">
      <alignment vertical="center" wrapText="1"/>
    </xf>
    <xf numFmtId="0" fontId="67" fillId="0" borderId="0" xfId="64" applyFont="1" applyAlignment="1">
      <alignment horizontal="center" vertical="center" wrapText="1"/>
    </xf>
    <xf numFmtId="0" fontId="63" fillId="0" borderId="0" xfId="0" applyFont="1" applyAlignment="1">
      <alignment horizontal="right" vertical="center"/>
    </xf>
    <xf numFmtId="0" fontId="64" fillId="0" borderId="47" xfId="0" applyFont="1" applyBorder="1" applyAlignment="1">
      <alignment horizontal="center" vertical="center" wrapText="1"/>
    </xf>
    <xf numFmtId="0" fontId="64" fillId="0" borderId="40" xfId="0" applyFont="1" applyBorder="1" applyAlignment="1">
      <alignment horizontal="center" vertical="center" wrapText="1"/>
    </xf>
    <xf numFmtId="0" fontId="63" fillId="0" borderId="42" xfId="0" applyFont="1" applyBorder="1" applyAlignment="1">
      <alignment horizontal="center" vertical="center" wrapText="1"/>
    </xf>
    <xf numFmtId="0" fontId="63" fillId="0" borderId="58" xfId="0" applyFont="1" applyBorder="1" applyAlignment="1">
      <alignment horizontal="center" vertical="center" wrapText="1"/>
    </xf>
    <xf numFmtId="0" fontId="63" fillId="0" borderId="58" xfId="0" applyFont="1" applyBorder="1" applyAlignment="1">
      <alignment vertical="center" wrapText="1"/>
    </xf>
    <xf numFmtId="0" fontId="64" fillId="0" borderId="43" xfId="0" quotePrefix="1" applyFont="1" applyBorder="1" applyAlignment="1">
      <alignment horizontal="center" vertical="center" wrapText="1"/>
    </xf>
    <xf numFmtId="0" fontId="64" fillId="0" borderId="12" xfId="0" applyFont="1" applyBorder="1" applyAlignment="1">
      <alignment horizontal="left" vertical="center" wrapText="1"/>
    </xf>
    <xf numFmtId="10" fontId="63" fillId="0" borderId="13" xfId="78" applyNumberFormat="1" applyFont="1" applyFill="1" applyBorder="1" applyAlignment="1" applyProtection="1">
      <alignment horizontal="center" vertical="center" wrapText="1"/>
      <protection locked="0"/>
    </xf>
    <xf numFmtId="0" fontId="64" fillId="0" borderId="21" xfId="0" applyFont="1" applyBorder="1" applyAlignment="1">
      <alignment horizontal="right" vertical="center" wrapText="1"/>
    </xf>
    <xf numFmtId="0" fontId="64" fillId="0" borderId="29" xfId="0" applyFont="1" applyBorder="1" applyAlignment="1">
      <alignment horizontal="right" vertical="center" wrapText="1"/>
    </xf>
    <xf numFmtId="168" fontId="63" fillId="0" borderId="13" xfId="0" applyNumberFormat="1" applyFont="1" applyBorder="1" applyAlignment="1">
      <alignment horizontal="right" vertical="center" wrapText="1"/>
    </xf>
    <xf numFmtId="0" fontId="64" fillId="0" borderId="11" xfId="0" applyFont="1" applyBorder="1" applyAlignment="1">
      <alignment horizontal="right" vertical="center" wrapText="1"/>
    </xf>
    <xf numFmtId="0" fontId="63" fillId="0" borderId="25" xfId="0" applyFont="1" applyBorder="1" applyAlignment="1">
      <alignment horizontal="center" vertical="center" wrapText="1"/>
    </xf>
    <xf numFmtId="0" fontId="63" fillId="0" borderId="48" xfId="0" applyFont="1" applyBorder="1" applyAlignment="1">
      <alignment vertical="center" wrapText="1"/>
    </xf>
    <xf numFmtId="0" fontId="63" fillId="0" borderId="26" xfId="0" applyFont="1" applyBorder="1" applyAlignment="1">
      <alignment vertical="center" wrapText="1"/>
    </xf>
    <xf numFmtId="0" fontId="63" fillId="0" borderId="57" xfId="0" applyFont="1" applyBorder="1" applyAlignment="1">
      <alignment horizontal="center" vertical="center" wrapText="1"/>
    </xf>
    <xf numFmtId="0" fontId="63" fillId="0" borderId="11" xfId="0" quotePrefix="1" applyFont="1" applyBorder="1" applyAlignment="1">
      <alignment horizontal="left" vertical="center" wrapText="1" indent="1"/>
    </xf>
    <xf numFmtId="0" fontId="64" fillId="0" borderId="58" xfId="0" applyFont="1" applyBorder="1" applyAlignment="1">
      <alignment horizontal="right" vertical="center" wrapText="1"/>
    </xf>
    <xf numFmtId="0" fontId="63" fillId="0" borderId="0" xfId="0" applyFont="1" applyAlignment="1">
      <alignment vertical="center"/>
    </xf>
    <xf numFmtId="0" fontId="63" fillId="0" borderId="43" xfId="0" applyFont="1" applyBorder="1" applyAlignment="1">
      <alignment horizontal="center" vertical="top" wrapText="1"/>
    </xf>
    <xf numFmtId="166" fontId="63" fillId="0" borderId="12" xfId="28" applyNumberFormat="1" applyFont="1" applyFill="1" applyBorder="1" applyAlignment="1">
      <alignment vertical="center"/>
    </xf>
    <xf numFmtId="168" fontId="67" fillId="0" borderId="12" xfId="102" applyNumberFormat="1" applyFont="1" applyFill="1" applyBorder="1" applyAlignment="1">
      <alignment vertical="center"/>
    </xf>
    <xf numFmtId="0" fontId="64" fillId="0" borderId="42" xfId="0" applyFont="1" applyBorder="1" applyAlignment="1">
      <alignment horizontal="center" vertical="center" wrapText="1"/>
    </xf>
    <xf numFmtId="0" fontId="64" fillId="0" borderId="0" xfId="0" applyFont="1" applyAlignment="1">
      <alignment horizontal="left" vertical="center"/>
    </xf>
    <xf numFmtId="3" fontId="63" fillId="0" borderId="11" xfId="0" applyNumberFormat="1" applyFont="1" applyBorder="1" applyAlignment="1">
      <alignment horizontal="right" vertical="center"/>
    </xf>
    <xf numFmtId="0" fontId="64" fillId="0" borderId="11" xfId="0" applyFont="1" applyBorder="1" applyAlignment="1">
      <alignment horizontal="left" vertical="center"/>
    </xf>
    <xf numFmtId="0" fontId="63" fillId="0" borderId="0" xfId="0" applyFont="1" applyAlignment="1">
      <alignment horizontal="left" vertical="center"/>
    </xf>
    <xf numFmtId="0" fontId="67" fillId="0" borderId="36" xfId="64" applyFont="1" applyBorder="1" applyAlignment="1">
      <alignment horizontal="left" vertical="top" wrapText="1"/>
    </xf>
    <xf numFmtId="0" fontId="57" fillId="0" borderId="0" xfId="106"/>
    <xf numFmtId="0" fontId="53" fillId="26" borderId="68" xfId="106" applyFont="1" applyFill="1" applyBorder="1" applyAlignment="1">
      <alignment horizontal="left"/>
    </xf>
    <xf numFmtId="0" fontId="53" fillId="26" borderId="68" xfId="106" applyFont="1" applyFill="1" applyBorder="1" applyAlignment="1">
      <alignment horizontal="right"/>
    </xf>
    <xf numFmtId="0" fontId="53" fillId="27" borderId="68" xfId="106" applyFont="1" applyFill="1" applyBorder="1" applyAlignment="1">
      <alignment horizontal="left"/>
    </xf>
    <xf numFmtId="0" fontId="53" fillId="27" borderId="68" xfId="106" applyFont="1" applyFill="1" applyBorder="1" applyAlignment="1">
      <alignment horizontal="right"/>
    </xf>
    <xf numFmtId="0" fontId="54" fillId="26" borderId="68" xfId="106" applyFont="1" applyFill="1" applyBorder="1" applyAlignment="1">
      <alignment horizontal="left"/>
    </xf>
    <xf numFmtId="0" fontId="54" fillId="26" borderId="68" xfId="106" applyFont="1" applyFill="1" applyBorder="1" applyAlignment="1">
      <alignment horizontal="right"/>
    </xf>
    <xf numFmtId="170" fontId="63" fillId="0" borderId="11" xfId="28" applyNumberFormat="1" applyFont="1" applyFill="1" applyBorder="1" applyAlignment="1">
      <alignment vertical="center" wrapText="1"/>
    </xf>
    <xf numFmtId="170" fontId="63" fillId="0" borderId="12" xfId="28" applyNumberFormat="1" applyFont="1" applyFill="1" applyBorder="1" applyAlignment="1">
      <alignment vertical="center" wrapText="1"/>
    </xf>
    <xf numFmtId="170" fontId="63" fillId="0" borderId="14" xfId="28" applyNumberFormat="1" applyFont="1" applyFill="1" applyBorder="1" applyAlignment="1">
      <alignment vertical="center" wrapText="1"/>
    </xf>
    <xf numFmtId="170" fontId="64" fillId="0" borderId="41" xfId="28" applyNumberFormat="1" applyFont="1" applyFill="1" applyBorder="1" applyAlignment="1">
      <alignment horizontal="center" vertical="center" wrapText="1"/>
    </xf>
    <xf numFmtId="170" fontId="63" fillId="0" borderId="34" xfId="28" applyNumberFormat="1" applyFont="1" applyFill="1" applyBorder="1" applyAlignment="1">
      <alignment vertical="center" wrapText="1"/>
    </xf>
    <xf numFmtId="0" fontId="63" fillId="0" borderId="0" xfId="0" applyFont="1" applyAlignment="1">
      <alignment horizontal="right" vertical="center" wrapText="1"/>
    </xf>
    <xf numFmtId="170" fontId="63" fillId="0" borderId="53" xfId="28" applyNumberFormat="1" applyFont="1" applyFill="1" applyBorder="1" applyAlignment="1">
      <alignment vertical="center" wrapText="1"/>
    </xf>
    <xf numFmtId="170" fontId="63" fillId="0" borderId="35" xfId="28" applyNumberFormat="1" applyFont="1" applyFill="1" applyBorder="1" applyAlignment="1">
      <alignment vertical="center" wrapText="1"/>
    </xf>
    <xf numFmtId="170" fontId="63" fillId="0" borderId="0" xfId="0" applyNumberFormat="1" applyFont="1" applyAlignment="1">
      <alignment vertical="center" wrapText="1"/>
    </xf>
    <xf numFmtId="170" fontId="63" fillId="0" borderId="11" xfId="28" quotePrefix="1" applyNumberFormat="1" applyFont="1" applyFill="1" applyBorder="1" applyAlignment="1"/>
    <xf numFmtId="170" fontId="63" fillId="0" borderId="57" xfId="28" applyNumberFormat="1" applyFont="1" applyFill="1" applyBorder="1" applyAlignment="1">
      <alignment vertical="center" wrapText="1"/>
    </xf>
    <xf numFmtId="170" fontId="63" fillId="0" borderId="11" xfId="28" applyNumberFormat="1" applyFont="1" applyFill="1" applyBorder="1" applyAlignment="1">
      <alignment horizontal="right" vertical="center" wrapText="1"/>
    </xf>
    <xf numFmtId="170" fontId="63" fillId="0" borderId="21" xfId="28" applyNumberFormat="1" applyFont="1" applyFill="1" applyBorder="1" applyAlignment="1">
      <alignment horizontal="right" vertical="center" wrapText="1"/>
    </xf>
    <xf numFmtId="170" fontId="63" fillId="0" borderId="11" xfId="28" applyNumberFormat="1" applyFont="1" applyFill="1" applyBorder="1" applyAlignment="1">
      <alignment horizontal="left" vertical="center" wrapText="1"/>
    </xf>
    <xf numFmtId="2" fontId="63" fillId="0" borderId="43" xfId="0" applyNumberFormat="1" applyFont="1" applyBorder="1" applyAlignment="1">
      <alignment horizontal="center" vertical="center" wrapText="1"/>
    </xf>
    <xf numFmtId="170" fontId="63" fillId="0" borderId="11" xfId="28" applyNumberFormat="1" applyFont="1" applyFill="1" applyBorder="1" applyAlignment="1">
      <alignment vertical="center"/>
    </xf>
    <xf numFmtId="0" fontId="63" fillId="0" borderId="0" xfId="101" applyFont="1" applyAlignment="1">
      <alignment horizontal="left" vertical="center"/>
    </xf>
    <xf numFmtId="0" fontId="63" fillId="0" borderId="43" xfId="0" applyFont="1" applyBorder="1"/>
    <xf numFmtId="0" fontId="63" fillId="0" borderId="25" xfId="0" applyFont="1" applyBorder="1"/>
    <xf numFmtId="167" fontId="63" fillId="0" borderId="0" xfId="28" applyFont="1"/>
    <xf numFmtId="0" fontId="64" fillId="0" borderId="0" xfId="0" applyFont="1" applyAlignment="1">
      <alignment horizontal="center" vertical="center"/>
    </xf>
    <xf numFmtId="0" fontId="64" fillId="0" borderId="0" xfId="0" applyFont="1" applyAlignment="1">
      <alignment horizontal="center" vertical="center" wrapText="1"/>
    </xf>
    <xf numFmtId="167" fontId="63" fillId="0" borderId="0" xfId="0" applyNumberFormat="1" applyFont="1"/>
    <xf numFmtId="0" fontId="64" fillId="0" borderId="11" xfId="0" applyFont="1" applyBorder="1" applyAlignment="1">
      <alignment horizontal="center" vertical="center" wrapText="1"/>
    </xf>
    <xf numFmtId="0" fontId="63" fillId="0" borderId="11" xfId="101" applyFont="1" applyBorder="1" applyAlignment="1">
      <alignment horizontal="left" vertical="center"/>
    </xf>
    <xf numFmtId="0" fontId="71" fillId="0" borderId="0" xfId="0" applyFont="1" applyAlignment="1">
      <alignment horizontal="center" vertical="center" wrapText="1"/>
    </xf>
    <xf numFmtId="0" fontId="64" fillId="0" borderId="57" xfId="0" applyFont="1" applyBorder="1" applyAlignment="1">
      <alignment horizontal="center" vertical="center" wrapText="1"/>
    </xf>
    <xf numFmtId="0" fontId="64" fillId="0" borderId="11" xfId="0" applyFont="1" applyBorder="1" applyAlignment="1">
      <alignment horizontal="left"/>
    </xf>
    <xf numFmtId="0" fontId="63" fillId="0" borderId="11" xfId="0" applyFont="1" applyBorder="1" applyAlignment="1">
      <alignment horizontal="left"/>
    </xf>
    <xf numFmtId="0" fontId="63" fillId="0" borderId="48" xfId="0" applyFont="1" applyBorder="1" applyAlignment="1">
      <alignment horizontal="left"/>
    </xf>
    <xf numFmtId="0" fontId="67" fillId="0" borderId="36" xfId="64" applyFont="1" applyBorder="1" applyAlignment="1">
      <alignment horizontal="left" vertical="top"/>
    </xf>
    <xf numFmtId="49" fontId="67" fillId="0" borderId="36" xfId="64" applyNumberFormat="1" applyFont="1" applyBorder="1" applyAlignment="1">
      <alignment horizontal="left" vertical="center"/>
    </xf>
    <xf numFmtId="170" fontId="63" fillId="0" borderId="11" xfId="28" applyNumberFormat="1" applyFont="1" applyFill="1" applyBorder="1" applyAlignment="1">
      <alignment horizontal="right" wrapText="1"/>
    </xf>
    <xf numFmtId="0" fontId="64" fillId="0" borderId="48" xfId="0" applyFont="1" applyBorder="1" applyAlignment="1">
      <alignment horizontal="center" vertical="center" wrapText="1"/>
    </xf>
    <xf numFmtId="170" fontId="64" fillId="0" borderId="18" xfId="28" applyNumberFormat="1" applyFont="1" applyFill="1" applyBorder="1" applyAlignment="1">
      <alignment vertical="center" wrapText="1"/>
    </xf>
    <xf numFmtId="170" fontId="64" fillId="0" borderId="34" xfId="28" applyNumberFormat="1" applyFont="1" applyFill="1" applyBorder="1" applyAlignment="1">
      <alignment horizontal="center" vertical="center" wrapText="1"/>
    </xf>
    <xf numFmtId="0" fontId="64" fillId="0" borderId="34" xfId="0" applyFont="1" applyBorder="1" applyAlignment="1">
      <alignment horizontal="center" vertical="center" wrapText="1"/>
    </xf>
    <xf numFmtId="170" fontId="64" fillId="0" borderId="53" xfId="28" applyNumberFormat="1" applyFont="1" applyFill="1" applyBorder="1" applyAlignment="1">
      <alignment vertical="center" wrapText="1"/>
    </xf>
    <xf numFmtId="0" fontId="64" fillId="0" borderId="36" xfId="0" applyFont="1" applyBorder="1" applyAlignment="1">
      <alignment horizontal="left" vertical="center"/>
    </xf>
    <xf numFmtId="0" fontId="74" fillId="0" borderId="36" xfId="0" applyFont="1" applyBorder="1" applyAlignment="1">
      <alignment horizontal="left" vertical="center"/>
    </xf>
    <xf numFmtId="0" fontId="63" fillId="0" borderId="19" xfId="0" applyFont="1" applyBorder="1" applyAlignment="1">
      <alignment horizontal="left" vertical="center" wrapText="1"/>
    </xf>
    <xf numFmtId="0" fontId="63" fillId="0" borderId="11" xfId="0" quotePrefix="1" applyFont="1" applyBorder="1" applyAlignment="1">
      <alignment horizontal="left" vertical="center" wrapText="1" indent="2"/>
    </xf>
    <xf numFmtId="170" fontId="63" fillId="0" borderId="12" xfId="28" applyNumberFormat="1" applyFont="1" applyFill="1" applyBorder="1"/>
    <xf numFmtId="168" fontId="64" fillId="0" borderId="64" xfId="0" applyNumberFormat="1" applyFont="1" applyBorder="1" applyAlignment="1">
      <alignment vertical="center" wrapText="1"/>
    </xf>
    <xf numFmtId="0" fontId="67" fillId="0" borderId="0" xfId="64" applyFont="1" applyAlignment="1">
      <alignment vertical="center"/>
    </xf>
    <xf numFmtId="0" fontId="64" fillId="0" borderId="12" xfId="0" applyFont="1" applyBorder="1" applyAlignment="1">
      <alignment horizontal="left" vertical="center"/>
    </xf>
    <xf numFmtId="168" fontId="63" fillId="0" borderId="12" xfId="28" applyNumberFormat="1" applyFont="1" applyFill="1" applyBorder="1" applyAlignment="1">
      <alignment vertical="center"/>
    </xf>
    <xf numFmtId="0" fontId="64" fillId="0" borderId="29" xfId="0" applyFont="1" applyBorder="1" applyAlignment="1">
      <alignment horizontal="right" vertical="center"/>
    </xf>
    <xf numFmtId="0" fontId="63" fillId="0" borderId="26" xfId="0" applyFont="1" applyBorder="1" applyAlignment="1">
      <alignment vertical="center"/>
    </xf>
    <xf numFmtId="0" fontId="64" fillId="0" borderId="22" xfId="0" applyFont="1" applyBorder="1" applyAlignment="1">
      <alignment horizontal="left" vertical="center"/>
    </xf>
    <xf numFmtId="166" fontId="64" fillId="0" borderId="18" xfId="28" applyNumberFormat="1" applyFont="1" applyFill="1" applyBorder="1" applyAlignment="1">
      <alignment vertical="center"/>
    </xf>
    <xf numFmtId="168" fontId="63" fillId="0" borderId="13" xfId="28" applyNumberFormat="1" applyFont="1" applyFill="1" applyBorder="1" applyAlignment="1" applyProtection="1">
      <alignment vertical="center"/>
      <protection locked="0"/>
    </xf>
    <xf numFmtId="10" fontId="63" fillId="0" borderId="13" xfId="0" applyNumberFormat="1" applyFont="1" applyBorder="1" applyAlignment="1">
      <alignment horizontal="right" vertical="center"/>
    </xf>
    <xf numFmtId="0" fontId="63" fillId="0" borderId="34" xfId="0" applyFont="1" applyBorder="1" applyAlignment="1">
      <alignment vertical="center"/>
    </xf>
    <xf numFmtId="168" fontId="64" fillId="0" borderId="35" xfId="28" applyNumberFormat="1" applyFont="1" applyFill="1" applyBorder="1" applyAlignment="1">
      <alignment vertical="center"/>
    </xf>
    <xf numFmtId="168" fontId="63" fillId="0" borderId="34" xfId="28" applyNumberFormat="1" applyFont="1" applyFill="1" applyBorder="1" applyAlignment="1">
      <alignment vertical="center"/>
    </xf>
    <xf numFmtId="168" fontId="63" fillId="0" borderId="45" xfId="28" applyNumberFormat="1" applyFont="1" applyFill="1" applyBorder="1" applyAlignment="1">
      <alignment vertical="center"/>
    </xf>
    <xf numFmtId="0" fontId="63" fillId="0" borderId="12" xfId="0" applyFont="1" applyBorder="1" applyAlignment="1">
      <alignment horizontal="justify" vertical="center"/>
    </xf>
    <xf numFmtId="166" fontId="63" fillId="0" borderId="12" xfId="28" applyNumberFormat="1" applyFont="1" applyFill="1" applyBorder="1" applyAlignment="1">
      <alignment horizontal="center" vertical="center"/>
    </xf>
    <xf numFmtId="170" fontId="63" fillId="0" borderId="12" xfId="28" applyNumberFormat="1" applyFont="1" applyFill="1" applyBorder="1" applyAlignment="1">
      <alignment horizontal="center" vertical="center"/>
    </xf>
    <xf numFmtId="0" fontId="63" fillId="0" borderId="57" xfId="0" applyFont="1" applyBorder="1" applyAlignment="1">
      <alignment horizontal="justify" vertical="center"/>
    </xf>
    <xf numFmtId="168" fontId="64" fillId="0" borderId="12" xfId="28" applyNumberFormat="1" applyFont="1" applyFill="1" applyBorder="1" applyAlignment="1">
      <alignment vertical="center"/>
    </xf>
    <xf numFmtId="168" fontId="63" fillId="0" borderId="11" xfId="28" applyNumberFormat="1" applyFont="1" applyFill="1" applyBorder="1" applyAlignment="1">
      <alignment vertical="center"/>
    </xf>
    <xf numFmtId="0" fontId="64" fillId="0" borderId="11" xfId="0" applyFont="1" applyBorder="1" applyAlignment="1">
      <alignment horizontal="right" vertical="center"/>
    </xf>
    <xf numFmtId="49" fontId="75" fillId="0" borderId="60" xfId="64" applyNumberFormat="1" applyFont="1" applyBorder="1" applyAlignment="1">
      <alignment horizontal="left" vertical="center"/>
    </xf>
    <xf numFmtId="49" fontId="75" fillId="0" borderId="58" xfId="64" applyNumberFormat="1" applyFont="1" applyBorder="1" applyAlignment="1">
      <alignment horizontal="left" vertical="center"/>
    </xf>
    <xf numFmtId="14" fontId="64" fillId="0" borderId="13" xfId="0" applyNumberFormat="1" applyFont="1" applyBorder="1" applyAlignment="1" applyProtection="1">
      <alignment horizontal="center" vertical="center" wrapText="1"/>
      <protection locked="0"/>
    </xf>
    <xf numFmtId="0" fontId="64" fillId="0" borderId="13" xfId="0" applyFont="1" applyBorder="1" applyAlignment="1">
      <alignment horizontal="center" vertical="center"/>
    </xf>
    <xf numFmtId="168" fontId="64" fillId="0" borderId="34" xfId="28" applyNumberFormat="1" applyFont="1" applyFill="1" applyBorder="1" applyAlignment="1">
      <alignment vertical="center"/>
    </xf>
    <xf numFmtId="0" fontId="64" fillId="0" borderId="34" xfId="0" applyFont="1" applyBorder="1" applyAlignment="1">
      <alignment horizontal="right" vertical="center"/>
    </xf>
    <xf numFmtId="0" fontId="63" fillId="0" borderId="34" xfId="0" applyFont="1" applyBorder="1" applyAlignment="1">
      <alignment horizontal="justify" vertical="center"/>
    </xf>
    <xf numFmtId="0" fontId="63" fillId="0" borderId="0" xfId="0" quotePrefix="1" applyFont="1"/>
    <xf numFmtId="0" fontId="64" fillId="0" borderId="37" xfId="0" applyFont="1" applyBorder="1" applyAlignment="1">
      <alignment horizontal="left" vertical="center"/>
    </xf>
    <xf numFmtId="0" fontId="64" fillId="0" borderId="22" xfId="0" applyFont="1" applyBorder="1" applyAlignment="1">
      <alignment vertical="center" wrapText="1"/>
    </xf>
    <xf numFmtId="49" fontId="73" fillId="0" borderId="58" xfId="100" applyNumberFormat="1" applyFont="1" applyBorder="1" applyAlignment="1">
      <alignment horizontal="left" vertical="center" wrapText="1"/>
    </xf>
    <xf numFmtId="49" fontId="73" fillId="0" borderId="59" xfId="100" applyNumberFormat="1" applyFont="1" applyBorder="1" applyAlignment="1">
      <alignment horizontal="left" vertical="center" wrapText="1"/>
    </xf>
    <xf numFmtId="49" fontId="67" fillId="0" borderId="0" xfId="64" applyNumberFormat="1" applyFont="1" applyAlignment="1">
      <alignment horizontal="left" vertical="center" wrapText="1"/>
    </xf>
    <xf numFmtId="49" fontId="67" fillId="0" borderId="37" xfId="64" applyNumberFormat="1" applyFont="1" applyBorder="1" applyAlignment="1">
      <alignment horizontal="left" vertical="center" wrapText="1"/>
    </xf>
    <xf numFmtId="49" fontId="63" fillId="0" borderId="36" xfId="0" applyNumberFormat="1" applyFont="1" applyBorder="1" applyAlignment="1">
      <alignment horizontal="left" vertical="center" wrapText="1"/>
    </xf>
    <xf numFmtId="49" fontId="63" fillId="0" borderId="0" xfId="0" applyNumberFormat="1" applyFont="1" applyAlignment="1">
      <alignment horizontal="left" vertical="center" wrapText="1"/>
    </xf>
    <xf numFmtId="49" fontId="63" fillId="0" borderId="37" xfId="0" applyNumberFormat="1" applyFont="1" applyBorder="1" applyAlignment="1">
      <alignment horizontal="left" vertical="center" wrapText="1"/>
    </xf>
    <xf numFmtId="49" fontId="73" fillId="0" borderId="60" xfId="100" applyNumberFormat="1" applyFont="1" applyBorder="1" applyAlignment="1">
      <alignment horizontal="left" vertical="center"/>
    </xf>
    <xf numFmtId="168" fontId="64" fillId="0" borderId="37" xfId="28" applyNumberFormat="1" applyFont="1" applyFill="1" applyBorder="1" applyAlignment="1">
      <alignment vertical="center" wrapText="1"/>
    </xf>
    <xf numFmtId="0" fontId="63" fillId="0" borderId="11" xfId="0" applyFont="1" applyBorder="1" applyAlignment="1">
      <alignment horizontal="left" vertical="center" wrapText="1" indent="2"/>
    </xf>
    <xf numFmtId="168" fontId="63" fillId="0" borderId="15" xfId="28" applyNumberFormat="1" applyFont="1" applyFill="1" applyBorder="1" applyAlignment="1">
      <alignment vertical="center"/>
    </xf>
    <xf numFmtId="49" fontId="67" fillId="0" borderId="0" xfId="64" applyNumberFormat="1" applyFont="1" applyAlignment="1">
      <alignment horizontal="left" vertical="center"/>
    </xf>
    <xf numFmtId="0" fontId="67" fillId="0" borderId="0" xfId="64" applyFont="1" applyAlignment="1">
      <alignment horizontal="left" vertical="center" wrapText="1"/>
    </xf>
    <xf numFmtId="0" fontId="67" fillId="0" borderId="0" xfId="64" applyFont="1" applyAlignment="1">
      <alignment horizontal="left" vertical="center"/>
    </xf>
    <xf numFmtId="0" fontId="71" fillId="0" borderId="0" xfId="0" applyFont="1" applyAlignment="1">
      <alignment vertical="center" wrapText="1"/>
    </xf>
    <xf numFmtId="0" fontId="64" fillId="0" borderId="0" xfId="0" applyFont="1" applyAlignment="1">
      <alignment horizontal="right" vertical="center"/>
    </xf>
    <xf numFmtId="0" fontId="63" fillId="0" borderId="0" xfId="0" applyFont="1" applyAlignment="1">
      <alignment horizontal="left" vertical="center" wrapText="1" indent="2"/>
    </xf>
    <xf numFmtId="0" fontId="71" fillId="0" borderId="0" xfId="0" applyFont="1" applyAlignment="1">
      <alignment horizontal="left" vertical="center" wrapText="1" indent="2"/>
    </xf>
    <xf numFmtId="0" fontId="63" fillId="0" borderId="0" xfId="0" applyFont="1" applyAlignment="1">
      <alignment horizontal="justify" vertical="center" wrapText="1"/>
    </xf>
    <xf numFmtId="0" fontId="63" fillId="0" borderId="0" xfId="0" applyFont="1" applyAlignment="1">
      <alignment horizontal="left" vertical="center" indent="1"/>
    </xf>
    <xf numFmtId="166" fontId="63" fillId="0" borderId="0" xfId="0" applyNumberFormat="1" applyFont="1" applyAlignment="1">
      <alignment vertical="center" wrapText="1"/>
    </xf>
    <xf numFmtId="0" fontId="67" fillId="0" borderId="0" xfId="64" applyFont="1" applyAlignment="1">
      <alignment horizontal="left" vertical="top" wrapText="1"/>
    </xf>
    <xf numFmtId="0" fontId="74" fillId="0" borderId="0" xfId="0" applyFont="1" applyAlignment="1">
      <alignment horizontal="left" vertical="center"/>
    </xf>
    <xf numFmtId="166" fontId="63" fillId="0" borderId="11" xfId="28" applyNumberFormat="1" applyFont="1" applyFill="1" applyBorder="1" applyAlignment="1">
      <alignment vertical="center"/>
    </xf>
    <xf numFmtId="168" fontId="67" fillId="0" borderId="11" xfId="102" applyNumberFormat="1" applyFont="1" applyFill="1" applyBorder="1" applyAlignment="1">
      <alignment vertical="center"/>
    </xf>
    <xf numFmtId="168" fontId="64" fillId="0" borderId="22" xfId="28" applyNumberFormat="1" applyFont="1" applyFill="1" applyBorder="1" applyAlignment="1">
      <alignment vertical="center"/>
    </xf>
    <xf numFmtId="168" fontId="64" fillId="0" borderId="29" xfId="28" applyNumberFormat="1" applyFont="1" applyFill="1" applyBorder="1" applyAlignment="1">
      <alignment vertical="center"/>
    </xf>
    <xf numFmtId="168" fontId="63" fillId="0" borderId="22" xfId="28" applyNumberFormat="1" applyFont="1" applyFill="1" applyBorder="1" applyAlignment="1">
      <alignment vertical="center"/>
    </xf>
    <xf numFmtId="168" fontId="63" fillId="0" borderId="0" xfId="28" applyNumberFormat="1" applyFont="1" applyFill="1" applyBorder="1" applyAlignment="1">
      <alignment vertical="center"/>
    </xf>
    <xf numFmtId="168" fontId="64" fillId="0" borderId="16" xfId="28" applyNumberFormat="1" applyFont="1" applyFill="1" applyBorder="1" applyAlignment="1">
      <alignment vertical="center"/>
    </xf>
    <xf numFmtId="168" fontId="64" fillId="0" borderId="19" xfId="28" applyNumberFormat="1" applyFont="1" applyFill="1" applyBorder="1" applyAlignment="1">
      <alignment vertical="center"/>
    </xf>
    <xf numFmtId="0" fontId="71" fillId="0" borderId="22" xfId="0" applyFont="1" applyBorder="1" applyAlignment="1">
      <alignment vertical="center"/>
    </xf>
    <xf numFmtId="0" fontId="63" fillId="0" borderId="52" xfId="0" applyFont="1" applyBorder="1" applyAlignment="1">
      <alignment horizontal="center" vertical="center"/>
    </xf>
    <xf numFmtId="0" fontId="63" fillId="0" borderId="58" xfId="0" applyFont="1" applyBorder="1" applyAlignment="1">
      <alignment horizontal="center" vertical="center"/>
    </xf>
    <xf numFmtId="0" fontId="71" fillId="0" borderId="0" xfId="0" applyFont="1" applyAlignment="1">
      <alignment vertical="center"/>
    </xf>
    <xf numFmtId="0" fontId="73" fillId="0" borderId="0" xfId="98" applyFont="1" applyAlignment="1">
      <alignment vertical="top"/>
    </xf>
    <xf numFmtId="49" fontId="63" fillId="0" borderId="30" xfId="0" applyNumberFormat="1" applyFont="1" applyBorder="1" applyAlignment="1">
      <alignment horizontal="center" vertical="center" wrapText="1"/>
    </xf>
    <xf numFmtId="49" fontId="63" fillId="0" borderId="29" xfId="0" applyNumberFormat="1" applyFont="1" applyBorder="1" applyAlignment="1">
      <alignment horizontal="center" vertical="center" wrapText="1"/>
    </xf>
    <xf numFmtId="0" fontId="67" fillId="0" borderId="0" xfId="66" applyFont="1" applyAlignment="1">
      <alignment horizontal="left" vertical="center"/>
    </xf>
    <xf numFmtId="0" fontId="65" fillId="0" borderId="0" xfId="66" applyFont="1" applyAlignment="1">
      <alignment horizontal="left" vertical="center" wrapText="1"/>
    </xf>
    <xf numFmtId="0" fontId="65" fillId="0" borderId="37" xfId="66" applyFont="1" applyBorder="1" applyAlignment="1">
      <alignment horizontal="left" vertical="center" wrapText="1"/>
    </xf>
    <xf numFmtId="49" fontId="65" fillId="0" borderId="0" xfId="66" applyNumberFormat="1" applyFont="1" applyAlignment="1">
      <alignment horizontal="left" vertical="center"/>
    </xf>
    <xf numFmtId="0" fontId="67" fillId="0" borderId="0" xfId="66" applyFont="1" applyAlignment="1">
      <alignment horizontal="left" vertical="center" wrapText="1"/>
    </xf>
    <xf numFmtId="0" fontId="67" fillId="0" borderId="36" xfId="66" applyFont="1" applyBorder="1" applyAlignment="1">
      <alignment horizontal="left" vertical="center" wrapText="1"/>
    </xf>
    <xf numFmtId="49" fontId="67" fillId="0" borderId="36" xfId="66" applyNumberFormat="1" applyFont="1" applyBorder="1" applyAlignment="1">
      <alignment horizontal="left" vertical="center"/>
    </xf>
    <xf numFmtId="0" fontId="53" fillId="24" borderId="68" xfId="106" applyFont="1" applyFill="1" applyBorder="1" applyAlignment="1">
      <alignment horizontal="right"/>
    </xf>
    <xf numFmtId="0" fontId="57" fillId="24" borderId="0" xfId="106" applyFill="1"/>
    <xf numFmtId="0" fontId="53" fillId="24" borderId="74" xfId="106" applyFont="1" applyFill="1" applyBorder="1" applyAlignment="1">
      <alignment horizontal="right"/>
    </xf>
    <xf numFmtId="0" fontId="53" fillId="27" borderId="0" xfId="106" applyFont="1" applyFill="1" applyAlignment="1">
      <alignment horizontal="right"/>
    </xf>
    <xf numFmtId="0" fontId="53" fillId="28" borderId="68" xfId="106" applyFont="1" applyFill="1" applyBorder="1" applyAlignment="1">
      <alignment horizontal="right"/>
    </xf>
    <xf numFmtId="0" fontId="54" fillId="28" borderId="68" xfId="106" applyFont="1" applyFill="1" applyBorder="1" applyAlignment="1">
      <alignment horizontal="right"/>
    </xf>
    <xf numFmtId="0" fontId="53" fillId="0" borderId="68" xfId="106" applyFont="1" applyBorder="1" applyAlignment="1">
      <alignment horizontal="right"/>
    </xf>
    <xf numFmtId="0" fontId="63" fillId="0" borderId="0" xfId="0" applyFont="1" applyAlignment="1">
      <alignment horizontal="left" vertical="center" indent="2"/>
    </xf>
    <xf numFmtId="0" fontId="63" fillId="0" borderId="0" xfId="101" applyFont="1" applyAlignment="1">
      <alignment horizontal="left" vertical="center" indent="2"/>
    </xf>
    <xf numFmtId="166" fontId="63" fillId="0" borderId="34" xfId="0" applyNumberFormat="1" applyFont="1" applyBorder="1" applyAlignment="1">
      <alignment vertical="center"/>
    </xf>
    <xf numFmtId="0" fontId="63" fillId="0" borderId="0" xfId="0" quotePrefix="1" applyFont="1" applyAlignment="1">
      <alignment horizontal="left" vertical="center" indent="2"/>
    </xf>
    <xf numFmtId="170" fontId="63" fillId="0" borderId="11" xfId="28" applyNumberFormat="1" applyFont="1" applyFill="1" applyBorder="1" applyAlignment="1">
      <alignment horizontal="right" vertical="center"/>
    </xf>
    <xf numFmtId="0" fontId="63" fillId="0" borderId="0" xfId="0" quotePrefix="1" applyFont="1" applyAlignment="1">
      <alignment horizontal="left" vertical="center" wrapText="1" indent="1"/>
    </xf>
    <xf numFmtId="0" fontId="64" fillId="0" borderId="0" xfId="0" applyFont="1" applyAlignment="1">
      <alignment horizontal="left" vertical="center" wrapText="1" indent="1"/>
    </xf>
    <xf numFmtId="49" fontId="75" fillId="0" borderId="36" xfId="64" applyNumberFormat="1" applyFont="1" applyBorder="1" applyAlignment="1">
      <alignment vertical="center"/>
    </xf>
    <xf numFmtId="49" fontId="75" fillId="0" borderId="0" xfId="64" applyNumberFormat="1" applyFont="1" applyAlignment="1">
      <alignment vertical="center"/>
    </xf>
    <xf numFmtId="49" fontId="75" fillId="0" borderId="37" xfId="64" applyNumberFormat="1" applyFont="1" applyBorder="1" applyAlignment="1">
      <alignment vertical="center"/>
    </xf>
    <xf numFmtId="49" fontId="67" fillId="0" borderId="36" xfId="64" applyNumberFormat="1" applyFont="1" applyBorder="1" applyAlignment="1">
      <alignment vertical="center"/>
    </xf>
    <xf numFmtId="49" fontId="67" fillId="0" borderId="0" xfId="64" applyNumberFormat="1" applyFont="1" applyAlignment="1">
      <alignment vertical="center"/>
    </xf>
    <xf numFmtId="49" fontId="67" fillId="0" borderId="37" xfId="64" applyNumberFormat="1" applyFont="1" applyBorder="1" applyAlignment="1">
      <alignment vertical="center"/>
    </xf>
    <xf numFmtId="49" fontId="63" fillId="0" borderId="36" xfId="0" applyNumberFormat="1" applyFont="1" applyBorder="1" applyAlignment="1">
      <alignment vertical="center"/>
    </xf>
    <xf numFmtId="49" fontId="63" fillId="0" borderId="0" xfId="0" applyNumberFormat="1" applyFont="1" applyAlignment="1">
      <alignment vertical="center"/>
    </xf>
    <xf numFmtId="49" fontId="63" fillId="0" borderId="37" xfId="0" applyNumberFormat="1" applyFont="1" applyBorder="1" applyAlignment="1">
      <alignment vertical="center"/>
    </xf>
    <xf numFmtId="0" fontId="64" fillId="0" borderId="36" xfId="0" applyFont="1" applyBorder="1" applyAlignment="1">
      <alignment vertical="center"/>
    </xf>
    <xf numFmtId="0" fontId="64" fillId="0" borderId="0" xfId="0" applyFont="1" applyAlignment="1">
      <alignment vertical="center"/>
    </xf>
    <xf numFmtId="0" fontId="64" fillId="0" borderId="37" xfId="0" applyFont="1" applyBorder="1" applyAlignment="1">
      <alignment vertical="center"/>
    </xf>
    <xf numFmtId="168" fontId="64" fillId="0" borderId="37" xfId="0" applyNumberFormat="1" applyFont="1" applyBorder="1" applyAlignment="1">
      <alignment vertical="center" wrapText="1"/>
    </xf>
    <xf numFmtId="0" fontId="63" fillId="0" borderId="22" xfId="0" applyFont="1" applyBorder="1" applyAlignment="1">
      <alignment horizontal="left" vertical="center" wrapText="1"/>
    </xf>
    <xf numFmtId="0" fontId="64" fillId="0" borderId="19" xfId="0" applyFont="1" applyBorder="1" applyAlignment="1">
      <alignment horizontal="right" vertical="center" wrapText="1"/>
    </xf>
    <xf numFmtId="0" fontId="64" fillId="0" borderId="0" xfId="0" applyFont="1" applyAlignment="1">
      <alignment vertical="center" wrapText="1"/>
    </xf>
    <xf numFmtId="0" fontId="53" fillId="26" borderId="68" xfId="0" applyFont="1" applyFill="1" applyBorder="1" applyAlignment="1">
      <alignment horizontal="left"/>
    </xf>
    <xf numFmtId="0" fontId="53" fillId="26" borderId="68" xfId="0" applyFont="1" applyFill="1" applyBorder="1" applyAlignment="1">
      <alignment horizontal="right"/>
    </xf>
    <xf numFmtId="0" fontId="53" fillId="27" borderId="68" xfId="0" applyFont="1" applyFill="1" applyBorder="1" applyAlignment="1">
      <alignment horizontal="left"/>
    </xf>
    <xf numFmtId="0" fontId="53" fillId="27" borderId="68" xfId="0" applyFont="1" applyFill="1" applyBorder="1" applyAlignment="1">
      <alignment horizontal="right"/>
    </xf>
    <xf numFmtId="0" fontId="54" fillId="26" borderId="68" xfId="0" applyFont="1" applyFill="1" applyBorder="1" applyAlignment="1">
      <alignment horizontal="left"/>
    </xf>
    <xf numFmtId="0" fontId="54" fillId="26" borderId="68" xfId="0" applyFont="1" applyFill="1" applyBorder="1" applyAlignment="1">
      <alignment horizontal="right"/>
    </xf>
    <xf numFmtId="167" fontId="17" fillId="27" borderId="68" xfId="28" applyFill="1" applyBorder="1" applyAlignment="1">
      <alignment horizontal="right"/>
    </xf>
    <xf numFmtId="167" fontId="17" fillId="26" borderId="68" xfId="28" applyFill="1" applyBorder="1" applyAlignment="1">
      <alignment horizontal="right"/>
    </xf>
    <xf numFmtId="167" fontId="17" fillId="24" borderId="68" xfId="28" applyFill="1" applyBorder="1" applyAlignment="1">
      <alignment horizontal="right"/>
    </xf>
    <xf numFmtId="0" fontId="64" fillId="0" borderId="15" xfId="0" applyFont="1" applyBorder="1" applyAlignment="1">
      <alignment horizontal="center" vertical="center" wrapText="1"/>
    </xf>
    <xf numFmtId="175" fontId="77" fillId="0" borderId="0" xfId="114" applyFont="1" applyAlignment="1">
      <alignment horizontal="left" vertical="center"/>
    </xf>
    <xf numFmtId="175" fontId="76" fillId="0" borderId="0" xfId="114" applyFont="1" applyAlignment="1">
      <alignment horizontal="left"/>
    </xf>
    <xf numFmtId="175" fontId="76" fillId="0" borderId="0" xfId="114" applyFont="1"/>
    <xf numFmtId="172" fontId="76" fillId="0" borderId="0" xfId="116" applyNumberFormat="1" applyFont="1" applyFill="1"/>
    <xf numFmtId="175" fontId="78" fillId="0" borderId="0" xfId="114" applyFont="1" applyAlignment="1">
      <alignment vertical="top" wrapText="1"/>
    </xf>
    <xf numFmtId="175" fontId="78" fillId="0" borderId="0" xfId="114" applyFont="1" applyAlignment="1">
      <alignment horizontal="center" vertical="top" wrapText="1"/>
    </xf>
    <xf numFmtId="175" fontId="79" fillId="0" borderId="0" xfId="114" applyFont="1" applyAlignment="1">
      <alignment wrapText="1"/>
    </xf>
    <xf numFmtId="172" fontId="78" fillId="0" borderId="0" xfId="116" applyNumberFormat="1" applyFont="1" applyFill="1" applyBorder="1" applyAlignment="1">
      <alignment wrapText="1"/>
    </xf>
    <xf numFmtId="176" fontId="78" fillId="0" borderId="0" xfId="116" applyNumberFormat="1" applyFont="1" applyFill="1" applyBorder="1" applyAlignment="1">
      <alignment wrapText="1"/>
    </xf>
    <xf numFmtId="175" fontId="79" fillId="0" borderId="0" xfId="114" applyFont="1"/>
    <xf numFmtId="175" fontId="77" fillId="0" borderId="0" xfId="114" applyFont="1" applyAlignment="1">
      <alignment horizontal="center" vertical="center"/>
    </xf>
    <xf numFmtId="168" fontId="79" fillId="0" borderId="0" xfId="114" applyNumberFormat="1" applyFont="1" applyAlignment="1">
      <alignment vertical="center"/>
    </xf>
    <xf numFmtId="172" fontId="79" fillId="0" borderId="0" xfId="116" applyNumberFormat="1" applyFont="1" applyFill="1"/>
    <xf numFmtId="175" fontId="64" fillId="0" borderId="0" xfId="115" applyFont="1" applyAlignment="1">
      <alignment horizontal="center" vertical="center"/>
    </xf>
    <xf numFmtId="175" fontId="77" fillId="0" borderId="0" xfId="115" applyFont="1" applyAlignment="1">
      <alignment horizontal="center" vertical="center"/>
    </xf>
    <xf numFmtId="175" fontId="82" fillId="0" borderId="0" xfId="114" applyFont="1" applyAlignment="1">
      <alignment horizontal="center" vertical="center"/>
    </xf>
    <xf numFmtId="175" fontId="63" fillId="0" borderId="0" xfId="114" applyFont="1"/>
    <xf numFmtId="172" fontId="63" fillId="0" borderId="0" xfId="116" applyNumberFormat="1" applyFont="1" applyFill="1"/>
    <xf numFmtId="175" fontId="69" fillId="0" borderId="0" xfId="114" applyFont="1" applyAlignment="1">
      <alignment vertical="top" wrapText="1"/>
    </xf>
    <xf numFmtId="175" fontId="69" fillId="0" borderId="0" xfId="114" applyFont="1" applyAlignment="1">
      <alignment horizontal="center" vertical="top" wrapText="1"/>
    </xf>
    <xf numFmtId="175" fontId="68" fillId="0" borderId="0" xfId="114" applyFont="1" applyAlignment="1">
      <alignment wrapText="1"/>
    </xf>
    <xf numFmtId="172" fontId="69" fillId="0" borderId="0" xfId="116" applyNumberFormat="1" applyFont="1" applyFill="1" applyBorder="1" applyAlignment="1">
      <alignment wrapText="1"/>
    </xf>
    <xf numFmtId="176" fontId="69" fillId="0" borderId="0" xfId="116" applyNumberFormat="1" applyFont="1" applyFill="1" applyBorder="1" applyAlignment="1">
      <alignment wrapText="1"/>
    </xf>
    <xf numFmtId="0" fontId="64" fillId="0" borderId="0" xfId="114" applyNumberFormat="1" applyFont="1" applyAlignment="1">
      <alignment horizontal="center" vertical="center"/>
    </xf>
    <xf numFmtId="175" fontId="64" fillId="0" borderId="0" xfId="114" applyFont="1"/>
    <xf numFmtId="172" fontId="63" fillId="0" borderId="0" xfId="116" applyNumberFormat="1" applyFont="1" applyFill="1" applyBorder="1"/>
    <xf numFmtId="172" fontId="68" fillId="0" borderId="0" xfId="116" applyNumberFormat="1" applyFont="1" applyFill="1" applyBorder="1" applyAlignment="1">
      <alignment horizontal="right" wrapText="1"/>
    </xf>
    <xf numFmtId="172" fontId="68" fillId="0" borderId="0" xfId="116" applyNumberFormat="1" applyFont="1" applyFill="1" applyBorder="1" applyAlignment="1">
      <alignment wrapText="1"/>
    </xf>
    <xf numFmtId="0" fontId="64" fillId="0" borderId="0" xfId="114" applyNumberFormat="1" applyFont="1" applyAlignment="1">
      <alignment horizontal="center"/>
    </xf>
    <xf numFmtId="175" fontId="63" fillId="0" borderId="0" xfId="114" applyFont="1" applyAlignment="1">
      <alignment vertical="center"/>
    </xf>
    <xf numFmtId="172" fontId="64" fillId="0" borderId="0" xfId="114" applyNumberFormat="1" applyFont="1" applyAlignment="1">
      <alignment horizontal="right" vertical="center"/>
    </xf>
    <xf numFmtId="175" fontId="64" fillId="0" borderId="16" xfId="114" applyFont="1" applyBorder="1" applyAlignment="1">
      <alignment horizontal="center" vertical="top" wrapText="1"/>
    </xf>
    <xf numFmtId="175" fontId="63" fillId="0" borderId="0" xfId="114" applyFont="1" applyAlignment="1">
      <alignment vertical="center" wrapText="1"/>
    </xf>
    <xf numFmtId="175" fontId="69" fillId="0" borderId="0" xfId="114" applyFont="1" applyAlignment="1">
      <alignment wrapText="1"/>
    </xf>
    <xf numFmtId="172" fontId="69" fillId="0" borderId="0" xfId="116" applyNumberFormat="1" applyFont="1" applyFill="1" applyBorder="1" applyAlignment="1">
      <alignment horizontal="right" wrapText="1"/>
    </xf>
    <xf numFmtId="175" fontId="64" fillId="0" borderId="0" xfId="114" applyFont="1" applyAlignment="1">
      <alignment vertical="center" wrapText="1"/>
    </xf>
    <xf numFmtId="175" fontId="64" fillId="0" borderId="0" xfId="114" applyFont="1" applyAlignment="1">
      <alignment vertical="top"/>
    </xf>
    <xf numFmtId="175" fontId="68" fillId="0" borderId="0" xfId="114" applyFont="1" applyAlignment="1">
      <alignment vertical="center"/>
    </xf>
    <xf numFmtId="175" fontId="64" fillId="0" borderId="0" xfId="114" applyFont="1" applyAlignment="1">
      <alignment vertical="center"/>
    </xf>
    <xf numFmtId="175" fontId="63" fillId="0" borderId="0" xfId="114" applyFont="1" applyAlignment="1">
      <alignment horizontal="justify" vertical="top" wrapText="1"/>
    </xf>
    <xf numFmtId="175" fontId="68" fillId="0" borderId="77" xfId="114" applyFont="1" applyBorder="1" applyAlignment="1">
      <alignment wrapText="1"/>
    </xf>
    <xf numFmtId="172" fontId="68" fillId="0" borderId="77" xfId="116" applyNumberFormat="1" applyFont="1" applyFill="1" applyBorder="1" applyAlignment="1">
      <alignment wrapText="1"/>
    </xf>
    <xf numFmtId="175" fontId="68" fillId="0" borderId="78" xfId="114" applyFont="1" applyBorder="1" applyAlignment="1">
      <alignment wrapText="1"/>
    </xf>
    <xf numFmtId="172" fontId="68" fillId="0" borderId="78" xfId="116" applyNumberFormat="1" applyFont="1" applyFill="1" applyBorder="1" applyAlignment="1">
      <alignment wrapText="1"/>
    </xf>
    <xf numFmtId="175" fontId="64" fillId="0" borderId="16" xfId="114" applyFont="1" applyBorder="1" applyAlignment="1">
      <alignment horizontal="center" vertical="center" wrapText="1"/>
    </xf>
    <xf numFmtId="175" fontId="63" fillId="0" borderId="10" xfId="114" applyFont="1" applyBorder="1" applyAlignment="1">
      <alignment vertical="center" wrapText="1"/>
    </xf>
    <xf numFmtId="172" fontId="63" fillId="0" borderId="0" xfId="114" applyNumberFormat="1" applyFont="1" applyAlignment="1">
      <alignment horizontal="right" vertical="center" wrapText="1"/>
    </xf>
    <xf numFmtId="175" fontId="74" fillId="0" borderId="0" xfId="114" applyFont="1" applyAlignment="1">
      <alignment horizontal="left" vertical="center"/>
    </xf>
    <xf numFmtId="175" fontId="63" fillId="0" borderId="0" xfId="114" applyFont="1" applyAlignment="1">
      <alignment horizontal="left" vertical="top" wrapText="1"/>
    </xf>
    <xf numFmtId="175" fontId="64" fillId="0" borderId="16" xfId="114" applyFont="1" applyBorder="1" applyAlignment="1">
      <alignment vertical="center" wrapText="1"/>
    </xf>
    <xf numFmtId="175" fontId="63" fillId="0" borderId="16" xfId="114" applyFont="1" applyBorder="1"/>
    <xf numFmtId="175" fontId="63" fillId="0" borderId="0" xfId="114" applyFont="1" applyAlignment="1">
      <alignment horizontal="right" vertical="center" wrapText="1"/>
    </xf>
    <xf numFmtId="175" fontId="63" fillId="0" borderId="10" xfId="114" applyFont="1" applyBorder="1"/>
    <xf numFmtId="175" fontId="80" fillId="0" borderId="0" xfId="114" applyFont="1" applyAlignment="1">
      <alignment horizontal="left" vertical="top" wrapText="1"/>
    </xf>
    <xf numFmtId="15" fontId="64" fillId="0" borderId="16" xfId="114" applyNumberFormat="1" applyFont="1" applyBorder="1" applyAlignment="1">
      <alignment horizontal="center" vertical="center" wrapText="1"/>
    </xf>
    <xf numFmtId="175" fontId="64" fillId="0" borderId="0" xfId="114" applyFont="1" applyAlignment="1">
      <alignment horizontal="center" vertical="center" wrapText="1"/>
    </xf>
    <xf numFmtId="43" fontId="63" fillId="0" borderId="0" xfId="114" applyNumberFormat="1" applyFont="1" applyAlignment="1">
      <alignment horizontal="right" vertical="center" wrapText="1"/>
    </xf>
    <xf numFmtId="175" fontId="68" fillId="0" borderId="0" xfId="114" applyFont="1"/>
    <xf numFmtId="175" fontId="63" fillId="0" borderId="0" xfId="114" applyFont="1" applyAlignment="1">
      <alignment horizontal="justify" vertical="top"/>
    </xf>
    <xf numFmtId="172" fontId="67" fillId="0" borderId="0" xfId="114" applyNumberFormat="1" applyFont="1" applyAlignment="1">
      <alignment horizontal="right" vertical="center" wrapText="1"/>
    </xf>
    <xf numFmtId="172" fontId="67" fillId="0" borderId="0" xfId="114" applyNumberFormat="1" applyFont="1" applyAlignment="1">
      <alignment wrapText="1"/>
    </xf>
    <xf numFmtId="172" fontId="67" fillId="0" borderId="10" xfId="114" applyNumberFormat="1" applyFont="1" applyBorder="1" applyAlignment="1">
      <alignment horizontal="right" vertical="center" wrapText="1"/>
    </xf>
    <xf numFmtId="172" fontId="67" fillId="0" borderId="10" xfId="114" applyNumberFormat="1" applyFont="1" applyBorder="1"/>
    <xf numFmtId="172" fontId="63" fillId="0" borderId="0" xfId="117" applyNumberFormat="1" applyFont="1" applyFill="1"/>
    <xf numFmtId="168" fontId="67" fillId="0" borderId="0" xfId="114" applyNumberFormat="1" applyFont="1" applyAlignment="1">
      <alignment horizontal="right" vertical="center"/>
    </xf>
    <xf numFmtId="168" fontId="65" fillId="0" borderId="0" xfId="114" applyNumberFormat="1" applyFont="1" applyAlignment="1">
      <alignment horizontal="right" vertical="center"/>
    </xf>
    <xf numFmtId="43" fontId="67" fillId="0" borderId="0" xfId="114" applyNumberFormat="1" applyFont="1" applyAlignment="1">
      <alignment horizontal="right" vertical="center" wrapText="1"/>
    </xf>
    <xf numFmtId="175" fontId="83" fillId="0" borderId="0" xfId="114" applyFont="1" applyAlignment="1">
      <alignment vertical="center"/>
    </xf>
    <xf numFmtId="172" fontId="67" fillId="0" borderId="0" xfId="114" applyNumberFormat="1" applyFont="1" applyAlignment="1">
      <alignment horizontal="right" vertical="center"/>
    </xf>
    <xf numFmtId="172" fontId="63" fillId="0" borderId="0" xfId="114" applyNumberFormat="1" applyFont="1" applyAlignment="1">
      <alignment horizontal="right" vertical="center"/>
    </xf>
    <xf numFmtId="172" fontId="63" fillId="0" borderId="0" xfId="114" applyNumberFormat="1" applyFont="1"/>
    <xf numFmtId="43" fontId="63" fillId="0" borderId="0" xfId="116" applyFont="1" applyFill="1"/>
    <xf numFmtId="172" fontId="64" fillId="0" borderId="20" xfId="117" applyNumberFormat="1" applyFont="1" applyFill="1" applyBorder="1" applyAlignment="1">
      <alignment horizontal="right" vertical="center"/>
    </xf>
    <xf numFmtId="172" fontId="65" fillId="0" borderId="20" xfId="114" applyNumberFormat="1" applyFont="1" applyBorder="1" applyAlignment="1">
      <alignment horizontal="right" vertical="center"/>
    </xf>
    <xf numFmtId="172" fontId="64" fillId="0" borderId="0" xfId="114" applyNumberFormat="1" applyFont="1" applyAlignment="1">
      <alignment vertical="center"/>
    </xf>
    <xf numFmtId="175" fontId="63" fillId="0" borderId="0" xfId="114" applyFont="1" applyAlignment="1">
      <alignment horizontal="right" vertical="center"/>
    </xf>
    <xf numFmtId="15" fontId="64" fillId="0" borderId="0" xfId="114" applyNumberFormat="1" applyFont="1" applyAlignment="1">
      <alignment vertical="center" wrapText="1"/>
    </xf>
    <xf numFmtId="172" fontId="63" fillId="0" borderId="0" xfId="114" applyNumberFormat="1" applyFont="1" applyAlignment="1">
      <alignment vertical="center"/>
    </xf>
    <xf numFmtId="37" fontId="63" fillId="0" borderId="0" xfId="114" applyNumberFormat="1" applyFont="1" applyAlignment="1">
      <alignment vertical="center"/>
    </xf>
    <xf numFmtId="172" fontId="64" fillId="0" borderId="20" xfId="117" applyNumberFormat="1" applyFont="1" applyFill="1" applyBorder="1" applyAlignment="1">
      <alignment vertical="center"/>
    </xf>
    <xf numFmtId="172" fontId="65" fillId="0" borderId="20" xfId="114" applyNumberFormat="1" applyFont="1" applyBorder="1" applyAlignment="1">
      <alignment vertical="center"/>
    </xf>
    <xf numFmtId="10" fontId="63" fillId="0" borderId="0" xfId="114" applyNumberFormat="1" applyFont="1" applyAlignment="1">
      <alignment horizontal="right" vertical="center" wrapText="1"/>
    </xf>
    <xf numFmtId="175" fontId="64" fillId="0" borderId="0" xfId="114" applyFont="1" applyAlignment="1">
      <alignment horizontal="left" vertical="center"/>
    </xf>
    <xf numFmtId="9" fontId="67" fillId="0" borderId="0" xfId="114" applyNumberFormat="1" applyFont="1" applyAlignment="1">
      <alignment horizontal="right" vertical="center" wrapText="1"/>
    </xf>
    <xf numFmtId="9" fontId="67" fillId="0" borderId="0" xfId="114" applyNumberFormat="1" applyFont="1" applyAlignment="1">
      <alignment horizontal="center" vertical="center" wrapText="1"/>
    </xf>
    <xf numFmtId="9" fontId="67" fillId="0" borderId="10" xfId="114" applyNumberFormat="1" applyFont="1" applyBorder="1" applyAlignment="1">
      <alignment horizontal="right" vertical="center" wrapText="1"/>
    </xf>
    <xf numFmtId="9" fontId="67" fillId="0" borderId="10" xfId="114" applyNumberFormat="1" applyFont="1" applyBorder="1" applyAlignment="1">
      <alignment horizontal="center" vertical="center" wrapText="1"/>
    </xf>
    <xf numFmtId="175" fontId="64" fillId="0" borderId="16" xfId="114" applyFont="1" applyBorder="1" applyAlignment="1">
      <alignment horizontal="right" vertical="center" wrapText="1"/>
    </xf>
    <xf numFmtId="168" fontId="63" fillId="0" borderId="0" xfId="114" applyNumberFormat="1" applyFont="1" applyAlignment="1">
      <alignment horizontal="right" vertical="center"/>
    </xf>
    <xf numFmtId="168" fontId="63" fillId="0" borderId="10" xfId="114" applyNumberFormat="1" applyFont="1" applyBorder="1" applyAlignment="1">
      <alignment horizontal="right" vertical="center"/>
    </xf>
    <xf numFmtId="172" fontId="63" fillId="0" borderId="0" xfId="117" applyNumberFormat="1" applyFont="1" applyFill="1" applyBorder="1" applyAlignment="1">
      <alignment horizontal="right" vertical="center"/>
    </xf>
    <xf numFmtId="37" fontId="63" fillId="0" borderId="0" xfId="114" applyNumberFormat="1" applyFont="1" applyAlignment="1">
      <alignment horizontal="right" vertical="center"/>
    </xf>
    <xf numFmtId="172" fontId="67" fillId="0" borderId="0" xfId="114" applyNumberFormat="1" applyFont="1" applyAlignment="1">
      <alignment horizontal="left" vertical="top"/>
    </xf>
    <xf numFmtId="175" fontId="64" fillId="0" borderId="0" xfId="114" applyFont="1" applyAlignment="1">
      <alignment horizontal="right" vertical="center" wrapText="1"/>
    </xf>
    <xf numFmtId="175" fontId="63" fillId="0" borderId="16" xfId="114" applyFont="1" applyBorder="1" applyAlignment="1">
      <alignment horizontal="justify" vertical="top" wrapText="1"/>
    </xf>
    <xf numFmtId="172" fontId="67" fillId="0" borderId="0" xfId="114" applyNumberFormat="1" applyFont="1" applyAlignment="1">
      <alignment vertical="top"/>
    </xf>
    <xf numFmtId="43" fontId="69" fillId="0" borderId="0" xfId="117" applyFont="1" applyFill="1" applyBorder="1" applyAlignment="1">
      <alignment wrapText="1"/>
    </xf>
    <xf numFmtId="3" fontId="68" fillId="0" borderId="0" xfId="114" applyNumberFormat="1" applyFont="1"/>
    <xf numFmtId="168" fontId="63" fillId="0" borderId="0" xfId="114" applyNumberFormat="1" applyFont="1" applyAlignment="1">
      <alignment horizontal="right" vertical="center" wrapText="1"/>
    </xf>
    <xf numFmtId="168" fontId="64" fillId="0" borderId="29" xfId="114" applyNumberFormat="1" applyFont="1" applyBorder="1" applyAlignment="1">
      <alignment horizontal="right" vertical="center" wrapText="1"/>
    </xf>
    <xf numFmtId="172" fontId="64" fillId="0" borderId="29" xfId="114" applyNumberFormat="1" applyFont="1" applyBorder="1" applyAlignment="1">
      <alignment horizontal="right" vertical="center" wrapText="1"/>
    </xf>
    <xf numFmtId="172" fontId="64" fillId="0" borderId="0" xfId="114" applyNumberFormat="1" applyFont="1" applyAlignment="1">
      <alignment horizontal="right" vertical="center" wrapText="1"/>
    </xf>
    <xf numFmtId="172" fontId="63" fillId="0" borderId="0" xfId="119" applyNumberFormat="1" applyFont="1" applyAlignment="1">
      <alignment horizontal="right" vertical="center" wrapText="1"/>
    </xf>
    <xf numFmtId="3" fontId="67" fillId="0" borderId="0" xfId="114" applyNumberFormat="1" applyFont="1"/>
    <xf numFmtId="166" fontId="63" fillId="0" borderId="0" xfId="114" applyNumberFormat="1" applyFont="1" applyAlignment="1">
      <alignment horizontal="right" vertical="center" wrapText="1"/>
    </xf>
    <xf numFmtId="166" fontId="63" fillId="0" borderId="10" xfId="114" applyNumberFormat="1" applyFont="1" applyBorder="1" applyAlignment="1">
      <alignment horizontal="right" vertical="center" wrapText="1"/>
    </xf>
    <xf numFmtId="0" fontId="63" fillId="0" borderId="0" xfId="114" applyNumberFormat="1" applyFont="1"/>
    <xf numFmtId="10" fontId="63" fillId="0" borderId="0" xfId="121" applyNumberFormat="1" applyFont="1" applyFill="1"/>
    <xf numFmtId="175" fontId="64" fillId="0" borderId="10" xfId="114" applyFont="1" applyBorder="1" applyAlignment="1">
      <alignment vertical="center"/>
    </xf>
    <xf numFmtId="175" fontId="63" fillId="0" borderId="0" xfId="114" applyFont="1" applyAlignment="1">
      <alignment horizontal="left" vertical="center"/>
    </xf>
    <xf numFmtId="175" fontId="63" fillId="0" borderId="10" xfId="114" applyFont="1" applyBorder="1" applyAlignment="1">
      <alignment horizontal="left" vertical="center"/>
    </xf>
    <xf numFmtId="175" fontId="69" fillId="0" borderId="16" xfId="114" applyFont="1" applyBorder="1" applyAlignment="1">
      <alignment wrapText="1"/>
    </xf>
    <xf numFmtId="177" fontId="69" fillId="0" borderId="16" xfId="114" applyNumberFormat="1" applyFont="1" applyBorder="1" applyAlignment="1">
      <alignment horizontal="right" wrapText="1"/>
    </xf>
    <xf numFmtId="172" fontId="68" fillId="0" borderId="0" xfId="117" applyNumberFormat="1" applyFont="1" applyFill="1" applyBorder="1" applyAlignment="1">
      <alignment horizontal="right" wrapText="1"/>
    </xf>
    <xf numFmtId="172" fontId="68" fillId="0" borderId="0" xfId="117" applyNumberFormat="1" applyFont="1" applyFill="1" applyBorder="1" applyAlignment="1">
      <alignment wrapText="1"/>
    </xf>
    <xf numFmtId="172" fontId="68" fillId="0" borderId="0" xfId="117" applyNumberFormat="1" applyFont="1" applyFill="1" applyAlignment="1">
      <alignment wrapText="1"/>
    </xf>
    <xf numFmtId="172" fontId="69" fillId="0" borderId="20" xfId="117" applyNumberFormat="1" applyFont="1" applyFill="1" applyBorder="1" applyAlignment="1">
      <alignment horizontal="right" wrapText="1"/>
    </xf>
    <xf numFmtId="175" fontId="64" fillId="0" borderId="0" xfId="114" applyFont="1" applyAlignment="1">
      <alignment horizontal="left" vertical="top" wrapText="1"/>
    </xf>
    <xf numFmtId="175" fontId="64" fillId="0" borderId="0" xfId="114" applyFont="1" applyAlignment="1">
      <alignment horizontal="left" vertical="top"/>
    </xf>
    <xf numFmtId="0" fontId="68" fillId="0" borderId="16" xfId="125" applyFont="1" applyBorder="1"/>
    <xf numFmtId="2" fontId="69" fillId="0" borderId="16" xfId="125" applyNumberFormat="1" applyFont="1" applyBorder="1" applyAlignment="1">
      <alignment horizontal="center" wrapText="1"/>
    </xf>
    <xf numFmtId="0" fontId="68" fillId="0" borderId="0" xfId="125" applyFont="1"/>
    <xf numFmtId="172" fontId="64" fillId="0" borderId="0" xfId="116" applyNumberFormat="1" applyFont="1" applyFill="1" applyBorder="1" applyAlignment="1">
      <alignment horizontal="left" wrapText="1"/>
    </xf>
    <xf numFmtId="172" fontId="64" fillId="0" borderId="0" xfId="116" applyNumberFormat="1" applyFont="1" applyFill="1" applyBorder="1"/>
    <xf numFmtId="43" fontId="63" fillId="0" borderId="0" xfId="117" applyFont="1" applyFill="1" applyAlignment="1">
      <alignment horizontal="left" vertical="center"/>
    </xf>
    <xf numFmtId="175" fontId="63" fillId="0" borderId="0" xfId="128" applyFont="1" applyAlignment="1">
      <alignment horizontal="left" vertical="center"/>
    </xf>
    <xf numFmtId="43" fontId="63" fillId="0" borderId="0" xfId="117" applyFont="1" applyFill="1" applyBorder="1" applyAlignment="1">
      <alignment horizontal="left" vertical="center"/>
    </xf>
    <xf numFmtId="172" fontId="63" fillId="0" borderId="0" xfId="117" applyNumberFormat="1" applyFont="1" applyFill="1" applyAlignment="1">
      <alignment horizontal="left" vertical="center"/>
    </xf>
    <xf numFmtId="9" fontId="63" fillId="0" borderId="0" xfId="121" applyFont="1" applyFill="1" applyAlignment="1">
      <alignment horizontal="right" vertical="center"/>
    </xf>
    <xf numFmtId="172" fontId="63" fillId="0" borderId="0" xfId="114" applyNumberFormat="1" applyFont="1" applyAlignment="1">
      <alignment horizontal="center" vertical="center"/>
    </xf>
    <xf numFmtId="175" fontId="63" fillId="0" borderId="0" xfId="114" applyFont="1" applyAlignment="1">
      <alignment horizontal="center" vertical="center"/>
    </xf>
    <xf numFmtId="0" fontId="63" fillId="0" borderId="0" xfId="125" applyFont="1" applyAlignment="1">
      <alignment horizontal="left"/>
    </xf>
    <xf numFmtId="0" fontId="63" fillId="0" borderId="0" xfId="125" applyFont="1" applyAlignment="1">
      <alignment horizontal="center" wrapText="1"/>
    </xf>
    <xf numFmtId="0" fontId="63" fillId="0" borderId="0" xfId="125" applyFont="1" applyAlignment="1">
      <alignment horizontal="center"/>
    </xf>
    <xf numFmtId="0" fontId="63" fillId="0" borderId="0" xfId="125" applyFont="1"/>
    <xf numFmtId="172" fontId="68" fillId="0" borderId="0" xfId="117" applyNumberFormat="1" applyFont="1" applyFill="1" applyAlignment="1">
      <alignment horizontal="center"/>
    </xf>
    <xf numFmtId="172" fontId="68" fillId="0" borderId="0" xfId="117" applyNumberFormat="1" applyFont="1" applyFill="1" applyBorder="1" applyAlignment="1">
      <alignment vertical="center"/>
    </xf>
    <xf numFmtId="172" fontId="68" fillId="0" borderId="0" xfId="117" applyNumberFormat="1" applyFont="1" applyFill="1"/>
    <xf numFmtId="172" fontId="69" fillId="0" borderId="0" xfId="117" applyNumberFormat="1" applyFont="1" applyFill="1"/>
    <xf numFmtId="172" fontId="69" fillId="0" borderId="0" xfId="117" applyNumberFormat="1" applyFont="1" applyFill="1" applyAlignment="1">
      <alignment horizontal="center"/>
    </xf>
    <xf numFmtId="172" fontId="68" fillId="0" borderId="0" xfId="117" applyNumberFormat="1" applyFont="1" applyFill="1" applyAlignment="1">
      <alignment horizontal="left"/>
    </xf>
    <xf numFmtId="168" fontId="63" fillId="0" borderId="0" xfId="114" applyNumberFormat="1" applyFont="1"/>
    <xf numFmtId="175" fontId="68" fillId="0" borderId="0" xfId="114" applyFont="1" applyAlignment="1">
      <alignment horizontal="center"/>
    </xf>
    <xf numFmtId="172" fontId="68" fillId="0" borderId="0" xfId="116" applyNumberFormat="1" applyFont="1" applyFill="1"/>
    <xf numFmtId="172" fontId="68" fillId="0" borderId="0" xfId="116" applyNumberFormat="1" applyFont="1" applyFill="1" applyBorder="1"/>
    <xf numFmtId="175" fontId="63" fillId="0" borderId="29" xfId="114" applyFont="1" applyBorder="1" applyAlignment="1">
      <alignment vertical="center" wrapText="1"/>
    </xf>
    <xf numFmtId="0" fontId="52" fillId="25" borderId="68" xfId="106" applyFont="1" applyFill="1" applyBorder="1" applyAlignment="1">
      <alignment horizontal="center" vertical="center"/>
    </xf>
    <xf numFmtId="0" fontId="63" fillId="0" borderId="12" xfId="0" applyFont="1" applyBorder="1" applyAlignment="1">
      <alignment horizontal="center" vertical="center"/>
    </xf>
    <xf numFmtId="168" fontId="63" fillId="0" borderId="11" xfId="0" applyNumberFormat="1" applyFont="1" applyBorder="1" applyAlignment="1">
      <alignment vertical="center"/>
    </xf>
    <xf numFmtId="168" fontId="64" fillId="0" borderId="21" xfId="0" applyNumberFormat="1" applyFont="1" applyBorder="1" applyAlignment="1">
      <alignment vertical="center"/>
    </xf>
    <xf numFmtId="168" fontId="64" fillId="0" borderId="15" xfId="0" applyNumberFormat="1" applyFont="1" applyBorder="1" applyAlignment="1">
      <alignment vertical="center"/>
    </xf>
    <xf numFmtId="0" fontId="63" fillId="0" borderId="11" xfId="0" applyFont="1" applyBorder="1" applyAlignment="1">
      <alignment horizontal="center" vertical="center"/>
    </xf>
    <xf numFmtId="166" fontId="63" fillId="0" borderId="11" xfId="0" applyNumberFormat="1" applyFont="1" applyBorder="1" applyAlignment="1">
      <alignment vertical="center"/>
    </xf>
    <xf numFmtId="168" fontId="63" fillId="0" borderId="14" xfId="0" applyNumberFormat="1" applyFont="1" applyBorder="1" applyAlignment="1">
      <alignment vertical="center"/>
    </xf>
    <xf numFmtId="168" fontId="64" fillId="0" borderId="63" xfId="0" applyNumberFormat="1" applyFont="1" applyBorder="1" applyAlignment="1">
      <alignment vertical="center"/>
    </xf>
    <xf numFmtId="168" fontId="64" fillId="0" borderId="11" xfId="0" applyNumberFormat="1" applyFont="1" applyBorder="1" applyAlignment="1">
      <alignment vertical="center"/>
    </xf>
    <xf numFmtId="168" fontId="63" fillId="0" borderId="12" xfId="0" applyNumberFormat="1" applyFont="1" applyBorder="1" applyAlignment="1">
      <alignment vertical="center"/>
    </xf>
    <xf numFmtId="10" fontId="63" fillId="0" borderId="11" xfId="78" applyNumberFormat="1" applyFont="1" applyFill="1" applyBorder="1" applyAlignment="1">
      <alignment vertical="center"/>
    </xf>
    <xf numFmtId="168" fontId="64" fillId="0" borderId="21" xfId="28" applyNumberFormat="1" applyFont="1" applyFill="1" applyBorder="1" applyAlignment="1">
      <alignment vertical="center"/>
    </xf>
    <xf numFmtId="168" fontId="64" fillId="0" borderId="11" xfId="28" applyNumberFormat="1" applyFont="1" applyFill="1" applyBorder="1" applyAlignment="1">
      <alignment vertical="center"/>
    </xf>
    <xf numFmtId="168" fontId="64" fillId="0" borderId="64" xfId="0" applyNumberFormat="1" applyFont="1" applyBorder="1" applyAlignment="1">
      <alignment vertical="center"/>
    </xf>
    <xf numFmtId="168" fontId="64" fillId="0" borderId="12" xfId="0" applyNumberFormat="1" applyFont="1" applyBorder="1" applyAlignment="1">
      <alignment vertical="center"/>
    </xf>
    <xf numFmtId="43" fontId="64" fillId="0" borderId="12" xfId="0" applyNumberFormat="1" applyFont="1" applyBorder="1" applyAlignment="1">
      <alignment horizontal="center" vertical="center"/>
    </xf>
    <xf numFmtId="166" fontId="63" fillId="0" borderId="12" xfId="0" applyNumberFormat="1" applyFont="1" applyBorder="1" applyAlignment="1">
      <alignment vertical="center"/>
    </xf>
    <xf numFmtId="166" fontId="63" fillId="0" borderId="14" xfId="0" applyNumberFormat="1" applyFont="1" applyBorder="1" applyAlignment="1">
      <alignment vertical="center"/>
    </xf>
    <xf numFmtId="167" fontId="76" fillId="0" borderId="12" xfId="28" applyFont="1" applyBorder="1" applyAlignment="1">
      <alignment horizontal="center" vertical="center"/>
    </xf>
    <xf numFmtId="167" fontId="76" fillId="0" borderId="12" xfId="28" applyFont="1" applyBorder="1" applyAlignment="1">
      <alignment vertical="center"/>
    </xf>
    <xf numFmtId="0" fontId="64" fillId="0" borderId="62" xfId="0" quotePrefix="1" applyFont="1" applyBorder="1" applyAlignment="1">
      <alignment horizontal="center" vertical="center"/>
    </xf>
    <xf numFmtId="0" fontId="63" fillId="0" borderId="31" xfId="0" applyFont="1" applyBorder="1" applyAlignment="1">
      <alignment horizontal="left" vertical="center" wrapText="1"/>
    </xf>
    <xf numFmtId="168" fontId="63" fillId="0" borderId="12" xfId="0" applyNumberFormat="1" applyFont="1" applyBorder="1" applyAlignment="1">
      <alignment horizontal="center" vertical="center"/>
    </xf>
    <xf numFmtId="0" fontId="63" fillId="0" borderId="14" xfId="0" quotePrefix="1" applyFont="1" applyBorder="1" applyAlignment="1">
      <alignment vertical="center"/>
    </xf>
    <xf numFmtId="168" fontId="64" fillId="0" borderId="13" xfId="0" applyNumberFormat="1" applyFont="1" applyBorder="1" applyAlignment="1">
      <alignment vertical="center"/>
    </xf>
    <xf numFmtId="165" fontId="63" fillId="0" borderId="12" xfId="0" applyNumberFormat="1" applyFont="1" applyBorder="1" applyAlignment="1">
      <alignment horizontal="center" vertical="center"/>
    </xf>
    <xf numFmtId="0" fontId="63" fillId="0" borderId="12" xfId="0" applyFont="1" applyBorder="1" applyAlignment="1">
      <alignment vertical="center"/>
    </xf>
    <xf numFmtId="0" fontId="64" fillId="0" borderId="15" xfId="0" applyFont="1" applyBorder="1" applyAlignment="1">
      <alignment horizontal="center" vertical="center"/>
    </xf>
    <xf numFmtId="0" fontId="63" fillId="0" borderId="14" xfId="0" applyFont="1" applyBorder="1" applyAlignment="1">
      <alignment horizontal="center" vertical="center"/>
    </xf>
    <xf numFmtId="168" fontId="63" fillId="0" borderId="14" xfId="0" applyNumberFormat="1" applyFont="1" applyBorder="1" applyAlignment="1">
      <alignment horizontal="center" vertical="center"/>
    </xf>
    <xf numFmtId="0" fontId="64" fillId="0" borderId="0" xfId="0" quotePrefix="1" applyFont="1" applyAlignment="1">
      <alignment horizontal="left" vertical="center"/>
    </xf>
    <xf numFmtId="168" fontId="64" fillId="0" borderId="64" xfId="28" applyNumberFormat="1" applyFont="1" applyFill="1" applyBorder="1" applyAlignment="1">
      <alignment vertical="center"/>
    </xf>
    <xf numFmtId="170" fontId="63" fillId="0" borderId="11" xfId="28" applyNumberFormat="1" applyFont="1" applyFill="1" applyBorder="1" applyAlignment="1">
      <alignment horizontal="center" vertical="center"/>
    </xf>
    <xf numFmtId="168" fontId="64" fillId="0" borderId="15" xfId="28" applyNumberFormat="1" applyFont="1" applyFill="1" applyBorder="1" applyAlignment="1">
      <alignment vertical="center"/>
    </xf>
    <xf numFmtId="0" fontId="64" fillId="0" borderId="36" xfId="0" quotePrefix="1" applyFont="1" applyBorder="1" applyAlignment="1">
      <alignment horizontal="left" vertical="center"/>
    </xf>
    <xf numFmtId="0" fontId="63" fillId="0" borderId="15" xfId="0" applyFont="1" applyBorder="1" applyAlignment="1">
      <alignment horizontal="center" vertical="center" wrapText="1"/>
    </xf>
    <xf numFmtId="0" fontId="63" fillId="0" borderId="15" xfId="0" applyFont="1" applyBorder="1" applyAlignment="1">
      <alignment horizontal="center" vertical="center"/>
    </xf>
    <xf numFmtId="0" fontId="64" fillId="0" borderId="12" xfId="0" quotePrefix="1" applyFont="1" applyBorder="1" applyAlignment="1">
      <alignment horizontal="left" vertical="center"/>
    </xf>
    <xf numFmtId="0" fontId="64" fillId="0" borderId="14" xfId="0" quotePrefix="1" applyFont="1" applyBorder="1" applyAlignment="1">
      <alignment horizontal="left" vertical="center" wrapText="1"/>
    </xf>
    <xf numFmtId="0" fontId="64" fillId="0" borderId="14" xfId="0" quotePrefix="1" applyFont="1" applyBorder="1" applyAlignment="1">
      <alignment horizontal="left" vertical="center"/>
    </xf>
    <xf numFmtId="0" fontId="67" fillId="0" borderId="0" xfId="94" applyFont="1" applyAlignment="1">
      <alignment vertical="center" wrapText="1"/>
    </xf>
    <xf numFmtId="0" fontId="66" fillId="0" borderId="0" xfId="0" applyFont="1" applyAlignment="1">
      <alignment vertical="center" wrapText="1"/>
    </xf>
    <xf numFmtId="49" fontId="63" fillId="0" borderId="0" xfId="0" applyNumberFormat="1" applyFont="1" applyAlignment="1">
      <alignment horizontal="right" vertical="center"/>
    </xf>
    <xf numFmtId="0" fontId="64" fillId="0" borderId="35" xfId="0" applyFont="1" applyBorder="1" applyAlignment="1">
      <alignment horizontal="center" vertical="center" wrapText="1"/>
    </xf>
    <xf numFmtId="0" fontId="64" fillId="0" borderId="49" xfId="0" applyFont="1" applyBorder="1" applyAlignment="1">
      <alignment horizontal="center" vertical="center" wrapText="1"/>
    </xf>
    <xf numFmtId="171" fontId="64" fillId="0" borderId="43" xfId="0" applyNumberFormat="1" applyFont="1" applyBorder="1" applyAlignment="1">
      <alignment horizontal="center" vertical="center" wrapText="1"/>
    </xf>
    <xf numFmtId="168" fontId="63" fillId="0" borderId="22" xfId="28" applyNumberFormat="1" applyFont="1" applyBorder="1" applyAlignment="1">
      <alignment vertical="center" wrapText="1"/>
    </xf>
    <xf numFmtId="168" fontId="63" fillId="0" borderId="37" xfId="28" applyNumberFormat="1" applyFont="1" applyBorder="1" applyAlignment="1">
      <alignment vertical="center" wrapText="1"/>
    </xf>
    <xf numFmtId="9" fontId="63" fillId="0" borderId="0" xfId="0" applyNumberFormat="1" applyFont="1" applyAlignment="1">
      <alignment vertical="center" wrapText="1"/>
    </xf>
    <xf numFmtId="10" fontId="63" fillId="0" borderId="0" xfId="0" applyNumberFormat="1" applyFont="1" applyAlignment="1">
      <alignment vertical="center" wrapText="1"/>
    </xf>
    <xf numFmtId="170" fontId="63" fillId="0" borderId="12" xfId="28" applyNumberFormat="1" applyFont="1" applyBorder="1" applyAlignment="1">
      <alignment vertical="center" wrapText="1"/>
    </xf>
    <xf numFmtId="170" fontId="63" fillId="0" borderId="22" xfId="28" applyNumberFormat="1" applyFont="1" applyBorder="1" applyAlignment="1">
      <alignment vertical="center" wrapText="1"/>
    </xf>
    <xf numFmtId="0" fontId="63" fillId="0" borderId="50" xfId="0" applyFont="1" applyBorder="1" applyAlignment="1">
      <alignment horizontal="center" vertical="center" wrapText="1"/>
    </xf>
    <xf numFmtId="168" fontId="63" fillId="0" borderId="12" xfId="28" applyNumberFormat="1" applyFont="1" applyBorder="1" applyAlignment="1">
      <alignment vertical="center" wrapText="1"/>
    </xf>
    <xf numFmtId="0" fontId="63" fillId="0" borderId="23" xfId="0" applyFont="1" applyBorder="1" applyAlignment="1">
      <alignment horizontal="center" vertical="center" wrapText="1"/>
    </xf>
    <xf numFmtId="168" fontId="64" fillId="0" borderId="13" xfId="28" applyNumberFormat="1" applyFont="1" applyBorder="1" applyAlignment="1">
      <alignment vertical="center" wrapText="1"/>
    </xf>
    <xf numFmtId="167" fontId="63" fillId="0" borderId="0" xfId="0" applyNumberFormat="1" applyFont="1" applyAlignment="1">
      <alignment vertical="center" wrapText="1"/>
    </xf>
    <xf numFmtId="0" fontId="74" fillId="0" borderId="22" xfId="0" applyFont="1" applyBorder="1" applyAlignment="1">
      <alignment horizontal="right" vertical="center" wrapText="1"/>
    </xf>
    <xf numFmtId="168" fontId="63" fillId="0" borderId="22" xfId="0" applyNumberFormat="1" applyFont="1" applyBorder="1" applyAlignment="1">
      <alignment vertical="center" wrapText="1"/>
    </xf>
    <xf numFmtId="168" fontId="74" fillId="0" borderId="0" xfId="0" applyNumberFormat="1" applyFont="1" applyAlignment="1">
      <alignment vertical="center" wrapText="1"/>
    </xf>
    <xf numFmtId="168" fontId="74" fillId="0" borderId="12" xfId="0" applyNumberFormat="1" applyFont="1" applyBorder="1" applyAlignment="1">
      <alignment vertical="center" wrapText="1"/>
    </xf>
    <xf numFmtId="168" fontId="74" fillId="0" borderId="22" xfId="0" applyNumberFormat="1" applyFont="1" applyBorder="1" applyAlignment="1">
      <alignment vertical="center" wrapText="1"/>
    </xf>
    <xf numFmtId="168" fontId="74" fillId="0" borderId="37" xfId="0" applyNumberFormat="1" applyFont="1" applyBorder="1" applyAlignment="1">
      <alignment vertical="center" wrapText="1"/>
    </xf>
    <xf numFmtId="168" fontId="63" fillId="0" borderId="22" xfId="0" applyNumberFormat="1" applyFont="1" applyBorder="1" applyAlignment="1">
      <alignment horizontal="right" vertical="center" wrapText="1"/>
    </xf>
    <xf numFmtId="168" fontId="63" fillId="0" borderId="22" xfId="28" applyNumberFormat="1" applyFont="1" applyFill="1" applyBorder="1" applyAlignment="1">
      <alignment horizontal="right" vertical="center" wrapText="1"/>
    </xf>
    <xf numFmtId="170" fontId="63" fillId="0" borderId="22" xfId="28" applyNumberFormat="1" applyFont="1" applyFill="1" applyBorder="1" applyAlignment="1">
      <alignment horizontal="right" vertical="center" wrapText="1"/>
    </xf>
    <xf numFmtId="170" fontId="63" fillId="0" borderId="37" xfId="28" applyNumberFormat="1" applyFont="1" applyBorder="1" applyAlignment="1">
      <alignment vertical="center" wrapText="1"/>
    </xf>
    <xf numFmtId="0" fontId="63" fillId="0" borderId="31" xfId="0" applyFont="1" applyBorder="1" applyAlignment="1">
      <alignment vertical="center" wrapText="1"/>
    </xf>
    <xf numFmtId="168" fontId="66" fillId="0" borderId="0" xfId="0" applyNumberFormat="1" applyFont="1" applyAlignment="1">
      <alignment vertical="center" wrapText="1"/>
    </xf>
    <xf numFmtId="0" fontId="63" fillId="0" borderId="61" xfId="0" applyFont="1" applyBorder="1" applyAlignment="1">
      <alignment horizontal="center" vertical="center" wrapText="1"/>
    </xf>
    <xf numFmtId="0" fontId="74" fillId="0" borderId="30" xfId="0" applyFont="1" applyBorder="1" applyAlignment="1">
      <alignment horizontal="right" vertical="center" wrapText="1"/>
    </xf>
    <xf numFmtId="168" fontId="63" fillId="0" borderId="15" xfId="0" applyNumberFormat="1" applyFont="1" applyBorder="1" applyAlignment="1">
      <alignment vertical="center" wrapText="1"/>
    </xf>
    <xf numFmtId="168" fontId="63" fillId="0" borderId="30" xfId="0" applyNumberFormat="1" applyFont="1" applyBorder="1" applyAlignment="1">
      <alignment vertical="center" wrapText="1"/>
    </xf>
    <xf numFmtId="168" fontId="63" fillId="0" borderId="30" xfId="28" applyNumberFormat="1" applyFont="1" applyFill="1" applyBorder="1" applyAlignment="1">
      <alignment horizontal="right" vertical="center" wrapText="1"/>
    </xf>
    <xf numFmtId="168" fontId="63" fillId="0" borderId="30" xfId="28" applyNumberFormat="1" applyFont="1" applyBorder="1" applyAlignment="1">
      <alignment vertical="center" wrapText="1"/>
    </xf>
    <xf numFmtId="168" fontId="63" fillId="0" borderId="56" xfId="0" applyNumberFormat="1" applyFont="1" applyBorder="1" applyAlignment="1">
      <alignment vertical="center" wrapText="1"/>
    </xf>
    <xf numFmtId="0" fontId="74" fillId="0" borderId="0" xfId="0" applyFont="1" applyAlignment="1">
      <alignment vertical="center" wrapText="1"/>
    </xf>
    <xf numFmtId="0" fontId="64" fillId="0" borderId="38" xfId="0" applyFont="1" applyBorder="1" applyAlignment="1">
      <alignment horizontal="center" vertical="center"/>
    </xf>
    <xf numFmtId="0" fontId="64" fillId="0" borderId="26" xfId="0" applyFont="1" applyBorder="1" applyAlignment="1">
      <alignment horizontal="center" vertical="center"/>
    </xf>
    <xf numFmtId="168" fontId="63" fillId="0" borderId="26" xfId="0" applyNumberFormat="1" applyFont="1" applyBorder="1" applyAlignment="1">
      <alignment vertical="center" wrapText="1"/>
    </xf>
    <xf numFmtId="168" fontId="63" fillId="0" borderId="26" xfId="28" applyNumberFormat="1" applyFont="1" applyFill="1" applyBorder="1" applyAlignment="1">
      <alignment horizontal="right" vertical="center" wrapText="1"/>
    </xf>
    <xf numFmtId="168" fontId="63" fillId="0" borderId="26" xfId="28" applyNumberFormat="1" applyFont="1" applyBorder="1" applyAlignment="1">
      <alignment vertical="center" wrapText="1"/>
    </xf>
    <xf numFmtId="168" fontId="63" fillId="0" borderId="39" xfId="0" applyNumberFormat="1" applyFont="1" applyBorder="1" applyAlignment="1">
      <alignment vertical="center" wrapText="1"/>
    </xf>
    <xf numFmtId="49" fontId="65" fillId="0" borderId="0" xfId="94" applyNumberFormat="1" applyFont="1" applyAlignment="1">
      <alignment horizontal="center" vertical="center"/>
    </xf>
    <xf numFmtId="0" fontId="67" fillId="0" borderId="0" xfId="94" applyFont="1" applyAlignment="1">
      <alignment horizontal="center" vertical="center"/>
    </xf>
    <xf numFmtId="0" fontId="71" fillId="0" borderId="0" xfId="0" applyFont="1" applyAlignment="1">
      <alignment horizontal="center" vertical="center"/>
    </xf>
    <xf numFmtId="0" fontId="66" fillId="0" borderId="0" xfId="0" applyFont="1" applyAlignment="1">
      <alignment vertical="center"/>
    </xf>
    <xf numFmtId="0" fontId="64" fillId="0" borderId="22" xfId="0" applyFont="1" applyBorder="1" applyAlignment="1">
      <alignment vertical="center"/>
    </xf>
    <xf numFmtId="0" fontId="63" fillId="0" borderId="37" xfId="0" applyFont="1" applyBorder="1" applyAlignment="1">
      <alignment vertical="center"/>
    </xf>
    <xf numFmtId="0" fontId="74" fillId="0" borderId="15" xfId="0" applyFont="1" applyBorder="1" applyAlignment="1">
      <alignment horizontal="right" vertical="center" wrapText="1"/>
    </xf>
    <xf numFmtId="168" fontId="63" fillId="0" borderId="15" xfId="28" applyNumberFormat="1" applyFont="1" applyFill="1" applyBorder="1" applyAlignment="1">
      <alignment horizontal="right" vertical="center" wrapText="1"/>
    </xf>
    <xf numFmtId="168" fontId="63" fillId="0" borderId="12" xfId="28" applyNumberFormat="1" applyFont="1" applyFill="1" applyBorder="1" applyAlignment="1">
      <alignment horizontal="right" vertical="center" wrapText="1"/>
    </xf>
    <xf numFmtId="168" fontId="63" fillId="0" borderId="55" xfId="0" applyNumberFormat="1" applyFont="1" applyBorder="1" applyAlignment="1">
      <alignment vertical="center" wrapText="1"/>
    </xf>
    <xf numFmtId="0" fontId="74" fillId="0" borderId="12" xfId="0" applyFont="1" applyBorder="1" applyAlignment="1">
      <alignment horizontal="right" vertical="center" wrapText="1"/>
    </xf>
    <xf numFmtId="168" fontId="63" fillId="0" borderId="22" xfId="28" applyNumberFormat="1" applyFont="1" applyFill="1" applyBorder="1" applyAlignment="1">
      <alignment vertical="center" wrapText="1"/>
    </xf>
    <xf numFmtId="0" fontId="63" fillId="0" borderId="58" xfId="0" applyFont="1" applyBorder="1"/>
    <xf numFmtId="0" fontId="63" fillId="0" borderId="59" xfId="0" applyFont="1" applyBorder="1"/>
    <xf numFmtId="0" fontId="63" fillId="0" borderId="37" xfId="0" applyFont="1" applyBorder="1"/>
    <xf numFmtId="0" fontId="63" fillId="0" borderId="36" xfId="0" applyFont="1" applyBorder="1"/>
    <xf numFmtId="0" fontId="64" fillId="0" borderId="0" xfId="0" applyFont="1"/>
    <xf numFmtId="0" fontId="64" fillId="0" borderId="16" xfId="0" applyFont="1" applyBorder="1" applyAlignment="1">
      <alignment vertical="center"/>
    </xf>
    <xf numFmtId="0" fontId="64" fillId="0" borderId="16" xfId="0" applyFont="1" applyBorder="1" applyAlignment="1">
      <alignment horizontal="center" vertical="center"/>
    </xf>
    <xf numFmtId="166" fontId="64" fillId="0" borderId="16" xfId="28" applyNumberFormat="1" applyFont="1" applyFill="1" applyBorder="1" applyAlignment="1">
      <alignment horizontal="center" vertical="center"/>
    </xf>
    <xf numFmtId="0" fontId="63" fillId="0" borderId="36" xfId="0" applyFont="1" applyBorder="1" applyAlignment="1">
      <alignment horizontal="center" vertical="center"/>
    </xf>
    <xf numFmtId="167" fontId="63" fillId="0" borderId="0" xfId="28" applyFont="1" applyBorder="1" applyAlignment="1"/>
    <xf numFmtId="0" fontId="63" fillId="0" borderId="0" xfId="0" quotePrefix="1" applyFont="1" applyAlignment="1">
      <alignment vertical="center"/>
    </xf>
    <xf numFmtId="168" fontId="64" fillId="0" borderId="0" xfId="28" applyNumberFormat="1" applyFont="1" applyFill="1" applyBorder="1" applyAlignment="1">
      <alignment vertical="center"/>
    </xf>
    <xf numFmtId="166" fontId="64" fillId="0" borderId="51" xfId="28" applyNumberFormat="1" applyFont="1" applyFill="1" applyBorder="1" applyAlignment="1">
      <alignment horizontal="center" vertical="center"/>
    </xf>
    <xf numFmtId="170" fontId="63" fillId="0" borderId="37" xfId="28" applyNumberFormat="1" applyFont="1" applyBorder="1" applyAlignment="1"/>
    <xf numFmtId="167" fontId="64" fillId="0" borderId="37" xfId="28" applyFont="1" applyBorder="1" applyAlignment="1"/>
    <xf numFmtId="0" fontId="64" fillId="0" borderId="16" xfId="0" applyFont="1" applyBorder="1"/>
    <xf numFmtId="170" fontId="64" fillId="0" borderId="51" xfId="28" applyNumberFormat="1" applyFont="1" applyBorder="1" applyAlignment="1"/>
    <xf numFmtId="0" fontId="64" fillId="0" borderId="44" xfId="0" applyFont="1" applyBorder="1"/>
    <xf numFmtId="0" fontId="64" fillId="0" borderId="73" xfId="0" applyFont="1" applyBorder="1" applyAlignment="1">
      <alignment horizontal="center" wrapText="1"/>
    </xf>
    <xf numFmtId="0" fontId="63" fillId="0" borderId="0" xfId="0" applyFont="1" applyAlignment="1">
      <alignment wrapText="1"/>
    </xf>
    <xf numFmtId="167" fontId="63" fillId="0" borderId="0" xfId="28" applyFont="1" applyAlignment="1">
      <alignment vertical="center"/>
    </xf>
    <xf numFmtId="167" fontId="63" fillId="0" borderId="0" xfId="28" quotePrefix="1" applyFont="1" applyAlignment="1">
      <alignment vertical="center"/>
    </xf>
    <xf numFmtId="170" fontId="63" fillId="0" borderId="0" xfId="28" applyNumberFormat="1" applyFont="1" applyBorder="1" applyAlignment="1"/>
    <xf numFmtId="167" fontId="64" fillId="0" borderId="44" xfId="28" applyFont="1" applyBorder="1" applyAlignment="1"/>
    <xf numFmtId="167" fontId="64" fillId="0" borderId="16" xfId="28" applyFont="1" applyBorder="1" applyAlignment="1"/>
    <xf numFmtId="170" fontId="64" fillId="0" borderId="16" xfId="28" applyNumberFormat="1" applyFont="1" applyBorder="1" applyAlignment="1"/>
    <xf numFmtId="175" fontId="63" fillId="0" borderId="29" xfId="114" applyFont="1" applyBorder="1" applyAlignment="1">
      <alignment vertical="center"/>
    </xf>
    <xf numFmtId="172" fontId="63" fillId="0" borderId="10" xfId="117" applyNumberFormat="1" applyFont="1" applyFill="1" applyBorder="1" applyAlignment="1">
      <alignment horizontal="right" vertical="center"/>
    </xf>
    <xf numFmtId="172" fontId="63" fillId="0" borderId="29" xfId="114" applyNumberFormat="1" applyFont="1" applyBorder="1" applyAlignment="1">
      <alignment horizontal="right" vertical="center" wrapText="1"/>
    </xf>
    <xf numFmtId="172" fontId="63" fillId="0" borderId="0" xfId="116" applyNumberFormat="1" applyFont="1" applyFill="1" applyAlignment="1"/>
    <xf numFmtId="172" fontId="65" fillId="0" borderId="20" xfId="114" applyNumberFormat="1" applyFont="1" applyBorder="1" applyAlignment="1">
      <alignment horizontal="left" vertical="top"/>
    </xf>
    <xf numFmtId="175" fontId="64" fillId="0" borderId="0" xfId="114" applyFont="1" applyAlignment="1">
      <alignment horizontal="justify" vertical="top" wrapText="1"/>
    </xf>
    <xf numFmtId="172" fontId="65" fillId="0" borderId="16" xfId="114" applyNumberFormat="1" applyFont="1" applyBorder="1" applyAlignment="1">
      <alignment horizontal="left" vertical="top"/>
    </xf>
    <xf numFmtId="10" fontId="63" fillId="24" borderId="0" xfId="114" applyNumberFormat="1" applyFont="1" applyFill="1" applyAlignment="1">
      <alignment horizontal="right" vertical="center" wrapText="1"/>
    </xf>
    <xf numFmtId="10" fontId="67" fillId="24" borderId="10" xfId="114" applyNumberFormat="1" applyFont="1" applyFill="1" applyBorder="1" applyAlignment="1">
      <alignment horizontal="right" vertical="center" wrapText="1"/>
    </xf>
    <xf numFmtId="172" fontId="64" fillId="0" borderId="0" xfId="114" applyNumberFormat="1" applyFont="1" applyAlignment="1">
      <alignment horizontal="center" vertical="center"/>
    </xf>
    <xf numFmtId="0" fontId="63" fillId="0" borderId="0" xfId="128" applyNumberFormat="1" applyFont="1" applyAlignment="1">
      <alignment horizontal="center" vertical="center"/>
    </xf>
    <xf numFmtId="43" fontId="63" fillId="0" borderId="0" xfId="117" applyFont="1" applyFill="1" applyAlignment="1">
      <alignment horizontal="right" vertical="center"/>
    </xf>
    <xf numFmtId="10" fontId="63" fillId="0" borderId="0" xfId="117" applyNumberFormat="1" applyFont="1" applyFill="1" applyAlignment="1">
      <alignment horizontal="right" vertical="center"/>
    </xf>
    <xf numFmtId="43" fontId="63" fillId="0" borderId="0" xfId="117" applyFont="1" applyFill="1" applyBorder="1" applyAlignment="1">
      <alignment horizontal="right" vertical="center"/>
    </xf>
    <xf numFmtId="10" fontId="63" fillId="0" borderId="0" xfId="117" applyNumberFormat="1" applyFont="1" applyFill="1" applyBorder="1" applyAlignment="1">
      <alignment horizontal="right" vertical="center"/>
    </xf>
    <xf numFmtId="10" fontId="63" fillId="0" borderId="0" xfId="78" applyNumberFormat="1" applyFont="1" applyFill="1" applyAlignment="1">
      <alignment horizontal="right" vertical="center"/>
    </xf>
    <xf numFmtId="10" fontId="63" fillId="0" borderId="0" xfId="78" applyNumberFormat="1" applyFont="1" applyFill="1" applyBorder="1" applyAlignment="1">
      <alignment horizontal="right" vertical="center"/>
    </xf>
    <xf numFmtId="167" fontId="17" fillId="0" borderId="0" xfId="28"/>
    <xf numFmtId="0" fontId="64" fillId="0" borderId="36" xfId="0" applyFont="1" applyBorder="1" applyAlignment="1">
      <alignment horizontal="center" vertical="center"/>
    </xf>
    <xf numFmtId="0" fontId="63" fillId="0" borderId="36" xfId="0" quotePrefix="1" applyFont="1" applyBorder="1" applyAlignment="1">
      <alignment horizontal="center" vertical="center"/>
    </xf>
    <xf numFmtId="0" fontId="63" fillId="0" borderId="11" xfId="0" quotePrefix="1" applyFont="1" applyBorder="1" applyAlignment="1">
      <alignment horizontal="left" vertical="center"/>
    </xf>
    <xf numFmtId="0" fontId="63" fillId="0" borderId="0" xfId="0" quotePrefix="1" applyFont="1" applyAlignment="1">
      <alignment horizontal="left" vertical="center"/>
    </xf>
    <xf numFmtId="0" fontId="71" fillId="0" borderId="11" xfId="0" quotePrefix="1" applyFont="1" applyBorder="1" applyAlignment="1">
      <alignment horizontal="left" vertical="center"/>
    </xf>
    <xf numFmtId="0" fontId="64" fillId="0" borderId="11" xfId="0" quotePrefix="1" applyFont="1" applyBorder="1" applyAlignment="1">
      <alignment horizontal="left" vertical="center"/>
    </xf>
    <xf numFmtId="0" fontId="63" fillId="0" borderId="22" xfId="0" quotePrefix="1" applyFont="1" applyBorder="1" applyAlignment="1">
      <alignment vertical="center"/>
    </xf>
    <xf numFmtId="0" fontId="63" fillId="0" borderId="11" xfId="0" applyFont="1" applyBorder="1" applyAlignment="1">
      <alignment horizontal="left" vertical="center"/>
    </xf>
    <xf numFmtId="0" fontId="63" fillId="0" borderId="61" xfId="0" quotePrefix="1" applyFont="1" applyBorder="1" applyAlignment="1">
      <alignment horizontal="center" vertical="center"/>
    </xf>
    <xf numFmtId="0" fontId="64" fillId="0" borderId="30" xfId="0" applyFont="1" applyBorder="1" applyAlignment="1">
      <alignment horizontal="right" vertical="center"/>
    </xf>
    <xf numFmtId="0" fontId="63" fillId="0" borderId="73" xfId="0" quotePrefix="1" applyFont="1" applyBorder="1" applyAlignment="1">
      <alignment horizontal="center" vertical="center"/>
    </xf>
    <xf numFmtId="43" fontId="4" fillId="0" borderId="0" xfId="98" applyNumberFormat="1"/>
    <xf numFmtId="0" fontId="64" fillId="0" borderId="16" xfId="0" applyFont="1" applyBorder="1" applyAlignment="1">
      <alignment horizontal="center" vertical="center" wrapText="1"/>
    </xf>
    <xf numFmtId="175" fontId="63" fillId="0" borderId="0" xfId="114" applyFont="1" applyAlignment="1">
      <alignment horizontal="left" vertical="center" wrapText="1"/>
    </xf>
    <xf numFmtId="168" fontId="64" fillId="0" borderId="18" xfId="28" applyNumberFormat="1" applyFont="1" applyBorder="1" applyAlignment="1">
      <alignment vertical="center" wrapText="1"/>
    </xf>
    <xf numFmtId="0" fontId="64" fillId="0" borderId="16" xfId="0" applyFont="1" applyBorder="1" applyAlignment="1">
      <alignment vertical="center" wrapText="1"/>
    </xf>
    <xf numFmtId="170" fontId="64" fillId="0" borderId="44" xfId="28" applyNumberFormat="1" applyFont="1" applyBorder="1" applyAlignment="1"/>
    <xf numFmtId="170" fontId="64" fillId="0" borderId="35" xfId="28" applyNumberFormat="1" applyFont="1" applyFill="1" applyBorder="1" applyAlignment="1">
      <alignment vertical="center" wrapText="1"/>
    </xf>
    <xf numFmtId="175" fontId="64" fillId="24" borderId="0" xfId="114" applyFont="1" applyFill="1" applyAlignment="1">
      <alignment vertical="center"/>
    </xf>
    <xf numFmtId="0" fontId="67" fillId="0" borderId="0" xfId="99" applyFont="1" applyAlignment="1">
      <alignment horizontal="justify"/>
    </xf>
    <xf numFmtId="175" fontId="63" fillId="0" borderId="10" xfId="114" applyFont="1" applyBorder="1" applyAlignment="1">
      <alignment vertical="center"/>
    </xf>
    <xf numFmtId="175" fontId="76" fillId="0" borderId="10" xfId="114" applyFont="1" applyBorder="1"/>
    <xf numFmtId="175" fontId="64" fillId="24" borderId="0" xfId="114" applyFont="1" applyFill="1"/>
    <xf numFmtId="3" fontId="63" fillId="0" borderId="0" xfId="0" applyNumberFormat="1" applyFont="1"/>
    <xf numFmtId="168" fontId="63" fillId="0" borderId="15" xfId="0" applyNumberFormat="1" applyFont="1" applyBorder="1" applyAlignment="1">
      <alignment horizontal="center" vertical="center"/>
    </xf>
    <xf numFmtId="168" fontId="64" fillId="0" borderId="14" xfId="0" applyNumberFormat="1" applyFont="1" applyBorder="1" applyAlignment="1">
      <alignment horizontal="center" vertical="center"/>
    </xf>
    <xf numFmtId="168" fontId="63" fillId="0" borderId="15" xfId="0" quotePrefix="1" applyNumberFormat="1" applyFont="1" applyBorder="1" applyAlignment="1">
      <alignment horizontal="right" vertical="center" wrapText="1"/>
    </xf>
    <xf numFmtId="168" fontId="64" fillId="0" borderId="14" xfId="0" quotePrefix="1" applyNumberFormat="1" applyFont="1" applyBorder="1" applyAlignment="1">
      <alignment horizontal="right" vertical="center" wrapText="1"/>
    </xf>
    <xf numFmtId="0" fontId="64" fillId="0" borderId="11" xfId="0" applyFont="1" applyBorder="1" applyAlignment="1">
      <alignment horizontal="left" vertical="center"/>
    </xf>
    <xf numFmtId="0" fontId="64" fillId="0" borderId="0" xfId="0" applyFont="1" applyAlignment="1">
      <alignment horizontal="left" vertical="center"/>
    </xf>
    <xf numFmtId="0" fontId="64" fillId="0" borderId="62" xfId="0" applyFont="1" applyBorder="1" applyAlignment="1">
      <alignment horizontal="center" vertical="center"/>
    </xf>
    <xf numFmtId="0" fontId="64" fillId="0" borderId="16" xfId="0" applyFont="1" applyBorder="1" applyAlignment="1">
      <alignment horizontal="center" vertical="center"/>
    </xf>
    <xf numFmtId="0" fontId="64" fillId="0" borderId="19" xfId="0" applyFont="1" applyBorder="1" applyAlignment="1">
      <alignment horizontal="center" vertical="center"/>
    </xf>
    <xf numFmtId="0" fontId="63" fillId="0" borderId="11" xfId="0" applyFont="1" applyBorder="1" applyAlignment="1">
      <alignment horizontal="left" vertical="center"/>
    </xf>
    <xf numFmtId="0" fontId="63" fillId="0" borderId="0" xfId="0" applyFont="1" applyAlignment="1">
      <alignment horizontal="left" vertical="center"/>
    </xf>
    <xf numFmtId="0" fontId="63" fillId="0" borderId="17" xfId="0" applyFont="1" applyBorder="1" applyAlignment="1">
      <alignment horizontal="left" vertical="center"/>
    </xf>
    <xf numFmtId="0" fontId="63" fillId="0" borderId="31" xfId="0" applyFont="1" applyBorder="1" applyAlignment="1">
      <alignment horizontal="left" vertical="center"/>
    </xf>
    <xf numFmtId="0" fontId="63" fillId="0" borderId="11" xfId="0" quotePrefix="1" applyFont="1" applyBorder="1" applyAlignment="1">
      <alignment horizontal="left" vertical="center"/>
    </xf>
    <xf numFmtId="0" fontId="63" fillId="0" borderId="0" xfId="0" quotePrefix="1" applyFont="1" applyAlignment="1">
      <alignment horizontal="left" vertical="center"/>
    </xf>
    <xf numFmtId="0" fontId="71" fillId="0" borderId="11" xfId="0" quotePrefix="1" applyFont="1" applyBorder="1" applyAlignment="1">
      <alignment horizontal="left" vertical="center"/>
    </xf>
    <xf numFmtId="0" fontId="71" fillId="0" borderId="0" xfId="0" quotePrefix="1" applyFont="1" applyAlignment="1">
      <alignment horizontal="left" vertical="center"/>
    </xf>
    <xf numFmtId="0" fontId="64" fillId="0" borderId="0" xfId="0" applyFont="1" applyAlignment="1">
      <alignment horizontal="left" vertical="center" wrapText="1"/>
    </xf>
    <xf numFmtId="0" fontId="64" fillId="0" borderId="22" xfId="0" applyFont="1" applyBorder="1" applyAlignment="1">
      <alignment horizontal="left" vertical="center" wrapText="1"/>
    </xf>
    <xf numFmtId="0" fontId="63" fillId="0" borderId="11" xfId="0" applyFont="1" applyBorder="1" applyAlignment="1">
      <alignment vertical="center" wrapText="1"/>
    </xf>
    <xf numFmtId="0" fontId="63" fillId="0" borderId="22" xfId="0" applyFont="1" applyBorder="1" applyAlignment="1">
      <alignment vertical="center" wrapText="1"/>
    </xf>
    <xf numFmtId="0" fontId="63" fillId="0" borderId="70" xfId="0" applyFont="1" applyBorder="1" applyAlignment="1">
      <alignment horizontal="left" vertical="center" wrapText="1"/>
    </xf>
    <xf numFmtId="0" fontId="63" fillId="0" borderId="29" xfId="0" applyFont="1" applyBorder="1" applyAlignment="1">
      <alignment horizontal="left" vertical="center" wrapText="1"/>
    </xf>
    <xf numFmtId="0" fontId="64" fillId="0" borderId="11" xfId="0" applyFont="1" applyBorder="1" applyAlignment="1">
      <alignment vertical="center" wrapText="1"/>
    </xf>
    <xf numFmtId="0" fontId="64" fillId="0" borderId="22" xfId="0" applyFont="1" applyBorder="1" applyAlignment="1">
      <alignment vertical="center" wrapText="1"/>
    </xf>
    <xf numFmtId="0" fontId="64" fillId="0" borderId="70" xfId="0" applyFont="1" applyBorder="1" applyAlignment="1">
      <alignment horizontal="center" vertical="center" wrapText="1"/>
    </xf>
    <xf numFmtId="0" fontId="64" fillId="0" borderId="29" xfId="0" applyFont="1" applyBorder="1" applyAlignment="1">
      <alignment horizontal="center" vertical="center" wrapText="1"/>
    </xf>
    <xf numFmtId="0" fontId="63" fillId="0" borderId="36" xfId="0" applyFont="1" applyBorder="1" applyAlignment="1">
      <alignment vertical="center" wrapText="1"/>
    </xf>
    <xf numFmtId="0" fontId="63" fillId="0" borderId="0" xfId="0" applyFont="1" applyAlignment="1">
      <alignment vertical="center" wrapText="1"/>
    </xf>
    <xf numFmtId="0" fontId="67" fillId="0" borderId="36" xfId="66" applyFont="1" applyBorder="1" applyAlignment="1">
      <alignment horizontal="left" vertical="center" wrapText="1"/>
    </xf>
    <xf numFmtId="0" fontId="67" fillId="0" borderId="0" xfId="66" applyFont="1" applyAlignment="1">
      <alignment horizontal="left" vertical="center" wrapText="1"/>
    </xf>
    <xf numFmtId="0" fontId="71" fillId="0" borderId="11" xfId="0" applyFont="1" applyBorder="1" applyAlignment="1">
      <alignment horizontal="left" vertical="center"/>
    </xf>
    <xf numFmtId="0" fontId="71" fillId="0" borderId="0" xfId="0" applyFont="1" applyAlignment="1">
      <alignment horizontal="left" vertical="center"/>
    </xf>
    <xf numFmtId="0" fontId="63" fillId="0" borderId="70" xfId="0" quotePrefix="1" applyFont="1" applyBorder="1" applyAlignment="1">
      <alignment horizontal="center" vertical="center"/>
    </xf>
    <xf numFmtId="0" fontId="63" fillId="0" borderId="29" xfId="0" quotePrefix="1" applyFont="1" applyBorder="1" applyAlignment="1">
      <alignment horizontal="center" vertical="center"/>
    </xf>
    <xf numFmtId="0" fontId="64" fillId="0" borderId="62" xfId="0" applyFont="1" applyBorder="1" applyAlignment="1">
      <alignment horizontal="center" vertical="center" wrapText="1"/>
    </xf>
    <xf numFmtId="0" fontId="64" fillId="0" borderId="16" xfId="0" applyFont="1" applyBorder="1" applyAlignment="1">
      <alignment horizontal="center" vertical="center" wrapText="1"/>
    </xf>
    <xf numFmtId="0" fontId="64" fillId="0" borderId="0" xfId="0" applyFont="1" applyAlignment="1">
      <alignment vertical="center" wrapText="1"/>
    </xf>
    <xf numFmtId="0" fontId="66" fillId="0" borderId="0" xfId="0" applyFont="1" applyAlignment="1">
      <alignment horizontal="left" vertical="center" wrapText="1"/>
    </xf>
    <xf numFmtId="0" fontId="64" fillId="0" borderId="0" xfId="0" applyFont="1" applyAlignment="1">
      <alignment horizontal="center" vertical="center" wrapText="1"/>
    </xf>
    <xf numFmtId="0" fontId="64" fillId="0" borderId="22" xfId="0" applyFont="1" applyBorder="1" applyAlignment="1">
      <alignment horizontal="center" vertical="center" wrapText="1"/>
    </xf>
    <xf numFmtId="0" fontId="64" fillId="0" borderId="23" xfId="0" applyFont="1" applyBorder="1" applyAlignment="1">
      <alignment horizontal="center" vertical="center" wrapText="1"/>
    </xf>
    <xf numFmtId="0" fontId="64" fillId="0" borderId="13" xfId="0" applyFont="1" applyBorder="1" applyAlignment="1">
      <alignment horizontal="center" vertical="center" wrapText="1"/>
    </xf>
    <xf numFmtId="0" fontId="64" fillId="0" borderId="73" xfId="0" quotePrefix="1" applyFont="1" applyBorder="1" applyAlignment="1">
      <alignment horizontal="center" vertical="center"/>
    </xf>
    <xf numFmtId="0" fontId="64" fillId="0" borderId="10" xfId="0" quotePrefix="1" applyFont="1" applyBorder="1" applyAlignment="1">
      <alignment horizontal="center" vertical="center"/>
    </xf>
    <xf numFmtId="0" fontId="64" fillId="0" borderId="31" xfId="0" quotePrefix="1" applyFont="1" applyBorder="1" applyAlignment="1">
      <alignment horizontal="center" vertical="center"/>
    </xf>
    <xf numFmtId="0" fontId="65" fillId="0" borderId="0" xfId="66" applyFont="1" applyAlignment="1">
      <alignment horizontal="left" vertical="center" wrapText="1"/>
    </xf>
    <xf numFmtId="0" fontId="65" fillId="0" borderId="37" xfId="66" applyFont="1" applyBorder="1" applyAlignment="1">
      <alignment horizontal="left" vertical="center" wrapText="1"/>
    </xf>
    <xf numFmtId="49" fontId="63" fillId="0" borderId="36" xfId="0" applyNumberFormat="1" applyFont="1" applyBorder="1" applyAlignment="1">
      <alignment horizontal="center" vertical="center" wrapText="1"/>
    </xf>
    <xf numFmtId="49" fontId="63" fillId="0" borderId="0" xfId="0" applyNumberFormat="1" applyFont="1" applyAlignment="1">
      <alignment horizontal="center" vertical="center" wrapText="1"/>
    </xf>
    <xf numFmtId="49" fontId="63" fillId="0" borderId="37" xfId="0" applyNumberFormat="1" applyFont="1" applyBorder="1" applyAlignment="1">
      <alignment horizontal="center" vertical="center" wrapText="1"/>
    </xf>
    <xf numFmtId="0" fontId="63" fillId="0" borderId="0" xfId="0" applyFont="1" applyAlignment="1">
      <alignment horizontal="left" vertical="center" wrapText="1"/>
    </xf>
    <xf numFmtId="0" fontId="63" fillId="0" borderId="22" xfId="0" applyFont="1" applyBorder="1" applyAlignment="1">
      <alignment horizontal="left" vertical="center" wrapText="1"/>
    </xf>
    <xf numFmtId="0" fontId="67" fillId="0" borderId="0" xfId="98" applyFont="1" applyAlignment="1">
      <alignment horizontal="justify" vertical="top" wrapText="1"/>
    </xf>
    <xf numFmtId="0" fontId="63" fillId="0" borderId="0" xfId="98" applyFont="1" applyAlignment="1">
      <alignment horizontal="justify" vertical="top" wrapText="1"/>
    </xf>
    <xf numFmtId="0" fontId="67" fillId="0" borderId="0" xfId="98" applyFont="1" applyAlignment="1">
      <alignment horizontal="justify" vertical="center" wrapText="1"/>
    </xf>
    <xf numFmtId="0" fontId="67" fillId="0" borderId="0" xfId="98" applyFont="1" applyAlignment="1">
      <alignment horizontal="justify" vertical="top"/>
    </xf>
    <xf numFmtId="0" fontId="69" fillId="0" borderId="0" xfId="98" applyFont="1" applyAlignment="1">
      <alignment horizontal="justify" vertical="top" wrapText="1"/>
    </xf>
    <xf numFmtId="0" fontId="64" fillId="0" borderId="11" xfId="0" applyFont="1" applyBorder="1" applyAlignment="1">
      <alignment horizontal="left" vertical="center" wrapText="1"/>
    </xf>
    <xf numFmtId="0" fontId="64" fillId="0" borderId="18" xfId="0" applyFont="1" applyBorder="1" applyAlignment="1">
      <alignment horizontal="center" vertical="center" wrapText="1"/>
    </xf>
    <xf numFmtId="0" fontId="64" fillId="0" borderId="19" xfId="0" applyFont="1" applyBorder="1" applyAlignment="1">
      <alignment horizontal="center" vertical="center" wrapText="1"/>
    </xf>
    <xf numFmtId="0" fontId="63" fillId="0" borderId="13" xfId="0" applyFont="1" applyBorder="1" applyAlignment="1">
      <alignment horizontal="left" vertical="center" wrapText="1"/>
    </xf>
    <xf numFmtId="0" fontId="64" fillId="0" borderId="40" xfId="0" applyFont="1" applyBorder="1" applyAlignment="1">
      <alignment horizontal="center" vertical="center" wrapText="1"/>
    </xf>
    <xf numFmtId="0" fontId="64" fillId="0" borderId="32" xfId="0" applyFont="1" applyBorder="1" applyAlignment="1">
      <alignment horizontal="center" vertical="center" wrapText="1"/>
    </xf>
    <xf numFmtId="0" fontId="64" fillId="0" borderId="26" xfId="0" applyFont="1" applyBorder="1" applyAlignment="1">
      <alignment horizontal="center" vertical="center" wrapText="1"/>
    </xf>
    <xf numFmtId="0" fontId="71" fillId="0" borderId="0" xfId="0" applyFont="1" applyAlignment="1">
      <alignment vertical="center" wrapText="1"/>
    </xf>
    <xf numFmtId="0" fontId="63" fillId="0" borderId="11" xfId="0" applyFont="1" applyBorder="1" applyAlignment="1">
      <alignment horizontal="left" vertical="center" wrapText="1" indent="2"/>
    </xf>
    <xf numFmtId="0" fontId="63" fillId="0" borderId="0" xfId="0" applyFont="1" applyAlignment="1">
      <alignment horizontal="left" vertical="center" wrapText="1" indent="2"/>
    </xf>
    <xf numFmtId="0" fontId="63" fillId="0" borderId="22" xfId="0" applyFont="1" applyBorder="1" applyAlignment="1">
      <alignment horizontal="left" vertical="center" wrapText="1" indent="2"/>
    </xf>
    <xf numFmtId="0" fontId="71" fillId="0" borderId="11" xfId="0" applyFont="1" applyBorder="1" applyAlignment="1">
      <alignment horizontal="left" vertical="center" wrapText="1"/>
    </xf>
    <xf numFmtId="0" fontId="71" fillId="0" borderId="0" xfId="0" applyFont="1" applyAlignment="1">
      <alignment horizontal="left" vertical="center" wrapText="1"/>
    </xf>
    <xf numFmtId="0" fontId="63" fillId="0" borderId="11" xfId="0" quotePrefix="1" applyFont="1" applyBorder="1" applyAlignment="1">
      <alignment horizontal="left" vertical="center" wrapText="1"/>
    </xf>
    <xf numFmtId="0" fontId="63" fillId="0" borderId="0" xfId="0" quotePrefix="1" applyFont="1" applyAlignment="1">
      <alignment horizontal="left" vertical="center" wrapText="1"/>
    </xf>
    <xf numFmtId="0" fontId="64" fillId="0" borderId="13" xfId="0" applyFont="1" applyBorder="1" applyAlignment="1" applyProtection="1">
      <alignment horizontal="center" vertical="center" wrapText="1"/>
      <protection locked="0"/>
    </xf>
    <xf numFmtId="0" fontId="64" fillId="0" borderId="57" xfId="0" applyFont="1" applyBorder="1" applyAlignment="1">
      <alignment horizontal="right" vertical="center" wrapText="1"/>
    </xf>
    <xf numFmtId="0" fontId="64" fillId="0" borderId="58" xfId="0" applyFont="1" applyBorder="1" applyAlignment="1">
      <alignment horizontal="right" vertical="center" wrapText="1"/>
    </xf>
    <xf numFmtId="0" fontId="63" fillId="0" borderId="11" xfId="0" applyFont="1" applyBorder="1" applyAlignment="1">
      <alignment horizontal="left" vertical="center" wrapText="1"/>
    </xf>
    <xf numFmtId="0" fontId="63" fillId="0" borderId="58" xfId="0" applyFont="1" applyBorder="1" applyAlignment="1">
      <alignment horizontal="left" vertical="center" wrapText="1"/>
    </xf>
    <xf numFmtId="49" fontId="40" fillId="0" borderId="21" xfId="101" applyNumberFormat="1" applyFont="1" applyBorder="1" applyAlignment="1">
      <alignment horizontal="center" vertical="center"/>
    </xf>
    <xf numFmtId="49" fontId="40" fillId="0" borderId="29" xfId="101" applyNumberFormat="1" applyFont="1" applyBorder="1" applyAlignment="1">
      <alignment horizontal="center" vertical="center"/>
    </xf>
    <xf numFmtId="0" fontId="40" fillId="0" borderId="29" xfId="101" applyFont="1" applyBorder="1" applyAlignment="1">
      <alignment horizontal="center" vertical="center"/>
    </xf>
    <xf numFmtId="0" fontId="40" fillId="0" borderId="30" xfId="101" applyFont="1" applyBorder="1" applyAlignment="1">
      <alignment horizontal="center" vertical="center"/>
    </xf>
    <xf numFmtId="0" fontId="40" fillId="0" borderId="17" xfId="101" applyFont="1" applyBorder="1" applyAlignment="1">
      <alignment horizontal="center" vertical="center" wrapText="1"/>
    </xf>
    <xf numFmtId="0" fontId="40" fillId="0" borderId="10" xfId="101" applyFont="1" applyBorder="1" applyAlignment="1">
      <alignment horizontal="center" vertical="center" wrapText="1"/>
    </xf>
    <xf numFmtId="0" fontId="40" fillId="0" borderId="22" xfId="101" applyFont="1" applyBorder="1" applyAlignment="1">
      <alignment horizontal="center" vertical="center" wrapText="1"/>
    </xf>
    <xf numFmtId="0" fontId="64" fillId="0" borderId="60" xfId="0" applyFont="1" applyBorder="1" applyAlignment="1">
      <alignment horizontal="center" vertical="center" wrapText="1"/>
    </xf>
    <xf numFmtId="0" fontId="64" fillId="0" borderId="52" xfId="0" applyFont="1" applyBorder="1" applyAlignment="1">
      <alignment horizontal="center" vertical="center" wrapText="1"/>
    </xf>
    <xf numFmtId="0" fontId="64" fillId="0" borderId="38" xfId="0" applyFont="1" applyBorder="1" applyAlignment="1">
      <alignment horizontal="center" vertical="center" wrapText="1"/>
    </xf>
    <xf numFmtId="0" fontId="64" fillId="0" borderId="80" xfId="0" applyFont="1" applyBorder="1" applyAlignment="1">
      <alignment horizontal="center" vertical="center" wrapText="1"/>
    </xf>
    <xf numFmtId="0" fontId="64" fillId="0" borderId="76" xfId="0" applyFont="1" applyBorder="1" applyAlignment="1">
      <alignment horizontal="center" vertical="center" wrapText="1"/>
    </xf>
    <xf numFmtId="0" fontId="64" fillId="0" borderId="72" xfId="0" applyFont="1" applyBorder="1" applyAlignment="1">
      <alignment horizontal="center" vertical="center" wrapText="1"/>
    </xf>
    <xf numFmtId="0" fontId="64" fillId="0" borderId="75" xfId="0" applyFont="1" applyBorder="1" applyAlignment="1">
      <alignment horizontal="center" vertical="center" wrapText="1"/>
    </xf>
    <xf numFmtId="0" fontId="64" fillId="0" borderId="79" xfId="0" applyFont="1" applyBorder="1" applyAlignment="1">
      <alignment horizontal="center" vertical="center" wrapText="1"/>
    </xf>
    <xf numFmtId="0" fontId="64" fillId="0" borderId="81" xfId="0" applyFont="1" applyBorder="1" applyAlignment="1">
      <alignment horizontal="center" vertical="center"/>
    </xf>
    <xf numFmtId="0" fontId="64" fillId="0" borderId="64" xfId="0" applyFont="1" applyBorder="1" applyAlignment="1">
      <alignment horizontal="center" vertical="center"/>
    </xf>
    <xf numFmtId="0" fontId="64" fillId="0" borderId="36" xfId="0" applyFont="1" applyBorder="1" applyAlignment="1">
      <alignment horizontal="center" wrapText="1"/>
    </xf>
    <xf numFmtId="172" fontId="64" fillId="0" borderId="0" xfId="116" applyNumberFormat="1" applyFont="1" applyFill="1" applyBorder="1" applyAlignment="1">
      <alignment horizontal="left" wrapText="1"/>
    </xf>
    <xf numFmtId="175" fontId="63" fillId="0" borderId="0" xfId="128" applyFont="1" applyAlignment="1">
      <alignment horizontal="justify" vertical="center" wrapText="1"/>
    </xf>
    <xf numFmtId="175" fontId="63" fillId="0" borderId="0" xfId="114" applyFont="1" applyAlignment="1">
      <alignment horizontal="left" vertical="center" wrapText="1"/>
    </xf>
    <xf numFmtId="175" fontId="64" fillId="0" borderId="0" xfId="114" applyFont="1" applyAlignment="1">
      <alignment horizontal="left" vertical="center"/>
    </xf>
    <xf numFmtId="175" fontId="63" fillId="0" borderId="29" xfId="114" applyFont="1" applyBorder="1" applyAlignment="1">
      <alignment horizontal="left" vertical="top" wrapText="1"/>
    </xf>
    <xf numFmtId="175" fontId="63" fillId="0" borderId="0" xfId="114" applyFont="1" applyAlignment="1">
      <alignment horizontal="left" vertical="top" wrapText="1"/>
    </xf>
    <xf numFmtId="175" fontId="63" fillId="0" borderId="0" xfId="114" applyFont="1"/>
    <xf numFmtId="175" fontId="63" fillId="24" borderId="0" xfId="114" applyFont="1" applyFill="1" applyAlignment="1">
      <alignment horizontal="left" vertical="top" wrapText="1"/>
    </xf>
    <xf numFmtId="175" fontId="63" fillId="24" borderId="0" xfId="114" applyFont="1" applyFill="1"/>
    <xf numFmtId="175" fontId="64" fillId="0" borderId="0" xfId="114" applyFont="1" applyAlignment="1">
      <alignment horizontal="left" vertical="top" wrapText="1"/>
    </xf>
    <xf numFmtId="175" fontId="63" fillId="0" borderId="0" xfId="114" applyFont="1" applyAlignment="1">
      <alignment vertical="center" wrapText="1"/>
    </xf>
    <xf numFmtId="175" fontId="63" fillId="0" borderId="0" xfId="114" applyFont="1" applyAlignment="1">
      <alignment horizontal="justify" vertical="top" wrapText="1"/>
    </xf>
    <xf numFmtId="0" fontId="74" fillId="0" borderId="29" xfId="114" applyNumberFormat="1" applyFont="1" applyBorder="1" applyAlignment="1">
      <alignment horizontal="justify" vertical="top" wrapText="1"/>
    </xf>
    <xf numFmtId="175" fontId="64" fillId="0" borderId="16" xfId="114" applyFont="1" applyBorder="1" applyAlignment="1">
      <alignment horizontal="center" vertical="center" wrapText="1"/>
    </xf>
    <xf numFmtId="175" fontId="63" fillId="0" borderId="10" xfId="114" applyFont="1" applyBorder="1" applyAlignment="1">
      <alignment vertical="center" wrapText="1"/>
    </xf>
    <xf numFmtId="175" fontId="63" fillId="0" borderId="29" xfId="114" applyFont="1" applyBorder="1" applyAlignment="1">
      <alignment vertical="center" wrapText="1"/>
    </xf>
    <xf numFmtId="175" fontId="63" fillId="0" borderId="0" xfId="114" applyFont="1" applyAlignment="1">
      <alignment vertical="top" wrapText="1"/>
    </xf>
    <xf numFmtId="175" fontId="63" fillId="0" borderId="0" xfId="114" applyFont="1" applyAlignment="1">
      <alignment horizontal="justify" vertical="top"/>
    </xf>
    <xf numFmtId="175" fontId="63" fillId="0" borderId="10" xfId="114" applyFont="1" applyBorder="1" applyAlignment="1">
      <alignment horizontal="justify" vertical="top"/>
    </xf>
    <xf numFmtId="0" fontId="57" fillId="0" borderId="0" xfId="106"/>
    <xf numFmtId="0" fontId="52" fillId="25" borderId="68" xfId="106" applyFont="1" applyFill="1" applyBorder="1" applyAlignment="1">
      <alignment horizontal="center" vertical="center"/>
    </xf>
    <xf numFmtId="0" fontId="0" fillId="0" borderId="0" xfId="0"/>
    <xf numFmtId="0" fontId="52" fillId="25" borderId="68" xfId="0" applyFont="1" applyFill="1" applyBorder="1" applyAlignment="1">
      <alignment horizontal="center" vertical="center"/>
    </xf>
    <xf numFmtId="0" fontId="40" fillId="0" borderId="60" xfId="101" applyFont="1" applyBorder="1" applyAlignment="1">
      <alignment horizontal="center" vertical="center"/>
    </xf>
    <xf numFmtId="0" fontId="40" fillId="0" borderId="58" xfId="101" applyFont="1" applyBorder="1" applyAlignment="1">
      <alignment horizontal="center" vertical="center"/>
    </xf>
    <xf numFmtId="0" fontId="40" fillId="0" borderId="59" xfId="101" applyFont="1" applyBorder="1" applyAlignment="1">
      <alignment horizontal="center" vertical="center"/>
    </xf>
    <xf numFmtId="0" fontId="40" fillId="0" borderId="38" xfId="101" applyFont="1" applyBorder="1" applyAlignment="1">
      <alignment horizontal="center" vertical="center" wrapText="1"/>
    </xf>
    <xf numFmtId="0" fontId="40" fillId="0" borderId="26" xfId="101" applyFont="1" applyBorder="1" applyAlignment="1">
      <alignment horizontal="center" vertical="center" wrapText="1"/>
    </xf>
    <xf numFmtId="0" fontId="40" fillId="0" borderId="39" xfId="101" applyFont="1" applyBorder="1" applyAlignment="1">
      <alignment horizontal="center" vertical="center" wrapText="1"/>
    </xf>
    <xf numFmtId="0" fontId="40" fillId="0" borderId="66" xfId="101" applyFont="1" applyBorder="1" applyAlignment="1">
      <alignment horizontal="center" vertical="center"/>
    </xf>
    <xf numFmtId="0" fontId="40" fillId="0" borderId="32" xfId="101" applyFont="1" applyBorder="1" applyAlignment="1">
      <alignment horizontal="center" vertical="center"/>
    </xf>
    <xf numFmtId="0" fontId="40" fillId="0" borderId="33" xfId="101" applyFont="1" applyBorder="1" applyAlignment="1">
      <alignment horizontal="center" vertical="center"/>
    </xf>
    <xf numFmtId="0" fontId="40" fillId="0" borderId="57" xfId="101" applyFont="1" applyBorder="1" applyAlignment="1">
      <alignment horizontal="center" vertical="center" wrapText="1"/>
    </xf>
    <xf numFmtId="0" fontId="40" fillId="0" borderId="58" xfId="101" applyFont="1" applyBorder="1" applyAlignment="1">
      <alignment horizontal="center" vertical="center" wrapText="1"/>
    </xf>
    <xf numFmtId="0" fontId="40" fillId="0" borderId="52" xfId="101" applyFont="1" applyBorder="1" applyAlignment="1">
      <alignment horizontal="center" vertical="center" wrapText="1"/>
    </xf>
    <xf numFmtId="0" fontId="40" fillId="0" borderId="0" xfId="101" applyFont="1" applyAlignment="1">
      <alignment horizontal="center" vertical="center"/>
    </xf>
    <xf numFmtId="0" fontId="40" fillId="0" borderId="36" xfId="101" applyFont="1" applyBorder="1" applyAlignment="1">
      <alignment horizontal="center" vertical="center" wrapText="1"/>
    </xf>
    <xf numFmtId="0" fontId="40" fillId="0" borderId="0" xfId="101" applyFont="1" applyAlignment="1">
      <alignment horizontal="center" vertical="center" wrapText="1"/>
    </xf>
    <xf numFmtId="0" fontId="40" fillId="0" borderId="37" xfId="101" applyFont="1" applyBorder="1" applyAlignment="1">
      <alignment horizontal="center" vertical="center" wrapText="1"/>
    </xf>
    <xf numFmtId="0" fontId="39" fillId="0" borderId="13" xfId="98" applyFont="1" applyBorder="1" applyAlignment="1">
      <alignment horizontal="center"/>
    </xf>
    <xf numFmtId="0" fontId="63" fillId="24" borderId="0" xfId="0" applyFont="1" applyFill="1"/>
    <xf numFmtId="170" fontId="63" fillId="24" borderId="11" xfId="28" applyNumberFormat="1" applyFont="1" applyFill="1" applyBorder="1" applyAlignment="1">
      <alignment vertical="center" wrapText="1"/>
    </xf>
    <xf numFmtId="172" fontId="67" fillId="24" borderId="0" xfId="114" applyNumberFormat="1" applyFont="1" applyFill="1" applyAlignment="1">
      <alignment horizontal="right" vertical="center"/>
    </xf>
  </cellXfs>
  <cellStyles count="12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17 2" xfId="117" xr:uid="{DD1792B5-61D2-4046-8E1F-3D7C275E3A28}"/>
    <cellStyle name="Comma 2" xfId="29" xr:uid="{00000000-0005-0000-0000-00001C000000}"/>
    <cellStyle name="Comma 2 14" xfId="84" xr:uid="{00000000-0005-0000-0000-00001D000000}"/>
    <cellStyle name="Comma 2 2" xfId="30" xr:uid="{00000000-0005-0000-0000-00001E000000}"/>
    <cellStyle name="Comma 2 2 2" xfId="31" xr:uid="{00000000-0005-0000-0000-00001F000000}"/>
    <cellStyle name="Comma 2 2 3" xfId="32" xr:uid="{00000000-0005-0000-0000-000020000000}"/>
    <cellStyle name="Comma 2 3" xfId="33" xr:uid="{00000000-0005-0000-0000-000021000000}"/>
    <cellStyle name="Comma 2 4" xfId="110" xr:uid="{09C976E2-4438-4012-9332-7494D3E068D9}"/>
    <cellStyle name="Comma 2 40" xfId="116" xr:uid="{4297837A-60A6-4555-8D75-0479B37B3CB8}"/>
    <cellStyle name="Comma 2_AAR ESS BS 31.03.2011 Final" xfId="34" xr:uid="{00000000-0005-0000-0000-000022000000}"/>
    <cellStyle name="Comma 3" xfId="35" xr:uid="{00000000-0005-0000-0000-000023000000}"/>
    <cellStyle name="Comma 3 2" xfId="36" xr:uid="{00000000-0005-0000-0000-000024000000}"/>
    <cellStyle name="Comma 3 2 2" xfId="37" xr:uid="{00000000-0005-0000-0000-000025000000}"/>
    <cellStyle name="Comma 3 2 3" xfId="105" xr:uid="{00000000-0005-0000-0000-000026000000}"/>
    <cellStyle name="Comma 3 3" xfId="112" xr:uid="{CF4F4A3E-3814-4FE9-933C-97DFD993D835}"/>
    <cellStyle name="Comma 3_BALANCE SHEET10-11" xfId="38" xr:uid="{00000000-0005-0000-0000-000027000000}"/>
    <cellStyle name="Comma 31 2" xfId="123" xr:uid="{8C5913B8-DB21-4B24-AFC9-C15C7AE23BAA}"/>
    <cellStyle name="Comma 38 2" xfId="124" xr:uid="{8213507D-D525-4D71-958B-361838D05352}"/>
    <cellStyle name="Comma 4" xfId="39" xr:uid="{00000000-0005-0000-0000-000028000000}"/>
    <cellStyle name="Comma 4 6" xfId="126" xr:uid="{6C5CC65F-7E66-4815-982A-03A67BB6761C}"/>
    <cellStyle name="Comma 5" xfId="77" xr:uid="{00000000-0005-0000-0000-000029000000}"/>
    <cellStyle name="Comma 5 2" xfId="103" xr:uid="{00000000-0005-0000-0000-00002A000000}"/>
    <cellStyle name="Comma 6" xfId="91" xr:uid="{00000000-0005-0000-0000-00002B000000}"/>
    <cellStyle name="Comma 7" xfId="102" xr:uid="{00000000-0005-0000-0000-00002C000000}"/>
    <cellStyle name="Comma 8" xfId="108" xr:uid="{901D9638-CF78-4F3A-97E6-16C034C734B8}"/>
    <cellStyle name="Comma 9" xfId="118" xr:uid="{A4417142-2767-408D-9363-2CC42113648F}"/>
    <cellStyle name="Explanatory Text" xfId="40" builtinId="53" customBuiltin="1"/>
    <cellStyle name="Good" xfId="41" builtinId="26" customBuiltin="1"/>
    <cellStyle name="Heading 1" xfId="42" builtinId="16" customBuiltin="1"/>
    <cellStyle name="Heading 2" xfId="43" builtinId="17" customBuiltin="1"/>
    <cellStyle name="Heading 3" xfId="44" builtinId="18" customBuiltin="1"/>
    <cellStyle name="Heading 4" xfId="45" builtinId="19" customBuiltin="1"/>
    <cellStyle name="Hyperlink" xfId="100" builtinId="8"/>
    <cellStyle name="Input" xfId="46" builtinId="20" customBuiltin="1"/>
    <cellStyle name="Linked Cell" xfId="47" builtinId="24" customBuiltin="1"/>
    <cellStyle name="Neutral" xfId="48" builtinId="28" customBuiltin="1"/>
    <cellStyle name="Nor}al" xfId="80" xr:uid="{00000000-0005-0000-0000-000039000000}"/>
    <cellStyle name="Normal" xfId="0" builtinId="0"/>
    <cellStyle name="Normal 10" xfId="82" xr:uid="{00000000-0005-0000-0000-00003B000000}"/>
    <cellStyle name="Normal 10 2" xfId="88" xr:uid="{00000000-0005-0000-0000-00003C000000}"/>
    <cellStyle name="Normal 10 3" xfId="95" xr:uid="{00000000-0005-0000-0000-00003D000000}"/>
    <cellStyle name="Normal 11" xfId="67" xr:uid="{00000000-0005-0000-0000-00003E000000}"/>
    <cellStyle name="Normal 12" xfId="83" xr:uid="{00000000-0005-0000-0000-00003F000000}"/>
    <cellStyle name="Normal 13" xfId="68" xr:uid="{00000000-0005-0000-0000-000040000000}"/>
    <cellStyle name="Normal 14" xfId="87" xr:uid="{00000000-0005-0000-0000-000041000000}"/>
    <cellStyle name="Normal 15" xfId="69" xr:uid="{00000000-0005-0000-0000-000042000000}"/>
    <cellStyle name="Normal 16" xfId="90" xr:uid="{00000000-0005-0000-0000-000043000000}"/>
    <cellStyle name="Normal 17" xfId="92" xr:uid="{00000000-0005-0000-0000-000044000000}"/>
    <cellStyle name="Normal 18" xfId="96" xr:uid="{00000000-0005-0000-0000-000045000000}"/>
    <cellStyle name="Normal 19" xfId="98" xr:uid="{00000000-0005-0000-0000-000046000000}"/>
    <cellStyle name="Normal 2" xfId="49" xr:uid="{00000000-0005-0000-0000-000047000000}"/>
    <cellStyle name="Normal 2 11" xfId="97" xr:uid="{00000000-0005-0000-0000-000048000000}"/>
    <cellStyle name="Normal 2 11 2" xfId="99" xr:uid="{00000000-0005-0000-0000-000049000000}"/>
    <cellStyle name="Normal 2 2" xfId="50" xr:uid="{00000000-0005-0000-0000-00004A000000}"/>
    <cellStyle name="Normal 2 2 2" xfId="101" xr:uid="{00000000-0005-0000-0000-00004B000000}"/>
    <cellStyle name="Normal 2 3" xfId="51" xr:uid="{00000000-0005-0000-0000-00004C000000}"/>
    <cellStyle name="Normal 2 3 2" xfId="104" xr:uid="{00000000-0005-0000-0000-00004D000000}"/>
    <cellStyle name="Normal 2 3 3" xfId="111" xr:uid="{477A93C8-6099-4943-8257-2BE86F60BECA}"/>
    <cellStyle name="Normal 2 4" xfId="75" xr:uid="{00000000-0005-0000-0000-00004E000000}"/>
    <cellStyle name="Normal 2 52" xfId="114" xr:uid="{D599567A-2F7E-4F21-A44F-AD7D632278D1}"/>
    <cellStyle name="Normal 2 53" xfId="128" xr:uid="{F5756BA0-38BA-4E84-BF47-DF9EF0ABFFFF}"/>
    <cellStyle name="Normal 20" xfId="106" xr:uid="{A9328685-6BD4-48AF-8142-F1F8C4F59B75}"/>
    <cellStyle name="Normal 21" xfId="70" xr:uid="{00000000-0005-0000-0000-00004F000000}"/>
    <cellStyle name="Normal 22" xfId="107" xr:uid="{0758390D-9CCE-488F-AB6B-D043715B7E30}"/>
    <cellStyle name="Normal 23" xfId="113" xr:uid="{67B45B6C-1375-4B75-BA6A-450BDC6AD885}"/>
    <cellStyle name="Normal 3" xfId="52" xr:uid="{00000000-0005-0000-0000-000050000000}"/>
    <cellStyle name="Normal 3 2" xfId="63" xr:uid="{00000000-0005-0000-0000-000051000000}"/>
    <cellStyle name="Normal 3 3" xfId="74" xr:uid="{00000000-0005-0000-0000-000052000000}"/>
    <cellStyle name="Normal 3 39" xfId="115" xr:uid="{1EDAD9C5-6E26-42D9-8525-ED1FDE029CB0}"/>
    <cellStyle name="Normal 3 4" xfId="109" xr:uid="{DD5ABE7E-B78B-40D7-AF3F-08AE8A03B6F8}"/>
    <cellStyle name="Normal 35" xfId="71" xr:uid="{00000000-0005-0000-0000-000053000000}"/>
    <cellStyle name="Normal 4" xfId="53" xr:uid="{00000000-0005-0000-0000-000054000000}"/>
    <cellStyle name="Normal 4 2" xfId="64" xr:uid="{00000000-0005-0000-0000-000055000000}"/>
    <cellStyle name="Normal 4 2 2" xfId="81" xr:uid="{00000000-0005-0000-0000-000056000000}"/>
    <cellStyle name="Normal 4 2 2 2" xfId="85" xr:uid="{00000000-0005-0000-0000-000057000000}"/>
    <cellStyle name="Normal 4 2 2 2 2" xfId="89" xr:uid="{00000000-0005-0000-0000-000058000000}"/>
    <cellStyle name="Normal 4 2 2 2 2 2" xfId="94" xr:uid="{00000000-0005-0000-0000-000059000000}"/>
    <cellStyle name="Normal 4 2 3" xfId="93" xr:uid="{00000000-0005-0000-0000-00005A000000}"/>
    <cellStyle name="Normal 4 3" xfId="86" xr:uid="{00000000-0005-0000-0000-00005B000000}"/>
    <cellStyle name="Normal 4 50" xfId="125" xr:uid="{AF691DF7-E2CB-421D-8001-BD679F6EA5B2}"/>
    <cellStyle name="Normal 5" xfId="54" xr:uid="{00000000-0005-0000-0000-00005C000000}"/>
    <cellStyle name="Normal 5 2" xfId="65" xr:uid="{00000000-0005-0000-0000-00005D000000}"/>
    <cellStyle name="Normal 5 3" xfId="66" xr:uid="{00000000-0005-0000-0000-00005E000000}"/>
    <cellStyle name="Normal 6" xfId="55" xr:uid="{00000000-0005-0000-0000-00005F000000}"/>
    <cellStyle name="Normal 66" xfId="119" xr:uid="{6C5E1580-A011-41B6-AAB9-9D05BF8579FB}"/>
    <cellStyle name="Normal 67" xfId="122" xr:uid="{3A7D69A3-4DE3-4E18-82E4-053B65AA08E1}"/>
    <cellStyle name="Normal 7" xfId="72" xr:uid="{00000000-0005-0000-0000-000060000000}"/>
    <cellStyle name="Normal 8" xfId="73" xr:uid="{00000000-0005-0000-0000-000061000000}"/>
    <cellStyle name="Normal 9" xfId="76" xr:uid="{00000000-0005-0000-0000-000062000000}"/>
    <cellStyle name="Note" xfId="56" builtinId="10" customBuiltin="1"/>
    <cellStyle name="Output" xfId="57" builtinId="21" customBuiltin="1"/>
    <cellStyle name="Percent" xfId="78" builtinId="5"/>
    <cellStyle name="Percent 10 2" xfId="121" xr:uid="{AEA48B6A-DA7B-43D7-8CF6-30461F5EDFD6}"/>
    <cellStyle name="Percent 2" xfId="58" xr:uid="{00000000-0005-0000-0000-000067000000}"/>
    <cellStyle name="Percent 2 2" xfId="79" xr:uid="{00000000-0005-0000-0000-000068000000}"/>
    <cellStyle name="Percent 2 2 2" xfId="127" xr:uid="{C3EAFE09-5DFB-4E49-B903-5078BD912DE8}"/>
    <cellStyle name="Percent 2 47" xfId="120" xr:uid="{34176174-ECA8-4000-BAAC-C3166AA4C280}"/>
    <cellStyle name="Style 1" xfId="59" xr:uid="{00000000-0005-0000-0000-000069000000}"/>
    <cellStyle name="Title" xfId="60" builtinId="15" customBuiltin="1"/>
    <cellStyle name="Total" xfId="61" builtinId="25" customBuiltin="1"/>
    <cellStyle name="Warning Text" xfId="62" builtinId="11" customBuiltin="1"/>
  </cellStyles>
  <dxfs count="10">
    <dxf>
      <font>
        <b val="0"/>
        <i val="0"/>
        <strike val="0"/>
        <condense val="0"/>
        <extend val="0"/>
        <outline val="0"/>
        <shadow val="0"/>
        <u val="none"/>
        <vertAlign val="baseline"/>
        <sz val="11"/>
        <color auto="1"/>
        <name val="Aptos Serif"/>
        <family val="1"/>
        <scheme val="none"/>
      </font>
    </dxf>
    <dxf>
      <font>
        <b val="0"/>
        <i val="0"/>
        <strike val="0"/>
        <condense val="0"/>
        <extend val="0"/>
        <outline val="0"/>
        <shadow val="0"/>
        <u val="none"/>
        <vertAlign val="baseline"/>
        <sz val="11"/>
        <color auto="1"/>
        <name val="Aptos Serif"/>
        <family val="1"/>
        <scheme val="none"/>
      </font>
    </dxf>
    <dxf>
      <font>
        <b val="0"/>
        <i val="0"/>
        <strike val="0"/>
        <condense val="0"/>
        <extend val="0"/>
        <outline val="0"/>
        <shadow val="0"/>
        <u val="none"/>
        <vertAlign val="baseline"/>
        <sz val="11"/>
        <color auto="1"/>
        <name val="Aptos Serif"/>
        <family val="1"/>
        <scheme val="none"/>
      </font>
    </dxf>
    <dxf>
      <font>
        <b val="0"/>
        <i val="0"/>
        <strike val="0"/>
        <condense val="0"/>
        <extend val="0"/>
        <outline val="0"/>
        <shadow val="0"/>
        <u val="none"/>
        <vertAlign val="baseline"/>
        <sz val="11"/>
        <color auto="1"/>
        <name val="Aptos Serif"/>
        <family val="1"/>
        <scheme val="none"/>
      </font>
      <numFmt numFmtId="167" formatCode="_-* #,##0.00_-;\-* #,##0.00_-;_-* &quot;-&quot;??_-;_-@_-"/>
    </dxf>
    <dxf>
      <font>
        <b val="0"/>
        <i val="0"/>
        <strike val="0"/>
        <condense val="0"/>
        <extend val="0"/>
        <outline val="0"/>
        <shadow val="0"/>
        <u val="none"/>
        <vertAlign val="baseline"/>
        <sz val="11"/>
        <color auto="1"/>
        <name val="Aptos Serif"/>
        <family val="1"/>
        <scheme val="none"/>
      </font>
      <numFmt numFmtId="167" formatCode="_-* #,##0.00_-;\-* #,##0.00_-;_-* &quot;-&quot;??_-;_-@_-"/>
    </dxf>
    <dxf>
      <font>
        <b val="0"/>
        <i val="0"/>
        <strike val="0"/>
        <condense val="0"/>
        <extend val="0"/>
        <outline val="0"/>
        <shadow val="0"/>
        <u val="none"/>
        <vertAlign val="baseline"/>
        <sz val="11"/>
        <color auto="1"/>
        <name val="Aptos Serif"/>
        <family val="1"/>
        <scheme val="none"/>
      </font>
      <numFmt numFmtId="167" formatCode="_-* #,##0.00_-;\-* #,##0.00_-;_-* &quot;-&quot;??_-;_-@_-"/>
    </dxf>
    <dxf>
      <font>
        <b val="0"/>
        <i val="0"/>
        <strike val="0"/>
        <condense val="0"/>
        <extend val="0"/>
        <outline val="0"/>
        <shadow val="0"/>
        <u val="none"/>
        <vertAlign val="baseline"/>
        <sz val="11"/>
        <color auto="1"/>
        <name val="Aptos Serif"/>
        <family val="1"/>
        <scheme val="none"/>
      </font>
    </dxf>
    <dxf>
      <font>
        <b val="0"/>
        <i val="0"/>
        <strike val="0"/>
        <condense val="0"/>
        <extend val="0"/>
        <outline val="0"/>
        <shadow val="0"/>
        <u val="none"/>
        <vertAlign val="baseline"/>
        <sz val="11"/>
        <color auto="1"/>
        <name val="Aptos Serif"/>
        <family val="1"/>
        <scheme val="none"/>
      </font>
    </dxf>
    <dxf>
      <font>
        <b val="0"/>
        <i val="0"/>
        <strike val="0"/>
        <condense val="0"/>
        <extend val="0"/>
        <outline val="0"/>
        <shadow val="0"/>
        <u val="none"/>
        <vertAlign val="baseline"/>
        <sz val="11"/>
        <color auto="1"/>
        <name val="Aptos Serif"/>
        <family val="1"/>
        <scheme val="none"/>
      </font>
    </dxf>
    <dxf>
      <font>
        <b/>
        <i val="0"/>
        <strike val="0"/>
        <condense val="0"/>
        <extend val="0"/>
        <outline val="0"/>
        <shadow val="0"/>
        <u val="none"/>
        <vertAlign val="baseline"/>
        <sz val="11"/>
        <color auto="1"/>
        <name val="Aptos Serif"/>
        <family val="1"/>
        <scheme val="none"/>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11</xdr:col>
      <xdr:colOff>0</xdr:colOff>
      <xdr:row>41</xdr:row>
      <xdr:rowOff>0</xdr:rowOff>
    </xdr:to>
    <xdr:sp macro="" textlink="">
      <xdr:nvSpPr>
        <xdr:cNvPr id="2" name="AutoShape 2">
          <a:extLst>
            <a:ext uri="{FF2B5EF4-FFF2-40B4-BE49-F238E27FC236}">
              <a16:creationId xmlns:a16="http://schemas.microsoft.com/office/drawing/2014/main" id="{ECC57EF4-8051-437A-AC69-29F3B0E2A289}"/>
            </a:ext>
          </a:extLst>
        </xdr:cNvPr>
        <xdr:cNvSpPr>
          <a:spLocks noChangeArrowheads="1"/>
        </xdr:cNvSpPr>
      </xdr:nvSpPr>
      <xdr:spPr bwMode="auto">
        <a:xfrm>
          <a:off x="0" y="0"/>
          <a:ext cx="8693150" cy="45402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8</xdr:col>
      <xdr:colOff>0</xdr:colOff>
      <xdr:row>41</xdr:row>
      <xdr:rowOff>0</xdr:rowOff>
    </xdr:to>
    <xdr:sp macro="" textlink="">
      <xdr:nvSpPr>
        <xdr:cNvPr id="3" name="AutoShape 2">
          <a:extLst>
            <a:ext uri="{FF2B5EF4-FFF2-40B4-BE49-F238E27FC236}">
              <a16:creationId xmlns:a16="http://schemas.microsoft.com/office/drawing/2014/main" id="{60FA94FC-F2B5-4EBC-B7DB-D00D28F284C3}"/>
            </a:ext>
          </a:extLst>
        </xdr:cNvPr>
        <xdr:cNvSpPr>
          <a:spLocks noChangeArrowheads="1"/>
        </xdr:cNvSpPr>
      </xdr:nvSpPr>
      <xdr:spPr bwMode="auto">
        <a:xfrm>
          <a:off x="0" y="0"/>
          <a:ext cx="8693150" cy="454025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7C1C0F-652E-43BE-9612-6BD62299E465}" name="Table2" displayName="Table2" ref="A3:H143" totalsRowShown="0" headerRowDxfId="9" dataDxfId="8">
  <autoFilter ref="A3:H143" xr:uid="{6D7C1C0F-652E-43BE-9612-6BD62299E465}">
    <filterColumn colId="1">
      <filters>
        <filter val="Provisions for Assets"/>
      </filters>
    </filterColumn>
  </autoFilter>
  <tableColumns count="8">
    <tableColumn id="1" xr3:uid="{F1E9FA1E-01BF-49BA-97FA-D5DA9D082CAF}" name="Zoho Group" dataDxfId="7"/>
    <tableColumn id="2" xr3:uid="{3536A70E-30B1-4CE9-955F-D68E8561AE74}" name="Zoho Ledger" dataDxfId="6"/>
    <tableColumn id="3" xr3:uid="{EC0B249F-EDA8-43FD-90CB-300BCFD0BA78}" name="Balance as on 31-03-2026" dataDxfId="5" dataCellStyle="Comma">
      <calculatedColumnFormula>IFERROR(VLOOKUP(B4,'TB 2026'!$A$4:$E$155,5,),0)</calculatedColumnFormula>
    </tableColumn>
    <tableColumn id="4" xr3:uid="{9273F6F4-DA17-42D1-BEF9-68185CE356C8}" name="Adjustments" dataDxfId="4"/>
    <tableColumn id="5" xr3:uid="{DF61262A-983E-4435-ACC3-A66EBFD843CD}" name="Adjusted balance as on 31-03-2026" dataDxfId="3">
      <calculatedColumnFormula>Table2[[#This Row],[Balance as on 31-03-2026]]+Table2[[#This Row],[Adjustments]]</calculatedColumnFormula>
    </tableColumn>
    <tableColumn id="6" xr3:uid="{E47E23A8-869B-4952-AA7E-21BA2D463851}" name="FS Subgroup" dataDxfId="2"/>
    <tableColumn id="7" xr3:uid="{88E32F07-2174-4A7C-A3A4-C0116465F7E0}" name="FS Group" dataDxfId="1"/>
    <tableColumn id="8" xr3:uid="{9D91C998-3D96-4BEA-9C03-453EA64E6B7A}" name="FS Hea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02"/>
  <sheetViews>
    <sheetView showGridLines="0" tabSelected="1" view="pageBreakPreview" topLeftCell="A30" zoomScaleSheetLayoutView="100" zoomScalePageLayoutView="85" workbookViewId="0">
      <selection activeCell="E100" sqref="E100"/>
    </sheetView>
  </sheetViews>
  <sheetFormatPr defaultColWidth="9.140625" defaultRowHeight="15"/>
  <cols>
    <col min="1" max="1" width="5.7109375" style="200" customWidth="1"/>
    <col min="2" max="2" width="3.7109375" style="200" customWidth="1"/>
    <col min="3" max="3" width="55.7109375" style="200" customWidth="1"/>
    <col min="4" max="4" width="10.7109375" style="200" customWidth="1"/>
    <col min="5" max="6" width="25.5703125" style="200" customWidth="1"/>
    <col min="7" max="7" width="22.7109375" style="200" hidden="1" customWidth="1"/>
    <col min="8" max="8" width="14.85546875" style="200" hidden="1" customWidth="1"/>
    <col min="9" max="9" width="15" style="200" customWidth="1"/>
    <col min="10" max="10" width="13.5703125" style="200" bestFit="1" customWidth="1"/>
    <col min="11" max="16384" width="9.140625" style="200"/>
  </cols>
  <sheetData>
    <row r="1" spans="1:10" ht="15.75" thickBot="1"/>
    <row r="2" spans="1:10" s="201" customFormat="1" ht="15.95" customHeight="1">
      <c r="A2" s="434" t="s">
        <v>307</v>
      </c>
      <c r="B2" s="427"/>
      <c r="C2" s="427"/>
      <c r="D2" s="427"/>
      <c r="E2" s="427"/>
      <c r="F2" s="427"/>
      <c r="G2" s="428"/>
    </row>
    <row r="3" spans="1:10" s="201" customFormat="1" ht="14.45" customHeight="1">
      <c r="A3" s="384" t="s">
        <v>308</v>
      </c>
      <c r="B3" s="429"/>
      <c r="C3" s="429"/>
      <c r="D3" s="429"/>
      <c r="E3" s="429"/>
      <c r="F3" s="429"/>
      <c r="G3" s="430"/>
    </row>
    <row r="4" spans="1:10" s="201" customFormat="1">
      <c r="A4" s="431"/>
      <c r="B4" s="432"/>
      <c r="C4" s="432"/>
      <c r="D4" s="432"/>
      <c r="E4" s="432"/>
      <c r="F4" s="432"/>
      <c r="G4" s="433"/>
    </row>
    <row r="5" spans="1:10" s="201" customFormat="1">
      <c r="A5" s="391" t="s">
        <v>730</v>
      </c>
      <c r="B5" s="341"/>
      <c r="C5" s="341"/>
      <c r="D5" s="341"/>
      <c r="E5" s="341"/>
      <c r="F5" s="341"/>
      <c r="G5" s="425"/>
    </row>
    <row r="6" spans="1:10" s="201" customFormat="1">
      <c r="A6" s="392" t="s">
        <v>712</v>
      </c>
      <c r="B6" s="341"/>
      <c r="C6" s="341"/>
      <c r="D6" s="341"/>
      <c r="E6" s="341"/>
      <c r="F6" s="341"/>
      <c r="G6" s="425"/>
    </row>
    <row r="7" spans="1:10" s="201" customFormat="1">
      <c r="A7" s="203"/>
      <c r="B7" s="204"/>
      <c r="C7" s="204"/>
      <c r="D7" s="204"/>
      <c r="E7" s="204"/>
      <c r="F7" s="204"/>
      <c r="G7" s="205" t="s">
        <v>160</v>
      </c>
    </row>
    <row r="8" spans="1:10" s="204" customFormat="1" ht="30">
      <c r="A8" s="857" t="s">
        <v>0</v>
      </c>
      <c r="B8" s="858"/>
      <c r="C8" s="858"/>
      <c r="D8" s="206" t="s">
        <v>24</v>
      </c>
      <c r="E8" s="206" t="s">
        <v>717</v>
      </c>
      <c r="F8" s="206" t="s">
        <v>589</v>
      </c>
      <c r="G8" s="207" t="s">
        <v>582</v>
      </c>
    </row>
    <row r="9" spans="1:10" s="201" customFormat="1" ht="15.75" customHeight="1">
      <c r="A9" s="208" t="s">
        <v>19</v>
      </c>
      <c r="B9" s="860" t="s">
        <v>54</v>
      </c>
      <c r="C9" s="860"/>
      <c r="D9" s="209"/>
      <c r="E9" s="663"/>
      <c r="F9" s="663"/>
      <c r="G9" s="210"/>
    </row>
    <row r="10" spans="1:10" s="201" customFormat="1" ht="15.75" customHeight="1">
      <c r="A10" s="211" t="s">
        <v>42</v>
      </c>
      <c r="B10" s="859" t="s">
        <v>173</v>
      </c>
      <c r="C10" s="859"/>
      <c r="D10" s="209"/>
      <c r="E10" s="663"/>
      <c r="F10" s="663"/>
      <c r="G10" s="212"/>
    </row>
    <row r="11" spans="1:10" s="201" customFormat="1" ht="15.75" customHeight="1">
      <c r="A11" s="213"/>
      <c r="B11" s="204" t="s">
        <v>46</v>
      </c>
      <c r="C11" s="201" t="s">
        <v>30</v>
      </c>
      <c r="D11" s="209">
        <f>'3-15'!A9</f>
        <v>3</v>
      </c>
      <c r="E11" s="399">
        <f>'3-15'!E15</f>
        <v>100000</v>
      </c>
      <c r="F11" s="399">
        <f>'3-15'!F15</f>
        <v>100000</v>
      </c>
      <c r="G11" s="215" t="e">
        <f>'3-15'!#REF!</f>
        <v>#REF!</v>
      </c>
      <c r="J11" s="216">
        <f>E11-F11</f>
        <v>0</v>
      </c>
    </row>
    <row r="12" spans="1:10" s="201" customFormat="1" ht="15.75" customHeight="1">
      <c r="A12" s="213"/>
      <c r="B12" s="204" t="s">
        <v>47</v>
      </c>
      <c r="C12" s="201" t="s">
        <v>37</v>
      </c>
      <c r="D12" s="209">
        <f>'3-15'!A44</f>
        <v>4</v>
      </c>
      <c r="E12" s="399">
        <f>+'3-15'!E50</f>
        <v>55465687.360423073</v>
      </c>
      <c r="F12" s="399">
        <f>+'3-15'!F50</f>
        <v>44411900.788871497</v>
      </c>
      <c r="G12" s="217" t="e">
        <f>+'3-15'!#REF!</f>
        <v>#REF!</v>
      </c>
      <c r="J12" s="216">
        <f>E12-F12</f>
        <v>11053786.571551576</v>
      </c>
    </row>
    <row r="13" spans="1:10" s="201" customFormat="1" ht="15.75" customHeight="1">
      <c r="A13" s="213"/>
      <c r="B13" s="204" t="s">
        <v>48</v>
      </c>
      <c r="C13" s="201" t="s">
        <v>174</v>
      </c>
      <c r="D13" s="209"/>
      <c r="E13" s="399">
        <v>0</v>
      </c>
      <c r="F13" s="399">
        <v>0</v>
      </c>
      <c r="G13" s="215">
        <v>0</v>
      </c>
    </row>
    <row r="14" spans="1:10" s="201" customFormat="1" ht="15.75" customHeight="1">
      <c r="A14" s="211" t="s">
        <v>43</v>
      </c>
      <c r="B14" s="859" t="s">
        <v>55</v>
      </c>
      <c r="C14" s="859"/>
      <c r="D14" s="209"/>
      <c r="E14" s="399">
        <v>0</v>
      </c>
      <c r="F14" s="399">
        <v>0</v>
      </c>
      <c r="G14" s="215">
        <v>0</v>
      </c>
    </row>
    <row r="15" spans="1:10" s="201" customFormat="1" ht="15.75" customHeight="1">
      <c r="A15" s="213"/>
      <c r="B15" s="204"/>
      <c r="D15" s="209"/>
      <c r="E15" s="399"/>
      <c r="F15" s="399"/>
      <c r="G15" s="215"/>
    </row>
    <row r="16" spans="1:10" s="201" customFormat="1" ht="15.75" customHeight="1">
      <c r="A16" s="211" t="s">
        <v>44</v>
      </c>
      <c r="B16" s="859" t="s">
        <v>56</v>
      </c>
      <c r="C16" s="859"/>
      <c r="D16" s="209"/>
      <c r="E16" s="399"/>
      <c r="F16" s="399"/>
      <c r="G16" s="215"/>
    </row>
    <row r="17" spans="1:11" s="201" customFormat="1" ht="15.75" customHeight="1">
      <c r="A17" s="213"/>
      <c r="B17" s="204" t="s">
        <v>46</v>
      </c>
      <c r="C17" s="201" t="s">
        <v>58</v>
      </c>
      <c r="D17" s="209"/>
      <c r="E17" s="399">
        <v>0</v>
      </c>
      <c r="F17" s="399">
        <v>0</v>
      </c>
      <c r="G17" s="217" t="e">
        <f>'3-15'!#REF!</f>
        <v>#REF!</v>
      </c>
    </row>
    <row r="18" spans="1:11" s="201" customFormat="1" ht="15.75" customHeight="1">
      <c r="A18" s="213"/>
      <c r="B18" s="204" t="s">
        <v>47</v>
      </c>
      <c r="C18" s="201" t="s">
        <v>57</v>
      </c>
      <c r="D18" s="209">
        <f>D12+1</f>
        <v>5</v>
      </c>
      <c r="E18" s="399">
        <f>'3-15'!E65</f>
        <v>19661.910000000003</v>
      </c>
      <c r="F18" s="399">
        <f>'3-15'!F65</f>
        <v>64525.590422936919</v>
      </c>
      <c r="G18" s="215">
        <v>0</v>
      </c>
      <c r="J18" s="216">
        <f>E18-F18</f>
        <v>-44863.680422936915</v>
      </c>
    </row>
    <row r="19" spans="1:11" s="201" customFormat="1" ht="15.75" customHeight="1">
      <c r="A19" s="213"/>
      <c r="B19" s="204" t="s">
        <v>48</v>
      </c>
      <c r="C19" s="201" t="s">
        <v>175</v>
      </c>
      <c r="D19" s="209"/>
      <c r="E19" s="399">
        <v>0</v>
      </c>
      <c r="F19" s="399">
        <v>0</v>
      </c>
      <c r="G19" s="217" t="e">
        <f>'3-15'!#REF!</f>
        <v>#REF!</v>
      </c>
    </row>
    <row r="20" spans="1:11" s="201" customFormat="1" ht="15.75" customHeight="1">
      <c r="A20" s="213"/>
      <c r="B20" s="204" t="s">
        <v>49</v>
      </c>
      <c r="C20" s="201" t="s">
        <v>32</v>
      </c>
      <c r="D20" s="209">
        <f>D18+1</f>
        <v>6</v>
      </c>
      <c r="E20" s="399">
        <f>'3-15'!E72</f>
        <v>4470006</v>
      </c>
      <c r="F20" s="399">
        <f>'3-15'!F72</f>
        <v>79164</v>
      </c>
      <c r="G20" s="217" t="e">
        <f>'3-15'!#REF!</f>
        <v>#REF!</v>
      </c>
      <c r="J20" s="216">
        <f>E20-F20</f>
        <v>4390842</v>
      </c>
    </row>
    <row r="21" spans="1:11" s="201" customFormat="1" ht="15.75" customHeight="1">
      <c r="A21" s="213"/>
      <c r="B21" s="204"/>
      <c r="D21" s="209"/>
      <c r="E21" s="399"/>
      <c r="F21" s="399"/>
      <c r="G21" s="215"/>
    </row>
    <row r="22" spans="1:11" s="201" customFormat="1" ht="15.75" customHeight="1">
      <c r="A22" s="211" t="s">
        <v>45</v>
      </c>
      <c r="B22" s="859" t="s">
        <v>59</v>
      </c>
      <c r="C22" s="859"/>
      <c r="D22" s="209"/>
      <c r="E22" s="399"/>
      <c r="F22" s="399"/>
      <c r="G22" s="215"/>
    </row>
    <row r="23" spans="1:11" s="201" customFormat="1" ht="15.75" customHeight="1">
      <c r="A23" s="213"/>
      <c r="B23" s="204" t="s">
        <v>46</v>
      </c>
      <c r="C23" s="201" t="s">
        <v>60</v>
      </c>
      <c r="D23" s="209"/>
      <c r="E23" s="399">
        <v>0</v>
      </c>
      <c r="F23" s="399">
        <v>0</v>
      </c>
      <c r="G23" s="217" t="e">
        <f>'3-15'!#REF!</f>
        <v>#REF!</v>
      </c>
    </row>
    <row r="24" spans="1:11" s="201" customFormat="1" ht="15.75" customHeight="1">
      <c r="A24" s="213"/>
      <c r="B24" s="204" t="s">
        <v>47</v>
      </c>
      <c r="C24" s="201" t="s">
        <v>61</v>
      </c>
      <c r="D24" s="209">
        <f>D20+1</f>
        <v>7</v>
      </c>
      <c r="E24" s="399"/>
      <c r="F24" s="399"/>
      <c r="G24" s="217" t="e">
        <f>+'3-15'!#REF!</f>
        <v>#REF!</v>
      </c>
      <c r="H24" s="216" t="e">
        <f>+#REF!-G24</f>
        <v>#REF!</v>
      </c>
    </row>
    <row r="25" spans="1:11" s="201" customFormat="1">
      <c r="A25" s="213"/>
      <c r="B25" s="204"/>
      <c r="C25" s="220" t="s">
        <v>177</v>
      </c>
      <c r="D25" s="209"/>
      <c r="E25" s="399">
        <f>'Ageing schedule'!G13</f>
        <v>0</v>
      </c>
      <c r="F25" s="399">
        <f>'Ageing schedule'!H13</f>
        <v>0</v>
      </c>
      <c r="G25" s="215">
        <f>'Ageing schedule'!J13</f>
        <v>0</v>
      </c>
    </row>
    <row r="26" spans="1:11" s="201" customFormat="1" ht="30.2" customHeight="1">
      <c r="A26" s="213"/>
      <c r="B26" s="204"/>
      <c r="C26" s="220" t="s">
        <v>176</v>
      </c>
      <c r="D26" s="209"/>
      <c r="E26" s="399">
        <f>+'3-15'!E78</f>
        <v>31351590.07</v>
      </c>
      <c r="F26" s="399">
        <f>+'3-15'!F78-2</f>
        <v>32229649.57</v>
      </c>
      <c r="G26" s="215">
        <f>'Ageing schedule'!J14</f>
        <v>0</v>
      </c>
      <c r="J26" s="216">
        <f>E26-F26</f>
        <v>-878059.5</v>
      </c>
      <c r="K26" s="201" t="s">
        <v>780</v>
      </c>
    </row>
    <row r="27" spans="1:11" s="201" customFormat="1" ht="15.75" customHeight="1">
      <c r="A27" s="213"/>
      <c r="B27" s="204" t="s">
        <v>48</v>
      </c>
      <c r="C27" s="201" t="s">
        <v>62</v>
      </c>
      <c r="D27" s="209">
        <f>D24+1</f>
        <v>8</v>
      </c>
      <c r="E27" s="399">
        <f>'3-15'!E88-0.5</f>
        <v>29470754.710000001</v>
      </c>
      <c r="F27" s="399">
        <f>'3-15'!F88</f>
        <v>22980523.859999999</v>
      </c>
      <c r="G27" s="215" t="e">
        <f>'3-15'!#REF!</f>
        <v>#REF!</v>
      </c>
      <c r="H27" s="216" t="e">
        <f>+#REF!-G27+11000000</f>
        <v>#REF!</v>
      </c>
      <c r="J27" s="216">
        <f>E27-F27</f>
        <v>6490230.8500000015</v>
      </c>
      <c r="K27" s="201" t="s">
        <v>780</v>
      </c>
    </row>
    <row r="28" spans="1:11" s="201" customFormat="1" ht="15.75" customHeight="1">
      <c r="A28" s="213"/>
      <c r="B28" s="204" t="s">
        <v>49</v>
      </c>
      <c r="C28" s="201" t="s">
        <v>118</v>
      </c>
      <c r="D28" s="209">
        <f>D27+1</f>
        <v>9</v>
      </c>
      <c r="E28" s="399">
        <f>'3-15'!E95</f>
        <v>55650000</v>
      </c>
      <c r="F28" s="399">
        <f>'3-15'!F95</f>
        <v>8450000</v>
      </c>
      <c r="G28" s="215" t="e">
        <f>'3-15'!#REF!</f>
        <v>#REF!</v>
      </c>
      <c r="J28" s="216">
        <f>E28-F28</f>
        <v>47200000</v>
      </c>
    </row>
    <row r="29" spans="1:11" s="201" customFormat="1" ht="15.75" customHeight="1">
      <c r="A29" s="213"/>
      <c r="B29" s="204"/>
      <c r="D29" s="209"/>
      <c r="E29" s="399"/>
      <c r="F29" s="399"/>
      <c r="G29" s="215"/>
    </row>
    <row r="30" spans="1:11" s="201" customFormat="1" ht="15.75" customHeight="1" thickBot="1">
      <c r="A30" s="213"/>
      <c r="B30" s="204"/>
      <c r="C30" s="374" t="s">
        <v>1</v>
      </c>
      <c r="D30" s="209"/>
      <c r="E30" s="690">
        <f>SUM(E11:E28)+0.5</f>
        <v>176527700.55042309</v>
      </c>
      <c r="F30" s="690">
        <f>SUM(F11:F28)+0.5</f>
        <v>108315764.30929443</v>
      </c>
      <c r="G30" s="222" t="e">
        <f>SUM(G11:G28)</f>
        <v>#REF!</v>
      </c>
    </row>
    <row r="31" spans="1:11" s="201" customFormat="1" ht="15.75" customHeight="1" thickTop="1">
      <c r="A31" s="213"/>
      <c r="B31" s="204"/>
      <c r="C31" s="221"/>
      <c r="D31" s="209"/>
      <c r="E31" s="671"/>
      <c r="F31" s="671"/>
      <c r="G31" s="435"/>
    </row>
    <row r="32" spans="1:11" s="201" customFormat="1" ht="15.75" customHeight="1">
      <c r="A32" s="208" t="s">
        <v>7</v>
      </c>
      <c r="B32" s="860" t="s">
        <v>63</v>
      </c>
      <c r="C32" s="860"/>
      <c r="D32" s="209"/>
      <c r="E32" s="663"/>
      <c r="F32" s="691"/>
      <c r="G32" s="223"/>
    </row>
    <row r="33" spans="1:11" s="201" customFormat="1" ht="15.75" customHeight="1">
      <c r="A33" s="211" t="s">
        <v>42</v>
      </c>
      <c r="B33" s="859" t="s">
        <v>64</v>
      </c>
      <c r="C33" s="859"/>
      <c r="D33" s="209"/>
      <c r="E33" s="663"/>
      <c r="F33" s="691"/>
      <c r="G33" s="215"/>
    </row>
    <row r="34" spans="1:11" s="201" customFormat="1">
      <c r="A34" s="213"/>
      <c r="B34" s="224" t="s">
        <v>46</v>
      </c>
      <c r="C34" s="201" t="s">
        <v>178</v>
      </c>
      <c r="D34" s="209">
        <f>D28+1</f>
        <v>10</v>
      </c>
      <c r="E34" s="691"/>
      <c r="F34" s="691"/>
      <c r="G34" s="215"/>
    </row>
    <row r="35" spans="1:11" s="201" customFormat="1" ht="15.75" customHeight="1">
      <c r="A35" s="213"/>
      <c r="B35" s="204"/>
      <c r="C35" s="201" t="s">
        <v>179</v>
      </c>
      <c r="D35" s="209"/>
      <c r="E35" s="399">
        <f>'10'!K24</f>
        <v>5439341.5177805265</v>
      </c>
      <c r="F35" s="399">
        <f>'10'!K25</f>
        <v>4478032.3477805275</v>
      </c>
      <c r="G35" s="217">
        <v>1572250</v>
      </c>
      <c r="H35" s="216" t="e">
        <f>+#REF!-G35</f>
        <v>#REF!</v>
      </c>
      <c r="J35" s="216">
        <f>E35-F35</f>
        <v>961309.16999999899</v>
      </c>
    </row>
    <row r="36" spans="1:11" s="201" customFormat="1" ht="15.75" customHeight="1">
      <c r="A36" s="213"/>
      <c r="B36" s="204"/>
      <c r="C36" s="201" t="s">
        <v>72</v>
      </c>
      <c r="D36" s="209"/>
      <c r="E36" s="399">
        <f>'10'!J30</f>
        <v>0</v>
      </c>
      <c r="F36" s="399">
        <v>0</v>
      </c>
      <c r="G36" s="215">
        <v>0</v>
      </c>
      <c r="H36" s="216" t="e">
        <f>+#REF!+#REF!</f>
        <v>#REF!</v>
      </c>
      <c r="I36" s="216"/>
    </row>
    <row r="37" spans="1:11" s="201" customFormat="1" ht="15.75" customHeight="1">
      <c r="A37" s="213"/>
      <c r="B37" s="204"/>
      <c r="C37" s="201" t="s">
        <v>151</v>
      </c>
      <c r="D37" s="209"/>
      <c r="E37" s="399">
        <v>0</v>
      </c>
      <c r="F37" s="399">
        <v>0</v>
      </c>
      <c r="G37" s="215">
        <v>0</v>
      </c>
      <c r="H37" s="216"/>
    </row>
    <row r="38" spans="1:11" s="201" customFormat="1" ht="15.75" customHeight="1">
      <c r="A38" s="213"/>
      <c r="B38" s="204" t="s">
        <v>47</v>
      </c>
      <c r="C38" s="201" t="s">
        <v>65</v>
      </c>
      <c r="D38" s="209"/>
      <c r="E38" s="399">
        <v>0</v>
      </c>
      <c r="F38" s="399">
        <v>0</v>
      </c>
      <c r="G38" s="215" t="e">
        <f>'3-15'!#REF!</f>
        <v>#REF!</v>
      </c>
      <c r="H38" s="216"/>
    </row>
    <row r="39" spans="1:11" s="201" customFormat="1" ht="15.75" customHeight="1">
      <c r="A39" s="213"/>
      <c r="B39" s="204" t="s">
        <v>48</v>
      </c>
      <c r="C39" s="201" t="s">
        <v>180</v>
      </c>
      <c r="D39" s="209">
        <f>D18</f>
        <v>5</v>
      </c>
      <c r="E39" s="399">
        <v>0</v>
      </c>
      <c r="F39" s="399">
        <v>0</v>
      </c>
      <c r="G39" s="215" t="e">
        <f>-'3-15'!#REF!</f>
        <v>#REF!</v>
      </c>
      <c r="H39" s="216"/>
    </row>
    <row r="40" spans="1:11" s="201" customFormat="1" ht="15.75" customHeight="1">
      <c r="A40" s="213"/>
      <c r="B40" s="204" t="s">
        <v>49</v>
      </c>
      <c r="C40" s="201" t="s">
        <v>66</v>
      </c>
      <c r="D40" s="209">
        <f>D34+1</f>
        <v>11</v>
      </c>
      <c r="E40" s="399">
        <f>'3-15'!E103</f>
        <v>10709306</v>
      </c>
      <c r="F40" s="399">
        <f>'3-15'!F103</f>
        <v>6408655</v>
      </c>
      <c r="G40" s="215" t="e">
        <f>'3-15'!#REF!</f>
        <v>#REF!</v>
      </c>
      <c r="H40" s="216" t="e">
        <f>+#REF!-G40</f>
        <v>#REF!</v>
      </c>
      <c r="J40" s="216">
        <f>E40-F40</f>
        <v>4300651</v>
      </c>
      <c r="K40" s="201" t="s">
        <v>780</v>
      </c>
    </row>
    <row r="41" spans="1:11" s="201" customFormat="1" ht="15.75" customHeight="1">
      <c r="A41" s="213"/>
      <c r="B41" s="204" t="s">
        <v>50</v>
      </c>
      <c r="C41" s="201" t="s">
        <v>67</v>
      </c>
      <c r="D41" s="209"/>
      <c r="E41" s="399">
        <v>0</v>
      </c>
      <c r="F41" s="399">
        <v>0</v>
      </c>
      <c r="G41" s="215" t="e">
        <f>'3-15'!#REF!</f>
        <v>#REF!</v>
      </c>
      <c r="H41" s="216"/>
    </row>
    <row r="42" spans="1:11" s="201" customFormat="1" ht="15.75" customHeight="1">
      <c r="A42" s="213"/>
      <c r="B42" s="204"/>
      <c r="D42" s="209"/>
      <c r="E42" s="399"/>
      <c r="F42" s="399"/>
      <c r="G42" s="215"/>
      <c r="H42" s="216"/>
    </row>
    <row r="43" spans="1:11" s="201" customFormat="1" ht="15.75" customHeight="1">
      <c r="A43" s="211" t="s">
        <v>43</v>
      </c>
      <c r="B43" s="859" t="s">
        <v>68</v>
      </c>
      <c r="C43" s="859"/>
      <c r="D43" s="209"/>
      <c r="E43" s="399"/>
      <c r="F43" s="399"/>
      <c r="G43" s="215"/>
      <c r="H43" s="216"/>
    </row>
    <row r="44" spans="1:11" s="201" customFormat="1" ht="15.75" customHeight="1">
      <c r="A44" s="211"/>
      <c r="B44" s="204" t="s">
        <v>46</v>
      </c>
      <c r="C44" s="201" t="s">
        <v>181</v>
      </c>
      <c r="D44" s="209"/>
      <c r="E44" s="399">
        <v>0</v>
      </c>
      <c r="F44" s="399">
        <v>0</v>
      </c>
      <c r="G44" s="215" t="e">
        <f>'3-15'!#REF!</f>
        <v>#REF!</v>
      </c>
      <c r="H44" s="216"/>
    </row>
    <row r="45" spans="1:11" s="201" customFormat="1" ht="15.75" customHeight="1">
      <c r="A45" s="213"/>
      <c r="B45" s="204" t="s">
        <v>47</v>
      </c>
      <c r="C45" s="201" t="s">
        <v>33</v>
      </c>
      <c r="D45" s="209"/>
      <c r="E45" s="399">
        <v>0</v>
      </c>
      <c r="F45" s="399">
        <v>0</v>
      </c>
      <c r="G45" s="215" t="e">
        <f>'3-15'!#REF!</f>
        <v>#REF!</v>
      </c>
      <c r="H45" s="216"/>
    </row>
    <row r="46" spans="1:11" s="201" customFormat="1" ht="15.75" customHeight="1">
      <c r="A46" s="213"/>
      <c r="B46" s="204" t="s">
        <v>48</v>
      </c>
      <c r="C46" s="201" t="s">
        <v>69</v>
      </c>
      <c r="D46" s="209">
        <f>D40+1</f>
        <v>12</v>
      </c>
      <c r="E46" s="399">
        <f>'3-15'!E110</f>
        <v>4317419.2699999996</v>
      </c>
      <c r="F46" s="399">
        <f>'3-15'!F110</f>
        <v>1242797.43</v>
      </c>
      <c r="G46" s="215" t="e">
        <f>'3-15'!#REF!</f>
        <v>#REF!</v>
      </c>
      <c r="H46" s="216" t="e">
        <f>+#REF!-G46</f>
        <v>#REF!</v>
      </c>
      <c r="J46" s="216">
        <f>E46-F46</f>
        <v>3074621.84</v>
      </c>
      <c r="K46" s="201" t="s">
        <v>780</v>
      </c>
    </row>
    <row r="47" spans="1:11" s="201" customFormat="1" ht="15.75" customHeight="1">
      <c r="A47" s="213"/>
      <c r="B47" s="204" t="s">
        <v>49</v>
      </c>
      <c r="C47" s="201" t="s">
        <v>156</v>
      </c>
      <c r="D47" s="209">
        <f>D46+1</f>
        <v>13</v>
      </c>
      <c r="E47" s="399">
        <f>'3-15'!E119</f>
        <v>66610087.100000001</v>
      </c>
      <c r="F47" s="399">
        <f>'3-15'!F119</f>
        <v>81786790.229999989</v>
      </c>
      <c r="G47" s="215" t="e">
        <f>'3-15'!#REF!</f>
        <v>#REF!</v>
      </c>
      <c r="H47" s="216" t="e">
        <f>+#REF!-G47</f>
        <v>#REF!</v>
      </c>
      <c r="J47" s="216">
        <f>E47-F47</f>
        <v>-15176703.129999988</v>
      </c>
    </row>
    <row r="48" spans="1:11" s="201" customFormat="1" ht="15.75" customHeight="1">
      <c r="A48" s="213"/>
      <c r="B48" s="204" t="s">
        <v>50</v>
      </c>
      <c r="C48" s="201" t="s">
        <v>70</v>
      </c>
      <c r="D48" s="209">
        <f>D47+1</f>
        <v>14</v>
      </c>
      <c r="E48" s="399">
        <f>'3-15'!E125</f>
        <v>80942.100000000006</v>
      </c>
      <c r="F48" s="399">
        <f>'3-15'!F125</f>
        <v>174506.18</v>
      </c>
      <c r="G48" s="215" t="e">
        <f>'3-15'!#REF!</f>
        <v>#REF!</v>
      </c>
      <c r="H48" s="216" t="e">
        <f>+#REF!-G48</f>
        <v>#REF!</v>
      </c>
      <c r="J48" s="216">
        <f>E48-F48</f>
        <v>-93564.079999999987</v>
      </c>
      <c r="K48" s="201" t="s">
        <v>780</v>
      </c>
    </row>
    <row r="49" spans="1:11" s="201" customFormat="1" ht="15.75" customHeight="1">
      <c r="A49" s="213"/>
      <c r="B49" s="204" t="s">
        <v>51</v>
      </c>
      <c r="C49" s="201" t="s">
        <v>26</v>
      </c>
      <c r="D49" s="209">
        <f>D48+1</f>
        <v>15</v>
      </c>
      <c r="E49" s="399">
        <f>'3-15'!E134</f>
        <v>89370604.719999999</v>
      </c>
      <c r="F49" s="399">
        <f>'3-15'!F134</f>
        <v>14224983.189999999</v>
      </c>
      <c r="G49" s="215" t="e">
        <f>'3-15'!#REF!</f>
        <v>#REF!</v>
      </c>
      <c r="J49" s="216">
        <f>E49-F49</f>
        <v>75145621.530000001</v>
      </c>
      <c r="K49" s="201" t="s">
        <v>780</v>
      </c>
    </row>
    <row r="50" spans="1:11" s="201" customFormat="1" ht="15.75" customHeight="1">
      <c r="A50" s="213"/>
      <c r="B50" s="204"/>
      <c r="C50" s="221"/>
      <c r="D50" s="209"/>
      <c r="E50" s="692">
        <f>SUM(E35:E49)</f>
        <v>176527700.70778054</v>
      </c>
      <c r="F50" s="692">
        <f>SUM(F35:F49)</f>
        <v>108315764.37778053</v>
      </c>
      <c r="G50" s="225" t="e">
        <f>SUM(G35:G49)</f>
        <v>#REF!</v>
      </c>
      <c r="H50" s="216" t="e">
        <f>#REF!-#REF!</f>
        <v>#REF!</v>
      </c>
      <c r="I50" s="216">
        <f>E30-E50</f>
        <v>-0.15735745429992676</v>
      </c>
      <c r="J50" s="216">
        <f>F30-F50</f>
        <v>-6.848609447479248E-2</v>
      </c>
    </row>
    <row r="51" spans="1:11" s="201" customFormat="1">
      <c r="A51" s="843" t="s">
        <v>742</v>
      </c>
      <c r="B51" s="844"/>
      <c r="C51" s="844"/>
      <c r="D51" s="464" t="s">
        <v>974</v>
      </c>
      <c r="E51" s="464"/>
      <c r="F51" s="463"/>
      <c r="G51" s="226"/>
    </row>
    <row r="52" spans="1:11" s="201" customFormat="1" ht="15.75" customHeight="1">
      <c r="A52" s="203"/>
      <c r="B52" s="204"/>
      <c r="C52" s="201" t="s">
        <v>9</v>
      </c>
      <c r="G52" s="219"/>
    </row>
    <row r="53" spans="1:11" s="201" customFormat="1" ht="15.75" customHeight="1">
      <c r="A53" s="849" t="s">
        <v>746</v>
      </c>
      <c r="B53" s="850"/>
      <c r="C53" s="850"/>
      <c r="G53" s="219"/>
    </row>
    <row r="54" spans="1:11" s="201" customFormat="1" ht="15.75" customHeight="1">
      <c r="A54" s="227"/>
      <c r="B54" s="228"/>
      <c r="C54" s="229"/>
      <c r="D54" s="230"/>
      <c r="E54" s="230"/>
      <c r="F54" s="230"/>
      <c r="G54" s="231"/>
    </row>
    <row r="55" spans="1:11" s="230" customFormat="1" ht="15.75" customHeight="1">
      <c r="A55" s="232" t="s">
        <v>747</v>
      </c>
      <c r="B55" s="228"/>
      <c r="C55" s="229"/>
      <c r="D55" s="465" t="s">
        <v>119</v>
      </c>
      <c r="E55" s="233"/>
      <c r="F55" s="233"/>
      <c r="G55" s="234"/>
    </row>
    <row r="56" spans="1:11" s="230" customFormat="1">
      <c r="A56" s="851" t="s">
        <v>748</v>
      </c>
      <c r="B56" s="852"/>
      <c r="C56" s="852"/>
      <c r="D56" s="868" t="s">
        <v>306</v>
      </c>
      <c r="E56" s="868"/>
      <c r="F56" s="868"/>
      <c r="G56" s="869"/>
    </row>
    <row r="57" spans="1:11" s="230" customFormat="1">
      <c r="A57" s="851"/>
      <c r="B57" s="852"/>
      <c r="C57" s="852"/>
      <c r="D57" s="868"/>
      <c r="E57" s="868"/>
      <c r="F57" s="868"/>
      <c r="G57" s="869"/>
    </row>
    <row r="58" spans="1:11" s="230" customFormat="1">
      <c r="A58" s="470"/>
      <c r="B58" s="469"/>
      <c r="C58" s="469"/>
      <c r="D58" s="466"/>
      <c r="E58" s="466"/>
      <c r="F58" s="466"/>
      <c r="G58" s="467"/>
    </row>
    <row r="59" spans="1:11" s="230" customFormat="1">
      <c r="A59" s="227"/>
      <c r="G59" s="231"/>
    </row>
    <row r="60" spans="1:11" s="230" customFormat="1" ht="15.75" customHeight="1">
      <c r="A60" s="232"/>
      <c r="B60" s="228"/>
      <c r="C60" s="235"/>
      <c r="G60" s="231"/>
    </row>
    <row r="61" spans="1:11" s="230" customFormat="1" ht="15.75" customHeight="1">
      <c r="A61" s="236" t="s">
        <v>749</v>
      </c>
      <c r="B61" s="228"/>
      <c r="C61" s="282"/>
      <c r="D61" s="468" t="s">
        <v>368</v>
      </c>
      <c r="E61" s="282"/>
      <c r="F61" s="468" t="s">
        <v>926</v>
      </c>
      <c r="G61" s="237" t="s">
        <v>493</v>
      </c>
    </row>
    <row r="62" spans="1:11" s="230" customFormat="1" ht="15.75" customHeight="1">
      <c r="A62" s="238" t="s">
        <v>750</v>
      </c>
      <c r="B62" s="228"/>
      <c r="C62" s="283"/>
      <c r="D62" s="465" t="s">
        <v>34</v>
      </c>
      <c r="F62" s="469" t="s">
        <v>34</v>
      </c>
      <c r="G62" s="239" t="s">
        <v>495</v>
      </c>
    </row>
    <row r="63" spans="1:11" s="230" customFormat="1" ht="15.75" customHeight="1">
      <c r="A63" s="471" t="s">
        <v>751</v>
      </c>
      <c r="B63" s="228"/>
      <c r="C63" s="241"/>
      <c r="D63" s="465" t="s">
        <v>743</v>
      </c>
      <c r="E63" s="241"/>
      <c r="F63" s="465" t="s">
        <v>935</v>
      </c>
      <c r="G63" s="240" t="s">
        <v>494</v>
      </c>
    </row>
    <row r="64" spans="1:11" s="230" customFormat="1" ht="15.75" customHeight="1">
      <c r="A64" s="471"/>
      <c r="B64" s="228"/>
      <c r="C64" s="241"/>
      <c r="D64" s="465"/>
      <c r="E64" s="241"/>
      <c r="F64" s="465"/>
      <c r="G64" s="240"/>
    </row>
    <row r="65" spans="1:7" s="230" customFormat="1" ht="15.75" customHeight="1">
      <c r="A65" s="236" t="s">
        <v>752</v>
      </c>
      <c r="B65" s="228"/>
      <c r="C65" s="241"/>
      <c r="D65" s="241"/>
      <c r="E65" s="241"/>
      <c r="F65" s="241"/>
      <c r="G65" s="240"/>
    </row>
    <row r="66" spans="1:7" s="230" customFormat="1" ht="15.75" customHeight="1">
      <c r="A66" s="236"/>
      <c r="B66" s="228"/>
      <c r="C66" s="241"/>
      <c r="D66" s="241"/>
      <c r="E66" s="241"/>
      <c r="F66" s="241"/>
      <c r="G66" s="240"/>
    </row>
    <row r="67" spans="1:7" s="230" customFormat="1" ht="15.75" customHeight="1">
      <c r="A67" s="286" t="s">
        <v>496</v>
      </c>
      <c r="B67" s="228"/>
      <c r="D67" s="241"/>
      <c r="E67" s="241"/>
      <c r="F67" s="241"/>
      <c r="G67" s="240"/>
    </row>
    <row r="68" spans="1:7" s="230" customFormat="1" ht="15.75" customHeight="1" thickBot="1">
      <c r="A68" s="284" t="s">
        <v>745</v>
      </c>
      <c r="B68" s="242"/>
      <c r="C68" s="243"/>
      <c r="D68" s="244"/>
      <c r="E68" s="244"/>
      <c r="F68" s="244"/>
      <c r="G68" s="245"/>
    </row>
    <row r="69" spans="1:7" s="230" customFormat="1" ht="15.75" customHeight="1">
      <c r="A69" s="246"/>
      <c r="B69" s="247"/>
      <c r="C69" s="248"/>
      <c r="D69" s="248"/>
      <c r="E69" s="248"/>
      <c r="F69" s="248"/>
      <c r="G69" s="249"/>
    </row>
    <row r="70" spans="1:7" s="201" customFormat="1" ht="15.95" customHeight="1">
      <c r="A70" s="486" t="str">
        <f>A2</f>
        <v>MARKETSOF1 ANALYTICAL MARKETING SERVICES  PRIVATE LIMITED</v>
      </c>
      <c r="B70" s="487"/>
      <c r="C70" s="487"/>
      <c r="D70" s="487"/>
      <c r="E70" s="487"/>
      <c r="F70" s="487"/>
      <c r="G70" s="488"/>
    </row>
    <row r="71" spans="1:7" s="201" customFormat="1" ht="14.45" customHeight="1">
      <c r="A71" s="489" t="str">
        <f>A3</f>
        <v>CIN: U72501TN2019PTC129911</v>
      </c>
      <c r="B71" s="490"/>
      <c r="C71" s="490"/>
      <c r="D71" s="490"/>
      <c r="E71" s="490"/>
      <c r="F71" s="490"/>
      <c r="G71" s="491"/>
    </row>
    <row r="72" spans="1:7" s="201" customFormat="1">
      <c r="A72" s="492"/>
      <c r="B72" s="493"/>
      <c r="C72" s="493"/>
      <c r="D72" s="493"/>
      <c r="E72" s="493"/>
      <c r="F72" s="493"/>
      <c r="G72" s="494"/>
    </row>
    <row r="73" spans="1:7" s="201" customFormat="1" ht="14.45" customHeight="1">
      <c r="A73" s="495" t="s">
        <v>776</v>
      </c>
      <c r="B73" s="496"/>
      <c r="C73" s="496"/>
      <c r="D73" s="496"/>
      <c r="E73" s="496"/>
      <c r="F73" s="496"/>
      <c r="G73" s="497"/>
    </row>
    <row r="74" spans="1:7" s="201" customFormat="1">
      <c r="A74" s="392" t="s">
        <v>712</v>
      </c>
      <c r="B74" s="496"/>
      <c r="C74" s="496"/>
      <c r="D74" s="496"/>
      <c r="E74" s="496"/>
      <c r="F74" s="496"/>
      <c r="G74" s="497"/>
    </row>
    <row r="75" spans="1:7" s="201" customFormat="1">
      <c r="A75" s="203"/>
      <c r="B75" s="204"/>
      <c r="G75" s="219"/>
    </row>
    <row r="76" spans="1:7" s="204" customFormat="1" ht="35.1" customHeight="1">
      <c r="A76" s="847" t="s">
        <v>0</v>
      </c>
      <c r="B76" s="848"/>
      <c r="C76" s="848"/>
      <c r="D76" s="206" t="s">
        <v>24</v>
      </c>
      <c r="E76" s="206" t="s">
        <v>774</v>
      </c>
      <c r="F76" s="206" t="s">
        <v>775</v>
      </c>
      <c r="G76" s="207" t="str">
        <f>G8</f>
        <v>As at
31st March 2023</v>
      </c>
    </row>
    <row r="77" spans="1:7" s="201" customFormat="1">
      <c r="A77" s="250"/>
      <c r="B77" s="251"/>
      <c r="C77" s="252"/>
      <c r="D77" s="253"/>
      <c r="E77" s="254"/>
      <c r="F77" s="254"/>
      <c r="G77" s="255"/>
    </row>
    <row r="78" spans="1:7" s="201" customFormat="1">
      <c r="A78" s="208" t="s">
        <v>19</v>
      </c>
      <c r="B78" s="256"/>
      <c r="C78" s="257" t="s">
        <v>77</v>
      </c>
      <c r="D78" s="209">
        <f>D49+1</f>
        <v>16</v>
      </c>
      <c r="E78" s="660">
        <f>'16-23'!C14</f>
        <v>601740951.09000003</v>
      </c>
      <c r="F78" s="660">
        <f>'16-23'!D14</f>
        <v>453621097</v>
      </c>
      <c r="G78" s="259" t="e">
        <f>'16-23'!#REF!</f>
        <v>#REF!</v>
      </c>
    </row>
    <row r="79" spans="1:7" s="201" customFormat="1" ht="15.75" customHeight="1">
      <c r="A79" s="208" t="s">
        <v>7</v>
      </c>
      <c r="B79" s="256"/>
      <c r="C79" s="257" t="s">
        <v>14</v>
      </c>
      <c r="D79" s="209">
        <f>D78+1</f>
        <v>17</v>
      </c>
      <c r="E79" s="660">
        <f>'16-23'!C34</f>
        <v>11818589.73</v>
      </c>
      <c r="F79" s="660">
        <f>'16-23'!D34</f>
        <v>3612471.92</v>
      </c>
      <c r="G79" s="259" t="e">
        <f>'16-23'!#REF!</f>
        <v>#REF!</v>
      </c>
    </row>
    <row r="80" spans="1:7" s="201" customFormat="1">
      <c r="A80" s="208" t="s">
        <v>29</v>
      </c>
      <c r="B80" s="861" t="s">
        <v>182</v>
      </c>
      <c r="C80" s="862"/>
      <c r="D80" s="209"/>
      <c r="E80" s="661">
        <f>SUM(E78:E79)</f>
        <v>613559540.82000005</v>
      </c>
      <c r="F80" s="662">
        <f>SUM(F78:F79)</f>
        <v>457233568.92000002</v>
      </c>
      <c r="G80" s="261" t="e">
        <f>SUM(G78:G79)</f>
        <v>#REF!</v>
      </c>
    </row>
    <row r="81" spans="1:9" s="201" customFormat="1">
      <c r="A81" s="211"/>
      <c r="B81" s="221"/>
      <c r="C81" s="260"/>
      <c r="D81" s="209"/>
      <c r="E81" s="659"/>
      <c r="F81" s="660"/>
      <c r="G81" s="259"/>
    </row>
    <row r="82" spans="1:9" s="201" customFormat="1">
      <c r="A82" s="208" t="s">
        <v>82</v>
      </c>
      <c r="B82" s="839" t="s">
        <v>73</v>
      </c>
      <c r="C82" s="840"/>
      <c r="D82" s="209"/>
      <c r="E82" s="663"/>
      <c r="F82" s="664"/>
      <c r="G82" s="265"/>
    </row>
    <row r="83" spans="1:9" s="201" customFormat="1" ht="15.75" customHeight="1">
      <c r="A83" s="211"/>
      <c r="B83" s="256"/>
      <c r="C83" s="257" t="s">
        <v>481</v>
      </c>
      <c r="D83" s="209">
        <f>D79+1</f>
        <v>18</v>
      </c>
      <c r="E83" s="660">
        <f>'16-23'!C42</f>
        <v>225922409.5</v>
      </c>
      <c r="F83" s="660">
        <f>'16-23'!D42</f>
        <v>236501874.48000002</v>
      </c>
      <c r="G83" s="259" t="e">
        <f>'16-23'!#REF!</f>
        <v>#REF!</v>
      </c>
    </row>
    <row r="84" spans="1:9" s="201" customFormat="1" ht="15.75" customHeight="1">
      <c r="A84" s="211"/>
      <c r="B84" s="256"/>
      <c r="C84" s="257" t="s">
        <v>244</v>
      </c>
      <c r="D84" s="209">
        <f>D83+1</f>
        <v>19</v>
      </c>
      <c r="E84" s="660">
        <f>'16-23'!C51</f>
        <v>235327252.82999998</v>
      </c>
      <c r="F84" s="660">
        <f>'16-23'!D51</f>
        <v>135305336.34</v>
      </c>
      <c r="G84" s="259" t="e">
        <f>'16-23'!#REF!</f>
        <v>#REF!</v>
      </c>
    </row>
    <row r="85" spans="1:9" s="201" customFormat="1" ht="15.75" customHeight="1">
      <c r="A85" s="211"/>
      <c r="B85" s="256"/>
      <c r="C85" s="257" t="s">
        <v>75</v>
      </c>
      <c r="D85" s="209">
        <f t="shared" ref="D85:D86" si="0">D84+1</f>
        <v>20</v>
      </c>
      <c r="E85" s="660">
        <f>'16-23'!C62</f>
        <v>18687.8</v>
      </c>
      <c r="F85" s="660">
        <f>'16-23'!D62</f>
        <v>3342.85</v>
      </c>
      <c r="G85" s="258" t="e">
        <f>'16-23'!#REF!</f>
        <v>#REF!</v>
      </c>
    </row>
    <row r="86" spans="1:9" s="201" customFormat="1" ht="15.75" customHeight="1">
      <c r="A86" s="211"/>
      <c r="B86" s="256"/>
      <c r="C86" s="257" t="s">
        <v>183</v>
      </c>
      <c r="D86" s="209">
        <f t="shared" si="0"/>
        <v>21</v>
      </c>
      <c r="E86" s="660">
        <f>'16-23'!C68</f>
        <v>2045608.09</v>
      </c>
      <c r="F86" s="660">
        <f>'10'!H25</f>
        <v>1363387.1607055254</v>
      </c>
      <c r="G86" s="266">
        <v>329381.26185794518</v>
      </c>
    </row>
    <row r="87" spans="1:9" s="201" customFormat="1" ht="15.75" customHeight="1">
      <c r="A87" s="211"/>
      <c r="B87" s="256"/>
      <c r="C87" s="257" t="s">
        <v>76</v>
      </c>
      <c r="D87" s="209">
        <f>D86+1</f>
        <v>22</v>
      </c>
      <c r="E87" s="660">
        <f>'16-23'!C95</f>
        <v>134089094.11000001</v>
      </c>
      <c r="F87" s="660">
        <f>'16-23'!D95</f>
        <v>52687537.620000005</v>
      </c>
      <c r="G87" s="259" t="e">
        <f>'16-23'!#REF!</f>
        <v>#REF!</v>
      </c>
    </row>
    <row r="88" spans="1:9" s="201" customFormat="1">
      <c r="A88" s="213"/>
      <c r="B88" s="204"/>
      <c r="C88" s="260"/>
      <c r="D88" s="209"/>
      <c r="E88" s="662">
        <f>SUM(E83:E87)</f>
        <v>597403052.32999992</v>
      </c>
      <c r="F88" s="662">
        <f>SUM(F83:F87)</f>
        <v>425861478.45070559</v>
      </c>
      <c r="G88" s="261" t="e">
        <f>SUM(G83:G87)</f>
        <v>#REF!</v>
      </c>
    </row>
    <row r="89" spans="1:9" s="201" customFormat="1" hidden="1">
      <c r="A89" s="213"/>
      <c r="B89" s="204"/>
      <c r="C89" s="267"/>
      <c r="D89" s="209"/>
      <c r="E89" s="663"/>
      <c r="F89" s="660"/>
      <c r="G89" s="259"/>
    </row>
    <row r="90" spans="1:9" s="201" customFormat="1">
      <c r="A90" s="213"/>
      <c r="B90" s="204"/>
      <c r="C90" s="267"/>
      <c r="D90" s="209"/>
      <c r="E90" s="663"/>
      <c r="F90" s="665"/>
      <c r="G90" s="259"/>
    </row>
    <row r="91" spans="1:9" s="201" customFormat="1" ht="15.75" thickBot="1">
      <c r="A91" s="208" t="s">
        <v>83</v>
      </c>
      <c r="B91" s="839" t="s">
        <v>184</v>
      </c>
      <c r="C91" s="840"/>
      <c r="D91" s="209"/>
      <c r="E91" s="666">
        <f>E80-E88</f>
        <v>16156488.490000129</v>
      </c>
      <c r="F91" s="666">
        <f>F80-F88</f>
        <v>31372090.469294429</v>
      </c>
      <c r="G91" s="268" t="e">
        <f>G80-G88-1</f>
        <v>#REF!</v>
      </c>
    </row>
    <row r="92" spans="1:9" s="201" customFormat="1" ht="15.75" thickTop="1">
      <c r="A92" s="208"/>
      <c r="B92" s="262"/>
      <c r="C92" s="263"/>
      <c r="D92" s="209"/>
      <c r="E92" s="667"/>
      <c r="F92" s="667"/>
      <c r="G92" s="270"/>
    </row>
    <row r="93" spans="1:9" s="201" customFormat="1">
      <c r="A93" s="213" t="s">
        <v>84</v>
      </c>
      <c r="B93" s="262"/>
      <c r="C93" s="269" t="s">
        <v>941</v>
      </c>
      <c r="D93" s="209">
        <v>25</v>
      </c>
      <c r="E93" s="353">
        <f>SUMIF(Table2[FS Subgroup],C93,Table2[Adjusted balance as on 31-03-2026])</f>
        <v>0</v>
      </c>
      <c r="F93" s="660">
        <v>0</v>
      </c>
      <c r="G93" s="270">
        <v>0</v>
      </c>
    </row>
    <row r="94" spans="1:9" s="201" customFormat="1" ht="15.75" thickBot="1">
      <c r="A94" s="213" t="s">
        <v>193</v>
      </c>
      <c r="B94" s="873" t="s">
        <v>185</v>
      </c>
      <c r="C94" s="874"/>
      <c r="D94" s="264"/>
      <c r="E94" s="668">
        <f>E91-E93</f>
        <v>16156488.490000129</v>
      </c>
      <c r="F94" s="668">
        <f>F91-F93</f>
        <v>31372090.469294429</v>
      </c>
      <c r="G94" s="268" t="e">
        <f>G91-G93</f>
        <v>#REF!</v>
      </c>
      <c r="I94" s="216">
        <f>F94-F79</f>
        <v>27759618.549294427</v>
      </c>
    </row>
    <row r="95" spans="1:9" s="201" customFormat="1" ht="15.75" thickTop="1">
      <c r="A95" s="213" t="s">
        <v>194</v>
      </c>
      <c r="B95" s="204"/>
      <c r="C95" s="269" t="s">
        <v>186</v>
      </c>
      <c r="D95" s="264"/>
      <c r="E95" s="668">
        <v>0</v>
      </c>
      <c r="F95" s="668">
        <v>0</v>
      </c>
      <c r="G95" s="270">
        <v>0</v>
      </c>
    </row>
    <row r="96" spans="1:9" s="201" customFormat="1">
      <c r="A96" s="213"/>
      <c r="B96" s="204"/>
      <c r="C96" s="269"/>
      <c r="D96" s="264"/>
      <c r="E96" s="665"/>
      <c r="F96" s="660"/>
      <c r="G96" s="270"/>
    </row>
    <row r="97" spans="1:8" s="201" customFormat="1" ht="15.75" thickBot="1">
      <c r="A97" s="208" t="s">
        <v>195</v>
      </c>
      <c r="B97" s="839" t="s">
        <v>187</v>
      </c>
      <c r="C97" s="840"/>
      <c r="D97" s="264"/>
      <c r="E97" s="666">
        <f>E94-E95</f>
        <v>16156488.490000129</v>
      </c>
      <c r="F97" s="666">
        <f>F94-F95</f>
        <v>31372090.469294429</v>
      </c>
      <c r="G97" s="268" t="e">
        <f>G94-G95</f>
        <v>#REF!</v>
      </c>
    </row>
    <row r="98" spans="1:8" s="201" customFormat="1" ht="15.75" thickTop="1">
      <c r="A98" s="208"/>
      <c r="B98" s="262"/>
      <c r="C98" s="263"/>
      <c r="D98" s="264"/>
      <c r="E98" s="667"/>
      <c r="F98" s="667"/>
      <c r="G98" s="270"/>
    </row>
    <row r="99" spans="1:8" s="201" customFormat="1">
      <c r="A99" s="208" t="s">
        <v>196</v>
      </c>
      <c r="B99" s="839" t="s">
        <v>78</v>
      </c>
      <c r="C99" s="840"/>
      <c r="D99" s="209"/>
      <c r="E99" s="663"/>
      <c r="F99" s="669"/>
      <c r="G99" s="271"/>
    </row>
    <row r="100" spans="1:8" s="201" customFormat="1">
      <c r="A100" s="213"/>
      <c r="B100" s="204" t="s">
        <v>46</v>
      </c>
      <c r="C100" s="257" t="s">
        <v>720</v>
      </c>
      <c r="D100" s="209">
        <f>D87+1</f>
        <v>23</v>
      </c>
      <c r="E100" s="415">
        <f>'16-23'!C101</f>
        <v>5147565.4000000004</v>
      </c>
      <c r="F100" s="415">
        <f>'16-23'!D101</f>
        <v>8000000</v>
      </c>
      <c r="G100" s="217">
        <v>0</v>
      </c>
    </row>
    <row r="101" spans="1:8" s="201" customFormat="1">
      <c r="A101" s="213"/>
      <c r="B101" s="204" t="s">
        <v>47</v>
      </c>
      <c r="C101" s="257" t="s">
        <v>38</v>
      </c>
      <c r="D101" s="209"/>
      <c r="E101" s="415">
        <f>-'3-15'!F65+'3-15'!E65</f>
        <v>-44863.680422936915</v>
      </c>
      <c r="F101" s="415">
        <f>'Deferred Tax'!C11</f>
        <v>-10930.319577063085</v>
      </c>
      <c r="G101" s="217"/>
    </row>
    <row r="102" spans="1:8" s="201" customFormat="1" hidden="1">
      <c r="A102" s="213"/>
      <c r="B102" s="204" t="s">
        <v>48</v>
      </c>
      <c r="C102" s="257" t="s">
        <v>79</v>
      </c>
      <c r="D102" s="209"/>
      <c r="E102" s="663"/>
      <c r="F102" s="415"/>
      <c r="G102" s="217"/>
    </row>
    <row r="103" spans="1:8" s="201" customFormat="1">
      <c r="A103" s="213"/>
      <c r="B103" s="204"/>
      <c r="C103" s="260"/>
      <c r="D103" s="209"/>
      <c r="E103" s="670">
        <f>SUM(E100:E102)</f>
        <v>5102701.7195770638</v>
      </c>
      <c r="F103" s="670">
        <f>SUM(F100:F102)</f>
        <v>7989069.6804229366</v>
      </c>
      <c r="G103" s="272">
        <f>SUM(G100:G102)</f>
        <v>0</v>
      </c>
    </row>
    <row r="104" spans="1:8" s="201" customFormat="1">
      <c r="A104" s="213"/>
      <c r="B104" s="204"/>
      <c r="C104" s="260"/>
      <c r="D104" s="209"/>
      <c r="E104" s="671"/>
      <c r="F104" s="671"/>
      <c r="G104" s="272"/>
    </row>
    <row r="105" spans="1:8" s="201" customFormat="1" ht="15.75" thickBot="1">
      <c r="A105" s="208" t="s">
        <v>197</v>
      </c>
      <c r="B105" s="845" t="s">
        <v>188</v>
      </c>
      <c r="C105" s="846"/>
      <c r="D105" s="209"/>
      <c r="E105" s="672">
        <f>E97-E103</f>
        <v>11053786.770423066</v>
      </c>
      <c r="F105" s="672">
        <f>F91-F103</f>
        <v>23383020.788871493</v>
      </c>
      <c r="G105" s="261" t="e">
        <f>G91-G103</f>
        <v>#REF!</v>
      </c>
      <c r="H105" s="273">
        <v>-4923596.3899999987</v>
      </c>
    </row>
    <row r="106" spans="1:8" s="201" customFormat="1" ht="15.75" thickTop="1">
      <c r="A106" s="208"/>
      <c r="B106" s="277"/>
      <c r="C106" s="426"/>
      <c r="D106" s="209"/>
      <c r="E106" s="673"/>
      <c r="F106" s="673"/>
      <c r="G106" s="498"/>
      <c r="H106" s="273"/>
    </row>
    <row r="107" spans="1:8" s="201" customFormat="1">
      <c r="A107" s="211" t="s">
        <v>198</v>
      </c>
      <c r="B107" s="841" t="s">
        <v>189</v>
      </c>
      <c r="C107" s="842"/>
      <c r="D107" s="276"/>
      <c r="E107" s="677">
        <v>0</v>
      </c>
      <c r="F107" s="678">
        <v>0</v>
      </c>
      <c r="G107" s="275"/>
    </row>
    <row r="108" spans="1:8" s="201" customFormat="1">
      <c r="A108" s="290" t="s">
        <v>199</v>
      </c>
      <c r="B108" s="841" t="s">
        <v>190</v>
      </c>
      <c r="C108" s="842"/>
      <c r="D108" s="276"/>
      <c r="E108" s="677">
        <v>0</v>
      </c>
      <c r="F108" s="678">
        <v>0</v>
      </c>
      <c r="G108" s="275"/>
    </row>
    <row r="109" spans="1:8" s="201" customFormat="1" ht="30" customHeight="1">
      <c r="A109" s="290" t="s">
        <v>200</v>
      </c>
      <c r="B109" s="841" t="s">
        <v>191</v>
      </c>
      <c r="C109" s="842"/>
      <c r="D109" s="276"/>
      <c r="E109" s="674">
        <f>E107-E108</f>
        <v>0</v>
      </c>
      <c r="F109" s="674">
        <f>F107-F108</f>
        <v>0</v>
      </c>
      <c r="G109" s="275"/>
    </row>
    <row r="110" spans="1:8" s="201" customFormat="1">
      <c r="A110" s="274"/>
      <c r="B110" s="254"/>
      <c r="C110" s="257"/>
      <c r="D110" s="276"/>
      <c r="E110" s="659"/>
      <c r="F110" s="675"/>
      <c r="G110" s="275"/>
    </row>
    <row r="111" spans="1:8" s="201" customFormat="1" ht="15.75" thickBot="1">
      <c r="A111" s="274" t="s">
        <v>201</v>
      </c>
      <c r="B111" s="845" t="s">
        <v>192</v>
      </c>
      <c r="C111" s="846"/>
      <c r="D111" s="276"/>
      <c r="E111" s="672">
        <f>E105+E109</f>
        <v>11053786.770423066</v>
      </c>
      <c r="F111" s="672">
        <f>F105+F109</f>
        <v>23383020.788871493</v>
      </c>
      <c r="G111" s="275"/>
    </row>
    <row r="112" spans="1:8" s="201" customFormat="1" ht="15.75" thickTop="1">
      <c r="A112" s="274"/>
      <c r="B112" s="254"/>
      <c r="C112" s="257"/>
      <c r="D112" s="276"/>
      <c r="E112" s="659"/>
      <c r="F112" s="675"/>
      <c r="G112" s="275"/>
    </row>
    <row r="113" spans="1:7" s="201" customFormat="1">
      <c r="A113" s="274" t="s">
        <v>202</v>
      </c>
      <c r="B113" s="845" t="s">
        <v>121</v>
      </c>
      <c r="C113" s="846"/>
      <c r="D113" s="276"/>
      <c r="E113" s="659"/>
      <c r="F113" s="668"/>
      <c r="G113" s="279"/>
    </row>
    <row r="114" spans="1:7" s="201" customFormat="1">
      <c r="A114" s="203"/>
      <c r="B114" s="209" t="s">
        <v>46</v>
      </c>
      <c r="C114" s="257" t="s">
        <v>80</v>
      </c>
      <c r="D114" s="276"/>
      <c r="E114" s="675">
        <f>E105/10000</f>
        <v>1105.3786770423067</v>
      </c>
      <c r="F114" s="675">
        <f>F105/10000</f>
        <v>2338.3020788871495</v>
      </c>
      <c r="G114" s="279" t="e">
        <f>G105/10000</f>
        <v>#REF!</v>
      </c>
    </row>
    <row r="115" spans="1:7" s="201" customFormat="1">
      <c r="A115" s="203"/>
      <c r="B115" s="209" t="s">
        <v>47</v>
      </c>
      <c r="C115" s="257" t="s">
        <v>81</v>
      </c>
      <c r="D115" s="280"/>
      <c r="E115" s="676">
        <f>E105/10000</f>
        <v>1105.3786770423067</v>
      </c>
      <c r="F115" s="676">
        <f>F105/10000</f>
        <v>2338.3020788871495</v>
      </c>
      <c r="G115" s="279" t="e">
        <f>G105/10000</f>
        <v>#REF!</v>
      </c>
    </row>
    <row r="116" spans="1:7" s="201" customFormat="1">
      <c r="A116" s="843" t="s">
        <v>742</v>
      </c>
      <c r="B116" s="844"/>
      <c r="C116" s="844"/>
      <c r="D116" s="464" t="str">
        <f>D51</f>
        <v>1-41</v>
      </c>
      <c r="E116" s="464"/>
      <c r="F116" s="463"/>
      <c r="G116" s="281"/>
    </row>
    <row r="117" spans="1:7" s="201" customFormat="1">
      <c r="A117" s="203"/>
      <c r="B117" s="204"/>
      <c r="C117" s="201" t="s">
        <v>9</v>
      </c>
      <c r="G117" s="219"/>
    </row>
    <row r="118" spans="1:7" s="201" customFormat="1" ht="15.75" customHeight="1">
      <c r="A118" s="849" t="s">
        <v>746</v>
      </c>
      <c r="B118" s="850"/>
      <c r="C118" s="850"/>
      <c r="G118" s="219"/>
    </row>
    <row r="119" spans="1:7" s="201" customFormat="1" ht="15.75" customHeight="1">
      <c r="A119" s="227"/>
      <c r="B119" s="228"/>
      <c r="C119" s="229"/>
      <c r="D119" s="230"/>
      <c r="E119" s="230"/>
      <c r="F119" s="230"/>
      <c r="G119" s="231"/>
    </row>
    <row r="120" spans="1:7" s="230" customFormat="1" ht="15.75" customHeight="1">
      <c r="A120" s="232" t="s">
        <v>747</v>
      </c>
      <c r="B120" s="228"/>
      <c r="C120" s="229"/>
      <c r="D120" s="465" t="s">
        <v>119</v>
      </c>
      <c r="E120" s="233"/>
      <c r="F120" s="233"/>
      <c r="G120" s="234"/>
    </row>
    <row r="121" spans="1:7" s="230" customFormat="1" ht="30" customHeight="1">
      <c r="A121" s="851" t="s">
        <v>748</v>
      </c>
      <c r="B121" s="852"/>
      <c r="C121" s="852"/>
      <c r="D121" s="868" t="s">
        <v>306</v>
      </c>
      <c r="E121" s="868"/>
      <c r="F121" s="868"/>
      <c r="G121" s="869"/>
    </row>
    <row r="122" spans="1:7" s="230" customFormat="1" ht="15.75" customHeight="1">
      <c r="A122" s="232"/>
      <c r="B122" s="228"/>
      <c r="C122" s="235"/>
      <c r="G122" s="231"/>
    </row>
    <row r="123" spans="1:7" s="230" customFormat="1" ht="15.75" customHeight="1">
      <c r="A123" s="227"/>
      <c r="G123" s="231"/>
    </row>
    <row r="124" spans="1:7" s="230" customFormat="1" ht="15.75" customHeight="1">
      <c r="A124" s="232"/>
      <c r="B124" s="228"/>
      <c r="C124" s="235"/>
      <c r="G124" s="231"/>
    </row>
    <row r="125" spans="1:7" s="230" customFormat="1" ht="15.75" customHeight="1">
      <c r="A125" s="236" t="s">
        <v>749</v>
      </c>
      <c r="B125" s="228"/>
      <c r="C125" s="282"/>
      <c r="D125" s="468" t="s">
        <v>368</v>
      </c>
      <c r="E125" s="282"/>
      <c r="F125" s="468" t="s">
        <v>926</v>
      </c>
      <c r="G125" s="237" t="s">
        <v>493</v>
      </c>
    </row>
    <row r="126" spans="1:7" s="230" customFormat="1" ht="15.75" customHeight="1">
      <c r="A126" s="238" t="s">
        <v>750</v>
      </c>
      <c r="B126" s="228"/>
      <c r="C126" s="283"/>
      <c r="D126" s="465" t="s">
        <v>34</v>
      </c>
      <c r="F126" s="469" t="s">
        <v>34</v>
      </c>
      <c r="G126" s="239" t="s">
        <v>495</v>
      </c>
    </row>
    <row r="127" spans="1:7" s="230" customFormat="1" ht="15.75" customHeight="1">
      <c r="A127" s="471" t="s">
        <v>751</v>
      </c>
      <c r="B127" s="228"/>
      <c r="C127" s="241"/>
      <c r="D127" s="465" t="s">
        <v>743</v>
      </c>
      <c r="E127" s="241"/>
      <c r="F127" s="465" t="s">
        <v>935</v>
      </c>
      <c r="G127" s="240" t="s">
        <v>494</v>
      </c>
    </row>
    <row r="128" spans="1:7" s="230" customFormat="1" ht="15.75" customHeight="1">
      <c r="A128" s="471"/>
      <c r="B128" s="228"/>
      <c r="C128" s="241"/>
      <c r="D128" s="465"/>
      <c r="E128" s="241"/>
      <c r="F128" s="465"/>
      <c r="G128" s="240"/>
    </row>
    <row r="129" spans="1:7" s="230" customFormat="1" ht="15.75" customHeight="1">
      <c r="A129" s="236" t="str">
        <f>A65</f>
        <v>UDIN:</v>
      </c>
      <c r="B129" s="228"/>
      <c r="C129" s="241"/>
      <c r="D129" s="241"/>
      <c r="E129" s="241"/>
      <c r="F129" s="241"/>
      <c r="G129" s="240"/>
    </row>
    <row r="130" spans="1:7" s="230" customFormat="1" ht="15.75" customHeight="1">
      <c r="A130" s="236"/>
      <c r="B130" s="228"/>
      <c r="C130" s="241"/>
      <c r="D130" s="241"/>
      <c r="E130" s="241"/>
      <c r="F130" s="241"/>
      <c r="G130" s="240"/>
    </row>
    <row r="131" spans="1:7" s="230" customFormat="1" ht="15.75" customHeight="1">
      <c r="A131" s="286" t="s">
        <v>496</v>
      </c>
      <c r="B131" s="228"/>
      <c r="D131" s="241"/>
      <c r="E131" s="241"/>
      <c r="F131" s="241"/>
      <c r="G131" s="240"/>
    </row>
    <row r="132" spans="1:7" s="230" customFormat="1" ht="15.75" customHeight="1" thickBot="1">
      <c r="A132" s="284" t="str">
        <f>A68</f>
        <v xml:space="preserve">Date: </v>
      </c>
      <c r="B132" s="242"/>
      <c r="C132" s="243"/>
      <c r="D132" s="244"/>
      <c r="E132" s="244"/>
      <c r="F132" s="244"/>
      <c r="G132" s="245"/>
    </row>
    <row r="133" spans="1:7" s="230" customFormat="1" ht="15.75" customHeight="1" thickBot="1">
      <c r="A133" s="246"/>
      <c r="B133" s="247"/>
      <c r="G133" s="285"/>
    </row>
    <row r="134" spans="1:7" ht="15.75">
      <c r="A134" s="486" t="s">
        <v>307</v>
      </c>
      <c r="B134" s="486"/>
      <c r="C134" s="486"/>
      <c r="D134" s="487"/>
      <c r="E134" s="487"/>
      <c r="F134" s="488"/>
      <c r="G134" s="486"/>
    </row>
    <row r="135" spans="1:7">
      <c r="A135" s="489" t="s">
        <v>308</v>
      </c>
      <c r="B135" s="489"/>
      <c r="C135" s="489"/>
      <c r="D135" s="490"/>
      <c r="E135" s="490"/>
      <c r="F135" s="490"/>
      <c r="G135" s="489"/>
    </row>
    <row r="136" spans="1:7">
      <c r="A136" s="870"/>
      <c r="B136" s="871"/>
      <c r="C136" s="871"/>
      <c r="D136" s="871"/>
      <c r="E136" s="871"/>
      <c r="F136" s="871"/>
      <c r="G136" s="872"/>
    </row>
    <row r="137" spans="1:7">
      <c r="A137" s="391" t="s">
        <v>773</v>
      </c>
      <c r="B137" s="341"/>
      <c r="C137" s="341"/>
      <c r="D137" s="341"/>
      <c r="E137" s="341"/>
      <c r="F137" s="341"/>
      <c r="G137" s="425"/>
    </row>
    <row r="138" spans="1:7">
      <c r="A138" s="392" t="s">
        <v>712</v>
      </c>
      <c r="B138" s="204"/>
      <c r="C138" s="201"/>
      <c r="D138" s="201"/>
      <c r="E138" s="201"/>
      <c r="F138" s="201"/>
      <c r="G138" s="219"/>
    </row>
    <row r="139" spans="1:7">
      <c r="A139" s="392"/>
      <c r="B139" s="204"/>
      <c r="C139" s="201"/>
      <c r="D139" s="201"/>
      <c r="E139" s="201"/>
      <c r="F139" s="201"/>
      <c r="G139" s="219"/>
    </row>
    <row r="140" spans="1:7" ht="34.5" customHeight="1">
      <c r="A140" s="863" t="s">
        <v>0</v>
      </c>
      <c r="B140" s="864"/>
      <c r="C140" s="864"/>
      <c r="D140" s="288" t="s">
        <v>24</v>
      </c>
      <c r="E140" s="288" t="str">
        <f>E76</f>
        <v>For the year ended
31st March, 2026</v>
      </c>
      <c r="F140" s="288" t="str">
        <f>F76</f>
        <v>For the year ended
31st March, 2025</v>
      </c>
      <c r="G140" s="207" t="str">
        <f>G76</f>
        <v>As at
31st March 2023</v>
      </c>
    </row>
    <row r="141" spans="1:7" ht="15.75" customHeight="1">
      <c r="A141" s="798" t="s">
        <v>138</v>
      </c>
      <c r="B141" s="826" t="s">
        <v>128</v>
      </c>
      <c r="C141" s="827"/>
      <c r="D141" s="218"/>
      <c r="E141" s="218"/>
      <c r="F141" s="218"/>
      <c r="G141" s="255"/>
    </row>
    <row r="142" spans="1:7">
      <c r="A142" s="799"/>
      <c r="B142" s="835" t="s">
        <v>129</v>
      </c>
      <c r="C142" s="836"/>
      <c r="D142" s="276"/>
      <c r="E142" s="681">
        <f>E97</f>
        <v>16156488.490000129</v>
      </c>
      <c r="F142" s="681">
        <f>F91</f>
        <v>31372090.469294429</v>
      </c>
      <c r="G142" s="291" t="e">
        <f>G91</f>
        <v>#REF!</v>
      </c>
    </row>
    <row r="143" spans="1:7" ht="15.75" customHeight="1">
      <c r="A143" s="799"/>
      <c r="B143" s="837" t="s">
        <v>147</v>
      </c>
      <c r="C143" s="838"/>
      <c r="D143" s="276"/>
      <c r="E143" s="659"/>
      <c r="F143" s="659"/>
      <c r="G143" s="292"/>
    </row>
    <row r="144" spans="1:7">
      <c r="A144" s="799"/>
      <c r="B144" s="802"/>
      <c r="C144" s="801" t="s">
        <v>17</v>
      </c>
      <c r="D144" s="276"/>
      <c r="E144" s="677">
        <v>0</v>
      </c>
      <c r="F144" s="677">
        <v>0</v>
      </c>
      <c r="G144" s="259" t="e">
        <f>-'16-23'!#REF!</f>
        <v>#REF!</v>
      </c>
    </row>
    <row r="145" spans="1:7">
      <c r="A145" s="799"/>
      <c r="B145" s="802"/>
      <c r="C145" s="801" t="s">
        <v>940</v>
      </c>
      <c r="D145" s="276"/>
      <c r="E145" s="681">
        <f>'3-15'!E93</f>
        <v>50000000</v>
      </c>
      <c r="F145" s="677">
        <v>0</v>
      </c>
      <c r="G145" s="259">
        <v>0</v>
      </c>
    </row>
    <row r="146" spans="1:7" ht="15.75" customHeight="1">
      <c r="A146" s="799"/>
      <c r="B146" s="803"/>
      <c r="C146" s="344" t="s">
        <v>25</v>
      </c>
      <c r="D146" s="276"/>
      <c r="E146" s="681">
        <f>E86</f>
        <v>2045608.09</v>
      </c>
      <c r="F146" s="681">
        <f>F86</f>
        <v>1363387.1607055254</v>
      </c>
      <c r="G146" s="259">
        <f>G86</f>
        <v>329381.26185794518</v>
      </c>
    </row>
    <row r="147" spans="1:7" ht="15.75" customHeight="1">
      <c r="A147" s="799"/>
      <c r="B147" s="803"/>
      <c r="C147" s="344" t="s">
        <v>763</v>
      </c>
      <c r="D147" s="276"/>
      <c r="E147" s="681">
        <f>'3-15'!E92</f>
        <v>450000</v>
      </c>
      <c r="F147" s="681">
        <f>'3-15'!F92</f>
        <v>450000</v>
      </c>
      <c r="G147" s="259"/>
    </row>
    <row r="148" spans="1:7" ht="15.75" customHeight="1">
      <c r="A148" s="799"/>
      <c r="B148" s="803"/>
      <c r="C148" s="344" t="s">
        <v>130</v>
      </c>
      <c r="D148" s="276"/>
      <c r="E148" s="677">
        <v>0</v>
      </c>
      <c r="F148" s="677">
        <v>0</v>
      </c>
      <c r="G148" s="259" t="e">
        <f>'16-23'!#REF!</f>
        <v>#REF!</v>
      </c>
    </row>
    <row r="149" spans="1:7" ht="15.75" customHeight="1">
      <c r="A149" s="799"/>
      <c r="B149" s="803"/>
      <c r="C149" s="804"/>
      <c r="D149" s="220"/>
      <c r="E149" s="682"/>
      <c r="F149" s="682"/>
      <c r="G149" s="295"/>
    </row>
    <row r="150" spans="1:7">
      <c r="A150" s="799"/>
      <c r="B150" s="853" t="s">
        <v>131</v>
      </c>
      <c r="C150" s="854"/>
      <c r="D150" s="276"/>
      <c r="E150" s="683">
        <f>SUM(E142:E149)</f>
        <v>68652096.580000132</v>
      </c>
      <c r="F150" s="683">
        <f>SUM(F142:F149)</f>
        <v>33185477.629999954</v>
      </c>
      <c r="G150" s="261" t="e">
        <f>SUM(G142:G149)</f>
        <v>#REF!</v>
      </c>
    </row>
    <row r="151" spans="1:7">
      <c r="A151" s="799"/>
      <c r="B151" s="805"/>
      <c r="C151" s="344"/>
      <c r="D151" s="276"/>
      <c r="E151" s="659"/>
      <c r="F151" s="659"/>
      <c r="G151" s="292"/>
    </row>
    <row r="152" spans="1:7">
      <c r="A152" s="798"/>
      <c r="B152" s="853" t="s">
        <v>132</v>
      </c>
      <c r="C152" s="854"/>
      <c r="D152" s="276"/>
      <c r="E152" s="659"/>
      <c r="F152" s="659"/>
      <c r="G152" s="292"/>
    </row>
    <row r="153" spans="1:7">
      <c r="A153" s="799"/>
      <c r="B153" s="800"/>
      <c r="C153" s="344" t="s">
        <v>133</v>
      </c>
      <c r="D153" s="276"/>
      <c r="E153" s="681">
        <f>F46-E46</f>
        <v>-3074621.84</v>
      </c>
      <c r="F153" s="681">
        <v>-1242797.43</v>
      </c>
      <c r="G153" s="291">
        <v>13612559.6</v>
      </c>
    </row>
    <row r="154" spans="1:7">
      <c r="A154" s="799"/>
      <c r="B154" s="800"/>
      <c r="C154" s="344" t="s">
        <v>164</v>
      </c>
      <c r="D154" s="276"/>
      <c r="E154" s="681">
        <f>F40-E40-E171</f>
        <v>-1763451</v>
      </c>
      <c r="F154" s="681">
        <v>-2296842</v>
      </c>
      <c r="G154" s="291">
        <v>1832105.6600000001</v>
      </c>
    </row>
    <row r="155" spans="1:7">
      <c r="A155" s="799"/>
      <c r="B155" s="800"/>
      <c r="C155" s="344" t="s">
        <v>165</v>
      </c>
      <c r="D155" s="276"/>
      <c r="E155" s="681">
        <f>F48-E48</f>
        <v>93564.079999999987</v>
      </c>
      <c r="F155" s="681">
        <v>-3577114.0399999991</v>
      </c>
      <c r="G155" s="291">
        <v>0</v>
      </c>
    </row>
    <row r="156" spans="1:7">
      <c r="A156" s="799"/>
      <c r="B156" s="800"/>
      <c r="C156" s="344" t="s">
        <v>134</v>
      </c>
      <c r="D156" s="276"/>
      <c r="E156" s="659"/>
      <c r="F156" s="659"/>
      <c r="G156" s="291">
        <v>0</v>
      </c>
    </row>
    <row r="157" spans="1:7">
      <c r="A157" s="799"/>
      <c r="B157" s="800"/>
      <c r="C157" s="344" t="s">
        <v>135</v>
      </c>
      <c r="D157" s="276"/>
      <c r="E157" s="681">
        <f>F49-E49</f>
        <v>-75145621.530000001</v>
      </c>
      <c r="F157" s="681">
        <f>-4500000-'3-15'!F131</f>
        <v>-4671762.5</v>
      </c>
      <c r="G157" s="291">
        <v>-5463445</v>
      </c>
    </row>
    <row r="158" spans="1:7">
      <c r="A158" s="799"/>
      <c r="B158" s="800"/>
      <c r="C158" s="344" t="s">
        <v>911</v>
      </c>
      <c r="D158" s="276"/>
      <c r="E158" s="681">
        <f>'3-15'!E92-'3-15'!F92-E147</f>
        <v>-450000</v>
      </c>
      <c r="F158" s="681">
        <f>5342408-F147</f>
        <v>4892408</v>
      </c>
      <c r="G158" s="291">
        <v>-292360</v>
      </c>
    </row>
    <row r="159" spans="1:7">
      <c r="A159" s="799"/>
      <c r="B159" s="800"/>
      <c r="C159" s="344" t="s">
        <v>149</v>
      </c>
      <c r="D159" s="276"/>
      <c r="E159" s="681">
        <f>E27-F27</f>
        <v>6490230.8500000015</v>
      </c>
      <c r="F159" s="681">
        <v>7980119.8599999994</v>
      </c>
      <c r="G159" s="291">
        <v>-272879.5</v>
      </c>
    </row>
    <row r="160" spans="1:7">
      <c r="A160" s="799"/>
      <c r="B160" s="800"/>
      <c r="C160" s="344" t="s">
        <v>137</v>
      </c>
      <c r="D160" s="276"/>
      <c r="E160" s="681">
        <f>E26-F26</f>
        <v>-878059.5</v>
      </c>
      <c r="F160" s="681">
        <v>-10170637.089999996</v>
      </c>
      <c r="G160" s="291">
        <v>-22380357.27</v>
      </c>
    </row>
    <row r="161" spans="1:7">
      <c r="A161" s="799"/>
      <c r="B161" s="800"/>
      <c r="C161" s="344" t="s">
        <v>912</v>
      </c>
      <c r="D161" s="276"/>
      <c r="E161" s="681">
        <f>E20-F20</f>
        <v>4390842</v>
      </c>
      <c r="F161" s="681">
        <v>0</v>
      </c>
      <c r="G161" s="291"/>
    </row>
    <row r="162" spans="1:7">
      <c r="A162" s="799"/>
      <c r="B162" s="800"/>
      <c r="C162" s="344" t="s">
        <v>136</v>
      </c>
      <c r="D162" s="276"/>
      <c r="E162" s="681">
        <f>'3-15'!E91-'3-15'!F91-'Financial Statements'!E100</f>
        <v>-7947565.4000000004</v>
      </c>
      <c r="F162" s="681">
        <v>-8000000</v>
      </c>
      <c r="G162" s="291">
        <v>-135016</v>
      </c>
    </row>
    <row r="163" spans="1:7">
      <c r="A163" s="762"/>
      <c r="B163" s="805"/>
      <c r="C163" s="344"/>
      <c r="D163" s="276"/>
      <c r="E163" s="659"/>
      <c r="F163" s="659"/>
      <c r="G163" s="291"/>
    </row>
    <row r="164" spans="1:7">
      <c r="A164" s="762"/>
      <c r="B164" s="805"/>
      <c r="C164" s="344"/>
      <c r="D164" s="276"/>
      <c r="E164" s="684">
        <f>SUM(E153:E163)</f>
        <v>-78284682.340000004</v>
      </c>
      <c r="F164" s="684">
        <f>SUM(F153:F163)</f>
        <v>-17086625.199999996</v>
      </c>
      <c r="G164" s="299">
        <f>SUM(G153:G163)</f>
        <v>-13099392.51</v>
      </c>
    </row>
    <row r="165" spans="1:7" ht="15.75" customHeight="1">
      <c r="A165" s="828" t="s">
        <v>153</v>
      </c>
      <c r="B165" s="829"/>
      <c r="C165" s="830"/>
      <c r="D165" s="206" t="s">
        <v>138</v>
      </c>
      <c r="E165" s="683">
        <f>E150+E164</f>
        <v>-9632585.7599998713</v>
      </c>
      <c r="F165" s="683">
        <f>F150+F164</f>
        <v>16098852.429999959</v>
      </c>
      <c r="G165" s="261" t="e">
        <f>G150+G164</f>
        <v>#REF!</v>
      </c>
    </row>
    <row r="166" spans="1:7">
      <c r="A166" s="798"/>
      <c r="B166" s="831"/>
      <c r="C166" s="832"/>
      <c r="D166" s="276"/>
      <c r="E166" s="659"/>
      <c r="F166" s="659"/>
      <c r="G166" s="292"/>
    </row>
    <row r="167" spans="1:7" ht="15.75" customHeight="1">
      <c r="A167" s="798" t="s">
        <v>139</v>
      </c>
      <c r="B167" s="826" t="s">
        <v>141</v>
      </c>
      <c r="C167" s="827"/>
      <c r="D167" s="218"/>
      <c r="E167" s="685"/>
      <c r="F167" s="685"/>
      <c r="G167" s="255"/>
    </row>
    <row r="168" spans="1:7" ht="15.75" customHeight="1">
      <c r="A168" s="798"/>
      <c r="B168" s="343"/>
      <c r="C168" s="344" t="str">
        <f>C144</f>
        <v>Interest Income</v>
      </c>
      <c r="D168" s="218"/>
      <c r="E168" s="677">
        <v>0</v>
      </c>
      <c r="F168" s="677">
        <v>0</v>
      </c>
      <c r="G168" s="259" t="e">
        <f>-G144</f>
        <v>#REF!</v>
      </c>
    </row>
    <row r="169" spans="1:7" ht="15.75" customHeight="1">
      <c r="A169" s="799"/>
      <c r="B169" s="800"/>
      <c r="C169" s="344" t="s">
        <v>148</v>
      </c>
      <c r="D169" s="276"/>
      <c r="E169" s="677">
        <v>0</v>
      </c>
      <c r="F169" s="677">
        <v>0</v>
      </c>
      <c r="G169" s="259">
        <v>336286.33027322404</v>
      </c>
    </row>
    <row r="170" spans="1:7" ht="15.75" customHeight="1">
      <c r="A170" s="799"/>
      <c r="B170" s="800"/>
      <c r="C170" s="344" t="s">
        <v>944</v>
      </c>
      <c r="D170" s="276"/>
      <c r="E170" s="681">
        <v>-50000000</v>
      </c>
      <c r="F170" s="677">
        <v>0</v>
      </c>
      <c r="G170" s="259"/>
    </row>
    <row r="171" spans="1:7" ht="15.75" customHeight="1">
      <c r="A171" s="799"/>
      <c r="B171" s="800"/>
      <c r="C171" s="344" t="s">
        <v>913</v>
      </c>
      <c r="D171" s="276"/>
      <c r="E171" s="681">
        <f>-'3-15'!E99+'3-15'!F99</f>
        <v>-2537200</v>
      </c>
      <c r="F171" s="677">
        <v>0</v>
      </c>
      <c r="G171" s="259"/>
    </row>
    <row r="172" spans="1:7" ht="15.75" customHeight="1">
      <c r="A172" s="799"/>
      <c r="B172" s="802"/>
      <c r="C172" s="344" t="s">
        <v>140</v>
      </c>
      <c r="D172" s="276"/>
      <c r="E172" s="681">
        <f>-'10'!D24</f>
        <v>-3006917.2699999996</v>
      </c>
      <c r="F172" s="681">
        <f>-'10'!D25</f>
        <v>-2146828</v>
      </c>
      <c r="G172" s="259">
        <v>-576142.42000000004</v>
      </c>
    </row>
    <row r="173" spans="1:7" ht="16.5" customHeight="1">
      <c r="A173" s="828" t="s">
        <v>154</v>
      </c>
      <c r="B173" s="829"/>
      <c r="C173" s="830"/>
      <c r="D173" s="206" t="s">
        <v>142</v>
      </c>
      <c r="E173" s="683">
        <f>SUM(E168:E172)</f>
        <v>-55544117.269999996</v>
      </c>
      <c r="F173" s="683">
        <f>SUM(F168:F172)</f>
        <v>-2146828</v>
      </c>
      <c r="G173" s="261" t="e">
        <f>SUM(G168:G172)</f>
        <v>#REF!</v>
      </c>
    </row>
    <row r="174" spans="1:7">
      <c r="A174" s="799"/>
      <c r="B174" s="805"/>
      <c r="C174" s="344"/>
      <c r="D174" s="276"/>
      <c r="E174" s="659"/>
      <c r="F174" s="659"/>
      <c r="G174" s="292"/>
    </row>
    <row r="175" spans="1:7">
      <c r="A175" s="798" t="s">
        <v>144</v>
      </c>
      <c r="B175" s="826" t="s">
        <v>143</v>
      </c>
      <c r="C175" s="827"/>
      <c r="D175" s="218"/>
      <c r="E175" s="685"/>
      <c r="F175" s="685"/>
      <c r="G175" s="255"/>
    </row>
    <row r="176" spans="1:7">
      <c r="A176" s="798"/>
      <c r="B176" s="343"/>
      <c r="C176" s="344" t="s">
        <v>166</v>
      </c>
      <c r="D176" s="218"/>
      <c r="E176" s="677">
        <v>0</v>
      </c>
      <c r="F176" s="677">
        <v>0</v>
      </c>
      <c r="G176" s="259" t="e">
        <f>'3-15'!#REF!-'3-15'!#REF!</f>
        <v>#REF!</v>
      </c>
    </row>
    <row r="177" spans="1:10">
      <c r="A177" s="799"/>
      <c r="B177" s="800"/>
      <c r="C177" s="344" t="s">
        <v>167</v>
      </c>
      <c r="D177" s="276"/>
      <c r="E177" s="677">
        <v>0</v>
      </c>
      <c r="F177" s="677">
        <v>0</v>
      </c>
      <c r="G177" s="259" t="e">
        <f>'3-15'!#REF!-'3-15'!G66</f>
        <v>#REF!</v>
      </c>
    </row>
    <row r="178" spans="1:10">
      <c r="A178" s="799"/>
      <c r="B178" s="803"/>
      <c r="C178" s="344" t="s">
        <v>150</v>
      </c>
      <c r="D178" s="276"/>
      <c r="E178" s="677">
        <v>0</v>
      </c>
      <c r="F178" s="677">
        <v>0</v>
      </c>
      <c r="G178" s="259">
        <v>0</v>
      </c>
    </row>
    <row r="179" spans="1:10">
      <c r="A179" s="828" t="s">
        <v>155</v>
      </c>
      <c r="B179" s="829"/>
      <c r="C179" s="830"/>
      <c r="D179" s="206" t="s">
        <v>145</v>
      </c>
      <c r="E179" s="683">
        <f>SUM(E176:E178)</f>
        <v>0</v>
      </c>
      <c r="F179" s="683">
        <f>SUM(F176:F178)</f>
        <v>0</v>
      </c>
      <c r="G179" s="261" t="e">
        <f>SUM(G176:G178)</f>
        <v>#REF!</v>
      </c>
    </row>
    <row r="180" spans="1:10">
      <c r="A180" s="806"/>
      <c r="B180" s="400"/>
      <c r="C180" s="807"/>
      <c r="D180" s="511"/>
      <c r="E180" s="686"/>
      <c r="F180" s="662"/>
      <c r="G180" s="261"/>
    </row>
    <row r="181" spans="1:10" ht="15.75" customHeight="1">
      <c r="A181" s="808"/>
      <c r="B181" s="833" t="s">
        <v>169</v>
      </c>
      <c r="C181" s="834"/>
      <c r="D181" s="280"/>
      <c r="E181" s="687"/>
      <c r="F181" s="688">
        <v>0</v>
      </c>
      <c r="G181" s="300">
        <v>0</v>
      </c>
    </row>
    <row r="182" spans="1:10" ht="15.75" customHeight="1">
      <c r="A182" s="799"/>
      <c r="B182" s="344"/>
      <c r="C182" s="344"/>
      <c r="D182" s="694"/>
      <c r="E182" s="695"/>
      <c r="F182" s="681"/>
      <c r="G182" s="291"/>
    </row>
    <row r="183" spans="1:10" ht="14.45" customHeight="1">
      <c r="A183" s="693" t="s">
        <v>498</v>
      </c>
      <c r="B183" s="689"/>
      <c r="C183" s="689"/>
      <c r="D183" s="696"/>
      <c r="E183" s="673">
        <f>E179+E173+E165+E181</f>
        <v>-65176703.029999867</v>
      </c>
      <c r="F183" s="673">
        <f>F179+F173+F165+F181</f>
        <v>13952024.429999959</v>
      </c>
      <c r="G183" s="270" t="e">
        <f>G179+G173+G165+G181</f>
        <v>#REF!</v>
      </c>
    </row>
    <row r="184" spans="1:10">
      <c r="A184" s="693"/>
      <c r="B184" s="689"/>
      <c r="C184" s="689"/>
      <c r="D184" s="697"/>
      <c r="E184" s="698"/>
      <c r="F184" s="673"/>
      <c r="G184" s="270"/>
    </row>
    <row r="185" spans="1:10" ht="14.45" customHeight="1">
      <c r="A185" s="855" t="s">
        <v>146</v>
      </c>
      <c r="B185" s="856"/>
      <c r="C185" s="856"/>
      <c r="D185" s="694"/>
      <c r="E185" s="822">
        <f>F186</f>
        <v>81786790.229999989</v>
      </c>
      <c r="F185" s="824">
        <v>67834765.489999995</v>
      </c>
      <c r="G185" s="302">
        <v>27817836.969999991</v>
      </c>
    </row>
    <row r="186" spans="1:10">
      <c r="A186" s="865" t="s">
        <v>966</v>
      </c>
      <c r="B186" s="866"/>
      <c r="C186" s="867"/>
      <c r="D186" s="280"/>
      <c r="E186" s="823">
        <f>E47-50000000</f>
        <v>16610087.100000001</v>
      </c>
      <c r="F186" s="825">
        <f>F47</f>
        <v>81786790.229999989</v>
      </c>
      <c r="G186" s="303" t="e">
        <f>G47</f>
        <v>#REF!</v>
      </c>
      <c r="H186" s="301" t="e">
        <f>+G185+G183</f>
        <v>#REF!</v>
      </c>
      <c r="I186" s="301">
        <f>E183+E185-E186</f>
        <v>0.10000012069940567</v>
      </c>
      <c r="J186" s="301">
        <f>F183+F185-F186</f>
        <v>-0.31000003218650818</v>
      </c>
    </row>
    <row r="187" spans="1:10">
      <c r="A187" s="304"/>
      <c r="B187" s="305"/>
      <c r="C187" s="305"/>
      <c r="D187" s="305"/>
      <c r="E187" s="305"/>
      <c r="F187" s="305"/>
      <c r="G187" s="306"/>
      <c r="H187" s="301" t="e">
        <f>+G186-H186</f>
        <v>#REF!</v>
      </c>
      <c r="I187" s="301"/>
    </row>
    <row r="188" spans="1:10">
      <c r="A188" s="849" t="s">
        <v>746</v>
      </c>
      <c r="B188" s="850"/>
      <c r="C188" s="850"/>
      <c r="D188" s="201"/>
      <c r="E188" s="201"/>
      <c r="F188" s="201"/>
      <c r="G188" s="219"/>
    </row>
    <row r="189" spans="1:10">
      <c r="A189" s="227"/>
      <c r="B189" s="228"/>
      <c r="C189" s="229"/>
      <c r="D189" s="230"/>
      <c r="E189" s="230"/>
      <c r="F189" s="230"/>
      <c r="G189" s="231"/>
    </row>
    <row r="190" spans="1:10">
      <c r="A190" s="232" t="s">
        <v>747</v>
      </c>
      <c r="B190" s="228"/>
      <c r="C190" s="229"/>
      <c r="D190" s="465" t="s">
        <v>119</v>
      </c>
      <c r="E190" s="233"/>
      <c r="F190" s="233"/>
      <c r="G190" s="234"/>
    </row>
    <row r="191" spans="1:10">
      <c r="A191" s="851" t="s">
        <v>748</v>
      </c>
      <c r="B191" s="852"/>
      <c r="C191" s="852"/>
      <c r="D191" s="868" t="s">
        <v>306</v>
      </c>
      <c r="E191" s="868"/>
      <c r="F191" s="868"/>
      <c r="G191" s="869"/>
    </row>
    <row r="192" spans="1:10">
      <c r="A192" s="232"/>
      <c r="B192" s="228"/>
      <c r="C192" s="235"/>
      <c r="D192" s="230"/>
      <c r="E192" s="230"/>
      <c r="F192" s="230"/>
      <c r="G192" s="231"/>
    </row>
    <row r="193" spans="1:7">
      <c r="A193" s="227"/>
      <c r="B193" s="230"/>
      <c r="C193" s="230"/>
      <c r="D193" s="230"/>
      <c r="E193" s="230"/>
      <c r="F193" s="230"/>
      <c r="G193" s="231"/>
    </row>
    <row r="194" spans="1:7">
      <c r="A194" s="232"/>
      <c r="B194" s="228"/>
      <c r="C194" s="235"/>
      <c r="D194" s="230"/>
      <c r="E194" s="230"/>
      <c r="F194" s="230"/>
      <c r="G194" s="231"/>
    </row>
    <row r="195" spans="1:7">
      <c r="A195" s="236" t="s">
        <v>749</v>
      </c>
      <c r="B195" s="228"/>
      <c r="C195" s="282"/>
      <c r="D195" s="468" t="s">
        <v>368</v>
      </c>
      <c r="E195" s="282"/>
      <c r="F195" s="468" t="s">
        <v>926</v>
      </c>
      <c r="G195" s="237" t="s">
        <v>493</v>
      </c>
    </row>
    <row r="196" spans="1:7">
      <c r="A196" s="238" t="s">
        <v>750</v>
      </c>
      <c r="B196" s="228"/>
      <c r="C196" s="283"/>
      <c r="D196" s="465" t="s">
        <v>34</v>
      </c>
      <c r="E196" s="230"/>
      <c r="F196" s="469" t="s">
        <v>34</v>
      </c>
      <c r="G196" s="239" t="s">
        <v>495</v>
      </c>
    </row>
    <row r="197" spans="1:7">
      <c r="A197" s="471" t="s">
        <v>751</v>
      </c>
      <c r="B197" s="228"/>
      <c r="C197" s="241"/>
      <c r="D197" s="465" t="s">
        <v>743</v>
      </c>
      <c r="E197" s="241"/>
      <c r="F197" s="465" t="s">
        <v>935</v>
      </c>
      <c r="G197" s="240" t="s">
        <v>494</v>
      </c>
    </row>
    <row r="198" spans="1:7">
      <c r="A198" s="471"/>
      <c r="B198" s="228"/>
      <c r="C198" s="241"/>
      <c r="D198" s="465"/>
      <c r="E198" s="241"/>
      <c r="F198" s="465"/>
      <c r="G198" s="240"/>
    </row>
    <row r="199" spans="1:7">
      <c r="A199" s="236" t="str">
        <f>A129</f>
        <v>UDIN:</v>
      </c>
      <c r="B199" s="228"/>
      <c r="C199" s="241"/>
      <c r="D199" s="241"/>
      <c r="E199" s="241"/>
      <c r="F199" s="241"/>
      <c r="G199" s="240"/>
    </row>
    <row r="200" spans="1:7">
      <c r="A200" s="236"/>
      <c r="B200" s="228"/>
      <c r="C200" s="241"/>
      <c r="D200" s="241"/>
      <c r="E200" s="241"/>
      <c r="F200" s="241"/>
      <c r="G200" s="240"/>
    </row>
    <row r="201" spans="1:7">
      <c r="A201" s="286" t="s">
        <v>496</v>
      </c>
      <c r="B201" s="228"/>
      <c r="C201" s="230"/>
      <c r="D201" s="241"/>
      <c r="E201" s="241"/>
      <c r="F201" s="241"/>
      <c r="G201" s="240"/>
    </row>
    <row r="202" spans="1:7" ht="15.75" thickBot="1">
      <c r="A202" s="284" t="str">
        <f>A132</f>
        <v xml:space="preserve">Date: </v>
      </c>
      <c r="B202" s="242"/>
      <c r="C202" s="243"/>
      <c r="D202" s="244"/>
      <c r="E202" s="244"/>
      <c r="F202" s="244"/>
      <c r="G202" s="245"/>
    </row>
  </sheetData>
  <mergeCells count="49">
    <mergeCell ref="A186:C186"/>
    <mergeCell ref="A191:C191"/>
    <mergeCell ref="D56:G57"/>
    <mergeCell ref="A136:G136"/>
    <mergeCell ref="D121:G121"/>
    <mergeCell ref="B99:C99"/>
    <mergeCell ref="B94:C94"/>
    <mergeCell ref="A121:C121"/>
    <mergeCell ref="A188:C188"/>
    <mergeCell ref="D191:G191"/>
    <mergeCell ref="B109:C109"/>
    <mergeCell ref="B111:C111"/>
    <mergeCell ref="B175:C175"/>
    <mergeCell ref="A179:C179"/>
    <mergeCell ref="B113:C113"/>
    <mergeCell ref="A118:C118"/>
    <mergeCell ref="B150:C150"/>
    <mergeCell ref="B152:C152"/>
    <mergeCell ref="A185:C185"/>
    <mergeCell ref="A8:C8"/>
    <mergeCell ref="B10:C10"/>
    <mergeCell ref="B9:C9"/>
    <mergeCell ref="B32:C32"/>
    <mergeCell ref="B14:C14"/>
    <mergeCell ref="B16:C16"/>
    <mergeCell ref="B22:C22"/>
    <mergeCell ref="B80:C80"/>
    <mergeCell ref="B82:C82"/>
    <mergeCell ref="B91:C91"/>
    <mergeCell ref="A140:C140"/>
    <mergeCell ref="B33:C33"/>
    <mergeCell ref="B43:C43"/>
    <mergeCell ref="A51:C51"/>
    <mergeCell ref="B105:C105"/>
    <mergeCell ref="A76:C76"/>
    <mergeCell ref="A53:C53"/>
    <mergeCell ref="A56:C57"/>
    <mergeCell ref="B142:C142"/>
    <mergeCell ref="B143:C143"/>
    <mergeCell ref="B97:C97"/>
    <mergeCell ref="B107:C107"/>
    <mergeCell ref="B108:C108"/>
    <mergeCell ref="B141:C141"/>
    <mergeCell ref="A116:C116"/>
    <mergeCell ref="B167:C167"/>
    <mergeCell ref="A165:C165"/>
    <mergeCell ref="B166:C166"/>
    <mergeCell ref="B181:C181"/>
    <mergeCell ref="A173:C173"/>
  </mergeCells>
  <printOptions horizontalCentered="1" verticalCentered="1"/>
  <pageMargins left="0.19685039370078741" right="0" top="0.19685039370078741" bottom="0" header="0.19685039370078741" footer="0"/>
  <pageSetup paperSize="9" scale="77" orientation="portrait" r:id="rId1"/>
  <rowBreaks count="2" manualBreakCount="2">
    <brk id="68" max="5" man="1"/>
    <brk id="132"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19"/>
  <sheetViews>
    <sheetView showGridLines="0" view="pageBreakPreview" zoomScaleSheetLayoutView="100" workbookViewId="0">
      <selection activeCell="B119" sqref="B119:D119"/>
    </sheetView>
  </sheetViews>
  <sheetFormatPr defaultColWidth="8.85546875" defaultRowHeight="15"/>
  <cols>
    <col min="1" max="1" width="4.5703125" style="309" customWidth="1"/>
    <col min="2" max="2" width="60.5703125" style="307" customWidth="1"/>
    <col min="3" max="4" width="25.5703125" style="307" customWidth="1"/>
    <col min="5" max="6" width="8.85546875" style="308"/>
    <col min="7" max="16384" width="8.85546875" style="309"/>
  </cols>
  <sheetData>
    <row r="2" spans="2:4" ht="15.75">
      <c r="B2" s="462" t="s">
        <v>306</v>
      </c>
    </row>
    <row r="3" spans="2:4">
      <c r="B3" s="438" t="s">
        <v>308</v>
      </c>
    </row>
    <row r="4" spans="2:4">
      <c r="B4" s="448"/>
    </row>
    <row r="5" spans="2:4">
      <c r="B5" s="341" t="s">
        <v>731</v>
      </c>
    </row>
    <row r="6" spans="2:4">
      <c r="B6" s="449" t="s">
        <v>712</v>
      </c>
    </row>
    <row r="7" spans="2:4">
      <c r="B7" s="449"/>
    </row>
    <row r="8" spans="2:4">
      <c r="B8" s="449"/>
    </row>
    <row r="9" spans="2:4">
      <c r="B9" s="310" t="s">
        <v>245</v>
      </c>
      <c r="C9" s="311"/>
      <c r="D9" s="311"/>
    </row>
    <row r="10" spans="2:4">
      <c r="B10" s="311"/>
      <c r="C10" s="311"/>
      <c r="D10" s="311"/>
    </row>
    <row r="11" spans="2:4" ht="102.2" customHeight="1">
      <c r="B11" s="876" t="s">
        <v>609</v>
      </c>
      <c r="C11" s="876"/>
      <c r="D11" s="876"/>
    </row>
    <row r="12" spans="2:4">
      <c r="B12" s="311"/>
      <c r="C12" s="311"/>
      <c r="D12" s="311"/>
    </row>
    <row r="13" spans="2:4">
      <c r="B13" s="310" t="s">
        <v>246</v>
      </c>
      <c r="C13" s="311"/>
      <c r="D13" s="311"/>
    </row>
    <row r="14" spans="2:4">
      <c r="B14" s="310"/>
      <c r="C14" s="311"/>
      <c r="D14" s="311"/>
    </row>
    <row r="15" spans="2:4">
      <c r="B15" s="310" t="s">
        <v>247</v>
      </c>
      <c r="C15" s="311"/>
      <c r="D15" s="311"/>
    </row>
    <row r="16" spans="2:4">
      <c r="B16" s="311"/>
      <c r="C16" s="311"/>
      <c r="D16" s="311"/>
    </row>
    <row r="17" spans="1:4" ht="125.1" customHeight="1">
      <c r="B17" s="875" t="s">
        <v>248</v>
      </c>
      <c r="C17" s="875"/>
      <c r="D17" s="875"/>
    </row>
    <row r="18" spans="1:4" ht="75" customHeight="1">
      <c r="B18" s="875" t="s">
        <v>249</v>
      </c>
      <c r="C18" s="875"/>
      <c r="D18" s="875"/>
    </row>
    <row r="19" spans="1:4">
      <c r="B19" s="311"/>
      <c r="C19" s="311"/>
      <c r="D19" s="311"/>
    </row>
    <row r="20" spans="1:4">
      <c r="B20" s="310" t="s">
        <v>250</v>
      </c>
      <c r="C20" s="311"/>
      <c r="D20" s="311"/>
    </row>
    <row r="21" spans="1:4">
      <c r="B21" s="311"/>
      <c r="C21" s="311"/>
      <c r="D21" s="311"/>
    </row>
    <row r="22" spans="1:4" ht="112.15" customHeight="1">
      <c r="B22" s="875" t="s">
        <v>251</v>
      </c>
      <c r="C22" s="875"/>
      <c r="D22" s="875"/>
    </row>
    <row r="23" spans="1:4">
      <c r="B23" s="311"/>
      <c r="C23" s="311"/>
      <c r="D23" s="311"/>
    </row>
    <row r="24" spans="1:4">
      <c r="B24" s="310" t="s">
        <v>252</v>
      </c>
      <c r="C24" s="311"/>
      <c r="D24" s="311"/>
    </row>
    <row r="25" spans="1:4">
      <c r="B25" s="310"/>
      <c r="C25" s="311"/>
      <c r="D25" s="311"/>
    </row>
    <row r="26" spans="1:4" ht="36" customHeight="1">
      <c r="B26" s="875" t="s">
        <v>253</v>
      </c>
      <c r="C26" s="875"/>
      <c r="D26" s="875"/>
    </row>
    <row r="27" spans="1:4">
      <c r="B27" s="311"/>
      <c r="C27" s="311"/>
      <c r="D27" s="311"/>
    </row>
    <row r="28" spans="1:4">
      <c r="B28" s="310" t="s">
        <v>254</v>
      </c>
      <c r="C28" s="311"/>
      <c r="D28" s="311"/>
    </row>
    <row r="29" spans="1:4" s="308" customFormat="1" ht="33.75" customHeight="1">
      <c r="A29" s="309"/>
      <c r="B29" s="875" t="s">
        <v>255</v>
      </c>
      <c r="C29" s="875"/>
      <c r="D29" s="875"/>
    </row>
    <row r="30" spans="1:4" s="308" customFormat="1" ht="33.75" customHeight="1">
      <c r="A30" s="309"/>
      <c r="B30" s="875" t="s">
        <v>256</v>
      </c>
      <c r="C30" s="875"/>
      <c r="D30" s="875"/>
    </row>
    <row r="31" spans="1:4" s="308" customFormat="1" ht="66.2" customHeight="1">
      <c r="A31" s="309"/>
      <c r="B31" s="875" t="s">
        <v>257</v>
      </c>
      <c r="C31" s="875"/>
      <c r="D31" s="875"/>
    </row>
    <row r="32" spans="1:4" s="308" customFormat="1" ht="30" customHeight="1">
      <c r="A32" s="309"/>
      <c r="B32" s="875" t="s">
        <v>258</v>
      </c>
      <c r="C32" s="875"/>
      <c r="D32" s="875"/>
    </row>
    <row r="33" spans="1:4" s="308" customFormat="1">
      <c r="A33" s="309"/>
      <c r="B33" s="311"/>
      <c r="C33" s="311"/>
      <c r="D33" s="311"/>
    </row>
    <row r="34" spans="1:4" s="308" customFormat="1">
      <c r="A34" s="309"/>
      <c r="B34" s="311"/>
      <c r="C34" s="311"/>
      <c r="D34" s="311"/>
    </row>
    <row r="35" spans="1:4" s="308" customFormat="1">
      <c r="A35" s="309"/>
      <c r="B35" s="310" t="s">
        <v>259</v>
      </c>
      <c r="C35" s="311"/>
      <c r="D35" s="311"/>
    </row>
    <row r="36" spans="1:4" s="308" customFormat="1" ht="42.75" customHeight="1">
      <c r="A36" s="309"/>
      <c r="B36" s="877" t="s">
        <v>946</v>
      </c>
      <c r="C36" s="877"/>
      <c r="D36" s="877"/>
    </row>
    <row r="37" spans="1:4" s="308" customFormat="1">
      <c r="A37" s="309"/>
      <c r="B37" s="311"/>
      <c r="C37" s="311"/>
      <c r="D37" s="311"/>
    </row>
    <row r="38" spans="1:4" s="308" customFormat="1">
      <c r="A38" s="309"/>
      <c r="B38" s="310" t="s">
        <v>260</v>
      </c>
      <c r="C38" s="311"/>
      <c r="D38" s="311"/>
    </row>
    <row r="39" spans="1:4" s="308" customFormat="1">
      <c r="A39" s="309"/>
      <c r="B39" s="311"/>
      <c r="C39" s="311"/>
      <c r="D39" s="311"/>
    </row>
    <row r="40" spans="1:4" s="308" customFormat="1" ht="30" customHeight="1">
      <c r="A40" s="309"/>
      <c r="B40" s="878" t="s">
        <v>261</v>
      </c>
      <c r="C40" s="878"/>
      <c r="D40" s="878"/>
    </row>
    <row r="41" spans="1:4" s="308" customFormat="1" ht="45" customHeight="1">
      <c r="A41" s="309"/>
      <c r="B41" s="875" t="s">
        <v>945</v>
      </c>
      <c r="C41" s="875"/>
      <c r="D41" s="875"/>
    </row>
    <row r="42" spans="1:4" s="308" customFormat="1" ht="30.2" customHeight="1">
      <c r="A42" s="309"/>
      <c r="B42" s="875" t="s">
        <v>262</v>
      </c>
      <c r="C42" s="875"/>
      <c r="D42" s="875"/>
    </row>
    <row r="43" spans="1:4" s="308" customFormat="1" ht="42.6" customHeight="1">
      <c r="A43" s="309"/>
      <c r="B43" s="875" t="s">
        <v>263</v>
      </c>
      <c r="C43" s="875"/>
      <c r="D43" s="875"/>
    </row>
    <row r="44" spans="1:4" s="308" customFormat="1">
      <c r="A44" s="309"/>
      <c r="B44" s="311"/>
      <c r="C44" s="311"/>
      <c r="D44" s="311"/>
    </row>
    <row r="45" spans="1:4" s="308" customFormat="1">
      <c r="A45" s="309"/>
      <c r="B45" s="310" t="s">
        <v>264</v>
      </c>
      <c r="C45" s="311"/>
      <c r="D45" s="311"/>
    </row>
    <row r="46" spans="1:4" s="308" customFormat="1">
      <c r="A46" s="309"/>
      <c r="B46" s="311"/>
      <c r="C46" s="311"/>
      <c r="D46" s="311"/>
    </row>
    <row r="47" spans="1:4" s="308" customFormat="1" ht="80.099999999999994" customHeight="1">
      <c r="A47" s="309"/>
      <c r="B47" s="875" t="s">
        <v>265</v>
      </c>
      <c r="C47" s="875"/>
      <c r="D47" s="875"/>
    </row>
    <row r="48" spans="1:4" s="308" customFormat="1" ht="45" customHeight="1">
      <c r="A48" s="309"/>
      <c r="B48" s="875" t="s">
        <v>740</v>
      </c>
      <c r="C48" s="875"/>
      <c r="D48" s="875"/>
    </row>
    <row r="49" spans="1:4" s="308" customFormat="1">
      <c r="A49" s="309"/>
      <c r="B49" s="311"/>
      <c r="C49" s="311"/>
      <c r="D49" s="311"/>
    </row>
    <row r="50" spans="1:4" s="308" customFormat="1">
      <c r="A50" s="309"/>
      <c r="B50" s="310" t="s">
        <v>266</v>
      </c>
      <c r="C50" s="311"/>
      <c r="D50" s="311"/>
    </row>
    <row r="51" spans="1:4" s="308" customFormat="1">
      <c r="A51" s="309"/>
      <c r="B51" s="311"/>
      <c r="C51" s="311"/>
      <c r="D51" s="311"/>
    </row>
    <row r="52" spans="1:4" s="308" customFormat="1" ht="70.150000000000006" customHeight="1">
      <c r="A52" s="309"/>
      <c r="B52" s="875" t="s">
        <v>267</v>
      </c>
      <c r="C52" s="875"/>
      <c r="D52" s="875"/>
    </row>
    <row r="53" spans="1:4" s="308" customFormat="1">
      <c r="A53" s="309"/>
      <c r="B53" s="875" t="s">
        <v>268</v>
      </c>
      <c r="C53" s="875"/>
      <c r="D53" s="875"/>
    </row>
    <row r="54" spans="1:4" s="308" customFormat="1">
      <c r="A54" s="309"/>
      <c r="B54" s="311"/>
      <c r="C54" s="311"/>
      <c r="D54" s="311"/>
    </row>
    <row r="55" spans="1:4" s="308" customFormat="1">
      <c r="A55" s="309"/>
      <c r="B55" s="310" t="s">
        <v>269</v>
      </c>
      <c r="C55" s="311"/>
      <c r="D55" s="311"/>
    </row>
    <row r="56" spans="1:4" s="308" customFormat="1">
      <c r="A56" s="309"/>
      <c r="B56" s="311"/>
      <c r="C56" s="311"/>
      <c r="D56" s="311"/>
    </row>
    <row r="57" spans="1:4" s="308" customFormat="1" ht="105" customHeight="1">
      <c r="A57" s="309"/>
      <c r="B57" s="875" t="s">
        <v>270</v>
      </c>
      <c r="C57" s="875"/>
      <c r="D57" s="875"/>
    </row>
    <row r="58" spans="1:4" s="308" customFormat="1">
      <c r="A58" s="309"/>
      <c r="B58" s="311" t="s">
        <v>9</v>
      </c>
      <c r="C58" s="311"/>
      <c r="D58" s="311"/>
    </row>
    <row r="59" spans="1:4" s="308" customFormat="1">
      <c r="A59" s="309"/>
      <c r="B59" s="311"/>
      <c r="C59" s="311"/>
      <c r="D59" s="311"/>
    </row>
    <row r="60" spans="1:4" s="308" customFormat="1">
      <c r="A60" s="309"/>
      <c r="B60" s="310" t="s">
        <v>271</v>
      </c>
      <c r="C60" s="311"/>
      <c r="D60" s="311"/>
    </row>
    <row r="61" spans="1:4" s="308" customFormat="1">
      <c r="A61" s="309"/>
      <c r="B61" s="310"/>
      <c r="C61" s="311"/>
      <c r="D61" s="311"/>
    </row>
    <row r="62" spans="1:4" s="308" customFormat="1" ht="210" customHeight="1">
      <c r="A62" s="309"/>
      <c r="B62" s="875" t="s">
        <v>606</v>
      </c>
      <c r="C62" s="875"/>
      <c r="D62" s="875"/>
    </row>
    <row r="63" spans="1:4" s="308" customFormat="1">
      <c r="A63" s="309"/>
      <c r="B63" s="311"/>
      <c r="C63" s="311"/>
      <c r="D63" s="311"/>
    </row>
    <row r="64" spans="1:4" s="308" customFormat="1">
      <c r="A64" s="309"/>
      <c r="B64" s="310" t="s">
        <v>272</v>
      </c>
      <c r="C64" s="311"/>
      <c r="D64" s="311"/>
    </row>
    <row r="65" spans="1:4" s="308" customFormat="1">
      <c r="A65" s="309"/>
      <c r="B65" s="310"/>
      <c r="C65" s="311"/>
      <c r="D65" s="311"/>
    </row>
    <row r="66" spans="1:4" s="308" customFormat="1">
      <c r="A66" s="309"/>
      <c r="B66" s="310" t="s">
        <v>273</v>
      </c>
      <c r="C66" s="311"/>
      <c r="D66" s="311"/>
    </row>
    <row r="67" spans="1:4" s="308" customFormat="1" ht="43.15" customHeight="1">
      <c r="A67" s="309"/>
      <c r="B67" s="875" t="s">
        <v>274</v>
      </c>
      <c r="C67" s="875"/>
      <c r="D67" s="875"/>
    </row>
    <row r="68" spans="1:4" s="308" customFormat="1">
      <c r="A68" s="309"/>
      <c r="B68" s="310" t="s">
        <v>275</v>
      </c>
      <c r="C68" s="311"/>
      <c r="D68" s="311"/>
    </row>
    <row r="69" spans="1:4" s="308" customFormat="1" ht="31.15" customHeight="1">
      <c r="A69" s="309"/>
      <c r="B69" s="875" t="s">
        <v>276</v>
      </c>
      <c r="C69" s="875"/>
      <c r="D69" s="875"/>
    </row>
    <row r="70" spans="1:4" s="308" customFormat="1" ht="29.45" customHeight="1">
      <c r="A70" s="309"/>
      <c r="B70" s="875" t="s">
        <v>277</v>
      </c>
      <c r="C70" s="875"/>
      <c r="D70" s="875"/>
    </row>
    <row r="71" spans="1:4" s="308" customFormat="1">
      <c r="A71" s="309"/>
      <c r="B71" s="310"/>
      <c r="C71" s="311"/>
      <c r="D71" s="311"/>
    </row>
    <row r="72" spans="1:4" s="308" customFormat="1">
      <c r="A72" s="309"/>
      <c r="B72" s="310" t="s">
        <v>278</v>
      </c>
      <c r="C72" s="311"/>
      <c r="D72" s="311"/>
    </row>
    <row r="73" spans="1:4" s="308" customFormat="1">
      <c r="A73" s="309"/>
      <c r="B73" s="310" t="s">
        <v>279</v>
      </c>
      <c r="C73" s="311"/>
      <c r="D73" s="311"/>
    </row>
    <row r="74" spans="1:4" s="308" customFormat="1" ht="45" customHeight="1">
      <c r="A74" s="309"/>
      <c r="B74" s="875" t="s">
        <v>280</v>
      </c>
      <c r="C74" s="875"/>
      <c r="D74" s="875"/>
    </row>
    <row r="75" spans="1:4" s="308" customFormat="1">
      <c r="A75" s="309"/>
      <c r="B75" s="311"/>
      <c r="C75" s="311"/>
      <c r="D75" s="311"/>
    </row>
    <row r="76" spans="1:4" s="308" customFormat="1">
      <c r="A76" s="309"/>
      <c r="B76" s="310" t="s">
        <v>281</v>
      </c>
      <c r="C76" s="311"/>
      <c r="D76" s="311"/>
    </row>
    <row r="77" spans="1:4" s="308" customFormat="1">
      <c r="A77" s="309"/>
      <c r="B77" s="310" t="s">
        <v>282</v>
      </c>
      <c r="C77" s="311"/>
      <c r="D77" s="311"/>
    </row>
    <row r="78" spans="1:4" s="308" customFormat="1" ht="45" customHeight="1">
      <c r="A78" s="309"/>
      <c r="B78" s="875" t="s">
        <v>283</v>
      </c>
      <c r="C78" s="875"/>
      <c r="D78" s="875"/>
    </row>
    <row r="79" spans="1:4" s="308" customFormat="1">
      <c r="A79" s="309"/>
      <c r="B79" s="310" t="s">
        <v>284</v>
      </c>
      <c r="C79" s="311"/>
      <c r="D79" s="311"/>
    </row>
    <row r="80" spans="1:4" s="308" customFormat="1" ht="90" customHeight="1">
      <c r="A80" s="309"/>
      <c r="B80" s="875" t="s">
        <v>285</v>
      </c>
      <c r="C80" s="875"/>
      <c r="D80" s="875"/>
    </row>
    <row r="81" spans="1:4" s="308" customFormat="1">
      <c r="A81" s="309"/>
      <c r="B81" s="310" t="s">
        <v>286</v>
      </c>
      <c r="C81" s="311"/>
      <c r="D81" s="311"/>
    </row>
    <row r="82" spans="1:4" s="308" customFormat="1" ht="65.45" customHeight="1">
      <c r="A82" s="309"/>
      <c r="B82" s="875" t="s">
        <v>287</v>
      </c>
      <c r="C82" s="875"/>
      <c r="D82" s="875"/>
    </row>
    <row r="83" spans="1:4" s="308" customFormat="1" ht="60" customHeight="1">
      <c r="A83" s="309"/>
      <c r="B83" s="875" t="s">
        <v>288</v>
      </c>
      <c r="C83" s="875"/>
      <c r="D83" s="875"/>
    </row>
    <row r="84" spans="1:4" s="308" customFormat="1">
      <c r="A84" s="309"/>
      <c r="B84" s="311"/>
      <c r="C84" s="311"/>
      <c r="D84" s="311"/>
    </row>
    <row r="85" spans="1:4" s="308" customFormat="1">
      <c r="A85" s="309"/>
      <c r="B85" s="311"/>
      <c r="C85" s="311"/>
      <c r="D85" s="311"/>
    </row>
    <row r="86" spans="1:4" s="308" customFormat="1">
      <c r="A86" s="309"/>
      <c r="B86" s="310" t="s">
        <v>289</v>
      </c>
      <c r="C86" s="311"/>
      <c r="D86" s="311"/>
    </row>
    <row r="87" spans="1:4" s="308" customFormat="1">
      <c r="A87" s="309"/>
      <c r="B87" s="311"/>
      <c r="C87" s="311"/>
      <c r="D87" s="311"/>
    </row>
    <row r="88" spans="1:4" s="308" customFormat="1" ht="47.45" customHeight="1">
      <c r="A88" s="309"/>
      <c r="B88" s="875" t="s">
        <v>290</v>
      </c>
      <c r="C88" s="875"/>
      <c r="D88" s="875"/>
    </row>
    <row r="89" spans="1:4" s="308" customFormat="1" ht="120" customHeight="1">
      <c r="A89" s="309"/>
      <c r="B89" s="875" t="s">
        <v>291</v>
      </c>
      <c r="C89" s="875"/>
      <c r="D89" s="875"/>
    </row>
    <row r="90" spans="1:4" s="308" customFormat="1" ht="76.150000000000006" customHeight="1">
      <c r="A90" s="309"/>
      <c r="B90" s="875" t="s">
        <v>292</v>
      </c>
      <c r="C90" s="875"/>
      <c r="D90" s="875"/>
    </row>
    <row r="91" spans="1:4" s="308" customFormat="1" ht="105" customHeight="1">
      <c r="A91" s="309"/>
      <c r="B91" s="875" t="s">
        <v>293</v>
      </c>
      <c r="C91" s="875"/>
      <c r="D91" s="875"/>
    </row>
    <row r="92" spans="1:4" s="308" customFormat="1">
      <c r="A92" s="309"/>
      <c r="B92" s="311"/>
      <c r="C92" s="311"/>
      <c r="D92" s="311"/>
    </row>
    <row r="93" spans="1:4" s="308" customFormat="1">
      <c r="A93" s="309"/>
      <c r="B93" s="310" t="s">
        <v>294</v>
      </c>
      <c r="C93" s="311"/>
      <c r="D93" s="311"/>
    </row>
    <row r="94" spans="1:4" s="308" customFormat="1">
      <c r="A94" s="309"/>
      <c r="B94" s="311"/>
      <c r="C94" s="311"/>
      <c r="D94" s="311"/>
    </row>
    <row r="95" spans="1:4" s="308" customFormat="1" ht="60" customHeight="1">
      <c r="A95" s="309"/>
      <c r="B95" s="875" t="s">
        <v>295</v>
      </c>
      <c r="C95" s="875"/>
      <c r="D95" s="875"/>
    </row>
    <row r="96" spans="1:4" s="308" customFormat="1" ht="105" customHeight="1">
      <c r="A96" s="309"/>
      <c r="B96" s="875" t="s">
        <v>741</v>
      </c>
      <c r="C96" s="875"/>
      <c r="D96" s="875"/>
    </row>
    <row r="97" spans="1:4" s="308" customFormat="1">
      <c r="A97" s="309"/>
      <c r="B97" s="311"/>
      <c r="C97" s="311"/>
      <c r="D97" s="311"/>
    </row>
    <row r="98" spans="1:4" s="308" customFormat="1">
      <c r="A98" s="309"/>
      <c r="B98" s="310" t="s">
        <v>296</v>
      </c>
      <c r="C98" s="311"/>
      <c r="D98" s="311"/>
    </row>
    <row r="99" spans="1:4" s="308" customFormat="1">
      <c r="A99" s="309"/>
      <c r="B99" s="311"/>
      <c r="C99" s="311"/>
      <c r="D99" s="311"/>
    </row>
    <row r="100" spans="1:4" s="308" customFormat="1" ht="180" customHeight="1">
      <c r="A100" s="309"/>
      <c r="B100" s="875" t="s">
        <v>297</v>
      </c>
      <c r="C100" s="875"/>
      <c r="D100" s="875"/>
    </row>
    <row r="101" spans="1:4" s="308" customFormat="1" ht="29.45" customHeight="1">
      <c r="A101" s="309"/>
      <c r="B101" s="875" t="s">
        <v>298</v>
      </c>
      <c r="C101" s="875"/>
      <c r="D101" s="875"/>
    </row>
    <row r="102" spans="1:4" s="308" customFormat="1">
      <c r="A102" s="309"/>
      <c r="B102" s="311"/>
      <c r="C102" s="311"/>
      <c r="D102" s="311"/>
    </row>
    <row r="103" spans="1:4" s="308" customFormat="1">
      <c r="A103" s="309"/>
      <c r="B103" s="311"/>
      <c r="C103" s="311"/>
      <c r="D103" s="311"/>
    </row>
    <row r="104" spans="1:4" s="308" customFormat="1">
      <c r="A104" s="309"/>
      <c r="B104" s="310" t="s">
        <v>299</v>
      </c>
      <c r="C104" s="311"/>
      <c r="D104" s="311"/>
    </row>
    <row r="105" spans="1:4" s="308" customFormat="1">
      <c r="A105" s="309"/>
      <c r="B105" s="311"/>
      <c r="C105" s="311"/>
      <c r="D105" s="311"/>
    </row>
    <row r="106" spans="1:4" s="308" customFormat="1" ht="76.900000000000006" customHeight="1">
      <c r="A106" s="309"/>
      <c r="B106" s="879" t="s">
        <v>607</v>
      </c>
      <c r="C106" s="879"/>
      <c r="D106" s="879"/>
    </row>
    <row r="107" spans="1:4" s="308" customFormat="1" ht="75" customHeight="1">
      <c r="A107" s="309"/>
      <c r="B107" s="879" t="s">
        <v>608</v>
      </c>
      <c r="C107" s="879"/>
      <c r="D107" s="879"/>
    </row>
    <row r="108" spans="1:4" s="308" customFormat="1">
      <c r="A108" s="309"/>
      <c r="B108" s="312"/>
      <c r="C108" s="311"/>
      <c r="D108" s="311"/>
    </row>
    <row r="109" spans="1:4" s="308" customFormat="1">
      <c r="A109" s="309"/>
      <c r="B109" s="310" t="s">
        <v>300</v>
      </c>
      <c r="C109" s="311"/>
      <c r="D109" s="311"/>
    </row>
    <row r="110" spans="1:4" s="308" customFormat="1">
      <c r="A110" s="309"/>
      <c r="B110" s="311"/>
      <c r="C110" s="311"/>
      <c r="D110" s="311"/>
    </row>
    <row r="111" spans="1:4" s="308" customFormat="1" ht="48.2" customHeight="1">
      <c r="A111" s="309"/>
      <c r="B111" s="875" t="s">
        <v>301</v>
      </c>
      <c r="C111" s="875"/>
      <c r="D111" s="875"/>
    </row>
    <row r="112" spans="1:4" s="308" customFormat="1">
      <c r="A112" s="309"/>
      <c r="B112" s="311"/>
      <c r="C112" s="311"/>
      <c r="D112" s="311"/>
    </row>
    <row r="113" spans="1:4" s="308" customFormat="1" ht="15" customHeight="1">
      <c r="A113" s="309"/>
      <c r="B113" s="310" t="s">
        <v>302</v>
      </c>
      <c r="C113" s="817"/>
      <c r="D113" s="311"/>
    </row>
    <row r="114" spans="1:4" s="308" customFormat="1">
      <c r="A114" s="309"/>
      <c r="B114" s="313"/>
      <c r="C114" s="817"/>
      <c r="D114" s="314"/>
    </row>
    <row r="115" spans="1:4" s="308" customFormat="1" ht="30.6" customHeight="1">
      <c r="A115" s="309"/>
      <c r="B115" s="875" t="s">
        <v>303</v>
      </c>
      <c r="C115" s="875"/>
      <c r="D115" s="875"/>
    </row>
    <row r="116" spans="1:4" s="308" customFormat="1">
      <c r="A116" s="309"/>
      <c r="B116" s="307"/>
      <c r="C116" s="307"/>
      <c r="D116" s="307"/>
    </row>
    <row r="117" spans="1:4" s="308" customFormat="1">
      <c r="A117" s="309"/>
      <c r="B117" s="310" t="s">
        <v>304</v>
      </c>
      <c r="C117" s="313"/>
      <c r="D117" s="307"/>
    </row>
    <row r="118" spans="1:4" s="308" customFormat="1">
      <c r="A118" s="309"/>
      <c r="B118" s="313"/>
      <c r="C118" s="313"/>
      <c r="D118" s="307"/>
    </row>
    <row r="119" spans="1:4" s="308" customFormat="1" ht="45" customHeight="1">
      <c r="A119" s="309"/>
      <c r="B119" s="875" t="s">
        <v>305</v>
      </c>
      <c r="C119" s="875"/>
      <c r="D119" s="875"/>
    </row>
  </sheetData>
  <mergeCells count="41">
    <mergeCell ref="B106:D106"/>
    <mergeCell ref="B107:D107"/>
    <mergeCell ref="B111:D111"/>
    <mergeCell ref="B115:D115"/>
    <mergeCell ref="B119:D119"/>
    <mergeCell ref="B101:D101"/>
    <mergeCell ref="B78:D78"/>
    <mergeCell ref="B80:D80"/>
    <mergeCell ref="B82:D82"/>
    <mergeCell ref="B83:D83"/>
    <mergeCell ref="B88:D88"/>
    <mergeCell ref="B89:D89"/>
    <mergeCell ref="B90:D90"/>
    <mergeCell ref="B91:D91"/>
    <mergeCell ref="B95:D95"/>
    <mergeCell ref="B96:D96"/>
    <mergeCell ref="B100:D100"/>
    <mergeCell ref="B74:D74"/>
    <mergeCell ref="B42:D42"/>
    <mergeCell ref="B43:D43"/>
    <mergeCell ref="B47:D47"/>
    <mergeCell ref="B48:D48"/>
    <mergeCell ref="B52:D52"/>
    <mergeCell ref="B53:D53"/>
    <mergeCell ref="B57:D57"/>
    <mergeCell ref="B62:D62"/>
    <mergeCell ref="B67:D67"/>
    <mergeCell ref="B69:D69"/>
    <mergeCell ref="B70:D70"/>
    <mergeCell ref="B41:D41"/>
    <mergeCell ref="B11:D11"/>
    <mergeCell ref="B17:D17"/>
    <mergeCell ref="B18:D18"/>
    <mergeCell ref="B22:D22"/>
    <mergeCell ref="B26:D26"/>
    <mergeCell ref="B29:D29"/>
    <mergeCell ref="B30:D30"/>
    <mergeCell ref="B31:D31"/>
    <mergeCell ref="B32:D32"/>
    <mergeCell ref="B36:D36"/>
    <mergeCell ref="B40:D40"/>
  </mergeCells>
  <pageMargins left="0.74803149606299213" right="0.74803149606299213" top="0.98425196850393704" bottom="0.98425196850393704" header="0.51181102362204722" footer="0.51181102362204722"/>
  <pageSetup paperSize="9" scale="75" orientation="portrait" r:id="rId1"/>
  <headerFooter alignWithMargins="0"/>
  <rowBreaks count="3" manualBreakCount="3">
    <brk id="58" min="1" max="3" man="1"/>
    <brk id="84" min="1" max="3" man="1"/>
    <brk id="102" min="1" max="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43"/>
  <sheetViews>
    <sheetView showGridLines="0" view="pageBreakPreview" zoomScaleSheetLayoutView="100" zoomScalePageLayoutView="86" workbookViewId="0">
      <selection activeCell="E132" sqref="E132"/>
    </sheetView>
  </sheetViews>
  <sheetFormatPr defaultColWidth="9.140625" defaultRowHeight="15"/>
  <cols>
    <col min="1" max="1" width="8.5703125" style="204" customWidth="1"/>
    <col min="2" max="2" width="45.5703125" style="204" customWidth="1"/>
    <col min="3" max="4" width="15.5703125" style="201" customWidth="1"/>
    <col min="5" max="6" width="20.7109375" style="336" customWidth="1"/>
    <col min="7" max="7" width="9.140625" style="201"/>
    <col min="8" max="8" width="11.7109375" style="201" bestFit="1" customWidth="1"/>
    <col min="9" max="16384" width="9.140625" style="201"/>
  </cols>
  <sheetData>
    <row r="1" spans="1:6" s="315" customFormat="1" ht="15.75" customHeight="1">
      <c r="A1" s="417" t="s">
        <v>307</v>
      </c>
      <c r="B1" s="418"/>
      <c r="C1" s="418"/>
      <c r="D1" s="418"/>
      <c r="E1" s="418"/>
      <c r="F1" s="418"/>
    </row>
    <row r="2" spans="1:6" s="315" customFormat="1" ht="15" customHeight="1">
      <c r="A2" s="384" t="s">
        <v>308</v>
      </c>
      <c r="B2" s="438"/>
      <c r="C2" s="438"/>
      <c r="D2" s="438"/>
      <c r="E2" s="438"/>
      <c r="F2" s="438"/>
    </row>
    <row r="3" spans="1:6" s="315" customFormat="1">
      <c r="A3" s="345"/>
      <c r="B3" s="439"/>
      <c r="C3" s="439"/>
      <c r="D3" s="439"/>
      <c r="E3" s="440"/>
      <c r="F3" s="440"/>
    </row>
    <row r="4" spans="1:6" s="315" customFormat="1">
      <c r="A4" s="391" t="s">
        <v>731</v>
      </c>
      <c r="B4" s="262"/>
      <c r="C4" s="262"/>
      <c r="D4" s="262"/>
      <c r="E4" s="262"/>
      <c r="F4" s="262"/>
    </row>
    <row r="5" spans="1:6" s="315" customFormat="1">
      <c r="A5" s="392" t="s">
        <v>712</v>
      </c>
      <c r="B5" s="294"/>
      <c r="E5" s="397"/>
      <c r="F5" s="397"/>
    </row>
    <row r="6" spans="1:6" ht="15.75" thickBot="1">
      <c r="A6" s="203"/>
      <c r="D6" s="317"/>
      <c r="E6" s="317"/>
      <c r="F6" s="317"/>
    </row>
    <row r="7" spans="1:6" s="204" customFormat="1" ht="38.25" customHeight="1" thickBot="1">
      <c r="A7" s="318" t="s">
        <v>24</v>
      </c>
      <c r="B7" s="884" t="s">
        <v>0</v>
      </c>
      <c r="C7" s="885"/>
      <c r="D7" s="885"/>
      <c r="E7" s="319" t="s">
        <v>721</v>
      </c>
      <c r="F7" s="319" t="s">
        <v>722</v>
      </c>
    </row>
    <row r="8" spans="1:6">
      <c r="A8" s="320"/>
      <c r="B8" s="321"/>
      <c r="C8" s="322"/>
      <c r="D8" s="321"/>
      <c r="E8" s="460"/>
      <c r="F8" s="459"/>
    </row>
    <row r="9" spans="1:6">
      <c r="A9" s="323">
        <v>3</v>
      </c>
      <c r="B9" s="839" t="s">
        <v>30</v>
      </c>
      <c r="C9" s="839"/>
      <c r="D9" s="839"/>
      <c r="E9" s="341"/>
      <c r="F9" s="402"/>
    </row>
    <row r="10" spans="1:6">
      <c r="A10" s="211">
        <f>A9+0.1</f>
        <v>3.1</v>
      </c>
      <c r="B10" s="887" t="s">
        <v>85</v>
      </c>
      <c r="C10" s="887"/>
      <c r="D10" s="887"/>
      <c r="E10" s="461"/>
      <c r="F10" s="458"/>
    </row>
    <row r="11" spans="1:6">
      <c r="A11" s="213"/>
      <c r="B11" s="873" t="s">
        <v>723</v>
      </c>
      <c r="C11" s="873"/>
      <c r="D11" s="873"/>
      <c r="E11" s="455">
        <f>-SUMIF(Table2[FS Subgroup],"Share Capital",Table2[Adjusted balance as on 31-03-2026])</f>
        <v>100000</v>
      </c>
      <c r="F11" s="454">
        <f>E11</f>
        <v>100000</v>
      </c>
    </row>
    <row r="12" spans="1:6">
      <c r="A12" s="213"/>
      <c r="B12" s="294"/>
      <c r="C12" s="294"/>
      <c r="D12" s="294"/>
      <c r="E12" s="455"/>
      <c r="F12" s="454"/>
    </row>
    <row r="13" spans="1:6">
      <c r="A13" s="213">
        <f>A10+0.1</f>
        <v>3.2</v>
      </c>
      <c r="B13" s="887" t="s">
        <v>86</v>
      </c>
      <c r="C13" s="887"/>
      <c r="D13" s="887"/>
      <c r="E13" s="455"/>
      <c r="F13" s="454"/>
    </row>
    <row r="14" spans="1:6" ht="12.75" customHeight="1">
      <c r="A14" s="213"/>
      <c r="B14" s="873" t="s">
        <v>723</v>
      </c>
      <c r="C14" s="873"/>
      <c r="D14" s="873"/>
      <c r="E14" s="455">
        <f>E11</f>
        <v>100000</v>
      </c>
      <c r="F14" s="454">
        <f>E14</f>
        <v>100000</v>
      </c>
    </row>
    <row r="15" spans="1:6">
      <c r="A15" s="213"/>
      <c r="B15" s="294"/>
      <c r="C15" s="294"/>
      <c r="D15" s="294"/>
      <c r="E15" s="456">
        <f>SUM(E14)</f>
        <v>100000</v>
      </c>
      <c r="F15" s="457">
        <f>SUM(F14)</f>
        <v>100000</v>
      </c>
    </row>
    <row r="16" spans="1:6">
      <c r="A16" s="213"/>
      <c r="B16" s="294"/>
      <c r="C16" s="294"/>
      <c r="D16" s="294"/>
      <c r="E16" s="453"/>
      <c r="F16" s="452"/>
    </row>
    <row r="17" spans="1:6">
      <c r="A17" s="213">
        <f>A13+0.1</f>
        <v>3.3000000000000003</v>
      </c>
      <c r="B17" s="887" t="s">
        <v>16</v>
      </c>
      <c r="C17" s="887"/>
      <c r="D17" s="887"/>
      <c r="E17" s="455"/>
      <c r="F17" s="454"/>
    </row>
    <row r="18" spans="1:6">
      <c r="A18" s="213"/>
      <c r="B18" s="841" t="s">
        <v>171</v>
      </c>
      <c r="C18" s="850"/>
      <c r="D18" s="850"/>
      <c r="E18" s="455">
        <v>10000</v>
      </c>
      <c r="F18" s="454">
        <v>10000</v>
      </c>
    </row>
    <row r="19" spans="1:6">
      <c r="A19" s="213"/>
      <c r="B19" s="841" t="s">
        <v>724</v>
      </c>
      <c r="C19" s="850"/>
      <c r="D19" s="850"/>
      <c r="E19" s="455">
        <v>0</v>
      </c>
      <c r="F19" s="454">
        <v>0</v>
      </c>
    </row>
    <row r="20" spans="1:6">
      <c r="A20" s="213"/>
      <c r="B20" s="845" t="s">
        <v>172</v>
      </c>
      <c r="C20" s="859"/>
      <c r="D20" s="859"/>
      <c r="E20" s="456">
        <f>SUM(E18:E19)</f>
        <v>10000</v>
      </c>
      <c r="F20" s="457">
        <f>SUM(F18:F19)</f>
        <v>10000</v>
      </c>
    </row>
    <row r="21" spans="1:6">
      <c r="A21" s="213"/>
      <c r="B21" s="209"/>
    </row>
    <row r="22" spans="1:6" ht="15.75" customHeight="1">
      <c r="A22" s="213">
        <f>A17+0.1</f>
        <v>3.4000000000000004</v>
      </c>
      <c r="B22" s="891" t="s">
        <v>87</v>
      </c>
      <c r="C22" s="892"/>
      <c r="D22" s="892"/>
      <c r="E22" s="892"/>
      <c r="F22" s="892"/>
    </row>
    <row r="23" spans="1:6">
      <c r="A23" s="213"/>
      <c r="B23" s="882" t="s">
        <v>12</v>
      </c>
      <c r="C23" s="895" t="s">
        <v>88</v>
      </c>
      <c r="D23" s="895"/>
      <c r="E23" s="403" t="s">
        <v>89</v>
      </c>
      <c r="F23" s="403" t="s">
        <v>89</v>
      </c>
    </row>
    <row r="24" spans="1:6">
      <c r="A24" s="213"/>
      <c r="B24" s="882"/>
      <c r="C24" s="419">
        <v>46112</v>
      </c>
      <c r="D24" s="419">
        <v>45747</v>
      </c>
      <c r="E24" s="419">
        <v>46112</v>
      </c>
      <c r="F24" s="419">
        <v>45747</v>
      </c>
    </row>
    <row r="25" spans="1:6" ht="30">
      <c r="A25" s="213"/>
      <c r="B25" s="393" t="s">
        <v>471</v>
      </c>
      <c r="C25" s="325">
        <f>E25/E$18</f>
        <v>0.5</v>
      </c>
      <c r="D25" s="325">
        <f>F25/F$18</f>
        <v>0.5</v>
      </c>
      <c r="E25" s="404">
        <v>5000</v>
      </c>
      <c r="F25" s="404">
        <v>5000</v>
      </c>
    </row>
    <row r="26" spans="1:6" ht="30">
      <c r="A26" s="213"/>
      <c r="B26" s="393" t="s">
        <v>726</v>
      </c>
      <c r="C26" s="325">
        <f>E26/E$18</f>
        <v>0.5</v>
      </c>
      <c r="D26" s="325">
        <f>F26/F$18</f>
        <v>0.5</v>
      </c>
      <c r="E26" s="404">
        <v>5000</v>
      </c>
      <c r="F26" s="404">
        <v>5000</v>
      </c>
    </row>
    <row r="27" spans="1:6">
      <c r="A27" s="213"/>
      <c r="B27" s="326"/>
      <c r="C27" s="327"/>
      <c r="D27" s="327"/>
      <c r="E27" s="400"/>
      <c r="F27" s="400"/>
    </row>
    <row r="28" spans="1:6">
      <c r="A28" s="213">
        <f>A22+0.1</f>
        <v>3.5000000000000004</v>
      </c>
      <c r="B28" s="891" t="s">
        <v>204</v>
      </c>
      <c r="C28" s="892"/>
      <c r="D28" s="892"/>
      <c r="E28" s="892"/>
      <c r="F28" s="892"/>
    </row>
    <row r="29" spans="1:6">
      <c r="A29" s="213"/>
      <c r="B29" s="864" t="s">
        <v>203</v>
      </c>
      <c r="C29" s="864"/>
      <c r="D29" s="864"/>
      <c r="E29" s="881" t="s">
        <v>725</v>
      </c>
      <c r="F29" s="882"/>
    </row>
    <row r="30" spans="1:6">
      <c r="A30" s="213"/>
      <c r="B30" s="864"/>
      <c r="C30" s="864"/>
      <c r="D30" s="864"/>
      <c r="E30" s="420" t="s">
        <v>727</v>
      </c>
      <c r="F30" s="420" t="s">
        <v>728</v>
      </c>
    </row>
    <row r="31" spans="1:6" ht="15" customHeight="1">
      <c r="A31" s="213"/>
      <c r="B31" s="883" t="s">
        <v>726</v>
      </c>
      <c r="C31" s="883"/>
      <c r="D31" s="883"/>
      <c r="E31" s="328">
        <f>E25</f>
        <v>5000</v>
      </c>
      <c r="F31" s="405">
        <f>C26</f>
        <v>0.5</v>
      </c>
    </row>
    <row r="32" spans="1:6" ht="15" customHeight="1">
      <c r="A32" s="213"/>
      <c r="B32" s="883" t="s">
        <v>471</v>
      </c>
      <c r="C32" s="883"/>
      <c r="D32" s="883"/>
      <c r="E32" s="328">
        <f>E26</f>
        <v>5000</v>
      </c>
      <c r="F32" s="405">
        <v>0.5</v>
      </c>
    </row>
    <row r="33" spans="1:8">
      <c r="A33" s="213"/>
      <c r="B33" s="329"/>
      <c r="C33" s="221"/>
      <c r="D33" s="221"/>
      <c r="E33" s="442"/>
      <c r="F33" s="442"/>
    </row>
    <row r="34" spans="1:8">
      <c r="A34" s="213"/>
      <c r="B34" s="864" t="s">
        <v>203</v>
      </c>
      <c r="C34" s="864"/>
      <c r="D34" s="864"/>
      <c r="E34" s="881" t="s">
        <v>591</v>
      </c>
      <c r="F34" s="882"/>
    </row>
    <row r="35" spans="1:8">
      <c r="A35" s="213"/>
      <c r="B35" s="864"/>
      <c r="C35" s="864"/>
      <c r="D35" s="864"/>
      <c r="E35" s="420" t="s">
        <v>727</v>
      </c>
      <c r="F35" s="420" t="s">
        <v>728</v>
      </c>
    </row>
    <row r="36" spans="1:8" ht="15" customHeight="1">
      <c r="A36" s="213"/>
      <c r="B36" s="883" t="s">
        <v>726</v>
      </c>
      <c r="C36" s="883"/>
      <c r="D36" s="883"/>
      <c r="E36" s="328">
        <f>E31</f>
        <v>5000</v>
      </c>
      <c r="F36" s="405">
        <f>F31</f>
        <v>0.5</v>
      </c>
    </row>
    <row r="37" spans="1:8">
      <c r="A37" s="213"/>
      <c r="B37" s="883" t="s">
        <v>471</v>
      </c>
      <c r="C37" s="883"/>
      <c r="D37" s="883"/>
      <c r="E37" s="328">
        <f>E32</f>
        <v>5000</v>
      </c>
      <c r="F37" s="405">
        <f>F32</f>
        <v>0.5</v>
      </c>
    </row>
    <row r="38" spans="1:8">
      <c r="A38" s="213"/>
      <c r="B38" s="329"/>
      <c r="C38" s="221"/>
      <c r="D38" s="221"/>
      <c r="E38" s="442"/>
      <c r="F38" s="442"/>
    </row>
    <row r="39" spans="1:8" ht="15.75" customHeight="1">
      <c r="A39" s="213">
        <f>A28+0.1</f>
        <v>3.6000000000000005</v>
      </c>
      <c r="B39" s="891" t="s">
        <v>90</v>
      </c>
      <c r="C39" s="892"/>
      <c r="D39" s="892"/>
      <c r="E39" s="892"/>
      <c r="F39" s="892"/>
    </row>
    <row r="40" spans="1:8" ht="39.75" customHeight="1">
      <c r="A40" s="213"/>
      <c r="B40" s="898" t="s">
        <v>159</v>
      </c>
      <c r="C40" s="873"/>
      <c r="D40" s="873"/>
      <c r="E40" s="873"/>
      <c r="F40" s="873"/>
    </row>
    <row r="41" spans="1:8" ht="42" customHeight="1">
      <c r="A41" s="213"/>
      <c r="B41" s="898" t="s">
        <v>170</v>
      </c>
      <c r="C41" s="873"/>
      <c r="D41" s="873"/>
      <c r="E41" s="873"/>
      <c r="F41" s="873"/>
    </row>
    <row r="42" spans="1:8" ht="15.75" thickBot="1">
      <c r="A42" s="330"/>
      <c r="B42" s="331"/>
      <c r="C42" s="332"/>
      <c r="D42" s="332"/>
      <c r="E42" s="401"/>
      <c r="F42" s="401"/>
    </row>
    <row r="43" spans="1:8">
      <c r="A43" s="320"/>
      <c r="B43" s="333"/>
      <c r="C43" s="322"/>
      <c r="D43" s="322"/>
      <c r="E43" s="406"/>
      <c r="F43" s="406"/>
    </row>
    <row r="44" spans="1:8">
      <c r="A44" s="323">
        <f>A9+1</f>
        <v>4</v>
      </c>
      <c r="B44" s="880" t="s">
        <v>31</v>
      </c>
      <c r="C44" s="839"/>
      <c r="D44" s="839"/>
      <c r="E44" s="398"/>
      <c r="F44" s="398"/>
    </row>
    <row r="45" spans="1:8">
      <c r="A45" s="213"/>
      <c r="B45" s="887" t="s">
        <v>39</v>
      </c>
      <c r="C45" s="887"/>
      <c r="D45" s="887"/>
      <c r="E45" s="399"/>
      <c r="F45" s="399"/>
    </row>
    <row r="46" spans="1:8">
      <c r="A46" s="213"/>
      <c r="B46" s="850" t="s">
        <v>20</v>
      </c>
      <c r="C46" s="850"/>
      <c r="D46" s="850"/>
      <c r="E46" s="353">
        <f>-SUMIF(Table2[FS Subgroup],B46,Table2[Adjusted balance as on 31-03-2026])</f>
        <v>44411900.590000004</v>
      </c>
      <c r="F46" s="399">
        <v>21028880</v>
      </c>
      <c r="H46" s="216">
        <f>'Trial Balance'!C62+'3-15'!E46</f>
        <v>8820</v>
      </c>
    </row>
    <row r="47" spans="1:8" ht="15.75" customHeight="1">
      <c r="A47" s="213"/>
      <c r="B47" s="850" t="s">
        <v>91</v>
      </c>
      <c r="C47" s="850"/>
      <c r="D47" s="850"/>
      <c r="E47" s="399">
        <f>'Financial Statements'!E105</f>
        <v>11053786.770423066</v>
      </c>
      <c r="F47" s="399">
        <f>'Financial Statements'!F105</f>
        <v>23383020.788871493</v>
      </c>
    </row>
    <row r="48" spans="1:8" ht="15.75" customHeight="1">
      <c r="A48" s="213"/>
      <c r="B48" s="850" t="s">
        <v>92</v>
      </c>
      <c r="C48" s="850"/>
      <c r="D48" s="850"/>
      <c r="E48" s="399">
        <v>0</v>
      </c>
      <c r="F48" s="399">
        <v>0</v>
      </c>
    </row>
    <row r="49" spans="1:6" ht="15.75" customHeight="1">
      <c r="A49" s="213"/>
      <c r="B49" s="201"/>
      <c r="E49" s="399"/>
      <c r="F49" s="399"/>
    </row>
    <row r="50" spans="1:6" ht="15.75" customHeight="1" thickBot="1">
      <c r="A50" s="330"/>
      <c r="B50" s="886" t="s">
        <v>1</v>
      </c>
      <c r="C50" s="886"/>
      <c r="D50" s="886"/>
      <c r="E50" s="407">
        <f>E46+E47-E48</f>
        <v>55465687.360423073</v>
      </c>
      <c r="F50" s="407">
        <f>F46+F47-F48</f>
        <v>44411900.788871497</v>
      </c>
    </row>
    <row r="51" spans="1:6">
      <c r="A51" s="320"/>
      <c r="B51" s="896"/>
      <c r="C51" s="897"/>
      <c r="D51" s="897"/>
      <c r="E51" s="422"/>
      <c r="F51" s="421"/>
    </row>
    <row r="52" spans="1:6">
      <c r="A52" s="323">
        <f>A44+1</f>
        <v>5</v>
      </c>
      <c r="B52" s="839" t="s">
        <v>732</v>
      </c>
      <c r="C52" s="839"/>
      <c r="D52" s="839"/>
      <c r="E52" s="399"/>
      <c r="F52" s="399"/>
    </row>
    <row r="53" spans="1:6">
      <c r="A53" s="213">
        <f>A52+0.1</f>
        <v>5.0999999999999996</v>
      </c>
      <c r="B53" s="887" t="s">
        <v>733</v>
      </c>
      <c r="C53" s="887"/>
      <c r="D53" s="887"/>
      <c r="E53" s="399"/>
      <c r="F53" s="399"/>
    </row>
    <row r="54" spans="1:6">
      <c r="A54" s="213"/>
      <c r="B54" s="888" t="s">
        <v>734</v>
      </c>
      <c r="C54" s="889"/>
      <c r="D54" s="890"/>
      <c r="E54" s="353">
        <f>-SUMIF(Table2[FS Subgroup],B54,Table2[Adjusted balance as on 31-03-2026])</f>
        <v>19661.910000000003</v>
      </c>
      <c r="F54" s="399">
        <f>'Deferred Tax'!C9</f>
        <v>64525.590422936919</v>
      </c>
    </row>
    <row r="55" spans="1:6">
      <c r="A55" s="213"/>
      <c r="B55" s="443" t="s">
        <v>8</v>
      </c>
      <c r="C55" s="444"/>
      <c r="D55" s="444"/>
      <c r="E55" s="353">
        <f>-SUMIF(Table2[FS Subgroup],B55,Table2[Adjusted balance as on 31-03-2026])</f>
        <v>0</v>
      </c>
      <c r="F55" s="399">
        <v>0</v>
      </c>
    </row>
    <row r="56" spans="1:6">
      <c r="A56" s="213"/>
      <c r="B56" s="201" t="s">
        <v>735</v>
      </c>
      <c r="C56" s="441"/>
      <c r="D56" s="441"/>
      <c r="E56" s="437">
        <f>SUM(E54:E55)</f>
        <v>19661.910000000003</v>
      </c>
      <c r="F56" s="437">
        <f>SUM(F54:F55)</f>
        <v>64525.590422936919</v>
      </c>
    </row>
    <row r="57" spans="1:6" hidden="1">
      <c r="A57" s="213"/>
      <c r="B57" s="201"/>
      <c r="C57" s="441"/>
      <c r="D57" s="441"/>
      <c r="E57" s="399"/>
      <c r="F57" s="399"/>
    </row>
    <row r="58" spans="1:6" hidden="1">
      <c r="A58" s="213">
        <f>A53+0.1</f>
        <v>5.1999999999999993</v>
      </c>
      <c r="B58" s="887" t="s">
        <v>736</v>
      </c>
      <c r="C58" s="887"/>
      <c r="D58" s="887"/>
      <c r="E58" s="399"/>
      <c r="F58" s="399"/>
    </row>
    <row r="59" spans="1:6" ht="15.75" hidden="1" customHeight="1">
      <c r="A59" s="213"/>
      <c r="B59" s="850" t="s">
        <v>20</v>
      </c>
      <c r="C59" s="850"/>
      <c r="D59" s="850"/>
      <c r="E59" s="399" t="e">
        <f>#REF!</f>
        <v>#REF!</v>
      </c>
      <c r="F59" s="399" t="e">
        <f>#REF!</f>
        <v>#REF!</v>
      </c>
    </row>
    <row r="60" spans="1:6" hidden="1">
      <c r="A60" s="213"/>
      <c r="B60" s="850" t="s">
        <v>93</v>
      </c>
      <c r="C60" s="850"/>
      <c r="D60" s="850"/>
      <c r="E60" s="399">
        <v>0</v>
      </c>
      <c r="F60" s="399">
        <v>0</v>
      </c>
    </row>
    <row r="61" spans="1:6" hidden="1">
      <c r="A61" s="213"/>
      <c r="B61" s="888" t="s">
        <v>737</v>
      </c>
      <c r="C61" s="889"/>
      <c r="D61" s="890"/>
      <c r="E61" s="353">
        <f>-SUMIF(Table2[FS Subgroup],B61,Table2[Adjusted balance as on 31-03-2026])</f>
        <v>0</v>
      </c>
      <c r="F61" s="353">
        <f>-SUMIF(Table2[FS Subgroup],C61,Table2[Adjusted balance as on 31-03-2026])</f>
        <v>0</v>
      </c>
    </row>
    <row r="62" spans="1:6" hidden="1">
      <c r="A62" s="213"/>
      <c r="B62" s="443" t="s">
        <v>8</v>
      </c>
      <c r="C62" s="444"/>
      <c r="D62" s="444"/>
      <c r="E62" s="353">
        <f>-SUMIF(Table2[FS Subgroup],B62,Table2[Adjusted balance as on 31-03-2026])</f>
        <v>0</v>
      </c>
      <c r="F62" s="353">
        <f>-SUMIF(Table2[FS Subgroup],C62,Table2[Adjusted balance as on 31-03-2026])</f>
        <v>0</v>
      </c>
    </row>
    <row r="63" spans="1:6">
      <c r="A63" s="213">
        <v>5.2</v>
      </c>
      <c r="B63" s="201" t="s">
        <v>738</v>
      </c>
      <c r="C63" s="441"/>
      <c r="D63" s="441"/>
      <c r="E63" s="437">
        <f>SUM(E61:E62)</f>
        <v>0</v>
      </c>
      <c r="F63" s="437">
        <f>SUM(F61:F62)</f>
        <v>0</v>
      </c>
    </row>
    <row r="64" spans="1:6">
      <c r="A64" s="213"/>
      <c r="B64" s="201"/>
      <c r="C64" s="441"/>
      <c r="D64" s="441"/>
      <c r="E64" s="399"/>
      <c r="F64" s="399"/>
    </row>
    <row r="65" spans="1:6" ht="15.75" thickBot="1">
      <c r="A65" s="330"/>
      <c r="B65" s="886" t="s">
        <v>739</v>
      </c>
      <c r="C65" s="886"/>
      <c r="D65" s="886"/>
      <c r="E65" s="407">
        <f>E56-E63</f>
        <v>19661.910000000003</v>
      </c>
      <c r="F65" s="407">
        <f>F56-F63</f>
        <v>64525.590422936919</v>
      </c>
    </row>
    <row r="66" spans="1:6">
      <c r="A66" s="337"/>
      <c r="B66" s="445"/>
      <c r="C66" s="445"/>
      <c r="D66" s="445"/>
      <c r="E66" s="410"/>
      <c r="F66" s="410"/>
    </row>
    <row r="67" spans="1:6">
      <c r="A67" s="323">
        <f>A52+1</f>
        <v>6</v>
      </c>
      <c r="B67" s="839" t="s">
        <v>32</v>
      </c>
      <c r="C67" s="839"/>
      <c r="D67" s="839"/>
      <c r="E67" s="338"/>
      <c r="F67" s="338"/>
    </row>
    <row r="68" spans="1:6">
      <c r="A68" s="211">
        <f>A67+0.1</f>
        <v>6.1</v>
      </c>
      <c r="B68" s="294" t="s">
        <v>756</v>
      </c>
      <c r="C68" s="262"/>
      <c r="D68" s="262"/>
      <c r="E68" s="450"/>
      <c r="F68" s="338"/>
    </row>
    <row r="69" spans="1:6">
      <c r="A69" s="211"/>
      <c r="B69" s="479" t="s">
        <v>116</v>
      </c>
      <c r="C69" s="262"/>
      <c r="D69" s="262"/>
      <c r="E69" s="353">
        <f>-SUMIF(Table2[FS Subgroup],B69,Table2[Adjusted balance as on 31-03-2026])</f>
        <v>1469911</v>
      </c>
      <c r="F69" s="411">
        <v>0</v>
      </c>
    </row>
    <row r="70" spans="1:6">
      <c r="A70" s="211"/>
      <c r="B70" s="479" t="s">
        <v>757</v>
      </c>
      <c r="C70" s="262"/>
      <c r="D70" s="262"/>
      <c r="E70" s="353">
        <f>-SUMIF(Table2[FS Subgroup],B70,Table2[Adjusted balance as on 31-03-2026])</f>
        <v>3000095</v>
      </c>
      <c r="F70" s="412">
        <f>-'TB 2025'!E44</f>
        <v>79164</v>
      </c>
    </row>
    <row r="71" spans="1:6">
      <c r="A71" s="211"/>
      <c r="B71" s="446"/>
      <c r="C71" s="262"/>
      <c r="D71" s="262"/>
      <c r="E71" s="412"/>
      <c r="F71" s="412"/>
    </row>
    <row r="72" spans="1:6" ht="15.75" thickBot="1">
      <c r="A72" s="330"/>
      <c r="B72" s="886" t="s">
        <v>1</v>
      </c>
      <c r="C72" s="886"/>
      <c r="D72" s="886"/>
      <c r="E72" s="407">
        <f>SUM(E67:E70)</f>
        <v>4470006</v>
      </c>
      <c r="F72" s="407">
        <f>SUM(F67:F70)</f>
        <v>79164</v>
      </c>
    </row>
    <row r="73" spans="1:6">
      <c r="A73" s="213"/>
      <c r="B73" s="374"/>
      <c r="C73" s="374"/>
      <c r="D73" s="374"/>
      <c r="E73" s="414"/>
      <c r="F73" s="414"/>
    </row>
    <row r="74" spans="1:6">
      <c r="A74" s="323">
        <f>A67+1</f>
        <v>7</v>
      </c>
      <c r="B74" s="839" t="s">
        <v>13</v>
      </c>
      <c r="C74" s="839"/>
      <c r="D74" s="839"/>
      <c r="E74" s="338"/>
      <c r="F74" s="338"/>
    </row>
    <row r="75" spans="1:6">
      <c r="A75" s="211"/>
      <c r="B75" s="479" t="s">
        <v>177</v>
      </c>
      <c r="C75" s="262"/>
      <c r="D75" s="262"/>
      <c r="E75" s="353">
        <f>-SUMIF(Table2[FS Subgroup],B75,Table2[Adjusted balance as on 31-03-2026])</f>
        <v>0</v>
      </c>
      <c r="F75" s="411">
        <v>0</v>
      </c>
    </row>
    <row r="76" spans="1:6">
      <c r="A76" s="211"/>
      <c r="B76" s="479" t="s">
        <v>176</v>
      </c>
      <c r="C76" s="262"/>
      <c r="D76" s="262"/>
      <c r="E76" s="353">
        <f>-SUMIF(Table2[FS Subgroup],B76,Table2[Adjusted balance as on 31-03-2026])</f>
        <v>31351590.07</v>
      </c>
      <c r="F76" s="412">
        <f>'Ageing schedule'!J23</f>
        <v>32229651.57</v>
      </c>
    </row>
    <row r="77" spans="1:6">
      <c r="A77" s="211"/>
      <c r="B77" s="446"/>
      <c r="C77" s="262"/>
      <c r="D77" s="262"/>
      <c r="E77" s="412"/>
      <c r="F77" s="412"/>
    </row>
    <row r="78" spans="1:6" ht="15.75" thickBot="1">
      <c r="A78" s="330"/>
      <c r="B78" s="886" t="s">
        <v>1</v>
      </c>
      <c r="C78" s="886"/>
      <c r="D78" s="886"/>
      <c r="E78" s="407">
        <f>SUM(E74:E76)</f>
        <v>31351590.07</v>
      </c>
      <c r="F78" s="407">
        <f>SUM(F74:F76)</f>
        <v>32229651.57</v>
      </c>
    </row>
    <row r="79" spans="1:6">
      <c r="A79" s="213"/>
      <c r="C79" s="445"/>
      <c r="D79" s="445"/>
      <c r="E79" s="399"/>
      <c r="F79" s="409"/>
    </row>
    <row r="80" spans="1:6">
      <c r="A80" s="323">
        <f>A74+1</f>
        <v>8</v>
      </c>
      <c r="B80" s="839" t="s">
        <v>40</v>
      </c>
      <c r="C80" s="839"/>
      <c r="D80" s="839"/>
      <c r="E80" s="399"/>
      <c r="F80" s="399"/>
    </row>
    <row r="81" spans="1:6">
      <c r="A81" s="213">
        <f>A80+0.1</f>
        <v>8.1</v>
      </c>
      <c r="B81" s="898" t="s">
        <v>472</v>
      </c>
      <c r="C81" s="873"/>
      <c r="D81" s="873"/>
      <c r="E81" s="353">
        <f>-SUMIF(Table2[FS Subgroup],B81,Table2[Adjusted balance as on 31-03-2026])</f>
        <v>8203548.3399999999</v>
      </c>
      <c r="F81" s="399">
        <f>'Sub Schedule BS'!C17-F70</f>
        <v>4835549</v>
      </c>
    </row>
    <row r="82" spans="1:6">
      <c r="A82" s="213">
        <f>A81+0.1</f>
        <v>8.1999999999999993</v>
      </c>
      <c r="B82" s="898" t="s">
        <v>231</v>
      </c>
      <c r="C82" s="873"/>
      <c r="D82" s="873"/>
      <c r="E82" s="353"/>
      <c r="F82" s="399"/>
    </row>
    <row r="83" spans="1:6">
      <c r="A83" s="213"/>
      <c r="B83" s="443" t="s">
        <v>764</v>
      </c>
      <c r="C83" s="294"/>
      <c r="D83" s="294"/>
      <c r="E83" s="353">
        <f>-SUMIF(Table2[FS Subgroup],B83,Table2[Adjusted balance as on 31-03-2026])</f>
        <v>14385984</v>
      </c>
      <c r="F83" s="399">
        <f>-'TB 2025'!E62</f>
        <v>9089952</v>
      </c>
    </row>
    <row r="84" spans="1:6">
      <c r="A84" s="213"/>
      <c r="B84" s="443" t="s">
        <v>765</v>
      </c>
      <c r="C84" s="294"/>
      <c r="D84" s="294"/>
      <c r="E84" s="353">
        <f>-SUMIF(Table2[FS Subgroup],B84,Table2[Adjusted balance as on 31-03-2026])</f>
        <v>4967905</v>
      </c>
      <c r="F84" s="399">
        <v>0</v>
      </c>
    </row>
    <row r="85" spans="1:6">
      <c r="A85" s="213"/>
      <c r="B85" s="443" t="s">
        <v>766</v>
      </c>
      <c r="C85" s="294"/>
      <c r="D85" s="294"/>
      <c r="E85" s="353">
        <f>-SUMIF(Table2[FS Subgroup],B85,Table2[Adjusted balance as on 31-03-2026])</f>
        <v>1225034.23</v>
      </c>
      <c r="F85" s="399">
        <f>-'TB 2025'!E54-'TB 2025'!E61</f>
        <v>759807</v>
      </c>
    </row>
    <row r="86" spans="1:6">
      <c r="A86" s="213"/>
      <c r="B86" s="443" t="s">
        <v>767</v>
      </c>
      <c r="C86" s="294"/>
      <c r="D86" s="294"/>
      <c r="E86" s="353">
        <f>-SUMIF(Table2[FS Subgroup],B86,Table2[Adjusted balance as on 31-03-2026])</f>
        <v>688283.64</v>
      </c>
      <c r="F86" s="399">
        <f>-'TB 2025'!E57-'TB 2025'!E53</f>
        <v>8295215.8600000003</v>
      </c>
    </row>
    <row r="87" spans="1:6">
      <c r="A87" s="213"/>
      <c r="B87" s="294"/>
      <c r="C87" s="294"/>
      <c r="D87" s="294"/>
      <c r="E87" s="353"/>
      <c r="F87" s="399"/>
    </row>
    <row r="88" spans="1:6" ht="15.75" customHeight="1" thickBot="1">
      <c r="A88" s="330"/>
      <c r="B88" s="886" t="s">
        <v>1</v>
      </c>
      <c r="C88" s="886"/>
      <c r="D88" s="886"/>
      <c r="E88" s="407">
        <f>SUM(E81:E87)</f>
        <v>29470755.210000001</v>
      </c>
      <c r="F88" s="407">
        <f>SUM(F81:F87)</f>
        <v>22980523.859999999</v>
      </c>
    </row>
    <row r="89" spans="1:6">
      <c r="A89" s="337"/>
      <c r="B89" s="445"/>
      <c r="C89" s="445"/>
      <c r="D89" s="445"/>
      <c r="E89" s="423"/>
      <c r="F89" s="413"/>
    </row>
    <row r="90" spans="1:6">
      <c r="A90" s="323">
        <f>A80+1</f>
        <v>9</v>
      </c>
      <c r="B90" s="839" t="s">
        <v>41</v>
      </c>
      <c r="C90" s="839"/>
      <c r="D90" s="839"/>
      <c r="E90" s="399"/>
      <c r="F90" s="399"/>
    </row>
    <row r="91" spans="1:6" ht="15.75" customHeight="1">
      <c r="A91" s="213">
        <f>A90+0.1</f>
        <v>9.1</v>
      </c>
      <c r="B91" s="893" t="s">
        <v>489</v>
      </c>
      <c r="C91" s="894"/>
      <c r="D91" s="894"/>
      <c r="E91" s="353">
        <f>-SUMIF(Table2[FS Subgroup],B91,Table2[Adjusted balance as on 31-03-2026])</f>
        <v>5200000</v>
      </c>
      <c r="F91" s="399">
        <f>'Financial Statements'!F100</f>
        <v>8000000</v>
      </c>
    </row>
    <row r="92" spans="1:6" ht="15.75" customHeight="1">
      <c r="A92" s="213">
        <f t="shared" ref="A92:A93" si="0">A91+0.1</f>
        <v>9.1999999999999993</v>
      </c>
      <c r="B92" s="893" t="s">
        <v>763</v>
      </c>
      <c r="C92" s="894"/>
      <c r="D92" s="894"/>
      <c r="E92" s="353">
        <f>-SUMIF(Table2[FS Subgroup],B92,Table2[Adjusted balance as on 31-03-2026])</f>
        <v>450000</v>
      </c>
      <c r="F92" s="399">
        <f>-'TB 2025'!E56</f>
        <v>450000</v>
      </c>
    </row>
    <row r="93" spans="1:6" ht="15.75" customHeight="1">
      <c r="A93" s="213">
        <f t="shared" si="0"/>
        <v>9.2999999999999989</v>
      </c>
      <c r="B93" s="293" t="s">
        <v>940</v>
      </c>
      <c r="C93" s="801" t="s">
        <v>952</v>
      </c>
      <c r="D93" s="293"/>
      <c r="E93" s="353">
        <f>-SUMIF(Table2[FS Subgroup],B93,Table2[Adjusted balance as on 31-03-2026])</f>
        <v>50000000</v>
      </c>
      <c r="F93" s="399">
        <v>0</v>
      </c>
    </row>
    <row r="94" spans="1:6" ht="15.75" customHeight="1">
      <c r="A94" s="213"/>
      <c r="B94" s="293"/>
      <c r="C94" s="293"/>
      <c r="D94" s="293"/>
      <c r="E94" s="353"/>
      <c r="F94" s="399"/>
    </row>
    <row r="95" spans="1:6" ht="15.75" customHeight="1" thickBot="1">
      <c r="A95" s="330"/>
      <c r="B95" s="886" t="s">
        <v>1</v>
      </c>
      <c r="C95" s="886"/>
      <c r="D95" s="886"/>
      <c r="E95" s="407">
        <f>SUM(E91:E94)</f>
        <v>55650000</v>
      </c>
      <c r="F95" s="407">
        <f>SUM(F91:F94)</f>
        <v>8450000</v>
      </c>
    </row>
    <row r="96" spans="1:6" ht="15.75" customHeight="1">
      <c r="A96" s="320"/>
      <c r="B96" s="899"/>
      <c r="C96" s="899"/>
      <c r="D96" s="899"/>
      <c r="E96" s="408"/>
      <c r="F96" s="408"/>
    </row>
    <row r="97" spans="1:6">
      <c r="A97" s="323">
        <f>A90+1+1</f>
        <v>11</v>
      </c>
      <c r="B97" s="839" t="s">
        <v>94</v>
      </c>
      <c r="C97" s="839"/>
      <c r="D97" s="839"/>
      <c r="E97" s="399"/>
      <c r="F97" s="399"/>
    </row>
    <row r="98" spans="1:6" ht="15.75" customHeight="1">
      <c r="A98" s="213">
        <f>A97+0.1</f>
        <v>11.1</v>
      </c>
      <c r="B98" s="841" t="s">
        <v>210</v>
      </c>
      <c r="C98" s="850"/>
      <c r="D98" s="850"/>
      <c r="E98" s="353"/>
      <c r="F98" s="415"/>
    </row>
    <row r="99" spans="1:6" ht="15.75" customHeight="1">
      <c r="A99" s="213"/>
      <c r="B99" s="480" t="s">
        <v>214</v>
      </c>
      <c r="E99" s="353">
        <f>SUMIF(Table2[FS Subgroup],B99,Table2[Adjusted balance as on 31-03-2026])</f>
        <v>8738521</v>
      </c>
      <c r="F99" s="339">
        <f>'Sub Schedule BS'!C37</f>
        <v>6201321</v>
      </c>
    </row>
    <row r="100" spans="1:6" ht="12.75" customHeight="1">
      <c r="A100" s="213"/>
      <c r="B100" s="480" t="s">
        <v>768</v>
      </c>
      <c r="E100" s="353">
        <f>SUMIF(Table2[FS Subgroup],B100,Table2[Adjusted balance as on 31-03-2026])</f>
        <v>1970785</v>
      </c>
      <c r="F100" s="339">
        <f>'Sub Schedule BS'!C43</f>
        <v>207334</v>
      </c>
    </row>
    <row r="101" spans="1:6" ht="12.75" customHeight="1">
      <c r="A101" s="213"/>
      <c r="B101" s="480"/>
      <c r="E101" s="353"/>
      <c r="F101" s="451"/>
    </row>
    <row r="102" spans="1:6" ht="12.75" customHeight="1">
      <c r="A102" s="213"/>
      <c r="B102" s="480"/>
      <c r="E102" s="353"/>
      <c r="F102" s="451"/>
    </row>
    <row r="103" spans="1:6" ht="15.75" thickBot="1">
      <c r="A103" s="330"/>
      <c r="B103" s="886" t="s">
        <v>1</v>
      </c>
      <c r="C103" s="886"/>
      <c r="D103" s="886"/>
      <c r="E103" s="407">
        <f>SUM(E98:E102)</f>
        <v>10709306</v>
      </c>
      <c r="F103" s="407">
        <f>SUM(F98:F102)</f>
        <v>6408655</v>
      </c>
    </row>
    <row r="104" spans="1:6">
      <c r="A104" s="213"/>
      <c r="D104" s="447"/>
      <c r="E104" s="481"/>
      <c r="F104" s="214"/>
    </row>
    <row r="105" spans="1:6">
      <c r="A105" s="323">
        <f>A97+1</f>
        <v>12</v>
      </c>
      <c r="B105" s="839" t="s">
        <v>69</v>
      </c>
      <c r="C105" s="839"/>
      <c r="D105" s="839"/>
      <c r="E105" s="398"/>
      <c r="F105" s="343"/>
    </row>
    <row r="106" spans="1:6">
      <c r="A106" s="211">
        <f>A105+0.1</f>
        <v>12.1</v>
      </c>
      <c r="B106" s="344" t="s">
        <v>771</v>
      </c>
      <c r="C106" s="341"/>
      <c r="D106" s="341"/>
      <c r="E106" s="342"/>
      <c r="F106" s="342"/>
    </row>
    <row r="107" spans="1:6">
      <c r="A107" s="211"/>
      <c r="B107" s="482" t="s">
        <v>239</v>
      </c>
      <c r="C107" s="341"/>
      <c r="D107" s="341"/>
      <c r="E107" s="353">
        <v>0</v>
      </c>
      <c r="F107" s="483">
        <v>0</v>
      </c>
    </row>
    <row r="108" spans="1:6">
      <c r="A108" s="211"/>
      <c r="B108" s="482" t="s">
        <v>240</v>
      </c>
      <c r="C108" s="341"/>
      <c r="D108" s="341"/>
      <c r="E108" s="353">
        <f>SUMIF(Table2[FS Subgroup],B108,Table2[Adjusted balance as on 31-03-2026])</f>
        <v>4317419.2699999996</v>
      </c>
      <c r="F108" s="483">
        <v>1242797.43</v>
      </c>
    </row>
    <row r="109" spans="1:6">
      <c r="A109" s="211"/>
      <c r="B109" s="482"/>
      <c r="C109" s="341"/>
      <c r="D109" s="341"/>
      <c r="E109" s="353"/>
      <c r="F109" s="483"/>
    </row>
    <row r="110" spans="1:6" ht="15.75" thickBot="1">
      <c r="A110" s="330"/>
      <c r="B110" s="886" t="s">
        <v>1</v>
      </c>
      <c r="C110" s="886"/>
      <c r="D110" s="886"/>
      <c r="E110" s="407">
        <f>SUM(E106:E109)</f>
        <v>4317419.2699999996</v>
      </c>
      <c r="F110" s="407">
        <f>SUM(F106:F109)</f>
        <v>1242797.43</v>
      </c>
    </row>
    <row r="111" spans="1:6" ht="15.75" customHeight="1">
      <c r="A111" s="213"/>
      <c r="B111" s="221"/>
      <c r="C111" s="221"/>
      <c r="D111" s="221"/>
      <c r="E111" s="416"/>
      <c r="F111" s="416"/>
    </row>
    <row r="112" spans="1:6">
      <c r="A112" s="323">
        <f>A105+1</f>
        <v>13</v>
      </c>
      <c r="B112" s="839" t="s">
        <v>211</v>
      </c>
      <c r="C112" s="839"/>
      <c r="D112" s="839"/>
      <c r="E112" s="343"/>
      <c r="F112" s="343"/>
    </row>
    <row r="113" spans="1:6">
      <c r="A113" s="211">
        <f>A112+0.1</f>
        <v>13.1</v>
      </c>
      <c r="B113" s="894" t="s">
        <v>212</v>
      </c>
      <c r="C113" s="894"/>
      <c r="D113" s="894"/>
      <c r="E113" s="353"/>
      <c r="F113" s="399"/>
    </row>
    <row r="114" spans="1:6">
      <c r="A114" s="211"/>
      <c r="B114" s="394" t="s">
        <v>242</v>
      </c>
      <c r="C114" s="293"/>
      <c r="D114" s="293"/>
      <c r="E114" s="353">
        <f>SUMIF(Table2[FS Subgroup],B114,Table2[Adjusted balance as on 31-03-2026])</f>
        <v>26073630.100000001</v>
      </c>
      <c r="F114" s="399">
        <f>+'Sub Schedule BS'!C46</f>
        <v>39235461.229999997</v>
      </c>
    </row>
    <row r="115" spans="1:6">
      <c r="A115" s="211">
        <f>A113+0.1</f>
        <v>13.2</v>
      </c>
      <c r="B115" s="344" t="s">
        <v>213</v>
      </c>
      <c r="C115" s="262"/>
      <c r="D115" s="262"/>
      <c r="E115" s="399">
        <v>0</v>
      </c>
      <c r="F115" s="399">
        <v>0</v>
      </c>
    </row>
    <row r="116" spans="1:6" ht="15.75" customHeight="1">
      <c r="A116" s="211">
        <f>A115+0.1</f>
        <v>13.299999999999999</v>
      </c>
      <c r="B116" s="850" t="s">
        <v>96</v>
      </c>
      <c r="C116" s="850"/>
      <c r="D116" s="850"/>
      <c r="E116" s="353">
        <f>SUMIF(Table2[FS Subgroup],B116,Table2[Adjusted balance as on 31-03-2026])</f>
        <v>162254</v>
      </c>
      <c r="F116" s="339">
        <v>130808</v>
      </c>
    </row>
    <row r="117" spans="1:6" ht="15.75" customHeight="1">
      <c r="A117" s="211">
        <f>A116+0.1</f>
        <v>13.399999999999999</v>
      </c>
      <c r="B117" s="873" t="s">
        <v>497</v>
      </c>
      <c r="C117" s="873"/>
      <c r="D117" s="873"/>
      <c r="E117" s="959">
        <f>SUMIF(Table2[FS Subgroup],B117,Table2[Adjusted balance as on 31-03-2026])-E132</f>
        <v>40374203</v>
      </c>
      <c r="F117" s="399">
        <f>+'Sub Schedule BS'!C47-F131</f>
        <v>42420521</v>
      </c>
    </row>
    <row r="118" spans="1:6" ht="15.75" customHeight="1">
      <c r="A118" s="213"/>
      <c r="B118" s="898"/>
      <c r="C118" s="873"/>
      <c r="D118" s="873"/>
      <c r="E118" s="399"/>
      <c r="F118" s="399"/>
    </row>
    <row r="119" spans="1:6" ht="15.75" customHeight="1" thickBot="1">
      <c r="A119" s="330"/>
      <c r="B119" s="886" t="s">
        <v>1</v>
      </c>
      <c r="C119" s="886"/>
      <c r="D119" s="886"/>
      <c r="E119" s="407">
        <f>SUM(E113:E118)</f>
        <v>66610087.100000001</v>
      </c>
      <c r="F119" s="407">
        <f>SUM(F113:F118)</f>
        <v>81786790.229999989</v>
      </c>
    </row>
    <row r="120" spans="1:6">
      <c r="A120" s="213"/>
      <c r="B120" s="221"/>
      <c r="C120" s="221"/>
      <c r="D120" s="221"/>
      <c r="E120" s="399"/>
      <c r="F120" s="399"/>
    </row>
    <row r="121" spans="1:6" ht="15.75" customHeight="1">
      <c r="A121" s="323">
        <f>A112+1</f>
        <v>14</v>
      </c>
      <c r="B121" s="839" t="s">
        <v>97</v>
      </c>
      <c r="C121" s="839"/>
      <c r="D121" s="839"/>
      <c r="E121" s="399"/>
      <c r="F121" s="399"/>
    </row>
    <row r="122" spans="1:6">
      <c r="A122" s="213">
        <f>A121+0.1</f>
        <v>14.1</v>
      </c>
      <c r="B122" s="893" t="s">
        <v>770</v>
      </c>
      <c r="C122" s="894"/>
      <c r="D122" s="894"/>
      <c r="E122" s="399"/>
      <c r="F122" s="399"/>
    </row>
    <row r="123" spans="1:6">
      <c r="A123" s="213"/>
      <c r="B123" s="482" t="s">
        <v>474</v>
      </c>
      <c r="C123" s="443"/>
      <c r="D123" s="443"/>
      <c r="E123" s="353">
        <f>SUMIF(Table2[FS Subgroup],B123,Table2[Adjusted balance as on 31-03-2026])</f>
        <v>80942.100000000006</v>
      </c>
      <c r="F123" s="399">
        <f>+'Sub Schedule BS'!C58</f>
        <v>174506.18</v>
      </c>
    </row>
    <row r="124" spans="1:6">
      <c r="A124" s="213"/>
      <c r="B124" s="443"/>
      <c r="C124" s="443"/>
      <c r="D124" s="443"/>
      <c r="E124" s="353"/>
      <c r="F124" s="339"/>
    </row>
    <row r="125" spans="1:6" ht="15.75" thickBot="1">
      <c r="A125" s="330"/>
      <c r="B125" s="886" t="s">
        <v>1</v>
      </c>
      <c r="C125" s="886"/>
      <c r="D125" s="886"/>
      <c r="E125" s="407">
        <f>SUM(E122:E124)</f>
        <v>80942.100000000006</v>
      </c>
      <c r="F125" s="407">
        <f>SUM(F122:F124)</f>
        <v>174506.18</v>
      </c>
    </row>
    <row r="126" spans="1:6">
      <c r="A126" s="213"/>
      <c r="B126" s="221"/>
      <c r="C126" s="221"/>
      <c r="D126" s="221"/>
      <c r="E126" s="414"/>
      <c r="F126" s="414"/>
    </row>
    <row r="127" spans="1:6">
      <c r="A127" s="323">
        <f>A121+1</f>
        <v>15</v>
      </c>
      <c r="B127" s="839" t="s">
        <v>26</v>
      </c>
      <c r="C127" s="839"/>
      <c r="D127" s="839"/>
      <c r="E127" s="399"/>
      <c r="F127" s="399"/>
    </row>
    <row r="128" spans="1:6">
      <c r="A128" s="213">
        <f>A127+0.1</f>
        <v>15.1</v>
      </c>
      <c r="B128" s="894" t="s">
        <v>473</v>
      </c>
      <c r="C128" s="839"/>
      <c r="D128" s="839"/>
      <c r="E128" s="353">
        <f>SUMIF(Table2[FS Subgroup],B128,Table2[Adjusted balance as on 31-03-2026])</f>
        <v>12300177.890000001</v>
      </c>
      <c r="F128" s="399">
        <f>+'Sub Schedule BS'!C69</f>
        <v>8656496.9100000001</v>
      </c>
    </row>
    <row r="129" spans="1:6">
      <c r="A129" s="213">
        <f>A128+0.1</f>
        <v>15.2</v>
      </c>
      <c r="B129" s="873" t="s">
        <v>21</v>
      </c>
      <c r="C129" s="873"/>
      <c r="D129" s="873"/>
      <c r="E129" s="353">
        <f>SUMIF(Table2[FS Subgroup],B129,Table2[Adjusted balance as on 31-03-2026])</f>
        <v>0</v>
      </c>
      <c r="F129" s="339">
        <f>24422.41+372301.37</f>
        <v>396723.77999999997</v>
      </c>
    </row>
    <row r="130" spans="1:6" ht="15.75" customHeight="1">
      <c r="A130" s="213">
        <f>A129+0.1</f>
        <v>15.299999999999999</v>
      </c>
      <c r="B130" s="894" t="s">
        <v>602</v>
      </c>
      <c r="C130" s="839"/>
      <c r="D130" s="839"/>
      <c r="E130" s="353">
        <f>SUMIF(Table2[FS Subgroup],B130,Table2[Adjusted balance as on 31-03-2026])</f>
        <v>26920883</v>
      </c>
      <c r="F130" s="399">
        <v>5000000</v>
      </c>
    </row>
    <row r="131" spans="1:6" ht="15.75" customHeight="1">
      <c r="A131" s="213">
        <f>A130+0.1</f>
        <v>15.399999999999999</v>
      </c>
      <c r="B131" s="293" t="s">
        <v>923</v>
      </c>
      <c r="C131" s="262"/>
      <c r="D131" s="262"/>
      <c r="E131" s="353">
        <f>SUMIF(Table2[FS Subgroup],B131,Table2[Adjusted balance as on 31-03-2026])</f>
        <v>149543.82999999999</v>
      </c>
      <c r="F131" s="399">
        <f>'TB 2025'!E163</f>
        <v>171762.5</v>
      </c>
    </row>
    <row r="132" spans="1:6" ht="15.75" customHeight="1">
      <c r="A132" s="213">
        <f>A131+0.1</f>
        <v>15.499999999999998</v>
      </c>
      <c r="B132" s="801" t="s">
        <v>975</v>
      </c>
      <c r="C132" s="262"/>
      <c r="D132" s="262"/>
      <c r="E132" s="959">
        <f>50000000</f>
        <v>50000000</v>
      </c>
      <c r="F132" s="399">
        <v>0</v>
      </c>
    </row>
    <row r="133" spans="1:6" ht="15.75" customHeight="1">
      <c r="A133" s="211"/>
      <c r="B133" s="484"/>
      <c r="C133" s="485"/>
      <c r="D133" s="485"/>
      <c r="E133" s="353"/>
      <c r="F133" s="399"/>
    </row>
    <row r="134" spans="1:6" ht="15.75" customHeight="1" thickBot="1">
      <c r="A134" s="330"/>
      <c r="B134" s="886" t="s">
        <v>1</v>
      </c>
      <c r="C134" s="886"/>
      <c r="D134" s="886"/>
      <c r="E134" s="407">
        <f>SUM(E128:E133)</f>
        <v>89370604.719999999</v>
      </c>
      <c r="F134" s="407">
        <f>SUM(F128:F133)</f>
        <v>14224983.189999999</v>
      </c>
    </row>
    <row r="243" spans="1:6" s="315" customFormat="1">
      <c r="A243" s="316"/>
      <c r="B243" s="316"/>
      <c r="E243" s="397"/>
      <c r="F243" s="397"/>
    </row>
  </sheetData>
  <mergeCells count="72">
    <mergeCell ref="B67:D67"/>
    <mergeCell ref="B72:D72"/>
    <mergeCell ref="B119:D119"/>
    <mergeCell ref="B113:D113"/>
    <mergeCell ref="B117:D117"/>
    <mergeCell ref="B91:D91"/>
    <mergeCell ref="B81:D81"/>
    <mergeCell ref="B74:D74"/>
    <mergeCell ref="B78:D78"/>
    <mergeCell ref="B96:D96"/>
    <mergeCell ref="B121:D121"/>
    <mergeCell ref="B53:D53"/>
    <mergeCell ref="B98:D98"/>
    <mergeCell ref="B97:D97"/>
    <mergeCell ref="B103:D103"/>
    <mergeCell ref="B112:D112"/>
    <mergeCell ref="B116:D116"/>
    <mergeCell ref="B118:D118"/>
    <mergeCell ref="B105:D105"/>
    <mergeCell ref="B110:D110"/>
    <mergeCell ref="B95:D95"/>
    <mergeCell ref="B92:D92"/>
    <mergeCell ref="B90:D90"/>
    <mergeCell ref="B82:D82"/>
    <mergeCell ref="B88:D88"/>
    <mergeCell ref="B80:D80"/>
    <mergeCell ref="B134:D134"/>
    <mergeCell ref="B125:D125"/>
    <mergeCell ref="B128:D128"/>
    <mergeCell ref="B129:D129"/>
    <mergeCell ref="B130:D130"/>
    <mergeCell ref="B127:D127"/>
    <mergeCell ref="B122:D122"/>
    <mergeCell ref="C23:D23"/>
    <mergeCell ref="B28:F28"/>
    <mergeCell ref="B45:D45"/>
    <mergeCell ref="B46:D46"/>
    <mergeCell ref="B54:D54"/>
    <mergeCell ref="B59:D59"/>
    <mergeCell ref="B60:D60"/>
    <mergeCell ref="B52:D52"/>
    <mergeCell ref="B50:D50"/>
    <mergeCell ref="B51:D51"/>
    <mergeCell ref="B47:D47"/>
    <mergeCell ref="B23:B24"/>
    <mergeCell ref="B39:F39"/>
    <mergeCell ref="B40:F40"/>
    <mergeCell ref="B41:F41"/>
    <mergeCell ref="B7:D7"/>
    <mergeCell ref="B9:D9"/>
    <mergeCell ref="B65:D65"/>
    <mergeCell ref="B10:D10"/>
    <mergeCell ref="B13:D13"/>
    <mergeCell ref="B17:D17"/>
    <mergeCell ref="B11:D11"/>
    <mergeCell ref="B14:D14"/>
    <mergeCell ref="B18:D18"/>
    <mergeCell ref="B19:D19"/>
    <mergeCell ref="B20:D20"/>
    <mergeCell ref="B48:D48"/>
    <mergeCell ref="B58:D58"/>
    <mergeCell ref="B61:D61"/>
    <mergeCell ref="B37:D37"/>
    <mergeCell ref="B22:F22"/>
    <mergeCell ref="B44:D44"/>
    <mergeCell ref="E29:F29"/>
    <mergeCell ref="B31:D31"/>
    <mergeCell ref="B32:D32"/>
    <mergeCell ref="B29:D30"/>
    <mergeCell ref="B34:D35"/>
    <mergeCell ref="E34:F34"/>
    <mergeCell ref="B36:D36"/>
  </mergeCells>
  <phoneticPr fontId="0" type="noConversion"/>
  <pageMargins left="0.70866141732283472" right="0.70866141732283472" top="0.74803149606299213" bottom="0.74803149606299213" header="0.31496062992125984" footer="0.31496062992125984"/>
  <pageSetup paperSize="9" scale="61" firstPageNumber="0" fitToHeight="5" orientation="portrait" r:id="rId1"/>
  <rowBreaks count="1" manualBreakCount="1">
    <brk id="72"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G70"/>
  <sheetViews>
    <sheetView topLeftCell="A11" workbookViewId="0">
      <selection activeCell="C44" sqref="C44"/>
    </sheetView>
  </sheetViews>
  <sheetFormatPr defaultColWidth="8.85546875" defaultRowHeight="15"/>
  <cols>
    <col min="1" max="1" width="8.85546875" style="3"/>
    <col min="2" max="2" width="57.5703125" style="3" bestFit="1" customWidth="1"/>
    <col min="3" max="3" width="27.5703125" style="3" customWidth="1"/>
    <col min="4" max="4" width="26.140625" style="4" customWidth="1"/>
    <col min="5" max="5" width="22.28515625" style="3" hidden="1" customWidth="1"/>
    <col min="6" max="6" width="10.5703125" style="3" bestFit="1" customWidth="1"/>
    <col min="7" max="7" width="9.5703125" style="3" bestFit="1" customWidth="1"/>
    <col min="8" max="16384" width="8.85546875" style="3"/>
  </cols>
  <sheetData>
    <row r="2" spans="2:7">
      <c r="B2" s="900" t="s">
        <v>307</v>
      </c>
      <c r="C2" s="901"/>
      <c r="D2" s="902"/>
      <c r="E2" s="903"/>
    </row>
    <row r="3" spans="2:7" ht="15.75" thickBot="1">
      <c r="B3" s="904" t="s">
        <v>598</v>
      </c>
      <c r="C3" s="905"/>
      <c r="D3" s="905"/>
      <c r="E3" s="906"/>
    </row>
    <row r="4" spans="2:7" ht="25.5">
      <c r="B4" s="96"/>
      <c r="C4" s="6" t="s">
        <v>590</v>
      </c>
      <c r="D4" s="6" t="s">
        <v>573</v>
      </c>
      <c r="E4" s="91" t="s">
        <v>572</v>
      </c>
    </row>
    <row r="5" spans="2:7">
      <c r="B5" s="96"/>
      <c r="C5" s="96"/>
      <c r="D5" s="7"/>
      <c r="E5" s="95"/>
    </row>
    <row r="6" spans="2:7">
      <c r="B6" s="97" t="s">
        <v>309</v>
      </c>
      <c r="C6" s="97"/>
      <c r="D6" s="10"/>
      <c r="E6" s="98"/>
    </row>
    <row r="7" spans="2:7">
      <c r="B7" s="80" t="s">
        <v>13</v>
      </c>
      <c r="C7" s="12">
        <f>'Ageing schedule'!J12</f>
        <v>31351590.07</v>
      </c>
      <c r="D7" s="12">
        <f>'Ageing schedule'!J23</f>
        <v>32229651.57</v>
      </c>
      <c r="E7" s="12">
        <f>'Ageing schedule'!J20</f>
        <v>32229651.57</v>
      </c>
      <c r="F7" s="14"/>
      <c r="G7" s="15"/>
    </row>
    <row r="8" spans="2:7">
      <c r="B8" s="80"/>
      <c r="C8" s="16">
        <f>+SUM(C7)</f>
        <v>31351590.07</v>
      </c>
      <c r="D8" s="16">
        <f>+SUM(D7)</f>
        <v>32229651.57</v>
      </c>
      <c r="E8" s="100">
        <f>+SUM(E7)</f>
        <v>32229651.57</v>
      </c>
    </row>
    <row r="9" spans="2:7">
      <c r="B9" s="80"/>
      <c r="C9" s="17"/>
      <c r="D9" s="17"/>
      <c r="E9" s="101"/>
    </row>
    <row r="10" spans="2:7" ht="25.5">
      <c r="B10" s="102" t="s">
        <v>310</v>
      </c>
      <c r="C10" s="17"/>
      <c r="D10" s="17"/>
      <c r="E10" s="101"/>
    </row>
    <row r="11" spans="2:7">
      <c r="B11" s="90" t="s">
        <v>311</v>
      </c>
      <c r="C11" s="194">
        <v>3111621</v>
      </c>
      <c r="D11" s="12" t="e">
        <f>#REF!</f>
        <v>#REF!</v>
      </c>
      <c r="E11" s="12">
        <v>1367262</v>
      </c>
    </row>
    <row r="12" spans="2:7">
      <c r="B12" s="90" t="s">
        <v>312</v>
      </c>
      <c r="C12" s="194">
        <v>107180</v>
      </c>
      <c r="D12" s="12" t="e">
        <f>#REF!</f>
        <v>#REF!</v>
      </c>
      <c r="E12" s="12">
        <v>69427</v>
      </c>
    </row>
    <row r="13" spans="2:7">
      <c r="B13" s="90" t="s">
        <v>313</v>
      </c>
      <c r="C13" s="194">
        <v>220927</v>
      </c>
      <c r="D13" s="12" t="e">
        <f>#REF!</f>
        <v>#REF!</v>
      </c>
      <c r="E13" s="12">
        <v>164547</v>
      </c>
    </row>
    <row r="14" spans="2:7">
      <c r="B14" s="90" t="s">
        <v>314</v>
      </c>
      <c r="C14" s="194">
        <v>-132905</v>
      </c>
      <c r="D14" s="12" t="e">
        <f>#REF!</f>
        <v>#REF!</v>
      </c>
      <c r="E14" s="12">
        <v>997540</v>
      </c>
    </row>
    <row r="15" spans="2:7">
      <c r="B15" s="90" t="s">
        <v>315</v>
      </c>
      <c r="C15" s="194">
        <v>1528726</v>
      </c>
      <c r="D15" s="12" t="e">
        <f>#REF!</f>
        <v>#REF!</v>
      </c>
      <c r="E15" s="12">
        <v>868018</v>
      </c>
    </row>
    <row r="16" spans="2:7">
      <c r="B16" s="90" t="s">
        <v>579</v>
      </c>
      <c r="C16" s="194">
        <v>79164</v>
      </c>
      <c r="D16" s="12" t="e">
        <f>#REF!</f>
        <v>#REF!</v>
      </c>
      <c r="E16" s="137"/>
    </row>
    <row r="17" spans="2:6">
      <c r="B17" s="90"/>
      <c r="C17" s="16">
        <f>SUM(C11:C16)</f>
        <v>4914713</v>
      </c>
      <c r="D17" s="16" t="e">
        <f>SUM(D11:D16)</f>
        <v>#REF!</v>
      </c>
      <c r="E17" s="100">
        <f>SUM(E11:E15)</f>
        <v>3466794</v>
      </c>
    </row>
    <row r="18" spans="2:6">
      <c r="B18" s="90"/>
      <c r="C18" s="17"/>
      <c r="D18" s="17"/>
      <c r="E18" s="101"/>
    </row>
    <row r="19" spans="2:6">
      <c r="B19" s="103" t="s">
        <v>316</v>
      </c>
      <c r="C19" s="17"/>
      <c r="D19" s="17"/>
      <c r="E19" s="101"/>
    </row>
    <row r="20" spans="2:6">
      <c r="B20" s="90" t="s">
        <v>317</v>
      </c>
      <c r="C20" s="12">
        <f>+'Groupings BS'!C10</f>
        <v>759807</v>
      </c>
      <c r="D20" s="12" t="e">
        <f>+'Groupings BS'!D10</f>
        <v>#REF!</v>
      </c>
      <c r="E20" s="99">
        <v>322821</v>
      </c>
    </row>
    <row r="21" spans="2:6">
      <c r="B21" s="90" t="s">
        <v>318</v>
      </c>
      <c r="C21" s="12">
        <v>0</v>
      </c>
      <c r="D21" s="12">
        <v>0</v>
      </c>
      <c r="E21" s="12">
        <v>0</v>
      </c>
    </row>
    <row r="22" spans="2:6">
      <c r="B22" s="90" t="s">
        <v>319</v>
      </c>
      <c r="C22" s="12">
        <v>9089952</v>
      </c>
      <c r="D22" s="12" t="e">
        <f>#REF!</f>
        <v>#REF!</v>
      </c>
      <c r="E22" s="12">
        <v>4798580</v>
      </c>
    </row>
    <row r="23" spans="2:6">
      <c r="B23" s="90" t="s">
        <v>320</v>
      </c>
      <c r="C23" s="17">
        <v>450000</v>
      </c>
      <c r="D23" s="17"/>
      <c r="E23" s="17">
        <v>100000</v>
      </c>
    </row>
    <row r="24" spans="2:6">
      <c r="B24" s="90" t="s">
        <v>490</v>
      </c>
      <c r="C24" s="196">
        <v>295215.86</v>
      </c>
      <c r="D24" s="17" t="e">
        <f>#REF!</f>
        <v>#REF!</v>
      </c>
      <c r="E24" s="17">
        <v>70760.7</v>
      </c>
    </row>
    <row r="25" spans="2:6">
      <c r="B25" s="90" t="s">
        <v>321</v>
      </c>
      <c r="C25" s="17"/>
      <c r="D25" s="17"/>
      <c r="E25" s="17"/>
    </row>
    <row r="26" spans="2:6">
      <c r="B26" s="104" t="s">
        <v>491</v>
      </c>
      <c r="C26" s="21"/>
      <c r="D26" s="21"/>
      <c r="E26" s="21"/>
    </row>
    <row r="27" spans="2:6">
      <c r="B27" s="104" t="s">
        <v>601</v>
      </c>
      <c r="C27" s="197">
        <v>8000000</v>
      </c>
      <c r="D27" s="21" t="e">
        <f>#REF!</f>
        <v>#REF!</v>
      </c>
      <c r="E27" s="21">
        <v>103840</v>
      </c>
      <c r="F27" s="22"/>
    </row>
    <row r="28" spans="2:6">
      <c r="B28" s="104"/>
      <c r="C28" s="17"/>
      <c r="D28" s="17"/>
      <c r="E28" s="17"/>
    </row>
    <row r="29" spans="2:6">
      <c r="B29" s="97"/>
      <c r="C29" s="20">
        <f>SUM(C20:C28)</f>
        <v>18594974.859999999</v>
      </c>
      <c r="D29" s="20" t="e">
        <f>SUM(D20:D28)</f>
        <v>#REF!</v>
      </c>
      <c r="E29" s="20">
        <f>SUM(E20:E28)</f>
        <v>5396001.7000000002</v>
      </c>
    </row>
    <row r="30" spans="2:6">
      <c r="B30" s="97"/>
      <c r="C30" s="20"/>
      <c r="D30" s="20"/>
      <c r="E30" s="106"/>
    </row>
    <row r="31" spans="2:6">
      <c r="B31" s="97"/>
      <c r="C31" s="20"/>
      <c r="D31" s="20"/>
      <c r="E31" s="106"/>
    </row>
    <row r="32" spans="2:6">
      <c r="B32" s="107" t="s">
        <v>323</v>
      </c>
      <c r="C32" s="23"/>
      <c r="D32" s="23"/>
      <c r="E32" s="54"/>
    </row>
    <row r="33" spans="2:5">
      <c r="B33" s="108" t="s">
        <v>569</v>
      </c>
      <c r="C33" s="194">
        <v>1000000</v>
      </c>
      <c r="D33" s="12" t="e">
        <f>#REF!</f>
        <v>#REF!</v>
      </c>
      <c r="E33" s="12">
        <v>1000000</v>
      </c>
    </row>
    <row r="34" spans="2:5">
      <c r="B34" s="108" t="s">
        <v>324</v>
      </c>
      <c r="C34" s="194">
        <v>1102520</v>
      </c>
      <c r="D34" s="12" t="e">
        <f>#REF!</f>
        <v>#REF!</v>
      </c>
      <c r="E34" s="12">
        <v>1102520</v>
      </c>
    </row>
    <row r="35" spans="2:5">
      <c r="B35" s="108" t="s">
        <v>578</v>
      </c>
      <c r="C35" s="194">
        <v>1680000</v>
      </c>
      <c r="D35" s="12" t="e">
        <f>#REF!</f>
        <v>#REF!</v>
      </c>
      <c r="E35" s="137"/>
    </row>
    <row r="36" spans="2:5">
      <c r="B36" s="108" t="s">
        <v>592</v>
      </c>
      <c r="C36" s="194">
        <v>2354801</v>
      </c>
      <c r="D36" s="12"/>
      <c r="E36" s="137"/>
    </row>
    <row r="37" spans="2:5">
      <c r="B37" s="108"/>
      <c r="C37" s="26">
        <f>SUM(C33:C36)+C40+C41</f>
        <v>6201321</v>
      </c>
      <c r="D37" s="26" t="e">
        <f>SUM(D33:D36)</f>
        <v>#REF!</v>
      </c>
      <c r="E37" s="109">
        <f>SUM(E33:E34)</f>
        <v>2102520</v>
      </c>
    </row>
    <row r="38" spans="2:5">
      <c r="B38" s="108"/>
      <c r="C38" s="26"/>
      <c r="D38" s="26"/>
      <c r="E38" s="109"/>
    </row>
    <row r="39" spans="2:5">
      <c r="B39" s="107" t="s">
        <v>325</v>
      </c>
      <c r="C39" s="27"/>
      <c r="D39" s="27"/>
      <c r="E39" s="110"/>
    </row>
    <row r="40" spans="2:5">
      <c r="B40" s="108" t="s">
        <v>326</v>
      </c>
      <c r="C40" s="194">
        <v>24000</v>
      </c>
      <c r="D40" s="12" t="e">
        <f>#REF!</f>
        <v>#REF!</v>
      </c>
      <c r="E40" s="12">
        <v>24000</v>
      </c>
    </row>
    <row r="41" spans="2:5">
      <c r="B41" s="108" t="s">
        <v>327</v>
      </c>
      <c r="C41" s="194">
        <v>40000</v>
      </c>
      <c r="D41" s="12" t="e">
        <f>#REF!</f>
        <v>#REF!</v>
      </c>
      <c r="E41" s="12">
        <v>40000</v>
      </c>
    </row>
    <row r="42" spans="2:5">
      <c r="B42" s="108" t="s">
        <v>328</v>
      </c>
      <c r="C42" s="194">
        <v>207334</v>
      </c>
      <c r="D42" s="12" t="e">
        <f>#REF!</f>
        <v>#REF!</v>
      </c>
      <c r="E42" s="12">
        <v>188250</v>
      </c>
    </row>
    <row r="43" spans="2:5">
      <c r="B43" s="108"/>
      <c r="C43" s="26">
        <f>C42</f>
        <v>207334</v>
      </c>
      <c r="D43" s="26" t="e">
        <f>SUM(D40:D42)</f>
        <v>#REF!</v>
      </c>
      <c r="E43" s="109">
        <f>SUM(E40:E42)</f>
        <v>252250</v>
      </c>
    </row>
    <row r="44" spans="2:5">
      <c r="B44" s="108"/>
      <c r="C44" s="108"/>
      <c r="D44" s="26"/>
      <c r="E44" s="109"/>
    </row>
    <row r="45" spans="2:5">
      <c r="B45" s="103" t="s">
        <v>329</v>
      </c>
      <c r="C45" s="103"/>
      <c r="D45" s="20"/>
      <c r="E45" s="106"/>
    </row>
    <row r="46" spans="2:5">
      <c r="B46" s="90" t="s">
        <v>330</v>
      </c>
      <c r="C46" s="198">
        <f>1588011.23+37647450</f>
        <v>39235461.229999997</v>
      </c>
      <c r="D46" s="21" t="e">
        <f>#REF!+#REF!</f>
        <v>#REF!</v>
      </c>
      <c r="E46" s="21">
        <v>3210639.64</v>
      </c>
    </row>
    <row r="47" spans="2:5">
      <c r="B47" s="92" t="s">
        <v>331</v>
      </c>
      <c r="C47" s="197">
        <f>42420521+171762.5</f>
        <v>42592283.5</v>
      </c>
      <c r="D47" s="21" t="e">
        <f>#REF!+#REF!</f>
        <v>#REF!</v>
      </c>
      <c r="E47" s="105">
        <v>27974875.190000001</v>
      </c>
    </row>
    <row r="48" spans="2:5">
      <c r="B48" s="90"/>
      <c r="C48" s="90"/>
      <c r="D48" s="21"/>
      <c r="E48" s="105"/>
    </row>
    <row r="49" spans="2:5">
      <c r="B49" s="108"/>
      <c r="C49" s="28">
        <f>SUM(C46:C48)</f>
        <v>81827744.729999989</v>
      </c>
      <c r="D49" s="28" t="e">
        <f>SUM(D46:D48)</f>
        <v>#REF!</v>
      </c>
      <c r="E49" s="111">
        <f>SUM(E46:E48)</f>
        <v>31185514.830000002</v>
      </c>
    </row>
    <row r="50" spans="2:5">
      <c r="B50" s="108"/>
      <c r="C50" s="108"/>
      <c r="D50" s="28"/>
      <c r="E50" s="112"/>
    </row>
    <row r="51" spans="2:5">
      <c r="B51" s="113" t="s">
        <v>332</v>
      </c>
      <c r="C51" s="113"/>
      <c r="D51" s="28"/>
      <c r="E51" s="112"/>
    </row>
    <row r="52" spans="2:5">
      <c r="B52" s="108" t="s">
        <v>333</v>
      </c>
      <c r="C52" s="108">
        <v>0</v>
      </c>
      <c r="D52" s="29">
        <v>0</v>
      </c>
      <c r="E52" s="114">
        <v>0</v>
      </c>
    </row>
    <row r="53" spans="2:5">
      <c r="B53" s="108"/>
      <c r="C53" s="108">
        <f>SUM(C52)</f>
        <v>0</v>
      </c>
      <c r="D53" s="28">
        <f>SUM(D52)</f>
        <v>0</v>
      </c>
      <c r="E53" s="112">
        <f>SUM(E52)</f>
        <v>0</v>
      </c>
    </row>
    <row r="54" spans="2:5">
      <c r="B54" s="108"/>
      <c r="C54" s="108"/>
      <c r="D54" s="28"/>
      <c r="E54" s="112"/>
    </row>
    <row r="55" spans="2:5">
      <c r="B55" s="103" t="s">
        <v>334</v>
      </c>
      <c r="C55" s="103"/>
      <c r="D55" s="26"/>
      <c r="E55" s="109"/>
    </row>
    <row r="56" spans="2:5">
      <c r="B56" s="108" t="s">
        <v>335</v>
      </c>
      <c r="C56" s="108">
        <v>0</v>
      </c>
      <c r="D56" s="27">
        <v>0</v>
      </c>
      <c r="E56" s="27">
        <v>0</v>
      </c>
    </row>
    <row r="57" spans="2:5">
      <c r="B57" s="108" t="s">
        <v>336</v>
      </c>
      <c r="C57" s="197">
        <v>174506.18</v>
      </c>
      <c r="D57" s="27" t="e">
        <f>#REF!</f>
        <v>#REF!</v>
      </c>
      <c r="E57" s="27">
        <v>103840</v>
      </c>
    </row>
    <row r="58" spans="2:5">
      <c r="B58" s="108"/>
      <c r="C58" s="26">
        <v>174506.18</v>
      </c>
      <c r="D58" s="26" t="e">
        <f>SUM(D56:D57)</f>
        <v>#REF!</v>
      </c>
      <c r="E58" s="109">
        <f>SUM(E56:E57)</f>
        <v>103840</v>
      </c>
    </row>
    <row r="59" spans="2:5">
      <c r="B59" s="108"/>
      <c r="C59" s="108"/>
      <c r="D59" s="26"/>
      <c r="E59" s="109"/>
    </row>
    <row r="60" spans="2:5">
      <c r="B60" s="103" t="s">
        <v>337</v>
      </c>
      <c r="C60" s="103"/>
      <c r="D60" s="26"/>
      <c r="E60" s="109"/>
    </row>
    <row r="61" spans="2:5">
      <c r="B61" s="108" t="s">
        <v>338</v>
      </c>
      <c r="C61" s="108">
        <v>0</v>
      </c>
      <c r="D61" s="94">
        <v>0</v>
      </c>
      <c r="E61" s="94">
        <v>0</v>
      </c>
    </row>
    <row r="62" spans="2:5">
      <c r="B62" s="108" t="s">
        <v>339</v>
      </c>
      <c r="C62" s="108"/>
      <c r="D62" s="94"/>
      <c r="E62" s="94"/>
    </row>
    <row r="63" spans="2:5">
      <c r="B63" s="108" t="s">
        <v>340</v>
      </c>
      <c r="C63" s="183">
        <f>+'Groupings BS'!C16</f>
        <v>101951.91</v>
      </c>
      <c r="D63" s="94" t="e">
        <f>+'Groupings BS'!D16</f>
        <v>#REF!</v>
      </c>
      <c r="E63" s="115">
        <v>91588.51999999999</v>
      </c>
    </row>
    <row r="64" spans="2:5">
      <c r="B64" s="93" t="s">
        <v>492</v>
      </c>
      <c r="C64" s="93">
        <v>0</v>
      </c>
      <c r="D64" s="116">
        <v>0</v>
      </c>
      <c r="E64" s="116">
        <v>0</v>
      </c>
    </row>
    <row r="65" spans="2:5">
      <c r="B65" s="108" t="s">
        <v>341</v>
      </c>
      <c r="C65" s="108"/>
      <c r="D65" s="94" t="e">
        <f>#REF!</f>
        <v>#REF!</v>
      </c>
      <c r="E65" s="94">
        <v>5496530</v>
      </c>
    </row>
    <row r="66" spans="2:5">
      <c r="B66" s="108" t="s">
        <v>342</v>
      </c>
      <c r="C66" s="108"/>
      <c r="D66" s="94"/>
      <c r="E66" s="94"/>
    </row>
    <row r="67" spans="2:5">
      <c r="B67" s="108" t="s">
        <v>570</v>
      </c>
      <c r="C67" s="108"/>
      <c r="D67" s="27" t="e">
        <f>#REF!</f>
        <v>#REF!</v>
      </c>
      <c r="E67" s="110">
        <v>5811066.2000000002</v>
      </c>
    </row>
    <row r="68" spans="2:5">
      <c r="B68" s="108" t="s">
        <v>593</v>
      </c>
      <c r="C68" s="183">
        <v>8554545</v>
      </c>
      <c r="D68" s="27"/>
      <c r="E68" s="110"/>
    </row>
    <row r="69" spans="2:5">
      <c r="B69" s="108"/>
      <c r="C69" s="199">
        <f>SUM(C61:C68)</f>
        <v>8656496.9100000001</v>
      </c>
      <c r="D69" s="26" t="e">
        <f>SUM(D61:D67)</f>
        <v>#REF!</v>
      </c>
      <c r="E69" s="26">
        <f>SUM(E61:E67)</f>
        <v>11399184.719999999</v>
      </c>
    </row>
    <row r="70" spans="2:5">
      <c r="B70" s="117"/>
      <c r="C70" s="117"/>
      <c r="D70" s="118"/>
      <c r="E70" s="119"/>
    </row>
  </sheetData>
  <mergeCells count="2">
    <mergeCell ref="B2:E2"/>
    <mergeCell ref="B3:E3"/>
  </mergeCells>
  <phoneticPr fontId="55" type="noConversion"/>
  <pageMargins left="0.70866141732283472" right="0.70866141732283472" top="0.74803149606299213" bottom="0.74803149606299213" header="0.31496062992125984" footer="0.31496062992125984"/>
  <pageSetup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44"/>
  <sheetViews>
    <sheetView showGridLines="0" view="pageBreakPreview" topLeftCell="A9" zoomScale="98" zoomScaleSheetLayoutView="100" workbookViewId="0">
      <selection activeCell="F24" sqref="F24"/>
    </sheetView>
  </sheetViews>
  <sheetFormatPr defaultColWidth="11.5703125" defaultRowHeight="15"/>
  <cols>
    <col min="1" max="1" width="5.5703125" style="201" customWidth="1"/>
    <col min="2" max="2" width="37.5703125" style="201" customWidth="1"/>
    <col min="3" max="12" width="15.5703125" style="201" customWidth="1"/>
    <col min="13" max="13" width="16" style="201" customWidth="1"/>
    <col min="14" max="14" width="10.140625" style="201" customWidth="1"/>
    <col min="15" max="16" width="1" style="201" customWidth="1"/>
    <col min="17" max="17" width="13.7109375" style="201" bestFit="1" customWidth="1"/>
    <col min="18" max="18" width="17" style="201" customWidth="1"/>
    <col min="19" max="19" width="11.5703125" style="201"/>
    <col min="20" max="20" width="13.140625" style="201" customWidth="1"/>
    <col min="21" max="16384" width="11.5703125" style="201"/>
  </cols>
  <sheetData>
    <row r="1" spans="1:17" s="699" customFormat="1" ht="14.45" customHeight="1">
      <c r="A1" s="417" t="s">
        <v>307</v>
      </c>
      <c r="B1" s="742"/>
      <c r="C1" s="742"/>
      <c r="D1" s="742"/>
      <c r="E1" s="742"/>
      <c r="F1" s="742"/>
      <c r="G1" s="742"/>
      <c r="H1" s="742"/>
      <c r="I1" s="742"/>
      <c r="J1" s="742"/>
      <c r="K1" s="742"/>
      <c r="L1" s="742"/>
    </row>
    <row r="2" spans="1:17" s="699" customFormat="1" ht="14.45" customHeight="1">
      <c r="A2" s="384" t="s">
        <v>308</v>
      </c>
      <c r="B2" s="742"/>
      <c r="C2" s="742"/>
      <c r="D2" s="742"/>
      <c r="E2" s="742"/>
      <c r="F2" s="742"/>
      <c r="G2" s="742"/>
      <c r="H2" s="742"/>
      <c r="I2" s="742"/>
      <c r="J2" s="742"/>
      <c r="K2" s="742"/>
      <c r="L2" s="742"/>
    </row>
    <row r="3" spans="1:17" s="699" customFormat="1" ht="10.15" customHeight="1">
      <c r="A3" s="345"/>
      <c r="B3" s="743"/>
      <c r="C3" s="743"/>
      <c r="D3" s="743"/>
      <c r="E3" s="743"/>
      <c r="F3" s="743"/>
      <c r="G3" s="743"/>
      <c r="H3" s="743"/>
      <c r="I3" s="743"/>
      <c r="J3" s="743"/>
      <c r="K3" s="743"/>
      <c r="L3" s="743"/>
    </row>
    <row r="4" spans="1:17" s="699" customFormat="1" ht="14.45" customHeight="1">
      <c r="A4" s="391" t="s">
        <v>731</v>
      </c>
      <c r="B4" s="744"/>
      <c r="C4" s="744"/>
      <c r="D4" s="744"/>
      <c r="E4" s="744"/>
      <c r="F4" s="744"/>
      <c r="G4" s="744"/>
      <c r="H4" s="744"/>
      <c r="I4" s="744"/>
      <c r="J4" s="744"/>
      <c r="K4" s="744"/>
      <c r="L4" s="744"/>
    </row>
    <row r="5" spans="1:17">
      <c r="A5" s="392" t="s">
        <v>712</v>
      </c>
      <c r="B5" s="336"/>
      <c r="C5" s="336"/>
      <c r="D5" s="336"/>
      <c r="E5" s="336"/>
      <c r="F5" s="336"/>
      <c r="G5" s="336"/>
      <c r="H5" s="336"/>
      <c r="I5" s="336"/>
      <c r="J5" s="336"/>
      <c r="K5" s="336"/>
      <c r="L5" s="336"/>
    </row>
    <row r="6" spans="1:17">
      <c r="A6" s="449"/>
      <c r="B6" s="336"/>
      <c r="C6" s="336"/>
      <c r="D6" s="336"/>
      <c r="E6" s="336"/>
      <c r="F6" s="336"/>
      <c r="G6" s="336"/>
      <c r="H6" s="336"/>
      <c r="I6" s="336"/>
      <c r="J6" s="336"/>
      <c r="K6" s="336"/>
      <c r="L6" s="336"/>
    </row>
    <row r="7" spans="1:17" ht="15.75" customHeight="1">
      <c r="A7" s="496" t="s">
        <v>914</v>
      </c>
      <c r="B7" s="745"/>
      <c r="C7" s="745"/>
      <c r="D7" s="745"/>
      <c r="E7" s="745"/>
      <c r="F7" s="745"/>
      <c r="G7" s="745"/>
      <c r="H7" s="745"/>
      <c r="I7" s="745"/>
      <c r="J7" s="745"/>
      <c r="K7" s="745"/>
      <c r="L7" s="745"/>
      <c r="M7" s="700"/>
    </row>
    <row r="8" spans="1:17" ht="15.75" customHeight="1" thickBot="1">
      <c r="A8" s="700"/>
      <c r="B8" s="700"/>
      <c r="C8" s="700"/>
      <c r="D8" s="700"/>
      <c r="E8" s="700"/>
      <c r="F8" s="700"/>
      <c r="G8" s="700"/>
      <c r="H8" s="700"/>
      <c r="I8" s="700"/>
      <c r="J8" s="700"/>
      <c r="K8" s="700"/>
      <c r="L8" s="701"/>
      <c r="M8" s="700"/>
    </row>
    <row r="9" spans="1:17" ht="14.45" customHeight="1">
      <c r="A9" s="907" t="s">
        <v>0</v>
      </c>
      <c r="B9" s="908"/>
      <c r="C9" s="911" t="s">
        <v>4</v>
      </c>
      <c r="D9" s="912"/>
      <c r="E9" s="912"/>
      <c r="F9" s="913"/>
      <c r="G9" s="911" t="s">
        <v>157</v>
      </c>
      <c r="H9" s="912"/>
      <c r="I9" s="912"/>
      <c r="J9" s="913"/>
      <c r="K9" s="911" t="s">
        <v>5</v>
      </c>
      <c r="L9" s="914"/>
    </row>
    <row r="10" spans="1:17" ht="45.75" thickBot="1">
      <c r="A10" s="909"/>
      <c r="B10" s="910"/>
      <c r="C10" s="702" t="s">
        <v>916</v>
      </c>
      <c r="D10" s="703" t="s">
        <v>2</v>
      </c>
      <c r="E10" s="703" t="s">
        <v>3</v>
      </c>
      <c r="F10" s="703" t="s">
        <v>917</v>
      </c>
      <c r="G10" s="702" t="s">
        <v>916</v>
      </c>
      <c r="H10" s="703" t="s">
        <v>2</v>
      </c>
      <c r="I10" s="703" t="s">
        <v>3</v>
      </c>
      <c r="J10" s="703" t="s">
        <v>917</v>
      </c>
      <c r="K10" s="703" t="s">
        <v>917</v>
      </c>
      <c r="L10" s="703" t="s">
        <v>918</v>
      </c>
      <c r="M10" s="374"/>
    </row>
    <row r="11" spans="1:17" ht="15.75" customHeight="1">
      <c r="A11" s="704">
        <v>10.1</v>
      </c>
      <c r="B11" s="426" t="s">
        <v>6</v>
      </c>
      <c r="C11" s="218"/>
      <c r="D11" s="257"/>
      <c r="E11" s="257"/>
      <c r="F11" s="257"/>
      <c r="G11" s="257"/>
      <c r="H11" s="257"/>
      <c r="I11" s="257"/>
      <c r="J11" s="257"/>
      <c r="K11" s="257"/>
      <c r="L11" s="219"/>
      <c r="M11" s="700"/>
    </row>
    <row r="12" spans="1:17" ht="15.75" customHeight="1">
      <c r="A12" s="213" t="s">
        <v>46</v>
      </c>
      <c r="B12" s="257" t="s">
        <v>227</v>
      </c>
      <c r="C12" s="278">
        <v>0</v>
      </c>
      <c r="D12" s="705">
        <f>SUMIF(Table2[FS Subgroup],'10'!B12,Table2[Adjusted balance as on 31-03-2026])-'10'!C12</f>
        <v>0</v>
      </c>
      <c r="E12" s="705">
        <v>0</v>
      </c>
      <c r="F12" s="753">
        <f t="shared" ref="F12:F22" si="0">+C12+D12-E12</f>
        <v>0</v>
      </c>
      <c r="G12" s="705">
        <v>0</v>
      </c>
      <c r="H12" s="705">
        <v>0</v>
      </c>
      <c r="I12" s="705">
        <v>0</v>
      </c>
      <c r="J12" s="705">
        <f t="shared" ref="J12:J22" si="1">+G12+H12-I12</f>
        <v>0</v>
      </c>
      <c r="K12" s="705">
        <f t="shared" ref="K12:K22" si="2">+F12-J12</f>
        <v>0</v>
      </c>
      <c r="L12" s="706">
        <f t="shared" ref="L12:L22" si="3">+C12-G12</f>
        <v>0</v>
      </c>
      <c r="M12" s="707"/>
      <c r="Q12" s="216"/>
    </row>
    <row r="13" spans="1:17" ht="15.75" customHeight="1">
      <c r="A13" s="213" t="s">
        <v>47</v>
      </c>
      <c r="B13" s="257" t="s">
        <v>228</v>
      </c>
      <c r="C13" s="278">
        <v>0</v>
      </c>
      <c r="D13" s="705">
        <f>SUMIF(Table2[FS Subgroup],'10'!B13,Table2[Adjusted balance as on 31-03-2026])-'10'!C13</f>
        <v>0</v>
      </c>
      <c r="E13" s="705">
        <v>0</v>
      </c>
      <c r="F13" s="753">
        <f t="shared" si="0"/>
        <v>0</v>
      </c>
      <c r="G13" s="705">
        <v>0</v>
      </c>
      <c r="H13" s="705">
        <v>0</v>
      </c>
      <c r="I13" s="705">
        <v>0</v>
      </c>
      <c r="J13" s="705">
        <f t="shared" si="1"/>
        <v>0</v>
      </c>
      <c r="K13" s="705">
        <f t="shared" si="2"/>
        <v>0</v>
      </c>
      <c r="L13" s="706">
        <f t="shared" si="3"/>
        <v>0</v>
      </c>
      <c r="M13" s="707"/>
      <c r="Q13" s="216"/>
    </row>
    <row r="14" spans="1:17" ht="15.75" customHeight="1">
      <c r="A14" s="213" t="s">
        <v>48</v>
      </c>
      <c r="B14" s="257" t="s">
        <v>476</v>
      </c>
      <c r="C14" s="705">
        <v>50000</v>
      </c>
      <c r="D14" s="705">
        <f>SUMIF(Table2[FS Subgroup],'10'!B14,Table2[Adjusted balance as on 31-03-2026])-'10'!C14</f>
        <v>0</v>
      </c>
      <c r="E14" s="705">
        <v>0</v>
      </c>
      <c r="F14" s="753">
        <f>+C14+D14-E14</f>
        <v>50000</v>
      </c>
      <c r="G14" s="705">
        <v>39713.448087431694</v>
      </c>
      <c r="H14" s="705">
        <v>7916.67</v>
      </c>
      <c r="I14" s="705">
        <v>0</v>
      </c>
      <c r="J14" s="705">
        <f>+G14+H14-I14</f>
        <v>47630.118087431692</v>
      </c>
      <c r="K14" s="705">
        <f t="shared" si="2"/>
        <v>2369.8819125683076</v>
      </c>
      <c r="L14" s="706">
        <f t="shared" si="3"/>
        <v>10286.551912568306</v>
      </c>
      <c r="M14" s="708"/>
      <c r="Q14" s="216"/>
    </row>
    <row r="15" spans="1:17" ht="15.75" customHeight="1">
      <c r="A15" s="213" t="s">
        <v>49</v>
      </c>
      <c r="B15" s="499" t="s">
        <v>162</v>
      </c>
      <c r="C15" s="705">
        <v>2635970.39</v>
      </c>
      <c r="D15" s="705">
        <f>SUMIF(Table2[FS Subgroup],'10'!B15,Table2[Adjusted balance as on 31-03-2026])-'10'!C15</f>
        <v>558379.00999999978</v>
      </c>
      <c r="E15" s="705">
        <v>0</v>
      </c>
      <c r="F15" s="753">
        <f>+C15+D15-E15</f>
        <v>3194349.4</v>
      </c>
      <c r="G15" s="705">
        <v>609890.06558827846</v>
      </c>
      <c r="H15" s="705">
        <v>281256.84999999998</v>
      </c>
      <c r="I15" s="705">
        <v>0</v>
      </c>
      <c r="J15" s="705">
        <f t="shared" si="1"/>
        <v>891146.91558827844</v>
      </c>
      <c r="K15" s="705">
        <f t="shared" si="2"/>
        <v>2303202.4844117216</v>
      </c>
      <c r="L15" s="706">
        <f t="shared" si="3"/>
        <v>2026080.3244117217</v>
      </c>
      <c r="M15" s="708"/>
      <c r="N15" s="201">
        <v>2635971</v>
      </c>
    </row>
    <row r="16" spans="1:17" ht="15.75" customHeight="1">
      <c r="A16" s="213" t="s">
        <v>50</v>
      </c>
      <c r="B16" s="499" t="s">
        <v>225</v>
      </c>
      <c r="C16" s="705">
        <v>0</v>
      </c>
      <c r="D16" s="705">
        <f>SUMIF(Table2[FS Subgroup],'10'!B16,Table2[Adjusted balance as on 31-03-2026])-'10'!C16</f>
        <v>0</v>
      </c>
      <c r="E16" s="705">
        <v>0</v>
      </c>
      <c r="F16" s="753">
        <f t="shared" si="0"/>
        <v>0</v>
      </c>
      <c r="G16" s="705">
        <v>0</v>
      </c>
      <c r="H16" s="705">
        <v>0</v>
      </c>
      <c r="I16" s="705">
        <v>0</v>
      </c>
      <c r="J16" s="705">
        <f t="shared" si="1"/>
        <v>0</v>
      </c>
      <c r="K16" s="705">
        <f t="shared" si="2"/>
        <v>0</v>
      </c>
      <c r="L16" s="706">
        <f t="shared" si="3"/>
        <v>0</v>
      </c>
      <c r="M16" s="708"/>
    </row>
    <row r="17" spans="1:18" ht="15.75" customHeight="1">
      <c r="A17" s="213" t="s">
        <v>51</v>
      </c>
      <c r="B17" s="499" t="s">
        <v>226</v>
      </c>
      <c r="C17" s="705">
        <v>0</v>
      </c>
      <c r="D17" s="705">
        <f>SUMIF(Table2[FS Subgroup],'10'!B17,Table2[Adjusted balance as on 31-03-2026])-'10'!C17</f>
        <v>0</v>
      </c>
      <c r="E17" s="705">
        <v>0</v>
      </c>
      <c r="F17" s="753">
        <f t="shared" si="0"/>
        <v>0</v>
      </c>
      <c r="G17" s="705">
        <v>0</v>
      </c>
      <c r="H17" s="705">
        <v>0</v>
      </c>
      <c r="I17" s="705">
        <v>0</v>
      </c>
      <c r="J17" s="705">
        <f t="shared" si="1"/>
        <v>0</v>
      </c>
      <c r="K17" s="705">
        <f t="shared" si="2"/>
        <v>0</v>
      </c>
      <c r="L17" s="706">
        <f t="shared" si="3"/>
        <v>0</v>
      </c>
      <c r="M17" s="708"/>
    </row>
    <row r="18" spans="1:18" ht="15.75" customHeight="1">
      <c r="A18" s="213" t="s">
        <v>52</v>
      </c>
      <c r="B18" s="499" t="s">
        <v>163</v>
      </c>
      <c r="C18" s="705">
        <v>0</v>
      </c>
      <c r="D18" s="705">
        <f>SUMIF(Table2[FS Subgroup],'10'!B18,Table2[Adjusted balance as on 31-03-2026])-'10'!C18</f>
        <v>0</v>
      </c>
      <c r="E18" s="705">
        <v>0</v>
      </c>
      <c r="F18" s="753">
        <f t="shared" si="0"/>
        <v>0</v>
      </c>
      <c r="G18" s="705">
        <v>0</v>
      </c>
      <c r="H18" s="705">
        <v>0</v>
      </c>
      <c r="I18" s="705">
        <v>0</v>
      </c>
      <c r="J18" s="705">
        <f t="shared" si="1"/>
        <v>0</v>
      </c>
      <c r="K18" s="705">
        <f t="shared" si="2"/>
        <v>0</v>
      </c>
      <c r="L18" s="706">
        <f t="shared" si="3"/>
        <v>0</v>
      </c>
      <c r="M18" s="708"/>
    </row>
    <row r="19" spans="1:18" ht="15.75" customHeight="1">
      <c r="A19" s="213" t="s">
        <v>53</v>
      </c>
      <c r="B19" s="499" t="s">
        <v>120</v>
      </c>
      <c r="C19" s="705">
        <v>3110.16</v>
      </c>
      <c r="D19" s="705">
        <f>SUMIF(Table2[FS Subgroup],'10'!B19,Table2[Adjusted balance as on 31-03-2026])-'10'!C19</f>
        <v>0</v>
      </c>
      <c r="E19" s="705">
        <v>0</v>
      </c>
      <c r="F19" s="753">
        <f t="shared" si="0"/>
        <v>3110.16</v>
      </c>
      <c r="G19" s="705">
        <v>2955.7799830226809</v>
      </c>
      <c r="H19" s="705">
        <v>3630.93</v>
      </c>
      <c r="I19" s="705">
        <v>0</v>
      </c>
      <c r="J19" s="705">
        <f t="shared" si="1"/>
        <v>6586.7099830226807</v>
      </c>
      <c r="K19" s="705">
        <f t="shared" si="2"/>
        <v>-3476.5499830226809</v>
      </c>
      <c r="L19" s="706">
        <f t="shared" si="3"/>
        <v>154.38001697731897</v>
      </c>
      <c r="M19" s="708"/>
    </row>
    <row r="20" spans="1:18">
      <c r="A20" s="213" t="s">
        <v>114</v>
      </c>
      <c r="B20" s="257" t="s">
        <v>475</v>
      </c>
      <c r="C20" s="705">
        <v>4563131</v>
      </c>
      <c r="D20" s="705">
        <f>SUMIF(Table2[FS Subgroup],'10'!B20,Table2[Adjusted balance as on 31-03-2026])-'10'!C20</f>
        <v>2398648.8499999996</v>
      </c>
      <c r="E20" s="705">
        <v>0</v>
      </c>
      <c r="F20" s="753">
        <f t="shared" si="0"/>
        <v>6961779.8499999996</v>
      </c>
      <c r="G20" s="705">
        <v>2159469.2268984122</v>
      </c>
      <c r="H20" s="705">
        <v>1736655.78</v>
      </c>
      <c r="I20" s="705">
        <v>0</v>
      </c>
      <c r="J20" s="705">
        <f t="shared" si="1"/>
        <v>3896125.0068984125</v>
      </c>
      <c r="K20" s="705">
        <f t="shared" si="2"/>
        <v>3065654.8431015871</v>
      </c>
      <c r="L20" s="706">
        <f t="shared" si="3"/>
        <v>2403661.7731015878</v>
      </c>
      <c r="M20" s="708"/>
    </row>
    <row r="21" spans="1:18">
      <c r="A21" s="213" t="s">
        <v>122</v>
      </c>
      <c r="B21" s="257" t="s">
        <v>463</v>
      </c>
      <c r="C21" s="705">
        <v>62575</v>
      </c>
      <c r="D21" s="705">
        <f>SUMIF(Table2[FS Subgroup],'10'!B21,Table2[Adjusted balance as on 31-03-2026])-'10'!C21</f>
        <v>49889.41</v>
      </c>
      <c r="E21" s="705">
        <v>0</v>
      </c>
      <c r="F21" s="753">
        <f t="shared" si="0"/>
        <v>112464.41</v>
      </c>
      <c r="G21" s="705">
        <v>24725.681662328763</v>
      </c>
      <c r="H21" s="705">
        <v>16147.87</v>
      </c>
      <c r="I21" s="705">
        <v>0</v>
      </c>
      <c r="J21" s="705">
        <f t="shared" si="1"/>
        <v>40873.551662328762</v>
      </c>
      <c r="K21" s="705">
        <f t="shared" si="2"/>
        <v>71590.858337671234</v>
      </c>
      <c r="L21" s="706">
        <f t="shared" si="3"/>
        <v>37849.31833767124</v>
      </c>
      <c r="M21" s="708"/>
    </row>
    <row r="22" spans="1:18" ht="15.75" customHeight="1">
      <c r="A22" s="213" t="s">
        <v>477</v>
      </c>
      <c r="B22" s="499" t="s">
        <v>117</v>
      </c>
      <c r="C22" s="709">
        <v>0</v>
      </c>
      <c r="D22" s="705">
        <f>SUMIF(Table2[FS Subgroup],'10'!B22,Table2[Adjusted balance as on 31-03-2026])-'10'!C22</f>
        <v>0</v>
      </c>
      <c r="E22" s="705">
        <v>0</v>
      </c>
      <c r="F22" s="753">
        <f t="shared" si="0"/>
        <v>0</v>
      </c>
      <c r="G22" s="710">
        <v>0</v>
      </c>
      <c r="H22" s="705">
        <v>0</v>
      </c>
      <c r="I22" s="705">
        <v>0</v>
      </c>
      <c r="J22" s="705">
        <f t="shared" si="1"/>
        <v>0</v>
      </c>
      <c r="K22" s="705">
        <f t="shared" si="2"/>
        <v>0</v>
      </c>
      <c r="L22" s="706">
        <f t="shared" si="3"/>
        <v>0</v>
      </c>
      <c r="M22" s="708"/>
    </row>
    <row r="23" spans="1:18" ht="15.75" customHeight="1">
      <c r="A23" s="711"/>
      <c r="B23" s="680"/>
      <c r="C23" s="712"/>
      <c r="D23" s="705"/>
      <c r="E23" s="705"/>
      <c r="F23" s="705"/>
      <c r="G23" s="705"/>
      <c r="H23" s="705"/>
      <c r="I23" s="705"/>
      <c r="J23" s="705"/>
      <c r="K23" s="705"/>
      <c r="L23" s="706"/>
      <c r="M23" s="708"/>
    </row>
    <row r="24" spans="1:18" ht="15.75" customHeight="1">
      <c r="A24" s="713"/>
      <c r="B24" s="500" t="s">
        <v>1</v>
      </c>
      <c r="C24" s="714">
        <f t="shared" ref="C24:J24" si="4">SUM(C12:C23)</f>
        <v>7314786.5500000007</v>
      </c>
      <c r="D24" s="714">
        <f t="shared" si="4"/>
        <v>3006917.2699999996</v>
      </c>
      <c r="E24" s="714">
        <f t="shared" si="4"/>
        <v>0</v>
      </c>
      <c r="F24" s="714">
        <f t="shared" si="4"/>
        <v>10321703.82</v>
      </c>
      <c r="G24" s="714">
        <f>SUM(G12:G23)</f>
        <v>2836754.2022194737</v>
      </c>
      <c r="H24" s="714">
        <f t="shared" si="4"/>
        <v>2045608.1</v>
      </c>
      <c r="I24" s="714">
        <f t="shared" si="4"/>
        <v>0</v>
      </c>
      <c r="J24" s="714">
        <f t="shared" si="4"/>
        <v>4882362.3022194738</v>
      </c>
      <c r="K24" s="812">
        <f>+F24-J24</f>
        <v>5439341.5177805265</v>
      </c>
      <c r="L24" s="714">
        <f>SUM(L12:L23)</f>
        <v>4478032.3477805266</v>
      </c>
      <c r="M24" s="216"/>
      <c r="N24" s="715"/>
    </row>
    <row r="25" spans="1:18" ht="15.75" customHeight="1">
      <c r="A25" s="213"/>
      <c r="B25" s="716" t="s">
        <v>11</v>
      </c>
      <c r="C25" s="278">
        <v>5167958.5500000007</v>
      </c>
      <c r="D25" s="717">
        <v>2146828</v>
      </c>
      <c r="E25" s="717">
        <v>0</v>
      </c>
      <c r="F25" s="717">
        <v>7314786.5500000007</v>
      </c>
      <c r="G25" s="717">
        <v>1473367.0415139482</v>
      </c>
      <c r="H25" s="717">
        <v>1363387.1607055254</v>
      </c>
      <c r="I25" s="717">
        <v>0</v>
      </c>
      <c r="J25" s="717">
        <v>2836754.2022194737</v>
      </c>
      <c r="K25" s="705">
        <v>4478032.3477805275</v>
      </c>
      <c r="L25" s="275">
        <v>3694591.508486052</v>
      </c>
      <c r="M25" s="718"/>
    </row>
    <row r="26" spans="1:18" ht="10.15" customHeight="1">
      <c r="A26" s="213"/>
      <c r="B26" s="716"/>
      <c r="C26" s="719"/>
      <c r="D26" s="720"/>
      <c r="E26" s="720"/>
      <c r="F26" s="720"/>
      <c r="G26" s="720"/>
      <c r="H26" s="720"/>
      <c r="I26" s="720"/>
      <c r="J26" s="720"/>
      <c r="K26" s="720"/>
      <c r="L26" s="721"/>
      <c r="M26" s="718"/>
    </row>
    <row r="27" spans="1:18" ht="15.75" customHeight="1">
      <c r="A27" s="704">
        <f>A11+0.1</f>
        <v>10.199999999999999</v>
      </c>
      <c r="B27" s="426" t="s">
        <v>27</v>
      </c>
      <c r="C27" s="278" t="s">
        <v>9</v>
      </c>
      <c r="D27" s="722"/>
      <c r="E27" s="723" t="s">
        <v>9</v>
      </c>
      <c r="F27" s="705" t="s">
        <v>9</v>
      </c>
      <c r="G27" s="705"/>
      <c r="H27" s="705"/>
      <c r="I27" s="705"/>
      <c r="J27" s="705"/>
      <c r="K27" s="705"/>
      <c r="L27" s="706"/>
      <c r="M27" s="700"/>
    </row>
    <row r="28" spans="1:18" ht="15.75" customHeight="1">
      <c r="A28" s="213" t="s">
        <v>46</v>
      </c>
      <c r="B28" s="257" t="s">
        <v>28</v>
      </c>
      <c r="C28" s="709">
        <v>0</v>
      </c>
      <c r="D28" s="710">
        <v>0</v>
      </c>
      <c r="E28" s="724">
        <v>0</v>
      </c>
      <c r="F28" s="710">
        <f>+C28+D28-E28</f>
        <v>0</v>
      </c>
      <c r="G28" s="710">
        <v>0</v>
      </c>
      <c r="H28" s="710">
        <v>0</v>
      </c>
      <c r="I28" s="710">
        <v>0</v>
      </c>
      <c r="J28" s="710">
        <f>+G28+H28-I28</f>
        <v>0</v>
      </c>
      <c r="K28" s="710">
        <f>+F28-J28</f>
        <v>0</v>
      </c>
      <c r="L28" s="725">
        <f>+C28-G28</f>
        <v>0</v>
      </c>
      <c r="M28" s="700"/>
      <c r="R28" s="216">
        <f>D24+D30</f>
        <v>3006917.2699999996</v>
      </c>
    </row>
    <row r="29" spans="1:18" ht="15.75" customHeight="1">
      <c r="A29" s="711"/>
      <c r="B29" s="726"/>
      <c r="C29" s="278"/>
      <c r="D29" s="717"/>
      <c r="E29" s="717"/>
      <c r="F29" s="705"/>
      <c r="G29" s="705"/>
      <c r="H29" s="705"/>
      <c r="I29" s="705"/>
      <c r="J29" s="705"/>
      <c r="K29" s="705"/>
      <c r="L29" s="706"/>
      <c r="M29" s="727"/>
      <c r="R29" s="216">
        <f>R28-D16</f>
        <v>3006917.2699999996</v>
      </c>
    </row>
    <row r="30" spans="1:18" ht="15.75" customHeight="1">
      <c r="A30" s="713"/>
      <c r="B30" s="500" t="s">
        <v>1</v>
      </c>
      <c r="C30" s="296">
        <f t="shared" ref="C30:L30" si="5">SUM(C28:C29)</f>
        <v>0</v>
      </c>
      <c r="D30" s="296">
        <f t="shared" si="5"/>
        <v>0</v>
      </c>
      <c r="E30" s="296">
        <f t="shared" si="5"/>
        <v>0</v>
      </c>
      <c r="F30" s="296">
        <f t="shared" si="5"/>
        <v>0</v>
      </c>
      <c r="G30" s="296">
        <f t="shared" si="5"/>
        <v>0</v>
      </c>
      <c r="H30" s="296">
        <f t="shared" si="5"/>
        <v>0</v>
      </c>
      <c r="I30" s="296">
        <f t="shared" si="5"/>
        <v>0</v>
      </c>
      <c r="J30" s="296">
        <f t="shared" si="5"/>
        <v>0</v>
      </c>
      <c r="K30" s="296">
        <f t="shared" si="5"/>
        <v>0</v>
      </c>
      <c r="L30" s="261">
        <f t="shared" si="5"/>
        <v>0</v>
      </c>
    </row>
    <row r="31" spans="1:18" ht="15.75" customHeight="1">
      <c r="A31" s="728"/>
      <c r="B31" s="729" t="s">
        <v>11</v>
      </c>
      <c r="C31" s="730">
        <v>0</v>
      </c>
      <c r="D31" s="731">
        <v>0</v>
      </c>
      <c r="E31" s="732">
        <v>0</v>
      </c>
      <c r="F31" s="733">
        <v>0</v>
      </c>
      <c r="G31" s="732">
        <v>0</v>
      </c>
      <c r="H31" s="732">
        <v>0</v>
      </c>
      <c r="I31" s="732">
        <v>0</v>
      </c>
      <c r="J31" s="732">
        <v>0</v>
      </c>
      <c r="K31" s="733">
        <v>0</v>
      </c>
      <c r="L31" s="734">
        <v>0</v>
      </c>
      <c r="M31" s="216"/>
    </row>
    <row r="32" spans="1:18" ht="10.15" customHeight="1">
      <c r="A32" s="213"/>
      <c r="B32" s="716"/>
      <c r="C32" s="719"/>
      <c r="D32" s="720"/>
      <c r="E32" s="720"/>
      <c r="F32" s="720"/>
      <c r="G32" s="720"/>
      <c r="H32" s="720"/>
      <c r="I32" s="720"/>
      <c r="J32" s="720"/>
      <c r="K32" s="720"/>
      <c r="L32" s="721"/>
      <c r="M32" s="735"/>
    </row>
    <row r="33" spans="1:15">
      <c r="A33" s="704">
        <f>A27+0.1</f>
        <v>10.299999999999999</v>
      </c>
      <c r="B33" s="426" t="s">
        <v>915</v>
      </c>
      <c r="C33" s="278">
        <v>0</v>
      </c>
      <c r="D33" s="278"/>
      <c r="E33" s="723">
        <v>0</v>
      </c>
      <c r="F33" s="705">
        <f>+C33+D33-E33</f>
        <v>0</v>
      </c>
      <c r="G33" s="705">
        <v>0</v>
      </c>
      <c r="H33" s="705">
        <v>0</v>
      </c>
      <c r="I33" s="705">
        <v>0</v>
      </c>
      <c r="J33" s="705">
        <f>+G33+H33-I33</f>
        <v>0</v>
      </c>
      <c r="K33" s="705">
        <f>+F33-J33</f>
        <v>0</v>
      </c>
      <c r="L33" s="706">
        <f>+C33-G33</f>
        <v>0</v>
      </c>
      <c r="M33" s="700"/>
    </row>
    <row r="34" spans="1:15">
      <c r="A34" s="704"/>
      <c r="B34" s="426"/>
      <c r="C34" s="278"/>
      <c r="D34" s="278"/>
      <c r="E34" s="723"/>
      <c r="F34" s="705"/>
      <c r="G34" s="705"/>
      <c r="H34" s="705"/>
      <c r="I34" s="705"/>
      <c r="J34" s="705"/>
      <c r="K34" s="705"/>
      <c r="L34" s="706"/>
      <c r="M34" s="700"/>
    </row>
    <row r="35" spans="1:15" ht="15.75" customHeight="1">
      <c r="A35" s="713"/>
      <c r="B35" s="500" t="s">
        <v>1</v>
      </c>
      <c r="C35" s="296">
        <f t="shared" ref="C35:L35" si="6">SUM(C33)</f>
        <v>0</v>
      </c>
      <c r="D35" s="296">
        <f t="shared" si="6"/>
        <v>0</v>
      </c>
      <c r="E35" s="296">
        <f t="shared" si="6"/>
        <v>0</v>
      </c>
      <c r="F35" s="296">
        <f t="shared" si="6"/>
        <v>0</v>
      </c>
      <c r="G35" s="296">
        <f t="shared" si="6"/>
        <v>0</v>
      </c>
      <c r="H35" s="296">
        <f t="shared" si="6"/>
        <v>0</v>
      </c>
      <c r="I35" s="296">
        <f t="shared" si="6"/>
        <v>0</v>
      </c>
      <c r="J35" s="296">
        <f t="shared" si="6"/>
        <v>0</v>
      </c>
      <c r="K35" s="296">
        <f t="shared" si="6"/>
        <v>0</v>
      </c>
      <c r="L35" s="261">
        <f t="shared" si="6"/>
        <v>0</v>
      </c>
    </row>
    <row r="36" spans="1:15" ht="15.75" customHeight="1">
      <c r="A36" s="728"/>
      <c r="B36" s="748" t="s">
        <v>11</v>
      </c>
      <c r="C36" s="730">
        <v>0</v>
      </c>
      <c r="D36" s="731">
        <v>0</v>
      </c>
      <c r="E36" s="749">
        <v>0</v>
      </c>
      <c r="F36" s="733">
        <v>0</v>
      </c>
      <c r="G36" s="749">
        <v>0</v>
      </c>
      <c r="H36" s="732">
        <v>0</v>
      </c>
      <c r="I36" s="732">
        <v>0</v>
      </c>
      <c r="J36" s="749">
        <v>0</v>
      </c>
      <c r="K36" s="733">
        <v>0</v>
      </c>
      <c r="L36" s="751">
        <v>0</v>
      </c>
    </row>
    <row r="37" spans="1:15" ht="15.75" customHeight="1">
      <c r="A37" s="213"/>
      <c r="B37" s="716"/>
      <c r="C37" s="278"/>
      <c r="D37" s="278"/>
      <c r="E37" s="723"/>
      <c r="F37" s="712"/>
      <c r="G37" s="723"/>
      <c r="H37" s="750"/>
      <c r="I37" s="750"/>
      <c r="J37" s="723"/>
      <c r="K37" s="712"/>
      <c r="L37" s="275"/>
    </row>
    <row r="38" spans="1:15">
      <c r="A38" s="704">
        <f>A33+0.1</f>
        <v>10.399999999999999</v>
      </c>
      <c r="B38" s="746" t="s">
        <v>224</v>
      </c>
      <c r="C38" s="278">
        <v>0</v>
      </c>
      <c r="D38" s="278"/>
      <c r="E38" s="723">
        <v>0</v>
      </c>
      <c r="F38" s="705">
        <f>+C38+D38-E38</f>
        <v>0</v>
      </c>
      <c r="G38" s="705">
        <v>0</v>
      </c>
      <c r="H38" s="705">
        <v>0</v>
      </c>
      <c r="I38" s="705">
        <v>0</v>
      </c>
      <c r="J38" s="705">
        <f>+G38+H38-I38</f>
        <v>0</v>
      </c>
      <c r="K38" s="705">
        <f>+F38-J38</f>
        <v>0</v>
      </c>
      <c r="L38" s="706">
        <f>+C38-G38</f>
        <v>0</v>
      </c>
    </row>
    <row r="39" spans="1:15">
      <c r="A39" s="704"/>
      <c r="B39" s="426"/>
      <c r="C39" s="278"/>
      <c r="D39" s="278"/>
      <c r="E39" s="723"/>
      <c r="F39" s="705"/>
      <c r="G39" s="705"/>
      <c r="H39" s="705"/>
      <c r="I39" s="705"/>
      <c r="J39" s="705"/>
      <c r="K39" s="705"/>
      <c r="L39" s="706"/>
    </row>
    <row r="40" spans="1:15">
      <c r="A40" s="713"/>
      <c r="B40" s="500" t="s">
        <v>1</v>
      </c>
      <c r="C40" s="296">
        <f t="shared" ref="C40:J40" si="7">SUM(C38)</f>
        <v>0</v>
      </c>
      <c r="D40" s="296">
        <f t="shared" si="7"/>
        <v>0</v>
      </c>
      <c r="E40" s="296">
        <f t="shared" si="7"/>
        <v>0</v>
      </c>
      <c r="F40" s="296">
        <f t="shared" si="7"/>
        <v>0</v>
      </c>
      <c r="G40" s="296">
        <f t="shared" si="7"/>
        <v>0</v>
      </c>
      <c r="H40" s="296">
        <f t="shared" si="7"/>
        <v>0</v>
      </c>
      <c r="I40" s="296">
        <f t="shared" si="7"/>
        <v>0</v>
      </c>
      <c r="J40" s="296">
        <f t="shared" si="7"/>
        <v>0</v>
      </c>
      <c r="K40" s="296">
        <f t="shared" ref="K40:L40" si="8">SUM(K38)</f>
        <v>0</v>
      </c>
      <c r="L40" s="261">
        <f t="shared" si="8"/>
        <v>0</v>
      </c>
    </row>
    <row r="41" spans="1:15">
      <c r="A41" s="728"/>
      <c r="B41" s="748" t="s">
        <v>11</v>
      </c>
      <c r="C41" s="730">
        <v>0</v>
      </c>
      <c r="D41" s="731">
        <v>0</v>
      </c>
      <c r="E41" s="749">
        <v>0</v>
      </c>
      <c r="F41" s="733">
        <v>0</v>
      </c>
      <c r="G41" s="732">
        <v>0</v>
      </c>
      <c r="H41" s="749">
        <v>0</v>
      </c>
      <c r="I41" s="732">
        <v>0</v>
      </c>
      <c r="J41" s="749">
        <v>0</v>
      </c>
      <c r="K41" s="733">
        <v>0</v>
      </c>
      <c r="L41" s="751">
        <v>0</v>
      </c>
    </row>
    <row r="42" spans="1:15">
      <c r="A42" s="213"/>
      <c r="B42" s="752"/>
      <c r="C42" s="278"/>
      <c r="D42" s="278"/>
      <c r="E42" s="750"/>
      <c r="F42" s="712"/>
      <c r="G42" s="750"/>
      <c r="H42" s="750"/>
      <c r="I42" s="750"/>
      <c r="J42" s="750"/>
      <c r="K42" s="712"/>
      <c r="L42" s="259"/>
    </row>
    <row r="43" spans="1:15" s="501" customFormat="1" ht="15.75" thickBot="1">
      <c r="A43" s="915" t="s">
        <v>478</v>
      </c>
      <c r="B43" s="916"/>
      <c r="C43" s="396">
        <f t="shared" ref="C43:L43" si="9">C40+C35+C30+C24</f>
        <v>7314786.5500000007</v>
      </c>
      <c r="D43" s="396">
        <f t="shared" si="9"/>
        <v>3006917.2699999996</v>
      </c>
      <c r="E43" s="396">
        <f t="shared" si="9"/>
        <v>0</v>
      </c>
      <c r="F43" s="396">
        <f t="shared" si="9"/>
        <v>10321703.82</v>
      </c>
      <c r="G43" s="396">
        <f t="shared" si="9"/>
        <v>2836754.2022194737</v>
      </c>
      <c r="H43" s="396">
        <f t="shared" si="9"/>
        <v>2045608.1</v>
      </c>
      <c r="I43" s="396">
        <f t="shared" si="9"/>
        <v>0</v>
      </c>
      <c r="J43" s="396">
        <f t="shared" si="9"/>
        <v>4882362.3022194738</v>
      </c>
      <c r="K43" s="396">
        <f t="shared" si="9"/>
        <v>5439341.5177805265</v>
      </c>
      <c r="L43" s="268">
        <f t="shared" si="9"/>
        <v>4478032.3477805266</v>
      </c>
      <c r="N43" s="496"/>
      <c r="O43" s="496"/>
    </row>
    <row r="44" spans="1:15" ht="16.5" thickTop="1" thickBot="1">
      <c r="A44" s="736"/>
      <c r="B44" s="737"/>
      <c r="C44" s="738"/>
      <c r="D44" s="738"/>
      <c r="E44" s="739"/>
      <c r="F44" s="740"/>
      <c r="G44" s="739"/>
      <c r="H44" s="739"/>
      <c r="I44" s="739"/>
      <c r="J44" s="739"/>
      <c r="K44" s="740"/>
      <c r="L44" s="741"/>
      <c r="M44" s="216"/>
    </row>
  </sheetData>
  <mergeCells count="5">
    <mergeCell ref="A9:B10"/>
    <mergeCell ref="C9:F9"/>
    <mergeCell ref="G9:J9"/>
    <mergeCell ref="K9:L9"/>
    <mergeCell ref="A43:B43"/>
  </mergeCells>
  <pageMargins left="0.31496062992125984" right="0.31496062992125984" top="0.39370078740157483" bottom="0.39370078740157483" header="0" footer="0"/>
  <pageSetup paperSize="9" scale="72"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2"/>
  <sheetViews>
    <sheetView showGridLines="0" view="pageBreakPreview" topLeftCell="A23" zoomScaleSheetLayoutView="100" workbookViewId="0">
      <selection activeCell="D30" sqref="D30"/>
    </sheetView>
  </sheetViews>
  <sheetFormatPr defaultColWidth="8.7109375" defaultRowHeight="15"/>
  <cols>
    <col min="1" max="1" width="10.5703125" style="200" customWidth="1"/>
    <col min="2" max="2" width="40.5703125" style="200" customWidth="1"/>
    <col min="3" max="10" width="15.5703125" style="200" customWidth="1"/>
    <col min="11" max="16384" width="8.7109375" style="200"/>
  </cols>
  <sheetData>
    <row r="1" spans="1:10" ht="15.75">
      <c r="A1" s="417" t="s">
        <v>307</v>
      </c>
      <c r="B1" s="754"/>
      <c r="C1" s="754"/>
      <c r="D1" s="754"/>
      <c r="E1" s="754"/>
      <c r="F1" s="754"/>
      <c r="G1" s="754"/>
      <c r="H1" s="754"/>
      <c r="I1" s="754"/>
      <c r="J1" s="755"/>
    </row>
    <row r="2" spans="1:10">
      <c r="A2" s="384" t="s">
        <v>308</v>
      </c>
      <c r="J2" s="756"/>
    </row>
    <row r="3" spans="1:10">
      <c r="A3" s="345"/>
      <c r="J3" s="756"/>
    </row>
    <row r="4" spans="1:10">
      <c r="A4" s="391" t="s">
        <v>731</v>
      </c>
      <c r="J4" s="756"/>
    </row>
    <row r="5" spans="1:10">
      <c r="A5" s="392" t="s">
        <v>712</v>
      </c>
      <c r="J5" s="756"/>
    </row>
    <row r="6" spans="1:10">
      <c r="A6" s="757"/>
      <c r="J6" s="756"/>
    </row>
    <row r="7" spans="1:10" ht="14.45" customHeight="1">
      <c r="A7" s="917" t="s">
        <v>919</v>
      </c>
      <c r="B7" s="758" t="s">
        <v>232</v>
      </c>
      <c r="J7" s="756"/>
    </row>
    <row r="8" spans="1:10" ht="14.45" customHeight="1">
      <c r="A8" s="917"/>
      <c r="B8" s="758"/>
      <c r="J8" s="756"/>
    </row>
    <row r="9" spans="1:10" s="336" customFormat="1" ht="15.6" customHeight="1">
      <c r="A9" s="772"/>
      <c r="B9" s="336" t="s">
        <v>921</v>
      </c>
      <c r="C9" s="496"/>
      <c r="D9" s="496"/>
      <c r="F9" s="496"/>
      <c r="G9" s="496"/>
      <c r="H9" s="496"/>
      <c r="I9" s="496"/>
      <c r="J9" s="747"/>
    </row>
    <row r="10" spans="1:10" s="336" customFormat="1" ht="30">
      <c r="A10" s="679" t="s">
        <v>920</v>
      </c>
      <c r="B10" s="759" t="s">
        <v>0</v>
      </c>
      <c r="C10" s="759" t="s">
        <v>230</v>
      </c>
      <c r="D10" s="813" t="s">
        <v>241</v>
      </c>
      <c r="E10" s="760" t="s">
        <v>234</v>
      </c>
      <c r="F10" s="810" t="s">
        <v>939</v>
      </c>
      <c r="G10" s="760" t="s">
        <v>205</v>
      </c>
      <c r="H10" s="760" t="s">
        <v>206</v>
      </c>
      <c r="I10" s="761" t="s">
        <v>229</v>
      </c>
      <c r="J10" s="761" t="s">
        <v>1</v>
      </c>
    </row>
    <row r="11" spans="1:10" s="336" customFormat="1" ht="15.75" customHeight="1">
      <c r="A11" s="762">
        <f>'3-15'!A74+0.1</f>
        <v>7.1</v>
      </c>
      <c r="B11" s="336" t="s">
        <v>207</v>
      </c>
      <c r="C11" s="774">
        <v>0</v>
      </c>
      <c r="D11" s="774">
        <v>0</v>
      </c>
      <c r="E11" s="763">
        <v>0</v>
      </c>
      <c r="F11" s="455">
        <v>0</v>
      </c>
      <c r="G11" s="455">
        <v>0</v>
      </c>
      <c r="H11" s="455">
        <v>0</v>
      </c>
      <c r="I11" s="455">
        <v>0</v>
      </c>
      <c r="J11" s="455">
        <f>SUM(C11:I11)</f>
        <v>0</v>
      </c>
    </row>
    <row r="12" spans="1:10" s="336" customFormat="1" ht="15.75" customHeight="1">
      <c r="A12" s="762">
        <f>A11+0.1</f>
        <v>7.1999999999999993</v>
      </c>
      <c r="B12" s="764" t="s">
        <v>8</v>
      </c>
      <c r="C12" s="775">
        <v>0</v>
      </c>
      <c r="D12" s="775">
        <v>0</v>
      </c>
      <c r="E12" s="776">
        <f>'3-15'!E76</f>
        <v>31351590.07</v>
      </c>
      <c r="F12" s="455">
        <v>0</v>
      </c>
      <c r="G12" s="455">
        <v>0</v>
      </c>
      <c r="H12" s="455">
        <v>0</v>
      </c>
      <c r="I12" s="455">
        <v>0</v>
      </c>
      <c r="J12" s="455">
        <f>SUM(C12:I12)</f>
        <v>31351590.07</v>
      </c>
    </row>
    <row r="13" spans="1:10" s="336" customFormat="1" ht="15.75" hidden="1" customHeight="1">
      <c r="A13" s="762">
        <f>A12+0.1</f>
        <v>7.2999999999999989</v>
      </c>
      <c r="B13" s="764" t="s">
        <v>208</v>
      </c>
      <c r="C13" s="764"/>
      <c r="D13" s="764"/>
      <c r="E13" s="763">
        <v>0</v>
      </c>
      <c r="F13" s="455">
        <v>0</v>
      </c>
      <c r="G13" s="455">
        <v>0</v>
      </c>
      <c r="H13" s="455">
        <v>0</v>
      </c>
      <c r="I13" s="455">
        <v>0</v>
      </c>
      <c r="J13" s="455">
        <f>SUM(D13:I13)</f>
        <v>0</v>
      </c>
    </row>
    <row r="14" spans="1:10" s="336" customFormat="1" ht="15.75" hidden="1" customHeight="1">
      <c r="A14" s="762">
        <f>A13+0.1</f>
        <v>7.3999999999999986</v>
      </c>
      <c r="B14" s="764" t="s">
        <v>209</v>
      </c>
      <c r="C14" s="764"/>
      <c r="D14" s="764"/>
      <c r="E14" s="763">
        <v>0</v>
      </c>
      <c r="F14" s="455">
        <v>0</v>
      </c>
      <c r="G14" s="455">
        <v>0</v>
      </c>
      <c r="H14" s="455">
        <v>0</v>
      </c>
      <c r="I14" s="455">
        <v>0</v>
      </c>
      <c r="J14" s="455">
        <f>SUM(D14:I14)</f>
        <v>0</v>
      </c>
    </row>
    <row r="15" spans="1:10" s="336" customFormat="1" ht="15.75" customHeight="1">
      <c r="A15" s="769"/>
      <c r="B15" s="759" t="s">
        <v>1</v>
      </c>
      <c r="C15" s="456">
        <f t="shared" ref="C15" si="0">SUM(C11:C14)</f>
        <v>0</v>
      </c>
      <c r="D15" s="456">
        <f t="shared" ref="D15" si="1">SUM(D11:D14)</f>
        <v>0</v>
      </c>
      <c r="E15" s="456">
        <f t="shared" ref="E15" si="2">SUM(E11:E14)</f>
        <v>31351590.07</v>
      </c>
      <c r="F15" s="456">
        <f t="shared" ref="F15" si="3">SUM(F11:F14)</f>
        <v>0</v>
      </c>
      <c r="G15" s="456">
        <f t="shared" ref="G15" si="4">SUM(G11:G14)</f>
        <v>0</v>
      </c>
      <c r="H15" s="456">
        <f t="shared" ref="H15" si="5">SUM(H11:H14)</f>
        <v>0</v>
      </c>
      <c r="I15" s="456">
        <f t="shared" ref="I15" si="6">SUM(I11:I14)</f>
        <v>0</v>
      </c>
      <c r="J15" s="456">
        <f t="shared" ref="J15" si="7">SUM(J11:J14)</f>
        <v>31351590.07</v>
      </c>
    </row>
    <row r="16" spans="1:10" s="336" customFormat="1" ht="15.75" customHeight="1">
      <c r="A16" s="762"/>
      <c r="B16" s="442"/>
      <c r="C16" s="442"/>
      <c r="D16" s="442"/>
      <c r="E16" s="200"/>
      <c r="F16" s="442"/>
      <c r="G16" s="442"/>
      <c r="H16" s="442"/>
      <c r="I16" s="765"/>
      <c r="J16" s="765"/>
    </row>
    <row r="17" spans="1:10" s="336" customFormat="1" ht="15.75" customHeight="1">
      <c r="A17" s="762"/>
      <c r="B17" s="336" t="s">
        <v>600</v>
      </c>
      <c r="C17" s="496"/>
      <c r="D17" s="496"/>
      <c r="G17" s="496"/>
      <c r="H17" s="496"/>
      <c r="I17" s="496"/>
      <c r="J17" s="496"/>
    </row>
    <row r="18" spans="1:10" s="336" customFormat="1" ht="30">
      <c r="A18" s="679" t="s">
        <v>920</v>
      </c>
      <c r="B18" s="759" t="s">
        <v>0</v>
      </c>
      <c r="C18" s="759" t="s">
        <v>230</v>
      </c>
      <c r="D18" s="813" t="s">
        <v>241</v>
      </c>
      <c r="E18" s="760" t="s">
        <v>234</v>
      </c>
      <c r="F18" s="810" t="s">
        <v>939</v>
      </c>
      <c r="G18" s="760" t="s">
        <v>205</v>
      </c>
      <c r="H18" s="760" t="s">
        <v>206</v>
      </c>
      <c r="I18" s="761" t="s">
        <v>229</v>
      </c>
      <c r="J18" s="761" t="s">
        <v>1</v>
      </c>
    </row>
    <row r="19" spans="1:10" s="336" customFormat="1" ht="15.75" customHeight="1">
      <c r="A19" s="762">
        <f>'3-15'!A74+0.1</f>
        <v>7.1</v>
      </c>
      <c r="B19" s="336" t="s">
        <v>207</v>
      </c>
      <c r="C19" s="774">
        <v>0</v>
      </c>
      <c r="D19" s="774">
        <v>0</v>
      </c>
      <c r="E19" s="763">
        <v>0</v>
      </c>
      <c r="F19" s="774">
        <v>0</v>
      </c>
      <c r="G19" s="774">
        <v>0</v>
      </c>
      <c r="H19" s="774">
        <v>0</v>
      </c>
      <c r="I19" s="455">
        <v>0</v>
      </c>
      <c r="J19" s="455">
        <v>0</v>
      </c>
    </row>
    <row r="20" spans="1:10" s="336" customFormat="1" ht="15.75" customHeight="1">
      <c r="A20" s="762">
        <f>A19+0.1</f>
        <v>7.1999999999999993</v>
      </c>
      <c r="B20" s="764" t="s">
        <v>8</v>
      </c>
      <c r="C20" s="775">
        <v>0</v>
      </c>
      <c r="D20" s="775">
        <v>0</v>
      </c>
      <c r="E20" s="776">
        <f>31998228.36+231423.21</f>
        <v>32229651.57</v>
      </c>
      <c r="F20" s="455"/>
      <c r="G20" s="455">
        <v>0</v>
      </c>
      <c r="H20" s="775">
        <v>0</v>
      </c>
      <c r="I20" s="455">
        <v>0</v>
      </c>
      <c r="J20" s="455">
        <f>SUM(D20:I20)</f>
        <v>32229651.57</v>
      </c>
    </row>
    <row r="21" spans="1:10" s="336" customFormat="1" ht="15.75" hidden="1" customHeight="1">
      <c r="A21" s="762">
        <f>A20+0.1</f>
        <v>7.2999999999999989</v>
      </c>
      <c r="B21" s="764" t="s">
        <v>208</v>
      </c>
      <c r="C21" s="764"/>
      <c r="D21" s="764"/>
      <c r="E21" s="763">
        <v>0</v>
      </c>
      <c r="F21" s="764"/>
      <c r="G21" s="764"/>
      <c r="H21" s="764"/>
      <c r="I21" s="455">
        <v>0</v>
      </c>
      <c r="J21" s="455">
        <v>0</v>
      </c>
    </row>
    <row r="22" spans="1:10" s="336" customFormat="1" ht="15.75" hidden="1" customHeight="1">
      <c r="A22" s="762">
        <f>A21+0.1</f>
        <v>7.3999999999999986</v>
      </c>
      <c r="B22" s="764" t="s">
        <v>209</v>
      </c>
      <c r="C22" s="764"/>
      <c r="D22" s="764"/>
      <c r="E22" s="763">
        <v>0</v>
      </c>
      <c r="F22" s="764"/>
      <c r="G22" s="764"/>
      <c r="H22" s="764"/>
      <c r="I22" s="455">
        <v>0</v>
      </c>
      <c r="J22" s="455">
        <v>0</v>
      </c>
    </row>
    <row r="23" spans="1:10" s="336" customFormat="1" ht="15.75" customHeight="1">
      <c r="A23" s="769"/>
      <c r="B23" s="759" t="s">
        <v>1</v>
      </c>
      <c r="C23" s="456">
        <f t="shared" ref="C23:D23" si="8">SUM(C19:C22)</f>
        <v>0</v>
      </c>
      <c r="D23" s="456">
        <f t="shared" si="8"/>
        <v>0</v>
      </c>
      <c r="E23" s="456">
        <f t="shared" ref="E23:J23" si="9">SUM(E19:E22)</f>
        <v>32229651.57</v>
      </c>
      <c r="F23" s="456">
        <f t="shared" si="9"/>
        <v>0</v>
      </c>
      <c r="G23" s="456">
        <f t="shared" si="9"/>
        <v>0</v>
      </c>
      <c r="H23" s="456">
        <f t="shared" si="9"/>
        <v>0</v>
      </c>
      <c r="I23" s="456">
        <f t="shared" si="9"/>
        <v>0</v>
      </c>
      <c r="J23" s="456">
        <f t="shared" si="9"/>
        <v>32229651.57</v>
      </c>
    </row>
    <row r="24" spans="1:10" s="336" customFormat="1" ht="15.75" customHeight="1">
      <c r="A24" s="762"/>
      <c r="B24" s="496"/>
      <c r="C24" s="496"/>
      <c r="D24" s="496"/>
      <c r="E24" s="765"/>
      <c r="F24" s="765"/>
      <c r="G24" s="765"/>
      <c r="H24" s="765"/>
      <c r="I24" s="765"/>
      <c r="J24" s="765"/>
    </row>
    <row r="25" spans="1:10">
      <c r="A25" s="757"/>
      <c r="J25" s="756"/>
    </row>
    <row r="26" spans="1:10">
      <c r="A26" s="917" t="s">
        <v>922</v>
      </c>
      <c r="B26" s="758" t="s">
        <v>233</v>
      </c>
      <c r="J26" s="756"/>
    </row>
    <row r="27" spans="1:10">
      <c r="A27" s="917"/>
      <c r="B27" s="758"/>
      <c r="J27" s="756"/>
    </row>
    <row r="28" spans="1:10">
      <c r="A28" s="762"/>
      <c r="B28" s="336" t="s">
        <v>921</v>
      </c>
      <c r="C28" s="496"/>
      <c r="D28" s="496"/>
      <c r="E28" s="336"/>
      <c r="F28" s="496"/>
      <c r="G28" s="496"/>
      <c r="H28" s="496"/>
      <c r="I28" s="496"/>
      <c r="J28" s="756"/>
    </row>
    <row r="29" spans="1:10" ht="30">
      <c r="A29" s="679" t="s">
        <v>920</v>
      </c>
      <c r="B29" s="759" t="s">
        <v>0</v>
      </c>
      <c r="C29" s="759" t="s">
        <v>230</v>
      </c>
      <c r="D29" s="813" t="s">
        <v>241</v>
      </c>
      <c r="E29" s="760" t="s">
        <v>234</v>
      </c>
      <c r="F29" s="810" t="s">
        <v>939</v>
      </c>
      <c r="G29" s="760" t="s">
        <v>205</v>
      </c>
      <c r="H29" s="761" t="s">
        <v>206</v>
      </c>
      <c r="I29" s="761" t="s">
        <v>229</v>
      </c>
      <c r="J29" s="766" t="s">
        <v>1</v>
      </c>
    </row>
    <row r="30" spans="1:10" ht="30">
      <c r="A30" s="762">
        <v>12.1</v>
      </c>
      <c r="B30" s="773" t="s">
        <v>238</v>
      </c>
      <c r="C30" s="763">
        <v>0</v>
      </c>
      <c r="D30" s="776">
        <f>'3-15'!E130</f>
        <v>26920883</v>
      </c>
      <c r="E30" s="776">
        <f>'3-15'!E110</f>
        <v>4317419.2699999996</v>
      </c>
      <c r="F30" s="763">
        <v>0</v>
      </c>
      <c r="G30" s="763">
        <v>0</v>
      </c>
      <c r="H30" s="763">
        <v>0</v>
      </c>
      <c r="I30" s="763">
        <v>0</v>
      </c>
      <c r="J30" s="767">
        <f>SUM(C30:I30)</f>
        <v>31238302.27</v>
      </c>
    </row>
    <row r="31" spans="1:10" ht="30">
      <c r="A31" s="762">
        <f>A30+0.1</f>
        <v>12.2</v>
      </c>
      <c r="B31" s="773" t="s">
        <v>237</v>
      </c>
      <c r="C31" s="763">
        <v>0</v>
      </c>
      <c r="D31" s="776">
        <v>0</v>
      </c>
      <c r="E31" s="776">
        <v>0</v>
      </c>
      <c r="F31" s="763">
        <v>0</v>
      </c>
      <c r="G31" s="763">
        <v>0</v>
      </c>
      <c r="H31" s="763">
        <v>0</v>
      </c>
      <c r="I31" s="763">
        <v>0</v>
      </c>
      <c r="J31" s="768">
        <f t="shared" ref="J31:J33" si="10">SUM(C31:I31)</f>
        <v>0</v>
      </c>
    </row>
    <row r="32" spans="1:10" ht="30">
      <c r="A32" s="762">
        <f>A31+0.1</f>
        <v>12.299999999999999</v>
      </c>
      <c r="B32" s="773" t="s">
        <v>235</v>
      </c>
      <c r="C32" s="763">
        <v>0</v>
      </c>
      <c r="D32" s="776">
        <v>0</v>
      </c>
      <c r="E32" s="776">
        <v>0</v>
      </c>
      <c r="F32" s="763">
        <v>0</v>
      </c>
      <c r="G32" s="763">
        <v>0</v>
      </c>
      <c r="H32" s="763">
        <v>0</v>
      </c>
      <c r="I32" s="763">
        <v>0</v>
      </c>
      <c r="J32" s="768">
        <f t="shared" si="10"/>
        <v>0</v>
      </c>
    </row>
    <row r="33" spans="1:10" ht="30">
      <c r="A33" s="762">
        <f>A32+0.1</f>
        <v>12.399999999999999</v>
      </c>
      <c r="B33" s="773" t="s">
        <v>236</v>
      </c>
      <c r="C33" s="763">
        <v>0</v>
      </c>
      <c r="D33" s="776">
        <v>0</v>
      </c>
      <c r="E33" s="776">
        <v>0</v>
      </c>
      <c r="F33" s="763">
        <v>0</v>
      </c>
      <c r="G33" s="763">
        <v>0</v>
      </c>
      <c r="H33" s="763">
        <v>0</v>
      </c>
      <c r="I33" s="763">
        <v>0</v>
      </c>
      <c r="J33" s="768">
        <f t="shared" si="10"/>
        <v>0</v>
      </c>
    </row>
    <row r="34" spans="1:10">
      <c r="A34" s="769"/>
      <c r="B34" s="769" t="s">
        <v>1</v>
      </c>
      <c r="C34" s="778">
        <f>SUM(C30:C33)</f>
        <v>0</v>
      </c>
      <c r="D34" s="779">
        <f t="shared" ref="D34:I34" si="11">SUM(D30:D33)</f>
        <v>26920883</v>
      </c>
      <c r="E34" s="779">
        <f t="shared" si="11"/>
        <v>4317419.2699999996</v>
      </c>
      <c r="F34" s="778">
        <f t="shared" si="11"/>
        <v>0</v>
      </c>
      <c r="G34" s="778">
        <f t="shared" si="11"/>
        <v>0</v>
      </c>
      <c r="H34" s="778">
        <f t="shared" si="11"/>
        <v>0</v>
      </c>
      <c r="I34" s="778">
        <f t="shared" si="11"/>
        <v>0</v>
      </c>
      <c r="J34" s="770">
        <f>SUM(J30:J33)</f>
        <v>31238302.27</v>
      </c>
    </row>
    <row r="35" spans="1:10">
      <c r="A35" s="757"/>
      <c r="J35" s="756"/>
    </row>
    <row r="36" spans="1:10">
      <c r="A36" s="757"/>
      <c r="B36" s="336" t="s">
        <v>600</v>
      </c>
      <c r="C36" s="496"/>
      <c r="D36" s="496"/>
      <c r="E36" s="336"/>
      <c r="F36" s="496"/>
      <c r="G36" s="496"/>
      <c r="H36" s="496"/>
      <c r="I36" s="496"/>
      <c r="J36" s="756"/>
    </row>
    <row r="37" spans="1:10" ht="30">
      <c r="A37" s="679" t="s">
        <v>920</v>
      </c>
      <c r="B37" s="759" t="s">
        <v>0</v>
      </c>
      <c r="C37" s="759" t="s">
        <v>230</v>
      </c>
      <c r="D37" s="813" t="s">
        <v>241</v>
      </c>
      <c r="E37" s="760" t="s">
        <v>234</v>
      </c>
      <c r="F37" s="810" t="s">
        <v>939</v>
      </c>
      <c r="G37" s="760" t="s">
        <v>205</v>
      </c>
      <c r="H37" s="761" t="s">
        <v>206</v>
      </c>
      <c r="I37" s="761" t="s">
        <v>229</v>
      </c>
      <c r="J37" s="766" t="s">
        <v>1</v>
      </c>
    </row>
    <row r="38" spans="1:10" ht="30">
      <c r="A38" s="762">
        <v>12.1</v>
      </c>
      <c r="B38" s="773" t="s">
        <v>238</v>
      </c>
      <c r="C38" s="763">
        <v>0</v>
      </c>
      <c r="D38" s="776">
        <v>5000000</v>
      </c>
      <c r="E38" s="776">
        <f>'Financial Statements'!F46</f>
        <v>1242797.43</v>
      </c>
      <c r="F38" s="776">
        <v>0</v>
      </c>
      <c r="G38" s="776">
        <v>0</v>
      </c>
      <c r="H38" s="776">
        <v>0</v>
      </c>
      <c r="I38" s="776">
        <v>0</v>
      </c>
      <c r="J38" s="767">
        <f>SUM(C38:I38)</f>
        <v>6242797.4299999997</v>
      </c>
    </row>
    <row r="39" spans="1:10" ht="30">
      <c r="A39" s="762">
        <f>A38+0.1</f>
        <v>12.2</v>
      </c>
      <c r="B39" s="773" t="s">
        <v>237</v>
      </c>
      <c r="C39" s="763">
        <v>0</v>
      </c>
      <c r="D39" s="776">
        <v>0</v>
      </c>
      <c r="E39" s="776">
        <v>0</v>
      </c>
      <c r="F39" s="776">
        <v>0</v>
      </c>
      <c r="G39" s="776">
        <v>0</v>
      </c>
      <c r="H39" s="776">
        <v>0</v>
      </c>
      <c r="I39" s="776">
        <v>0</v>
      </c>
      <c r="J39" s="767">
        <f t="shared" ref="J39:J41" si="12">SUM(C39:I39)</f>
        <v>0</v>
      </c>
    </row>
    <row r="40" spans="1:10" ht="30">
      <c r="A40" s="762">
        <f>A39+0.1</f>
        <v>12.299999999999999</v>
      </c>
      <c r="B40" s="773" t="s">
        <v>235</v>
      </c>
      <c r="C40" s="763">
        <v>0</v>
      </c>
      <c r="D40" s="776">
        <v>0</v>
      </c>
      <c r="E40" s="776">
        <v>0</v>
      </c>
      <c r="F40" s="776">
        <v>0</v>
      </c>
      <c r="G40" s="776">
        <v>0</v>
      </c>
      <c r="H40" s="776">
        <v>0</v>
      </c>
      <c r="I40" s="776">
        <v>0</v>
      </c>
      <c r="J40" s="767">
        <f t="shared" si="12"/>
        <v>0</v>
      </c>
    </row>
    <row r="41" spans="1:10" ht="30">
      <c r="A41" s="762">
        <f>A40+0.1</f>
        <v>12.399999999999999</v>
      </c>
      <c r="B41" s="773" t="s">
        <v>236</v>
      </c>
      <c r="C41" s="763">
        <v>0</v>
      </c>
      <c r="D41" s="776">
        <v>0</v>
      </c>
      <c r="E41" s="776">
        <v>0</v>
      </c>
      <c r="F41" s="776">
        <v>0</v>
      </c>
      <c r="G41" s="776">
        <v>0</v>
      </c>
      <c r="H41" s="776">
        <v>0</v>
      </c>
      <c r="I41" s="776">
        <v>0</v>
      </c>
      <c r="J41" s="767">
        <f t="shared" si="12"/>
        <v>0</v>
      </c>
    </row>
    <row r="42" spans="1:10" ht="15.75" thickBot="1">
      <c r="A42" s="769"/>
      <c r="B42" s="771" t="s">
        <v>1</v>
      </c>
      <c r="C42" s="777">
        <f>SUM(C38:C41)</f>
        <v>0</v>
      </c>
      <c r="D42" s="814">
        <f t="shared" ref="D42" si="13">SUM(D38:D41)</f>
        <v>5000000</v>
      </c>
      <c r="E42" s="814">
        <f t="shared" ref="E42" si="14">SUM(E38:E41)</f>
        <v>1242797.43</v>
      </c>
      <c r="F42" s="814">
        <f t="shared" ref="F42" si="15">SUM(F38:F41)</f>
        <v>0</v>
      </c>
      <c r="G42" s="814">
        <f t="shared" ref="G42" si="16">SUM(G38:G41)</f>
        <v>0</v>
      </c>
      <c r="H42" s="814">
        <f t="shared" ref="H42" si="17">SUM(H38:H41)</f>
        <v>0</v>
      </c>
      <c r="I42" s="814">
        <f t="shared" ref="I42:J42" si="18">SUM(I38:I41)</f>
        <v>0</v>
      </c>
      <c r="J42" s="814">
        <f t="shared" si="18"/>
        <v>6242797.4299999997</v>
      </c>
    </row>
  </sheetData>
  <mergeCells count="2">
    <mergeCell ref="A7:A8"/>
    <mergeCell ref="A26:A27"/>
  </mergeCells>
  <pageMargins left="0.70866141732283472" right="0.70866141732283472" top="0.74803149606299213" bottom="0.74803149606299213" header="0.31496062992125984" footer="0.31496062992125984"/>
  <pageSetup scale="6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1"/>
  <sheetViews>
    <sheetView showGridLines="0" view="pageBreakPreview" topLeftCell="A61" zoomScaleSheetLayoutView="100" workbookViewId="0">
      <selection activeCell="C79" sqref="C79"/>
    </sheetView>
  </sheetViews>
  <sheetFormatPr defaultColWidth="9.140625" defaultRowHeight="15"/>
  <cols>
    <col min="1" max="1" width="10.7109375" style="200" customWidth="1"/>
    <col min="2" max="2" width="70.7109375" style="200" customWidth="1"/>
    <col min="3" max="4" width="20.7109375" style="200" customWidth="1"/>
    <col min="5" max="5" width="9.140625" style="200"/>
    <col min="6" max="6" width="13.85546875" style="200" bestFit="1" customWidth="1"/>
    <col min="7" max="16384" width="9.140625" style="200"/>
  </cols>
  <sheetData>
    <row r="1" spans="1:4" s="315" customFormat="1" ht="15.75">
      <c r="A1" s="417" t="s">
        <v>306</v>
      </c>
      <c r="B1" s="287"/>
      <c r="C1" s="287"/>
      <c r="D1" s="287"/>
    </row>
    <row r="2" spans="1:4" s="315" customFormat="1">
      <c r="A2" s="384" t="s">
        <v>308</v>
      </c>
      <c r="B2" s="202"/>
      <c r="C2" s="202"/>
      <c r="D2" s="202"/>
    </row>
    <row r="3" spans="1:4" s="315" customFormat="1">
      <c r="A3" s="383"/>
      <c r="B3" s="316"/>
      <c r="C3" s="316"/>
      <c r="D3" s="316"/>
    </row>
    <row r="4" spans="1:4" s="315" customFormat="1">
      <c r="A4" s="391" t="s">
        <v>731</v>
      </c>
      <c r="B4" s="378"/>
      <c r="C4" s="378"/>
      <c r="D4" s="378"/>
    </row>
    <row r="5" spans="1:4" s="315" customFormat="1">
      <c r="A5" s="392" t="s">
        <v>712</v>
      </c>
      <c r="B5" s="294"/>
    </row>
    <row r="6" spans="1:4" s="201" customFormat="1" ht="15.75" thickBot="1">
      <c r="A6" s="203"/>
      <c r="B6" s="204"/>
      <c r="D6" s="317"/>
    </row>
    <row r="7" spans="1:4" s="204" customFormat="1" ht="45.75" thickBot="1">
      <c r="A7" s="318" t="s">
        <v>24</v>
      </c>
      <c r="B7" s="319" t="s">
        <v>0</v>
      </c>
      <c r="C7" s="356" t="s">
        <v>718</v>
      </c>
      <c r="D7" s="356" t="s">
        <v>719</v>
      </c>
    </row>
    <row r="8" spans="1:4" s="204" customFormat="1">
      <c r="A8" s="340"/>
      <c r="B8" s="389"/>
      <c r="C8" s="388"/>
      <c r="D8" s="388"/>
    </row>
    <row r="9" spans="1:4" s="201" customFormat="1" ht="15.75" customHeight="1">
      <c r="A9" s="323">
        <f>'3-15'!A127+1</f>
        <v>16</v>
      </c>
      <c r="B9" s="289" t="s">
        <v>77</v>
      </c>
      <c r="C9" s="324"/>
      <c r="D9" s="324"/>
    </row>
    <row r="10" spans="1:4" s="201" customFormat="1" ht="15.75" customHeight="1">
      <c r="A10" s="213">
        <f>A9+0.1</f>
        <v>16.100000000000001</v>
      </c>
      <c r="B10" s="254" t="s">
        <v>18</v>
      </c>
      <c r="C10" s="353" cm="1">
        <f t="array" ref="C10">-SUMIF(Table2[FS Subgroup],'16-23'!B10:B10,Table2[Adjusted balance as on 31-03-2026])</f>
        <v>0</v>
      </c>
      <c r="D10" s="353">
        <f>D19</f>
        <v>0</v>
      </c>
    </row>
    <row r="11" spans="1:4" s="201" customFormat="1" ht="15.75" customHeight="1">
      <c r="A11" s="213">
        <f>A10+0.1</f>
        <v>16.200000000000003</v>
      </c>
      <c r="B11" s="298" t="s">
        <v>98</v>
      </c>
      <c r="C11" s="353" cm="1">
        <f t="array" ref="C11">-SUMIF(Table2[FS Subgroup],'16-23'!B11:B11,Table2[Adjusted balance as on 31-03-2026])</f>
        <v>601740951.09000003</v>
      </c>
      <c r="D11" s="353">
        <f>449121097+4500000</f>
        <v>453621097</v>
      </c>
    </row>
    <row r="12" spans="1:4" s="201" customFormat="1" ht="15.75" customHeight="1">
      <c r="A12" s="213">
        <f>A11+0.1</f>
        <v>16.300000000000004</v>
      </c>
      <c r="B12" s="254" t="s">
        <v>99</v>
      </c>
      <c r="C12" s="353">
        <v>0</v>
      </c>
      <c r="D12" s="353">
        <v>0</v>
      </c>
    </row>
    <row r="13" spans="1:4" s="201" customFormat="1" ht="15.75" customHeight="1">
      <c r="A13" s="213"/>
      <c r="B13" s="254"/>
      <c r="C13" s="353"/>
      <c r="D13" s="353"/>
    </row>
    <row r="14" spans="1:4" s="201" customFormat="1" ht="15.75" customHeight="1">
      <c r="A14" s="213"/>
      <c r="B14" s="376" t="s">
        <v>1</v>
      </c>
      <c r="C14" s="387">
        <f>SUM(C10:C12)</f>
        <v>601740951.09000003</v>
      </c>
      <c r="D14" s="387">
        <f>SUM(D10:D12)</f>
        <v>453621097</v>
      </c>
    </row>
    <row r="15" spans="1:4" s="201" customFormat="1" ht="15.75" hidden="1" customHeight="1">
      <c r="A15" s="208" t="s">
        <v>95</v>
      </c>
      <c r="B15" s="277" t="s">
        <v>100</v>
      </c>
      <c r="C15" s="353"/>
      <c r="D15" s="353"/>
    </row>
    <row r="16" spans="1:4" s="201" customFormat="1" ht="15.75" hidden="1" customHeight="1">
      <c r="A16" s="213"/>
      <c r="C16" s="353"/>
      <c r="D16" s="353"/>
    </row>
    <row r="17" spans="1:7" s="201" customFormat="1" ht="15.75" hidden="1" customHeight="1">
      <c r="A17" s="213"/>
      <c r="B17" s="358" t="s">
        <v>102</v>
      </c>
      <c r="C17" s="353"/>
      <c r="D17" s="353">
        <v>0</v>
      </c>
    </row>
    <row r="18" spans="1:7" s="201" customFormat="1" ht="15.75" hidden="1" customHeight="1">
      <c r="A18" s="213"/>
      <c r="B18" s="358" t="s">
        <v>103</v>
      </c>
      <c r="C18" s="353"/>
      <c r="D18" s="353">
        <v>0</v>
      </c>
    </row>
    <row r="19" spans="1:7" s="201" customFormat="1" ht="15.75" hidden="1" customHeight="1">
      <c r="A19" s="213"/>
      <c r="B19" s="329" t="s">
        <v>71</v>
      </c>
      <c r="C19" s="359"/>
      <c r="D19" s="359">
        <f t="shared" ref="D19" si="0">SUM(D17:D18)</f>
        <v>0</v>
      </c>
    </row>
    <row r="20" spans="1:7" s="201" customFormat="1" ht="15.75" customHeight="1">
      <c r="A20" s="213"/>
      <c r="B20" s="329"/>
      <c r="C20" s="353"/>
      <c r="D20" s="353"/>
    </row>
    <row r="21" spans="1:7" s="201" customFormat="1" ht="15.75" customHeight="1">
      <c r="A21" s="208" t="s">
        <v>95</v>
      </c>
      <c r="B21" s="277" t="s">
        <v>101</v>
      </c>
      <c r="C21" s="353"/>
      <c r="D21" s="353"/>
    </row>
    <row r="22" spans="1:7" s="201" customFormat="1" ht="15.75" customHeight="1">
      <c r="A22" s="213"/>
      <c r="B22" s="201" t="s">
        <v>479</v>
      </c>
      <c r="C22" s="353">
        <f>C11</f>
        <v>601740951.09000003</v>
      </c>
      <c r="D22" s="353">
        <f>D11</f>
        <v>453621097</v>
      </c>
    </row>
    <row r="23" spans="1:7" s="201" customFormat="1" ht="15.75" customHeight="1" thickBot="1">
      <c r="A23" s="330"/>
      <c r="B23" s="386" t="s">
        <v>71</v>
      </c>
      <c r="C23" s="359">
        <f>SUM(C22:C22)</f>
        <v>601740951.09000003</v>
      </c>
      <c r="D23" s="359">
        <f>SUM(D22:D22)</f>
        <v>453621097</v>
      </c>
    </row>
    <row r="24" spans="1:7" s="201" customFormat="1" ht="15.75" customHeight="1">
      <c r="A24" s="213"/>
      <c r="B24" s="376"/>
      <c r="C24" s="353"/>
      <c r="D24" s="353"/>
    </row>
    <row r="25" spans="1:7" s="201" customFormat="1" ht="15.75" customHeight="1">
      <c r="A25" s="323">
        <f>A9+1</f>
        <v>17</v>
      </c>
      <c r="B25" s="289" t="s">
        <v>14</v>
      </c>
      <c r="C25" s="353"/>
      <c r="D25" s="353"/>
    </row>
    <row r="26" spans="1:7" s="201" customFormat="1" ht="15.75" customHeight="1">
      <c r="A26" s="213">
        <f t="shared" ref="A26" si="1">A25+0.1</f>
        <v>17.100000000000001</v>
      </c>
      <c r="B26" s="254" t="s">
        <v>17</v>
      </c>
      <c r="C26" s="353"/>
      <c r="D26" s="362"/>
      <c r="G26" s="361"/>
    </row>
    <row r="27" spans="1:7" s="201" customFormat="1" ht="15.75" customHeight="1">
      <c r="A27" s="213"/>
      <c r="B27" s="436" t="s">
        <v>711</v>
      </c>
      <c r="C27" s="353" cm="1">
        <f t="array" ref="C27">-SUMIF(Table2[FS Subgroup],'16-23'!B27:B27,Table2[Adjusted balance as on 31-03-2026])</f>
        <v>3782232.59</v>
      </c>
      <c r="D27" s="362">
        <v>3500599.75</v>
      </c>
      <c r="G27" s="361"/>
    </row>
    <row r="28" spans="1:7" s="201" customFormat="1" ht="15.75" customHeight="1">
      <c r="A28" s="213"/>
      <c r="B28" s="436" t="s">
        <v>710</v>
      </c>
      <c r="C28" s="353" cm="1">
        <f t="array" ref="C28">-SUMIF(Table2[FS Subgroup],'16-23'!B28:B28,Table2[Adjusted balance as on 31-03-2026])</f>
        <v>31353</v>
      </c>
      <c r="D28" s="362">
        <v>0</v>
      </c>
      <c r="G28" s="361"/>
    </row>
    <row r="29" spans="1:7" s="201" customFormat="1" ht="15.75" customHeight="1">
      <c r="A29" s="213"/>
      <c r="B29" s="436" t="s">
        <v>583</v>
      </c>
      <c r="C29" s="353" cm="1">
        <f t="array" ref="C29">-SUMIF(Table2[FS Subgroup],'16-23'!B29:B29,Table2[Adjusted balance as on 31-03-2026])</f>
        <v>0</v>
      </c>
      <c r="D29" s="362">
        <v>111865</v>
      </c>
      <c r="G29" s="361"/>
    </row>
    <row r="30" spans="1:7" s="201" customFormat="1" ht="15.75" customHeight="1">
      <c r="A30" s="213">
        <f>A26+0.1</f>
        <v>17.200000000000003</v>
      </c>
      <c r="B30" s="298" t="s">
        <v>947</v>
      </c>
      <c r="C30" s="353" cm="1">
        <f t="array" ref="C30">-SUMIF(Table2[FS Subgroup],'16-23'!B30:B30,Table2[Adjusted balance as on 31-03-2026])</f>
        <v>5000</v>
      </c>
      <c r="D30" s="362">
        <v>0</v>
      </c>
      <c r="G30" s="361"/>
    </row>
    <row r="31" spans="1:7" s="201" customFormat="1" ht="15.75" customHeight="1">
      <c r="A31" s="213">
        <f>A30+0.1</f>
        <v>17.300000000000004</v>
      </c>
      <c r="B31" s="298" t="s">
        <v>948</v>
      </c>
      <c r="C31" s="353" cm="1">
        <f t="array" ref="C31">-SUMIF(Table2[FS Subgroup],'16-23'!B31:B31,Table2[Adjusted balance as on 31-03-2026])</f>
        <v>8000000</v>
      </c>
      <c r="D31" s="362">
        <v>0</v>
      </c>
      <c r="G31" s="361"/>
    </row>
    <row r="32" spans="1:7" s="201" customFormat="1" ht="15.75" customHeight="1">
      <c r="A32" s="213">
        <f>A31+0.1</f>
        <v>17.400000000000006</v>
      </c>
      <c r="B32" s="298" t="s">
        <v>480</v>
      </c>
      <c r="C32" s="353" cm="1">
        <f t="array" ref="C32">-SUMIF(Table2[FS Subgroup],'16-23'!B32:B32,Table2[Adjusted balance as on 31-03-2026])</f>
        <v>4.1399999999999997</v>
      </c>
      <c r="D32" s="353">
        <v>7.17</v>
      </c>
    </row>
    <row r="33" spans="1:4" s="201" customFormat="1" ht="15.75" customHeight="1">
      <c r="A33" s="213"/>
      <c r="B33" s="298"/>
      <c r="C33" s="353"/>
      <c r="D33" s="353"/>
    </row>
    <row r="34" spans="1:4" s="201" customFormat="1" ht="16.5" customHeight="1" thickBot="1">
      <c r="A34" s="330"/>
      <c r="B34" s="386" t="s">
        <v>1</v>
      </c>
      <c r="C34" s="390">
        <f>SUM(C26:C32)</f>
        <v>11818589.73</v>
      </c>
      <c r="D34" s="390">
        <f>SUM(D26:D32)</f>
        <v>3612471.92</v>
      </c>
    </row>
    <row r="35" spans="1:4" s="201" customFormat="1">
      <c r="A35" s="320"/>
      <c r="B35" s="335"/>
      <c r="C35" s="363"/>
      <c r="D35" s="363"/>
    </row>
    <row r="36" spans="1:4" s="201" customFormat="1" ht="15" customHeight="1">
      <c r="A36" s="208">
        <f>A25+1</f>
        <v>18</v>
      </c>
      <c r="B36" s="289" t="s">
        <v>481</v>
      </c>
      <c r="C36" s="353"/>
      <c r="D36" s="353"/>
    </row>
    <row r="37" spans="1:4" s="201" customFormat="1" ht="15" customHeight="1">
      <c r="A37" s="213">
        <f>A36+0.1</f>
        <v>18.100000000000001</v>
      </c>
      <c r="B37" s="297" t="s">
        <v>351</v>
      </c>
      <c r="C37" s="353" cm="1">
        <f t="array" ref="C37">SUMIF(Table2[FS Subgroup],'16-23'!B37:B37,Table2[Adjusted balance as on 31-03-2026])</f>
        <v>70563000.370000005</v>
      </c>
      <c r="D37" s="353">
        <v>41381396</v>
      </c>
    </row>
    <row r="38" spans="1:4" s="201" customFormat="1" ht="15" customHeight="1">
      <c r="A38" s="213">
        <f>A37+0.1</f>
        <v>18.200000000000003</v>
      </c>
      <c r="B38" s="297" t="s">
        <v>713</v>
      </c>
      <c r="C38" s="353" cm="1">
        <f t="array" ref="C38">SUMIF(Table2[FS Subgroup],'16-23'!B38:B38,Table2[Adjusted balance as on 31-03-2026])</f>
        <v>81620248</v>
      </c>
      <c r="D38" s="353">
        <v>92575050.640000001</v>
      </c>
    </row>
    <row r="39" spans="1:4" s="201" customFormat="1" ht="15" customHeight="1">
      <c r="A39" s="213">
        <f>A38+0.1</f>
        <v>18.300000000000004</v>
      </c>
      <c r="B39" s="297" t="s">
        <v>714</v>
      </c>
      <c r="C39" s="353" cm="1">
        <f t="array" ref="C39">SUMIF(Table2[FS Subgroup],'16-23'!B39:B39,Table2[Adjusted balance as on 31-03-2026])</f>
        <v>73739161.129999995</v>
      </c>
      <c r="D39" s="353">
        <v>97545427.840000004</v>
      </c>
    </row>
    <row r="40" spans="1:4" s="201" customFormat="1" ht="15" customHeight="1">
      <c r="A40" s="213">
        <f>A39+0.1</f>
        <v>18.400000000000006</v>
      </c>
      <c r="B40" s="297" t="s">
        <v>715</v>
      </c>
      <c r="C40" s="353" cm="1">
        <f t="array" ref="C40">SUMIF(Table2[FS Subgroup],'16-23'!B40:B40,Table2[Adjusted balance as on 31-03-2026])</f>
        <v>0</v>
      </c>
      <c r="D40" s="353">
        <v>5000000</v>
      </c>
    </row>
    <row r="41" spans="1:4" s="201" customFormat="1" ht="15" customHeight="1">
      <c r="A41" s="213"/>
      <c r="B41" s="297"/>
      <c r="C41" s="353"/>
      <c r="D41" s="353"/>
    </row>
    <row r="42" spans="1:4" s="201" customFormat="1" ht="15.75" customHeight="1" thickBot="1">
      <c r="A42" s="330"/>
      <c r="B42" s="386" t="s">
        <v>1</v>
      </c>
      <c r="C42" s="390">
        <f>SUM(C37:C40)</f>
        <v>225922409.5</v>
      </c>
      <c r="D42" s="390">
        <f>SUM(D37:D40)</f>
        <v>236501874.48000002</v>
      </c>
    </row>
    <row r="43" spans="1:4" s="201" customFormat="1">
      <c r="A43" s="320"/>
      <c r="B43" s="379"/>
      <c r="C43" s="353"/>
      <c r="D43" s="353"/>
    </row>
    <row r="44" spans="1:4" s="201" customFormat="1" ht="15.75" customHeight="1">
      <c r="A44" s="323">
        <f>A36+1</f>
        <v>19</v>
      </c>
      <c r="B44" s="289" t="s">
        <v>74</v>
      </c>
      <c r="C44" s="353"/>
      <c r="D44" s="353"/>
    </row>
    <row r="45" spans="1:4" s="201" customFormat="1" ht="15.75" customHeight="1">
      <c r="A45" s="213">
        <f>A44+0.1</f>
        <v>19.100000000000001</v>
      </c>
      <c r="B45" s="254" t="s">
        <v>243</v>
      </c>
      <c r="C45" s="353" cm="1">
        <f t="array" ref="C45">SUMIF(Table2[FS Subgroup],'16-23'!B45:B45,Table2[Adjusted balance as on 31-03-2026])</f>
        <v>163491002</v>
      </c>
      <c r="D45" s="353">
        <f>+'Sub Schedule P &amp; L'!C34</f>
        <v>111689316.98</v>
      </c>
    </row>
    <row r="46" spans="1:4" s="201" customFormat="1" ht="15.75" customHeight="1">
      <c r="A46" s="213">
        <f>A45+0.1</f>
        <v>19.200000000000003</v>
      </c>
      <c r="B46" s="298" t="s">
        <v>168</v>
      </c>
      <c r="C46" s="353" cm="1">
        <f t="array" ref="C46">SUMIF(Table2[FS Subgroup],'16-23'!B46:B46,Table2[Adjusted balance as on 31-03-2026])</f>
        <v>38000000</v>
      </c>
      <c r="D46" s="353">
        <f>+'Sub Schedule P &amp; L'!C50</f>
        <v>0</v>
      </c>
    </row>
    <row r="47" spans="1:4" s="201" customFormat="1" ht="15.75" customHeight="1">
      <c r="A47" s="213">
        <f>A46+0.1</f>
        <v>19.300000000000004</v>
      </c>
      <c r="B47" s="254" t="s">
        <v>104</v>
      </c>
      <c r="C47" s="353" cm="1">
        <f t="array" ref="C47">SUMIF(Table2[FS Subgroup],'16-23'!B47:B47,Table2[Adjusted balance as on 31-03-2026])</f>
        <v>16980922.57</v>
      </c>
      <c r="D47" s="353">
        <f>+'Sub Schedule P &amp; L'!C44-D53</f>
        <v>13935381</v>
      </c>
    </row>
    <row r="48" spans="1:4" s="201" customFormat="1" ht="15.75" customHeight="1">
      <c r="A48" s="213">
        <f>A47+0.1</f>
        <v>19.400000000000006</v>
      </c>
      <c r="B48" s="254" t="s">
        <v>106</v>
      </c>
      <c r="C48" s="353" cm="1">
        <f t="array" ref="C48">SUMIF(Table2[FS Subgroup],'16-23'!B48:B48,Table2[Adjusted balance as on 31-03-2026])</f>
        <v>12131036.26</v>
      </c>
      <c r="D48" s="353">
        <f>D56</f>
        <v>9623827.3599999994</v>
      </c>
    </row>
    <row r="49" spans="1:4" s="201" customFormat="1" ht="15.75" customHeight="1">
      <c r="A49" s="213">
        <f>A48+0.1</f>
        <v>19.500000000000007</v>
      </c>
      <c r="B49" s="254" t="s">
        <v>778</v>
      </c>
      <c r="C49" s="353" cm="1">
        <f t="array" ref="C49">SUMIF(Table2[FS Subgroup],'16-23'!B49:B49,Table2[Adjusted balance as on 31-03-2026])</f>
        <v>4724292</v>
      </c>
      <c r="D49" s="353">
        <v>56811</v>
      </c>
    </row>
    <row r="50" spans="1:4" s="201" customFormat="1" ht="15.75" customHeight="1">
      <c r="A50" s="213"/>
      <c r="B50" s="254"/>
      <c r="C50" s="353"/>
      <c r="D50" s="355"/>
    </row>
    <row r="51" spans="1:4" s="201" customFormat="1" ht="15.75" customHeight="1">
      <c r="A51" s="213"/>
      <c r="B51" s="376" t="s">
        <v>1</v>
      </c>
      <c r="C51" s="387">
        <f>SUM(C45:C50)</f>
        <v>235327252.82999998</v>
      </c>
      <c r="D51" s="387">
        <f>SUM(D45:D50)</f>
        <v>135305336.34</v>
      </c>
    </row>
    <row r="52" spans="1:4" s="201" customFormat="1" ht="27.75" customHeight="1">
      <c r="A52" s="208" t="s">
        <v>95</v>
      </c>
      <c r="B52" s="277" t="s">
        <v>105</v>
      </c>
      <c r="C52" s="353"/>
      <c r="D52" s="353"/>
    </row>
    <row r="53" spans="1:4" s="201" customFormat="1" ht="15.75" customHeight="1">
      <c r="A53" s="213"/>
      <c r="B53" s="201" t="s">
        <v>22</v>
      </c>
      <c r="C53" s="353" cm="1">
        <f t="array" ref="C53">SUMIF(Table2[FS Group],'16-23'!B53:B53,Table2[Adjusted balance as on 31-03-2026])</f>
        <v>1749457</v>
      </c>
      <c r="D53" s="353">
        <f>'Sub Schedule P &amp; L'!C43</f>
        <v>1914430</v>
      </c>
    </row>
    <row r="54" spans="1:4" s="201" customFormat="1" ht="15.75" customHeight="1">
      <c r="A54" s="213"/>
      <c r="B54" s="201" t="s">
        <v>23</v>
      </c>
      <c r="C54" s="353" cm="1">
        <f t="array" ref="C54">SUMIF(Table2[FS Group],'16-23'!B54:B54,Table2[Adjusted balance as on 31-03-2026])</f>
        <v>10355354</v>
      </c>
      <c r="D54" s="353">
        <f>'Sub Schedule P &amp; L'!C37</f>
        <v>7684444</v>
      </c>
    </row>
    <row r="55" spans="1:4" s="201" customFormat="1" ht="15.75" customHeight="1">
      <c r="A55" s="213"/>
      <c r="B55" s="344" t="s">
        <v>506</v>
      </c>
      <c r="C55" s="353" cm="1">
        <f t="array" ref="C55">SUMIF(Table2[FS Group],'16-23'!B55:B55,Table2[Adjusted balance as on 31-03-2026])</f>
        <v>26225.26</v>
      </c>
      <c r="D55" s="353">
        <v>24953.360000000001</v>
      </c>
    </row>
    <row r="56" spans="1:4" s="201" customFormat="1" ht="15.75" customHeight="1" thickBot="1">
      <c r="A56" s="330"/>
      <c r="B56" s="386" t="s">
        <v>1</v>
      </c>
      <c r="C56" s="359">
        <f>SUM(C53:C55)</f>
        <v>12131036.26</v>
      </c>
      <c r="D56" s="360">
        <f>SUM(D53:D55)</f>
        <v>9623827.3599999994</v>
      </c>
    </row>
    <row r="57" spans="1:4" s="201" customFormat="1">
      <c r="A57" s="213"/>
      <c r="B57" s="204"/>
      <c r="C57" s="353"/>
      <c r="D57" s="353"/>
    </row>
    <row r="58" spans="1:4" s="201" customFormat="1" ht="15.75" customHeight="1">
      <c r="A58" s="323">
        <f>A44+1</f>
        <v>20</v>
      </c>
      <c r="B58" s="289" t="s">
        <v>107</v>
      </c>
      <c r="C58" s="353"/>
      <c r="D58" s="353"/>
    </row>
    <row r="59" spans="1:4" s="201" customFormat="1" ht="15.75" customHeight="1">
      <c r="A59" s="213">
        <f>A58+0.1</f>
        <v>20.100000000000001</v>
      </c>
      <c r="B59" s="254" t="s">
        <v>108</v>
      </c>
      <c r="C59" s="353" cm="1">
        <f t="array" ref="C59">SUMIF(Table2[FS Subgroup],'16-23'!B59:B59,Table2[Adjusted balance as on 31-03-2026])</f>
        <v>0</v>
      </c>
      <c r="D59" s="353">
        <v>0</v>
      </c>
    </row>
    <row r="60" spans="1:4" s="201" customFormat="1" ht="15.75" customHeight="1">
      <c r="A60" s="213">
        <f>A59+0.1</f>
        <v>20.200000000000003</v>
      </c>
      <c r="B60" s="254" t="s">
        <v>596</v>
      </c>
      <c r="C60" s="353" cm="1">
        <f t="array" ref="C60">SUMIF(Table2[FS Subgroup],'16-23'!B60:B60,Table2[Adjusted balance as on 31-03-2026])</f>
        <v>18687.8</v>
      </c>
      <c r="D60" s="353">
        <v>3342.85</v>
      </c>
    </row>
    <row r="61" spans="1:4" s="201" customFormat="1" ht="15.75" customHeight="1">
      <c r="A61" s="213"/>
      <c r="B61" s="218"/>
      <c r="C61" s="353"/>
      <c r="D61" s="354"/>
    </row>
    <row r="62" spans="1:4" s="201" customFormat="1" ht="16.5" customHeight="1" thickBot="1">
      <c r="A62" s="330"/>
      <c r="B62" s="386" t="s">
        <v>1</v>
      </c>
      <c r="C62" s="390">
        <f>SUM(C58:C61)</f>
        <v>18687.8</v>
      </c>
      <c r="D62" s="815">
        <f>SUM(D58:D61)</f>
        <v>3342.85</v>
      </c>
    </row>
    <row r="63" spans="1:4" s="201" customFormat="1">
      <c r="A63" s="213"/>
      <c r="B63" s="221"/>
      <c r="C63" s="365"/>
      <c r="D63" s="365"/>
    </row>
    <row r="64" spans="1:4" s="201" customFormat="1" ht="15" customHeight="1">
      <c r="A64" s="208">
        <f>A58+1</f>
        <v>21</v>
      </c>
      <c r="B64" s="289" t="s">
        <v>183</v>
      </c>
      <c r="C64" s="364"/>
      <c r="D64" s="364"/>
    </row>
    <row r="65" spans="1:5" s="201" customFormat="1" ht="15" customHeight="1">
      <c r="A65" s="213">
        <f>A64+0.1</f>
        <v>21.1</v>
      </c>
      <c r="B65" s="297" t="s">
        <v>25</v>
      </c>
      <c r="C65" s="353" cm="1">
        <f t="array" ref="C65">SUMIF(Table2[FS Subgroup],'16-23'!B65:B65,Table2[Adjusted balance as on 31-03-2026])</f>
        <v>2045608.09</v>
      </c>
      <c r="D65" s="353">
        <v>1363386.94</v>
      </c>
    </row>
    <row r="66" spans="1:5" s="201" customFormat="1" ht="15" customHeight="1">
      <c r="A66" s="213">
        <f>A65+0.1</f>
        <v>21.200000000000003</v>
      </c>
      <c r="B66" s="297" t="s">
        <v>218</v>
      </c>
      <c r="C66" s="353" cm="1">
        <f t="array" ref="C66">SUMIF(Table2[FS Subgroup],'16-23'!B66:B66,Table2[Adjusted balance as on 31-03-2026])</f>
        <v>0</v>
      </c>
      <c r="D66" s="354">
        <v>0</v>
      </c>
    </row>
    <row r="67" spans="1:5" s="201" customFormat="1" ht="15" customHeight="1">
      <c r="A67" s="213"/>
      <c r="B67" s="294"/>
      <c r="C67" s="355"/>
      <c r="D67" s="353"/>
    </row>
    <row r="68" spans="1:5" s="201" customFormat="1" ht="15.75" thickBot="1">
      <c r="A68" s="330"/>
      <c r="B68" s="386" t="s">
        <v>1</v>
      </c>
      <c r="C68" s="390">
        <f>SUM(C64:C67)</f>
        <v>2045608.09</v>
      </c>
      <c r="D68" s="815">
        <f>SUM(D64:D67)</f>
        <v>1363386.94</v>
      </c>
    </row>
    <row r="69" spans="1:5" s="201" customFormat="1">
      <c r="A69" s="213"/>
      <c r="B69" s="221"/>
      <c r="C69" s="365"/>
      <c r="D69" s="365"/>
    </row>
    <row r="70" spans="1:5" s="201" customFormat="1" ht="15.75" customHeight="1">
      <c r="A70" s="323">
        <f>A64+1</f>
        <v>22</v>
      </c>
      <c r="B70" s="289" t="s">
        <v>76</v>
      </c>
      <c r="C70" s="366"/>
      <c r="D70" s="366"/>
    </row>
    <row r="71" spans="1:5" s="201" customFormat="1" ht="15.75" customHeight="1">
      <c r="A71" s="213"/>
      <c r="B71" s="298" t="s">
        <v>109</v>
      </c>
      <c r="C71" s="353" cm="1">
        <f t="array" ref="C71">SUMIF(Table2[FS Subgroup],'16-23'!B71:B71,Table2[Adjusted balance as on 31-03-2026])</f>
        <v>1087960.56</v>
      </c>
      <c r="D71" s="353">
        <f>'TB 2025'!E233</f>
        <v>724690.52</v>
      </c>
      <c r="E71" s="201">
        <v>1</v>
      </c>
    </row>
    <row r="72" spans="1:5" s="201" customFormat="1" ht="15.75" customHeight="1">
      <c r="A72" s="213"/>
      <c r="B72" s="254" t="s">
        <v>110</v>
      </c>
      <c r="C72" s="353" cm="1">
        <f t="array" ref="C72">SUMIF(Table2[FS Subgroup],'16-23'!B72:B72,Table2[Adjusted balance as on 31-03-2026])</f>
        <v>7429986.8300000001</v>
      </c>
      <c r="D72" s="368">
        <f>'TB 2025'!E231+'TB 2025'!E232</f>
        <v>5382331.7999999998</v>
      </c>
      <c r="E72" s="201">
        <v>2</v>
      </c>
    </row>
    <row r="73" spans="1:5" s="201" customFormat="1" ht="15.75" customHeight="1">
      <c r="A73" s="213"/>
      <c r="B73" s="254" t="s">
        <v>786</v>
      </c>
      <c r="C73" s="353" cm="1">
        <f t="array" ref="C73">SUMIF(Table2[FS Subgroup],'16-23'!B73:B73,Table2[Adjusted balance as on 31-03-2026])</f>
        <v>13849650.08</v>
      </c>
      <c r="D73" s="368">
        <f>SUM('TB 2025'!E280:E283)</f>
        <v>8521568</v>
      </c>
    </row>
    <row r="74" spans="1:5" s="201" customFormat="1" ht="15.75" customHeight="1">
      <c r="A74" s="213"/>
      <c r="B74" s="254" t="s">
        <v>787</v>
      </c>
      <c r="C74" s="353" cm="1">
        <f t="array" ref="C74">SUMIF(Table2[FS Subgroup],'16-23'!B74:B74,Table2[Adjusted balance as on 31-03-2026])</f>
        <v>3503612.05</v>
      </c>
      <c r="D74" s="353">
        <f>+'Groupings P &amp;L'!C20-D73</f>
        <v>3278591.1999999993</v>
      </c>
      <c r="E74" s="201">
        <v>3</v>
      </c>
    </row>
    <row r="75" spans="1:5" s="201" customFormat="1" ht="15.75" customHeight="1">
      <c r="A75" s="213"/>
      <c r="B75" s="298" t="s">
        <v>111</v>
      </c>
      <c r="C75" s="353" cm="1">
        <f t="array" ref="C75">SUMIF(Table2[FS Subgroup],'16-23'!B75:B75,Table2[Adjusted balance as on 31-03-2026])</f>
        <v>661181.49</v>
      </c>
      <c r="D75" s="368">
        <v>973377.35</v>
      </c>
      <c r="E75" s="201">
        <v>4</v>
      </c>
    </row>
    <row r="76" spans="1:5" s="201" customFormat="1" ht="15.75" customHeight="1">
      <c r="A76" s="213"/>
      <c r="B76" s="298" t="s">
        <v>788</v>
      </c>
      <c r="C76" s="353" cm="1">
        <f t="array" ref="C76">SUMIF(Table2[FS Subgroup],'16-23'!B76:B76,Table2[Adjusted balance as on 31-03-2026])</f>
        <v>3115077</v>
      </c>
      <c r="D76" s="368">
        <f>SUM('TB 2025'!E276:E279)</f>
        <v>2416541</v>
      </c>
    </row>
    <row r="77" spans="1:5" s="201" customFormat="1" ht="15.75" customHeight="1">
      <c r="A77" s="367"/>
      <c r="B77" s="369" t="s">
        <v>485</v>
      </c>
      <c r="C77" s="353" cm="1">
        <f t="array" ref="C77">SUMIF(Table2[FS Subgroup],'16-23'!B77:B77,Table2[Adjusted balance as on 31-03-2026])</f>
        <v>14963048.879999999</v>
      </c>
      <c r="D77" s="368">
        <f>862233.74+5210188.01+3631400+623359</f>
        <v>10327180.75</v>
      </c>
      <c r="E77" s="201">
        <v>14</v>
      </c>
    </row>
    <row r="78" spans="1:5" s="201" customFormat="1" ht="15.75" customHeight="1">
      <c r="A78" s="213"/>
      <c r="B78" s="298" t="s">
        <v>789</v>
      </c>
      <c r="C78" s="353" cm="1">
        <f t="array" ref="C78">SUMIF(Table2[FS Subgroup],'16-23'!B78:B78,Table2[Adjusted balance as on 31-03-2026])</f>
        <v>19105356.129999999</v>
      </c>
      <c r="D78" s="368">
        <f>'TB 2025'!E238</f>
        <v>10280671.859999999</v>
      </c>
    </row>
    <row r="79" spans="1:5" s="201" customFormat="1" ht="15.75" customHeight="1">
      <c r="A79" s="367"/>
      <c r="B79" s="369" t="s">
        <v>486</v>
      </c>
      <c r="C79" s="959" cm="1">
        <f t="array" ref="C79">SUMIF(Table2[FS Subgroup],'16-23'!B79:B79,Table2[Adjusted balance as on 31-03-2026])</f>
        <v>54382500</v>
      </c>
      <c r="D79" s="368">
        <v>0</v>
      </c>
      <c r="E79" s="201">
        <v>15</v>
      </c>
    </row>
    <row r="80" spans="1:5" s="201" customFormat="1" ht="15.75" customHeight="1">
      <c r="A80" s="213"/>
      <c r="B80" s="298" t="s">
        <v>215</v>
      </c>
      <c r="C80" s="353"/>
      <c r="D80" s="353"/>
      <c r="E80" s="201">
        <v>5</v>
      </c>
    </row>
    <row r="81" spans="1:5" s="201" customFormat="1" ht="15.75" customHeight="1">
      <c r="A81" s="367"/>
      <c r="B81" s="334" t="s">
        <v>217</v>
      </c>
      <c r="C81" s="353">
        <v>250000</v>
      </c>
      <c r="D81" s="368">
        <v>200000</v>
      </c>
      <c r="E81" s="201">
        <v>6</v>
      </c>
    </row>
    <row r="82" spans="1:5" s="201" customFormat="1" ht="15.75" customHeight="1">
      <c r="A82" s="367"/>
      <c r="B82" s="334" t="s">
        <v>216</v>
      </c>
      <c r="C82" s="353">
        <v>200000</v>
      </c>
      <c r="D82" s="368">
        <v>199120</v>
      </c>
      <c r="E82" s="201">
        <v>7</v>
      </c>
    </row>
    <row r="83" spans="1:5" s="201" customFormat="1" ht="15.75" customHeight="1">
      <c r="A83" s="367"/>
      <c r="B83" s="377" t="s">
        <v>482</v>
      </c>
      <c r="C83" s="353" cm="1">
        <f t="array" ref="C83">SUMIF(Table2[FS Subgroup],'16-23'!B83:B83,Table2[Adjusted balance as on 31-03-2026])</f>
        <v>0</v>
      </c>
      <c r="D83" s="368"/>
      <c r="E83" s="201">
        <v>8</v>
      </c>
    </row>
    <row r="84" spans="1:5" s="201" customFormat="1" ht="15.75" customHeight="1">
      <c r="A84" s="367"/>
      <c r="B84" s="377" t="s">
        <v>483</v>
      </c>
      <c r="C84" s="353">
        <v>379800</v>
      </c>
      <c r="D84" s="368">
        <f>750000+450000</f>
        <v>1200000</v>
      </c>
      <c r="E84" s="201">
        <v>9</v>
      </c>
    </row>
    <row r="85" spans="1:5" s="201" customFormat="1" ht="15.75" customHeight="1">
      <c r="A85" s="367"/>
      <c r="B85" s="298" t="s">
        <v>158</v>
      </c>
      <c r="C85" s="353" cm="1">
        <f t="array" ref="C85">SUMIF(Table2[FS Subgroup],'16-23'!B85:B85,Table2[Adjusted balance as on 31-03-2026])</f>
        <v>0</v>
      </c>
      <c r="D85" s="353">
        <v>0</v>
      </c>
      <c r="E85" s="201">
        <v>10</v>
      </c>
    </row>
    <row r="86" spans="1:5" s="201" customFormat="1" ht="15.75" customHeight="1">
      <c r="A86" s="367"/>
      <c r="B86" s="298" t="s">
        <v>161</v>
      </c>
      <c r="C86" s="353" cm="1">
        <f t="array" ref="C86">SUMIF(Table2[FS Subgroup],'16-23'!B86:B86,Table2[Adjusted balance as on 31-03-2026])</f>
        <v>508333.23</v>
      </c>
      <c r="D86" s="354">
        <f>+'Sub Schedule P &amp; L'!C66</f>
        <v>245350</v>
      </c>
      <c r="E86" s="201">
        <v>11</v>
      </c>
    </row>
    <row r="87" spans="1:5" s="201" customFormat="1" ht="15.75" customHeight="1">
      <c r="A87" s="367"/>
      <c r="B87" s="369" t="s">
        <v>373</v>
      </c>
      <c r="C87" s="353" cm="1">
        <f t="array" ref="C87">SUMIF(Table2[FS Subgroup],'16-23'!B87:B87,Table2[Adjusted balance as on 31-03-2026])</f>
        <v>4521697.95</v>
      </c>
      <c r="D87" s="353">
        <f>+'Sub Schedule P &amp; L'!C61-D71-'TB 2025'!E231-D76</f>
        <v>2042955.0999999996</v>
      </c>
      <c r="E87" s="201">
        <v>12</v>
      </c>
    </row>
    <row r="88" spans="1:5" s="201" customFormat="1" ht="15.75" customHeight="1">
      <c r="A88" s="367"/>
      <c r="B88" s="369" t="s">
        <v>484</v>
      </c>
      <c r="C88" s="353" cm="1">
        <f t="array" ref="C88">SUMIF(Table2[FS Subgroup],'16-23'!B88:B88,Table2[Adjusted balance as on 31-03-2026])-SUM(C81:C84)</f>
        <v>6832628.7999999998</v>
      </c>
      <c r="D88" s="368">
        <f>5280763</f>
        <v>5280763</v>
      </c>
      <c r="E88" s="201">
        <v>13</v>
      </c>
    </row>
    <row r="89" spans="1:5" s="201" customFormat="1" ht="15.75" customHeight="1">
      <c r="A89" s="367"/>
      <c r="B89" s="369" t="s">
        <v>112</v>
      </c>
      <c r="C89" s="353" cm="1">
        <f t="array" ref="C89">SUMIF(Table2[FS Subgroup],'16-23'!B89:B89,Table2[Adjusted balance as on 31-03-2026])</f>
        <v>1941845.18</v>
      </c>
      <c r="D89" s="385">
        <v>764776.07</v>
      </c>
      <c r="E89" s="201">
        <v>16</v>
      </c>
    </row>
    <row r="90" spans="1:5" s="201" customFormat="1" ht="15.75" customHeight="1">
      <c r="A90" s="367"/>
      <c r="B90" s="369" t="s">
        <v>488</v>
      </c>
      <c r="C90" s="353" cm="1">
        <f t="array" ref="C90">SUMIF(Table2[FS Subgroup],'16-23'!B90:B90,Table2[Adjusted balance as on 31-03-2026])</f>
        <v>17109</v>
      </c>
      <c r="D90" s="368">
        <v>5355</v>
      </c>
      <c r="E90" s="201">
        <v>17</v>
      </c>
    </row>
    <row r="91" spans="1:5" s="201" customFormat="1" ht="15.75" customHeight="1">
      <c r="A91" s="367"/>
      <c r="B91" s="369" t="s">
        <v>487</v>
      </c>
      <c r="C91" s="353" cm="1">
        <f t="array" ref="C91">SUMIF(Table2[FS Subgroup],'16-23'!B91:B91,Table2[Adjusted balance as on 31-03-2026])</f>
        <v>473064.78</v>
      </c>
      <c r="D91" s="368">
        <f>+'Sub Schedule P &amp; L'!C54-D78</f>
        <v>310043.21000000089</v>
      </c>
      <c r="E91" s="201">
        <v>18</v>
      </c>
    </row>
    <row r="92" spans="1:5" s="201" customFormat="1" ht="15.75" customHeight="1">
      <c r="A92" s="367"/>
      <c r="B92" s="369" t="s">
        <v>113</v>
      </c>
      <c r="C92" s="353" cm="1">
        <f t="array" ref="C92">SUMIF(Table2[FS Subgroup],'16-23'!B92:B92,Table2[Adjusted balance as on 31-03-2026])</f>
        <v>866242.15</v>
      </c>
      <c r="D92" s="353">
        <f>500793.24+4749+337.52</f>
        <v>505879.76</v>
      </c>
      <c r="E92" s="201">
        <v>19</v>
      </c>
    </row>
    <row r="93" spans="1:5" s="201" customFormat="1" ht="15.75" customHeight="1">
      <c r="A93" s="367"/>
      <c r="B93" s="369" t="s">
        <v>595</v>
      </c>
      <c r="C93" s="353" cm="1">
        <f t="array" ref="C93">SUMIF(Table2[FS Subgroup],'16-23'!B93:B93,Table2[Adjusted balance as on 31-03-2026])</f>
        <v>0</v>
      </c>
      <c r="D93" s="353">
        <v>28343</v>
      </c>
      <c r="E93" s="201">
        <v>21</v>
      </c>
    </row>
    <row r="94" spans="1:5" s="201" customFormat="1" ht="15.75" customHeight="1">
      <c r="A94" s="367"/>
      <c r="B94" s="369"/>
      <c r="C94" s="353"/>
      <c r="D94" s="354"/>
    </row>
    <row r="95" spans="1:5" s="201" customFormat="1" ht="15.75" customHeight="1" thickBot="1">
      <c r="A95" s="330"/>
      <c r="B95" s="386" t="s">
        <v>1</v>
      </c>
      <c r="C95" s="815">
        <f>SUM(C71:C93)</f>
        <v>134089094.11000001</v>
      </c>
      <c r="D95" s="815">
        <f>SUM(D71:D93)</f>
        <v>52687537.620000005</v>
      </c>
    </row>
    <row r="96" spans="1:5" s="201" customFormat="1" ht="15.75" customHeight="1">
      <c r="A96" s="213"/>
      <c r="B96" s="376"/>
      <c r="C96" s="357"/>
      <c r="D96" s="357"/>
    </row>
    <row r="97" spans="1:4">
      <c r="A97" s="323">
        <f>+A70+1</f>
        <v>23</v>
      </c>
      <c r="B97" s="380" t="s">
        <v>221</v>
      </c>
      <c r="C97" s="395"/>
      <c r="D97" s="395"/>
    </row>
    <row r="98" spans="1:4">
      <c r="A98" s="370"/>
      <c r="B98" s="381" t="s">
        <v>221</v>
      </c>
      <c r="C98" s="354" cm="1">
        <f t="array" ref="C98">SUMIF(Table2[FS Subgroup],'16-23'!B98:B98,Table2[Adjusted balance as on 31-03-2026])</f>
        <v>5200000</v>
      </c>
      <c r="D98" s="214">
        <v>8000000</v>
      </c>
    </row>
    <row r="99" spans="1:4">
      <c r="A99" s="370"/>
      <c r="B99" s="381" t="s">
        <v>716</v>
      </c>
      <c r="C99" s="354" cm="1">
        <f t="array" ref="C99">SUMIF(Table2[FS Subgroup],'16-23'!B99:B99,Table2[Adjusted balance as on 31-03-2026])</f>
        <v>-52434.6</v>
      </c>
      <c r="D99" s="214"/>
    </row>
    <row r="100" spans="1:4">
      <c r="A100" s="370"/>
      <c r="B100" s="381" t="s">
        <v>219</v>
      </c>
      <c r="C100" s="354"/>
      <c r="D100" s="354">
        <v>0</v>
      </c>
    </row>
    <row r="101" spans="1:4" ht="15.75" thickBot="1">
      <c r="A101" s="371"/>
      <c r="B101" s="382" t="s">
        <v>220</v>
      </c>
      <c r="C101" s="815">
        <f>SUM(C98:C100)</f>
        <v>5147565.4000000004</v>
      </c>
      <c r="D101" s="815">
        <f>SUM(D98:D100)</f>
        <v>8000000</v>
      </c>
    </row>
  </sheetData>
  <pageMargins left="0.70866141732283472" right="0.70866141732283472" top="0.74803149606299213" bottom="0.74803149606299213" header="0.31496062992125984" footer="0.31496062992125984"/>
  <pageSetup paperSize="9" scale="72" orientation="portrait" r:id="rId1"/>
  <rowBreaks count="1" manualBreakCount="1">
    <brk id="68" max="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9AF2-9F69-4246-A6EC-8AC50B47A938}">
  <dimension ref="A1:Z299"/>
  <sheetViews>
    <sheetView showGridLines="0" view="pageBreakPreview" zoomScale="106" zoomScaleNormal="100" workbookViewId="0">
      <selection activeCell="C67" sqref="C67"/>
    </sheetView>
  </sheetViews>
  <sheetFormatPr defaultColWidth="15.42578125" defaultRowHeight="13.5"/>
  <cols>
    <col min="1" max="1" width="5.5703125" style="514" customWidth="1"/>
    <col min="2" max="2" width="6.28515625" style="514" customWidth="1"/>
    <col min="3" max="3" width="27.5703125" style="514" customWidth="1"/>
    <col min="4" max="4" width="22.5703125" style="514" customWidth="1"/>
    <col min="5" max="7" width="20.5703125" style="514" customWidth="1"/>
    <col min="8" max="10" width="18.28515625" style="514" hidden="1" customWidth="1"/>
    <col min="11" max="11" width="24.42578125" style="514" hidden="1" customWidth="1"/>
    <col min="12" max="12" width="25.5703125" style="514" hidden="1" customWidth="1"/>
    <col min="13" max="13" width="20.5703125" style="515" hidden="1" customWidth="1"/>
    <col min="14" max="14" width="36.42578125" style="515" hidden="1" customWidth="1"/>
    <col min="15" max="15" width="31.42578125" style="515" hidden="1" customWidth="1"/>
    <col min="16" max="16" width="10.42578125" style="514" hidden="1" customWidth="1"/>
    <col min="17" max="17" width="10.5703125" style="514" hidden="1" customWidth="1"/>
    <col min="18" max="18" width="34.42578125" style="515" hidden="1" customWidth="1"/>
    <col min="19" max="20" width="18.42578125" style="515" hidden="1" customWidth="1"/>
    <col min="21" max="21" width="12.5703125" style="514" hidden="1" customWidth="1"/>
    <col min="22" max="22" width="13.5703125" style="514" hidden="1" customWidth="1"/>
    <col min="23" max="23" width="0" style="514" hidden="1" customWidth="1"/>
    <col min="24" max="24" width="15.42578125" style="514" customWidth="1"/>
    <col min="25" max="16384" width="15.42578125" style="514"/>
  </cols>
  <sheetData>
    <row r="1" spans="1:26" ht="14.25" thickBot="1"/>
    <row r="2" spans="1:26" ht="15.75">
      <c r="A2" s="512"/>
      <c r="B2" s="417" t="s">
        <v>306</v>
      </c>
      <c r="C2" s="525"/>
      <c r="D2" s="525"/>
      <c r="E2" s="525"/>
      <c r="F2" s="525"/>
      <c r="G2" s="525"/>
      <c r="H2" s="513"/>
      <c r="I2" s="513"/>
      <c r="J2" s="513"/>
      <c r="K2" s="513"/>
    </row>
    <row r="3" spans="1:26" ht="15">
      <c r="A3" s="512"/>
      <c r="B3" s="384" t="s">
        <v>308</v>
      </c>
      <c r="C3" s="526"/>
      <c r="D3" s="526"/>
      <c r="E3" s="526"/>
      <c r="F3" s="526"/>
      <c r="G3" s="526"/>
      <c r="H3" s="513"/>
      <c r="I3" s="513"/>
      <c r="J3" s="513"/>
      <c r="K3" s="513"/>
    </row>
    <row r="4" spans="1:26" ht="15">
      <c r="A4" s="513"/>
      <c r="B4" s="383"/>
      <c r="C4" s="522"/>
      <c r="D4" s="522"/>
      <c r="E4" s="522"/>
      <c r="F4" s="522"/>
      <c r="G4" s="522"/>
      <c r="H4" s="512"/>
      <c r="I4" s="512"/>
      <c r="J4" s="512"/>
      <c r="K4" s="512"/>
    </row>
    <row r="5" spans="1:26" ht="15">
      <c r="B5" s="391" t="s">
        <v>731</v>
      </c>
      <c r="C5" s="527"/>
      <c r="D5" s="527"/>
      <c r="E5" s="527"/>
      <c r="F5" s="527"/>
      <c r="G5" s="527"/>
      <c r="N5" s="516"/>
      <c r="O5" s="517"/>
      <c r="P5" s="518"/>
      <c r="Q5" s="518"/>
      <c r="R5" s="519"/>
      <c r="S5" s="520"/>
      <c r="T5" s="520"/>
    </row>
    <row r="6" spans="1:26" ht="15">
      <c r="B6" s="392" t="s">
        <v>712</v>
      </c>
      <c r="N6" s="516"/>
      <c r="O6" s="517"/>
      <c r="P6" s="518"/>
      <c r="Q6" s="518"/>
      <c r="R6" s="519"/>
      <c r="S6" s="520"/>
      <c r="T6" s="520"/>
    </row>
    <row r="7" spans="1:26" ht="15">
      <c r="B7" s="449"/>
      <c r="C7" s="528"/>
      <c r="D7" s="528"/>
      <c r="E7" s="528"/>
      <c r="F7" s="528"/>
      <c r="G7" s="528"/>
      <c r="H7" s="528"/>
      <c r="I7" s="528"/>
      <c r="J7" s="528"/>
      <c r="K7" s="528"/>
      <c r="L7" s="528"/>
      <c r="M7" s="529"/>
      <c r="N7" s="530"/>
      <c r="O7" s="531"/>
      <c r="P7" s="532"/>
      <c r="Q7" s="532"/>
      <c r="R7" s="533"/>
      <c r="S7" s="534"/>
      <c r="T7" s="534"/>
      <c r="U7" s="528"/>
      <c r="V7" s="528"/>
      <c r="W7" s="528"/>
      <c r="X7" s="528"/>
      <c r="Y7" s="528"/>
      <c r="Z7" s="528"/>
    </row>
    <row r="8" spans="1:26" ht="15">
      <c r="B8" s="535">
        <f>'16-23'!A97+1</f>
        <v>24</v>
      </c>
      <c r="C8" s="536" t="s">
        <v>792</v>
      </c>
      <c r="D8" s="528"/>
      <c r="E8" s="528"/>
      <c r="F8" s="528"/>
      <c r="G8" s="528"/>
      <c r="H8" s="528"/>
      <c r="I8" s="528"/>
      <c r="J8" s="528"/>
      <c r="K8" s="528"/>
      <c r="L8" s="528"/>
      <c r="M8" s="537"/>
      <c r="N8" s="532"/>
      <c r="O8" s="538"/>
      <c r="P8" s="532"/>
      <c r="Q8" s="532"/>
      <c r="R8" s="539"/>
      <c r="S8" s="539"/>
      <c r="T8" s="538"/>
      <c r="U8" s="528"/>
      <c r="V8" s="528"/>
      <c r="W8" s="528"/>
      <c r="X8" s="528"/>
      <c r="Y8" s="528"/>
      <c r="Z8" s="528"/>
    </row>
    <row r="9" spans="1:26" ht="15">
      <c r="B9" s="535"/>
      <c r="C9" s="928" t="s">
        <v>950</v>
      </c>
      <c r="D9" s="928"/>
      <c r="E9" s="928"/>
      <c r="F9" s="928"/>
      <c r="G9" s="928"/>
      <c r="H9" s="528"/>
      <c r="I9" s="528"/>
      <c r="J9" s="528"/>
      <c r="K9" s="528"/>
      <c r="L9" s="528"/>
      <c r="M9" s="529"/>
      <c r="N9" s="532"/>
      <c r="O9" s="538"/>
      <c r="P9" s="532"/>
      <c r="Q9" s="532"/>
      <c r="R9" s="539"/>
      <c r="S9" s="539"/>
      <c r="T9" s="539"/>
      <c r="U9" s="528"/>
      <c r="V9" s="528"/>
      <c r="W9" s="528"/>
      <c r="X9" s="528"/>
      <c r="Y9" s="528"/>
      <c r="Z9" s="528"/>
    </row>
    <row r="10" spans="1:26" ht="15">
      <c r="B10" s="535"/>
      <c r="C10" s="928"/>
      <c r="D10" s="928"/>
      <c r="E10" s="928"/>
      <c r="F10" s="928"/>
      <c r="G10" s="928"/>
      <c r="H10" s="528"/>
      <c r="I10" s="528"/>
      <c r="J10" s="528"/>
      <c r="K10" s="528"/>
      <c r="L10" s="528"/>
      <c r="M10" s="529"/>
      <c r="N10" s="532"/>
      <c r="O10" s="538"/>
      <c r="P10" s="532"/>
      <c r="Q10" s="532"/>
      <c r="R10" s="539"/>
      <c r="S10" s="539"/>
      <c r="T10" s="539"/>
      <c r="U10" s="528"/>
      <c r="V10" s="528"/>
      <c r="W10" s="528"/>
      <c r="X10" s="528"/>
      <c r="Y10" s="528"/>
      <c r="Z10" s="528"/>
    </row>
    <row r="11" spans="1:26" ht="15">
      <c r="B11" s="535"/>
      <c r="C11" s="528"/>
      <c r="D11" s="528"/>
      <c r="E11" s="528"/>
      <c r="F11" s="528"/>
      <c r="G11" s="528"/>
      <c r="H11" s="528"/>
      <c r="I11" s="528"/>
      <c r="J11" s="528"/>
      <c r="K11" s="528"/>
      <c r="L11" s="528"/>
      <c r="M11" s="529"/>
      <c r="N11" s="532"/>
      <c r="O11" s="532"/>
      <c r="P11" s="532"/>
      <c r="Q11" s="532"/>
      <c r="R11" s="539"/>
      <c r="S11" s="534"/>
      <c r="T11" s="534"/>
      <c r="U11" s="528"/>
      <c r="V11" s="528"/>
      <c r="W11" s="528"/>
      <c r="X11" s="528"/>
      <c r="Y11" s="528"/>
      <c r="Z11" s="528"/>
    </row>
    <row r="12" spans="1:26" ht="15">
      <c r="B12" s="535">
        <f>OLE_LINK7+1</f>
        <v>25</v>
      </c>
      <c r="C12" s="550" t="s">
        <v>951</v>
      </c>
      <c r="D12" s="528"/>
      <c r="E12" s="528"/>
      <c r="F12" s="528"/>
      <c r="G12" s="542"/>
      <c r="H12" s="528"/>
      <c r="I12" s="528"/>
      <c r="J12" s="528"/>
      <c r="K12" s="528"/>
      <c r="L12" s="528"/>
      <c r="M12" s="529"/>
      <c r="N12" s="532"/>
      <c r="O12" s="532"/>
      <c r="P12" s="532"/>
      <c r="Q12" s="532"/>
      <c r="R12" s="539"/>
      <c r="S12" s="534"/>
      <c r="T12" s="534"/>
      <c r="U12" s="528"/>
      <c r="V12" s="528"/>
      <c r="W12" s="528"/>
      <c r="X12" s="528"/>
      <c r="Y12" s="528"/>
      <c r="Z12" s="528"/>
    </row>
    <row r="13" spans="1:26" ht="30">
      <c r="B13" s="535"/>
      <c r="C13" s="561" t="s">
        <v>0</v>
      </c>
      <c r="D13" s="562"/>
      <c r="E13" s="562"/>
      <c r="F13" s="556" t="str">
        <f>+$F$166</f>
        <v>Year Ended
March 31, 2026</v>
      </c>
      <c r="G13" s="556" t="str">
        <f>+$G$166</f>
        <v>Year Ended
March 31, 2025</v>
      </c>
      <c r="H13" s="528"/>
      <c r="I13" s="528"/>
      <c r="J13" s="528"/>
      <c r="K13" s="528"/>
      <c r="L13" s="528"/>
      <c r="M13" s="529"/>
      <c r="N13" s="532"/>
      <c r="O13" s="532"/>
      <c r="P13" s="532"/>
      <c r="Q13" s="532"/>
      <c r="R13" s="539"/>
      <c r="S13" s="534"/>
      <c r="T13" s="534"/>
      <c r="U13" s="528"/>
      <c r="V13" s="528"/>
      <c r="W13" s="528"/>
      <c r="X13" s="528"/>
      <c r="Y13" s="528"/>
      <c r="Z13" s="528"/>
    </row>
    <row r="14" spans="1:26" ht="15">
      <c r="B14" s="535"/>
      <c r="C14" s="541" t="s">
        <v>967</v>
      </c>
      <c r="D14" s="528"/>
      <c r="E14" s="528"/>
      <c r="F14" s="602">
        <v>0</v>
      </c>
      <c r="G14" s="602">
        <v>0</v>
      </c>
      <c r="H14" s="528"/>
      <c r="I14" s="528"/>
      <c r="J14" s="528"/>
      <c r="K14" s="528"/>
      <c r="L14" s="528"/>
      <c r="M14" s="529"/>
      <c r="N14" s="532"/>
      <c r="O14" s="532"/>
      <c r="P14" s="532"/>
      <c r="Q14" s="532"/>
      <c r="R14" s="539"/>
      <c r="S14" s="534"/>
      <c r="T14" s="534"/>
      <c r="U14" s="528"/>
      <c r="V14" s="528"/>
      <c r="W14" s="528"/>
      <c r="X14" s="528"/>
      <c r="Y14" s="528"/>
      <c r="Z14" s="528"/>
    </row>
    <row r="15" spans="1:26" ht="15">
      <c r="B15" s="535"/>
      <c r="C15" s="541"/>
      <c r="D15" s="528"/>
      <c r="E15" s="528"/>
      <c r="F15" s="602"/>
      <c r="G15" s="602"/>
      <c r="H15" s="528"/>
      <c r="I15" s="528"/>
      <c r="J15" s="528"/>
      <c r="K15" s="528"/>
      <c r="L15" s="528"/>
      <c r="M15" s="529"/>
      <c r="N15" s="532"/>
      <c r="O15" s="532"/>
      <c r="P15" s="532"/>
      <c r="Q15" s="532"/>
      <c r="R15" s="539"/>
      <c r="S15" s="534"/>
      <c r="T15" s="534"/>
      <c r="U15" s="528"/>
      <c r="V15" s="528"/>
      <c r="W15" s="528"/>
      <c r="X15" s="528"/>
      <c r="Y15" s="528"/>
      <c r="Z15" s="528"/>
    </row>
    <row r="16" spans="1:26" ht="15.75" thickBot="1">
      <c r="B16" s="535"/>
      <c r="C16" s="547" t="s">
        <v>1</v>
      </c>
      <c r="D16" s="528"/>
      <c r="E16" s="528"/>
      <c r="F16" s="585">
        <f>SUM(F10:F15)</f>
        <v>0</v>
      </c>
      <c r="G16" s="585">
        <f>SUM(G10:G15)</f>
        <v>0</v>
      </c>
      <c r="H16" s="528"/>
      <c r="I16" s="528"/>
      <c r="J16" s="528"/>
      <c r="K16" s="528"/>
      <c r="L16" s="528"/>
      <c r="M16" s="529"/>
      <c r="N16" s="532"/>
      <c r="O16" s="532"/>
      <c r="P16" s="532"/>
      <c r="Q16" s="532"/>
      <c r="R16" s="539"/>
      <c r="S16" s="534"/>
      <c r="T16" s="534"/>
      <c r="U16" s="528"/>
      <c r="V16" s="528"/>
      <c r="W16" s="528"/>
      <c r="X16" s="528"/>
      <c r="Y16" s="528"/>
      <c r="Z16" s="528"/>
    </row>
    <row r="17" spans="2:26" ht="15.75" thickTop="1">
      <c r="B17" s="535"/>
      <c r="C17" s="528"/>
      <c r="D17" s="528"/>
      <c r="E17" s="528"/>
      <c r="F17" s="528"/>
      <c r="G17" s="528"/>
      <c r="H17" s="528"/>
      <c r="I17" s="528"/>
      <c r="J17" s="528"/>
      <c r="K17" s="528"/>
      <c r="L17" s="528"/>
      <c r="M17" s="529"/>
      <c r="N17" s="532"/>
      <c r="O17" s="532"/>
      <c r="P17" s="532"/>
      <c r="Q17" s="532"/>
      <c r="R17" s="539"/>
      <c r="S17" s="534"/>
      <c r="T17" s="534"/>
      <c r="U17" s="528"/>
      <c r="V17" s="528"/>
      <c r="W17" s="528"/>
      <c r="X17" s="528"/>
      <c r="Y17" s="528"/>
      <c r="Z17" s="528"/>
    </row>
    <row r="18" spans="2:26" ht="15">
      <c r="B18" s="535">
        <f>B12+1</f>
        <v>26</v>
      </c>
      <c r="C18" s="548" t="s">
        <v>794</v>
      </c>
      <c r="D18" s="528"/>
      <c r="E18" s="528"/>
      <c r="F18" s="528"/>
      <c r="G18" s="528"/>
      <c r="H18" s="528"/>
      <c r="I18" s="528"/>
      <c r="J18" s="528"/>
      <c r="K18" s="528"/>
      <c r="L18" s="528"/>
      <c r="M18" s="529"/>
      <c r="N18" s="532"/>
      <c r="O18" s="532"/>
      <c r="P18" s="532"/>
      <c r="Q18" s="532"/>
      <c r="R18" s="539"/>
      <c r="S18" s="538"/>
      <c r="T18" s="538"/>
      <c r="U18" s="549"/>
      <c r="V18" s="528"/>
      <c r="W18" s="528"/>
      <c r="X18" s="528"/>
      <c r="Y18" s="528"/>
      <c r="Z18" s="528"/>
    </row>
    <row r="19" spans="2:26" ht="15">
      <c r="B19" s="535"/>
      <c r="C19" s="541" t="s">
        <v>909</v>
      </c>
      <c r="D19" s="528"/>
      <c r="E19" s="528"/>
      <c r="F19" s="528"/>
      <c r="G19" s="528"/>
      <c r="H19" s="528"/>
      <c r="I19" s="528"/>
      <c r="J19" s="528"/>
      <c r="K19" s="528"/>
      <c r="L19" s="528"/>
      <c r="M19" s="529"/>
      <c r="N19" s="532"/>
      <c r="O19" s="532"/>
      <c r="P19" s="532"/>
      <c r="Q19" s="532"/>
      <c r="R19" s="539"/>
      <c r="S19" s="538"/>
      <c r="T19" s="538"/>
      <c r="U19" s="549"/>
      <c r="V19" s="528"/>
      <c r="W19" s="528"/>
      <c r="X19" s="528"/>
      <c r="Y19" s="528"/>
      <c r="Z19" s="528"/>
    </row>
    <row r="20" spans="2:26" ht="15">
      <c r="B20" s="535"/>
      <c r="C20" s="528"/>
      <c r="D20" s="528"/>
      <c r="E20" s="528"/>
      <c r="F20" s="528"/>
      <c r="G20" s="528"/>
      <c r="H20" s="528"/>
      <c r="I20" s="528"/>
      <c r="J20" s="528"/>
      <c r="K20" s="528"/>
      <c r="L20" s="528"/>
      <c r="M20" s="529"/>
      <c r="N20" s="532"/>
      <c r="O20" s="532"/>
      <c r="P20" s="532"/>
      <c r="Q20" s="532"/>
      <c r="R20" s="539"/>
      <c r="S20" s="538"/>
      <c r="T20" s="538"/>
      <c r="U20" s="549"/>
      <c r="V20" s="528"/>
      <c r="W20" s="528"/>
      <c r="X20" s="528"/>
      <c r="Y20" s="528"/>
      <c r="Z20" s="528"/>
    </row>
    <row r="21" spans="2:26" ht="15">
      <c r="B21" s="535">
        <f>+B18+1</f>
        <v>27</v>
      </c>
      <c r="C21" s="550" t="s">
        <v>795</v>
      </c>
      <c r="D21" s="528"/>
      <c r="E21" s="528"/>
      <c r="F21" s="528"/>
      <c r="G21" s="528"/>
      <c r="H21" s="528"/>
      <c r="I21" s="528"/>
      <c r="J21" s="528"/>
      <c r="K21" s="528"/>
      <c r="L21" s="528"/>
      <c r="M21" s="529"/>
      <c r="N21" s="532"/>
      <c r="O21" s="532"/>
      <c r="P21" s="532"/>
      <c r="Q21" s="532"/>
      <c r="R21" s="533"/>
      <c r="S21" s="546"/>
      <c r="T21" s="546"/>
      <c r="U21" s="528"/>
      <c r="V21" s="528"/>
      <c r="W21" s="528"/>
      <c r="X21" s="528"/>
      <c r="Y21" s="528"/>
      <c r="Z21" s="528"/>
    </row>
    <row r="22" spans="2:26" ht="15.75" thickBot="1">
      <c r="B22" s="535"/>
      <c r="C22" s="934" t="s">
        <v>968</v>
      </c>
      <c r="D22" s="934"/>
      <c r="E22" s="934"/>
      <c r="F22" s="934"/>
      <c r="G22" s="934"/>
      <c r="H22" s="551"/>
      <c r="I22" s="551"/>
      <c r="J22" s="551"/>
      <c r="K22" s="551"/>
      <c r="L22" s="528"/>
      <c r="M22" s="529"/>
      <c r="N22" s="552"/>
      <c r="O22" s="552"/>
      <c r="P22" s="552"/>
      <c r="Q22" s="552"/>
      <c r="R22" s="553"/>
      <c r="S22" s="553"/>
      <c r="T22" s="553"/>
      <c r="U22" s="528"/>
      <c r="V22" s="528"/>
      <c r="W22" s="528"/>
      <c r="X22" s="528"/>
      <c r="Y22" s="528"/>
      <c r="Z22" s="528"/>
    </row>
    <row r="23" spans="2:26" ht="15.75" thickBot="1">
      <c r="B23" s="535"/>
      <c r="C23" s="934"/>
      <c r="D23" s="934"/>
      <c r="E23" s="934"/>
      <c r="F23" s="934"/>
      <c r="G23" s="934"/>
      <c r="H23" s="551"/>
      <c r="I23" s="551"/>
      <c r="J23" s="551"/>
      <c r="K23" s="551"/>
      <c r="L23" s="528"/>
      <c r="M23" s="529"/>
      <c r="N23" s="552"/>
      <c r="O23" s="552"/>
      <c r="P23" s="552"/>
      <c r="Q23" s="552"/>
      <c r="R23" s="553"/>
      <c r="S23" s="553"/>
      <c r="T23" s="553"/>
      <c r="U23" s="528"/>
      <c r="V23" s="528"/>
      <c r="W23" s="528"/>
      <c r="X23" s="528"/>
      <c r="Y23" s="528"/>
      <c r="Z23" s="528"/>
    </row>
    <row r="24" spans="2:26" ht="15.75" thickBot="1">
      <c r="B24" s="535"/>
      <c r="C24" s="934"/>
      <c r="D24" s="934"/>
      <c r="E24" s="934"/>
      <c r="F24" s="934"/>
      <c r="G24" s="934"/>
      <c r="H24" s="551"/>
      <c r="I24" s="551"/>
      <c r="J24" s="551"/>
      <c r="K24" s="551"/>
      <c r="L24" s="528"/>
      <c r="M24" s="529"/>
      <c r="N24" s="552"/>
      <c r="O24" s="552"/>
      <c r="P24" s="552"/>
      <c r="Q24" s="552"/>
      <c r="R24" s="553"/>
      <c r="S24" s="553"/>
      <c r="T24" s="553"/>
      <c r="U24" s="528"/>
      <c r="V24" s="528"/>
      <c r="W24" s="528"/>
      <c r="X24" s="528"/>
      <c r="Y24" s="528"/>
      <c r="Z24" s="528"/>
    </row>
    <row r="25" spans="2:26" ht="15.75" thickBot="1">
      <c r="B25" s="535"/>
      <c r="C25" s="528"/>
      <c r="D25" s="528"/>
      <c r="E25" s="528"/>
      <c r="F25" s="528"/>
      <c r="G25" s="528"/>
      <c r="H25" s="528"/>
      <c r="I25" s="528"/>
      <c r="J25" s="528"/>
      <c r="K25" s="528"/>
      <c r="L25" s="528"/>
      <c r="M25" s="529"/>
      <c r="N25" s="554"/>
      <c r="O25" s="554"/>
      <c r="P25" s="554"/>
      <c r="Q25" s="554"/>
      <c r="R25" s="555"/>
      <c r="S25" s="555"/>
      <c r="T25" s="555"/>
      <c r="U25" s="528"/>
      <c r="V25" s="528"/>
      <c r="W25" s="528"/>
      <c r="X25" s="528"/>
      <c r="Y25" s="528"/>
      <c r="Z25" s="528"/>
    </row>
    <row r="26" spans="2:26" ht="15">
      <c r="B26" s="535">
        <f>+B21+1</f>
        <v>28</v>
      </c>
      <c r="C26" s="816" t="s">
        <v>796</v>
      </c>
      <c r="D26" s="528"/>
      <c r="E26" s="528"/>
      <c r="F26" s="528"/>
      <c r="G26" s="528"/>
      <c r="H26" s="528"/>
      <c r="I26" s="528"/>
      <c r="J26" s="528"/>
      <c r="K26" s="528"/>
      <c r="L26" s="528"/>
      <c r="M26" s="529"/>
      <c r="N26" s="529"/>
      <c r="O26" s="529"/>
      <c r="P26" s="528"/>
      <c r="Q26" s="528"/>
      <c r="R26" s="529"/>
      <c r="S26" s="529"/>
      <c r="T26" s="529"/>
      <c r="U26" s="528"/>
      <c r="V26" s="528"/>
      <c r="W26" s="528"/>
      <c r="X26" s="528"/>
      <c r="Y26" s="528"/>
      <c r="Z26" s="528"/>
    </row>
    <row r="27" spans="2:26" ht="15">
      <c r="B27" s="535"/>
      <c r="C27" s="528"/>
      <c r="D27" s="528"/>
      <c r="E27" s="528"/>
      <c r="F27" s="528"/>
      <c r="G27" s="528"/>
      <c r="H27" s="528"/>
      <c r="I27" s="528"/>
      <c r="J27" s="528"/>
      <c r="K27" s="528"/>
      <c r="L27" s="528"/>
      <c r="M27" s="529"/>
      <c r="N27" s="529"/>
      <c r="O27" s="529"/>
      <c r="P27" s="528"/>
      <c r="Q27" s="528"/>
      <c r="R27" s="529"/>
      <c r="S27" s="529"/>
      <c r="T27" s="529"/>
      <c r="U27" s="528"/>
      <c r="V27" s="528"/>
      <c r="W27" s="528"/>
      <c r="X27" s="528"/>
      <c r="Y27" s="528"/>
      <c r="Z27" s="528"/>
    </row>
    <row r="28" spans="2:26" ht="15">
      <c r="B28" s="535"/>
      <c r="C28" s="550" t="s">
        <v>797</v>
      </c>
      <c r="D28" s="528"/>
      <c r="E28" s="528"/>
      <c r="F28" s="528"/>
      <c r="G28" s="528"/>
      <c r="H28" s="528"/>
      <c r="I28" s="528"/>
      <c r="J28" s="528"/>
      <c r="K28" s="528"/>
      <c r="L28" s="528"/>
      <c r="M28" s="529"/>
      <c r="N28" s="529"/>
      <c r="O28" s="529"/>
      <c r="P28" s="528"/>
      <c r="Q28" s="528"/>
      <c r="R28" s="529"/>
      <c r="S28" s="529"/>
      <c r="T28" s="529"/>
      <c r="U28" s="528"/>
      <c r="V28" s="528"/>
      <c r="W28" s="528"/>
      <c r="X28" s="528"/>
      <c r="Y28" s="528"/>
      <c r="Z28" s="528"/>
    </row>
    <row r="29" spans="2:26" ht="15">
      <c r="B29" s="535"/>
      <c r="C29" s="931" t="s">
        <v>798</v>
      </c>
      <c r="D29" s="931"/>
      <c r="E29" s="556" t="s">
        <v>799</v>
      </c>
      <c r="F29" s="556"/>
      <c r="G29" s="556"/>
      <c r="H29" s="528"/>
      <c r="I29" s="528"/>
      <c r="J29" s="528"/>
      <c r="K29" s="528"/>
      <c r="L29" s="528"/>
      <c r="M29" s="529"/>
      <c r="N29" s="529"/>
      <c r="O29" s="529"/>
      <c r="P29" s="528"/>
      <c r="Q29" s="528"/>
      <c r="R29" s="529"/>
      <c r="S29" s="529"/>
      <c r="T29" s="529"/>
      <c r="U29" s="528"/>
      <c r="V29" s="528"/>
      <c r="W29" s="528"/>
      <c r="X29" s="528"/>
      <c r="Y29" s="528"/>
      <c r="Z29" s="528"/>
    </row>
    <row r="30" spans="2:26" ht="15">
      <c r="B30" s="535"/>
      <c r="C30" s="933" t="s">
        <v>910</v>
      </c>
      <c r="D30" s="933"/>
      <c r="E30" s="780" t="s">
        <v>744</v>
      </c>
      <c r="F30" s="657"/>
      <c r="H30" s="528"/>
      <c r="I30" s="528"/>
      <c r="J30" s="528"/>
      <c r="K30" s="528"/>
      <c r="L30" s="528"/>
      <c r="M30" s="529"/>
      <c r="N30" s="529"/>
      <c r="O30" s="529"/>
      <c r="P30" s="528"/>
      <c r="Q30" s="528"/>
      <c r="R30" s="529"/>
      <c r="S30" s="529"/>
      <c r="T30" s="529"/>
      <c r="U30" s="528"/>
      <c r="V30" s="528"/>
      <c r="W30" s="528"/>
      <c r="X30" s="528"/>
      <c r="Y30" s="528"/>
      <c r="Z30" s="528"/>
    </row>
    <row r="31" spans="2:26" ht="15">
      <c r="B31" s="535"/>
      <c r="C31" s="928"/>
      <c r="D31" s="928"/>
      <c r="E31" s="541" t="s">
        <v>926</v>
      </c>
      <c r="F31" s="544"/>
      <c r="H31" s="528"/>
      <c r="I31" s="528"/>
      <c r="J31" s="528"/>
      <c r="K31" s="528"/>
      <c r="L31" s="528"/>
      <c r="M31" s="529"/>
      <c r="N31" s="529"/>
      <c r="O31" s="529"/>
      <c r="P31" s="528"/>
      <c r="Q31" s="528"/>
      <c r="R31" s="529"/>
      <c r="S31" s="529"/>
      <c r="T31" s="529"/>
      <c r="U31" s="528"/>
      <c r="V31" s="528"/>
      <c r="W31" s="528"/>
      <c r="X31" s="528"/>
      <c r="Y31" s="528"/>
      <c r="Z31" s="528"/>
    </row>
    <row r="32" spans="2:26" ht="15">
      <c r="B32" s="535"/>
      <c r="C32" s="928"/>
      <c r="D32" s="928"/>
      <c r="E32" s="541" t="s">
        <v>943</v>
      </c>
      <c r="F32" s="544"/>
      <c r="H32" s="528"/>
      <c r="I32" s="528"/>
      <c r="J32" s="528"/>
      <c r="K32" s="528"/>
      <c r="L32" s="528"/>
      <c r="M32" s="529"/>
      <c r="N32" s="529"/>
      <c r="O32" s="529"/>
      <c r="P32" s="528"/>
      <c r="Q32" s="528"/>
      <c r="R32" s="529"/>
      <c r="S32" s="529"/>
      <c r="T32" s="529"/>
      <c r="U32" s="528"/>
      <c r="V32" s="528"/>
      <c r="W32" s="528"/>
      <c r="X32" s="528"/>
      <c r="Y32" s="528"/>
      <c r="Z32" s="528"/>
    </row>
    <row r="33" spans="2:26" ht="15">
      <c r="B33" s="535"/>
      <c r="C33" s="928"/>
      <c r="D33" s="928"/>
      <c r="E33" s="541" t="s">
        <v>368</v>
      </c>
      <c r="F33" s="544"/>
      <c r="H33" s="528"/>
      <c r="I33" s="528"/>
      <c r="J33" s="528"/>
      <c r="K33" s="528"/>
      <c r="L33" s="528"/>
      <c r="M33" s="529"/>
      <c r="N33" s="529"/>
      <c r="O33" s="529"/>
      <c r="P33" s="528"/>
      <c r="Q33" s="528"/>
      <c r="R33" s="529"/>
      <c r="S33" s="529"/>
      <c r="T33" s="529"/>
      <c r="U33" s="528"/>
      <c r="V33" s="528"/>
      <c r="W33" s="528"/>
      <c r="X33" s="528"/>
      <c r="Y33" s="528"/>
      <c r="Z33" s="528"/>
    </row>
    <row r="34" spans="2:26" ht="15">
      <c r="B34" s="535"/>
      <c r="C34" s="928" t="s">
        <v>800</v>
      </c>
      <c r="D34" s="928"/>
      <c r="E34" s="541" t="s">
        <v>499</v>
      </c>
      <c r="F34" s="544"/>
      <c r="H34" s="528"/>
      <c r="I34" s="528"/>
      <c r="J34" s="528"/>
      <c r="K34" s="528"/>
      <c r="L34" s="528"/>
      <c r="M34" s="529"/>
      <c r="N34" s="529"/>
      <c r="O34" s="529"/>
      <c r="P34" s="528"/>
      <c r="Q34" s="528"/>
      <c r="R34" s="529"/>
      <c r="S34" s="529"/>
      <c r="T34" s="529"/>
      <c r="U34" s="528"/>
      <c r="V34" s="528"/>
      <c r="W34" s="528"/>
      <c r="X34" s="528"/>
      <c r="Y34" s="528"/>
      <c r="Z34" s="528"/>
    </row>
    <row r="35" spans="2:26" ht="15">
      <c r="B35" s="535"/>
      <c r="C35" s="928"/>
      <c r="D35" s="928"/>
      <c r="E35" s="541" t="s">
        <v>500</v>
      </c>
      <c r="F35" s="544"/>
      <c r="H35" s="528"/>
      <c r="I35" s="528"/>
      <c r="J35" s="528"/>
      <c r="K35" s="528"/>
      <c r="L35" s="528"/>
      <c r="M35" s="529"/>
      <c r="N35" s="529"/>
      <c r="O35" s="529"/>
      <c r="P35" s="528"/>
      <c r="Q35" s="528"/>
      <c r="R35" s="529"/>
      <c r="S35" s="529"/>
      <c r="T35" s="529"/>
      <c r="U35" s="528"/>
      <c r="V35" s="528"/>
      <c r="W35" s="528"/>
      <c r="X35" s="528"/>
      <c r="Y35" s="528"/>
      <c r="Z35" s="528"/>
    </row>
    <row r="36" spans="2:26" ht="15">
      <c r="B36" s="535"/>
      <c r="C36" s="928"/>
      <c r="D36" s="928"/>
      <c r="E36" s="541" t="s">
        <v>501</v>
      </c>
      <c r="F36" s="544"/>
      <c r="H36" s="528"/>
      <c r="I36" s="528"/>
      <c r="J36" s="528"/>
      <c r="K36" s="528"/>
      <c r="L36" s="528"/>
      <c r="M36" s="529"/>
      <c r="N36" s="529"/>
      <c r="O36" s="529"/>
      <c r="P36" s="528"/>
      <c r="Q36" s="528"/>
      <c r="R36" s="529"/>
      <c r="S36" s="529"/>
      <c r="T36" s="529"/>
      <c r="U36" s="528"/>
      <c r="V36" s="528"/>
      <c r="W36" s="528"/>
      <c r="X36" s="528"/>
      <c r="Y36" s="528"/>
      <c r="Z36" s="528"/>
    </row>
    <row r="37" spans="2:26" ht="15">
      <c r="B37" s="535"/>
      <c r="C37" s="928"/>
      <c r="D37" s="928"/>
      <c r="E37" s="541" t="s">
        <v>388</v>
      </c>
      <c r="F37" s="544"/>
      <c r="H37" s="528"/>
      <c r="I37" s="528"/>
      <c r="J37" s="528"/>
      <c r="K37" s="528"/>
      <c r="L37" s="528"/>
      <c r="M37" s="529"/>
      <c r="N37" s="529"/>
      <c r="O37" s="529"/>
      <c r="P37" s="528"/>
      <c r="Q37" s="528"/>
      <c r="R37" s="529"/>
      <c r="S37" s="529"/>
      <c r="T37" s="529"/>
      <c r="U37" s="528"/>
      <c r="V37" s="528"/>
      <c r="W37" s="528"/>
      <c r="X37" s="528"/>
      <c r="Y37" s="528"/>
      <c r="Z37" s="528"/>
    </row>
    <row r="38" spans="2:26" ht="15">
      <c r="B38" s="535"/>
      <c r="C38" s="932"/>
      <c r="D38" s="932"/>
      <c r="E38" s="818" t="s">
        <v>386</v>
      </c>
      <c r="F38" s="557"/>
      <c r="G38" s="819"/>
      <c r="H38" s="528"/>
      <c r="I38" s="528"/>
      <c r="J38" s="528"/>
      <c r="K38" s="528"/>
      <c r="L38" s="528"/>
      <c r="M38" s="537"/>
      <c r="N38" s="537"/>
      <c r="O38" s="537"/>
      <c r="P38" s="528"/>
      <c r="Q38" s="528"/>
      <c r="R38" s="537"/>
      <c r="S38" s="537"/>
      <c r="T38" s="537"/>
      <c r="U38" s="528"/>
      <c r="V38" s="528"/>
      <c r="W38" s="528"/>
      <c r="X38" s="528"/>
      <c r="Y38" s="528"/>
      <c r="Z38" s="528"/>
    </row>
    <row r="39" spans="2:26" ht="15">
      <c r="B39" s="535"/>
      <c r="C39" s="528"/>
      <c r="D39" s="528"/>
      <c r="E39" s="528"/>
      <c r="F39" s="528"/>
      <c r="G39" s="528"/>
      <c r="H39" s="528"/>
      <c r="I39" s="528"/>
      <c r="J39" s="528"/>
      <c r="K39" s="528"/>
      <c r="L39" s="528"/>
      <c r="M39" s="529"/>
      <c r="N39" s="529"/>
      <c r="O39" s="529"/>
      <c r="P39" s="528"/>
      <c r="Q39" s="528"/>
      <c r="R39" s="529"/>
      <c r="S39" s="529"/>
      <c r="T39" s="529"/>
      <c r="U39" s="528"/>
      <c r="V39" s="528"/>
      <c r="W39" s="528"/>
      <c r="X39" s="528"/>
      <c r="Y39" s="528"/>
      <c r="Z39" s="528"/>
    </row>
    <row r="40" spans="2:26" ht="15">
      <c r="B40" s="535"/>
      <c r="C40" s="550" t="s">
        <v>801</v>
      </c>
      <c r="D40" s="528"/>
      <c r="E40" s="528"/>
      <c r="F40" s="528"/>
      <c r="G40" s="528"/>
      <c r="H40" s="528"/>
      <c r="I40" s="528"/>
      <c r="J40" s="528"/>
      <c r="K40" s="528"/>
      <c r="L40" s="528"/>
      <c r="M40" s="529"/>
      <c r="N40" s="529"/>
      <c r="O40" s="529"/>
      <c r="P40" s="528"/>
      <c r="Q40" s="528"/>
      <c r="R40" s="529"/>
      <c r="S40" s="529"/>
      <c r="T40" s="529"/>
      <c r="U40" s="528"/>
      <c r="V40" s="528"/>
      <c r="W40" s="528"/>
      <c r="X40" s="528"/>
      <c r="Y40" s="528"/>
      <c r="Z40" s="528"/>
    </row>
    <row r="41" spans="2:26" ht="30">
      <c r="B41" s="535"/>
      <c r="C41" s="543" t="s">
        <v>802</v>
      </c>
      <c r="D41" s="543" t="s">
        <v>803</v>
      </c>
      <c r="E41" s="543"/>
      <c r="F41" s="543" t="s">
        <v>924</v>
      </c>
      <c r="G41" s="543" t="s">
        <v>925</v>
      </c>
      <c r="H41" s="528"/>
      <c r="I41" s="528"/>
      <c r="J41" s="528"/>
      <c r="K41" s="528"/>
      <c r="L41" s="528"/>
      <c r="M41" s="529"/>
      <c r="N41" s="529"/>
      <c r="O41" s="529"/>
      <c r="P41" s="528"/>
      <c r="Q41" s="528"/>
      <c r="R41" s="529"/>
      <c r="S41" s="529"/>
      <c r="T41" s="529"/>
      <c r="U41" s="528"/>
      <c r="V41" s="528"/>
      <c r="W41" s="528"/>
      <c r="X41" s="528"/>
      <c r="Y41" s="528"/>
      <c r="Z41" s="528"/>
    </row>
    <row r="42" spans="2:26" ht="15">
      <c r="B42" s="535"/>
      <c r="C42" s="544"/>
      <c r="D42" s="928" t="s">
        <v>499</v>
      </c>
      <c r="E42" s="928"/>
      <c r="F42" s="558"/>
      <c r="G42" s="558"/>
      <c r="H42" s="558"/>
      <c r="I42" s="558"/>
      <c r="J42" s="558"/>
      <c r="K42" s="558"/>
      <c r="L42" s="528"/>
      <c r="M42" s="529"/>
      <c r="N42" s="529"/>
      <c r="O42" s="529"/>
      <c r="P42" s="528"/>
      <c r="Q42" s="528"/>
      <c r="R42" s="529"/>
      <c r="S42" s="529"/>
      <c r="T42" s="529"/>
      <c r="U42" s="528"/>
      <c r="V42" s="528"/>
      <c r="W42" s="528"/>
      <c r="X42" s="528"/>
      <c r="Y42" s="528"/>
      <c r="Z42" s="528"/>
    </row>
    <row r="43" spans="2:26" ht="15">
      <c r="B43" s="535"/>
      <c r="C43" s="544"/>
      <c r="D43" s="928" t="s">
        <v>500</v>
      </c>
      <c r="E43" s="928"/>
      <c r="F43" s="558"/>
      <c r="G43" s="558"/>
      <c r="H43" s="558"/>
      <c r="I43" s="558"/>
      <c r="J43" s="558"/>
      <c r="K43" s="558"/>
      <c r="L43" s="528"/>
      <c r="M43" s="529"/>
      <c r="N43" s="529"/>
      <c r="O43" s="529"/>
      <c r="P43" s="528"/>
      <c r="Q43" s="528"/>
      <c r="R43" s="529"/>
      <c r="S43" s="529"/>
      <c r="T43" s="529"/>
      <c r="U43" s="528"/>
      <c r="V43" s="528"/>
      <c r="W43" s="528"/>
      <c r="X43" s="528"/>
      <c r="Y43" s="528"/>
      <c r="Z43" s="528"/>
    </row>
    <row r="44" spans="2:26" ht="15">
      <c r="B44" s="535"/>
      <c r="C44" s="544"/>
      <c r="D44" s="928" t="s">
        <v>501</v>
      </c>
      <c r="E44" s="928"/>
      <c r="F44" s="558"/>
      <c r="G44" s="558"/>
      <c r="H44" s="558"/>
      <c r="I44" s="558"/>
      <c r="J44" s="558"/>
      <c r="K44" s="558"/>
      <c r="L44" s="528"/>
      <c r="M44" s="529"/>
      <c r="N44" s="529"/>
      <c r="O44" s="529"/>
      <c r="P44" s="528"/>
      <c r="Q44" s="528"/>
      <c r="R44" s="529"/>
      <c r="S44" s="529"/>
      <c r="T44" s="529"/>
      <c r="U44" s="528"/>
      <c r="V44" s="528"/>
      <c r="W44" s="528"/>
      <c r="X44" s="528"/>
      <c r="Y44" s="528"/>
      <c r="Z44" s="528"/>
    </row>
    <row r="45" spans="2:26" ht="15">
      <c r="B45" s="535"/>
      <c r="C45" s="544"/>
      <c r="D45" s="928" t="s">
        <v>388</v>
      </c>
      <c r="E45" s="928"/>
      <c r="F45" s="558"/>
      <c r="G45" s="558"/>
      <c r="H45" s="558"/>
      <c r="I45" s="558"/>
      <c r="J45" s="558"/>
      <c r="K45" s="558"/>
      <c r="L45" s="528"/>
      <c r="M45" s="529"/>
      <c r="N45" s="529"/>
      <c r="O45" s="529"/>
      <c r="P45" s="528"/>
      <c r="Q45" s="528"/>
      <c r="R45" s="529"/>
      <c r="S45" s="529"/>
      <c r="T45" s="529"/>
      <c r="U45" s="528"/>
      <c r="V45" s="528"/>
      <c r="W45" s="528"/>
      <c r="X45" s="528"/>
      <c r="Y45" s="528"/>
      <c r="Z45" s="528"/>
    </row>
    <row r="46" spans="2:26" ht="15">
      <c r="B46" s="535"/>
      <c r="C46" s="544"/>
      <c r="D46" s="928" t="s">
        <v>386</v>
      </c>
      <c r="E46" s="928"/>
      <c r="F46" s="558"/>
      <c r="G46" s="558"/>
      <c r="H46" s="558"/>
      <c r="I46" s="558"/>
      <c r="J46" s="558"/>
      <c r="K46" s="558"/>
      <c r="L46" s="528"/>
      <c r="M46" s="529"/>
      <c r="N46" s="529"/>
      <c r="O46" s="529"/>
      <c r="P46" s="528"/>
      <c r="Q46" s="528"/>
      <c r="R46" s="529"/>
      <c r="S46" s="529"/>
      <c r="T46" s="529"/>
      <c r="U46" s="528"/>
      <c r="V46" s="528"/>
      <c r="W46" s="528"/>
      <c r="X46" s="528"/>
      <c r="Y46" s="528"/>
      <c r="Z46" s="528"/>
    </row>
    <row r="47" spans="2:26" ht="15">
      <c r="B47" s="535"/>
      <c r="C47" s="557"/>
      <c r="D47" s="557"/>
      <c r="E47" s="557"/>
      <c r="F47" s="557"/>
      <c r="G47" s="557"/>
      <c r="H47" s="558"/>
      <c r="I47" s="558"/>
      <c r="J47" s="558"/>
      <c r="K47" s="558"/>
      <c r="L47" s="528"/>
      <c r="M47" s="529"/>
      <c r="N47" s="529"/>
      <c r="O47" s="529"/>
      <c r="P47" s="528"/>
      <c r="Q47" s="528"/>
      <c r="R47" s="529"/>
      <c r="S47" s="529"/>
      <c r="T47" s="529"/>
      <c r="U47" s="528"/>
      <c r="V47" s="528"/>
      <c r="W47" s="528"/>
      <c r="X47" s="528"/>
      <c r="Y47" s="528"/>
      <c r="Z47" s="528"/>
    </row>
    <row r="48" spans="2:26" ht="15">
      <c r="B48" s="535"/>
      <c r="C48" s="559" t="s">
        <v>804</v>
      </c>
      <c r="D48" s="528"/>
      <c r="E48" s="528"/>
      <c r="F48" s="528"/>
      <c r="G48" s="528"/>
      <c r="H48" s="528"/>
      <c r="I48" s="528"/>
      <c r="J48" s="528"/>
      <c r="K48" s="528"/>
      <c r="L48" s="528"/>
      <c r="M48" s="529"/>
      <c r="N48" s="529"/>
      <c r="O48" s="529"/>
      <c r="P48" s="528"/>
      <c r="Q48" s="528"/>
      <c r="R48" s="529"/>
      <c r="S48" s="529"/>
      <c r="T48" s="529"/>
      <c r="U48" s="528"/>
      <c r="V48" s="528"/>
      <c r="W48" s="528"/>
      <c r="X48" s="528"/>
      <c r="Y48" s="528"/>
      <c r="Z48" s="528"/>
    </row>
    <row r="49" spans="2:26" ht="15">
      <c r="B49" s="535"/>
      <c r="C49" s="560"/>
      <c r="D49" s="528"/>
      <c r="E49" s="528"/>
      <c r="F49" s="528"/>
      <c r="G49" s="528"/>
      <c r="H49" s="560"/>
      <c r="I49" s="560"/>
      <c r="J49" s="560"/>
      <c r="K49" s="560"/>
      <c r="L49" s="528"/>
      <c r="M49" s="529"/>
      <c r="N49" s="529"/>
      <c r="O49" s="529"/>
      <c r="P49" s="528"/>
      <c r="Q49" s="528"/>
      <c r="R49" s="529"/>
      <c r="S49" s="529"/>
      <c r="T49" s="529"/>
      <c r="U49" s="528"/>
      <c r="V49" s="528"/>
      <c r="W49" s="528"/>
      <c r="X49" s="528"/>
      <c r="Y49" s="528"/>
      <c r="Z49" s="528"/>
    </row>
    <row r="50" spans="2:26" ht="15">
      <c r="B50" s="535"/>
      <c r="C50" s="550" t="s">
        <v>805</v>
      </c>
      <c r="D50" s="528"/>
      <c r="E50" s="528"/>
      <c r="F50" s="528"/>
      <c r="G50" s="528"/>
      <c r="H50" s="560"/>
      <c r="I50" s="560"/>
      <c r="J50" s="560"/>
      <c r="K50" s="560"/>
      <c r="L50" s="528"/>
      <c r="M50" s="529"/>
      <c r="N50" s="529"/>
      <c r="O50" s="529"/>
      <c r="P50" s="528"/>
      <c r="Q50" s="528"/>
      <c r="R50" s="529"/>
      <c r="S50" s="529"/>
      <c r="T50" s="529"/>
      <c r="U50" s="528"/>
      <c r="V50" s="528"/>
      <c r="W50" s="528"/>
      <c r="X50" s="528"/>
      <c r="Y50" s="528"/>
      <c r="Z50" s="528"/>
    </row>
    <row r="51" spans="2:26" ht="15">
      <c r="B51" s="535"/>
      <c r="C51" s="541"/>
      <c r="D51" s="528"/>
      <c r="E51" s="528"/>
      <c r="F51" s="528"/>
      <c r="G51" s="542"/>
      <c r="H51" s="560"/>
      <c r="I51" s="560"/>
      <c r="J51" s="560"/>
      <c r="K51" s="560"/>
      <c r="L51" s="528"/>
      <c r="M51" s="529"/>
      <c r="N51" s="529"/>
      <c r="O51" s="529"/>
      <c r="P51" s="528"/>
      <c r="Q51" s="528"/>
      <c r="R51" s="529"/>
      <c r="S51" s="529"/>
      <c r="T51" s="529"/>
      <c r="U51" s="528"/>
      <c r="V51" s="528"/>
      <c r="W51" s="528"/>
      <c r="X51" s="528"/>
      <c r="Y51" s="528"/>
      <c r="Z51" s="528"/>
    </row>
    <row r="52" spans="2:26" ht="30">
      <c r="B52" s="535"/>
      <c r="C52" s="561" t="s">
        <v>0</v>
      </c>
      <c r="D52" s="562"/>
      <c r="E52" s="562"/>
      <c r="F52" s="556" t="str">
        <f>+$F$166</f>
        <v>Year Ended
March 31, 2026</v>
      </c>
      <c r="G52" s="556" t="str">
        <f>+$G$166</f>
        <v>Year Ended
March 31, 2025</v>
      </c>
      <c r="H52" s="560"/>
      <c r="I52" s="560"/>
      <c r="J52" s="560"/>
      <c r="K52" s="560"/>
      <c r="L52" s="528"/>
      <c r="M52" s="529"/>
      <c r="N52" s="529"/>
      <c r="O52" s="529"/>
      <c r="P52" s="528"/>
      <c r="Q52" s="528"/>
      <c r="R52" s="529"/>
      <c r="S52" s="529"/>
      <c r="T52" s="529"/>
      <c r="U52" s="528"/>
      <c r="V52" s="528"/>
      <c r="W52" s="528"/>
      <c r="X52" s="528"/>
      <c r="Y52" s="528"/>
      <c r="Z52" s="528"/>
    </row>
    <row r="53" spans="2:26" ht="15">
      <c r="B53" s="535"/>
      <c r="C53" s="547" t="s">
        <v>806</v>
      </c>
      <c r="D53" s="528"/>
      <c r="E53" s="528"/>
      <c r="F53" s="563"/>
      <c r="G53" s="563"/>
      <c r="H53" s="560"/>
      <c r="I53" s="560"/>
      <c r="J53" s="560"/>
      <c r="K53" s="560"/>
      <c r="L53" s="528"/>
      <c r="M53" s="529"/>
      <c r="N53" s="529"/>
      <c r="O53" s="529"/>
      <c r="P53" s="528"/>
      <c r="Q53" s="528"/>
      <c r="R53" s="529"/>
      <c r="S53" s="529"/>
      <c r="T53" s="529"/>
      <c r="U53" s="528"/>
      <c r="V53" s="528"/>
      <c r="W53" s="528"/>
      <c r="X53" s="528"/>
      <c r="Y53" s="528"/>
      <c r="Z53" s="528"/>
    </row>
    <row r="54" spans="2:26" ht="15">
      <c r="B54" s="535"/>
      <c r="C54" s="544" t="s">
        <v>744</v>
      </c>
      <c r="D54" s="528"/>
      <c r="E54" s="528"/>
      <c r="F54" s="602">
        <v>0</v>
      </c>
      <c r="G54" s="602">
        <v>0</v>
      </c>
      <c r="H54" s="560"/>
      <c r="I54" s="560"/>
      <c r="J54" s="560"/>
      <c r="K54" s="560"/>
      <c r="L54" s="528"/>
      <c r="M54" s="529"/>
      <c r="N54" s="529"/>
      <c r="O54" s="529"/>
      <c r="P54" s="528"/>
      <c r="Q54" s="528"/>
      <c r="R54" s="529"/>
      <c r="S54" s="529"/>
      <c r="T54" s="529"/>
      <c r="U54" s="528"/>
      <c r="V54" s="528"/>
      <c r="W54" s="528"/>
      <c r="X54" s="528"/>
      <c r="Y54" s="528"/>
      <c r="Z54" s="528"/>
    </row>
    <row r="55" spans="2:26" ht="15">
      <c r="B55" s="535"/>
      <c r="C55" s="541" t="s">
        <v>926</v>
      </c>
      <c r="D55" s="528"/>
      <c r="E55" s="528"/>
      <c r="F55" s="602">
        <f>'Trial Balance'!C88</f>
        <v>15000000</v>
      </c>
      <c r="G55" s="602">
        <v>0</v>
      </c>
      <c r="H55" s="560"/>
      <c r="I55" s="560"/>
      <c r="J55" s="560"/>
      <c r="K55" s="560"/>
      <c r="L55" s="528"/>
      <c r="M55" s="529"/>
      <c r="N55" s="529"/>
      <c r="O55" s="529"/>
      <c r="P55" s="528"/>
      <c r="Q55" s="528"/>
      <c r="R55" s="529"/>
      <c r="S55" s="529"/>
      <c r="T55" s="529"/>
      <c r="U55" s="528"/>
      <c r="V55" s="528"/>
      <c r="W55" s="528"/>
      <c r="X55" s="528"/>
      <c r="Y55" s="528"/>
      <c r="Z55" s="528"/>
    </row>
    <row r="56" spans="2:26" ht="15">
      <c r="B56" s="535"/>
      <c r="C56" s="544" t="s">
        <v>943</v>
      </c>
      <c r="D56" s="528"/>
      <c r="E56" s="528"/>
      <c r="F56" s="602">
        <v>0</v>
      </c>
      <c r="G56" s="602">
        <v>0</v>
      </c>
      <c r="H56" s="560"/>
      <c r="I56" s="560"/>
      <c r="J56" s="560"/>
      <c r="K56" s="560"/>
      <c r="L56" s="528"/>
      <c r="M56" s="529"/>
      <c r="N56" s="529"/>
      <c r="O56" s="529"/>
      <c r="P56" s="528"/>
      <c r="Q56" s="528"/>
      <c r="R56" s="529"/>
      <c r="S56" s="529"/>
      <c r="T56" s="529"/>
      <c r="U56" s="528"/>
      <c r="V56" s="528"/>
      <c r="W56" s="528"/>
      <c r="X56" s="528"/>
      <c r="Y56" s="528"/>
      <c r="Z56" s="528"/>
    </row>
    <row r="57" spans="2:26" ht="15">
      <c r="B57" s="535"/>
      <c r="C57" s="544" t="s">
        <v>368</v>
      </c>
      <c r="D57" s="528"/>
      <c r="E57" s="528"/>
      <c r="F57" s="602">
        <f>'Trial Balance'!C89</f>
        <v>23000000</v>
      </c>
      <c r="G57" s="602">
        <v>0</v>
      </c>
      <c r="H57" s="560"/>
      <c r="I57" s="560"/>
      <c r="J57" s="560"/>
      <c r="K57" s="560"/>
      <c r="L57" s="528"/>
      <c r="M57" s="529"/>
      <c r="N57" s="529"/>
      <c r="O57" s="529"/>
      <c r="P57" s="528"/>
      <c r="Q57" s="528"/>
      <c r="R57" s="529"/>
      <c r="S57" s="529"/>
      <c r="T57" s="529"/>
      <c r="U57" s="528"/>
      <c r="V57" s="528"/>
      <c r="W57" s="528"/>
      <c r="X57" s="528"/>
      <c r="Y57" s="528"/>
      <c r="Z57" s="528"/>
    </row>
    <row r="58" spans="2:26" ht="15">
      <c r="B58" s="535"/>
      <c r="C58" s="547" t="s">
        <v>807</v>
      </c>
      <c r="D58" s="528"/>
      <c r="E58" s="528"/>
      <c r="F58" s="581"/>
      <c r="G58" s="581"/>
      <c r="H58" s="560"/>
      <c r="I58" s="560"/>
      <c r="J58" s="560"/>
      <c r="K58" s="560"/>
      <c r="L58" s="528"/>
      <c r="M58" s="529"/>
      <c r="N58" s="529"/>
      <c r="O58" s="529"/>
      <c r="P58" s="528"/>
      <c r="Q58" s="528"/>
      <c r="R58" s="529"/>
      <c r="S58" s="529"/>
      <c r="T58" s="529"/>
      <c r="U58" s="528"/>
      <c r="V58" s="528"/>
      <c r="W58" s="528"/>
      <c r="X58" s="528"/>
      <c r="Y58" s="528"/>
      <c r="Z58" s="528"/>
    </row>
    <row r="59" spans="2:26" ht="15">
      <c r="B59" s="535"/>
      <c r="C59" s="557" t="s">
        <v>808</v>
      </c>
      <c r="D59" s="564"/>
      <c r="E59" s="564"/>
      <c r="F59" s="781">
        <v>0</v>
      </c>
      <c r="G59" s="781">
        <v>0</v>
      </c>
      <c r="H59" s="560"/>
      <c r="I59" s="560"/>
      <c r="J59" s="560"/>
      <c r="K59" s="560"/>
      <c r="L59" s="528"/>
      <c r="M59" s="529"/>
      <c r="N59" s="529"/>
      <c r="O59" s="529"/>
      <c r="P59" s="528"/>
      <c r="Q59" s="528"/>
      <c r="R59" s="529"/>
      <c r="S59" s="529"/>
      <c r="T59" s="529"/>
      <c r="U59" s="528"/>
      <c r="V59" s="528"/>
      <c r="W59" s="528"/>
      <c r="X59" s="528"/>
      <c r="Y59" s="528"/>
      <c r="Z59" s="528"/>
    </row>
    <row r="60" spans="2:26" ht="15">
      <c r="B60" s="535"/>
      <c r="C60" s="930"/>
      <c r="D60" s="930"/>
      <c r="E60" s="930"/>
      <c r="F60" s="930"/>
      <c r="G60" s="930"/>
      <c r="H60" s="560"/>
      <c r="I60" s="560"/>
      <c r="J60" s="560"/>
      <c r="K60" s="560"/>
      <c r="L60" s="528"/>
      <c r="M60" s="529"/>
      <c r="N60" s="529"/>
      <c r="O60" s="529"/>
      <c r="P60" s="528"/>
      <c r="Q60" s="528"/>
      <c r="R60" s="529"/>
      <c r="S60" s="529"/>
      <c r="T60" s="529"/>
      <c r="U60" s="528"/>
      <c r="V60" s="528"/>
      <c r="W60" s="528"/>
      <c r="X60" s="528"/>
      <c r="Y60" s="528"/>
      <c r="Z60" s="528"/>
    </row>
    <row r="61" spans="2:26" ht="15">
      <c r="B61" s="535"/>
      <c r="C61" s="550" t="s">
        <v>809</v>
      </c>
      <c r="D61" s="528"/>
      <c r="E61" s="528"/>
      <c r="F61" s="528"/>
      <c r="G61" s="542"/>
      <c r="H61" s="528"/>
      <c r="I61" s="528"/>
      <c r="J61" s="528"/>
      <c r="K61" s="560"/>
      <c r="L61" s="528"/>
      <c r="M61" s="529"/>
      <c r="N61" s="529"/>
      <c r="O61" s="529"/>
      <c r="P61" s="528"/>
      <c r="Q61" s="528"/>
      <c r="R61" s="529"/>
      <c r="S61" s="529"/>
      <c r="T61" s="529"/>
      <c r="U61" s="528"/>
      <c r="V61" s="528"/>
      <c r="W61" s="528"/>
      <c r="X61" s="528"/>
      <c r="Y61" s="528"/>
      <c r="Z61" s="528"/>
    </row>
    <row r="62" spans="2:26" ht="30">
      <c r="B62" s="535"/>
      <c r="C62" s="556" t="s">
        <v>115</v>
      </c>
      <c r="D62" s="556" t="s">
        <v>803</v>
      </c>
      <c r="E62" s="556"/>
      <c r="F62" s="566" t="s">
        <v>790</v>
      </c>
      <c r="G62" s="566" t="s">
        <v>791</v>
      </c>
      <c r="H62" s="567"/>
      <c r="I62" s="567"/>
      <c r="J62" s="567"/>
      <c r="K62" s="528"/>
      <c r="L62" s="528"/>
      <c r="M62" s="529"/>
      <c r="N62" s="529"/>
      <c r="O62" s="529"/>
      <c r="P62" s="528"/>
      <c r="Q62" s="528"/>
      <c r="R62" s="529"/>
      <c r="S62" s="529"/>
      <c r="T62" s="529"/>
      <c r="U62" s="528"/>
      <c r="V62" s="528"/>
      <c r="W62" s="528"/>
      <c r="X62" s="528"/>
      <c r="Y62" s="528"/>
      <c r="Z62" s="528"/>
    </row>
    <row r="63" spans="2:26" ht="15">
      <c r="B63" s="535"/>
      <c r="C63" s="657" t="s">
        <v>810</v>
      </c>
      <c r="D63" s="657"/>
      <c r="E63" s="657"/>
      <c r="F63" s="782"/>
      <c r="G63" s="782"/>
      <c r="H63" s="558"/>
      <c r="I63" s="558"/>
      <c r="J63" s="558"/>
      <c r="K63" s="567"/>
      <c r="L63" s="528"/>
      <c r="M63" s="529"/>
      <c r="N63" s="529"/>
      <c r="O63" s="529"/>
      <c r="P63" s="528"/>
      <c r="Q63" s="528"/>
      <c r="R63" s="529"/>
      <c r="S63" s="529"/>
      <c r="T63" s="529"/>
      <c r="U63" s="528"/>
      <c r="V63" s="528"/>
      <c r="W63" s="528"/>
      <c r="X63" s="528"/>
      <c r="Y63" s="528"/>
      <c r="Z63" s="528"/>
    </row>
    <row r="64" spans="2:26" ht="15">
      <c r="B64" s="535"/>
      <c r="C64" s="544" t="s">
        <v>810</v>
      </c>
      <c r="D64" s="544"/>
      <c r="E64" s="544"/>
      <c r="F64" s="558"/>
      <c r="G64" s="558"/>
      <c r="H64" s="558"/>
      <c r="I64" s="558"/>
      <c r="J64" s="558"/>
      <c r="K64" s="558"/>
      <c r="L64" s="528"/>
      <c r="M64" s="529"/>
      <c r="N64" s="529"/>
      <c r="O64" s="529"/>
      <c r="P64" s="528"/>
      <c r="Q64" s="528"/>
      <c r="R64" s="529"/>
      <c r="S64" s="529"/>
      <c r="T64" s="529"/>
      <c r="U64" s="528"/>
      <c r="V64" s="528"/>
      <c r="W64" s="528"/>
      <c r="X64" s="528"/>
      <c r="Y64" s="528"/>
      <c r="Z64" s="528"/>
    </row>
    <row r="65" spans="2:26" ht="15">
      <c r="B65" s="535"/>
      <c r="C65" s="541"/>
      <c r="D65" s="528"/>
      <c r="E65" s="528"/>
      <c r="F65" s="528"/>
      <c r="G65" s="528"/>
      <c r="H65" s="528"/>
      <c r="I65" s="528"/>
      <c r="J65" s="528"/>
      <c r="K65" s="568"/>
      <c r="L65" s="528"/>
      <c r="M65" s="529"/>
      <c r="N65" s="529"/>
      <c r="O65" s="529"/>
      <c r="P65" s="528"/>
      <c r="Q65" s="528"/>
      <c r="R65" s="529"/>
      <c r="S65" s="529"/>
      <c r="T65" s="529"/>
      <c r="U65" s="528"/>
      <c r="V65" s="528"/>
      <c r="W65" s="528"/>
      <c r="X65" s="528"/>
      <c r="Y65" s="528"/>
      <c r="Z65" s="528"/>
    </row>
    <row r="66" spans="2:26" ht="15">
      <c r="B66" s="642"/>
      <c r="C66" s="564"/>
      <c r="D66" s="564"/>
      <c r="E66" s="564"/>
      <c r="F66" s="564"/>
      <c r="G66" s="564"/>
      <c r="H66" s="528"/>
      <c r="I66" s="528"/>
      <c r="J66" s="528"/>
      <c r="K66" s="568"/>
      <c r="L66" s="528"/>
      <c r="M66" s="529"/>
      <c r="N66" s="529"/>
      <c r="O66" s="529"/>
      <c r="P66" s="528"/>
      <c r="Q66" s="528"/>
      <c r="R66" s="529"/>
      <c r="S66" s="529"/>
      <c r="T66" s="529"/>
      <c r="U66" s="528"/>
      <c r="V66" s="528"/>
      <c r="W66" s="528"/>
      <c r="X66" s="528"/>
      <c r="Y66" s="528"/>
      <c r="Z66" s="528"/>
    </row>
    <row r="67" spans="2:26" ht="15">
      <c r="B67" s="642"/>
      <c r="C67" s="528"/>
      <c r="D67" s="528"/>
      <c r="E67" s="528"/>
      <c r="F67" s="528"/>
      <c r="G67" s="528"/>
      <c r="H67" s="528"/>
      <c r="I67" s="528"/>
      <c r="J67" s="528"/>
      <c r="K67" s="568"/>
      <c r="L67" s="528"/>
      <c r="M67" s="529"/>
      <c r="N67" s="529"/>
      <c r="O67" s="529"/>
      <c r="P67" s="528"/>
      <c r="Q67" s="528"/>
      <c r="R67" s="529"/>
      <c r="S67" s="529"/>
      <c r="T67" s="529"/>
      <c r="U67" s="528"/>
      <c r="V67" s="528"/>
      <c r="W67" s="528"/>
      <c r="X67" s="528"/>
      <c r="Y67" s="528"/>
      <c r="Z67" s="528"/>
    </row>
    <row r="68" spans="2:26" ht="15">
      <c r="B68" s="535">
        <f>+B26+1</f>
        <v>29</v>
      </c>
      <c r="C68" s="820" t="s">
        <v>811</v>
      </c>
      <c r="D68" s="528"/>
      <c r="E68" s="528"/>
      <c r="F68" s="528"/>
      <c r="G68" s="528"/>
      <c r="H68" s="569"/>
      <c r="I68" s="569"/>
      <c r="J68" s="569"/>
      <c r="K68" s="568"/>
      <c r="L68" s="528"/>
      <c r="M68" s="529"/>
      <c r="N68" s="529"/>
      <c r="O68" s="529"/>
      <c r="P68" s="528"/>
      <c r="Q68" s="528"/>
      <c r="R68" s="529"/>
      <c r="S68" s="529"/>
      <c r="T68" s="529"/>
      <c r="U68" s="528"/>
      <c r="V68" s="528"/>
      <c r="W68" s="528"/>
      <c r="X68" s="528"/>
      <c r="Y68" s="528"/>
      <c r="Z68" s="528"/>
    </row>
    <row r="69" spans="2:26" ht="15">
      <c r="B69" s="535"/>
      <c r="C69" s="630" t="s">
        <v>812</v>
      </c>
      <c r="D69" s="560"/>
      <c r="E69" s="560"/>
      <c r="F69" s="560"/>
      <c r="G69" s="560"/>
      <c r="H69" s="560"/>
      <c r="I69" s="560"/>
      <c r="J69" s="560"/>
      <c r="K69" s="568"/>
      <c r="L69" s="528"/>
      <c r="M69" s="529"/>
      <c r="N69" s="529"/>
      <c r="O69" s="529"/>
      <c r="P69" s="528"/>
      <c r="Q69" s="528"/>
      <c r="R69" s="529"/>
      <c r="S69" s="529"/>
      <c r="T69" s="529"/>
      <c r="U69" s="528"/>
      <c r="V69" s="528"/>
      <c r="W69" s="528"/>
      <c r="X69" s="528"/>
      <c r="Y69" s="528"/>
      <c r="Z69" s="528"/>
    </row>
    <row r="70" spans="2:26" ht="15">
      <c r="B70" s="535"/>
      <c r="C70" s="929" t="s">
        <v>908</v>
      </c>
      <c r="D70" s="929"/>
      <c r="E70" s="929"/>
      <c r="F70" s="929"/>
      <c r="G70" s="929"/>
      <c r="H70" s="570"/>
      <c r="I70" s="570"/>
      <c r="J70" s="570"/>
      <c r="K70" s="568"/>
      <c r="L70" s="528"/>
      <c r="M70" s="529"/>
      <c r="N70" s="529"/>
      <c r="O70" s="529"/>
      <c r="P70" s="528"/>
      <c r="Q70" s="528"/>
      <c r="R70" s="529"/>
      <c r="S70" s="529"/>
      <c r="T70" s="529"/>
      <c r="U70" s="528"/>
      <c r="V70" s="528"/>
      <c r="W70" s="528"/>
      <c r="X70" s="528"/>
      <c r="Y70" s="528"/>
      <c r="Z70" s="528"/>
    </row>
    <row r="71" spans="2:26" ht="15">
      <c r="B71" s="535"/>
      <c r="C71" s="929"/>
      <c r="D71" s="929"/>
      <c r="E71" s="929"/>
      <c r="F71" s="929"/>
      <c r="G71" s="929"/>
      <c r="H71" s="570"/>
      <c r="I71" s="570"/>
      <c r="J71" s="570"/>
      <c r="K71" s="568"/>
      <c r="L71" s="528"/>
      <c r="M71" s="529"/>
      <c r="N71" s="529"/>
      <c r="O71" s="529"/>
      <c r="P71" s="528"/>
      <c r="Q71" s="528"/>
      <c r="R71" s="529"/>
      <c r="S71" s="529"/>
      <c r="T71" s="529"/>
      <c r="U71" s="528"/>
      <c r="V71" s="528"/>
      <c r="W71" s="528"/>
      <c r="X71" s="528"/>
      <c r="Y71" s="528"/>
      <c r="Z71" s="528"/>
    </row>
    <row r="72" spans="2:26" ht="15">
      <c r="B72" s="535"/>
      <c r="C72" s="929"/>
      <c r="D72" s="929"/>
      <c r="E72" s="929"/>
      <c r="F72" s="929"/>
      <c r="G72" s="929"/>
      <c r="H72" s="570"/>
      <c r="I72" s="570"/>
      <c r="J72" s="570"/>
      <c r="K72" s="568"/>
      <c r="L72" s="528"/>
      <c r="M72" s="529"/>
      <c r="N72" s="529"/>
      <c r="O72" s="529"/>
      <c r="P72" s="528"/>
      <c r="Q72" s="528"/>
      <c r="R72" s="529"/>
      <c r="S72" s="529"/>
      <c r="T72" s="529"/>
      <c r="U72" s="528"/>
      <c r="V72" s="528"/>
      <c r="W72" s="528"/>
      <c r="X72" s="528"/>
      <c r="Y72" s="528"/>
      <c r="Z72" s="528"/>
    </row>
    <row r="73" spans="2:26" ht="15">
      <c r="B73" s="535"/>
      <c r="C73" s="929"/>
      <c r="D73" s="929"/>
      <c r="E73" s="929"/>
      <c r="F73" s="929"/>
      <c r="G73" s="929"/>
      <c r="H73" s="570"/>
      <c r="I73" s="570"/>
      <c r="J73" s="570"/>
      <c r="K73" s="568"/>
      <c r="L73" s="528"/>
      <c r="M73" s="529"/>
      <c r="N73" s="529"/>
      <c r="O73" s="529"/>
      <c r="P73" s="528"/>
      <c r="Q73" s="528"/>
      <c r="R73" s="529"/>
      <c r="S73" s="529"/>
      <c r="T73" s="529"/>
      <c r="U73" s="528"/>
      <c r="V73" s="528"/>
      <c r="W73" s="528"/>
      <c r="X73" s="528"/>
      <c r="Y73" s="528"/>
      <c r="Z73" s="528"/>
    </row>
    <row r="74" spans="2:26" ht="15">
      <c r="B74" s="535"/>
      <c r="C74" s="551"/>
      <c r="D74" s="551"/>
      <c r="E74" s="551"/>
      <c r="F74" s="551"/>
      <c r="G74" s="551"/>
      <c r="H74" s="570"/>
      <c r="I74" s="570"/>
      <c r="J74" s="570"/>
      <c r="K74" s="568"/>
      <c r="L74" s="528"/>
      <c r="M74" s="529"/>
      <c r="N74" s="529"/>
      <c r="O74" s="529"/>
      <c r="P74" s="528"/>
      <c r="Q74" s="528"/>
      <c r="R74" s="529"/>
      <c r="S74" s="529"/>
      <c r="T74" s="529"/>
      <c r="U74" s="528"/>
      <c r="V74" s="528"/>
      <c r="W74" s="528"/>
      <c r="X74" s="528"/>
      <c r="Y74" s="528"/>
      <c r="Z74" s="528"/>
    </row>
    <row r="75" spans="2:26" ht="15">
      <c r="B75" s="535"/>
      <c r="C75" s="550" t="s">
        <v>813</v>
      </c>
      <c r="D75" s="528"/>
      <c r="E75" s="528"/>
      <c r="F75" s="528"/>
      <c r="G75" s="528"/>
      <c r="H75" s="528"/>
      <c r="I75" s="528"/>
      <c r="J75" s="528"/>
      <c r="K75" s="528"/>
      <c r="L75" s="528"/>
      <c r="M75" s="529"/>
      <c r="N75" s="529"/>
      <c r="O75" s="529"/>
      <c r="P75" s="528"/>
      <c r="Q75" s="528"/>
      <c r="R75" s="529"/>
      <c r="S75" s="529"/>
      <c r="T75" s="529"/>
      <c r="U75" s="528"/>
      <c r="V75" s="528"/>
      <c r="W75" s="528"/>
      <c r="X75" s="528"/>
      <c r="Y75" s="528"/>
      <c r="Z75" s="528"/>
    </row>
    <row r="76" spans="2:26" ht="15">
      <c r="B76" s="535"/>
      <c r="C76" s="528"/>
      <c r="D76" s="528"/>
      <c r="E76" s="528"/>
      <c r="F76" s="528"/>
      <c r="G76" s="542"/>
      <c r="H76" s="528"/>
      <c r="I76" s="528"/>
      <c r="J76" s="528"/>
      <c r="K76" s="528"/>
      <c r="L76" s="528"/>
      <c r="M76" s="529"/>
      <c r="N76" s="529"/>
      <c r="O76" s="529"/>
      <c r="P76" s="528"/>
      <c r="Q76" s="528"/>
      <c r="R76" s="529"/>
      <c r="S76" s="529"/>
      <c r="T76" s="529"/>
      <c r="U76" s="528"/>
      <c r="V76" s="528"/>
      <c r="W76" s="528"/>
      <c r="X76" s="528"/>
      <c r="Y76" s="528"/>
      <c r="Z76" s="528"/>
    </row>
    <row r="77" spans="2:26" ht="30">
      <c r="B77" s="535"/>
      <c r="C77" s="556" t="s">
        <v>0</v>
      </c>
      <c r="D77" s="556"/>
      <c r="E77" s="556"/>
      <c r="F77" s="566" t="s">
        <v>790</v>
      </c>
      <c r="G77" s="566" t="s">
        <v>791</v>
      </c>
      <c r="H77" s="528"/>
      <c r="I77" s="528"/>
      <c r="J77" s="528"/>
      <c r="K77" s="528"/>
      <c r="L77" s="528"/>
      <c r="M77" s="529"/>
      <c r="N77" s="529"/>
      <c r="O77" s="529"/>
      <c r="P77" s="528"/>
      <c r="Q77" s="528"/>
      <c r="R77" s="529"/>
      <c r="S77" s="529"/>
      <c r="T77" s="529"/>
      <c r="U77" s="528"/>
      <c r="V77" s="528"/>
      <c r="W77" s="528"/>
      <c r="X77" s="528"/>
      <c r="Y77" s="528"/>
      <c r="Z77" s="528"/>
    </row>
    <row r="78" spans="2:26" ht="15">
      <c r="B78" s="535"/>
      <c r="C78" s="541" t="s">
        <v>814</v>
      </c>
      <c r="D78" s="528"/>
      <c r="E78" s="528"/>
      <c r="F78" s="571"/>
      <c r="G78" s="572">
        <v>0</v>
      </c>
      <c r="H78" s="528"/>
      <c r="I78" s="528"/>
      <c r="J78" s="528"/>
      <c r="K78" s="560"/>
      <c r="L78" s="528"/>
      <c r="M78" s="529"/>
      <c r="N78" s="529"/>
      <c r="O78" s="529"/>
      <c r="P78" s="528"/>
      <c r="Q78" s="528"/>
      <c r="R78" s="529"/>
      <c r="S78" s="529"/>
      <c r="T78" s="529"/>
      <c r="U78" s="528"/>
      <c r="V78" s="528"/>
      <c r="W78" s="528"/>
      <c r="X78" s="528"/>
      <c r="Y78" s="528"/>
      <c r="Z78" s="528"/>
    </row>
    <row r="79" spans="2:26" ht="15">
      <c r="B79" s="535"/>
      <c r="C79" s="541" t="s">
        <v>815</v>
      </c>
      <c r="D79" s="528"/>
      <c r="E79" s="528"/>
      <c r="F79" s="571"/>
      <c r="G79" s="572">
        <v>0</v>
      </c>
      <c r="H79" s="528"/>
      <c r="I79" s="528"/>
      <c r="J79" s="528"/>
      <c r="K79" s="528"/>
      <c r="L79" s="528"/>
      <c r="M79" s="529"/>
      <c r="N79" s="529"/>
      <c r="O79" s="529"/>
      <c r="P79" s="528"/>
      <c r="Q79" s="528"/>
      <c r="R79" s="529"/>
      <c r="S79" s="529"/>
      <c r="T79" s="529"/>
      <c r="U79" s="528"/>
      <c r="V79" s="528"/>
      <c r="W79" s="528"/>
      <c r="X79" s="528"/>
      <c r="Y79" s="528"/>
      <c r="Z79" s="528"/>
    </row>
    <row r="80" spans="2:26" ht="15">
      <c r="B80" s="535"/>
      <c r="C80" s="620" t="s">
        <v>816</v>
      </c>
      <c r="D80" s="564"/>
      <c r="E80" s="564"/>
      <c r="F80" s="573"/>
      <c r="G80" s="574">
        <v>0</v>
      </c>
      <c r="H80" s="575"/>
      <c r="I80" s="575"/>
      <c r="J80" s="575"/>
      <c r="K80" s="528"/>
      <c r="L80" s="528"/>
      <c r="M80" s="529"/>
      <c r="N80" s="529"/>
      <c r="O80" s="529"/>
      <c r="P80" s="528"/>
      <c r="Q80" s="528"/>
      <c r="R80" s="529"/>
      <c r="S80" s="529"/>
      <c r="T80" s="529"/>
      <c r="U80" s="528"/>
      <c r="V80" s="528"/>
      <c r="W80" s="528"/>
      <c r="X80" s="528"/>
      <c r="Y80" s="528"/>
      <c r="Z80" s="528"/>
    </row>
    <row r="81" spans="1:26" ht="15">
      <c r="B81" s="535"/>
      <c r="C81" s="528"/>
      <c r="D81" s="528"/>
      <c r="E81" s="528"/>
      <c r="F81" s="528"/>
      <c r="G81" s="528"/>
      <c r="H81" s="575"/>
      <c r="I81" s="575"/>
      <c r="J81" s="575"/>
      <c r="K81" s="560"/>
      <c r="L81" s="528"/>
      <c r="M81" s="529"/>
      <c r="N81" s="529"/>
      <c r="O81" s="529"/>
      <c r="P81" s="528"/>
      <c r="Q81" s="528"/>
      <c r="R81" s="529"/>
      <c r="S81" s="529"/>
      <c r="T81" s="529"/>
      <c r="U81" s="528"/>
      <c r="V81" s="528"/>
      <c r="W81" s="528"/>
      <c r="X81" s="528"/>
      <c r="Y81" s="528"/>
      <c r="Z81" s="528"/>
    </row>
    <row r="82" spans="1:26" ht="15">
      <c r="B82" s="535"/>
      <c r="C82" s="923" t="s">
        <v>817</v>
      </c>
      <c r="D82" s="924"/>
      <c r="E82" s="924"/>
      <c r="F82" s="924"/>
      <c r="G82" s="924"/>
      <c r="H82" s="560"/>
      <c r="I82" s="560"/>
      <c r="J82" s="560"/>
      <c r="K82" s="560"/>
      <c r="L82" s="528"/>
      <c r="M82" s="529"/>
      <c r="N82" s="529"/>
      <c r="O82" s="529"/>
      <c r="P82" s="528"/>
      <c r="Q82" s="528"/>
      <c r="R82" s="529"/>
      <c r="S82" s="529"/>
      <c r="T82" s="529"/>
      <c r="U82" s="528"/>
      <c r="V82" s="528"/>
      <c r="W82" s="528"/>
      <c r="X82" s="528"/>
      <c r="Y82" s="528"/>
      <c r="Z82" s="528"/>
    </row>
    <row r="83" spans="1:26" ht="15">
      <c r="B83" s="535"/>
      <c r="C83" s="541"/>
      <c r="D83" s="528"/>
      <c r="E83" s="528"/>
      <c r="F83" s="528"/>
      <c r="G83" s="528"/>
      <c r="H83" s="528"/>
      <c r="I83" s="528"/>
      <c r="J83" s="528"/>
      <c r="K83" s="560"/>
      <c r="L83" s="528"/>
      <c r="M83" s="529"/>
      <c r="N83" s="529"/>
      <c r="O83" s="529"/>
      <c r="P83" s="528"/>
      <c r="Q83" s="528"/>
      <c r="R83" s="529"/>
      <c r="S83" s="529"/>
      <c r="T83" s="529"/>
      <c r="U83" s="528"/>
      <c r="V83" s="528"/>
      <c r="W83" s="528"/>
      <c r="X83" s="528"/>
      <c r="Y83" s="528"/>
      <c r="Z83" s="528"/>
    </row>
    <row r="84" spans="1:26" ht="15">
      <c r="B84" s="535"/>
      <c r="C84" s="550" t="s">
        <v>818</v>
      </c>
      <c r="D84" s="528"/>
      <c r="E84" s="528"/>
      <c r="F84" s="528"/>
      <c r="G84" s="542"/>
      <c r="H84" s="528"/>
      <c r="I84" s="528"/>
      <c r="J84" s="528"/>
      <c r="K84" s="560"/>
      <c r="L84" s="528"/>
      <c r="M84" s="529"/>
      <c r="N84" s="529"/>
      <c r="O84" s="529"/>
      <c r="P84" s="528"/>
      <c r="Q84" s="528"/>
      <c r="R84" s="529"/>
      <c r="S84" s="529"/>
      <c r="T84" s="529"/>
      <c r="U84" s="528"/>
      <c r="V84" s="528"/>
      <c r="W84" s="528"/>
      <c r="X84" s="528"/>
      <c r="Y84" s="528"/>
      <c r="Z84" s="528"/>
    </row>
    <row r="85" spans="1:26" ht="30">
      <c r="B85" s="535"/>
      <c r="C85" s="556" t="s">
        <v>0</v>
      </c>
      <c r="D85" s="556"/>
      <c r="E85" s="556"/>
      <c r="F85" s="566" t="s">
        <v>790</v>
      </c>
      <c r="G85" s="566" t="s">
        <v>791</v>
      </c>
      <c r="H85" s="528"/>
      <c r="I85" s="528"/>
      <c r="J85" s="528"/>
      <c r="K85" s="528"/>
      <c r="L85" s="528"/>
      <c r="M85" s="529"/>
      <c r="N85" s="529"/>
      <c r="O85" s="529"/>
      <c r="P85" s="528"/>
      <c r="Q85" s="528"/>
      <c r="R85" s="529"/>
      <c r="S85" s="529"/>
      <c r="T85" s="529"/>
      <c r="U85" s="528"/>
      <c r="V85" s="528"/>
      <c r="W85" s="528"/>
      <c r="X85" s="528"/>
      <c r="Y85" s="528"/>
      <c r="Z85" s="528"/>
    </row>
    <row r="86" spans="1:26" ht="15">
      <c r="B86" s="535"/>
      <c r="C86" s="541" t="s">
        <v>819</v>
      </c>
      <c r="D86" s="528"/>
      <c r="E86" s="528"/>
      <c r="F86" s="576">
        <v>0</v>
      </c>
      <c r="G86" s="576">
        <v>0</v>
      </c>
      <c r="H86" s="528"/>
      <c r="I86" s="528"/>
      <c r="J86" s="528"/>
      <c r="K86" s="528"/>
      <c r="L86" s="528"/>
      <c r="M86" s="529"/>
      <c r="N86" s="529"/>
      <c r="O86" s="529"/>
      <c r="P86" s="528"/>
      <c r="Q86" s="528"/>
      <c r="R86" s="529"/>
      <c r="S86" s="529"/>
      <c r="T86" s="529"/>
      <c r="U86" s="528"/>
      <c r="V86" s="528"/>
      <c r="W86" s="528"/>
      <c r="X86" s="528"/>
      <c r="Y86" s="528"/>
      <c r="Z86" s="528"/>
    </row>
    <row r="87" spans="1:26" ht="15">
      <c r="B87" s="535"/>
      <c r="C87" s="541" t="s">
        <v>820</v>
      </c>
      <c r="D87" s="528"/>
      <c r="E87" s="528"/>
      <c r="F87" s="576">
        <v>0</v>
      </c>
      <c r="G87" s="576">
        <v>0</v>
      </c>
      <c r="H87" s="528"/>
      <c r="I87" s="528"/>
      <c r="J87" s="528"/>
      <c r="K87" s="528"/>
      <c r="L87" s="528"/>
      <c r="M87" s="529"/>
      <c r="N87" s="529"/>
      <c r="O87" s="529"/>
      <c r="P87" s="528"/>
      <c r="Q87" s="528"/>
      <c r="R87" s="529"/>
      <c r="S87" s="529"/>
      <c r="T87" s="529"/>
      <c r="U87" s="528"/>
      <c r="V87" s="528"/>
      <c r="W87" s="528"/>
      <c r="X87" s="528"/>
      <c r="Y87" s="528"/>
      <c r="Z87" s="528"/>
    </row>
    <row r="88" spans="1:26" ht="15">
      <c r="B88" s="535"/>
      <c r="C88" s="541" t="s">
        <v>125</v>
      </c>
      <c r="D88" s="528"/>
      <c r="E88" s="528"/>
      <c r="F88" s="576">
        <v>0</v>
      </c>
      <c r="G88" s="576">
        <v>0</v>
      </c>
      <c r="H88" s="528"/>
      <c r="I88" s="528"/>
      <c r="J88" s="528"/>
      <c r="K88" s="528"/>
      <c r="L88" s="528"/>
      <c r="M88" s="529"/>
      <c r="N88" s="529"/>
      <c r="O88" s="529"/>
      <c r="P88" s="528"/>
      <c r="Q88" s="528"/>
      <c r="R88" s="529"/>
      <c r="S88" s="529"/>
      <c r="T88" s="529"/>
      <c r="U88" s="528"/>
      <c r="V88" s="528"/>
      <c r="W88" s="528"/>
      <c r="X88" s="528"/>
      <c r="Y88" s="528"/>
      <c r="Z88" s="528"/>
    </row>
    <row r="89" spans="1:26" ht="15">
      <c r="B89" s="535"/>
      <c r="C89" s="541" t="s">
        <v>821</v>
      </c>
      <c r="D89" s="528"/>
      <c r="E89" s="528"/>
      <c r="F89" s="576">
        <v>0</v>
      </c>
      <c r="G89" s="576">
        <v>0</v>
      </c>
      <c r="H89" s="528"/>
      <c r="I89" s="528"/>
      <c r="J89" s="528"/>
      <c r="K89" s="528"/>
      <c r="L89" s="528"/>
      <c r="M89" s="529"/>
      <c r="N89" s="529"/>
      <c r="O89" s="529"/>
      <c r="P89" s="528"/>
      <c r="Q89" s="528"/>
      <c r="R89" s="529"/>
      <c r="S89" s="529"/>
      <c r="T89" s="529"/>
      <c r="U89" s="528"/>
      <c r="V89" s="528"/>
      <c r="W89" s="528"/>
      <c r="X89" s="528"/>
      <c r="Y89" s="528"/>
      <c r="Z89" s="528"/>
    </row>
    <row r="90" spans="1:26" ht="15">
      <c r="B90" s="535"/>
      <c r="C90" s="541" t="s">
        <v>124</v>
      </c>
      <c r="D90" s="528"/>
      <c r="E90" s="528"/>
      <c r="F90" s="576">
        <v>0</v>
      </c>
      <c r="G90" s="576">
        <v>0</v>
      </c>
      <c r="H90" s="528"/>
      <c r="I90" s="528"/>
      <c r="J90" s="528"/>
      <c r="K90" s="528"/>
      <c r="L90" s="528"/>
      <c r="M90" s="529"/>
      <c r="N90" s="529"/>
      <c r="O90" s="529"/>
      <c r="P90" s="528"/>
      <c r="Q90" s="528"/>
      <c r="R90" s="529"/>
      <c r="S90" s="529"/>
      <c r="T90" s="529"/>
      <c r="U90" s="528"/>
      <c r="V90" s="528"/>
      <c r="W90" s="528"/>
      <c r="X90" s="528"/>
      <c r="Y90" s="528"/>
      <c r="Z90" s="528"/>
    </row>
    <row r="91" spans="1:26" ht="15">
      <c r="B91" s="535"/>
      <c r="C91" s="541" t="s">
        <v>822</v>
      </c>
      <c r="D91" s="528"/>
      <c r="E91" s="528"/>
      <c r="F91" s="576">
        <v>0</v>
      </c>
      <c r="G91" s="577">
        <v>0</v>
      </c>
      <c r="H91" s="575"/>
      <c r="I91" s="575"/>
      <c r="J91" s="575"/>
      <c r="K91" s="528"/>
      <c r="L91" s="528"/>
      <c r="M91" s="529"/>
      <c r="N91" s="529"/>
      <c r="O91" s="529"/>
      <c r="P91" s="528"/>
      <c r="Q91" s="528"/>
      <c r="R91" s="529"/>
      <c r="S91" s="529"/>
      <c r="T91" s="529"/>
      <c r="U91" s="528"/>
      <c r="V91" s="528"/>
      <c r="W91" s="528"/>
      <c r="X91" s="528"/>
      <c r="Y91" s="528"/>
      <c r="Z91" s="528"/>
    </row>
    <row r="92" spans="1:26" ht="15.75" thickBot="1">
      <c r="B92" s="535"/>
      <c r="C92" s="547" t="s">
        <v>1</v>
      </c>
      <c r="D92" s="528"/>
      <c r="E92" s="528"/>
      <c r="F92" s="585">
        <f>SUM(F86:F91)</f>
        <v>0</v>
      </c>
      <c r="G92" s="585">
        <f>SUM(G86:G91)</f>
        <v>0</v>
      </c>
      <c r="H92" s="528"/>
      <c r="I92" s="528"/>
      <c r="J92" s="528"/>
      <c r="K92" s="528"/>
      <c r="L92" s="528"/>
      <c r="M92" s="529"/>
      <c r="N92" s="529"/>
      <c r="O92" s="529"/>
      <c r="P92" s="528"/>
      <c r="Q92" s="528"/>
      <c r="R92" s="529"/>
      <c r="S92" s="529"/>
      <c r="T92" s="529"/>
      <c r="U92" s="528"/>
      <c r="V92" s="528"/>
      <c r="W92" s="528"/>
      <c r="X92" s="528"/>
      <c r="Y92" s="528"/>
      <c r="Z92" s="528"/>
    </row>
    <row r="93" spans="1:26" ht="15.75" thickTop="1">
      <c r="B93" s="535"/>
      <c r="C93" s="547"/>
      <c r="D93" s="528"/>
      <c r="E93" s="528"/>
      <c r="F93" s="578"/>
      <c r="G93" s="578"/>
      <c r="H93" s="528"/>
      <c r="I93" s="528"/>
      <c r="J93" s="528"/>
      <c r="K93" s="560"/>
      <c r="L93" s="528"/>
      <c r="M93" s="529"/>
      <c r="N93" s="529"/>
      <c r="O93" s="529"/>
      <c r="P93" s="528"/>
      <c r="Q93" s="528"/>
      <c r="R93" s="529"/>
      <c r="S93" s="529"/>
      <c r="T93" s="529"/>
      <c r="U93" s="528"/>
      <c r="V93" s="528"/>
      <c r="W93" s="528"/>
      <c r="X93" s="528"/>
      <c r="Y93" s="528"/>
      <c r="Z93" s="528"/>
    </row>
    <row r="94" spans="1:26" ht="15">
      <c r="B94" s="535"/>
      <c r="C94" s="550" t="s">
        <v>823</v>
      </c>
      <c r="D94" s="550"/>
      <c r="E94" s="550"/>
      <c r="F94" s="528"/>
      <c r="G94" s="528"/>
      <c r="H94" s="528"/>
      <c r="I94" s="528"/>
      <c r="J94" s="528"/>
      <c r="K94" s="528"/>
      <c r="L94" s="528"/>
      <c r="M94" s="529"/>
      <c r="N94" s="529"/>
      <c r="O94" s="529"/>
      <c r="P94" s="528"/>
      <c r="Q94" s="528"/>
      <c r="R94" s="529"/>
      <c r="S94" s="529"/>
      <c r="T94" s="529"/>
      <c r="U94" s="528"/>
      <c r="V94" s="528"/>
      <c r="W94" s="528"/>
      <c r="X94" s="528"/>
      <c r="Y94" s="528"/>
      <c r="Z94" s="528"/>
    </row>
    <row r="95" spans="1:26" s="515" customFormat="1" ht="15">
      <c r="A95" s="514"/>
      <c r="B95" s="535"/>
      <c r="C95" s="550"/>
      <c r="D95" s="579"/>
      <c r="E95" s="579"/>
      <c r="F95" s="579"/>
      <c r="G95" s="528"/>
      <c r="H95" s="528"/>
      <c r="I95" s="528"/>
      <c r="J95" s="528"/>
      <c r="K95" s="528"/>
      <c r="L95" s="528"/>
      <c r="M95" s="529"/>
      <c r="N95" s="529"/>
      <c r="O95" s="529"/>
      <c r="P95" s="528"/>
      <c r="Q95" s="528"/>
      <c r="R95" s="529"/>
      <c r="S95" s="529"/>
      <c r="T95" s="529"/>
      <c r="U95" s="528"/>
      <c r="V95" s="528"/>
      <c r="W95" s="528"/>
      <c r="X95" s="529"/>
      <c r="Y95" s="537"/>
      <c r="Z95" s="529"/>
    </row>
    <row r="96" spans="1:26" s="515" customFormat="1" ht="15">
      <c r="A96" s="514"/>
      <c r="B96" s="535"/>
      <c r="C96" s="550" t="s">
        <v>824</v>
      </c>
      <c r="D96" s="528"/>
      <c r="E96" s="528"/>
      <c r="F96" s="579"/>
      <c r="G96" s="542"/>
      <c r="H96" s="528"/>
      <c r="I96" s="528"/>
      <c r="J96" s="528"/>
      <c r="K96" s="528"/>
      <c r="L96" s="528"/>
      <c r="M96" s="529"/>
      <c r="N96" s="529"/>
      <c r="O96" s="529"/>
      <c r="P96" s="528"/>
      <c r="Q96" s="528"/>
      <c r="R96" s="529"/>
      <c r="S96" s="529"/>
      <c r="T96" s="529"/>
      <c r="U96" s="528"/>
      <c r="V96" s="528"/>
      <c r="W96" s="528"/>
      <c r="X96" s="529"/>
      <c r="Y96" s="537"/>
      <c r="Z96" s="529"/>
    </row>
    <row r="97" spans="1:26" s="515" customFormat="1" ht="30">
      <c r="A97" s="514"/>
      <c r="B97" s="535"/>
      <c r="C97" s="556" t="s">
        <v>0</v>
      </c>
      <c r="D97" s="556"/>
      <c r="E97" s="556"/>
      <c r="F97" s="566" t="s">
        <v>790</v>
      </c>
      <c r="G97" s="566" t="s">
        <v>791</v>
      </c>
      <c r="H97" s="528"/>
      <c r="I97" s="528"/>
      <c r="J97" s="528"/>
      <c r="K97" s="528"/>
      <c r="L97" s="528"/>
      <c r="M97" s="529"/>
      <c r="N97" s="529"/>
      <c r="O97" s="529"/>
      <c r="P97" s="528"/>
      <c r="Q97" s="528"/>
      <c r="R97" s="529"/>
      <c r="S97" s="529"/>
      <c r="T97" s="529"/>
      <c r="U97" s="528"/>
      <c r="V97" s="528"/>
      <c r="W97" s="528"/>
      <c r="X97" s="529"/>
      <c r="Y97" s="537"/>
      <c r="Z97" s="529"/>
    </row>
    <row r="98" spans="1:26" s="515" customFormat="1" ht="15">
      <c r="A98" s="514"/>
      <c r="B98" s="535"/>
      <c r="C98" s="541" t="s">
        <v>825</v>
      </c>
      <c r="D98" s="528"/>
      <c r="E98" s="528"/>
      <c r="F98" s="580">
        <v>0</v>
      </c>
      <c r="G98" s="581">
        <v>0</v>
      </c>
      <c r="H98" s="528"/>
      <c r="I98" s="528"/>
      <c r="J98" s="528"/>
      <c r="K98" s="528"/>
      <c r="L98" s="528"/>
      <c r="M98" s="529"/>
      <c r="N98" s="529"/>
      <c r="O98" s="529"/>
      <c r="P98" s="528"/>
      <c r="Q98" s="528"/>
      <c r="R98" s="529"/>
      <c r="S98" s="529"/>
      <c r="T98" s="529"/>
      <c r="U98" s="528"/>
      <c r="V98" s="528"/>
      <c r="W98" s="528"/>
      <c r="X98" s="529"/>
      <c r="Y98" s="537"/>
      <c r="Z98" s="529"/>
    </row>
    <row r="99" spans="1:26" s="515" customFormat="1" ht="15">
      <c r="A99" s="514"/>
      <c r="B99" s="535"/>
      <c r="C99" s="541" t="s">
        <v>826</v>
      </c>
      <c r="D99" s="528"/>
      <c r="E99" s="528"/>
      <c r="F99" s="580">
        <v>0</v>
      </c>
      <c r="G99" s="581">
        <v>0</v>
      </c>
      <c r="H99" s="528"/>
      <c r="I99" s="528"/>
      <c r="J99" s="528"/>
      <c r="K99" s="528"/>
      <c r="L99" s="528"/>
      <c r="M99" s="529"/>
      <c r="N99" s="529"/>
      <c r="O99" s="529"/>
      <c r="P99" s="528"/>
      <c r="Q99" s="528"/>
      <c r="R99" s="529"/>
      <c r="S99" s="529"/>
      <c r="T99" s="529"/>
      <c r="U99" s="528"/>
      <c r="V99" s="528"/>
      <c r="W99" s="528"/>
      <c r="X99" s="529"/>
      <c r="Y99" s="537"/>
      <c r="Z99" s="529"/>
    </row>
    <row r="100" spans="1:26" s="515" customFormat="1" ht="15">
      <c r="A100" s="514"/>
      <c r="B100" s="535"/>
      <c r="C100" s="541" t="s">
        <v>123</v>
      </c>
      <c r="D100" s="528"/>
      <c r="E100" s="528"/>
      <c r="F100" s="580">
        <v>0</v>
      </c>
      <c r="G100" s="581">
        <v>0</v>
      </c>
      <c r="H100" s="528"/>
      <c r="I100" s="528"/>
      <c r="J100" s="528"/>
      <c r="K100" s="528"/>
      <c r="L100" s="528"/>
      <c r="M100" s="529"/>
      <c r="N100" s="529"/>
      <c r="O100" s="529"/>
      <c r="P100" s="528"/>
      <c r="Q100" s="528"/>
      <c r="R100" s="529"/>
      <c r="S100" s="529"/>
      <c r="T100" s="529"/>
      <c r="U100" s="528"/>
      <c r="V100" s="528"/>
      <c r="W100" s="528"/>
      <c r="X100" s="529"/>
      <c r="Y100" s="537"/>
      <c r="Z100" s="529"/>
    </row>
    <row r="101" spans="1:26" s="515" customFormat="1" ht="15">
      <c r="A101" s="514"/>
      <c r="B101" s="535"/>
      <c r="C101" s="541" t="s">
        <v>827</v>
      </c>
      <c r="D101" s="528"/>
      <c r="E101" s="528"/>
      <c r="F101" s="580">
        <v>0</v>
      </c>
      <c r="G101" s="581">
        <v>0</v>
      </c>
      <c r="H101" s="528"/>
      <c r="I101" s="528"/>
      <c r="J101" s="528"/>
      <c r="K101" s="528"/>
      <c r="L101" s="528"/>
      <c r="M101" s="529"/>
      <c r="N101" s="529"/>
      <c r="O101" s="529"/>
      <c r="P101" s="528"/>
      <c r="Q101" s="528"/>
      <c r="R101" s="529"/>
      <c r="S101" s="529"/>
      <c r="T101" s="529"/>
      <c r="U101" s="528"/>
      <c r="V101" s="528"/>
      <c r="W101" s="528"/>
      <c r="X101" s="529"/>
      <c r="Y101" s="537"/>
      <c r="Z101" s="529"/>
    </row>
    <row r="102" spans="1:26" s="515" customFormat="1" ht="15">
      <c r="A102" s="514"/>
      <c r="B102" s="535"/>
      <c r="C102" s="541" t="s">
        <v>124</v>
      </c>
      <c r="D102" s="528"/>
      <c r="E102" s="528"/>
      <c r="F102" s="580">
        <v>0</v>
      </c>
      <c r="G102" s="581">
        <v>0</v>
      </c>
      <c r="H102" s="528"/>
      <c r="I102" s="528"/>
      <c r="J102" s="528"/>
      <c r="K102" s="582"/>
      <c r="L102" s="528"/>
      <c r="M102" s="529"/>
      <c r="N102" s="529"/>
      <c r="O102" s="529"/>
      <c r="P102" s="528"/>
      <c r="Q102" s="528"/>
      <c r="R102" s="529"/>
      <c r="S102" s="529"/>
      <c r="T102" s="529"/>
      <c r="U102" s="528"/>
      <c r="V102" s="528"/>
      <c r="W102" s="528"/>
      <c r="X102" s="529"/>
      <c r="Y102" s="537"/>
      <c r="Z102" s="529"/>
    </row>
    <row r="103" spans="1:26" s="515" customFormat="1" ht="15">
      <c r="A103" s="514"/>
      <c r="B103" s="535"/>
      <c r="C103" s="541" t="s">
        <v>828</v>
      </c>
      <c r="D103" s="528"/>
      <c r="E103" s="528"/>
      <c r="F103" s="580">
        <v>0</v>
      </c>
      <c r="G103" s="581">
        <v>0</v>
      </c>
      <c r="H103" s="528"/>
      <c r="I103" s="528"/>
      <c r="J103" s="528"/>
      <c r="K103" s="528"/>
      <c r="L103" s="528"/>
      <c r="M103" s="583"/>
      <c r="N103" s="529"/>
      <c r="O103" s="529"/>
      <c r="P103" s="528"/>
      <c r="Q103" s="528"/>
      <c r="R103" s="529"/>
      <c r="S103" s="529"/>
      <c r="T103" s="529"/>
      <c r="U103" s="528"/>
      <c r="V103" s="528"/>
      <c r="W103" s="528"/>
      <c r="X103" s="529"/>
      <c r="Y103" s="537"/>
      <c r="Z103" s="529"/>
    </row>
    <row r="104" spans="1:26" s="515" customFormat="1" ht="15">
      <c r="A104" s="514"/>
      <c r="B104" s="535"/>
      <c r="C104" s="541" t="s">
        <v>829</v>
      </c>
      <c r="D104" s="528"/>
      <c r="E104" s="528"/>
      <c r="F104" s="580">
        <v>0</v>
      </c>
      <c r="G104" s="581">
        <v>0</v>
      </c>
      <c r="H104" s="528"/>
      <c r="I104" s="528"/>
      <c r="J104" s="528"/>
      <c r="K104" s="528"/>
      <c r="L104" s="528"/>
      <c r="M104" s="583"/>
      <c r="N104" s="529"/>
      <c r="O104" s="529"/>
      <c r="P104" s="528"/>
      <c r="Q104" s="528"/>
      <c r="R104" s="529"/>
      <c r="S104" s="529"/>
      <c r="T104" s="529"/>
      <c r="U104" s="528"/>
      <c r="V104" s="528"/>
      <c r="W104" s="528"/>
      <c r="X104" s="529"/>
      <c r="Y104" s="537"/>
      <c r="Z104" s="529"/>
    </row>
    <row r="105" spans="1:26" s="515" customFormat="1" ht="15">
      <c r="A105" s="514"/>
      <c r="B105" s="535"/>
      <c r="C105" s="541" t="s">
        <v>830</v>
      </c>
      <c r="D105" s="528"/>
      <c r="E105" s="528"/>
      <c r="F105" s="580">
        <v>0</v>
      </c>
      <c r="G105" s="581">
        <v>0</v>
      </c>
      <c r="H105" s="528"/>
      <c r="I105" s="528"/>
      <c r="J105" s="528"/>
      <c r="K105" s="528"/>
      <c r="L105" s="528"/>
      <c r="M105" s="529"/>
      <c r="N105" s="529"/>
      <c r="O105" s="529"/>
      <c r="P105" s="528"/>
      <c r="Q105" s="528"/>
      <c r="R105" s="529"/>
      <c r="S105" s="529"/>
      <c r="T105" s="529"/>
      <c r="U105" s="528"/>
      <c r="V105" s="528"/>
      <c r="W105" s="528"/>
      <c r="X105" s="529"/>
      <c r="Y105" s="537"/>
      <c r="Z105" s="529"/>
    </row>
    <row r="106" spans="1:26" s="515" customFormat="1" ht="15">
      <c r="A106" s="514"/>
      <c r="B106" s="535"/>
      <c r="C106" s="541" t="s">
        <v>831</v>
      </c>
      <c r="D106" s="528"/>
      <c r="E106" s="528"/>
      <c r="F106" s="580">
        <v>0</v>
      </c>
      <c r="G106" s="581">
        <v>0</v>
      </c>
      <c r="H106" s="528"/>
      <c r="I106" s="528"/>
      <c r="J106" s="528"/>
      <c r="K106" s="528"/>
      <c r="L106" s="528"/>
      <c r="M106" s="529"/>
      <c r="N106" s="529"/>
      <c r="O106" s="529"/>
      <c r="P106" s="528"/>
      <c r="Q106" s="528"/>
      <c r="R106" s="529"/>
      <c r="S106" s="529"/>
      <c r="T106" s="529"/>
      <c r="U106" s="528"/>
      <c r="V106" s="528"/>
      <c r="W106" s="528"/>
      <c r="X106" s="529"/>
      <c r="Y106" s="537"/>
      <c r="Z106" s="529"/>
    </row>
    <row r="107" spans="1:26" s="515" customFormat="1" ht="15">
      <c r="A107" s="514"/>
      <c r="B107" s="535"/>
      <c r="C107" s="541" t="s">
        <v>126</v>
      </c>
      <c r="D107" s="528"/>
      <c r="E107" s="528"/>
      <c r="F107" s="580">
        <v>0</v>
      </c>
      <c r="G107" s="581">
        <v>0</v>
      </c>
      <c r="H107" s="528"/>
      <c r="I107" s="528"/>
      <c r="J107" s="528"/>
      <c r="K107" s="528"/>
      <c r="L107" s="528"/>
      <c r="M107" s="529"/>
      <c r="N107" s="529"/>
      <c r="O107" s="529"/>
      <c r="P107" s="528"/>
      <c r="Q107" s="528"/>
      <c r="R107" s="529"/>
      <c r="S107" s="529"/>
      <c r="T107" s="529"/>
      <c r="U107" s="528"/>
      <c r="V107" s="528"/>
      <c r="W107" s="528"/>
      <c r="X107" s="529"/>
      <c r="Y107" s="537"/>
      <c r="Z107" s="529"/>
    </row>
    <row r="108" spans="1:26" s="515" customFormat="1" ht="15.75" thickBot="1">
      <c r="A108" s="514"/>
      <c r="B108" s="535"/>
      <c r="C108" s="550" t="s">
        <v>832</v>
      </c>
      <c r="D108" s="528"/>
      <c r="E108" s="528"/>
      <c r="F108" s="584">
        <f>SUM(F98:F107)</f>
        <v>0</v>
      </c>
      <c r="G108" s="585">
        <f>SUM(G98:G107)</f>
        <v>0</v>
      </c>
      <c r="H108" s="528"/>
      <c r="I108" s="528"/>
      <c r="J108" s="528"/>
      <c r="K108" s="528"/>
      <c r="L108" s="528"/>
      <c r="M108" s="529"/>
      <c r="N108" s="529"/>
      <c r="O108" s="529"/>
      <c r="P108" s="528"/>
      <c r="Q108" s="528"/>
      <c r="R108" s="529"/>
      <c r="S108" s="529"/>
      <c r="T108" s="529"/>
      <c r="U108" s="528"/>
      <c r="V108" s="528"/>
      <c r="W108" s="528"/>
      <c r="X108" s="529"/>
      <c r="Y108" s="537"/>
      <c r="Z108" s="529"/>
    </row>
    <row r="109" spans="1:26" s="515" customFormat="1" ht="15.75" thickTop="1">
      <c r="A109" s="514"/>
      <c r="B109" s="535"/>
      <c r="C109" s="541"/>
      <c r="D109" s="528"/>
      <c r="E109" s="528"/>
      <c r="F109" s="528"/>
      <c r="G109" s="528"/>
      <c r="H109" s="528"/>
      <c r="I109" s="528"/>
      <c r="J109" s="528"/>
      <c r="K109" s="528"/>
      <c r="L109" s="528"/>
      <c r="M109" s="529"/>
      <c r="N109" s="529"/>
      <c r="O109" s="529"/>
      <c r="P109" s="528"/>
      <c r="Q109" s="528"/>
      <c r="R109" s="529"/>
      <c r="S109" s="529"/>
      <c r="T109" s="529"/>
      <c r="U109" s="528"/>
      <c r="V109" s="528"/>
      <c r="W109" s="528"/>
      <c r="X109" s="529"/>
      <c r="Y109" s="537"/>
      <c r="Z109" s="529"/>
    </row>
    <row r="110" spans="1:26" s="515" customFormat="1" ht="15">
      <c r="A110" s="514"/>
      <c r="B110" s="535"/>
      <c r="C110" s="550" t="s">
        <v>833</v>
      </c>
      <c r="D110" s="528"/>
      <c r="E110" s="528"/>
      <c r="F110" s="541"/>
      <c r="G110" s="586"/>
      <c r="H110" s="587"/>
      <c r="I110" s="587"/>
      <c r="J110" s="587"/>
      <c r="K110" s="528"/>
      <c r="L110" s="528"/>
      <c r="M110" s="529"/>
      <c r="N110" s="529"/>
      <c r="O110" s="529"/>
      <c r="P110" s="528"/>
      <c r="Q110" s="528"/>
      <c r="R110" s="529"/>
      <c r="S110" s="529"/>
      <c r="T110" s="529"/>
      <c r="U110" s="528"/>
      <c r="V110" s="528"/>
      <c r="W110" s="528"/>
      <c r="X110" s="529"/>
      <c r="Y110" s="537"/>
      <c r="Z110" s="529"/>
    </row>
    <row r="111" spans="1:26" s="515" customFormat="1" ht="30">
      <c r="A111" s="514"/>
      <c r="B111" s="535"/>
      <c r="C111" s="556" t="s">
        <v>0</v>
      </c>
      <c r="D111" s="556"/>
      <c r="E111" s="556"/>
      <c r="F111" s="566" t="s">
        <v>790</v>
      </c>
      <c r="G111" s="566" t="s">
        <v>791</v>
      </c>
      <c r="H111" s="550"/>
      <c r="I111" s="550"/>
      <c r="J111" s="550"/>
      <c r="K111" s="528"/>
      <c r="L111" s="528"/>
      <c r="M111" s="529"/>
      <c r="N111" s="529"/>
      <c r="O111" s="529"/>
      <c r="P111" s="528"/>
      <c r="Q111" s="528"/>
      <c r="R111" s="529"/>
      <c r="S111" s="529"/>
      <c r="T111" s="529"/>
      <c r="U111" s="528"/>
      <c r="V111" s="528"/>
      <c r="W111" s="528"/>
      <c r="X111" s="529"/>
      <c r="Y111" s="537"/>
      <c r="Z111" s="529"/>
    </row>
    <row r="112" spans="1:26" s="515" customFormat="1" ht="15">
      <c r="A112" s="514"/>
      <c r="B112" s="535"/>
      <c r="C112" s="541" t="s">
        <v>834</v>
      </c>
      <c r="D112" s="528"/>
      <c r="E112" s="528"/>
      <c r="F112" s="580">
        <v>0</v>
      </c>
      <c r="G112" s="581">
        <v>0</v>
      </c>
      <c r="H112" s="589"/>
      <c r="I112" s="589"/>
      <c r="J112" s="589"/>
      <c r="K112" s="528"/>
      <c r="L112" s="528"/>
      <c r="M112" s="529"/>
      <c r="N112" s="529"/>
      <c r="O112" s="529"/>
      <c r="P112" s="528"/>
      <c r="Q112" s="528"/>
      <c r="R112" s="529"/>
      <c r="S112" s="529"/>
      <c r="T112" s="529"/>
      <c r="U112" s="528"/>
      <c r="V112" s="528"/>
      <c r="W112" s="528"/>
      <c r="X112" s="529"/>
      <c r="Y112" s="537"/>
      <c r="Z112" s="529"/>
    </row>
    <row r="113" spans="1:26" s="515" customFormat="1" ht="15">
      <c r="A113" s="514"/>
      <c r="B113" s="535"/>
      <c r="C113" s="541" t="s">
        <v>125</v>
      </c>
      <c r="D113" s="528"/>
      <c r="E113" s="528"/>
      <c r="F113" s="580">
        <v>0</v>
      </c>
      <c r="G113" s="581">
        <v>0</v>
      </c>
      <c r="H113" s="589"/>
      <c r="I113" s="589"/>
      <c r="J113" s="589"/>
      <c r="K113" s="528"/>
      <c r="L113" s="528"/>
      <c r="M113" s="529"/>
      <c r="N113" s="529"/>
      <c r="O113" s="529"/>
      <c r="P113" s="528"/>
      <c r="Q113" s="528"/>
      <c r="R113" s="529"/>
      <c r="S113" s="529"/>
      <c r="T113" s="529"/>
      <c r="U113" s="528"/>
      <c r="V113" s="528"/>
      <c r="W113" s="528"/>
      <c r="X113" s="529"/>
      <c r="Y113" s="537"/>
      <c r="Z113" s="529"/>
    </row>
    <row r="114" spans="1:26" s="515" customFormat="1" ht="15">
      <c r="A114" s="514"/>
      <c r="B114" s="535"/>
      <c r="C114" s="541" t="s">
        <v>835</v>
      </c>
      <c r="D114" s="528"/>
      <c r="E114" s="528"/>
      <c r="F114" s="580">
        <v>0</v>
      </c>
      <c r="G114" s="581">
        <v>0</v>
      </c>
      <c r="H114" s="589"/>
      <c r="I114" s="589"/>
      <c r="J114" s="589"/>
      <c r="K114" s="528"/>
      <c r="L114" s="528"/>
      <c r="M114" s="529"/>
      <c r="N114" s="529"/>
      <c r="O114" s="529"/>
      <c r="P114" s="528"/>
      <c r="Q114" s="528"/>
      <c r="R114" s="529"/>
      <c r="S114" s="529"/>
      <c r="T114" s="529"/>
      <c r="U114" s="528"/>
      <c r="V114" s="528"/>
      <c r="W114" s="528"/>
      <c r="X114" s="529"/>
      <c r="Y114" s="537"/>
      <c r="Z114" s="529"/>
    </row>
    <row r="115" spans="1:26" s="515" customFormat="1" ht="15">
      <c r="A115" s="514"/>
      <c r="B115" s="535"/>
      <c r="C115" s="541" t="s">
        <v>836</v>
      </c>
      <c r="D115" s="528"/>
      <c r="E115" s="528"/>
      <c r="F115" s="580">
        <v>0</v>
      </c>
      <c r="G115" s="581">
        <v>0</v>
      </c>
      <c r="H115" s="589"/>
      <c r="I115" s="589"/>
      <c r="J115" s="589"/>
      <c r="K115" s="528"/>
      <c r="L115" s="528"/>
      <c r="M115" s="529"/>
      <c r="N115" s="529"/>
      <c r="O115" s="529"/>
      <c r="P115" s="528"/>
      <c r="Q115" s="528"/>
      <c r="R115" s="529"/>
      <c r="S115" s="529"/>
      <c r="T115" s="529"/>
      <c r="U115" s="528"/>
      <c r="V115" s="528"/>
      <c r="W115" s="528"/>
      <c r="X115" s="529"/>
      <c r="Y115" s="537"/>
      <c r="Z115" s="529"/>
    </row>
    <row r="116" spans="1:26" s="515" customFormat="1" ht="15">
      <c r="A116" s="514"/>
      <c r="B116" s="535"/>
      <c r="C116" s="541" t="s">
        <v>837</v>
      </c>
      <c r="D116" s="528"/>
      <c r="E116" s="528"/>
      <c r="F116" s="580">
        <v>0</v>
      </c>
      <c r="G116" s="581">
        <v>0</v>
      </c>
      <c r="H116" s="589"/>
      <c r="I116" s="589"/>
      <c r="J116" s="589"/>
      <c r="K116" s="528"/>
      <c r="L116" s="528"/>
      <c r="M116" s="529"/>
      <c r="N116" s="529"/>
      <c r="O116" s="529"/>
      <c r="P116" s="528"/>
      <c r="Q116" s="528"/>
      <c r="R116" s="529"/>
      <c r="S116" s="529"/>
      <c r="T116" s="529"/>
      <c r="U116" s="528"/>
      <c r="V116" s="528"/>
      <c r="W116" s="528"/>
      <c r="X116" s="529"/>
      <c r="Y116" s="537"/>
      <c r="Z116" s="529"/>
    </row>
    <row r="117" spans="1:26" s="515" customFormat="1" ht="15">
      <c r="A117" s="514"/>
      <c r="B117" s="535"/>
      <c r="C117" s="541" t="s">
        <v>838</v>
      </c>
      <c r="D117" s="528"/>
      <c r="E117" s="528"/>
      <c r="F117" s="580">
        <v>0</v>
      </c>
      <c r="G117" s="581">
        <v>0</v>
      </c>
      <c r="H117" s="589"/>
      <c r="I117" s="589"/>
      <c r="J117" s="589"/>
      <c r="K117" s="528"/>
      <c r="L117" s="528"/>
      <c r="M117" s="529"/>
      <c r="N117" s="529"/>
      <c r="O117" s="529"/>
      <c r="P117" s="528"/>
      <c r="Q117" s="528"/>
      <c r="R117" s="529"/>
      <c r="S117" s="529"/>
      <c r="T117" s="529"/>
      <c r="U117" s="528"/>
      <c r="V117" s="528"/>
      <c r="W117" s="528"/>
      <c r="X117" s="529"/>
      <c r="Y117" s="537"/>
      <c r="Z117" s="529"/>
    </row>
    <row r="118" spans="1:26" s="515" customFormat="1" ht="15">
      <c r="A118" s="514"/>
      <c r="B118" s="535"/>
      <c r="C118" s="541" t="s">
        <v>831</v>
      </c>
      <c r="D118" s="528"/>
      <c r="E118" s="528"/>
      <c r="F118" s="580">
        <v>0</v>
      </c>
      <c r="G118" s="581">
        <v>0</v>
      </c>
      <c r="H118" s="589"/>
      <c r="I118" s="589"/>
      <c r="J118" s="589"/>
      <c r="K118" s="528"/>
      <c r="L118" s="528"/>
      <c r="M118" s="529"/>
      <c r="N118" s="529"/>
      <c r="O118" s="529"/>
      <c r="P118" s="528"/>
      <c r="Q118" s="528"/>
      <c r="R118" s="529"/>
      <c r="S118" s="529"/>
      <c r="T118" s="529"/>
      <c r="U118" s="528"/>
      <c r="V118" s="528"/>
      <c r="W118" s="528"/>
      <c r="X118" s="529"/>
      <c r="Y118" s="537"/>
      <c r="Z118" s="529"/>
    </row>
    <row r="119" spans="1:26" s="515" customFormat="1" ht="15">
      <c r="A119" s="514"/>
      <c r="B119" s="535"/>
      <c r="C119" s="541" t="s">
        <v>126</v>
      </c>
      <c r="D119" s="528"/>
      <c r="E119" s="528"/>
      <c r="F119" s="580">
        <v>0</v>
      </c>
      <c r="G119" s="581">
        <v>0</v>
      </c>
      <c r="H119" s="590"/>
      <c r="I119" s="590"/>
      <c r="J119" s="590"/>
      <c r="K119" s="528"/>
      <c r="L119" s="528"/>
      <c r="M119" s="529">
        <f>F119-F89</f>
        <v>0</v>
      </c>
      <c r="N119" s="529" t="s">
        <v>839</v>
      </c>
      <c r="O119" s="529"/>
      <c r="P119" s="528"/>
      <c r="Q119" s="528"/>
      <c r="R119" s="529"/>
      <c r="S119" s="529"/>
      <c r="T119" s="529"/>
      <c r="U119" s="528"/>
      <c r="V119" s="528"/>
      <c r="W119" s="528"/>
      <c r="X119" s="529"/>
      <c r="Y119" s="537"/>
      <c r="Z119" s="529"/>
    </row>
    <row r="120" spans="1:26" s="515" customFormat="1" ht="15.75" thickBot="1">
      <c r="A120" s="514"/>
      <c r="B120" s="535"/>
      <c r="C120" s="550" t="s">
        <v>840</v>
      </c>
      <c r="D120" s="528"/>
      <c r="E120" s="528"/>
      <c r="F120" s="591">
        <f>SUM(F112:F119)</f>
        <v>0</v>
      </c>
      <c r="G120" s="592">
        <f>SUM(G112:G119)</f>
        <v>0</v>
      </c>
      <c r="H120" s="589"/>
      <c r="I120" s="589"/>
      <c r="J120" s="589"/>
      <c r="K120" s="528"/>
      <c r="L120" s="528"/>
      <c r="M120" s="529"/>
      <c r="N120" s="529"/>
      <c r="O120" s="529"/>
      <c r="P120" s="528"/>
      <c r="Q120" s="528"/>
      <c r="R120" s="529"/>
      <c r="S120" s="529"/>
      <c r="T120" s="529"/>
      <c r="U120" s="528"/>
      <c r="V120" s="528"/>
      <c r="W120" s="528"/>
      <c r="X120" s="529"/>
      <c r="Y120" s="537"/>
      <c r="Z120" s="529"/>
    </row>
    <row r="121" spans="1:26" s="515" customFormat="1" ht="15.75" thickTop="1">
      <c r="A121" s="514"/>
      <c r="B121" s="535"/>
      <c r="C121" s="541"/>
      <c r="D121" s="528"/>
      <c r="E121" s="528"/>
      <c r="F121" s="924"/>
      <c r="G121" s="924"/>
      <c r="H121" s="528"/>
      <c r="I121" s="528"/>
      <c r="J121" s="528"/>
      <c r="K121" s="587"/>
      <c r="L121" s="528"/>
      <c r="M121" s="529"/>
      <c r="N121" s="529"/>
      <c r="O121" s="529"/>
      <c r="P121" s="528"/>
      <c r="Q121" s="528"/>
      <c r="R121" s="529"/>
      <c r="S121" s="529"/>
      <c r="T121" s="529"/>
      <c r="U121" s="528"/>
      <c r="V121" s="528"/>
      <c r="W121" s="528"/>
      <c r="X121" s="529"/>
      <c r="Y121" s="537"/>
      <c r="Z121" s="529"/>
    </row>
    <row r="122" spans="1:26" s="515" customFormat="1" ht="15">
      <c r="A122" s="514"/>
      <c r="B122" s="535"/>
      <c r="C122" s="550" t="s">
        <v>841</v>
      </c>
      <c r="D122" s="528"/>
      <c r="E122" s="528"/>
      <c r="F122" s="528"/>
      <c r="G122" s="528"/>
      <c r="H122" s="528"/>
      <c r="I122" s="528"/>
      <c r="J122" s="528"/>
      <c r="K122" s="550"/>
      <c r="L122" s="528"/>
      <c r="M122" s="529"/>
      <c r="N122" s="529"/>
      <c r="O122" s="529"/>
      <c r="P122" s="528"/>
      <c r="Q122" s="528"/>
      <c r="R122" s="529"/>
      <c r="S122" s="529"/>
      <c r="T122" s="529"/>
      <c r="U122" s="528"/>
      <c r="V122" s="528"/>
      <c r="W122" s="528"/>
      <c r="X122" s="529"/>
      <c r="Y122" s="537"/>
      <c r="Z122" s="529"/>
    </row>
    <row r="123" spans="1:26" s="515" customFormat="1" ht="30">
      <c r="A123" s="514"/>
      <c r="B123" s="535"/>
      <c r="C123" s="556" t="s">
        <v>0</v>
      </c>
      <c r="D123" s="562"/>
      <c r="E123" s="562"/>
      <c r="F123" s="566" t="s">
        <v>790</v>
      </c>
      <c r="G123" s="566" t="s">
        <v>791</v>
      </c>
      <c r="H123" s="567"/>
      <c r="I123" s="567"/>
      <c r="J123" s="567"/>
      <c r="K123" s="588"/>
      <c r="L123" s="528"/>
      <c r="M123" s="529"/>
      <c r="N123" s="529"/>
      <c r="O123" s="529"/>
      <c r="P123" s="528"/>
      <c r="Q123" s="528"/>
      <c r="R123" s="529"/>
      <c r="S123" s="529"/>
      <c r="T123" s="529"/>
      <c r="U123" s="528"/>
      <c r="V123" s="528"/>
      <c r="W123" s="528"/>
      <c r="X123" s="529"/>
      <c r="Y123" s="537"/>
      <c r="Z123" s="529"/>
    </row>
    <row r="124" spans="1:26" s="515" customFormat="1" ht="15">
      <c r="A124" s="514"/>
      <c r="B124" s="535"/>
      <c r="C124" s="544" t="s">
        <v>127</v>
      </c>
      <c r="D124" s="528"/>
      <c r="E124" s="528"/>
      <c r="F124" s="787">
        <v>6.9500000000000006E-2</v>
      </c>
      <c r="G124" s="787">
        <v>6.9500000000000006E-2</v>
      </c>
      <c r="H124" s="563"/>
      <c r="I124" s="563"/>
      <c r="J124" s="563"/>
      <c r="K124" s="589"/>
      <c r="L124" s="528"/>
      <c r="M124" s="529"/>
      <c r="N124" s="529"/>
      <c r="O124" s="529"/>
      <c r="P124" s="528"/>
      <c r="Q124" s="528"/>
      <c r="R124" s="529"/>
      <c r="S124" s="529"/>
      <c r="T124" s="529"/>
      <c r="U124" s="528"/>
      <c r="V124" s="528"/>
      <c r="W124" s="528"/>
      <c r="X124" s="529"/>
      <c r="Y124" s="537"/>
      <c r="Z124" s="529"/>
    </row>
    <row r="125" spans="1:26" ht="30">
      <c r="B125" s="535"/>
      <c r="C125" s="544" t="s">
        <v>842</v>
      </c>
      <c r="D125" s="528"/>
      <c r="E125" s="528"/>
      <c r="F125" s="787">
        <v>6.9500000000000006E-2</v>
      </c>
      <c r="G125" s="787">
        <v>6.9500000000000006E-2</v>
      </c>
      <c r="H125" s="563"/>
      <c r="I125" s="563"/>
      <c r="J125" s="563"/>
      <c r="K125" s="589"/>
      <c r="L125" s="528"/>
      <c r="M125" s="529"/>
      <c r="N125" s="529"/>
      <c r="O125" s="529"/>
      <c r="P125" s="528"/>
      <c r="Q125" s="528"/>
      <c r="R125" s="529"/>
      <c r="S125" s="529"/>
      <c r="T125" s="529"/>
      <c r="U125" s="528"/>
      <c r="V125" s="528"/>
      <c r="W125" s="528"/>
      <c r="X125" s="528"/>
      <c r="Y125" s="528"/>
      <c r="Z125" s="528"/>
    </row>
    <row r="126" spans="1:26" ht="15">
      <c r="B126" s="535"/>
      <c r="C126" s="557" t="s">
        <v>843</v>
      </c>
      <c r="D126" s="564"/>
      <c r="E126" s="564"/>
      <c r="F126" s="788">
        <v>0.11</v>
      </c>
      <c r="G126" s="788">
        <v>0.11</v>
      </c>
      <c r="H126" s="593"/>
      <c r="I126" s="593"/>
      <c r="J126" s="593"/>
      <c r="K126" s="589"/>
      <c r="L126" s="528"/>
      <c r="M126" s="529"/>
      <c r="N126" s="529"/>
      <c r="O126" s="529"/>
      <c r="P126" s="528"/>
      <c r="Q126" s="528"/>
      <c r="R126" s="529"/>
      <c r="S126" s="529"/>
      <c r="T126" s="529"/>
      <c r="U126" s="528"/>
      <c r="V126" s="528"/>
      <c r="W126" s="528"/>
      <c r="X126" s="528"/>
      <c r="Y126" s="528"/>
      <c r="Z126" s="528"/>
    </row>
    <row r="127" spans="1:26" ht="15">
      <c r="B127" s="535"/>
      <c r="C127" s="922" t="s">
        <v>844</v>
      </c>
      <c r="D127" s="922"/>
      <c r="E127" s="922"/>
      <c r="F127" s="922"/>
      <c r="G127" s="922"/>
      <c r="H127" s="528"/>
      <c r="I127" s="528"/>
      <c r="J127" s="528"/>
      <c r="K127" s="589"/>
      <c r="L127" s="528"/>
      <c r="M127" s="529"/>
      <c r="N127" s="529"/>
      <c r="O127" s="529"/>
      <c r="P127" s="528"/>
      <c r="Q127" s="528"/>
      <c r="R127" s="529"/>
      <c r="S127" s="529"/>
      <c r="T127" s="529"/>
      <c r="U127" s="528"/>
      <c r="V127" s="528"/>
      <c r="W127" s="528"/>
      <c r="X127" s="528"/>
      <c r="Y127" s="528"/>
      <c r="Z127" s="528"/>
    </row>
    <row r="128" spans="1:26" ht="15">
      <c r="B128" s="535"/>
      <c r="C128" s="560"/>
      <c r="D128" s="560"/>
      <c r="E128" s="560"/>
      <c r="F128" s="560"/>
      <c r="G128" s="560"/>
      <c r="H128" s="528"/>
      <c r="I128" s="528"/>
      <c r="J128" s="528"/>
      <c r="K128" s="589"/>
      <c r="L128" s="528"/>
      <c r="M128" s="529"/>
      <c r="N128" s="529"/>
      <c r="O128" s="529"/>
      <c r="P128" s="528"/>
      <c r="Q128" s="528"/>
      <c r="R128" s="529"/>
      <c r="S128" s="529"/>
      <c r="T128" s="529"/>
      <c r="U128" s="528"/>
      <c r="V128" s="528"/>
      <c r="W128" s="528"/>
      <c r="X128" s="528"/>
      <c r="Y128" s="528"/>
      <c r="Z128" s="528"/>
    </row>
    <row r="129" spans="2:26" ht="15">
      <c r="B129" s="535"/>
      <c r="C129" s="594" t="s">
        <v>845</v>
      </c>
      <c r="D129" s="528"/>
      <c r="E129" s="528"/>
      <c r="F129" s="528"/>
      <c r="G129" s="542"/>
      <c r="H129" s="528"/>
      <c r="I129" s="528"/>
      <c r="J129" s="528"/>
      <c r="K129" s="589"/>
      <c r="L129" s="528"/>
      <c r="M129" s="529"/>
      <c r="N129" s="529"/>
      <c r="O129" s="529"/>
      <c r="P129" s="528"/>
      <c r="Q129" s="528"/>
      <c r="R129" s="529"/>
      <c r="S129" s="529"/>
      <c r="T129" s="529"/>
      <c r="U129" s="528"/>
      <c r="V129" s="528"/>
      <c r="W129" s="528"/>
      <c r="X129" s="528"/>
      <c r="Y129" s="528"/>
      <c r="Z129" s="528"/>
    </row>
    <row r="130" spans="2:26" ht="15">
      <c r="B130" s="535"/>
      <c r="C130" s="556" t="s">
        <v>846</v>
      </c>
      <c r="D130" s="562"/>
      <c r="E130" s="562"/>
      <c r="F130" s="556" t="s">
        <v>927</v>
      </c>
      <c r="G130" s="556" t="s">
        <v>847</v>
      </c>
      <c r="H130" s="528"/>
      <c r="I130" s="528"/>
      <c r="J130" s="528"/>
      <c r="K130" s="589"/>
      <c r="L130" s="528"/>
      <c r="M130" s="529"/>
      <c r="N130" s="529"/>
      <c r="O130" s="529"/>
      <c r="P130" s="528"/>
      <c r="Q130" s="528"/>
      <c r="R130" s="529"/>
      <c r="S130" s="529"/>
      <c r="T130" s="529"/>
      <c r="U130" s="528"/>
      <c r="V130" s="528"/>
      <c r="W130" s="528"/>
      <c r="X130" s="528"/>
      <c r="Y130" s="528"/>
      <c r="Z130" s="528"/>
    </row>
    <row r="131" spans="2:26" ht="30">
      <c r="B131" s="535"/>
      <c r="C131" s="544" t="s">
        <v>848</v>
      </c>
      <c r="D131" s="528"/>
      <c r="E131" s="528"/>
      <c r="F131" s="595">
        <v>0</v>
      </c>
      <c r="G131" s="596">
        <v>0</v>
      </c>
      <c r="H131" s="528"/>
      <c r="I131" s="528"/>
      <c r="J131" s="528"/>
      <c r="K131" s="589"/>
      <c r="L131" s="528"/>
      <c r="M131" s="529"/>
      <c r="N131" s="529"/>
      <c r="O131" s="529"/>
      <c r="P131" s="528"/>
      <c r="Q131" s="528"/>
      <c r="R131" s="529"/>
      <c r="S131" s="529"/>
      <c r="T131" s="529"/>
      <c r="U131" s="528"/>
      <c r="V131" s="528"/>
      <c r="W131" s="528"/>
      <c r="X131" s="528"/>
      <c r="Y131" s="528"/>
      <c r="Z131" s="528"/>
    </row>
    <row r="132" spans="2:26" ht="15">
      <c r="B132" s="535"/>
      <c r="C132" s="544" t="s">
        <v>849</v>
      </c>
      <c r="D132" s="528"/>
      <c r="E132" s="528"/>
      <c r="F132" s="595">
        <v>0</v>
      </c>
      <c r="G132" s="596">
        <v>0</v>
      </c>
      <c r="H132" s="528"/>
      <c r="I132" s="528"/>
      <c r="J132" s="528"/>
      <c r="K132" s="590"/>
      <c r="L132" s="528"/>
      <c r="M132" s="529"/>
      <c r="N132" s="529"/>
      <c r="O132" s="529"/>
      <c r="P132" s="528"/>
      <c r="Q132" s="528"/>
      <c r="R132" s="529"/>
      <c r="S132" s="529"/>
      <c r="T132" s="529"/>
      <c r="U132" s="528"/>
      <c r="V132" s="528"/>
      <c r="W132" s="528"/>
      <c r="X132" s="528"/>
      <c r="Y132" s="528"/>
      <c r="Z132" s="528"/>
    </row>
    <row r="133" spans="2:26" ht="15">
      <c r="B133" s="535"/>
      <c r="C133" s="544" t="s">
        <v>850</v>
      </c>
      <c r="D133" s="528"/>
      <c r="E133" s="528"/>
      <c r="F133" s="595">
        <v>0</v>
      </c>
      <c r="G133" s="596">
        <v>0</v>
      </c>
      <c r="H133" s="528"/>
      <c r="I133" s="528"/>
      <c r="J133" s="528"/>
      <c r="K133" s="589"/>
      <c r="L133" s="528"/>
      <c r="M133" s="529"/>
      <c r="N133" s="529"/>
      <c r="O133" s="529"/>
      <c r="P133" s="528"/>
      <c r="Q133" s="528"/>
      <c r="R133" s="529"/>
      <c r="S133" s="529"/>
      <c r="T133" s="529"/>
      <c r="U133" s="528"/>
      <c r="V133" s="528"/>
      <c r="W133" s="528"/>
      <c r="X133" s="528"/>
      <c r="Y133" s="528"/>
      <c r="Z133" s="528"/>
    </row>
    <row r="134" spans="2:26" ht="15">
      <c r="B134" s="535"/>
      <c r="C134" s="544" t="s">
        <v>851</v>
      </c>
      <c r="D134" s="528"/>
      <c r="E134" s="528"/>
      <c r="F134" s="595">
        <v>1</v>
      </c>
      <c r="G134" s="596">
        <v>1</v>
      </c>
      <c r="H134" s="528"/>
      <c r="I134" s="528"/>
      <c r="J134" s="528"/>
      <c r="K134" s="528"/>
      <c r="L134" s="528"/>
      <c r="M134" s="529"/>
      <c r="N134" s="529"/>
      <c r="O134" s="529"/>
      <c r="P134" s="528"/>
      <c r="Q134" s="528"/>
      <c r="R134" s="529"/>
      <c r="S134" s="529"/>
      <c r="T134" s="529"/>
      <c r="U134" s="528"/>
      <c r="V134" s="528"/>
      <c r="W134" s="528"/>
      <c r="X134" s="528"/>
      <c r="Y134" s="528"/>
      <c r="Z134" s="528"/>
    </row>
    <row r="135" spans="2:26" ht="15">
      <c r="B135" s="535"/>
      <c r="C135" s="544" t="s">
        <v>8</v>
      </c>
      <c r="D135" s="528"/>
      <c r="E135" s="528"/>
      <c r="F135" s="595">
        <v>0</v>
      </c>
      <c r="G135" s="596">
        <v>0</v>
      </c>
      <c r="H135" s="528"/>
      <c r="I135" s="528"/>
      <c r="J135" s="528"/>
      <c r="K135" s="528"/>
      <c r="L135" s="528"/>
      <c r="M135" s="529"/>
      <c r="N135" s="529"/>
      <c r="O135" s="529"/>
      <c r="P135" s="528"/>
      <c r="Q135" s="528"/>
      <c r="R135" s="529"/>
      <c r="S135" s="529"/>
      <c r="T135" s="529"/>
      <c r="U135" s="528"/>
      <c r="V135" s="528"/>
      <c r="W135" s="528"/>
      <c r="X135" s="528"/>
      <c r="Y135" s="528"/>
      <c r="Z135" s="528"/>
    </row>
    <row r="136" spans="2:26" ht="15">
      <c r="B136" s="535"/>
      <c r="C136" s="557" t="s">
        <v>71</v>
      </c>
      <c r="D136" s="564"/>
      <c r="E136" s="564"/>
      <c r="F136" s="597">
        <v>1</v>
      </c>
      <c r="G136" s="598">
        <v>1</v>
      </c>
      <c r="H136" s="528"/>
      <c r="I136" s="528"/>
      <c r="J136" s="528"/>
      <c r="K136" s="567"/>
      <c r="L136" s="528"/>
      <c r="M136" s="529"/>
      <c r="N136" s="529"/>
      <c r="O136" s="529"/>
      <c r="P136" s="528"/>
      <c r="Q136" s="528"/>
      <c r="R136" s="529"/>
      <c r="S136" s="529"/>
      <c r="T136" s="529"/>
      <c r="U136" s="528"/>
      <c r="V136" s="528"/>
      <c r="W136" s="528"/>
      <c r="X136" s="528"/>
      <c r="Y136" s="528"/>
      <c r="Z136" s="528"/>
    </row>
    <row r="137" spans="2:26" ht="15">
      <c r="B137" s="535"/>
      <c r="C137" s="528"/>
      <c r="D137" s="924"/>
      <c r="E137" s="924"/>
      <c r="F137" s="924"/>
      <c r="G137" s="528"/>
      <c r="H137" s="528"/>
      <c r="I137" s="528"/>
      <c r="J137" s="528"/>
      <c r="K137" s="563"/>
      <c r="L137" s="528"/>
      <c r="M137" s="529"/>
      <c r="N137" s="529"/>
      <c r="O137" s="529"/>
      <c r="P137" s="528"/>
      <c r="Q137" s="528"/>
      <c r="R137" s="529"/>
      <c r="S137" s="529"/>
      <c r="T137" s="529"/>
      <c r="U137" s="528"/>
      <c r="V137" s="528"/>
      <c r="W137" s="528"/>
      <c r="X137" s="528"/>
      <c r="Y137" s="528"/>
      <c r="Z137" s="528"/>
    </row>
    <row r="138" spans="2:26" ht="15">
      <c r="B138" s="535"/>
      <c r="C138" s="594" t="s">
        <v>928</v>
      </c>
      <c r="D138" s="528"/>
      <c r="E138" s="528"/>
      <c r="F138" s="542"/>
      <c r="G138" s="542" t="s">
        <v>793</v>
      </c>
      <c r="H138" s="528"/>
      <c r="I138" s="528"/>
      <c r="J138" s="528"/>
      <c r="K138" s="563"/>
      <c r="L138" s="528"/>
      <c r="M138" s="529"/>
      <c r="N138" s="529"/>
      <c r="O138" s="529"/>
      <c r="P138" s="528"/>
      <c r="Q138" s="528"/>
      <c r="R138" s="529"/>
      <c r="S138" s="529"/>
      <c r="T138" s="529"/>
      <c r="U138" s="528"/>
      <c r="V138" s="528"/>
      <c r="W138" s="528"/>
      <c r="X138" s="528"/>
      <c r="Y138" s="528"/>
      <c r="Z138" s="528"/>
    </row>
    <row r="139" spans="2:26" ht="15">
      <c r="B139" s="535"/>
      <c r="C139" s="556" t="s">
        <v>0</v>
      </c>
      <c r="D139" s="599" t="s">
        <v>591</v>
      </c>
      <c r="E139" s="599"/>
      <c r="F139" s="556" t="s">
        <v>927</v>
      </c>
      <c r="G139" s="556" t="s">
        <v>847</v>
      </c>
      <c r="H139" s="528"/>
      <c r="I139" s="528"/>
      <c r="J139" s="528"/>
      <c r="K139" s="593"/>
      <c r="L139" s="528"/>
      <c r="M139" s="529"/>
      <c r="N139" s="529"/>
      <c r="O139" s="529"/>
      <c r="P139" s="528"/>
      <c r="Q139" s="528"/>
      <c r="R139" s="529"/>
      <c r="S139" s="529"/>
      <c r="T139" s="529"/>
      <c r="U139" s="528"/>
      <c r="V139" s="528"/>
      <c r="W139" s="528"/>
      <c r="X139" s="528"/>
      <c r="Y139" s="528"/>
      <c r="Z139" s="528"/>
    </row>
    <row r="140" spans="2:26" ht="30">
      <c r="B140" s="535"/>
      <c r="C140" s="544" t="s">
        <v>852</v>
      </c>
      <c r="D140" s="600"/>
      <c r="E140" s="600"/>
      <c r="F140" s="600">
        <v>0</v>
      </c>
      <c r="G140" s="600">
        <v>0</v>
      </c>
      <c r="H140" s="528"/>
      <c r="I140" s="528"/>
      <c r="J140" s="528"/>
      <c r="K140" s="560"/>
      <c r="L140" s="528"/>
      <c r="M140" s="529"/>
      <c r="N140" s="529"/>
      <c r="O140" s="529"/>
      <c r="P140" s="528"/>
      <c r="Q140" s="528"/>
      <c r="R140" s="529"/>
      <c r="S140" s="529"/>
      <c r="T140" s="529"/>
      <c r="U140" s="528"/>
      <c r="V140" s="528"/>
      <c r="W140" s="528"/>
      <c r="X140" s="528"/>
      <c r="Y140" s="528"/>
      <c r="Z140" s="528"/>
    </row>
    <row r="141" spans="2:26" ht="30">
      <c r="B141" s="535"/>
      <c r="C141" s="557" t="s">
        <v>853</v>
      </c>
      <c r="D141" s="601"/>
      <c r="E141" s="601"/>
      <c r="F141" s="601">
        <v>0</v>
      </c>
      <c r="G141" s="601">
        <v>0</v>
      </c>
      <c r="H141" s="528"/>
      <c r="I141" s="528"/>
      <c r="J141" s="528"/>
      <c r="K141" s="528"/>
      <c r="L141" s="528"/>
      <c r="M141" s="529"/>
      <c r="N141" s="529"/>
      <c r="O141" s="529"/>
      <c r="P141" s="528"/>
      <c r="Q141" s="528"/>
      <c r="R141" s="529"/>
      <c r="S141" s="529"/>
      <c r="T141" s="529"/>
      <c r="U141" s="528"/>
      <c r="V141" s="528"/>
      <c r="W141" s="528"/>
      <c r="X141" s="528"/>
      <c r="Y141" s="528"/>
      <c r="Z141" s="528"/>
    </row>
    <row r="142" spans="2:26" ht="15">
      <c r="B142" s="535"/>
      <c r="C142" s="544"/>
      <c r="D142" s="581"/>
      <c r="E142" s="581"/>
      <c r="F142" s="602"/>
      <c r="G142" s="581"/>
      <c r="H142" s="581"/>
      <c r="I142" s="581"/>
      <c r="J142" s="581"/>
      <c r="K142" s="528"/>
      <c r="L142" s="528"/>
      <c r="M142" s="529"/>
      <c r="N142" s="529"/>
      <c r="O142" s="529"/>
      <c r="P142" s="528"/>
      <c r="Q142" s="528"/>
      <c r="R142" s="529"/>
      <c r="S142" s="529"/>
      <c r="T142" s="529"/>
      <c r="U142" s="528"/>
      <c r="V142" s="528"/>
      <c r="W142" s="528"/>
      <c r="X142" s="528"/>
      <c r="Y142" s="528"/>
      <c r="Z142" s="528"/>
    </row>
    <row r="143" spans="2:26" ht="15">
      <c r="B143" s="535"/>
      <c r="C143" s="594" t="s">
        <v>929</v>
      </c>
      <c r="D143" s="570"/>
      <c r="E143" s="570"/>
      <c r="F143" s="570"/>
      <c r="G143" s="570"/>
      <c r="H143" s="570"/>
      <c r="I143" s="570"/>
      <c r="J143" s="570"/>
      <c r="K143" s="528"/>
      <c r="L143" s="528"/>
      <c r="M143" s="783"/>
      <c r="N143" s="783"/>
      <c r="O143" s="783"/>
      <c r="P143" s="528"/>
      <c r="Q143" s="528"/>
      <c r="R143" s="783"/>
      <c r="S143" s="783"/>
      <c r="T143" s="783"/>
      <c r="U143" s="528"/>
      <c r="V143" s="528"/>
      <c r="W143" s="528"/>
      <c r="X143" s="528"/>
      <c r="Y143" s="528"/>
      <c r="Z143" s="528"/>
    </row>
    <row r="144" spans="2:26" ht="30">
      <c r="B144" s="535"/>
      <c r="C144" s="562"/>
      <c r="D144" s="562"/>
      <c r="E144" s="562"/>
      <c r="F144" s="566" t="s">
        <v>790</v>
      </c>
      <c r="G144" s="566" t="s">
        <v>791</v>
      </c>
      <c r="H144" s="570"/>
      <c r="I144" s="570"/>
      <c r="J144" s="570"/>
      <c r="K144" s="528"/>
      <c r="L144" s="528"/>
      <c r="M144" s="529"/>
      <c r="N144" s="529"/>
      <c r="O144" s="529"/>
      <c r="P144" s="528"/>
      <c r="Q144" s="528"/>
      <c r="R144" s="529"/>
      <c r="S144" s="529"/>
      <c r="T144" s="529"/>
      <c r="U144" s="528"/>
      <c r="V144" s="528"/>
      <c r="W144" s="528"/>
      <c r="X144" s="528"/>
      <c r="Y144" s="528"/>
      <c r="Z144" s="528"/>
    </row>
    <row r="145" spans="1:26" ht="15">
      <c r="B145" s="535"/>
      <c r="C145" s="551" t="s">
        <v>854</v>
      </c>
      <c r="D145" s="528"/>
      <c r="E145" s="528"/>
      <c r="F145" s="604">
        <v>0</v>
      </c>
      <c r="G145" s="604">
        <v>0</v>
      </c>
      <c r="H145" s="570"/>
      <c r="I145" s="570"/>
      <c r="J145" s="570"/>
      <c r="K145" s="528"/>
      <c r="L145" s="605"/>
      <c r="M145" s="528"/>
      <c r="N145" s="529"/>
      <c r="O145" s="529"/>
      <c r="P145" s="529"/>
      <c r="Q145" s="528"/>
      <c r="R145" s="528"/>
      <c r="S145" s="529"/>
      <c r="T145" s="529"/>
      <c r="U145" s="529"/>
      <c r="V145" s="528"/>
      <c r="W145" s="528"/>
      <c r="X145" s="528"/>
      <c r="Y145" s="528"/>
      <c r="Z145" s="528"/>
    </row>
    <row r="146" spans="1:26" ht="15">
      <c r="B146" s="535"/>
      <c r="C146" s="551" t="s">
        <v>855</v>
      </c>
      <c r="D146" s="528"/>
      <c r="E146" s="528"/>
      <c r="F146" s="604">
        <f>'3-15'!E69</f>
        <v>1469911</v>
      </c>
      <c r="G146" s="604">
        <v>0</v>
      </c>
      <c r="H146" s="570"/>
      <c r="I146" s="570"/>
      <c r="J146" s="570"/>
      <c r="K146" s="528"/>
      <c r="L146" s="581"/>
      <c r="M146" s="528"/>
      <c r="N146" s="529"/>
      <c r="O146" s="529"/>
      <c r="P146" s="529"/>
      <c r="Q146" s="528"/>
      <c r="R146" s="528"/>
      <c r="S146" s="529"/>
      <c r="T146" s="529"/>
      <c r="U146" s="529"/>
      <c r="V146" s="528"/>
      <c r="W146" s="528"/>
      <c r="X146" s="528"/>
      <c r="Y146" s="528"/>
      <c r="Z146" s="528"/>
    </row>
    <row r="147" spans="1:26" ht="15.75" thickBot="1">
      <c r="B147" s="535"/>
      <c r="C147" s="785" t="s">
        <v>1</v>
      </c>
      <c r="D147" s="570"/>
      <c r="E147" s="570"/>
      <c r="F147" s="784">
        <f>SUM(F145:F146)</f>
        <v>1469911</v>
      </c>
      <c r="G147" s="784">
        <f>SUM(G145:G146)</f>
        <v>0</v>
      </c>
      <c r="H147" s="570"/>
      <c r="I147" s="570"/>
      <c r="J147" s="570"/>
      <c r="K147" s="528"/>
      <c r="L147" s="581"/>
      <c r="M147" s="528"/>
      <c r="N147" s="529"/>
      <c r="O147" s="529"/>
      <c r="P147" s="529"/>
      <c r="Q147" s="528"/>
      <c r="R147" s="528"/>
      <c r="S147" s="529"/>
      <c r="T147" s="529"/>
      <c r="U147" s="529"/>
      <c r="V147" s="528"/>
      <c r="W147" s="528"/>
      <c r="X147" s="528"/>
      <c r="Y147" s="528"/>
      <c r="Z147" s="528"/>
    </row>
    <row r="148" spans="1:26" ht="15.75" thickTop="1">
      <c r="B148" s="535"/>
      <c r="C148" s="551"/>
      <c r="D148" s="570"/>
      <c r="E148" s="570"/>
      <c r="F148" s="570"/>
      <c r="G148" s="570"/>
      <c r="H148" s="570"/>
      <c r="I148" s="570"/>
      <c r="J148" s="570"/>
      <c r="K148" s="581"/>
      <c r="L148" s="581"/>
      <c r="M148" s="528"/>
      <c r="N148" s="529"/>
      <c r="O148" s="529"/>
      <c r="P148" s="529"/>
      <c r="Q148" s="528"/>
      <c r="R148" s="528"/>
      <c r="S148" s="529"/>
      <c r="T148" s="529"/>
      <c r="U148" s="529"/>
      <c r="V148" s="528"/>
      <c r="W148" s="528"/>
      <c r="X148" s="528"/>
      <c r="Y148" s="528"/>
      <c r="Z148" s="528"/>
    </row>
    <row r="149" spans="1:26" ht="15">
      <c r="B149" s="535"/>
      <c r="C149" s="551"/>
      <c r="D149" s="570"/>
      <c r="E149" s="570"/>
      <c r="F149" s="570"/>
      <c r="G149" s="570"/>
      <c r="H149" s="570"/>
      <c r="I149" s="570"/>
      <c r="J149" s="570"/>
      <c r="K149" s="581"/>
      <c r="L149" s="581"/>
      <c r="M149" s="528"/>
      <c r="N149" s="529"/>
      <c r="O149" s="529"/>
      <c r="P149" s="529"/>
      <c r="Q149" s="528"/>
      <c r="R149" s="528"/>
      <c r="S149" s="529"/>
      <c r="T149" s="529"/>
      <c r="U149" s="529"/>
      <c r="V149" s="528"/>
      <c r="W149" s="528"/>
      <c r="X149" s="528"/>
      <c r="Y149" s="528"/>
      <c r="Z149" s="528"/>
    </row>
    <row r="150" spans="1:26" ht="15">
      <c r="B150" s="535">
        <f>B68+1</f>
        <v>30</v>
      </c>
      <c r="C150" s="548" t="s">
        <v>856</v>
      </c>
      <c r="D150" s="548"/>
      <c r="E150" s="548"/>
      <c r="F150" s="548"/>
      <c r="G150" s="548"/>
      <c r="H150" s="548"/>
      <c r="I150" s="548"/>
      <c r="J150" s="548"/>
      <c r="K150" s="581"/>
      <c r="L150" s="581"/>
      <c r="M150" s="528"/>
      <c r="N150" s="529"/>
      <c r="O150" s="529"/>
      <c r="P150" s="529"/>
      <c r="Q150" s="528"/>
      <c r="R150" s="528"/>
      <c r="S150" s="529"/>
      <c r="T150" s="529"/>
      <c r="U150" s="529"/>
      <c r="V150" s="528"/>
      <c r="W150" s="528"/>
      <c r="X150" s="528"/>
      <c r="Y150" s="528"/>
      <c r="Z150" s="528"/>
    </row>
    <row r="151" spans="1:26" ht="30">
      <c r="B151" s="535"/>
      <c r="C151" s="606"/>
      <c r="D151" s="562"/>
      <c r="E151" s="562"/>
      <c r="F151" s="556" t="str">
        <f>+$F$166</f>
        <v>Year Ended
March 31, 2026</v>
      </c>
      <c r="G151" s="556" t="str">
        <f>+$G$166</f>
        <v>Year Ended
March 31, 2025</v>
      </c>
      <c r="H151" s="570"/>
      <c r="I151" s="570"/>
      <c r="J151" s="570"/>
      <c r="K151" s="581"/>
      <c r="L151" s="581"/>
      <c r="M151" s="528"/>
      <c r="N151" s="529"/>
      <c r="O151" s="529"/>
      <c r="P151" s="529"/>
      <c r="Q151" s="528"/>
      <c r="R151" s="528"/>
      <c r="S151" s="529"/>
      <c r="T151" s="529"/>
      <c r="U151" s="529"/>
      <c r="V151" s="528"/>
      <c r="W151" s="528"/>
      <c r="X151" s="528"/>
      <c r="Y151" s="528"/>
      <c r="Z151" s="528"/>
    </row>
    <row r="152" spans="1:26" ht="15">
      <c r="B152" s="535"/>
      <c r="C152" s="551" t="s">
        <v>857</v>
      </c>
      <c r="D152" s="528"/>
      <c r="E152" s="528"/>
      <c r="F152" s="607">
        <f>+G155</f>
        <v>79164</v>
      </c>
      <c r="G152" s="604">
        <v>0</v>
      </c>
      <c r="H152" s="570"/>
      <c r="I152" s="570"/>
      <c r="J152" s="570"/>
      <c r="K152" s="581"/>
      <c r="L152" s="581"/>
      <c r="M152" s="528"/>
      <c r="N152" s="529"/>
      <c r="O152" s="529"/>
      <c r="P152" s="529"/>
      <c r="Q152" s="528"/>
      <c r="R152" s="528"/>
      <c r="S152" s="529"/>
      <c r="T152" s="529"/>
      <c r="U152" s="529"/>
      <c r="V152" s="528"/>
      <c r="W152" s="528"/>
      <c r="X152" s="528"/>
      <c r="Y152" s="528"/>
      <c r="Z152" s="528"/>
    </row>
    <row r="153" spans="1:26" ht="15">
      <c r="B153" s="535"/>
      <c r="C153" s="935" t="s">
        <v>858</v>
      </c>
      <c r="D153" s="935"/>
      <c r="E153" s="935"/>
      <c r="F153" s="607">
        <f>+F155-F152</f>
        <v>2920931</v>
      </c>
      <c r="G153" s="607">
        <f>'3-15'!F70</f>
        <v>79164</v>
      </c>
      <c r="H153" s="570"/>
      <c r="I153" s="570"/>
      <c r="J153" s="570"/>
      <c r="K153" s="581"/>
      <c r="L153" s="581"/>
      <c r="M153" s="528"/>
      <c r="N153" s="529"/>
      <c r="O153" s="529"/>
      <c r="P153" s="529"/>
      <c r="Q153" s="528"/>
      <c r="R153" s="528"/>
      <c r="S153" s="529"/>
      <c r="T153" s="529"/>
      <c r="U153" s="529"/>
      <c r="V153" s="528"/>
      <c r="W153" s="528"/>
      <c r="X153" s="528"/>
      <c r="Y153" s="528"/>
      <c r="Z153" s="528"/>
    </row>
    <row r="154" spans="1:26" ht="15">
      <c r="B154" s="535"/>
      <c r="C154" s="551" t="s">
        <v>859</v>
      </c>
      <c r="D154" s="528"/>
      <c r="E154" s="528"/>
      <c r="F154" s="604">
        <v>0</v>
      </c>
      <c r="G154" s="604">
        <v>0</v>
      </c>
      <c r="H154" s="570"/>
      <c r="I154" s="570"/>
      <c r="J154" s="570"/>
      <c r="K154" s="603"/>
      <c r="L154" s="528"/>
      <c r="M154" s="529"/>
      <c r="N154" s="529"/>
      <c r="O154" s="529"/>
      <c r="P154" s="528"/>
      <c r="Q154" s="528"/>
      <c r="R154" s="529"/>
      <c r="S154" s="529"/>
      <c r="T154" s="529"/>
      <c r="U154" s="528"/>
      <c r="V154" s="528"/>
      <c r="W154" s="528"/>
      <c r="X154" s="528"/>
      <c r="Y154" s="528"/>
      <c r="Z154" s="528"/>
    </row>
    <row r="155" spans="1:26" ht="15">
      <c r="B155" s="535"/>
      <c r="C155" s="785" t="s">
        <v>860</v>
      </c>
      <c r="D155" s="536"/>
      <c r="E155" s="536"/>
      <c r="F155" s="786">
        <f>'3-15'!E70</f>
        <v>3000095</v>
      </c>
      <c r="G155" s="786">
        <f>SUM(G152:G153)-G154</f>
        <v>79164</v>
      </c>
      <c r="H155" s="570"/>
      <c r="I155" s="570"/>
      <c r="J155" s="570"/>
      <c r="K155" s="603"/>
      <c r="L155" s="528"/>
      <c r="M155" s="529"/>
      <c r="N155" s="529"/>
      <c r="O155" s="529"/>
      <c r="P155" s="528"/>
      <c r="Q155" s="528"/>
      <c r="R155" s="529"/>
      <c r="S155" s="529"/>
      <c r="T155" s="529"/>
      <c r="U155" s="528"/>
      <c r="V155" s="528"/>
      <c r="W155" s="528"/>
      <c r="X155" s="528"/>
      <c r="Y155" s="528"/>
      <c r="Z155" s="528"/>
    </row>
    <row r="156" spans="1:26" s="515" customFormat="1" ht="15">
      <c r="A156" s="514"/>
      <c r="B156" s="535"/>
      <c r="C156" s="551"/>
      <c r="D156" s="528"/>
      <c r="E156" s="528"/>
      <c r="F156" s="570"/>
      <c r="G156" s="570"/>
      <c r="H156" s="570"/>
      <c r="I156" s="570"/>
      <c r="J156" s="570"/>
      <c r="K156" s="603"/>
      <c r="L156" s="528"/>
      <c r="M156" s="529"/>
      <c r="N156" s="529"/>
      <c r="O156" s="529"/>
      <c r="P156" s="528"/>
      <c r="Q156" s="528"/>
      <c r="R156" s="529"/>
      <c r="S156" s="529"/>
      <c r="T156" s="529"/>
      <c r="U156" s="528"/>
      <c r="V156" s="528"/>
      <c r="W156" s="528"/>
      <c r="X156" s="528"/>
      <c r="Y156" s="528"/>
      <c r="Z156" s="528"/>
    </row>
    <row r="157" spans="1:26" s="515" customFormat="1" ht="15">
      <c r="A157" s="514"/>
      <c r="B157" s="535"/>
      <c r="C157" s="936" t="s">
        <v>861</v>
      </c>
      <c r="D157" s="936"/>
      <c r="E157" s="936"/>
      <c r="F157" s="570"/>
      <c r="G157" s="570"/>
      <c r="H157" s="570"/>
      <c r="I157" s="570"/>
      <c r="J157" s="570"/>
      <c r="K157" s="603"/>
      <c r="L157" s="528"/>
      <c r="M157" s="529"/>
      <c r="N157" s="529"/>
      <c r="O157" s="529"/>
      <c r="P157" s="528"/>
      <c r="Q157" s="528"/>
      <c r="R157" s="529"/>
      <c r="S157" s="529"/>
      <c r="T157" s="529"/>
      <c r="U157" s="528"/>
      <c r="V157" s="528"/>
      <c r="W157" s="528"/>
      <c r="X157" s="528"/>
      <c r="Y157" s="528"/>
      <c r="Z157" s="528"/>
    </row>
    <row r="158" spans="1:26" s="515" customFormat="1" ht="30">
      <c r="A158" s="514"/>
      <c r="B158" s="535"/>
      <c r="C158" s="606"/>
      <c r="D158" s="562"/>
      <c r="E158" s="562"/>
      <c r="F158" s="566" t="s">
        <v>790</v>
      </c>
      <c r="G158" s="566" t="s">
        <v>791</v>
      </c>
      <c r="H158" s="570"/>
      <c r="I158" s="570"/>
      <c r="J158" s="570"/>
      <c r="K158" s="603"/>
      <c r="L158" s="528"/>
      <c r="M158" s="529"/>
      <c r="N158" s="529"/>
      <c r="O158" s="529"/>
      <c r="P158" s="528"/>
      <c r="Q158" s="528"/>
      <c r="R158" s="529"/>
      <c r="S158" s="529"/>
      <c r="T158" s="529"/>
      <c r="U158" s="528"/>
      <c r="V158" s="528"/>
      <c r="W158" s="528"/>
      <c r="X158" s="528"/>
      <c r="Y158" s="528"/>
      <c r="Z158" s="528"/>
    </row>
    <row r="159" spans="1:26" s="515" customFormat="1" ht="15">
      <c r="A159" s="514"/>
      <c r="B159" s="535"/>
      <c r="C159" s="551" t="s">
        <v>854</v>
      </c>
      <c r="D159" s="528"/>
      <c r="E159" s="528"/>
      <c r="F159" s="604">
        <v>0</v>
      </c>
      <c r="G159" s="604">
        <v>0</v>
      </c>
      <c r="H159" s="570"/>
      <c r="I159" s="570"/>
      <c r="J159" s="570"/>
      <c r="K159" s="603"/>
      <c r="L159" s="528"/>
      <c r="M159" s="529"/>
      <c r="N159" s="529"/>
      <c r="O159" s="529"/>
      <c r="P159" s="528"/>
      <c r="Q159" s="528"/>
      <c r="R159" s="529"/>
      <c r="S159" s="529"/>
      <c r="T159" s="529"/>
      <c r="U159" s="528"/>
      <c r="V159" s="528"/>
      <c r="W159" s="528"/>
      <c r="X159" s="528"/>
      <c r="Y159" s="528"/>
      <c r="Z159" s="528"/>
    </row>
    <row r="160" spans="1:26" s="515" customFormat="1" ht="15">
      <c r="A160" s="514"/>
      <c r="B160" s="535"/>
      <c r="C160" s="551" t="s">
        <v>855</v>
      </c>
      <c r="D160" s="528"/>
      <c r="E160" s="528"/>
      <c r="F160" s="604">
        <f>'24-41'!F155</f>
        <v>3000095</v>
      </c>
      <c r="G160" s="604">
        <f>'24-41'!G155</f>
        <v>79164</v>
      </c>
      <c r="H160" s="570"/>
      <c r="I160" s="570"/>
      <c r="J160" s="570"/>
      <c r="K160" s="603"/>
      <c r="L160" s="528"/>
      <c r="M160" s="529"/>
      <c r="N160" s="529"/>
      <c r="O160" s="529"/>
      <c r="P160" s="528"/>
      <c r="Q160" s="528"/>
      <c r="R160" s="529"/>
      <c r="S160" s="529"/>
      <c r="T160" s="529"/>
      <c r="U160" s="528"/>
      <c r="V160" s="528"/>
      <c r="W160" s="528"/>
      <c r="X160" s="528"/>
      <c r="Y160" s="528"/>
      <c r="Z160" s="528"/>
    </row>
    <row r="161" spans="1:26" s="515" customFormat="1" ht="15.75" thickBot="1">
      <c r="A161" s="514"/>
      <c r="B161" s="535"/>
      <c r="C161" s="785" t="s">
        <v>1</v>
      </c>
      <c r="D161" s="536"/>
      <c r="E161" s="536"/>
      <c r="F161" s="784">
        <f>SUM(F159:F160)</f>
        <v>3000095</v>
      </c>
      <c r="G161" s="784">
        <f>SUM(G159:G160)</f>
        <v>79164</v>
      </c>
      <c r="H161" s="570"/>
      <c r="I161" s="570"/>
      <c r="J161" s="570"/>
      <c r="K161" s="603"/>
      <c r="L161" s="528"/>
      <c r="M161" s="529"/>
      <c r="N161" s="529"/>
      <c r="O161" s="529"/>
      <c r="P161" s="528"/>
      <c r="Q161" s="528"/>
      <c r="R161" s="529"/>
      <c r="S161" s="529"/>
      <c r="T161" s="529"/>
      <c r="U161" s="528"/>
      <c r="V161" s="528"/>
      <c r="W161" s="528"/>
      <c r="X161" s="528"/>
      <c r="Y161" s="528"/>
      <c r="Z161" s="528"/>
    </row>
    <row r="162" spans="1:26" s="515" customFormat="1" ht="15.75" thickTop="1">
      <c r="A162" s="514"/>
      <c r="B162" s="535"/>
      <c r="C162" s="551"/>
      <c r="D162" s="570"/>
      <c r="E162" s="570"/>
      <c r="F162" s="570"/>
      <c r="G162" s="570"/>
      <c r="H162" s="570"/>
      <c r="I162" s="570"/>
      <c r="J162" s="570"/>
      <c r="K162" s="603"/>
      <c r="L162" s="528"/>
      <c r="M162" s="529"/>
      <c r="N162" s="529"/>
      <c r="O162" s="529"/>
      <c r="P162" s="528"/>
      <c r="Q162" s="528"/>
      <c r="R162" s="529"/>
      <c r="S162" s="529"/>
      <c r="T162" s="529"/>
      <c r="U162" s="528"/>
      <c r="V162" s="528"/>
      <c r="W162" s="528"/>
      <c r="X162" s="528"/>
      <c r="Y162" s="528"/>
      <c r="Z162" s="528"/>
    </row>
    <row r="163" spans="1:26" s="515" customFormat="1" ht="15">
      <c r="A163" s="514"/>
      <c r="B163" s="535"/>
      <c r="C163" s="545"/>
      <c r="D163" s="545"/>
      <c r="E163" s="545"/>
      <c r="F163" s="608"/>
      <c r="G163" s="608"/>
      <c r="H163" s="609"/>
      <c r="I163" s="609"/>
      <c r="J163" s="609"/>
      <c r="K163" s="603"/>
      <c r="L163" s="528"/>
      <c r="M163" s="529"/>
      <c r="N163" s="529"/>
      <c r="O163" s="529"/>
      <c r="P163" s="528"/>
      <c r="Q163" s="528"/>
      <c r="R163" s="529"/>
      <c r="S163" s="529"/>
      <c r="T163" s="529"/>
      <c r="U163" s="528"/>
      <c r="V163" s="528"/>
      <c r="W163" s="528"/>
      <c r="X163" s="528"/>
      <c r="Y163" s="528"/>
      <c r="Z163" s="528"/>
    </row>
    <row r="164" spans="1:26" s="515" customFormat="1" ht="15">
      <c r="A164" s="514"/>
      <c r="B164" s="535">
        <f>B150+1</f>
        <v>31</v>
      </c>
      <c r="C164" s="550" t="s">
        <v>862</v>
      </c>
      <c r="D164" s="528"/>
      <c r="E164" s="528"/>
      <c r="F164" s="528"/>
      <c r="G164" s="528"/>
      <c r="H164" s="528"/>
      <c r="I164" s="528"/>
      <c r="J164" s="528"/>
      <c r="K164" s="603"/>
      <c r="L164" s="528"/>
      <c r="M164" s="529"/>
      <c r="N164" s="529"/>
      <c r="O164" s="529"/>
      <c r="P164" s="528"/>
      <c r="Q164" s="528"/>
      <c r="R164" s="529"/>
      <c r="S164" s="529"/>
      <c r="T164" s="529"/>
      <c r="U164" s="528"/>
      <c r="V164" s="528"/>
      <c r="W164" s="528"/>
      <c r="X164" s="528"/>
      <c r="Y164" s="528"/>
      <c r="Z164" s="528"/>
    </row>
    <row r="165" spans="1:26" ht="15">
      <c r="B165" s="535"/>
      <c r="C165" s="550"/>
      <c r="D165" s="528"/>
      <c r="E165" s="528"/>
      <c r="F165" s="528"/>
      <c r="G165" s="542"/>
      <c r="H165" s="528"/>
      <c r="I165" s="528"/>
      <c r="J165" s="528"/>
      <c r="K165" s="603"/>
      <c r="L165" s="528"/>
      <c r="M165" s="529"/>
      <c r="N165" s="529"/>
      <c r="O165" s="529"/>
      <c r="P165" s="528"/>
      <c r="Q165" s="528"/>
      <c r="R165" s="529"/>
      <c r="S165" s="529"/>
      <c r="T165" s="529"/>
      <c r="U165" s="528"/>
      <c r="V165" s="528"/>
      <c r="W165" s="528"/>
      <c r="X165" s="528"/>
      <c r="Y165" s="528"/>
      <c r="Z165" s="528"/>
    </row>
    <row r="166" spans="1:26" ht="30">
      <c r="B166" s="535"/>
      <c r="C166" s="561"/>
      <c r="D166" s="562"/>
      <c r="E166" s="562"/>
      <c r="F166" s="556" t="str">
        <f>+F41</f>
        <v>Year Ended
March 31, 2026</v>
      </c>
      <c r="G166" s="556" t="str">
        <f>+G41</f>
        <v>Year Ended
March 31, 2025</v>
      </c>
      <c r="H166" s="528"/>
      <c r="I166" s="528"/>
      <c r="J166" s="528"/>
      <c r="K166" s="528"/>
      <c r="L166" s="528"/>
      <c r="M166" s="529"/>
      <c r="N166" s="529"/>
      <c r="O166" s="529"/>
      <c r="P166" s="528"/>
      <c r="Q166" s="528"/>
      <c r="R166" s="529"/>
      <c r="S166" s="529"/>
      <c r="T166" s="529"/>
      <c r="U166" s="528"/>
      <c r="V166" s="528"/>
      <c r="W166" s="528"/>
      <c r="X166" s="528"/>
      <c r="Y166" s="528"/>
      <c r="Z166" s="528"/>
    </row>
    <row r="167" spans="1:26" ht="15">
      <c r="B167" s="535"/>
      <c r="C167" s="541" t="s">
        <v>863</v>
      </c>
      <c r="D167" s="528"/>
      <c r="E167" s="528"/>
      <c r="F167" s="558">
        <f>'Financial Statements'!E111</f>
        <v>11053786.770423066</v>
      </c>
      <c r="G167" s="558">
        <f>'Financial Statements'!F111</f>
        <v>23383020.788871493</v>
      </c>
      <c r="H167" s="528"/>
      <c r="I167" s="528"/>
      <c r="J167" s="528"/>
      <c r="K167" s="528"/>
      <c r="L167" s="528"/>
      <c r="M167" s="529"/>
      <c r="N167" s="529"/>
      <c r="O167" s="529"/>
      <c r="P167" s="528"/>
      <c r="Q167" s="528"/>
      <c r="R167" s="529"/>
      <c r="S167" s="529"/>
      <c r="T167" s="529"/>
      <c r="U167" s="528"/>
      <c r="V167" s="528"/>
      <c r="W167" s="528"/>
      <c r="X167" s="528"/>
      <c r="Y167" s="528"/>
      <c r="Z167" s="528"/>
    </row>
    <row r="168" spans="1:26" ht="15">
      <c r="B168" s="535"/>
      <c r="C168" s="541" t="s">
        <v>930</v>
      </c>
      <c r="D168" s="528"/>
      <c r="E168" s="528"/>
      <c r="F168" s="610">
        <v>0</v>
      </c>
      <c r="G168" s="610">
        <v>0</v>
      </c>
      <c r="H168" s="528"/>
      <c r="I168" s="528"/>
      <c r="J168" s="528"/>
      <c r="K168" s="560"/>
      <c r="L168" s="528"/>
      <c r="M168" s="529"/>
      <c r="N168" s="529"/>
      <c r="O168" s="529"/>
      <c r="P168" s="528"/>
      <c r="Q168" s="528"/>
      <c r="R168" s="529"/>
      <c r="S168" s="529"/>
      <c r="T168" s="529"/>
      <c r="U168" s="528"/>
      <c r="V168" s="528"/>
      <c r="W168" s="528"/>
      <c r="X168" s="528"/>
      <c r="Y168" s="528"/>
      <c r="Z168" s="528"/>
    </row>
    <row r="169" spans="1:26" ht="15">
      <c r="B169" s="535"/>
      <c r="C169" s="550" t="s">
        <v>864</v>
      </c>
      <c r="D169" s="528"/>
      <c r="E169" s="528"/>
      <c r="F169" s="611">
        <f>F167+F168</f>
        <v>11053786.770423066</v>
      </c>
      <c r="G169" s="611">
        <f>G167+G168</f>
        <v>23383020.788871493</v>
      </c>
      <c r="H169" s="528"/>
      <c r="I169" s="528"/>
      <c r="J169" s="528"/>
      <c r="K169" s="528"/>
      <c r="L169" s="528"/>
      <c r="M169" s="529"/>
      <c r="N169" s="529"/>
      <c r="O169" s="529"/>
      <c r="P169" s="528"/>
      <c r="Q169" s="528"/>
      <c r="R169" s="529"/>
      <c r="S169" s="529"/>
      <c r="T169" s="529"/>
      <c r="U169" s="528"/>
      <c r="V169" s="528"/>
      <c r="W169" s="528"/>
      <c r="X169" s="528"/>
      <c r="Y169" s="528"/>
      <c r="Z169" s="528"/>
    </row>
    <row r="170" spans="1:26" ht="15">
      <c r="B170" s="535"/>
      <c r="C170" s="541"/>
      <c r="D170" s="528"/>
      <c r="E170" s="528"/>
      <c r="F170" s="613"/>
      <c r="G170" s="613"/>
      <c r="H170" s="528"/>
      <c r="I170" s="528"/>
      <c r="J170" s="528"/>
      <c r="K170" s="528"/>
      <c r="L170" s="528"/>
      <c r="M170" s="529"/>
      <c r="N170" s="529"/>
      <c r="O170" s="529"/>
      <c r="P170" s="528"/>
      <c r="Q170" s="528"/>
      <c r="R170" s="529"/>
      <c r="S170" s="529"/>
      <c r="T170" s="529"/>
      <c r="U170" s="528"/>
      <c r="V170" s="528"/>
      <c r="W170" s="528"/>
      <c r="X170" s="528"/>
      <c r="Y170" s="528"/>
      <c r="Z170" s="528"/>
    </row>
    <row r="171" spans="1:26" ht="15">
      <c r="B171" s="535"/>
      <c r="C171" s="541" t="s">
        <v>865</v>
      </c>
      <c r="D171" s="528"/>
      <c r="E171" s="528"/>
      <c r="F171" s="614">
        <f>'3-15'!E20</f>
        <v>10000</v>
      </c>
      <c r="G171" s="614">
        <f>'3-15'!F20</f>
        <v>10000</v>
      </c>
      <c r="H171" s="528"/>
      <c r="I171" s="528"/>
      <c r="J171" s="528"/>
      <c r="K171" s="609"/>
      <c r="L171" s="609"/>
      <c r="M171" s="609"/>
      <c r="N171" s="609"/>
      <c r="O171" s="615"/>
      <c r="P171" s="528"/>
      <c r="Q171" s="528"/>
      <c r="R171" s="575"/>
      <c r="S171" s="575"/>
      <c r="T171" s="575"/>
      <c r="U171" s="528"/>
      <c r="V171" s="528"/>
      <c r="W171" s="528"/>
      <c r="X171" s="528"/>
      <c r="Y171" s="528"/>
      <c r="Z171" s="528"/>
    </row>
    <row r="172" spans="1:26" ht="15">
      <c r="B172" s="535"/>
      <c r="C172" s="541" t="s">
        <v>866</v>
      </c>
      <c r="D172" s="528"/>
      <c r="E172" s="528"/>
      <c r="F172" s="558"/>
      <c r="G172" s="558"/>
      <c r="H172" s="528"/>
      <c r="I172" s="528"/>
      <c r="J172" s="528"/>
      <c r="K172" s="528"/>
      <c r="L172" s="528"/>
      <c r="M172" s="529"/>
      <c r="N172" s="529"/>
      <c r="O172" s="529"/>
      <c r="P172" s="528"/>
      <c r="Q172" s="528"/>
      <c r="R172" s="529"/>
      <c r="S172" s="529"/>
      <c r="T172" s="529"/>
      <c r="U172" s="528"/>
      <c r="V172" s="528"/>
      <c r="W172" s="528"/>
      <c r="X172" s="528"/>
      <c r="Y172" s="528"/>
      <c r="Z172" s="528"/>
    </row>
    <row r="173" spans="1:26" ht="15">
      <c r="B173" s="535"/>
      <c r="C173" s="541" t="s">
        <v>867</v>
      </c>
      <c r="D173" s="528"/>
      <c r="E173" s="528"/>
      <c r="F173" s="558">
        <v>0</v>
      </c>
      <c r="G173" s="558">
        <v>0</v>
      </c>
      <c r="H173" s="528"/>
      <c r="I173" s="528"/>
      <c r="J173" s="528"/>
      <c r="K173" s="528"/>
      <c r="L173" s="528"/>
      <c r="M173" s="529"/>
      <c r="N173" s="529"/>
      <c r="O173" s="529"/>
      <c r="P173" s="528"/>
      <c r="Q173" s="528"/>
      <c r="R173" s="529"/>
      <c r="S173" s="529"/>
      <c r="T173" s="529"/>
      <c r="U173" s="528"/>
      <c r="V173" s="528"/>
      <c r="W173" s="528"/>
      <c r="X173" s="528"/>
      <c r="Y173" s="528"/>
      <c r="Z173" s="528"/>
    </row>
    <row r="174" spans="1:26" ht="15">
      <c r="B174" s="535"/>
      <c r="C174" s="550" t="s">
        <v>868</v>
      </c>
      <c r="D174" s="528"/>
      <c r="E174" s="528"/>
      <c r="F174" s="612">
        <f>+F171+F173</f>
        <v>10000</v>
      </c>
      <c r="G174" s="612">
        <f>+G171+G173</f>
        <v>10000</v>
      </c>
      <c r="H174" s="528"/>
      <c r="I174" s="528"/>
      <c r="J174" s="528"/>
      <c r="K174" s="528"/>
      <c r="L174" s="528"/>
      <c r="M174" s="529"/>
      <c r="N174" s="529"/>
      <c r="O174" s="529"/>
      <c r="P174" s="528"/>
      <c r="Q174" s="528"/>
      <c r="R174" s="529"/>
      <c r="S174" s="529"/>
      <c r="T174" s="529"/>
      <c r="U174" s="528"/>
      <c r="V174" s="528"/>
      <c r="W174" s="528"/>
      <c r="X174" s="528"/>
      <c r="Y174" s="528"/>
      <c r="Z174" s="528"/>
    </row>
    <row r="175" spans="1:26" ht="15">
      <c r="B175" s="535"/>
      <c r="C175" s="550"/>
      <c r="D175" s="528"/>
      <c r="E175" s="528"/>
      <c r="F175" s="613"/>
      <c r="G175" s="613"/>
      <c r="H175" s="528"/>
      <c r="I175" s="528"/>
      <c r="J175" s="528"/>
      <c r="K175" s="528"/>
      <c r="L175" s="528"/>
      <c r="M175" s="529"/>
      <c r="N175" s="529"/>
      <c r="O175" s="529"/>
      <c r="P175" s="528"/>
      <c r="Q175" s="528"/>
      <c r="R175" s="529"/>
      <c r="S175" s="529"/>
      <c r="T175" s="529"/>
      <c r="U175" s="528"/>
      <c r="V175" s="528"/>
      <c r="W175" s="528"/>
      <c r="X175" s="528"/>
      <c r="Y175" s="528"/>
      <c r="Z175" s="528"/>
    </row>
    <row r="176" spans="1:26" ht="15">
      <c r="B176" s="535"/>
      <c r="C176" s="541" t="s">
        <v>869</v>
      </c>
      <c r="D176" s="528"/>
      <c r="E176" s="528"/>
      <c r="F176" s="528"/>
      <c r="G176" s="528"/>
      <c r="H176" s="528"/>
      <c r="I176" s="528"/>
      <c r="J176" s="528"/>
      <c r="K176" s="528"/>
      <c r="L176" s="528"/>
      <c r="M176" s="529"/>
      <c r="N176" s="529"/>
      <c r="O176" s="529"/>
      <c r="P176" s="528"/>
      <c r="Q176" s="528"/>
      <c r="R176" s="529"/>
      <c r="S176" s="529"/>
      <c r="T176" s="529"/>
      <c r="U176" s="528"/>
      <c r="V176" s="528"/>
      <c r="W176" s="528"/>
      <c r="X176" s="528"/>
      <c r="Y176" s="528"/>
      <c r="Z176" s="528"/>
    </row>
    <row r="177" spans="2:26" ht="15">
      <c r="B177" s="535"/>
      <c r="C177" s="621" t="s">
        <v>870</v>
      </c>
      <c r="D177" s="528"/>
      <c r="E177" s="528"/>
      <c r="F177" s="616">
        <f>F167/F171</f>
        <v>1105.3786770423067</v>
      </c>
      <c r="G177" s="616">
        <f>G167/G171</f>
        <v>2338.3020788871495</v>
      </c>
      <c r="H177" s="528"/>
      <c r="I177" s="528"/>
      <c r="J177" s="528"/>
      <c r="K177" s="528"/>
      <c r="L177" s="528"/>
      <c r="M177" s="529"/>
      <c r="N177" s="529"/>
      <c r="O177" s="529"/>
      <c r="P177" s="528"/>
      <c r="Q177" s="528"/>
      <c r="R177" s="529"/>
      <c r="S177" s="529"/>
      <c r="T177" s="529"/>
      <c r="U177" s="528"/>
      <c r="V177" s="528"/>
      <c r="W177" s="528"/>
      <c r="X177" s="528"/>
      <c r="Y177" s="528"/>
      <c r="Z177" s="528"/>
    </row>
    <row r="178" spans="2:26" ht="15">
      <c r="B178" s="535"/>
      <c r="C178" s="622" t="s">
        <v>871</v>
      </c>
      <c r="D178" s="564"/>
      <c r="E178" s="564"/>
      <c r="F178" s="617">
        <f>F169/F174</f>
        <v>1105.3786770423067</v>
      </c>
      <c r="G178" s="617">
        <f>G169/G174</f>
        <v>2338.3020788871495</v>
      </c>
      <c r="H178" s="528"/>
      <c r="I178" s="528"/>
      <c r="J178" s="528"/>
      <c r="K178" s="528"/>
      <c r="L178" s="528"/>
      <c r="M178" s="529"/>
      <c r="N178" s="529"/>
      <c r="O178" s="529"/>
      <c r="P178" s="528"/>
      <c r="Q178" s="528"/>
      <c r="R178" s="529"/>
      <c r="S178" s="529"/>
      <c r="T178" s="529"/>
      <c r="U178" s="528"/>
      <c r="V178" s="528"/>
      <c r="W178" s="528"/>
      <c r="X178" s="528"/>
      <c r="Y178" s="528"/>
      <c r="Z178" s="528"/>
    </row>
    <row r="179" spans="2:26" ht="15">
      <c r="B179" s="535"/>
      <c r="C179" s="541"/>
      <c r="D179" s="528"/>
      <c r="E179" s="528"/>
      <c r="F179" s="528"/>
      <c r="G179" s="528"/>
      <c r="H179" s="528"/>
      <c r="I179" s="528"/>
      <c r="J179" s="528"/>
      <c r="K179" s="528"/>
      <c r="L179" s="528"/>
      <c r="M179" s="529"/>
      <c r="N179" s="529"/>
      <c r="O179" s="529"/>
      <c r="P179" s="528"/>
      <c r="Q179" s="528"/>
      <c r="R179" s="529"/>
      <c r="S179" s="529"/>
      <c r="T179" s="529"/>
      <c r="U179" s="528"/>
      <c r="V179" s="528"/>
      <c r="W179" s="528"/>
      <c r="X179" s="528"/>
      <c r="Y179" s="528"/>
      <c r="Z179" s="528"/>
    </row>
    <row r="180" spans="2:26" ht="15">
      <c r="B180" s="535"/>
      <c r="C180" s="550"/>
      <c r="D180" s="528"/>
      <c r="E180" s="528"/>
      <c r="F180" s="528"/>
      <c r="G180" s="528"/>
      <c r="H180" s="528"/>
      <c r="I180" s="528"/>
      <c r="J180" s="528"/>
      <c r="K180" s="560"/>
      <c r="L180" s="528"/>
      <c r="M180" s="529"/>
      <c r="N180" s="529"/>
      <c r="O180" s="529"/>
      <c r="P180" s="528"/>
      <c r="Q180" s="528"/>
      <c r="R180" s="529"/>
      <c r="S180" s="529"/>
      <c r="T180" s="529"/>
      <c r="U180" s="528"/>
      <c r="V180" s="528"/>
      <c r="W180" s="528"/>
      <c r="X180" s="528"/>
      <c r="Y180" s="528"/>
      <c r="Z180" s="528"/>
    </row>
    <row r="181" spans="2:26" ht="15">
      <c r="B181" s="789">
        <f>B164+1</f>
        <v>32</v>
      </c>
      <c r="C181" s="923" t="s">
        <v>931</v>
      </c>
      <c r="D181" s="924"/>
      <c r="E181" s="924"/>
      <c r="F181" s="924"/>
      <c r="G181" s="924"/>
      <c r="H181" s="565"/>
      <c r="I181" s="560"/>
      <c r="J181" s="560"/>
      <c r="K181" s="560"/>
      <c r="L181" s="528"/>
      <c r="M181" s="529"/>
      <c r="N181" s="529"/>
      <c r="O181" s="529"/>
      <c r="P181" s="528"/>
      <c r="Q181" s="528"/>
      <c r="R181" s="529"/>
      <c r="S181" s="529"/>
      <c r="T181" s="529"/>
      <c r="U181" s="528"/>
      <c r="V181" s="528"/>
      <c r="W181" s="528"/>
      <c r="X181" s="528"/>
      <c r="Y181" s="528"/>
      <c r="Z181" s="528"/>
    </row>
    <row r="182" spans="2:26" ht="15">
      <c r="B182" s="535"/>
      <c r="C182" s="621"/>
      <c r="D182" s="528"/>
      <c r="E182" s="528"/>
      <c r="F182" s="528"/>
      <c r="G182" s="528"/>
      <c r="H182" s="528"/>
      <c r="I182" s="528"/>
      <c r="J182" s="528"/>
      <c r="K182" s="560"/>
      <c r="L182" s="528"/>
      <c r="M182" s="529"/>
      <c r="N182" s="529"/>
      <c r="O182" s="529"/>
      <c r="P182" s="528"/>
      <c r="Q182" s="528"/>
      <c r="R182" s="529"/>
      <c r="S182" s="529"/>
      <c r="T182" s="529"/>
      <c r="U182" s="528"/>
      <c r="V182" s="528"/>
      <c r="W182" s="528"/>
      <c r="X182" s="528"/>
      <c r="Y182" s="528"/>
      <c r="Z182" s="528"/>
    </row>
    <row r="183" spans="2:26" ht="15">
      <c r="B183" s="789">
        <f>+B181+1</f>
        <v>33</v>
      </c>
      <c r="C183" s="925" t="s">
        <v>932</v>
      </c>
      <c r="D183" s="926"/>
      <c r="E183" s="926"/>
      <c r="F183" s="926"/>
      <c r="G183" s="926"/>
      <c r="H183" s="528"/>
      <c r="I183" s="560"/>
      <c r="J183" s="560"/>
      <c r="K183" s="560"/>
      <c r="L183" s="528"/>
      <c r="M183" s="529"/>
      <c r="N183" s="529"/>
      <c r="O183" s="529"/>
      <c r="P183" s="528"/>
      <c r="Q183" s="528"/>
      <c r="R183" s="529"/>
      <c r="S183" s="529"/>
      <c r="T183" s="529"/>
      <c r="U183" s="528"/>
      <c r="V183" s="528"/>
      <c r="W183" s="528"/>
      <c r="X183" s="528"/>
      <c r="Y183" s="528"/>
      <c r="Z183" s="528"/>
    </row>
    <row r="184" spans="2:26" ht="15">
      <c r="B184" s="535"/>
      <c r="C184" s="560"/>
      <c r="D184" s="528"/>
      <c r="E184" s="528"/>
      <c r="F184" s="528"/>
      <c r="G184" s="528"/>
      <c r="H184" s="560"/>
      <c r="I184" s="560"/>
      <c r="J184" s="560"/>
      <c r="K184" s="560"/>
      <c r="L184" s="528"/>
      <c r="M184" s="529"/>
      <c r="N184" s="529"/>
      <c r="O184" s="529"/>
      <c r="P184" s="528"/>
      <c r="Q184" s="528"/>
      <c r="R184" s="529"/>
      <c r="S184" s="529"/>
      <c r="T184" s="529"/>
      <c r="U184" s="528"/>
      <c r="V184" s="528"/>
      <c r="W184" s="528"/>
      <c r="X184" s="528"/>
      <c r="Y184" s="528"/>
      <c r="Z184" s="528"/>
    </row>
    <row r="185" spans="2:26" ht="15">
      <c r="B185" s="535"/>
      <c r="C185" s="623" t="s">
        <v>0</v>
      </c>
      <c r="D185" s="562"/>
      <c r="E185" s="562"/>
      <c r="F185" s="624" t="s">
        <v>872</v>
      </c>
      <c r="G185" s="624" t="s">
        <v>873</v>
      </c>
      <c r="H185" s="560"/>
      <c r="I185" s="560"/>
      <c r="J185" s="560"/>
      <c r="K185" s="560"/>
      <c r="L185" s="528"/>
      <c r="M185" s="529"/>
      <c r="N185" s="529"/>
      <c r="O185" s="529"/>
      <c r="P185" s="528"/>
      <c r="Q185" s="528"/>
      <c r="R185" s="529"/>
      <c r="S185" s="529"/>
      <c r="T185" s="529"/>
      <c r="U185" s="528"/>
      <c r="V185" s="528"/>
      <c r="W185" s="528"/>
      <c r="X185" s="528"/>
      <c r="Y185" s="528"/>
      <c r="Z185" s="528"/>
    </row>
    <row r="186" spans="2:26" ht="15">
      <c r="B186" s="535"/>
      <c r="C186" s="532" t="s">
        <v>484</v>
      </c>
      <c r="D186" s="528"/>
      <c r="E186" s="528"/>
      <c r="F186" s="625"/>
      <c r="G186" s="626">
        <v>0</v>
      </c>
      <c r="H186" s="560"/>
      <c r="I186" s="560"/>
      <c r="J186" s="560"/>
      <c r="K186" s="560"/>
      <c r="L186" s="528"/>
      <c r="M186" s="529"/>
      <c r="N186" s="529"/>
      <c r="O186" s="529"/>
      <c r="P186" s="528"/>
      <c r="Q186" s="528"/>
      <c r="R186" s="529"/>
      <c r="S186" s="529"/>
      <c r="T186" s="529"/>
      <c r="U186" s="528"/>
      <c r="V186" s="528"/>
      <c r="W186" s="528"/>
      <c r="X186" s="528"/>
      <c r="Y186" s="528"/>
      <c r="Z186" s="528"/>
    </row>
    <row r="187" spans="2:26" ht="15">
      <c r="B187" s="535"/>
      <c r="C187" s="532" t="s">
        <v>874</v>
      </c>
      <c r="D187" s="528"/>
      <c r="E187" s="528"/>
      <c r="F187" s="625"/>
      <c r="G187" s="627">
        <v>0</v>
      </c>
      <c r="H187" s="560"/>
      <c r="I187" s="560"/>
      <c r="J187" s="560"/>
      <c r="K187" s="560"/>
      <c r="L187" s="528"/>
      <c r="M187" s="529"/>
      <c r="N187" s="529"/>
      <c r="O187" s="529"/>
      <c r="P187" s="528"/>
      <c r="Q187" s="528"/>
      <c r="R187" s="529"/>
      <c r="S187" s="529"/>
      <c r="T187" s="529"/>
      <c r="U187" s="528"/>
      <c r="V187" s="528"/>
      <c r="W187" s="528"/>
      <c r="X187" s="528"/>
      <c r="Y187" s="528"/>
      <c r="Z187" s="528"/>
    </row>
    <row r="188" spans="2:26" ht="15.75" thickBot="1">
      <c r="B188" s="535"/>
      <c r="C188" s="545" t="s">
        <v>1</v>
      </c>
      <c r="D188" s="528"/>
      <c r="E188" s="528"/>
      <c r="F188" s="628">
        <f>SUM(F186:F187)</f>
        <v>0</v>
      </c>
      <c r="G188" s="628">
        <f>SUM(G186:G187)</f>
        <v>0</v>
      </c>
      <c r="H188" s="560"/>
      <c r="I188" s="560"/>
      <c r="J188" s="560"/>
      <c r="K188" s="560"/>
      <c r="L188" s="528"/>
      <c r="M188" s="529"/>
      <c r="N188" s="529"/>
      <c r="O188" s="529"/>
      <c r="P188" s="528"/>
      <c r="Q188" s="528"/>
      <c r="R188" s="529"/>
      <c r="S188" s="529"/>
      <c r="T188" s="529"/>
      <c r="U188" s="528"/>
      <c r="V188" s="528"/>
      <c r="W188" s="528"/>
      <c r="X188" s="528"/>
      <c r="Y188" s="528"/>
      <c r="Z188" s="528"/>
    </row>
    <row r="189" spans="2:26" ht="15.75" thickTop="1">
      <c r="B189" s="535"/>
      <c r="C189" s="560"/>
      <c r="D189" s="528"/>
      <c r="E189" s="528"/>
      <c r="F189" s="528"/>
      <c r="G189" s="528"/>
      <c r="H189" s="560"/>
      <c r="I189" s="560"/>
      <c r="J189" s="560"/>
      <c r="K189" s="560"/>
      <c r="L189" s="528"/>
      <c r="M189" s="529"/>
      <c r="N189" s="529"/>
      <c r="O189" s="529"/>
      <c r="P189" s="528"/>
      <c r="Q189" s="528"/>
      <c r="R189" s="529"/>
      <c r="S189" s="529"/>
      <c r="T189" s="529"/>
      <c r="U189" s="528"/>
      <c r="V189" s="528"/>
      <c r="W189" s="528"/>
      <c r="X189" s="528"/>
      <c r="Y189" s="528"/>
      <c r="Z189" s="528"/>
    </row>
    <row r="190" spans="2:26" ht="15">
      <c r="B190" s="789">
        <f>+B183+1</f>
        <v>34</v>
      </c>
      <c r="C190" s="923" t="s">
        <v>933</v>
      </c>
      <c r="D190" s="923"/>
      <c r="E190" s="923"/>
      <c r="F190" s="923"/>
      <c r="G190" s="923"/>
      <c r="H190" s="560"/>
      <c r="I190" s="560"/>
      <c r="J190" s="560"/>
      <c r="K190" s="560"/>
      <c r="L190" s="528"/>
      <c r="M190" s="529"/>
      <c r="N190" s="529"/>
      <c r="O190" s="529"/>
      <c r="P190" s="528"/>
      <c r="Q190" s="528"/>
      <c r="R190" s="529"/>
      <c r="S190" s="529"/>
      <c r="T190" s="529"/>
      <c r="U190" s="528"/>
      <c r="V190" s="528"/>
      <c r="W190" s="528"/>
      <c r="X190" s="528"/>
      <c r="Y190" s="528"/>
      <c r="Z190" s="528"/>
    </row>
    <row r="191" spans="2:26" ht="15">
      <c r="B191" s="535"/>
      <c r="C191" s="923"/>
      <c r="D191" s="923"/>
      <c r="E191" s="923"/>
      <c r="F191" s="923"/>
      <c r="G191" s="923"/>
      <c r="H191" s="528"/>
      <c r="I191" s="528"/>
      <c r="J191" s="528"/>
      <c r="K191" s="560"/>
      <c r="L191" s="528"/>
      <c r="M191" s="529"/>
      <c r="N191" s="529"/>
      <c r="O191" s="529"/>
      <c r="P191" s="528"/>
      <c r="Q191" s="528"/>
      <c r="R191" s="529"/>
      <c r="S191" s="529"/>
      <c r="T191" s="529"/>
      <c r="U191" s="528"/>
      <c r="V191" s="528"/>
      <c r="W191" s="528"/>
      <c r="X191" s="528"/>
      <c r="Y191" s="528"/>
      <c r="Z191" s="528"/>
    </row>
    <row r="192" spans="2:26" ht="15">
      <c r="B192" s="535"/>
      <c r="C192" s="560"/>
      <c r="D192" s="560"/>
      <c r="E192" s="560"/>
      <c r="F192" s="560"/>
      <c r="G192" s="560"/>
      <c r="H192" s="528"/>
      <c r="I192" s="528"/>
      <c r="J192" s="528"/>
      <c r="K192" s="560"/>
      <c r="L192" s="528"/>
      <c r="M192" s="529"/>
      <c r="N192" s="529"/>
      <c r="O192" s="529"/>
      <c r="P192" s="528"/>
      <c r="Q192" s="528"/>
      <c r="R192" s="529"/>
      <c r="S192" s="529"/>
      <c r="T192" s="529"/>
      <c r="U192" s="528"/>
      <c r="V192" s="528"/>
      <c r="W192" s="528"/>
      <c r="X192" s="528"/>
      <c r="Y192" s="528"/>
      <c r="Z192" s="528"/>
    </row>
    <row r="193" spans="2:26" ht="15">
      <c r="B193" s="789">
        <f>+B190+1</f>
        <v>35</v>
      </c>
      <c r="C193" s="923" t="s">
        <v>875</v>
      </c>
      <c r="D193" s="923"/>
      <c r="E193" s="923"/>
      <c r="F193" s="923"/>
      <c r="G193" s="923"/>
      <c r="H193" s="560"/>
      <c r="I193" s="560"/>
      <c r="J193" s="560"/>
      <c r="K193" s="560"/>
      <c r="L193" s="528"/>
      <c r="M193" s="529"/>
      <c r="N193" s="529"/>
      <c r="O193" s="529"/>
      <c r="P193" s="528"/>
      <c r="Q193" s="528"/>
      <c r="R193" s="529"/>
      <c r="S193" s="529"/>
      <c r="T193" s="529"/>
      <c r="U193" s="528"/>
      <c r="V193" s="528"/>
      <c r="W193" s="528"/>
      <c r="X193" s="528"/>
      <c r="Y193" s="528"/>
      <c r="Z193" s="528"/>
    </row>
    <row r="194" spans="2:26" ht="15">
      <c r="B194" s="535"/>
      <c r="C194" s="923"/>
      <c r="D194" s="923"/>
      <c r="E194" s="923"/>
      <c r="F194" s="923"/>
      <c r="G194" s="923"/>
      <c r="H194" s="560"/>
      <c r="I194" s="560"/>
      <c r="J194" s="560"/>
      <c r="K194" s="560"/>
      <c r="L194" s="528"/>
      <c r="M194" s="529"/>
      <c r="N194" s="529"/>
      <c r="O194" s="529"/>
      <c r="P194" s="528"/>
      <c r="Q194" s="528"/>
      <c r="R194" s="529"/>
      <c r="S194" s="529"/>
      <c r="T194" s="529"/>
      <c r="U194" s="528"/>
      <c r="V194" s="528"/>
      <c r="W194" s="528"/>
      <c r="X194" s="528"/>
      <c r="Y194" s="528"/>
      <c r="Z194" s="528"/>
    </row>
    <row r="195" spans="2:26" ht="15">
      <c r="B195" s="535"/>
      <c r="C195" s="621"/>
      <c r="D195" s="528"/>
      <c r="E195" s="528"/>
      <c r="F195" s="528"/>
      <c r="G195" s="528"/>
      <c r="H195" s="528"/>
      <c r="I195" s="528"/>
      <c r="J195" s="528"/>
      <c r="K195" s="560"/>
      <c r="L195" s="528"/>
      <c r="M195" s="529"/>
      <c r="N195" s="529"/>
      <c r="O195" s="529"/>
      <c r="P195" s="528"/>
      <c r="Q195" s="528"/>
      <c r="R195" s="529"/>
      <c r="S195" s="529"/>
      <c r="T195" s="529"/>
      <c r="U195" s="528"/>
      <c r="V195" s="528"/>
      <c r="W195" s="528"/>
      <c r="X195" s="528"/>
      <c r="Y195" s="528"/>
      <c r="Z195" s="528"/>
    </row>
    <row r="196" spans="2:26" ht="15">
      <c r="B196" s="789">
        <f>B193+1</f>
        <v>36</v>
      </c>
      <c r="C196" s="921" t="s">
        <v>876</v>
      </c>
      <c r="D196" s="921"/>
      <c r="E196" s="921"/>
      <c r="F196" s="921"/>
      <c r="G196" s="921"/>
      <c r="H196" s="528"/>
      <c r="I196" s="528"/>
      <c r="J196" s="528"/>
      <c r="K196" s="560"/>
      <c r="L196" s="528"/>
      <c r="M196" s="918"/>
      <c r="N196" s="918"/>
      <c r="O196" s="918"/>
      <c r="P196" s="635"/>
      <c r="Q196" s="635"/>
      <c r="R196" s="635"/>
      <c r="S196" s="635"/>
      <c r="T196" s="635"/>
      <c r="U196" s="635"/>
      <c r="V196" s="635"/>
      <c r="W196" s="528"/>
      <c r="X196" s="528"/>
      <c r="Y196" s="528"/>
      <c r="Z196" s="528"/>
    </row>
    <row r="197" spans="2:26" ht="30">
      <c r="B197" s="789"/>
      <c r="C197" s="631" t="s">
        <v>0</v>
      </c>
      <c r="D197" s="632"/>
      <c r="E197" s="632" t="s">
        <v>790</v>
      </c>
      <c r="F197" s="632" t="s">
        <v>791</v>
      </c>
      <c r="G197" s="632" t="s">
        <v>877</v>
      </c>
      <c r="H197" s="528"/>
      <c r="I197" s="528"/>
      <c r="J197" s="528"/>
      <c r="K197" s="560"/>
      <c r="L197" s="528"/>
      <c r="M197" s="634"/>
      <c r="N197" s="634"/>
      <c r="O197" s="634"/>
      <c r="P197" s="635"/>
      <c r="Q197" s="635"/>
      <c r="R197" s="635"/>
      <c r="S197" s="635"/>
      <c r="T197" s="635"/>
      <c r="U197" s="635"/>
      <c r="V197" s="635"/>
      <c r="W197" s="528"/>
      <c r="X197" s="528"/>
      <c r="Y197" s="528"/>
      <c r="Z197" s="528"/>
    </row>
    <row r="198" spans="2:26" ht="15">
      <c r="B198" s="789"/>
      <c r="C198" s="621" t="s">
        <v>878</v>
      </c>
      <c r="D198" s="636"/>
      <c r="E198" s="636">
        <f>SUM('Financial Statements'!E44:E49)/SUM('Financial Statements'!E23:E28)</f>
        <v>1.3769711041100241</v>
      </c>
      <c r="F198" s="791">
        <v>1.75</v>
      </c>
      <c r="G198" s="619">
        <f t="shared" ref="G198" si="0">IFERROR((E198-F198)/F198,0)</f>
        <v>-0.21315936907998623</v>
      </c>
      <c r="H198" s="528"/>
      <c r="I198" s="528"/>
      <c r="J198" s="528"/>
      <c r="K198" s="528"/>
      <c r="L198" s="528"/>
      <c r="M198" s="529"/>
      <c r="N198" s="529"/>
      <c r="O198" s="529"/>
      <c r="P198" s="528"/>
      <c r="Q198" s="528"/>
      <c r="R198" s="529"/>
      <c r="S198" s="529"/>
      <c r="T198" s="529"/>
      <c r="U198" s="528"/>
      <c r="V198" s="528"/>
      <c r="W198" s="528"/>
      <c r="X198" s="528"/>
      <c r="Y198" s="528"/>
      <c r="Z198" s="528"/>
    </row>
    <row r="199" spans="2:26" ht="15">
      <c r="B199" s="789"/>
      <c r="C199" s="621" t="s">
        <v>879</v>
      </c>
      <c r="D199" s="636"/>
      <c r="E199" s="636">
        <v>0</v>
      </c>
      <c r="F199" s="791">
        <v>0</v>
      </c>
      <c r="G199" s="619">
        <f>IFERROR((E199-F199)/F199,0)</f>
        <v>0</v>
      </c>
      <c r="H199" s="528"/>
      <c r="I199" s="528"/>
      <c r="J199" s="528"/>
      <c r="K199" s="551"/>
      <c r="L199" s="528"/>
      <c r="M199" s="529"/>
      <c r="N199" s="529"/>
      <c r="O199" s="529"/>
      <c r="P199" s="528"/>
      <c r="Q199" s="528"/>
      <c r="R199" s="529"/>
      <c r="S199" s="529"/>
      <c r="T199" s="529"/>
      <c r="U199" s="528"/>
      <c r="V199" s="528"/>
      <c r="W199" s="528"/>
      <c r="X199" s="528"/>
      <c r="Y199" s="528"/>
      <c r="Z199" s="528"/>
    </row>
    <row r="200" spans="2:26" ht="15">
      <c r="B200" s="789"/>
      <c r="C200" s="621" t="s">
        <v>880</v>
      </c>
      <c r="D200" s="636"/>
      <c r="E200" s="636">
        <v>0</v>
      </c>
      <c r="F200" s="791">
        <v>0</v>
      </c>
      <c r="G200" s="619">
        <f t="shared" ref="G200:G206" si="1">IFERROR((E200-F200)/F200,0)</f>
        <v>0</v>
      </c>
      <c r="H200" s="528"/>
      <c r="I200" s="528"/>
      <c r="J200" s="528"/>
      <c r="K200" s="551"/>
      <c r="L200" s="528"/>
      <c r="M200" s="529"/>
      <c r="N200" s="529"/>
      <c r="O200" s="529"/>
      <c r="P200" s="528"/>
      <c r="Q200" s="528"/>
      <c r="R200" s="529"/>
      <c r="S200" s="529"/>
      <c r="T200" s="529"/>
      <c r="U200" s="528"/>
      <c r="V200" s="528"/>
      <c r="W200" s="528"/>
      <c r="X200" s="528"/>
      <c r="Y200" s="528"/>
      <c r="Z200" s="528"/>
    </row>
    <row r="201" spans="2:26" ht="15">
      <c r="B201" s="789"/>
      <c r="C201" s="621" t="s">
        <v>881</v>
      </c>
      <c r="D201" s="636"/>
      <c r="E201" s="795">
        <f>'Financial Statements'!E105/AVERAGE('Financial Statements'!E11+'Financial Statements'!E12,'Financial Statements'!F11+'Financial Statements'!F12)</f>
        <v>0.22090433981948399</v>
      </c>
      <c r="F201" s="792">
        <v>0.52529999999999999</v>
      </c>
      <c r="G201" s="619">
        <f t="shared" si="1"/>
        <v>-0.57947013169715589</v>
      </c>
      <c r="H201" s="528"/>
      <c r="I201" s="528"/>
      <c r="J201" s="528"/>
      <c r="K201" s="551"/>
      <c r="L201" s="528"/>
      <c r="M201" s="529"/>
      <c r="N201" s="529"/>
      <c r="O201" s="529"/>
      <c r="P201" s="528"/>
      <c r="Q201" s="528"/>
      <c r="R201" s="529"/>
      <c r="S201" s="529"/>
      <c r="T201" s="529"/>
      <c r="U201" s="528"/>
      <c r="V201" s="528"/>
      <c r="W201" s="528"/>
      <c r="X201" s="528"/>
      <c r="Y201" s="528"/>
      <c r="Z201" s="528"/>
    </row>
    <row r="202" spans="2:26" ht="15">
      <c r="B202" s="789"/>
      <c r="C202" s="637" t="s">
        <v>882</v>
      </c>
      <c r="D202" s="638"/>
      <c r="E202" s="638">
        <f>'Financial Statements'!E78/AVERAGE('Financial Statements'!E46,'Financial Statements'!F46)</f>
        <v>216.44514361823349</v>
      </c>
      <c r="F202" s="793">
        <v>361.38</v>
      </c>
      <c r="G202" s="619">
        <f t="shared" si="1"/>
        <v>-0.40105942880559664</v>
      </c>
      <c r="H202" s="528"/>
      <c r="I202" s="528"/>
      <c r="J202" s="528"/>
      <c r="K202" s="551"/>
      <c r="L202" s="528"/>
      <c r="M202" s="529"/>
      <c r="N202" s="529"/>
      <c r="O202" s="529"/>
      <c r="P202" s="528"/>
      <c r="Q202" s="528"/>
      <c r="R202" s="529"/>
      <c r="S202" s="529"/>
      <c r="T202" s="529"/>
      <c r="U202" s="528"/>
      <c r="V202" s="528"/>
      <c r="W202" s="528"/>
      <c r="X202" s="528"/>
      <c r="Y202" s="528"/>
      <c r="Z202" s="528"/>
    </row>
    <row r="203" spans="2:26" ht="15">
      <c r="B203" s="789"/>
      <c r="C203" s="637" t="s">
        <v>883</v>
      </c>
      <c r="D203" s="638"/>
      <c r="E203" s="638">
        <v>0</v>
      </c>
      <c r="F203" s="793">
        <v>0</v>
      </c>
      <c r="G203" s="619">
        <f t="shared" si="1"/>
        <v>0</v>
      </c>
      <c r="H203" s="528"/>
      <c r="I203" s="528"/>
      <c r="J203" s="528"/>
      <c r="K203" s="551"/>
      <c r="L203" s="528"/>
      <c r="M203" s="529"/>
      <c r="N203" s="529"/>
      <c r="O203" s="529"/>
      <c r="P203" s="528"/>
      <c r="Q203" s="528"/>
      <c r="R203" s="529"/>
      <c r="S203" s="529"/>
      <c r="T203" s="529"/>
      <c r="U203" s="528"/>
      <c r="V203" s="528"/>
      <c r="W203" s="528"/>
      <c r="X203" s="528"/>
      <c r="Y203" s="528"/>
      <c r="Z203" s="528"/>
    </row>
    <row r="204" spans="2:26" ht="15">
      <c r="B204" s="789"/>
      <c r="C204" s="637" t="s">
        <v>222</v>
      </c>
      <c r="D204" s="638"/>
      <c r="E204" s="638">
        <f>'Financial Statements'!E78/AVERAGE(SUM('Financial Statements'!F44:F49)-SUM('Financial Statements'!F23:F28),SUM('Financial Statements'!E44:E49)-SUM('Financial Statements'!E23:E28))</f>
        <v>15.493690632589587</v>
      </c>
      <c r="F204" s="793">
        <v>13.33</v>
      </c>
      <c r="G204" s="619">
        <f t="shared" si="1"/>
        <v>0.16231737678841612</v>
      </c>
      <c r="H204" s="528"/>
      <c r="I204" s="528"/>
      <c r="J204" s="528"/>
      <c r="K204" s="551"/>
      <c r="L204" s="528"/>
      <c r="M204" s="529"/>
      <c r="N204" s="529"/>
      <c r="O204" s="529"/>
      <c r="P204" s="528"/>
      <c r="Q204" s="528"/>
      <c r="R204" s="529"/>
      <c r="S204" s="529"/>
      <c r="T204" s="529"/>
      <c r="U204" s="528"/>
      <c r="V204" s="528"/>
      <c r="W204" s="528"/>
      <c r="X204" s="528"/>
      <c r="Y204" s="528"/>
      <c r="Z204" s="528"/>
    </row>
    <row r="205" spans="2:26" ht="15">
      <c r="B205" s="789"/>
      <c r="C205" s="637" t="s">
        <v>223</v>
      </c>
      <c r="D205" s="638"/>
      <c r="E205" s="796">
        <f>'Financial Statements'!E105/'Financial Statements'!E78</f>
        <v>1.8369676769380772E-2</v>
      </c>
      <c r="F205" s="794">
        <v>5.21E-2</v>
      </c>
      <c r="G205" s="619">
        <f t="shared" si="1"/>
        <v>-0.64741503321725957</v>
      </c>
      <c r="H205" s="528"/>
      <c r="I205" s="528"/>
      <c r="J205" s="528"/>
      <c r="K205" s="551"/>
      <c r="L205" s="528"/>
      <c r="M205" s="529"/>
      <c r="N205" s="529"/>
      <c r="O205" s="529"/>
      <c r="P205" s="528"/>
      <c r="Q205" s="528"/>
      <c r="R205" s="529"/>
      <c r="S205" s="529"/>
      <c r="T205" s="529"/>
      <c r="U205" s="528"/>
      <c r="V205" s="528"/>
      <c r="W205" s="528"/>
      <c r="X205" s="528"/>
      <c r="Y205" s="528"/>
      <c r="Z205" s="528"/>
    </row>
    <row r="206" spans="2:26" ht="15">
      <c r="B206" s="789"/>
      <c r="C206" s="621" t="s">
        <v>884</v>
      </c>
      <c r="D206" s="636"/>
      <c r="E206" s="796">
        <f>'Financial Statements'!E97/('Financial Statements'!E50-SUM('Financial Statements'!E23:E29))</f>
        <v>0.26902660454513139</v>
      </c>
      <c r="F206" s="792">
        <f>'Financial Statements'!F97/('Financial Statements'!F50-SUM('Financial Statements'!F23:F28))</f>
        <v>0.70253443753505374</v>
      </c>
      <c r="G206" s="619">
        <f t="shared" si="1"/>
        <v>-0.61706275141607136</v>
      </c>
      <c r="H206" s="528"/>
      <c r="I206" s="528"/>
      <c r="J206" s="528"/>
      <c r="K206" s="551"/>
      <c r="L206" s="528"/>
      <c r="M206" s="529"/>
      <c r="N206" s="529"/>
      <c r="O206" s="529"/>
      <c r="P206" s="528"/>
      <c r="Q206" s="528"/>
      <c r="R206" s="529"/>
      <c r="S206" s="529"/>
      <c r="T206" s="529"/>
      <c r="U206" s="528"/>
      <c r="V206" s="528"/>
      <c r="W206" s="528"/>
      <c r="X206" s="528"/>
      <c r="Y206" s="528"/>
      <c r="Z206" s="528"/>
    </row>
    <row r="207" spans="2:26" ht="15">
      <c r="B207" s="789"/>
      <c r="C207" s="621"/>
      <c r="D207" s="636"/>
      <c r="E207" s="636"/>
      <c r="F207" s="636"/>
      <c r="G207" s="619"/>
      <c r="H207" s="528"/>
      <c r="I207" s="528"/>
      <c r="J207" s="528"/>
      <c r="K207" s="551"/>
      <c r="L207" s="528"/>
      <c r="M207" s="529"/>
      <c r="N207" s="529"/>
      <c r="O207" s="529"/>
      <c r="P207" s="528"/>
      <c r="Q207" s="528"/>
      <c r="R207" s="529"/>
      <c r="S207" s="529"/>
      <c r="T207" s="529"/>
      <c r="U207" s="528"/>
      <c r="V207" s="528"/>
      <c r="W207" s="528"/>
      <c r="X207" s="528"/>
      <c r="Y207" s="528"/>
      <c r="Z207" s="528"/>
    </row>
    <row r="208" spans="2:26" ht="15">
      <c r="B208" s="789"/>
      <c r="C208" s="621" t="s">
        <v>936</v>
      </c>
      <c r="D208" s="636"/>
      <c r="E208" s="636"/>
      <c r="F208" s="636"/>
      <c r="G208" s="619"/>
      <c r="H208" s="528"/>
      <c r="I208" s="528"/>
      <c r="J208" s="528"/>
      <c r="K208" s="551"/>
      <c r="L208" s="528"/>
      <c r="M208" s="529"/>
      <c r="N208" s="529"/>
      <c r="O208" s="529"/>
      <c r="P208" s="528"/>
      <c r="Q208" s="528"/>
      <c r="R208" s="529"/>
      <c r="S208" s="529"/>
      <c r="T208" s="529"/>
      <c r="U208" s="528"/>
      <c r="V208" s="528"/>
      <c r="W208" s="528"/>
      <c r="X208" s="528"/>
      <c r="Y208" s="528"/>
      <c r="Z208" s="528"/>
    </row>
    <row r="209" spans="2:26" ht="15">
      <c r="B209" s="789"/>
      <c r="C209" s="920" t="s">
        <v>937</v>
      </c>
      <c r="D209" s="920"/>
      <c r="E209" s="920"/>
      <c r="F209" s="920"/>
      <c r="G209" s="920"/>
      <c r="H209" s="528"/>
      <c r="I209" s="528"/>
      <c r="J209" s="528"/>
      <c r="K209" s="551"/>
      <c r="L209" s="528"/>
      <c r="M209" s="529"/>
      <c r="N209" s="529"/>
      <c r="O209" s="529"/>
      <c r="P209" s="528"/>
      <c r="Q209" s="528"/>
      <c r="R209" s="529"/>
      <c r="S209" s="529"/>
      <c r="T209" s="529"/>
      <c r="U209" s="528"/>
      <c r="V209" s="528"/>
      <c r="W209" s="528"/>
      <c r="X209" s="528"/>
      <c r="Y209" s="528"/>
      <c r="Z209" s="528"/>
    </row>
    <row r="210" spans="2:26" ht="15">
      <c r="B210" s="789"/>
      <c r="C210" s="920"/>
      <c r="D210" s="920"/>
      <c r="E210" s="920"/>
      <c r="F210" s="920"/>
      <c r="G210" s="920"/>
      <c r="H210" s="528"/>
      <c r="I210" s="528"/>
      <c r="J210" s="528"/>
      <c r="K210" s="551"/>
      <c r="L210" s="528"/>
      <c r="M210" s="529"/>
      <c r="N210" s="529"/>
      <c r="O210" s="529"/>
      <c r="P210" s="528"/>
      <c r="Q210" s="528"/>
      <c r="R210" s="529"/>
      <c r="S210" s="529"/>
      <c r="T210" s="529"/>
      <c r="U210" s="528"/>
      <c r="V210" s="528"/>
      <c r="W210" s="528"/>
      <c r="X210" s="528"/>
      <c r="Y210" s="528"/>
      <c r="Z210" s="528"/>
    </row>
    <row r="211" spans="2:26" ht="15">
      <c r="B211" s="789"/>
      <c r="C211" s="920" t="s">
        <v>938</v>
      </c>
      <c r="D211" s="920"/>
      <c r="E211" s="920"/>
      <c r="F211" s="920"/>
      <c r="G211" s="920"/>
      <c r="H211" s="528"/>
      <c r="I211" s="528"/>
      <c r="J211" s="528"/>
      <c r="K211" s="551"/>
      <c r="L211" s="528"/>
      <c r="M211" s="529"/>
      <c r="N211" s="529"/>
      <c r="O211" s="529"/>
      <c r="P211" s="528"/>
      <c r="Q211" s="528"/>
      <c r="R211" s="529"/>
      <c r="S211" s="529"/>
      <c r="T211" s="529"/>
      <c r="U211" s="528"/>
      <c r="V211" s="528"/>
      <c r="W211" s="528"/>
      <c r="X211" s="528"/>
      <c r="Y211" s="528"/>
      <c r="Z211" s="528"/>
    </row>
    <row r="212" spans="2:26" ht="15">
      <c r="B212" s="789"/>
      <c r="C212" s="920"/>
      <c r="D212" s="920"/>
      <c r="E212" s="920"/>
      <c r="F212" s="920"/>
      <c r="G212" s="920"/>
      <c r="H212" s="528"/>
      <c r="I212" s="528"/>
      <c r="J212" s="528"/>
      <c r="K212" s="551"/>
      <c r="L212" s="528"/>
      <c r="M212" s="529"/>
      <c r="N212" s="529"/>
      <c r="O212" s="529"/>
      <c r="P212" s="528"/>
      <c r="Q212" s="528"/>
      <c r="R212" s="529"/>
      <c r="S212" s="529"/>
      <c r="T212" s="529"/>
      <c r="U212" s="528"/>
      <c r="V212" s="528"/>
      <c r="W212" s="528"/>
      <c r="X212" s="528"/>
      <c r="Y212" s="528"/>
      <c r="Z212" s="528"/>
    </row>
    <row r="213" spans="2:26" ht="15" customHeight="1">
      <c r="B213" s="789"/>
      <c r="C213" s="920" t="s">
        <v>949</v>
      </c>
      <c r="D213" s="920"/>
      <c r="E213" s="920"/>
      <c r="F213" s="920"/>
      <c r="G213" s="920"/>
      <c r="H213" s="528"/>
      <c r="I213" s="528"/>
      <c r="J213" s="528"/>
      <c r="K213" s="551"/>
      <c r="L213" s="528"/>
      <c r="M213" s="529"/>
      <c r="N213" s="529"/>
      <c r="O213" s="529"/>
      <c r="P213" s="528"/>
      <c r="Q213" s="528"/>
      <c r="R213" s="529"/>
      <c r="S213" s="529"/>
      <c r="T213" s="529"/>
      <c r="U213" s="528"/>
      <c r="V213" s="528"/>
      <c r="W213" s="528"/>
      <c r="X213" s="528"/>
      <c r="Y213" s="528"/>
      <c r="Z213" s="528"/>
    </row>
    <row r="214" spans="2:26" ht="15">
      <c r="B214" s="789"/>
      <c r="C214" s="920"/>
      <c r="D214" s="920"/>
      <c r="E214" s="920"/>
      <c r="F214" s="920"/>
      <c r="G214" s="920"/>
      <c r="H214" s="528"/>
      <c r="I214" s="528"/>
      <c r="J214" s="528"/>
      <c r="K214" s="551"/>
      <c r="L214" s="528"/>
      <c r="M214" s="529"/>
      <c r="N214" s="529"/>
      <c r="O214" s="529"/>
      <c r="P214" s="528"/>
      <c r="Q214" s="528"/>
      <c r="R214" s="529"/>
      <c r="S214" s="529"/>
      <c r="T214" s="529"/>
      <c r="U214" s="528"/>
      <c r="V214" s="528"/>
      <c r="W214" s="528"/>
      <c r="X214" s="528"/>
      <c r="Y214" s="528"/>
      <c r="Z214" s="528"/>
    </row>
    <row r="215" spans="2:26" ht="15">
      <c r="B215" s="789"/>
      <c r="C215" s="811"/>
      <c r="D215" s="811"/>
      <c r="E215" s="811"/>
      <c r="F215" s="811"/>
      <c r="G215" s="811"/>
      <c r="H215" s="528"/>
      <c r="I215" s="528"/>
      <c r="J215" s="528"/>
      <c r="K215" s="551"/>
      <c r="L215" s="528"/>
      <c r="M215" s="529"/>
      <c r="N215" s="529"/>
      <c r="O215" s="529"/>
      <c r="P215" s="528"/>
      <c r="Q215" s="528"/>
      <c r="R215" s="529"/>
      <c r="S215" s="529"/>
      <c r="T215" s="529"/>
      <c r="U215" s="528"/>
      <c r="V215" s="528"/>
      <c r="W215" s="528"/>
      <c r="X215" s="528"/>
      <c r="Y215" s="528"/>
      <c r="Z215" s="528"/>
    </row>
    <row r="216" spans="2:26" ht="15">
      <c r="B216" s="789"/>
      <c r="C216" s="621"/>
      <c r="D216" s="636"/>
      <c r="E216" s="636"/>
      <c r="F216" s="636"/>
      <c r="G216" s="619"/>
      <c r="H216" s="528"/>
      <c r="I216" s="528"/>
      <c r="J216" s="528"/>
      <c r="K216" s="551"/>
      <c r="L216" s="528"/>
      <c r="M216" s="529"/>
      <c r="N216" s="529"/>
      <c r="O216" s="529"/>
      <c r="P216" s="528"/>
      <c r="Q216" s="528"/>
      <c r="R216" s="529"/>
      <c r="S216" s="529"/>
      <c r="T216" s="529"/>
      <c r="U216" s="528"/>
      <c r="V216" s="528"/>
      <c r="W216" s="528"/>
      <c r="X216" s="528"/>
      <c r="Y216" s="528"/>
      <c r="Z216" s="528"/>
    </row>
    <row r="217" spans="2:26" ht="15">
      <c r="B217" s="789">
        <f>B196+1</f>
        <v>37</v>
      </c>
      <c r="C217" s="927" t="s">
        <v>885</v>
      </c>
      <c r="D217" s="927"/>
      <c r="E217" s="927"/>
      <c r="F217" s="927"/>
      <c r="G217" s="927"/>
      <c r="H217" s="528"/>
      <c r="I217" s="528"/>
      <c r="J217" s="528"/>
      <c r="K217" s="528"/>
      <c r="L217" s="528"/>
      <c r="M217" s="575"/>
      <c r="N217" s="575"/>
      <c r="O217" s="575"/>
      <c r="P217" s="528"/>
      <c r="Q217" s="528"/>
      <c r="R217" s="575"/>
      <c r="S217" s="575"/>
      <c r="T217" s="575"/>
      <c r="U217" s="528"/>
      <c r="V217" s="528"/>
      <c r="W217" s="528"/>
      <c r="X217" s="528"/>
      <c r="Y217" s="528"/>
      <c r="Z217" s="528"/>
    </row>
    <row r="218" spans="2:26" ht="15">
      <c r="B218" s="789"/>
      <c r="C218" s="629"/>
      <c r="D218" s="629"/>
      <c r="E218" s="629"/>
      <c r="F218" s="629"/>
      <c r="G218" s="629"/>
      <c r="H218" s="528"/>
      <c r="I218" s="528"/>
      <c r="J218" s="528"/>
      <c r="K218" s="528"/>
      <c r="L218" s="528"/>
      <c r="M218" s="575"/>
      <c r="N218" s="575"/>
      <c r="O218" s="575"/>
      <c r="P218" s="528"/>
      <c r="Q218" s="528"/>
      <c r="R218" s="575"/>
      <c r="S218" s="575"/>
      <c r="T218" s="575"/>
      <c r="U218" s="528"/>
      <c r="V218" s="528"/>
      <c r="W218" s="528"/>
      <c r="X218" s="528"/>
      <c r="Y218" s="528"/>
      <c r="Z218" s="528"/>
    </row>
    <row r="219" spans="2:26" ht="15">
      <c r="B219" s="790" t="s">
        <v>886</v>
      </c>
      <c r="C219" s="919" t="s">
        <v>934</v>
      </c>
      <c r="D219" s="919"/>
      <c r="E219" s="919"/>
      <c r="F219" s="919"/>
      <c r="G219" s="919"/>
      <c r="H219" s="528"/>
      <c r="I219" s="528"/>
      <c r="J219" s="528"/>
      <c r="K219" s="528"/>
      <c r="L219" s="528"/>
      <c r="M219" s="575"/>
      <c r="N219" s="575"/>
      <c r="O219" s="575"/>
      <c r="P219" s="528"/>
      <c r="Q219" s="528"/>
      <c r="R219" s="575"/>
      <c r="S219" s="575"/>
      <c r="T219" s="575"/>
      <c r="U219" s="528"/>
      <c r="V219" s="528"/>
      <c r="W219" s="528"/>
      <c r="X219" s="528"/>
      <c r="Y219" s="528"/>
      <c r="Z219" s="528"/>
    </row>
    <row r="220" spans="2:26" ht="15">
      <c r="B220" s="790" t="s">
        <v>887</v>
      </c>
      <c r="C220" s="919" t="s">
        <v>888</v>
      </c>
      <c r="D220" s="919"/>
      <c r="E220" s="919"/>
      <c r="F220" s="919"/>
      <c r="G220" s="919"/>
      <c r="H220" s="528"/>
      <c r="I220" s="528"/>
      <c r="J220" s="528"/>
      <c r="K220" s="528"/>
      <c r="L220" s="528"/>
      <c r="M220" s="575"/>
      <c r="N220" s="575"/>
      <c r="O220" s="575"/>
      <c r="P220" s="528"/>
      <c r="Q220" s="528"/>
      <c r="R220" s="575"/>
      <c r="S220" s="575"/>
      <c r="T220" s="575"/>
      <c r="U220" s="528"/>
      <c r="V220" s="528"/>
      <c r="W220" s="528"/>
      <c r="X220" s="528"/>
      <c r="Y220" s="528"/>
      <c r="Z220" s="528"/>
    </row>
    <row r="221" spans="2:26" ht="15">
      <c r="B221" s="790"/>
      <c r="C221" s="919"/>
      <c r="D221" s="919"/>
      <c r="E221" s="919"/>
      <c r="F221" s="919"/>
      <c r="G221" s="919"/>
      <c r="H221" s="528"/>
      <c r="I221" s="528"/>
      <c r="J221" s="528"/>
      <c r="K221" s="528"/>
      <c r="L221" s="528"/>
      <c r="M221" s="575"/>
      <c r="N221" s="575"/>
      <c r="O221" s="575"/>
      <c r="P221" s="528"/>
      <c r="Q221" s="528"/>
      <c r="R221" s="575"/>
      <c r="S221" s="575"/>
      <c r="T221" s="575"/>
      <c r="U221" s="528"/>
      <c r="V221" s="528"/>
      <c r="W221" s="528"/>
      <c r="X221" s="528"/>
      <c r="Y221" s="528"/>
      <c r="Z221" s="528"/>
    </row>
    <row r="222" spans="2:26" ht="15">
      <c r="B222" s="790" t="s">
        <v>889</v>
      </c>
      <c r="C222" s="919" t="s">
        <v>890</v>
      </c>
      <c r="D222" s="919"/>
      <c r="E222" s="919"/>
      <c r="F222" s="919"/>
      <c r="G222" s="919"/>
      <c r="H222" s="528"/>
      <c r="I222" s="528"/>
      <c r="J222" s="528"/>
      <c r="K222" s="528"/>
      <c r="L222" s="528"/>
      <c r="M222" s="575"/>
      <c r="N222" s="575"/>
      <c r="O222" s="575"/>
      <c r="P222" s="528"/>
      <c r="Q222" s="528"/>
      <c r="R222" s="575"/>
      <c r="S222" s="575"/>
      <c r="T222" s="575"/>
      <c r="U222" s="528"/>
      <c r="V222" s="528"/>
      <c r="W222" s="528"/>
      <c r="X222" s="528"/>
      <c r="Y222" s="528"/>
      <c r="Z222" s="528"/>
    </row>
    <row r="223" spans="2:26" ht="15">
      <c r="B223" s="790"/>
      <c r="C223" s="919"/>
      <c r="D223" s="919"/>
      <c r="E223" s="919"/>
      <c r="F223" s="919"/>
      <c r="G223" s="919"/>
      <c r="H223" s="528"/>
      <c r="I223" s="528"/>
      <c r="J223" s="528"/>
      <c r="K223" s="528"/>
      <c r="L223" s="528"/>
      <c r="M223" s="575"/>
      <c r="N223" s="575"/>
      <c r="O223" s="575"/>
      <c r="P223" s="528"/>
      <c r="Q223" s="528"/>
      <c r="R223" s="575"/>
      <c r="S223" s="575"/>
      <c r="T223" s="575"/>
      <c r="U223" s="528"/>
      <c r="V223" s="528"/>
      <c r="W223" s="528"/>
      <c r="X223" s="528"/>
      <c r="Y223" s="528"/>
      <c r="Z223" s="528"/>
    </row>
    <row r="224" spans="2:26" ht="15">
      <c r="B224" s="790"/>
      <c r="C224" s="919"/>
      <c r="D224" s="919"/>
      <c r="E224" s="919"/>
      <c r="F224" s="919"/>
      <c r="G224" s="919"/>
      <c r="H224" s="528"/>
      <c r="I224" s="528"/>
      <c r="J224" s="528"/>
      <c r="K224" s="528"/>
      <c r="L224" s="528"/>
      <c r="M224" s="575"/>
      <c r="N224" s="575"/>
      <c r="O224" s="575"/>
      <c r="P224" s="528"/>
      <c r="Q224" s="528"/>
      <c r="R224" s="575"/>
      <c r="S224" s="575"/>
      <c r="T224" s="575"/>
      <c r="U224" s="528"/>
      <c r="V224" s="528"/>
      <c r="W224" s="528"/>
      <c r="X224" s="528"/>
      <c r="Y224" s="528"/>
      <c r="Z224" s="528"/>
    </row>
    <row r="225" spans="2:26" ht="15">
      <c r="B225" s="790" t="s">
        <v>891</v>
      </c>
      <c r="C225" s="919" t="s">
        <v>892</v>
      </c>
      <c r="D225" s="919"/>
      <c r="E225" s="919"/>
      <c r="F225" s="919"/>
      <c r="G225" s="919"/>
      <c r="H225" s="528"/>
      <c r="I225" s="528"/>
      <c r="J225" s="528"/>
      <c r="K225" s="528"/>
      <c r="L225" s="528"/>
      <c r="M225" s="575"/>
      <c r="N225" s="575"/>
      <c r="O225" s="575"/>
      <c r="P225" s="528"/>
      <c r="Q225" s="528"/>
      <c r="R225" s="575"/>
      <c r="S225" s="575"/>
      <c r="T225" s="575"/>
      <c r="U225" s="528"/>
      <c r="V225" s="528"/>
      <c r="W225" s="528"/>
      <c r="X225" s="528"/>
      <c r="Y225" s="528"/>
      <c r="Z225" s="528"/>
    </row>
    <row r="226" spans="2:26" ht="15">
      <c r="B226" s="790"/>
      <c r="C226" s="919"/>
      <c r="D226" s="919"/>
      <c r="E226" s="919"/>
      <c r="F226" s="919"/>
      <c r="G226" s="919"/>
      <c r="H226" s="528"/>
      <c r="I226" s="528"/>
      <c r="J226" s="528"/>
      <c r="K226" s="528"/>
      <c r="L226" s="528"/>
      <c r="M226" s="575"/>
      <c r="N226" s="575"/>
      <c r="O226" s="575"/>
      <c r="P226" s="528"/>
      <c r="Q226" s="528"/>
      <c r="R226" s="575"/>
      <c r="S226" s="575"/>
      <c r="T226" s="575"/>
      <c r="U226" s="528"/>
      <c r="V226" s="528"/>
      <c r="W226" s="528"/>
      <c r="X226" s="528"/>
      <c r="Y226" s="528"/>
      <c r="Z226" s="528"/>
    </row>
    <row r="227" spans="2:26" ht="15">
      <c r="B227" s="790" t="s">
        <v>893</v>
      </c>
      <c r="C227" s="919" t="s">
        <v>894</v>
      </c>
      <c r="D227" s="919"/>
      <c r="E227" s="919"/>
      <c r="F227" s="919"/>
      <c r="G227" s="919"/>
      <c r="H227" s="528"/>
      <c r="I227" s="528"/>
      <c r="J227" s="528"/>
      <c r="K227" s="528"/>
      <c r="L227" s="528"/>
      <c r="M227" s="575"/>
      <c r="N227" s="575"/>
      <c r="O227" s="575"/>
      <c r="P227" s="528"/>
      <c r="Q227" s="528"/>
      <c r="R227" s="575"/>
      <c r="S227" s="575"/>
      <c r="T227" s="575"/>
      <c r="U227" s="528"/>
      <c r="V227" s="528"/>
      <c r="W227" s="528"/>
      <c r="X227" s="528"/>
      <c r="Y227" s="528"/>
      <c r="Z227" s="528"/>
    </row>
    <row r="228" spans="2:26" ht="15">
      <c r="B228" s="790" t="s">
        <v>895</v>
      </c>
      <c r="C228" s="919" t="s">
        <v>896</v>
      </c>
      <c r="D228" s="919"/>
      <c r="E228" s="919"/>
      <c r="F228" s="919"/>
      <c r="G228" s="919"/>
      <c r="H228" s="528"/>
      <c r="I228" s="528"/>
      <c r="J228" s="528"/>
      <c r="K228" s="528"/>
      <c r="L228" s="528"/>
      <c r="M228" s="575"/>
      <c r="N228" s="575"/>
      <c r="O228" s="575"/>
      <c r="P228" s="528"/>
      <c r="Q228" s="528"/>
      <c r="R228" s="575"/>
      <c r="S228" s="575"/>
      <c r="T228" s="575"/>
      <c r="U228" s="528"/>
      <c r="V228" s="528"/>
      <c r="W228" s="528"/>
      <c r="X228" s="528"/>
      <c r="Y228" s="528"/>
      <c r="Z228" s="528"/>
    </row>
    <row r="229" spans="2:26" ht="15">
      <c r="B229" s="790"/>
      <c r="C229" s="919"/>
      <c r="D229" s="919"/>
      <c r="E229" s="919"/>
      <c r="F229" s="919"/>
      <c r="G229" s="919"/>
      <c r="H229" s="528"/>
      <c r="I229" s="528"/>
      <c r="J229" s="528"/>
      <c r="K229" s="528"/>
      <c r="L229" s="528"/>
      <c r="M229" s="575"/>
      <c r="N229" s="575"/>
      <c r="O229" s="575"/>
      <c r="P229" s="528"/>
      <c r="Q229" s="528"/>
      <c r="R229" s="575"/>
      <c r="S229" s="575"/>
      <c r="T229" s="575"/>
      <c r="U229" s="528"/>
      <c r="V229" s="528"/>
      <c r="W229" s="528"/>
      <c r="X229" s="528"/>
      <c r="Y229" s="528"/>
      <c r="Z229" s="528"/>
    </row>
    <row r="230" spans="2:26" ht="15">
      <c r="B230" s="790" t="s">
        <v>897</v>
      </c>
      <c r="C230" s="919" t="s">
        <v>898</v>
      </c>
      <c r="D230" s="919"/>
      <c r="E230" s="919"/>
      <c r="F230" s="919"/>
      <c r="G230" s="919"/>
      <c r="H230" s="528"/>
      <c r="I230" s="528"/>
      <c r="J230" s="528"/>
      <c r="K230" s="528"/>
      <c r="L230" s="528"/>
      <c r="M230" s="575"/>
      <c r="N230" s="575"/>
      <c r="O230" s="575"/>
      <c r="P230" s="528"/>
      <c r="Q230" s="528"/>
      <c r="R230" s="575"/>
      <c r="S230" s="575"/>
      <c r="T230" s="575"/>
      <c r="U230" s="528"/>
      <c r="V230" s="528"/>
      <c r="W230" s="528"/>
      <c r="X230" s="528"/>
      <c r="Y230" s="528"/>
      <c r="Z230" s="528"/>
    </row>
    <row r="231" spans="2:26" ht="15">
      <c r="B231" s="790" t="s">
        <v>899</v>
      </c>
      <c r="C231" s="919" t="s">
        <v>900</v>
      </c>
      <c r="D231" s="919"/>
      <c r="E231" s="919"/>
      <c r="F231" s="919"/>
      <c r="G231" s="919"/>
      <c r="H231" s="528"/>
      <c r="I231" s="528"/>
      <c r="J231" s="528"/>
      <c r="K231" s="528"/>
      <c r="L231" s="528"/>
      <c r="M231" s="575"/>
      <c r="N231" s="575"/>
      <c r="O231" s="575"/>
      <c r="P231" s="528"/>
      <c r="Q231" s="528"/>
      <c r="R231" s="575"/>
      <c r="S231" s="575"/>
      <c r="T231" s="575"/>
      <c r="U231" s="528"/>
      <c r="V231" s="528"/>
      <c r="W231" s="528"/>
      <c r="X231" s="528"/>
      <c r="Y231" s="528"/>
      <c r="Z231" s="528"/>
    </row>
    <row r="232" spans="2:26" ht="15">
      <c r="B232" s="790"/>
      <c r="C232" s="919"/>
      <c r="D232" s="919"/>
      <c r="E232" s="919"/>
      <c r="F232" s="919"/>
      <c r="G232" s="919"/>
      <c r="H232" s="528"/>
      <c r="I232" s="528"/>
      <c r="J232" s="528"/>
      <c r="K232" s="528"/>
      <c r="L232" s="528"/>
      <c r="M232" s="575"/>
      <c r="N232" s="575"/>
      <c r="O232" s="575"/>
      <c r="P232" s="528"/>
      <c r="Q232" s="528"/>
      <c r="R232" s="575"/>
      <c r="S232" s="575"/>
      <c r="T232" s="575"/>
      <c r="U232" s="528"/>
      <c r="V232" s="528"/>
      <c r="W232" s="528"/>
      <c r="X232" s="528"/>
      <c r="Y232" s="528"/>
      <c r="Z232" s="528"/>
    </row>
    <row r="233" spans="2:26" ht="15">
      <c r="B233" s="790" t="s">
        <v>901</v>
      </c>
      <c r="C233" s="919" t="s">
        <v>902</v>
      </c>
      <c r="D233" s="919"/>
      <c r="E233" s="919"/>
      <c r="F233" s="919"/>
      <c r="G233" s="919"/>
      <c r="H233" s="528"/>
      <c r="I233" s="528"/>
      <c r="J233" s="528"/>
      <c r="K233" s="528"/>
      <c r="L233" s="528"/>
      <c r="M233" s="575"/>
      <c r="N233" s="575"/>
      <c r="O233" s="575"/>
      <c r="P233" s="528"/>
      <c r="Q233" s="528"/>
      <c r="R233" s="575"/>
      <c r="S233" s="575"/>
      <c r="T233" s="575"/>
      <c r="U233" s="528"/>
      <c r="V233" s="528"/>
      <c r="W233" s="528"/>
      <c r="X233" s="528"/>
      <c r="Y233" s="528"/>
      <c r="Z233" s="528"/>
    </row>
    <row r="234" spans="2:26" ht="15">
      <c r="B234" s="790" t="s">
        <v>903</v>
      </c>
      <c r="C234" s="919" t="s">
        <v>904</v>
      </c>
      <c r="D234" s="919"/>
      <c r="E234" s="919"/>
      <c r="F234" s="919"/>
      <c r="G234" s="919"/>
      <c r="H234" s="528"/>
      <c r="I234" s="528"/>
      <c r="J234" s="528"/>
      <c r="K234" s="528"/>
      <c r="L234" s="528"/>
      <c r="M234" s="575"/>
      <c r="N234" s="575"/>
      <c r="O234" s="575"/>
      <c r="P234" s="528"/>
      <c r="Q234" s="528"/>
      <c r="R234" s="575"/>
      <c r="S234" s="575"/>
      <c r="T234" s="575"/>
      <c r="U234" s="528"/>
      <c r="V234" s="528"/>
      <c r="W234" s="528"/>
      <c r="X234" s="528"/>
      <c r="Y234" s="528"/>
      <c r="Z234" s="528"/>
    </row>
    <row r="235" spans="2:26" ht="15">
      <c r="B235" s="789"/>
      <c r="C235" s="919"/>
      <c r="D235" s="919"/>
      <c r="E235" s="919"/>
      <c r="F235" s="919"/>
      <c r="G235" s="919"/>
      <c r="H235" s="528"/>
      <c r="I235" s="528"/>
      <c r="J235" s="528"/>
      <c r="K235" s="528"/>
      <c r="L235" s="528"/>
      <c r="M235" s="575"/>
      <c r="N235" s="575"/>
      <c r="O235" s="575"/>
      <c r="P235" s="528"/>
      <c r="Q235" s="528"/>
      <c r="R235" s="575"/>
      <c r="S235" s="575"/>
      <c r="T235" s="575"/>
      <c r="U235" s="528"/>
      <c r="V235" s="528"/>
      <c r="W235" s="528"/>
      <c r="X235" s="528"/>
      <c r="Y235" s="528"/>
      <c r="Z235" s="528"/>
    </row>
    <row r="236" spans="2:26" ht="15">
      <c r="B236" s="789"/>
      <c r="C236" s="621"/>
      <c r="D236" s="639"/>
      <c r="E236" s="639"/>
      <c r="F236" s="640"/>
      <c r="G236" s="621"/>
      <c r="H236" s="528"/>
      <c r="I236" s="528"/>
      <c r="J236" s="528"/>
      <c r="K236" s="528"/>
      <c r="L236" s="528"/>
      <c r="M236" s="575"/>
      <c r="N236" s="575"/>
      <c r="O236" s="575"/>
      <c r="P236" s="528"/>
      <c r="Q236" s="528"/>
      <c r="R236" s="575"/>
      <c r="S236" s="575"/>
      <c r="T236" s="575"/>
      <c r="U236" s="528"/>
      <c r="V236" s="528"/>
      <c r="W236" s="528"/>
      <c r="X236" s="528"/>
      <c r="Y236" s="528"/>
      <c r="Z236" s="528"/>
    </row>
    <row r="237" spans="2:26" ht="15">
      <c r="B237" s="789"/>
      <c r="C237" s="621"/>
      <c r="D237" s="639"/>
      <c r="E237" s="639"/>
      <c r="F237" s="640"/>
      <c r="G237" s="621"/>
      <c r="H237" s="528"/>
      <c r="I237" s="528"/>
      <c r="J237" s="528"/>
      <c r="K237" s="528"/>
      <c r="L237" s="528"/>
      <c r="M237" s="575"/>
      <c r="N237" s="575"/>
      <c r="O237" s="575"/>
      <c r="P237" s="528"/>
      <c r="Q237" s="528"/>
      <c r="R237" s="575"/>
      <c r="S237" s="575"/>
      <c r="T237" s="575"/>
      <c r="U237" s="528"/>
      <c r="V237" s="528"/>
      <c r="W237" s="528"/>
      <c r="X237" s="528"/>
      <c r="Y237" s="528"/>
      <c r="Z237" s="528"/>
    </row>
    <row r="238" spans="2:26" ht="15">
      <c r="B238" s="789">
        <f>B217+1</f>
        <v>38</v>
      </c>
      <c r="C238" s="927" t="s">
        <v>905</v>
      </c>
      <c r="D238" s="927"/>
      <c r="E238" s="927"/>
      <c r="F238" s="927"/>
      <c r="G238" s="927"/>
      <c r="H238" s="560"/>
      <c r="I238" s="560"/>
      <c r="J238" s="560"/>
      <c r="K238" s="528"/>
      <c r="L238" s="528"/>
      <c r="M238" s="575"/>
      <c r="N238" s="575"/>
      <c r="O238" s="575"/>
      <c r="P238" s="528"/>
      <c r="Q238" s="528"/>
      <c r="R238" s="575"/>
      <c r="S238" s="575"/>
      <c r="T238" s="575"/>
      <c r="U238" s="528"/>
      <c r="V238" s="528"/>
      <c r="W238" s="528"/>
      <c r="X238" s="528"/>
      <c r="Y238" s="528"/>
      <c r="Z238" s="528"/>
    </row>
    <row r="239" spans="2:26" ht="15">
      <c r="B239" s="540"/>
      <c r="C239" s="923" t="s">
        <v>906</v>
      </c>
      <c r="D239" s="923"/>
      <c r="E239" s="923"/>
      <c r="F239" s="923"/>
      <c r="G239" s="923"/>
      <c r="H239" s="560"/>
      <c r="I239" s="560"/>
      <c r="J239" s="560"/>
      <c r="K239" s="528"/>
      <c r="L239" s="528"/>
      <c r="M239" s="575"/>
      <c r="N239" s="575"/>
      <c r="O239" s="575"/>
      <c r="P239" s="528"/>
      <c r="Q239" s="528"/>
      <c r="R239" s="575"/>
      <c r="S239" s="575"/>
      <c r="T239" s="575"/>
      <c r="U239" s="528"/>
      <c r="V239" s="528"/>
      <c r="W239" s="528"/>
      <c r="X239" s="528"/>
      <c r="Y239" s="528"/>
      <c r="Z239" s="528"/>
    </row>
    <row r="240" spans="2:26" ht="15">
      <c r="B240" s="540"/>
      <c r="C240" s="923"/>
      <c r="D240" s="923"/>
      <c r="E240" s="923"/>
      <c r="F240" s="923"/>
      <c r="G240" s="923"/>
      <c r="H240" s="560"/>
      <c r="I240" s="560"/>
      <c r="J240" s="560"/>
      <c r="K240" s="528"/>
      <c r="L240" s="528"/>
      <c r="M240" s="575"/>
      <c r="N240" s="575"/>
      <c r="O240" s="575"/>
      <c r="P240" s="528"/>
      <c r="Q240" s="528"/>
      <c r="R240" s="575"/>
      <c r="S240" s="575"/>
      <c r="T240" s="575"/>
      <c r="U240" s="528"/>
      <c r="V240" s="528"/>
      <c r="W240" s="528"/>
      <c r="X240" s="528"/>
      <c r="Y240" s="528"/>
      <c r="Z240" s="528"/>
    </row>
    <row r="241" spans="2:26" ht="15">
      <c r="B241" s="540"/>
      <c r="C241" s="560"/>
      <c r="D241" s="560"/>
      <c r="E241" s="560"/>
      <c r="F241" s="560"/>
      <c r="G241" s="560"/>
      <c r="H241" s="560"/>
      <c r="I241" s="560"/>
      <c r="J241" s="560"/>
      <c r="K241" s="528"/>
      <c r="L241" s="528"/>
      <c r="M241" s="575"/>
      <c r="N241" s="575"/>
      <c r="O241" s="575"/>
      <c r="P241" s="528"/>
      <c r="Q241" s="528"/>
      <c r="R241" s="575"/>
      <c r="S241" s="575"/>
      <c r="T241" s="575"/>
      <c r="U241" s="528"/>
      <c r="V241" s="528"/>
      <c r="W241" s="528"/>
      <c r="X241" s="528"/>
      <c r="Y241" s="528"/>
      <c r="Z241" s="528"/>
    </row>
    <row r="242" spans="2:26" ht="15">
      <c r="B242" s="789">
        <f>B238+1</f>
        <v>39</v>
      </c>
      <c r="C242" s="923" t="s">
        <v>976</v>
      </c>
      <c r="D242" s="923"/>
      <c r="E242" s="923"/>
      <c r="F242" s="923"/>
      <c r="G242" s="923"/>
      <c r="H242" s="560"/>
      <c r="I242" s="560"/>
      <c r="J242" s="560"/>
      <c r="K242" s="528"/>
      <c r="L242" s="528"/>
      <c r="M242" s="575"/>
      <c r="N242" s="575"/>
      <c r="O242" s="575"/>
      <c r="P242" s="528"/>
      <c r="Q242" s="528"/>
      <c r="R242" s="575"/>
      <c r="S242" s="575"/>
      <c r="T242" s="575"/>
      <c r="U242" s="528"/>
      <c r="V242" s="528"/>
      <c r="W242" s="528"/>
      <c r="X242" s="528"/>
      <c r="Y242" s="528"/>
      <c r="Z242" s="528"/>
    </row>
    <row r="243" spans="2:26" ht="15">
      <c r="B243" s="789"/>
      <c r="C243" s="923"/>
      <c r="D243" s="923"/>
      <c r="E243" s="923"/>
      <c r="F243" s="923"/>
      <c r="G243" s="923"/>
      <c r="H243" s="560"/>
      <c r="I243" s="560"/>
      <c r="J243" s="560"/>
      <c r="K243" s="528"/>
      <c r="L243" s="528"/>
      <c r="M243" s="575"/>
      <c r="N243" s="575"/>
      <c r="O243" s="575"/>
      <c r="P243" s="528"/>
      <c r="Q243" s="528"/>
      <c r="R243" s="575"/>
      <c r="S243" s="575"/>
      <c r="T243" s="575"/>
      <c r="U243" s="528"/>
      <c r="V243" s="528"/>
      <c r="W243" s="528"/>
      <c r="X243" s="528"/>
      <c r="Y243" s="528"/>
      <c r="Z243" s="528"/>
    </row>
    <row r="244" spans="2:26" ht="15">
      <c r="B244" s="789"/>
      <c r="C244" s="923"/>
      <c r="D244" s="923"/>
      <c r="E244" s="923"/>
      <c r="F244" s="923"/>
      <c r="G244" s="923"/>
      <c r="H244" s="560"/>
      <c r="I244" s="560"/>
      <c r="J244" s="560"/>
      <c r="K244" s="528"/>
      <c r="L244" s="528"/>
      <c r="M244" s="575"/>
      <c r="N244" s="575"/>
      <c r="O244" s="575"/>
      <c r="P244" s="528"/>
      <c r="Q244" s="528"/>
      <c r="R244" s="575"/>
      <c r="S244" s="575"/>
      <c r="T244" s="575"/>
      <c r="U244" s="528"/>
      <c r="V244" s="528"/>
      <c r="W244" s="528"/>
      <c r="X244" s="528"/>
      <c r="Y244" s="528"/>
      <c r="Z244" s="528"/>
    </row>
    <row r="245" spans="2:26" ht="15">
      <c r="B245" s="789"/>
      <c r="C245" s="923"/>
      <c r="D245" s="923"/>
      <c r="E245" s="923"/>
      <c r="F245" s="923"/>
      <c r="G245" s="923"/>
      <c r="H245" s="560"/>
      <c r="I245" s="560"/>
      <c r="J245" s="560"/>
      <c r="K245" s="528"/>
      <c r="L245" s="528"/>
      <c r="M245" s="575"/>
      <c r="N245" s="575"/>
      <c r="O245" s="575"/>
      <c r="P245" s="528"/>
      <c r="Q245" s="528"/>
      <c r="R245" s="575"/>
      <c r="S245" s="575"/>
      <c r="T245" s="575"/>
      <c r="U245" s="528"/>
      <c r="V245" s="528"/>
      <c r="W245" s="528"/>
      <c r="X245" s="528"/>
      <c r="Y245" s="528"/>
      <c r="Z245" s="528"/>
    </row>
    <row r="246" spans="2:26" ht="15">
      <c r="B246" s="789"/>
      <c r="C246" s="923"/>
      <c r="D246" s="923"/>
      <c r="E246" s="923"/>
      <c r="F246" s="923"/>
      <c r="G246" s="923"/>
      <c r="H246" s="560"/>
      <c r="I246" s="560"/>
      <c r="J246" s="560"/>
      <c r="K246" s="528"/>
      <c r="L246" s="528"/>
      <c r="M246" s="575"/>
      <c r="N246" s="575"/>
      <c r="O246" s="575"/>
      <c r="P246" s="528"/>
      <c r="Q246" s="528"/>
      <c r="R246" s="575"/>
      <c r="S246" s="575"/>
      <c r="T246" s="575"/>
      <c r="U246" s="528"/>
      <c r="V246" s="528"/>
      <c r="W246" s="528"/>
      <c r="X246" s="528"/>
      <c r="Y246" s="528"/>
      <c r="Z246" s="528"/>
    </row>
    <row r="247" spans="2:26" ht="15">
      <c r="B247" s="789"/>
      <c r="C247" s="923"/>
      <c r="D247" s="923"/>
      <c r="E247" s="923"/>
      <c r="F247" s="923"/>
      <c r="G247" s="923"/>
      <c r="H247" s="560"/>
      <c r="I247" s="560"/>
      <c r="J247" s="560"/>
      <c r="K247" s="528"/>
      <c r="L247" s="528"/>
      <c r="M247" s="575"/>
      <c r="N247" s="575"/>
      <c r="O247" s="575"/>
      <c r="P247" s="528"/>
      <c r="Q247" s="528"/>
      <c r="R247" s="575"/>
      <c r="S247" s="575"/>
      <c r="T247" s="575"/>
      <c r="U247" s="528"/>
      <c r="V247" s="528"/>
      <c r="W247" s="528"/>
      <c r="X247" s="528"/>
      <c r="Y247" s="528"/>
      <c r="Z247" s="528"/>
    </row>
    <row r="248" spans="2:26" ht="15">
      <c r="B248" s="789"/>
      <c r="C248" s="560"/>
      <c r="D248" s="560"/>
      <c r="E248" s="560"/>
      <c r="F248" s="560"/>
      <c r="G248" s="560"/>
      <c r="H248" s="560"/>
      <c r="I248" s="560"/>
      <c r="J248" s="560"/>
      <c r="K248" s="528"/>
      <c r="L248" s="528"/>
      <c r="M248" s="575"/>
      <c r="N248" s="575"/>
      <c r="O248" s="575"/>
      <c r="P248" s="528"/>
      <c r="Q248" s="528"/>
      <c r="R248" s="575"/>
      <c r="S248" s="575"/>
      <c r="T248" s="575"/>
      <c r="U248" s="528"/>
      <c r="V248" s="528"/>
      <c r="W248" s="528"/>
      <c r="X248" s="528"/>
      <c r="Y248" s="528"/>
      <c r="Z248" s="528"/>
    </row>
    <row r="249" spans="2:26" ht="15">
      <c r="B249" s="789">
        <f>B242+1</f>
        <v>40</v>
      </c>
      <c r="C249" s="630" t="s">
        <v>969</v>
      </c>
      <c r="D249" s="560"/>
      <c r="E249" s="560"/>
      <c r="F249" s="560"/>
      <c r="G249" s="560"/>
      <c r="H249" s="560"/>
      <c r="I249" s="560"/>
      <c r="J249" s="560"/>
      <c r="K249" s="528"/>
      <c r="L249" s="528"/>
      <c r="M249" s="575"/>
      <c r="N249" s="575"/>
      <c r="O249" s="575"/>
      <c r="P249" s="528"/>
      <c r="Q249" s="528"/>
      <c r="R249" s="575"/>
      <c r="S249" s="575"/>
      <c r="T249" s="575"/>
      <c r="U249" s="528"/>
      <c r="V249" s="528"/>
      <c r="W249" s="528"/>
      <c r="X249" s="528"/>
      <c r="Y249" s="528"/>
      <c r="Z249" s="528"/>
    </row>
    <row r="250" spans="2:26" ht="30">
      <c r="B250" s="789"/>
      <c r="C250" s="556" t="s">
        <v>0</v>
      </c>
      <c r="D250" s="556"/>
      <c r="E250" s="556"/>
      <c r="F250" s="566" t="s">
        <v>790</v>
      </c>
      <c r="G250" s="566" t="s">
        <v>791</v>
      </c>
      <c r="H250" s="560"/>
      <c r="I250" s="560"/>
      <c r="J250" s="560"/>
      <c r="K250" s="528"/>
      <c r="L250" s="528"/>
      <c r="M250" s="575"/>
      <c r="N250" s="575"/>
      <c r="O250" s="575"/>
      <c r="P250" s="528"/>
      <c r="Q250" s="528"/>
      <c r="R250" s="575"/>
      <c r="S250" s="575"/>
      <c r="T250" s="575"/>
      <c r="U250" s="528"/>
      <c r="V250" s="528"/>
      <c r="W250" s="528"/>
      <c r="X250" s="528"/>
      <c r="Y250" s="528"/>
      <c r="Z250" s="528"/>
    </row>
    <row r="251" spans="2:26" ht="15">
      <c r="B251" s="789"/>
      <c r="C251" s="541" t="s">
        <v>970</v>
      </c>
      <c r="D251" s="528"/>
      <c r="E251" s="528"/>
      <c r="F251" s="960">
        <f>'3-15'!E119</f>
        <v>66610087.100000001</v>
      </c>
      <c r="G251" s="580">
        <f>'3-15'!F119</f>
        <v>81786790.229999989</v>
      </c>
      <c r="H251" s="560"/>
      <c r="I251" s="560"/>
      <c r="J251" s="560"/>
      <c r="K251" s="528"/>
      <c r="L251" s="528"/>
      <c r="M251" s="575"/>
      <c r="N251" s="575"/>
      <c r="O251" s="575"/>
      <c r="P251" s="528"/>
      <c r="Q251" s="528"/>
      <c r="R251" s="575"/>
      <c r="S251" s="575"/>
      <c r="T251" s="575"/>
      <c r="U251" s="528"/>
      <c r="V251" s="528"/>
      <c r="W251" s="528"/>
      <c r="X251" s="528"/>
      <c r="Y251" s="528"/>
      <c r="Z251" s="528"/>
    </row>
    <row r="252" spans="2:26" ht="15">
      <c r="B252" s="789"/>
      <c r="C252" s="550" t="s">
        <v>971</v>
      </c>
      <c r="D252" s="528"/>
      <c r="E252" s="528"/>
      <c r="F252" s="580"/>
      <c r="G252" s="581"/>
      <c r="H252" s="560"/>
      <c r="I252" s="560"/>
      <c r="J252" s="560"/>
      <c r="K252" s="528"/>
      <c r="L252" s="528"/>
      <c r="M252" s="575"/>
      <c r="N252" s="575"/>
      <c r="O252" s="575"/>
      <c r="P252" s="528"/>
      <c r="Q252" s="528"/>
      <c r="R252" s="575"/>
      <c r="S252" s="575"/>
      <c r="T252" s="575"/>
      <c r="U252" s="528"/>
      <c r="V252" s="528"/>
      <c r="W252" s="528"/>
      <c r="X252" s="528"/>
      <c r="Y252" s="528"/>
      <c r="Z252" s="528"/>
    </row>
    <row r="253" spans="2:26" ht="15">
      <c r="B253" s="789"/>
      <c r="C253" s="541" t="s">
        <v>972</v>
      </c>
      <c r="D253" s="528"/>
      <c r="E253" s="528"/>
      <c r="F253" s="580">
        <v>0</v>
      </c>
      <c r="G253" s="580">
        <v>0</v>
      </c>
      <c r="H253" s="560"/>
      <c r="I253" s="560"/>
      <c r="J253" s="560"/>
      <c r="K253" s="528"/>
      <c r="L253" s="528"/>
      <c r="M253" s="575"/>
      <c r="N253" s="575"/>
      <c r="O253" s="575"/>
      <c r="P253" s="528"/>
      <c r="Q253" s="528"/>
      <c r="R253" s="575"/>
      <c r="S253" s="575"/>
      <c r="T253" s="575"/>
      <c r="U253" s="528"/>
      <c r="V253" s="528"/>
      <c r="W253" s="528"/>
      <c r="X253" s="528"/>
      <c r="Y253" s="528"/>
      <c r="Z253" s="528"/>
    </row>
    <row r="254" spans="2:26" ht="15">
      <c r="B254" s="789"/>
      <c r="C254" s="541"/>
      <c r="D254" s="528"/>
      <c r="E254" s="528"/>
      <c r="F254" s="580"/>
      <c r="G254" s="581"/>
      <c r="H254" s="560"/>
      <c r="I254" s="560"/>
      <c r="J254" s="560"/>
      <c r="K254" s="528"/>
      <c r="L254" s="528"/>
      <c r="M254" s="575"/>
      <c r="N254" s="575"/>
      <c r="O254" s="575"/>
      <c r="P254" s="528"/>
      <c r="Q254" s="528"/>
      <c r="R254" s="575"/>
      <c r="S254" s="575"/>
      <c r="T254" s="575"/>
      <c r="U254" s="528"/>
      <c r="V254" s="528"/>
      <c r="W254" s="528"/>
      <c r="X254" s="528"/>
      <c r="Y254" s="528"/>
      <c r="Z254" s="528"/>
    </row>
    <row r="255" spans="2:26" ht="15.75" thickBot="1">
      <c r="B255" s="789"/>
      <c r="C255" s="550" t="s">
        <v>973</v>
      </c>
      <c r="D255" s="528"/>
      <c r="E255" s="528"/>
      <c r="F255" s="591">
        <f>F251-F253</f>
        <v>66610087.100000001</v>
      </c>
      <c r="G255" s="591">
        <f>G251-G253</f>
        <v>81786790.229999989</v>
      </c>
      <c r="H255" s="560"/>
      <c r="I255" s="560"/>
      <c r="J255" s="560"/>
      <c r="K255" s="528"/>
      <c r="L255" s="528"/>
      <c r="M255" s="575"/>
      <c r="N255" s="575"/>
      <c r="O255" s="575"/>
      <c r="P255" s="528"/>
      <c r="Q255" s="528"/>
      <c r="R255" s="575"/>
      <c r="S255" s="575"/>
      <c r="T255" s="575"/>
      <c r="U255" s="528"/>
      <c r="V255" s="528"/>
      <c r="W255" s="528"/>
      <c r="X255" s="528"/>
      <c r="Y255" s="528"/>
      <c r="Z255" s="528"/>
    </row>
    <row r="256" spans="2:26" ht="15.75" thickTop="1">
      <c r="B256" s="789"/>
      <c r="C256" s="560"/>
      <c r="D256" s="560"/>
      <c r="E256" s="560"/>
      <c r="F256" s="560"/>
      <c r="G256" s="560"/>
      <c r="H256" s="560"/>
      <c r="I256" s="560"/>
      <c r="J256" s="560"/>
      <c r="K256" s="528"/>
      <c r="L256" s="528"/>
      <c r="M256" s="575"/>
      <c r="N256" s="575"/>
      <c r="O256" s="575"/>
      <c r="P256" s="528"/>
      <c r="Q256" s="528"/>
      <c r="R256" s="575"/>
      <c r="S256" s="575"/>
      <c r="T256" s="575"/>
      <c r="U256" s="528"/>
      <c r="V256" s="528"/>
      <c r="W256" s="528"/>
      <c r="X256" s="528"/>
      <c r="Y256" s="528"/>
      <c r="Z256" s="528"/>
    </row>
    <row r="257" spans="2:26" ht="15">
      <c r="B257" s="789">
        <f>B249+1</f>
        <v>41</v>
      </c>
      <c r="C257" s="923" t="s">
        <v>942</v>
      </c>
      <c r="D257" s="923"/>
      <c r="E257" s="923"/>
      <c r="F257" s="923"/>
      <c r="G257" s="923"/>
      <c r="H257" s="560"/>
      <c r="I257" s="560"/>
      <c r="J257" s="560"/>
      <c r="K257" s="528"/>
      <c r="L257" s="528"/>
      <c r="M257" s="575"/>
      <c r="N257" s="575"/>
      <c r="O257" s="575"/>
      <c r="P257" s="528"/>
      <c r="Q257" s="528"/>
      <c r="R257" s="575"/>
      <c r="S257" s="575"/>
      <c r="T257" s="575"/>
      <c r="U257" s="528"/>
      <c r="V257" s="528"/>
      <c r="W257" s="528"/>
      <c r="X257" s="528"/>
      <c r="Y257" s="528"/>
      <c r="Z257" s="528"/>
    </row>
    <row r="258" spans="2:26" ht="15">
      <c r="B258" s="789"/>
      <c r="C258" s="923"/>
      <c r="D258" s="923"/>
      <c r="E258" s="923"/>
      <c r="F258" s="923"/>
      <c r="G258" s="923"/>
      <c r="H258" s="560"/>
      <c r="I258" s="560"/>
      <c r="J258" s="560"/>
      <c r="K258" s="528"/>
      <c r="L258" s="528"/>
      <c r="M258" s="575"/>
      <c r="N258" s="575"/>
      <c r="O258" s="575"/>
      <c r="P258" s="528"/>
      <c r="Q258" s="528"/>
      <c r="R258" s="575"/>
      <c r="S258" s="575"/>
      <c r="T258" s="575"/>
      <c r="U258" s="528"/>
      <c r="V258" s="528"/>
      <c r="W258" s="528"/>
      <c r="X258" s="528"/>
      <c r="Y258" s="528"/>
      <c r="Z258" s="528"/>
    </row>
    <row r="259" spans="2:26" ht="15">
      <c r="B259" s="618"/>
      <c r="C259" s="621"/>
      <c r="D259" s="641"/>
      <c r="E259" s="641"/>
      <c r="F259" s="642"/>
      <c r="G259" s="541"/>
      <c r="H259" s="541"/>
      <c r="I259" s="541"/>
      <c r="J259" s="541"/>
      <c r="K259" s="528"/>
      <c r="L259" s="528"/>
      <c r="M259" s="575"/>
      <c r="N259" s="575"/>
      <c r="O259" s="575"/>
      <c r="P259" s="528"/>
      <c r="Q259" s="528"/>
      <c r="R259" s="575"/>
      <c r="S259" s="575"/>
      <c r="T259" s="575"/>
      <c r="U259" s="528"/>
      <c r="V259" s="528"/>
      <c r="W259" s="528"/>
      <c r="X259" s="528"/>
      <c r="Y259" s="528"/>
      <c r="Z259" s="528"/>
    </row>
    <row r="260" spans="2:26" ht="15">
      <c r="B260" s="643" t="s">
        <v>907</v>
      </c>
      <c r="C260" s="644"/>
      <c r="D260" s="644"/>
      <c r="E260" s="644"/>
      <c r="F260" s="633"/>
      <c r="G260" s="645"/>
      <c r="H260" s="641"/>
      <c r="I260" s="641"/>
      <c r="J260" s="641"/>
      <c r="K260" s="528"/>
      <c r="L260" s="528"/>
      <c r="M260" s="575"/>
      <c r="N260" s="575"/>
      <c r="O260" s="575"/>
      <c r="P260" s="528"/>
      <c r="Q260" s="528"/>
      <c r="R260" s="575"/>
      <c r="S260" s="575"/>
      <c r="T260" s="575"/>
      <c r="U260" s="528"/>
      <c r="V260" s="528"/>
      <c r="W260" s="528"/>
      <c r="X260" s="528"/>
      <c r="Y260" s="528"/>
      <c r="Z260" s="528"/>
    </row>
    <row r="261" spans="2:26" ht="15">
      <c r="B261" s="646"/>
      <c r="C261" s="646"/>
      <c r="D261" s="646"/>
      <c r="E261" s="646"/>
      <c r="F261" s="646"/>
      <c r="G261" s="646"/>
      <c r="H261" s="641"/>
      <c r="I261" s="641"/>
      <c r="J261" s="641"/>
      <c r="K261" s="528"/>
      <c r="L261" s="528"/>
      <c r="M261" s="575"/>
      <c r="N261" s="575"/>
      <c r="O261" s="575"/>
      <c r="P261" s="528"/>
      <c r="Q261" s="528"/>
      <c r="R261" s="575"/>
      <c r="S261" s="575"/>
      <c r="T261" s="575"/>
      <c r="U261" s="528"/>
      <c r="V261" s="528"/>
      <c r="W261" s="528"/>
      <c r="X261" s="528"/>
      <c r="Y261" s="528"/>
      <c r="Z261" s="528"/>
    </row>
    <row r="262" spans="2:26" ht="15">
      <c r="B262" s="849" t="s">
        <v>746</v>
      </c>
      <c r="C262" s="850"/>
      <c r="D262" s="850"/>
      <c r="E262" s="201"/>
      <c r="F262" s="201"/>
      <c r="G262" s="201"/>
      <c r="H262" s="219"/>
      <c r="I262" s="569"/>
      <c r="J262" s="569"/>
      <c r="K262" s="528"/>
      <c r="L262" s="528"/>
      <c r="M262" s="575"/>
      <c r="N262" s="575"/>
      <c r="O262" s="575"/>
      <c r="P262" s="528"/>
      <c r="Q262" s="528"/>
      <c r="R262" s="575"/>
      <c r="S262" s="575"/>
      <c r="T262" s="575"/>
      <c r="U262" s="528"/>
      <c r="V262" s="528"/>
      <c r="W262" s="528"/>
      <c r="X262" s="528"/>
      <c r="Y262" s="528"/>
      <c r="Z262" s="528"/>
    </row>
    <row r="263" spans="2:26" ht="15">
      <c r="B263" s="227"/>
      <c r="C263" s="228"/>
      <c r="D263" s="229"/>
      <c r="E263" s="230"/>
      <c r="F263" s="230"/>
      <c r="G263" s="230"/>
      <c r="H263" s="231"/>
      <c r="I263" s="569"/>
      <c r="J263" s="569"/>
      <c r="K263" s="528"/>
      <c r="L263" s="528"/>
      <c r="M263" s="575"/>
      <c r="N263" s="575"/>
      <c r="O263" s="575"/>
      <c r="P263" s="528"/>
      <c r="Q263" s="528"/>
      <c r="R263" s="575"/>
      <c r="S263" s="575"/>
      <c r="T263" s="575"/>
      <c r="U263" s="528"/>
      <c r="V263" s="528"/>
      <c r="W263" s="528"/>
      <c r="X263" s="528"/>
      <c r="Y263" s="528"/>
      <c r="Z263" s="528"/>
    </row>
    <row r="264" spans="2:26" ht="15">
      <c r="B264" s="232" t="s">
        <v>747</v>
      </c>
      <c r="C264" s="228"/>
      <c r="D264" s="229"/>
      <c r="E264" s="465" t="s">
        <v>119</v>
      </c>
      <c r="F264" s="233"/>
      <c r="G264" s="233"/>
      <c r="H264" s="234"/>
      <c r="I264" s="569"/>
      <c r="J264" s="569"/>
      <c r="K264" s="528"/>
      <c r="L264" s="528"/>
      <c r="M264" s="575"/>
      <c r="N264" s="575"/>
      <c r="O264" s="575"/>
      <c r="P264" s="528"/>
      <c r="Q264" s="528"/>
      <c r="R264" s="575"/>
      <c r="S264" s="575"/>
      <c r="T264" s="575"/>
      <c r="U264" s="528"/>
      <c r="V264" s="528"/>
      <c r="W264" s="528"/>
      <c r="X264" s="528"/>
      <c r="Y264" s="528"/>
      <c r="Z264" s="528"/>
    </row>
    <row r="265" spans="2:26" ht="15">
      <c r="B265" s="851" t="s">
        <v>748</v>
      </c>
      <c r="C265" s="852"/>
      <c r="D265" s="852"/>
      <c r="E265" s="868" t="s">
        <v>306</v>
      </c>
      <c r="F265" s="868"/>
      <c r="G265" s="868"/>
      <c r="H265" s="869"/>
      <c r="I265" s="569"/>
      <c r="J265" s="569"/>
      <c r="K265" s="528"/>
      <c r="L265" s="528"/>
      <c r="M265" s="575"/>
      <c r="N265" s="575"/>
      <c r="O265" s="575"/>
      <c r="P265" s="528"/>
      <c r="Q265" s="528"/>
      <c r="R265" s="575"/>
      <c r="S265" s="575"/>
      <c r="T265" s="575"/>
      <c r="U265" s="528"/>
      <c r="V265" s="528"/>
      <c r="W265" s="528"/>
      <c r="X265" s="528"/>
      <c r="Y265" s="528"/>
      <c r="Z265" s="528"/>
    </row>
    <row r="266" spans="2:26" ht="15">
      <c r="B266" s="232"/>
      <c r="C266" s="228"/>
      <c r="D266" s="235"/>
      <c r="E266" s="230"/>
      <c r="F266" s="230"/>
      <c r="G266" s="230"/>
      <c r="H266" s="231"/>
      <c r="I266" s="569"/>
      <c r="J266" s="569"/>
      <c r="K266" s="528"/>
      <c r="L266" s="528"/>
      <c r="M266" s="575"/>
      <c r="N266" s="575"/>
      <c r="O266" s="575"/>
      <c r="P266" s="528"/>
      <c r="Q266" s="528"/>
      <c r="R266" s="575"/>
      <c r="S266" s="575"/>
      <c r="T266" s="575"/>
      <c r="U266" s="528"/>
      <c r="V266" s="528"/>
      <c r="W266" s="528"/>
      <c r="X266" s="528"/>
      <c r="Y266" s="528"/>
      <c r="Z266" s="528"/>
    </row>
    <row r="267" spans="2:26" ht="15">
      <c r="B267" s="227"/>
      <c r="C267" s="230"/>
      <c r="D267" s="230"/>
      <c r="E267" s="230"/>
      <c r="F267" s="230"/>
      <c r="G267" s="230"/>
      <c r="H267" s="231"/>
      <c r="I267" s="569"/>
      <c r="J267" s="569"/>
      <c r="K267" s="528"/>
      <c r="L267" s="528"/>
      <c r="M267" s="575"/>
      <c r="N267" s="575"/>
      <c r="O267" s="575"/>
      <c r="P267" s="528"/>
      <c r="Q267" s="528"/>
      <c r="R267" s="575"/>
      <c r="S267" s="575"/>
      <c r="T267" s="575"/>
      <c r="U267" s="528"/>
      <c r="V267" s="528"/>
      <c r="W267" s="528"/>
      <c r="X267" s="528"/>
      <c r="Y267" s="528"/>
      <c r="Z267" s="528"/>
    </row>
    <row r="268" spans="2:26" ht="15">
      <c r="B268" s="232"/>
      <c r="C268" s="228"/>
      <c r="D268" s="235"/>
      <c r="E268" s="230"/>
      <c r="F268" s="230"/>
      <c r="G268" s="230"/>
      <c r="H268" s="231"/>
      <c r="I268" s="569"/>
      <c r="J268" s="569"/>
      <c r="K268" s="560"/>
      <c r="L268" s="528"/>
      <c r="M268" s="529"/>
      <c r="N268" s="529"/>
      <c r="O268" s="529"/>
      <c r="P268" s="528"/>
      <c r="Q268" s="528"/>
      <c r="R268" s="529"/>
      <c r="S268" s="529"/>
      <c r="T268" s="529"/>
      <c r="U268" s="528"/>
      <c r="V268" s="528"/>
      <c r="W268" s="528"/>
      <c r="X268" s="528"/>
      <c r="Y268" s="528"/>
      <c r="Z268" s="528"/>
    </row>
    <row r="269" spans="2:26" ht="15">
      <c r="B269" s="236" t="s">
        <v>749</v>
      </c>
      <c r="C269" s="228"/>
      <c r="D269" s="282"/>
      <c r="E269" s="468" t="s">
        <v>368</v>
      </c>
      <c r="F269" s="282"/>
      <c r="G269" s="468" t="s">
        <v>926</v>
      </c>
      <c r="H269" s="237" t="s">
        <v>493</v>
      </c>
      <c r="I269" s="569"/>
      <c r="J269" s="569"/>
      <c r="K269" s="560"/>
      <c r="L269" s="528"/>
      <c r="M269" s="529"/>
      <c r="N269" s="529"/>
      <c r="O269" s="529"/>
      <c r="P269" s="528"/>
      <c r="Q269" s="528"/>
      <c r="R269" s="529"/>
      <c r="S269" s="529"/>
      <c r="T269" s="529"/>
      <c r="U269" s="528"/>
      <c r="V269" s="528"/>
      <c r="W269" s="528"/>
      <c r="X269" s="528"/>
      <c r="Y269" s="528"/>
      <c r="Z269" s="528"/>
    </row>
    <row r="270" spans="2:26" ht="15">
      <c r="B270" s="238" t="s">
        <v>750</v>
      </c>
      <c r="C270" s="228"/>
      <c r="D270" s="283"/>
      <c r="E270" s="465" t="s">
        <v>34</v>
      </c>
      <c r="F270" s="230"/>
      <c r="G270" s="469" t="s">
        <v>34</v>
      </c>
      <c r="H270" s="239" t="s">
        <v>495</v>
      </c>
      <c r="I270" s="569"/>
      <c r="J270" s="569"/>
      <c r="K270" s="541"/>
      <c r="L270" s="528"/>
      <c r="M270" s="529"/>
      <c r="N270" s="529"/>
      <c r="O270" s="529"/>
      <c r="P270" s="528"/>
      <c r="Q270" s="528"/>
      <c r="R270" s="529"/>
      <c r="S270" s="529"/>
      <c r="T270" s="529"/>
      <c r="U270" s="528"/>
      <c r="V270" s="528"/>
      <c r="W270" s="528"/>
      <c r="X270" s="528"/>
      <c r="Y270" s="528"/>
      <c r="Z270" s="528"/>
    </row>
    <row r="271" spans="2:26" ht="15">
      <c r="B271" s="471" t="s">
        <v>751</v>
      </c>
      <c r="C271" s="228"/>
      <c r="D271" s="241"/>
      <c r="E271" s="465" t="s">
        <v>743</v>
      </c>
      <c r="F271" s="241"/>
      <c r="G271" s="465" t="s">
        <v>935</v>
      </c>
      <c r="H271" s="240" t="s">
        <v>494</v>
      </c>
      <c r="I271" s="569"/>
      <c r="J271" s="569"/>
      <c r="K271" s="641"/>
      <c r="L271" s="528"/>
      <c r="M271" s="529"/>
      <c r="N271" s="529"/>
      <c r="O271" s="529"/>
      <c r="P271" s="528"/>
      <c r="Q271" s="528"/>
      <c r="R271" s="529"/>
      <c r="S271" s="529"/>
      <c r="T271" s="529"/>
      <c r="U271" s="528"/>
      <c r="V271" s="528"/>
      <c r="W271" s="528"/>
      <c r="X271" s="528"/>
      <c r="Y271" s="528"/>
      <c r="Z271" s="528"/>
    </row>
    <row r="272" spans="2:26" ht="15">
      <c r="B272" s="471"/>
      <c r="C272" s="228"/>
      <c r="D272" s="241"/>
      <c r="E272" s="465"/>
      <c r="F272" s="241"/>
      <c r="G272" s="465"/>
      <c r="H272" s="240"/>
      <c r="I272" s="569"/>
      <c r="J272" s="569"/>
      <c r="K272" s="641"/>
      <c r="L272" s="528"/>
      <c r="M272" s="529"/>
      <c r="N272" s="529"/>
      <c r="O272" s="529"/>
      <c r="P272" s="528"/>
      <c r="Q272" s="528"/>
      <c r="R272" s="529"/>
      <c r="S272" s="529"/>
      <c r="T272" s="529"/>
      <c r="U272" s="528"/>
      <c r="V272" s="528"/>
      <c r="W272" s="528"/>
      <c r="X272" s="528"/>
      <c r="Y272" s="528"/>
      <c r="Z272" s="528"/>
    </row>
    <row r="273" spans="1:26" s="521" customFormat="1" ht="15">
      <c r="A273" s="523"/>
      <c r="B273" s="236" t="str">
        <f>'Financial Statements'!A199</f>
        <v>UDIN:</v>
      </c>
      <c r="C273" s="228"/>
      <c r="D273" s="241"/>
      <c r="E273" s="241"/>
      <c r="F273" s="241"/>
      <c r="G273" s="241"/>
      <c r="H273" s="240"/>
      <c r="I273" s="649"/>
      <c r="J273" s="649"/>
      <c r="K273" s="569"/>
      <c r="L273" s="569"/>
      <c r="M273" s="569"/>
      <c r="N273" s="569"/>
      <c r="O273" s="569"/>
      <c r="P273" s="569"/>
      <c r="Q273" s="569"/>
      <c r="R273" s="569"/>
      <c r="S273" s="569"/>
      <c r="T273" s="569"/>
      <c r="U273" s="569"/>
      <c r="V273" s="569"/>
      <c r="W273" s="569"/>
      <c r="X273" s="569"/>
      <c r="Y273" s="569"/>
      <c r="Z273" s="569"/>
    </row>
    <row r="274" spans="1:26" s="521" customFormat="1" ht="15">
      <c r="A274" s="523"/>
      <c r="B274" s="236"/>
      <c r="C274" s="228"/>
      <c r="D274" s="241"/>
      <c r="E274" s="241"/>
      <c r="F274" s="241"/>
      <c r="G274" s="241"/>
      <c r="H274" s="240"/>
      <c r="I274" s="649"/>
      <c r="J274" s="649"/>
      <c r="K274" s="569"/>
      <c r="L274" s="569"/>
      <c r="M274" s="569"/>
      <c r="N274" s="569"/>
      <c r="O274" s="569"/>
      <c r="P274" s="569"/>
      <c r="Q274" s="569"/>
      <c r="R274" s="569"/>
      <c r="S274" s="569"/>
      <c r="T274" s="569"/>
      <c r="U274" s="569"/>
      <c r="V274" s="569"/>
      <c r="W274" s="569"/>
      <c r="X274" s="569"/>
      <c r="Y274" s="569"/>
      <c r="Z274" s="569"/>
    </row>
    <row r="275" spans="1:26" s="521" customFormat="1" ht="15">
      <c r="A275" s="523"/>
      <c r="B275" s="286" t="s">
        <v>496</v>
      </c>
      <c r="C275" s="228"/>
      <c r="D275" s="230"/>
      <c r="E275" s="241"/>
      <c r="F275" s="241"/>
      <c r="G275" s="241"/>
      <c r="H275" s="240"/>
      <c r="I275" s="649"/>
      <c r="J275" s="649"/>
      <c r="K275" s="569"/>
      <c r="L275" s="569"/>
      <c r="M275" s="569"/>
      <c r="N275" s="569"/>
      <c r="O275" s="569"/>
      <c r="P275" s="569"/>
      <c r="Q275" s="569"/>
      <c r="R275" s="569"/>
      <c r="S275" s="569"/>
      <c r="T275" s="569"/>
      <c r="U275" s="569"/>
      <c r="V275" s="569"/>
      <c r="W275" s="569"/>
      <c r="X275" s="569"/>
      <c r="Y275" s="569"/>
      <c r="Z275" s="569"/>
    </row>
    <row r="276" spans="1:26" s="521" customFormat="1" ht="15.75" thickBot="1">
      <c r="A276" s="523"/>
      <c r="B276" s="284" t="str">
        <f>'Financial Statements'!A202</f>
        <v xml:space="preserve">Date: </v>
      </c>
      <c r="C276" s="242"/>
      <c r="D276" s="243"/>
      <c r="E276" s="244"/>
      <c r="F276" s="244"/>
      <c r="G276" s="244"/>
      <c r="H276" s="245"/>
      <c r="I276" s="649"/>
      <c r="J276" s="649"/>
      <c r="K276" s="569"/>
      <c r="L276" s="569"/>
      <c r="M276" s="569"/>
      <c r="N276" s="569"/>
      <c r="O276" s="569"/>
      <c r="P276" s="569"/>
      <c r="Q276" s="569"/>
      <c r="R276" s="569"/>
      <c r="S276" s="569"/>
      <c r="T276" s="569"/>
      <c r="U276" s="569"/>
      <c r="V276" s="569"/>
      <c r="W276" s="569"/>
      <c r="X276" s="569"/>
      <c r="Y276" s="569"/>
      <c r="Z276" s="569"/>
    </row>
    <row r="277" spans="1:26" s="521" customFormat="1" ht="15">
      <c r="A277" s="523"/>
      <c r="B277" s="649"/>
      <c r="C277" s="647"/>
      <c r="D277" s="650"/>
      <c r="E277" s="650"/>
      <c r="F277" s="649"/>
      <c r="G277" s="649"/>
      <c r="H277" s="649"/>
      <c r="I277" s="649"/>
      <c r="J277" s="649"/>
      <c r="K277" s="569"/>
      <c r="L277" s="569"/>
      <c r="M277" s="569"/>
      <c r="N277" s="569"/>
      <c r="O277" s="569"/>
      <c r="P277" s="569"/>
      <c r="Q277" s="569"/>
      <c r="R277" s="569"/>
      <c r="S277" s="569"/>
      <c r="T277" s="569"/>
      <c r="U277" s="569"/>
      <c r="V277" s="569"/>
      <c r="W277" s="569"/>
      <c r="X277" s="569"/>
      <c r="Y277" s="569"/>
      <c r="Z277" s="569"/>
    </row>
    <row r="278" spans="1:26" s="521" customFormat="1" ht="15">
      <c r="A278" s="523"/>
      <c r="B278" s="649"/>
      <c r="C278" s="647"/>
      <c r="D278" s="649"/>
      <c r="E278" s="649"/>
      <c r="F278" s="649"/>
      <c r="G278" s="649"/>
      <c r="H278" s="649"/>
      <c r="I278" s="649"/>
      <c r="J278" s="649"/>
      <c r="K278" s="569"/>
      <c r="L278" s="569"/>
      <c r="M278" s="569"/>
      <c r="N278" s="569"/>
      <c r="O278" s="569"/>
      <c r="P278" s="569"/>
      <c r="Q278" s="569"/>
      <c r="R278" s="569"/>
      <c r="S278" s="569"/>
      <c r="T278" s="569"/>
      <c r="U278" s="569"/>
      <c r="V278" s="569"/>
      <c r="W278" s="569"/>
      <c r="X278" s="569"/>
      <c r="Y278" s="569"/>
      <c r="Z278" s="569"/>
    </row>
    <row r="279" spans="1:26" s="521" customFormat="1" ht="15">
      <c r="A279" s="523"/>
      <c r="B279" s="649"/>
      <c r="C279" s="647"/>
      <c r="D279" s="651"/>
      <c r="E279" s="651"/>
      <c r="F279" s="649"/>
      <c r="G279" s="649"/>
      <c r="H279" s="649"/>
      <c r="I279" s="649"/>
      <c r="J279" s="649"/>
      <c r="K279" s="569"/>
      <c r="L279" s="569"/>
      <c r="M279" s="569"/>
      <c r="N279" s="569"/>
      <c r="O279" s="569"/>
      <c r="P279" s="569"/>
      <c r="Q279" s="569"/>
      <c r="R279" s="569"/>
      <c r="S279" s="569"/>
      <c r="T279" s="569"/>
      <c r="U279" s="569"/>
      <c r="V279" s="569"/>
      <c r="W279" s="569"/>
      <c r="X279" s="569"/>
      <c r="Y279" s="569"/>
      <c r="Z279" s="569"/>
    </row>
    <row r="280" spans="1:26" s="521" customFormat="1" ht="15">
      <c r="A280" s="523"/>
      <c r="B280" s="649"/>
      <c r="C280" s="647"/>
      <c r="D280" s="652"/>
      <c r="E280" s="652"/>
      <c r="F280" s="649"/>
      <c r="G280" s="649"/>
      <c r="H280" s="649"/>
      <c r="I280" s="649"/>
      <c r="J280" s="649"/>
      <c r="K280" s="569"/>
      <c r="L280" s="569"/>
      <c r="M280" s="569"/>
      <c r="N280" s="569"/>
      <c r="O280" s="569"/>
      <c r="P280" s="569"/>
      <c r="Q280" s="569"/>
      <c r="R280" s="569"/>
      <c r="S280" s="569"/>
      <c r="T280" s="569"/>
      <c r="U280" s="569"/>
      <c r="V280" s="569"/>
      <c r="W280" s="569"/>
      <c r="X280" s="569"/>
      <c r="Y280" s="569"/>
      <c r="Z280" s="569"/>
    </row>
    <row r="281" spans="1:26" s="521" customFormat="1" ht="15">
      <c r="A281" s="523"/>
      <c r="B281" s="649"/>
      <c r="C281" s="647"/>
      <c r="D281" s="653"/>
      <c r="E281" s="653"/>
      <c r="F281" s="649"/>
      <c r="G281" s="649"/>
      <c r="H281" s="649"/>
      <c r="I281" s="649"/>
      <c r="J281" s="649"/>
      <c r="K281" s="569"/>
      <c r="L281" s="569"/>
      <c r="M281" s="569"/>
      <c r="N281" s="569"/>
      <c r="O281" s="569"/>
      <c r="P281" s="569"/>
      <c r="Q281" s="569"/>
      <c r="R281" s="569"/>
      <c r="S281" s="569"/>
      <c r="T281" s="569"/>
      <c r="U281" s="569"/>
      <c r="V281" s="569"/>
      <c r="W281" s="569"/>
      <c r="X281" s="569"/>
      <c r="Y281" s="569"/>
      <c r="Z281" s="569"/>
    </row>
    <row r="282" spans="1:26" s="521" customFormat="1" ht="15">
      <c r="A282" s="523"/>
      <c r="B282" s="569"/>
      <c r="C282" s="654"/>
      <c r="D282" s="648"/>
      <c r="E282" s="648"/>
      <c r="F282" s="649"/>
      <c r="G282" s="649"/>
      <c r="H282" s="569"/>
      <c r="I282" s="569"/>
      <c r="J282" s="569"/>
      <c r="K282" s="569"/>
      <c r="L282" s="569"/>
      <c r="M282" s="569"/>
      <c r="N282" s="569"/>
      <c r="O282" s="569"/>
      <c r="P282" s="569"/>
      <c r="Q282" s="569"/>
      <c r="R282" s="569"/>
      <c r="S282" s="569"/>
      <c r="T282" s="569"/>
      <c r="U282" s="569"/>
      <c r="V282" s="569"/>
      <c r="W282" s="569"/>
      <c r="X282" s="569"/>
      <c r="Y282" s="569"/>
      <c r="Z282" s="569"/>
    </row>
    <row r="283" spans="1:26" s="524" customFormat="1" ht="15">
      <c r="B283" s="569"/>
      <c r="C283" s="654"/>
      <c r="D283" s="649"/>
      <c r="E283" s="649"/>
      <c r="F283" s="649"/>
      <c r="G283" s="649"/>
      <c r="H283" s="569"/>
      <c r="I283" s="569"/>
      <c r="J283" s="569"/>
      <c r="K283" s="655"/>
      <c r="L283" s="655"/>
      <c r="M283" s="655"/>
      <c r="N283" s="655"/>
      <c r="O283" s="655"/>
      <c r="P283" s="655"/>
      <c r="Q283" s="655"/>
      <c r="R283" s="655"/>
      <c r="S283" s="655"/>
      <c r="T283" s="655"/>
      <c r="U283" s="655"/>
      <c r="V283" s="655"/>
      <c r="W283" s="655"/>
      <c r="X283" s="655"/>
      <c r="Y283" s="656"/>
      <c r="Z283" s="655"/>
    </row>
    <row r="284" spans="1:26" s="524" customFormat="1" ht="15">
      <c r="B284" s="569"/>
      <c r="C284" s="654"/>
      <c r="D284" s="649"/>
      <c r="E284" s="649"/>
      <c r="F284" s="649"/>
      <c r="G284" s="649"/>
      <c r="H284" s="569"/>
      <c r="I284" s="569"/>
      <c r="J284" s="569"/>
      <c r="K284" s="655"/>
      <c r="L284" s="655"/>
      <c r="M284" s="655"/>
      <c r="N284" s="655"/>
      <c r="O284" s="655"/>
      <c r="P284" s="655"/>
      <c r="Q284" s="655"/>
      <c r="R284" s="655"/>
      <c r="S284" s="655"/>
      <c r="T284" s="655"/>
      <c r="U284" s="655"/>
      <c r="V284" s="655"/>
      <c r="W284" s="655"/>
      <c r="X284" s="655"/>
      <c r="Y284" s="656"/>
      <c r="Z284" s="655"/>
    </row>
    <row r="285" spans="1:26" s="524" customFormat="1" ht="15">
      <c r="B285" s="569"/>
      <c r="C285" s="654"/>
      <c r="D285" s="649"/>
      <c r="E285" s="649"/>
      <c r="F285" s="649"/>
      <c r="G285" s="649"/>
      <c r="H285" s="569"/>
      <c r="I285" s="569"/>
      <c r="J285" s="569"/>
      <c r="K285" s="655"/>
      <c r="L285" s="655"/>
      <c r="M285" s="655"/>
      <c r="N285" s="655"/>
      <c r="O285" s="655"/>
      <c r="P285" s="655"/>
      <c r="Q285" s="655"/>
      <c r="R285" s="655"/>
      <c r="S285" s="655"/>
      <c r="T285" s="655"/>
      <c r="U285" s="655"/>
      <c r="V285" s="655"/>
      <c r="W285" s="655"/>
      <c r="X285" s="655"/>
      <c r="Y285" s="656"/>
      <c r="Z285" s="655"/>
    </row>
    <row r="286" spans="1:26" s="524" customFormat="1" ht="15">
      <c r="B286" s="569"/>
      <c r="C286" s="654"/>
      <c r="D286" s="649"/>
      <c r="E286" s="649"/>
      <c r="F286" s="649"/>
      <c r="G286" s="649"/>
      <c r="H286" s="569"/>
      <c r="I286" s="569"/>
      <c r="J286" s="569"/>
      <c r="K286" s="655"/>
      <c r="L286" s="655"/>
      <c r="M286" s="655"/>
      <c r="N286" s="655"/>
      <c r="O286" s="655"/>
      <c r="P286" s="655"/>
      <c r="Q286" s="655"/>
      <c r="R286" s="655"/>
      <c r="S286" s="655"/>
      <c r="T286" s="655"/>
      <c r="U286" s="655"/>
      <c r="V286" s="655"/>
      <c r="W286" s="655"/>
      <c r="X286" s="655"/>
      <c r="Y286" s="656"/>
      <c r="Z286" s="655"/>
    </row>
    <row r="287" spans="1:26" s="524" customFormat="1" ht="15">
      <c r="B287" s="569"/>
      <c r="C287" s="654"/>
      <c r="D287" s="649"/>
      <c r="E287" s="649"/>
      <c r="F287" s="649"/>
      <c r="G287" s="649"/>
      <c r="H287" s="569"/>
      <c r="I287" s="569"/>
      <c r="J287" s="569"/>
      <c r="K287" s="655"/>
      <c r="L287" s="655"/>
      <c r="M287" s="655"/>
      <c r="N287" s="655"/>
      <c r="O287" s="655"/>
      <c r="P287" s="655"/>
      <c r="Q287" s="655"/>
      <c r="R287" s="655"/>
      <c r="S287" s="655"/>
      <c r="T287" s="655"/>
      <c r="U287" s="655"/>
      <c r="V287" s="655"/>
      <c r="W287" s="655"/>
      <c r="X287" s="655"/>
      <c r="Y287" s="656"/>
      <c r="Z287" s="655"/>
    </row>
    <row r="288" spans="1:26" s="524" customFormat="1" ht="15">
      <c r="B288" s="569"/>
      <c r="C288" s="654"/>
      <c r="D288" s="649"/>
      <c r="E288" s="649"/>
      <c r="F288" s="649"/>
      <c r="G288" s="649"/>
      <c r="H288" s="569"/>
      <c r="I288" s="569"/>
      <c r="J288" s="569"/>
      <c r="K288" s="655"/>
      <c r="L288" s="655"/>
      <c r="M288" s="655"/>
      <c r="N288" s="655"/>
      <c r="O288" s="655"/>
      <c r="P288" s="655"/>
      <c r="Q288" s="655"/>
      <c r="R288" s="655"/>
      <c r="S288" s="655"/>
      <c r="T288" s="655"/>
      <c r="U288" s="655"/>
      <c r="V288" s="655"/>
      <c r="W288" s="655"/>
      <c r="X288" s="655"/>
      <c r="Y288" s="656"/>
      <c r="Z288" s="655"/>
    </row>
    <row r="289" spans="2:26" s="524" customFormat="1" ht="15">
      <c r="B289" s="569"/>
      <c r="C289" s="654"/>
      <c r="D289" s="649"/>
      <c r="E289" s="649"/>
      <c r="F289" s="649"/>
      <c r="G289" s="649"/>
      <c r="H289" s="569"/>
      <c r="I289" s="569"/>
      <c r="J289" s="569"/>
      <c r="K289" s="655"/>
      <c r="L289" s="655"/>
      <c r="M289" s="655"/>
      <c r="N289" s="655"/>
      <c r="O289" s="655"/>
      <c r="P289" s="655"/>
      <c r="Q289" s="655"/>
      <c r="R289" s="655"/>
      <c r="S289" s="655"/>
      <c r="T289" s="655"/>
      <c r="U289" s="655"/>
      <c r="V289" s="655"/>
      <c r="W289" s="655"/>
      <c r="X289" s="655"/>
      <c r="Y289" s="656"/>
      <c r="Z289" s="655"/>
    </row>
    <row r="290" spans="2:26" s="524" customFormat="1" ht="15">
      <c r="B290" s="528"/>
      <c r="C290" s="528"/>
      <c r="D290" s="528"/>
      <c r="E290" s="528"/>
      <c r="F290" s="528"/>
      <c r="G290" s="528"/>
      <c r="H290" s="528"/>
      <c r="I290" s="528"/>
      <c r="J290" s="528"/>
      <c r="K290" s="655"/>
      <c r="L290" s="655"/>
      <c r="M290" s="655"/>
      <c r="N290" s="655"/>
      <c r="O290" s="655"/>
      <c r="P290" s="655"/>
      <c r="Q290" s="655"/>
      <c r="R290" s="655"/>
      <c r="S290" s="655"/>
      <c r="T290" s="655"/>
      <c r="U290" s="655"/>
      <c r="V290" s="655"/>
      <c r="W290" s="655"/>
      <c r="X290" s="655"/>
      <c r="Y290" s="656"/>
      <c r="Z290" s="655"/>
    </row>
    <row r="291" spans="2:26" s="524" customFormat="1" ht="15">
      <c r="B291" s="528"/>
      <c r="C291" s="528"/>
      <c r="D291" s="528"/>
      <c r="E291" s="528"/>
      <c r="F291" s="528"/>
      <c r="G291" s="528"/>
      <c r="H291" s="528"/>
      <c r="I291" s="528"/>
      <c r="J291" s="528"/>
      <c r="K291" s="655"/>
      <c r="L291" s="655"/>
      <c r="M291" s="655"/>
      <c r="N291" s="655"/>
      <c r="O291" s="655"/>
      <c r="P291" s="655"/>
      <c r="Q291" s="655"/>
      <c r="R291" s="655"/>
      <c r="S291" s="655"/>
      <c r="T291" s="655"/>
      <c r="U291" s="655"/>
      <c r="V291" s="655"/>
      <c r="W291" s="655"/>
      <c r="X291" s="655"/>
      <c r="Y291" s="656"/>
      <c r="Z291" s="655"/>
    </row>
    <row r="292" spans="2:26" s="521" customFormat="1" ht="15">
      <c r="B292" s="528"/>
      <c r="C292" s="528"/>
      <c r="D292" s="528"/>
      <c r="E292" s="528"/>
      <c r="F292" s="528"/>
      <c r="G292" s="528"/>
      <c r="H292" s="528"/>
      <c r="I292" s="528"/>
      <c r="J292" s="528"/>
      <c r="K292" s="569"/>
      <c r="L292" s="569"/>
      <c r="M292" s="569"/>
      <c r="N292" s="569"/>
      <c r="O292" s="569"/>
      <c r="P292" s="569"/>
      <c r="Q292" s="569"/>
      <c r="R292" s="569"/>
      <c r="S292" s="569"/>
      <c r="T292" s="569"/>
      <c r="U292" s="569"/>
      <c r="V292" s="569"/>
      <c r="W292" s="569"/>
      <c r="X292" s="569"/>
      <c r="Y292" s="569"/>
      <c r="Z292" s="569"/>
    </row>
    <row r="293" spans="2:26" s="521" customFormat="1" ht="15">
      <c r="B293" s="528"/>
      <c r="C293" s="528"/>
      <c r="D293" s="528"/>
      <c r="E293" s="528"/>
      <c r="F293" s="528"/>
      <c r="G293" s="528"/>
      <c r="H293" s="528"/>
      <c r="I293" s="528"/>
      <c r="J293" s="528"/>
      <c r="K293" s="569"/>
      <c r="L293" s="569"/>
      <c r="M293" s="569"/>
      <c r="N293" s="569"/>
      <c r="O293" s="569"/>
      <c r="P293" s="569"/>
      <c r="Q293" s="569"/>
      <c r="R293" s="569"/>
      <c r="S293" s="569"/>
      <c r="T293" s="569"/>
      <c r="U293" s="569"/>
      <c r="V293" s="569"/>
      <c r="W293" s="569"/>
      <c r="X293" s="569"/>
      <c r="Y293" s="569"/>
      <c r="Z293" s="569"/>
    </row>
    <row r="294" spans="2:26" s="521" customFormat="1" ht="15">
      <c r="B294" s="528"/>
      <c r="C294" s="528"/>
      <c r="D294" s="528"/>
      <c r="E294" s="528"/>
      <c r="F294" s="528"/>
      <c r="G294" s="528"/>
      <c r="H294" s="528"/>
      <c r="I294" s="528"/>
      <c r="J294" s="528"/>
      <c r="K294" s="569"/>
      <c r="L294" s="569"/>
      <c r="M294" s="569"/>
      <c r="N294" s="569"/>
      <c r="O294" s="569"/>
      <c r="P294" s="569"/>
      <c r="Q294" s="569"/>
      <c r="R294" s="569"/>
      <c r="S294" s="569"/>
      <c r="T294" s="569"/>
      <c r="U294" s="569"/>
      <c r="V294" s="569"/>
      <c r="W294" s="569"/>
      <c r="X294" s="569"/>
      <c r="Y294" s="569"/>
      <c r="Z294" s="569"/>
    </row>
    <row r="295" spans="2:26" s="521" customFormat="1" ht="15">
      <c r="B295" s="528"/>
      <c r="C295" s="528"/>
      <c r="D295" s="528"/>
      <c r="E295" s="528"/>
      <c r="F295" s="528"/>
      <c r="G295" s="528"/>
      <c r="H295" s="528"/>
      <c r="I295" s="528"/>
      <c r="J295" s="528"/>
      <c r="K295" s="569"/>
      <c r="L295" s="569"/>
      <c r="M295" s="569"/>
      <c r="N295" s="569"/>
      <c r="O295" s="569"/>
      <c r="P295" s="569"/>
      <c r="Q295" s="569"/>
      <c r="R295" s="569"/>
      <c r="S295" s="569"/>
      <c r="T295" s="569"/>
      <c r="U295" s="569"/>
      <c r="V295" s="569"/>
      <c r="W295" s="569"/>
      <c r="X295" s="569"/>
      <c r="Y295" s="569"/>
      <c r="Z295" s="569"/>
    </row>
    <row r="296" spans="2:26" s="521" customFormat="1" ht="15">
      <c r="B296" s="528"/>
      <c r="C296" s="528"/>
      <c r="D296" s="528"/>
      <c r="E296" s="528"/>
      <c r="F296" s="528"/>
      <c r="G296" s="528"/>
      <c r="H296" s="528"/>
      <c r="I296" s="528"/>
      <c r="J296" s="528"/>
      <c r="K296" s="569"/>
      <c r="L296" s="569"/>
      <c r="M296" s="569"/>
      <c r="N296" s="569"/>
      <c r="O296" s="569"/>
      <c r="P296" s="569"/>
      <c r="Q296" s="569"/>
      <c r="R296" s="569"/>
      <c r="S296" s="569"/>
      <c r="T296" s="569"/>
      <c r="U296" s="569"/>
      <c r="V296" s="569"/>
      <c r="W296" s="569"/>
      <c r="X296" s="569"/>
      <c r="Y296" s="569"/>
      <c r="Z296" s="569"/>
    </row>
    <row r="297" spans="2:26" s="521" customFormat="1" ht="15">
      <c r="B297" s="528"/>
      <c r="C297" s="528"/>
      <c r="D297" s="528"/>
      <c r="E297" s="528"/>
      <c r="F297" s="528"/>
      <c r="G297" s="528"/>
      <c r="H297" s="528"/>
      <c r="I297" s="528"/>
      <c r="J297" s="528"/>
      <c r="K297" s="569"/>
      <c r="L297" s="569"/>
      <c r="M297" s="569"/>
      <c r="N297" s="569"/>
      <c r="O297" s="569"/>
      <c r="P297" s="569"/>
      <c r="Q297" s="569"/>
      <c r="R297" s="569"/>
      <c r="S297" s="569"/>
      <c r="T297" s="569"/>
      <c r="U297" s="569"/>
      <c r="V297" s="569"/>
      <c r="W297" s="569"/>
      <c r="X297" s="569"/>
      <c r="Y297" s="569"/>
      <c r="Z297" s="569"/>
    </row>
    <row r="298" spans="2:26" s="521" customFormat="1" ht="15">
      <c r="B298" s="528"/>
      <c r="C298" s="528"/>
      <c r="D298" s="528"/>
      <c r="E298" s="528"/>
      <c r="F298" s="528"/>
      <c r="G298" s="528"/>
      <c r="H298" s="528"/>
      <c r="I298" s="528"/>
      <c r="J298" s="528"/>
      <c r="K298" s="569"/>
      <c r="L298" s="569"/>
      <c r="M298" s="569"/>
      <c r="N298" s="569"/>
      <c r="O298" s="569"/>
      <c r="P298" s="569"/>
      <c r="Q298" s="569"/>
      <c r="R298" s="569"/>
      <c r="S298" s="569"/>
      <c r="T298" s="569"/>
      <c r="U298" s="569"/>
      <c r="V298" s="569"/>
      <c r="W298" s="569"/>
      <c r="X298" s="569"/>
      <c r="Y298" s="569"/>
      <c r="Z298" s="569"/>
    </row>
    <row r="299" spans="2:26" s="521" customFormat="1" ht="15">
      <c r="B299" s="528"/>
      <c r="C299" s="528"/>
      <c r="D299" s="528"/>
      <c r="E299" s="528"/>
      <c r="F299" s="528"/>
      <c r="G299" s="528"/>
      <c r="H299" s="528"/>
      <c r="I299" s="528"/>
      <c r="J299" s="528"/>
      <c r="K299" s="569"/>
      <c r="L299" s="569"/>
      <c r="M299" s="569"/>
      <c r="N299" s="569"/>
      <c r="O299" s="569"/>
      <c r="P299" s="569"/>
      <c r="Q299" s="569"/>
      <c r="R299" s="569"/>
      <c r="S299" s="569"/>
      <c r="T299" s="569"/>
      <c r="U299" s="569"/>
      <c r="V299" s="569"/>
      <c r="W299" s="569"/>
      <c r="X299" s="569"/>
      <c r="Y299" s="569"/>
      <c r="Z299" s="569"/>
    </row>
  </sheetData>
  <mergeCells count="45">
    <mergeCell ref="C242:G247"/>
    <mergeCell ref="C257:G258"/>
    <mergeCell ref="C153:E153"/>
    <mergeCell ref="C157:E157"/>
    <mergeCell ref="C213:G214"/>
    <mergeCell ref="C238:G238"/>
    <mergeCell ref="C9:G10"/>
    <mergeCell ref="D42:E42"/>
    <mergeCell ref="D43:E43"/>
    <mergeCell ref="D44:E44"/>
    <mergeCell ref="D45:E45"/>
    <mergeCell ref="C29:D29"/>
    <mergeCell ref="C34:D38"/>
    <mergeCell ref="C30:D33"/>
    <mergeCell ref="C22:G24"/>
    <mergeCell ref="D46:E46"/>
    <mergeCell ref="C70:G73"/>
    <mergeCell ref="C60:G60"/>
    <mergeCell ref="C82:G82"/>
    <mergeCell ref="F121:G121"/>
    <mergeCell ref="C127:G127"/>
    <mergeCell ref="B262:D262"/>
    <mergeCell ref="B265:D265"/>
    <mergeCell ref="E265:H265"/>
    <mergeCell ref="C220:G221"/>
    <mergeCell ref="C222:G224"/>
    <mergeCell ref="C225:G226"/>
    <mergeCell ref="C228:G229"/>
    <mergeCell ref="C231:G232"/>
    <mergeCell ref="C239:G240"/>
    <mergeCell ref="D137:F137"/>
    <mergeCell ref="C181:G181"/>
    <mergeCell ref="C183:G183"/>
    <mergeCell ref="C190:G191"/>
    <mergeCell ref="C193:G194"/>
    <mergeCell ref="C217:G217"/>
    <mergeCell ref="M196:O196"/>
    <mergeCell ref="C234:G235"/>
    <mergeCell ref="C219:G219"/>
    <mergeCell ref="C227:G227"/>
    <mergeCell ref="C230:G230"/>
    <mergeCell ref="C233:G233"/>
    <mergeCell ref="C209:G210"/>
    <mergeCell ref="C211:G212"/>
    <mergeCell ref="C196:G196"/>
  </mergeCells>
  <printOptions horizontalCentered="1"/>
  <pageMargins left="0.7" right="0.7" top="0.75" bottom="0.75" header="0.3" footer="0.3"/>
  <pageSetup paperSize="9" scale="75" fitToWidth="10" fitToHeight="6" orientation="portrait" r:id="rId1"/>
  <rowBreaks count="3" manualBreakCount="3">
    <brk id="60" min="1" max="6" man="1"/>
    <brk id="109" min="1" max="6" man="1"/>
    <brk id="241" min="1"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631F-D0F7-415C-9500-2103530351A3}">
  <dimension ref="A2:J143"/>
  <sheetViews>
    <sheetView topLeftCell="A3" workbookViewId="0">
      <selection activeCell="C117" sqref="C117"/>
    </sheetView>
  </sheetViews>
  <sheetFormatPr defaultColWidth="9.140625" defaultRowHeight="15"/>
  <cols>
    <col min="1" max="1" width="15.28515625" style="200" customWidth="1"/>
    <col min="2" max="2" width="52.42578125" style="200" customWidth="1"/>
    <col min="3" max="5" width="20.5703125" style="200" customWidth="1"/>
    <col min="6" max="9" width="20.7109375" style="200" customWidth="1"/>
    <col min="10" max="16384" width="9.140625" style="200"/>
  </cols>
  <sheetData>
    <row r="2" spans="1:10">
      <c r="C2" s="375">
        <f>SUM(Table2[Adjusted balance as on 31-03-2026])</f>
        <v>-2.3096799850463867E-7</v>
      </c>
      <c r="D2" s="375">
        <f>SUM(Table2[Adjusted balance as on 31-03-2026])</f>
        <v>-2.3096799850463867E-7</v>
      </c>
      <c r="E2" s="375">
        <f>SUM(Table2[Adjusted balance as on 31-03-2026])</f>
        <v>-2.3096799850463867E-7</v>
      </c>
    </row>
    <row r="3" spans="1:10" s="373" customFormat="1" ht="30">
      <c r="A3" s="373" t="s">
        <v>703</v>
      </c>
      <c r="B3" s="373" t="s">
        <v>704</v>
      </c>
      <c r="C3" s="374" t="s">
        <v>705</v>
      </c>
      <c r="D3" s="374" t="s">
        <v>702</v>
      </c>
      <c r="E3" s="374" t="s">
        <v>706</v>
      </c>
      <c r="F3" s="373" t="s">
        <v>707</v>
      </c>
      <c r="G3" s="373" t="s">
        <v>708</v>
      </c>
      <c r="H3" s="373" t="s">
        <v>709</v>
      </c>
    </row>
    <row r="4" spans="1:10" hidden="1">
      <c r="A4" s="200" t="s">
        <v>568</v>
      </c>
      <c r="B4" s="200" t="s">
        <v>615</v>
      </c>
      <c r="C4" s="372">
        <f>IFERROR(VLOOKUP(B4,'TB 2026'!$A$4:$E$155,5,),0)</f>
        <v>4317419.2699999996</v>
      </c>
      <c r="D4" s="375"/>
      <c r="E4" s="375">
        <f>Table2[[#This Row],[Balance as on 31-03-2026]]+Table2[[#This Row],[Adjustments]]</f>
        <v>4317419.2699999996</v>
      </c>
      <c r="F4" s="424" t="s">
        <v>240</v>
      </c>
      <c r="G4" s="200" t="s">
        <v>69</v>
      </c>
      <c r="H4" s="200" t="s">
        <v>772</v>
      </c>
    </row>
    <row r="5" spans="1:10" hidden="1">
      <c r="A5" s="200" t="s">
        <v>568</v>
      </c>
      <c r="B5" s="200" t="s">
        <v>616</v>
      </c>
      <c r="C5" s="372">
        <f>IFERROR(VLOOKUP(B5,'TB 2026'!$A$4:$E$155,5,),0)</f>
        <v>23125223.379999999</v>
      </c>
      <c r="D5" s="375">
        <f>J5-Table2[[#This Row],[Balance as on 31-03-2026]]</f>
        <v>3795659.620000001</v>
      </c>
      <c r="E5" s="375">
        <f>Table2[[#This Row],[Balance as on 31-03-2026]]+Table2[[#This Row],[Adjustments]]</f>
        <v>26920883</v>
      </c>
      <c r="F5" s="424" t="s">
        <v>602</v>
      </c>
      <c r="G5" s="200" t="s">
        <v>26</v>
      </c>
      <c r="H5" s="200" t="s">
        <v>772</v>
      </c>
      <c r="J5" s="821">
        <v>26920883</v>
      </c>
    </row>
    <row r="6" spans="1:10" hidden="1">
      <c r="A6" s="200" t="s">
        <v>568</v>
      </c>
      <c r="B6" s="200" t="s">
        <v>617</v>
      </c>
      <c r="C6" s="372">
        <f>IFERROR(VLOOKUP(B6,'TB 2026'!$A$4:$E$155,5,),0)</f>
        <v>-2836754.05</v>
      </c>
      <c r="D6" s="375">
        <f>-D99</f>
        <v>-2045608.09</v>
      </c>
      <c r="E6" s="375">
        <f>Table2[[#This Row],[Balance as on 31-03-2026]]+Table2[[#This Row],[Adjustments]]</f>
        <v>-4882362.1399999997</v>
      </c>
      <c r="F6" s="200" t="s">
        <v>729</v>
      </c>
      <c r="G6" s="200" t="s">
        <v>729</v>
      </c>
      <c r="H6" s="200" t="s">
        <v>769</v>
      </c>
    </row>
    <row r="7" spans="1:10" hidden="1">
      <c r="A7" s="200" t="s">
        <v>568</v>
      </c>
      <c r="B7" s="200" t="s">
        <v>618</v>
      </c>
      <c r="C7" s="372">
        <f>IFERROR(VLOOKUP(B7,'TB 2026'!$A$4:$E$155,5,),0)</f>
        <v>149543.82999999999</v>
      </c>
      <c r="D7" s="375"/>
      <c r="E7" s="375">
        <f>Table2[[#This Row],[Balance as on 31-03-2026]]+Table2[[#This Row],[Adjustments]]</f>
        <v>149543.82999999999</v>
      </c>
      <c r="F7" s="200" t="s">
        <v>923</v>
      </c>
      <c r="G7" s="200" t="s">
        <v>26</v>
      </c>
      <c r="H7" s="200" t="s">
        <v>772</v>
      </c>
    </row>
    <row r="8" spans="1:10" hidden="1">
      <c r="A8" s="200" t="s">
        <v>568</v>
      </c>
      <c r="B8" s="200" t="s">
        <v>619</v>
      </c>
      <c r="C8" s="372">
        <f>IFERROR(VLOOKUP(B8,'TB 2026'!$A$4:$E$155,5,),0)</f>
        <v>80942.100000000006</v>
      </c>
      <c r="D8" s="375"/>
      <c r="E8" s="375">
        <f>Table2[[#This Row],[Balance as on 31-03-2026]]+Table2[[#This Row],[Adjustments]]</f>
        <v>80942.100000000006</v>
      </c>
      <c r="F8" s="200" t="s">
        <v>474</v>
      </c>
      <c r="G8" s="200" t="s">
        <v>97</v>
      </c>
      <c r="H8" s="200" t="s">
        <v>772</v>
      </c>
    </row>
    <row r="9" spans="1:10" hidden="1">
      <c r="A9" s="200" t="s">
        <v>568</v>
      </c>
      <c r="B9" s="200" t="s">
        <v>620</v>
      </c>
      <c r="C9" s="372">
        <f>IFERROR(VLOOKUP(B9,'TB 2026'!$A$4:$E$155,5,),0)</f>
        <v>50000</v>
      </c>
      <c r="D9" s="375"/>
      <c r="E9" s="375">
        <f>Table2[[#This Row],[Balance as on 31-03-2026]]+Table2[[#This Row],[Adjustments]]</f>
        <v>50000</v>
      </c>
      <c r="F9" s="200" t="s">
        <v>476</v>
      </c>
      <c r="G9" s="200" t="s">
        <v>729</v>
      </c>
      <c r="H9" s="200" t="s">
        <v>769</v>
      </c>
    </row>
    <row r="10" spans="1:10" hidden="1">
      <c r="A10" s="200" t="s">
        <v>568</v>
      </c>
      <c r="B10" s="200" t="s">
        <v>621</v>
      </c>
      <c r="C10" s="372">
        <f>IFERROR(VLOOKUP(B10,'TB 2026'!$A$4:$E$155,5,),0)</f>
        <v>6961779.8499999996</v>
      </c>
      <c r="D10" s="375"/>
      <c r="E10" s="375">
        <f>Table2[[#This Row],[Balance as on 31-03-2026]]+Table2[[#This Row],[Adjustments]]</f>
        <v>6961779.8499999996</v>
      </c>
      <c r="F10" s="200" t="s">
        <v>475</v>
      </c>
      <c r="G10" s="200" t="s">
        <v>729</v>
      </c>
      <c r="H10" s="200" t="s">
        <v>769</v>
      </c>
    </row>
    <row r="11" spans="1:10" hidden="1">
      <c r="A11" s="200" t="s">
        <v>568</v>
      </c>
      <c r="B11" s="200" t="s">
        <v>622</v>
      </c>
      <c r="C11" s="372">
        <f>IFERROR(VLOOKUP(B11,'TB 2026'!$A$4:$E$155,5,),0)</f>
        <v>25939002.100000001</v>
      </c>
      <c r="D11" s="375"/>
      <c r="E11" s="375">
        <f>Table2[[#This Row],[Balance as on 31-03-2026]]+Table2[[#This Row],[Adjustments]]</f>
        <v>25939002.100000001</v>
      </c>
      <c r="F11" s="424" t="s">
        <v>242</v>
      </c>
      <c r="G11" s="200" t="s">
        <v>211</v>
      </c>
      <c r="H11" s="200" t="s">
        <v>772</v>
      </c>
    </row>
    <row r="12" spans="1:10" hidden="1">
      <c r="A12" s="200" t="s">
        <v>568</v>
      </c>
      <c r="B12" s="200" t="s">
        <v>623</v>
      </c>
      <c r="C12" s="372">
        <f>IFERROR(VLOOKUP(B12,'TB 2026'!$A$4:$E$155,5,),0)</f>
        <v>2354801</v>
      </c>
      <c r="D12" s="375"/>
      <c r="E12" s="375">
        <f>Table2[[#This Row],[Balance as on 31-03-2026]]+Table2[[#This Row],[Adjustments]]</f>
        <v>2354801</v>
      </c>
      <c r="F12" s="200" t="s">
        <v>214</v>
      </c>
      <c r="G12" s="200" t="s">
        <v>94</v>
      </c>
      <c r="H12" s="200" t="s">
        <v>769</v>
      </c>
    </row>
    <row r="13" spans="1:10" hidden="1">
      <c r="A13" s="200" t="s">
        <v>568</v>
      </c>
      <c r="B13" s="200" t="s">
        <v>624</v>
      </c>
      <c r="C13" s="372">
        <f>IFERROR(VLOOKUP(B13,'TB 2026'!$A$4:$E$155,5,),0)</f>
        <v>1537200</v>
      </c>
      <c r="D13" s="375"/>
      <c r="E13" s="375">
        <f>Table2[[#This Row],[Balance as on 31-03-2026]]+Table2[[#This Row],[Adjustments]]</f>
        <v>1537200</v>
      </c>
      <c r="F13" s="200" t="s">
        <v>214</v>
      </c>
      <c r="G13" s="200" t="s">
        <v>94</v>
      </c>
      <c r="H13" s="200" t="s">
        <v>769</v>
      </c>
    </row>
    <row r="14" spans="1:10" hidden="1">
      <c r="A14" s="200" t="s">
        <v>568</v>
      </c>
      <c r="B14" s="200" t="s">
        <v>625</v>
      </c>
      <c r="C14" s="372">
        <f>IFERROR(VLOOKUP(B14,'TB 2026'!$A$4:$E$155,5,),0)</f>
        <v>1680000</v>
      </c>
      <c r="D14" s="375"/>
      <c r="E14" s="375">
        <f>Table2[[#This Row],[Balance as on 31-03-2026]]+Table2[[#This Row],[Adjustments]]</f>
        <v>1680000</v>
      </c>
      <c r="F14" s="200" t="s">
        <v>214</v>
      </c>
      <c r="G14" s="200" t="s">
        <v>94</v>
      </c>
      <c r="H14" s="200" t="s">
        <v>769</v>
      </c>
    </row>
    <row r="15" spans="1:10" hidden="1">
      <c r="A15" s="200" t="s">
        <v>568</v>
      </c>
      <c r="B15" s="200" t="s">
        <v>626</v>
      </c>
      <c r="C15" s="372">
        <f>IFERROR(VLOOKUP(B15,'TB 2026'!$A$4:$E$155,5,),0)</f>
        <v>1102520</v>
      </c>
      <c r="D15" s="375"/>
      <c r="E15" s="375">
        <f>Table2[[#This Row],[Balance as on 31-03-2026]]+Table2[[#This Row],[Adjustments]]</f>
        <v>1102520</v>
      </c>
      <c r="F15" s="200" t="s">
        <v>214</v>
      </c>
      <c r="G15" s="200" t="s">
        <v>94</v>
      </c>
      <c r="H15" s="200" t="s">
        <v>769</v>
      </c>
    </row>
    <row r="16" spans="1:10" hidden="1">
      <c r="A16" s="200" t="s">
        <v>568</v>
      </c>
      <c r="B16" s="200" t="s">
        <v>627</v>
      </c>
      <c r="C16" s="372">
        <f>IFERROR(VLOOKUP(B16,'TB 2026'!$A$4:$E$155,5,),0)</f>
        <v>2000000</v>
      </c>
      <c r="D16" s="375"/>
      <c r="E16" s="375">
        <f>Table2[[#This Row],[Balance as on 31-03-2026]]+Table2[[#This Row],[Adjustments]]</f>
        <v>2000000</v>
      </c>
      <c r="F16" s="200" t="s">
        <v>214</v>
      </c>
      <c r="G16" s="200" t="s">
        <v>94</v>
      </c>
      <c r="H16" s="200" t="s">
        <v>769</v>
      </c>
    </row>
    <row r="17" spans="1:8" hidden="1">
      <c r="A17" s="200" t="s">
        <v>568</v>
      </c>
      <c r="B17" s="200" t="s">
        <v>628</v>
      </c>
      <c r="C17" s="372">
        <f>IFERROR(VLOOKUP(B17,'TB 2026'!$A$4:$E$155,5,),0)</f>
        <v>40000</v>
      </c>
      <c r="D17" s="375"/>
      <c r="E17" s="375">
        <f>Table2[[#This Row],[Balance as on 31-03-2026]]+Table2[[#This Row],[Adjustments]]</f>
        <v>40000</v>
      </c>
      <c r="F17" s="200" t="s">
        <v>214</v>
      </c>
      <c r="G17" s="200" t="s">
        <v>94</v>
      </c>
      <c r="H17" s="200" t="s">
        <v>769</v>
      </c>
    </row>
    <row r="18" spans="1:8" hidden="1">
      <c r="A18" s="200" t="s">
        <v>568</v>
      </c>
      <c r="B18" s="200" t="s">
        <v>629</v>
      </c>
      <c r="C18" s="372">
        <f>IFERROR(VLOOKUP(B18,'TB 2026'!$A$4:$E$155,5,),0)</f>
        <v>24000</v>
      </c>
      <c r="D18" s="375"/>
      <c r="E18" s="375">
        <f>Table2[[#This Row],[Balance as on 31-03-2026]]+Table2[[#This Row],[Adjustments]]</f>
        <v>24000</v>
      </c>
      <c r="F18" s="200" t="s">
        <v>214</v>
      </c>
      <c r="G18" s="200" t="s">
        <v>94</v>
      </c>
      <c r="H18" s="200" t="s">
        <v>769</v>
      </c>
    </row>
    <row r="19" spans="1:8" hidden="1">
      <c r="A19" s="200" t="s">
        <v>568</v>
      </c>
      <c r="B19" s="200" t="s">
        <v>630</v>
      </c>
      <c r="C19" s="372">
        <f>IFERROR(VLOOKUP(B19,'TB 2026'!$A$4:$E$155,5,),0)</f>
        <v>90374203</v>
      </c>
      <c r="D19" s="375"/>
      <c r="E19" s="375">
        <f>Table2[[#This Row],[Balance as on 31-03-2026]]+Table2[[#This Row],[Adjustments]]</f>
        <v>90374203</v>
      </c>
      <c r="F19" s="200" t="s">
        <v>497</v>
      </c>
      <c r="G19" s="200" t="s">
        <v>211</v>
      </c>
      <c r="H19" s="200" t="s">
        <v>772</v>
      </c>
    </row>
    <row r="20" spans="1:8" hidden="1">
      <c r="A20" s="200" t="s">
        <v>568</v>
      </c>
      <c r="B20" s="200" t="s">
        <v>631</v>
      </c>
      <c r="C20" s="372">
        <f>IFERROR(VLOOKUP(B20,'TB 2026'!$A$4:$E$155,5,),0)</f>
        <v>3194349.4</v>
      </c>
      <c r="D20" s="375"/>
      <c r="E20" s="375">
        <f>Table2[[#This Row],[Balance as on 31-03-2026]]+Table2[[#This Row],[Adjustments]]</f>
        <v>3194349.4</v>
      </c>
      <c r="F20" s="200" t="s">
        <v>162</v>
      </c>
      <c r="G20" s="200" t="s">
        <v>729</v>
      </c>
      <c r="H20" s="200" t="s">
        <v>769</v>
      </c>
    </row>
    <row r="21" spans="1:8" hidden="1">
      <c r="A21" s="200" t="s">
        <v>568</v>
      </c>
      <c r="B21" s="200" t="s">
        <v>632</v>
      </c>
      <c r="C21" s="372">
        <f>IFERROR(VLOOKUP(B21,'TB 2026'!$A$4:$E$155,5,),0)</f>
        <v>134628</v>
      </c>
      <c r="D21" s="375"/>
      <c r="E21" s="375">
        <f>Table2[[#This Row],[Balance as on 31-03-2026]]+Table2[[#This Row],[Adjustments]]</f>
        <v>134628</v>
      </c>
      <c r="F21" s="424" t="s">
        <v>242</v>
      </c>
      <c r="G21" s="200" t="s">
        <v>211</v>
      </c>
      <c r="H21" s="200" t="s">
        <v>772</v>
      </c>
    </row>
    <row r="22" spans="1:8" hidden="1">
      <c r="A22" s="200" t="s">
        <v>568</v>
      </c>
      <c r="B22" s="200" t="s">
        <v>633</v>
      </c>
      <c r="C22" s="372">
        <f>IFERROR(VLOOKUP(B22,'TB 2026'!$A$4:$E$155,5,),0)</f>
        <v>0</v>
      </c>
      <c r="D22" s="375"/>
      <c r="E22" s="375">
        <f>Table2[[#This Row],[Balance as on 31-03-2026]]+Table2[[#This Row],[Adjustments]]</f>
        <v>0</v>
      </c>
    </row>
    <row r="23" spans="1:8" hidden="1">
      <c r="A23" s="200" t="s">
        <v>568</v>
      </c>
      <c r="B23" s="200" t="s">
        <v>634</v>
      </c>
      <c r="C23" s="372">
        <f>IFERROR(VLOOKUP(B23,'TB 2026'!$A$4:$E$155,5,),0)</f>
        <v>129394.01</v>
      </c>
      <c r="D23" s="375"/>
      <c r="E23" s="375">
        <f>Table2[[#This Row],[Balance as on 31-03-2026]]+Table2[[#This Row],[Adjustments]]</f>
        <v>129394.01</v>
      </c>
      <c r="F23" s="200" t="s">
        <v>473</v>
      </c>
      <c r="G23" s="200" t="s">
        <v>26</v>
      </c>
      <c r="H23" s="200" t="s">
        <v>772</v>
      </c>
    </row>
    <row r="24" spans="1:8" hidden="1">
      <c r="A24" s="200" t="s">
        <v>568</v>
      </c>
      <c r="B24" s="200" t="s">
        <v>635</v>
      </c>
      <c r="C24" s="372">
        <f>IFERROR(VLOOKUP(B24,'TB 2026'!$A$4:$E$155,5,),0)</f>
        <v>128160.6</v>
      </c>
      <c r="D24" s="375"/>
      <c r="E24" s="375">
        <f>Table2[[#This Row],[Balance as on 31-03-2026]]+Table2[[#This Row],[Adjustments]]</f>
        <v>128160.6</v>
      </c>
      <c r="F24" s="200" t="s">
        <v>473</v>
      </c>
      <c r="G24" s="200" t="s">
        <v>26</v>
      </c>
      <c r="H24" s="200" t="s">
        <v>772</v>
      </c>
    </row>
    <row r="25" spans="1:8" hidden="1">
      <c r="A25" s="200" t="s">
        <v>568</v>
      </c>
      <c r="B25" s="200" t="s">
        <v>636</v>
      </c>
      <c r="C25" s="372">
        <f>IFERROR(VLOOKUP(B25,'TB 2026'!$A$4:$E$155,5,),0)</f>
        <v>129394</v>
      </c>
      <c r="D25" s="375"/>
      <c r="E25" s="375">
        <f>Table2[[#This Row],[Balance as on 31-03-2026]]+Table2[[#This Row],[Adjustments]]</f>
        <v>129394</v>
      </c>
      <c r="F25" s="200" t="s">
        <v>473</v>
      </c>
      <c r="G25" s="200" t="s">
        <v>26</v>
      </c>
      <c r="H25" s="200" t="s">
        <v>772</v>
      </c>
    </row>
    <row r="26" spans="1:8" hidden="1">
      <c r="A26" s="200" t="s">
        <v>568</v>
      </c>
      <c r="B26" s="200" t="s">
        <v>638</v>
      </c>
      <c r="C26" s="372">
        <f>IFERROR(VLOOKUP(B26,'TB 2026'!$A$4:$E$155,5,),0)</f>
        <v>162254</v>
      </c>
      <c r="D26" s="375"/>
      <c r="E26" s="375">
        <f>Table2[[#This Row],[Balance as on 31-03-2026]]+Table2[[#This Row],[Adjustments]]</f>
        <v>162254</v>
      </c>
      <c r="F26" s="200" t="s">
        <v>96</v>
      </c>
      <c r="G26" s="200" t="s">
        <v>211</v>
      </c>
      <c r="H26" s="200" t="s">
        <v>772</v>
      </c>
    </row>
    <row r="27" spans="1:8" hidden="1">
      <c r="A27" s="200" t="s">
        <v>568</v>
      </c>
      <c r="B27" s="200" t="s">
        <v>639</v>
      </c>
      <c r="C27" s="372">
        <f>IFERROR(VLOOKUP(B27,'TB 2026'!$A$4:$E$155,5,),0)</f>
        <v>87762.95</v>
      </c>
      <c r="D27" s="375">
        <v>-87762.95</v>
      </c>
      <c r="E27" s="375">
        <f>Table2[[#This Row],[Balance as on 31-03-2026]]+Table2[[#This Row],[Adjustments]]</f>
        <v>0</v>
      </c>
      <c r="F27" s="200" t="s">
        <v>21</v>
      </c>
      <c r="G27" s="200" t="s">
        <v>26</v>
      </c>
      <c r="H27" s="200" t="s">
        <v>772</v>
      </c>
    </row>
    <row r="28" spans="1:8" hidden="1">
      <c r="A28" s="200" t="s">
        <v>568</v>
      </c>
      <c r="B28" s="200" t="s">
        <v>640</v>
      </c>
      <c r="C28" s="372">
        <f>IFERROR(VLOOKUP(B28,'TB 2026'!$A$4:$E$155,5,),0)</f>
        <v>0</v>
      </c>
      <c r="D28" s="375"/>
      <c r="E28" s="375">
        <f>Table2[[#This Row],[Balance as on 31-03-2026]]+Table2[[#This Row],[Adjustments]]</f>
        <v>0</v>
      </c>
    </row>
    <row r="29" spans="1:8" hidden="1">
      <c r="A29" s="200" t="s">
        <v>568</v>
      </c>
      <c r="B29" s="200" t="s">
        <v>641</v>
      </c>
      <c r="C29" s="372">
        <f>IFERROR(VLOOKUP(B29,'TB 2026'!$A$4:$E$155,5,),0)</f>
        <v>112464.41</v>
      </c>
      <c r="D29" s="375"/>
      <c r="E29" s="375">
        <f>Table2[[#This Row],[Balance as on 31-03-2026]]+Table2[[#This Row],[Adjustments]]</f>
        <v>112464.41</v>
      </c>
      <c r="F29" s="200" t="s">
        <v>463</v>
      </c>
      <c r="G29" s="200" t="s">
        <v>729</v>
      </c>
      <c r="H29" s="200" t="s">
        <v>769</v>
      </c>
    </row>
    <row r="30" spans="1:8" hidden="1">
      <c r="A30" s="200" t="s">
        <v>568</v>
      </c>
      <c r="B30" s="200" t="s">
        <v>642</v>
      </c>
      <c r="C30" s="372">
        <f>IFERROR(VLOOKUP(B30,'TB 2026'!$A$4:$E$155,5,),0)</f>
        <v>0</v>
      </c>
      <c r="D30" s="375"/>
      <c r="E30" s="375">
        <f>Table2[[#This Row],[Balance as on 31-03-2026]]+Table2[[#This Row],[Adjustments]]</f>
        <v>0</v>
      </c>
    </row>
    <row r="31" spans="1:8" hidden="1">
      <c r="A31" s="200" t="s">
        <v>568</v>
      </c>
      <c r="B31" s="200" t="s">
        <v>643</v>
      </c>
      <c r="C31" s="372">
        <f>IFERROR(VLOOKUP(B31,'TB 2026'!$A$4:$E$155,5,),0)</f>
        <v>612.38</v>
      </c>
      <c r="D31" s="375"/>
      <c r="E31" s="375">
        <f>Table2[[#This Row],[Balance as on 31-03-2026]]+Table2[[#This Row],[Adjustments]]</f>
        <v>612.38</v>
      </c>
      <c r="F31" s="200" t="s">
        <v>473</v>
      </c>
      <c r="G31" s="200" t="s">
        <v>26</v>
      </c>
      <c r="H31" s="200" t="s">
        <v>772</v>
      </c>
    </row>
    <row r="32" spans="1:8" hidden="1">
      <c r="A32" s="200" t="s">
        <v>568</v>
      </c>
      <c r="B32" s="200" t="s">
        <v>644</v>
      </c>
      <c r="C32" s="372">
        <f>IFERROR(VLOOKUP(B32,'TB 2026'!$A$4:$E$155,5,),0)</f>
        <v>1970785</v>
      </c>
      <c r="D32" s="375"/>
      <c r="E32" s="375">
        <f>Table2[[#This Row],[Balance as on 31-03-2026]]+Table2[[#This Row],[Adjustments]]</f>
        <v>1970785</v>
      </c>
      <c r="F32" s="200" t="s">
        <v>768</v>
      </c>
      <c r="G32" s="200" t="s">
        <v>94</v>
      </c>
      <c r="H32" s="200" t="s">
        <v>769</v>
      </c>
    </row>
    <row r="33" spans="1:8" hidden="1">
      <c r="A33" s="200" t="s">
        <v>568</v>
      </c>
      <c r="B33" s="200" t="s">
        <v>645</v>
      </c>
      <c r="C33" s="372">
        <f>IFERROR(VLOOKUP(B33,'TB 2026'!$A$4:$E$155,5,),0)</f>
        <v>0</v>
      </c>
      <c r="D33" s="375"/>
      <c r="E33" s="375">
        <f>Table2[[#This Row],[Balance as on 31-03-2026]]+Table2[[#This Row],[Adjustments]]</f>
        <v>0</v>
      </c>
    </row>
    <row r="34" spans="1:8" ht="15" hidden="1" customHeight="1">
      <c r="A34" s="200" t="s">
        <v>568</v>
      </c>
      <c r="B34" s="200" t="s">
        <v>646</v>
      </c>
      <c r="C34" s="372">
        <f>IFERROR(VLOOKUP(B34,'TB 2026'!$A$4:$E$155,5,),0)</f>
        <v>11912616.9</v>
      </c>
      <c r="D34" s="375"/>
      <c r="E34" s="375">
        <f>Table2[[#This Row],[Balance as on 31-03-2026]]+Table2[[#This Row],[Adjustments]]</f>
        <v>11912616.9</v>
      </c>
      <c r="F34" s="200" t="s">
        <v>473</v>
      </c>
      <c r="G34" s="200" t="s">
        <v>26</v>
      </c>
      <c r="H34" s="200" t="s">
        <v>772</v>
      </c>
    </row>
    <row r="35" spans="1:8" hidden="1">
      <c r="A35" s="200" t="s">
        <v>568</v>
      </c>
      <c r="B35" s="200" t="s">
        <v>647</v>
      </c>
      <c r="C35" s="372">
        <f>IFERROR(VLOOKUP(B35,'TB 2026'!$A$4:$E$155,5,),0)</f>
        <v>3110.16</v>
      </c>
      <c r="D35" s="375"/>
      <c r="E35" s="375">
        <f>Table2[[#This Row],[Balance as on 31-03-2026]]+Table2[[#This Row],[Adjustments]]</f>
        <v>3110.16</v>
      </c>
      <c r="F35" s="200" t="s">
        <v>120</v>
      </c>
      <c r="G35" s="200" t="s">
        <v>729</v>
      </c>
      <c r="H35" s="200" t="s">
        <v>769</v>
      </c>
    </row>
    <row r="36" spans="1:8" hidden="1">
      <c r="A36" s="200" t="s">
        <v>568</v>
      </c>
      <c r="B36" s="200" t="s">
        <v>648</v>
      </c>
      <c r="C36" s="372">
        <f>IFERROR(VLOOKUP(B36,'TB 2026'!$A$4:$E$155,5,),0)</f>
        <v>0</v>
      </c>
      <c r="D36" s="375"/>
      <c r="E36" s="375">
        <f>Table2[[#This Row],[Balance as on 31-03-2026]]+Table2[[#This Row],[Adjustments]]</f>
        <v>0</v>
      </c>
    </row>
    <row r="37" spans="1:8" hidden="1">
      <c r="A37" s="200" t="s">
        <v>649</v>
      </c>
      <c r="B37" s="200" t="s">
        <v>650</v>
      </c>
      <c r="C37" s="372">
        <f>IFERROR(VLOOKUP(B37,'TB 2026'!$A$4:$E$155,5,),0)</f>
        <v>-15989115.810000001</v>
      </c>
      <c r="D37" s="375">
        <f>-'TB 2026'!H41</f>
        <v>8820</v>
      </c>
      <c r="E37" s="375">
        <f>Table2[[#This Row],[Balance as on 31-03-2026]]+Table2[[#This Row],[Adjustments]]</f>
        <v>-15980295.810000001</v>
      </c>
      <c r="F37" s="200" t="s">
        <v>176</v>
      </c>
      <c r="G37" s="200" t="s">
        <v>13</v>
      </c>
      <c r="H37" s="200" t="s">
        <v>59</v>
      </c>
    </row>
    <row r="38" spans="1:8" hidden="1">
      <c r="A38" s="200" t="s">
        <v>649</v>
      </c>
      <c r="B38" s="200" t="s">
        <v>651</v>
      </c>
      <c r="C38" s="372">
        <f>IFERROR(VLOOKUP(B38,'TB 2026'!$A$4:$E$155,5,),0)</f>
        <v>-54850294.259999998</v>
      </c>
      <c r="D38" s="375">
        <f>-D86</f>
        <v>39479000</v>
      </c>
      <c r="E38" s="375">
        <f>Table2[[#This Row],[Balance as on 31-03-2026]]+Table2[[#This Row],[Adjustments]]</f>
        <v>-15371294.259999998</v>
      </c>
      <c r="F38" s="200" t="s">
        <v>176</v>
      </c>
      <c r="G38" s="200" t="s">
        <v>13</v>
      </c>
      <c r="H38" s="200" t="s">
        <v>59</v>
      </c>
    </row>
    <row r="39" spans="1:8" ht="14.45" hidden="1" customHeight="1">
      <c r="A39" s="200" t="s">
        <v>649</v>
      </c>
      <c r="B39" s="200" t="s">
        <v>652</v>
      </c>
      <c r="C39" s="372">
        <f>IFERROR(VLOOKUP(B39,'TB 2026'!$A$4:$E$155,5,),0)</f>
        <v>-64525.91</v>
      </c>
      <c r="D39" s="375">
        <f>-D98</f>
        <v>44864</v>
      </c>
      <c r="E39" s="375">
        <f>Table2[[#This Row],[Balance as on 31-03-2026]]+Table2[[#This Row],[Adjustments]]</f>
        <v>-19661.910000000003</v>
      </c>
      <c r="F39" s="200" t="s">
        <v>734</v>
      </c>
      <c r="G39" s="200" t="s">
        <v>57</v>
      </c>
      <c r="H39" s="200" t="s">
        <v>56</v>
      </c>
    </row>
    <row r="40" spans="1:8" hidden="1">
      <c r="A40" s="200" t="s">
        <v>649</v>
      </c>
      <c r="B40" s="200" t="s">
        <v>653</v>
      </c>
      <c r="C40" s="372">
        <f>IFERROR(VLOOKUP(B40,'TB 2026'!$A$4:$E$155,5,),0)</f>
        <v>-4967905</v>
      </c>
      <c r="D40" s="375"/>
      <c r="E40" s="375">
        <f>Table2[[#This Row],[Balance as on 31-03-2026]]+Table2[[#This Row],[Adjustments]]</f>
        <v>-4967905</v>
      </c>
      <c r="F40" s="200" t="s">
        <v>765</v>
      </c>
      <c r="G40" s="200" t="s">
        <v>40</v>
      </c>
      <c r="H40" s="200" t="s">
        <v>59</v>
      </c>
    </row>
    <row r="41" spans="1:8" hidden="1">
      <c r="A41" s="200" t="s">
        <v>649</v>
      </c>
      <c r="B41" s="200" t="s">
        <v>654</v>
      </c>
      <c r="C41" s="372">
        <f>IFERROR(VLOOKUP(B41,'TB 2026'!$A$4:$E$155,5,),0)</f>
        <v>-3000095</v>
      </c>
      <c r="D41" s="375"/>
      <c r="E41" s="375">
        <f>Table2[[#This Row],[Balance as on 31-03-2026]]+Table2[[#This Row],[Adjustments]]</f>
        <v>-3000095</v>
      </c>
      <c r="F41" s="200" t="s">
        <v>757</v>
      </c>
      <c r="G41" s="200" t="s">
        <v>32</v>
      </c>
      <c r="H41" s="200" t="s">
        <v>56</v>
      </c>
    </row>
    <row r="42" spans="1:8" hidden="1">
      <c r="A42" s="200" t="s">
        <v>649</v>
      </c>
      <c r="B42" s="200" t="s">
        <v>655</v>
      </c>
      <c r="C42" s="372">
        <f>IFERROR(VLOOKUP(B42,'TB 2026'!$A$4:$E$155,5,),0)</f>
        <v>-104665.23</v>
      </c>
      <c r="D42" s="375"/>
      <c r="E42" s="375">
        <f>Table2[[#This Row],[Balance as on 31-03-2026]]+Table2[[#This Row],[Adjustments]]</f>
        <v>-104665.23</v>
      </c>
      <c r="F42" s="200" t="s">
        <v>766</v>
      </c>
      <c r="G42" s="200" t="s">
        <v>40</v>
      </c>
      <c r="H42" s="200" t="s">
        <v>59</v>
      </c>
    </row>
    <row r="43" spans="1:8" hidden="1">
      <c r="A43" s="200" t="s">
        <v>649</v>
      </c>
      <c r="B43" s="200" t="s">
        <v>656</v>
      </c>
      <c r="C43" s="372">
        <f>IFERROR(VLOOKUP(B43,'TB 2026'!$A$4:$E$155,5,),0)</f>
        <v>-186955</v>
      </c>
      <c r="D43" s="375"/>
      <c r="E43" s="375">
        <f>Table2[[#This Row],[Balance as on 31-03-2026]]+Table2[[#This Row],[Adjustments]]</f>
        <v>-186955</v>
      </c>
      <c r="F43" s="200" t="s">
        <v>472</v>
      </c>
      <c r="G43" s="200" t="s">
        <v>40</v>
      </c>
      <c r="H43" s="200" t="s">
        <v>59</v>
      </c>
    </row>
    <row r="44" spans="1:8" hidden="1">
      <c r="A44" s="200" t="s">
        <v>649</v>
      </c>
      <c r="B44" s="200" t="s">
        <v>657</v>
      </c>
      <c r="C44" s="372">
        <f>IFERROR(VLOOKUP(B44,'TB 2026'!$A$4:$E$155,5,),0)</f>
        <v>-1469911</v>
      </c>
      <c r="D44" s="375"/>
      <c r="E44" s="375">
        <f>Table2[[#This Row],[Balance as on 31-03-2026]]+Table2[[#This Row],[Adjustments]]</f>
        <v>-1469911</v>
      </c>
      <c r="F44" s="200" t="s">
        <v>116</v>
      </c>
      <c r="G44" s="200" t="s">
        <v>32</v>
      </c>
      <c r="H44" s="200" t="s">
        <v>56</v>
      </c>
    </row>
    <row r="45" spans="1:8" hidden="1">
      <c r="A45" s="200" t="s">
        <v>649</v>
      </c>
      <c r="B45" s="200" t="s">
        <v>658</v>
      </c>
      <c r="C45" s="372">
        <f>IFERROR(VLOOKUP(B45,'TB 2026'!$A$4:$E$155,5,),0)</f>
        <v>-2765559</v>
      </c>
      <c r="D45" s="375"/>
      <c r="E45" s="375">
        <f>Table2[[#This Row],[Balance as on 31-03-2026]]+Table2[[#This Row],[Adjustments]]</f>
        <v>-2765559</v>
      </c>
      <c r="F45" s="200" t="s">
        <v>472</v>
      </c>
      <c r="G45" s="200" t="s">
        <v>40</v>
      </c>
      <c r="H45" s="200" t="s">
        <v>59</v>
      </c>
    </row>
    <row r="46" spans="1:8" hidden="1">
      <c r="A46" s="200" t="s">
        <v>649</v>
      </c>
      <c r="B46" s="200" t="s">
        <v>659</v>
      </c>
      <c r="C46" s="372">
        <f>IFERROR(VLOOKUP(B46,'TB 2026'!$A$4:$E$155,5,),0)</f>
        <v>0</v>
      </c>
      <c r="D46" s="375"/>
      <c r="E46" s="375">
        <f>Table2[[#This Row],[Balance as on 31-03-2026]]+Table2[[#This Row],[Adjustments]]</f>
        <v>0</v>
      </c>
    </row>
    <row r="47" spans="1:8" hidden="1">
      <c r="A47" s="200" t="s">
        <v>649</v>
      </c>
      <c r="B47" s="200" t="s">
        <v>660</v>
      </c>
      <c r="C47" s="372">
        <f>IFERROR(VLOOKUP(B47,'TB 2026'!$A$4:$E$155,5,),0)</f>
        <v>-612.34</v>
      </c>
      <c r="D47" s="375"/>
      <c r="E47" s="375">
        <f>Table2[[#This Row],[Balance as on 31-03-2026]]+Table2[[#This Row],[Adjustments]]</f>
        <v>-612.34</v>
      </c>
      <c r="F47" s="200" t="s">
        <v>472</v>
      </c>
      <c r="G47" s="200" t="s">
        <v>40</v>
      </c>
      <c r="H47" s="200" t="s">
        <v>59</v>
      </c>
    </row>
    <row r="48" spans="1:8" hidden="1">
      <c r="A48" s="200" t="s">
        <v>649</v>
      </c>
      <c r="B48" s="200" t="s">
        <v>661</v>
      </c>
      <c r="C48" s="372">
        <f>IFERROR(VLOOKUP(B48,'TB 2026'!$A$4:$E$155,5,),0)</f>
        <v>0</v>
      </c>
      <c r="D48" s="375"/>
      <c r="E48" s="375">
        <f>Table2[[#This Row],[Balance as on 31-03-2026]]+Table2[[#This Row],[Adjustments]]</f>
        <v>0</v>
      </c>
    </row>
    <row r="49" spans="1:8" hidden="1">
      <c r="A49" s="200" t="s">
        <v>649</v>
      </c>
      <c r="B49" s="200" t="s">
        <v>663</v>
      </c>
      <c r="C49" s="372">
        <f>IFERROR(VLOOKUP(B49,'TB 2026'!$A$4:$E$155,5,),0)</f>
        <v>-259359.37</v>
      </c>
      <c r="D49" s="375"/>
      <c r="E49" s="375">
        <f>Table2[[#This Row],[Balance as on 31-03-2026]]+Table2[[#This Row],[Adjustments]]</f>
        <v>-259359.37</v>
      </c>
      <c r="F49" s="200" t="s">
        <v>767</v>
      </c>
      <c r="G49" s="200" t="s">
        <v>40</v>
      </c>
      <c r="H49" s="200" t="s">
        <v>59</v>
      </c>
    </row>
    <row r="50" spans="1:8" hidden="1">
      <c r="A50" s="200" t="s">
        <v>649</v>
      </c>
      <c r="B50" s="200" t="s">
        <v>664</v>
      </c>
      <c r="C50" s="372">
        <f>IFERROR(VLOOKUP(B50,'TB 2026'!$A$4:$E$155,5,),0)</f>
        <v>-428924.27</v>
      </c>
      <c r="D50" s="375"/>
      <c r="E50" s="375">
        <f>Table2[[#This Row],[Balance as on 31-03-2026]]+Table2[[#This Row],[Adjustments]]</f>
        <v>-428924.27</v>
      </c>
      <c r="F50" s="200" t="s">
        <v>767</v>
      </c>
      <c r="G50" s="200" t="s">
        <v>40</v>
      </c>
      <c r="H50" s="200" t="s">
        <v>59</v>
      </c>
    </row>
    <row r="51" spans="1:8" hidden="1">
      <c r="A51" s="200" t="s">
        <v>649</v>
      </c>
      <c r="B51" s="200" t="s">
        <v>665</v>
      </c>
      <c r="C51" s="372">
        <f>IFERROR(VLOOKUP(B51,'TB 2026'!$A$4:$E$155,5,),0)</f>
        <v>-1090369</v>
      </c>
      <c r="D51" s="375"/>
      <c r="E51" s="375">
        <f>Table2[[#This Row],[Balance as on 31-03-2026]]+Table2[[#This Row],[Adjustments]]</f>
        <v>-1090369</v>
      </c>
      <c r="F51" s="200" t="s">
        <v>766</v>
      </c>
      <c r="G51" s="200" t="s">
        <v>40</v>
      </c>
      <c r="H51" s="200" t="s">
        <v>59</v>
      </c>
    </row>
    <row r="52" spans="1:8" hidden="1">
      <c r="A52" s="200" t="s">
        <v>649</v>
      </c>
      <c r="B52" s="200" t="s">
        <v>666</v>
      </c>
      <c r="C52" s="372">
        <f>IFERROR(VLOOKUP(B52,'TB 2026'!$A$4:$E$155,5,),0)</f>
        <v>-2202753</v>
      </c>
      <c r="D52" s="375"/>
      <c r="E52" s="375">
        <f>Table2[[#This Row],[Balance as on 31-03-2026]]+Table2[[#This Row],[Adjustments]]</f>
        <v>-2202753</v>
      </c>
      <c r="F52" s="200" t="s">
        <v>472</v>
      </c>
      <c r="G52" s="200" t="s">
        <v>40</v>
      </c>
      <c r="H52" s="200" t="s">
        <v>59</v>
      </c>
    </row>
    <row r="53" spans="1:8" hidden="1">
      <c r="A53" s="200" t="s">
        <v>649</v>
      </c>
      <c r="B53" s="200" t="s">
        <v>667</v>
      </c>
      <c r="C53" s="372">
        <f>IFERROR(VLOOKUP(B53,'TB 2026'!$A$4:$E$155,5,),0)</f>
        <v>0</v>
      </c>
      <c r="D53" s="375">
        <v>-450000</v>
      </c>
      <c r="E53" s="375">
        <f>Table2[[#This Row],[Balance as on 31-03-2026]]+Table2[[#This Row],[Adjustments]]</f>
        <v>-450000</v>
      </c>
      <c r="F53" s="200" t="s">
        <v>763</v>
      </c>
      <c r="G53" s="200" t="s">
        <v>41</v>
      </c>
      <c r="H53" s="200" t="s">
        <v>59</v>
      </c>
    </row>
    <row r="54" spans="1:8" hidden="1">
      <c r="A54" s="200" t="s">
        <v>649</v>
      </c>
      <c r="B54" s="200" t="s">
        <v>668</v>
      </c>
      <c r="C54" s="372">
        <f>IFERROR(VLOOKUP(B54,'TB 2026'!$A$4:$E$155,5,),0)</f>
        <v>0</v>
      </c>
      <c r="D54" s="375"/>
      <c r="E54" s="375">
        <f>Table2[[#This Row],[Balance as on 31-03-2026]]+Table2[[#This Row],[Adjustments]]</f>
        <v>0</v>
      </c>
    </row>
    <row r="55" spans="1:8" hidden="1">
      <c r="A55" s="200" t="s">
        <v>649</v>
      </c>
      <c r="B55" s="200" t="s">
        <v>669</v>
      </c>
      <c r="C55" s="372">
        <f>IFERROR(VLOOKUP(B55,'TB 2026'!$A$4:$E$155,5,),0)</f>
        <v>0</v>
      </c>
      <c r="D55" s="375">
        <f>-'Current Tax'!C24</f>
        <v>-5200000</v>
      </c>
      <c r="E55" s="375">
        <f>Table2[[#This Row],[Balance as on 31-03-2026]]+Table2[[#This Row],[Adjustments]]</f>
        <v>-5200000</v>
      </c>
      <c r="F55" s="200" t="s">
        <v>489</v>
      </c>
      <c r="G55" s="200" t="s">
        <v>41</v>
      </c>
      <c r="H55" s="200" t="s">
        <v>59</v>
      </c>
    </row>
    <row r="56" spans="1:8" hidden="1">
      <c r="A56" s="200" t="s">
        <v>649</v>
      </c>
      <c r="B56" s="200" t="s">
        <v>964</v>
      </c>
      <c r="C56" s="372">
        <f>IFERROR(VLOOKUP(B56,'TB 2026'!$A$4:$E$155,5,),0)</f>
        <v>0</v>
      </c>
      <c r="D56" s="375">
        <v>-50000000</v>
      </c>
      <c r="E56" s="375">
        <f>Table2[[#This Row],[Balance as on 31-03-2026]]+Table2[[#This Row],[Adjustments]]</f>
        <v>-50000000</v>
      </c>
      <c r="F56" s="200" t="s">
        <v>940</v>
      </c>
      <c r="G56" s="200" t="s">
        <v>41</v>
      </c>
      <c r="H56" s="200" t="s">
        <v>59</v>
      </c>
    </row>
    <row r="57" spans="1:8" ht="15" hidden="1" customHeight="1">
      <c r="A57" s="200" t="s">
        <v>649</v>
      </c>
      <c r="B57" s="200" t="s">
        <v>670</v>
      </c>
      <c r="C57" s="372">
        <f>IFERROR(VLOOKUP(B57,'TB 2026'!$A$4:$E$155,5,),0)</f>
        <v>-304841</v>
      </c>
      <c r="D57" s="375"/>
      <c r="E57" s="375">
        <f>Table2[[#This Row],[Balance as on 31-03-2026]]+Table2[[#This Row],[Adjustments]]</f>
        <v>-304841</v>
      </c>
      <c r="F57" s="200" t="s">
        <v>472</v>
      </c>
      <c r="G57" s="200" t="s">
        <v>40</v>
      </c>
      <c r="H57" s="200" t="s">
        <v>59</v>
      </c>
    </row>
    <row r="58" spans="1:8" hidden="1">
      <c r="A58" s="200" t="s">
        <v>649</v>
      </c>
      <c r="B58" s="200" t="s">
        <v>671</v>
      </c>
      <c r="C58" s="372">
        <f>IFERROR(VLOOKUP(B58,'TB 2026'!$A$4:$E$155,5,),0)</f>
        <v>-30000</v>
      </c>
      <c r="D58" s="375"/>
      <c r="E58" s="375">
        <f>Table2[[#This Row],[Balance as on 31-03-2026]]+Table2[[#This Row],[Adjustments]]</f>
        <v>-30000</v>
      </c>
      <c r="F58" s="200" t="s">
        <v>766</v>
      </c>
      <c r="G58" s="200" t="s">
        <v>40</v>
      </c>
      <c r="H58" s="200" t="s">
        <v>59</v>
      </c>
    </row>
    <row r="59" spans="1:8" hidden="1">
      <c r="A59" s="200" t="s">
        <v>649</v>
      </c>
      <c r="B59" s="200" t="s">
        <v>672</v>
      </c>
      <c r="C59" s="372">
        <f>IFERROR(VLOOKUP(B59,'TB 2026'!$A$4:$E$155,5,),0)</f>
        <v>-14385984</v>
      </c>
      <c r="D59" s="375"/>
      <c r="E59" s="375">
        <f>Table2[[#This Row],[Balance as on 31-03-2026]]+Table2[[#This Row],[Adjustments]]</f>
        <v>-14385984</v>
      </c>
      <c r="F59" s="200" t="s">
        <v>764</v>
      </c>
      <c r="G59" s="200" t="s">
        <v>40</v>
      </c>
      <c r="H59" s="200" t="s">
        <v>59</v>
      </c>
    </row>
    <row r="60" spans="1:8" hidden="1">
      <c r="A60" s="200" t="s">
        <v>649</v>
      </c>
      <c r="B60" s="200" t="s">
        <v>673</v>
      </c>
      <c r="C60" s="372">
        <f>IFERROR(VLOOKUP(B60,'TB 2026'!$A$4:$E$155,5,),0)</f>
        <v>0</v>
      </c>
      <c r="D60" s="375"/>
      <c r="E60" s="375">
        <f>Table2[[#This Row],[Balance as on 31-03-2026]]+Table2[[#This Row],[Adjustments]]</f>
        <v>0</v>
      </c>
    </row>
    <row r="61" spans="1:8" hidden="1">
      <c r="A61" s="200" t="s">
        <v>649</v>
      </c>
      <c r="B61" s="200" t="s">
        <v>674</v>
      </c>
      <c r="C61" s="372">
        <f>IFERROR(VLOOKUP(B61,'TB 2026'!$A$4:$E$155,5,),0)</f>
        <v>-2742828</v>
      </c>
      <c r="D61" s="375"/>
      <c r="E61" s="375">
        <f>Table2[[#This Row],[Balance as on 31-03-2026]]+Table2[[#This Row],[Adjustments]]</f>
        <v>-2742828</v>
      </c>
      <c r="F61" s="200" t="s">
        <v>472</v>
      </c>
      <c r="G61" s="200" t="s">
        <v>40</v>
      </c>
      <c r="H61" s="200" t="s">
        <v>59</v>
      </c>
    </row>
    <row r="62" spans="1:8" hidden="1">
      <c r="A62" s="200" t="s">
        <v>675</v>
      </c>
      <c r="B62" s="200" t="s">
        <v>676</v>
      </c>
      <c r="C62" s="372">
        <f>IFERROR(VLOOKUP(B62,'TB 2026'!$A$4:$E$155,5,),0)</f>
        <v>-44403080.590000004</v>
      </c>
      <c r="D62" s="375">
        <f>-'TB 2026'!H68</f>
        <v>-8820</v>
      </c>
      <c r="E62" s="375">
        <f>Table2[[#This Row],[Balance as on 31-03-2026]]+Table2[[#This Row],[Adjustments]]</f>
        <v>-44411900.590000004</v>
      </c>
      <c r="F62" s="200" t="s">
        <v>20</v>
      </c>
    </row>
    <row r="63" spans="1:8" hidden="1">
      <c r="A63" s="200" t="s">
        <v>675</v>
      </c>
      <c r="B63" s="200" t="s">
        <v>677</v>
      </c>
      <c r="C63" s="372">
        <f>IFERROR(VLOOKUP(B63,'TB 2026'!$A$4:$E$155,5,),0)</f>
        <v>-100000</v>
      </c>
      <c r="D63" s="375"/>
      <c r="E63" s="375">
        <f>Table2[[#This Row],[Balance as on 31-03-2026]]+Table2[[#This Row],[Adjustments]]</f>
        <v>-100000</v>
      </c>
      <c r="F63" s="200" t="s">
        <v>30</v>
      </c>
    </row>
    <row r="64" spans="1:8" hidden="1">
      <c r="A64" s="200" t="s">
        <v>678</v>
      </c>
      <c r="B64" s="200" t="s">
        <v>679</v>
      </c>
      <c r="C64" s="372">
        <f>IFERROR(VLOOKUP(B64,'TB 2026'!$A$4:$E$155,5,),0)</f>
        <v>-31353</v>
      </c>
      <c r="D64" s="375"/>
      <c r="E64" s="375">
        <f>Table2[[#This Row],[Balance as on 31-03-2026]]+Table2[[#This Row],[Adjustments]]</f>
        <v>-31353</v>
      </c>
      <c r="F64" s="200" t="s">
        <v>710</v>
      </c>
      <c r="G64" s="200" t="s">
        <v>14</v>
      </c>
      <c r="H64" s="200" t="s">
        <v>678</v>
      </c>
    </row>
    <row r="65" spans="1:8" hidden="1">
      <c r="A65" s="200" t="s">
        <v>678</v>
      </c>
      <c r="B65" s="200" t="s">
        <v>581</v>
      </c>
      <c r="C65" s="372">
        <f>IFERROR(VLOOKUP(B65,'TB 2026'!$A$4:$E$155,5,),0)</f>
        <v>-18125223.379999999</v>
      </c>
      <c r="D65" s="375">
        <f>-D5</f>
        <v>-3795659.620000001</v>
      </c>
      <c r="E65" s="375">
        <f>Table2[[#This Row],[Balance as on 31-03-2026]]+Table2[[#This Row],[Adjustments]]</f>
        <v>-21920883</v>
      </c>
      <c r="F65" s="200" t="s">
        <v>98</v>
      </c>
      <c r="G65" s="200" t="s">
        <v>77</v>
      </c>
      <c r="H65" s="200" t="s">
        <v>678</v>
      </c>
    </row>
    <row r="66" spans="1:8" hidden="1">
      <c r="A66" s="200" t="s">
        <v>678</v>
      </c>
      <c r="B66" s="200" t="s">
        <v>510</v>
      </c>
      <c r="C66" s="372">
        <f>IFERROR(VLOOKUP(B66,'TB 2026'!$A$4:$E$155,5,),0)</f>
        <v>-3782232.59</v>
      </c>
      <c r="D66" s="375"/>
      <c r="E66" s="375">
        <f>Table2[[#This Row],[Balance as on 31-03-2026]]+Table2[[#This Row],[Adjustments]]</f>
        <v>-3782232.59</v>
      </c>
      <c r="F66" s="200" t="s">
        <v>711</v>
      </c>
      <c r="G66" s="200" t="s">
        <v>14</v>
      </c>
      <c r="H66" s="200" t="s">
        <v>678</v>
      </c>
    </row>
    <row r="67" spans="1:8" hidden="1">
      <c r="A67" s="200" t="s">
        <v>678</v>
      </c>
      <c r="B67" s="200" t="s">
        <v>680</v>
      </c>
      <c r="C67" s="372">
        <f>IFERROR(VLOOKUP(B67,'TB 2026'!$A$4:$E$155,5,),0)</f>
        <v>-4.1399999999999997</v>
      </c>
      <c r="D67" s="375"/>
      <c r="E67" s="375">
        <f>Table2[[#This Row],[Balance as on 31-03-2026]]+Table2[[#This Row],[Adjustments]]</f>
        <v>-4.1399999999999997</v>
      </c>
      <c r="F67" s="200" t="s">
        <v>480</v>
      </c>
      <c r="G67" s="200" t="s">
        <v>14</v>
      </c>
      <c r="H67" s="200" t="s">
        <v>678</v>
      </c>
    </row>
    <row r="68" spans="1:8" hidden="1">
      <c r="A68" s="200" t="s">
        <v>678</v>
      </c>
      <c r="B68" s="200" t="s">
        <v>512</v>
      </c>
      <c r="C68" s="372">
        <f>IFERROR(VLOOKUP(B68,'TB 2026'!$A$4:$E$155,5,),0)</f>
        <v>-568512380.76999998</v>
      </c>
      <c r="D68" s="375"/>
      <c r="E68" s="375">
        <f>Table2[[#This Row],[Balance as on 31-03-2026]]+Table2[[#This Row],[Adjustments]]</f>
        <v>-568512380.76999998</v>
      </c>
      <c r="F68" s="200" t="s">
        <v>98</v>
      </c>
      <c r="G68" s="200" t="s">
        <v>77</v>
      </c>
      <c r="H68" s="200" t="s">
        <v>678</v>
      </c>
    </row>
    <row r="69" spans="1:8" hidden="1">
      <c r="A69" s="200" t="s">
        <v>678</v>
      </c>
      <c r="B69" s="200" t="s">
        <v>681</v>
      </c>
      <c r="C69" s="372">
        <f>IFERROR(VLOOKUP(B69,'TB 2026'!$A$4:$E$155,5,),0)</f>
        <v>-11307687.32</v>
      </c>
      <c r="D69" s="375"/>
      <c r="E69" s="375">
        <f>Table2[[#This Row],[Balance as on 31-03-2026]]+Table2[[#This Row],[Adjustments]]</f>
        <v>-11307687.32</v>
      </c>
      <c r="F69" s="200" t="s">
        <v>98</v>
      </c>
      <c r="G69" s="200" t="s">
        <v>77</v>
      </c>
      <c r="H69" s="200" t="s">
        <v>678</v>
      </c>
    </row>
    <row r="70" spans="1:8" hidden="1">
      <c r="A70" s="200" t="s">
        <v>683</v>
      </c>
      <c r="B70" s="200" t="s">
        <v>684</v>
      </c>
      <c r="C70" s="372">
        <f>IFERROR(VLOOKUP(B70,'TB 2026'!$A$4:$E$155,5,),0)</f>
        <v>530885</v>
      </c>
      <c r="D70" s="375"/>
      <c r="E70" s="375">
        <f>Table2[[#This Row],[Balance as on 31-03-2026]]+Table2[[#This Row],[Adjustments]]</f>
        <v>530885</v>
      </c>
      <c r="F70" s="200" t="s">
        <v>110</v>
      </c>
      <c r="G70" s="200" t="s">
        <v>76</v>
      </c>
      <c r="H70" s="200" t="s">
        <v>777</v>
      </c>
    </row>
    <row r="71" spans="1:8" hidden="1">
      <c r="A71" s="200" t="s">
        <v>683</v>
      </c>
      <c r="B71" s="200" t="s">
        <v>514</v>
      </c>
      <c r="C71" s="372">
        <f>IFERROR(VLOOKUP(B71,'TB 2026'!$A$4:$E$155,5,),0)</f>
        <v>6899101.8300000001</v>
      </c>
      <c r="D71" s="375"/>
      <c r="E71" s="375">
        <f>Table2[[#This Row],[Balance as on 31-03-2026]]+Table2[[#This Row],[Adjustments]]</f>
        <v>6899101.8300000001</v>
      </c>
      <c r="F71" s="200" t="s">
        <v>110</v>
      </c>
      <c r="G71" s="200" t="s">
        <v>76</v>
      </c>
      <c r="H71" s="200" t="s">
        <v>777</v>
      </c>
    </row>
    <row r="72" spans="1:8" hidden="1">
      <c r="A72" s="200" t="s">
        <v>683</v>
      </c>
      <c r="B72" s="200" t="s">
        <v>515</v>
      </c>
      <c r="C72" s="372">
        <f>IFERROR(VLOOKUP(B72,'TB 2026'!$A$4:$E$155,5,),0)</f>
        <v>1087960.56</v>
      </c>
      <c r="D72" s="375"/>
      <c r="E72" s="375">
        <f>Table2[[#This Row],[Balance as on 31-03-2026]]+Table2[[#This Row],[Adjustments]]</f>
        <v>1087960.56</v>
      </c>
      <c r="F72" s="200" t="s">
        <v>109</v>
      </c>
      <c r="G72" s="200" t="s">
        <v>76</v>
      </c>
      <c r="H72" s="200" t="s">
        <v>777</v>
      </c>
    </row>
    <row r="73" spans="1:8" hidden="1">
      <c r="A73" s="200" t="s">
        <v>683</v>
      </c>
      <c r="B73" s="200" t="s">
        <v>516</v>
      </c>
      <c r="C73" s="372">
        <f>IFERROR(VLOOKUP(B73,'TB 2026'!$A$4:$E$155,5,),0)</f>
        <v>870163.22</v>
      </c>
      <c r="D73" s="375">
        <f>-D27</f>
        <v>87762.95</v>
      </c>
      <c r="E73" s="375">
        <f>Table2[[#This Row],[Balance as on 31-03-2026]]+Table2[[#This Row],[Adjustments]]</f>
        <v>957926.16999999993</v>
      </c>
      <c r="F73" s="200" t="s">
        <v>485</v>
      </c>
      <c r="G73" s="200" t="s">
        <v>76</v>
      </c>
      <c r="H73" s="200" t="s">
        <v>777</v>
      </c>
    </row>
    <row r="74" spans="1:8" hidden="1">
      <c r="A74" s="200" t="s">
        <v>683</v>
      </c>
      <c r="B74" s="200" t="s">
        <v>517</v>
      </c>
      <c r="C74" s="372">
        <f>IFERROR(VLOOKUP(B74,'TB 2026'!$A$4:$E$155,5,),0)</f>
        <v>7367968.71</v>
      </c>
      <c r="D74" s="375"/>
      <c r="E74" s="375">
        <f>Table2[[#This Row],[Balance as on 31-03-2026]]+Table2[[#This Row],[Adjustments]]</f>
        <v>7367968.71</v>
      </c>
      <c r="F74" s="200" t="s">
        <v>485</v>
      </c>
      <c r="G74" s="200" t="s">
        <v>76</v>
      </c>
      <c r="H74" s="200" t="s">
        <v>777</v>
      </c>
    </row>
    <row r="75" spans="1:8" hidden="1">
      <c r="A75" s="200" t="s">
        <v>683</v>
      </c>
      <c r="B75" s="200" t="s">
        <v>685</v>
      </c>
      <c r="C75" s="372">
        <f>IFERROR(VLOOKUP(B75,'TB 2026'!$A$4:$E$155,5,),0)</f>
        <v>5749350</v>
      </c>
      <c r="D75" s="375"/>
      <c r="E75" s="375">
        <f>Table2[[#This Row],[Balance as on 31-03-2026]]+Table2[[#This Row],[Adjustments]]</f>
        <v>5749350</v>
      </c>
      <c r="F75" s="200" t="s">
        <v>485</v>
      </c>
      <c r="G75" s="200" t="s">
        <v>76</v>
      </c>
      <c r="H75" s="200" t="s">
        <v>777</v>
      </c>
    </row>
    <row r="76" spans="1:8" hidden="1">
      <c r="A76" s="200" t="s">
        <v>683</v>
      </c>
      <c r="B76" s="200" t="s">
        <v>518</v>
      </c>
      <c r="C76" s="372">
        <f>IFERROR(VLOOKUP(B76,'TB 2026'!$A$4:$E$155,5,),0)</f>
        <v>661181.49</v>
      </c>
      <c r="D76" s="375"/>
      <c r="E76" s="375">
        <f>Table2[[#This Row],[Balance as on 31-03-2026]]+Table2[[#This Row],[Adjustments]]</f>
        <v>661181.49</v>
      </c>
      <c r="F76" s="200" t="s">
        <v>111</v>
      </c>
      <c r="G76" s="200" t="s">
        <v>76</v>
      </c>
      <c r="H76" s="200" t="s">
        <v>777</v>
      </c>
    </row>
    <row r="77" spans="1:8" hidden="1">
      <c r="A77" s="200" t="s">
        <v>683</v>
      </c>
      <c r="B77" s="200" t="s">
        <v>519</v>
      </c>
      <c r="C77" s="372">
        <f>IFERROR(VLOOKUP(B77,'TB 2026'!$A$4:$E$155,5,),0)</f>
        <v>19105356.129999999</v>
      </c>
      <c r="D77" s="375"/>
      <c r="E77" s="375">
        <f>Table2[[#This Row],[Balance as on 31-03-2026]]+Table2[[#This Row],[Adjustments]]</f>
        <v>19105356.129999999</v>
      </c>
      <c r="F77" s="200" t="s">
        <v>789</v>
      </c>
      <c r="G77" s="200" t="s">
        <v>76</v>
      </c>
      <c r="H77" s="200" t="s">
        <v>777</v>
      </c>
    </row>
    <row r="78" spans="1:8" hidden="1">
      <c r="A78" s="200" t="s">
        <v>683</v>
      </c>
      <c r="B78" s="200" t="s">
        <v>520</v>
      </c>
      <c r="C78" s="372">
        <f>IFERROR(VLOOKUP(B78,'TB 2026'!$A$4:$E$155,5,),0)</f>
        <v>2417612.0499999998</v>
      </c>
      <c r="D78" s="375"/>
      <c r="E78" s="375">
        <f>Table2[[#This Row],[Balance as on 31-03-2026]]+Table2[[#This Row],[Adjustments]]</f>
        <v>2417612.0499999998</v>
      </c>
      <c r="F78" s="200" t="s">
        <v>787</v>
      </c>
      <c r="G78" s="200" t="s">
        <v>76</v>
      </c>
      <c r="H78" s="200" t="s">
        <v>777</v>
      </c>
    </row>
    <row r="79" spans="1:8" hidden="1">
      <c r="A79" s="200" t="s">
        <v>683</v>
      </c>
      <c r="B79" s="200" t="s">
        <v>521</v>
      </c>
      <c r="C79" s="372">
        <f>IFERROR(VLOOKUP(B79,'TB 2026'!$A$4:$E$155,5,),0)</f>
        <v>1086000</v>
      </c>
      <c r="D79" s="375"/>
      <c r="E79" s="375">
        <f>Table2[[#This Row],[Balance as on 31-03-2026]]+Table2[[#This Row],[Adjustments]]</f>
        <v>1086000</v>
      </c>
      <c r="F79" s="200" t="s">
        <v>787</v>
      </c>
      <c r="G79" s="200" t="s">
        <v>76</v>
      </c>
      <c r="H79" s="200" t="s">
        <v>777</v>
      </c>
    </row>
    <row r="80" spans="1:8" hidden="1">
      <c r="A80" s="200" t="s">
        <v>683</v>
      </c>
      <c r="B80" s="200" t="s">
        <v>522</v>
      </c>
      <c r="C80" s="372">
        <f>IFERROR(VLOOKUP(B80,'TB 2026'!$A$4:$E$155,5,),0)</f>
        <v>17448</v>
      </c>
      <c r="D80" s="375"/>
      <c r="E80" s="375">
        <f>Table2[[#This Row],[Balance as on 31-03-2026]]+Table2[[#This Row],[Adjustments]]</f>
        <v>17448</v>
      </c>
      <c r="F80" s="200" t="s">
        <v>373</v>
      </c>
    </row>
    <row r="81" spans="1:8" hidden="1">
      <c r="A81" s="200" t="s">
        <v>683</v>
      </c>
      <c r="B81" s="200" t="s">
        <v>523</v>
      </c>
      <c r="C81" s="372">
        <f>IFERROR(VLOOKUP(B81,'TB 2026'!$A$4:$E$155,5,),0)</f>
        <v>473064.78</v>
      </c>
      <c r="D81" s="375"/>
      <c r="E81" s="375">
        <f>Table2[[#This Row],[Balance as on 31-03-2026]]+Table2[[#This Row],[Adjustments]]</f>
        <v>473064.78</v>
      </c>
      <c r="F81" s="200" t="s">
        <v>487</v>
      </c>
      <c r="G81" s="200" t="s">
        <v>76</v>
      </c>
      <c r="H81" s="200" t="s">
        <v>777</v>
      </c>
    </row>
    <row r="82" spans="1:8" hidden="1">
      <c r="A82" s="200" t="s">
        <v>683</v>
      </c>
      <c r="B82" s="200" t="s">
        <v>524</v>
      </c>
      <c r="C82" s="372">
        <f>IFERROR(VLOOKUP(B82,'TB 2026'!$A$4:$E$155,5,),0)</f>
        <v>17109</v>
      </c>
      <c r="D82" s="375"/>
      <c r="E82" s="375">
        <f>Table2[[#This Row],[Balance as on 31-03-2026]]+Table2[[#This Row],[Adjustments]]</f>
        <v>17109</v>
      </c>
      <c r="F82" s="200" t="s">
        <v>488</v>
      </c>
      <c r="G82" s="200" t="s">
        <v>76</v>
      </c>
      <c r="H82" s="200" t="s">
        <v>777</v>
      </c>
    </row>
    <row r="83" spans="1:8" hidden="1">
      <c r="A83" s="200" t="s">
        <v>683</v>
      </c>
      <c r="B83" s="200" t="s">
        <v>525</v>
      </c>
      <c r="C83" s="372">
        <f>IFERROR(VLOOKUP(B83,'TB 2026'!$A$4:$E$155,5,),0)</f>
        <v>425975.4</v>
      </c>
      <c r="D83" s="375"/>
      <c r="E83" s="375">
        <f>Table2[[#This Row],[Balance as on 31-03-2026]]+Table2[[#This Row],[Adjustments]]</f>
        <v>425975.4</v>
      </c>
      <c r="F83" s="200" t="s">
        <v>373</v>
      </c>
    </row>
    <row r="84" spans="1:8" hidden="1">
      <c r="A84" s="200" t="s">
        <v>683</v>
      </c>
      <c r="B84" s="200" t="s">
        <v>526</v>
      </c>
      <c r="C84" s="372">
        <f>IFERROR(VLOOKUP(B84,'TB 2026'!$A$4:$E$155,5,),0)</f>
        <v>1941845.18</v>
      </c>
      <c r="D84" s="375"/>
      <c r="E84" s="375">
        <f>Table2[[#This Row],[Balance as on 31-03-2026]]+Table2[[#This Row],[Adjustments]]</f>
        <v>1941845.18</v>
      </c>
      <c r="F84" s="200" t="s">
        <v>112</v>
      </c>
      <c r="G84" s="200" t="s">
        <v>76</v>
      </c>
      <c r="H84" s="200" t="s">
        <v>777</v>
      </c>
    </row>
    <row r="85" spans="1:8" hidden="1">
      <c r="A85" s="200" t="s">
        <v>683</v>
      </c>
      <c r="B85" s="200" t="s">
        <v>527</v>
      </c>
      <c r="C85" s="372">
        <f>IFERROR(VLOOKUP(B85,'TB 2026'!$A$4:$E$155,5,),0)</f>
        <v>157986.88</v>
      </c>
      <c r="D85" s="375"/>
      <c r="E85" s="375">
        <f>Table2[[#This Row],[Balance as on 31-03-2026]]+Table2[[#This Row],[Adjustments]]</f>
        <v>157986.88</v>
      </c>
      <c r="F85" s="200" t="s">
        <v>373</v>
      </c>
    </row>
    <row r="86" spans="1:8" hidden="1">
      <c r="A86" s="200" t="s">
        <v>683</v>
      </c>
      <c r="B86" s="200" t="s">
        <v>528</v>
      </c>
      <c r="C86" s="372">
        <f>IFERROR(VLOOKUP(B86,'TB 2026'!$A$4:$E$155,5,),0)</f>
        <v>121099248</v>
      </c>
      <c r="D86" s="375">
        <v>-39479000</v>
      </c>
      <c r="E86" s="375">
        <f>Table2[[#This Row],[Balance as on 31-03-2026]]+Table2[[#This Row],[Adjustments]]</f>
        <v>81620248</v>
      </c>
      <c r="F86" s="200" t="s">
        <v>713</v>
      </c>
      <c r="G86" s="200" t="s">
        <v>481</v>
      </c>
      <c r="H86" s="200" t="s">
        <v>777</v>
      </c>
    </row>
    <row r="87" spans="1:8" hidden="1">
      <c r="A87" s="200" t="s">
        <v>683</v>
      </c>
      <c r="B87" s="200" t="s">
        <v>686</v>
      </c>
      <c r="C87" s="372">
        <f>IFERROR(VLOOKUP(B87,'TB 2026'!$A$4:$E$155,5,),0)</f>
        <v>0</v>
      </c>
      <c r="D87" s="375"/>
      <c r="E87" s="375">
        <f>Table2[[#This Row],[Balance as on 31-03-2026]]+Table2[[#This Row],[Adjustments]]</f>
        <v>0</v>
      </c>
    </row>
    <row r="88" spans="1:8" hidden="1">
      <c r="A88" s="200" t="s">
        <v>683</v>
      </c>
      <c r="B88" s="200" t="s">
        <v>687</v>
      </c>
      <c r="C88" s="372">
        <f>IFERROR(VLOOKUP(B88,'TB 2026'!$A$4:$E$155,5,),0)</f>
        <v>15000000</v>
      </c>
      <c r="D88" s="375"/>
      <c r="E88" s="375">
        <f>Table2[[#This Row],[Balance as on 31-03-2026]]+Table2[[#This Row],[Adjustments]]</f>
        <v>15000000</v>
      </c>
      <c r="F88" s="200" t="s">
        <v>168</v>
      </c>
      <c r="G88" s="200" t="s">
        <v>74</v>
      </c>
      <c r="H88" s="200" t="s">
        <v>777</v>
      </c>
    </row>
    <row r="89" spans="1:8" hidden="1">
      <c r="A89" s="200" t="s">
        <v>683</v>
      </c>
      <c r="B89" s="200" t="s">
        <v>688</v>
      </c>
      <c r="C89" s="372">
        <f>IFERROR(VLOOKUP(B89,'TB 2026'!$A$4:$E$155,5,),0)</f>
        <v>23000000</v>
      </c>
      <c r="D89" s="375"/>
      <c r="E89" s="375">
        <f>Table2[[#This Row],[Balance as on 31-03-2026]]+Table2[[#This Row],[Adjustments]]</f>
        <v>23000000</v>
      </c>
      <c r="F89" s="200" t="s">
        <v>168</v>
      </c>
      <c r="G89" s="200" t="s">
        <v>74</v>
      </c>
      <c r="H89" s="200" t="s">
        <v>777</v>
      </c>
    </row>
    <row r="90" spans="1:8" hidden="1">
      <c r="A90" s="200" t="s">
        <v>683</v>
      </c>
      <c r="B90" s="200" t="s">
        <v>529</v>
      </c>
      <c r="C90" s="372">
        <f>IFERROR(VLOOKUP(B90,'TB 2026'!$A$4:$E$155,5,),0)</f>
        <v>73739161.129999995</v>
      </c>
      <c r="D90" s="375"/>
      <c r="E90" s="375">
        <f>Table2[[#This Row],[Balance as on 31-03-2026]]+Table2[[#This Row],[Adjustments]]</f>
        <v>73739161.129999995</v>
      </c>
      <c r="F90" s="200" t="s">
        <v>714</v>
      </c>
      <c r="G90" s="200" t="s">
        <v>481</v>
      </c>
      <c r="H90" s="200" t="s">
        <v>777</v>
      </c>
    </row>
    <row r="91" spans="1:8" hidden="1">
      <c r="A91" s="200" t="s">
        <v>683</v>
      </c>
      <c r="B91" s="200" t="s">
        <v>690</v>
      </c>
      <c r="C91" s="372">
        <f>IFERROR(VLOOKUP(B91,'TB 2026'!$A$4:$E$155,5,),0)</f>
        <v>-5000</v>
      </c>
      <c r="D91" s="375"/>
      <c r="E91" s="375">
        <f>Table2[[#This Row],[Balance as on 31-03-2026]]+Table2[[#This Row],[Adjustments]]</f>
        <v>-5000</v>
      </c>
      <c r="F91" s="200" t="s">
        <v>947</v>
      </c>
    </row>
    <row r="92" spans="1:8" hidden="1">
      <c r="A92" s="200" t="s">
        <v>683</v>
      </c>
      <c r="B92" s="200" t="s">
        <v>530</v>
      </c>
      <c r="C92" s="372">
        <f>IFERROR(VLOOKUP(B92,'TB 2026'!$A$4:$E$155,5,),0)</f>
        <v>18687.8</v>
      </c>
      <c r="D92" s="375"/>
      <c r="E92" s="375">
        <f>Table2[[#This Row],[Balance as on 31-03-2026]]+Table2[[#This Row],[Adjustments]]</f>
        <v>18687.8</v>
      </c>
      <c r="F92" s="200" t="s">
        <v>596</v>
      </c>
      <c r="G92" s="200" t="s">
        <v>107</v>
      </c>
      <c r="H92" s="200" t="s">
        <v>777</v>
      </c>
    </row>
    <row r="93" spans="1:8" hidden="1">
      <c r="A93" s="200" t="s">
        <v>683</v>
      </c>
      <c r="B93" s="200" t="s">
        <v>691</v>
      </c>
      <c r="C93" s="372">
        <f>IFERROR(VLOOKUP(B93,'TB 2026'!$A$4:$E$155,5,),0)</f>
        <v>140250</v>
      </c>
      <c r="D93" s="375"/>
      <c r="E93" s="375">
        <f>Table2[[#This Row],[Balance as on 31-03-2026]]+Table2[[#This Row],[Adjustments]]</f>
        <v>140250</v>
      </c>
      <c r="F93" s="200" t="s">
        <v>351</v>
      </c>
      <c r="G93" s="200" t="s">
        <v>481</v>
      </c>
      <c r="H93" s="200" t="s">
        <v>777</v>
      </c>
    </row>
    <row r="94" spans="1:8" hidden="1">
      <c r="A94" s="200" t="s">
        <v>683</v>
      </c>
      <c r="B94" s="200" t="s">
        <v>531</v>
      </c>
      <c r="C94" s="372">
        <f>IFERROR(VLOOKUP(B94,'TB 2026'!$A$4:$E$155,5,),0)</f>
        <v>13749679.119999999</v>
      </c>
      <c r="D94" s="375"/>
      <c r="E94" s="375">
        <f>Table2[[#This Row],[Balance as on 31-03-2026]]+Table2[[#This Row],[Adjustments]]</f>
        <v>13749679.119999999</v>
      </c>
      <c r="F94" s="200" t="s">
        <v>351</v>
      </c>
      <c r="G94" s="200" t="s">
        <v>481</v>
      </c>
      <c r="H94" s="200" t="s">
        <v>777</v>
      </c>
    </row>
    <row r="95" spans="1:8" hidden="1">
      <c r="A95" s="200" t="s">
        <v>683</v>
      </c>
      <c r="B95" s="200" t="s">
        <v>532</v>
      </c>
      <c r="C95" s="372">
        <f>IFERROR(VLOOKUP(B95,'TB 2026'!$A$4:$E$155,5,),0)</f>
        <v>26678140.670000002</v>
      </c>
      <c r="D95" s="375"/>
      <c r="E95" s="375">
        <f>Table2[[#This Row],[Balance as on 31-03-2026]]+Table2[[#This Row],[Adjustments]]</f>
        <v>26678140.670000002</v>
      </c>
      <c r="F95" s="200" t="s">
        <v>351</v>
      </c>
      <c r="G95" s="200" t="s">
        <v>481</v>
      </c>
      <c r="H95" s="200" t="s">
        <v>777</v>
      </c>
    </row>
    <row r="96" spans="1:8" hidden="1">
      <c r="A96" s="200" t="s">
        <v>683</v>
      </c>
      <c r="B96" s="200" t="s">
        <v>533</v>
      </c>
      <c r="C96" s="372">
        <f>IFERROR(VLOOKUP(B96,'TB 2026'!$A$4:$E$155,5,),0)</f>
        <v>29994930.579999998</v>
      </c>
      <c r="D96" s="375"/>
      <c r="E96" s="375">
        <f>Table2[[#This Row],[Balance as on 31-03-2026]]+Table2[[#This Row],[Adjustments]]</f>
        <v>29994930.579999998</v>
      </c>
      <c r="F96" s="200" t="s">
        <v>351</v>
      </c>
      <c r="G96" s="200" t="s">
        <v>481</v>
      </c>
      <c r="H96" s="200" t="s">
        <v>777</v>
      </c>
    </row>
    <row r="97" spans="1:8" hidden="1">
      <c r="A97" s="200" t="s">
        <v>683</v>
      </c>
      <c r="B97" s="200" t="s">
        <v>534</v>
      </c>
      <c r="C97" s="372">
        <f>IFERROR(VLOOKUP(B97,'TB 2026'!$A$4:$E$155,5,),0)</f>
        <v>887804</v>
      </c>
      <c r="D97" s="375"/>
      <c r="E97" s="375">
        <f>Table2[[#This Row],[Balance as on 31-03-2026]]+Table2[[#This Row],[Adjustments]]</f>
        <v>887804</v>
      </c>
      <c r="F97" s="200" t="s">
        <v>485</v>
      </c>
      <c r="G97" s="200" t="s">
        <v>76</v>
      </c>
      <c r="H97" s="200" t="s">
        <v>777</v>
      </c>
    </row>
    <row r="98" spans="1:8" hidden="1">
      <c r="A98" s="200" t="s">
        <v>683</v>
      </c>
      <c r="B98" s="200" t="s">
        <v>762</v>
      </c>
      <c r="C98" s="372">
        <f>IFERROR(VLOOKUP(B98,'TB 2026'!$A$4:$E$155,5,),0)</f>
        <v>0</v>
      </c>
      <c r="D98" s="375">
        <f>'TB 2026'!G110</f>
        <v>-44864</v>
      </c>
      <c r="E98" s="375">
        <f>Table2[[#This Row],[Balance as on 31-03-2026]]+Table2[[#This Row],[Adjustments]]</f>
        <v>-44864</v>
      </c>
    </row>
    <row r="99" spans="1:8" hidden="1">
      <c r="A99" s="200" t="s">
        <v>683</v>
      </c>
      <c r="B99" s="200" t="s">
        <v>535</v>
      </c>
      <c r="C99" s="372">
        <f>IFERROR(VLOOKUP(B99,'TB 2026'!$A$4:$E$155,5,),0)</f>
        <v>0</v>
      </c>
      <c r="D99" s="375">
        <f>-'TB 2026'!H111</f>
        <v>2045608.09</v>
      </c>
      <c r="E99" s="375">
        <f>Table2[[#This Row],[Balance as on 31-03-2026]]+Table2[[#This Row],[Adjustments]]</f>
        <v>2045608.09</v>
      </c>
      <c r="F99" s="200" t="s">
        <v>25</v>
      </c>
    </row>
    <row r="100" spans="1:8" hidden="1">
      <c r="A100" s="200" t="s">
        <v>683</v>
      </c>
      <c r="B100" s="200" t="s">
        <v>536</v>
      </c>
      <c r="C100" s="372">
        <f>IFERROR(VLOOKUP(B100,'TB 2026'!$A$4:$E$155,5,),0)</f>
        <v>3254381</v>
      </c>
      <c r="D100" s="375"/>
      <c r="E100" s="375">
        <f>Table2[[#This Row],[Balance as on 31-03-2026]]+Table2[[#This Row],[Adjustments]]</f>
        <v>3254381</v>
      </c>
      <c r="F100" s="200" t="s">
        <v>778</v>
      </c>
      <c r="G100" s="200" t="s">
        <v>74</v>
      </c>
      <c r="H100" s="200" t="s">
        <v>777</v>
      </c>
    </row>
    <row r="101" spans="1:8" hidden="1">
      <c r="A101" s="200" t="s">
        <v>683</v>
      </c>
      <c r="B101" s="200" t="s">
        <v>537</v>
      </c>
      <c r="C101" s="372">
        <f>IFERROR(VLOOKUP(B101,'TB 2026'!$A$4:$E$155,5,),0)</f>
        <v>866050</v>
      </c>
      <c r="D101" s="375"/>
      <c r="E101" s="375">
        <f>Table2[[#This Row],[Balance as on 31-03-2026]]+Table2[[#This Row],[Adjustments]]</f>
        <v>866050</v>
      </c>
      <c r="F101" s="200" t="s">
        <v>113</v>
      </c>
    </row>
    <row r="102" spans="1:8" hidden="1">
      <c r="A102" s="200" t="s">
        <v>683</v>
      </c>
      <c r="B102" s="200" t="s">
        <v>692</v>
      </c>
      <c r="C102" s="372">
        <f>IFERROR(VLOOKUP(B102,'TB 2026'!$A$4:$E$155,5,),0)</f>
        <v>1469911</v>
      </c>
      <c r="D102" s="375"/>
      <c r="E102" s="375">
        <f>Table2[[#This Row],[Balance as on 31-03-2026]]+Table2[[#This Row],[Adjustments]]</f>
        <v>1469911</v>
      </c>
      <c r="F102" s="200" t="s">
        <v>778</v>
      </c>
      <c r="G102" s="200" t="s">
        <v>74</v>
      </c>
      <c r="H102" s="200" t="s">
        <v>777</v>
      </c>
    </row>
    <row r="103" spans="1:8" hidden="1">
      <c r="A103" s="200" t="s">
        <v>683</v>
      </c>
      <c r="B103" s="200" t="s">
        <v>538</v>
      </c>
      <c r="C103" s="372">
        <f>IFERROR(VLOOKUP(B103,'TB 2026'!$A$4:$E$155,5,),0)</f>
        <v>1641826.32</v>
      </c>
      <c r="D103" s="375"/>
      <c r="E103" s="375">
        <f>Table2[[#This Row],[Balance as on 31-03-2026]]+Table2[[#This Row],[Adjustments]]</f>
        <v>1641826.32</v>
      </c>
      <c r="F103" s="200" t="s">
        <v>373</v>
      </c>
    </row>
    <row r="104" spans="1:8" hidden="1">
      <c r="A104" s="200" t="s">
        <v>683</v>
      </c>
      <c r="B104" s="200" t="s">
        <v>539</v>
      </c>
      <c r="C104" s="372">
        <f>IFERROR(VLOOKUP(B104,'TB 2026'!$A$4:$E$155,5,),0)</f>
        <v>26225.26</v>
      </c>
      <c r="D104" s="375"/>
      <c r="E104" s="375">
        <f>Table2[[#This Row],[Balance as on 31-03-2026]]+Table2[[#This Row],[Adjustments]]</f>
        <v>26225.26</v>
      </c>
      <c r="F104" s="200" t="s">
        <v>106</v>
      </c>
      <c r="G104" s="200" t="s">
        <v>506</v>
      </c>
      <c r="H104" s="200" t="s">
        <v>777</v>
      </c>
    </row>
    <row r="105" spans="1:8" hidden="1">
      <c r="A105" s="200" t="s">
        <v>683</v>
      </c>
      <c r="B105" s="200" t="s">
        <v>693</v>
      </c>
      <c r="C105" s="372">
        <f>IFERROR(VLOOKUP(B105,'TB 2026'!$A$4:$E$155,5,),0)</f>
        <v>4382500</v>
      </c>
      <c r="D105" s="375"/>
      <c r="E105" s="375">
        <f>Table2[[#This Row],[Balance as on 31-03-2026]]+Table2[[#This Row],[Adjustments]]</f>
        <v>4382500</v>
      </c>
      <c r="F105" s="200" t="s">
        <v>486</v>
      </c>
    </row>
    <row r="106" spans="1:8" hidden="1">
      <c r="A106" s="200" t="s">
        <v>683</v>
      </c>
      <c r="B106" s="200" t="s">
        <v>694</v>
      </c>
      <c r="C106" s="372">
        <f>IFERROR(VLOOKUP(B106,'TB 2026'!$A$4:$E$155,5,),0)</f>
        <v>164449</v>
      </c>
      <c r="D106" s="375"/>
      <c r="E106" s="375">
        <f>Table2[[#This Row],[Balance as on 31-03-2026]]+Table2[[#This Row],[Adjustments]]</f>
        <v>164449</v>
      </c>
      <c r="F106" s="200" t="s">
        <v>484</v>
      </c>
    </row>
    <row r="107" spans="1:8" hidden="1">
      <c r="A107" s="200" t="s">
        <v>683</v>
      </c>
      <c r="B107" s="200" t="s">
        <v>540</v>
      </c>
      <c r="C107" s="372">
        <f>IFERROR(VLOOKUP(B107,'TB 2026'!$A$4:$E$155,5,),0)</f>
        <v>1792799.8</v>
      </c>
      <c r="D107" s="375">
        <v>450000</v>
      </c>
      <c r="E107" s="375">
        <f>Table2[[#This Row],[Balance as on 31-03-2026]]+Table2[[#This Row],[Adjustments]]</f>
        <v>2242799.7999999998</v>
      </c>
      <c r="F107" s="200" t="s">
        <v>484</v>
      </c>
    </row>
    <row r="108" spans="1:8" hidden="1">
      <c r="A108" s="200" t="s">
        <v>683</v>
      </c>
      <c r="B108" s="200" t="s">
        <v>541</v>
      </c>
      <c r="C108" s="372">
        <f>IFERROR(VLOOKUP(B108,'TB 2026'!$A$4:$E$155,5,),0)</f>
        <v>4761500</v>
      </c>
      <c r="D108" s="375"/>
      <c r="E108" s="375">
        <f>Table2[[#This Row],[Balance as on 31-03-2026]]+Table2[[#This Row],[Adjustments]]</f>
        <v>4761500</v>
      </c>
      <c r="F108" s="200" t="s">
        <v>484</v>
      </c>
    </row>
    <row r="109" spans="1:8" hidden="1">
      <c r="A109" s="200" t="s">
        <v>683</v>
      </c>
      <c r="B109" s="200" t="s">
        <v>542</v>
      </c>
      <c r="C109" s="372">
        <f>IFERROR(VLOOKUP(B109,'TB 2026'!$A$4:$E$155,5,),0)</f>
        <v>981517.63</v>
      </c>
      <c r="D109" s="375"/>
      <c r="E109" s="375">
        <f>Table2[[#This Row],[Balance as on 31-03-2026]]+Table2[[#This Row],[Adjustments]]</f>
        <v>981517.63</v>
      </c>
      <c r="F109" s="200" t="s">
        <v>373</v>
      </c>
    </row>
    <row r="110" spans="1:8" hidden="1">
      <c r="A110" s="200" t="s">
        <v>683</v>
      </c>
      <c r="B110" s="200" t="s">
        <v>543</v>
      </c>
      <c r="C110" s="372">
        <f>IFERROR(VLOOKUP(B110,'TB 2026'!$A$4:$E$155,5,),0)</f>
        <v>132771.70000000001</v>
      </c>
      <c r="D110" s="375"/>
      <c r="E110" s="375">
        <f>Table2[[#This Row],[Balance as on 31-03-2026]]+Table2[[#This Row],[Adjustments]]</f>
        <v>132771.70000000001</v>
      </c>
      <c r="F110" s="200" t="s">
        <v>373</v>
      </c>
    </row>
    <row r="111" spans="1:8" hidden="1">
      <c r="A111" s="200" t="s">
        <v>683</v>
      </c>
      <c r="B111" s="200" t="s">
        <v>544</v>
      </c>
      <c r="C111" s="372">
        <f>IFERROR(VLOOKUP(B111,'TB 2026'!$A$4:$E$155,5,),0)</f>
        <v>1749457</v>
      </c>
      <c r="D111" s="375"/>
      <c r="E111" s="375">
        <f>Table2[[#This Row],[Balance as on 31-03-2026]]+Table2[[#This Row],[Adjustments]]</f>
        <v>1749457</v>
      </c>
      <c r="F111" s="200" t="s">
        <v>106</v>
      </c>
      <c r="G111" s="200" t="s">
        <v>22</v>
      </c>
      <c r="H111" s="200" t="s">
        <v>777</v>
      </c>
    </row>
    <row r="112" spans="1:8" hidden="1">
      <c r="A112" s="200" t="s">
        <v>683</v>
      </c>
      <c r="B112" s="200" t="s">
        <v>545</v>
      </c>
      <c r="C112" s="372">
        <f>IFERROR(VLOOKUP(B112,'TB 2026'!$A$4:$E$155,5,),0)</f>
        <v>10355354</v>
      </c>
      <c r="D112" s="375"/>
      <c r="E112" s="375">
        <f>Table2[[#This Row],[Balance as on 31-03-2026]]+Table2[[#This Row],[Adjustments]]</f>
        <v>10355354</v>
      </c>
      <c r="F112" s="200" t="s">
        <v>106</v>
      </c>
      <c r="G112" s="200" t="s">
        <v>23</v>
      </c>
      <c r="H112" s="200" t="s">
        <v>777</v>
      </c>
    </row>
    <row r="113" spans="1:8" hidden="1">
      <c r="A113" s="200" t="s">
        <v>683</v>
      </c>
      <c r="B113" s="200" t="s">
        <v>546</v>
      </c>
      <c r="C113" s="372">
        <f>IFERROR(VLOOKUP(B113,'TB 2026'!$A$4:$E$155,5,),0)</f>
        <v>153646905</v>
      </c>
      <c r="D113" s="375"/>
      <c r="E113" s="375">
        <f>Table2[[#This Row],[Balance as on 31-03-2026]]+Table2[[#This Row],[Adjustments]]</f>
        <v>153646905</v>
      </c>
      <c r="F113" s="200" t="s">
        <v>243</v>
      </c>
      <c r="G113" s="200" t="s">
        <v>74</v>
      </c>
      <c r="H113" s="200" t="s">
        <v>777</v>
      </c>
    </row>
    <row r="114" spans="1:8" hidden="1">
      <c r="A114" s="200" t="s">
        <v>683</v>
      </c>
      <c r="B114" s="200" t="s">
        <v>547</v>
      </c>
      <c r="C114" s="372">
        <f>IFERROR(VLOOKUP(B114,'TB 2026'!$A$4:$E$155,5,),0)</f>
        <v>9454782</v>
      </c>
      <c r="D114" s="375"/>
      <c r="E114" s="375">
        <f>Table2[[#This Row],[Balance as on 31-03-2026]]+Table2[[#This Row],[Adjustments]]</f>
        <v>9454782</v>
      </c>
      <c r="F114" s="200" t="s">
        <v>243</v>
      </c>
      <c r="G114" s="200" t="s">
        <v>74</v>
      </c>
      <c r="H114" s="200" t="s">
        <v>777</v>
      </c>
    </row>
    <row r="115" spans="1:8" hidden="1">
      <c r="A115" s="200" t="s">
        <v>683</v>
      </c>
      <c r="B115" s="200" t="s">
        <v>548</v>
      </c>
      <c r="C115" s="372">
        <f>IFERROR(VLOOKUP(B115,'TB 2026'!$A$4:$E$155,5,),0)</f>
        <v>389315</v>
      </c>
      <c r="D115" s="375"/>
      <c r="E115" s="375">
        <f>Table2[[#This Row],[Balance as on 31-03-2026]]+Table2[[#This Row],[Adjustments]]</f>
        <v>389315</v>
      </c>
      <c r="F115" s="200" t="s">
        <v>243</v>
      </c>
      <c r="G115" s="200" t="s">
        <v>74</v>
      </c>
      <c r="H115" s="200" t="s">
        <v>777</v>
      </c>
    </row>
    <row r="116" spans="1:8" hidden="1">
      <c r="A116" s="200" t="s">
        <v>683</v>
      </c>
      <c r="B116" s="200" t="s">
        <v>549</v>
      </c>
      <c r="C116" s="372">
        <f>IFERROR(VLOOKUP(B116,'TB 2026'!$A$4:$E$155,5,),0)</f>
        <v>493680</v>
      </c>
      <c r="D116" s="375"/>
      <c r="E116" s="375">
        <f>Table2[[#This Row],[Balance as on 31-03-2026]]+Table2[[#This Row],[Adjustments]]</f>
        <v>493680</v>
      </c>
      <c r="F116" s="200" t="s">
        <v>484</v>
      </c>
    </row>
    <row r="117" spans="1:8">
      <c r="A117" s="200" t="s">
        <v>683</v>
      </c>
      <c r="B117" s="200" t="s">
        <v>550</v>
      </c>
      <c r="C117" s="372">
        <f>IFERROR(VLOOKUP(B117,'TB 2026'!$A$4:$E$155,5,),0)</f>
        <v>-8000000</v>
      </c>
      <c r="D117" s="375"/>
      <c r="E117" s="375">
        <f>Table2[[#This Row],[Balance as on 31-03-2026]]+Table2[[#This Row],[Adjustments]]</f>
        <v>-8000000</v>
      </c>
      <c r="F117" s="200" t="s">
        <v>948</v>
      </c>
    </row>
    <row r="118" spans="1:8" hidden="1">
      <c r="A118" s="200" t="s">
        <v>683</v>
      </c>
      <c r="B118" s="200" t="s">
        <v>551</v>
      </c>
      <c r="C118" s="372">
        <f>IFERROR(VLOOKUP(B118,'TB 2026'!$A$4:$E$155,5,),0)</f>
        <v>686172.02</v>
      </c>
      <c r="D118" s="375"/>
      <c r="E118" s="375">
        <f>Table2[[#This Row],[Balance as on 31-03-2026]]+Table2[[#This Row],[Adjustments]]</f>
        <v>686172.02</v>
      </c>
      <c r="F118" s="200" t="s">
        <v>373</v>
      </c>
    </row>
    <row r="119" spans="1:8" hidden="1">
      <c r="A119" s="200" t="s">
        <v>683</v>
      </c>
      <c r="B119" s="200" t="s">
        <v>552</v>
      </c>
      <c r="C119" s="372">
        <f>IFERROR(VLOOKUP(B119,'TB 2026'!$A$4:$E$155,5,),0)</f>
        <v>478000</v>
      </c>
      <c r="D119" s="375"/>
      <c r="E119" s="375">
        <f>Table2[[#This Row],[Balance as on 31-03-2026]]+Table2[[#This Row],[Adjustments]]</f>
        <v>478000</v>
      </c>
      <c r="F119" s="200" t="s">
        <v>373</v>
      </c>
    </row>
    <row r="120" spans="1:8" hidden="1">
      <c r="A120" s="200" t="s">
        <v>683</v>
      </c>
      <c r="B120" s="200" t="s">
        <v>561</v>
      </c>
      <c r="C120" s="372">
        <f>IFERROR(VLOOKUP(B120,'TB 2026'!$A$4:$E$155,5,),0)</f>
        <v>0</v>
      </c>
      <c r="D120" s="375"/>
      <c r="E120" s="375">
        <f>Table2[[#This Row],[Balance as on 31-03-2026]]+Table2[[#This Row],[Adjustments]]</f>
        <v>0</v>
      </c>
    </row>
    <row r="121" spans="1:8" hidden="1">
      <c r="A121" s="200" t="s">
        <v>683</v>
      </c>
      <c r="B121" s="200" t="s">
        <v>695</v>
      </c>
      <c r="C121" s="372">
        <f>IFERROR(VLOOKUP(B121,'TB 2026'!$A$4:$E$155,5,),0)</f>
        <v>208800</v>
      </c>
      <c r="D121" s="375"/>
      <c r="E121" s="375">
        <f>Table2[[#This Row],[Balance as on 31-03-2026]]+Table2[[#This Row],[Adjustments]]</f>
        <v>208800</v>
      </c>
      <c r="F121" s="200" t="s">
        <v>788</v>
      </c>
      <c r="G121" s="200" t="s">
        <v>76</v>
      </c>
      <c r="H121" s="200" t="s">
        <v>777</v>
      </c>
    </row>
    <row r="122" spans="1:8" hidden="1">
      <c r="A122" s="200" t="s">
        <v>683</v>
      </c>
      <c r="B122" s="200" t="s">
        <v>562</v>
      </c>
      <c r="C122" s="372">
        <f>IFERROR(VLOOKUP(B122,'TB 2026'!$A$4:$E$155,5,),0)</f>
        <v>532591</v>
      </c>
      <c r="D122" s="375"/>
      <c r="E122" s="375">
        <f>Table2[[#This Row],[Balance as on 31-03-2026]]+Table2[[#This Row],[Adjustments]]</f>
        <v>532591</v>
      </c>
      <c r="F122" s="200" t="s">
        <v>788</v>
      </c>
      <c r="G122" s="200" t="s">
        <v>76</v>
      </c>
      <c r="H122" s="200" t="s">
        <v>777</v>
      </c>
    </row>
    <row r="123" spans="1:8" hidden="1">
      <c r="A123" s="200" t="s">
        <v>683</v>
      </c>
      <c r="B123" s="200" t="s">
        <v>575</v>
      </c>
      <c r="C123" s="372">
        <f>IFERROR(VLOOKUP(B123,'TB 2026'!$A$4:$E$155,5,),0)</f>
        <v>938000</v>
      </c>
      <c r="D123" s="375"/>
      <c r="E123" s="375">
        <f>Table2[[#This Row],[Balance as on 31-03-2026]]+Table2[[#This Row],[Adjustments]]</f>
        <v>938000</v>
      </c>
      <c r="F123" s="200" t="s">
        <v>788</v>
      </c>
      <c r="G123" s="200" t="s">
        <v>76</v>
      </c>
      <c r="H123" s="200" t="s">
        <v>777</v>
      </c>
    </row>
    <row r="124" spans="1:8" hidden="1">
      <c r="A124" s="200" t="s">
        <v>683</v>
      </c>
      <c r="B124" s="200" t="s">
        <v>563</v>
      </c>
      <c r="C124" s="372">
        <f>IFERROR(VLOOKUP(B124,'TB 2026'!$A$4:$E$155,5,),0)</f>
        <v>1435686</v>
      </c>
      <c r="D124" s="375"/>
      <c r="E124" s="375">
        <f>Table2[[#This Row],[Balance as on 31-03-2026]]+Table2[[#This Row],[Adjustments]]</f>
        <v>1435686</v>
      </c>
      <c r="F124" s="200" t="s">
        <v>788</v>
      </c>
      <c r="G124" s="200" t="s">
        <v>76</v>
      </c>
      <c r="H124" s="200" t="s">
        <v>777</v>
      </c>
    </row>
    <row r="125" spans="1:8" hidden="1">
      <c r="A125" s="200" t="s">
        <v>683</v>
      </c>
      <c r="B125" s="200" t="s">
        <v>696</v>
      </c>
      <c r="C125" s="372">
        <f>IFERROR(VLOOKUP(B125,'TB 2026'!$A$4:$E$155,5,),0)</f>
        <v>256200</v>
      </c>
      <c r="D125" s="375"/>
      <c r="E125" s="375">
        <f>Table2[[#This Row],[Balance as on 31-03-2026]]+Table2[[#This Row],[Adjustments]]</f>
        <v>256200</v>
      </c>
      <c r="F125" s="200" t="s">
        <v>786</v>
      </c>
      <c r="G125" s="200" t="s">
        <v>76</v>
      </c>
      <c r="H125" s="200" t="s">
        <v>777</v>
      </c>
    </row>
    <row r="126" spans="1:8" hidden="1">
      <c r="A126" s="200" t="s">
        <v>683</v>
      </c>
      <c r="B126" s="200" t="s">
        <v>697</v>
      </c>
      <c r="C126" s="372">
        <f>IFERROR(VLOOKUP(B126,'TB 2026'!$A$4:$E$155,5,),0)</f>
        <v>4053622</v>
      </c>
      <c r="D126" s="375"/>
      <c r="E126" s="375">
        <f>Table2[[#This Row],[Balance as on 31-03-2026]]+Table2[[#This Row],[Adjustments]]</f>
        <v>4053622</v>
      </c>
      <c r="F126" s="200" t="s">
        <v>786</v>
      </c>
      <c r="G126" s="200" t="s">
        <v>76</v>
      </c>
      <c r="H126" s="200" t="s">
        <v>777</v>
      </c>
    </row>
    <row r="127" spans="1:8" hidden="1">
      <c r="A127" s="200" t="s">
        <v>683</v>
      </c>
      <c r="B127" s="200" t="s">
        <v>564</v>
      </c>
      <c r="C127" s="372">
        <f>IFERROR(VLOOKUP(B127,'TB 2026'!$A$4:$E$155,5,),0)</f>
        <v>2984635</v>
      </c>
      <c r="D127" s="375"/>
      <c r="E127" s="375">
        <f>Table2[[#This Row],[Balance as on 31-03-2026]]+Table2[[#This Row],[Adjustments]]</f>
        <v>2984635</v>
      </c>
      <c r="F127" s="200" t="s">
        <v>786</v>
      </c>
      <c r="G127" s="200" t="s">
        <v>76</v>
      </c>
      <c r="H127" s="200" t="s">
        <v>777</v>
      </c>
    </row>
    <row r="128" spans="1:8" hidden="1">
      <c r="A128" s="200" t="s">
        <v>683</v>
      </c>
      <c r="B128" s="200" t="s">
        <v>576</v>
      </c>
      <c r="C128" s="372">
        <f>IFERROR(VLOOKUP(B128,'TB 2026'!$A$4:$E$155,5,),0)</f>
        <v>3660300</v>
      </c>
      <c r="D128" s="375"/>
      <c r="E128" s="375">
        <f>Table2[[#This Row],[Balance as on 31-03-2026]]+Table2[[#This Row],[Adjustments]]</f>
        <v>3660300</v>
      </c>
      <c r="F128" s="200" t="s">
        <v>786</v>
      </c>
      <c r="G128" s="200" t="s">
        <v>76</v>
      </c>
      <c r="H128" s="200" t="s">
        <v>777</v>
      </c>
    </row>
    <row r="129" spans="1:8" hidden="1">
      <c r="A129" s="200" t="s">
        <v>683</v>
      </c>
      <c r="B129" s="200" t="s">
        <v>565</v>
      </c>
      <c r="C129" s="372">
        <f>IFERROR(VLOOKUP(B129,'TB 2026'!$A$4:$E$155,5,),0)</f>
        <v>2894893.08</v>
      </c>
      <c r="D129" s="375"/>
      <c r="E129" s="375">
        <f>Table2[[#This Row],[Balance as on 31-03-2026]]+Table2[[#This Row],[Adjustments]]</f>
        <v>2894893.08</v>
      </c>
      <c r="F129" s="200" t="s">
        <v>786</v>
      </c>
      <c r="G129" s="200" t="s">
        <v>76</v>
      </c>
      <c r="H129" s="200" t="s">
        <v>777</v>
      </c>
    </row>
    <row r="130" spans="1:8" hidden="1">
      <c r="A130" s="200" t="s">
        <v>683</v>
      </c>
      <c r="B130" s="200" t="s">
        <v>567</v>
      </c>
      <c r="C130" s="372">
        <f>IFERROR(VLOOKUP(B130,'TB 2026'!$A$4:$E$155,5,),0)</f>
        <v>192.15</v>
      </c>
      <c r="D130" s="375"/>
      <c r="E130" s="375">
        <f>Table2[[#This Row],[Balance as on 31-03-2026]]+Table2[[#This Row],[Adjustments]]</f>
        <v>192.15</v>
      </c>
      <c r="F130" s="200" t="s">
        <v>113</v>
      </c>
    </row>
    <row r="131" spans="1:8" hidden="1">
      <c r="A131" s="200" t="s">
        <v>683</v>
      </c>
      <c r="B131" s="200" t="s">
        <v>698</v>
      </c>
      <c r="C131" s="372">
        <f>IFERROR(VLOOKUP(B131,'TB 2026'!$A$4:$E$155,5,),0)</f>
        <v>35600</v>
      </c>
      <c r="D131" s="375"/>
      <c r="E131" s="375">
        <f>Table2[[#This Row],[Balance as on 31-03-2026]]+Table2[[#This Row],[Adjustments]]</f>
        <v>35600</v>
      </c>
      <c r="F131" s="200" t="s">
        <v>104</v>
      </c>
      <c r="G131" s="200" t="s">
        <v>74</v>
      </c>
      <c r="H131" s="200" t="s">
        <v>777</v>
      </c>
    </row>
    <row r="132" spans="1:8" hidden="1">
      <c r="A132" s="200" t="s">
        <v>683</v>
      </c>
      <c r="B132" s="200" t="s">
        <v>553</v>
      </c>
      <c r="C132" s="372">
        <f>IFERROR(VLOOKUP(B132,'TB 2026'!$A$4:$E$155,5,),0)</f>
        <v>9705407</v>
      </c>
      <c r="D132" s="375"/>
      <c r="E132" s="375">
        <f>Table2[[#This Row],[Balance as on 31-03-2026]]+Table2[[#This Row],[Adjustments]]</f>
        <v>9705407</v>
      </c>
      <c r="F132" s="200" t="s">
        <v>104</v>
      </c>
      <c r="G132" s="200" t="s">
        <v>74</v>
      </c>
      <c r="H132" s="200" t="s">
        <v>777</v>
      </c>
    </row>
    <row r="133" spans="1:8" hidden="1">
      <c r="A133" s="200" t="s">
        <v>683</v>
      </c>
      <c r="B133" s="200" t="s">
        <v>554</v>
      </c>
      <c r="C133" s="372">
        <f>IFERROR(VLOOKUP(B133,'TB 2026'!$A$4:$E$155,5,),0)</f>
        <v>25278</v>
      </c>
      <c r="D133" s="375"/>
      <c r="E133" s="375">
        <f>Table2[[#This Row],[Balance as on 31-03-2026]]+Table2[[#This Row],[Adjustments]]</f>
        <v>25278</v>
      </c>
      <c r="F133" s="200" t="s">
        <v>104</v>
      </c>
      <c r="G133" s="200" t="s">
        <v>74</v>
      </c>
      <c r="H133" s="200" t="s">
        <v>777</v>
      </c>
    </row>
    <row r="134" spans="1:8" hidden="1">
      <c r="A134" s="200" t="s">
        <v>683</v>
      </c>
      <c r="B134" s="200" t="s">
        <v>555</v>
      </c>
      <c r="C134" s="372">
        <f>IFERROR(VLOOKUP(B134,'TB 2026'!$A$4:$E$155,5,),0)</f>
        <v>2002874.57</v>
      </c>
      <c r="D134" s="375"/>
      <c r="E134" s="375">
        <f>Table2[[#This Row],[Balance as on 31-03-2026]]+Table2[[#This Row],[Adjustments]]</f>
        <v>2002874.57</v>
      </c>
      <c r="F134" s="200" t="s">
        <v>104</v>
      </c>
      <c r="G134" s="200" t="s">
        <v>74</v>
      </c>
      <c r="H134" s="200" t="s">
        <v>777</v>
      </c>
    </row>
    <row r="135" spans="1:8" hidden="1">
      <c r="A135" s="200" t="s">
        <v>683</v>
      </c>
      <c r="B135" s="200" t="s">
        <v>699</v>
      </c>
      <c r="C135" s="372">
        <f>IFERROR(VLOOKUP(B135,'TB 2026'!$A$4:$E$155,5,),0)</f>
        <v>674294</v>
      </c>
      <c r="D135" s="375"/>
      <c r="E135" s="375">
        <f>Table2[[#This Row],[Balance as on 31-03-2026]]+Table2[[#This Row],[Adjustments]]</f>
        <v>674294</v>
      </c>
      <c r="F135" s="200" t="s">
        <v>104</v>
      </c>
      <c r="G135" s="200" t="s">
        <v>74</v>
      </c>
      <c r="H135" s="200" t="s">
        <v>777</v>
      </c>
    </row>
    <row r="136" spans="1:8" hidden="1">
      <c r="A136" s="200" t="s">
        <v>683</v>
      </c>
      <c r="B136" s="200" t="s">
        <v>556</v>
      </c>
      <c r="C136" s="372">
        <f>IFERROR(VLOOKUP(B136,'TB 2026'!$A$4:$E$155,5,),0)</f>
        <v>128150</v>
      </c>
      <c r="D136" s="375"/>
      <c r="E136" s="375">
        <f>Table2[[#This Row],[Balance as on 31-03-2026]]+Table2[[#This Row],[Adjustments]]</f>
        <v>128150</v>
      </c>
      <c r="F136" s="200" t="s">
        <v>104</v>
      </c>
      <c r="G136" s="200" t="s">
        <v>74</v>
      </c>
      <c r="H136" s="200" t="s">
        <v>777</v>
      </c>
    </row>
    <row r="137" spans="1:8" hidden="1">
      <c r="A137" s="200" t="s">
        <v>683</v>
      </c>
      <c r="B137" s="200" t="s">
        <v>557</v>
      </c>
      <c r="C137" s="372">
        <f>IFERROR(VLOOKUP(B137,'TB 2026'!$A$4:$E$155,5,),0)</f>
        <v>3250866</v>
      </c>
      <c r="D137" s="375"/>
      <c r="E137" s="375">
        <f>Table2[[#This Row],[Balance as on 31-03-2026]]+Table2[[#This Row],[Adjustments]]</f>
        <v>3250866</v>
      </c>
      <c r="F137" s="200" t="s">
        <v>104</v>
      </c>
      <c r="G137" s="200" t="s">
        <v>74</v>
      </c>
      <c r="H137" s="200" t="s">
        <v>777</v>
      </c>
    </row>
    <row r="138" spans="1:8" hidden="1">
      <c r="A138" s="200" t="s">
        <v>683</v>
      </c>
      <c r="B138" s="200" t="s">
        <v>558</v>
      </c>
      <c r="C138" s="372">
        <f>IFERROR(VLOOKUP(B138,'TB 2026'!$A$4:$E$155,5,),0)</f>
        <v>1158453</v>
      </c>
      <c r="D138" s="375"/>
      <c r="E138" s="375">
        <f>Table2[[#This Row],[Balance as on 31-03-2026]]+Table2[[#This Row],[Adjustments]]</f>
        <v>1158453</v>
      </c>
      <c r="F138" s="200" t="s">
        <v>104</v>
      </c>
      <c r="G138" s="200" t="s">
        <v>74</v>
      </c>
      <c r="H138" s="200" t="s">
        <v>777</v>
      </c>
    </row>
    <row r="139" spans="1:8" hidden="1">
      <c r="A139" s="200" t="s">
        <v>683</v>
      </c>
      <c r="B139" s="200" t="s">
        <v>700</v>
      </c>
      <c r="C139" s="372">
        <f>IFERROR(VLOOKUP(B139,'TB 2026'!$A$4:$E$155,5,),0)</f>
        <v>-52434.6</v>
      </c>
      <c r="D139" s="375"/>
      <c r="E139" s="375">
        <f>Table2[[#This Row],[Balance as on 31-03-2026]]+Table2[[#This Row],[Adjustments]]</f>
        <v>-52434.6</v>
      </c>
      <c r="F139" s="200" t="s">
        <v>716</v>
      </c>
    </row>
    <row r="140" spans="1:8" hidden="1">
      <c r="A140" s="200" t="s">
        <v>683</v>
      </c>
      <c r="B140" s="200" t="s">
        <v>559</v>
      </c>
      <c r="C140" s="372">
        <f>IFERROR(VLOOKUP(B140,'TB 2026'!$A$4:$E$155,5,),0)</f>
        <v>132241.69</v>
      </c>
      <c r="D140" s="375"/>
      <c r="E140" s="375">
        <f>Table2[[#This Row],[Balance as on 31-03-2026]]+Table2[[#This Row],[Adjustments]]</f>
        <v>132241.69</v>
      </c>
      <c r="F140" s="200" t="s">
        <v>161</v>
      </c>
      <c r="G140" s="200" t="s">
        <v>76</v>
      </c>
      <c r="H140" s="200" t="s">
        <v>777</v>
      </c>
    </row>
    <row r="141" spans="1:8" hidden="1">
      <c r="A141" s="200" t="s">
        <v>683</v>
      </c>
      <c r="B141" s="200" t="s">
        <v>560</v>
      </c>
      <c r="C141" s="372">
        <f>IFERROR(VLOOKUP(B141,'TB 2026'!$A$4:$E$155,5,),0)</f>
        <v>376091.54</v>
      </c>
      <c r="D141" s="375"/>
      <c r="E141" s="375">
        <f>Table2[[#This Row],[Balance as on 31-03-2026]]+Table2[[#This Row],[Adjustments]]</f>
        <v>376091.54</v>
      </c>
      <c r="F141" s="200" t="s">
        <v>161</v>
      </c>
      <c r="G141" s="200" t="s">
        <v>76</v>
      </c>
      <c r="H141" s="200" t="s">
        <v>777</v>
      </c>
    </row>
    <row r="142" spans="1:8" hidden="1">
      <c r="A142" s="200" t="s">
        <v>683</v>
      </c>
      <c r="B142" s="200" t="s">
        <v>964</v>
      </c>
      <c r="C142" s="372">
        <f>IFERROR(VLOOKUP(B142,'TB 2026'!$A$4:$E$155,5,),0)</f>
        <v>0</v>
      </c>
      <c r="D142" s="375">
        <v>50000000</v>
      </c>
      <c r="E142" s="375">
        <f>Table2[[#This Row],[Balance as on 31-03-2026]]+Table2[[#This Row],[Adjustments]]</f>
        <v>50000000</v>
      </c>
      <c r="F142" s="958" t="s">
        <v>486</v>
      </c>
      <c r="H142" s="200" t="s">
        <v>777</v>
      </c>
    </row>
    <row r="143" spans="1:8" hidden="1">
      <c r="A143" s="200" t="s">
        <v>683</v>
      </c>
      <c r="B143" s="200" t="s">
        <v>965</v>
      </c>
      <c r="C143" s="372">
        <f>IFERROR(VLOOKUP(B143,'TB 2026'!$A$4:$E$155,5,),0)</f>
        <v>0</v>
      </c>
      <c r="D143" s="375">
        <f>'Current Tax'!C24</f>
        <v>5200000</v>
      </c>
      <c r="E143" s="375">
        <f>Table2[[#This Row],[Balance as on 31-03-2026]]+Table2[[#This Row],[Adjustments]]</f>
        <v>5200000</v>
      </c>
      <c r="F143" s="200" t="s">
        <v>720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3C0C-91A2-43E2-B6BF-0EFA8239FA41}">
  <dimension ref="A1:H157"/>
  <sheetViews>
    <sheetView topLeftCell="A41" workbookViewId="0">
      <selection activeCell="H41" sqref="H41"/>
    </sheetView>
  </sheetViews>
  <sheetFormatPr defaultColWidth="9.140625" defaultRowHeight="15"/>
  <cols>
    <col min="1" max="5" width="39" style="346" customWidth="1"/>
    <col min="6" max="6" width="9.140625" style="346"/>
    <col min="7" max="8" width="15.5703125" style="797" bestFit="1" customWidth="1"/>
    <col min="9" max="16384" width="9.140625" style="346"/>
  </cols>
  <sheetData>
    <row r="1" spans="1:8" ht="69.95" customHeight="1">
      <c r="A1" s="938" t="s">
        <v>610</v>
      </c>
      <c r="B1" s="937"/>
      <c r="C1" s="937"/>
      <c r="D1" s="937"/>
      <c r="E1" s="937"/>
    </row>
    <row r="2" spans="1:8">
      <c r="A2" s="347" t="s">
        <v>508</v>
      </c>
      <c r="B2" s="348" t="s">
        <v>611</v>
      </c>
      <c r="C2" s="348" t="s">
        <v>612</v>
      </c>
      <c r="D2" s="348" t="s">
        <v>613</v>
      </c>
      <c r="E2" s="348" t="s">
        <v>614</v>
      </c>
    </row>
    <row r="4" spans="1:8">
      <c r="A4" s="349" t="s">
        <v>568</v>
      </c>
      <c r="B4" s="937" t="s">
        <v>509</v>
      </c>
      <c r="C4" s="937" t="s">
        <v>509</v>
      </c>
      <c r="D4" s="937" t="s">
        <v>509</v>
      </c>
      <c r="E4" s="937" t="s">
        <v>509</v>
      </c>
    </row>
    <row r="5" spans="1:8">
      <c r="A5" s="349" t="s">
        <v>615</v>
      </c>
      <c r="B5" s="350">
        <v>1242797.43</v>
      </c>
      <c r="C5" s="350">
        <v>684187680.34000003</v>
      </c>
      <c r="D5" s="350">
        <v>681113058.5</v>
      </c>
      <c r="E5" s="350">
        <v>4317419.2699999996</v>
      </c>
      <c r="G5" s="797">
        <v>4317419.2699999996</v>
      </c>
      <c r="H5" s="797">
        <f>E5-G5</f>
        <v>0</v>
      </c>
    </row>
    <row r="6" spans="1:8">
      <c r="A6" s="349" t="s">
        <v>616</v>
      </c>
      <c r="B6" s="350">
        <v>5000000</v>
      </c>
      <c r="C6" s="350">
        <v>23125223.379999999</v>
      </c>
      <c r="D6" s="350">
        <v>5000000</v>
      </c>
      <c r="E6" s="350">
        <v>23125223.379999999</v>
      </c>
      <c r="G6" s="797">
        <v>23125223.379999999</v>
      </c>
      <c r="H6" s="797">
        <f t="shared" ref="H6:H69" si="0">E6-G6</f>
        <v>0</v>
      </c>
    </row>
    <row r="7" spans="1:8">
      <c r="A7" s="349" t="s">
        <v>617</v>
      </c>
      <c r="B7" s="350">
        <v>-2836754.05</v>
      </c>
      <c r="C7" s="350">
        <v>0</v>
      </c>
      <c r="D7" s="350">
        <v>0</v>
      </c>
      <c r="E7" s="350">
        <v>-2836754.05</v>
      </c>
      <c r="G7" s="797">
        <v>-4882362.1399999997</v>
      </c>
      <c r="H7" s="797">
        <f t="shared" si="0"/>
        <v>2045608.0899999999</v>
      </c>
    </row>
    <row r="8" spans="1:8">
      <c r="A8" s="349" t="s">
        <v>618</v>
      </c>
      <c r="B8" s="350">
        <v>171762.8</v>
      </c>
      <c r="C8" s="350">
        <v>149543.82999999999</v>
      </c>
      <c r="D8" s="350">
        <v>171762.8</v>
      </c>
      <c r="E8" s="350">
        <v>149543.82999999999</v>
      </c>
      <c r="G8" s="797">
        <v>149543.82999999999</v>
      </c>
      <c r="H8" s="797">
        <f t="shared" si="0"/>
        <v>0</v>
      </c>
    </row>
    <row r="9" spans="1:8">
      <c r="A9" s="349" t="s">
        <v>619</v>
      </c>
      <c r="B9" s="350">
        <v>174506.18</v>
      </c>
      <c r="C9" s="350">
        <v>4097931.79</v>
      </c>
      <c r="D9" s="350">
        <v>4191495.87</v>
      </c>
      <c r="E9" s="350">
        <v>80942.100000000006</v>
      </c>
      <c r="G9" s="797">
        <v>80942.100000000006</v>
      </c>
      <c r="H9" s="797">
        <f t="shared" si="0"/>
        <v>0</v>
      </c>
    </row>
    <row r="10" spans="1:8">
      <c r="A10" s="349" t="s">
        <v>620</v>
      </c>
      <c r="B10" s="350">
        <v>50000</v>
      </c>
      <c r="C10" s="350">
        <v>0</v>
      </c>
      <c r="D10" s="350">
        <v>0</v>
      </c>
      <c r="E10" s="350">
        <v>50000</v>
      </c>
      <c r="G10" s="797">
        <v>50000</v>
      </c>
      <c r="H10" s="797">
        <f t="shared" si="0"/>
        <v>0</v>
      </c>
    </row>
    <row r="11" spans="1:8">
      <c r="A11" s="349" t="s">
        <v>621</v>
      </c>
      <c r="B11" s="350">
        <v>4563131.41</v>
      </c>
      <c r="C11" s="350">
        <v>2398648.44</v>
      </c>
      <c r="D11" s="350">
        <v>0</v>
      </c>
      <c r="E11" s="350">
        <v>6961779.8499999996</v>
      </c>
      <c r="G11" s="797">
        <v>6961779.8499999996</v>
      </c>
      <c r="H11" s="797">
        <f t="shared" si="0"/>
        <v>0</v>
      </c>
    </row>
    <row r="12" spans="1:8">
      <c r="A12" s="349" t="s">
        <v>622</v>
      </c>
      <c r="B12" s="350">
        <v>1588011.23</v>
      </c>
      <c r="C12" s="350">
        <v>1405943920.53</v>
      </c>
      <c r="D12" s="350">
        <v>1381592929.6600001</v>
      </c>
      <c r="E12" s="350">
        <v>25939002.100000001</v>
      </c>
      <c r="G12" s="797">
        <v>25939002.100000001</v>
      </c>
      <c r="H12" s="797">
        <f t="shared" si="0"/>
        <v>0</v>
      </c>
    </row>
    <row r="13" spans="1:8">
      <c r="A13" s="349" t="s">
        <v>623</v>
      </c>
      <c r="B13" s="350">
        <v>2354801</v>
      </c>
      <c r="C13" s="350">
        <v>0</v>
      </c>
      <c r="D13" s="350">
        <v>0</v>
      </c>
      <c r="E13" s="350">
        <v>2354801</v>
      </c>
      <c r="G13" s="797">
        <v>2354801</v>
      </c>
      <c r="H13" s="797">
        <f t="shared" si="0"/>
        <v>0</v>
      </c>
    </row>
    <row r="14" spans="1:8">
      <c r="A14" s="349" t="s">
        <v>624</v>
      </c>
      <c r="B14" s="350">
        <v>0</v>
      </c>
      <c r="C14" s="350">
        <v>1537200</v>
      </c>
      <c r="D14" s="350">
        <v>0</v>
      </c>
      <c r="E14" s="350">
        <v>1537200</v>
      </c>
      <c r="G14" s="797">
        <v>1537200</v>
      </c>
      <c r="H14" s="797">
        <f t="shared" si="0"/>
        <v>0</v>
      </c>
    </row>
    <row r="15" spans="1:8">
      <c r="A15" s="349" t="s">
        <v>625</v>
      </c>
      <c r="B15" s="350">
        <v>1680000</v>
      </c>
      <c r="C15" s="350">
        <v>0</v>
      </c>
      <c r="D15" s="350">
        <v>0</v>
      </c>
      <c r="E15" s="350">
        <v>1680000</v>
      </c>
      <c r="G15" s="797">
        <v>1680000</v>
      </c>
      <c r="H15" s="797">
        <f t="shared" si="0"/>
        <v>0</v>
      </c>
    </row>
    <row r="16" spans="1:8">
      <c r="A16" s="349" t="s">
        <v>626</v>
      </c>
      <c r="B16" s="350">
        <v>1102520</v>
      </c>
      <c r="C16" s="350">
        <v>0</v>
      </c>
      <c r="D16" s="350">
        <v>0</v>
      </c>
      <c r="E16" s="350">
        <v>1102520</v>
      </c>
      <c r="G16" s="797">
        <v>1102520</v>
      </c>
      <c r="H16" s="797">
        <f t="shared" si="0"/>
        <v>0</v>
      </c>
    </row>
    <row r="17" spans="1:8">
      <c r="A17" s="349" t="s">
        <v>627</v>
      </c>
      <c r="B17" s="350">
        <v>1000000</v>
      </c>
      <c r="C17" s="350">
        <v>1000000</v>
      </c>
      <c r="D17" s="350">
        <v>0</v>
      </c>
      <c r="E17" s="350">
        <v>2000000</v>
      </c>
      <c r="G17" s="797">
        <v>2000000</v>
      </c>
      <c r="H17" s="797">
        <f t="shared" si="0"/>
        <v>0</v>
      </c>
    </row>
    <row r="18" spans="1:8">
      <c r="A18" s="349" t="s">
        <v>628</v>
      </c>
      <c r="B18" s="350">
        <v>40000</v>
      </c>
      <c r="C18" s="350">
        <v>0</v>
      </c>
      <c r="D18" s="350">
        <v>0</v>
      </c>
      <c r="E18" s="350">
        <v>40000</v>
      </c>
      <c r="G18" s="797">
        <v>40000</v>
      </c>
      <c r="H18" s="797">
        <f t="shared" si="0"/>
        <v>0</v>
      </c>
    </row>
    <row r="19" spans="1:8">
      <c r="A19" s="349" t="s">
        <v>629</v>
      </c>
      <c r="B19" s="350">
        <v>24000</v>
      </c>
      <c r="C19" s="350">
        <v>0</v>
      </c>
      <c r="D19" s="350">
        <v>0</v>
      </c>
      <c r="E19" s="350">
        <v>24000</v>
      </c>
      <c r="G19" s="797">
        <v>24000</v>
      </c>
      <c r="H19" s="797">
        <f t="shared" si="0"/>
        <v>0</v>
      </c>
    </row>
    <row r="20" spans="1:8">
      <c r="A20" s="349" t="s">
        <v>630</v>
      </c>
      <c r="B20" s="350">
        <v>42420521</v>
      </c>
      <c r="C20" s="350">
        <v>746483135</v>
      </c>
      <c r="D20" s="350">
        <v>698529453</v>
      </c>
      <c r="E20" s="350">
        <v>90374203</v>
      </c>
      <c r="G20" s="797">
        <v>90374203</v>
      </c>
      <c r="H20" s="797">
        <f t="shared" si="0"/>
        <v>0</v>
      </c>
    </row>
    <row r="21" spans="1:8">
      <c r="A21" s="349" t="s">
        <v>631</v>
      </c>
      <c r="B21" s="350">
        <v>2635971.1800000002</v>
      </c>
      <c r="C21" s="350">
        <v>558378.22</v>
      </c>
      <c r="D21" s="350">
        <v>0</v>
      </c>
      <c r="E21" s="350">
        <v>3194349.4</v>
      </c>
      <c r="G21" s="797">
        <v>3194349.4</v>
      </c>
      <c r="H21" s="797">
        <f t="shared" si="0"/>
        <v>0</v>
      </c>
    </row>
    <row r="22" spans="1:8">
      <c r="A22" s="349" t="s">
        <v>632</v>
      </c>
      <c r="B22" s="350">
        <v>37647450</v>
      </c>
      <c r="C22" s="350">
        <v>19324090</v>
      </c>
      <c r="D22" s="350">
        <v>56836912</v>
      </c>
      <c r="E22" s="350">
        <v>134628</v>
      </c>
      <c r="G22" s="797">
        <v>134628</v>
      </c>
      <c r="H22" s="797">
        <f t="shared" si="0"/>
        <v>0</v>
      </c>
    </row>
    <row r="23" spans="1:8">
      <c r="A23" s="349" t="s">
        <v>633</v>
      </c>
      <c r="B23" s="350">
        <v>0</v>
      </c>
      <c r="C23" s="350">
        <v>0</v>
      </c>
      <c r="D23" s="350">
        <v>0</v>
      </c>
      <c r="E23" s="350">
        <v>0</v>
      </c>
      <c r="G23" s="797">
        <v>0</v>
      </c>
      <c r="H23" s="797">
        <f t="shared" si="0"/>
        <v>0</v>
      </c>
    </row>
    <row r="24" spans="1:8">
      <c r="A24" s="349" t="s">
        <v>634</v>
      </c>
      <c r="B24" s="350">
        <v>50935.6</v>
      </c>
      <c r="C24" s="350">
        <v>18541864.550000001</v>
      </c>
      <c r="D24" s="350">
        <v>18463406.140000001</v>
      </c>
      <c r="E24" s="350">
        <v>129394.01</v>
      </c>
      <c r="G24" s="797">
        <v>129394.01</v>
      </c>
      <c r="H24" s="797">
        <f t="shared" si="0"/>
        <v>0</v>
      </c>
    </row>
    <row r="25" spans="1:8">
      <c r="A25" s="349" t="s">
        <v>635</v>
      </c>
      <c r="B25" s="350">
        <v>80.709999999999994</v>
      </c>
      <c r="C25" s="350">
        <v>15907839.060000001</v>
      </c>
      <c r="D25" s="350">
        <v>15779759.17</v>
      </c>
      <c r="E25" s="350">
        <v>128160.6</v>
      </c>
      <c r="G25" s="797">
        <v>128160.6</v>
      </c>
      <c r="H25" s="797">
        <f t="shared" si="0"/>
        <v>0</v>
      </c>
    </row>
    <row r="26" spans="1:8">
      <c r="A26" s="349" t="s">
        <v>636</v>
      </c>
      <c r="B26" s="350">
        <v>50935.6</v>
      </c>
      <c r="C26" s="350">
        <v>18541864.550000001</v>
      </c>
      <c r="D26" s="350">
        <v>18463406.149999999</v>
      </c>
      <c r="E26" s="350">
        <v>129394</v>
      </c>
      <c r="G26" s="797">
        <v>129394</v>
      </c>
      <c r="H26" s="797">
        <f t="shared" si="0"/>
        <v>0</v>
      </c>
    </row>
    <row r="27" spans="1:8" ht="15.75">
      <c r="A27" s="351" t="s">
        <v>637</v>
      </c>
      <c r="B27" s="352">
        <v>101951.91</v>
      </c>
      <c r="C27" s="352">
        <v>52991568.159999996</v>
      </c>
      <c r="D27" s="352">
        <v>52706571.460000001</v>
      </c>
      <c r="E27" s="352">
        <v>386948.61</v>
      </c>
      <c r="G27" s="797">
        <v>386948.61</v>
      </c>
      <c r="H27" s="797">
        <f t="shared" si="0"/>
        <v>0</v>
      </c>
    </row>
    <row r="28" spans="1:8">
      <c r="H28" s="797">
        <f t="shared" si="0"/>
        <v>0</v>
      </c>
    </row>
    <row r="29" spans="1:8">
      <c r="A29" s="349" t="s">
        <v>638</v>
      </c>
      <c r="B29" s="350">
        <v>130808</v>
      </c>
      <c r="C29" s="350">
        <v>1205000</v>
      </c>
      <c r="D29" s="350">
        <v>1173554</v>
      </c>
      <c r="E29" s="350">
        <v>162254</v>
      </c>
      <c r="G29" s="797">
        <v>162254</v>
      </c>
      <c r="H29" s="797">
        <f t="shared" si="0"/>
        <v>0</v>
      </c>
    </row>
    <row r="30" spans="1:8">
      <c r="A30" s="349" t="s">
        <v>639</v>
      </c>
      <c r="B30" s="350">
        <v>24422.41</v>
      </c>
      <c r="C30" s="350">
        <v>4650581.18</v>
      </c>
      <c r="D30" s="350">
        <v>4587240.6399999997</v>
      </c>
      <c r="E30" s="350">
        <v>87762.95</v>
      </c>
      <c r="G30" s="797">
        <v>87762.95</v>
      </c>
      <c r="H30" s="797">
        <f t="shared" si="0"/>
        <v>0</v>
      </c>
    </row>
    <row r="31" spans="1:8">
      <c r="A31" s="349" t="s">
        <v>640</v>
      </c>
      <c r="B31" s="350">
        <v>372301.37</v>
      </c>
      <c r="C31" s="350">
        <v>0</v>
      </c>
      <c r="D31" s="350">
        <v>372301.37</v>
      </c>
      <c r="E31" s="350">
        <v>0</v>
      </c>
      <c r="G31" s="797">
        <v>0</v>
      </c>
      <c r="H31" s="797">
        <f t="shared" si="0"/>
        <v>0</v>
      </c>
    </row>
    <row r="32" spans="1:8">
      <c r="A32" s="349" t="s">
        <v>641</v>
      </c>
      <c r="B32" s="350">
        <v>62574.58</v>
      </c>
      <c r="C32" s="350">
        <v>73949.149999999994</v>
      </c>
      <c r="D32" s="350">
        <v>24059.32</v>
      </c>
      <c r="E32" s="350">
        <v>112464.41</v>
      </c>
      <c r="G32" s="797">
        <v>112464.41</v>
      </c>
      <c r="H32" s="797">
        <f t="shared" si="0"/>
        <v>0</v>
      </c>
    </row>
    <row r="33" spans="1:8">
      <c r="A33" s="349" t="s">
        <v>642</v>
      </c>
      <c r="B33" s="350">
        <v>0</v>
      </c>
      <c r="C33" s="350">
        <v>649430</v>
      </c>
      <c r="D33" s="350">
        <v>649430</v>
      </c>
      <c r="E33" s="350">
        <v>0</v>
      </c>
      <c r="G33" s="797">
        <v>0</v>
      </c>
      <c r="H33" s="797">
        <f t="shared" si="0"/>
        <v>0</v>
      </c>
    </row>
    <row r="34" spans="1:8">
      <c r="A34" s="349" t="s">
        <v>643</v>
      </c>
      <c r="B34" s="350">
        <v>0</v>
      </c>
      <c r="C34" s="350">
        <v>2524116.46</v>
      </c>
      <c r="D34" s="350">
        <v>2523504.08</v>
      </c>
      <c r="E34" s="350">
        <v>612.38</v>
      </c>
      <c r="G34" s="797">
        <v>612.38</v>
      </c>
      <c r="H34" s="797">
        <f t="shared" si="0"/>
        <v>0</v>
      </c>
    </row>
    <row r="35" spans="1:8">
      <c r="A35" s="349" t="s">
        <v>644</v>
      </c>
      <c r="B35" s="350">
        <v>207334</v>
      </c>
      <c r="C35" s="350">
        <v>3047500</v>
      </c>
      <c r="D35" s="350">
        <v>1284049</v>
      </c>
      <c r="E35" s="350">
        <v>1970785</v>
      </c>
      <c r="G35" s="797">
        <v>1970785</v>
      </c>
      <c r="H35" s="797">
        <f t="shared" si="0"/>
        <v>0</v>
      </c>
    </row>
    <row r="36" spans="1:8">
      <c r="A36" s="349" t="s">
        <v>645</v>
      </c>
      <c r="B36" s="350">
        <v>8554545.4000000004</v>
      </c>
      <c r="C36" s="350">
        <v>0</v>
      </c>
      <c r="D36" s="350">
        <v>8554545.4000000004</v>
      </c>
      <c r="E36" s="350">
        <v>0</v>
      </c>
      <c r="G36" s="797">
        <v>0</v>
      </c>
      <c r="H36" s="797">
        <f t="shared" si="0"/>
        <v>0</v>
      </c>
    </row>
    <row r="37" spans="1:8">
      <c r="A37" s="349" t="s">
        <v>646</v>
      </c>
      <c r="B37" s="350">
        <v>0</v>
      </c>
      <c r="C37" s="350">
        <v>11912616.9</v>
      </c>
      <c r="D37" s="350">
        <v>0</v>
      </c>
      <c r="E37" s="350">
        <v>11912616.9</v>
      </c>
      <c r="G37" s="797">
        <v>11912616.9</v>
      </c>
      <c r="H37" s="797">
        <f t="shared" si="0"/>
        <v>0</v>
      </c>
    </row>
    <row r="38" spans="1:8">
      <c r="A38" s="349" t="s">
        <v>647</v>
      </c>
      <c r="B38" s="350">
        <v>3110.16</v>
      </c>
      <c r="C38" s="350">
        <v>0</v>
      </c>
      <c r="D38" s="350">
        <v>0</v>
      </c>
      <c r="E38" s="350">
        <v>3110.16</v>
      </c>
      <c r="G38" s="797">
        <v>3110.16</v>
      </c>
      <c r="H38" s="797">
        <f t="shared" si="0"/>
        <v>0</v>
      </c>
    </row>
    <row r="39" spans="1:8">
      <c r="A39" s="349" t="s">
        <v>648</v>
      </c>
      <c r="B39" s="350">
        <v>0</v>
      </c>
      <c r="C39" s="350">
        <v>4226.43</v>
      </c>
      <c r="D39" s="350">
        <v>4226.43</v>
      </c>
      <c r="E39" s="350">
        <v>0</v>
      </c>
      <c r="G39" s="797">
        <v>0</v>
      </c>
      <c r="H39" s="797">
        <f t="shared" si="0"/>
        <v>0</v>
      </c>
    </row>
    <row r="40" spans="1:8">
      <c r="A40" s="349" t="s">
        <v>649</v>
      </c>
      <c r="B40" s="937" t="s">
        <v>509</v>
      </c>
      <c r="C40" s="937" t="s">
        <v>509</v>
      </c>
      <c r="D40" s="937" t="s">
        <v>509</v>
      </c>
      <c r="E40" s="937" t="s">
        <v>509</v>
      </c>
      <c r="H40" s="797" t="e">
        <f t="shared" si="0"/>
        <v>#VALUE!</v>
      </c>
    </row>
    <row r="41" spans="1:8">
      <c r="A41" s="349" t="s">
        <v>650</v>
      </c>
      <c r="B41" s="350">
        <v>-32007048.359999999</v>
      </c>
      <c r="C41" s="350">
        <v>371637748.24000001</v>
      </c>
      <c r="D41" s="350">
        <v>355619815.69</v>
      </c>
      <c r="E41" s="350">
        <v>-15989115.810000001</v>
      </c>
      <c r="G41" s="797">
        <v>-15980295.810000001</v>
      </c>
      <c r="H41" s="797">
        <f t="shared" si="0"/>
        <v>-8820</v>
      </c>
    </row>
    <row r="42" spans="1:8">
      <c r="A42" s="349" t="s">
        <v>651</v>
      </c>
      <c r="B42" s="350">
        <v>-231423.21</v>
      </c>
      <c r="C42" s="350">
        <v>231423.21</v>
      </c>
      <c r="D42" s="350">
        <v>54850294.259999998</v>
      </c>
      <c r="E42" s="350">
        <v>-54850294.259999998</v>
      </c>
      <c r="G42" s="797">
        <v>-54850294.259999998</v>
      </c>
      <c r="H42" s="797">
        <f t="shared" si="0"/>
        <v>0</v>
      </c>
    </row>
    <row r="43" spans="1:8">
      <c r="A43" s="349" t="s">
        <v>652</v>
      </c>
      <c r="B43" s="350">
        <v>-64525.91</v>
      </c>
      <c r="C43" s="350">
        <v>0</v>
      </c>
      <c r="D43" s="350">
        <v>0</v>
      </c>
      <c r="E43" s="350">
        <v>-64525.91</v>
      </c>
      <c r="G43" s="797">
        <v>-19661.91</v>
      </c>
      <c r="H43" s="797">
        <f t="shared" si="0"/>
        <v>-44864</v>
      </c>
    </row>
    <row r="44" spans="1:8">
      <c r="A44" s="349" t="s">
        <v>653</v>
      </c>
      <c r="B44" s="350">
        <v>0</v>
      </c>
      <c r="C44" s="350">
        <v>19784574.829999998</v>
      </c>
      <c r="D44" s="350">
        <v>24752479.829999998</v>
      </c>
      <c r="E44" s="350">
        <v>-4967905</v>
      </c>
      <c r="G44" s="797">
        <v>-4967905</v>
      </c>
      <c r="H44" s="797">
        <f t="shared" si="0"/>
        <v>0</v>
      </c>
    </row>
    <row r="45" spans="1:8">
      <c r="A45" s="349" t="s">
        <v>654</v>
      </c>
      <c r="B45" s="350">
        <v>-79164</v>
      </c>
      <c r="C45" s="350">
        <v>370412</v>
      </c>
      <c r="D45" s="350">
        <v>3291343</v>
      </c>
      <c r="E45" s="350">
        <v>-3000095</v>
      </c>
      <c r="G45" s="797">
        <v>-3000095</v>
      </c>
      <c r="H45" s="797">
        <f t="shared" si="0"/>
        <v>0</v>
      </c>
    </row>
    <row r="46" spans="1:8">
      <c r="A46" s="349" t="s">
        <v>655</v>
      </c>
      <c r="B46" s="350">
        <v>0</v>
      </c>
      <c r="C46" s="350">
        <v>1052080.3700000001</v>
      </c>
      <c r="D46" s="350">
        <v>1156745.6000000001</v>
      </c>
      <c r="E46" s="350">
        <v>-104665.23</v>
      </c>
      <c r="G46" s="797">
        <v>-104665.23</v>
      </c>
      <c r="H46" s="797">
        <f t="shared" si="0"/>
        <v>0</v>
      </c>
    </row>
    <row r="47" spans="1:8">
      <c r="A47" s="349" t="s">
        <v>656</v>
      </c>
      <c r="B47" s="350">
        <v>-220927</v>
      </c>
      <c r="C47" s="350">
        <v>2189756.4700000002</v>
      </c>
      <c r="D47" s="350">
        <v>2155784.4700000002</v>
      </c>
      <c r="E47" s="350">
        <v>-186955</v>
      </c>
      <c r="G47" s="797">
        <v>-186955</v>
      </c>
      <c r="H47" s="797">
        <f t="shared" si="0"/>
        <v>0</v>
      </c>
    </row>
    <row r="48" spans="1:8">
      <c r="A48" s="349" t="s">
        <v>657</v>
      </c>
      <c r="B48" s="350">
        <v>0</v>
      </c>
      <c r="C48" s="350">
        <v>0</v>
      </c>
      <c r="D48" s="350">
        <v>1469911</v>
      </c>
      <c r="E48" s="350">
        <v>-1469911</v>
      </c>
      <c r="G48" s="797">
        <v>-1469911</v>
      </c>
      <c r="H48" s="797">
        <f t="shared" si="0"/>
        <v>0</v>
      </c>
    </row>
    <row r="49" spans="1:8">
      <c r="A49" s="349" t="s">
        <v>658</v>
      </c>
      <c r="B49" s="350">
        <v>283435</v>
      </c>
      <c r="C49" s="350">
        <v>53241012.439999998</v>
      </c>
      <c r="D49" s="350">
        <v>56290006.439999998</v>
      </c>
      <c r="E49" s="350">
        <v>-2765559</v>
      </c>
      <c r="G49" s="797">
        <v>-2765559</v>
      </c>
      <c r="H49" s="797">
        <f t="shared" si="0"/>
        <v>0</v>
      </c>
    </row>
    <row r="50" spans="1:8">
      <c r="A50" s="349" t="s">
        <v>659</v>
      </c>
      <c r="B50" s="350">
        <v>-61332.78</v>
      </c>
      <c r="C50" s="350">
        <v>1292351.28</v>
      </c>
      <c r="D50" s="350">
        <v>1231018.5</v>
      </c>
      <c r="E50" s="350">
        <v>0</v>
      </c>
      <c r="G50" s="797">
        <v>0</v>
      </c>
      <c r="H50" s="797">
        <f t="shared" si="0"/>
        <v>0</v>
      </c>
    </row>
    <row r="51" spans="1:8">
      <c r="A51" s="349" t="s">
        <v>660</v>
      </c>
      <c r="B51" s="350">
        <v>-27864.52</v>
      </c>
      <c r="C51" s="350">
        <v>104456943.89</v>
      </c>
      <c r="D51" s="350">
        <v>104429691.70999999</v>
      </c>
      <c r="E51" s="350">
        <v>-612.34</v>
      </c>
      <c r="G51" s="797">
        <v>-612.34</v>
      </c>
      <c r="H51" s="797">
        <f t="shared" si="0"/>
        <v>0</v>
      </c>
    </row>
    <row r="52" spans="1:8">
      <c r="A52" s="349" t="s">
        <v>661</v>
      </c>
      <c r="B52" s="350">
        <v>-61332.78</v>
      </c>
      <c r="C52" s="350">
        <v>1292351.28</v>
      </c>
      <c r="D52" s="350">
        <v>1231018.5</v>
      </c>
      <c r="E52" s="350">
        <v>0</v>
      </c>
      <c r="G52" s="797">
        <v>0</v>
      </c>
      <c r="H52" s="797">
        <f t="shared" si="0"/>
        <v>0</v>
      </c>
    </row>
    <row r="53" spans="1:8" ht="15.75">
      <c r="A53" s="351" t="s">
        <v>662</v>
      </c>
      <c r="B53" s="352">
        <v>132904.92000000001</v>
      </c>
      <c r="C53" s="352">
        <v>160282658.88999999</v>
      </c>
      <c r="D53" s="352">
        <v>163181735.15000001</v>
      </c>
      <c r="E53" s="352">
        <v>-2766171.34</v>
      </c>
      <c r="G53" s="797">
        <v>-2766171.34</v>
      </c>
      <c r="H53" s="797">
        <f t="shared" si="0"/>
        <v>0</v>
      </c>
    </row>
    <row r="54" spans="1:8">
      <c r="H54" s="797">
        <f t="shared" si="0"/>
        <v>0</v>
      </c>
    </row>
    <row r="55" spans="1:8">
      <c r="A55" s="349" t="s">
        <v>663</v>
      </c>
      <c r="B55" s="350">
        <v>0</v>
      </c>
      <c r="C55" s="350">
        <v>109683</v>
      </c>
      <c r="D55" s="350">
        <v>369042.37</v>
      </c>
      <c r="E55" s="350">
        <v>-259359.37</v>
      </c>
      <c r="G55" s="797">
        <v>-259359.37</v>
      </c>
      <c r="H55" s="797">
        <f t="shared" si="0"/>
        <v>0</v>
      </c>
    </row>
    <row r="56" spans="1:8">
      <c r="A56" s="349" t="s">
        <v>664</v>
      </c>
      <c r="B56" s="350">
        <v>-295215.86</v>
      </c>
      <c r="C56" s="350">
        <v>3891949.08</v>
      </c>
      <c r="D56" s="350">
        <v>4025657.49</v>
      </c>
      <c r="E56" s="350">
        <v>-428924.27</v>
      </c>
      <c r="G56" s="797">
        <v>-428924.27</v>
      </c>
      <c r="H56" s="797">
        <f t="shared" si="0"/>
        <v>0</v>
      </c>
    </row>
    <row r="57" spans="1:8">
      <c r="A57" s="349" t="s">
        <v>665</v>
      </c>
      <c r="B57" s="350">
        <v>-726307</v>
      </c>
      <c r="C57" s="350">
        <v>9191336</v>
      </c>
      <c r="D57" s="350">
        <v>9555398</v>
      </c>
      <c r="E57" s="350">
        <v>-1090369</v>
      </c>
      <c r="G57" s="797">
        <v>-1090369</v>
      </c>
      <c r="H57" s="797">
        <f t="shared" si="0"/>
        <v>0</v>
      </c>
    </row>
    <row r="58" spans="1:8">
      <c r="A58" s="349" t="s">
        <v>666</v>
      </c>
      <c r="B58" s="350">
        <v>-1528726</v>
      </c>
      <c r="C58" s="350">
        <v>21211999</v>
      </c>
      <c r="D58" s="350">
        <v>21886026</v>
      </c>
      <c r="E58" s="350">
        <v>-2202753</v>
      </c>
      <c r="G58" s="797">
        <v>-2202753</v>
      </c>
      <c r="H58" s="797">
        <f t="shared" si="0"/>
        <v>0</v>
      </c>
    </row>
    <row r="59" spans="1:8">
      <c r="A59" s="349" t="s">
        <v>667</v>
      </c>
      <c r="B59" s="350">
        <v>-450000</v>
      </c>
      <c r="C59" s="350">
        <v>450000</v>
      </c>
      <c r="D59" s="350">
        <v>0</v>
      </c>
      <c r="E59" s="350">
        <v>0</v>
      </c>
      <c r="G59" s="797">
        <v>0</v>
      </c>
      <c r="H59" s="797">
        <f t="shared" si="0"/>
        <v>0</v>
      </c>
    </row>
    <row r="60" spans="1:8">
      <c r="A60" s="349" t="s">
        <v>668</v>
      </c>
      <c r="B60" s="350">
        <v>-8000000</v>
      </c>
      <c r="C60" s="350">
        <v>8000000</v>
      </c>
      <c r="D60" s="350">
        <v>0</v>
      </c>
      <c r="E60" s="350">
        <v>0</v>
      </c>
      <c r="G60" s="797">
        <v>0</v>
      </c>
      <c r="H60" s="797">
        <f t="shared" si="0"/>
        <v>0</v>
      </c>
    </row>
    <row r="61" spans="1:8">
      <c r="A61" s="349" t="s">
        <v>669</v>
      </c>
      <c r="B61" s="350">
        <v>-8000000</v>
      </c>
      <c r="C61" s="350">
        <v>8000000</v>
      </c>
      <c r="D61" s="350">
        <v>0</v>
      </c>
      <c r="E61" s="350">
        <v>0</v>
      </c>
      <c r="G61" s="797">
        <v>0</v>
      </c>
      <c r="H61" s="797">
        <f t="shared" si="0"/>
        <v>0</v>
      </c>
    </row>
    <row r="62" spans="1:8">
      <c r="A62" s="349" t="s">
        <v>670</v>
      </c>
      <c r="B62" s="350">
        <v>-107180</v>
      </c>
      <c r="C62" s="350">
        <v>1260465</v>
      </c>
      <c r="D62" s="350">
        <v>1458126</v>
      </c>
      <c r="E62" s="350">
        <v>-304841</v>
      </c>
      <c r="G62" s="797">
        <v>-304841</v>
      </c>
      <c r="H62" s="797">
        <f t="shared" si="0"/>
        <v>0</v>
      </c>
    </row>
    <row r="63" spans="1:8">
      <c r="A63" s="349" t="s">
        <v>671</v>
      </c>
      <c r="B63" s="350">
        <v>-33500</v>
      </c>
      <c r="C63" s="350">
        <v>517500</v>
      </c>
      <c r="D63" s="350">
        <v>514000</v>
      </c>
      <c r="E63" s="350">
        <v>-30000</v>
      </c>
      <c r="G63" s="797">
        <v>-30000</v>
      </c>
      <c r="H63" s="797">
        <f t="shared" si="0"/>
        <v>0</v>
      </c>
    </row>
    <row r="64" spans="1:8">
      <c r="A64" s="349" t="s">
        <v>672</v>
      </c>
      <c r="B64" s="350">
        <v>-9089952</v>
      </c>
      <c r="C64" s="350">
        <v>143433520</v>
      </c>
      <c r="D64" s="350">
        <v>148729552</v>
      </c>
      <c r="E64" s="350">
        <v>-14385984</v>
      </c>
      <c r="G64" s="797">
        <v>-14385984</v>
      </c>
      <c r="H64" s="797">
        <f t="shared" si="0"/>
        <v>0</v>
      </c>
    </row>
    <row r="65" spans="1:8">
      <c r="A65" s="349" t="s">
        <v>673</v>
      </c>
      <c r="B65" s="350">
        <v>0</v>
      </c>
      <c r="C65" s="350">
        <v>389315</v>
      </c>
      <c r="D65" s="350">
        <v>389315</v>
      </c>
      <c r="E65" s="350">
        <v>0</v>
      </c>
      <c r="G65" s="797">
        <v>0</v>
      </c>
      <c r="H65" s="797">
        <f t="shared" si="0"/>
        <v>0</v>
      </c>
    </row>
    <row r="66" spans="1:8">
      <c r="A66" s="349" t="s">
        <v>674</v>
      </c>
      <c r="B66" s="350">
        <v>-3111621</v>
      </c>
      <c r="C66" s="350">
        <v>33273871</v>
      </c>
      <c r="D66" s="350">
        <v>32905078</v>
      </c>
      <c r="E66" s="350">
        <v>-2742828</v>
      </c>
      <c r="G66" s="797">
        <v>-2742828</v>
      </c>
      <c r="H66" s="797">
        <f t="shared" si="0"/>
        <v>0</v>
      </c>
    </row>
    <row r="67" spans="1:8">
      <c r="A67" s="349" t="s">
        <v>675</v>
      </c>
      <c r="B67" s="937" t="s">
        <v>509</v>
      </c>
      <c r="C67" s="937" t="s">
        <v>509</v>
      </c>
      <c r="D67" s="937" t="s">
        <v>509</v>
      </c>
      <c r="E67" s="937" t="s">
        <v>509</v>
      </c>
      <c r="H67" s="797" t="e">
        <f t="shared" si="0"/>
        <v>#VALUE!</v>
      </c>
    </row>
    <row r="68" spans="1:8">
      <c r="A68" s="349" t="s">
        <v>676</v>
      </c>
      <c r="B68" s="350">
        <v>-44403080.590000004</v>
      </c>
      <c r="C68" s="350">
        <v>0</v>
      </c>
      <c r="D68" s="350">
        <v>0</v>
      </c>
      <c r="E68" s="350">
        <v>-44403080.590000004</v>
      </c>
      <c r="G68" s="797">
        <v>-44411900.590000004</v>
      </c>
      <c r="H68" s="797">
        <f t="shared" si="0"/>
        <v>8820</v>
      </c>
    </row>
    <row r="69" spans="1:8">
      <c r="A69" s="349" t="s">
        <v>677</v>
      </c>
      <c r="B69" s="350">
        <v>-100000</v>
      </c>
      <c r="C69" s="350">
        <v>0</v>
      </c>
      <c r="D69" s="350">
        <v>0</v>
      </c>
      <c r="E69" s="350">
        <v>-100000</v>
      </c>
      <c r="G69" s="797">
        <v>-100000</v>
      </c>
      <c r="H69" s="797">
        <f t="shared" si="0"/>
        <v>0</v>
      </c>
    </row>
    <row r="70" spans="1:8">
      <c r="A70" s="349" t="s">
        <v>678</v>
      </c>
      <c r="B70" s="937" t="s">
        <v>509</v>
      </c>
      <c r="C70" s="937" t="s">
        <v>509</v>
      </c>
      <c r="D70" s="937" t="s">
        <v>509</v>
      </c>
      <c r="E70" s="937" t="s">
        <v>509</v>
      </c>
      <c r="H70" s="797" t="e">
        <f t="shared" ref="H70:H133" si="1">E70-G70</f>
        <v>#VALUE!</v>
      </c>
    </row>
    <row r="71" spans="1:8">
      <c r="A71" s="349" t="s">
        <v>679</v>
      </c>
      <c r="B71" s="350">
        <v>0</v>
      </c>
      <c r="C71" s="350">
        <v>0</v>
      </c>
      <c r="D71" s="350">
        <v>31353</v>
      </c>
      <c r="E71" s="350">
        <v>-31353</v>
      </c>
      <c r="G71" s="797">
        <v>-31353</v>
      </c>
      <c r="H71" s="797">
        <f t="shared" si="1"/>
        <v>0</v>
      </c>
    </row>
    <row r="72" spans="1:8">
      <c r="A72" s="349" t="s">
        <v>581</v>
      </c>
      <c r="B72" s="350">
        <v>0</v>
      </c>
      <c r="C72" s="350">
        <v>5000000</v>
      </c>
      <c r="D72" s="350">
        <v>23125223.379999999</v>
      </c>
      <c r="E72" s="350">
        <v>-18125223.379999999</v>
      </c>
      <c r="G72" s="797">
        <v>-18125223.379999999</v>
      </c>
      <c r="H72" s="797">
        <f t="shared" si="1"/>
        <v>0</v>
      </c>
    </row>
    <row r="73" spans="1:8">
      <c r="A73" s="349" t="s">
        <v>510</v>
      </c>
      <c r="B73" s="350">
        <v>0</v>
      </c>
      <c r="C73" s="350">
        <v>0</v>
      </c>
      <c r="D73" s="350">
        <v>3782232.59</v>
      </c>
      <c r="E73" s="350">
        <v>-3782232.59</v>
      </c>
      <c r="G73" s="797">
        <v>-3782232.59</v>
      </c>
      <c r="H73" s="797">
        <f t="shared" si="1"/>
        <v>0</v>
      </c>
    </row>
    <row r="74" spans="1:8">
      <c r="A74" s="349" t="s">
        <v>680</v>
      </c>
      <c r="B74" s="350">
        <v>0</v>
      </c>
      <c r="C74" s="350">
        <v>0</v>
      </c>
      <c r="D74" s="350">
        <v>4.1399999999999997</v>
      </c>
      <c r="E74" s="350">
        <v>-4.1399999999999997</v>
      </c>
      <c r="G74" s="797">
        <v>-4.1399999999999997</v>
      </c>
      <c r="H74" s="797">
        <f t="shared" si="1"/>
        <v>0</v>
      </c>
    </row>
    <row r="75" spans="1:8">
      <c r="A75" s="349" t="s">
        <v>512</v>
      </c>
      <c r="B75" s="350">
        <v>0</v>
      </c>
      <c r="C75" s="350">
        <v>0</v>
      </c>
      <c r="D75" s="350">
        <v>568512380.76999998</v>
      </c>
      <c r="E75" s="350">
        <v>-568512380.76999998</v>
      </c>
      <c r="G75" s="797">
        <v>-568512380.79999995</v>
      </c>
      <c r="H75" s="797">
        <f t="shared" si="1"/>
        <v>2.9999971389770508E-2</v>
      </c>
    </row>
    <row r="76" spans="1:8">
      <c r="A76" s="349" t="s">
        <v>681</v>
      </c>
      <c r="B76" s="350">
        <v>0</v>
      </c>
      <c r="C76" s="350">
        <v>0</v>
      </c>
      <c r="D76" s="350">
        <v>11307687.32</v>
      </c>
      <c r="E76" s="350">
        <v>-11307687.32</v>
      </c>
      <c r="G76" s="797">
        <v>-11307687.32</v>
      </c>
      <c r="H76" s="797">
        <f t="shared" si="1"/>
        <v>0</v>
      </c>
    </row>
    <row r="77" spans="1:8" ht="15.75">
      <c r="A77" s="351" t="s">
        <v>682</v>
      </c>
      <c r="B77" s="352">
        <v>0</v>
      </c>
      <c r="C77" s="352">
        <v>0</v>
      </c>
      <c r="D77" s="352">
        <v>579820068.09000003</v>
      </c>
      <c r="E77" s="352">
        <v>-579820068.09000003</v>
      </c>
      <c r="G77" s="797">
        <v>-579820068.10000002</v>
      </c>
      <c r="H77" s="797">
        <f t="shared" si="1"/>
        <v>9.9999904632568359E-3</v>
      </c>
    </row>
    <row r="78" spans="1:8">
      <c r="H78" s="797">
        <f t="shared" si="1"/>
        <v>0</v>
      </c>
    </row>
    <row r="79" spans="1:8">
      <c r="A79" s="349" t="s">
        <v>683</v>
      </c>
      <c r="B79" s="937" t="s">
        <v>509</v>
      </c>
      <c r="C79" s="937" t="s">
        <v>509</v>
      </c>
      <c r="D79" s="937" t="s">
        <v>509</v>
      </c>
      <c r="E79" s="937" t="s">
        <v>509</v>
      </c>
      <c r="H79" s="797" t="e">
        <f t="shared" si="1"/>
        <v>#VALUE!</v>
      </c>
    </row>
    <row r="80" spans="1:8">
      <c r="A80" s="349" t="s">
        <v>684</v>
      </c>
      <c r="B80" s="350">
        <v>0</v>
      </c>
      <c r="C80" s="350">
        <v>530885</v>
      </c>
      <c r="D80" s="350">
        <v>0</v>
      </c>
      <c r="E80" s="350">
        <v>530885</v>
      </c>
      <c r="G80" s="797">
        <v>530885</v>
      </c>
      <c r="H80" s="797">
        <f t="shared" si="1"/>
        <v>0</v>
      </c>
    </row>
    <row r="81" spans="1:8">
      <c r="A81" s="349" t="s">
        <v>514</v>
      </c>
      <c r="B81" s="350">
        <v>0</v>
      </c>
      <c r="C81" s="350">
        <v>6899101.8300000001</v>
      </c>
      <c r="D81" s="350">
        <v>0</v>
      </c>
      <c r="E81" s="350">
        <v>6899101.8300000001</v>
      </c>
      <c r="G81" s="797">
        <v>6899101.8300000001</v>
      </c>
      <c r="H81" s="797">
        <f t="shared" si="1"/>
        <v>0</v>
      </c>
    </row>
    <row r="82" spans="1:8">
      <c r="A82" s="349" t="s">
        <v>515</v>
      </c>
      <c r="B82" s="350">
        <v>0</v>
      </c>
      <c r="C82" s="350">
        <v>1174930.79</v>
      </c>
      <c r="D82" s="350">
        <v>86970.23</v>
      </c>
      <c r="E82" s="350">
        <v>1087960.56</v>
      </c>
      <c r="G82" s="797">
        <v>1087960.56</v>
      </c>
      <c r="H82" s="797">
        <f t="shared" si="1"/>
        <v>0</v>
      </c>
    </row>
    <row r="83" spans="1:8">
      <c r="A83" s="349" t="s">
        <v>516</v>
      </c>
      <c r="B83" s="350">
        <v>0</v>
      </c>
      <c r="C83" s="350">
        <v>942963.18</v>
      </c>
      <c r="D83" s="350">
        <v>72799.960000000006</v>
      </c>
      <c r="E83" s="350">
        <v>870163.22</v>
      </c>
      <c r="G83" s="797">
        <v>870163.22</v>
      </c>
      <c r="H83" s="797">
        <f t="shared" si="1"/>
        <v>0</v>
      </c>
    </row>
    <row r="84" spans="1:8">
      <c r="A84" s="349" t="s">
        <v>517</v>
      </c>
      <c r="B84" s="350">
        <v>0</v>
      </c>
      <c r="C84" s="350">
        <v>7881452.0599999996</v>
      </c>
      <c r="D84" s="350">
        <v>513483.35</v>
      </c>
      <c r="E84" s="350">
        <v>7367968.71</v>
      </c>
      <c r="G84" s="797">
        <v>7367968.71</v>
      </c>
      <c r="H84" s="797">
        <f t="shared" si="1"/>
        <v>0</v>
      </c>
    </row>
    <row r="85" spans="1:8">
      <c r="A85" s="349" t="s">
        <v>685</v>
      </c>
      <c r="B85" s="350">
        <v>0</v>
      </c>
      <c r="C85" s="350">
        <v>5749350</v>
      </c>
      <c r="D85" s="350">
        <v>0</v>
      </c>
      <c r="E85" s="350">
        <v>5749350</v>
      </c>
      <c r="G85" s="797">
        <v>5749350</v>
      </c>
      <c r="H85" s="797">
        <f t="shared" si="1"/>
        <v>0</v>
      </c>
    </row>
    <row r="86" spans="1:8">
      <c r="A86" s="349" t="s">
        <v>518</v>
      </c>
      <c r="B86" s="350">
        <v>0</v>
      </c>
      <c r="C86" s="350">
        <v>707546.49</v>
      </c>
      <c r="D86" s="350">
        <v>46365</v>
      </c>
      <c r="E86" s="350">
        <v>661181.49</v>
      </c>
      <c r="G86" s="797">
        <v>661181.49</v>
      </c>
      <c r="H86" s="797">
        <f t="shared" si="1"/>
        <v>0</v>
      </c>
    </row>
    <row r="87" spans="1:8">
      <c r="A87" s="349" t="s">
        <v>519</v>
      </c>
      <c r="B87" s="350">
        <v>0</v>
      </c>
      <c r="C87" s="350">
        <v>19116448.129999999</v>
      </c>
      <c r="D87" s="350">
        <v>11092</v>
      </c>
      <c r="E87" s="350">
        <v>19105356.129999999</v>
      </c>
      <c r="G87" s="797">
        <v>19105356.129999999</v>
      </c>
      <c r="H87" s="797">
        <f t="shared" si="1"/>
        <v>0</v>
      </c>
    </row>
    <row r="88" spans="1:8">
      <c r="A88" s="349" t="s">
        <v>520</v>
      </c>
      <c r="B88" s="350">
        <v>0</v>
      </c>
      <c r="C88" s="350">
        <v>2417612.0499999998</v>
      </c>
      <c r="D88" s="350">
        <v>0</v>
      </c>
      <c r="E88" s="350">
        <v>2417612.0499999998</v>
      </c>
      <c r="G88" s="797">
        <v>2417612.0499999998</v>
      </c>
      <c r="H88" s="797">
        <f t="shared" si="1"/>
        <v>0</v>
      </c>
    </row>
    <row r="89" spans="1:8">
      <c r="A89" s="349" t="s">
        <v>521</v>
      </c>
      <c r="B89" s="350">
        <v>0</v>
      </c>
      <c r="C89" s="350">
        <v>1086000</v>
      </c>
      <c r="D89" s="350">
        <v>0</v>
      </c>
      <c r="E89" s="350">
        <v>1086000</v>
      </c>
      <c r="G89" s="797">
        <v>1086000</v>
      </c>
      <c r="H89" s="797">
        <f t="shared" si="1"/>
        <v>0</v>
      </c>
    </row>
    <row r="90" spans="1:8">
      <c r="A90" s="349" t="s">
        <v>522</v>
      </c>
      <c r="B90" s="350">
        <v>0</v>
      </c>
      <c r="C90" s="350">
        <v>17448</v>
      </c>
      <c r="D90" s="350">
        <v>0</v>
      </c>
      <c r="E90" s="350">
        <v>17448</v>
      </c>
      <c r="G90" s="797">
        <v>17448</v>
      </c>
      <c r="H90" s="797">
        <f t="shared" si="1"/>
        <v>0</v>
      </c>
    </row>
    <row r="91" spans="1:8">
      <c r="A91" s="349" t="s">
        <v>523</v>
      </c>
      <c r="B91" s="350">
        <v>0</v>
      </c>
      <c r="C91" s="350">
        <v>473064.78</v>
      </c>
      <c r="D91" s="350">
        <v>0</v>
      </c>
      <c r="E91" s="350">
        <v>473064.78</v>
      </c>
      <c r="G91" s="797">
        <v>473064.78</v>
      </c>
      <c r="H91" s="797">
        <f t="shared" si="1"/>
        <v>0</v>
      </c>
    </row>
    <row r="92" spans="1:8">
      <c r="A92" s="349" t="s">
        <v>524</v>
      </c>
      <c r="B92" s="350">
        <v>0</v>
      </c>
      <c r="C92" s="350">
        <v>17109</v>
      </c>
      <c r="D92" s="350">
        <v>0</v>
      </c>
      <c r="E92" s="350">
        <v>17109</v>
      </c>
      <c r="G92" s="797">
        <v>17109</v>
      </c>
      <c r="H92" s="797">
        <f t="shared" si="1"/>
        <v>0</v>
      </c>
    </row>
    <row r="93" spans="1:8">
      <c r="A93" s="349" t="s">
        <v>525</v>
      </c>
      <c r="B93" s="350">
        <v>0</v>
      </c>
      <c r="C93" s="350">
        <v>425975.4</v>
      </c>
      <c r="D93" s="350">
        <v>0</v>
      </c>
      <c r="E93" s="350">
        <v>425975.4</v>
      </c>
      <c r="G93" s="797">
        <v>425975.4</v>
      </c>
      <c r="H93" s="797">
        <f t="shared" si="1"/>
        <v>0</v>
      </c>
    </row>
    <row r="94" spans="1:8">
      <c r="A94" s="349" t="s">
        <v>526</v>
      </c>
      <c r="B94" s="350">
        <v>0</v>
      </c>
      <c r="C94" s="350">
        <v>2303262.66</v>
      </c>
      <c r="D94" s="350">
        <v>361417.48</v>
      </c>
      <c r="E94" s="350">
        <v>1941845.18</v>
      </c>
      <c r="G94" s="797">
        <v>1941845.18</v>
      </c>
      <c r="H94" s="797">
        <f t="shared" si="1"/>
        <v>0</v>
      </c>
    </row>
    <row r="95" spans="1:8">
      <c r="A95" s="349" t="s">
        <v>527</v>
      </c>
      <c r="B95" s="350">
        <v>0</v>
      </c>
      <c r="C95" s="350">
        <v>157986.88</v>
      </c>
      <c r="D95" s="350">
        <v>0</v>
      </c>
      <c r="E95" s="350">
        <v>157986.88</v>
      </c>
      <c r="G95" s="797">
        <v>157986.88</v>
      </c>
      <c r="H95" s="797">
        <f t="shared" si="1"/>
        <v>0</v>
      </c>
    </row>
    <row r="96" spans="1:8">
      <c r="A96" s="349" t="s">
        <v>528</v>
      </c>
      <c r="B96" s="350">
        <v>0</v>
      </c>
      <c r="C96" s="350">
        <v>131620248</v>
      </c>
      <c r="D96" s="350">
        <v>10521000</v>
      </c>
      <c r="E96" s="350">
        <v>121099248</v>
      </c>
      <c r="G96" s="797">
        <v>121099248</v>
      </c>
      <c r="H96" s="797">
        <f t="shared" si="1"/>
        <v>0</v>
      </c>
    </row>
    <row r="97" spans="1:8">
      <c r="A97" s="349" t="s">
        <v>686</v>
      </c>
      <c r="B97" s="350">
        <v>0</v>
      </c>
      <c r="C97" s="350">
        <v>0</v>
      </c>
      <c r="D97" s="350">
        <v>0</v>
      </c>
      <c r="E97" s="350">
        <v>0</v>
      </c>
      <c r="G97" s="797">
        <v>0</v>
      </c>
      <c r="H97" s="797">
        <f t="shared" si="1"/>
        <v>0</v>
      </c>
    </row>
    <row r="98" spans="1:8">
      <c r="A98" s="349" t="s">
        <v>687</v>
      </c>
      <c r="B98" s="350">
        <v>0</v>
      </c>
      <c r="C98" s="350">
        <v>15000000</v>
      </c>
      <c r="D98" s="350">
        <v>0</v>
      </c>
      <c r="E98" s="350">
        <v>15000000</v>
      </c>
      <c r="G98" s="797">
        <v>15000000</v>
      </c>
      <c r="H98" s="797">
        <f t="shared" si="1"/>
        <v>0</v>
      </c>
    </row>
    <row r="99" spans="1:8">
      <c r="A99" s="349" t="s">
        <v>688</v>
      </c>
      <c r="B99" s="350">
        <v>0</v>
      </c>
      <c r="C99" s="350">
        <v>23000000</v>
      </c>
      <c r="D99" s="350">
        <v>0</v>
      </c>
      <c r="E99" s="350">
        <v>23000000</v>
      </c>
      <c r="G99" s="797">
        <v>23000000</v>
      </c>
      <c r="H99" s="797">
        <f t="shared" si="1"/>
        <v>0</v>
      </c>
    </row>
    <row r="100" spans="1:8" ht="15.75">
      <c r="A100" s="351" t="s">
        <v>689</v>
      </c>
      <c r="B100" s="352">
        <v>0</v>
      </c>
      <c r="C100" s="352">
        <v>38000000</v>
      </c>
      <c r="D100" s="352">
        <v>0</v>
      </c>
      <c r="E100" s="352">
        <v>38000000</v>
      </c>
      <c r="G100" s="797">
        <v>38000000</v>
      </c>
      <c r="H100" s="797">
        <f t="shared" si="1"/>
        <v>0</v>
      </c>
    </row>
    <row r="101" spans="1:8">
      <c r="H101" s="797">
        <f t="shared" si="1"/>
        <v>0</v>
      </c>
    </row>
    <row r="102" spans="1:8">
      <c r="A102" s="349" t="s">
        <v>529</v>
      </c>
      <c r="B102" s="350">
        <v>0</v>
      </c>
      <c r="C102" s="350">
        <v>73739161.129999995</v>
      </c>
      <c r="D102" s="350">
        <v>0</v>
      </c>
      <c r="E102" s="350">
        <v>73739161.129999995</v>
      </c>
      <c r="G102" s="797">
        <v>73739161.129999995</v>
      </c>
      <c r="H102" s="797">
        <f t="shared" si="1"/>
        <v>0</v>
      </c>
    </row>
    <row r="103" spans="1:8">
      <c r="A103" s="349" t="s">
        <v>690</v>
      </c>
      <c r="B103" s="350">
        <v>0</v>
      </c>
      <c r="C103" s="350">
        <v>0</v>
      </c>
      <c r="D103" s="350">
        <v>5000</v>
      </c>
      <c r="E103" s="350">
        <v>-5000</v>
      </c>
      <c r="G103" s="797">
        <v>-5000</v>
      </c>
      <c r="H103" s="797">
        <f t="shared" si="1"/>
        <v>0</v>
      </c>
    </row>
    <row r="104" spans="1:8">
      <c r="A104" s="349" t="s">
        <v>530</v>
      </c>
      <c r="B104" s="350">
        <v>0</v>
      </c>
      <c r="C104" s="350">
        <v>21277.8</v>
      </c>
      <c r="D104" s="350">
        <v>2590</v>
      </c>
      <c r="E104" s="350">
        <v>18687.8</v>
      </c>
      <c r="G104" s="797">
        <v>18687.8</v>
      </c>
      <c r="H104" s="797">
        <f t="shared" si="1"/>
        <v>0</v>
      </c>
    </row>
    <row r="105" spans="1:8">
      <c r="A105" s="349" t="s">
        <v>691</v>
      </c>
      <c r="B105" s="350">
        <v>0</v>
      </c>
      <c r="C105" s="350">
        <v>140250</v>
      </c>
      <c r="D105" s="350">
        <v>0</v>
      </c>
      <c r="E105" s="350">
        <v>140250</v>
      </c>
      <c r="G105" s="797">
        <v>140250</v>
      </c>
      <c r="H105" s="797">
        <f t="shared" si="1"/>
        <v>0</v>
      </c>
    </row>
    <row r="106" spans="1:8">
      <c r="A106" s="349" t="s">
        <v>531</v>
      </c>
      <c r="B106" s="350">
        <v>0</v>
      </c>
      <c r="C106" s="350">
        <v>13926052.529999999</v>
      </c>
      <c r="D106" s="350">
        <v>176373.41</v>
      </c>
      <c r="E106" s="350">
        <v>13749679.119999999</v>
      </c>
      <c r="G106" s="797">
        <v>13749679.119999999</v>
      </c>
      <c r="H106" s="797">
        <f t="shared" si="1"/>
        <v>0</v>
      </c>
    </row>
    <row r="107" spans="1:8">
      <c r="A107" s="349" t="s">
        <v>532</v>
      </c>
      <c r="B107" s="350">
        <v>0</v>
      </c>
      <c r="C107" s="350">
        <v>26678140.670000002</v>
      </c>
      <c r="D107" s="350">
        <v>0</v>
      </c>
      <c r="E107" s="350">
        <v>26678140.670000002</v>
      </c>
      <c r="G107" s="797">
        <v>26678140.670000002</v>
      </c>
      <c r="H107" s="797">
        <f t="shared" si="1"/>
        <v>0</v>
      </c>
    </row>
    <row r="108" spans="1:8">
      <c r="A108" s="349" t="s">
        <v>533</v>
      </c>
      <c r="B108" s="350">
        <v>0</v>
      </c>
      <c r="C108" s="350">
        <v>29994944.579999998</v>
      </c>
      <c r="D108" s="350">
        <v>14</v>
      </c>
      <c r="E108" s="350">
        <v>29994930.579999998</v>
      </c>
      <c r="G108" s="797">
        <v>29994930.579999998</v>
      </c>
      <c r="H108" s="797">
        <f t="shared" si="1"/>
        <v>0</v>
      </c>
    </row>
    <row r="109" spans="1:8">
      <c r="A109" s="349" t="s">
        <v>534</v>
      </c>
      <c r="B109" s="350">
        <v>0</v>
      </c>
      <c r="C109" s="350">
        <v>887804</v>
      </c>
      <c r="D109" s="350">
        <v>0</v>
      </c>
      <c r="E109" s="350">
        <v>887804</v>
      </c>
      <c r="G109" s="797">
        <v>887804</v>
      </c>
      <c r="H109" s="797">
        <f t="shared" si="1"/>
        <v>0</v>
      </c>
    </row>
    <row r="110" spans="1:8">
      <c r="G110" s="797">
        <v>-44864</v>
      </c>
      <c r="H110" s="797">
        <f t="shared" si="1"/>
        <v>44864</v>
      </c>
    </row>
    <row r="111" spans="1:8">
      <c r="G111" s="797">
        <v>2045608.09</v>
      </c>
      <c r="H111" s="797">
        <f t="shared" si="1"/>
        <v>-2045608.09</v>
      </c>
    </row>
    <row r="112" spans="1:8">
      <c r="A112" s="349" t="s">
        <v>536</v>
      </c>
      <c r="B112" s="350">
        <v>0</v>
      </c>
      <c r="C112" s="350">
        <v>3291343</v>
      </c>
      <c r="D112" s="350">
        <v>36962</v>
      </c>
      <c r="E112" s="350">
        <v>3254381</v>
      </c>
      <c r="G112" s="797">
        <v>3254381</v>
      </c>
      <c r="H112" s="797">
        <f t="shared" si="1"/>
        <v>0</v>
      </c>
    </row>
    <row r="113" spans="1:8">
      <c r="A113" s="349" t="s">
        <v>537</v>
      </c>
      <c r="B113" s="350">
        <v>0</v>
      </c>
      <c r="C113" s="350">
        <v>881750</v>
      </c>
      <c r="D113" s="350">
        <v>15700</v>
      </c>
      <c r="E113" s="350">
        <v>866050</v>
      </c>
      <c r="G113" s="797">
        <v>866050</v>
      </c>
      <c r="H113" s="797">
        <f t="shared" si="1"/>
        <v>0</v>
      </c>
    </row>
    <row r="114" spans="1:8">
      <c r="A114" s="349" t="s">
        <v>692</v>
      </c>
      <c r="B114" s="350">
        <v>0</v>
      </c>
      <c r="C114" s="350">
        <v>1469911</v>
      </c>
      <c r="D114" s="350">
        <v>0</v>
      </c>
      <c r="E114" s="350">
        <v>1469911</v>
      </c>
      <c r="G114" s="797">
        <v>1469911</v>
      </c>
      <c r="H114" s="797">
        <f t="shared" si="1"/>
        <v>0</v>
      </c>
    </row>
    <row r="115" spans="1:8">
      <c r="A115" s="349" t="s">
        <v>538</v>
      </c>
      <c r="B115" s="350">
        <v>0</v>
      </c>
      <c r="C115" s="350">
        <v>1641826.32</v>
      </c>
      <c r="D115" s="350">
        <v>0</v>
      </c>
      <c r="E115" s="350">
        <v>1641826.32</v>
      </c>
      <c r="G115" s="797">
        <v>1641826.32</v>
      </c>
      <c r="H115" s="797">
        <f t="shared" si="1"/>
        <v>0</v>
      </c>
    </row>
    <row r="116" spans="1:8">
      <c r="A116" s="349" t="s">
        <v>539</v>
      </c>
      <c r="B116" s="350">
        <v>0</v>
      </c>
      <c r="C116" s="350">
        <v>26225.26</v>
      </c>
      <c r="D116" s="350">
        <v>0</v>
      </c>
      <c r="E116" s="350">
        <v>26225.26</v>
      </c>
      <c r="G116" s="797">
        <v>26225.26</v>
      </c>
      <c r="H116" s="797">
        <f t="shared" si="1"/>
        <v>0</v>
      </c>
    </row>
    <row r="117" spans="1:8">
      <c r="A117" s="349" t="s">
        <v>693</v>
      </c>
      <c r="B117" s="350">
        <v>0</v>
      </c>
      <c r="C117" s="350">
        <v>4382500</v>
      </c>
      <c r="D117" s="350">
        <v>0</v>
      </c>
      <c r="E117" s="350">
        <v>4382500</v>
      </c>
      <c r="G117" s="797">
        <v>4382500</v>
      </c>
      <c r="H117" s="797">
        <f t="shared" si="1"/>
        <v>0</v>
      </c>
    </row>
    <row r="118" spans="1:8">
      <c r="A118" s="349" t="s">
        <v>694</v>
      </c>
      <c r="B118" s="350">
        <v>0</v>
      </c>
      <c r="C118" s="350">
        <v>164449</v>
      </c>
      <c r="D118" s="350">
        <v>0</v>
      </c>
      <c r="E118" s="350">
        <v>164449</v>
      </c>
      <c r="G118" s="797">
        <v>164449</v>
      </c>
      <c r="H118" s="797">
        <f t="shared" si="1"/>
        <v>0</v>
      </c>
    </row>
    <row r="119" spans="1:8">
      <c r="A119" s="349" t="s">
        <v>540</v>
      </c>
      <c r="B119" s="350">
        <v>0</v>
      </c>
      <c r="C119" s="350">
        <v>2935260</v>
      </c>
      <c r="D119" s="350">
        <v>1142460.2</v>
      </c>
      <c r="E119" s="350">
        <v>1792799.8</v>
      </c>
      <c r="G119" s="797">
        <v>1792799.8</v>
      </c>
      <c r="H119" s="797">
        <f t="shared" si="1"/>
        <v>0</v>
      </c>
    </row>
    <row r="120" spans="1:8">
      <c r="A120" s="349" t="s">
        <v>541</v>
      </c>
      <c r="B120" s="350">
        <v>0</v>
      </c>
      <c r="C120" s="350">
        <v>4761500</v>
      </c>
      <c r="D120" s="350">
        <v>0</v>
      </c>
      <c r="E120" s="350">
        <v>4761500</v>
      </c>
      <c r="G120" s="797">
        <v>4761500</v>
      </c>
      <c r="H120" s="797">
        <f t="shared" si="1"/>
        <v>0</v>
      </c>
    </row>
    <row r="121" spans="1:8">
      <c r="A121" s="349" t="s">
        <v>542</v>
      </c>
      <c r="B121" s="350">
        <v>0</v>
      </c>
      <c r="C121" s="350">
        <v>981517.63</v>
      </c>
      <c r="D121" s="350">
        <v>0</v>
      </c>
      <c r="E121" s="350">
        <v>981517.63</v>
      </c>
      <c r="G121" s="797">
        <v>981517.63</v>
      </c>
      <c r="H121" s="797">
        <f t="shared" si="1"/>
        <v>0</v>
      </c>
    </row>
    <row r="122" spans="1:8">
      <c r="A122" s="349" t="s">
        <v>543</v>
      </c>
      <c r="B122" s="350">
        <v>0</v>
      </c>
      <c r="C122" s="350">
        <v>132771.70000000001</v>
      </c>
      <c r="D122" s="350">
        <v>0</v>
      </c>
      <c r="E122" s="350">
        <v>132771.70000000001</v>
      </c>
      <c r="G122" s="797">
        <v>132771.70000000001</v>
      </c>
      <c r="H122" s="797">
        <f t="shared" si="1"/>
        <v>0</v>
      </c>
    </row>
    <row r="123" spans="1:8">
      <c r="A123" s="349" t="s">
        <v>544</v>
      </c>
      <c r="B123" s="350">
        <v>0</v>
      </c>
      <c r="C123" s="350">
        <v>1750323.47</v>
      </c>
      <c r="D123" s="350">
        <v>866.47</v>
      </c>
      <c r="E123" s="350">
        <v>1749457</v>
      </c>
      <c r="G123" s="797">
        <v>1749457</v>
      </c>
      <c r="H123" s="797">
        <f t="shared" si="1"/>
        <v>0</v>
      </c>
    </row>
    <row r="124" spans="1:8">
      <c r="A124" s="349" t="s">
        <v>545</v>
      </c>
      <c r="B124" s="350">
        <v>0</v>
      </c>
      <c r="C124" s="350">
        <v>10506314</v>
      </c>
      <c r="D124" s="350">
        <v>150960</v>
      </c>
      <c r="E124" s="350">
        <v>10355354</v>
      </c>
      <c r="G124" s="797">
        <v>10355354</v>
      </c>
      <c r="H124" s="797">
        <f t="shared" si="1"/>
        <v>0</v>
      </c>
    </row>
    <row r="125" spans="1:8">
      <c r="A125" s="349" t="s">
        <v>546</v>
      </c>
      <c r="B125" s="350">
        <v>0</v>
      </c>
      <c r="C125" s="350">
        <v>153646905</v>
      </c>
      <c r="D125" s="350">
        <v>0</v>
      </c>
      <c r="E125" s="350">
        <v>153646905</v>
      </c>
      <c r="G125" s="797">
        <v>153646905</v>
      </c>
      <c r="H125" s="797">
        <f t="shared" si="1"/>
        <v>0</v>
      </c>
    </row>
    <row r="126" spans="1:8">
      <c r="A126" s="349" t="s">
        <v>547</v>
      </c>
      <c r="B126" s="350">
        <v>0</v>
      </c>
      <c r="C126" s="350">
        <v>9590011</v>
      </c>
      <c r="D126" s="350">
        <v>135229</v>
      </c>
      <c r="E126" s="350">
        <v>9454782</v>
      </c>
      <c r="G126" s="797">
        <v>9454782</v>
      </c>
      <c r="H126" s="797">
        <f t="shared" si="1"/>
        <v>0</v>
      </c>
    </row>
    <row r="127" spans="1:8">
      <c r="A127" s="349" t="s">
        <v>548</v>
      </c>
      <c r="B127" s="350">
        <v>0</v>
      </c>
      <c r="C127" s="350">
        <v>389315</v>
      </c>
      <c r="D127" s="350">
        <v>0</v>
      </c>
      <c r="E127" s="350">
        <v>389315</v>
      </c>
      <c r="G127" s="797">
        <v>389315</v>
      </c>
      <c r="H127" s="797">
        <f t="shared" si="1"/>
        <v>0</v>
      </c>
    </row>
    <row r="128" spans="1:8">
      <c r="A128" s="349" t="s">
        <v>549</v>
      </c>
      <c r="B128" s="350">
        <v>0</v>
      </c>
      <c r="C128" s="350">
        <v>493680</v>
      </c>
      <c r="D128" s="350">
        <v>0</v>
      </c>
      <c r="E128" s="350">
        <v>493680</v>
      </c>
      <c r="G128" s="797">
        <v>493680</v>
      </c>
      <c r="H128" s="797">
        <f t="shared" si="1"/>
        <v>0</v>
      </c>
    </row>
    <row r="129" spans="1:8">
      <c r="A129" s="349" t="s">
        <v>550</v>
      </c>
      <c r="B129" s="350">
        <v>0</v>
      </c>
      <c r="C129" s="350">
        <v>0</v>
      </c>
      <c r="D129" s="350">
        <v>8000000</v>
      </c>
      <c r="E129" s="350">
        <v>-8000000</v>
      </c>
      <c r="G129" s="797">
        <v>-8000000</v>
      </c>
      <c r="H129" s="797">
        <f t="shared" si="1"/>
        <v>0</v>
      </c>
    </row>
    <row r="130" spans="1:8">
      <c r="A130" s="349" t="s">
        <v>551</v>
      </c>
      <c r="B130" s="350">
        <v>0</v>
      </c>
      <c r="C130" s="350">
        <v>708172.02</v>
      </c>
      <c r="D130" s="350">
        <v>22000</v>
      </c>
      <c r="E130" s="350">
        <v>686172.02</v>
      </c>
      <c r="G130" s="797">
        <v>686172.02</v>
      </c>
      <c r="H130" s="797">
        <f t="shared" si="1"/>
        <v>0</v>
      </c>
    </row>
    <row r="131" spans="1:8">
      <c r="A131" s="349" t="s">
        <v>552</v>
      </c>
      <c r="B131" s="350">
        <v>0</v>
      </c>
      <c r="C131" s="350">
        <v>499000</v>
      </c>
      <c r="D131" s="350">
        <v>21000</v>
      </c>
      <c r="E131" s="350">
        <v>478000</v>
      </c>
      <c r="G131" s="797">
        <v>478000</v>
      </c>
      <c r="H131" s="797">
        <f t="shared" si="1"/>
        <v>0</v>
      </c>
    </row>
    <row r="132" spans="1:8">
      <c r="A132" s="349" t="s">
        <v>561</v>
      </c>
      <c r="B132" s="350">
        <v>0</v>
      </c>
      <c r="C132" s="350">
        <v>0</v>
      </c>
      <c r="D132" s="350">
        <v>0</v>
      </c>
      <c r="E132" s="350">
        <v>0</v>
      </c>
      <c r="G132" s="797">
        <v>0</v>
      </c>
      <c r="H132" s="797">
        <f t="shared" si="1"/>
        <v>0</v>
      </c>
    </row>
    <row r="133" spans="1:8">
      <c r="A133" s="349" t="s">
        <v>695</v>
      </c>
      <c r="B133" s="350">
        <v>0</v>
      </c>
      <c r="C133" s="350">
        <v>208800</v>
      </c>
      <c r="D133" s="350">
        <v>0</v>
      </c>
      <c r="E133" s="350">
        <v>208800</v>
      </c>
      <c r="G133" s="797">
        <v>208800</v>
      </c>
      <c r="H133" s="797">
        <f t="shared" si="1"/>
        <v>0</v>
      </c>
    </row>
    <row r="134" spans="1:8">
      <c r="A134" s="349" t="s">
        <v>562</v>
      </c>
      <c r="B134" s="350">
        <v>0</v>
      </c>
      <c r="C134" s="350">
        <v>532591</v>
      </c>
      <c r="D134" s="350">
        <v>0</v>
      </c>
      <c r="E134" s="350">
        <v>532591</v>
      </c>
      <c r="G134" s="797">
        <v>532591</v>
      </c>
      <c r="H134" s="797">
        <f t="shared" ref="H134:H155" si="2">E134-G134</f>
        <v>0</v>
      </c>
    </row>
    <row r="135" spans="1:8">
      <c r="A135" s="349" t="s">
        <v>575</v>
      </c>
      <c r="B135" s="350">
        <v>0</v>
      </c>
      <c r="C135" s="350">
        <v>938000</v>
      </c>
      <c r="D135" s="350">
        <v>0</v>
      </c>
      <c r="E135" s="350">
        <v>938000</v>
      </c>
      <c r="G135" s="797">
        <v>938000</v>
      </c>
      <c r="H135" s="797">
        <f t="shared" si="2"/>
        <v>0</v>
      </c>
    </row>
    <row r="136" spans="1:8">
      <c r="A136" s="349" t="s">
        <v>563</v>
      </c>
      <c r="B136" s="350">
        <v>0</v>
      </c>
      <c r="C136" s="350">
        <v>1435686</v>
      </c>
      <c r="D136" s="350">
        <v>0</v>
      </c>
      <c r="E136" s="350">
        <v>1435686</v>
      </c>
      <c r="G136" s="797">
        <v>1435686</v>
      </c>
      <c r="H136" s="797">
        <f t="shared" si="2"/>
        <v>0</v>
      </c>
    </row>
    <row r="137" spans="1:8">
      <c r="A137" s="349" t="s">
        <v>696</v>
      </c>
      <c r="B137" s="350">
        <v>0</v>
      </c>
      <c r="C137" s="350">
        <v>256200</v>
      </c>
      <c r="D137" s="350">
        <v>0</v>
      </c>
      <c r="E137" s="350">
        <v>256200</v>
      </c>
      <c r="G137" s="797">
        <v>256200</v>
      </c>
      <c r="H137" s="797">
        <f t="shared" si="2"/>
        <v>0</v>
      </c>
    </row>
    <row r="138" spans="1:8">
      <c r="A138" s="349" t="s">
        <v>697</v>
      </c>
      <c r="B138" s="350">
        <v>0</v>
      </c>
      <c r="C138" s="350">
        <v>4053622</v>
      </c>
      <c r="D138" s="350">
        <v>0</v>
      </c>
      <c r="E138" s="350">
        <v>4053622</v>
      </c>
      <c r="G138" s="797">
        <v>4053622</v>
      </c>
      <c r="H138" s="797">
        <f t="shared" si="2"/>
        <v>0</v>
      </c>
    </row>
    <row r="139" spans="1:8">
      <c r="A139" s="349" t="s">
        <v>564</v>
      </c>
      <c r="B139" s="350">
        <v>0</v>
      </c>
      <c r="C139" s="350">
        <v>2984635</v>
      </c>
      <c r="D139" s="350">
        <v>0</v>
      </c>
      <c r="E139" s="350">
        <v>2984635</v>
      </c>
      <c r="G139" s="797">
        <v>2984635</v>
      </c>
      <c r="H139" s="797">
        <f t="shared" si="2"/>
        <v>0</v>
      </c>
    </row>
    <row r="140" spans="1:8">
      <c r="A140" s="349" t="s">
        <v>576</v>
      </c>
      <c r="B140" s="350">
        <v>0</v>
      </c>
      <c r="C140" s="350">
        <v>3660300</v>
      </c>
      <c r="D140" s="350">
        <v>0</v>
      </c>
      <c r="E140" s="350">
        <v>3660300</v>
      </c>
      <c r="G140" s="797">
        <v>3660300</v>
      </c>
      <c r="H140" s="797">
        <f t="shared" si="2"/>
        <v>0</v>
      </c>
    </row>
    <row r="141" spans="1:8">
      <c r="A141" s="349" t="s">
        <v>565</v>
      </c>
      <c r="B141" s="350">
        <v>0</v>
      </c>
      <c r="C141" s="350">
        <v>2894893.08</v>
      </c>
      <c r="D141" s="350">
        <v>0</v>
      </c>
      <c r="E141" s="350">
        <v>2894893.08</v>
      </c>
      <c r="G141" s="797">
        <v>2894893.08</v>
      </c>
      <c r="H141" s="797">
        <f t="shared" si="2"/>
        <v>0</v>
      </c>
    </row>
    <row r="142" spans="1:8" ht="15.75">
      <c r="A142" s="351" t="s">
        <v>566</v>
      </c>
      <c r="B142" s="352">
        <v>0</v>
      </c>
      <c r="C142" s="352">
        <v>16964727.079999998</v>
      </c>
      <c r="D142" s="352">
        <v>0</v>
      </c>
      <c r="E142" s="352">
        <v>16964727.079999998</v>
      </c>
      <c r="G142" s="797">
        <v>16964727.079999998</v>
      </c>
      <c r="H142" s="797">
        <f t="shared" si="2"/>
        <v>0</v>
      </c>
    </row>
    <row r="143" spans="1:8">
      <c r="H143" s="797">
        <f t="shared" si="2"/>
        <v>0</v>
      </c>
    </row>
    <row r="144" spans="1:8">
      <c r="A144" s="349" t="s">
        <v>567</v>
      </c>
      <c r="B144" s="350">
        <v>0</v>
      </c>
      <c r="C144" s="350">
        <v>21027231.210000001</v>
      </c>
      <c r="D144" s="350">
        <v>21027039.059999999</v>
      </c>
      <c r="E144" s="350">
        <v>192.15</v>
      </c>
      <c r="G144" s="797">
        <v>192.15</v>
      </c>
      <c r="H144" s="797">
        <f t="shared" si="2"/>
        <v>0</v>
      </c>
    </row>
    <row r="145" spans="1:8">
      <c r="A145" s="349" t="s">
        <v>698</v>
      </c>
      <c r="B145" s="350">
        <v>0</v>
      </c>
      <c r="C145" s="350">
        <v>35600</v>
      </c>
      <c r="D145" s="350">
        <v>0</v>
      </c>
      <c r="E145" s="350">
        <v>35600</v>
      </c>
      <c r="G145" s="797">
        <v>35600</v>
      </c>
      <c r="H145" s="797">
        <f t="shared" si="2"/>
        <v>0</v>
      </c>
    </row>
    <row r="146" spans="1:8">
      <c r="A146" s="349" t="s">
        <v>553</v>
      </c>
      <c r="B146" s="350">
        <v>0</v>
      </c>
      <c r="C146" s="350">
        <v>9705407</v>
      </c>
      <c r="D146" s="350">
        <v>0</v>
      </c>
      <c r="E146" s="350">
        <v>9705407</v>
      </c>
      <c r="G146" s="797">
        <v>9705407</v>
      </c>
      <c r="H146" s="797">
        <f t="shared" si="2"/>
        <v>0</v>
      </c>
    </row>
    <row r="147" spans="1:8">
      <c r="A147" s="349" t="s">
        <v>554</v>
      </c>
      <c r="B147" s="350">
        <v>0</v>
      </c>
      <c r="C147" s="350">
        <v>25278</v>
      </c>
      <c r="D147" s="350">
        <v>0</v>
      </c>
      <c r="E147" s="350">
        <v>25278</v>
      </c>
      <c r="G147" s="797">
        <v>25278</v>
      </c>
      <c r="H147" s="797">
        <f t="shared" si="2"/>
        <v>0</v>
      </c>
    </row>
    <row r="148" spans="1:8">
      <c r="A148" s="349" t="s">
        <v>555</v>
      </c>
      <c r="B148" s="350">
        <v>0</v>
      </c>
      <c r="C148" s="350">
        <v>2006677.69</v>
      </c>
      <c r="D148" s="350">
        <v>3803.12</v>
      </c>
      <c r="E148" s="350">
        <v>2002874.57</v>
      </c>
      <c r="G148" s="797">
        <v>2002874.57</v>
      </c>
      <c r="H148" s="797">
        <f t="shared" si="2"/>
        <v>0</v>
      </c>
    </row>
    <row r="149" spans="1:8">
      <c r="A149" s="349" t="s">
        <v>699</v>
      </c>
      <c r="B149" s="350">
        <v>0</v>
      </c>
      <c r="C149" s="350">
        <v>674294</v>
      </c>
      <c r="D149" s="350">
        <v>0</v>
      </c>
      <c r="E149" s="350">
        <v>674294</v>
      </c>
      <c r="G149" s="797">
        <v>674294</v>
      </c>
      <c r="H149" s="797">
        <f t="shared" si="2"/>
        <v>0</v>
      </c>
    </row>
    <row r="150" spans="1:8">
      <c r="A150" s="349" t="s">
        <v>556</v>
      </c>
      <c r="B150" s="350">
        <v>0</v>
      </c>
      <c r="C150" s="350">
        <v>128150</v>
      </c>
      <c r="D150" s="350">
        <v>0</v>
      </c>
      <c r="E150" s="350">
        <v>128150</v>
      </c>
      <c r="G150" s="797">
        <v>128150</v>
      </c>
      <c r="H150" s="797">
        <f t="shared" si="2"/>
        <v>0</v>
      </c>
    </row>
    <row r="151" spans="1:8">
      <c r="A151" s="349" t="s">
        <v>557</v>
      </c>
      <c r="B151" s="350">
        <v>0</v>
      </c>
      <c r="C151" s="350">
        <v>3250866</v>
      </c>
      <c r="D151" s="350">
        <v>0</v>
      </c>
      <c r="E151" s="350">
        <v>3250866</v>
      </c>
      <c r="G151" s="797">
        <v>3250866</v>
      </c>
      <c r="H151" s="797">
        <f t="shared" si="2"/>
        <v>0</v>
      </c>
    </row>
    <row r="152" spans="1:8">
      <c r="A152" s="349" t="s">
        <v>558</v>
      </c>
      <c r="B152" s="350">
        <v>0</v>
      </c>
      <c r="C152" s="350">
        <v>1158453</v>
      </c>
      <c r="D152" s="350">
        <v>0</v>
      </c>
      <c r="E152" s="350">
        <v>1158453</v>
      </c>
      <c r="G152" s="797">
        <v>1158453</v>
      </c>
      <c r="H152" s="797">
        <f t="shared" si="2"/>
        <v>0</v>
      </c>
    </row>
    <row r="153" spans="1:8">
      <c r="A153" s="349" t="s">
        <v>700</v>
      </c>
      <c r="B153" s="350">
        <v>0</v>
      </c>
      <c r="C153" s="350">
        <v>42450</v>
      </c>
      <c r="D153" s="350">
        <v>94884.6</v>
      </c>
      <c r="E153" s="350">
        <v>-52434.6</v>
      </c>
      <c r="G153" s="797">
        <v>-52434.6</v>
      </c>
      <c r="H153" s="797">
        <f t="shared" si="2"/>
        <v>0</v>
      </c>
    </row>
    <row r="154" spans="1:8">
      <c r="A154" s="349" t="s">
        <v>559</v>
      </c>
      <c r="B154" s="350">
        <v>0</v>
      </c>
      <c r="C154" s="350">
        <v>132241.69</v>
      </c>
      <c r="D154" s="350">
        <v>0</v>
      </c>
      <c r="E154" s="350">
        <v>132241.69</v>
      </c>
      <c r="G154" s="797">
        <v>132241.69</v>
      </c>
      <c r="H154" s="797">
        <f t="shared" si="2"/>
        <v>0</v>
      </c>
    </row>
    <row r="155" spans="1:8">
      <c r="A155" s="349" t="s">
        <v>560</v>
      </c>
      <c r="B155" s="350">
        <v>0</v>
      </c>
      <c r="C155" s="350">
        <v>376591.49</v>
      </c>
      <c r="D155" s="350">
        <v>499.95</v>
      </c>
      <c r="E155" s="350">
        <v>376091.54</v>
      </c>
      <c r="G155" s="797">
        <v>376091.54</v>
      </c>
      <c r="H155" s="797">
        <f t="shared" si="2"/>
        <v>0</v>
      </c>
    </row>
    <row r="156" spans="1:8" ht="15.75">
      <c r="A156" s="351" t="s">
        <v>701</v>
      </c>
      <c r="B156" s="352"/>
      <c r="C156" s="352">
        <v>4374832788.4200001</v>
      </c>
      <c r="D156" s="352">
        <v>4374832788.4200001</v>
      </c>
      <c r="E156" s="352"/>
    </row>
    <row r="157" spans="1:8">
      <c r="A157" s="658" t="s">
        <v>509</v>
      </c>
    </row>
  </sheetData>
  <mergeCells count="6">
    <mergeCell ref="B79:E79"/>
    <mergeCell ref="A1:E1"/>
    <mergeCell ref="B4:E4"/>
    <mergeCell ref="B40:E40"/>
    <mergeCell ref="B67:E67"/>
    <mergeCell ref="B70:E7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0378B-1E0D-443C-BB8F-E2719B11ED07}">
  <dimension ref="A1:G299"/>
  <sheetViews>
    <sheetView topLeftCell="A247" workbookViewId="0">
      <selection activeCell="E254" sqref="E254"/>
    </sheetView>
  </sheetViews>
  <sheetFormatPr defaultColWidth="8.7109375" defaultRowHeight="15"/>
  <cols>
    <col min="1" max="1" width="49.42578125" style="346" customWidth="1"/>
    <col min="2" max="5" width="30.5703125" style="346" customWidth="1"/>
    <col min="6" max="16384" width="8.7109375" style="346"/>
  </cols>
  <sheetData>
    <row r="1" spans="1:5" ht="69.95" customHeight="1">
      <c r="A1" s="938" t="s">
        <v>758</v>
      </c>
      <c r="B1" s="937"/>
      <c r="C1" s="937"/>
      <c r="D1" s="937"/>
      <c r="E1" s="937"/>
    </row>
    <row r="2" spans="1:5">
      <c r="A2" s="347" t="s">
        <v>508</v>
      </c>
      <c r="B2" s="348" t="s">
        <v>611</v>
      </c>
      <c r="C2" s="348" t="s">
        <v>612</v>
      </c>
      <c r="D2" s="348" t="s">
        <v>613</v>
      </c>
      <c r="E2" s="348" t="s">
        <v>614</v>
      </c>
    </row>
    <row r="4" spans="1:5">
      <c r="A4" s="349" t="s">
        <v>568</v>
      </c>
      <c r="B4" s="937" t="s">
        <v>509</v>
      </c>
      <c r="C4" s="937" t="s">
        <v>509</v>
      </c>
      <c r="D4" s="937" t="s">
        <v>509</v>
      </c>
      <c r="E4" s="937" t="s">
        <v>509</v>
      </c>
    </row>
    <row r="5" spans="1:5">
      <c r="A5" s="349" t="s">
        <v>615</v>
      </c>
      <c r="B5" s="350">
        <v>0</v>
      </c>
      <c r="C5" s="350">
        <v>589809372.20000005</v>
      </c>
      <c r="D5" s="350">
        <v>588566574.76999998</v>
      </c>
      <c r="E5" s="472">
        <v>1242797.43</v>
      </c>
    </row>
    <row r="6" spans="1:5">
      <c r="A6" s="349" t="s">
        <v>616</v>
      </c>
      <c r="B6" s="350">
        <v>0</v>
      </c>
      <c r="C6" s="350">
        <v>5500000</v>
      </c>
      <c r="D6" s="350">
        <v>500000</v>
      </c>
      <c r="E6" s="472">
        <v>5000000</v>
      </c>
    </row>
    <row r="7" spans="1:5">
      <c r="A7" s="349" t="s">
        <v>617</v>
      </c>
      <c r="B7" s="350">
        <v>-1283683.24</v>
      </c>
      <c r="C7" s="350">
        <v>0</v>
      </c>
      <c r="D7" s="350">
        <v>1553070.81</v>
      </c>
      <c r="E7" s="472">
        <v>-2836754.05</v>
      </c>
    </row>
    <row r="8" spans="1:5">
      <c r="A8" s="349" t="s">
        <v>618</v>
      </c>
      <c r="B8" s="350">
        <v>211719.75</v>
      </c>
      <c r="C8" s="350">
        <v>255725</v>
      </c>
      <c r="D8" s="350">
        <v>295681.95</v>
      </c>
      <c r="E8" s="472">
        <v>171762.8</v>
      </c>
    </row>
    <row r="9" spans="1:5">
      <c r="A9" s="349" t="s">
        <v>619</v>
      </c>
      <c r="B9" s="350">
        <v>71131.91</v>
      </c>
      <c r="C9" s="350">
        <v>2110505.9</v>
      </c>
      <c r="D9" s="350">
        <v>2007131.63</v>
      </c>
      <c r="E9" s="472">
        <v>174506.18</v>
      </c>
    </row>
    <row r="10" spans="1:5">
      <c r="A10" s="349" t="s">
        <v>753</v>
      </c>
      <c r="B10" s="350">
        <v>0</v>
      </c>
      <c r="C10" s="350">
        <v>720.1</v>
      </c>
      <c r="D10" s="350">
        <v>720.1</v>
      </c>
      <c r="E10" s="350">
        <v>0</v>
      </c>
    </row>
    <row r="11" spans="1:5">
      <c r="A11" s="349" t="s">
        <v>620</v>
      </c>
      <c r="B11" s="350">
        <v>50000</v>
      </c>
      <c r="C11" s="350">
        <v>0</v>
      </c>
      <c r="D11" s="350">
        <v>0</v>
      </c>
      <c r="E11" s="472">
        <v>50000</v>
      </c>
    </row>
    <row r="12" spans="1:5">
      <c r="A12" s="349" t="s">
        <v>621</v>
      </c>
      <c r="B12" s="350">
        <v>2548918.15</v>
      </c>
      <c r="C12" s="350">
        <v>2014213.26</v>
      </c>
      <c r="D12" s="350">
        <v>0</v>
      </c>
      <c r="E12" s="472">
        <v>4563131.41</v>
      </c>
    </row>
    <row r="13" spans="1:5">
      <c r="A13" s="349" t="s">
        <v>622</v>
      </c>
      <c r="B13" s="350">
        <v>2435995.12</v>
      </c>
      <c r="C13" s="350">
        <v>1097067965.49</v>
      </c>
      <c r="D13" s="350">
        <v>1097915949.3800001</v>
      </c>
      <c r="E13" s="472">
        <v>1588011.23</v>
      </c>
    </row>
    <row r="14" spans="1:5">
      <c r="A14" s="349" t="s">
        <v>623</v>
      </c>
      <c r="B14" s="350">
        <v>0</v>
      </c>
      <c r="C14" s="350">
        <v>2354801</v>
      </c>
      <c r="D14" s="350">
        <v>0</v>
      </c>
      <c r="E14" s="472">
        <v>2354801</v>
      </c>
    </row>
    <row r="15" spans="1:5">
      <c r="A15" s="349" t="s">
        <v>625</v>
      </c>
      <c r="B15" s="350">
        <v>1680000</v>
      </c>
      <c r="C15" s="350">
        <v>0</v>
      </c>
      <c r="D15" s="350">
        <v>0</v>
      </c>
      <c r="E15" s="472">
        <v>1680000</v>
      </c>
    </row>
    <row r="16" spans="1:5">
      <c r="A16" s="349" t="s">
        <v>626</v>
      </c>
      <c r="B16" s="350">
        <v>1102520</v>
      </c>
      <c r="C16" s="350">
        <v>0</v>
      </c>
      <c r="D16" s="350">
        <v>0</v>
      </c>
      <c r="E16" s="472">
        <v>1102520</v>
      </c>
    </row>
    <row r="17" spans="1:7">
      <c r="A17" s="349" t="s">
        <v>627</v>
      </c>
      <c r="B17" s="350">
        <v>1000000</v>
      </c>
      <c r="C17" s="350">
        <v>0</v>
      </c>
      <c r="D17" s="350">
        <v>0</v>
      </c>
      <c r="E17" s="472">
        <v>1000000</v>
      </c>
    </row>
    <row r="18" spans="1:7">
      <c r="A18" s="349" t="s">
        <v>628</v>
      </c>
      <c r="B18" s="350">
        <v>40000</v>
      </c>
      <c r="C18" s="350">
        <v>0</v>
      </c>
      <c r="D18" s="350">
        <v>0</v>
      </c>
      <c r="E18" s="472">
        <v>40000</v>
      </c>
    </row>
    <row r="19" spans="1:7">
      <c r="A19" s="349" t="s">
        <v>629</v>
      </c>
      <c r="B19" s="350">
        <v>24000</v>
      </c>
      <c r="C19" s="350">
        <v>0</v>
      </c>
      <c r="D19" s="350">
        <v>0</v>
      </c>
      <c r="E19" s="472">
        <v>24000</v>
      </c>
    </row>
    <row r="20" spans="1:7">
      <c r="A20" s="349" t="s">
        <v>630</v>
      </c>
      <c r="B20" s="350">
        <v>41338890</v>
      </c>
      <c r="C20" s="350">
        <v>612515000</v>
      </c>
      <c r="D20" s="350">
        <v>611433369</v>
      </c>
      <c r="E20" s="472">
        <v>42420521</v>
      </c>
    </row>
    <row r="21" spans="1:7">
      <c r="A21" s="349" t="s">
        <v>631</v>
      </c>
      <c r="B21" s="350">
        <v>2457557.2200000002</v>
      </c>
      <c r="C21" s="350">
        <v>178413.96</v>
      </c>
      <c r="D21" s="350">
        <v>0</v>
      </c>
      <c r="E21" s="472">
        <v>2635971.1800000002</v>
      </c>
      <c r="F21" s="473">
        <v>2640971.1800000002</v>
      </c>
      <c r="G21" s="473">
        <f>E21-F21</f>
        <v>-5000</v>
      </c>
    </row>
    <row r="22" spans="1:7">
      <c r="A22" s="349" t="s">
        <v>632</v>
      </c>
      <c r="B22" s="350">
        <v>1500191.12</v>
      </c>
      <c r="C22" s="350">
        <v>347099056.88</v>
      </c>
      <c r="D22" s="350">
        <v>310951798</v>
      </c>
      <c r="E22" s="472">
        <v>37647450</v>
      </c>
    </row>
    <row r="23" spans="1:7">
      <c r="A23" s="349" t="s">
        <v>633</v>
      </c>
      <c r="B23" s="350">
        <v>0</v>
      </c>
      <c r="C23" s="350">
        <v>0</v>
      </c>
      <c r="D23" s="350">
        <v>0</v>
      </c>
      <c r="E23" s="350">
        <v>0</v>
      </c>
    </row>
    <row r="24" spans="1:7">
      <c r="A24" s="349" t="s">
        <v>634</v>
      </c>
      <c r="B24" s="350">
        <v>67045.41</v>
      </c>
      <c r="C24" s="350">
        <v>22654608.809999999</v>
      </c>
      <c r="D24" s="350">
        <v>22670718.620000001</v>
      </c>
      <c r="E24" s="472">
        <v>50935.6</v>
      </c>
      <c r="F24" s="473"/>
      <c r="G24" s="473"/>
    </row>
    <row r="25" spans="1:7">
      <c r="A25" s="349" t="s">
        <v>635</v>
      </c>
      <c r="B25" s="350">
        <v>11422.71</v>
      </c>
      <c r="C25" s="350">
        <v>9704469.5700000003</v>
      </c>
      <c r="D25" s="350">
        <v>9715811.5700000003</v>
      </c>
      <c r="E25" s="472">
        <v>80.709999999999994</v>
      </c>
      <c r="F25" s="473"/>
      <c r="G25" s="473"/>
    </row>
    <row r="26" spans="1:7">
      <c r="A26" s="349" t="s">
        <v>636</v>
      </c>
      <c r="B26" s="350">
        <v>67045.41</v>
      </c>
      <c r="C26" s="350">
        <v>22654608.809999999</v>
      </c>
      <c r="D26" s="350">
        <v>22670718.620000001</v>
      </c>
      <c r="E26" s="472">
        <v>50935.6</v>
      </c>
      <c r="F26" s="473"/>
      <c r="G26" s="473"/>
    </row>
    <row r="27" spans="1:7" ht="15.75">
      <c r="A27" s="351" t="s">
        <v>637</v>
      </c>
      <c r="B27" s="352">
        <v>145513.53</v>
      </c>
      <c r="C27" s="352">
        <v>55013687.189999998</v>
      </c>
      <c r="D27" s="352">
        <v>55057248.810000002</v>
      </c>
      <c r="E27" s="352">
        <v>101951.91</v>
      </c>
    </row>
    <row r="29" spans="1:7">
      <c r="A29" s="349" t="s">
        <v>638</v>
      </c>
      <c r="B29" s="350">
        <v>149668</v>
      </c>
      <c r="C29" s="350">
        <v>1471111</v>
      </c>
      <c r="D29" s="350">
        <v>1489971</v>
      </c>
      <c r="E29" s="472">
        <v>130808</v>
      </c>
    </row>
    <row r="30" spans="1:7">
      <c r="A30" s="349" t="s">
        <v>639</v>
      </c>
      <c r="B30" s="350">
        <v>0</v>
      </c>
      <c r="C30" s="350">
        <v>3082301.09</v>
      </c>
      <c r="D30" s="350">
        <v>3057878.68</v>
      </c>
      <c r="E30" s="472">
        <v>24422.41</v>
      </c>
    </row>
    <row r="31" spans="1:7">
      <c r="A31" s="349" t="s">
        <v>640</v>
      </c>
      <c r="B31" s="350">
        <v>0</v>
      </c>
      <c r="C31" s="350">
        <v>722707.11</v>
      </c>
      <c r="D31" s="350">
        <v>350405.74</v>
      </c>
      <c r="E31" s="472">
        <v>372301.37</v>
      </c>
    </row>
    <row r="32" spans="1:7">
      <c r="A32" s="349" t="s">
        <v>641</v>
      </c>
      <c r="B32" s="350">
        <v>42372.04</v>
      </c>
      <c r="C32" s="350">
        <v>42849.59</v>
      </c>
      <c r="D32" s="350">
        <v>22647.05</v>
      </c>
      <c r="E32" s="472">
        <v>62574.58</v>
      </c>
    </row>
    <row r="33" spans="1:7">
      <c r="A33" s="349" t="s">
        <v>754</v>
      </c>
      <c r="B33" s="350">
        <v>0</v>
      </c>
      <c r="C33" s="350">
        <v>2485995</v>
      </c>
      <c r="D33" s="350">
        <v>2485995</v>
      </c>
      <c r="E33" s="350">
        <v>0</v>
      </c>
    </row>
    <row r="34" spans="1:7">
      <c r="A34" s="349" t="s">
        <v>643</v>
      </c>
      <c r="B34" s="350">
        <v>20468.77</v>
      </c>
      <c r="C34" s="350">
        <v>509940.11</v>
      </c>
      <c r="D34" s="350">
        <v>530408.88</v>
      </c>
      <c r="E34" s="350">
        <v>0</v>
      </c>
    </row>
    <row r="35" spans="1:7">
      <c r="A35" s="349" t="s">
        <v>644</v>
      </c>
      <c r="B35" s="350">
        <v>208549</v>
      </c>
      <c r="C35" s="350">
        <v>1675456</v>
      </c>
      <c r="D35" s="350">
        <v>1676671</v>
      </c>
      <c r="E35" s="472">
        <v>207334</v>
      </c>
    </row>
    <row r="36" spans="1:7">
      <c r="A36" s="349" t="s">
        <v>755</v>
      </c>
      <c r="B36" s="350">
        <v>4626487.7</v>
      </c>
      <c r="C36" s="350">
        <v>517099.4</v>
      </c>
      <c r="D36" s="350">
        <v>5143587.0999999996</v>
      </c>
      <c r="E36" s="350">
        <v>0</v>
      </c>
    </row>
    <row r="37" spans="1:7">
      <c r="A37" s="349" t="s">
        <v>645</v>
      </c>
      <c r="B37" s="350">
        <v>0</v>
      </c>
      <c r="C37" s="350">
        <v>8554545.4000000004</v>
      </c>
      <c r="D37" s="350">
        <v>0</v>
      </c>
      <c r="E37" s="472">
        <v>8554545.4000000004</v>
      </c>
    </row>
    <row r="38" spans="1:7">
      <c r="A38" s="349" t="s">
        <v>647</v>
      </c>
      <c r="B38" s="350">
        <v>3110.16</v>
      </c>
      <c r="C38" s="350">
        <v>0</v>
      </c>
      <c r="D38" s="350">
        <v>0</v>
      </c>
      <c r="E38" s="472">
        <v>3110.16</v>
      </c>
    </row>
    <row r="39" spans="1:7">
      <c r="A39" s="349" t="s">
        <v>648</v>
      </c>
      <c r="B39" s="350">
        <v>0</v>
      </c>
      <c r="C39" s="350">
        <v>12900.1</v>
      </c>
      <c r="D39" s="350">
        <v>12900.1</v>
      </c>
      <c r="E39" s="350">
        <v>0</v>
      </c>
    </row>
    <row r="40" spans="1:7">
      <c r="A40" s="349" t="s">
        <v>649</v>
      </c>
      <c r="B40" s="937" t="s">
        <v>509</v>
      </c>
      <c r="C40" s="937" t="s">
        <v>509</v>
      </c>
      <c r="D40" s="937" t="s">
        <v>509</v>
      </c>
      <c r="E40" s="937" t="s">
        <v>509</v>
      </c>
    </row>
    <row r="41" spans="1:7">
      <c r="A41" s="349" t="s">
        <v>650</v>
      </c>
      <c r="B41" s="350">
        <v>-28896199.23</v>
      </c>
      <c r="C41" s="350">
        <v>360117229.66000003</v>
      </c>
      <c r="D41" s="350">
        <v>363219258.79000002</v>
      </c>
      <c r="E41" s="472">
        <v>-31998228.359999999</v>
      </c>
      <c r="F41" s="473"/>
      <c r="G41" s="473"/>
    </row>
    <row r="42" spans="1:7">
      <c r="A42" s="349" t="s">
        <v>651</v>
      </c>
      <c r="B42" s="350">
        <v>0</v>
      </c>
      <c r="C42" s="350">
        <v>1018636.02</v>
      </c>
      <c r="D42" s="350">
        <v>1250059.23</v>
      </c>
      <c r="E42" s="472">
        <v>-231423.21</v>
      </c>
      <c r="F42" s="473"/>
      <c r="G42" s="473"/>
    </row>
    <row r="43" spans="1:7">
      <c r="A43" s="349" t="s">
        <v>652</v>
      </c>
      <c r="B43" s="350">
        <v>12118.09</v>
      </c>
      <c r="C43" s="350">
        <v>0</v>
      </c>
      <c r="D43" s="350">
        <v>109992.7</v>
      </c>
      <c r="E43" s="472">
        <v>-97874.61</v>
      </c>
      <c r="F43" s="474">
        <v>64526</v>
      </c>
      <c r="G43" s="473">
        <f>-E43-F43</f>
        <v>33348.61</v>
      </c>
    </row>
    <row r="44" spans="1:7">
      <c r="A44" s="349" t="s">
        <v>654</v>
      </c>
      <c r="B44" s="350">
        <v>-27622</v>
      </c>
      <c r="C44" s="350">
        <v>311603</v>
      </c>
      <c r="D44" s="350">
        <v>363145</v>
      </c>
      <c r="E44" s="476">
        <v>-79164</v>
      </c>
      <c r="F44" s="473"/>
      <c r="G44" s="473"/>
    </row>
    <row r="45" spans="1:7">
      <c r="A45" s="349" t="s">
        <v>655</v>
      </c>
      <c r="B45" s="350">
        <v>0</v>
      </c>
      <c r="C45" s="350">
        <v>510463.02</v>
      </c>
      <c r="D45" s="350">
        <v>510463.02</v>
      </c>
      <c r="E45" s="350">
        <v>0</v>
      </c>
    </row>
    <row r="46" spans="1:7">
      <c r="A46" s="349" t="s">
        <v>656</v>
      </c>
      <c r="B46" s="350">
        <v>-189951</v>
      </c>
      <c r="C46" s="350">
        <v>2530742</v>
      </c>
      <c r="D46" s="350">
        <v>2561718</v>
      </c>
      <c r="E46" s="476">
        <v>-220927</v>
      </c>
    </row>
    <row r="47" spans="1:7">
      <c r="A47" s="349" t="s">
        <v>658</v>
      </c>
      <c r="B47" s="350">
        <v>-640096.30000000005</v>
      </c>
      <c r="C47" s="350">
        <v>36701715.310000002</v>
      </c>
      <c r="D47" s="350">
        <v>35778184.009999998</v>
      </c>
      <c r="E47" s="472">
        <v>283435</v>
      </c>
    </row>
    <row r="48" spans="1:7">
      <c r="A48" s="349" t="s">
        <v>659</v>
      </c>
      <c r="B48" s="350">
        <v>0</v>
      </c>
      <c r="C48" s="350">
        <v>172433.72</v>
      </c>
      <c r="D48" s="350">
        <v>233766.5</v>
      </c>
      <c r="E48" s="472">
        <v>-61332.78</v>
      </c>
    </row>
    <row r="49" spans="1:7">
      <c r="A49" s="349" t="s">
        <v>660</v>
      </c>
      <c r="B49" s="350">
        <v>0.72</v>
      </c>
      <c r="C49" s="350">
        <v>89986675.209999993</v>
      </c>
      <c r="D49" s="350">
        <v>90014540.450000003</v>
      </c>
      <c r="E49" s="472">
        <v>-27864.52</v>
      </c>
    </row>
    <row r="50" spans="1:7">
      <c r="A50" s="349" t="s">
        <v>661</v>
      </c>
      <c r="B50" s="350">
        <v>0</v>
      </c>
      <c r="C50" s="350">
        <v>172433.72</v>
      </c>
      <c r="D50" s="350">
        <v>233766.5</v>
      </c>
      <c r="E50" s="472">
        <v>-61332.78</v>
      </c>
    </row>
    <row r="51" spans="1:7" ht="15.75">
      <c r="A51" s="351" t="s">
        <v>662</v>
      </c>
      <c r="B51" s="352">
        <v>-640095.57999999996</v>
      </c>
      <c r="C51" s="352">
        <v>127033257.95999999</v>
      </c>
      <c r="D51" s="352">
        <v>126260257.45999999</v>
      </c>
      <c r="E51" s="477">
        <v>132904.92000000001</v>
      </c>
    </row>
    <row r="53" spans="1:7">
      <c r="A53" s="349" t="s">
        <v>664</v>
      </c>
      <c r="B53" s="350">
        <v>-234041.56</v>
      </c>
      <c r="C53" s="350">
        <v>2083327.38</v>
      </c>
      <c r="D53" s="350">
        <v>2144501.6800000002</v>
      </c>
      <c r="E53" s="478">
        <v>-295215.86</v>
      </c>
    </row>
    <row r="54" spans="1:7">
      <c r="A54" s="349" t="s">
        <v>665</v>
      </c>
      <c r="B54" s="350">
        <v>-363343</v>
      </c>
      <c r="C54" s="350">
        <v>6146567</v>
      </c>
      <c r="D54" s="350">
        <v>6509531</v>
      </c>
      <c r="E54" s="478">
        <v>-726307</v>
      </c>
    </row>
    <row r="55" spans="1:7">
      <c r="A55" s="349" t="s">
        <v>666</v>
      </c>
      <c r="B55" s="350">
        <v>-1041064</v>
      </c>
      <c r="C55" s="350">
        <v>16683515</v>
      </c>
      <c r="D55" s="350">
        <v>17171177</v>
      </c>
      <c r="E55" s="476">
        <v>-1528726</v>
      </c>
    </row>
    <row r="56" spans="1:7">
      <c r="A56" s="349" t="s">
        <v>667</v>
      </c>
      <c r="B56" s="350">
        <v>0</v>
      </c>
      <c r="C56" s="350">
        <v>0</v>
      </c>
      <c r="D56" s="350">
        <v>450000</v>
      </c>
      <c r="E56" s="478">
        <v>-450000</v>
      </c>
    </row>
    <row r="57" spans="1:7">
      <c r="A57" s="349" t="s">
        <v>668</v>
      </c>
      <c r="B57" s="350">
        <v>0</v>
      </c>
      <c r="C57" s="350">
        <v>8500000</v>
      </c>
      <c r="D57" s="350">
        <v>16500000</v>
      </c>
      <c r="E57" s="478">
        <v>-8000000</v>
      </c>
    </row>
    <row r="58" spans="1:7">
      <c r="A58" s="349" t="s">
        <v>669</v>
      </c>
      <c r="B58" s="350">
        <v>0</v>
      </c>
      <c r="C58" s="350">
        <v>2657592</v>
      </c>
      <c r="D58" s="350">
        <v>10657592</v>
      </c>
      <c r="E58" s="472">
        <v>-8000000</v>
      </c>
    </row>
    <row r="59" spans="1:7">
      <c r="A59" s="349" t="s">
        <v>759</v>
      </c>
      <c r="B59" s="350">
        <v>-49707</v>
      </c>
      <c r="C59" s="350">
        <v>49707</v>
      </c>
      <c r="D59" s="350">
        <v>0</v>
      </c>
      <c r="E59" s="350">
        <v>0</v>
      </c>
    </row>
    <row r="60" spans="1:7">
      <c r="A60" s="349" t="s">
        <v>670</v>
      </c>
      <c r="B60" s="350">
        <v>-388120</v>
      </c>
      <c r="C60" s="350">
        <v>1567784</v>
      </c>
      <c r="D60" s="350">
        <v>1286844</v>
      </c>
      <c r="E60" s="476">
        <v>-107180</v>
      </c>
    </row>
    <row r="61" spans="1:7">
      <c r="A61" s="349" t="s">
        <v>671</v>
      </c>
      <c r="B61" s="350">
        <v>-40000</v>
      </c>
      <c r="C61" s="350">
        <v>802000</v>
      </c>
      <c r="D61" s="350">
        <v>795500</v>
      </c>
      <c r="E61" s="478">
        <v>-33500</v>
      </c>
    </row>
    <row r="62" spans="1:7">
      <c r="A62" s="349" t="s">
        <v>672</v>
      </c>
      <c r="B62" s="350">
        <v>-6199661</v>
      </c>
      <c r="C62" s="350">
        <v>96723598</v>
      </c>
      <c r="D62" s="350">
        <v>99613889</v>
      </c>
      <c r="E62" s="478">
        <v>-9089952</v>
      </c>
      <c r="F62" s="473"/>
      <c r="G62" s="473"/>
    </row>
    <row r="63" spans="1:7">
      <c r="A63" s="349" t="s">
        <v>673</v>
      </c>
      <c r="B63" s="350">
        <v>0</v>
      </c>
      <c r="C63" s="350">
        <v>382615</v>
      </c>
      <c r="D63" s="350">
        <v>382615</v>
      </c>
      <c r="E63" s="350">
        <v>0</v>
      </c>
    </row>
    <row r="64" spans="1:7">
      <c r="A64" s="349" t="s">
        <v>674</v>
      </c>
      <c r="B64" s="350">
        <v>-1793256</v>
      </c>
      <c r="C64" s="350">
        <v>23459458</v>
      </c>
      <c r="D64" s="350">
        <v>24777823</v>
      </c>
      <c r="E64" s="476">
        <v>-3111621</v>
      </c>
    </row>
    <row r="65" spans="1:5">
      <c r="A65" s="349" t="s">
        <v>675</v>
      </c>
      <c r="B65" s="937" t="s">
        <v>509</v>
      </c>
      <c r="C65" s="937" t="s">
        <v>509</v>
      </c>
      <c r="D65" s="937" t="s">
        <v>509</v>
      </c>
      <c r="E65" s="937" t="s">
        <v>509</v>
      </c>
    </row>
    <row r="66" spans="1:5">
      <c r="A66" s="349" t="s">
        <v>760</v>
      </c>
      <c r="B66" s="350">
        <v>-9358056.4499999993</v>
      </c>
      <c r="C66" s="350">
        <v>0</v>
      </c>
      <c r="D66" s="350">
        <v>0</v>
      </c>
      <c r="E66" s="350">
        <v>-9358056.4499999993</v>
      </c>
    </row>
    <row r="67" spans="1:5">
      <c r="A67" s="349" t="s">
        <v>676</v>
      </c>
      <c r="B67" s="350">
        <v>-9064410.5</v>
      </c>
      <c r="C67" s="350">
        <v>0</v>
      </c>
      <c r="D67" s="350">
        <v>0</v>
      </c>
      <c r="E67" s="350">
        <v>-9064410.5</v>
      </c>
    </row>
    <row r="68" spans="1:5">
      <c r="A68" s="349" t="s">
        <v>677</v>
      </c>
      <c r="B68" s="350">
        <v>-100000</v>
      </c>
      <c r="C68" s="350">
        <v>0</v>
      </c>
      <c r="D68" s="350">
        <v>0</v>
      </c>
      <c r="E68" s="472">
        <v>-100000</v>
      </c>
    </row>
    <row r="69" spans="1:5">
      <c r="A69" s="349"/>
      <c r="B69" s="475"/>
      <c r="C69" s="475"/>
      <c r="D69" s="475"/>
      <c r="E69" s="475"/>
    </row>
    <row r="70" spans="1:5">
      <c r="A70" s="349"/>
      <c r="B70" s="475"/>
      <c r="C70" s="475"/>
      <c r="D70" s="475"/>
      <c r="E70" s="475"/>
    </row>
    <row r="71" spans="1:5">
      <c r="A71" s="349" t="s">
        <v>678</v>
      </c>
      <c r="B71" s="937" t="s">
        <v>509</v>
      </c>
      <c r="C71" s="937" t="s">
        <v>509</v>
      </c>
      <c r="D71" s="937" t="s">
        <v>509</v>
      </c>
      <c r="E71" s="937" t="s">
        <v>509</v>
      </c>
    </row>
    <row r="72" spans="1:5">
      <c r="A72" s="349" t="s">
        <v>581</v>
      </c>
      <c r="B72" s="350">
        <v>0</v>
      </c>
      <c r="C72" s="350">
        <v>500000</v>
      </c>
      <c r="D72" s="350">
        <v>5500000</v>
      </c>
      <c r="E72" s="350">
        <v>-5000000</v>
      </c>
    </row>
    <row r="73" spans="1:5">
      <c r="A73" s="349" t="s">
        <v>510</v>
      </c>
      <c r="B73" s="350">
        <v>0</v>
      </c>
      <c r="C73" s="350">
        <v>36330.199999999997</v>
      </c>
      <c r="D73" s="350">
        <v>3626183.95</v>
      </c>
      <c r="E73" s="350">
        <v>-3589853.75</v>
      </c>
    </row>
    <row r="74" spans="1:5">
      <c r="A74" s="349" t="s">
        <v>511</v>
      </c>
      <c r="B74" s="350">
        <v>0</v>
      </c>
      <c r="C74" s="350">
        <v>0</v>
      </c>
      <c r="D74" s="350">
        <v>111865</v>
      </c>
      <c r="E74" s="350">
        <v>-111865</v>
      </c>
    </row>
    <row r="75" spans="1:5">
      <c r="A75" s="349" t="s">
        <v>680</v>
      </c>
      <c r="B75" s="350">
        <v>0</v>
      </c>
      <c r="C75" s="350">
        <v>0</v>
      </c>
      <c r="D75" s="350">
        <v>7.17</v>
      </c>
      <c r="E75" s="350">
        <v>-7.17</v>
      </c>
    </row>
    <row r="76" spans="1:5">
      <c r="A76" s="349" t="s">
        <v>512</v>
      </c>
      <c r="B76" s="350">
        <v>0</v>
      </c>
      <c r="C76" s="350">
        <v>0</v>
      </c>
      <c r="D76" s="350">
        <v>499697361.05000001</v>
      </c>
      <c r="E76" s="350">
        <v>-499697361.05000001</v>
      </c>
    </row>
    <row r="77" spans="1:5">
      <c r="A77" s="349" t="s">
        <v>681</v>
      </c>
      <c r="B77" s="350">
        <v>0</v>
      </c>
      <c r="C77" s="350">
        <v>0</v>
      </c>
      <c r="D77" s="350">
        <v>141090</v>
      </c>
      <c r="E77" s="350">
        <v>-141090</v>
      </c>
    </row>
    <row r="78" spans="1:5" ht="15.75">
      <c r="A78" s="351" t="s">
        <v>682</v>
      </c>
      <c r="B78" s="352">
        <v>0</v>
      </c>
      <c r="C78" s="352">
        <v>0</v>
      </c>
      <c r="D78" s="352">
        <v>499838451.05000001</v>
      </c>
      <c r="E78" s="352">
        <v>-499838451.05000001</v>
      </c>
    </row>
    <row r="80" spans="1:5">
      <c r="A80" s="349" t="s">
        <v>683</v>
      </c>
      <c r="B80" s="937" t="s">
        <v>509</v>
      </c>
      <c r="C80" s="937" t="s">
        <v>509</v>
      </c>
      <c r="D80" s="937" t="s">
        <v>509</v>
      </c>
      <c r="E80" s="937" t="s">
        <v>509</v>
      </c>
    </row>
    <row r="81" spans="1:5">
      <c r="A81" s="349" t="s">
        <v>513</v>
      </c>
      <c r="B81" s="350">
        <v>0</v>
      </c>
      <c r="C81" s="350">
        <v>303863</v>
      </c>
      <c r="D81" s="350">
        <v>0</v>
      </c>
      <c r="E81" s="350">
        <v>303863</v>
      </c>
    </row>
    <row r="82" spans="1:5">
      <c r="A82" s="349" t="s">
        <v>514</v>
      </c>
      <c r="B82" s="350">
        <v>0</v>
      </c>
      <c r="C82" s="350">
        <v>5378209.7000000002</v>
      </c>
      <c r="D82" s="350">
        <v>0</v>
      </c>
      <c r="E82" s="350">
        <v>5378209.7000000002</v>
      </c>
    </row>
    <row r="83" spans="1:5">
      <c r="A83" s="349" t="s">
        <v>515</v>
      </c>
      <c r="B83" s="350">
        <v>0</v>
      </c>
      <c r="C83" s="350">
        <v>873540.31</v>
      </c>
      <c r="D83" s="350">
        <v>31320</v>
      </c>
      <c r="E83" s="350">
        <v>842220.31</v>
      </c>
    </row>
    <row r="84" spans="1:5">
      <c r="A84" s="349" t="s">
        <v>516</v>
      </c>
      <c r="B84" s="350">
        <v>0</v>
      </c>
      <c r="C84" s="350">
        <v>1002267.27</v>
      </c>
      <c r="D84" s="350">
        <v>87047.53</v>
      </c>
      <c r="E84" s="350">
        <v>915219.74</v>
      </c>
    </row>
    <row r="85" spans="1:5">
      <c r="A85" s="349" t="s">
        <v>517</v>
      </c>
      <c r="B85" s="350">
        <v>0</v>
      </c>
      <c r="C85" s="350">
        <v>5872920.3600000003</v>
      </c>
      <c r="D85" s="350">
        <v>290752.46999999997</v>
      </c>
      <c r="E85" s="350">
        <v>5582167.8899999997</v>
      </c>
    </row>
    <row r="86" spans="1:5">
      <c r="A86" s="349" t="s">
        <v>685</v>
      </c>
      <c r="B86" s="350">
        <v>0</v>
      </c>
      <c r="C86" s="350">
        <v>3631400</v>
      </c>
      <c r="D86" s="350">
        <v>0</v>
      </c>
      <c r="E86" s="350">
        <v>3631400</v>
      </c>
    </row>
    <row r="87" spans="1:5">
      <c r="A87" s="349" t="s">
        <v>518</v>
      </c>
      <c r="B87" s="350">
        <v>0</v>
      </c>
      <c r="C87" s="350">
        <v>1039734.44</v>
      </c>
      <c r="D87" s="350">
        <v>637.29</v>
      </c>
      <c r="E87" s="350">
        <v>1039097.15</v>
      </c>
    </row>
    <row r="88" spans="1:5">
      <c r="A88" s="349" t="s">
        <v>519</v>
      </c>
      <c r="B88" s="350">
        <v>0</v>
      </c>
      <c r="C88" s="350">
        <v>10545744.59</v>
      </c>
      <c r="D88" s="350">
        <v>5252</v>
      </c>
      <c r="E88" s="350">
        <v>10540492.59</v>
      </c>
    </row>
    <row r="89" spans="1:5">
      <c r="A89" s="349" t="s">
        <v>520</v>
      </c>
      <c r="B89" s="350">
        <v>0</v>
      </c>
      <c r="C89" s="350">
        <v>2992646.2</v>
      </c>
      <c r="D89" s="350">
        <v>0</v>
      </c>
      <c r="E89" s="350">
        <v>2992646.2</v>
      </c>
    </row>
    <row r="90" spans="1:5">
      <c r="A90" s="349" t="s">
        <v>521</v>
      </c>
      <c r="B90" s="350">
        <v>0</v>
      </c>
      <c r="C90" s="350">
        <v>853000</v>
      </c>
      <c r="D90" s="350">
        <v>0</v>
      </c>
      <c r="E90" s="350">
        <v>853000</v>
      </c>
    </row>
    <row r="91" spans="1:5">
      <c r="A91" s="349" t="s">
        <v>522</v>
      </c>
      <c r="B91" s="350">
        <v>0</v>
      </c>
      <c r="C91" s="350">
        <v>51852</v>
      </c>
      <c r="D91" s="350">
        <v>0</v>
      </c>
      <c r="E91" s="350">
        <v>51852</v>
      </c>
    </row>
    <row r="92" spans="1:5">
      <c r="A92" s="349" t="s">
        <v>523</v>
      </c>
      <c r="B92" s="350">
        <v>0</v>
      </c>
      <c r="C92" s="350">
        <v>347453.97</v>
      </c>
      <c r="D92" s="350">
        <v>19046.099999999999</v>
      </c>
      <c r="E92" s="350">
        <v>328407.87</v>
      </c>
    </row>
    <row r="93" spans="1:5">
      <c r="A93" s="349" t="s">
        <v>524</v>
      </c>
      <c r="B93" s="350">
        <v>0</v>
      </c>
      <c r="C93" s="350">
        <v>5355</v>
      </c>
      <c r="D93" s="350">
        <v>0</v>
      </c>
      <c r="E93" s="350">
        <v>5355</v>
      </c>
    </row>
    <row r="94" spans="1:5">
      <c r="A94" s="349" t="s">
        <v>525</v>
      </c>
      <c r="B94" s="350">
        <v>0</v>
      </c>
      <c r="C94" s="350">
        <v>245953.06</v>
      </c>
      <c r="D94" s="350">
        <v>542.44000000000005</v>
      </c>
      <c r="E94" s="350">
        <v>245410.62</v>
      </c>
    </row>
    <row r="95" spans="1:5">
      <c r="A95" s="349" t="s">
        <v>526</v>
      </c>
      <c r="B95" s="350">
        <v>0</v>
      </c>
      <c r="C95" s="350">
        <v>1184830.94</v>
      </c>
      <c r="D95" s="350">
        <v>770460.61</v>
      </c>
      <c r="E95" s="350">
        <v>414370.33</v>
      </c>
    </row>
    <row r="96" spans="1:5">
      <c r="A96" s="349" t="s">
        <v>527</v>
      </c>
      <c r="B96" s="350">
        <v>0</v>
      </c>
      <c r="C96" s="350">
        <v>117569.81</v>
      </c>
      <c r="D96" s="350">
        <v>0</v>
      </c>
      <c r="E96" s="350">
        <v>117569.81</v>
      </c>
    </row>
    <row r="97" spans="1:5">
      <c r="A97" s="349" t="s">
        <v>528</v>
      </c>
      <c r="B97" s="350">
        <v>0</v>
      </c>
      <c r="C97" s="350">
        <v>100275050.64</v>
      </c>
      <c r="D97" s="350">
        <v>0</v>
      </c>
      <c r="E97" s="350">
        <v>100275050.64</v>
      </c>
    </row>
    <row r="98" spans="1:5">
      <c r="A98" s="349" t="s">
        <v>574</v>
      </c>
      <c r="B98" s="350">
        <v>0</v>
      </c>
      <c r="C98" s="350">
        <v>5751600</v>
      </c>
      <c r="D98" s="350">
        <v>0</v>
      </c>
      <c r="E98" s="350">
        <v>5751600</v>
      </c>
    </row>
    <row r="99" spans="1:5">
      <c r="A99" s="349" t="s">
        <v>529</v>
      </c>
      <c r="B99" s="350">
        <v>0</v>
      </c>
      <c r="C99" s="350">
        <v>106445427.84</v>
      </c>
      <c r="D99" s="350">
        <v>0</v>
      </c>
      <c r="E99" s="350">
        <v>106445427.84</v>
      </c>
    </row>
    <row r="100" spans="1:5">
      <c r="A100" s="349" t="s">
        <v>761</v>
      </c>
      <c r="B100" s="350">
        <v>0</v>
      </c>
      <c r="C100" s="350">
        <v>12888</v>
      </c>
      <c r="D100" s="350">
        <v>0</v>
      </c>
      <c r="E100" s="350">
        <v>12888</v>
      </c>
    </row>
    <row r="101" spans="1:5">
      <c r="A101" s="349" t="s">
        <v>690</v>
      </c>
      <c r="B101" s="350">
        <v>0</v>
      </c>
      <c r="C101" s="350">
        <v>28343</v>
      </c>
      <c r="D101" s="350">
        <v>0</v>
      </c>
      <c r="E101" s="350">
        <v>28343</v>
      </c>
    </row>
    <row r="102" spans="1:5">
      <c r="A102" s="349" t="s">
        <v>530</v>
      </c>
      <c r="B102" s="350">
        <v>0</v>
      </c>
      <c r="C102" s="350">
        <v>3860.43</v>
      </c>
      <c r="D102" s="350">
        <v>240.73</v>
      </c>
      <c r="E102" s="350">
        <v>3619.7</v>
      </c>
    </row>
    <row r="103" spans="1:5">
      <c r="A103" s="349" t="s">
        <v>531</v>
      </c>
      <c r="B103" s="350">
        <v>0</v>
      </c>
      <c r="C103" s="350">
        <v>12197368.720000001</v>
      </c>
      <c r="D103" s="350">
        <v>277000</v>
      </c>
      <c r="E103" s="350">
        <v>11920368.720000001</v>
      </c>
    </row>
    <row r="104" spans="1:5">
      <c r="A104" s="349" t="s">
        <v>532</v>
      </c>
      <c r="B104" s="350">
        <v>0</v>
      </c>
      <c r="C104" s="350">
        <v>33045549.260000002</v>
      </c>
      <c r="D104" s="350">
        <v>0</v>
      </c>
      <c r="E104" s="350">
        <v>33045549.260000002</v>
      </c>
    </row>
    <row r="105" spans="1:5">
      <c r="A105" s="349" t="s">
        <v>533</v>
      </c>
      <c r="B105" s="350">
        <v>0</v>
      </c>
      <c r="C105" s="350">
        <v>3471500.57</v>
      </c>
      <c r="D105" s="350">
        <v>596629.22</v>
      </c>
      <c r="E105" s="350">
        <v>2874871.35</v>
      </c>
    </row>
    <row r="106" spans="1:5">
      <c r="A106" s="349" t="s">
        <v>534</v>
      </c>
      <c r="B106" s="350">
        <v>0</v>
      </c>
      <c r="C106" s="350">
        <v>656749</v>
      </c>
      <c r="D106" s="350">
        <v>0</v>
      </c>
      <c r="E106" s="350">
        <v>656749</v>
      </c>
    </row>
    <row r="107" spans="1:5">
      <c r="A107" s="349" t="s">
        <v>762</v>
      </c>
      <c r="B107" s="350">
        <v>0</v>
      </c>
      <c r="C107" s="350">
        <v>109992.7</v>
      </c>
      <c r="D107" s="350">
        <v>0</v>
      </c>
      <c r="E107" s="350">
        <v>109992.7</v>
      </c>
    </row>
    <row r="108" spans="1:5">
      <c r="A108" s="349" t="s">
        <v>535</v>
      </c>
      <c r="B108" s="350">
        <v>0</v>
      </c>
      <c r="C108" s="350">
        <v>1553070.81</v>
      </c>
      <c r="D108" s="350">
        <v>0</v>
      </c>
      <c r="E108" s="350">
        <v>1553070.81</v>
      </c>
    </row>
    <row r="109" spans="1:5">
      <c r="A109" s="349" t="s">
        <v>536</v>
      </c>
      <c r="B109" s="350">
        <v>0</v>
      </c>
      <c r="C109" s="350">
        <v>363145</v>
      </c>
      <c r="D109" s="350">
        <v>0</v>
      </c>
      <c r="E109" s="350">
        <v>363145</v>
      </c>
    </row>
    <row r="110" spans="1:5">
      <c r="A110" s="349" t="s">
        <v>537</v>
      </c>
      <c r="B110" s="350">
        <v>0</v>
      </c>
      <c r="C110" s="350">
        <v>743331.24</v>
      </c>
      <c r="D110" s="350">
        <v>152679</v>
      </c>
      <c r="E110" s="350">
        <v>590652.24</v>
      </c>
    </row>
    <row r="111" spans="1:5">
      <c r="A111" s="349" t="s">
        <v>692</v>
      </c>
      <c r="B111" s="350">
        <v>0</v>
      </c>
      <c r="C111" s="350">
        <v>56811</v>
      </c>
      <c r="D111" s="350">
        <v>0</v>
      </c>
      <c r="E111" s="350">
        <v>56811</v>
      </c>
    </row>
    <row r="112" spans="1:5">
      <c r="A112" s="349" t="s">
        <v>538</v>
      </c>
      <c r="B112" s="350">
        <v>0</v>
      </c>
      <c r="C112" s="350">
        <v>1265560.3899999999</v>
      </c>
      <c r="D112" s="350">
        <v>0</v>
      </c>
      <c r="E112" s="350">
        <v>1265560.3899999999</v>
      </c>
    </row>
    <row r="113" spans="1:5">
      <c r="A113" s="349" t="s">
        <v>539</v>
      </c>
      <c r="B113" s="350">
        <v>0</v>
      </c>
      <c r="C113" s="350">
        <v>24953.360000000001</v>
      </c>
      <c r="D113" s="350">
        <v>0</v>
      </c>
      <c r="E113" s="350">
        <v>24953.360000000001</v>
      </c>
    </row>
    <row r="114" spans="1:5">
      <c r="A114" s="349" t="s">
        <v>540</v>
      </c>
      <c r="B114" s="350">
        <v>0</v>
      </c>
      <c r="C114" s="350">
        <v>1657009.6</v>
      </c>
      <c r="D114" s="350">
        <v>46690</v>
      </c>
      <c r="E114" s="350">
        <v>1610319.6</v>
      </c>
    </row>
    <row r="115" spans="1:5">
      <c r="A115" s="349" t="s">
        <v>541</v>
      </c>
      <c r="B115" s="350">
        <v>0</v>
      </c>
      <c r="C115" s="350">
        <v>5615763</v>
      </c>
      <c r="D115" s="350">
        <v>0</v>
      </c>
      <c r="E115" s="350">
        <v>5615763</v>
      </c>
    </row>
    <row r="116" spans="1:5">
      <c r="A116" s="349" t="s">
        <v>542</v>
      </c>
      <c r="B116" s="350">
        <v>0</v>
      </c>
      <c r="C116" s="350">
        <v>817917.3</v>
      </c>
      <c r="D116" s="350">
        <v>0</v>
      </c>
      <c r="E116" s="350">
        <v>817917.3</v>
      </c>
    </row>
    <row r="117" spans="1:5">
      <c r="A117" s="349" t="s">
        <v>543</v>
      </c>
      <c r="B117" s="350">
        <v>0</v>
      </c>
      <c r="C117" s="350">
        <v>132483.46</v>
      </c>
      <c r="D117" s="350">
        <v>8943.25</v>
      </c>
      <c r="E117" s="350">
        <v>123540.21</v>
      </c>
    </row>
    <row r="118" spans="1:5">
      <c r="A118" s="349" t="s">
        <v>544</v>
      </c>
      <c r="B118" s="350">
        <v>0</v>
      </c>
      <c r="C118" s="350">
        <v>2079669</v>
      </c>
      <c r="D118" s="350">
        <v>0</v>
      </c>
      <c r="E118" s="350">
        <v>2079669</v>
      </c>
    </row>
    <row r="119" spans="1:5">
      <c r="A119" s="349" t="s">
        <v>545</v>
      </c>
      <c r="B119" s="350">
        <v>0</v>
      </c>
      <c r="C119" s="350">
        <v>8242174</v>
      </c>
      <c r="D119" s="350">
        <v>0</v>
      </c>
      <c r="E119" s="350">
        <v>8242174</v>
      </c>
    </row>
    <row r="120" spans="1:5">
      <c r="A120" s="349" t="s">
        <v>546</v>
      </c>
      <c r="B120" s="350">
        <v>0</v>
      </c>
      <c r="C120" s="350">
        <v>111289855</v>
      </c>
      <c r="D120" s="350">
        <v>0</v>
      </c>
      <c r="E120" s="350">
        <v>111289855</v>
      </c>
    </row>
    <row r="121" spans="1:5">
      <c r="A121" s="349" t="s">
        <v>547</v>
      </c>
      <c r="B121" s="350">
        <v>0</v>
      </c>
      <c r="C121" s="350">
        <v>6540086</v>
      </c>
      <c r="D121" s="350">
        <v>98291</v>
      </c>
      <c r="E121" s="350">
        <v>6441795</v>
      </c>
    </row>
    <row r="122" spans="1:5">
      <c r="A122" s="349" t="s">
        <v>548</v>
      </c>
      <c r="B122" s="350">
        <v>0</v>
      </c>
      <c r="C122" s="350">
        <v>382615</v>
      </c>
      <c r="D122" s="350">
        <v>0</v>
      </c>
      <c r="E122" s="350">
        <v>382615</v>
      </c>
    </row>
    <row r="123" spans="1:5">
      <c r="A123" s="349" t="s">
        <v>549</v>
      </c>
      <c r="B123" s="350">
        <v>0</v>
      </c>
      <c r="C123" s="350">
        <v>299958</v>
      </c>
      <c r="D123" s="350">
        <v>15000</v>
      </c>
      <c r="E123" s="350">
        <v>284958</v>
      </c>
    </row>
    <row r="124" spans="1:5">
      <c r="A124" s="349" t="s">
        <v>550</v>
      </c>
      <c r="B124" s="350">
        <v>0</v>
      </c>
      <c r="C124" s="350">
        <v>16500000</v>
      </c>
      <c r="D124" s="350">
        <v>8549707</v>
      </c>
      <c r="E124" s="350">
        <v>7950293</v>
      </c>
    </row>
    <row r="125" spans="1:5">
      <c r="A125" s="349" t="s">
        <v>551</v>
      </c>
      <c r="B125" s="350">
        <v>0</v>
      </c>
      <c r="C125" s="350">
        <v>341541.28</v>
      </c>
      <c r="D125" s="350">
        <v>15398.3</v>
      </c>
      <c r="E125" s="350">
        <v>326142.98</v>
      </c>
    </row>
    <row r="126" spans="1:5">
      <c r="A126" s="349" t="s">
        <v>552</v>
      </c>
      <c r="B126" s="350">
        <v>0</v>
      </c>
      <c r="C126" s="350">
        <v>795500</v>
      </c>
      <c r="D126" s="350">
        <v>71500</v>
      </c>
      <c r="E126" s="350">
        <v>724000</v>
      </c>
    </row>
    <row r="127" spans="1:5">
      <c r="A127" s="349" t="s">
        <v>561</v>
      </c>
      <c r="B127" s="350">
        <v>0</v>
      </c>
      <c r="C127" s="350">
        <v>0</v>
      </c>
      <c r="D127" s="350">
        <v>0</v>
      </c>
      <c r="E127" s="350">
        <v>0</v>
      </c>
    </row>
    <row r="128" spans="1:5">
      <c r="A128" s="349" t="s">
        <v>695</v>
      </c>
      <c r="B128" s="350">
        <v>0</v>
      </c>
      <c r="C128" s="350">
        <v>28419</v>
      </c>
      <c r="D128" s="350">
        <v>0</v>
      </c>
      <c r="E128" s="350">
        <v>28419</v>
      </c>
    </row>
    <row r="129" spans="1:5">
      <c r="A129" s="349" t="s">
        <v>562</v>
      </c>
      <c r="B129" s="350">
        <v>0</v>
      </c>
      <c r="C129" s="350">
        <v>209456</v>
      </c>
      <c r="D129" s="350">
        <v>0</v>
      </c>
      <c r="E129" s="350">
        <v>209456</v>
      </c>
    </row>
    <row r="130" spans="1:5">
      <c r="A130" s="349" t="s">
        <v>575</v>
      </c>
      <c r="B130" s="350">
        <v>0</v>
      </c>
      <c r="C130" s="350">
        <v>910000</v>
      </c>
      <c r="D130" s="350">
        <v>0</v>
      </c>
      <c r="E130" s="350">
        <v>910000</v>
      </c>
    </row>
    <row r="131" spans="1:5">
      <c r="A131" s="349" t="s">
        <v>563</v>
      </c>
      <c r="B131" s="350">
        <v>0</v>
      </c>
      <c r="C131" s="350">
        <v>1465616</v>
      </c>
      <c r="D131" s="350">
        <v>0</v>
      </c>
      <c r="E131" s="350">
        <v>1465616</v>
      </c>
    </row>
    <row r="132" spans="1:5">
      <c r="A132" s="349" t="s">
        <v>697</v>
      </c>
      <c r="B132" s="350">
        <v>0</v>
      </c>
      <c r="C132" s="350">
        <v>549453</v>
      </c>
      <c r="D132" s="350">
        <v>0</v>
      </c>
      <c r="E132" s="350">
        <v>549453</v>
      </c>
    </row>
    <row r="133" spans="1:5">
      <c r="A133" s="349" t="s">
        <v>564</v>
      </c>
      <c r="B133" s="350">
        <v>0</v>
      </c>
      <c r="C133" s="350">
        <v>1921777</v>
      </c>
      <c r="D133" s="350">
        <v>0</v>
      </c>
      <c r="E133" s="350">
        <v>1921777</v>
      </c>
    </row>
    <row r="134" spans="1:5">
      <c r="A134" s="349" t="s">
        <v>576</v>
      </c>
      <c r="B134" s="350">
        <v>0</v>
      </c>
      <c r="C134" s="350">
        <v>3766000</v>
      </c>
      <c r="D134" s="350">
        <v>0</v>
      </c>
      <c r="E134" s="350">
        <v>3766000</v>
      </c>
    </row>
    <row r="135" spans="1:5">
      <c r="A135" s="349" t="s">
        <v>565</v>
      </c>
      <c r="B135" s="350">
        <v>0</v>
      </c>
      <c r="C135" s="350">
        <v>2931238</v>
      </c>
      <c r="D135" s="350">
        <v>0</v>
      </c>
      <c r="E135" s="350">
        <v>2931238</v>
      </c>
    </row>
    <row r="136" spans="1:5" ht="15.75">
      <c r="A136" s="351" t="s">
        <v>566</v>
      </c>
      <c r="B136" s="352">
        <v>0</v>
      </c>
      <c r="C136" s="352">
        <v>11781959</v>
      </c>
      <c r="D136" s="352">
        <v>0</v>
      </c>
      <c r="E136" s="352">
        <v>11781959</v>
      </c>
    </row>
    <row r="138" spans="1:5">
      <c r="A138" s="349" t="s">
        <v>567</v>
      </c>
      <c r="B138" s="350">
        <v>0</v>
      </c>
      <c r="C138" s="350">
        <v>26319.47</v>
      </c>
      <c r="D138" s="350">
        <v>25974.639999999999</v>
      </c>
      <c r="E138" s="350">
        <v>344.83</v>
      </c>
    </row>
    <row r="139" spans="1:5">
      <c r="A139" s="349" t="s">
        <v>698</v>
      </c>
      <c r="B139" s="350">
        <v>0</v>
      </c>
      <c r="C139" s="350">
        <v>42650</v>
      </c>
      <c r="D139" s="350">
        <v>0</v>
      </c>
      <c r="E139" s="350">
        <v>42650</v>
      </c>
    </row>
    <row r="140" spans="1:5">
      <c r="A140" s="349" t="s">
        <v>553</v>
      </c>
      <c r="B140" s="350">
        <v>0</v>
      </c>
      <c r="C140" s="350">
        <v>10825779</v>
      </c>
      <c r="D140" s="350">
        <v>0</v>
      </c>
      <c r="E140" s="350">
        <v>10825779</v>
      </c>
    </row>
    <row r="141" spans="1:5">
      <c r="A141" s="349" t="s">
        <v>554</v>
      </c>
      <c r="B141" s="350">
        <v>0</v>
      </c>
      <c r="C141" s="350">
        <v>9291</v>
      </c>
      <c r="D141" s="350">
        <v>0</v>
      </c>
      <c r="E141" s="350">
        <v>9291</v>
      </c>
    </row>
    <row r="142" spans="1:5">
      <c r="A142" s="349" t="s">
        <v>555</v>
      </c>
      <c r="B142" s="350">
        <v>0</v>
      </c>
      <c r="C142" s="350">
        <v>1001834.64</v>
      </c>
      <c r="D142" s="350">
        <v>0</v>
      </c>
      <c r="E142" s="350">
        <v>1001834.64</v>
      </c>
    </row>
    <row r="143" spans="1:5">
      <c r="A143" s="349" t="s">
        <v>699</v>
      </c>
      <c r="B143" s="350">
        <v>0</v>
      </c>
      <c r="C143" s="350">
        <v>313772</v>
      </c>
      <c r="D143" s="350">
        <v>0</v>
      </c>
      <c r="E143" s="350">
        <v>313772</v>
      </c>
    </row>
    <row r="144" spans="1:5">
      <c r="A144" s="349" t="s">
        <v>556</v>
      </c>
      <c r="B144" s="350">
        <v>0</v>
      </c>
      <c r="C144" s="350">
        <v>165750</v>
      </c>
      <c r="D144" s="350">
        <v>0</v>
      </c>
      <c r="E144" s="350">
        <v>165750</v>
      </c>
    </row>
    <row r="145" spans="1:5">
      <c r="A145" s="349" t="s">
        <v>557</v>
      </c>
      <c r="B145" s="350">
        <v>0</v>
      </c>
      <c r="C145" s="350">
        <v>2735740</v>
      </c>
      <c r="D145" s="350">
        <v>0</v>
      </c>
      <c r="E145" s="350">
        <v>2735740</v>
      </c>
    </row>
    <row r="146" spans="1:5">
      <c r="A146" s="349" t="s">
        <v>558</v>
      </c>
      <c r="B146" s="350">
        <v>0</v>
      </c>
      <c r="C146" s="350">
        <v>676925</v>
      </c>
      <c r="D146" s="350">
        <v>0</v>
      </c>
      <c r="E146" s="350">
        <v>676925</v>
      </c>
    </row>
    <row r="147" spans="1:5">
      <c r="A147" s="349" t="s">
        <v>700</v>
      </c>
      <c r="B147" s="350">
        <v>0</v>
      </c>
      <c r="C147" s="350">
        <v>10662520</v>
      </c>
      <c r="D147" s="350">
        <v>0</v>
      </c>
      <c r="E147" s="350">
        <v>10662520</v>
      </c>
    </row>
    <row r="148" spans="1:5">
      <c r="A148" s="349" t="s">
        <v>559</v>
      </c>
      <c r="B148" s="350">
        <v>0</v>
      </c>
      <c r="C148" s="350">
        <v>177325</v>
      </c>
      <c r="D148" s="350">
        <v>0</v>
      </c>
      <c r="E148" s="350">
        <v>177325</v>
      </c>
    </row>
    <row r="149" spans="1:5">
      <c r="A149" s="349" t="s">
        <v>560</v>
      </c>
      <c r="B149" s="350">
        <v>0</v>
      </c>
      <c r="C149" s="350">
        <v>94929.59</v>
      </c>
      <c r="D149" s="350">
        <v>13705.34</v>
      </c>
      <c r="E149" s="350">
        <v>81224.25</v>
      </c>
    </row>
    <row r="150" spans="1:5" ht="15.75">
      <c r="A150" s="351" t="s">
        <v>701</v>
      </c>
      <c r="B150" s="352"/>
      <c r="C150" s="352">
        <v>3877769699.9699998</v>
      </c>
      <c r="D150" s="352">
        <v>3877769699.9699998</v>
      </c>
      <c r="E150" s="352"/>
    </row>
    <row r="151" spans="1:5">
      <c r="A151" s="938" t="s">
        <v>509</v>
      </c>
      <c r="B151" s="937"/>
      <c r="C151" s="937"/>
      <c r="D151" s="937"/>
      <c r="E151" s="937"/>
    </row>
    <row r="156" spans="1:5">
      <c r="A156" s="940" t="s">
        <v>779</v>
      </c>
      <c r="B156" s="939"/>
      <c r="C156" s="939"/>
      <c r="D156" s="939"/>
      <c r="E156" s="939"/>
    </row>
    <row r="157" spans="1:5">
      <c r="A157" s="502" t="s">
        <v>508</v>
      </c>
      <c r="B157" s="503" t="s">
        <v>611</v>
      </c>
      <c r="C157" s="503" t="s">
        <v>612</v>
      </c>
      <c r="D157" s="503" t="s">
        <v>613</v>
      </c>
      <c r="E157" s="503" t="s">
        <v>614</v>
      </c>
    </row>
    <row r="158" spans="1:5">
      <c r="A158"/>
      <c r="B158"/>
      <c r="C158"/>
      <c r="D158"/>
      <c r="E158"/>
    </row>
    <row r="159" spans="1:5">
      <c r="A159" s="504" t="s">
        <v>568</v>
      </c>
      <c r="B159" s="939" t="s">
        <v>509</v>
      </c>
      <c r="C159" s="939" t="s">
        <v>509</v>
      </c>
      <c r="D159" s="939" t="s">
        <v>509</v>
      </c>
      <c r="E159" s="939" t="s">
        <v>509</v>
      </c>
    </row>
    <row r="160" spans="1:5">
      <c r="A160" s="504" t="s">
        <v>615</v>
      </c>
      <c r="B160" s="505">
        <v>0</v>
      </c>
      <c r="C160" s="505">
        <v>529962894.19999999</v>
      </c>
      <c r="D160" s="505">
        <v>528720096.76999998</v>
      </c>
      <c r="E160" s="505">
        <v>1242797.43</v>
      </c>
    </row>
    <row r="161" spans="1:5">
      <c r="A161" s="504" t="s">
        <v>616</v>
      </c>
      <c r="B161" s="505">
        <v>500000</v>
      </c>
      <c r="C161" s="505">
        <v>5000000</v>
      </c>
      <c r="D161" s="505">
        <v>500000</v>
      </c>
      <c r="E161" s="505">
        <v>5000000</v>
      </c>
    </row>
    <row r="162" spans="1:5">
      <c r="A162" s="504" t="s">
        <v>617</v>
      </c>
      <c r="B162" s="505">
        <v>-1473367.11</v>
      </c>
      <c r="C162" s="505">
        <v>0</v>
      </c>
      <c r="D162" s="505">
        <v>1363386.94</v>
      </c>
      <c r="E162" s="505">
        <v>-2836754.05</v>
      </c>
    </row>
    <row r="163" spans="1:5">
      <c r="A163" s="504" t="s">
        <v>618</v>
      </c>
      <c r="B163" s="505">
        <v>217386.25</v>
      </c>
      <c r="C163" s="505">
        <v>171762.5</v>
      </c>
      <c r="D163" s="505">
        <v>217386.25</v>
      </c>
      <c r="E163" s="505">
        <v>171762.5</v>
      </c>
    </row>
    <row r="164" spans="1:5">
      <c r="A164" s="504" t="s">
        <v>619</v>
      </c>
      <c r="B164" s="505">
        <v>20000</v>
      </c>
      <c r="C164" s="505">
        <v>2110505.9</v>
      </c>
      <c r="D164" s="505">
        <v>1955999.72</v>
      </c>
      <c r="E164" s="505">
        <v>174506.18</v>
      </c>
    </row>
    <row r="165" spans="1:5">
      <c r="A165" s="504" t="s">
        <v>753</v>
      </c>
      <c r="B165" s="505">
        <v>0</v>
      </c>
      <c r="C165" s="505">
        <v>720.1</v>
      </c>
      <c r="D165" s="505">
        <v>720.1</v>
      </c>
      <c r="E165" s="505">
        <v>0</v>
      </c>
    </row>
    <row r="166" spans="1:5">
      <c r="A166" s="504" t="s">
        <v>620</v>
      </c>
      <c r="B166" s="505">
        <v>50000</v>
      </c>
      <c r="C166" s="505">
        <v>0</v>
      </c>
      <c r="D166" s="505">
        <v>0</v>
      </c>
      <c r="E166" s="505">
        <v>50000</v>
      </c>
    </row>
    <row r="167" spans="1:5">
      <c r="A167" s="504" t="s">
        <v>621</v>
      </c>
      <c r="B167" s="505">
        <v>2548918.15</v>
      </c>
      <c r="C167" s="505">
        <v>2014213.26</v>
      </c>
      <c r="D167" s="505">
        <v>0</v>
      </c>
      <c r="E167" s="505">
        <v>4563131.41</v>
      </c>
    </row>
    <row r="168" spans="1:5">
      <c r="A168" s="504" t="s">
        <v>622</v>
      </c>
      <c r="B168" s="505">
        <v>2077191.37</v>
      </c>
      <c r="C168" s="505">
        <v>1002192322.49</v>
      </c>
      <c r="D168" s="505">
        <v>1002681502.63</v>
      </c>
      <c r="E168" s="505">
        <v>1588011.23</v>
      </c>
    </row>
    <row r="169" spans="1:5">
      <c r="A169" s="504" t="s">
        <v>623</v>
      </c>
      <c r="B169" s="505">
        <v>0</v>
      </c>
      <c r="C169" s="505">
        <v>2354801</v>
      </c>
      <c r="D169" s="505">
        <v>0</v>
      </c>
      <c r="E169" s="505">
        <v>2354801</v>
      </c>
    </row>
    <row r="170" spans="1:5">
      <c r="A170" s="504" t="s">
        <v>625</v>
      </c>
      <c r="B170" s="505">
        <v>1680000</v>
      </c>
      <c r="C170" s="505">
        <v>0</v>
      </c>
      <c r="D170" s="505">
        <v>0</v>
      </c>
      <c r="E170" s="505">
        <v>1680000</v>
      </c>
    </row>
    <row r="171" spans="1:5">
      <c r="A171" s="504" t="s">
        <v>626</v>
      </c>
      <c r="B171" s="505">
        <v>1102520</v>
      </c>
      <c r="C171" s="505">
        <v>0</v>
      </c>
      <c r="D171" s="505">
        <v>0</v>
      </c>
      <c r="E171" s="505">
        <v>1102520</v>
      </c>
    </row>
    <row r="172" spans="1:5">
      <c r="A172" s="504" t="s">
        <v>627</v>
      </c>
      <c r="B172" s="505">
        <v>1000000</v>
      </c>
      <c r="C172" s="505">
        <v>0</v>
      </c>
      <c r="D172" s="505">
        <v>0</v>
      </c>
      <c r="E172" s="505">
        <v>1000000</v>
      </c>
    </row>
    <row r="173" spans="1:5">
      <c r="A173" s="504" t="s">
        <v>628</v>
      </c>
      <c r="B173" s="505">
        <v>40000</v>
      </c>
      <c r="C173" s="505">
        <v>0</v>
      </c>
      <c r="D173" s="505">
        <v>0</v>
      </c>
      <c r="E173" s="505">
        <v>40000</v>
      </c>
    </row>
    <row r="174" spans="1:5">
      <c r="A174" s="504" t="s">
        <v>629</v>
      </c>
      <c r="B174" s="505">
        <v>24000</v>
      </c>
      <c r="C174" s="505">
        <v>0</v>
      </c>
      <c r="D174" s="505">
        <v>0</v>
      </c>
      <c r="E174" s="505">
        <v>24000</v>
      </c>
    </row>
    <row r="175" spans="1:5">
      <c r="A175" s="504" t="s">
        <v>630</v>
      </c>
      <c r="B175" s="505">
        <v>63880294.119999997</v>
      </c>
      <c r="C175" s="505">
        <v>555770000</v>
      </c>
      <c r="D175" s="505">
        <v>577229773.12</v>
      </c>
      <c r="E175" s="505">
        <v>42420521</v>
      </c>
    </row>
    <row r="176" spans="1:5">
      <c r="A176" s="504" t="s">
        <v>631</v>
      </c>
      <c r="B176" s="505">
        <v>2523557.2200000002</v>
      </c>
      <c r="C176" s="505">
        <v>117412.26</v>
      </c>
      <c r="D176" s="505">
        <v>0</v>
      </c>
      <c r="E176" s="505">
        <v>2640969.48</v>
      </c>
    </row>
    <row r="177" spans="1:5">
      <c r="A177" s="504" t="s">
        <v>632</v>
      </c>
      <c r="B177" s="505">
        <v>1500744</v>
      </c>
      <c r="C177" s="505">
        <v>319853504</v>
      </c>
      <c r="D177" s="505">
        <v>283706798</v>
      </c>
      <c r="E177" s="505">
        <v>37647450</v>
      </c>
    </row>
    <row r="178" spans="1:5">
      <c r="A178" s="504" t="s">
        <v>633</v>
      </c>
      <c r="B178" s="505">
        <v>0</v>
      </c>
      <c r="C178" s="505">
        <v>0</v>
      </c>
      <c r="D178" s="505">
        <v>0</v>
      </c>
      <c r="E178" s="505">
        <v>0</v>
      </c>
    </row>
    <row r="179" spans="1:5">
      <c r="A179" s="504" t="s">
        <v>634</v>
      </c>
      <c r="B179" s="505">
        <v>50008.72</v>
      </c>
      <c r="C179" s="505">
        <v>20802078.129999999</v>
      </c>
      <c r="D179" s="505">
        <v>20801151.25</v>
      </c>
      <c r="E179" s="505">
        <v>50935.6</v>
      </c>
    </row>
    <row r="180" spans="1:5">
      <c r="A180" s="504" t="s">
        <v>635</v>
      </c>
      <c r="B180" s="505">
        <v>34926.06</v>
      </c>
      <c r="C180" s="505">
        <v>8835004</v>
      </c>
      <c r="D180" s="505">
        <v>8869849.3499999996</v>
      </c>
      <c r="E180" s="505">
        <v>80.709999999999994</v>
      </c>
    </row>
    <row r="181" spans="1:5">
      <c r="A181" s="504" t="s">
        <v>636</v>
      </c>
      <c r="B181" s="505">
        <v>50008.72</v>
      </c>
      <c r="C181" s="505">
        <v>20802078.129999999</v>
      </c>
      <c r="D181" s="505">
        <v>20801151.25</v>
      </c>
      <c r="E181" s="505">
        <v>50935.6</v>
      </c>
    </row>
    <row r="182" spans="1:5" ht="15.75">
      <c r="A182" s="506" t="s">
        <v>637</v>
      </c>
      <c r="B182" s="507">
        <v>134943.5</v>
      </c>
      <c r="C182" s="507">
        <v>50439160.259999998</v>
      </c>
      <c r="D182" s="507">
        <v>50472151.850000001</v>
      </c>
      <c r="E182" s="507">
        <v>101951.91</v>
      </c>
    </row>
    <row r="183" spans="1:5">
      <c r="A183"/>
      <c r="B183"/>
      <c r="C183"/>
      <c r="D183"/>
      <c r="E183"/>
    </row>
    <row r="184" spans="1:5">
      <c r="A184" s="504" t="s">
        <v>638</v>
      </c>
      <c r="B184" s="505">
        <v>159150</v>
      </c>
      <c r="C184" s="505">
        <v>1371111</v>
      </c>
      <c r="D184" s="505">
        <v>1399453</v>
      </c>
      <c r="E184" s="505">
        <v>130808</v>
      </c>
    </row>
    <row r="185" spans="1:5">
      <c r="A185" s="504" t="s">
        <v>639</v>
      </c>
      <c r="B185" s="505">
        <v>0</v>
      </c>
      <c r="C185" s="505">
        <v>2807773.19</v>
      </c>
      <c r="D185" s="505">
        <v>2783350.78</v>
      </c>
      <c r="E185" s="505">
        <v>24422.41</v>
      </c>
    </row>
    <row r="186" spans="1:5">
      <c r="A186" s="504" t="s">
        <v>640</v>
      </c>
      <c r="B186" s="505">
        <v>350405.74</v>
      </c>
      <c r="C186" s="505">
        <v>372301.37</v>
      </c>
      <c r="D186" s="505">
        <v>350405.74</v>
      </c>
      <c r="E186" s="505">
        <v>372301.37</v>
      </c>
    </row>
    <row r="187" spans="1:5">
      <c r="A187" s="504" t="s">
        <v>641</v>
      </c>
      <c r="B187" s="505">
        <v>42372.04</v>
      </c>
      <c r="C187" s="505">
        <v>42849.59</v>
      </c>
      <c r="D187" s="505">
        <v>22647.05</v>
      </c>
      <c r="E187" s="505">
        <v>62574.58</v>
      </c>
    </row>
    <row r="188" spans="1:5">
      <c r="A188" s="504" t="s">
        <v>754</v>
      </c>
      <c r="B188" s="505">
        <v>0</v>
      </c>
      <c r="C188" s="505">
        <v>2485995</v>
      </c>
      <c r="D188" s="505">
        <v>2485995</v>
      </c>
      <c r="E188" s="505">
        <v>0</v>
      </c>
    </row>
    <row r="189" spans="1:5">
      <c r="A189" s="504" t="s">
        <v>643</v>
      </c>
      <c r="B189" s="505">
        <v>1676.59</v>
      </c>
      <c r="C189" s="505">
        <v>508263.53</v>
      </c>
      <c r="D189" s="505">
        <v>509940.12</v>
      </c>
      <c r="E189" s="505">
        <v>0</v>
      </c>
    </row>
    <row r="190" spans="1:5">
      <c r="A190" s="504" t="s">
        <v>644</v>
      </c>
      <c r="B190" s="505">
        <v>265293</v>
      </c>
      <c r="C190" s="505">
        <v>1527956</v>
      </c>
      <c r="D190" s="505">
        <v>1585915</v>
      </c>
      <c r="E190" s="505">
        <v>207334</v>
      </c>
    </row>
    <row r="191" spans="1:5">
      <c r="A191" s="504" t="s">
        <v>755</v>
      </c>
      <c r="B191" s="505">
        <v>5143587.0999999996</v>
      </c>
      <c r="C191" s="505">
        <v>0</v>
      </c>
      <c r="D191" s="505">
        <v>5143587.0999999996</v>
      </c>
      <c r="E191" s="505">
        <v>0</v>
      </c>
    </row>
    <row r="192" spans="1:5">
      <c r="A192" s="504" t="s">
        <v>645</v>
      </c>
      <c r="B192" s="505">
        <v>0</v>
      </c>
      <c r="C192" s="505">
        <v>8267502</v>
      </c>
      <c r="D192" s="505">
        <v>0</v>
      </c>
      <c r="E192" s="505">
        <v>8267502</v>
      </c>
    </row>
    <row r="193" spans="1:5">
      <c r="A193" s="504" t="s">
        <v>647</v>
      </c>
      <c r="B193" s="505">
        <v>3110.16</v>
      </c>
      <c r="C193" s="505">
        <v>0</v>
      </c>
      <c r="D193" s="505">
        <v>0</v>
      </c>
      <c r="E193" s="505">
        <v>3110.16</v>
      </c>
    </row>
    <row r="194" spans="1:5">
      <c r="A194" s="504" t="s">
        <v>648</v>
      </c>
      <c r="B194" s="505">
        <v>0</v>
      </c>
      <c r="C194" s="505">
        <v>12900.1</v>
      </c>
      <c r="D194" s="505">
        <v>12900.1</v>
      </c>
      <c r="E194" s="505">
        <v>0</v>
      </c>
    </row>
    <row r="195" spans="1:5">
      <c r="A195" s="504" t="s">
        <v>649</v>
      </c>
      <c r="B195" s="939" t="s">
        <v>509</v>
      </c>
      <c r="C195" s="939" t="s">
        <v>509</v>
      </c>
      <c r="D195" s="939" t="s">
        <v>509</v>
      </c>
      <c r="E195" s="939" t="s">
        <v>509</v>
      </c>
    </row>
    <row r="196" spans="1:5">
      <c r="A196" s="504" t="s">
        <v>650</v>
      </c>
      <c r="B196" s="505">
        <v>-32887780.640000001</v>
      </c>
      <c r="C196" s="505">
        <v>333408816.88</v>
      </c>
      <c r="D196" s="505">
        <v>332519264.60000002</v>
      </c>
      <c r="E196" s="505">
        <v>-31998228.359999999</v>
      </c>
    </row>
    <row r="197" spans="1:5">
      <c r="A197" s="504" t="s">
        <v>651</v>
      </c>
      <c r="B197" s="505">
        <v>-1012506.02</v>
      </c>
      <c r="C197" s="505">
        <v>1018636.02</v>
      </c>
      <c r="D197" s="505">
        <v>237553.21</v>
      </c>
      <c r="E197" s="505">
        <v>-231423.21</v>
      </c>
    </row>
    <row r="198" spans="1:5">
      <c r="A198" s="504" t="s">
        <v>652</v>
      </c>
      <c r="B198" s="505">
        <v>-75455.91</v>
      </c>
      <c r="C198" s="505">
        <v>0</v>
      </c>
      <c r="D198" s="505">
        <v>0</v>
      </c>
      <c r="E198" s="505">
        <v>-75455.91</v>
      </c>
    </row>
    <row r="199" spans="1:5">
      <c r="A199" s="504" t="s">
        <v>654</v>
      </c>
      <c r="B199" s="505">
        <v>-27622</v>
      </c>
      <c r="C199" s="505">
        <v>311603</v>
      </c>
      <c r="D199" s="505">
        <v>363145</v>
      </c>
      <c r="E199" s="505">
        <v>-79164</v>
      </c>
    </row>
    <row r="200" spans="1:5">
      <c r="A200" s="504" t="s">
        <v>655</v>
      </c>
      <c r="B200" s="505">
        <v>0</v>
      </c>
      <c r="C200" s="505">
        <v>498924.2</v>
      </c>
      <c r="D200" s="505">
        <v>498924.2</v>
      </c>
      <c r="E200" s="505">
        <v>0</v>
      </c>
    </row>
    <row r="201" spans="1:5">
      <c r="A201" s="504" t="s">
        <v>656</v>
      </c>
      <c r="B201" s="505">
        <v>-203545</v>
      </c>
      <c r="C201" s="505">
        <v>2340791</v>
      </c>
      <c r="D201" s="505">
        <v>2358173</v>
      </c>
      <c r="E201" s="505">
        <v>-220927</v>
      </c>
    </row>
    <row r="202" spans="1:5">
      <c r="A202" s="504" t="s">
        <v>658</v>
      </c>
      <c r="B202" s="505">
        <v>-4591551</v>
      </c>
      <c r="C202" s="505">
        <v>36061619.310000002</v>
      </c>
      <c r="D202" s="505">
        <v>31186633.309999999</v>
      </c>
      <c r="E202" s="505">
        <v>283435</v>
      </c>
    </row>
    <row r="203" spans="1:5">
      <c r="A203" s="504" t="s">
        <v>659</v>
      </c>
      <c r="B203" s="505">
        <v>0</v>
      </c>
      <c r="C203" s="505">
        <v>172433.72</v>
      </c>
      <c r="D203" s="505">
        <v>233766.5</v>
      </c>
      <c r="E203" s="505">
        <v>-61332.78</v>
      </c>
    </row>
    <row r="204" spans="1:5">
      <c r="A204" s="504" t="s">
        <v>660</v>
      </c>
      <c r="B204" s="505">
        <v>0</v>
      </c>
      <c r="C204" s="505">
        <v>80855875.640000001</v>
      </c>
      <c r="D204" s="505">
        <v>80883740.159999996</v>
      </c>
      <c r="E204" s="505">
        <v>-27864.52</v>
      </c>
    </row>
    <row r="205" spans="1:5">
      <c r="A205" s="504" t="s">
        <v>661</v>
      </c>
      <c r="B205" s="505">
        <v>0</v>
      </c>
      <c r="C205" s="505">
        <v>172433.72</v>
      </c>
      <c r="D205" s="505">
        <v>233766.5</v>
      </c>
      <c r="E205" s="505">
        <v>-61332.78</v>
      </c>
    </row>
    <row r="206" spans="1:5" ht="15.75">
      <c r="A206" s="506" t="s">
        <v>662</v>
      </c>
      <c r="B206" s="507">
        <v>-4591551</v>
      </c>
      <c r="C206" s="507">
        <v>117262362.39</v>
      </c>
      <c r="D206" s="507">
        <v>112537906.47</v>
      </c>
      <c r="E206" s="507">
        <v>132904.92000000001</v>
      </c>
    </row>
    <row r="207" spans="1:5">
      <c r="A207"/>
      <c r="B207"/>
      <c r="C207"/>
      <c r="D207"/>
      <c r="E207"/>
    </row>
    <row r="208" spans="1:5">
      <c r="A208" s="504" t="s">
        <v>664</v>
      </c>
      <c r="B208" s="505">
        <v>-238360</v>
      </c>
      <c r="C208" s="505">
        <v>1840991.38</v>
      </c>
      <c r="D208" s="505">
        <v>1897847.24</v>
      </c>
      <c r="E208" s="505">
        <v>-295215.86</v>
      </c>
    </row>
    <row r="209" spans="1:5">
      <c r="A209" s="504" t="s">
        <v>665</v>
      </c>
      <c r="B209" s="505">
        <v>-511279</v>
      </c>
      <c r="C209" s="505">
        <v>5781061</v>
      </c>
      <c r="D209" s="505">
        <v>5996089</v>
      </c>
      <c r="E209" s="505">
        <v>-726307</v>
      </c>
    </row>
    <row r="210" spans="1:5">
      <c r="A210" s="504" t="s">
        <v>666</v>
      </c>
      <c r="B210" s="505">
        <v>-1161946</v>
      </c>
      <c r="C210" s="505">
        <v>15642451</v>
      </c>
      <c r="D210" s="505">
        <v>16009231</v>
      </c>
      <c r="E210" s="505">
        <v>-1528726</v>
      </c>
    </row>
    <row r="211" spans="1:5">
      <c r="A211" s="504" t="s">
        <v>668</v>
      </c>
      <c r="B211" s="505">
        <v>-8500000</v>
      </c>
      <c r="C211" s="505">
        <v>8500000</v>
      </c>
      <c r="D211" s="505">
        <v>8000000</v>
      </c>
      <c r="E211" s="505">
        <v>-8000000</v>
      </c>
    </row>
    <row r="212" spans="1:5">
      <c r="A212" s="504" t="s">
        <v>669</v>
      </c>
      <c r="B212" s="505">
        <v>-2657592</v>
      </c>
      <c r="C212" s="505">
        <v>2657592</v>
      </c>
      <c r="D212" s="505">
        <v>0</v>
      </c>
      <c r="E212" s="505">
        <v>0</v>
      </c>
    </row>
    <row r="213" spans="1:5">
      <c r="A213" s="504" t="s">
        <v>670</v>
      </c>
      <c r="B213" s="505">
        <v>-93036</v>
      </c>
      <c r="C213" s="505">
        <v>1179664</v>
      </c>
      <c r="D213" s="505">
        <v>1193808</v>
      </c>
      <c r="E213" s="505">
        <v>-107180</v>
      </c>
    </row>
    <row r="214" spans="1:5">
      <c r="A214" s="504" t="s">
        <v>671</v>
      </c>
      <c r="B214" s="505">
        <v>-35000</v>
      </c>
      <c r="C214" s="505">
        <v>757000</v>
      </c>
      <c r="D214" s="505">
        <v>755500</v>
      </c>
      <c r="E214" s="505">
        <v>-33500</v>
      </c>
    </row>
    <row r="215" spans="1:5">
      <c r="A215" s="504" t="s">
        <v>672</v>
      </c>
      <c r="B215" s="505">
        <v>-6624022</v>
      </c>
      <c r="C215" s="505">
        <v>90719602</v>
      </c>
      <c r="D215" s="505">
        <v>93298178</v>
      </c>
      <c r="E215" s="505">
        <v>-9202598</v>
      </c>
    </row>
    <row r="216" spans="1:5">
      <c r="A216" s="504" t="s">
        <v>673</v>
      </c>
      <c r="B216" s="505">
        <v>0</v>
      </c>
      <c r="C216" s="505">
        <v>349215</v>
      </c>
      <c r="D216" s="505">
        <v>349215</v>
      </c>
      <c r="E216" s="505">
        <v>0</v>
      </c>
    </row>
    <row r="217" spans="1:5">
      <c r="A217" s="504" t="s">
        <v>674</v>
      </c>
      <c r="B217" s="505">
        <v>-2043207</v>
      </c>
      <c r="C217" s="505">
        <v>21666202</v>
      </c>
      <c r="D217" s="505">
        <v>22734616</v>
      </c>
      <c r="E217" s="505">
        <v>-3111621</v>
      </c>
    </row>
    <row r="218" spans="1:5">
      <c r="A218" s="504" t="s">
        <v>675</v>
      </c>
      <c r="B218" s="939" t="s">
        <v>509</v>
      </c>
      <c r="C218" s="939" t="s">
        <v>509</v>
      </c>
      <c r="D218" s="939" t="s">
        <v>509</v>
      </c>
      <c r="E218" s="939" t="s">
        <v>509</v>
      </c>
    </row>
    <row r="219" spans="1:5">
      <c r="A219" s="504" t="s">
        <v>676</v>
      </c>
      <c r="B219" s="505">
        <v>-21028879.559999999</v>
      </c>
      <c r="C219" s="505">
        <v>0</v>
      </c>
      <c r="D219" s="505">
        <v>0</v>
      </c>
      <c r="E219" s="505">
        <v>-21028879.559999999</v>
      </c>
    </row>
    <row r="220" spans="1:5">
      <c r="A220" s="504" t="s">
        <v>677</v>
      </c>
      <c r="B220" s="505">
        <v>-100000</v>
      </c>
      <c r="C220" s="505">
        <v>0</v>
      </c>
      <c r="D220" s="505">
        <v>0</v>
      </c>
      <c r="E220" s="505">
        <v>-100000</v>
      </c>
    </row>
    <row r="221" spans="1:5">
      <c r="A221" s="504" t="s">
        <v>678</v>
      </c>
      <c r="B221" s="939" t="s">
        <v>509</v>
      </c>
      <c r="C221" s="939" t="s">
        <v>509</v>
      </c>
      <c r="D221" s="939" t="s">
        <v>509</v>
      </c>
      <c r="E221" s="939" t="s">
        <v>509</v>
      </c>
    </row>
    <row r="222" spans="1:5">
      <c r="A222" s="504" t="s">
        <v>581</v>
      </c>
      <c r="B222" s="505">
        <v>0</v>
      </c>
      <c r="C222" s="505">
        <v>500000</v>
      </c>
      <c r="D222" s="505">
        <v>5000000</v>
      </c>
      <c r="E222" s="505">
        <v>-4500000</v>
      </c>
    </row>
    <row r="223" spans="1:5">
      <c r="A223" s="504" t="s">
        <v>510</v>
      </c>
      <c r="B223" s="505">
        <v>0</v>
      </c>
      <c r="C223" s="505">
        <v>36330.199999999997</v>
      </c>
      <c r="D223" s="505">
        <v>3249886.25</v>
      </c>
      <c r="E223" s="505">
        <v>-3213556.05</v>
      </c>
    </row>
    <row r="224" spans="1:5">
      <c r="A224" s="504" t="s">
        <v>511</v>
      </c>
      <c r="B224" s="505">
        <v>0</v>
      </c>
      <c r="C224" s="505">
        <v>0</v>
      </c>
      <c r="D224" s="505">
        <v>111865</v>
      </c>
      <c r="E224" s="505">
        <v>-111865</v>
      </c>
    </row>
    <row r="225" spans="1:6">
      <c r="A225" s="504" t="s">
        <v>680</v>
      </c>
      <c r="B225" s="505">
        <v>0</v>
      </c>
      <c r="C225" s="505">
        <v>0</v>
      </c>
      <c r="D225" s="505">
        <v>7.17</v>
      </c>
      <c r="E225" s="505">
        <v>-7.17</v>
      </c>
    </row>
    <row r="226" spans="1:6">
      <c r="A226" s="504" t="s">
        <v>512</v>
      </c>
      <c r="B226" s="505">
        <v>0</v>
      </c>
      <c r="C226" s="505">
        <v>0</v>
      </c>
      <c r="D226" s="505">
        <v>448980006.75999999</v>
      </c>
      <c r="E226" s="505">
        <v>-448980006.75999999</v>
      </c>
    </row>
    <row r="227" spans="1:6">
      <c r="A227" s="504" t="s">
        <v>681</v>
      </c>
      <c r="B227" s="505">
        <v>0</v>
      </c>
      <c r="C227" s="505">
        <v>0</v>
      </c>
      <c r="D227" s="505">
        <v>141090</v>
      </c>
      <c r="E227" s="505">
        <v>-141090</v>
      </c>
    </row>
    <row r="228" spans="1:6" ht="15.75">
      <c r="A228" s="506" t="s">
        <v>682</v>
      </c>
      <c r="B228" s="507">
        <v>0</v>
      </c>
      <c r="C228" s="507">
        <v>0</v>
      </c>
      <c r="D228" s="507">
        <v>449121096.75999999</v>
      </c>
      <c r="E228" s="507">
        <v>-449121096.75999999</v>
      </c>
    </row>
    <row r="229" spans="1:6">
      <c r="A229"/>
      <c r="B229"/>
      <c r="C229"/>
      <c r="D229"/>
      <c r="E229"/>
    </row>
    <row r="230" spans="1:6">
      <c r="A230" s="504" t="s">
        <v>683</v>
      </c>
      <c r="B230" s="939" t="s">
        <v>509</v>
      </c>
      <c r="C230" s="939" t="s">
        <v>509</v>
      </c>
      <c r="D230" s="939" t="s">
        <v>509</v>
      </c>
      <c r="E230" s="939" t="s">
        <v>509</v>
      </c>
    </row>
    <row r="231" spans="1:6">
      <c r="A231" s="504" t="s">
        <v>513</v>
      </c>
      <c r="B231" s="505">
        <v>0</v>
      </c>
      <c r="C231" s="505">
        <v>300094</v>
      </c>
      <c r="D231" s="505">
        <v>0</v>
      </c>
      <c r="E231" s="508">
        <v>300094</v>
      </c>
      <c r="F231" s="346">
        <v>12</v>
      </c>
    </row>
    <row r="232" spans="1:6">
      <c r="A232" s="504" t="s">
        <v>514</v>
      </c>
      <c r="B232" s="505">
        <v>0</v>
      </c>
      <c r="C232" s="505">
        <v>5082237.8</v>
      </c>
      <c r="D232" s="505">
        <v>0</v>
      </c>
      <c r="E232" s="508">
        <v>5082237.8</v>
      </c>
      <c r="F232" s="346">
        <v>2</v>
      </c>
    </row>
    <row r="233" spans="1:6">
      <c r="A233" s="504" t="s">
        <v>515</v>
      </c>
      <c r="B233" s="505">
        <v>0</v>
      </c>
      <c r="C233" s="505">
        <v>756010.52</v>
      </c>
      <c r="D233" s="505">
        <v>31320</v>
      </c>
      <c r="E233" s="510">
        <v>724690.52</v>
      </c>
      <c r="F233" s="346">
        <v>12</v>
      </c>
    </row>
    <row r="234" spans="1:6">
      <c r="A234" s="504" t="s">
        <v>516</v>
      </c>
      <c r="B234" s="505">
        <v>0</v>
      </c>
      <c r="C234" s="505">
        <v>879281.27</v>
      </c>
      <c r="D234" s="505">
        <v>17047.53</v>
      </c>
      <c r="E234" s="508">
        <v>862233.74</v>
      </c>
      <c r="F234" s="346">
        <v>14</v>
      </c>
    </row>
    <row r="235" spans="1:6">
      <c r="A235" s="504" t="s">
        <v>517</v>
      </c>
      <c r="B235" s="505">
        <v>0</v>
      </c>
      <c r="C235" s="505">
        <v>5393852.8300000001</v>
      </c>
      <c r="D235" s="505">
        <v>183664.82</v>
      </c>
      <c r="E235" s="508">
        <v>5210188.01</v>
      </c>
      <c r="F235" s="346">
        <v>14</v>
      </c>
    </row>
    <row r="236" spans="1:6">
      <c r="A236" s="504" t="s">
        <v>685</v>
      </c>
      <c r="B236" s="505">
        <v>0</v>
      </c>
      <c r="C236" s="505">
        <v>3631400</v>
      </c>
      <c r="D236" s="505">
        <v>0</v>
      </c>
      <c r="E236" s="508">
        <v>3631400</v>
      </c>
      <c r="F236" s="346">
        <v>14</v>
      </c>
    </row>
    <row r="237" spans="1:6">
      <c r="A237" s="504" t="s">
        <v>518</v>
      </c>
      <c r="B237" s="505">
        <v>0</v>
      </c>
      <c r="C237" s="505">
        <v>974014.64</v>
      </c>
      <c r="D237" s="505">
        <v>637.29</v>
      </c>
      <c r="E237" s="510">
        <v>973377.35</v>
      </c>
      <c r="F237" s="346">
        <v>4</v>
      </c>
    </row>
    <row r="238" spans="1:6">
      <c r="A238" s="504" t="s">
        <v>519</v>
      </c>
      <c r="B238" s="505">
        <v>0</v>
      </c>
      <c r="C238" s="505">
        <v>10285923.859999999</v>
      </c>
      <c r="D238" s="505">
        <v>5252</v>
      </c>
      <c r="E238" s="508">
        <v>10280671.859999999</v>
      </c>
      <c r="F238" s="346">
        <v>18</v>
      </c>
    </row>
    <row r="239" spans="1:6">
      <c r="A239" s="504" t="s">
        <v>520</v>
      </c>
      <c r="B239" s="505">
        <v>0</v>
      </c>
      <c r="C239" s="505">
        <v>2540591.2000000002</v>
      </c>
      <c r="D239" s="505">
        <v>0</v>
      </c>
      <c r="E239" s="510">
        <v>2540591.2000000002</v>
      </c>
      <c r="F239" s="346">
        <v>3</v>
      </c>
    </row>
    <row r="240" spans="1:6">
      <c r="A240" s="504" t="s">
        <v>521</v>
      </c>
      <c r="B240" s="505">
        <v>0</v>
      </c>
      <c r="C240" s="505">
        <v>738000</v>
      </c>
      <c r="D240" s="505">
        <v>0</v>
      </c>
      <c r="E240" s="510">
        <v>738000</v>
      </c>
      <c r="F240" s="346">
        <v>3</v>
      </c>
    </row>
    <row r="241" spans="1:6">
      <c r="A241" s="504" t="s">
        <v>522</v>
      </c>
      <c r="B241" s="505">
        <v>0</v>
      </c>
      <c r="C241" s="505">
        <v>15852</v>
      </c>
      <c r="D241" s="505">
        <v>0</v>
      </c>
      <c r="E241" s="508">
        <v>15852</v>
      </c>
      <c r="F241" s="346">
        <v>12</v>
      </c>
    </row>
    <row r="242" spans="1:6">
      <c r="A242" s="504" t="s">
        <v>523</v>
      </c>
      <c r="B242" s="505">
        <v>0</v>
      </c>
      <c r="C242" s="505">
        <v>329089.31</v>
      </c>
      <c r="D242" s="505">
        <v>19046.099999999999</v>
      </c>
      <c r="E242" s="508">
        <v>310043.21000000002</v>
      </c>
      <c r="F242" s="346">
        <v>18</v>
      </c>
    </row>
    <row r="243" spans="1:6">
      <c r="A243" s="504" t="s">
        <v>524</v>
      </c>
      <c r="B243" s="505">
        <v>0</v>
      </c>
      <c r="C243" s="505">
        <v>5355</v>
      </c>
      <c r="D243" s="505">
        <v>0</v>
      </c>
      <c r="E243" s="508">
        <v>5355</v>
      </c>
      <c r="F243" s="346">
        <v>17</v>
      </c>
    </row>
    <row r="244" spans="1:6">
      <c r="A244" s="504" t="s">
        <v>525</v>
      </c>
      <c r="B244" s="505">
        <v>0</v>
      </c>
      <c r="C244" s="505">
        <v>226929.02</v>
      </c>
      <c r="D244" s="505">
        <v>542.44000000000005</v>
      </c>
      <c r="E244" s="508">
        <v>226386.58</v>
      </c>
      <c r="F244" s="346">
        <v>12</v>
      </c>
    </row>
    <row r="245" spans="1:6">
      <c r="A245" s="504" t="s">
        <v>526</v>
      </c>
      <c r="B245" s="505">
        <v>0</v>
      </c>
      <c r="C245" s="505">
        <v>1184830.94</v>
      </c>
      <c r="D245" s="505">
        <v>420054.87</v>
      </c>
      <c r="E245" s="508">
        <v>764776.07</v>
      </c>
      <c r="F245" s="346">
        <v>16</v>
      </c>
    </row>
    <row r="246" spans="1:6">
      <c r="A246" s="504" t="s">
        <v>527</v>
      </c>
      <c r="B246" s="505">
        <v>0</v>
      </c>
      <c r="C246" s="505">
        <v>111705.64</v>
      </c>
      <c r="D246" s="505">
        <v>0</v>
      </c>
      <c r="E246" s="508">
        <v>111705.64</v>
      </c>
      <c r="F246" s="346">
        <v>12</v>
      </c>
    </row>
    <row r="247" spans="1:6">
      <c r="A247" s="504" t="s">
        <v>528</v>
      </c>
      <c r="B247" s="505">
        <v>0</v>
      </c>
      <c r="C247" s="505">
        <v>92575050.640000001</v>
      </c>
      <c r="D247" s="505">
        <v>0</v>
      </c>
      <c r="E247" s="508">
        <v>92575050.640000001</v>
      </c>
      <c r="F247" s="346" t="s">
        <v>785</v>
      </c>
    </row>
    <row r="248" spans="1:6">
      <c r="A248" s="504" t="s">
        <v>574</v>
      </c>
      <c r="B248" s="505">
        <v>0</v>
      </c>
      <c r="C248" s="505">
        <v>5000000</v>
      </c>
      <c r="D248" s="505">
        <v>0</v>
      </c>
      <c r="E248" s="508">
        <v>5000000</v>
      </c>
      <c r="F248" s="346" t="s">
        <v>785</v>
      </c>
    </row>
    <row r="249" spans="1:6">
      <c r="A249" s="504" t="s">
        <v>529</v>
      </c>
      <c r="B249" s="505">
        <v>0</v>
      </c>
      <c r="C249" s="505">
        <v>97545427.840000004</v>
      </c>
      <c r="D249" s="505">
        <v>0</v>
      </c>
      <c r="E249" s="508">
        <v>97545427.840000004</v>
      </c>
      <c r="F249" s="346" t="s">
        <v>785</v>
      </c>
    </row>
    <row r="250" spans="1:6">
      <c r="A250" s="504" t="s">
        <v>690</v>
      </c>
      <c r="B250" s="505">
        <v>0</v>
      </c>
      <c r="C250" s="505">
        <v>28343</v>
      </c>
      <c r="D250" s="505">
        <v>0</v>
      </c>
      <c r="E250" s="508">
        <v>28343</v>
      </c>
      <c r="F250" s="346">
        <v>21</v>
      </c>
    </row>
    <row r="251" spans="1:6">
      <c r="A251" s="504" t="s">
        <v>530</v>
      </c>
      <c r="B251" s="505">
        <v>0</v>
      </c>
      <c r="C251" s="505">
        <v>3583.58</v>
      </c>
      <c r="D251" s="505">
        <v>240.73</v>
      </c>
      <c r="E251" s="508">
        <v>3342.85</v>
      </c>
      <c r="F251" s="346" t="s">
        <v>783</v>
      </c>
    </row>
    <row r="252" spans="1:6">
      <c r="A252" s="504" t="s">
        <v>531</v>
      </c>
      <c r="B252" s="505">
        <v>0</v>
      </c>
      <c r="C252" s="505">
        <v>10133490.720000001</v>
      </c>
      <c r="D252" s="505">
        <v>277000</v>
      </c>
      <c r="E252" s="508">
        <v>9856490.7200000007</v>
      </c>
      <c r="F252" s="346" t="s">
        <v>785</v>
      </c>
    </row>
    <row r="253" spans="1:6">
      <c r="A253" s="504" t="s">
        <v>532</v>
      </c>
      <c r="B253" s="505">
        <v>0</v>
      </c>
      <c r="C253" s="505">
        <v>30122366.239999998</v>
      </c>
      <c r="D253" s="505">
        <v>0</v>
      </c>
      <c r="E253" s="508">
        <v>30122366.239999998</v>
      </c>
      <c r="F253" s="346" t="s">
        <v>785</v>
      </c>
    </row>
    <row r="254" spans="1:6">
      <c r="A254" s="504" t="s">
        <v>533</v>
      </c>
      <c r="B254" s="505">
        <v>0</v>
      </c>
      <c r="C254" s="505">
        <v>1999168.26</v>
      </c>
      <c r="D254" s="505">
        <v>596629.22</v>
      </c>
      <c r="E254" s="508">
        <v>1402539.04</v>
      </c>
      <c r="F254" s="346" t="s">
        <v>785</v>
      </c>
    </row>
    <row r="255" spans="1:6">
      <c r="A255" s="504" t="s">
        <v>534</v>
      </c>
      <c r="B255" s="505">
        <v>0</v>
      </c>
      <c r="C255" s="505">
        <v>623359</v>
      </c>
      <c r="D255" s="505">
        <v>0</v>
      </c>
      <c r="E255" s="508">
        <v>623359</v>
      </c>
      <c r="F255" s="346">
        <v>14</v>
      </c>
    </row>
    <row r="256" spans="1:6">
      <c r="A256" s="504" t="s">
        <v>535</v>
      </c>
      <c r="B256" s="505">
        <v>0</v>
      </c>
      <c r="C256" s="505">
        <v>1363386.94</v>
      </c>
      <c r="D256" s="505">
        <v>0</v>
      </c>
      <c r="E256" s="508">
        <v>1363386.94</v>
      </c>
      <c r="F256" s="346" t="s">
        <v>781</v>
      </c>
    </row>
    <row r="257" spans="1:6">
      <c r="A257" s="504" t="s">
        <v>536</v>
      </c>
      <c r="B257" s="505">
        <v>0</v>
      </c>
      <c r="C257" s="505">
        <v>363145</v>
      </c>
      <c r="D257" s="505">
        <v>0</v>
      </c>
      <c r="E257" s="508">
        <v>363145</v>
      </c>
      <c r="F257" s="346" t="s">
        <v>784</v>
      </c>
    </row>
    <row r="258" spans="1:6">
      <c r="A258" s="504" t="s">
        <v>537</v>
      </c>
      <c r="B258" s="505">
        <v>0</v>
      </c>
      <c r="C258" s="505">
        <v>653472.24</v>
      </c>
      <c r="D258" s="505">
        <v>152679</v>
      </c>
      <c r="E258" s="508">
        <v>500793.24</v>
      </c>
    </row>
    <row r="259" spans="1:6">
      <c r="A259" s="504" t="s">
        <v>692</v>
      </c>
      <c r="B259" s="505">
        <v>0</v>
      </c>
      <c r="C259" s="505">
        <v>56811</v>
      </c>
      <c r="D259" s="505">
        <v>0</v>
      </c>
      <c r="E259" s="508">
        <v>56811</v>
      </c>
      <c r="F259" s="346" t="s">
        <v>782</v>
      </c>
    </row>
    <row r="260" spans="1:6">
      <c r="A260" s="504" t="s">
        <v>538</v>
      </c>
      <c r="B260" s="505">
        <v>0</v>
      </c>
      <c r="C260" s="505">
        <v>1089484.8899999999</v>
      </c>
      <c r="D260" s="505">
        <v>0</v>
      </c>
      <c r="E260" s="508">
        <v>1089484.8899999999</v>
      </c>
      <c r="F260" s="346">
        <v>12</v>
      </c>
    </row>
    <row r="261" spans="1:6">
      <c r="A261" s="504" t="s">
        <v>539</v>
      </c>
      <c r="B261" s="505">
        <v>0</v>
      </c>
      <c r="C261" s="505">
        <v>24953.360000000001</v>
      </c>
      <c r="D261" s="505">
        <v>0</v>
      </c>
      <c r="E261" s="508">
        <v>24953.360000000001</v>
      </c>
      <c r="F261" s="346" t="s">
        <v>782</v>
      </c>
    </row>
    <row r="262" spans="1:6">
      <c r="A262" s="504" t="s">
        <v>540</v>
      </c>
      <c r="B262" s="505">
        <v>0</v>
      </c>
      <c r="C262" s="505">
        <v>1195809.6000000001</v>
      </c>
      <c r="D262" s="505">
        <v>46690</v>
      </c>
      <c r="E262" s="508">
        <v>1149119.6000000001</v>
      </c>
    </row>
    <row r="263" spans="1:6">
      <c r="A263" s="504" t="s">
        <v>541</v>
      </c>
      <c r="B263" s="505">
        <v>0</v>
      </c>
      <c r="C263" s="505">
        <v>5280763</v>
      </c>
      <c r="D263" s="505">
        <v>0</v>
      </c>
      <c r="E263" s="508">
        <v>5280763</v>
      </c>
      <c r="F263" s="346">
        <v>13</v>
      </c>
    </row>
    <row r="264" spans="1:6">
      <c r="A264" s="504" t="s">
        <v>542</v>
      </c>
      <c r="B264" s="505">
        <v>0</v>
      </c>
      <c r="C264" s="505">
        <v>729277.3</v>
      </c>
      <c r="D264" s="505">
        <v>0</v>
      </c>
      <c r="E264" s="508">
        <v>729277.3</v>
      </c>
      <c r="F264" s="346">
        <v>12</v>
      </c>
    </row>
    <row r="265" spans="1:6">
      <c r="A265" s="504" t="s">
        <v>543</v>
      </c>
      <c r="B265" s="505">
        <v>0</v>
      </c>
      <c r="C265" s="505">
        <v>119235.46</v>
      </c>
      <c r="D265" s="505">
        <v>8943.25</v>
      </c>
      <c r="E265" s="508">
        <v>110292.21</v>
      </c>
      <c r="F265" s="346">
        <v>12</v>
      </c>
    </row>
    <row r="266" spans="1:6">
      <c r="A266" s="504" t="s">
        <v>544</v>
      </c>
      <c r="B266" s="505">
        <v>0</v>
      </c>
      <c r="C266" s="505">
        <v>1914430</v>
      </c>
      <c r="D266" s="505">
        <v>0</v>
      </c>
      <c r="E266" s="508">
        <v>1914430</v>
      </c>
      <c r="F266" s="346" t="s">
        <v>782</v>
      </c>
    </row>
    <row r="267" spans="1:6">
      <c r="A267" s="504" t="s">
        <v>545</v>
      </c>
      <c r="B267" s="505">
        <v>0</v>
      </c>
      <c r="C267" s="505">
        <v>7684444</v>
      </c>
      <c r="D267" s="505">
        <v>0</v>
      </c>
      <c r="E267" s="508">
        <v>7684444</v>
      </c>
      <c r="F267" s="346" t="s">
        <v>782</v>
      </c>
    </row>
    <row r="268" spans="1:6">
      <c r="A268" s="504" t="s">
        <v>546</v>
      </c>
      <c r="B268" s="505">
        <v>0</v>
      </c>
      <c r="C268" s="505">
        <v>104162833</v>
      </c>
      <c r="D268" s="505">
        <v>0</v>
      </c>
      <c r="E268" s="508">
        <v>104162833</v>
      </c>
      <c r="F268" s="346" t="s">
        <v>784</v>
      </c>
    </row>
    <row r="269" spans="1:6">
      <c r="A269" s="504" t="s">
        <v>547</v>
      </c>
      <c r="B269" s="505">
        <v>0</v>
      </c>
      <c r="C269" s="505">
        <v>6023755</v>
      </c>
      <c r="D269" s="505">
        <v>96128</v>
      </c>
      <c r="E269" s="508">
        <v>5927627</v>
      </c>
      <c r="F269" s="346" t="s">
        <v>784</v>
      </c>
    </row>
    <row r="270" spans="1:6">
      <c r="A270" s="504" t="s">
        <v>548</v>
      </c>
      <c r="B270" s="505">
        <v>0</v>
      </c>
      <c r="C270" s="505">
        <v>349215</v>
      </c>
      <c r="D270" s="505">
        <v>0</v>
      </c>
      <c r="E270" s="508">
        <v>349215</v>
      </c>
      <c r="F270" s="346" t="s">
        <v>784</v>
      </c>
    </row>
    <row r="271" spans="1:6">
      <c r="A271" s="504" t="s">
        <v>549</v>
      </c>
      <c r="B271" s="505">
        <v>0</v>
      </c>
      <c r="C271" s="505">
        <v>269958</v>
      </c>
      <c r="D271" s="505">
        <v>15000</v>
      </c>
      <c r="E271" s="508">
        <v>254958</v>
      </c>
      <c r="F271" s="346">
        <v>12</v>
      </c>
    </row>
    <row r="272" spans="1:6">
      <c r="A272" s="504" t="s">
        <v>550</v>
      </c>
      <c r="B272" s="505">
        <v>0</v>
      </c>
      <c r="C272" s="505">
        <v>8000000</v>
      </c>
      <c r="D272" s="505">
        <v>8500000</v>
      </c>
      <c r="E272" s="508">
        <v>-500000</v>
      </c>
      <c r="F272" s="346">
        <v>12</v>
      </c>
    </row>
    <row r="273" spans="1:6">
      <c r="A273" s="504" t="s">
        <v>551</v>
      </c>
      <c r="B273" s="505">
        <v>0</v>
      </c>
      <c r="C273" s="505">
        <v>319541.28000000003</v>
      </c>
      <c r="D273" s="505">
        <v>9398.2999999999993</v>
      </c>
      <c r="E273" s="508">
        <v>310142.98</v>
      </c>
    </row>
    <row r="274" spans="1:6">
      <c r="A274" s="504" t="s">
        <v>552</v>
      </c>
      <c r="B274" s="505">
        <v>0</v>
      </c>
      <c r="C274" s="505">
        <v>755500</v>
      </c>
      <c r="D274" s="505">
        <v>66500</v>
      </c>
      <c r="E274" s="508">
        <v>689000</v>
      </c>
    </row>
    <row r="275" spans="1:6">
      <c r="A275" s="504" t="s">
        <v>561</v>
      </c>
      <c r="B275" s="505">
        <v>0</v>
      </c>
      <c r="C275" s="505">
        <v>0</v>
      </c>
      <c r="D275" s="505">
        <v>0</v>
      </c>
      <c r="E275" s="508">
        <v>0</v>
      </c>
    </row>
    <row r="276" spans="1:6">
      <c r="A276" s="504" t="s">
        <v>695</v>
      </c>
      <c r="B276" s="505">
        <v>0</v>
      </c>
      <c r="C276" s="505">
        <v>28419</v>
      </c>
      <c r="D276" s="505">
        <v>0</v>
      </c>
      <c r="E276" s="508">
        <v>28419</v>
      </c>
      <c r="F276" s="346">
        <v>12</v>
      </c>
    </row>
    <row r="277" spans="1:6">
      <c r="A277" s="504" t="s">
        <v>562</v>
      </c>
      <c r="B277" s="505">
        <v>0</v>
      </c>
      <c r="C277" s="505">
        <v>193706</v>
      </c>
      <c r="D277" s="505">
        <v>0</v>
      </c>
      <c r="E277" s="508">
        <v>193706</v>
      </c>
      <c r="F277" s="346">
        <v>12</v>
      </c>
    </row>
    <row r="278" spans="1:6">
      <c r="A278" s="504" t="s">
        <v>575</v>
      </c>
      <c r="B278" s="505">
        <v>0</v>
      </c>
      <c r="C278" s="505">
        <v>840000</v>
      </c>
      <c r="D278" s="505">
        <v>0</v>
      </c>
      <c r="E278" s="508">
        <v>840000</v>
      </c>
      <c r="F278" s="346">
        <v>12</v>
      </c>
    </row>
    <row r="279" spans="1:6">
      <c r="A279" s="504" t="s">
        <v>563</v>
      </c>
      <c r="B279" s="505">
        <v>0</v>
      </c>
      <c r="C279" s="505">
        <v>1354416</v>
      </c>
      <c r="D279" s="505">
        <v>0</v>
      </c>
      <c r="E279" s="508">
        <v>1354416</v>
      </c>
      <c r="F279" s="346">
        <v>12</v>
      </c>
    </row>
    <row r="280" spans="1:6">
      <c r="A280" s="504" t="s">
        <v>697</v>
      </c>
      <c r="B280" s="505">
        <v>0</v>
      </c>
      <c r="C280" s="505">
        <v>549453</v>
      </c>
      <c r="D280" s="505">
        <v>0</v>
      </c>
      <c r="E280" s="510">
        <v>549453</v>
      </c>
      <c r="F280" s="346">
        <v>3</v>
      </c>
    </row>
    <row r="281" spans="1:6">
      <c r="A281" s="504" t="s">
        <v>564</v>
      </c>
      <c r="B281" s="505">
        <v>0</v>
      </c>
      <c r="C281" s="505">
        <v>1777277</v>
      </c>
      <c r="D281" s="505">
        <v>0</v>
      </c>
      <c r="E281" s="510">
        <v>1777277</v>
      </c>
      <c r="F281" s="346">
        <v>3</v>
      </c>
    </row>
    <row r="282" spans="1:6">
      <c r="A282" s="504" t="s">
        <v>576</v>
      </c>
      <c r="B282" s="505">
        <v>0</v>
      </c>
      <c r="C282" s="505">
        <v>3486000</v>
      </c>
      <c r="D282" s="505">
        <v>0</v>
      </c>
      <c r="E282" s="510">
        <v>3486000</v>
      </c>
      <c r="F282" s="346">
        <v>3</v>
      </c>
    </row>
    <row r="283" spans="1:6">
      <c r="A283" s="504" t="s">
        <v>565</v>
      </c>
      <c r="B283" s="505">
        <v>0</v>
      </c>
      <c r="C283" s="505">
        <v>2708838</v>
      </c>
      <c r="D283" s="505">
        <v>0</v>
      </c>
      <c r="E283" s="510">
        <v>2708838</v>
      </c>
      <c r="F283" s="346">
        <v>3</v>
      </c>
    </row>
    <row r="284" spans="1:6" ht="15.75">
      <c r="A284" s="506" t="s">
        <v>566</v>
      </c>
      <c r="B284" s="507">
        <v>0</v>
      </c>
      <c r="C284" s="507">
        <v>10938109</v>
      </c>
      <c r="D284" s="507">
        <v>0</v>
      </c>
      <c r="E284" s="509">
        <v>10938109</v>
      </c>
    </row>
    <row r="285" spans="1:6">
      <c r="A285"/>
      <c r="B285"/>
      <c r="C285"/>
      <c r="D285"/>
      <c r="E285"/>
    </row>
    <row r="286" spans="1:6">
      <c r="A286" s="504" t="s">
        <v>567</v>
      </c>
      <c r="B286" s="505">
        <v>0</v>
      </c>
      <c r="C286" s="505">
        <v>18018.16</v>
      </c>
      <c r="D286" s="505">
        <v>17680.64</v>
      </c>
      <c r="E286" s="505">
        <v>337.52</v>
      </c>
    </row>
    <row r="287" spans="1:6">
      <c r="A287" s="504" t="s">
        <v>698</v>
      </c>
      <c r="B287" s="505">
        <v>0</v>
      </c>
      <c r="C287" s="505">
        <v>42650</v>
      </c>
      <c r="D287" s="505">
        <v>0</v>
      </c>
      <c r="E287" s="505">
        <v>42650</v>
      </c>
      <c r="F287" s="346" t="s">
        <v>780</v>
      </c>
    </row>
    <row r="288" spans="1:6">
      <c r="A288" s="504" t="s">
        <v>553</v>
      </c>
      <c r="B288" s="505">
        <v>0</v>
      </c>
      <c r="C288" s="505">
        <v>9436453</v>
      </c>
      <c r="D288" s="505">
        <v>0</v>
      </c>
      <c r="E288" s="505">
        <v>9436453</v>
      </c>
      <c r="F288" s="346" t="s">
        <v>780</v>
      </c>
    </row>
    <row r="289" spans="1:6">
      <c r="A289" s="504" t="s">
        <v>554</v>
      </c>
      <c r="B289" s="505">
        <v>0</v>
      </c>
      <c r="C289" s="505">
        <v>8011</v>
      </c>
      <c r="D289" s="505">
        <v>0</v>
      </c>
      <c r="E289" s="505">
        <v>8011</v>
      </c>
      <c r="F289" s="346" t="s">
        <v>780</v>
      </c>
    </row>
    <row r="290" spans="1:6">
      <c r="A290" s="504" t="s">
        <v>555</v>
      </c>
      <c r="B290" s="505">
        <v>0</v>
      </c>
      <c r="C290" s="505">
        <v>911763.09</v>
      </c>
      <c r="D290" s="505">
        <v>0</v>
      </c>
      <c r="E290" s="505">
        <v>911763.09</v>
      </c>
      <c r="F290" s="346" t="s">
        <v>780</v>
      </c>
    </row>
    <row r="291" spans="1:6">
      <c r="A291" s="504" t="s">
        <v>699</v>
      </c>
      <c r="B291" s="505">
        <v>0</v>
      </c>
      <c r="C291" s="505">
        <v>313772</v>
      </c>
      <c r="D291" s="505">
        <v>0</v>
      </c>
      <c r="E291" s="505">
        <v>313772</v>
      </c>
      <c r="F291" s="346" t="s">
        <v>780</v>
      </c>
    </row>
    <row r="292" spans="1:6">
      <c r="A292" s="504" t="s">
        <v>556</v>
      </c>
      <c r="B292" s="505">
        <v>0</v>
      </c>
      <c r="C292" s="505">
        <v>149000</v>
      </c>
      <c r="D292" s="505">
        <v>0</v>
      </c>
      <c r="E292" s="505">
        <v>149000</v>
      </c>
      <c r="F292" s="346" t="s">
        <v>780</v>
      </c>
    </row>
    <row r="293" spans="1:6">
      <c r="A293" s="504" t="s">
        <v>557</v>
      </c>
      <c r="B293" s="505">
        <v>0</v>
      </c>
      <c r="C293" s="505">
        <v>2396807</v>
      </c>
      <c r="D293" s="505">
        <v>0</v>
      </c>
      <c r="E293" s="505">
        <v>2396807</v>
      </c>
      <c r="F293" s="346" t="s">
        <v>780</v>
      </c>
    </row>
    <row r="294" spans="1:6">
      <c r="A294" s="504" t="s">
        <v>558</v>
      </c>
      <c r="B294" s="505">
        <v>0</v>
      </c>
      <c r="C294" s="505">
        <v>676925</v>
      </c>
      <c r="D294" s="505">
        <v>0</v>
      </c>
      <c r="E294" s="505">
        <v>676925</v>
      </c>
      <c r="F294" s="346" t="s">
        <v>780</v>
      </c>
    </row>
    <row r="295" spans="1:6">
      <c r="A295" s="504" t="s">
        <v>700</v>
      </c>
      <c r="B295" s="505">
        <v>0</v>
      </c>
      <c r="C295" s="505">
        <v>4749</v>
      </c>
      <c r="D295" s="505">
        <v>0</v>
      </c>
      <c r="E295" s="505">
        <v>4749</v>
      </c>
    </row>
    <row r="296" spans="1:6">
      <c r="A296" s="504" t="s">
        <v>559</v>
      </c>
      <c r="B296" s="505">
        <v>0</v>
      </c>
      <c r="C296" s="505">
        <v>173753</v>
      </c>
      <c r="D296" s="505">
        <v>0</v>
      </c>
      <c r="E296" s="505">
        <v>173753</v>
      </c>
      <c r="F296" s="346">
        <v>11</v>
      </c>
    </row>
    <row r="297" spans="1:6">
      <c r="A297" s="504" t="s">
        <v>560</v>
      </c>
      <c r="B297" s="505">
        <v>0</v>
      </c>
      <c r="C297" s="505">
        <v>85302.25</v>
      </c>
      <c r="D297" s="505">
        <v>13705.34</v>
      </c>
      <c r="E297" s="505">
        <v>71596.91</v>
      </c>
      <c r="F297" s="346">
        <v>11</v>
      </c>
    </row>
    <row r="298" spans="1:6" ht="15.75">
      <c r="A298" s="506" t="s">
        <v>701</v>
      </c>
      <c r="B298" s="507"/>
      <c r="C298" s="507">
        <v>3527852474.6999998</v>
      </c>
      <c r="D298" s="507">
        <v>3527852474.6999998</v>
      </c>
      <c r="E298" s="507"/>
    </row>
    <row r="299" spans="1:6">
      <c r="A299" s="940" t="s">
        <v>509</v>
      </c>
      <c r="B299" s="939"/>
      <c r="C299" s="939"/>
      <c r="D299" s="939"/>
      <c r="E299" s="939"/>
    </row>
  </sheetData>
  <mergeCells count="14">
    <mergeCell ref="A151:E151"/>
    <mergeCell ref="A1:E1"/>
    <mergeCell ref="B4:E4"/>
    <mergeCell ref="B40:E40"/>
    <mergeCell ref="B65:E65"/>
    <mergeCell ref="B71:E71"/>
    <mergeCell ref="B80:E80"/>
    <mergeCell ref="B230:E230"/>
    <mergeCell ref="A299:E299"/>
    <mergeCell ref="A156:E156"/>
    <mergeCell ref="B159:E159"/>
    <mergeCell ref="B195:E195"/>
    <mergeCell ref="B218:E218"/>
    <mergeCell ref="B221:E2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G68"/>
  <sheetViews>
    <sheetView topLeftCell="A39" zoomScale="115" zoomScaleNormal="115" workbookViewId="0">
      <selection activeCell="C57" sqref="C57"/>
    </sheetView>
  </sheetViews>
  <sheetFormatPr defaultColWidth="8.85546875" defaultRowHeight="15"/>
  <cols>
    <col min="1" max="1" width="8.85546875" style="3"/>
    <col min="2" max="2" width="61.85546875" style="3" customWidth="1"/>
    <col min="3" max="3" width="24.85546875" style="3" customWidth="1"/>
    <col min="4" max="4" width="20.42578125" style="3" customWidth="1"/>
    <col min="5" max="5" width="19.42578125" style="3" hidden="1" customWidth="1"/>
    <col min="6" max="16384" width="8.85546875" style="3"/>
  </cols>
  <sheetData>
    <row r="1" spans="2:6" ht="15.75" thickBot="1"/>
    <row r="2" spans="2:6">
      <c r="B2" s="941" t="str">
        <f>+'Sub Schedule BS'!B2:E2</f>
        <v>MARKETSOF1 ANALYTICAL MARKETING SERVICES  PRIVATE LIMITED</v>
      </c>
      <c r="C2" s="942"/>
      <c r="D2" s="943"/>
      <c r="E2" s="150"/>
    </row>
    <row r="3" spans="2:6" ht="15.75" customHeight="1" thickBot="1">
      <c r="B3" s="944" t="s">
        <v>598</v>
      </c>
      <c r="C3" s="945"/>
      <c r="D3" s="946"/>
      <c r="E3" s="151"/>
    </row>
    <row r="4" spans="2:6" ht="38.25">
      <c r="B4" s="156"/>
      <c r="C4" s="173" t="s">
        <v>590</v>
      </c>
      <c r="D4" s="157" t="s">
        <v>573</v>
      </c>
      <c r="E4" s="8" t="s">
        <v>572</v>
      </c>
    </row>
    <row r="5" spans="2:6">
      <c r="B5" s="5"/>
      <c r="C5" s="7"/>
      <c r="D5" s="58"/>
      <c r="E5" s="8"/>
    </row>
    <row r="6" spans="2:6">
      <c r="B6" s="31" t="s">
        <v>343</v>
      </c>
      <c r="C6" s="23"/>
      <c r="D6" s="158"/>
      <c r="E6" s="32"/>
    </row>
    <row r="7" spans="2:6">
      <c r="B7" s="33" t="s">
        <v>344</v>
      </c>
      <c r="C7" s="174"/>
      <c r="D7" s="159"/>
      <c r="E7" s="152"/>
      <c r="F7" s="35"/>
    </row>
    <row r="8" spans="2:6">
      <c r="B8" s="33" t="s">
        <v>345</v>
      </c>
      <c r="C8" s="174"/>
      <c r="D8" s="159"/>
      <c r="E8" s="152">
        <v>76544665.379999995</v>
      </c>
      <c r="F8" s="35"/>
    </row>
    <row r="9" spans="2:6">
      <c r="B9" s="33" t="s">
        <v>346</v>
      </c>
      <c r="C9" s="174"/>
      <c r="D9" s="159"/>
      <c r="E9" s="152">
        <v>47773061.07</v>
      </c>
      <c r="F9" s="35"/>
    </row>
    <row r="10" spans="2:6">
      <c r="B10" s="33" t="s">
        <v>347</v>
      </c>
      <c r="C10" s="174"/>
      <c r="D10" s="159"/>
      <c r="E10" s="152">
        <v>12882555.6</v>
      </c>
      <c r="F10" s="35"/>
    </row>
    <row r="11" spans="2:6">
      <c r="B11" s="33" t="s">
        <v>348</v>
      </c>
      <c r="C11" s="174"/>
      <c r="D11" s="159"/>
      <c r="E11" s="152">
        <v>32790159.420000002</v>
      </c>
      <c r="F11" s="35"/>
    </row>
    <row r="12" spans="2:6">
      <c r="B12" s="33" t="s">
        <v>349</v>
      </c>
      <c r="C12" s="174"/>
      <c r="D12" s="159"/>
      <c r="E12" s="152">
        <v>23810000</v>
      </c>
      <c r="F12" s="35"/>
    </row>
    <row r="13" spans="2:6">
      <c r="B13" s="33" t="s">
        <v>502</v>
      </c>
      <c r="C13" s="174"/>
      <c r="D13" s="159"/>
      <c r="E13" s="34">
        <v>0</v>
      </c>
      <c r="F13" s="35"/>
    </row>
    <row r="14" spans="2:6">
      <c r="B14" s="33" t="s">
        <v>594</v>
      </c>
      <c r="C14" s="174">
        <v>141090</v>
      </c>
      <c r="D14" s="159"/>
      <c r="E14" s="34"/>
      <c r="F14" s="35"/>
    </row>
    <row r="15" spans="2:6">
      <c r="B15" s="33"/>
      <c r="C15" s="175">
        <f>448980007+C14</f>
        <v>449121097</v>
      </c>
      <c r="D15" s="160" t="e">
        <f>#REF!</f>
        <v>#REF!</v>
      </c>
      <c r="E15" s="36">
        <f>SUM(E7:E13)</f>
        <v>193800441.46999997</v>
      </c>
      <c r="F15" s="35"/>
    </row>
    <row r="16" spans="2:6">
      <c r="B16" s="5"/>
      <c r="C16" s="176"/>
      <c r="D16" s="161"/>
      <c r="E16" s="8"/>
    </row>
    <row r="17" spans="2:7">
      <c r="B17" s="9" t="s">
        <v>350</v>
      </c>
      <c r="C17" s="10"/>
      <c r="D17" s="162"/>
      <c r="E17" s="11"/>
    </row>
    <row r="18" spans="2:7">
      <c r="B18" s="18"/>
      <c r="C18" s="37"/>
      <c r="D18" s="163"/>
      <c r="E18" s="38">
        <v>0</v>
      </c>
      <c r="F18" s="39"/>
    </row>
    <row r="19" spans="2:7">
      <c r="B19" s="18" t="s">
        <v>351</v>
      </c>
      <c r="C19" s="164">
        <f>'Groupings P &amp;L'!C39</f>
        <v>41381396</v>
      </c>
      <c r="D19" s="164" t="e">
        <f>'Groupings P &amp;L'!D39</f>
        <v>#REF!</v>
      </c>
      <c r="E19" s="41">
        <v>31685424.379999999</v>
      </c>
      <c r="F19" s="39"/>
    </row>
    <row r="20" spans="2:7" hidden="1">
      <c r="B20" s="18" t="s">
        <v>352</v>
      </c>
      <c r="C20" s="40"/>
      <c r="D20" s="164">
        <v>0</v>
      </c>
      <c r="E20" s="41">
        <v>0</v>
      </c>
      <c r="F20" s="39"/>
    </row>
    <row r="21" spans="2:7" hidden="1">
      <c r="B21" s="18" t="s">
        <v>353</v>
      </c>
      <c r="C21" s="40"/>
      <c r="D21" s="164" t="e">
        <f>#REF!</f>
        <v>#REF!</v>
      </c>
      <c r="E21" s="153">
        <v>10436080</v>
      </c>
      <c r="F21" s="39"/>
    </row>
    <row r="22" spans="2:7" hidden="1">
      <c r="B22" s="18" t="s">
        <v>322</v>
      </c>
      <c r="C22" s="40"/>
      <c r="D22" s="164">
        <f>+'Groupings P &amp;L'!D24</f>
        <v>0</v>
      </c>
      <c r="E22" s="41">
        <v>0</v>
      </c>
      <c r="F22" s="39"/>
    </row>
    <row r="23" spans="2:7">
      <c r="B23" s="18" t="s">
        <v>605</v>
      </c>
      <c r="C23" s="191">
        <f>92575050.64</f>
        <v>92575050.640000001</v>
      </c>
      <c r="D23" s="165" t="e">
        <f>#REF!+#REF!</f>
        <v>#REF!</v>
      </c>
      <c r="E23" s="154">
        <v>46366000</v>
      </c>
      <c r="F23" s="39"/>
    </row>
    <row r="24" spans="2:7">
      <c r="B24" s="18" t="s">
        <v>603</v>
      </c>
      <c r="C24" s="191">
        <v>97545427.840000004</v>
      </c>
      <c r="D24" s="165" t="e">
        <f>#REF!</f>
        <v>#REF!</v>
      </c>
      <c r="E24" s="154">
        <v>45750000</v>
      </c>
      <c r="F24" s="39"/>
    </row>
    <row r="25" spans="2:7">
      <c r="B25" s="18" t="s">
        <v>604</v>
      </c>
      <c r="C25" s="192">
        <v>5000000</v>
      </c>
      <c r="D25" s="164"/>
      <c r="E25" s="41"/>
      <c r="F25" s="39"/>
    </row>
    <row r="26" spans="2:7">
      <c r="B26" s="42"/>
      <c r="C26" s="20">
        <f>SUM(C18:C25)</f>
        <v>236501874.48000002</v>
      </c>
      <c r="D26" s="166" t="e">
        <f>SUM(D18:D25)</f>
        <v>#REF!</v>
      </c>
      <c r="E26" s="106">
        <f>SUM(E18:E25)</f>
        <v>134237504.38</v>
      </c>
      <c r="F26" s="39"/>
    </row>
    <row r="27" spans="2:7">
      <c r="B27" s="18"/>
      <c r="C27" s="43"/>
      <c r="D27" s="128"/>
      <c r="E27" s="13"/>
    </row>
    <row r="28" spans="2:7">
      <c r="B28" s="9" t="s">
        <v>354</v>
      </c>
      <c r="C28" s="177"/>
      <c r="D28" s="167"/>
      <c r="E28" s="30"/>
    </row>
    <row r="29" spans="2:7">
      <c r="B29" s="18" t="s">
        <v>355</v>
      </c>
      <c r="C29" s="189">
        <v>104050187</v>
      </c>
      <c r="D29" s="163" t="e">
        <f>#REF!+#REF!</f>
        <v>#REF!</v>
      </c>
      <c r="E29" s="155">
        <v>30837186</v>
      </c>
    </row>
    <row r="30" spans="2:7">
      <c r="B30" s="18" t="s">
        <v>356</v>
      </c>
      <c r="C30" s="37">
        <v>0</v>
      </c>
      <c r="D30" s="163">
        <v>0</v>
      </c>
      <c r="E30" s="155">
        <v>0</v>
      </c>
    </row>
    <row r="31" spans="2:7">
      <c r="B31" s="18" t="s">
        <v>357</v>
      </c>
      <c r="C31" s="163">
        <f>+'Groupings P &amp;L'!C12</f>
        <v>6965842</v>
      </c>
      <c r="D31" s="163" t="e">
        <f>+'Groupings P &amp;L'!D12</f>
        <v>#REF!</v>
      </c>
      <c r="E31" s="38">
        <v>2605633</v>
      </c>
      <c r="G31" s="3">
        <f>78438+894965+55361+148512.5+132000</f>
        <v>1309276.5</v>
      </c>
    </row>
    <row r="32" spans="2:7">
      <c r="B32" s="18" t="s">
        <v>358</v>
      </c>
      <c r="C32" s="192">
        <v>310142.98</v>
      </c>
      <c r="D32" s="164" t="e">
        <f>#REF!</f>
        <v>#REF!</v>
      </c>
      <c r="E32" s="153">
        <v>199000</v>
      </c>
    </row>
    <row r="33" spans="2:5">
      <c r="B33" s="18" t="s">
        <v>359</v>
      </c>
      <c r="C33" s="192">
        <v>363145</v>
      </c>
      <c r="D33" s="164" t="e">
        <f>#REF!</f>
        <v>#REF!</v>
      </c>
      <c r="E33" s="153">
        <v>30225</v>
      </c>
    </row>
    <row r="34" spans="2:5">
      <c r="B34" s="18"/>
      <c r="C34" s="44">
        <f>SUM(C29:C33)</f>
        <v>111689316.98</v>
      </c>
      <c r="D34" s="168" t="e">
        <f>SUM(D29:D33)</f>
        <v>#REF!</v>
      </c>
      <c r="E34" s="45">
        <f>SUM(E29:E33)</f>
        <v>33672044</v>
      </c>
    </row>
    <row r="35" spans="2:5">
      <c r="B35" s="46"/>
      <c r="C35" s="47"/>
      <c r="D35" s="169"/>
      <c r="E35" s="24"/>
    </row>
    <row r="36" spans="2:5">
      <c r="B36" s="9" t="s">
        <v>360</v>
      </c>
      <c r="C36" s="47"/>
      <c r="D36" s="169"/>
      <c r="E36" s="24"/>
    </row>
    <row r="37" spans="2:5">
      <c r="B37" s="18" t="s">
        <v>361</v>
      </c>
      <c r="C37" s="189">
        <v>7684444</v>
      </c>
      <c r="D37" s="163" t="e">
        <f>#REF!</f>
        <v>#REF!</v>
      </c>
      <c r="E37" s="38">
        <v>2435672</v>
      </c>
    </row>
    <row r="38" spans="2:5">
      <c r="B38" s="46"/>
      <c r="C38" s="149">
        <f>SUM(C37:C37)</f>
        <v>7684444</v>
      </c>
      <c r="D38" s="49" t="e">
        <f>SUM(D37:D37)</f>
        <v>#REF!</v>
      </c>
      <c r="E38" s="49">
        <f>SUM(E37:E37)</f>
        <v>2435672</v>
      </c>
    </row>
    <row r="39" spans="2:5">
      <c r="B39" s="46"/>
      <c r="C39" s="47"/>
      <c r="D39" s="169"/>
      <c r="E39" s="24"/>
    </row>
    <row r="40" spans="2:5">
      <c r="B40" s="9" t="s">
        <v>362</v>
      </c>
      <c r="C40" s="47"/>
      <c r="D40" s="169"/>
      <c r="E40" s="24"/>
    </row>
    <row r="41" spans="2:5">
      <c r="B41" s="18" t="s">
        <v>363</v>
      </c>
      <c r="C41" s="189">
        <f>42650+9436453+8011+911763+313772+149000+2396807</f>
        <v>13258456</v>
      </c>
      <c r="D41" s="163" t="e">
        <f>#REF!+#REF!+#REF!+#REF!+#REF!</f>
        <v>#REF!</v>
      </c>
      <c r="E41" s="155">
        <v>5675282.1100000003</v>
      </c>
    </row>
    <row r="42" spans="2:5">
      <c r="B42" s="18" t="s">
        <v>364</v>
      </c>
      <c r="C42" s="189">
        <v>676925</v>
      </c>
      <c r="D42" s="163" t="e">
        <f>#REF!</f>
        <v>#REF!</v>
      </c>
      <c r="E42" s="155">
        <v>395330.62</v>
      </c>
    </row>
    <row r="43" spans="2:5">
      <c r="B43" s="18" t="s">
        <v>365</v>
      </c>
      <c r="C43" s="190">
        <v>1914430</v>
      </c>
      <c r="D43" s="163" t="e">
        <f>#REF!</f>
        <v>#REF!</v>
      </c>
      <c r="E43" s="155">
        <v>786030</v>
      </c>
    </row>
    <row r="44" spans="2:5">
      <c r="B44" s="46"/>
      <c r="C44" s="149">
        <f>SUM(C41:C43)</f>
        <v>15849811</v>
      </c>
      <c r="D44" s="149" t="e">
        <f>SUM(D41:D43)</f>
        <v>#REF!</v>
      </c>
      <c r="E44" s="49">
        <f>SUM(E41:E43)</f>
        <v>6856642.7300000004</v>
      </c>
    </row>
    <row r="45" spans="2:5">
      <c r="B45" s="46"/>
      <c r="C45" s="48"/>
      <c r="D45" s="149"/>
      <c r="E45" s="49"/>
    </row>
    <row r="46" spans="2:5">
      <c r="B46" s="9" t="s">
        <v>366</v>
      </c>
      <c r="C46" s="48"/>
      <c r="D46" s="149"/>
      <c r="E46" s="49"/>
    </row>
    <row r="47" spans="2:5">
      <c r="B47" s="18" t="s">
        <v>367</v>
      </c>
      <c r="C47" s="50"/>
      <c r="D47" s="165">
        <v>0</v>
      </c>
      <c r="E47" s="51">
        <v>0</v>
      </c>
    </row>
    <row r="48" spans="2:5">
      <c r="B48" s="18" t="s">
        <v>368</v>
      </c>
      <c r="C48" s="50"/>
      <c r="D48" s="165">
        <v>0</v>
      </c>
      <c r="E48" s="51">
        <v>0</v>
      </c>
    </row>
    <row r="49" spans="2:6">
      <c r="B49" s="46"/>
      <c r="C49" s="48"/>
      <c r="D49" s="149"/>
      <c r="E49" s="49"/>
    </row>
    <row r="50" spans="2:6">
      <c r="B50" s="46"/>
      <c r="C50" s="48"/>
      <c r="D50" s="149">
        <f>SUM(D47:D49)</f>
        <v>0</v>
      </c>
      <c r="E50" s="49">
        <f>SUM(E47:E49)</f>
        <v>0</v>
      </c>
    </row>
    <row r="51" spans="2:6">
      <c r="B51" s="9" t="s">
        <v>369</v>
      </c>
      <c r="C51" s="52"/>
      <c r="D51" s="170"/>
      <c r="E51" s="53"/>
      <c r="F51" s="54"/>
    </row>
    <row r="52" spans="2:6">
      <c r="B52" s="18" t="s">
        <v>370</v>
      </c>
      <c r="C52" s="189">
        <v>310043.21000000002</v>
      </c>
      <c r="D52" s="163" t="e">
        <f>#REF!</f>
        <v>#REF!</v>
      </c>
      <c r="E52" s="155">
        <v>154631.84</v>
      </c>
    </row>
    <row r="53" spans="2:6">
      <c r="B53" s="18" t="s">
        <v>371</v>
      </c>
      <c r="C53" s="189">
        <v>10280671.859999999</v>
      </c>
      <c r="D53" s="163" t="e">
        <f>#REF!</f>
        <v>#REF!</v>
      </c>
      <c r="E53" s="155">
        <v>387540.57</v>
      </c>
    </row>
    <row r="54" spans="2:6">
      <c r="B54" s="46"/>
      <c r="C54" s="48">
        <f>SUM(C52:C53)</f>
        <v>10590715.07</v>
      </c>
      <c r="D54" s="149" t="e">
        <f>SUM(D52:D53)</f>
        <v>#REF!</v>
      </c>
      <c r="E54" s="49">
        <f>SUM(E52:E53)</f>
        <v>542172.41</v>
      </c>
    </row>
    <row r="55" spans="2:6">
      <c r="B55" s="46"/>
      <c r="C55" s="47"/>
      <c r="D55" s="169"/>
      <c r="E55" s="24"/>
    </row>
    <row r="56" spans="2:6">
      <c r="B56" s="9" t="s">
        <v>372</v>
      </c>
      <c r="C56" s="47"/>
      <c r="D56" s="169"/>
      <c r="E56" s="24"/>
    </row>
    <row r="57" spans="2:6">
      <c r="B57" s="18" t="s">
        <v>373</v>
      </c>
      <c r="C57" s="163">
        <f>+'Groupings P &amp;L'!C31</f>
        <v>3368227.85</v>
      </c>
      <c r="D57" s="163" t="e">
        <f>+'Groupings P &amp;L'!D31</f>
        <v>#REF!</v>
      </c>
      <c r="E57" s="38">
        <v>818329.47</v>
      </c>
    </row>
    <row r="58" spans="2:6">
      <c r="B58" s="18" t="s">
        <v>374</v>
      </c>
      <c r="C58" s="189">
        <f>226386.58+1089484.89</f>
        <v>1315871.47</v>
      </c>
      <c r="D58" s="163" t="e">
        <f>#REF!+#REF!</f>
        <v>#REF!</v>
      </c>
      <c r="E58" s="155">
        <v>475152.5</v>
      </c>
    </row>
    <row r="59" spans="2:6">
      <c r="B59" s="18" t="s">
        <v>375</v>
      </c>
      <c r="C59" s="189">
        <v>729277.3</v>
      </c>
      <c r="D59" s="163" t="e">
        <f>#REF!</f>
        <v>#REF!</v>
      </c>
      <c r="E59" s="155">
        <v>299310.5</v>
      </c>
    </row>
    <row r="60" spans="2:6">
      <c r="B60" s="18" t="s">
        <v>376</v>
      </c>
      <c r="C60" s="164">
        <f>'Groupings P &amp;L'!C52</f>
        <v>70904</v>
      </c>
      <c r="D60" s="164" t="e">
        <f>'Groupings P &amp;L'!D52</f>
        <v>#REF!</v>
      </c>
      <c r="E60" s="41">
        <v>691038</v>
      </c>
    </row>
    <row r="61" spans="2:6">
      <c r="B61" s="46"/>
      <c r="C61" s="48">
        <f>SUM(C57:C60)</f>
        <v>5484280.6200000001</v>
      </c>
      <c r="D61" s="149" t="e">
        <f>SUM(D57:D60)</f>
        <v>#REF!</v>
      </c>
      <c r="E61" s="49">
        <f>SUM(E57:E60)</f>
        <v>2283830.4699999997</v>
      </c>
    </row>
    <row r="62" spans="2:6">
      <c r="B62" s="46"/>
      <c r="C62" s="48"/>
      <c r="D62" s="149"/>
      <c r="E62" s="49"/>
    </row>
    <row r="63" spans="2:6">
      <c r="B63" s="9" t="s">
        <v>377</v>
      </c>
      <c r="C63" s="52"/>
      <c r="D63" s="170"/>
      <c r="E63" s="53"/>
    </row>
    <row r="64" spans="2:6">
      <c r="B64" s="18" t="s">
        <v>378</v>
      </c>
      <c r="C64" s="189">
        <f>173753+71597</f>
        <v>245350</v>
      </c>
      <c r="D64" s="163" t="e">
        <f>#REF!+#REF!</f>
        <v>#REF!</v>
      </c>
      <c r="E64" s="155">
        <v>76000.84</v>
      </c>
    </row>
    <row r="65" spans="2:5">
      <c r="B65" s="18" t="s">
        <v>379</v>
      </c>
      <c r="C65" s="37"/>
      <c r="D65" s="163"/>
      <c r="E65" s="38">
        <v>0</v>
      </c>
    </row>
    <row r="66" spans="2:5">
      <c r="B66" s="18"/>
      <c r="C66" s="168">
        <f>SUM(C64:C65)</f>
        <v>245350</v>
      </c>
      <c r="D66" s="168" t="e">
        <f>SUM(D64:D65)</f>
        <v>#REF!</v>
      </c>
      <c r="E66" s="45">
        <f>SUM(E64:E65)</f>
        <v>76000.84</v>
      </c>
    </row>
    <row r="67" spans="2:5">
      <c r="B67" s="46"/>
      <c r="C67" s="48"/>
      <c r="D67" s="149"/>
      <c r="E67" s="49"/>
    </row>
    <row r="68" spans="2:5" ht="15.75" thickBot="1">
      <c r="B68" s="55"/>
      <c r="C68" s="178"/>
      <c r="D68" s="171"/>
      <c r="E68" s="56"/>
    </row>
  </sheetData>
  <mergeCells count="2">
    <mergeCell ref="B2:D2"/>
    <mergeCell ref="B3:D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F53"/>
  <sheetViews>
    <sheetView view="pageBreakPreview" topLeftCell="A21" zoomScaleSheetLayoutView="100" workbookViewId="0">
      <selection activeCell="C57" sqref="C57"/>
    </sheetView>
  </sheetViews>
  <sheetFormatPr defaultColWidth="9.140625" defaultRowHeight="12.75"/>
  <cols>
    <col min="1" max="1" width="4.42578125" style="72" customWidth="1"/>
    <col min="2" max="2" width="43" style="72" bestFit="1" customWidth="1"/>
    <col min="3" max="3" width="26.5703125" style="72" customWidth="1"/>
    <col min="4" max="4" width="21.7109375" style="72" customWidth="1"/>
    <col min="5" max="5" width="24.5703125" style="72" hidden="1" customWidth="1"/>
    <col min="6" max="6" width="13.7109375" style="72" customWidth="1"/>
    <col min="7" max="16384" width="9.140625" style="72"/>
  </cols>
  <sheetData>
    <row r="1" spans="2:6" ht="13.5" thickBot="1"/>
    <row r="2" spans="2:6" ht="39.200000000000003" customHeight="1" thickBot="1">
      <c r="B2" s="947" t="s">
        <v>306</v>
      </c>
      <c r="C2" s="948"/>
      <c r="D2" s="948"/>
      <c r="E2" s="949"/>
      <c r="F2" s="73"/>
    </row>
    <row r="3" spans="2:6" ht="34.5" customHeight="1">
      <c r="B3" s="950" t="s">
        <v>423</v>
      </c>
      <c r="C3" s="951"/>
      <c r="D3" s="951"/>
      <c r="E3" s="952"/>
      <c r="F3" s="3"/>
    </row>
    <row r="4" spans="2:6" ht="38.25" customHeight="1">
      <c r="B4" s="74"/>
      <c r="C4" s="74" t="s">
        <v>590</v>
      </c>
      <c r="D4" s="74" t="s">
        <v>573</v>
      </c>
      <c r="E4" s="74" t="s">
        <v>572</v>
      </c>
    </row>
    <row r="5" spans="2:6">
      <c r="B5" s="66"/>
      <c r="C5" s="66"/>
      <c r="D5" s="66"/>
      <c r="E5" s="47"/>
    </row>
    <row r="6" spans="2:6">
      <c r="B6" s="66" t="s">
        <v>424</v>
      </c>
      <c r="C6" s="66"/>
      <c r="D6" s="66"/>
      <c r="E6" s="47"/>
    </row>
    <row r="7" spans="2:6">
      <c r="B7" s="75" t="s">
        <v>425</v>
      </c>
      <c r="C7" s="75"/>
      <c r="D7" s="76"/>
      <c r="E7" s="76">
        <v>0</v>
      </c>
    </row>
    <row r="8" spans="2:6">
      <c r="B8" s="75" t="s">
        <v>426</v>
      </c>
      <c r="C8" s="75"/>
      <c r="D8" s="76"/>
      <c r="E8" s="76">
        <v>0</v>
      </c>
    </row>
    <row r="9" spans="2:6">
      <c r="B9" s="75" t="s">
        <v>427</v>
      </c>
      <c r="C9" s="188">
        <v>5927627</v>
      </c>
      <c r="D9" s="76" t="e">
        <f>#REF!</f>
        <v>#REF!</v>
      </c>
      <c r="E9" s="76">
        <v>2154508</v>
      </c>
    </row>
    <row r="10" spans="2:6">
      <c r="B10" s="75" t="s">
        <v>428</v>
      </c>
      <c r="C10" s="188">
        <v>349215</v>
      </c>
      <c r="D10" s="76" t="e">
        <f>#REF!</f>
        <v>#REF!</v>
      </c>
      <c r="E10" s="76">
        <v>224125</v>
      </c>
    </row>
    <row r="11" spans="2:6">
      <c r="B11" s="75" t="s">
        <v>429</v>
      </c>
      <c r="C11" s="188">
        <v>689000</v>
      </c>
      <c r="D11" s="76" t="e">
        <f>#REF!</f>
        <v>#REF!</v>
      </c>
      <c r="E11" s="76">
        <v>227000</v>
      </c>
    </row>
    <row r="12" spans="2:6" ht="13.5" thickBot="1">
      <c r="B12" s="66"/>
      <c r="C12" s="82">
        <f>SUM(C7:C11)</f>
        <v>6965842</v>
      </c>
      <c r="D12" s="82" t="e">
        <f>SUM(D7:D11)</f>
        <v>#REF!</v>
      </c>
      <c r="E12" s="77">
        <f>SUM(E7:E11)</f>
        <v>2605633</v>
      </c>
    </row>
    <row r="13" spans="2:6" ht="13.5" thickTop="1">
      <c r="B13" s="66" t="s">
        <v>430</v>
      </c>
      <c r="C13" s="66"/>
      <c r="D13" s="47"/>
      <c r="E13" s="47"/>
    </row>
    <row r="14" spans="2:6">
      <c r="B14" s="75" t="s">
        <v>431</v>
      </c>
      <c r="C14" s="189">
        <v>2540591.2000000002</v>
      </c>
      <c r="D14" s="37" t="e">
        <f>#REF!</f>
        <v>#REF!</v>
      </c>
      <c r="E14" s="37">
        <v>1449707.2</v>
      </c>
    </row>
    <row r="15" spans="2:6">
      <c r="B15" s="75" t="s">
        <v>432</v>
      </c>
      <c r="C15" s="189">
        <v>738000</v>
      </c>
      <c r="D15" s="37" t="e">
        <f>#REF!</f>
        <v>#REF!</v>
      </c>
      <c r="E15" s="37">
        <v>284000</v>
      </c>
    </row>
    <row r="16" spans="2:6">
      <c r="B16" s="75" t="s">
        <v>433</v>
      </c>
      <c r="C16" s="189">
        <v>2708838</v>
      </c>
      <c r="D16" s="37" t="e">
        <f>#REF!</f>
        <v>#REF!</v>
      </c>
      <c r="E16" s="37">
        <v>2297109</v>
      </c>
    </row>
    <row r="17" spans="2:5">
      <c r="B17" s="75" t="s">
        <v>505</v>
      </c>
      <c r="C17" s="189">
        <v>1777277</v>
      </c>
      <c r="D17" s="37" t="e">
        <f>#REF!</f>
        <v>#REF!</v>
      </c>
      <c r="E17" s="37">
        <v>529250</v>
      </c>
    </row>
    <row r="18" spans="2:5">
      <c r="B18" s="75" t="s">
        <v>577</v>
      </c>
      <c r="C18" s="189">
        <v>3486000</v>
      </c>
      <c r="D18" s="37" t="e">
        <f>#REF!</f>
        <v>#REF!</v>
      </c>
      <c r="E18" s="37"/>
    </row>
    <row r="19" spans="2:5">
      <c r="B19" s="172" t="s">
        <v>597</v>
      </c>
      <c r="C19" s="189">
        <v>549453</v>
      </c>
      <c r="D19" s="37"/>
      <c r="E19" s="37"/>
    </row>
    <row r="20" spans="2:5" ht="13.5" thickBot="1">
      <c r="B20" s="52"/>
      <c r="C20" s="82">
        <f>SUM(C14:C19)</f>
        <v>11800159.199999999</v>
      </c>
      <c r="D20" s="82" t="e">
        <f>SUM(D14:D18)</f>
        <v>#REF!</v>
      </c>
      <c r="E20" s="48">
        <f>SUM(E14:E17)</f>
        <v>4560066.2</v>
      </c>
    </row>
    <row r="21" spans="2:5" ht="13.5" thickTop="1">
      <c r="B21" s="66" t="s">
        <v>434</v>
      </c>
      <c r="C21" s="66"/>
      <c r="D21" s="48"/>
      <c r="E21" s="48"/>
    </row>
    <row r="22" spans="2:5">
      <c r="B22" s="75" t="s">
        <v>322</v>
      </c>
      <c r="C22" s="75"/>
      <c r="D22" s="76"/>
      <c r="E22" s="76"/>
    </row>
    <row r="23" spans="2:5">
      <c r="B23" s="78" t="s">
        <v>435</v>
      </c>
      <c r="C23" s="78"/>
      <c r="D23" s="50">
        <v>0</v>
      </c>
      <c r="E23" s="50">
        <v>0</v>
      </c>
    </row>
    <row r="24" spans="2:5">
      <c r="B24" s="78"/>
      <c r="C24" s="78"/>
      <c r="D24" s="48">
        <f>SUM(D22:D23)</f>
        <v>0</v>
      </c>
      <c r="E24" s="48">
        <f>SUM(E22:E23)</f>
        <v>0</v>
      </c>
    </row>
    <row r="25" spans="2:5">
      <c r="B25" s="78"/>
      <c r="C25" s="78"/>
      <c r="D25" s="78"/>
      <c r="E25" s="50"/>
    </row>
    <row r="26" spans="2:5">
      <c r="B26" s="66" t="s">
        <v>436</v>
      </c>
      <c r="C26" s="66"/>
      <c r="D26" s="78"/>
      <c r="E26" s="50"/>
    </row>
    <row r="27" spans="2:5">
      <c r="B27" s="75" t="s">
        <v>437</v>
      </c>
      <c r="C27" s="190">
        <v>111705.64</v>
      </c>
      <c r="D27" s="79" t="e">
        <f>#REF!</f>
        <v>#REF!</v>
      </c>
      <c r="E27" s="79">
        <v>44250</v>
      </c>
    </row>
    <row r="28" spans="2:5">
      <c r="B28" s="75" t="s">
        <v>373</v>
      </c>
      <c r="C28" s="189">
        <v>110292.21</v>
      </c>
      <c r="D28" s="76" t="e">
        <f>#REF!</f>
        <v>#REF!</v>
      </c>
      <c r="E28" s="76">
        <v>34902.39</v>
      </c>
    </row>
    <row r="29" spans="2:5">
      <c r="B29" s="75" t="s">
        <v>438</v>
      </c>
      <c r="C29" s="190">
        <f>28419+193706+840000+1354416</f>
        <v>2416541</v>
      </c>
      <c r="D29" s="79" t="e">
        <f>#REF!+#REF!+#REF!</f>
        <v>#REF!</v>
      </c>
      <c r="E29" s="79">
        <v>269315</v>
      </c>
    </row>
    <row r="30" spans="2:5">
      <c r="B30" s="75" t="s">
        <v>439</v>
      </c>
      <c r="C30" s="79">
        <v>729689</v>
      </c>
      <c r="D30" s="79" t="e">
        <f>#REF!</f>
        <v>#REF!</v>
      </c>
      <c r="E30" s="79">
        <v>469862.08</v>
      </c>
    </row>
    <row r="31" spans="2:5" ht="13.5" thickBot="1">
      <c r="B31" s="80"/>
      <c r="C31" s="82">
        <f>SUM(C27:C30)</f>
        <v>3368227.85</v>
      </c>
      <c r="D31" s="82" t="e">
        <f>SUM(D27:D30)</f>
        <v>#REF!</v>
      </c>
      <c r="E31" s="10">
        <f>SUM(E27:E30)</f>
        <v>818329.47</v>
      </c>
    </row>
    <row r="32" spans="2:5" ht="13.5" thickTop="1">
      <c r="B32" s="80"/>
      <c r="C32" s="80"/>
      <c r="D32" s="81"/>
      <c r="E32" s="10"/>
    </row>
    <row r="33" spans="2:5">
      <c r="B33" s="66" t="s">
        <v>440</v>
      </c>
      <c r="C33" s="66"/>
      <c r="D33" s="81"/>
      <c r="E33" s="10"/>
    </row>
    <row r="34" spans="2:5">
      <c r="B34" s="80"/>
      <c r="C34" s="80"/>
      <c r="D34" s="68"/>
      <c r="E34" s="10"/>
    </row>
    <row r="35" spans="2:5">
      <c r="B35" s="80" t="s">
        <v>441</v>
      </c>
      <c r="C35" s="193">
        <v>9856490.7200000007</v>
      </c>
      <c r="D35" s="79" t="e">
        <f>#REF!</f>
        <v>#REF!</v>
      </c>
      <c r="E35" s="79">
        <v>7431935.4400000004</v>
      </c>
    </row>
    <row r="36" spans="2:5">
      <c r="B36" s="80" t="s">
        <v>442</v>
      </c>
      <c r="C36" s="193">
        <v>1402539.04</v>
      </c>
      <c r="D36" s="79" t="e">
        <f>#REF!</f>
        <v>#REF!</v>
      </c>
      <c r="E36" s="79">
        <v>3042747.13</v>
      </c>
    </row>
    <row r="37" spans="2:5">
      <c r="B37" s="80" t="s">
        <v>443</v>
      </c>
      <c r="C37" s="193">
        <v>30122366.239999998</v>
      </c>
      <c r="D37" s="79" t="e">
        <f>#REF!</f>
        <v>#REF!</v>
      </c>
      <c r="E37" s="79">
        <v>21210741.809999999</v>
      </c>
    </row>
    <row r="38" spans="2:5">
      <c r="B38" s="80" t="s">
        <v>444</v>
      </c>
      <c r="C38" s="80"/>
      <c r="D38" s="79"/>
      <c r="E38" s="79"/>
    </row>
    <row r="39" spans="2:5" ht="13.5" thickBot="1">
      <c r="B39" s="78"/>
      <c r="C39" s="82">
        <f>SUM(C35:C38)</f>
        <v>41381396</v>
      </c>
      <c r="D39" s="82" t="e">
        <f>SUM(D35:D38)</f>
        <v>#REF!</v>
      </c>
      <c r="E39" s="83">
        <f>SUM(E35:E38)</f>
        <v>31685424.379999999</v>
      </c>
    </row>
    <row r="40" spans="2:5" ht="13.5" thickTop="1">
      <c r="B40" s="78"/>
      <c r="C40" s="78"/>
      <c r="D40" s="81"/>
      <c r="E40" s="84"/>
    </row>
    <row r="41" spans="2:5">
      <c r="B41" s="66" t="s">
        <v>445</v>
      </c>
      <c r="C41" s="66"/>
      <c r="D41" s="81"/>
      <c r="E41" s="81"/>
    </row>
    <row r="42" spans="2:5">
      <c r="B42" s="78"/>
      <c r="C42" s="78"/>
      <c r="D42" s="81"/>
      <c r="E42" s="81"/>
    </row>
    <row r="43" spans="2:5">
      <c r="B43" s="78" t="s">
        <v>446</v>
      </c>
      <c r="C43" s="187">
        <v>15852</v>
      </c>
      <c r="D43" s="85" t="e">
        <f>#REF!</f>
        <v>#REF!</v>
      </c>
      <c r="E43" s="85">
        <v>45299</v>
      </c>
    </row>
    <row r="44" spans="2:5">
      <c r="B44" s="78" t="s">
        <v>447</v>
      </c>
      <c r="C44" s="187">
        <v>-500000</v>
      </c>
      <c r="D44" s="85" t="e">
        <f>#REF!</f>
        <v>#REF!</v>
      </c>
      <c r="E44" s="85">
        <v>-113280</v>
      </c>
    </row>
    <row r="45" spans="2:5">
      <c r="B45" s="78" t="s">
        <v>448</v>
      </c>
      <c r="C45" s="187">
        <v>254958</v>
      </c>
      <c r="D45" s="85" t="e">
        <f>#REF!</f>
        <v>#REF!</v>
      </c>
      <c r="E45" s="85">
        <v>230424</v>
      </c>
    </row>
    <row r="46" spans="2:5">
      <c r="B46" s="78" t="s">
        <v>449</v>
      </c>
      <c r="C46" s="187">
        <v>300094</v>
      </c>
      <c r="D46" s="85" t="e">
        <f>#REF!</f>
        <v>#REF!</v>
      </c>
      <c r="E46" s="85">
        <v>398595</v>
      </c>
    </row>
    <row r="47" spans="2:5">
      <c r="B47" s="78" t="s">
        <v>503</v>
      </c>
      <c r="C47" s="78"/>
      <c r="D47" s="85">
        <v>513</v>
      </c>
      <c r="E47" s="85"/>
    </row>
    <row r="48" spans="2:5" hidden="1">
      <c r="B48" s="78" t="s">
        <v>504</v>
      </c>
      <c r="C48" s="78"/>
      <c r="D48" s="85"/>
      <c r="E48" s="85"/>
    </row>
    <row r="49" spans="2:5">
      <c r="B49" s="78" t="s">
        <v>580</v>
      </c>
      <c r="C49" s="78"/>
      <c r="D49" s="85">
        <v>182</v>
      </c>
      <c r="E49" s="85"/>
    </row>
    <row r="50" spans="2:5" hidden="1">
      <c r="B50" s="78" t="s">
        <v>15</v>
      </c>
      <c r="C50" s="78"/>
      <c r="D50" s="85" t="e">
        <f>#REF!</f>
        <v>#REF!</v>
      </c>
      <c r="E50" s="85">
        <v>50000</v>
      </c>
    </row>
    <row r="51" spans="2:5">
      <c r="B51" s="78" t="s">
        <v>507</v>
      </c>
      <c r="C51" s="78"/>
      <c r="D51" s="85" t="e">
        <f>#REF!</f>
        <v>#REF!</v>
      </c>
      <c r="E51" s="85">
        <v>80000</v>
      </c>
    </row>
    <row r="52" spans="2:5" ht="13.5" thickBot="1">
      <c r="B52" s="86"/>
      <c r="C52" s="82">
        <f>SUM(C43:C51)</f>
        <v>70904</v>
      </c>
      <c r="D52" s="82" t="e">
        <f>SUM(D43:D51)</f>
        <v>#REF!</v>
      </c>
      <c r="E52" s="87">
        <f>SUM(E43:E48)</f>
        <v>561038</v>
      </c>
    </row>
    <row r="53" spans="2:5" ht="13.5" thickTop="1"/>
  </sheetData>
  <mergeCells count="2">
    <mergeCell ref="B2:E2"/>
    <mergeCell ref="B3:E3"/>
  </mergeCells>
  <pageMargins left="0.7" right="0.7" top="0.75" bottom="0.75" header="0.3" footer="0.3"/>
  <pageSetup scale="8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J66"/>
  <sheetViews>
    <sheetView view="pageBreakPreview" zoomScaleSheetLayoutView="100" workbookViewId="0">
      <selection activeCell="C27" sqref="C27"/>
    </sheetView>
  </sheetViews>
  <sheetFormatPr defaultColWidth="9.140625" defaultRowHeight="12.75"/>
  <cols>
    <col min="1" max="1" width="5.28515625" style="57" customWidth="1"/>
    <col min="2" max="2" width="51.28515625" style="57" customWidth="1"/>
    <col min="3" max="3" width="24.42578125" style="57" customWidth="1"/>
    <col min="4" max="4" width="26.140625" style="57" customWidth="1"/>
    <col min="5" max="5" width="24.85546875" style="57" hidden="1" customWidth="1"/>
    <col min="6" max="6" width="9.5703125" style="57" bestFit="1" customWidth="1"/>
    <col min="7" max="7" width="12.140625" style="57" bestFit="1" customWidth="1"/>
    <col min="8" max="16384" width="9.140625" style="57"/>
  </cols>
  <sheetData>
    <row r="1" spans="2:10" ht="13.5" thickBot="1">
      <c r="B1" s="953"/>
      <c r="C1" s="953"/>
      <c r="D1" s="953"/>
      <c r="E1" s="953"/>
    </row>
    <row r="2" spans="2:10">
      <c r="B2" s="941"/>
      <c r="C2" s="942"/>
      <c r="D2" s="942"/>
      <c r="E2" s="943"/>
    </row>
    <row r="3" spans="2:10" ht="28.5" customHeight="1">
      <c r="B3" s="954" t="s">
        <v>598</v>
      </c>
      <c r="C3" s="955"/>
      <c r="D3" s="955"/>
      <c r="E3" s="956"/>
    </row>
    <row r="4" spans="2:10" ht="28.9" customHeight="1">
      <c r="B4" s="146"/>
      <c r="C4" s="6" t="s">
        <v>590</v>
      </c>
      <c r="D4" s="6" t="s">
        <v>573</v>
      </c>
      <c r="E4" s="133" t="s">
        <v>572</v>
      </c>
    </row>
    <row r="5" spans="2:10">
      <c r="B5" s="25"/>
      <c r="C5" s="47"/>
      <c r="D5" s="47"/>
      <c r="E5" s="24"/>
    </row>
    <row r="6" spans="2:10" ht="16.5" customHeight="1">
      <c r="B6" s="19" t="s">
        <v>416</v>
      </c>
      <c r="C6" s="66"/>
      <c r="D6" s="66"/>
      <c r="E6" s="8"/>
      <c r="J6" s="14"/>
    </row>
    <row r="7" spans="2:10" ht="16.5" customHeight="1">
      <c r="B7" s="63" t="s">
        <v>571</v>
      </c>
      <c r="C7" s="195">
        <v>33500</v>
      </c>
      <c r="D7" s="129" t="e">
        <f>#REF!</f>
        <v>#REF!</v>
      </c>
      <c r="E7" s="65">
        <v>65000</v>
      </c>
    </row>
    <row r="8" spans="2:10" ht="16.5" customHeight="1">
      <c r="B8" s="63" t="s">
        <v>417</v>
      </c>
      <c r="C8" s="195">
        <v>726307</v>
      </c>
      <c r="D8" s="129" t="e">
        <f>#REF!</f>
        <v>#REF!</v>
      </c>
      <c r="E8" s="65">
        <v>257821</v>
      </c>
    </row>
    <row r="9" spans="2:10" ht="16.5" customHeight="1">
      <c r="B9" s="63" t="s">
        <v>418</v>
      </c>
      <c r="C9" s="64"/>
      <c r="D9" s="129">
        <v>0</v>
      </c>
      <c r="E9" s="65">
        <v>0</v>
      </c>
    </row>
    <row r="10" spans="2:10" ht="16.5" customHeight="1">
      <c r="B10" s="5"/>
      <c r="C10" s="130">
        <f>SUM(C7:C9)</f>
        <v>759807</v>
      </c>
      <c r="D10" s="130" t="e">
        <f>SUM(D7:D9)</f>
        <v>#REF!</v>
      </c>
      <c r="E10" s="134">
        <f>SUM(E7:E9)</f>
        <v>322821</v>
      </c>
    </row>
    <row r="11" spans="2:10">
      <c r="B11" s="9"/>
      <c r="C11" s="10"/>
      <c r="D11" s="68"/>
      <c r="E11" s="24"/>
    </row>
    <row r="12" spans="2:10">
      <c r="B12" s="9" t="s">
        <v>419</v>
      </c>
      <c r="C12" s="10"/>
      <c r="D12" s="68"/>
      <c r="E12" s="45"/>
    </row>
    <row r="13" spans="2:10">
      <c r="B13" s="25" t="s">
        <v>420</v>
      </c>
      <c r="C13" s="148">
        <v>50935.6</v>
      </c>
      <c r="D13" s="131" t="e">
        <f>#REF!</f>
        <v>#REF!</v>
      </c>
      <c r="E13" s="135">
        <v>38490.379999999997</v>
      </c>
    </row>
    <row r="14" spans="2:10">
      <c r="B14" s="25" t="s">
        <v>421</v>
      </c>
      <c r="C14" s="148">
        <v>50935.6</v>
      </c>
      <c r="D14" s="131" t="e">
        <f>#REF!</f>
        <v>#REF!</v>
      </c>
      <c r="E14" s="135">
        <v>38490.379999999997</v>
      </c>
      <c r="F14" s="57">
        <v>9750857</v>
      </c>
      <c r="G14" s="57" t="e">
        <f>+D14-F14</f>
        <v>#REF!</v>
      </c>
    </row>
    <row r="15" spans="2:10">
      <c r="B15" s="25" t="s">
        <v>422</v>
      </c>
      <c r="C15" s="47">
        <v>80.709999999999994</v>
      </c>
      <c r="D15" s="131" t="e">
        <f>#REF!</f>
        <v>#REF!</v>
      </c>
      <c r="E15" s="135">
        <v>14607.76</v>
      </c>
      <c r="G15" s="57">
        <v>26330</v>
      </c>
    </row>
    <row r="16" spans="2:10">
      <c r="B16" s="147"/>
      <c r="C16" s="132">
        <f>SUM(C13:C15)</f>
        <v>101951.91</v>
      </c>
      <c r="D16" s="132" t="e">
        <f>SUM(D13:D15)</f>
        <v>#REF!</v>
      </c>
      <c r="E16" s="136">
        <f>SUM(E13:E15)</f>
        <v>91588.51999999999</v>
      </c>
      <c r="G16" s="57" t="e">
        <f>+G14-G15</f>
        <v>#REF!</v>
      </c>
    </row>
    <row r="17" spans="2:5" ht="13.5" thickBot="1">
      <c r="B17" s="69"/>
      <c r="C17" s="70"/>
      <c r="D17" s="70"/>
      <c r="E17" s="71"/>
    </row>
    <row r="29" spans="2:5" ht="16.5" customHeight="1">
      <c r="B29" s="19" t="s">
        <v>380</v>
      </c>
      <c r="C29" s="59"/>
      <c r="D29" s="59"/>
      <c r="E29" s="58"/>
    </row>
    <row r="30" spans="2:5" ht="16.5" customHeight="1">
      <c r="B30" s="60" t="s">
        <v>381</v>
      </c>
      <c r="C30" s="61"/>
      <c r="D30" s="61"/>
      <c r="E30" s="62"/>
    </row>
    <row r="31" spans="2:5" ht="16.5" customHeight="1">
      <c r="B31" s="60" t="s">
        <v>382</v>
      </c>
      <c r="C31" s="61"/>
      <c r="D31" s="61"/>
      <c r="E31" s="62"/>
    </row>
    <row r="32" spans="2:5" ht="16.5" customHeight="1">
      <c r="B32" s="60" t="s">
        <v>383</v>
      </c>
      <c r="C32" s="61"/>
      <c r="D32" s="61"/>
      <c r="E32" s="62"/>
    </row>
    <row r="33" spans="2:5" ht="16.5" customHeight="1">
      <c r="B33" s="60" t="s">
        <v>384</v>
      </c>
      <c r="C33" s="61"/>
      <c r="D33" s="61"/>
      <c r="E33" s="62"/>
    </row>
    <row r="34" spans="2:5" ht="16.5" customHeight="1">
      <c r="B34" s="60" t="s">
        <v>385</v>
      </c>
      <c r="C34" s="61"/>
      <c r="D34" s="61"/>
      <c r="E34" s="62"/>
    </row>
    <row r="35" spans="2:5" ht="16.5" customHeight="1">
      <c r="B35" s="60" t="s">
        <v>386</v>
      </c>
      <c r="C35" s="61"/>
      <c r="D35" s="61"/>
      <c r="E35" s="62"/>
    </row>
    <row r="36" spans="2:5" ht="16.5" customHeight="1">
      <c r="B36" s="60" t="s">
        <v>387</v>
      </c>
      <c r="C36" s="61"/>
      <c r="D36" s="61"/>
      <c r="E36" s="62"/>
    </row>
    <row r="37" spans="2:5" ht="16.5" customHeight="1">
      <c r="B37" s="60" t="s">
        <v>388</v>
      </c>
      <c r="C37" s="61"/>
      <c r="D37" s="61"/>
      <c r="E37" s="62"/>
    </row>
    <row r="38" spans="2:5" ht="16.5" customHeight="1">
      <c r="B38" s="60" t="s">
        <v>389</v>
      </c>
      <c r="C38" s="61"/>
      <c r="D38" s="61"/>
      <c r="E38" s="62"/>
    </row>
    <row r="39" spans="2:5" ht="16.5" customHeight="1">
      <c r="B39" s="60" t="s">
        <v>390</v>
      </c>
      <c r="C39" s="61"/>
      <c r="D39" s="61"/>
      <c r="E39" s="62"/>
    </row>
    <row r="40" spans="2:5" ht="16.5" customHeight="1">
      <c r="B40" s="60" t="s">
        <v>391</v>
      </c>
      <c r="C40" s="61"/>
      <c r="D40" s="61"/>
      <c r="E40" s="62"/>
    </row>
    <row r="41" spans="2:5" ht="16.5" customHeight="1">
      <c r="B41" s="60" t="s">
        <v>392</v>
      </c>
      <c r="C41" s="61"/>
      <c r="D41" s="61"/>
      <c r="E41" s="62"/>
    </row>
    <row r="42" spans="2:5" ht="16.5" customHeight="1">
      <c r="B42" s="60" t="s">
        <v>393</v>
      </c>
      <c r="C42" s="61"/>
      <c r="D42" s="61"/>
      <c r="E42" s="62"/>
    </row>
    <row r="43" spans="2:5" ht="16.5" customHeight="1">
      <c r="B43" s="60" t="s">
        <v>394</v>
      </c>
      <c r="C43" s="61"/>
      <c r="D43" s="61"/>
      <c r="E43" s="62"/>
    </row>
    <row r="44" spans="2:5" ht="16.5" customHeight="1">
      <c r="B44" s="60" t="s">
        <v>395</v>
      </c>
      <c r="C44" s="61"/>
      <c r="D44" s="61"/>
      <c r="E44" s="62"/>
    </row>
    <row r="45" spans="2:5" ht="16.5" customHeight="1">
      <c r="B45" s="60" t="s">
        <v>396</v>
      </c>
      <c r="C45" s="61"/>
      <c r="D45" s="61"/>
      <c r="E45" s="62"/>
    </row>
    <row r="46" spans="2:5" ht="16.5" customHeight="1">
      <c r="B46" s="60" t="s">
        <v>397</v>
      </c>
      <c r="C46" s="61"/>
      <c r="D46" s="61"/>
      <c r="E46" s="62"/>
    </row>
    <row r="47" spans="2:5" ht="16.5" customHeight="1">
      <c r="B47" s="60" t="s">
        <v>398</v>
      </c>
      <c r="C47" s="61"/>
      <c r="D47" s="61"/>
      <c r="E47" s="62"/>
    </row>
    <row r="48" spans="2:5" ht="16.5" customHeight="1">
      <c r="B48" s="60" t="s">
        <v>399</v>
      </c>
      <c r="C48" s="61"/>
      <c r="D48" s="61"/>
      <c r="E48" s="62"/>
    </row>
    <row r="49" spans="2:10" ht="16.5" customHeight="1">
      <c r="B49" s="60" t="s">
        <v>400</v>
      </c>
      <c r="C49" s="61"/>
      <c r="D49" s="61"/>
      <c r="E49" s="62"/>
    </row>
    <row r="50" spans="2:10" ht="16.5" customHeight="1">
      <c r="B50" s="60" t="s">
        <v>401</v>
      </c>
      <c r="C50" s="61"/>
      <c r="D50" s="61"/>
      <c r="E50" s="62"/>
    </row>
    <row r="51" spans="2:10" ht="16.5" customHeight="1">
      <c r="B51" s="60" t="s">
        <v>402</v>
      </c>
      <c r="C51" s="61"/>
      <c r="D51" s="61"/>
      <c r="E51" s="62"/>
    </row>
    <row r="52" spans="2:10" ht="16.5" customHeight="1">
      <c r="B52" s="60" t="s">
        <v>403</v>
      </c>
      <c r="C52" s="61"/>
      <c r="D52" s="61"/>
      <c r="E52" s="62"/>
    </row>
    <row r="53" spans="2:10" ht="16.5" customHeight="1">
      <c r="B53" s="60" t="s">
        <v>404</v>
      </c>
      <c r="C53" s="61"/>
      <c r="D53" s="61"/>
      <c r="E53" s="62"/>
    </row>
    <row r="54" spans="2:10" ht="16.5" customHeight="1">
      <c r="B54" s="60" t="s">
        <v>405</v>
      </c>
      <c r="C54" s="61"/>
      <c r="D54" s="61"/>
      <c r="E54" s="62"/>
    </row>
    <row r="55" spans="2:10" ht="16.5" customHeight="1">
      <c r="B55" s="60" t="s">
        <v>406</v>
      </c>
      <c r="C55" s="61"/>
      <c r="D55" s="61"/>
      <c r="E55" s="62"/>
    </row>
    <row r="56" spans="2:10" ht="16.5" customHeight="1">
      <c r="B56" s="60" t="s">
        <v>407</v>
      </c>
      <c r="C56" s="61"/>
      <c r="D56" s="61"/>
      <c r="E56" s="62"/>
    </row>
    <row r="57" spans="2:10" ht="16.5" customHeight="1">
      <c r="B57" s="60" t="s">
        <v>408</v>
      </c>
      <c r="C57" s="61"/>
      <c r="D57" s="61"/>
      <c r="E57" s="62"/>
    </row>
    <row r="58" spans="2:10" ht="16.5" customHeight="1">
      <c r="B58" s="60" t="s">
        <v>409</v>
      </c>
      <c r="C58" s="61"/>
      <c r="D58" s="61"/>
      <c r="E58" s="62"/>
    </row>
    <row r="59" spans="2:10" ht="16.5" customHeight="1">
      <c r="B59" s="60" t="s">
        <v>410</v>
      </c>
      <c r="C59" s="61"/>
      <c r="D59" s="61"/>
      <c r="E59" s="62"/>
    </row>
    <row r="60" spans="2:10" ht="16.5" customHeight="1">
      <c r="B60" s="60" t="s">
        <v>411</v>
      </c>
      <c r="C60" s="61"/>
      <c r="D60" s="61"/>
      <c r="E60" s="62"/>
    </row>
    <row r="61" spans="2:10" ht="16.5" customHeight="1">
      <c r="B61" s="60" t="s">
        <v>412</v>
      </c>
      <c r="C61" s="61"/>
      <c r="D61" s="61"/>
      <c r="E61" s="62"/>
    </row>
    <row r="62" spans="2:10" ht="16.5" customHeight="1">
      <c r="B62" s="60" t="s">
        <v>413</v>
      </c>
      <c r="C62" s="61"/>
      <c r="D62" s="61"/>
      <c r="E62" s="62"/>
    </row>
    <row r="63" spans="2:10" ht="16.5" customHeight="1">
      <c r="B63" s="63" t="s">
        <v>414</v>
      </c>
      <c r="C63" s="61"/>
      <c r="D63" s="64"/>
      <c r="E63" s="65"/>
    </row>
    <row r="64" spans="2:10" ht="16.5" customHeight="1">
      <c r="B64" s="63" t="s">
        <v>415</v>
      </c>
      <c r="C64" s="61"/>
      <c r="D64" s="64"/>
      <c r="E64" s="65"/>
      <c r="J64" s="14"/>
    </row>
    <row r="65" spans="2:10" ht="16.5" customHeight="1">
      <c r="B65" s="19"/>
      <c r="C65" s="59"/>
      <c r="D65" s="66"/>
      <c r="E65" s="67">
        <f>SUM(E30:E64)</f>
        <v>0</v>
      </c>
      <c r="J65" s="14"/>
    </row>
    <row r="66" spans="2:10" ht="16.5" customHeight="1">
      <c r="B66" s="19"/>
      <c r="C66" s="59"/>
      <c r="D66" s="66"/>
      <c r="E66" s="8"/>
      <c r="J66" s="14"/>
    </row>
  </sheetData>
  <mergeCells count="3">
    <mergeCell ref="B1:E1"/>
    <mergeCell ref="B2:E2"/>
    <mergeCell ref="B3:E3"/>
  </mergeCells>
  <pageMargins left="0.7" right="0.7" top="0.75" bottom="0.75" header="0.3" footer="0.3"/>
  <pageSetup scale="7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J11"/>
  <sheetViews>
    <sheetView workbookViewId="0">
      <selection activeCell="C8" sqref="C8"/>
    </sheetView>
  </sheetViews>
  <sheetFormatPr defaultColWidth="9.140625" defaultRowHeight="15"/>
  <cols>
    <col min="1" max="1" width="9.140625" style="3"/>
    <col min="2" max="2" width="32.42578125" style="3" bestFit="1" customWidth="1"/>
    <col min="3" max="3" width="16.140625" style="3" customWidth="1"/>
    <col min="4" max="6" width="9.140625" style="3"/>
    <col min="7" max="8" width="11.28515625" style="3" bestFit="1" customWidth="1"/>
    <col min="9" max="9" width="9.140625" style="3"/>
    <col min="10" max="10" width="12.85546875" style="3" bestFit="1" customWidth="1"/>
    <col min="11" max="16384" width="9.140625" style="3"/>
  </cols>
  <sheetData>
    <row r="2" spans="2:10">
      <c r="B2" s="957" t="s">
        <v>465</v>
      </c>
      <c r="C2" s="957"/>
    </row>
    <row r="3" spans="2:10">
      <c r="B3" s="89" t="s">
        <v>0</v>
      </c>
      <c r="C3" s="89" t="s">
        <v>35</v>
      </c>
    </row>
    <row r="4" spans="2:10">
      <c r="B4" s="88" t="s">
        <v>466</v>
      </c>
      <c r="C4" s="184">
        <v>4229857</v>
      </c>
      <c r="J4" s="797">
        <v>5363721</v>
      </c>
    </row>
    <row r="5" spans="2:10">
      <c r="B5" s="88" t="s">
        <v>467</v>
      </c>
      <c r="C5" s="185">
        <f>'10'!L43</f>
        <v>4478032.3477805266</v>
      </c>
      <c r="J5" s="797">
        <f>'Financial Statements'!E35</f>
        <v>5439341.5177805265</v>
      </c>
    </row>
    <row r="6" spans="2:10">
      <c r="B6" s="88" t="s">
        <v>10</v>
      </c>
      <c r="C6" s="185">
        <f>C5-C4</f>
        <v>248175.34778052662</v>
      </c>
      <c r="E6" s="145" t="s">
        <v>586</v>
      </c>
      <c r="G6" s="15">
        <f>C11</f>
        <v>-10930.319577063085</v>
      </c>
      <c r="H6" s="145" t="s">
        <v>588</v>
      </c>
      <c r="J6" s="797">
        <f>J5-J4</f>
        <v>75620.517780526541</v>
      </c>
    </row>
    <row r="7" spans="2:10">
      <c r="B7" s="88" t="s">
        <v>468</v>
      </c>
      <c r="C7" s="185">
        <f>+C6*25%</f>
        <v>62043.836945131654</v>
      </c>
      <c r="F7" s="145" t="s">
        <v>587</v>
      </c>
      <c r="H7" s="15">
        <f>G6</f>
        <v>-10930.319577063085</v>
      </c>
      <c r="J7" s="809">
        <f>J6*0.25*1.04</f>
        <v>19661.334622936902</v>
      </c>
    </row>
    <row r="8" spans="2:10">
      <c r="B8" s="88" t="s">
        <v>469</v>
      </c>
      <c r="C8" s="185">
        <f>+C7*4%</f>
        <v>2481.7534778052664</v>
      </c>
      <c r="F8" s="145"/>
      <c r="H8" s="15"/>
    </row>
    <row r="9" spans="2:10">
      <c r="B9" s="144" t="s">
        <v>585</v>
      </c>
      <c r="C9" s="185">
        <f>+C7+C8</f>
        <v>64525.590422936919</v>
      </c>
    </row>
    <row r="10" spans="2:10">
      <c r="B10" s="88" t="s">
        <v>470</v>
      </c>
      <c r="C10" s="185">
        <v>75455.91</v>
      </c>
    </row>
    <row r="11" spans="2:10">
      <c r="B11" s="144" t="s">
        <v>584</v>
      </c>
      <c r="C11" s="186">
        <f>+C9-C10</f>
        <v>-10930.319577063085</v>
      </c>
    </row>
  </sheetData>
  <mergeCells count="1">
    <mergeCell ref="B2:C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6DC6-A979-4340-AA0A-8B4C49E8DD8F}">
  <dimension ref="A4:C26"/>
  <sheetViews>
    <sheetView workbookViewId="0">
      <selection activeCell="C22" sqref="C22"/>
    </sheetView>
  </sheetViews>
  <sheetFormatPr defaultRowHeight="15"/>
  <cols>
    <col min="1" max="1" width="19.7109375" style="200" bestFit="1" customWidth="1"/>
    <col min="2" max="3" width="16.28515625" style="372" bestFit="1" customWidth="1"/>
    <col min="4" max="16384" width="9.140625" style="200"/>
  </cols>
  <sheetData>
    <row r="4" spans="1:3">
      <c r="A4" s="200" t="s">
        <v>953</v>
      </c>
      <c r="C4" s="372">
        <f>'Financial Statements'!E97</f>
        <v>16156488.490000129</v>
      </c>
    </row>
    <row r="6" spans="1:3">
      <c r="A6" s="758" t="s">
        <v>955</v>
      </c>
    </row>
    <row r="7" spans="1:3">
      <c r="A7" s="200" t="s">
        <v>954</v>
      </c>
      <c r="B7" s="372">
        <f>'Financial Statements'!E93</f>
        <v>0</v>
      </c>
    </row>
    <row r="8" spans="1:3">
      <c r="A8" s="200" t="s">
        <v>958</v>
      </c>
      <c r="B8" s="372">
        <f>'3-15'!E69</f>
        <v>1469911</v>
      </c>
    </row>
    <row r="9" spans="1:3">
      <c r="A9" s="200" t="s">
        <v>959</v>
      </c>
      <c r="B9" s="372">
        <f>'3-15'!E70-'3-15'!F70</f>
        <v>2920931</v>
      </c>
    </row>
    <row r="10" spans="1:3">
      <c r="A10" s="200" t="s">
        <v>25</v>
      </c>
      <c r="B10" s="372">
        <f>'Financial Statements'!E86</f>
        <v>2045608.09</v>
      </c>
      <c r="C10" s="372">
        <f>SUM(B7:B10)</f>
        <v>6436450.0899999999</v>
      </c>
    </row>
    <row r="12" spans="1:3">
      <c r="A12" s="758" t="s">
        <v>956</v>
      </c>
    </row>
    <row r="13" spans="1:3">
      <c r="A13" s="200" t="s">
        <v>957</v>
      </c>
      <c r="B13" s="372">
        <v>0</v>
      </c>
    </row>
    <row r="14" spans="1:3">
      <c r="A14" s="200" t="s">
        <v>25</v>
      </c>
      <c r="B14" s="372">
        <v>1868302</v>
      </c>
      <c r="C14" s="372">
        <f>SUM(B13:B14)</f>
        <v>1868302</v>
      </c>
    </row>
    <row r="16" spans="1:3">
      <c r="C16" s="372">
        <f>C4+C10-C14</f>
        <v>20724636.580000129</v>
      </c>
    </row>
    <row r="18" spans="1:3">
      <c r="A18" s="200" t="s">
        <v>960</v>
      </c>
      <c r="C18" s="372">
        <f>C16*0.22</f>
        <v>4559420.0476000281</v>
      </c>
    </row>
    <row r="19" spans="1:3">
      <c r="A19" s="200" t="s">
        <v>961</v>
      </c>
      <c r="C19" s="372">
        <f>C18*0.1</f>
        <v>455942.00476000283</v>
      </c>
    </row>
    <row r="20" spans="1:3">
      <c r="A20" s="200" t="s">
        <v>962</v>
      </c>
      <c r="C20" s="372">
        <f>SUM(C18:C19)*0.04</f>
        <v>200614.48209440123</v>
      </c>
    </row>
    <row r="22" spans="1:3">
      <c r="C22" s="372">
        <f>SUM(C18:C21)</f>
        <v>5215976.5344544323</v>
      </c>
    </row>
    <row r="24" spans="1:3">
      <c r="C24" s="372">
        <f>ROUNDDOWN(C22,-5)</f>
        <v>5200000</v>
      </c>
    </row>
    <row r="26" spans="1:3">
      <c r="A26" s="200" t="s">
        <v>963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D71F-6F6F-4E6E-954A-16B7B88F9C4C}">
  <dimension ref="A2:N113"/>
  <sheetViews>
    <sheetView topLeftCell="A64" zoomScaleNormal="100" workbookViewId="0">
      <selection activeCell="M1" sqref="M1"/>
    </sheetView>
  </sheetViews>
  <sheetFormatPr defaultRowHeight="12.75"/>
  <cols>
    <col min="1" max="1" width="22.42578125" customWidth="1"/>
    <col min="2" max="2" width="20.42578125" customWidth="1"/>
    <col min="3" max="3" width="13.85546875" customWidth="1"/>
    <col min="4" max="4" width="18.7109375" customWidth="1"/>
    <col min="5" max="5" width="15.7109375" customWidth="1"/>
    <col min="6" max="6" width="12.28515625" customWidth="1"/>
    <col min="7" max="7" width="16.7109375" customWidth="1"/>
    <col min="8" max="9" width="15.42578125" customWidth="1"/>
    <col min="10" max="10" width="21" customWidth="1"/>
    <col min="11" max="11" width="21.85546875" customWidth="1"/>
    <col min="13" max="13" width="13.28515625" customWidth="1"/>
    <col min="14" max="14" width="11.85546875" bestFit="1" customWidth="1"/>
  </cols>
  <sheetData>
    <row r="2" spans="1:14" ht="45">
      <c r="A2" s="120" t="s">
        <v>0</v>
      </c>
      <c r="B2" s="120" t="s">
        <v>450</v>
      </c>
      <c r="C2" s="120" t="s">
        <v>451</v>
      </c>
      <c r="D2" s="120" t="s">
        <v>452</v>
      </c>
      <c r="E2" s="120" t="s">
        <v>453</v>
      </c>
      <c r="F2" s="120" t="s">
        <v>454</v>
      </c>
      <c r="G2" s="121" t="s">
        <v>455</v>
      </c>
      <c r="H2" s="120"/>
      <c r="I2" s="120"/>
      <c r="J2" s="120" t="s">
        <v>456</v>
      </c>
      <c r="K2" s="120" t="s">
        <v>457</v>
      </c>
      <c r="M2" s="180" t="s">
        <v>599</v>
      </c>
    </row>
    <row r="3" spans="1:14">
      <c r="A3" s="142" t="s">
        <v>458</v>
      </c>
      <c r="B3" s="139">
        <v>44280</v>
      </c>
      <c r="C3">
        <v>6</v>
      </c>
      <c r="D3">
        <v>50000</v>
      </c>
      <c r="E3">
        <f>+D3*5%</f>
        <v>2500</v>
      </c>
      <c r="F3">
        <f>+D3-E3</f>
        <v>47500</v>
      </c>
      <c r="G3">
        <f>+F3/C3</f>
        <v>7916.666666666667</v>
      </c>
      <c r="H3" s="122">
        <v>45382</v>
      </c>
      <c r="I3" s="122">
        <v>45017</v>
      </c>
      <c r="J3" s="1">
        <f>H3-I3</f>
        <v>365</v>
      </c>
      <c r="K3" s="143">
        <f>+G3*J3/365</f>
        <v>7916.666666666667</v>
      </c>
      <c r="M3">
        <v>7917</v>
      </c>
      <c r="N3">
        <v>0</v>
      </c>
    </row>
    <row r="4" spans="1:14">
      <c r="A4" s="142" t="s">
        <v>36</v>
      </c>
      <c r="B4" s="140"/>
      <c r="K4" s="2"/>
    </row>
    <row r="5" spans="1:14">
      <c r="A5" t="s">
        <v>152</v>
      </c>
      <c r="B5" s="139">
        <v>43747</v>
      </c>
      <c r="C5">
        <v>3</v>
      </c>
      <c r="D5" s="123">
        <v>6355.94</v>
      </c>
      <c r="E5">
        <f t="shared" ref="E5:E11" si="0">+D5*5%</f>
        <v>317.79700000000003</v>
      </c>
      <c r="F5">
        <f t="shared" ref="F5:F11" si="1">+D5-E5</f>
        <v>6038.143</v>
      </c>
      <c r="G5">
        <f t="shared" ref="G5:G11" si="2">+F5/C5</f>
        <v>2012.7143333333333</v>
      </c>
      <c r="H5" s="122"/>
      <c r="I5" s="122"/>
      <c r="J5" s="1">
        <f>H5-I5</f>
        <v>0</v>
      </c>
      <c r="K5" s="1">
        <f t="shared" ref="K5:K11" si="3">+G5*J5/365</f>
        <v>0</v>
      </c>
    </row>
    <row r="6" spans="1:14">
      <c r="B6" s="139">
        <v>43778</v>
      </c>
      <c r="C6">
        <v>3</v>
      </c>
      <c r="D6" s="123">
        <v>2542.37</v>
      </c>
      <c r="E6">
        <f t="shared" si="0"/>
        <v>127.1185</v>
      </c>
      <c r="F6">
        <f t="shared" si="1"/>
        <v>2415.2514999999999</v>
      </c>
      <c r="G6">
        <f t="shared" si="2"/>
        <v>805.08383333333325</v>
      </c>
      <c r="H6" s="122"/>
      <c r="I6" s="122"/>
      <c r="J6" s="1"/>
      <c r="K6" s="2">
        <f t="shared" si="3"/>
        <v>0</v>
      </c>
    </row>
    <row r="7" spans="1:14">
      <c r="B7" s="139">
        <v>43785</v>
      </c>
      <c r="C7">
        <v>3</v>
      </c>
      <c r="D7" s="123">
        <v>92000</v>
      </c>
      <c r="E7">
        <f t="shared" si="0"/>
        <v>4600</v>
      </c>
      <c r="F7">
        <f t="shared" si="1"/>
        <v>87400</v>
      </c>
      <c r="G7">
        <f t="shared" si="2"/>
        <v>29133.333333333332</v>
      </c>
      <c r="H7" s="122"/>
      <c r="I7" s="122"/>
      <c r="J7" s="1"/>
      <c r="K7" s="2">
        <f>+G7*J7/365</f>
        <v>0</v>
      </c>
    </row>
    <row r="8" spans="1:14">
      <c r="B8" s="139">
        <v>43832</v>
      </c>
      <c r="C8">
        <v>3</v>
      </c>
      <c r="D8" s="123">
        <v>31271.18</v>
      </c>
      <c r="E8">
        <f t="shared" si="0"/>
        <v>1563.5590000000002</v>
      </c>
      <c r="F8">
        <f t="shared" si="1"/>
        <v>29707.620999999999</v>
      </c>
      <c r="G8">
        <f t="shared" si="2"/>
        <v>9902.5403333333325</v>
      </c>
      <c r="H8" s="122"/>
      <c r="I8" s="122"/>
      <c r="J8" s="1"/>
      <c r="K8" s="2">
        <f>+G8*J8/365</f>
        <v>0</v>
      </c>
    </row>
    <row r="9" spans="1:14">
      <c r="B9" s="139">
        <v>43837</v>
      </c>
      <c r="C9">
        <v>3</v>
      </c>
      <c r="D9" s="123">
        <v>11610.17</v>
      </c>
      <c r="E9">
        <f t="shared" si="0"/>
        <v>580.50850000000003</v>
      </c>
      <c r="F9">
        <f t="shared" si="1"/>
        <v>11029.6615</v>
      </c>
      <c r="G9">
        <f t="shared" si="2"/>
        <v>3676.5538333333334</v>
      </c>
      <c r="H9" s="122"/>
      <c r="I9" s="122"/>
      <c r="J9" s="1"/>
      <c r="K9" s="2">
        <f t="shared" si="3"/>
        <v>0</v>
      </c>
    </row>
    <row r="10" spans="1:14">
      <c r="B10" s="139">
        <v>43894</v>
      </c>
      <c r="C10">
        <v>3</v>
      </c>
      <c r="D10" s="123">
        <v>84000</v>
      </c>
      <c r="E10">
        <f t="shared" si="0"/>
        <v>4200</v>
      </c>
      <c r="F10">
        <f t="shared" si="1"/>
        <v>79800</v>
      </c>
      <c r="G10">
        <f t="shared" si="2"/>
        <v>26600</v>
      </c>
      <c r="H10" s="122"/>
      <c r="I10" s="122"/>
      <c r="J10" s="1"/>
      <c r="K10" s="2">
        <f t="shared" si="3"/>
        <v>0</v>
      </c>
    </row>
    <row r="11" spans="1:14">
      <c r="B11" s="139">
        <v>43906</v>
      </c>
      <c r="C11">
        <v>3</v>
      </c>
      <c r="D11" s="123">
        <v>42200</v>
      </c>
      <c r="E11">
        <f t="shared" si="0"/>
        <v>2110</v>
      </c>
      <c r="F11">
        <f t="shared" si="1"/>
        <v>40090</v>
      </c>
      <c r="G11">
        <f t="shared" si="2"/>
        <v>13363.333333333334</v>
      </c>
      <c r="H11" s="122"/>
      <c r="I11" s="122"/>
      <c r="J11" s="1"/>
      <c r="K11" s="2">
        <f t="shared" si="3"/>
        <v>0</v>
      </c>
    </row>
    <row r="12" spans="1:14" ht="15">
      <c r="B12" s="141" t="s">
        <v>459</v>
      </c>
      <c r="C12">
        <v>3</v>
      </c>
      <c r="D12" s="125">
        <f>369857.48-98102</f>
        <v>271755.48</v>
      </c>
      <c r="E12">
        <f>+D12*5%</f>
        <v>13587.773999999999</v>
      </c>
      <c r="F12">
        <f>+D12-E12</f>
        <v>258167.70599999998</v>
      </c>
      <c r="G12">
        <f>+F12/C12</f>
        <v>86055.901999999987</v>
      </c>
      <c r="H12" s="122">
        <v>45292</v>
      </c>
      <c r="I12" s="122">
        <v>45017</v>
      </c>
      <c r="J12" s="1"/>
      <c r="K12" s="2">
        <f>+G12*J12/365</f>
        <v>0</v>
      </c>
    </row>
    <row r="13" spans="1:14">
      <c r="B13" s="124">
        <v>44675</v>
      </c>
      <c r="C13">
        <v>3</v>
      </c>
      <c r="D13">
        <v>96000</v>
      </c>
      <c r="E13">
        <f>D13*5%</f>
        <v>4800</v>
      </c>
      <c r="F13">
        <f>D13-E13</f>
        <v>91200</v>
      </c>
      <c r="G13">
        <f>F13/C13</f>
        <v>30400</v>
      </c>
      <c r="H13" s="122">
        <v>45747</v>
      </c>
      <c r="I13" s="124">
        <v>45383</v>
      </c>
      <c r="J13" s="1">
        <f>H13-I13+1</f>
        <v>365</v>
      </c>
      <c r="K13" s="2">
        <f>+G13*J13/365</f>
        <v>30400</v>
      </c>
      <c r="M13">
        <v>30400</v>
      </c>
      <c r="N13" s="2">
        <f>K13-M13</f>
        <v>0</v>
      </c>
    </row>
    <row r="14" spans="1:14">
      <c r="B14" s="124">
        <v>44755</v>
      </c>
      <c r="C14">
        <v>3</v>
      </c>
      <c r="D14">
        <v>62000</v>
      </c>
      <c r="E14">
        <f t="shared" ref="E14:E21" si="4">D14*5%</f>
        <v>3100</v>
      </c>
      <c r="F14">
        <f t="shared" ref="F14:F34" si="5">D14-E14</f>
        <v>58900</v>
      </c>
      <c r="G14">
        <f t="shared" ref="G14:G21" si="6">F14/C14</f>
        <v>19633.333333333332</v>
      </c>
      <c r="H14" s="122">
        <v>45747</v>
      </c>
      <c r="I14" s="124">
        <v>45383</v>
      </c>
      <c r="J14" s="1">
        <f t="shared" ref="J14:J34" si="7">H14-I14+1</f>
        <v>365</v>
      </c>
      <c r="K14" s="2">
        <f>+G14*J14/365</f>
        <v>19633.333333333332</v>
      </c>
      <c r="M14">
        <v>19633.333333333332</v>
      </c>
      <c r="N14" s="2">
        <f t="shared" ref="N14:N52" si="8">K14-M14</f>
        <v>0</v>
      </c>
    </row>
    <row r="15" spans="1:14">
      <c r="B15" s="124">
        <v>44757</v>
      </c>
      <c r="C15">
        <v>3</v>
      </c>
      <c r="D15">
        <v>80000</v>
      </c>
      <c r="E15">
        <f t="shared" si="4"/>
        <v>4000</v>
      </c>
      <c r="F15">
        <f t="shared" si="5"/>
        <v>76000</v>
      </c>
      <c r="G15">
        <f t="shared" si="6"/>
        <v>25333.333333333332</v>
      </c>
      <c r="H15" s="122">
        <v>45747</v>
      </c>
      <c r="I15" s="124">
        <v>45383</v>
      </c>
      <c r="J15" s="1">
        <f t="shared" si="7"/>
        <v>365</v>
      </c>
      <c r="K15" s="2">
        <f t="shared" ref="K15:K22" si="9">+G15*J15/365</f>
        <v>25333.333333333332</v>
      </c>
      <c r="M15">
        <v>25333.333333333332</v>
      </c>
      <c r="N15" s="2">
        <f t="shared" si="8"/>
        <v>0</v>
      </c>
    </row>
    <row r="16" spans="1:14">
      <c r="B16" s="124">
        <v>44855</v>
      </c>
      <c r="C16">
        <v>3</v>
      </c>
      <c r="D16">
        <v>160000</v>
      </c>
      <c r="E16">
        <f t="shared" si="4"/>
        <v>8000</v>
      </c>
      <c r="F16">
        <f t="shared" si="5"/>
        <v>152000</v>
      </c>
      <c r="G16">
        <f t="shared" si="6"/>
        <v>50666.666666666664</v>
      </c>
      <c r="H16" s="122">
        <v>45747</v>
      </c>
      <c r="I16" s="124">
        <v>45383</v>
      </c>
      <c r="J16" s="1">
        <f t="shared" si="7"/>
        <v>365</v>
      </c>
      <c r="K16" s="2">
        <f t="shared" si="9"/>
        <v>50666.666666666664</v>
      </c>
      <c r="M16">
        <v>50666.666666666664</v>
      </c>
      <c r="N16" s="2">
        <f t="shared" si="8"/>
        <v>0</v>
      </c>
    </row>
    <row r="17" spans="2:14">
      <c r="B17" s="124">
        <v>44872</v>
      </c>
      <c r="C17">
        <v>3</v>
      </c>
      <c r="D17">
        <v>186000</v>
      </c>
      <c r="E17">
        <f t="shared" si="4"/>
        <v>9300</v>
      </c>
      <c r="F17">
        <f t="shared" si="5"/>
        <v>176700</v>
      </c>
      <c r="G17">
        <f t="shared" si="6"/>
        <v>58900</v>
      </c>
      <c r="H17" s="122">
        <v>45747</v>
      </c>
      <c r="I17" s="124">
        <v>45383</v>
      </c>
      <c r="J17" s="1">
        <f t="shared" si="7"/>
        <v>365</v>
      </c>
      <c r="K17" s="2">
        <f t="shared" si="9"/>
        <v>58900</v>
      </c>
      <c r="M17">
        <v>58900</v>
      </c>
      <c r="N17" s="2">
        <f t="shared" si="8"/>
        <v>0</v>
      </c>
    </row>
    <row r="18" spans="2:14">
      <c r="B18" s="124">
        <v>44890</v>
      </c>
      <c r="C18">
        <v>3</v>
      </c>
      <c r="D18">
        <v>65932.039999999994</v>
      </c>
      <c r="E18">
        <f t="shared" si="4"/>
        <v>3296.6019999999999</v>
      </c>
      <c r="F18">
        <f t="shared" si="5"/>
        <v>62635.437999999995</v>
      </c>
      <c r="G18">
        <f t="shared" si="6"/>
        <v>20878.479333333333</v>
      </c>
      <c r="H18" s="122">
        <v>45747</v>
      </c>
      <c r="I18" s="124">
        <v>45383</v>
      </c>
      <c r="J18" s="1">
        <f t="shared" si="7"/>
        <v>365</v>
      </c>
      <c r="K18" s="2">
        <f t="shared" si="9"/>
        <v>20878.479333333333</v>
      </c>
      <c r="M18">
        <v>20878.466666666667</v>
      </c>
      <c r="N18" s="2">
        <f t="shared" si="8"/>
        <v>1.2666666665609227E-2</v>
      </c>
    </row>
    <row r="19" spans="2:14">
      <c r="B19" s="124">
        <v>44575</v>
      </c>
      <c r="C19">
        <v>3</v>
      </c>
      <c r="D19">
        <v>200000</v>
      </c>
      <c r="E19">
        <f t="shared" si="4"/>
        <v>10000</v>
      </c>
      <c r="F19">
        <f t="shared" si="5"/>
        <v>190000</v>
      </c>
      <c r="G19">
        <f>F19/C19</f>
        <v>63333.333333333336</v>
      </c>
      <c r="H19" s="122">
        <v>45747</v>
      </c>
      <c r="I19" s="124">
        <v>45383</v>
      </c>
      <c r="J19" s="1">
        <f t="shared" si="7"/>
        <v>365</v>
      </c>
      <c r="K19" s="2">
        <f t="shared" si="9"/>
        <v>63333.333333333336</v>
      </c>
      <c r="M19">
        <v>63333.333333333336</v>
      </c>
      <c r="N19" s="2">
        <f t="shared" si="8"/>
        <v>0</v>
      </c>
    </row>
    <row r="20" spans="2:14">
      <c r="B20" s="124">
        <v>44985</v>
      </c>
      <c r="C20">
        <v>3</v>
      </c>
      <c r="D20">
        <v>37287.279999999999</v>
      </c>
      <c r="E20">
        <f t="shared" si="4"/>
        <v>1864.364</v>
      </c>
      <c r="F20">
        <f t="shared" si="5"/>
        <v>35422.915999999997</v>
      </c>
      <c r="G20">
        <f t="shared" si="6"/>
        <v>11807.638666666666</v>
      </c>
      <c r="H20" s="122">
        <v>45747</v>
      </c>
      <c r="I20" s="124">
        <v>45383</v>
      </c>
      <c r="J20" s="1">
        <f t="shared" si="7"/>
        <v>365</v>
      </c>
      <c r="K20" s="2">
        <f t="shared" si="9"/>
        <v>11807.638666666666</v>
      </c>
      <c r="M20">
        <v>11807.638666666666</v>
      </c>
      <c r="N20" s="2">
        <f t="shared" si="8"/>
        <v>0</v>
      </c>
    </row>
    <row r="21" spans="2:14">
      <c r="B21" s="124">
        <v>45008</v>
      </c>
      <c r="C21">
        <v>3</v>
      </c>
      <c r="D21">
        <v>169491.44</v>
      </c>
      <c r="E21">
        <f t="shared" si="4"/>
        <v>8474.5720000000001</v>
      </c>
      <c r="F21">
        <f t="shared" si="5"/>
        <v>161016.86800000002</v>
      </c>
      <c r="G21">
        <f t="shared" si="6"/>
        <v>53672.289333333341</v>
      </c>
      <c r="H21" s="122">
        <v>45747</v>
      </c>
      <c r="I21" s="124">
        <v>45383</v>
      </c>
      <c r="J21" s="1">
        <f t="shared" si="7"/>
        <v>365</v>
      </c>
      <c r="K21" s="2">
        <f t="shared" si="9"/>
        <v>53672.289333333341</v>
      </c>
      <c r="M21">
        <v>53672.289333333341</v>
      </c>
      <c r="N21" s="2">
        <f t="shared" si="8"/>
        <v>0</v>
      </c>
    </row>
    <row r="22" spans="2:14">
      <c r="B22" s="124">
        <v>45009</v>
      </c>
      <c r="C22">
        <v>3</v>
      </c>
      <c r="D22">
        <v>16000</v>
      </c>
      <c r="E22">
        <f>D22*5%</f>
        <v>800</v>
      </c>
      <c r="F22">
        <f t="shared" si="5"/>
        <v>15200</v>
      </c>
      <c r="G22">
        <f>F22/C22</f>
        <v>5066.666666666667</v>
      </c>
      <c r="H22" s="122">
        <v>45747</v>
      </c>
      <c r="I22" s="124">
        <v>45383</v>
      </c>
      <c r="J22" s="1">
        <f t="shared" si="7"/>
        <v>365</v>
      </c>
      <c r="K22" s="2">
        <f t="shared" si="9"/>
        <v>5066.666666666667</v>
      </c>
      <c r="M22">
        <v>5066.666666666667</v>
      </c>
      <c r="N22" s="2">
        <f t="shared" si="8"/>
        <v>0</v>
      </c>
    </row>
    <row r="23" spans="2:14">
      <c r="B23" s="122">
        <v>45068</v>
      </c>
      <c r="C23">
        <v>3</v>
      </c>
      <c r="D23" s="138">
        <v>46323.58</v>
      </c>
      <c r="E23">
        <f t="shared" ref="E23:E34" si="10">D23*5%</f>
        <v>2316.1790000000001</v>
      </c>
      <c r="F23">
        <f t="shared" si="5"/>
        <v>44007.400999999998</v>
      </c>
      <c r="G23">
        <f t="shared" ref="G23:G34" si="11">F23/C23</f>
        <v>14669.133666666667</v>
      </c>
      <c r="H23" s="122">
        <v>45747</v>
      </c>
      <c r="I23" s="124">
        <v>45383</v>
      </c>
      <c r="J23" s="1">
        <f t="shared" si="7"/>
        <v>365</v>
      </c>
      <c r="K23" s="2">
        <f>+G23*J23/365</f>
        <v>14669.133666666667</v>
      </c>
      <c r="M23">
        <v>14669.133666666667</v>
      </c>
      <c r="N23" s="2">
        <f t="shared" si="8"/>
        <v>0</v>
      </c>
    </row>
    <row r="24" spans="2:14">
      <c r="B24" s="122">
        <v>45068</v>
      </c>
      <c r="C24">
        <v>3</v>
      </c>
      <c r="D24" s="138">
        <v>43806.81</v>
      </c>
      <c r="E24">
        <f t="shared" si="10"/>
        <v>2190.3404999999998</v>
      </c>
      <c r="F24">
        <f t="shared" si="5"/>
        <v>41616.469499999999</v>
      </c>
      <c r="G24">
        <f t="shared" si="11"/>
        <v>13872.156499999999</v>
      </c>
      <c r="H24" s="122">
        <v>45747</v>
      </c>
      <c r="I24" s="124">
        <v>45383</v>
      </c>
      <c r="J24" s="1">
        <f t="shared" si="7"/>
        <v>365</v>
      </c>
      <c r="K24" s="2">
        <f t="shared" ref="K24:K34" si="12">+G24*J24/365</f>
        <v>13872.156499999999</v>
      </c>
      <c r="M24">
        <v>13872.156499999999</v>
      </c>
      <c r="N24" s="2">
        <f t="shared" si="8"/>
        <v>0</v>
      </c>
    </row>
    <row r="25" spans="2:14">
      <c r="B25" s="122">
        <v>45141</v>
      </c>
      <c r="C25">
        <v>3</v>
      </c>
      <c r="D25" s="138">
        <v>16000</v>
      </c>
      <c r="E25">
        <f t="shared" si="10"/>
        <v>800</v>
      </c>
      <c r="F25">
        <f t="shared" si="5"/>
        <v>15200</v>
      </c>
      <c r="G25">
        <f t="shared" si="11"/>
        <v>5066.666666666667</v>
      </c>
      <c r="H25" s="122">
        <v>45747</v>
      </c>
      <c r="I25" s="124">
        <v>45383</v>
      </c>
      <c r="J25" s="1">
        <f t="shared" si="7"/>
        <v>365</v>
      </c>
      <c r="K25" s="2">
        <f t="shared" si="12"/>
        <v>5066.666666666667</v>
      </c>
      <c r="M25">
        <v>5066.666666666667</v>
      </c>
      <c r="N25" s="2">
        <f t="shared" si="8"/>
        <v>0</v>
      </c>
    </row>
    <row r="26" spans="2:14">
      <c r="B26" s="122">
        <v>45142</v>
      </c>
      <c r="C26">
        <v>3</v>
      </c>
      <c r="D26" s="138">
        <v>309000</v>
      </c>
      <c r="E26">
        <f t="shared" si="10"/>
        <v>15450</v>
      </c>
      <c r="F26">
        <f t="shared" si="5"/>
        <v>293550</v>
      </c>
      <c r="G26">
        <f t="shared" si="11"/>
        <v>97850</v>
      </c>
      <c r="H26" s="122">
        <v>45747</v>
      </c>
      <c r="I26" s="124">
        <v>45383</v>
      </c>
      <c r="J26" s="1">
        <f t="shared" si="7"/>
        <v>365</v>
      </c>
      <c r="K26" s="2">
        <f t="shared" si="12"/>
        <v>97850</v>
      </c>
      <c r="M26">
        <v>97850</v>
      </c>
      <c r="N26" s="2">
        <f t="shared" si="8"/>
        <v>0</v>
      </c>
    </row>
    <row r="27" spans="2:14">
      <c r="B27" s="122">
        <v>45189</v>
      </c>
      <c r="C27">
        <v>3</v>
      </c>
      <c r="D27" s="138">
        <v>54237.279999999999</v>
      </c>
      <c r="E27">
        <f t="shared" si="10"/>
        <v>2711.864</v>
      </c>
      <c r="F27">
        <f t="shared" si="5"/>
        <v>51525.415999999997</v>
      </c>
      <c r="G27">
        <f t="shared" si="11"/>
        <v>17175.138666666666</v>
      </c>
      <c r="H27" s="122">
        <v>45747</v>
      </c>
      <c r="I27" s="124">
        <v>45383</v>
      </c>
      <c r="J27" s="1">
        <f t="shared" si="7"/>
        <v>365</v>
      </c>
      <c r="K27" s="2">
        <f t="shared" si="12"/>
        <v>17175.138666666666</v>
      </c>
      <c r="M27">
        <v>17175.138666666666</v>
      </c>
      <c r="N27" s="2">
        <f t="shared" si="8"/>
        <v>0</v>
      </c>
    </row>
    <row r="28" spans="2:14">
      <c r="B28" s="122">
        <v>45191</v>
      </c>
      <c r="C28">
        <v>3</v>
      </c>
      <c r="D28" s="138">
        <v>206000</v>
      </c>
      <c r="E28">
        <f t="shared" si="10"/>
        <v>10300</v>
      </c>
      <c r="F28">
        <f t="shared" si="5"/>
        <v>195700</v>
      </c>
      <c r="G28">
        <f t="shared" si="11"/>
        <v>65233.333333333336</v>
      </c>
      <c r="H28" s="122">
        <v>45747</v>
      </c>
      <c r="I28" s="124">
        <v>45383</v>
      </c>
      <c r="J28" s="1">
        <f t="shared" si="7"/>
        <v>365</v>
      </c>
      <c r="K28" s="2">
        <f t="shared" si="12"/>
        <v>65233.333333333336</v>
      </c>
      <c r="M28">
        <v>65233.333333333336</v>
      </c>
      <c r="N28" s="2">
        <f t="shared" si="8"/>
        <v>0</v>
      </c>
    </row>
    <row r="29" spans="2:14">
      <c r="B29" s="122">
        <v>45236</v>
      </c>
      <c r="C29">
        <v>3</v>
      </c>
      <c r="D29" s="138">
        <v>10600</v>
      </c>
      <c r="E29">
        <f t="shared" si="10"/>
        <v>530</v>
      </c>
      <c r="F29">
        <f t="shared" si="5"/>
        <v>10070</v>
      </c>
      <c r="G29">
        <f t="shared" si="11"/>
        <v>3356.6666666666665</v>
      </c>
      <c r="H29" s="122">
        <v>45747</v>
      </c>
      <c r="I29" s="124">
        <v>45383</v>
      </c>
      <c r="J29" s="1">
        <f t="shared" si="7"/>
        <v>365</v>
      </c>
      <c r="K29" s="2">
        <f t="shared" si="12"/>
        <v>3356.6666666666665</v>
      </c>
      <c r="M29">
        <v>3356.6666666666665</v>
      </c>
      <c r="N29" s="2">
        <f t="shared" si="8"/>
        <v>0</v>
      </c>
    </row>
    <row r="30" spans="2:14">
      <c r="B30" s="122">
        <v>45257</v>
      </c>
      <c r="C30">
        <v>3</v>
      </c>
      <c r="D30" s="138">
        <v>41949.15</v>
      </c>
      <c r="E30">
        <f t="shared" si="10"/>
        <v>2097.4575</v>
      </c>
      <c r="F30">
        <f t="shared" si="5"/>
        <v>39851.692500000005</v>
      </c>
      <c r="G30">
        <f t="shared" si="11"/>
        <v>13283.897500000001</v>
      </c>
      <c r="H30" s="122">
        <v>45747</v>
      </c>
      <c r="I30" s="124">
        <v>45383</v>
      </c>
      <c r="J30" s="1">
        <f t="shared" si="7"/>
        <v>365</v>
      </c>
      <c r="K30" s="2">
        <f t="shared" si="12"/>
        <v>13283.897500000001</v>
      </c>
      <c r="M30">
        <v>13283.897500000001</v>
      </c>
      <c r="N30" s="2">
        <f t="shared" si="8"/>
        <v>0</v>
      </c>
    </row>
    <row r="31" spans="2:14">
      <c r="B31" s="122">
        <v>45257</v>
      </c>
      <c r="C31">
        <v>3</v>
      </c>
      <c r="D31" s="138">
        <v>47331.68</v>
      </c>
      <c r="E31">
        <f t="shared" si="10"/>
        <v>2366.5840000000003</v>
      </c>
      <c r="F31">
        <f t="shared" si="5"/>
        <v>44965.095999999998</v>
      </c>
      <c r="G31">
        <f t="shared" si="11"/>
        <v>14988.365333333333</v>
      </c>
      <c r="H31" s="122">
        <v>45747</v>
      </c>
      <c r="I31" s="124">
        <v>45383</v>
      </c>
      <c r="J31" s="1">
        <f t="shared" si="7"/>
        <v>365</v>
      </c>
      <c r="K31" s="2">
        <f t="shared" si="12"/>
        <v>14988.365333333333</v>
      </c>
      <c r="M31">
        <v>14988.365333333333</v>
      </c>
      <c r="N31" s="2">
        <f t="shared" si="8"/>
        <v>0</v>
      </c>
    </row>
    <row r="32" spans="2:14">
      <c r="B32" s="122">
        <v>45279</v>
      </c>
      <c r="C32">
        <v>3</v>
      </c>
      <c r="D32" s="138">
        <v>68501.64</v>
      </c>
      <c r="E32">
        <f t="shared" si="10"/>
        <v>3425.0820000000003</v>
      </c>
      <c r="F32">
        <f t="shared" si="5"/>
        <v>65076.557999999997</v>
      </c>
      <c r="G32">
        <f t="shared" si="11"/>
        <v>21692.185999999998</v>
      </c>
      <c r="H32" s="122">
        <v>45747</v>
      </c>
      <c r="I32" s="124">
        <v>45383</v>
      </c>
      <c r="J32" s="1">
        <f t="shared" si="7"/>
        <v>365</v>
      </c>
      <c r="K32" s="2">
        <f t="shared" si="12"/>
        <v>21692.185999999998</v>
      </c>
      <c r="M32">
        <v>21692.185999999998</v>
      </c>
      <c r="N32" s="2">
        <f t="shared" si="8"/>
        <v>0</v>
      </c>
    </row>
    <row r="33" spans="2:14">
      <c r="B33" s="122">
        <v>45313</v>
      </c>
      <c r="C33">
        <v>3</v>
      </c>
      <c r="D33" s="138">
        <v>58722.22</v>
      </c>
      <c r="E33">
        <f t="shared" si="10"/>
        <v>2936.1110000000003</v>
      </c>
      <c r="F33">
        <f t="shared" si="5"/>
        <v>55786.109000000004</v>
      </c>
      <c r="G33">
        <f t="shared" si="11"/>
        <v>18595.369666666669</v>
      </c>
      <c r="H33" s="122">
        <v>45747</v>
      </c>
      <c r="I33" s="124">
        <v>45383</v>
      </c>
      <c r="J33" s="1">
        <f t="shared" si="7"/>
        <v>365</v>
      </c>
      <c r="K33" s="2">
        <f t="shared" si="12"/>
        <v>18595.369666666669</v>
      </c>
      <c r="M33">
        <v>18595.369666666669</v>
      </c>
      <c r="N33" s="2">
        <f t="shared" si="8"/>
        <v>0</v>
      </c>
    </row>
    <row r="34" spans="2:14">
      <c r="B34" s="122">
        <v>45335</v>
      </c>
      <c r="C34">
        <v>3</v>
      </c>
      <c r="D34" s="138">
        <v>32000</v>
      </c>
      <c r="E34">
        <f t="shared" si="10"/>
        <v>1600</v>
      </c>
      <c r="F34">
        <f t="shared" si="5"/>
        <v>30400</v>
      </c>
      <c r="G34">
        <f t="shared" si="11"/>
        <v>10133.333333333334</v>
      </c>
      <c r="H34" s="122">
        <v>45747</v>
      </c>
      <c r="I34" s="124">
        <v>45383</v>
      </c>
      <c r="J34" s="1">
        <f t="shared" si="7"/>
        <v>365</v>
      </c>
      <c r="K34" s="2">
        <f t="shared" si="12"/>
        <v>10133.333333333334</v>
      </c>
      <c r="M34">
        <v>10133.333333333334</v>
      </c>
      <c r="N34" s="2">
        <f t="shared" si="8"/>
        <v>0</v>
      </c>
    </row>
    <row r="35" spans="2:14">
      <c r="B35" s="122">
        <v>45397</v>
      </c>
      <c r="C35">
        <v>3</v>
      </c>
      <c r="D35" s="138">
        <v>51000</v>
      </c>
      <c r="E35">
        <f t="shared" ref="E35:E52" si="13">D35*5%</f>
        <v>2550</v>
      </c>
      <c r="F35">
        <f t="shared" ref="F35:F52" si="14">D35-E35</f>
        <v>48450</v>
      </c>
      <c r="G35">
        <f t="shared" ref="G35:G52" si="15">F35/C35</f>
        <v>16150</v>
      </c>
      <c r="H35" s="122">
        <v>45747</v>
      </c>
      <c r="I35" s="122">
        <v>45397</v>
      </c>
      <c r="J35" s="1">
        <f t="shared" ref="J35:J52" si="16">H35-I35+1</f>
        <v>351</v>
      </c>
      <c r="K35" s="2">
        <f t="shared" ref="K35:K52" si="17">+G35*J35/365</f>
        <v>15530.547945205479</v>
      </c>
      <c r="M35">
        <v>15530.547945205479</v>
      </c>
      <c r="N35" s="2">
        <f t="shared" si="8"/>
        <v>0</v>
      </c>
    </row>
    <row r="36" spans="2:14">
      <c r="B36" s="122">
        <v>45405</v>
      </c>
      <c r="C36">
        <v>3</v>
      </c>
      <c r="D36" s="138">
        <v>136838.91</v>
      </c>
      <c r="E36">
        <f t="shared" si="13"/>
        <v>6841.9455000000007</v>
      </c>
      <c r="F36">
        <f t="shared" si="14"/>
        <v>129996.9645</v>
      </c>
      <c r="G36">
        <f t="shared" si="15"/>
        <v>43332.321499999998</v>
      </c>
      <c r="H36" s="122">
        <v>45747</v>
      </c>
      <c r="I36" s="122">
        <v>45405</v>
      </c>
      <c r="J36" s="1">
        <f t="shared" si="16"/>
        <v>343</v>
      </c>
      <c r="K36" s="2">
        <f t="shared" si="17"/>
        <v>40720.510341095891</v>
      </c>
      <c r="M36">
        <v>40720.510341095891</v>
      </c>
      <c r="N36" s="2">
        <f t="shared" si="8"/>
        <v>0</v>
      </c>
    </row>
    <row r="37" spans="2:14">
      <c r="B37" s="122">
        <v>45405</v>
      </c>
      <c r="C37">
        <v>3</v>
      </c>
      <c r="D37" s="138">
        <v>26000</v>
      </c>
      <c r="E37">
        <f t="shared" si="13"/>
        <v>1300</v>
      </c>
      <c r="F37">
        <f t="shared" si="14"/>
        <v>24700</v>
      </c>
      <c r="G37">
        <f t="shared" si="15"/>
        <v>8233.3333333333339</v>
      </c>
      <c r="H37" s="122">
        <v>45747</v>
      </c>
      <c r="I37" s="122">
        <v>45405</v>
      </c>
      <c r="J37" s="1">
        <f t="shared" si="16"/>
        <v>343</v>
      </c>
      <c r="K37" s="2">
        <f t="shared" si="17"/>
        <v>7737.0776255707769</v>
      </c>
      <c r="M37">
        <v>7737.0776255707769</v>
      </c>
      <c r="N37" s="2">
        <f t="shared" si="8"/>
        <v>0</v>
      </c>
    </row>
    <row r="38" spans="2:14">
      <c r="B38" s="122">
        <v>45427</v>
      </c>
      <c r="C38">
        <v>3</v>
      </c>
      <c r="D38" s="138">
        <v>82204</v>
      </c>
      <c r="E38">
        <f t="shared" si="13"/>
        <v>4110.2</v>
      </c>
      <c r="F38">
        <f t="shared" si="14"/>
        <v>78093.8</v>
      </c>
      <c r="G38">
        <f t="shared" si="15"/>
        <v>26031.266666666666</v>
      </c>
      <c r="H38" s="122">
        <v>45747</v>
      </c>
      <c r="I38" s="122">
        <v>45427</v>
      </c>
      <c r="J38" s="1">
        <f t="shared" si="16"/>
        <v>321</v>
      </c>
      <c r="K38" s="2">
        <f t="shared" si="17"/>
        <v>22893.250958904107</v>
      </c>
      <c r="M38">
        <v>22893.250958904107</v>
      </c>
      <c r="N38" s="2">
        <f t="shared" si="8"/>
        <v>0</v>
      </c>
    </row>
    <row r="39" spans="2:14">
      <c r="B39" s="122">
        <v>45457</v>
      </c>
      <c r="C39">
        <v>3</v>
      </c>
      <c r="D39" s="138">
        <v>580000</v>
      </c>
      <c r="E39">
        <f t="shared" si="13"/>
        <v>29000</v>
      </c>
      <c r="F39">
        <f t="shared" si="14"/>
        <v>551000</v>
      </c>
      <c r="G39">
        <f t="shared" si="15"/>
        <v>183666.66666666666</v>
      </c>
      <c r="H39" s="122">
        <v>45747</v>
      </c>
      <c r="I39" s="122">
        <v>45457</v>
      </c>
      <c r="J39" s="1">
        <f t="shared" si="16"/>
        <v>291</v>
      </c>
      <c r="K39" s="2">
        <f t="shared" si="17"/>
        <v>146430.13698630137</v>
      </c>
      <c r="M39">
        <v>146430.13698630137</v>
      </c>
      <c r="N39" s="2">
        <f t="shared" si="8"/>
        <v>0</v>
      </c>
    </row>
    <row r="40" spans="2:14">
      <c r="B40" s="122">
        <v>45462</v>
      </c>
      <c r="C40">
        <v>3</v>
      </c>
      <c r="D40" s="138">
        <v>40669.51</v>
      </c>
      <c r="E40">
        <f t="shared" si="13"/>
        <v>2033.4755000000002</v>
      </c>
      <c r="F40">
        <f t="shared" si="14"/>
        <v>38636.034500000002</v>
      </c>
      <c r="G40">
        <f t="shared" si="15"/>
        <v>12878.678166666667</v>
      </c>
      <c r="H40" s="122">
        <v>45747</v>
      </c>
      <c r="I40" s="122">
        <v>45462</v>
      </c>
      <c r="J40" s="1">
        <f t="shared" si="16"/>
        <v>286</v>
      </c>
      <c r="K40" s="2">
        <f t="shared" si="17"/>
        <v>10091.238234703196</v>
      </c>
      <c r="M40">
        <v>10091.238234703196</v>
      </c>
      <c r="N40" s="2">
        <f t="shared" si="8"/>
        <v>0</v>
      </c>
    </row>
    <row r="41" spans="2:14">
      <c r="B41" s="122">
        <v>45481</v>
      </c>
      <c r="C41">
        <v>3</v>
      </c>
      <c r="D41" s="138">
        <v>11600</v>
      </c>
      <c r="E41">
        <f t="shared" si="13"/>
        <v>580</v>
      </c>
      <c r="F41">
        <f t="shared" si="14"/>
        <v>11020</v>
      </c>
      <c r="G41">
        <f t="shared" si="15"/>
        <v>3673.3333333333335</v>
      </c>
      <c r="H41" s="122">
        <v>45747</v>
      </c>
      <c r="I41" s="122">
        <v>45481</v>
      </c>
      <c r="J41" s="1">
        <f t="shared" si="16"/>
        <v>267</v>
      </c>
      <c r="K41" s="2">
        <f t="shared" si="17"/>
        <v>2687.0684931506848</v>
      </c>
      <c r="M41">
        <v>2687.0684931506848</v>
      </c>
      <c r="N41" s="2">
        <f t="shared" si="8"/>
        <v>0</v>
      </c>
    </row>
    <row r="42" spans="2:14">
      <c r="B42" s="122">
        <v>45489</v>
      </c>
      <c r="C42">
        <v>3</v>
      </c>
      <c r="D42" s="138">
        <v>104000</v>
      </c>
      <c r="E42">
        <f t="shared" si="13"/>
        <v>5200</v>
      </c>
      <c r="F42">
        <f t="shared" si="14"/>
        <v>98800</v>
      </c>
      <c r="G42">
        <f t="shared" si="15"/>
        <v>32933.333333333336</v>
      </c>
      <c r="H42" s="122">
        <v>45747</v>
      </c>
      <c r="I42" s="122">
        <v>45489</v>
      </c>
      <c r="J42" s="1">
        <f t="shared" si="16"/>
        <v>259</v>
      </c>
      <c r="K42" s="2">
        <f t="shared" si="17"/>
        <v>23369.132420091326</v>
      </c>
      <c r="M42">
        <v>23369.132420091326</v>
      </c>
      <c r="N42" s="2">
        <f t="shared" si="8"/>
        <v>0</v>
      </c>
    </row>
    <row r="43" spans="2:14">
      <c r="B43" s="122">
        <v>45562</v>
      </c>
      <c r="C43">
        <v>3</v>
      </c>
      <c r="D43" s="138">
        <v>17850</v>
      </c>
      <c r="E43">
        <f t="shared" si="13"/>
        <v>892.5</v>
      </c>
      <c r="F43">
        <f t="shared" si="14"/>
        <v>16957.5</v>
      </c>
      <c r="G43">
        <f t="shared" si="15"/>
        <v>5652.5</v>
      </c>
      <c r="H43" s="122">
        <v>45747</v>
      </c>
      <c r="I43" s="122">
        <v>45562</v>
      </c>
      <c r="J43" s="1">
        <f t="shared" si="16"/>
        <v>186</v>
      </c>
      <c r="K43" s="2">
        <f t="shared" si="17"/>
        <v>2880.4520547945203</v>
      </c>
      <c r="M43">
        <v>2880.4520547945203</v>
      </c>
      <c r="N43" s="2">
        <f t="shared" si="8"/>
        <v>0</v>
      </c>
    </row>
    <row r="44" spans="2:14">
      <c r="B44" s="122">
        <v>45562</v>
      </c>
      <c r="C44">
        <v>3</v>
      </c>
      <c r="D44" s="138">
        <v>52500</v>
      </c>
      <c r="E44">
        <f t="shared" si="13"/>
        <v>2625</v>
      </c>
      <c r="F44">
        <f t="shared" si="14"/>
        <v>49875</v>
      </c>
      <c r="G44">
        <f t="shared" si="15"/>
        <v>16625</v>
      </c>
      <c r="H44" s="122">
        <v>45747</v>
      </c>
      <c r="I44" s="122">
        <v>45562</v>
      </c>
      <c r="J44" s="1">
        <f t="shared" si="16"/>
        <v>186</v>
      </c>
      <c r="K44" s="2">
        <f t="shared" si="17"/>
        <v>8471.9178082191775</v>
      </c>
      <c r="M44">
        <v>8471.9178082191775</v>
      </c>
      <c r="N44" s="2">
        <f t="shared" si="8"/>
        <v>0</v>
      </c>
    </row>
    <row r="45" spans="2:14">
      <c r="B45" s="122">
        <v>45581</v>
      </c>
      <c r="C45">
        <v>3</v>
      </c>
      <c r="D45" s="138">
        <v>58050.84</v>
      </c>
      <c r="E45">
        <f t="shared" si="13"/>
        <v>2902.5419999999999</v>
      </c>
      <c r="F45">
        <f t="shared" si="14"/>
        <v>55148.297999999995</v>
      </c>
      <c r="G45">
        <f t="shared" si="15"/>
        <v>18382.766</v>
      </c>
      <c r="H45" s="122">
        <v>45747</v>
      </c>
      <c r="I45" s="122">
        <v>45581</v>
      </c>
      <c r="J45" s="1">
        <f t="shared" si="16"/>
        <v>167</v>
      </c>
      <c r="K45" s="2">
        <f t="shared" si="17"/>
        <v>8410.7449917808208</v>
      </c>
      <c r="M45">
        <v>8410.7449917808208</v>
      </c>
      <c r="N45" s="2">
        <f t="shared" si="8"/>
        <v>0</v>
      </c>
    </row>
    <row r="46" spans="2:14">
      <c r="B46" s="122">
        <v>45597</v>
      </c>
      <c r="C46">
        <v>3</v>
      </c>
      <c r="D46" s="138">
        <v>85500</v>
      </c>
      <c r="E46">
        <f t="shared" si="13"/>
        <v>4275</v>
      </c>
      <c r="F46">
        <f t="shared" si="14"/>
        <v>81225</v>
      </c>
      <c r="G46">
        <f t="shared" si="15"/>
        <v>27075</v>
      </c>
      <c r="H46" s="122">
        <v>45747</v>
      </c>
      <c r="I46" s="122">
        <v>45597</v>
      </c>
      <c r="J46" s="1">
        <f t="shared" si="16"/>
        <v>151</v>
      </c>
      <c r="K46" s="2">
        <f t="shared" si="17"/>
        <v>11200.890410958904</v>
      </c>
      <c r="M46">
        <v>11200.890410958904</v>
      </c>
      <c r="N46" s="2">
        <f t="shared" si="8"/>
        <v>0</v>
      </c>
    </row>
    <row r="47" spans="2:14">
      <c r="B47" s="122">
        <v>45624</v>
      </c>
      <c r="C47">
        <v>3</v>
      </c>
      <c r="D47" s="138">
        <v>49000</v>
      </c>
      <c r="E47">
        <f t="shared" si="13"/>
        <v>2450</v>
      </c>
      <c r="F47">
        <f t="shared" si="14"/>
        <v>46550</v>
      </c>
      <c r="G47">
        <f t="shared" si="15"/>
        <v>15516.666666666666</v>
      </c>
      <c r="H47" s="122">
        <v>45747</v>
      </c>
      <c r="I47" s="122">
        <v>45624</v>
      </c>
      <c r="J47" s="1">
        <f t="shared" si="16"/>
        <v>124</v>
      </c>
      <c r="K47" s="2">
        <f t="shared" si="17"/>
        <v>5271.4155251141547</v>
      </c>
      <c r="M47">
        <v>5271.4155251141547</v>
      </c>
      <c r="N47" s="2">
        <f t="shared" si="8"/>
        <v>0</v>
      </c>
    </row>
    <row r="48" spans="2:14">
      <c r="B48" s="122">
        <v>45666</v>
      </c>
      <c r="C48">
        <v>3</v>
      </c>
      <c r="D48" s="138">
        <v>85000</v>
      </c>
      <c r="E48">
        <f t="shared" si="13"/>
        <v>4250</v>
      </c>
      <c r="F48">
        <f t="shared" si="14"/>
        <v>80750</v>
      </c>
      <c r="G48">
        <f t="shared" si="15"/>
        <v>26916.666666666668</v>
      </c>
      <c r="H48" s="122">
        <v>45747</v>
      </c>
      <c r="I48" s="122">
        <v>45666</v>
      </c>
      <c r="J48" s="1">
        <f t="shared" si="16"/>
        <v>82</v>
      </c>
      <c r="K48" s="2">
        <f t="shared" si="17"/>
        <v>6047.0319634703201</v>
      </c>
      <c r="M48">
        <v>6047.0319634703201</v>
      </c>
      <c r="N48" s="2">
        <f t="shared" si="8"/>
        <v>0</v>
      </c>
    </row>
    <row r="49" spans="1:14">
      <c r="B49" s="122">
        <v>45686</v>
      </c>
      <c r="C49">
        <v>3</v>
      </c>
      <c r="D49" s="138">
        <v>450500</v>
      </c>
      <c r="E49">
        <f t="shared" si="13"/>
        <v>22525</v>
      </c>
      <c r="F49">
        <f t="shared" si="14"/>
        <v>427975</v>
      </c>
      <c r="G49">
        <f t="shared" si="15"/>
        <v>142658.33333333334</v>
      </c>
      <c r="H49" s="122">
        <v>45747</v>
      </c>
      <c r="I49" s="122">
        <v>45686</v>
      </c>
      <c r="J49" s="1">
        <f t="shared" si="16"/>
        <v>62</v>
      </c>
      <c r="K49" s="2">
        <f t="shared" si="17"/>
        <v>24232.374429223746</v>
      </c>
      <c r="M49">
        <v>24232.374429223746</v>
      </c>
      <c r="N49" s="2">
        <f t="shared" si="8"/>
        <v>0</v>
      </c>
    </row>
    <row r="50" spans="1:14">
      <c r="B50" s="122">
        <v>45698</v>
      </c>
      <c r="C50">
        <v>3</v>
      </c>
      <c r="D50" s="138">
        <v>49500</v>
      </c>
      <c r="E50">
        <f t="shared" si="13"/>
        <v>2475</v>
      </c>
      <c r="F50">
        <f t="shared" si="14"/>
        <v>47025</v>
      </c>
      <c r="G50">
        <f t="shared" si="15"/>
        <v>15675</v>
      </c>
      <c r="H50" s="122">
        <v>45747</v>
      </c>
      <c r="I50" s="122">
        <v>45698</v>
      </c>
      <c r="J50" s="1">
        <f t="shared" si="16"/>
        <v>50</v>
      </c>
      <c r="K50" s="2">
        <f t="shared" si="17"/>
        <v>2147.2602739726026</v>
      </c>
      <c r="M50">
        <v>2147.2602739726026</v>
      </c>
      <c r="N50" s="2">
        <f t="shared" si="8"/>
        <v>0</v>
      </c>
    </row>
    <row r="51" spans="1:14">
      <c r="B51" s="122">
        <v>45701</v>
      </c>
      <c r="C51">
        <v>3</v>
      </c>
      <c r="D51" s="138">
        <v>53000</v>
      </c>
      <c r="E51">
        <f t="shared" si="13"/>
        <v>2650</v>
      </c>
      <c r="F51">
        <f t="shared" si="14"/>
        <v>50350</v>
      </c>
      <c r="G51">
        <f t="shared" si="15"/>
        <v>16783.333333333332</v>
      </c>
      <c r="H51" s="122">
        <v>45747</v>
      </c>
      <c r="I51" s="122">
        <v>45701</v>
      </c>
      <c r="J51" s="1">
        <f t="shared" si="16"/>
        <v>47</v>
      </c>
      <c r="K51" s="2">
        <f t="shared" si="17"/>
        <v>2161.1415525114153</v>
      </c>
      <c r="M51">
        <v>2161.1415525114153</v>
      </c>
      <c r="N51" s="2">
        <f t="shared" si="8"/>
        <v>0</v>
      </c>
    </row>
    <row r="52" spans="1:14">
      <c r="B52" s="122">
        <v>45711</v>
      </c>
      <c r="C52">
        <v>3</v>
      </c>
      <c r="D52" s="138">
        <v>81000</v>
      </c>
      <c r="E52">
        <f t="shared" si="13"/>
        <v>4050</v>
      </c>
      <c r="F52">
        <f t="shared" si="14"/>
        <v>76950</v>
      </c>
      <c r="G52">
        <f t="shared" si="15"/>
        <v>25650</v>
      </c>
      <c r="H52" s="122">
        <v>45747</v>
      </c>
      <c r="I52" s="122">
        <v>45711</v>
      </c>
      <c r="J52" s="1">
        <f t="shared" si="16"/>
        <v>37</v>
      </c>
      <c r="K52" s="2">
        <f t="shared" si="17"/>
        <v>2600.1369863013697</v>
      </c>
      <c r="M52">
        <v>2600.1369863013697</v>
      </c>
      <c r="N52" s="2">
        <f t="shared" si="8"/>
        <v>0</v>
      </c>
    </row>
    <row r="53" spans="1:14" ht="15">
      <c r="B53" s="122"/>
      <c r="D53" s="120">
        <f>SUM(D5:D52)</f>
        <v>4563131.5200000005</v>
      </c>
      <c r="G53" s="142">
        <f>SUM(G5:G52)</f>
        <v>1444991.6480000003</v>
      </c>
      <c r="H53" s="122"/>
      <c r="I53" s="122"/>
      <c r="J53" s="1"/>
      <c r="K53" s="126">
        <f>SUM(K5:K52)</f>
        <v>978490.31700137001</v>
      </c>
      <c r="L53" s="126"/>
      <c r="M53" s="126">
        <f t="shared" ref="M53:N53" si="18">SUM(M5:M52)</f>
        <v>978490.30433470337</v>
      </c>
      <c r="N53" s="126">
        <f t="shared" si="18"/>
        <v>1.2666666665609227E-2</v>
      </c>
    </row>
    <row r="54" spans="1:14" ht="15">
      <c r="B54" s="122"/>
      <c r="D54" s="120"/>
      <c r="H54" s="122"/>
      <c r="I54" s="122"/>
      <c r="J54" s="1"/>
      <c r="K54" s="126"/>
    </row>
    <row r="55" spans="1:14">
      <c r="A55" s="142" t="s">
        <v>460</v>
      </c>
      <c r="H55" s="122"/>
      <c r="I55" s="122"/>
      <c r="J55" s="1"/>
      <c r="K55" s="2"/>
    </row>
    <row r="56" spans="1:14">
      <c r="B56" s="122">
        <v>43811</v>
      </c>
      <c r="C56">
        <v>10</v>
      </c>
      <c r="D56">
        <v>11957.62</v>
      </c>
      <c r="E56">
        <f>+D56*5%</f>
        <v>597.88100000000009</v>
      </c>
      <c r="F56">
        <f>+D56-E56</f>
        <v>11359.739000000001</v>
      </c>
      <c r="G56">
        <f>+F56/C56</f>
        <v>1135.9739000000002</v>
      </c>
      <c r="H56" s="122">
        <v>45747</v>
      </c>
      <c r="I56" s="124">
        <v>45383</v>
      </c>
      <c r="J56" s="1">
        <f t="shared" ref="J56:J70" si="19">H56-I56+1</f>
        <v>365</v>
      </c>
      <c r="K56" s="2">
        <f>+G56*J56/365</f>
        <v>1135.9739000000002</v>
      </c>
      <c r="M56" s="2">
        <v>1135.9739000000002</v>
      </c>
      <c r="N56" s="1">
        <f>K56-M56</f>
        <v>0</v>
      </c>
    </row>
    <row r="57" spans="1:14">
      <c r="B57" s="122">
        <v>44211</v>
      </c>
      <c r="C57">
        <v>10</v>
      </c>
      <c r="D57">
        <v>8000</v>
      </c>
      <c r="E57">
        <f>+D57*5%</f>
        <v>400</v>
      </c>
      <c r="F57">
        <f>+D57-E57</f>
        <v>7600</v>
      </c>
      <c r="G57">
        <f t="shared" ref="G57:G69" si="20">+F57/C57</f>
        <v>760</v>
      </c>
      <c r="H57" s="122">
        <v>45747</v>
      </c>
      <c r="I57" s="124">
        <v>45383</v>
      </c>
      <c r="J57" s="1">
        <f t="shared" si="19"/>
        <v>365</v>
      </c>
      <c r="K57" s="2">
        <f t="shared" ref="K57:K70" si="21">+G57*J57/365</f>
        <v>760</v>
      </c>
      <c r="M57" s="2">
        <v>760</v>
      </c>
      <c r="N57" s="1">
        <f>K57-M57</f>
        <v>0</v>
      </c>
    </row>
    <row r="58" spans="1:14">
      <c r="B58" s="124">
        <v>44562</v>
      </c>
      <c r="C58">
        <v>10</v>
      </c>
      <c r="D58">
        <v>184674.77</v>
      </c>
      <c r="E58">
        <v>9233.7384999999995</v>
      </c>
      <c r="F58">
        <v>175441.03149999998</v>
      </c>
      <c r="G58">
        <f t="shared" si="20"/>
        <v>17544.103149999999</v>
      </c>
      <c r="H58" s="122">
        <v>45747</v>
      </c>
      <c r="I58" s="124">
        <v>45383</v>
      </c>
      <c r="J58" s="1">
        <f t="shared" si="19"/>
        <v>365</v>
      </c>
      <c r="K58" s="2">
        <f t="shared" si="21"/>
        <v>17544.103149999999</v>
      </c>
      <c r="M58" s="2">
        <v>17544</v>
      </c>
      <c r="N58" s="1">
        <f t="shared" ref="N58:N82" si="22">K58-M58</f>
        <v>0.10314999999900465</v>
      </c>
    </row>
    <row r="59" spans="1:14">
      <c r="B59" s="124">
        <v>44855</v>
      </c>
      <c r="C59">
        <v>10</v>
      </c>
      <c r="D59">
        <v>61250</v>
      </c>
      <c r="E59">
        <f>D59*5%</f>
        <v>3062.5</v>
      </c>
      <c r="F59">
        <f>D59-E59</f>
        <v>58187.5</v>
      </c>
      <c r="G59">
        <f t="shared" si="20"/>
        <v>5818.75</v>
      </c>
      <c r="H59" s="122">
        <v>45747</v>
      </c>
      <c r="I59" s="124">
        <v>45383</v>
      </c>
      <c r="J59" s="1">
        <f t="shared" si="19"/>
        <v>365</v>
      </c>
      <c r="K59" s="2">
        <f t="shared" si="21"/>
        <v>5818.75</v>
      </c>
      <c r="M59" s="2">
        <v>5818.75</v>
      </c>
      <c r="N59" s="1">
        <f t="shared" si="22"/>
        <v>0</v>
      </c>
    </row>
    <row r="60" spans="1:14">
      <c r="B60" s="124">
        <v>44859</v>
      </c>
      <c r="C60">
        <v>10</v>
      </c>
      <c r="D60">
        <v>61250</v>
      </c>
      <c r="E60">
        <f t="shared" ref="E60:E69" si="23">D60*5%</f>
        <v>3062.5</v>
      </c>
      <c r="F60">
        <f t="shared" ref="F60:F69" si="24">D60-E60</f>
        <v>58187.5</v>
      </c>
      <c r="G60">
        <f t="shared" si="20"/>
        <v>5818.75</v>
      </c>
      <c r="H60" s="122">
        <v>45747</v>
      </c>
      <c r="I60" s="124">
        <v>45383</v>
      </c>
      <c r="J60" s="1">
        <f t="shared" si="19"/>
        <v>365</v>
      </c>
      <c r="K60" s="2">
        <f t="shared" si="21"/>
        <v>5818.75</v>
      </c>
      <c r="M60" s="2">
        <v>5818.75</v>
      </c>
      <c r="N60" s="1">
        <f t="shared" si="22"/>
        <v>0</v>
      </c>
    </row>
    <row r="61" spans="1:14">
      <c r="B61" s="124">
        <v>44882</v>
      </c>
      <c r="C61">
        <v>10</v>
      </c>
      <c r="D61">
        <v>63590</v>
      </c>
      <c r="E61">
        <f t="shared" si="23"/>
        <v>3179.5</v>
      </c>
      <c r="F61">
        <f t="shared" si="24"/>
        <v>60410.5</v>
      </c>
      <c r="G61">
        <f t="shared" si="20"/>
        <v>6041.05</v>
      </c>
      <c r="H61" s="122">
        <v>45747</v>
      </c>
      <c r="I61" s="124">
        <v>45383</v>
      </c>
      <c r="J61" s="1">
        <f t="shared" si="19"/>
        <v>365</v>
      </c>
      <c r="K61" s="2">
        <f t="shared" si="21"/>
        <v>6041.05</v>
      </c>
      <c r="M61" s="2">
        <v>6041.05</v>
      </c>
      <c r="N61" s="1">
        <f t="shared" si="22"/>
        <v>0</v>
      </c>
    </row>
    <row r="62" spans="1:14">
      <c r="B62" s="124">
        <v>44894</v>
      </c>
      <c r="C62">
        <v>10</v>
      </c>
      <c r="D62">
        <v>73500</v>
      </c>
      <c r="E62">
        <f t="shared" si="23"/>
        <v>3675</v>
      </c>
      <c r="F62">
        <f t="shared" si="24"/>
        <v>69825</v>
      </c>
      <c r="G62">
        <f t="shared" si="20"/>
        <v>6982.5</v>
      </c>
      <c r="H62" s="122">
        <v>45747</v>
      </c>
      <c r="I62" s="124">
        <v>45383</v>
      </c>
      <c r="J62" s="1">
        <f t="shared" si="19"/>
        <v>365</v>
      </c>
      <c r="K62" s="2">
        <f t="shared" si="21"/>
        <v>6982.5</v>
      </c>
      <c r="M62" s="2">
        <v>6982.5</v>
      </c>
      <c r="N62" s="1">
        <f t="shared" si="22"/>
        <v>0</v>
      </c>
    </row>
    <row r="63" spans="1:14">
      <c r="B63" s="124">
        <v>44894</v>
      </c>
      <c r="C63">
        <v>10</v>
      </c>
      <c r="D63">
        <v>12250</v>
      </c>
      <c r="E63">
        <f t="shared" si="23"/>
        <v>612.5</v>
      </c>
      <c r="F63">
        <f t="shared" si="24"/>
        <v>11637.5</v>
      </c>
      <c r="G63">
        <f t="shared" si="20"/>
        <v>1163.75</v>
      </c>
      <c r="H63" s="122">
        <v>45747</v>
      </c>
      <c r="I63" s="124">
        <v>45383</v>
      </c>
      <c r="J63" s="1">
        <f t="shared" si="19"/>
        <v>365</v>
      </c>
      <c r="K63" s="2">
        <f t="shared" si="21"/>
        <v>1163.75</v>
      </c>
      <c r="M63" s="2">
        <v>1163.75</v>
      </c>
      <c r="N63" s="1">
        <f t="shared" si="22"/>
        <v>0</v>
      </c>
    </row>
    <row r="64" spans="1:14">
      <c r="B64" s="124">
        <v>44917</v>
      </c>
      <c r="C64">
        <v>10</v>
      </c>
      <c r="D64">
        <v>19600</v>
      </c>
      <c r="E64">
        <f t="shared" si="23"/>
        <v>980</v>
      </c>
      <c r="F64">
        <f t="shared" si="24"/>
        <v>18620</v>
      </c>
      <c r="G64">
        <f t="shared" si="20"/>
        <v>1862</v>
      </c>
      <c r="H64" s="122">
        <v>45747</v>
      </c>
      <c r="I64" s="124">
        <v>45383</v>
      </c>
      <c r="J64" s="1">
        <f t="shared" si="19"/>
        <v>365</v>
      </c>
      <c r="K64" s="2">
        <f t="shared" si="21"/>
        <v>1862</v>
      </c>
      <c r="M64" s="2">
        <v>1862</v>
      </c>
      <c r="N64" s="1">
        <f t="shared" si="22"/>
        <v>0</v>
      </c>
    </row>
    <row r="65" spans="2:14">
      <c r="B65" s="124">
        <v>44923</v>
      </c>
      <c r="C65">
        <v>10</v>
      </c>
      <c r="D65">
        <v>8177.98</v>
      </c>
      <c r="E65">
        <f t="shared" si="23"/>
        <v>408.899</v>
      </c>
      <c r="F65">
        <f t="shared" si="24"/>
        <v>7769.0809999999992</v>
      </c>
      <c r="G65">
        <f t="shared" si="20"/>
        <v>776.90809999999988</v>
      </c>
      <c r="H65" s="122">
        <v>45747</v>
      </c>
      <c r="I65" s="124">
        <v>45383</v>
      </c>
      <c r="J65" s="1">
        <f t="shared" si="19"/>
        <v>365</v>
      </c>
      <c r="K65" s="2">
        <f t="shared" si="21"/>
        <v>776.90809999999988</v>
      </c>
      <c r="M65" s="2">
        <v>776.90809999999988</v>
      </c>
      <c r="N65" s="1">
        <f t="shared" si="22"/>
        <v>0</v>
      </c>
    </row>
    <row r="66" spans="2:14">
      <c r="B66" s="124">
        <v>44932</v>
      </c>
      <c r="C66">
        <v>10</v>
      </c>
      <c r="D66">
        <v>25780.46</v>
      </c>
      <c r="E66">
        <f t="shared" si="23"/>
        <v>1289.0230000000001</v>
      </c>
      <c r="F66">
        <f t="shared" si="24"/>
        <v>24491.436999999998</v>
      </c>
      <c r="G66">
        <f t="shared" si="20"/>
        <v>2449.1436999999996</v>
      </c>
      <c r="H66" s="122">
        <v>45747</v>
      </c>
      <c r="I66" s="124">
        <v>45383</v>
      </c>
      <c r="J66" s="1">
        <f t="shared" si="19"/>
        <v>365</v>
      </c>
      <c r="K66" s="2">
        <f t="shared" si="21"/>
        <v>2449.1436999999996</v>
      </c>
      <c r="M66" s="2">
        <v>2449.1436999999996</v>
      </c>
      <c r="N66" s="1">
        <f t="shared" si="22"/>
        <v>0</v>
      </c>
    </row>
    <row r="67" spans="2:14">
      <c r="B67" s="124">
        <v>44957</v>
      </c>
      <c r="C67">
        <v>10</v>
      </c>
      <c r="D67">
        <v>7033.9</v>
      </c>
      <c r="E67">
        <f t="shared" si="23"/>
        <v>351.69499999999999</v>
      </c>
      <c r="F67">
        <f t="shared" si="24"/>
        <v>6682.2049999999999</v>
      </c>
      <c r="G67">
        <f t="shared" si="20"/>
        <v>668.22050000000002</v>
      </c>
      <c r="H67" s="122">
        <v>45747</v>
      </c>
      <c r="I67" s="124">
        <v>45383</v>
      </c>
      <c r="J67" s="1">
        <f t="shared" si="19"/>
        <v>365</v>
      </c>
      <c r="K67" s="2">
        <f t="shared" si="21"/>
        <v>668.22050000000002</v>
      </c>
      <c r="M67" s="2">
        <v>668.22050000000002</v>
      </c>
      <c r="N67" s="1">
        <f t="shared" si="22"/>
        <v>0</v>
      </c>
    </row>
    <row r="68" spans="2:14">
      <c r="B68" s="124">
        <v>44960</v>
      </c>
      <c r="C68">
        <v>10</v>
      </c>
      <c r="D68">
        <v>22050</v>
      </c>
      <c r="E68">
        <f t="shared" si="23"/>
        <v>1102.5</v>
      </c>
      <c r="F68">
        <f t="shared" si="24"/>
        <v>20947.5</v>
      </c>
      <c r="G68">
        <f t="shared" si="20"/>
        <v>2094.75</v>
      </c>
      <c r="H68" s="122">
        <v>45747</v>
      </c>
      <c r="I68" s="124">
        <v>45383</v>
      </c>
      <c r="J68" s="1">
        <f t="shared" si="19"/>
        <v>365</v>
      </c>
      <c r="K68" s="2">
        <f t="shared" si="21"/>
        <v>2094.75</v>
      </c>
      <c r="M68" s="2">
        <v>2094.75</v>
      </c>
      <c r="N68" s="1">
        <f t="shared" si="22"/>
        <v>0</v>
      </c>
    </row>
    <row r="69" spans="2:14">
      <c r="B69" s="124">
        <v>44996</v>
      </c>
      <c r="C69">
        <v>10</v>
      </c>
      <c r="D69">
        <v>14000</v>
      </c>
      <c r="E69">
        <f t="shared" si="23"/>
        <v>700</v>
      </c>
      <c r="F69">
        <f t="shared" si="24"/>
        <v>13300</v>
      </c>
      <c r="G69">
        <f t="shared" si="20"/>
        <v>1330</v>
      </c>
      <c r="H69" s="122">
        <v>45747</v>
      </c>
      <c r="I69" s="124">
        <v>45383</v>
      </c>
      <c r="J69" s="1">
        <f t="shared" si="19"/>
        <v>365</v>
      </c>
      <c r="K69" s="2">
        <f t="shared" si="21"/>
        <v>1330</v>
      </c>
      <c r="M69" s="2">
        <v>1330</v>
      </c>
      <c r="N69" s="1">
        <f t="shared" si="22"/>
        <v>0</v>
      </c>
    </row>
    <row r="70" spans="2:14">
      <c r="B70" s="124">
        <v>45006</v>
      </c>
      <c r="C70">
        <v>10</v>
      </c>
      <c r="D70">
        <v>8600</v>
      </c>
      <c r="E70">
        <f>D70*5%</f>
        <v>430</v>
      </c>
      <c r="F70" s="2">
        <f>D70-E70</f>
        <v>8170</v>
      </c>
      <c r="G70" s="2">
        <f>+F70/C70</f>
        <v>817</v>
      </c>
      <c r="H70" s="122">
        <v>45747</v>
      </c>
      <c r="I70" s="124">
        <v>45383</v>
      </c>
      <c r="J70" s="1">
        <f t="shared" si="19"/>
        <v>365</v>
      </c>
      <c r="K70" s="2">
        <f t="shared" si="21"/>
        <v>817</v>
      </c>
      <c r="M70" s="2">
        <v>817</v>
      </c>
      <c r="N70" s="1">
        <f t="shared" si="22"/>
        <v>0</v>
      </c>
    </row>
    <row r="71" spans="2:14">
      <c r="B71" s="124">
        <v>45111</v>
      </c>
      <c r="C71">
        <v>10</v>
      </c>
      <c r="D71">
        <v>71600</v>
      </c>
      <c r="E71">
        <f t="shared" ref="E71:E83" si="25">D71*5%</f>
        <v>3580</v>
      </c>
      <c r="F71" s="2">
        <f t="shared" ref="F71:F83" si="26">D71-E71</f>
        <v>68020</v>
      </c>
      <c r="G71" s="2">
        <f t="shared" ref="G71:G83" si="27">+F71/C71</f>
        <v>6802</v>
      </c>
      <c r="H71" s="122">
        <v>45747</v>
      </c>
      <c r="I71" s="124">
        <v>45383</v>
      </c>
      <c r="J71" s="1">
        <f>H71-I71+1</f>
        <v>365</v>
      </c>
      <c r="K71" s="2">
        <f>+G71*J71/365</f>
        <v>6802</v>
      </c>
      <c r="M71" s="2">
        <v>11870.887671232877</v>
      </c>
      <c r="N71" s="1">
        <f t="shared" si="22"/>
        <v>-5068.8876712328765</v>
      </c>
    </row>
    <row r="72" spans="2:14">
      <c r="B72" s="124">
        <v>45120</v>
      </c>
      <c r="C72">
        <v>10</v>
      </c>
      <c r="D72">
        <v>1544538</v>
      </c>
      <c r="E72">
        <f t="shared" si="25"/>
        <v>77226.900000000009</v>
      </c>
      <c r="F72" s="2">
        <f t="shared" si="26"/>
        <v>1467311.1</v>
      </c>
      <c r="G72" s="2">
        <f t="shared" si="27"/>
        <v>146731.11000000002</v>
      </c>
      <c r="H72" s="122">
        <v>45747</v>
      </c>
      <c r="I72" s="124">
        <v>45383</v>
      </c>
      <c r="J72" s="1">
        <f t="shared" ref="J72:J92" si="28">H72-I72+1</f>
        <v>365</v>
      </c>
      <c r="K72" s="2">
        <f t="shared" ref="K72:K92" si="29">+G72*J72/365</f>
        <v>146731.11000000002</v>
      </c>
      <c r="M72" s="2">
        <v>252457.90980821921</v>
      </c>
      <c r="N72" s="1">
        <f t="shared" si="22"/>
        <v>-105726.79980821919</v>
      </c>
    </row>
    <row r="73" spans="2:14">
      <c r="B73" s="124">
        <v>45141</v>
      </c>
      <c r="C73">
        <v>10</v>
      </c>
      <c r="D73">
        <v>4000</v>
      </c>
      <c r="E73">
        <f t="shared" si="25"/>
        <v>200</v>
      </c>
      <c r="F73" s="2">
        <f t="shared" si="26"/>
        <v>3800</v>
      </c>
      <c r="G73" s="2">
        <f t="shared" si="27"/>
        <v>380</v>
      </c>
      <c r="H73" s="122">
        <v>45747</v>
      </c>
      <c r="I73" s="124">
        <v>45383</v>
      </c>
      <c r="J73" s="1">
        <f t="shared" si="28"/>
        <v>365</v>
      </c>
      <c r="K73" s="2">
        <f t="shared" si="29"/>
        <v>380</v>
      </c>
      <c r="M73" s="2">
        <v>631.94520547945206</v>
      </c>
      <c r="N73" s="1">
        <f t="shared" si="22"/>
        <v>-251.94520547945206</v>
      </c>
    </row>
    <row r="74" spans="2:14">
      <c r="B74" s="124">
        <v>45146</v>
      </c>
      <c r="C74">
        <v>10</v>
      </c>
      <c r="D74">
        <v>27491.52</v>
      </c>
      <c r="E74">
        <f t="shared" si="25"/>
        <v>1374.576</v>
      </c>
      <c r="F74" s="2">
        <f t="shared" si="26"/>
        <v>26116.944</v>
      </c>
      <c r="G74" s="2">
        <f t="shared" si="27"/>
        <v>2611.6943999999999</v>
      </c>
      <c r="H74" s="122">
        <v>45747</v>
      </c>
      <c r="I74" s="124">
        <v>45383</v>
      </c>
      <c r="J74" s="1">
        <f t="shared" si="28"/>
        <v>365</v>
      </c>
      <c r="K74" s="2">
        <f t="shared" si="29"/>
        <v>2611.6943999999999</v>
      </c>
      <c r="M74" s="2">
        <v>4307.506928219178</v>
      </c>
      <c r="N74" s="1">
        <f t="shared" si="22"/>
        <v>-1695.8125282191781</v>
      </c>
    </row>
    <row r="75" spans="2:14">
      <c r="B75" s="124">
        <v>45150</v>
      </c>
      <c r="C75">
        <v>10</v>
      </c>
      <c r="D75">
        <v>23429.68</v>
      </c>
      <c r="E75">
        <f t="shared" si="25"/>
        <v>1171.4840000000002</v>
      </c>
      <c r="F75" s="2">
        <f t="shared" si="26"/>
        <v>22258.196</v>
      </c>
      <c r="G75" s="2">
        <f t="shared" si="27"/>
        <v>2225.8195999999998</v>
      </c>
      <c r="H75" s="122">
        <v>45747</v>
      </c>
      <c r="I75" s="124">
        <v>45383</v>
      </c>
      <c r="J75" s="1">
        <f t="shared" si="28"/>
        <v>365</v>
      </c>
      <c r="K75" s="2">
        <f t="shared" si="29"/>
        <v>2225.8195999999998</v>
      </c>
      <c r="M75" s="2">
        <v>3646.6852624657531</v>
      </c>
      <c r="N75" s="1">
        <f t="shared" si="22"/>
        <v>-1420.8656624657533</v>
      </c>
    </row>
    <row r="76" spans="2:14">
      <c r="B76" s="124">
        <v>45159</v>
      </c>
      <c r="C76">
        <v>10</v>
      </c>
      <c r="D76">
        <v>14924.15</v>
      </c>
      <c r="E76">
        <f t="shared" si="25"/>
        <v>746.20749999999998</v>
      </c>
      <c r="F76" s="2">
        <f t="shared" si="26"/>
        <v>14177.942499999999</v>
      </c>
      <c r="G76" s="2">
        <f t="shared" si="27"/>
        <v>1417.7942499999999</v>
      </c>
      <c r="H76" s="122">
        <v>45747</v>
      </c>
      <c r="I76" s="124">
        <v>45383</v>
      </c>
      <c r="J76" s="1">
        <f t="shared" si="28"/>
        <v>365</v>
      </c>
      <c r="K76" s="2">
        <f t="shared" si="29"/>
        <v>1417.7942499999999</v>
      </c>
      <c r="M76" s="2">
        <v>2287.8926390410961</v>
      </c>
      <c r="N76" s="1">
        <f t="shared" si="22"/>
        <v>-870.0983890410962</v>
      </c>
    </row>
    <row r="77" spans="2:14">
      <c r="B77" s="124">
        <v>45160</v>
      </c>
      <c r="C77">
        <v>10</v>
      </c>
      <c r="D77">
        <v>32900</v>
      </c>
      <c r="E77">
        <f t="shared" si="25"/>
        <v>1645</v>
      </c>
      <c r="F77" s="2">
        <f t="shared" si="26"/>
        <v>31255</v>
      </c>
      <c r="G77" s="2">
        <f t="shared" si="27"/>
        <v>3125.5</v>
      </c>
      <c r="H77" s="122">
        <v>45747</v>
      </c>
      <c r="I77" s="124">
        <v>45383</v>
      </c>
      <c r="J77" s="1">
        <f t="shared" si="28"/>
        <v>365</v>
      </c>
      <c r="K77" s="2">
        <f t="shared" si="29"/>
        <v>3125.5</v>
      </c>
      <c r="M77" s="2">
        <v>5035.0520547945207</v>
      </c>
      <c r="N77" s="1">
        <f t="shared" si="22"/>
        <v>-1909.5520547945207</v>
      </c>
    </row>
    <row r="78" spans="2:14">
      <c r="B78" s="124">
        <v>45169</v>
      </c>
      <c r="C78">
        <v>10</v>
      </c>
      <c r="D78">
        <v>45000</v>
      </c>
      <c r="E78">
        <f t="shared" si="25"/>
        <v>2250</v>
      </c>
      <c r="F78" s="2">
        <f t="shared" si="26"/>
        <v>42750</v>
      </c>
      <c r="G78" s="2">
        <f t="shared" si="27"/>
        <v>4275</v>
      </c>
      <c r="H78" s="122">
        <v>45747</v>
      </c>
      <c r="I78" s="124">
        <v>45383</v>
      </c>
      <c r="J78" s="1">
        <f t="shared" si="28"/>
        <v>365</v>
      </c>
      <c r="K78" s="2">
        <f t="shared" si="29"/>
        <v>4275</v>
      </c>
      <c r="M78" s="2">
        <v>6781.4383561643835</v>
      </c>
      <c r="N78" s="1">
        <f t="shared" si="22"/>
        <v>-2506.4383561643835</v>
      </c>
    </row>
    <row r="79" spans="2:14">
      <c r="B79" s="124">
        <v>45182</v>
      </c>
      <c r="C79">
        <v>10</v>
      </c>
      <c r="D79">
        <v>1550</v>
      </c>
      <c r="E79">
        <f t="shared" si="25"/>
        <v>77.5</v>
      </c>
      <c r="F79" s="2">
        <f t="shared" si="26"/>
        <v>1472.5</v>
      </c>
      <c r="G79" s="2">
        <f t="shared" si="27"/>
        <v>147.25</v>
      </c>
      <c r="H79" s="122">
        <v>45747</v>
      </c>
      <c r="I79" s="124">
        <v>45383</v>
      </c>
      <c r="J79" s="1">
        <f t="shared" si="28"/>
        <v>365</v>
      </c>
      <c r="K79" s="2">
        <f t="shared" si="29"/>
        <v>147.25</v>
      </c>
      <c r="M79" s="2">
        <v>228.33835616438355</v>
      </c>
      <c r="N79" s="1">
        <f t="shared" si="22"/>
        <v>-81.088356164383555</v>
      </c>
    </row>
    <row r="80" spans="2:14">
      <c r="B80" s="124">
        <v>45199</v>
      </c>
      <c r="C80">
        <v>10</v>
      </c>
      <c r="D80">
        <v>27150</v>
      </c>
      <c r="E80">
        <f t="shared" si="25"/>
        <v>1357.5</v>
      </c>
      <c r="F80" s="2">
        <f t="shared" si="26"/>
        <v>25792.5</v>
      </c>
      <c r="G80" s="2">
        <f t="shared" si="27"/>
        <v>2579.25</v>
      </c>
      <c r="H80" s="122">
        <v>45747</v>
      </c>
      <c r="I80" s="124">
        <v>45383</v>
      </c>
      <c r="J80" s="1">
        <f t="shared" si="28"/>
        <v>365</v>
      </c>
      <c r="K80" s="2">
        <f t="shared" si="29"/>
        <v>2579.25</v>
      </c>
      <c r="M80" s="2">
        <v>3879.4746575342465</v>
      </c>
      <c r="N80" s="1">
        <f t="shared" si="22"/>
        <v>-1300.2246575342465</v>
      </c>
    </row>
    <row r="81" spans="1:14">
      <c r="B81" s="124">
        <v>45223</v>
      </c>
      <c r="C81">
        <v>10</v>
      </c>
      <c r="D81">
        <v>63559.32</v>
      </c>
      <c r="E81">
        <f t="shared" si="25"/>
        <v>3177.9660000000003</v>
      </c>
      <c r="F81" s="2">
        <f t="shared" si="26"/>
        <v>60381.353999999999</v>
      </c>
      <c r="G81" s="2">
        <f t="shared" si="27"/>
        <v>6038.1354000000001</v>
      </c>
      <c r="H81" s="122">
        <v>45747</v>
      </c>
      <c r="I81" s="124">
        <v>45383</v>
      </c>
      <c r="J81" s="1">
        <f t="shared" si="28"/>
        <v>365</v>
      </c>
      <c r="K81" s="2">
        <f t="shared" si="29"/>
        <v>6038.1354000000001</v>
      </c>
      <c r="M81" s="2">
        <v>8684.9892739726019</v>
      </c>
      <c r="N81" s="1">
        <f t="shared" si="22"/>
        <v>-2646.8538739726018</v>
      </c>
    </row>
    <row r="82" spans="1:14">
      <c r="B82" s="124">
        <v>45296</v>
      </c>
      <c r="C82">
        <v>10</v>
      </c>
      <c r="D82">
        <v>3700</v>
      </c>
      <c r="E82">
        <f t="shared" si="25"/>
        <v>185</v>
      </c>
      <c r="F82" s="2">
        <f t="shared" si="26"/>
        <v>3515</v>
      </c>
      <c r="G82" s="2">
        <f t="shared" si="27"/>
        <v>351.5</v>
      </c>
      <c r="H82" s="122">
        <v>45747</v>
      </c>
      <c r="I82" s="124">
        <v>45383</v>
      </c>
      <c r="J82" s="1">
        <f t="shared" si="28"/>
        <v>365</v>
      </c>
      <c r="K82" s="2">
        <f t="shared" si="29"/>
        <v>351.5</v>
      </c>
      <c r="M82" s="2">
        <v>435.2821917808219</v>
      </c>
      <c r="N82" s="1">
        <f t="shared" si="22"/>
        <v>-83.782191780821904</v>
      </c>
    </row>
    <row r="83" spans="1:14">
      <c r="B83" s="124">
        <v>45379</v>
      </c>
      <c r="C83">
        <v>10</v>
      </c>
      <c r="D83">
        <v>66000</v>
      </c>
      <c r="E83">
        <f t="shared" si="25"/>
        <v>3300</v>
      </c>
      <c r="F83" s="2">
        <f t="shared" si="26"/>
        <v>62700</v>
      </c>
      <c r="G83" s="2">
        <f t="shared" si="27"/>
        <v>6270</v>
      </c>
      <c r="H83" s="122">
        <v>45747</v>
      </c>
      <c r="I83" s="124">
        <v>45383</v>
      </c>
      <c r="J83" s="1">
        <f t="shared" si="28"/>
        <v>365</v>
      </c>
      <c r="K83" s="2">
        <f t="shared" si="29"/>
        <v>6270</v>
      </c>
      <c r="M83" s="2">
        <v>6338.7123287671229</v>
      </c>
      <c r="N83" s="1">
        <f>K83-M83</f>
        <v>-68.712328767122926</v>
      </c>
    </row>
    <row r="84" spans="1:14">
      <c r="B84" s="124">
        <v>45498</v>
      </c>
      <c r="C84">
        <v>10</v>
      </c>
      <c r="D84" s="179">
        <v>17150</v>
      </c>
      <c r="E84">
        <f t="shared" ref="E84:E92" si="30">D84*5%</f>
        <v>857.5</v>
      </c>
      <c r="F84" s="2">
        <f t="shared" ref="F84:F92" si="31">D84-E84</f>
        <v>16292.5</v>
      </c>
      <c r="G84" s="2">
        <f t="shared" ref="G84:G92" si="32">+F84/C84</f>
        <v>1629.25</v>
      </c>
      <c r="H84" s="122">
        <v>45747</v>
      </c>
      <c r="I84" s="124">
        <v>45498</v>
      </c>
      <c r="J84" s="1">
        <f t="shared" si="28"/>
        <v>250</v>
      </c>
      <c r="K84" s="2">
        <f t="shared" si="29"/>
        <v>1115.9246575342465</v>
      </c>
      <c r="M84" s="2">
        <v>1115.9246575342465</v>
      </c>
      <c r="N84" s="1">
        <f>K84-M84</f>
        <v>0</v>
      </c>
    </row>
    <row r="85" spans="1:14">
      <c r="B85" s="124">
        <v>45562</v>
      </c>
      <c r="C85">
        <v>10</v>
      </c>
      <c r="D85" s="179">
        <v>6500</v>
      </c>
      <c r="E85">
        <f t="shared" si="30"/>
        <v>325</v>
      </c>
      <c r="F85" s="2">
        <f t="shared" si="31"/>
        <v>6175</v>
      </c>
      <c r="G85" s="2">
        <f t="shared" si="32"/>
        <v>617.5</v>
      </c>
      <c r="H85" s="122">
        <v>45747</v>
      </c>
      <c r="I85" s="124">
        <v>45562</v>
      </c>
      <c r="J85" s="1">
        <f t="shared" si="28"/>
        <v>186</v>
      </c>
      <c r="K85" s="2">
        <f t="shared" si="29"/>
        <v>314.67123287671234</v>
      </c>
      <c r="M85" s="2">
        <v>314.67123287671234</v>
      </c>
      <c r="N85" s="1">
        <f t="shared" ref="N85:N105" si="33">K85-M85</f>
        <v>0</v>
      </c>
    </row>
    <row r="86" spans="1:14">
      <c r="B86" s="124">
        <v>45563</v>
      </c>
      <c r="C86">
        <v>10</v>
      </c>
      <c r="D86" s="179">
        <v>6700</v>
      </c>
      <c r="E86">
        <f t="shared" si="30"/>
        <v>335</v>
      </c>
      <c r="F86" s="2">
        <f t="shared" si="31"/>
        <v>6365</v>
      </c>
      <c r="G86" s="2">
        <f t="shared" si="32"/>
        <v>636.5</v>
      </c>
      <c r="H86" s="122">
        <v>45747</v>
      </c>
      <c r="I86" s="124">
        <v>45563</v>
      </c>
      <c r="J86" s="1">
        <f t="shared" si="28"/>
        <v>185</v>
      </c>
      <c r="K86" s="2">
        <f t="shared" si="29"/>
        <v>322.60958904109589</v>
      </c>
      <c r="M86" s="2">
        <v>322.60958904109589</v>
      </c>
      <c r="N86" s="1">
        <f t="shared" si="33"/>
        <v>0</v>
      </c>
    </row>
    <row r="87" spans="1:14">
      <c r="B87" s="124">
        <v>45602</v>
      </c>
      <c r="C87">
        <v>10</v>
      </c>
      <c r="D87" s="179">
        <v>24779.599999999999</v>
      </c>
      <c r="E87">
        <f t="shared" si="30"/>
        <v>1238.98</v>
      </c>
      <c r="F87" s="2">
        <f t="shared" si="31"/>
        <v>23540.62</v>
      </c>
      <c r="G87" s="2">
        <f t="shared" si="32"/>
        <v>2354.0619999999999</v>
      </c>
      <c r="H87" s="122">
        <v>45747</v>
      </c>
      <c r="I87" s="124">
        <v>45602</v>
      </c>
      <c r="J87" s="1">
        <f t="shared" si="28"/>
        <v>146</v>
      </c>
      <c r="K87" s="2">
        <f t="shared" si="29"/>
        <v>941.62479999999994</v>
      </c>
      <c r="M87" s="2">
        <v>941.62479999999994</v>
      </c>
      <c r="N87" s="1">
        <f t="shared" si="33"/>
        <v>0</v>
      </c>
    </row>
    <row r="88" spans="1:14">
      <c r="B88" s="124">
        <v>45695</v>
      </c>
      <c r="C88">
        <v>10</v>
      </c>
      <c r="D88" s="179">
        <v>7300</v>
      </c>
      <c r="E88">
        <f t="shared" si="30"/>
        <v>365</v>
      </c>
      <c r="F88" s="2">
        <f t="shared" si="31"/>
        <v>6935</v>
      </c>
      <c r="G88" s="2">
        <f t="shared" si="32"/>
        <v>693.5</v>
      </c>
      <c r="H88" s="122">
        <v>45747</v>
      </c>
      <c r="I88" s="124">
        <v>45695</v>
      </c>
      <c r="J88" s="1">
        <f t="shared" si="28"/>
        <v>53</v>
      </c>
      <c r="K88" s="2">
        <f t="shared" si="29"/>
        <v>100.7</v>
      </c>
      <c r="M88" s="2">
        <v>100.7</v>
      </c>
      <c r="N88" s="1">
        <f t="shared" si="33"/>
        <v>0</v>
      </c>
    </row>
    <row r="89" spans="1:14">
      <c r="B89" s="124">
        <v>45698</v>
      </c>
      <c r="C89">
        <v>10</v>
      </c>
      <c r="D89" s="179">
        <v>24992.18</v>
      </c>
      <c r="E89">
        <f t="shared" si="30"/>
        <v>1249.6090000000002</v>
      </c>
      <c r="F89" s="2">
        <f t="shared" si="31"/>
        <v>23742.571</v>
      </c>
      <c r="G89" s="2">
        <f t="shared" si="32"/>
        <v>2374.2570999999998</v>
      </c>
      <c r="H89" s="122">
        <v>45747</v>
      </c>
      <c r="I89" s="124">
        <v>45698</v>
      </c>
      <c r="J89" s="1">
        <f t="shared" si="28"/>
        <v>50</v>
      </c>
      <c r="K89" s="2">
        <f t="shared" si="29"/>
        <v>325.24069863013699</v>
      </c>
      <c r="M89" s="2">
        <v>325.24069863013699</v>
      </c>
      <c r="N89" s="1">
        <f t="shared" si="33"/>
        <v>0</v>
      </c>
    </row>
    <row r="90" spans="1:14">
      <c r="B90" s="124">
        <v>45698</v>
      </c>
      <c r="C90">
        <v>10</v>
      </c>
      <c r="D90" s="179">
        <v>24992.18</v>
      </c>
      <c r="E90">
        <f t="shared" si="30"/>
        <v>1249.6090000000002</v>
      </c>
      <c r="F90" s="2">
        <f t="shared" si="31"/>
        <v>23742.571</v>
      </c>
      <c r="G90" s="2">
        <f t="shared" si="32"/>
        <v>2374.2570999999998</v>
      </c>
      <c r="H90" s="122">
        <v>45747</v>
      </c>
      <c r="I90" s="124">
        <v>45698</v>
      </c>
      <c r="J90" s="1">
        <f t="shared" si="28"/>
        <v>50</v>
      </c>
      <c r="K90" s="2">
        <f t="shared" si="29"/>
        <v>325.24069863013699</v>
      </c>
      <c r="M90" s="2">
        <v>325.24069863013699</v>
      </c>
      <c r="N90" s="1">
        <f t="shared" si="33"/>
        <v>0</v>
      </c>
    </row>
    <row r="91" spans="1:14">
      <c r="B91" s="124">
        <v>45699</v>
      </c>
      <c r="C91">
        <v>10</v>
      </c>
      <c r="D91" s="179">
        <v>2499.15</v>
      </c>
      <c r="E91">
        <f t="shared" si="30"/>
        <v>124.95750000000001</v>
      </c>
      <c r="F91" s="2">
        <f t="shared" si="31"/>
        <v>2374.1925000000001</v>
      </c>
      <c r="G91" s="2">
        <f t="shared" si="32"/>
        <v>237.41925000000001</v>
      </c>
      <c r="H91" s="122">
        <v>45747</v>
      </c>
      <c r="I91" s="124">
        <v>45699</v>
      </c>
      <c r="J91" s="1">
        <f t="shared" si="28"/>
        <v>49</v>
      </c>
      <c r="K91" s="2">
        <f t="shared" si="29"/>
        <v>31.872721232876714</v>
      </c>
      <c r="M91" s="2">
        <v>31.872721232876714</v>
      </c>
      <c r="N91" s="1">
        <f t="shared" si="33"/>
        <v>0</v>
      </c>
    </row>
    <row r="92" spans="1:14">
      <c r="B92" s="124">
        <v>45700</v>
      </c>
      <c r="C92">
        <v>10</v>
      </c>
      <c r="D92" s="179">
        <v>2499.15</v>
      </c>
      <c r="E92">
        <f t="shared" si="30"/>
        <v>124.95750000000001</v>
      </c>
      <c r="F92" s="2">
        <f t="shared" si="31"/>
        <v>2374.1925000000001</v>
      </c>
      <c r="G92" s="2">
        <f t="shared" si="32"/>
        <v>237.41925000000001</v>
      </c>
      <c r="H92" s="122">
        <v>45747</v>
      </c>
      <c r="I92" s="124">
        <v>45700</v>
      </c>
      <c r="J92" s="1">
        <f t="shared" si="28"/>
        <v>48</v>
      </c>
      <c r="K92" s="2">
        <f t="shared" si="29"/>
        <v>31.222257534246573</v>
      </c>
      <c r="M92" s="2">
        <v>31.222257534246573</v>
      </c>
      <c r="N92" s="1">
        <f t="shared" si="33"/>
        <v>0</v>
      </c>
    </row>
    <row r="93" spans="1:14">
      <c r="B93" s="122"/>
      <c r="H93" s="122"/>
      <c r="I93" s="122"/>
      <c r="J93" s="1"/>
      <c r="K93" s="2"/>
      <c r="N93" s="1"/>
    </row>
    <row r="94" spans="1:14" ht="15">
      <c r="B94" s="122"/>
      <c r="D94" s="120">
        <f>SUM(D56:D92)</f>
        <v>2624969.66</v>
      </c>
      <c r="G94" s="142">
        <f>SUM(G56:G92)</f>
        <v>249372.1177</v>
      </c>
      <c r="H94" s="122"/>
      <c r="I94" s="122"/>
      <c r="J94" s="1"/>
      <c r="K94" s="126">
        <f>SUM(K56:K92)</f>
        <v>241727.05965547948</v>
      </c>
      <c r="L94" s="126"/>
      <c r="M94" s="126">
        <f t="shared" ref="M94" si="34">SUM(M56:M92)</f>
        <v>365358.01758931513</v>
      </c>
      <c r="N94" s="181">
        <f t="shared" si="33"/>
        <v>-123630.95793383566</v>
      </c>
    </row>
    <row r="95" spans="1:14" ht="15">
      <c r="A95" t="s">
        <v>461</v>
      </c>
      <c r="H95" s="122"/>
      <c r="I95" s="122"/>
      <c r="J95" s="1"/>
      <c r="K95" s="126"/>
      <c r="N95" s="1"/>
    </row>
    <row r="96" spans="1:14" ht="15">
      <c r="B96" s="124">
        <v>44770</v>
      </c>
      <c r="C96">
        <v>5</v>
      </c>
      <c r="D96">
        <v>16000</v>
      </c>
      <c r="E96">
        <f t="shared" ref="E96" si="35">D96*5%</f>
        <v>800</v>
      </c>
      <c r="F96">
        <f t="shared" ref="F96" si="36">D96-E96</f>
        <v>15200</v>
      </c>
      <c r="G96">
        <f>F96/C96</f>
        <v>3040</v>
      </c>
      <c r="H96" s="122">
        <v>45747</v>
      </c>
      <c r="I96" s="124">
        <v>45383</v>
      </c>
      <c r="J96" s="1">
        <f t="shared" ref="J96" si="37">H96-I96+1</f>
        <v>365</v>
      </c>
      <c r="K96" s="126">
        <f t="shared" ref="K96" si="38">+G96*J96/365</f>
        <v>3040</v>
      </c>
      <c r="M96" s="142">
        <v>3040</v>
      </c>
      <c r="N96" s="181">
        <f t="shared" si="33"/>
        <v>0</v>
      </c>
    </row>
    <row r="97" spans="1:14" ht="15">
      <c r="B97" s="124"/>
      <c r="H97" s="122"/>
      <c r="I97" s="122"/>
      <c r="J97" s="1"/>
      <c r="K97" s="126"/>
      <c r="N97" s="1"/>
    </row>
    <row r="98" spans="1:14">
      <c r="B98" s="124"/>
      <c r="H98" s="122"/>
      <c r="I98" s="122"/>
      <c r="J98" s="1"/>
      <c r="K98" s="2"/>
      <c r="N98" s="1"/>
    </row>
    <row r="99" spans="1:14">
      <c r="H99" s="122"/>
      <c r="I99" s="122"/>
      <c r="J99" s="1"/>
      <c r="K99" s="2"/>
      <c r="N99" s="1"/>
    </row>
    <row r="100" spans="1:14">
      <c r="A100" t="s">
        <v>462</v>
      </c>
      <c r="B100" s="122">
        <v>43810</v>
      </c>
      <c r="C100">
        <v>5</v>
      </c>
      <c r="D100">
        <v>3110.16</v>
      </c>
      <c r="E100">
        <f>+D100*5%</f>
        <v>155.50800000000001</v>
      </c>
      <c r="F100" s="2">
        <f>+D100-E100</f>
        <v>2954.652</v>
      </c>
      <c r="G100">
        <f>+F100/5</f>
        <v>590.93039999999996</v>
      </c>
      <c r="H100" s="122">
        <v>45637</v>
      </c>
      <c r="I100" s="124">
        <v>45383</v>
      </c>
      <c r="J100" s="1">
        <f t="shared" ref="J100" si="39">H100-I100+1</f>
        <v>255</v>
      </c>
      <c r="K100" s="143">
        <f>+G100*J100/365</f>
        <v>412.84178630136978</v>
      </c>
      <c r="M100" s="143">
        <v>412.84178630136978</v>
      </c>
      <c r="N100" s="181">
        <f t="shared" si="33"/>
        <v>0</v>
      </c>
    </row>
    <row r="101" spans="1:14">
      <c r="B101" s="122"/>
      <c r="F101" s="2"/>
      <c r="H101" s="122"/>
      <c r="I101" s="122"/>
      <c r="J101" s="1"/>
      <c r="K101" s="2"/>
      <c r="N101" s="1"/>
    </row>
    <row r="102" spans="1:14">
      <c r="A102" t="s">
        <v>463</v>
      </c>
      <c r="B102" s="127" t="s">
        <v>464</v>
      </c>
      <c r="C102">
        <v>5</v>
      </c>
      <c r="D102">
        <v>21610.17</v>
      </c>
      <c r="E102">
        <f t="shared" ref="E102:E103" si="40">+D102*5%</f>
        <v>1080.5084999999999</v>
      </c>
      <c r="F102" s="2">
        <f t="shared" ref="F102:F103" si="41">+D102-E102</f>
        <v>20529.661499999998</v>
      </c>
      <c r="G102">
        <f t="shared" ref="G102:G103" si="42">+F102/5</f>
        <v>4105.9322999999995</v>
      </c>
      <c r="H102" s="122">
        <v>45747</v>
      </c>
      <c r="I102" s="124">
        <v>45383</v>
      </c>
      <c r="J102" s="1">
        <f t="shared" ref="J102:J104" si="43">H102-I102+1</f>
        <v>365</v>
      </c>
      <c r="K102" s="2">
        <f>+G102*J102/365</f>
        <v>4105.9322999999995</v>
      </c>
      <c r="M102" s="2">
        <v>4105.9322999999995</v>
      </c>
      <c r="N102" s="1">
        <f t="shared" si="33"/>
        <v>0</v>
      </c>
    </row>
    <row r="103" spans="1:14">
      <c r="B103" s="124">
        <v>45250</v>
      </c>
      <c r="C103">
        <v>5</v>
      </c>
      <c r="D103">
        <v>20762</v>
      </c>
      <c r="E103">
        <f t="shared" si="40"/>
        <v>1038.1000000000001</v>
      </c>
      <c r="F103" s="2">
        <f t="shared" si="41"/>
        <v>19723.900000000001</v>
      </c>
      <c r="G103">
        <f t="shared" si="42"/>
        <v>3944.78</v>
      </c>
      <c r="H103" s="122">
        <v>45747</v>
      </c>
      <c r="I103" s="124">
        <v>45383</v>
      </c>
      <c r="J103" s="1">
        <f t="shared" si="43"/>
        <v>365</v>
      </c>
      <c r="K103" s="2">
        <f>+G103*J103/365</f>
        <v>3944.7800000000007</v>
      </c>
      <c r="M103" s="2">
        <v>3944.7552999999998</v>
      </c>
      <c r="N103" s="1">
        <f t="shared" si="33"/>
        <v>2.4700000000848377E-2</v>
      </c>
    </row>
    <row r="104" spans="1:14">
      <c r="B104" s="124">
        <v>45702</v>
      </c>
      <c r="C104">
        <v>5</v>
      </c>
      <c r="D104" s="2">
        <v>20202.54</v>
      </c>
      <c r="E104">
        <f t="shared" ref="E104" si="44">+D104*5%</f>
        <v>1010.1270000000001</v>
      </c>
      <c r="F104" s="2">
        <f t="shared" ref="F104" si="45">+D104-E104</f>
        <v>19192.413</v>
      </c>
      <c r="G104">
        <f t="shared" ref="G104" si="46">+F104/5</f>
        <v>3838.4826000000003</v>
      </c>
      <c r="H104" s="122">
        <v>45747</v>
      </c>
      <c r="I104" s="124">
        <v>45702</v>
      </c>
      <c r="J104" s="1">
        <f t="shared" si="43"/>
        <v>46</v>
      </c>
      <c r="K104" s="2">
        <f>+G104*J104/365</f>
        <v>483.75397150684938</v>
      </c>
      <c r="M104" s="2">
        <v>118.30939520547946</v>
      </c>
      <c r="N104" s="1">
        <f t="shared" si="33"/>
        <v>365.44457630136992</v>
      </c>
    </row>
    <row r="105" spans="1:14">
      <c r="B105" s="127"/>
      <c r="D105" s="143">
        <f t="shared" ref="D105:J105" si="47">SUM(D102:D104)</f>
        <v>62574.71</v>
      </c>
      <c r="E105" s="143"/>
      <c r="F105" s="143"/>
      <c r="G105" s="143">
        <f t="shared" si="47"/>
        <v>11889.194899999999</v>
      </c>
      <c r="H105" s="143">
        <f t="shared" si="47"/>
        <v>137241</v>
      </c>
      <c r="I105" s="143">
        <f t="shared" si="47"/>
        <v>136468</v>
      </c>
      <c r="J105" s="143">
        <f t="shared" si="47"/>
        <v>776</v>
      </c>
      <c r="K105" s="143">
        <f>SUM(K102:K104)</f>
        <v>8534.4662715068498</v>
      </c>
      <c r="L105" s="143"/>
      <c r="M105" s="143">
        <f t="shared" ref="M105" si="48">SUM(M102:M104)</f>
        <v>8168.9969952054789</v>
      </c>
      <c r="N105" s="181">
        <f t="shared" si="33"/>
        <v>365.46927630137088</v>
      </c>
    </row>
    <row r="106" spans="1:14" ht="15">
      <c r="A106" t="s">
        <v>1</v>
      </c>
      <c r="G106" s="126"/>
      <c r="H106" s="126"/>
      <c r="I106" s="126"/>
      <c r="J106" s="126"/>
    </row>
    <row r="107" spans="1:14" ht="15">
      <c r="D107" s="126">
        <f>+D100+D94+D53+D96+D105+D3</f>
        <v>7319786.0500000007</v>
      </c>
      <c r="E107" s="126">
        <f>SUM(E3:E104)</f>
        <v>365989.30249999999</v>
      </c>
      <c r="F107" s="126">
        <f>SUM(F3:F104)</f>
        <v>6953796.7475000015</v>
      </c>
      <c r="J107" t="s">
        <v>478</v>
      </c>
      <c r="K107" s="182">
        <f>+K100+K94+K53+K3+K96+K105</f>
        <v>1240121.3513813245</v>
      </c>
      <c r="L107" s="182"/>
      <c r="M107" s="182">
        <f>+M100+M94+M53+M3+M96+M105</f>
        <v>1363387.1607055254</v>
      </c>
      <c r="N107" s="182">
        <f t="shared" ref="N107" si="49">+N100+N94+N53+N3+N96+N105</f>
        <v>-123265.47599086762</v>
      </c>
    </row>
    <row r="108" spans="1:14">
      <c r="D108" s="2"/>
      <c r="K108" s="2"/>
    </row>
    <row r="109" spans="1:14">
      <c r="K109" s="2"/>
    </row>
    <row r="113" spans="2:2">
      <c r="B113" s="122"/>
    </row>
  </sheetData>
  <autoFilter ref="A2:N109" xr:uid="{0F54D71F-6F6F-4E6E-954A-16B7B88F9C4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Financial Statements</vt:lpstr>
      <vt:lpstr>1-2</vt:lpstr>
      <vt:lpstr>3-15</vt:lpstr>
      <vt:lpstr>Sub Schedule BS</vt:lpstr>
      <vt:lpstr>10</vt:lpstr>
      <vt:lpstr>Ageing schedule</vt:lpstr>
      <vt:lpstr>16-23</vt:lpstr>
      <vt:lpstr>24-41</vt:lpstr>
      <vt:lpstr>Trial Balance</vt:lpstr>
      <vt:lpstr>TB 2026</vt:lpstr>
      <vt:lpstr>TB 2025</vt:lpstr>
      <vt:lpstr>Sub Schedule P &amp; L</vt:lpstr>
      <vt:lpstr>Groupings P &amp;L</vt:lpstr>
      <vt:lpstr>Groupings BS</vt:lpstr>
      <vt:lpstr>Deferred Tax</vt:lpstr>
      <vt:lpstr>Current Tax</vt:lpstr>
      <vt:lpstr>Depreciation 2025</vt:lpstr>
      <vt:lpstr>'24-41'!OLE_LINK10</vt:lpstr>
      <vt:lpstr>'24-41'!OLE_LINK7</vt:lpstr>
      <vt:lpstr>'10'!Print_Area</vt:lpstr>
      <vt:lpstr>'1-2'!Print_Area</vt:lpstr>
      <vt:lpstr>'16-23'!Print_Area</vt:lpstr>
      <vt:lpstr>'24-41'!Print_Area</vt:lpstr>
      <vt:lpstr>'3-15'!Print_Area</vt:lpstr>
      <vt:lpstr>'Ageing schedule'!Print_Area</vt:lpstr>
      <vt:lpstr>'Financial Statements'!Print_Area</vt:lpstr>
      <vt:lpstr>'Groupings BS'!Print_Area</vt:lpstr>
      <vt:lpstr>'Groupings P &amp;L'!Print_Area</vt:lpstr>
      <vt:lpstr>'1-2'!Print_Titles</vt:lpstr>
      <vt:lpstr>'16-23'!Print_Titles</vt:lpstr>
      <vt:lpstr>'24-41'!Print_Titles</vt:lpstr>
      <vt:lpstr>'3-15'!Print_Titles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umesh</dc:creator>
  <cp:lastModifiedBy>M R NARAIN CO</cp:lastModifiedBy>
  <cp:lastPrinted>2026-08-31T01:05:20Z</cp:lastPrinted>
  <dcterms:created xsi:type="dcterms:W3CDTF">2011-12-10T10:05:04Z</dcterms:created>
  <dcterms:modified xsi:type="dcterms:W3CDTF">2026-09-03T12:44:42Z</dcterms:modified>
</cp:coreProperties>
</file>