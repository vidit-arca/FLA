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D:\profile\Download\"/>
    </mc:Choice>
  </mc:AlternateContent>
  <xr:revisionPtr revIDLastSave="0" documentId="13_ncr:1_{B7E96132-9213-434D-BEEF-597870FB55E9}" xr6:coauthVersionLast="47" xr6:coauthVersionMax="47" xr10:uidLastSave="{00000000-0000-0000-0000-000000000000}"/>
  <bookViews>
    <workbookView xWindow="-108" yWindow="-108" windowWidth="23256" windowHeight="12456" tabRatio="863" firstSheet="3" activeTab="16" xr2:uid="{00000000-000D-0000-FFFF-FFFF00000000}"/>
  </bookViews>
  <sheets>
    <sheet name="Master data" sheetId="60" r:id="rId1"/>
    <sheet name="Sheet1" sheetId="62" state="hidden" r:id="rId2"/>
    <sheet name="Audit entry" sheetId="48" r:id="rId3"/>
    <sheet name="TB 24-25" sheetId="44" r:id="rId4"/>
    <sheet name="BS" sheetId="8" r:id="rId5"/>
    <sheet name="PL" sheetId="9" r:id="rId6"/>
    <sheet name="CFS" sheetId="43" r:id="rId7"/>
    <sheet name="Note 1-2" sheetId="49" r:id="rId8"/>
    <sheet name="NOTE 3" sheetId="10" r:id="rId9"/>
    <sheet name="NOTE 4-8" sheetId="45" r:id="rId10"/>
    <sheet name="NOTE 6" sheetId="52" r:id="rId11"/>
    <sheet name="Note 9" sheetId="28" r:id="rId12"/>
    <sheet name="NOTE 12" sheetId="53" r:id="rId13"/>
    <sheet name="NOTE 10-14" sheetId="47" r:id="rId14"/>
    <sheet name="NOTE 15-20" sheetId="11" r:id="rId15"/>
    <sheet name="Add Notes" sheetId="56" r:id="rId16"/>
    <sheet name="Add Notes (2)" sheetId="57" r:id="rId17"/>
    <sheet name="Sub Sch - BS" sheetId="40" r:id="rId18"/>
    <sheet name="Sub Sch - p&amp;l" sheetId="13" r:id="rId19"/>
    <sheet name="Sub-Schedule" sheetId="54" r:id="rId20"/>
    <sheet name="IT Dep" sheetId="30" state="hidden" r:id="rId21"/>
    <sheet name="Deffered Tax" sheetId="34" state="hidden" r:id="rId22"/>
    <sheet name="Statement of Income" sheetId="59" r:id="rId23"/>
  </sheets>
  <definedNames>
    <definedName name="__123Graph_A" localSheetId="15" hidden="1">#REF!</definedName>
    <definedName name="__123Graph_A" localSheetId="16" hidden="1">#REF!</definedName>
    <definedName name="__123Graph_A" localSheetId="13" hidden="1">#REF!</definedName>
    <definedName name="__123Graph_A" localSheetId="9" hidden="1">#REF!</definedName>
    <definedName name="__123Graph_A" hidden="1">#REF!</definedName>
    <definedName name="__123Graph_B" localSheetId="15" hidden="1">#REF!</definedName>
    <definedName name="__123Graph_B" localSheetId="16" hidden="1">#REF!</definedName>
    <definedName name="__123Graph_B" localSheetId="13" hidden="1">#REF!</definedName>
    <definedName name="__123Graph_B" localSheetId="9" hidden="1">#REF!</definedName>
    <definedName name="__123Graph_B" hidden="1">#REF!</definedName>
    <definedName name="__123Graph_X" localSheetId="15" hidden="1">#REF!</definedName>
    <definedName name="__123Graph_X" localSheetId="16" hidden="1">#REF!</definedName>
    <definedName name="__123Graph_X" localSheetId="13" hidden="1">#REF!</definedName>
    <definedName name="__123Graph_X" localSheetId="9" hidden="1">#REF!</definedName>
    <definedName name="__123Graph_X" hidden="1">#REF!</definedName>
    <definedName name="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xlnm._FilterDatabase" localSheetId="13" hidden="1">'NOTE 10-14'!#REF!</definedName>
    <definedName name="_xlnm._FilterDatabase" localSheetId="14" hidden="1">'NOTE 15-20'!$A$44:$C$56</definedName>
    <definedName name="_xlnm._FilterDatabase" localSheetId="9" hidden="1">'NOTE 4-8'!#REF!</definedName>
    <definedName name="_xlnm._FilterDatabase" localSheetId="19" hidden="1">'Sub-Schedule'!$A$2:$G$35</definedName>
    <definedName name="_xlnm._FilterDatabase" localSheetId="3" hidden="1">'TB 24-25'!$A$5:$XEH$341</definedName>
    <definedName name="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Order1" hidden="1">255</definedName>
    <definedName name="_wrn1" localSheetId="15" hidden="1">{"EE4 Budget months only in USD",#N/A,TRUE,"Profit and Loss";"EE4 Budget months only in USD",#N/A,TRUE,"Firm capex";"EE4 Budget months only in USD",#N/A,TRUE,"Cashflow";"EE4 Budget months only in USD",#N/A,TRUE,"Balance Sheet"}</definedName>
    <definedName name="_wrn1" localSheetId="16" hidden="1">{"EE4 Budget months only in USD",#N/A,TRUE,"Profit and Loss";"EE4 Budget months only in USD",#N/A,TRUE,"Firm capex";"EE4 Budget months only in USD",#N/A,TRUE,"Cashflow";"EE4 Budget months only in USD",#N/A,TRUE,"Balance Sheet"}</definedName>
    <definedName name="_wrn1" localSheetId="7" hidden="1">{"EE4 Budget months only in USD",#N/A,TRUE,"Profit and Loss";"EE4 Budget months only in USD",#N/A,TRUE,"Firm capex";"EE4 Budget months only in USD",#N/A,TRUE,"Cashflow";"EE4 Budget months only in USD",#N/A,TRUE,"Balance Sheet"}</definedName>
    <definedName name="_wrn1" localSheetId="22" hidden="1">{"EE4 Budget months only in USD",#N/A,TRUE,"Profit and Loss";"EE4 Budget months only in USD",#N/A,TRUE,"Firm capex";"EE4 Budget months only in USD",#N/A,TRUE,"Cashflow";"EE4 Budget months only in USD",#N/A,TRUE,"Balance Sheet"}</definedName>
    <definedName name="_wrn1" hidden="1">{"EE4 Budget months only in USD",#N/A,TRUE,"Profit and Loss";"EE4 Budget months only in USD",#N/A,TRUE,"Firm capex";"EE4 Budget months only in USD",#N/A,TRUE,"Cashflow";"EE4 Budget months only in USD",#N/A,TRUE,"Balance Sheet"}</definedName>
    <definedName name="aaa"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aaa"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aaa" localSheetId="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aaa"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aaa"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abcdefghijk"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F" localSheetId="15" hidden="1">{"EE4 Budget months only in USD",#N/A,TRUE,"Profit and Loss";"EE4 Budget months only in USD",#N/A,TRUE,"Firm capex";"EE4 Budget months only in USD",#N/A,TRUE,"Cashflow";"EE4 Budget months only in USD",#N/A,TRUE,"Balance Sheet"}</definedName>
    <definedName name="AF" localSheetId="16" hidden="1">{"EE4 Budget months only in USD",#N/A,TRUE,"Profit and Loss";"EE4 Budget months only in USD",#N/A,TRUE,"Firm capex";"EE4 Budget months only in USD",#N/A,TRUE,"Cashflow";"EE4 Budget months only in USD",#N/A,TRUE,"Balance Sheet"}</definedName>
    <definedName name="AF" localSheetId="7" hidden="1">{"EE4 Budget months only in USD",#N/A,TRUE,"Profit and Loss";"EE4 Budget months only in USD",#N/A,TRUE,"Firm capex";"EE4 Budget months only in USD",#N/A,TRUE,"Cashflow";"EE4 Budget months only in USD",#N/A,TRUE,"Balance Sheet"}</definedName>
    <definedName name="AF" localSheetId="22" hidden="1">{"EE4 Budget months only in USD",#N/A,TRUE,"Profit and Loss";"EE4 Budget months only in USD",#N/A,TRUE,"Firm capex";"EE4 Budget months only in USD",#N/A,TRUE,"Cashflow";"EE4 Budget months only in USD",#N/A,TRUE,"Balance Sheet"}</definedName>
    <definedName name="AF" hidden="1">{"EE4 Budget months only in USD",#N/A,TRUE,"Profit and Loss";"EE4 Budget months only in USD",#N/A,TRUE,"Firm capex";"EE4 Budget months only in USD",#N/A,TRUE,"Cashflow";"EE4 Budget months only in USD",#N/A,TRUE,"Balance Sheet"}</definedName>
    <definedName name="AFWER" localSheetId="15" hidden="1">{"EE4 Budget years USD",#N/A,TRUE,"Profit and Loss";"EE4 Budget years USD",#N/A,TRUE,"Firm capex";"EE4 Budget years USD",#N/A,TRUE,"Cashflow";"EE4 Budget years USD",#N/A,TRUE,"Balance Sheet"}</definedName>
    <definedName name="AFWER" localSheetId="16" hidden="1">{"EE4 Budget years USD",#N/A,TRUE,"Profit and Loss";"EE4 Budget years USD",#N/A,TRUE,"Firm capex";"EE4 Budget years USD",#N/A,TRUE,"Cashflow";"EE4 Budget years USD",#N/A,TRUE,"Balance Sheet"}</definedName>
    <definedName name="AFWER" localSheetId="7" hidden="1">{"EE4 Budget years USD",#N/A,TRUE,"Profit and Loss";"EE4 Budget years USD",#N/A,TRUE,"Firm capex";"EE4 Budget years USD",#N/A,TRUE,"Cashflow";"EE4 Budget years USD",#N/A,TRUE,"Balance Sheet"}</definedName>
    <definedName name="AFWER" localSheetId="22" hidden="1">{"EE4 Budget years USD",#N/A,TRUE,"Profit and Loss";"EE4 Budget years USD",#N/A,TRUE,"Firm capex";"EE4 Budget years USD",#N/A,TRUE,"Cashflow";"EE4 Budget years USD",#N/A,TRUE,"Balance Sheet"}</definedName>
    <definedName name="AFWER" hidden="1">{"EE4 Budget years USD",#N/A,TRUE,"Profit and Loss";"EE4 Budget years USD",#N/A,TRUE,"Firm capex";"EE4 Budget years USD",#N/A,TRUE,"Cashflow";"EE4 Budget years USD",#N/A,TRUE,"Balance Sheet"}</definedName>
    <definedName name="anand"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anand"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anand" localSheetId="7"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anand" localSheetId="22"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anand"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AS2DocOpenMode" hidden="1">"AS2DocumentEdit"</definedName>
    <definedName name="asdgkyudf" localSheetId="15" hidden="1">{"EE4 Budget years USD",#N/A,TRUE,"Profit and Loss";"EE4 Budget years USD",#N/A,TRUE,"Firm capex";"EE4 Budget years USD",#N/A,TRUE,"Cashflow";"EE4 Budget years USD",#N/A,TRUE,"Balance Sheet"}</definedName>
    <definedName name="asdgkyudf" localSheetId="16" hidden="1">{"EE4 Budget years USD",#N/A,TRUE,"Profit and Loss";"EE4 Budget years USD",#N/A,TRUE,"Firm capex";"EE4 Budget years USD",#N/A,TRUE,"Cashflow";"EE4 Budget years USD",#N/A,TRUE,"Balance Sheet"}</definedName>
    <definedName name="asdgkyudf" localSheetId="7" hidden="1">{"EE4 Budget years USD",#N/A,TRUE,"Profit and Loss";"EE4 Budget years USD",#N/A,TRUE,"Firm capex";"EE4 Budget years USD",#N/A,TRUE,"Cashflow";"EE4 Budget years USD",#N/A,TRUE,"Balance Sheet"}</definedName>
    <definedName name="asdgkyudf" localSheetId="22" hidden="1">{"EE4 Budget years USD",#N/A,TRUE,"Profit and Loss";"EE4 Budget years USD",#N/A,TRUE,"Firm capex";"EE4 Budget years USD",#N/A,TRUE,"Cashflow";"EE4 Budget years USD",#N/A,TRUE,"Balance Sheet"}</definedName>
    <definedName name="asdgkyudf" hidden="1">{"EE4 Budget years USD",#N/A,TRUE,"Profit and Loss";"EE4 Budget years USD",#N/A,TRUE,"Firm capex";"EE4 Budget years USD",#N/A,TRUE,"Cashflow";"EE4 Budget years USD",#N/A,TRUE,"Balance Sheet"}</definedName>
    <definedName name="asf." localSheetId="15" hidden="1">{"'All AERs-2000-2001'!$A$5:$K$39"}</definedName>
    <definedName name="asf." localSheetId="16" hidden="1">{"'All AERs-2000-2001'!$A$5:$K$39"}</definedName>
    <definedName name="asf." localSheetId="7" hidden="1">{"'All AERs-2000-2001'!$A$5:$K$39"}</definedName>
    <definedName name="asf." localSheetId="22" hidden="1">{"'All AERs-2000-2001'!$A$5:$K$39"}</definedName>
    <definedName name="asf." hidden="1">{"'All AERs-2000-2001'!$A$5:$K$39"}</definedName>
    <definedName name="ASFKJDG"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7"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22"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15" hidden="1">{"PLC Company Budget years",#N/A,TRUE,"Profit and Loss";"PLC Company Budget years",#N/A,TRUE,"Firm capex";"PLC Company Budget years",#N/A,TRUE,"Gross profit analysis";"PLC Company Budget years",#N/A,TRUE,"Cashflow";"PLC Company Budget years",#N/A,TRUE,"Balance Sheet"}</definedName>
    <definedName name="asfklh" localSheetId="16" hidden="1">{"PLC Company Budget years",#N/A,TRUE,"Profit and Loss";"PLC Company Budget years",#N/A,TRUE,"Firm capex";"PLC Company Budget years",#N/A,TRUE,"Gross profit analysis";"PLC Company Budget years",#N/A,TRUE,"Cashflow";"PLC Company Budget years",#N/A,TRUE,"Balance Sheet"}</definedName>
    <definedName name="asfklh" localSheetId="7" hidden="1">{"PLC Company Budget years",#N/A,TRUE,"Profit and Loss";"PLC Company Budget years",#N/A,TRUE,"Firm capex";"PLC Company Budget years",#N/A,TRUE,"Gross profit analysis";"PLC Company Budget years",#N/A,TRUE,"Cashflow";"PLC Company Budget years",#N/A,TRUE,"Balance Sheet"}</definedName>
    <definedName name="asfklh" localSheetId="22" hidden="1">{"PLC Company Budget years",#N/A,TRUE,"Profit and Loss";"PLC Company Budget years",#N/A,TRUE,"Firm capex";"PLC Company Budget years",#N/A,TRUE,"Gross profit analysis";"PLC Company Budget years",#N/A,TRUE,"Cashflow";"PLC Company Budget years",#N/A,TRUE,"Balance Sheet"}</definedName>
    <definedName name="asfklh" hidden="1">{"PLC Company Budget years",#N/A,TRUE,"Profit and Loss";"PLC Company Budget years",#N/A,TRUE,"Firm capex";"PLC Company Budget years",#N/A,TRUE,"Gross profit analysis";"PLC Company Budget years",#N/A,TRUE,"Cashflow";"PLC Company Budget years",#N/A,TRUE,"Balance Sheet"}</definedName>
    <definedName name="bbb" localSheetId="15" hidden="1">{"HSSH Budget years sterling",#N/A,TRUE,"Profit and Loss";"HSSH Budget years sterling",#N/A,TRUE,"Firm capex";"HSSH Budget years sterling",#N/A,TRUE,"Gross profit analysis";"HSSH Budget years sterling",#N/A,TRUE,"Cashflow";"HSSH Budget years sterling",#N/A,TRUE,"Balance Sheet"}</definedName>
    <definedName name="bbb" localSheetId="16" hidden="1">{"HSSH Budget years sterling",#N/A,TRUE,"Profit and Loss";"HSSH Budget years sterling",#N/A,TRUE,"Firm capex";"HSSH Budget years sterling",#N/A,TRUE,"Gross profit analysis";"HSSH Budget years sterling",#N/A,TRUE,"Cashflow";"HSSH Budget years sterling",#N/A,TRUE,"Balance Sheet"}</definedName>
    <definedName name="bbb" localSheetId="7" hidden="1">{"HSSH Budget years sterling",#N/A,TRUE,"Profit and Loss";"HSSH Budget years sterling",#N/A,TRUE,"Firm capex";"HSSH Budget years sterling",#N/A,TRUE,"Gross profit analysis";"HSSH Budget years sterling",#N/A,TRUE,"Cashflow";"HSSH Budget years sterling",#N/A,TRUE,"Balance Sheet"}</definedName>
    <definedName name="bbb" localSheetId="22" hidden="1">{"HSSH Budget years sterling",#N/A,TRUE,"Profit and Loss";"HSSH Budget years sterling",#N/A,TRUE,"Firm capex";"HSSH Budget years sterling",#N/A,TRUE,"Gross profit analysis";"HSSH Budget years sterling",#N/A,TRUE,"Cashflow";"HSSH Budget years sterling",#N/A,TRUE,"Balance Sheet"}</definedName>
    <definedName name="bbb" hidden="1">{"HSSH Budget years sterling",#N/A,TRUE,"Profit and Loss";"HSSH Budget years sterling",#N/A,TRUE,"Firm capex";"HSSH Budget years sterling",#N/A,TRUE,"Gross profit analysis";"HSSH Budget years sterling",#N/A,TRUE,"Cashflow";"HSSH Budget years sterling",#N/A,TRUE,"Balance Sheet"}</definedName>
    <definedName name="budget" localSheetId="15" hidden="1">{"Group Budget months only",#N/A,TRUE,"Profit and Loss";"Group Budget months only",#N/A,TRUE,"Firm capex";"Group Budget months only",#N/A,TRUE,"Gross profit analysis";"Group Budget months only",#N/A,TRUE,"Cashflow";"Group Budget months only",#N/A,TRUE,"Balance Sheet"}</definedName>
    <definedName name="budget" localSheetId="16" hidden="1">{"Group Budget months only",#N/A,TRUE,"Profit and Loss";"Group Budget months only",#N/A,TRUE,"Firm capex";"Group Budget months only",#N/A,TRUE,"Gross profit analysis";"Group Budget months only",#N/A,TRUE,"Cashflow";"Group Budget months only",#N/A,TRUE,"Balance Sheet"}</definedName>
    <definedName name="budget" localSheetId="7" hidden="1">{"Group Budget months only",#N/A,TRUE,"Profit and Loss";"Group Budget months only",#N/A,TRUE,"Firm capex";"Group Budget months only",#N/A,TRUE,"Gross profit analysis";"Group Budget months only",#N/A,TRUE,"Cashflow";"Group Budget months only",#N/A,TRUE,"Balance Sheet"}</definedName>
    <definedName name="budget" localSheetId="22" hidden="1">{"Group Budget months only",#N/A,TRUE,"Profit and Loss";"Group Budget months only",#N/A,TRUE,"Firm capex";"Group Budget months only",#N/A,TRUE,"Gross profit analysis";"Group Budget months only",#N/A,TRUE,"Cashflow";"Group Budget months only",#N/A,TRUE,"Balance Sheet"}</definedName>
    <definedName name="budget" hidden="1">{"Group Budget months only",#N/A,TRUE,"Profit and Loss";"Group Budget months only",#N/A,TRUE,"Firm capex";"Group Budget months only",#N/A,TRUE,"Gross profit analysis";"Group Budget months only",#N/A,TRUE,"Cashflow";"Group Budget months only",#N/A,TRUE,"Balance Sheet"}</definedName>
    <definedName name="ccc"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7"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22" hidden="1">{"CEA Group budget months USD",#N/A,TRUE,"Profit and Loss";"CEA Group budget months USD",#N/A,TRUE,"Firm capex";"CEA Group budget months USD",#N/A,TRUE,"Gross profit analysis";"CEA Group budget months USD",#N/A,TRUE,"Cashflow";"CEA Group budget months USD",#N/A,TRUE,"Balance Sheet"}</definedName>
    <definedName name="ccc" hidden="1">{"CEA Group budget months USD",#N/A,TRUE,"Profit and Loss";"CEA Group budget months USD",#N/A,TRUE,"Firm capex";"CEA Group budget months USD",#N/A,TRUE,"Gross profit analysis";"CEA Group budget months USD",#N/A,TRUE,"Cashflow";"CEA Group budget months USD",#N/A,TRUE,"Balance Sheet"}</definedName>
    <definedName name="cem" localSheetId="15" hidden="1">{"PLC Company Budget years",#N/A,TRUE,"Profit and Loss";"PLC Company Budget years",#N/A,TRUE,"Firm capex";"PLC Company Budget years",#N/A,TRUE,"Gross profit analysis";"PLC Company Budget years",#N/A,TRUE,"Cashflow";"PLC Company Budget years",#N/A,TRUE,"Balance Sheet"}</definedName>
    <definedName name="cem" localSheetId="16" hidden="1">{"PLC Company Budget years",#N/A,TRUE,"Profit and Loss";"PLC Company Budget years",#N/A,TRUE,"Firm capex";"PLC Company Budget years",#N/A,TRUE,"Gross profit analysis";"PLC Company Budget years",#N/A,TRUE,"Cashflow";"PLC Company Budget years",#N/A,TRUE,"Balance Sheet"}</definedName>
    <definedName name="cem" localSheetId="7" hidden="1">{"PLC Company Budget years",#N/A,TRUE,"Profit and Loss";"PLC Company Budget years",#N/A,TRUE,"Firm capex";"PLC Company Budget years",#N/A,TRUE,"Gross profit analysis";"PLC Company Budget years",#N/A,TRUE,"Cashflow";"PLC Company Budget years",#N/A,TRUE,"Balance Sheet"}</definedName>
    <definedName name="cem" localSheetId="22" hidden="1">{"PLC Company Budget years",#N/A,TRUE,"Profit and Loss";"PLC Company Budget years",#N/A,TRUE,"Firm capex";"PLC Company Budget years",#N/A,TRUE,"Gross profit analysis";"PLC Company Budget years",#N/A,TRUE,"Cashflow";"PLC Company Budget years",#N/A,TRUE,"Balance Sheet"}</definedName>
    <definedName name="cem" hidden="1">{"PLC Company Budget years",#N/A,TRUE,"Profit and Loss";"PLC Company Budget years",#N/A,TRUE,"Firm capex";"PLC Company Budget years",#N/A,TRUE,"Gross profit analysis";"PLC Company Budget years",#N/A,TRUE,"Cashflow";"PLC Company Budget years",#N/A,TRUE,"Balance Sheet"}</definedName>
    <definedName name="cement" localSheetId="15" hidden="1">{"PLC Company Budget years",#N/A,TRUE,"Profit and Loss";"PLC Company Budget years",#N/A,TRUE,"Firm capex";"PLC Company Budget years",#N/A,TRUE,"Gross profit analysis";"PLC Company Budget years",#N/A,TRUE,"Cashflow";"PLC Company Budget years",#N/A,TRUE,"Balance Sheet"}</definedName>
    <definedName name="cement" localSheetId="16" hidden="1">{"PLC Company Budget years",#N/A,TRUE,"Profit and Loss";"PLC Company Budget years",#N/A,TRUE,"Firm capex";"PLC Company Budget years",#N/A,TRUE,"Gross profit analysis";"PLC Company Budget years",#N/A,TRUE,"Cashflow";"PLC Company Budget years",#N/A,TRUE,"Balance Sheet"}</definedName>
    <definedName name="cement" localSheetId="7" hidden="1">{"PLC Company Budget years",#N/A,TRUE,"Profit and Loss";"PLC Company Budget years",#N/A,TRUE,"Firm capex";"PLC Company Budget years",#N/A,TRUE,"Gross profit analysis";"PLC Company Budget years",#N/A,TRUE,"Cashflow";"PLC Company Budget years",#N/A,TRUE,"Balance Sheet"}</definedName>
    <definedName name="cement" localSheetId="22" hidden="1">{"PLC Company Budget years",#N/A,TRUE,"Profit and Loss";"PLC Company Budget years",#N/A,TRUE,"Firm capex";"PLC Company Budget years",#N/A,TRUE,"Gross profit analysis";"PLC Company Budget years",#N/A,TRUE,"Cashflow";"PLC Company Budget years",#N/A,TRUE,"Balance Sheet"}</definedName>
    <definedName name="cement" hidden="1">{"PLC Company Budget years",#N/A,TRUE,"Profit and Loss";"PLC Company Budget years",#N/A,TRUE,"Firm capex";"PLC Company Budget years",#N/A,TRUE,"Gross profit analysis";"PLC Company Budget years",#N/A,TRUE,"Cashflow";"PLC Company Budget years",#N/A,TRUE,"Balance Sheet"}</definedName>
    <definedName name="ch"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MH"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7"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22"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t." localSheetId="15" hidden="1">{"PLC Company Budget years",#N/A,TRUE,"Profit and Loss";"PLC Company Budget years",#N/A,TRUE,"Firm capex";"PLC Company Budget years",#N/A,TRUE,"Gross profit analysis";"PLC Company Budget years",#N/A,TRUE,"Cashflow";"PLC Company Budget years",#N/A,TRUE,"Balance Sheet"}</definedName>
    <definedName name="cmt." localSheetId="16" hidden="1">{"PLC Company Budget years",#N/A,TRUE,"Profit and Loss";"PLC Company Budget years",#N/A,TRUE,"Firm capex";"PLC Company Budget years",#N/A,TRUE,"Gross profit analysis";"PLC Company Budget years",#N/A,TRUE,"Cashflow";"PLC Company Budget years",#N/A,TRUE,"Balance Sheet"}</definedName>
    <definedName name="cmt." localSheetId="7" hidden="1">{"PLC Company Budget years",#N/A,TRUE,"Profit and Loss";"PLC Company Budget years",#N/A,TRUE,"Firm capex";"PLC Company Budget years",#N/A,TRUE,"Gross profit analysis";"PLC Company Budget years",#N/A,TRUE,"Cashflow";"PLC Company Budget years",#N/A,TRUE,"Balance Sheet"}</definedName>
    <definedName name="cmt." localSheetId="22" hidden="1">{"PLC Company Budget years",#N/A,TRUE,"Profit and Loss";"PLC Company Budget years",#N/A,TRUE,"Firm capex";"PLC Company Budget years",#N/A,TRUE,"Gross profit analysis";"PLC Company Budget years",#N/A,TRUE,"Cashflow";"PLC Company Budget years",#N/A,TRUE,"Balance Sheet"}</definedName>
    <definedName name="cmt." hidden="1">{"PLC Company Budget years",#N/A,TRUE,"Profit and Loss";"PLC Company Budget years",#N/A,TRUE,"Firm capex";"PLC Company Budget years",#N/A,TRUE,"Gross profit analysis";"PLC Company Budget years",#N/A,TRUE,"Cashflow";"PLC Company Budget years",#N/A,TRUE,"Balance Sheet"}</definedName>
    <definedName name="Consumables1" localSheetId="15"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16"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7"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22" hidden="1">{"HSSH Budget years sterling",#N/A,TRUE,"Profit and Loss";"HSSH Budget years sterling",#N/A,TRUE,"Firm capex";"HSSH Budget years sterling",#N/A,TRUE,"Gross profit analysis";"HSSH Budget years sterling",#N/A,TRUE,"Cashflow";"HSSH Budget years sterling",#N/A,TRUE,"Balance Sheet"}</definedName>
    <definedName name="Consumables1" hidden="1">{"HSSH Budget years sterling",#N/A,TRUE,"Profit and Loss";"HSSH Budget years sterling",#N/A,TRUE,"Firm capex";"HSSH Budget years sterling",#N/A,TRUE,"Gross profit analysis";"HSSH Budget years sterling",#N/A,TRUE,"Cashflow";"HSSH Budget years sterling",#N/A,TRUE,"Balance Sheet"}</definedName>
    <definedName name="D"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 localSheetId="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ef" localSheetId="15" hidden="1">{"HSSH Budget years sterling",#N/A,TRUE,"Profit and Loss";"HSSH Budget years sterling",#N/A,TRUE,"Firm capex";"HSSH Budget years sterling",#N/A,TRUE,"Gross profit analysis";"HSSH Budget years sterling",#N/A,TRUE,"Cashflow";"HSSH Budget years sterling",#N/A,TRUE,"Balance Sheet"}</definedName>
    <definedName name="Def" localSheetId="16" hidden="1">{"HSSH Budget years sterling",#N/A,TRUE,"Profit and Loss";"HSSH Budget years sterling",#N/A,TRUE,"Firm capex";"HSSH Budget years sterling",#N/A,TRUE,"Gross profit analysis";"HSSH Budget years sterling",#N/A,TRUE,"Cashflow";"HSSH Budget years sterling",#N/A,TRUE,"Balance Sheet"}</definedName>
    <definedName name="Def" localSheetId="7" hidden="1">{"HSSH Budget years sterling",#N/A,TRUE,"Profit and Loss";"HSSH Budget years sterling",#N/A,TRUE,"Firm capex";"HSSH Budget years sterling",#N/A,TRUE,"Gross profit analysis";"HSSH Budget years sterling",#N/A,TRUE,"Cashflow";"HSSH Budget years sterling",#N/A,TRUE,"Balance Sheet"}</definedName>
    <definedName name="Def" localSheetId="22" hidden="1">{"HSSH Budget years sterling",#N/A,TRUE,"Profit and Loss";"HSSH Budget years sterling",#N/A,TRUE,"Firm capex";"HSSH Budget years sterling",#N/A,TRUE,"Gross profit analysis";"HSSH Budget years sterling",#N/A,TRUE,"Cashflow";"HSSH Budget years sterling",#N/A,TRUE,"Balance Sheet"}</definedName>
    <definedName name="Def" hidden="1">{"HSSH Budget years sterling",#N/A,TRUE,"Profit and Loss";"HSSH Budget years sterling",#N/A,TRUE,"Firm capex";"HSSH Budget years sterling",#N/A,TRUE,"Gross profit analysis";"HSSH Budget years sterling",#N/A,TRUE,"Cashflow";"HSSH Budget years sterling",#N/A,TRUE,"Balance Sheet"}</definedName>
    <definedName name="Deno">'Master data'!$B$2</definedName>
    <definedName name="DFH" localSheetId="15" hidden="1">{"EE4 Budget years USD",#N/A,TRUE,"Profit and Loss";"EE4 Budget years USD",#N/A,TRUE,"Firm capex";"EE4 Budget years USD",#N/A,TRUE,"Cashflow";"EE4 Budget years USD",#N/A,TRUE,"Balance Sheet"}</definedName>
    <definedName name="DFH" localSheetId="16" hidden="1">{"EE4 Budget years USD",#N/A,TRUE,"Profit and Loss";"EE4 Budget years USD",#N/A,TRUE,"Firm capex";"EE4 Budget years USD",#N/A,TRUE,"Cashflow";"EE4 Budget years USD",#N/A,TRUE,"Balance Sheet"}</definedName>
    <definedName name="DFH" localSheetId="7" hidden="1">{"EE4 Budget years USD",#N/A,TRUE,"Profit and Loss";"EE4 Budget years USD",#N/A,TRUE,"Firm capex";"EE4 Budget years USD",#N/A,TRUE,"Cashflow";"EE4 Budget years USD",#N/A,TRUE,"Balance Sheet"}</definedName>
    <definedName name="DFH" localSheetId="22" hidden="1">{"EE4 Budget years USD",#N/A,TRUE,"Profit and Loss";"EE4 Budget years USD",#N/A,TRUE,"Firm capex";"EE4 Budget years USD",#N/A,TRUE,"Cashflow";"EE4 Budget years USD",#N/A,TRUE,"Balance Sheet"}</definedName>
    <definedName name="DFH" hidden="1">{"EE4 Budget years USD",#N/A,TRUE,"Profit and Loss";"EE4 Budget years USD",#N/A,TRUE,"Firm capex";"EE4 Budget years USD",#N/A,TRUE,"Cashflow";"EE4 Budget years USD",#N/A,TRUE,"Balance Sheet"}</definedName>
    <definedName name="DG" localSheetId="15" hidden="1">{"EE4 Budget months only in USD",#N/A,TRUE,"Profit and Loss";"EE4 Budget months only in USD",#N/A,TRUE,"Firm capex";"EE4 Budget months only in USD",#N/A,TRUE,"Cashflow";"EE4 Budget months only in USD",#N/A,TRUE,"Balance Sheet"}</definedName>
    <definedName name="DG" localSheetId="16" hidden="1">{"EE4 Budget months only in USD",#N/A,TRUE,"Profit and Loss";"EE4 Budget months only in USD",#N/A,TRUE,"Firm capex";"EE4 Budget months only in USD",#N/A,TRUE,"Cashflow";"EE4 Budget months only in USD",#N/A,TRUE,"Balance Sheet"}</definedName>
    <definedName name="DG" localSheetId="7" hidden="1">{"EE4 Budget months only in USD",#N/A,TRUE,"Profit and Loss";"EE4 Budget months only in USD",#N/A,TRUE,"Firm capex";"EE4 Budget months only in USD",#N/A,TRUE,"Cashflow";"EE4 Budget months only in USD",#N/A,TRUE,"Balance Sheet"}</definedName>
    <definedName name="DG" localSheetId="22" hidden="1">{"EE4 Budget months only in USD",#N/A,TRUE,"Profit and Loss";"EE4 Budget months only in USD",#N/A,TRUE,"Firm capex";"EE4 Budget months only in USD",#N/A,TRUE,"Cashflow";"EE4 Budget months only in USD",#N/A,TRUE,"Balance Sheet"}</definedName>
    <definedName name="DG" hidden="1">{"EE4 Budget months only in USD",#N/A,TRUE,"Profit and Loss";"EE4 Budget months only in USD",#N/A,TRUE,"Firm capex";"EE4 Budget months only in USD",#N/A,TRUE,"Cashflow";"EE4 Budget months only in USD",#N/A,TRUE,"Balance Sheet"}</definedName>
    <definedName name="dgfkh"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7"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22"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 localSheetId="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ee" localSheetId="15" hidden="1">{"HSSH Budget years sterling",#N/A,TRUE,"Profit and Loss";"HSSH Budget years sterling",#N/A,TRUE,"Firm capex";"HSSH Budget years sterling",#N/A,TRUE,"Gross profit analysis";"HSSH Budget years sterling",#N/A,TRUE,"Cashflow";"HSSH Budget years sterling",#N/A,TRUE,"Balance Sheet"}</definedName>
    <definedName name="eee" localSheetId="16" hidden="1">{"HSSH Budget years sterling",#N/A,TRUE,"Profit and Loss";"HSSH Budget years sterling",#N/A,TRUE,"Firm capex";"HSSH Budget years sterling",#N/A,TRUE,"Gross profit analysis";"HSSH Budget years sterling",#N/A,TRUE,"Cashflow";"HSSH Budget years sterling",#N/A,TRUE,"Balance Sheet"}</definedName>
    <definedName name="eee" localSheetId="7" hidden="1">{"HSSH Budget years sterling",#N/A,TRUE,"Profit and Loss";"HSSH Budget years sterling",#N/A,TRUE,"Firm capex";"HSSH Budget years sterling",#N/A,TRUE,"Gross profit analysis";"HSSH Budget years sterling",#N/A,TRUE,"Cashflow";"HSSH Budget years sterling",#N/A,TRUE,"Balance Sheet"}</definedName>
    <definedName name="eee" localSheetId="22" hidden="1">{"HSSH Budget years sterling",#N/A,TRUE,"Profit and Loss";"HSSH Budget years sterling",#N/A,TRUE,"Firm capex";"HSSH Budget years sterling",#N/A,TRUE,"Gross profit analysis";"HSSH Budget years sterling",#N/A,TRUE,"Cashflow";"HSSH Budget years sterling",#N/A,TRUE,"Balance Sheet"}</definedName>
    <definedName name="eee" hidden="1">{"HSSH Budget years sterling",#N/A,TRUE,"Profit and Loss";"HSSH Budget years sterling",#N/A,TRUE,"Firm capex";"HSSH Budget years sterling",#N/A,TRUE,"Gross profit analysis";"HSSH Budget years sterling",#N/A,TRUE,"Cashflow";"HSSH Budget years sterling",#N/A,TRUE,"Balance Sheet"}</definedName>
    <definedName name="efedd"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7"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22"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rt" localSheetId="15" hidden="1">{"CEA Group Budget years USD",#N/A,TRUE,"Profit and Loss";"CEA Group Budget years USD",#N/A,TRUE,"Firm capex";"CEA Group Budget years USD",#N/A,TRUE,"Gross profit analysis";"CEA Group Budget years USD",#N/A,TRUE,"Cashflow";"CEA Group Budget years USD",#N/A,TRUE,"Balance Sheet"}</definedName>
    <definedName name="ert" localSheetId="16" hidden="1">{"CEA Group Budget years USD",#N/A,TRUE,"Profit and Loss";"CEA Group Budget years USD",#N/A,TRUE,"Firm capex";"CEA Group Budget years USD",#N/A,TRUE,"Gross profit analysis";"CEA Group Budget years USD",#N/A,TRUE,"Cashflow";"CEA Group Budget years USD",#N/A,TRUE,"Balance Sheet"}</definedName>
    <definedName name="ert" localSheetId="7" hidden="1">{"CEA Group Budget years USD",#N/A,TRUE,"Profit and Loss";"CEA Group Budget years USD",#N/A,TRUE,"Firm capex";"CEA Group Budget years USD",#N/A,TRUE,"Gross profit analysis";"CEA Group Budget years USD",#N/A,TRUE,"Cashflow";"CEA Group Budget years USD",#N/A,TRUE,"Balance Sheet"}</definedName>
    <definedName name="ert" localSheetId="22" hidden="1">{"CEA Group Budget years USD",#N/A,TRUE,"Profit and Loss";"CEA Group Budget years USD",#N/A,TRUE,"Firm capex";"CEA Group Budget years USD",#N/A,TRUE,"Gross profit analysis";"CEA Group Budget years USD",#N/A,TRUE,"Cashflow";"CEA Group Budget years USD",#N/A,TRUE,"Balance Sheet"}</definedName>
    <definedName name="ert" hidden="1">{"CEA Group Budget years USD",#N/A,TRUE,"Profit and Loss";"CEA Group Budget years USD",#N/A,TRUE,"Firm capex";"CEA Group Budget years USD",#N/A,TRUE,"Gross profit analysis";"CEA Group Budget years USD",#N/A,TRUE,"Cashflow";"CEA Group Budget years USD",#N/A,TRUE,"Balance Sheet"}</definedName>
    <definedName name="ewd" localSheetId="15" hidden="1">{"CEI Budget years sterling",#N/A,TRUE,"Profit and Loss";"CEI Budget years sterling",#N/A,TRUE,"Firm capex";"CEI Budget years sterling",#N/A,TRUE,"Gross profit analysis";"CEI Budget years sterling",#N/A,TRUE,"Cashflow";"CEI Budget years sterling",#N/A,TRUE,"Balance Sheet"}</definedName>
    <definedName name="ewd" localSheetId="16" hidden="1">{"CEI Budget years sterling",#N/A,TRUE,"Profit and Loss";"CEI Budget years sterling",#N/A,TRUE,"Firm capex";"CEI Budget years sterling",#N/A,TRUE,"Gross profit analysis";"CEI Budget years sterling",#N/A,TRUE,"Cashflow";"CEI Budget years sterling",#N/A,TRUE,"Balance Sheet"}</definedName>
    <definedName name="ewd" localSheetId="7" hidden="1">{"CEI Budget years sterling",#N/A,TRUE,"Profit and Loss";"CEI Budget years sterling",#N/A,TRUE,"Firm capex";"CEI Budget years sterling",#N/A,TRUE,"Gross profit analysis";"CEI Budget years sterling",#N/A,TRUE,"Cashflow";"CEI Budget years sterling",#N/A,TRUE,"Balance Sheet"}</definedName>
    <definedName name="ewd" localSheetId="22" hidden="1">{"CEI Budget years sterling",#N/A,TRUE,"Profit and Loss";"CEI Budget years sterling",#N/A,TRUE,"Firm capex";"CEI Budget years sterling",#N/A,TRUE,"Gross profit analysis";"CEI Budget years sterling",#N/A,TRUE,"Cashflow";"CEI Budget years sterling",#N/A,TRUE,"Balance Sheet"}</definedName>
    <definedName name="ewd" hidden="1">{"CEI Budget years sterling",#N/A,TRUE,"Profit and Loss";"CEI Budget years sterling",#N/A,TRUE,"Firm capex";"CEI Budget years sterling",#N/A,TRUE,"Gross profit analysis";"CEI Budget years sterling",#N/A,TRUE,"Cashflow";"CEI Budget years sterling",#N/A,TRUE,"Balance Sheet"}</definedName>
    <definedName name="F" localSheetId="15" hidden="1">{"CEGH sub group months USD",#N/A,TRUE,"Profit and Loss";"CEGH sub group months USD",#N/A,TRUE,"Firm capex";"CEGH sub group months USD",#N/A,TRUE,"Cashflow";"CEGH sub group months USD",#N/A,TRUE,"Balance Sheet"}</definedName>
    <definedName name="F" localSheetId="16" hidden="1">{"CEGH sub group months USD",#N/A,TRUE,"Profit and Loss";"CEGH sub group months USD",#N/A,TRUE,"Firm capex";"CEGH sub group months USD",#N/A,TRUE,"Cashflow";"CEGH sub group months USD",#N/A,TRUE,"Balance Sheet"}</definedName>
    <definedName name="F" localSheetId="7" hidden="1">{"CEGH sub group months USD",#N/A,TRUE,"Profit and Loss";"CEGH sub group months USD",#N/A,TRUE,"Firm capex";"CEGH sub group months USD",#N/A,TRUE,"Cashflow";"CEGH sub group months USD",#N/A,TRUE,"Balance Sheet"}</definedName>
    <definedName name="F" localSheetId="22" hidden="1">{"CEGH sub group months USD",#N/A,TRUE,"Profit and Loss";"CEGH sub group months USD",#N/A,TRUE,"Firm capex";"CEGH sub group months USD",#N/A,TRUE,"Cashflow";"CEGH sub group months USD",#N/A,TRUE,"Balance Sheet"}</definedName>
    <definedName name="F" hidden="1">{"CEGH sub group months USD",#N/A,TRUE,"Profit and Loss";"CEGH sub group months USD",#N/A,TRUE,"Firm capex";"CEGH sub group months USD",#N/A,TRUE,"Cashflow";"CEGH sub group months USD",#N/A,TRUE,"Balance Sheet"}</definedName>
    <definedName name="fff" localSheetId="15" hidden="1">{"EE4 Budget years USD",#N/A,TRUE,"Profit and Loss";"EE4 Budget years USD",#N/A,TRUE,"Firm capex";"EE4 Budget years USD",#N/A,TRUE,"Cashflow";"EE4 Budget years USD",#N/A,TRUE,"Balance Sheet"}</definedName>
    <definedName name="fff" localSheetId="16" hidden="1">{"EE4 Budget years USD",#N/A,TRUE,"Profit and Loss";"EE4 Budget years USD",#N/A,TRUE,"Firm capex";"EE4 Budget years USD",#N/A,TRUE,"Cashflow";"EE4 Budget years USD",#N/A,TRUE,"Balance Sheet"}</definedName>
    <definedName name="fff" localSheetId="7" hidden="1">{"EE4 Budget years USD",#N/A,TRUE,"Profit and Loss";"EE4 Budget years USD",#N/A,TRUE,"Firm capex";"EE4 Budget years USD",#N/A,TRUE,"Cashflow";"EE4 Budget years USD",#N/A,TRUE,"Balance Sheet"}</definedName>
    <definedName name="fff" localSheetId="22" hidden="1">{"EE4 Budget years USD",#N/A,TRUE,"Profit and Loss";"EE4 Budget years USD",#N/A,TRUE,"Firm capex";"EE4 Budget years USD",#N/A,TRUE,"Cashflow";"EE4 Budget years USD",#N/A,TRUE,"Balance Sheet"}</definedName>
    <definedName name="fff" hidden="1">{"EE4 Budget years USD",#N/A,TRUE,"Profit and Loss";"EE4 Budget years USD",#N/A,TRUE,"Firm capex";"EE4 Budget years USD",#N/A,TRUE,"Cashflow";"EE4 Budget years USD",#N/A,TRUE,"Balance Sheet"}</definedName>
    <definedName name="FH" localSheetId="15" hidden="1">{"Group Budget years only",#N/A,TRUE,"Profit and Loss";"Group Budget years only",#N/A,TRUE,"Firm capex";"Group Budget years only",#N/A,TRUE,"Gross profit analysis";"Group Budget years only",#N/A,TRUE,"Cashflow";"Group Budget years only",#N/A,TRUE,"Balance Sheet"}</definedName>
    <definedName name="FH" localSheetId="16" hidden="1">{"Group Budget years only",#N/A,TRUE,"Profit and Loss";"Group Budget years only",#N/A,TRUE,"Firm capex";"Group Budget years only",#N/A,TRUE,"Gross profit analysis";"Group Budget years only",#N/A,TRUE,"Cashflow";"Group Budget years only",#N/A,TRUE,"Balance Sheet"}</definedName>
    <definedName name="FH" localSheetId="7" hidden="1">{"Group Budget years only",#N/A,TRUE,"Profit and Loss";"Group Budget years only",#N/A,TRUE,"Firm capex";"Group Budget years only",#N/A,TRUE,"Gross profit analysis";"Group Budget years only",#N/A,TRUE,"Cashflow";"Group Budget years only",#N/A,TRUE,"Balance Sheet"}</definedName>
    <definedName name="FH" localSheetId="22" hidden="1">{"Group Budget years only",#N/A,TRUE,"Profit and Loss";"Group Budget years only",#N/A,TRUE,"Firm capex";"Group Budget years only",#N/A,TRUE,"Gross profit analysis";"Group Budget years only",#N/A,TRUE,"Cashflow";"Group Budget years only",#N/A,TRUE,"Balance Sheet"}</definedName>
    <definedName name="FH" hidden="1">{"Group Budget years only",#N/A,TRUE,"Profit and Loss";"Group Budget years only",#N/A,TRUE,"Firm capex";"Group Budget years only",#N/A,TRUE,"Gross profit analysis";"Group Budget years only",#N/A,TRUE,"Cashflow";"Group Budget years only",#N/A,TRUE,"Balance Sheet"}</definedName>
    <definedName name="from" localSheetId="15"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16"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7"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22" hidden="1">{"HSSH Budget years sterling",#N/A,TRUE,"Profit and Loss";"HSSH Budget years sterling",#N/A,TRUE,"Firm capex";"HSSH Budget years sterling",#N/A,TRUE,"Gross profit analysis";"HSSH Budget years sterling",#N/A,TRUE,"Cashflow";"HSSH Budget years sterling",#N/A,TRUE,"Balance Sheet"}</definedName>
    <definedName name="from" hidden="1">{"HSSH Budget years sterling",#N/A,TRUE,"Profit and Loss";"HSSH Budget years sterling",#N/A,TRUE,"Firm capex";"HSSH Budget years sterling",#N/A,TRUE,"Gross profit analysis";"HSSH Budget years sterling",#N/A,TRUE,"Cashflow";"HSSH Budget years sterling",#N/A,TRUE,"Balance Sheet"}</definedName>
    <definedName name="FWER" localSheetId="15" hidden="1">{"EE4 Budget years sterling",#N/A,TRUE,"Profit and Loss";"EE4 Budget years sterling",#N/A,TRUE,"Firm capex";"EE4 Budget years sterling",#N/A,TRUE,"Cashflow";"EE4 Budget years sterling",#N/A,TRUE,"Balance Sheet"}</definedName>
    <definedName name="FWER" localSheetId="16" hidden="1">{"EE4 Budget years sterling",#N/A,TRUE,"Profit and Loss";"EE4 Budget years sterling",#N/A,TRUE,"Firm capex";"EE4 Budget years sterling",#N/A,TRUE,"Cashflow";"EE4 Budget years sterling",#N/A,TRUE,"Balance Sheet"}</definedName>
    <definedName name="FWER" localSheetId="7" hidden="1">{"EE4 Budget years sterling",#N/A,TRUE,"Profit and Loss";"EE4 Budget years sterling",#N/A,TRUE,"Firm capex";"EE4 Budget years sterling",#N/A,TRUE,"Cashflow";"EE4 Budget years sterling",#N/A,TRUE,"Balance Sheet"}</definedName>
    <definedName name="FWER" localSheetId="22" hidden="1">{"EE4 Budget years sterling",#N/A,TRUE,"Profit and Loss";"EE4 Budget years sterling",#N/A,TRUE,"Firm capex";"EE4 Budget years sterling",#N/A,TRUE,"Cashflow";"EE4 Budget years sterling",#N/A,TRUE,"Balance Sheet"}</definedName>
    <definedName name="FWER" hidden="1">{"EE4 Budget years sterling",#N/A,TRUE,"Profit and Loss";"EE4 Budget years sterling",#N/A,TRUE,"Firm capex";"EE4 Budget years sterling",#N/A,TRUE,"Cashflow";"EE4 Budget years sterling",#N/A,TRUE,"Balance Sheet"}</definedName>
    <definedName name="ghi"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rt" localSheetId="15" hidden="1">{"PLC Company Budget years",#N/A,TRUE,"Profit and Loss";"PLC Company Budget years",#N/A,TRUE,"Firm capex";"PLC Company Budget years",#N/A,TRUE,"Gross profit analysis";"PLC Company Budget years",#N/A,TRUE,"Cashflow";"PLC Company Budget years",#N/A,TRUE,"Balance Sheet"}</definedName>
    <definedName name="grt" localSheetId="16" hidden="1">{"PLC Company Budget years",#N/A,TRUE,"Profit and Loss";"PLC Company Budget years",#N/A,TRUE,"Firm capex";"PLC Company Budget years",#N/A,TRUE,"Gross profit analysis";"PLC Company Budget years",#N/A,TRUE,"Cashflow";"PLC Company Budget years",#N/A,TRUE,"Balance Sheet"}</definedName>
    <definedName name="grt" localSheetId="7" hidden="1">{"PLC Company Budget years",#N/A,TRUE,"Profit and Loss";"PLC Company Budget years",#N/A,TRUE,"Firm capex";"PLC Company Budget years",#N/A,TRUE,"Gross profit analysis";"PLC Company Budget years",#N/A,TRUE,"Cashflow";"PLC Company Budget years",#N/A,TRUE,"Balance Sheet"}</definedName>
    <definedName name="grt" localSheetId="22" hidden="1">{"PLC Company Budget years",#N/A,TRUE,"Profit and Loss";"PLC Company Budget years",#N/A,TRUE,"Firm capex";"PLC Company Budget years",#N/A,TRUE,"Gross profit analysis";"PLC Company Budget years",#N/A,TRUE,"Cashflow";"PLC Company Budget years",#N/A,TRUE,"Balance Sheet"}</definedName>
    <definedName name="grt" hidden="1">{"PLC Company Budget years",#N/A,TRUE,"Profit and Loss";"PLC Company Budget years",#N/A,TRUE,"Firm capex";"PLC Company Budget years",#N/A,TRUE,"Gross profit analysis";"PLC Company Budget years",#N/A,TRUE,"Cashflow";"PLC Company Budget years",#N/A,TRUE,"Balance Sheet"}</definedName>
    <definedName name="HDFHDFHRH" localSheetId="15"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7"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22"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TML_CodePage" hidden="1">1252</definedName>
    <definedName name="HTML_Control" localSheetId="15" hidden="1">{"'All AERs-2000-2001'!$A$5:$K$39"}</definedName>
    <definedName name="HTML_Control" localSheetId="16" hidden="1">{"'All AERs-2000-2001'!$A$5:$K$39"}</definedName>
    <definedName name="HTML_Control" localSheetId="7" hidden="1">{"'All AERs-2000-2001'!$A$5:$K$39"}</definedName>
    <definedName name="HTML_Control" localSheetId="22" hidden="1">{"'All AERs-2000-2001'!$A$5:$K$39"}</definedName>
    <definedName name="HTML_Control" hidden="1">{"'All AERs-2000-2001'!$A$5:$K$39"}</definedName>
    <definedName name="HTML_Description" hidden="1">"AER's Issued for the Budget Year 2000-01"</definedName>
    <definedName name="HTML_Email" hidden="1">""</definedName>
    <definedName name="HTML_Header" hidden="1">"Ravva Oil &amp; Gas Field Development - Joint Venture"</definedName>
    <definedName name="HTML_LastUpdate" hidden="1">"29-Aug-00"</definedName>
    <definedName name="HTML_LineAfter" hidden="1">FALSE</definedName>
    <definedName name="HTML_LineBefore" hidden="1">TRUE</definedName>
    <definedName name="HTML_Name" hidden="1">"Sivakumar"</definedName>
    <definedName name="HTML_OBDlg2" hidden="1">TRUE</definedName>
    <definedName name="HTML_OBDlg4" hidden="1">TRUE</definedName>
    <definedName name="HTML_OS" hidden="1">0</definedName>
    <definedName name="HTML_PathFile" hidden="1">"C:\aershtml\RVAER2000-01.htm"</definedName>
    <definedName name="HTML_Title" hidden="1">"Ravva 2000-01 AERS"</definedName>
    <definedName name="hy"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hy"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hy" localSheetId="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hy"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hy"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 localSheetId="15" hidden="1">{"PLC Company Budget years",#N/A,TRUE,"Profit and Loss";"PLC Company Budget years",#N/A,TRUE,"Firm capex";"PLC Company Budget years",#N/A,TRUE,"Gross profit analysis";"PLC Company Budget years",#N/A,TRUE,"Cashflow";"PLC Company Budget years",#N/A,TRUE,"Balance Sheet"}</definedName>
    <definedName name="j" localSheetId="16" hidden="1">{"PLC Company Budget years",#N/A,TRUE,"Profit and Loss";"PLC Company Budget years",#N/A,TRUE,"Firm capex";"PLC Company Budget years",#N/A,TRUE,"Gross profit analysis";"PLC Company Budget years",#N/A,TRUE,"Cashflow";"PLC Company Budget years",#N/A,TRUE,"Balance Sheet"}</definedName>
    <definedName name="j" localSheetId="7" hidden="1">{"PLC Company Budget years",#N/A,TRUE,"Profit and Loss";"PLC Company Budget years",#N/A,TRUE,"Firm capex";"PLC Company Budget years",#N/A,TRUE,"Gross profit analysis";"PLC Company Budget years",#N/A,TRUE,"Cashflow";"PLC Company Budget years",#N/A,TRUE,"Balance Sheet"}</definedName>
    <definedName name="j" localSheetId="22" hidden="1">{"PLC Company Budget years",#N/A,TRUE,"Profit and Loss";"PLC Company Budget years",#N/A,TRUE,"Firm capex";"PLC Company Budget years",#N/A,TRUE,"Gross profit analysis";"PLC Company Budget years",#N/A,TRUE,"Cashflow";"PLC Company Budget years",#N/A,TRUE,"Balance Sheet"}</definedName>
    <definedName name="j" hidden="1">{"PLC Company Budget years",#N/A,TRUE,"Profit and Loss";"PLC Company Budget years",#N/A,TRUE,"Firm capex";"PLC Company Budget years",#N/A,TRUE,"Gross profit analysis";"PLC Company Budget years",#N/A,TRUE,"Cashflow";"PLC Company Budget years",#N/A,TRUE,"Balance Sheet"}</definedName>
    <definedName name="jam"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hg"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7"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22"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kkkl" localSheetId="15" hidden="1">{"Group Budget months only",#N/A,TRUE,"Profit and Loss";"Group Budget months only",#N/A,TRUE,"Firm capex";"Group Budget months only",#N/A,TRUE,"Gross profit analysis";"Group Budget months only",#N/A,TRUE,"Cashflow";"Group Budget months only",#N/A,TRUE,"Balance Sheet"}</definedName>
    <definedName name="kkkl" localSheetId="16" hidden="1">{"Group Budget months only",#N/A,TRUE,"Profit and Loss";"Group Budget months only",#N/A,TRUE,"Firm capex";"Group Budget months only",#N/A,TRUE,"Gross profit analysis";"Group Budget months only",#N/A,TRUE,"Cashflow";"Group Budget months only",#N/A,TRUE,"Balance Sheet"}</definedName>
    <definedName name="kkkl" localSheetId="7" hidden="1">{"Group Budget months only",#N/A,TRUE,"Profit and Loss";"Group Budget months only",#N/A,TRUE,"Firm capex";"Group Budget months only",#N/A,TRUE,"Gross profit analysis";"Group Budget months only",#N/A,TRUE,"Cashflow";"Group Budget months only",#N/A,TRUE,"Balance Sheet"}</definedName>
    <definedName name="kkkl" localSheetId="22" hidden="1">{"Group Budget months only",#N/A,TRUE,"Profit and Loss";"Group Budget months only",#N/A,TRUE,"Firm capex";"Group Budget months only",#N/A,TRUE,"Gross profit analysis";"Group Budget months only",#N/A,TRUE,"Cashflow";"Group Budget months only",#N/A,TRUE,"Balance Sheet"}</definedName>
    <definedName name="kkkl" hidden="1">{"Group Budget months only",#N/A,TRUE,"Profit and Loss";"Group Budget months only",#N/A,TRUE,"Firm capex";"Group Budget months only",#N/A,TRUE,"Gross profit analysis";"Group Budget months only",#N/A,TRUE,"Cashflow";"Group Budget months only",#N/A,TRUE,"Balance Sheet"}</definedName>
    <definedName name="LMNOPQ"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pex"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opex"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opex" localSheetId="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opex"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opex"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Other"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_xlnm.Print_Area" localSheetId="16">'Add Notes (2)'!$A$1:$E$72</definedName>
    <definedName name="_xlnm.Print_Area" localSheetId="4">BS!$A$1:$D$60</definedName>
    <definedName name="_xlnm.Print_Area" localSheetId="6">CFS!$A$1:$D$61</definedName>
    <definedName name="_xlnm.Print_Area" localSheetId="13">'NOTE 10-14'!$A$1:$C$32</definedName>
    <definedName name="_xlnm.Print_Area" localSheetId="12">'NOTE 12'!$A$1:$G$31</definedName>
    <definedName name="_xlnm.Print_Area" localSheetId="7">'Note 1-2'!$A$1:$A$40</definedName>
    <definedName name="_xlnm.Print_Area" localSheetId="14">'NOTE 15-20'!$A$1:$C$64</definedName>
    <definedName name="_xlnm.Print_Area" localSheetId="8">'NOTE 3'!$A$1:$E$61</definedName>
    <definedName name="_xlnm.Print_Area" localSheetId="9">'NOTE 4-8'!$A$1:$C$37</definedName>
    <definedName name="_xlnm.Print_Area" localSheetId="10">'NOTE 6'!$A$1:$G$30</definedName>
    <definedName name="_xlnm.Print_Area" localSheetId="11">'Note 9'!$A$1:$K$23</definedName>
    <definedName name="_xlnm.Print_Area" localSheetId="5">PL!$A$1:$E$56</definedName>
    <definedName name="_xlnm.Print_Area" localSheetId="22">'Statement of Income'!$A$1:$E$89</definedName>
    <definedName name="_xlnm.Print_Area" localSheetId="17">'Sub Sch - BS'!$A$1:$C$45</definedName>
    <definedName name="_xlnm.Print_Area" localSheetId="18">'Sub Sch - p&amp;l'!$A$1:$C$68</definedName>
    <definedName name="_xlnm.Print_Area" localSheetId="19">'Sub-Schedule'!$A$1:$G$47</definedName>
    <definedName name="_xlnm.Print_Titles" localSheetId="15">'Add Notes'!$1:$4</definedName>
    <definedName name="_xlnm.Print_Titles" localSheetId="16">'Add Notes (2)'!$1:$4</definedName>
    <definedName name="_xlnm.Print_Titles" localSheetId="13">'NOTE 10-14'!$1:$6</definedName>
    <definedName name="_xlnm.Print_Titles" localSheetId="7">'Note 1-2'!$1:$3</definedName>
    <definedName name="_xlnm.Print_Titles" localSheetId="14">'NOTE 15-20'!$1:$6</definedName>
    <definedName name="_xlnm.Print_Titles" localSheetId="9">'NOTE 4-8'!$1:$6</definedName>
    <definedName name="_xlnm.Print_Titles" localSheetId="18">'Sub Sch - p&amp;l'!$1:$4</definedName>
    <definedName name="RAJ" localSheetId="15" hidden="1">{"CEGH Budget years USD",#N/A,TRUE,"Profit and Loss";"CEGH Budget years USD",#N/A,TRUE,"Firm capex";"CEGH Budget years USD",#N/A,TRUE,"Gross profit analysis";"CEGH Budget years USD",#N/A,TRUE,"Cashflow";"CEGH Budget years USD",#N/A,TRUE,"Balance Sheet"}</definedName>
    <definedName name="RAJ" localSheetId="16" hidden="1">{"CEGH Budget years USD",#N/A,TRUE,"Profit and Loss";"CEGH Budget years USD",#N/A,TRUE,"Firm capex";"CEGH Budget years USD",#N/A,TRUE,"Gross profit analysis";"CEGH Budget years USD",#N/A,TRUE,"Cashflow";"CEGH Budget years USD",#N/A,TRUE,"Balance Sheet"}</definedName>
    <definedName name="RAJ" localSheetId="7" hidden="1">{"CEGH Budget years USD",#N/A,TRUE,"Profit and Loss";"CEGH Budget years USD",#N/A,TRUE,"Firm capex";"CEGH Budget years USD",#N/A,TRUE,"Gross profit analysis";"CEGH Budget years USD",#N/A,TRUE,"Cashflow";"CEGH Budget years USD",#N/A,TRUE,"Balance Sheet"}</definedName>
    <definedName name="RAJ" localSheetId="22" hidden="1">{"CEGH Budget years USD",#N/A,TRUE,"Profit and Loss";"CEGH Budget years USD",#N/A,TRUE,"Firm capex";"CEGH Budget years USD",#N/A,TRUE,"Gross profit analysis";"CEGH Budget years USD",#N/A,TRUE,"Cashflow";"CEGH Budget years USD",#N/A,TRUE,"Balance Sheet"}</definedName>
    <definedName name="RAJ" hidden="1">{"CEGH Budget years USD",#N/A,TRUE,"Profit and Loss";"CEGH Budget years USD",#N/A,TRUE,"Firm capex";"CEGH Budget years USD",#N/A,TRUE,"Gross profit analysis";"CEGH Budget years USD",#N/A,TRUE,"Cashflow";"CEGH Budget years USD",#N/A,TRUE,"Balance Sheet"}</definedName>
    <definedName name="Raja" localSheetId="15"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16"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7"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22" hidden="1">{"HSSH Budget years sterling",#N/A,TRUE,"Profit and Loss";"HSSH Budget years sterling",#N/A,TRUE,"Firm capex";"HSSH Budget years sterling",#N/A,TRUE,"Gross profit analysis";"HSSH Budget years sterling",#N/A,TRUE,"Cashflow";"HSSH Budget years sterling",#N/A,TRUE,"Balance Sheet"}</definedName>
    <definedName name="Raja" hidden="1">{"HSSH Budget years sterling",#N/A,TRUE,"Profit and Loss";"HSSH Budget years sterling",#N/A,TRUE,"Firm capex";"HSSH Budget years sterling",#N/A,TRUE,"Gross profit analysis";"HSSH Budget years sterling",#N/A,TRUE,"Cashflow";"HSSH Budget years sterling",#N/A,TRUE,"Balance Sheet"}</definedName>
    <definedName name="Rajasthan" localSheetId="15"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16"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7"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22" hidden="1">{"CEI Budget years sterling",#N/A,TRUE,"Profit and Loss";"CEI Budget years sterling",#N/A,TRUE,"Firm capex";"CEI Budget years sterling",#N/A,TRUE,"Gross profit analysis";"CEI Budget years sterling",#N/A,TRUE,"Cashflow";"CEI Budget years sterling",#N/A,TRUE,"Balance Sheet"}</definedName>
    <definedName name="Rajasthan" hidden="1">{"CEI Budget years sterling",#N/A,TRUE,"Profit and Loss";"CEI Budget years sterling",#N/A,TRUE,"Firm capex";"CEI Budget years sterling",#N/A,TRUE,"Gross profit analysis";"CEI Budget years sterling",#N/A,TRUE,"Cashflow";"CEI Budget years sterling",#N/A,TRUE,"Balance Sheet"}</definedName>
    <definedName name="rst"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7"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22"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SB" localSheetId="15" hidden="1">{"PLC Company Budget years",#N/A,TRUE,"Profit and Loss";"PLC Company Budget years",#N/A,TRUE,"Firm capex";"PLC Company Budget years",#N/A,TRUE,"Gross profit analysis";"PLC Company Budget years",#N/A,TRUE,"Cashflow";"PLC Company Budget years",#N/A,TRUE,"Balance Sheet"}</definedName>
    <definedName name="SB" localSheetId="16" hidden="1">{"PLC Company Budget years",#N/A,TRUE,"Profit and Loss";"PLC Company Budget years",#N/A,TRUE,"Firm capex";"PLC Company Budget years",#N/A,TRUE,"Gross profit analysis";"PLC Company Budget years",#N/A,TRUE,"Cashflow";"PLC Company Budget years",#N/A,TRUE,"Balance Sheet"}</definedName>
    <definedName name="SB" localSheetId="7" hidden="1">{"PLC Company Budget years",#N/A,TRUE,"Profit and Loss";"PLC Company Budget years",#N/A,TRUE,"Firm capex";"PLC Company Budget years",#N/A,TRUE,"Gross profit analysis";"PLC Company Budget years",#N/A,TRUE,"Cashflow";"PLC Company Budget years",#N/A,TRUE,"Balance Sheet"}</definedName>
    <definedName name="SB" localSheetId="22" hidden="1">{"PLC Company Budget years",#N/A,TRUE,"Profit and Loss";"PLC Company Budget years",#N/A,TRUE,"Firm capex";"PLC Company Budget years",#N/A,TRUE,"Gross profit analysis";"PLC Company Budget years",#N/A,TRUE,"Cashflow";"PLC Company Budget years",#N/A,TRUE,"Balance Sheet"}</definedName>
    <definedName name="SB" hidden="1">{"PLC Company Budget years",#N/A,TRUE,"Profit and Loss";"PLC Company Budget years",#N/A,TRUE,"Firm capex";"PLC Company Budget years",#N/A,TRUE,"Gross profit analysis";"PLC Company Budget years",#N/A,TRUE,"Cashflow";"PLC Company Budget years",#N/A,TRUE,"Balance Sheet"}</definedName>
    <definedName name="SDFSADFG" localSheetId="15" hidden="1">{"Group Budget months only",#N/A,TRUE,"Profit and Loss";"Group Budget months only",#N/A,TRUE,"Firm capex";"Group Budget months only",#N/A,TRUE,"Gross profit analysis";"Group Budget months only",#N/A,TRUE,"Cashflow";"Group Budget months only",#N/A,TRUE,"Balance Sheet"}</definedName>
    <definedName name="SDFSADFG" localSheetId="16" hidden="1">{"Group Budget months only",#N/A,TRUE,"Profit and Loss";"Group Budget months only",#N/A,TRUE,"Firm capex";"Group Budget months only",#N/A,TRUE,"Gross profit analysis";"Group Budget months only",#N/A,TRUE,"Cashflow";"Group Budget months only",#N/A,TRUE,"Balance Sheet"}</definedName>
    <definedName name="SDFSADFG" localSheetId="7" hidden="1">{"Group Budget months only",#N/A,TRUE,"Profit and Loss";"Group Budget months only",#N/A,TRUE,"Firm capex";"Group Budget months only",#N/A,TRUE,"Gross profit analysis";"Group Budget months only",#N/A,TRUE,"Cashflow";"Group Budget months only",#N/A,TRUE,"Balance Sheet"}</definedName>
    <definedName name="SDFSADFG" localSheetId="22" hidden="1">{"Group Budget months only",#N/A,TRUE,"Profit and Loss";"Group Budget months only",#N/A,TRUE,"Firm capex";"Group Budget months only",#N/A,TRUE,"Gross profit analysis";"Group Budget months only",#N/A,TRUE,"Cashflow";"Group Budget months only",#N/A,TRUE,"Balance Sheet"}</definedName>
    <definedName name="SDFSADFG" hidden="1">{"Group Budget months only",#N/A,TRUE,"Profit and Loss";"Group Budget months only",#N/A,TRUE,"Firm capex";"Group Budget months only",#N/A,TRUE,"Gross profit analysis";"Group Budget months only",#N/A,TRUE,"Cashflow";"Group Budget months only",#N/A,TRUE,"Balance Sheet"}</definedName>
    <definedName name="sdg" localSheetId="15" hidden="1">{"'All AERs-2000-2001'!$A$5:$K$39"}</definedName>
    <definedName name="sdg" localSheetId="16" hidden="1">{"'All AERs-2000-2001'!$A$5:$K$39"}</definedName>
    <definedName name="sdg" localSheetId="7" hidden="1">{"'All AERs-2000-2001'!$A$5:$K$39"}</definedName>
    <definedName name="sdg" localSheetId="22" hidden="1">{"'All AERs-2000-2001'!$A$5:$K$39"}</definedName>
    <definedName name="sdg" hidden="1">{"'All AERs-2000-2001'!$A$5:$K$39"}</definedName>
    <definedName name="sdgm"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LFKJ" localSheetId="15"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7"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22"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EABKL" localSheetId="15" hidden="1">{"CEGH sub-group budget years sterling",#N/A,TRUE,"Profit and Loss";"CEGH sub-group budget years sterling",#N/A,TRUE,"Firm capex";"CEGH sub-group budget years sterling",#N/A,TRUE,"Cashflow";"CEGH sub-group budget years sterling",#N/A,TRUE,"Balance Sheet"}</definedName>
    <definedName name="SEABKL" localSheetId="16" hidden="1">{"CEGH sub-group budget years sterling",#N/A,TRUE,"Profit and Loss";"CEGH sub-group budget years sterling",#N/A,TRUE,"Firm capex";"CEGH sub-group budget years sterling",#N/A,TRUE,"Cashflow";"CEGH sub-group budget years sterling",#N/A,TRUE,"Balance Sheet"}</definedName>
    <definedName name="SEABKL" localSheetId="7" hidden="1">{"CEGH sub-group budget years sterling",#N/A,TRUE,"Profit and Loss";"CEGH sub-group budget years sterling",#N/A,TRUE,"Firm capex";"CEGH sub-group budget years sterling",#N/A,TRUE,"Cashflow";"CEGH sub-group budget years sterling",#N/A,TRUE,"Balance Sheet"}</definedName>
    <definedName name="SEABKL" localSheetId="22" hidden="1">{"CEGH sub-group budget years sterling",#N/A,TRUE,"Profit and Loss";"CEGH sub-group budget years sterling",#N/A,TRUE,"Firm capex";"CEGH sub-group budget years sterling",#N/A,TRUE,"Cashflow";"CEGH sub-group budget years sterling",#N/A,TRUE,"Balance Sheet"}</definedName>
    <definedName name="SEABKL" hidden="1">{"CEGH sub-group budget years sterling",#N/A,TRUE,"Profit and Loss";"CEGH sub-group budget years sterling",#N/A,TRUE,"Firm capex";"CEGH sub-group budget years sterling",#N/A,TRUE,"Cashflow";"CEGH sub-group budget years sterling",#N/A,TRUE,"Balance Sheet"}</definedName>
    <definedName name="SFLH" localSheetId="15"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16"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7"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22" hidden="1">{"CEA Group Budget years USD",#N/A,TRUE,"Profit and Loss";"CEA Group Budget years USD",#N/A,TRUE,"Firm capex";"CEA Group Budget years USD",#N/A,TRUE,"Gross profit analysis";"CEA Group Budget years USD",#N/A,TRUE,"Cashflow";"CEA Group Budget years USD",#N/A,TRUE,"Balance Sheet"}</definedName>
    <definedName name="SFLH" hidden="1">{"CEA Group Budget years USD",#N/A,TRUE,"Profit and Loss";"CEA Group Budget years USD",#N/A,TRUE,"Firm capex";"CEA Group Budget years USD",#N/A,TRUE,"Gross profit analysis";"CEA Group Budget years USD",#N/A,TRUE,"Cashflow";"CEA Group Budget years USD",#N/A,TRUE,"Balance Sheet"}</definedName>
    <definedName name="SG" localSheetId="15" hidden="1">{"EE4 Budget months only sterling",#N/A,TRUE,"Profit and Loss";"EE4 Budget months only sterling",#N/A,TRUE,"Firm capex";"EE4 Budget months only sterling",#N/A,TRUE,"Cashflow";"EE4 Budget months only sterling",#N/A,TRUE,"Balance Sheet"}</definedName>
    <definedName name="SG" localSheetId="16" hidden="1">{"EE4 Budget months only sterling",#N/A,TRUE,"Profit and Loss";"EE4 Budget months only sterling",#N/A,TRUE,"Firm capex";"EE4 Budget months only sterling",#N/A,TRUE,"Cashflow";"EE4 Budget months only sterling",#N/A,TRUE,"Balance Sheet"}</definedName>
    <definedName name="SG" localSheetId="7" hidden="1">{"EE4 Budget months only sterling",#N/A,TRUE,"Profit and Loss";"EE4 Budget months only sterling",#N/A,TRUE,"Firm capex";"EE4 Budget months only sterling",#N/A,TRUE,"Cashflow";"EE4 Budget months only sterling",#N/A,TRUE,"Balance Sheet"}</definedName>
    <definedName name="SG" localSheetId="22" hidden="1">{"EE4 Budget months only sterling",#N/A,TRUE,"Profit and Loss";"EE4 Budget months only sterling",#N/A,TRUE,"Firm capex";"EE4 Budget months only sterling",#N/A,TRUE,"Cashflow";"EE4 Budget months only sterling",#N/A,TRUE,"Balance Sheet"}</definedName>
    <definedName name="SG" hidden="1">{"EE4 Budget months only sterling",#N/A,TRUE,"Profit and Loss";"EE4 Budget months only sterling",#N/A,TRUE,"Firm capex";"EE4 Budget months only sterling",#N/A,TRUE,"Cashflow";"EE4 Budget months only sterling",#N/A,TRUE,"Balance Sheet"}</definedName>
    <definedName name="sujay" localSheetId="15" hidden="1">{"CEI Budget years sterling",#N/A,TRUE,"Profit and Loss";"CEI Budget years sterling",#N/A,TRUE,"Firm capex";"CEI Budget years sterling",#N/A,TRUE,"Gross profit analysis";"CEI Budget years sterling",#N/A,TRUE,"Cashflow";"CEI Budget years sterling",#N/A,TRUE,"Balance Sheet"}</definedName>
    <definedName name="sujay" localSheetId="16" hidden="1">{"CEI Budget years sterling",#N/A,TRUE,"Profit and Loss";"CEI Budget years sterling",#N/A,TRUE,"Firm capex";"CEI Budget years sterling",#N/A,TRUE,"Gross profit analysis";"CEI Budget years sterling",#N/A,TRUE,"Cashflow";"CEI Budget years sterling",#N/A,TRUE,"Balance Sheet"}</definedName>
    <definedName name="sujay" localSheetId="7" hidden="1">{"CEI Budget years sterling",#N/A,TRUE,"Profit and Loss";"CEI Budget years sterling",#N/A,TRUE,"Firm capex";"CEI Budget years sterling",#N/A,TRUE,"Gross profit analysis";"CEI Budget years sterling",#N/A,TRUE,"Cashflow";"CEI Budget years sterling",#N/A,TRUE,"Balance Sheet"}</definedName>
    <definedName name="sujay" localSheetId="22" hidden="1">{"CEI Budget years sterling",#N/A,TRUE,"Profit and Loss";"CEI Budget years sterling",#N/A,TRUE,"Firm capex";"CEI Budget years sterling",#N/A,TRUE,"Gross profit analysis";"CEI Budget years sterling",#N/A,TRUE,"Cashflow";"CEI Budget years sterling",#N/A,TRUE,"Balance Sheet"}</definedName>
    <definedName name="sujay" hidden="1">{"CEI Budget years sterling",#N/A,TRUE,"Profit and Loss";"CEI Budget years sterling",#N/A,TRUE,"Firm capex";"CEI Budget years sterling",#N/A,TRUE,"Gross profit analysis";"CEI Budget years sterling",#N/A,TRUE,"Cashflow";"CEI Budget years sterling",#N/A,TRUE,"Balance Sheet"}</definedName>
    <definedName name="TEST" localSheetId="15" hidden="1">{"'All AERs-2000-2001'!$A$5:$K$39"}</definedName>
    <definedName name="TEST" localSheetId="16" hidden="1">{"'All AERs-2000-2001'!$A$5:$K$39"}</definedName>
    <definedName name="TEST" localSheetId="7" hidden="1">{"'All AERs-2000-2001'!$A$5:$K$39"}</definedName>
    <definedName name="TEST" localSheetId="22" hidden="1">{"'All AERs-2000-2001'!$A$5:$K$39"}</definedName>
    <definedName name="TEST" hidden="1">{"'All AERs-2000-2001'!$A$5:$K$39"}</definedName>
    <definedName name="trtyy" localSheetId="15"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16"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7"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22" hidden="1">{"CEA Group Budget years USD",#N/A,TRUE,"Profit and Loss";"CEA Group Budget years USD",#N/A,TRUE,"Firm capex";"CEA Group Budget years USD",#N/A,TRUE,"Gross profit analysis";"CEA Group Budget years USD",#N/A,TRUE,"Cashflow";"CEA Group Budget years USD",#N/A,TRUE,"Balance Sheet"}</definedName>
    <definedName name="trtyy" hidden="1">{"CEA Group Budget years USD",#N/A,TRUE,"Profit and Loss";"CEA Group Budget years USD",#N/A,TRUE,"Firm capex";"CEA Group Budget years USD",#N/A,TRUE,"Gross profit analysis";"CEA Group Budget years USD",#N/A,TRUE,"Cashflow";"CEA Group Budget years USD",#N/A,TRUE,"Balance Sheet"}</definedName>
    <definedName name="tyr" localSheetId="15" hidden="1">{"HSSH Budget years sterling",#N/A,TRUE,"Profit and Loss";"HSSH Budget years sterling",#N/A,TRUE,"Firm capex";"HSSH Budget years sterling",#N/A,TRUE,"Gross profit analysis";"HSSH Budget years sterling",#N/A,TRUE,"Cashflow";"HSSH Budget years sterling",#N/A,TRUE,"Balance Sheet"}</definedName>
    <definedName name="tyr" localSheetId="16" hidden="1">{"HSSH Budget years sterling",#N/A,TRUE,"Profit and Loss";"HSSH Budget years sterling",#N/A,TRUE,"Firm capex";"HSSH Budget years sterling",#N/A,TRUE,"Gross profit analysis";"HSSH Budget years sterling",#N/A,TRUE,"Cashflow";"HSSH Budget years sterling",#N/A,TRUE,"Balance Sheet"}</definedName>
    <definedName name="tyr" localSheetId="7" hidden="1">{"HSSH Budget years sterling",#N/A,TRUE,"Profit and Loss";"HSSH Budget years sterling",#N/A,TRUE,"Firm capex";"HSSH Budget years sterling",#N/A,TRUE,"Gross profit analysis";"HSSH Budget years sterling",#N/A,TRUE,"Cashflow";"HSSH Budget years sterling",#N/A,TRUE,"Balance Sheet"}</definedName>
    <definedName name="tyr" localSheetId="22" hidden="1">{"HSSH Budget years sterling",#N/A,TRUE,"Profit and Loss";"HSSH Budget years sterling",#N/A,TRUE,"Firm capex";"HSSH Budget years sterling",#N/A,TRUE,"Gross profit analysis";"HSSH Budget years sterling",#N/A,TRUE,"Cashflow";"HSSH Budget years sterling",#N/A,TRUE,"Balance Sheet"}</definedName>
    <definedName name="tyr" hidden="1">{"HSSH Budget years sterling",#N/A,TRUE,"Profit and Loss";"HSSH Budget years sterling",#N/A,TRUE,"Firm capex";"HSSH Budget years sterling",#N/A,TRUE,"Gross profit analysis";"HSSH Budget years sterling",#N/A,TRUE,"Cashflow";"HSSH Budget years sterling",#N/A,TRUE,"Balance Sheet"}</definedName>
    <definedName name="tyuipoiuop" localSheetId="15" hidden="1">{"EE4 Budget years USD",#N/A,TRUE,"Profit and Loss";"EE4 Budget years USD",#N/A,TRUE,"Firm capex";"EE4 Budget years USD",#N/A,TRUE,"Cashflow";"EE4 Budget years USD",#N/A,TRUE,"Balance Sheet"}</definedName>
    <definedName name="tyuipoiuop" localSheetId="16" hidden="1">{"EE4 Budget years USD",#N/A,TRUE,"Profit and Loss";"EE4 Budget years USD",#N/A,TRUE,"Firm capex";"EE4 Budget years USD",#N/A,TRUE,"Cashflow";"EE4 Budget years USD",#N/A,TRUE,"Balance Sheet"}</definedName>
    <definedName name="tyuipoiuop" localSheetId="7" hidden="1">{"EE4 Budget years USD",#N/A,TRUE,"Profit and Loss";"EE4 Budget years USD",#N/A,TRUE,"Firm capex";"EE4 Budget years USD",#N/A,TRUE,"Cashflow";"EE4 Budget years USD",#N/A,TRUE,"Balance Sheet"}</definedName>
    <definedName name="tyuipoiuop" localSheetId="22" hidden="1">{"EE4 Budget years USD",#N/A,TRUE,"Profit and Loss";"EE4 Budget years USD",#N/A,TRUE,"Firm capex";"EE4 Budget years USD",#N/A,TRUE,"Cashflow";"EE4 Budget years USD",#N/A,TRUE,"Balance Sheet"}</definedName>
    <definedName name="tyuipoiuop" hidden="1">{"EE4 Budget years USD",#N/A,TRUE,"Profit and Loss";"EE4 Budget years USD",#N/A,TRUE,"Firm capex";"EE4 Budget years USD",#N/A,TRUE,"Cashflow";"EE4 Budget years USD",#N/A,TRUE,"Balance Sheet"}</definedName>
    <definedName name="uuu" localSheetId="15" hidden="1">{"EE4 Budget years USD",#N/A,TRUE,"Profit and Loss";"EE4 Budget years USD",#N/A,TRUE,"Firm capex";"EE4 Budget years USD",#N/A,TRUE,"Cashflow";"EE4 Budget years USD",#N/A,TRUE,"Balance Sheet"}</definedName>
    <definedName name="uuu" localSheetId="16" hidden="1">{"EE4 Budget years USD",#N/A,TRUE,"Profit and Loss";"EE4 Budget years USD",#N/A,TRUE,"Firm capex";"EE4 Budget years USD",#N/A,TRUE,"Cashflow";"EE4 Budget years USD",#N/A,TRUE,"Balance Sheet"}</definedName>
    <definedName name="uuu" localSheetId="7" hidden="1">{"EE4 Budget years USD",#N/A,TRUE,"Profit and Loss";"EE4 Budget years USD",#N/A,TRUE,"Firm capex";"EE4 Budget years USD",#N/A,TRUE,"Cashflow";"EE4 Budget years USD",#N/A,TRUE,"Balance Sheet"}</definedName>
    <definedName name="uuu" localSheetId="22" hidden="1">{"EE4 Budget years USD",#N/A,TRUE,"Profit and Loss";"EE4 Budget years USD",#N/A,TRUE,"Firm capex";"EE4 Budget years USD",#N/A,TRUE,"Cashflow";"EE4 Budget years USD",#N/A,TRUE,"Balance Sheet"}</definedName>
    <definedName name="uuu" hidden="1">{"EE4 Budget years USD",#N/A,TRUE,"Profit and Loss";"EE4 Budget years USD",#N/A,TRUE,"Firm capex";"EE4 Budget years USD",#N/A,TRUE,"Cashflow";"EE4 Budget years USD",#N/A,TRUE,"Balance Sheet"}</definedName>
    <definedName name="weatherford"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7"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22"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7"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22" hidden="1">{"CEA Group budget months USD",#N/A,TRUE,"Profit and Loss";"CEA Group budget months USD",#N/A,TRUE,"Firm capex";"CEA Group budget months USD",#N/A,TRUE,"Gross profit analysis";"CEA Group budget months USD",#N/A,TRUE,"Cashflow";"CEA Group budget months USD",#N/A,TRUE,"Balance Sheet"}</definedName>
    <definedName name="wegnb" hidden="1">{"CEA Group budget months USD",#N/A,TRUE,"Profit and Loss";"CEA Group budget months USD",#N/A,TRUE,"Firm capex";"CEA Group budget months USD",#N/A,TRUE,"Gross profit analysis";"CEA Group budget months USD",#N/A,TRUE,"Cashflow";"CEA Group budget months USD",#N/A,TRUE,"Balance Sheet"}</definedName>
    <definedName name="WR" localSheetId="15"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7"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22" hidden="1">{"CEGH sub-group budget months only sterling",#N/A,TRUE,"Profit and Loss";"CEGH sub-group budget months only sterling",#N/A,TRUE,"Firm capex";"CEGH sub-group budget months only sterling",#N/A,TRUE,"Cashflow";"CEGH sub-group budget months only sterling",#N/A,TRUE,"Balance Sheet"}</definedName>
    <definedName name="WR" hidden="1">{"CEGH sub-group budget months only sterling",#N/A,TRUE,"Profit and Loss";"CEGH sub-group budget months only sterling",#N/A,TRUE,"Firm capex";"CEGH sub-group budget months only sterling",#N/A,TRUE,"Cashflow";"CEGH sub-group budget months only sterling",#N/A,TRUE,"Balance Sheet"}</definedName>
    <definedName name="wrn.CEA._.Budget._.months._.sterling."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7"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22"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5"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16"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7"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22"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7"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22"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5"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7"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22"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7"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22"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5" hidden="1">{"CEGH Budget years USD",#N/A,TRUE,"Profit and Loss";"CEGH Budget years USD",#N/A,TRUE,"Firm capex";"CEGH Budget years USD",#N/A,TRUE,"Gross profit analysis";"CEGH Budget years USD",#N/A,TRUE,"Cashflow";"CEGH Budget years USD",#N/A,TRUE,"Balance Sheet"}</definedName>
    <definedName name="wrn.CEGh._.Budget._.years._.USD." localSheetId="16" hidden="1">{"CEGH Budget years USD",#N/A,TRUE,"Profit and Loss";"CEGH Budget years USD",#N/A,TRUE,"Firm capex";"CEGH Budget years USD",#N/A,TRUE,"Gross profit analysis";"CEGH Budget years USD",#N/A,TRUE,"Cashflow";"CEGH Budget years USD",#N/A,TRUE,"Balance Sheet"}</definedName>
    <definedName name="wrn.CEGh._.Budget._.years._.USD." localSheetId="7" hidden="1">{"CEGH Budget years USD",#N/A,TRUE,"Profit and Loss";"CEGH Budget years USD",#N/A,TRUE,"Firm capex";"CEGH Budget years USD",#N/A,TRUE,"Gross profit analysis";"CEGH Budget years USD",#N/A,TRUE,"Cashflow";"CEGH Budget years USD",#N/A,TRUE,"Balance Sheet"}</definedName>
    <definedName name="wrn.CEGh._.Budget._.years._.USD." localSheetId="22" hidden="1">{"CEGH Budget years USD",#N/A,TRUE,"Profit and Loss";"CEGH Budget years USD",#N/A,TRUE,"Firm capex";"CEGH Budget years USD",#N/A,TRUE,"Gross profit analysis";"CEGH Budget years USD",#N/A,TRUE,"Cashflow";"CEGH Budget years USD",#N/A,TRUE,"Balance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5"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7"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22"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5" hidden="1">{"CEGH sub group months USD",#N/A,TRUE,"Profit and Loss";"CEGH sub group months USD",#N/A,TRUE,"Firm capex";"CEGH sub group months USD",#N/A,TRUE,"Cashflow";"CEGH sub group months USD",#N/A,TRUE,"Balance Sheet"}</definedName>
    <definedName name="wrn.CEGH._.sub._.group._.months._.USD." localSheetId="16" hidden="1">{"CEGH sub group months USD",#N/A,TRUE,"Profit and Loss";"CEGH sub group months USD",#N/A,TRUE,"Firm capex";"CEGH sub group months USD",#N/A,TRUE,"Cashflow";"CEGH sub group months USD",#N/A,TRUE,"Balance Sheet"}</definedName>
    <definedName name="wrn.CEGH._.sub._.group._.months._.USD." localSheetId="7" hidden="1">{"CEGH sub group months USD",#N/A,TRUE,"Profit and Loss";"CEGH sub group months USD",#N/A,TRUE,"Firm capex";"CEGH sub group months USD",#N/A,TRUE,"Cashflow";"CEGH sub group months USD",#N/A,TRUE,"Balance Sheet"}</definedName>
    <definedName name="wrn.CEGH._.sub._.group._.months._.USD." localSheetId="22" hidden="1">{"CEGH sub group months USD",#N/A,TRUE,"Profit and Loss";"CEGH sub group months USD",#N/A,TRUE,"Firm capex";"CEGH sub group months USD",#N/A,TRUE,"Cashflow";"CEGH sub group months USD",#N/A,TRUE,"Balance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localSheetId="15"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16"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7"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22" hidden="1">{"CEGH sub-group budget years sterling",#N/A,TRUE,"Profit and Loss";"CEGH sub-group budget years sterling",#N/A,TRUE,"Firm capex";"CEGH sub-group budget years sterling",#N/A,TRUE,"Cashflow";"CEGH sub-group budget years sterling",#N/A,TRUE,"Balance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5" hidden="1">{"CEGH sub-group years USD",#N/A,TRUE,"Profit and Loss";"CEGH sub-group years USD",#N/A,TRUE,"Firm capex";"CEGH sub-group years USD",#N/A,TRUE,"Cashflow";"CEGH sub-group years USD",#N/A,TRUE,"Balance Sheet"}</definedName>
    <definedName name="wrn.CEGH._.sub._.group._.years._.USD." localSheetId="16" hidden="1">{"CEGH sub-group years USD",#N/A,TRUE,"Profit and Loss";"CEGH sub-group years USD",#N/A,TRUE,"Firm capex";"CEGH sub-group years USD",#N/A,TRUE,"Cashflow";"CEGH sub-group years USD",#N/A,TRUE,"Balance Sheet"}</definedName>
    <definedName name="wrn.CEGH._.sub._.group._.years._.USD." localSheetId="7" hidden="1">{"CEGH sub-group years USD",#N/A,TRUE,"Profit and Loss";"CEGH sub-group years USD",#N/A,TRUE,"Firm capex";"CEGH sub-group years USD",#N/A,TRUE,"Cashflow";"CEGH sub-group years USD",#N/A,TRUE,"Balance Sheet"}</definedName>
    <definedName name="wrn.CEGH._.sub._.group._.years._.USD." localSheetId="22" hidden="1">{"CEGH sub-group years USD",#N/A,TRUE,"Profit and Loss";"CEGH sub-group years USD",#N/A,TRUE,"Firm capex";"CEGH sub-group years USD",#N/A,TRUE,"Cashflow";"CEGH sub-group years USD",#N/A,TRUE,"Balance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localSheetId="15"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16"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7"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22"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5" hidden="1">{"CEI budget months USD",#N/A,TRUE,"Profit and Loss";"CEI budget months USD",#N/A,TRUE,"Firm capex";"CEI budget months USD",#N/A,TRUE,"Gross profit analysis";"CEI budget months USD",#N/A,TRUE,"Cashflow";"CEI budget months USD",#N/A,TRUE,"Balance Sheet"}</definedName>
    <definedName name="wrn.CEI._.Budget._.months._.USD." localSheetId="16" hidden="1">{"CEI budget months USD",#N/A,TRUE,"Profit and Loss";"CEI budget months USD",#N/A,TRUE,"Firm capex";"CEI budget months USD",#N/A,TRUE,"Gross profit analysis";"CEI budget months USD",#N/A,TRUE,"Cashflow";"CEI budget months USD",#N/A,TRUE,"Balance Sheet"}</definedName>
    <definedName name="wrn.CEI._.Budget._.months._.USD." localSheetId="7" hidden="1">{"CEI budget months USD",#N/A,TRUE,"Profit and Loss";"CEI budget months USD",#N/A,TRUE,"Firm capex";"CEI budget months USD",#N/A,TRUE,"Gross profit analysis";"CEI budget months USD",#N/A,TRUE,"Cashflow";"CEI budget months USD",#N/A,TRUE,"Balance Sheet"}</definedName>
    <definedName name="wrn.CEI._.Budget._.months._.USD." localSheetId="22" hidden="1">{"CEI budget months USD",#N/A,TRUE,"Profit and Loss";"CEI budget months USD",#N/A,TRUE,"Firm capex";"CEI budget months USD",#N/A,TRUE,"Gross profit analysis";"CEI budget months USD",#N/A,TRUE,"Cashflow";"CEI budget months USD",#N/A,TRUE,"Balance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5"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16"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7"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22"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5" hidden="1">{"CEI Budget years USD",#N/A,TRUE,"Profit and Loss";"CEI Budget years USD",#N/A,TRUE,"Firm capex";"CEI Budget years USD",#N/A,TRUE,"Gross profit analysis";"CEI Budget years USD",#N/A,TRUE,"Cashflow";"CEI Budget years USD",#N/A,TRUE,"Balance Sheet"}</definedName>
    <definedName name="wrn.CEI._.Budget._.years._.USD." localSheetId="16" hidden="1">{"CEI Budget years USD",#N/A,TRUE,"Profit and Loss";"CEI Budget years USD",#N/A,TRUE,"Firm capex";"CEI Budget years USD",#N/A,TRUE,"Gross profit analysis";"CEI Budget years USD",#N/A,TRUE,"Cashflow";"CEI Budget years USD",#N/A,TRUE,"Balance Sheet"}</definedName>
    <definedName name="wrn.CEI._.Budget._.years._.USD." localSheetId="7" hidden="1">{"CEI Budget years USD",#N/A,TRUE,"Profit and Loss";"CEI Budget years USD",#N/A,TRUE,"Firm capex";"CEI Budget years USD",#N/A,TRUE,"Gross profit analysis";"CEI Budget years USD",#N/A,TRUE,"Cashflow";"CEI Budget years USD",#N/A,TRUE,"Balance Sheet"}</definedName>
    <definedName name="wrn.CEI._.Budget._.years._.USD." localSheetId="22" hidden="1">{"CEI Budget years USD",#N/A,TRUE,"Profit and Loss";"CEI Budget years USD",#N/A,TRUE,"Firm capex";"CEI Budget years USD",#N/A,TRUE,"Gross profit analysis";"CEI Budget years USD",#N/A,TRUE,"Cashflow";"CEI Budget years USD",#N/A,TRUE,"Balance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EE4._.Budget._.months._.sterling." localSheetId="15" hidden="1">{"EE4 Budget months only sterling",#N/A,TRUE,"Profit and Loss";"EE4 Budget months only sterling",#N/A,TRUE,"Firm capex";"EE4 Budget months only sterling",#N/A,TRUE,"Cashflow";"EE4 Budget months only sterling",#N/A,TRUE,"Balance Sheet"}</definedName>
    <definedName name="wrn.EE4._.Budget._.months._.sterling." localSheetId="16" hidden="1">{"EE4 Budget months only sterling",#N/A,TRUE,"Profit and Loss";"EE4 Budget months only sterling",#N/A,TRUE,"Firm capex";"EE4 Budget months only sterling",#N/A,TRUE,"Cashflow";"EE4 Budget months only sterling",#N/A,TRUE,"Balance Sheet"}</definedName>
    <definedName name="wrn.EE4._.Budget._.months._.sterling." localSheetId="7" hidden="1">{"EE4 Budget months only sterling",#N/A,TRUE,"Profit and Loss";"EE4 Budget months only sterling",#N/A,TRUE,"Firm capex";"EE4 Budget months only sterling",#N/A,TRUE,"Cashflow";"EE4 Budget months only sterling",#N/A,TRUE,"Balance Sheet"}</definedName>
    <definedName name="wrn.EE4._.Budget._.months._.sterling." localSheetId="22" hidden="1">{"EE4 Budget months only sterling",#N/A,TRUE,"Profit and Loss";"EE4 Budget months only sterling",#N/A,TRUE,"Firm capex";"EE4 Budget months only sterling",#N/A,TRUE,"Cashflow";"EE4 Budget months only sterling",#N/A,TRUE,"Balance Sheet"}</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localSheetId="15" hidden="1">{"EE4 Budget months only in USD",#N/A,TRUE,"Profit and Loss";"EE4 Budget months only in USD",#N/A,TRUE,"Firm capex";"EE4 Budget months only in USD",#N/A,TRUE,"Cashflow";"EE4 Budget months only in USD",#N/A,TRUE,"Balance Sheet"}</definedName>
    <definedName name="wrn.EE4._.Budget._.months._.USD." localSheetId="16" hidden="1">{"EE4 Budget months only in USD",#N/A,TRUE,"Profit and Loss";"EE4 Budget months only in USD",#N/A,TRUE,"Firm capex";"EE4 Budget months only in USD",#N/A,TRUE,"Cashflow";"EE4 Budget months only in USD",#N/A,TRUE,"Balance Sheet"}</definedName>
    <definedName name="wrn.EE4._.Budget._.months._.USD." localSheetId="7" hidden="1">{"EE4 Budget months only in USD",#N/A,TRUE,"Profit and Loss";"EE4 Budget months only in USD",#N/A,TRUE,"Firm capex";"EE4 Budget months only in USD",#N/A,TRUE,"Cashflow";"EE4 Budget months only in USD",#N/A,TRUE,"Balance Sheet"}</definedName>
    <definedName name="wrn.EE4._.Budget._.months._.USD." localSheetId="22" hidden="1">{"EE4 Budget months only in USD",#N/A,TRUE,"Profit and Loss";"EE4 Budget months only in USD",#N/A,TRUE,"Firm capex";"EE4 Budget months only in USD",#N/A,TRUE,"Cashflow";"EE4 Budget months only in USD",#N/A,TRUE,"Balance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localSheetId="15" hidden="1">{"EE4 Budget years sterling",#N/A,TRUE,"Profit and Loss";"EE4 Budget years sterling",#N/A,TRUE,"Firm capex";"EE4 Budget years sterling",#N/A,TRUE,"Cashflow";"EE4 Budget years sterling",#N/A,TRUE,"Balance Sheet"}</definedName>
    <definedName name="wrn.EE4._.budget._.years._.sterling." localSheetId="16" hidden="1">{"EE4 Budget years sterling",#N/A,TRUE,"Profit and Loss";"EE4 Budget years sterling",#N/A,TRUE,"Firm capex";"EE4 Budget years sterling",#N/A,TRUE,"Cashflow";"EE4 Budget years sterling",#N/A,TRUE,"Balance Sheet"}</definedName>
    <definedName name="wrn.EE4._.budget._.years._.sterling." localSheetId="7" hidden="1">{"EE4 Budget years sterling",#N/A,TRUE,"Profit and Loss";"EE4 Budget years sterling",#N/A,TRUE,"Firm capex";"EE4 Budget years sterling",#N/A,TRUE,"Cashflow";"EE4 Budget years sterling",#N/A,TRUE,"Balance Sheet"}</definedName>
    <definedName name="wrn.EE4._.budget._.years._.sterling." localSheetId="22" hidden="1">{"EE4 Budget years sterling",#N/A,TRUE,"Profit and Loss";"EE4 Budget years sterling",#N/A,TRUE,"Firm capex";"EE4 Budget years sterling",#N/A,TRUE,"Cashflow";"EE4 Budget years sterling",#N/A,TRUE,"Balance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localSheetId="15" hidden="1">{"EE4 Budget years USD",#N/A,TRUE,"Profit and Loss";"EE4 Budget years USD",#N/A,TRUE,"Firm capex";"EE4 Budget years USD",#N/A,TRUE,"Cashflow";"EE4 Budget years USD",#N/A,TRUE,"Balance Sheet"}</definedName>
    <definedName name="wrn.EE4._.Budget._.years._.USD." localSheetId="16" hidden="1">{"EE4 Budget years USD",#N/A,TRUE,"Profit and Loss";"EE4 Budget years USD",#N/A,TRUE,"Firm capex";"EE4 Budget years USD",#N/A,TRUE,"Cashflow";"EE4 Budget years USD",#N/A,TRUE,"Balance Sheet"}</definedName>
    <definedName name="wrn.EE4._.Budget._.years._.USD." localSheetId="7" hidden="1">{"EE4 Budget years USD",#N/A,TRUE,"Profit and Loss";"EE4 Budget years USD",#N/A,TRUE,"Firm capex";"EE4 Budget years USD",#N/A,TRUE,"Cashflow";"EE4 Budget years USD",#N/A,TRUE,"Balance Sheet"}</definedName>
    <definedName name="wrn.EE4._.Budget._.years._.USD." localSheetId="22" hidden="1">{"EE4 Budget years USD",#N/A,TRUE,"Profit and Loss";"EE4 Budget years USD",#N/A,TRUE,"Firm capex";"EE4 Budget years USD",#N/A,TRUE,"Cashflow";"EE4 Budget years USD",#N/A,TRUE,"Balance Sheet"}</definedName>
    <definedName name="wrn.EE4._.Budget._.years._.USD." hidden="1">{"EE4 Budget years USD",#N/A,TRUE,"Profit and Loss";"EE4 Budget years USD",#N/A,TRUE,"Firm capex";"EE4 Budget years USD",#N/A,TRUE,"Cashflow";"EE4 Budget years USD",#N/A,TRUE,"Balance Sheet"}</definedName>
    <definedName name="wrn.Group._.budget._.months._.only." localSheetId="15"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16"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7"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22"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5"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16"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7"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22" hidden="1">{"Group Budget years only",#N/A,TRUE,"Profit and Loss";"Group Budget years only",#N/A,TRUE,"Firm capex";"Group Budget years only",#N/A,TRUE,"Gross profit analysis";"Group Budget years only",#N/A,TRUE,"Cashflow";"Group Budget years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HSSH._.budget._.months._.NLG." localSheetId="15"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16"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7"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22"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5"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7"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22"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5" hidden="1">{"HSSH Budget years NLG",#N/A,TRUE,"Profit and Loss";"HSSH Budget years NLG",#N/A,TRUE,"Firm capex";"HSSH Budget years NLG",#N/A,TRUE,"Gross profit analysis";"HSSH Budget years NLG",#N/A,TRUE,"Cashflow";"HSSH Budget years NLG",#N/A,TRUE,"Balance Sheet"}</definedName>
    <definedName name="wrn.HSSH._.budget._.years._.NLG." localSheetId="16" hidden="1">{"HSSH Budget years NLG",#N/A,TRUE,"Profit and Loss";"HSSH Budget years NLG",#N/A,TRUE,"Firm capex";"HSSH Budget years NLG",#N/A,TRUE,"Gross profit analysis";"HSSH Budget years NLG",#N/A,TRUE,"Cashflow";"HSSH Budget years NLG",#N/A,TRUE,"Balance Sheet"}</definedName>
    <definedName name="wrn.HSSH._.budget._.years._.NLG." localSheetId="7" hidden="1">{"HSSH Budget years NLG",#N/A,TRUE,"Profit and Loss";"HSSH Budget years NLG",#N/A,TRUE,"Firm capex";"HSSH Budget years NLG",#N/A,TRUE,"Gross profit analysis";"HSSH Budget years NLG",#N/A,TRUE,"Cashflow";"HSSH Budget years NLG",#N/A,TRUE,"Balance Sheet"}</definedName>
    <definedName name="wrn.HSSH._.budget._.years._.NLG." localSheetId="22" hidden="1">{"HSSH Budget years NLG",#N/A,TRUE,"Profit and Loss";"HSSH Budget years NLG",#N/A,TRUE,"Firm capex";"HSSH Budget years NLG",#N/A,TRUE,"Gross profit analysis";"HSSH Budget years NLG",#N/A,TRUE,"Cashflow";"HSSH Budget years NLG",#N/A,TRUE,"Balance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5"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16"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7"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22"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imprim."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7"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22"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OBM." localSheetId="15" hidden="1">{#N/A,#N/A,FALSE,"Oil-Based Mud"}</definedName>
    <definedName name="wrn.OBM." localSheetId="16" hidden="1">{#N/A,#N/A,FALSE,"Oil-Based Mud"}</definedName>
    <definedName name="wrn.OBM." localSheetId="7" hidden="1">{#N/A,#N/A,FALSE,"Oil-Based Mud"}</definedName>
    <definedName name="wrn.OBM." localSheetId="22" hidden="1">{#N/A,#N/A,FALSE,"Oil-Based Mud"}</definedName>
    <definedName name="wrn.OBM." hidden="1">{#N/A,#N/A,FALSE,"Oil-Based Mud"}</definedName>
    <definedName name="wrn.PLC._.Co.._.budget._.months." localSheetId="15"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16"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7"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22"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5"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16"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7"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22"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YEARS" localSheetId="15" hidden="1">{"HSSH Budget years sterling",#N/A,TRUE,"Profit and Loss";"HSSH Budget years sterling",#N/A,TRUE,"Firm capex";"HSSH Budget years sterling",#N/A,TRUE,"Gross profit analysis";"HSSH Budget years sterling",#N/A,TRUE,"Cashflow";"HSSH Budget years sterling",#N/A,TRUE,"Balance Sheet"}</definedName>
    <definedName name="YEARS" localSheetId="16" hidden="1">{"HSSH Budget years sterling",#N/A,TRUE,"Profit and Loss";"HSSH Budget years sterling",#N/A,TRUE,"Firm capex";"HSSH Budget years sterling",#N/A,TRUE,"Gross profit analysis";"HSSH Budget years sterling",#N/A,TRUE,"Cashflow";"HSSH Budget years sterling",#N/A,TRUE,"Balance Sheet"}</definedName>
    <definedName name="YEARS" localSheetId="7" hidden="1">{"HSSH Budget years sterling",#N/A,TRUE,"Profit and Loss";"HSSH Budget years sterling",#N/A,TRUE,"Firm capex";"HSSH Budget years sterling",#N/A,TRUE,"Gross profit analysis";"HSSH Budget years sterling",#N/A,TRUE,"Cashflow";"HSSH Budget years sterling",#N/A,TRUE,"Balance Sheet"}</definedName>
    <definedName name="YEARS" localSheetId="22" hidden="1">{"HSSH Budget years sterling",#N/A,TRUE,"Profit and Loss";"HSSH Budget years sterling",#N/A,TRUE,"Firm capex";"HSSH Budget years sterling",#N/A,TRUE,"Gross profit analysis";"HSSH Budget years sterling",#N/A,TRUE,"Cashflow";"HSSH Budget years sterling",#N/A,TRUE,"Balance Sheet"}</definedName>
    <definedName name="YEARS" hidden="1">{"HSSH Budget years sterling",#N/A,TRUE,"Profit and Loss";"HSSH Budget years sterling",#N/A,TRUE,"Firm capex";"HSSH Budget years sterling",#N/A,TRUE,"Gross profit analysis";"HSSH Budget years sterling",#N/A,TRUE,"Cashflow";"HSSH Budget years sterling",#N/A,TRUE,"Balance Sheet"}</definedName>
    <definedName name="Z" localSheetId="15"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Z" localSheetId="16"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Z" localSheetId="7"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Z" localSheetId="22"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Z"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11" l="1"/>
  <c r="E10" i="11"/>
  <c r="D11" i="11"/>
  <c r="E11" i="11"/>
  <c r="D12" i="11"/>
  <c r="E12" i="11"/>
  <c r="D13" i="11"/>
  <c r="E13" i="11"/>
  <c r="D14" i="11"/>
  <c r="E14" i="11"/>
  <c r="D15" i="11"/>
  <c r="E15" i="11"/>
  <c r="D16" i="11"/>
  <c r="E16" i="11"/>
  <c r="D17" i="11"/>
  <c r="E17" i="11"/>
  <c r="D18" i="11"/>
  <c r="E18" i="11"/>
  <c r="D19" i="11"/>
  <c r="E19" i="11"/>
  <c r="D20" i="11"/>
  <c r="E20" i="11"/>
  <c r="D21" i="11"/>
  <c r="E21" i="11"/>
  <c r="D22" i="11"/>
  <c r="E22" i="11"/>
  <c r="D23" i="11"/>
  <c r="E23" i="11"/>
  <c r="D24" i="11"/>
  <c r="E24" i="11"/>
  <c r="D25" i="11"/>
  <c r="E25" i="11"/>
  <c r="D26" i="11"/>
  <c r="E26" i="11"/>
  <c r="D27" i="11"/>
  <c r="E27" i="11"/>
  <c r="D28" i="11"/>
  <c r="E28" i="11"/>
  <c r="D29" i="11"/>
  <c r="E29" i="11"/>
  <c r="D30" i="11"/>
  <c r="E30" i="11"/>
  <c r="D31" i="11"/>
  <c r="E31" i="11"/>
  <c r="D32" i="11"/>
  <c r="E32" i="11"/>
  <c r="D33" i="11"/>
  <c r="E33" i="11"/>
  <c r="D34" i="11"/>
  <c r="E34" i="11"/>
  <c r="D35" i="11"/>
  <c r="E35" i="11"/>
  <c r="D36" i="11"/>
  <c r="E36" i="11"/>
  <c r="D37" i="11"/>
  <c r="E37" i="11"/>
  <c r="D38" i="11"/>
  <c r="E38" i="11"/>
  <c r="D39" i="11"/>
  <c r="E39" i="11"/>
  <c r="D40" i="11"/>
  <c r="E40" i="11"/>
  <c r="D41" i="11"/>
  <c r="E41" i="11"/>
  <c r="D42" i="11"/>
  <c r="E42" i="11"/>
  <c r="D43" i="11"/>
  <c r="E43" i="11"/>
  <c r="D44" i="11"/>
  <c r="E44" i="11"/>
  <c r="D45" i="11"/>
  <c r="E45" i="11"/>
  <c r="D46" i="11"/>
  <c r="E46" i="11"/>
  <c r="D47" i="11"/>
  <c r="E47" i="11"/>
  <c r="D48" i="11"/>
  <c r="E48" i="11"/>
  <c r="D49" i="11"/>
  <c r="E49" i="11"/>
  <c r="D50" i="11"/>
  <c r="E50" i="11"/>
  <c r="D51" i="11"/>
  <c r="E51" i="11"/>
  <c r="D52" i="11"/>
  <c r="E52" i="11"/>
  <c r="D53" i="11"/>
  <c r="E53" i="11"/>
  <c r="D54" i="11"/>
  <c r="E54" i="11"/>
  <c r="D55" i="11"/>
  <c r="E55" i="11"/>
  <c r="D56" i="11"/>
  <c r="E56" i="11"/>
  <c r="D57" i="11"/>
  <c r="E57" i="11"/>
  <c r="E9" i="11"/>
  <c r="D9" i="11"/>
  <c r="D10" i="47"/>
  <c r="E10" i="47"/>
  <c r="D11" i="47"/>
  <c r="E11" i="47"/>
  <c r="D12" i="47"/>
  <c r="E12" i="47"/>
  <c r="D13" i="47"/>
  <c r="E13" i="47"/>
  <c r="D14" i="47"/>
  <c r="E14" i="47"/>
  <c r="D15" i="47"/>
  <c r="E15" i="47"/>
  <c r="D16" i="47"/>
  <c r="E16" i="47"/>
  <c r="D17" i="47"/>
  <c r="E17" i="47"/>
  <c r="D18" i="47"/>
  <c r="E18" i="47"/>
  <c r="D19" i="47"/>
  <c r="E19" i="47"/>
  <c r="D20" i="47"/>
  <c r="E20" i="47"/>
  <c r="D21" i="47"/>
  <c r="E21" i="47"/>
  <c r="D22" i="47"/>
  <c r="E22" i="47"/>
  <c r="D23" i="47"/>
  <c r="E23" i="47"/>
  <c r="D24" i="47"/>
  <c r="E24" i="47"/>
  <c r="D25" i="47"/>
  <c r="E25" i="47"/>
  <c r="D26" i="47"/>
  <c r="E26" i="47"/>
  <c r="D27" i="47"/>
  <c r="E27" i="47"/>
  <c r="D28" i="47"/>
  <c r="E28" i="47"/>
  <c r="D29" i="47"/>
  <c r="E29" i="47"/>
  <c r="D30" i="47"/>
  <c r="E30" i="47"/>
  <c r="D31" i="47"/>
  <c r="E31" i="47"/>
  <c r="E9" i="47"/>
  <c r="D9" i="47"/>
  <c r="L30" i="53"/>
  <c r="K30" i="53"/>
  <c r="J30" i="53"/>
  <c r="I30" i="53"/>
  <c r="H30" i="53"/>
  <c r="I18" i="53"/>
  <c r="J18" i="53"/>
  <c r="K18" i="53"/>
  <c r="L18" i="53"/>
  <c r="H18" i="53"/>
  <c r="C26" i="28"/>
  <c r="D26" i="28"/>
  <c r="E26" i="28"/>
  <c r="F26" i="28"/>
  <c r="G26" i="28"/>
  <c r="H26" i="28"/>
  <c r="I26" i="28"/>
  <c r="J26" i="28"/>
  <c r="K26" i="28"/>
  <c r="B26" i="28"/>
  <c r="L29" i="52"/>
  <c r="K29" i="52"/>
  <c r="J29" i="52"/>
  <c r="I29" i="52"/>
  <c r="H29" i="52"/>
  <c r="I17" i="52"/>
  <c r="J17" i="52"/>
  <c r="K17" i="52"/>
  <c r="L17" i="52"/>
  <c r="H17" i="52"/>
  <c r="E11" i="45"/>
  <c r="F11" i="45"/>
  <c r="E12" i="45"/>
  <c r="F12" i="45"/>
  <c r="E13" i="45"/>
  <c r="F13" i="45"/>
  <c r="E14" i="45"/>
  <c r="F14" i="45"/>
  <c r="E15" i="45"/>
  <c r="F15" i="45"/>
  <c r="E16" i="45"/>
  <c r="F16" i="45"/>
  <c r="E17" i="45"/>
  <c r="F17" i="45"/>
  <c r="E18" i="45"/>
  <c r="F18" i="45"/>
  <c r="E19" i="45"/>
  <c r="F19" i="45"/>
  <c r="E20" i="45"/>
  <c r="F20" i="45"/>
  <c r="E21" i="45"/>
  <c r="F21" i="45"/>
  <c r="E22" i="45"/>
  <c r="F22" i="45"/>
  <c r="E23" i="45"/>
  <c r="F23" i="45"/>
  <c r="E24" i="45"/>
  <c r="F24" i="45"/>
  <c r="E25" i="45"/>
  <c r="F25" i="45"/>
  <c r="E26" i="45"/>
  <c r="F26" i="45"/>
  <c r="E27" i="45"/>
  <c r="F27" i="45"/>
  <c r="E28" i="45"/>
  <c r="F28" i="45"/>
  <c r="E29" i="45"/>
  <c r="F29" i="45"/>
  <c r="E30" i="45"/>
  <c r="F30" i="45"/>
  <c r="E31" i="45"/>
  <c r="F31" i="45"/>
  <c r="E32" i="45"/>
  <c r="F32" i="45"/>
  <c r="E33" i="45"/>
  <c r="F33" i="45"/>
  <c r="E34" i="45"/>
  <c r="F34" i="45"/>
  <c r="E35" i="45"/>
  <c r="F35" i="45"/>
  <c r="E36" i="45"/>
  <c r="F36" i="45"/>
  <c r="F10" i="45"/>
  <c r="E10" i="45"/>
  <c r="F10" i="10"/>
  <c r="G10" i="10"/>
  <c r="F11" i="10"/>
  <c r="G11" i="10"/>
  <c r="F12" i="10"/>
  <c r="G12" i="10"/>
  <c r="F13" i="10"/>
  <c r="G13" i="10"/>
  <c r="F14" i="10"/>
  <c r="G14" i="10"/>
  <c r="F15" i="10"/>
  <c r="G15" i="10"/>
  <c r="G9" i="10"/>
  <c r="F9" i="10"/>
  <c r="E12" i="43"/>
  <c r="F12" i="43"/>
  <c r="E13" i="43"/>
  <c r="F13" i="43"/>
  <c r="E14" i="43"/>
  <c r="F14" i="43"/>
  <c r="E15" i="43"/>
  <c r="F15" i="43"/>
  <c r="E16" i="43"/>
  <c r="F16" i="43"/>
  <c r="E17" i="43"/>
  <c r="F17" i="43"/>
  <c r="E18" i="43"/>
  <c r="F18" i="43"/>
  <c r="E19" i="43"/>
  <c r="F19" i="43"/>
  <c r="E20" i="43"/>
  <c r="F20" i="43"/>
  <c r="E21" i="43"/>
  <c r="F21" i="43"/>
  <c r="E22" i="43"/>
  <c r="F22" i="43"/>
  <c r="E23" i="43"/>
  <c r="F23" i="43"/>
  <c r="E24" i="43"/>
  <c r="F24" i="43"/>
  <c r="E25" i="43"/>
  <c r="F25" i="43"/>
  <c r="E26" i="43"/>
  <c r="F26" i="43"/>
  <c r="E27" i="43"/>
  <c r="F27" i="43"/>
  <c r="E28" i="43"/>
  <c r="F28" i="43"/>
  <c r="E29" i="43"/>
  <c r="F29" i="43"/>
  <c r="E30" i="43"/>
  <c r="F30" i="43"/>
  <c r="E31" i="43"/>
  <c r="F31" i="43"/>
  <c r="E32" i="43"/>
  <c r="F32" i="43"/>
  <c r="E33" i="43"/>
  <c r="F33" i="43"/>
  <c r="E34" i="43"/>
  <c r="F34" i="43"/>
  <c r="E35" i="43"/>
  <c r="F35" i="43"/>
  <c r="E36" i="43"/>
  <c r="F36" i="43"/>
  <c r="E37" i="43"/>
  <c r="F37" i="43"/>
  <c r="E38" i="43"/>
  <c r="F38" i="43"/>
  <c r="E39" i="43"/>
  <c r="F39" i="43"/>
  <c r="E40" i="43"/>
  <c r="F40" i="43"/>
  <c r="E41" i="43"/>
  <c r="F41" i="43"/>
  <c r="E42" i="43"/>
  <c r="F42" i="43"/>
  <c r="E43" i="43"/>
  <c r="F43" i="43"/>
  <c r="F11" i="43"/>
  <c r="E11" i="43"/>
  <c r="F10" i="9"/>
  <c r="G10" i="9"/>
  <c r="F11" i="9"/>
  <c r="F12" i="9"/>
  <c r="F13" i="9"/>
  <c r="G13" i="9"/>
  <c r="F14" i="9"/>
  <c r="G14" i="9"/>
  <c r="F15" i="9"/>
  <c r="G15" i="9"/>
  <c r="F16" i="9"/>
  <c r="G16" i="9"/>
  <c r="F17" i="9"/>
  <c r="G17" i="9"/>
  <c r="F18" i="9"/>
  <c r="G18" i="9"/>
  <c r="F19" i="9"/>
  <c r="G19" i="9"/>
  <c r="F20" i="9"/>
  <c r="G20" i="9"/>
  <c r="F21" i="9"/>
  <c r="G21" i="9"/>
  <c r="F22" i="9"/>
  <c r="G22" i="9"/>
  <c r="F23" i="9"/>
  <c r="F24" i="9"/>
  <c r="G24" i="9"/>
  <c r="F25" i="9"/>
  <c r="G25" i="9"/>
  <c r="F26" i="9"/>
  <c r="G26" i="9"/>
  <c r="F27" i="9"/>
  <c r="F28" i="9"/>
  <c r="G28" i="9"/>
  <c r="F29" i="9"/>
  <c r="F30" i="9"/>
  <c r="G30" i="9"/>
  <c r="F31" i="9"/>
  <c r="G31" i="9"/>
  <c r="F32" i="9"/>
  <c r="G32" i="9"/>
  <c r="F33" i="9"/>
  <c r="G33" i="9"/>
  <c r="F34" i="9"/>
  <c r="G9" i="9"/>
  <c r="F9" i="9"/>
  <c r="E43" i="8"/>
  <c r="F43" i="8"/>
  <c r="E14" i="8"/>
  <c r="E15" i="8"/>
  <c r="E16" i="8"/>
  <c r="E17" i="8"/>
  <c r="E18" i="8"/>
  <c r="E19" i="8"/>
  <c r="E20" i="8"/>
  <c r="E21" i="8"/>
  <c r="E22" i="8"/>
  <c r="E23" i="8"/>
  <c r="E24" i="8"/>
  <c r="E26" i="8"/>
  <c r="E27" i="8"/>
  <c r="E28" i="8"/>
  <c r="E29" i="8"/>
  <c r="E30" i="8"/>
  <c r="E31" i="8"/>
  <c r="E32" i="8"/>
  <c r="E33" i="8"/>
  <c r="E34" i="8"/>
  <c r="E35" i="8"/>
  <c r="F35" i="8"/>
  <c r="E36" i="8"/>
  <c r="F36" i="8"/>
  <c r="E37" i="8"/>
  <c r="F37" i="8"/>
  <c r="E38" i="8"/>
  <c r="F38" i="8"/>
  <c r="E39" i="8"/>
  <c r="F39" i="8"/>
  <c r="E40" i="8"/>
  <c r="F40" i="8"/>
  <c r="E41" i="8"/>
  <c r="F41" i="8"/>
  <c r="E42" i="8"/>
  <c r="F42" i="8"/>
  <c r="G45" i="59"/>
  <c r="E36" i="59"/>
  <c r="C15" i="43"/>
  <c r="B13" i="45"/>
  <c r="M144" i="44"/>
  <c r="N144" i="44"/>
  <c r="N61" i="44"/>
  <c r="O6" i="48"/>
  <c r="N6" i="48"/>
  <c r="E152" i="48"/>
  <c r="O5" i="48"/>
  <c r="E149" i="48"/>
  <c r="N144" i="48"/>
  <c r="O144" i="48"/>
  <c r="N146" i="48"/>
  <c r="Q147" i="48"/>
  <c r="R147" i="48"/>
  <c r="N150" i="48"/>
  <c r="M333" i="44"/>
  <c r="N59" i="44"/>
  <c r="E146" i="48"/>
  <c r="N23" i="44"/>
  <c r="M284" i="44"/>
  <c r="E142" i="48"/>
  <c r="M26" i="44"/>
  <c r="E138" i="48"/>
  <c r="P6" i="48" l="1"/>
  <c r="M142" i="44" l="1"/>
  <c r="D129" i="48" l="1"/>
  <c r="E130" i="48" l="1"/>
  <c r="M218" i="44"/>
  <c r="C48" i="56"/>
  <c r="E48" i="56"/>
  <c r="E46" i="56"/>
  <c r="E43" i="56"/>
  <c r="B50" i="56"/>
  <c r="E50" i="56" l="1"/>
  <c r="B51" i="56"/>
  <c r="E51" i="56"/>
  <c r="E49" i="56"/>
  <c r="E45" i="56"/>
  <c r="E42" i="56"/>
  <c r="E127" i="48" l="1"/>
  <c r="N75" i="44" l="1"/>
  <c r="M20" i="44"/>
  <c r="E123" i="48"/>
  <c r="M87" i="44"/>
  <c r="N21" i="44"/>
  <c r="E109" i="48" l="1"/>
  <c r="N178" i="44" s="1"/>
  <c r="D88" i="48"/>
  <c r="M178" i="44" s="1"/>
  <c r="D58" i="48"/>
  <c r="E59" i="48" l="1"/>
  <c r="N182" i="44" s="1"/>
  <c r="E55" i="48"/>
  <c r="N333" i="44" s="1"/>
  <c r="M234" i="44"/>
  <c r="E38" i="48"/>
  <c r="N87" i="44" s="1"/>
  <c r="E35" i="48"/>
  <c r="N266" i="44" s="1"/>
  <c r="J109" i="44" l="1"/>
  <c r="H73" i="44"/>
  <c r="E28" i="48" l="1"/>
  <c r="N92" i="44" s="1"/>
  <c r="M286" i="44"/>
  <c r="M287" i="44"/>
  <c r="F8" i="40"/>
  <c r="M298" i="44"/>
  <c r="M97" i="44"/>
  <c r="E23" i="48"/>
  <c r="N169" i="44" s="1"/>
  <c r="R32" i="8" l="1"/>
  <c r="R26" i="8"/>
  <c r="R24" i="8" l="1"/>
  <c r="S24" i="8" s="1"/>
  <c r="R30" i="8"/>
  <c r="R31" i="8"/>
  <c r="R25" i="8"/>
  <c r="S25" i="8" s="1"/>
  <c r="K89" i="44"/>
  <c r="B34" i="54" l="1"/>
  <c r="C34" i="54"/>
  <c r="D34" i="54"/>
  <c r="E34" i="54"/>
  <c r="B39" i="54"/>
  <c r="C39" i="54"/>
  <c r="C38" i="54" s="1"/>
  <c r="D39" i="54"/>
  <c r="E39" i="54"/>
  <c r="C35" i="54" l="1"/>
  <c r="E38" i="54"/>
  <c r="M92" i="44" l="1"/>
  <c r="E15" i="48"/>
  <c r="N97" i="44" s="1"/>
  <c r="D10" i="48" l="1"/>
  <c r="M41" i="44" s="1"/>
  <c r="M320" i="44"/>
  <c r="E7" i="48"/>
  <c r="N41" i="44" s="1"/>
  <c r="E11" i="48" l="1"/>
  <c r="N320" i="44" s="1"/>
  <c r="E9" i="13" l="1"/>
  <c r="U135" i="44"/>
  <c r="U134" i="44"/>
  <c r="G14" i="53"/>
  <c r="G15" i="53"/>
  <c r="G16" i="53"/>
  <c r="D24" i="10"/>
  <c r="B24" i="10"/>
  <c r="K10" i="44"/>
  <c r="L10" i="44"/>
  <c r="K11" i="44"/>
  <c r="L11" i="44"/>
  <c r="K12" i="44"/>
  <c r="L12" i="44"/>
  <c r="K13" i="44"/>
  <c r="L13" i="44"/>
  <c r="K14" i="44"/>
  <c r="L14" i="44"/>
  <c r="K15" i="44"/>
  <c r="L15" i="44"/>
  <c r="K16" i="44"/>
  <c r="L16" i="44"/>
  <c r="K17" i="44"/>
  <c r="L17" i="44"/>
  <c r="K18" i="44"/>
  <c r="L18" i="44"/>
  <c r="K19" i="44"/>
  <c r="L19" i="44"/>
  <c r="K20" i="44"/>
  <c r="L20" i="44"/>
  <c r="K21" i="44"/>
  <c r="L21" i="44"/>
  <c r="K22" i="44"/>
  <c r="L22" i="44"/>
  <c r="K23" i="44"/>
  <c r="L23" i="44"/>
  <c r="K24" i="44"/>
  <c r="L24" i="44"/>
  <c r="K25" i="44"/>
  <c r="L25" i="44"/>
  <c r="K26" i="44"/>
  <c r="L26" i="44"/>
  <c r="K27" i="44"/>
  <c r="L27" i="44"/>
  <c r="K28" i="44"/>
  <c r="L28" i="44"/>
  <c r="K29" i="44"/>
  <c r="L29" i="44"/>
  <c r="K30" i="44"/>
  <c r="L30" i="44"/>
  <c r="K31" i="44"/>
  <c r="L31" i="44"/>
  <c r="K32" i="44"/>
  <c r="L32" i="44"/>
  <c r="K33" i="44"/>
  <c r="L33" i="44"/>
  <c r="K34" i="44"/>
  <c r="L34" i="44"/>
  <c r="K35" i="44"/>
  <c r="L35" i="44"/>
  <c r="K36" i="44"/>
  <c r="L36" i="44"/>
  <c r="K37" i="44"/>
  <c r="L37" i="44"/>
  <c r="K38" i="44"/>
  <c r="L38" i="44"/>
  <c r="K39" i="44"/>
  <c r="L39" i="44"/>
  <c r="K40" i="44"/>
  <c r="L40" i="44"/>
  <c r="K41" i="44"/>
  <c r="L41" i="44"/>
  <c r="K42" i="44"/>
  <c r="L42" i="44"/>
  <c r="K43" i="44"/>
  <c r="L43" i="44"/>
  <c r="K44" i="44"/>
  <c r="L44" i="44"/>
  <c r="K45" i="44"/>
  <c r="L45" i="44"/>
  <c r="K46" i="44"/>
  <c r="L46" i="44"/>
  <c r="K47" i="44"/>
  <c r="L47" i="44"/>
  <c r="K48" i="44"/>
  <c r="L48" i="44"/>
  <c r="K49" i="44"/>
  <c r="L49" i="44"/>
  <c r="K50" i="44"/>
  <c r="L50" i="44"/>
  <c r="K51" i="44"/>
  <c r="L51" i="44"/>
  <c r="K52" i="44"/>
  <c r="L52" i="44"/>
  <c r="K53" i="44"/>
  <c r="L53" i="44"/>
  <c r="K54" i="44"/>
  <c r="L54" i="44"/>
  <c r="K55" i="44"/>
  <c r="L55" i="44"/>
  <c r="K56" i="44"/>
  <c r="L56" i="44"/>
  <c r="K57" i="44"/>
  <c r="L57" i="44"/>
  <c r="K58" i="44"/>
  <c r="L58" i="44"/>
  <c r="K59" i="44"/>
  <c r="L59" i="44"/>
  <c r="K60" i="44"/>
  <c r="L60" i="44"/>
  <c r="K61" i="44"/>
  <c r="L61" i="44"/>
  <c r="K62" i="44"/>
  <c r="L62" i="44"/>
  <c r="K63" i="44"/>
  <c r="L63" i="44"/>
  <c r="K64" i="44"/>
  <c r="L64" i="44"/>
  <c r="K65" i="44"/>
  <c r="L65" i="44"/>
  <c r="K66" i="44"/>
  <c r="L66" i="44"/>
  <c r="K67" i="44"/>
  <c r="L67" i="44"/>
  <c r="K68" i="44"/>
  <c r="L68" i="44"/>
  <c r="K69" i="44"/>
  <c r="L69" i="44"/>
  <c r="K70" i="44"/>
  <c r="L70" i="44"/>
  <c r="K71" i="44"/>
  <c r="L71" i="44"/>
  <c r="K72" i="44"/>
  <c r="L72" i="44"/>
  <c r="K73" i="44"/>
  <c r="L73" i="44"/>
  <c r="K74" i="44"/>
  <c r="L74" i="44"/>
  <c r="K75" i="44"/>
  <c r="L75" i="44"/>
  <c r="K76" i="44"/>
  <c r="L76" i="44"/>
  <c r="K77" i="44"/>
  <c r="L77" i="44"/>
  <c r="K78" i="44"/>
  <c r="L78" i="44"/>
  <c r="K79" i="44"/>
  <c r="L79" i="44"/>
  <c r="K80" i="44"/>
  <c r="L80" i="44"/>
  <c r="K81" i="44"/>
  <c r="L81" i="44"/>
  <c r="K82" i="44"/>
  <c r="L82" i="44"/>
  <c r="K83" i="44"/>
  <c r="L83" i="44"/>
  <c r="K84" i="44"/>
  <c r="L84" i="44"/>
  <c r="K85" i="44"/>
  <c r="L85" i="44"/>
  <c r="K86" i="44"/>
  <c r="L86" i="44"/>
  <c r="K87" i="44"/>
  <c r="L87" i="44"/>
  <c r="K88" i="44"/>
  <c r="L88" i="44"/>
  <c r="L89" i="44"/>
  <c r="K90" i="44"/>
  <c r="L90" i="44"/>
  <c r="K91" i="44"/>
  <c r="L91" i="44"/>
  <c r="K92" i="44"/>
  <c r="L92" i="44"/>
  <c r="K93" i="44"/>
  <c r="L93" i="44"/>
  <c r="K94" i="44"/>
  <c r="L94" i="44"/>
  <c r="K95" i="44"/>
  <c r="L95" i="44"/>
  <c r="K96" i="44"/>
  <c r="L96" i="44"/>
  <c r="K97" i="44"/>
  <c r="L97" i="44"/>
  <c r="K98" i="44"/>
  <c r="L98" i="44"/>
  <c r="K99" i="44"/>
  <c r="L99" i="44"/>
  <c r="K100" i="44"/>
  <c r="L100" i="44"/>
  <c r="K101" i="44"/>
  <c r="L101" i="44"/>
  <c r="K102" i="44"/>
  <c r="L102" i="44"/>
  <c r="K103" i="44"/>
  <c r="L103" i="44"/>
  <c r="K104" i="44"/>
  <c r="L104" i="44"/>
  <c r="K105" i="44"/>
  <c r="L105" i="44"/>
  <c r="K106" i="44"/>
  <c r="L106" i="44"/>
  <c r="K107" i="44"/>
  <c r="L107" i="44"/>
  <c r="K108" i="44"/>
  <c r="L108" i="44"/>
  <c r="K109" i="44"/>
  <c r="L109" i="44"/>
  <c r="K110" i="44"/>
  <c r="L110" i="44"/>
  <c r="K111" i="44"/>
  <c r="L111" i="44"/>
  <c r="K112" i="44"/>
  <c r="L112" i="44"/>
  <c r="K113" i="44"/>
  <c r="L113" i="44"/>
  <c r="K114" i="44"/>
  <c r="L114" i="44"/>
  <c r="K115" i="44"/>
  <c r="L115" i="44"/>
  <c r="K116" i="44"/>
  <c r="L116" i="44"/>
  <c r="K117" i="44"/>
  <c r="L117" i="44"/>
  <c r="K118" i="44"/>
  <c r="L118" i="44"/>
  <c r="K119" i="44"/>
  <c r="L119" i="44"/>
  <c r="K120" i="44"/>
  <c r="L120" i="44"/>
  <c r="K121" i="44"/>
  <c r="L121" i="44"/>
  <c r="K122" i="44"/>
  <c r="L122" i="44"/>
  <c r="K123" i="44"/>
  <c r="L123" i="44"/>
  <c r="K124" i="44"/>
  <c r="L124" i="44"/>
  <c r="K125" i="44"/>
  <c r="L125" i="44"/>
  <c r="K126" i="44"/>
  <c r="L126" i="44"/>
  <c r="K127" i="44"/>
  <c r="L127" i="44"/>
  <c r="K128" i="44"/>
  <c r="L128" i="44"/>
  <c r="K129" i="44"/>
  <c r="L129" i="44"/>
  <c r="K130" i="44"/>
  <c r="L130" i="44"/>
  <c r="K131" i="44"/>
  <c r="L131" i="44"/>
  <c r="K132" i="44"/>
  <c r="L132" i="44"/>
  <c r="K133" i="44"/>
  <c r="L133" i="44"/>
  <c r="K134" i="44"/>
  <c r="L134" i="44"/>
  <c r="K135" i="44"/>
  <c r="L135" i="44"/>
  <c r="K136" i="44"/>
  <c r="L136" i="44"/>
  <c r="K137" i="44"/>
  <c r="L137" i="44"/>
  <c r="K138" i="44"/>
  <c r="L138" i="44"/>
  <c r="K139" i="44"/>
  <c r="L139" i="44"/>
  <c r="K140" i="44"/>
  <c r="L140" i="44"/>
  <c r="K141" i="44"/>
  <c r="L141" i="44"/>
  <c r="K142" i="44"/>
  <c r="L142" i="44"/>
  <c r="K143" i="44"/>
  <c r="L143" i="44"/>
  <c r="K144" i="44"/>
  <c r="L144" i="44"/>
  <c r="K145" i="44"/>
  <c r="L145" i="44"/>
  <c r="K146" i="44"/>
  <c r="L146" i="44"/>
  <c r="K147" i="44"/>
  <c r="L147" i="44"/>
  <c r="K148" i="44"/>
  <c r="L148" i="44"/>
  <c r="K149" i="44"/>
  <c r="L149" i="44"/>
  <c r="K150" i="44"/>
  <c r="L150" i="44"/>
  <c r="K151" i="44"/>
  <c r="L151" i="44"/>
  <c r="K152" i="44"/>
  <c r="L152" i="44"/>
  <c r="K153" i="44"/>
  <c r="L153" i="44"/>
  <c r="K154" i="44"/>
  <c r="L154" i="44"/>
  <c r="K155" i="44"/>
  <c r="L155" i="44"/>
  <c r="K156" i="44"/>
  <c r="L156" i="44"/>
  <c r="K157" i="44"/>
  <c r="L157" i="44"/>
  <c r="K158" i="44"/>
  <c r="L158" i="44"/>
  <c r="K159" i="44"/>
  <c r="L159" i="44"/>
  <c r="K160" i="44"/>
  <c r="L160" i="44"/>
  <c r="K161" i="44"/>
  <c r="L161" i="44"/>
  <c r="K162" i="44"/>
  <c r="L162" i="44"/>
  <c r="K163" i="44"/>
  <c r="L163" i="44"/>
  <c r="K164" i="44"/>
  <c r="L164" i="44"/>
  <c r="K165" i="44"/>
  <c r="L165" i="44"/>
  <c r="K166" i="44"/>
  <c r="L166" i="44"/>
  <c r="K167" i="44"/>
  <c r="L167" i="44"/>
  <c r="K168" i="44"/>
  <c r="L168" i="44"/>
  <c r="K169" i="44"/>
  <c r="L169" i="44"/>
  <c r="K170" i="44"/>
  <c r="L170" i="44"/>
  <c r="K171" i="44"/>
  <c r="L171" i="44"/>
  <c r="K172" i="44"/>
  <c r="L172" i="44"/>
  <c r="K173" i="44"/>
  <c r="L173" i="44"/>
  <c r="K174" i="44"/>
  <c r="L174" i="44"/>
  <c r="K175" i="44"/>
  <c r="L175" i="44"/>
  <c r="K176" i="44"/>
  <c r="L176" i="44"/>
  <c r="K177" i="44"/>
  <c r="L177" i="44"/>
  <c r="K178" i="44"/>
  <c r="L178" i="44"/>
  <c r="K179" i="44"/>
  <c r="L179" i="44"/>
  <c r="K180" i="44"/>
  <c r="L180" i="44"/>
  <c r="K181" i="44"/>
  <c r="L181" i="44"/>
  <c r="K182" i="44"/>
  <c r="L182" i="44"/>
  <c r="K183" i="44"/>
  <c r="L183" i="44"/>
  <c r="K184" i="44"/>
  <c r="L184" i="44"/>
  <c r="K185" i="44"/>
  <c r="L185" i="44"/>
  <c r="K186" i="44"/>
  <c r="L186" i="44"/>
  <c r="K187" i="44"/>
  <c r="L187" i="44"/>
  <c r="K188" i="44"/>
  <c r="L188" i="44"/>
  <c r="K189" i="44"/>
  <c r="L189" i="44"/>
  <c r="K190" i="44"/>
  <c r="L190" i="44"/>
  <c r="K191" i="44"/>
  <c r="L191" i="44"/>
  <c r="K192" i="44"/>
  <c r="L192" i="44"/>
  <c r="K193" i="44"/>
  <c r="L193" i="44"/>
  <c r="K194" i="44"/>
  <c r="L194" i="44"/>
  <c r="K195" i="44"/>
  <c r="L195" i="44"/>
  <c r="K196" i="44"/>
  <c r="L196" i="44"/>
  <c r="K197" i="44"/>
  <c r="L197" i="44"/>
  <c r="K198" i="44"/>
  <c r="L198" i="44"/>
  <c r="K199" i="44"/>
  <c r="L199" i="44"/>
  <c r="K200" i="44"/>
  <c r="L200" i="44"/>
  <c r="K201" i="44"/>
  <c r="L201" i="44"/>
  <c r="K202" i="44"/>
  <c r="L202" i="44"/>
  <c r="K203" i="44"/>
  <c r="L203" i="44"/>
  <c r="K204" i="44"/>
  <c r="L204" i="44"/>
  <c r="K205" i="44"/>
  <c r="L205" i="44"/>
  <c r="K206" i="44"/>
  <c r="L206" i="44"/>
  <c r="K207" i="44"/>
  <c r="L207" i="44"/>
  <c r="K208" i="44"/>
  <c r="L208" i="44"/>
  <c r="K209" i="44"/>
  <c r="L209" i="44"/>
  <c r="K210" i="44"/>
  <c r="L210" i="44"/>
  <c r="K211" i="44"/>
  <c r="L211" i="44"/>
  <c r="K212" i="44"/>
  <c r="L212" i="44"/>
  <c r="K213" i="44"/>
  <c r="L213" i="44"/>
  <c r="K214" i="44"/>
  <c r="L214" i="44"/>
  <c r="K215" i="44"/>
  <c r="L215" i="44"/>
  <c r="K216" i="44"/>
  <c r="L216" i="44"/>
  <c r="K217" i="44"/>
  <c r="L217" i="44"/>
  <c r="K218" i="44"/>
  <c r="L218" i="44"/>
  <c r="K219" i="44"/>
  <c r="L219" i="44"/>
  <c r="K220" i="44"/>
  <c r="L220" i="44"/>
  <c r="K221" i="44"/>
  <c r="L221" i="44"/>
  <c r="K222" i="44"/>
  <c r="L222" i="44"/>
  <c r="K223" i="44"/>
  <c r="L223" i="44"/>
  <c r="K224" i="44"/>
  <c r="L224" i="44"/>
  <c r="K225" i="44"/>
  <c r="L225" i="44"/>
  <c r="K226" i="44"/>
  <c r="L226" i="44"/>
  <c r="K227" i="44"/>
  <c r="L227" i="44"/>
  <c r="K228" i="44"/>
  <c r="L228" i="44"/>
  <c r="K229" i="44"/>
  <c r="L229" i="44"/>
  <c r="K230" i="44"/>
  <c r="L230" i="44"/>
  <c r="K231" i="44"/>
  <c r="L231" i="44"/>
  <c r="K232" i="44"/>
  <c r="L232" i="44"/>
  <c r="K233" i="44"/>
  <c r="L233" i="44"/>
  <c r="K234" i="44"/>
  <c r="L234" i="44"/>
  <c r="K235" i="44"/>
  <c r="L235" i="44"/>
  <c r="K236" i="44"/>
  <c r="L236" i="44"/>
  <c r="K237" i="44"/>
  <c r="L237" i="44"/>
  <c r="K238" i="44"/>
  <c r="L238" i="44"/>
  <c r="K239" i="44"/>
  <c r="L239" i="44"/>
  <c r="K240" i="44"/>
  <c r="L240" i="44"/>
  <c r="K241" i="44"/>
  <c r="L241" i="44"/>
  <c r="K242" i="44"/>
  <c r="L242" i="44"/>
  <c r="K243" i="44"/>
  <c r="L243" i="44"/>
  <c r="K244" i="44"/>
  <c r="L244" i="44"/>
  <c r="K245" i="44"/>
  <c r="L245" i="44"/>
  <c r="K246" i="44"/>
  <c r="L246" i="44"/>
  <c r="K247" i="44"/>
  <c r="L247" i="44"/>
  <c r="K248" i="44"/>
  <c r="L248" i="44"/>
  <c r="K249" i="44"/>
  <c r="L249" i="44"/>
  <c r="K250" i="44"/>
  <c r="L250" i="44"/>
  <c r="K251" i="44"/>
  <c r="L251" i="44"/>
  <c r="K252" i="44"/>
  <c r="L252" i="44"/>
  <c r="K253" i="44"/>
  <c r="L253" i="44"/>
  <c r="K254" i="44"/>
  <c r="L254" i="44"/>
  <c r="K255" i="44"/>
  <c r="L255" i="44"/>
  <c r="K256" i="44"/>
  <c r="L256" i="44"/>
  <c r="K257" i="44"/>
  <c r="L257" i="44"/>
  <c r="K258" i="44"/>
  <c r="L258" i="44"/>
  <c r="K259" i="44"/>
  <c r="L259" i="44"/>
  <c r="K260" i="44"/>
  <c r="L260" i="44"/>
  <c r="K261" i="44"/>
  <c r="L261" i="44"/>
  <c r="K262" i="44"/>
  <c r="L262" i="44"/>
  <c r="K263" i="44"/>
  <c r="L263" i="44"/>
  <c r="K264" i="44"/>
  <c r="L264" i="44"/>
  <c r="K265" i="44"/>
  <c r="L265" i="44"/>
  <c r="K266" i="44"/>
  <c r="L266" i="44"/>
  <c r="K267" i="44"/>
  <c r="L267" i="44"/>
  <c r="K268" i="44"/>
  <c r="L268" i="44"/>
  <c r="K269" i="44"/>
  <c r="L269" i="44"/>
  <c r="K270" i="44"/>
  <c r="L270" i="44"/>
  <c r="K271" i="44"/>
  <c r="L271" i="44"/>
  <c r="K272" i="44"/>
  <c r="L272" i="44"/>
  <c r="K273" i="44"/>
  <c r="L273" i="44"/>
  <c r="K274" i="44"/>
  <c r="L274" i="44"/>
  <c r="K275" i="44"/>
  <c r="L275" i="44"/>
  <c r="K276" i="44"/>
  <c r="L276" i="44"/>
  <c r="K277" i="44"/>
  <c r="L277" i="44"/>
  <c r="K278" i="44"/>
  <c r="L278" i="44"/>
  <c r="K279" i="44"/>
  <c r="L279" i="44"/>
  <c r="K280" i="44"/>
  <c r="L280" i="44"/>
  <c r="K281" i="44"/>
  <c r="L281" i="44"/>
  <c r="K282" i="44"/>
  <c r="L282" i="44"/>
  <c r="K283" i="44"/>
  <c r="L283" i="44"/>
  <c r="K284" i="44"/>
  <c r="L284" i="44"/>
  <c r="K285" i="44"/>
  <c r="L285" i="44"/>
  <c r="K286" i="44"/>
  <c r="L286" i="44"/>
  <c r="K287" i="44"/>
  <c r="L287" i="44"/>
  <c r="K288" i="44"/>
  <c r="L288" i="44"/>
  <c r="K289" i="44"/>
  <c r="L289" i="44"/>
  <c r="K290" i="44"/>
  <c r="L290" i="44"/>
  <c r="K291" i="44"/>
  <c r="L291" i="44"/>
  <c r="K292" i="44"/>
  <c r="L292" i="44"/>
  <c r="K293" i="44"/>
  <c r="L293" i="44"/>
  <c r="K294" i="44"/>
  <c r="L294" i="44"/>
  <c r="K295" i="44"/>
  <c r="L295" i="44"/>
  <c r="K296" i="44"/>
  <c r="L296" i="44"/>
  <c r="K297" i="44"/>
  <c r="L297" i="44"/>
  <c r="K298" i="44"/>
  <c r="L298" i="44"/>
  <c r="K299" i="44"/>
  <c r="L299" i="44"/>
  <c r="K300" i="44"/>
  <c r="L300" i="44"/>
  <c r="K301" i="44"/>
  <c r="L301" i="44"/>
  <c r="K302" i="44"/>
  <c r="L302" i="44"/>
  <c r="K303" i="44"/>
  <c r="L303" i="44"/>
  <c r="K304" i="44"/>
  <c r="L304" i="44"/>
  <c r="K305" i="44"/>
  <c r="L305" i="44"/>
  <c r="K306" i="44"/>
  <c r="L306" i="44"/>
  <c r="K307" i="44"/>
  <c r="L307" i="44"/>
  <c r="K308" i="44"/>
  <c r="L308" i="44"/>
  <c r="K309" i="44"/>
  <c r="L309" i="44"/>
  <c r="K310" i="44"/>
  <c r="L310" i="44"/>
  <c r="K311" i="44"/>
  <c r="L311" i="44"/>
  <c r="K312" i="44"/>
  <c r="L312" i="44"/>
  <c r="K313" i="44"/>
  <c r="L313" i="44"/>
  <c r="K314" i="44"/>
  <c r="L314" i="44"/>
  <c r="K315" i="44"/>
  <c r="L315" i="44"/>
  <c r="K316" i="44"/>
  <c r="L316" i="44"/>
  <c r="K317" i="44"/>
  <c r="L317" i="44"/>
  <c r="K318" i="44"/>
  <c r="L318" i="44"/>
  <c r="K319" i="44"/>
  <c r="L319" i="44"/>
  <c r="K320" i="44"/>
  <c r="L320" i="44"/>
  <c r="K321" i="44"/>
  <c r="L321" i="44"/>
  <c r="K322" i="44"/>
  <c r="L322" i="44"/>
  <c r="K323" i="44"/>
  <c r="L323" i="44"/>
  <c r="K324" i="44"/>
  <c r="L324" i="44"/>
  <c r="K325" i="44"/>
  <c r="L325" i="44"/>
  <c r="K326" i="44"/>
  <c r="L326" i="44"/>
  <c r="K327" i="44"/>
  <c r="L327" i="44"/>
  <c r="K328" i="44"/>
  <c r="L328" i="44"/>
  <c r="K329" i="44"/>
  <c r="L329" i="44"/>
  <c r="K330" i="44"/>
  <c r="L330" i="44"/>
  <c r="K331" i="44"/>
  <c r="L331" i="44"/>
  <c r="K332" i="44"/>
  <c r="L332" i="44"/>
  <c r="K333" i="44"/>
  <c r="L333" i="44"/>
  <c r="K334" i="44"/>
  <c r="L334" i="44"/>
  <c r="K335" i="44"/>
  <c r="L335" i="44"/>
  <c r="K336" i="44"/>
  <c r="L336" i="44"/>
  <c r="K337" i="44"/>
  <c r="L337" i="44"/>
  <c r="K338" i="44"/>
  <c r="L338" i="44"/>
  <c r="K339" i="44"/>
  <c r="L339" i="44"/>
  <c r="K340" i="44"/>
  <c r="L340" i="44"/>
  <c r="K341" i="44"/>
  <c r="L341" i="44"/>
  <c r="F350" i="44"/>
  <c r="G26" i="10" l="1"/>
  <c r="A5" i="10"/>
  <c r="W16" i="57" l="1"/>
  <c r="W19" i="57"/>
  <c r="W20" i="57"/>
  <c r="W21" i="57"/>
  <c r="W22" i="57"/>
  <c r="W23" i="57"/>
  <c r="W24" i="57"/>
  <c r="W27" i="57"/>
  <c r="W28" i="57"/>
  <c r="W31" i="57"/>
  <c r="W32" i="57"/>
  <c r="W35" i="57"/>
  <c r="W36" i="57"/>
  <c r="W39" i="57"/>
  <c r="W40" i="57"/>
  <c r="W43" i="57"/>
  <c r="W44" i="57"/>
  <c r="W45" i="57"/>
  <c r="W46" i="57"/>
  <c r="W47" i="57"/>
  <c r="W13" i="57"/>
  <c r="O351" i="44" l="1"/>
  <c r="D30" i="10" l="1"/>
  <c r="B30" i="10"/>
  <c r="E26" i="10" s="1"/>
  <c r="G8" i="53" l="1"/>
  <c r="C4" i="11"/>
  <c r="C4" i="47"/>
  <c r="K6" i="28"/>
  <c r="G7" i="52"/>
  <c r="C4" i="45"/>
  <c r="E4" i="10"/>
  <c r="A5" i="43"/>
  <c r="A5" i="9"/>
  <c r="A5" i="8"/>
  <c r="C19" i="8" l="1"/>
  <c r="B2" i="60" l="1"/>
  <c r="W2" i="44"/>
  <c r="H8" i="30"/>
  <c r="D31" i="9" l="1"/>
  <c r="E127" i="44"/>
  <c r="C13" i="52"/>
  <c r="B18" i="45"/>
  <c r="B20" i="45" s="1"/>
  <c r="C15" i="8" s="1"/>
  <c r="C16" i="8" s="1"/>
  <c r="C34" i="45"/>
  <c r="C18" i="45"/>
  <c r="C20" i="45" s="1"/>
  <c r="D15" i="8" s="1"/>
  <c r="D16" i="8" s="1"/>
  <c r="B34" i="45"/>
  <c r="B21" i="56"/>
  <c r="B25" i="56"/>
  <c r="F13" i="53"/>
  <c r="F13" i="52"/>
  <c r="E13" i="53"/>
  <c r="D13" i="53"/>
  <c r="C35" i="52"/>
  <c r="D13" i="52"/>
  <c r="E13" i="52"/>
  <c r="C13" i="53"/>
  <c r="H9" i="34"/>
  <c r="C15" i="47"/>
  <c r="C14" i="28"/>
  <c r="G18" i="28"/>
  <c r="E32" i="9"/>
  <c r="G17" i="28"/>
  <c r="G16" i="28"/>
  <c r="G15" i="28"/>
  <c r="G14" i="28"/>
  <c r="G13" i="28"/>
  <c r="C17" i="28"/>
  <c r="D40" i="43"/>
  <c r="D30" i="43"/>
  <c r="D29" i="43"/>
  <c r="D22" i="43"/>
  <c r="D21" i="43"/>
  <c r="D20" i="43"/>
  <c r="D14" i="43"/>
  <c r="E27" i="53"/>
  <c r="F25" i="53"/>
  <c r="F25" i="52"/>
  <c r="E25" i="53"/>
  <c r="E25" i="52"/>
  <c r="D25" i="53"/>
  <c r="D25" i="52"/>
  <c r="C25" i="53"/>
  <c r="C25" i="52"/>
  <c r="E20" i="44"/>
  <c r="C12" i="45"/>
  <c r="H18" i="28"/>
  <c r="F16" i="28"/>
  <c r="D17" i="28"/>
  <c r="B15" i="28"/>
  <c r="F14" i="52"/>
  <c r="C21" i="56"/>
  <c r="E22" i="28"/>
  <c r="E340" i="44"/>
  <c r="E336" i="44"/>
  <c r="E332" i="44"/>
  <c r="E328" i="44"/>
  <c r="E324" i="44"/>
  <c r="E320" i="44"/>
  <c r="E316" i="44"/>
  <c r="E312" i="44"/>
  <c r="E308" i="44"/>
  <c r="E304" i="44"/>
  <c r="E300" i="44"/>
  <c r="E296" i="44"/>
  <c r="E292" i="44"/>
  <c r="E288" i="44"/>
  <c r="E284" i="44"/>
  <c r="E280" i="44"/>
  <c r="E276" i="44"/>
  <c r="E272" i="44"/>
  <c r="E268" i="44"/>
  <c r="E264" i="44"/>
  <c r="E260" i="44"/>
  <c r="E256" i="44"/>
  <c r="E252" i="44"/>
  <c r="E248" i="44"/>
  <c r="E244" i="44"/>
  <c r="E240" i="44"/>
  <c r="E236" i="44"/>
  <c r="E232" i="44"/>
  <c r="E228" i="44"/>
  <c r="E224" i="44"/>
  <c r="E220" i="44"/>
  <c r="E216" i="44"/>
  <c r="E212" i="44"/>
  <c r="E208" i="44"/>
  <c r="E204" i="44"/>
  <c r="E200" i="44"/>
  <c r="E196" i="44"/>
  <c r="E192" i="44"/>
  <c r="E188" i="44"/>
  <c r="E184" i="44"/>
  <c r="E180" i="44"/>
  <c r="E176" i="44"/>
  <c r="E172" i="44"/>
  <c r="E168" i="44"/>
  <c r="E164" i="44"/>
  <c r="E160" i="44"/>
  <c r="E156" i="44"/>
  <c r="E152" i="44"/>
  <c r="E148" i="44"/>
  <c r="E144" i="44"/>
  <c r="E140" i="44"/>
  <c r="E136" i="44"/>
  <c r="E132" i="44"/>
  <c r="E128" i="44"/>
  <c r="E124" i="44"/>
  <c r="E120" i="44"/>
  <c r="E116" i="44"/>
  <c r="E112" i="44"/>
  <c r="E108" i="44"/>
  <c r="E104" i="44"/>
  <c r="E100" i="44"/>
  <c r="E96" i="44"/>
  <c r="E92" i="44"/>
  <c r="E88" i="44"/>
  <c r="E84" i="44"/>
  <c r="E80" i="44"/>
  <c r="E76" i="44"/>
  <c r="E72" i="44"/>
  <c r="C10" i="45"/>
  <c r="H15" i="28"/>
  <c r="F13" i="28"/>
  <c r="D14" i="28"/>
  <c r="B12" i="28"/>
  <c r="B15" i="52"/>
  <c r="C25" i="56"/>
  <c r="D22" i="28"/>
  <c r="F339" i="44"/>
  <c r="F335" i="44"/>
  <c r="F331" i="44"/>
  <c r="F327" i="44"/>
  <c r="F323" i="44"/>
  <c r="F319" i="44"/>
  <c r="F315" i="44"/>
  <c r="F311" i="44"/>
  <c r="F307" i="44"/>
  <c r="F303" i="44"/>
  <c r="F299" i="44"/>
  <c r="F295" i="44"/>
  <c r="F291" i="44"/>
  <c r="F287" i="44"/>
  <c r="F283" i="44"/>
  <c r="F279" i="44"/>
  <c r="F275" i="44"/>
  <c r="F271" i="44"/>
  <c r="F267" i="44"/>
  <c r="F263" i="44"/>
  <c r="F259" i="44"/>
  <c r="F255" i="44"/>
  <c r="F251" i="44"/>
  <c r="F247" i="44"/>
  <c r="F243" i="44"/>
  <c r="F239" i="44"/>
  <c r="F235" i="44"/>
  <c r="F231" i="44"/>
  <c r="F227" i="44"/>
  <c r="F223" i="44"/>
  <c r="F219" i="44"/>
  <c r="F215" i="44"/>
  <c r="F211" i="44"/>
  <c r="F207" i="44"/>
  <c r="F203" i="44"/>
  <c r="F199" i="44"/>
  <c r="F195" i="44"/>
  <c r="F191" i="44"/>
  <c r="F187" i="44"/>
  <c r="F183" i="44"/>
  <c r="F179" i="44"/>
  <c r="F175" i="44"/>
  <c r="F171" i="44"/>
  <c r="F167" i="44"/>
  <c r="F163" i="44"/>
  <c r="F159" i="44"/>
  <c r="F155" i="44"/>
  <c r="F151" i="44"/>
  <c r="F147" i="44"/>
  <c r="F143" i="44"/>
  <c r="F139" i="44"/>
  <c r="F135" i="44"/>
  <c r="F131" i="44"/>
  <c r="F127" i="44"/>
  <c r="F123" i="44"/>
  <c r="F119" i="44"/>
  <c r="F115" i="44"/>
  <c r="F111" i="44"/>
  <c r="F107" i="44"/>
  <c r="F103" i="44"/>
  <c r="F99" i="44"/>
  <c r="F95" i="44"/>
  <c r="F58" i="44"/>
  <c r="F18" i="28"/>
  <c r="H14" i="28"/>
  <c r="D24" i="52"/>
  <c r="D14" i="52"/>
  <c r="K22" i="28"/>
  <c r="E337" i="44"/>
  <c r="E331" i="44"/>
  <c r="E326" i="44"/>
  <c r="E321" i="44"/>
  <c r="E315" i="44"/>
  <c r="E310" i="44"/>
  <c r="E305" i="44"/>
  <c r="E299" i="44"/>
  <c r="E294" i="44"/>
  <c r="E289" i="44"/>
  <c r="E283" i="44"/>
  <c r="E278" i="44"/>
  <c r="E273" i="44"/>
  <c r="E267" i="44"/>
  <c r="E262" i="44"/>
  <c r="E257" i="44"/>
  <c r="E251" i="44"/>
  <c r="E246" i="44"/>
  <c r="E241" i="44"/>
  <c r="E235" i="44"/>
  <c r="E230" i="44"/>
  <c r="E225" i="44"/>
  <c r="E219" i="44"/>
  <c r="E214" i="44"/>
  <c r="E209" i="44"/>
  <c r="E203" i="44"/>
  <c r="E198" i="44"/>
  <c r="E193" i="44"/>
  <c r="E187" i="44"/>
  <c r="E182" i="44"/>
  <c r="E177" i="44"/>
  <c r="E171" i="44"/>
  <c r="E166" i="44"/>
  <c r="E161" i="44"/>
  <c r="E155" i="44"/>
  <c r="E150" i="44"/>
  <c r="E145" i="44"/>
  <c r="E139" i="44"/>
  <c r="E134" i="44"/>
  <c r="E129" i="44"/>
  <c r="E123" i="44"/>
  <c r="E118" i="44"/>
  <c r="E113" i="44"/>
  <c r="E107" i="44"/>
  <c r="E102" i="44"/>
  <c r="E97" i="44"/>
  <c r="F91" i="44"/>
  <c r="E87" i="44"/>
  <c r="F82" i="44"/>
  <c r="E78" i="44"/>
  <c r="F73" i="44"/>
  <c r="E69" i="44"/>
  <c r="E65" i="44"/>
  <c r="E61" i="44"/>
  <c r="F56" i="44"/>
  <c r="F52" i="44"/>
  <c r="F48" i="44"/>
  <c r="F44" i="44"/>
  <c r="F40" i="44"/>
  <c r="F36" i="44"/>
  <c r="F32" i="44"/>
  <c r="F28" i="44"/>
  <c r="F24" i="44"/>
  <c r="F20" i="44"/>
  <c r="F16" i="44"/>
  <c r="F12" i="44"/>
  <c r="D1" i="44"/>
  <c r="F338" i="44"/>
  <c r="F328" i="44"/>
  <c r="F322" i="44"/>
  <c r="F317" i="44"/>
  <c r="F312" i="44"/>
  <c r="F306" i="44"/>
  <c r="F301" i="44"/>
  <c r="F296" i="44"/>
  <c r="F290" i="44"/>
  <c r="F285" i="44"/>
  <c r="F280" i="44"/>
  <c r="F269" i="44"/>
  <c r="F258" i="44"/>
  <c r="F253" i="44"/>
  <c r="F248" i="44"/>
  <c r="F242" i="44"/>
  <c r="F237" i="44"/>
  <c r="F221" i="44"/>
  <c r="F210" i="44"/>
  <c r="F205" i="44"/>
  <c r="F194" i="44"/>
  <c r="F184" i="44"/>
  <c r="F173" i="44"/>
  <c r="F162" i="44"/>
  <c r="F152" i="44"/>
  <c r="H17" i="28"/>
  <c r="B18" i="28"/>
  <c r="B14" i="28"/>
  <c r="E24" i="52"/>
  <c r="E14" i="52"/>
  <c r="J22" i="28"/>
  <c r="F341" i="44"/>
  <c r="F336" i="44"/>
  <c r="F330" i="44"/>
  <c r="F325" i="44"/>
  <c r="F320" i="44"/>
  <c r="F314" i="44"/>
  <c r="F309" i="44"/>
  <c r="F304" i="44"/>
  <c r="F298" i="44"/>
  <c r="F293" i="44"/>
  <c r="F288" i="44"/>
  <c r="F282" i="44"/>
  <c r="F277" i="44"/>
  <c r="F272" i="44"/>
  <c r="F266" i="44"/>
  <c r="F261" i="44"/>
  <c r="F256" i="44"/>
  <c r="F250" i="44"/>
  <c r="F245" i="44"/>
  <c r="F240" i="44"/>
  <c r="F234" i="44"/>
  <c r="F229" i="44"/>
  <c r="F224" i="44"/>
  <c r="F218" i="44"/>
  <c r="F213" i="44"/>
  <c r="F208" i="44"/>
  <c r="F202" i="44"/>
  <c r="F197" i="44"/>
  <c r="F192" i="44"/>
  <c r="F186" i="44"/>
  <c r="F181" i="44"/>
  <c r="F176" i="44"/>
  <c r="F170" i="44"/>
  <c r="F165" i="44"/>
  <c r="F160" i="44"/>
  <c r="F154" i="44"/>
  <c r="F149" i="44"/>
  <c r="F144" i="44"/>
  <c r="F138" i="44"/>
  <c r="F133" i="44"/>
  <c r="F128" i="44"/>
  <c r="F122" i="44"/>
  <c r="F117" i="44"/>
  <c r="F112" i="44"/>
  <c r="F106" i="44"/>
  <c r="F101" i="44"/>
  <c r="F96" i="44"/>
  <c r="E91" i="44"/>
  <c r="F86" i="44"/>
  <c r="E82" i="44"/>
  <c r="F77" i="44"/>
  <c r="E73" i="44"/>
  <c r="F68" i="44"/>
  <c r="F64" i="44"/>
  <c r="F60" i="44"/>
  <c r="E56" i="44"/>
  <c r="E52" i="44"/>
  <c r="E48" i="44"/>
  <c r="E44" i="44"/>
  <c r="E40" i="44"/>
  <c r="E36" i="44"/>
  <c r="E32" i="44"/>
  <c r="E28" i="44"/>
  <c r="E24" i="44"/>
  <c r="E16" i="44"/>
  <c r="E12" i="44"/>
  <c r="F232" i="44"/>
  <c r="F14" i="28"/>
  <c r="B17" i="28"/>
  <c r="D13" i="28"/>
  <c r="F24" i="52"/>
  <c r="C15" i="52"/>
  <c r="I22" i="28"/>
  <c r="E341" i="44"/>
  <c r="E335" i="44"/>
  <c r="E330" i="44"/>
  <c r="E325" i="44"/>
  <c r="E319" i="44"/>
  <c r="E314" i="44"/>
  <c r="E309" i="44"/>
  <c r="E303" i="44"/>
  <c r="E298" i="44"/>
  <c r="C41" i="13" s="1"/>
  <c r="E293" i="44"/>
  <c r="E287" i="44"/>
  <c r="E282" i="44"/>
  <c r="E277" i="44"/>
  <c r="E271" i="44"/>
  <c r="E266" i="44"/>
  <c r="E261" i="44"/>
  <c r="E255" i="44"/>
  <c r="E250" i="44"/>
  <c r="E245" i="44"/>
  <c r="E239" i="44"/>
  <c r="E234" i="44"/>
  <c r="E229" i="44"/>
  <c r="E223" i="44"/>
  <c r="E218" i="44"/>
  <c r="E213" i="44"/>
  <c r="E207" i="44"/>
  <c r="E202" i="44"/>
  <c r="E197" i="44"/>
  <c r="E191" i="44"/>
  <c r="E186" i="44"/>
  <c r="E181" i="44"/>
  <c r="E175" i="44"/>
  <c r="E170" i="44"/>
  <c r="E165" i="44"/>
  <c r="E159" i="44"/>
  <c r="E154" i="44"/>
  <c r="E149" i="44"/>
  <c r="E143" i="44"/>
  <c r="E138" i="44"/>
  <c r="E133" i="44"/>
  <c r="E122" i="44"/>
  <c r="E117" i="44"/>
  <c r="E111" i="44"/>
  <c r="E106" i="44"/>
  <c r="E101" i="44"/>
  <c r="E95" i="44"/>
  <c r="F90" i="44"/>
  <c r="E86" i="44"/>
  <c r="F81" i="44"/>
  <c r="E77" i="44"/>
  <c r="F72" i="44"/>
  <c r="E68" i="44"/>
  <c r="E64" i="44"/>
  <c r="E60" i="44"/>
  <c r="F55" i="44"/>
  <c r="F51" i="44"/>
  <c r="F47" i="44"/>
  <c r="F43" i="44"/>
  <c r="F39" i="44"/>
  <c r="F35" i="44"/>
  <c r="F31" i="44"/>
  <c r="F27" i="44"/>
  <c r="F23" i="44"/>
  <c r="F19" i="44"/>
  <c r="F15" i="44"/>
  <c r="F11" i="44"/>
  <c r="B16" i="28"/>
  <c r="D12" i="28"/>
  <c r="F15" i="52"/>
  <c r="F333" i="44"/>
  <c r="F264" i="44"/>
  <c r="F226" i="44"/>
  <c r="F200" i="44"/>
  <c r="F178" i="44"/>
  <c r="F157" i="44"/>
  <c r="F17" i="28"/>
  <c r="H13" i="28"/>
  <c r="D16" i="28"/>
  <c r="B13" i="52"/>
  <c r="D15" i="52"/>
  <c r="H22" i="28"/>
  <c r="F340" i="44"/>
  <c r="F334" i="44"/>
  <c r="F329" i="44"/>
  <c r="F324" i="44"/>
  <c r="F318" i="44"/>
  <c r="F313" i="44"/>
  <c r="F308" i="44"/>
  <c r="F302" i="44"/>
  <c r="F297" i="44"/>
  <c r="F292" i="44"/>
  <c r="F286" i="44"/>
  <c r="F281" i="44"/>
  <c r="F276" i="44"/>
  <c r="F270" i="44"/>
  <c r="F265" i="44"/>
  <c r="F260" i="44"/>
  <c r="F254" i="44"/>
  <c r="F249" i="44"/>
  <c r="F244" i="44"/>
  <c r="F238" i="44"/>
  <c r="F233" i="44"/>
  <c r="F228" i="44"/>
  <c r="F222" i="44"/>
  <c r="F217" i="44"/>
  <c r="F212" i="44"/>
  <c r="F206" i="44"/>
  <c r="F201" i="44"/>
  <c r="F196" i="44"/>
  <c r="F190" i="44"/>
  <c r="F185" i="44"/>
  <c r="F180" i="44"/>
  <c r="F174" i="44"/>
  <c r="F169" i="44"/>
  <c r="F164" i="44"/>
  <c r="F158" i="44"/>
  <c r="F153" i="44"/>
  <c r="F148" i="44"/>
  <c r="F142" i="44"/>
  <c r="F137" i="44"/>
  <c r="F132" i="44"/>
  <c r="F126" i="44"/>
  <c r="F121" i="44"/>
  <c r="F116" i="44"/>
  <c r="F110" i="44"/>
  <c r="F105" i="44"/>
  <c r="F100" i="44"/>
  <c r="F94" i="44"/>
  <c r="E90" i="44"/>
  <c r="F85" i="44"/>
  <c r="E81" i="44"/>
  <c r="F76" i="44"/>
  <c r="F71" i="44"/>
  <c r="F67" i="44"/>
  <c r="F63" i="44"/>
  <c r="F59" i="44"/>
  <c r="E55" i="44"/>
  <c r="E51" i="44"/>
  <c r="E47" i="44"/>
  <c r="E43" i="44"/>
  <c r="E39" i="44"/>
  <c r="E35" i="44"/>
  <c r="E31" i="44"/>
  <c r="E27" i="44"/>
  <c r="E23" i="44"/>
  <c r="E15" i="44"/>
  <c r="E11" i="44"/>
  <c r="F274" i="44"/>
  <c r="F216" i="44"/>
  <c r="F168" i="44"/>
  <c r="H16" i="28"/>
  <c r="H12" i="28"/>
  <c r="B13" i="28"/>
  <c r="E15" i="52"/>
  <c r="G22" i="28"/>
  <c r="E19" i="9" s="1"/>
  <c r="E339" i="44"/>
  <c r="E334" i="44"/>
  <c r="E329" i="44"/>
  <c r="E323" i="44"/>
  <c r="E318" i="44"/>
  <c r="E313" i="44"/>
  <c r="E307" i="44"/>
  <c r="E302" i="44"/>
  <c r="E297" i="44"/>
  <c r="E291" i="44"/>
  <c r="E286" i="44"/>
  <c r="E281" i="44"/>
  <c r="E275" i="44"/>
  <c r="E270" i="44"/>
  <c r="E265" i="44"/>
  <c r="E259" i="44"/>
  <c r="E254" i="44"/>
  <c r="E249" i="44"/>
  <c r="E243" i="44"/>
  <c r="E238" i="44"/>
  <c r="E233" i="44"/>
  <c r="E227" i="44"/>
  <c r="E222" i="44"/>
  <c r="E217" i="44"/>
  <c r="E211" i="44"/>
  <c r="E206" i="44"/>
  <c r="E201" i="44"/>
  <c r="E195" i="44"/>
  <c r="E190" i="44"/>
  <c r="E185" i="44"/>
  <c r="E179" i="44"/>
  <c r="E174" i="44"/>
  <c r="E169" i="44"/>
  <c r="E163" i="44"/>
  <c r="E158" i="44"/>
  <c r="E153" i="44"/>
  <c r="E147" i="44"/>
  <c r="E142" i="44"/>
  <c r="E137" i="44"/>
  <c r="E131" i="44"/>
  <c r="E126" i="44"/>
  <c r="E121" i="44"/>
  <c r="E115" i="44"/>
  <c r="E110" i="44"/>
  <c r="E105" i="44"/>
  <c r="E99" i="44"/>
  <c r="E94" i="44"/>
  <c r="F89" i="44"/>
  <c r="E85" i="44"/>
  <c r="F80" i="44"/>
  <c r="F75" i="44"/>
  <c r="E71" i="44"/>
  <c r="E67" i="44"/>
  <c r="E63" i="44"/>
  <c r="E59" i="44"/>
  <c r="F54" i="44"/>
  <c r="F50" i="44"/>
  <c r="F46" i="44"/>
  <c r="F42" i="44"/>
  <c r="F38" i="44"/>
  <c r="F34" i="44"/>
  <c r="F30" i="44"/>
  <c r="F26" i="44"/>
  <c r="F22" i="44"/>
  <c r="F18" i="44"/>
  <c r="F14" i="44"/>
  <c r="F10" i="44"/>
  <c r="F22" i="28"/>
  <c r="F189" i="44"/>
  <c r="F15" i="28"/>
  <c r="C14" i="52"/>
  <c r="F332" i="44"/>
  <c r="F310" i="44"/>
  <c r="F289" i="44"/>
  <c r="F268" i="44"/>
  <c r="F246" i="44"/>
  <c r="F225" i="44"/>
  <c r="F204" i="44"/>
  <c r="F182" i="44"/>
  <c r="F161" i="44"/>
  <c r="F141" i="44"/>
  <c r="F129" i="44"/>
  <c r="E114" i="44"/>
  <c r="F98" i="44"/>
  <c r="F87" i="44"/>
  <c r="F74" i="44"/>
  <c r="F62" i="44"/>
  <c r="E53" i="44"/>
  <c r="F41" i="44"/>
  <c r="E30" i="44"/>
  <c r="E21" i="44"/>
  <c r="F9" i="44"/>
  <c r="B14" i="52"/>
  <c r="E183" i="44"/>
  <c r="E75" i="44"/>
  <c r="F21" i="44"/>
  <c r="F12" i="28"/>
  <c r="E327" i="44"/>
  <c r="E306" i="44"/>
  <c r="E285" i="44"/>
  <c r="E263" i="44"/>
  <c r="E242" i="44"/>
  <c r="E221" i="44"/>
  <c r="E199" i="44"/>
  <c r="E178" i="44"/>
  <c r="E157" i="44"/>
  <c r="E141" i="44"/>
  <c r="F125" i="44"/>
  <c r="F113" i="44"/>
  <c r="E98" i="44"/>
  <c r="F84" i="44"/>
  <c r="E74" i="44"/>
  <c r="E62" i="44"/>
  <c r="E50" i="44"/>
  <c r="E41" i="44"/>
  <c r="F29" i="44"/>
  <c r="E18" i="44"/>
  <c r="E9" i="44"/>
  <c r="E253" i="44"/>
  <c r="E189" i="44"/>
  <c r="E119" i="44"/>
  <c r="F66" i="44"/>
  <c r="E34" i="44"/>
  <c r="E333" i="44"/>
  <c r="E269" i="44"/>
  <c r="E205" i="44"/>
  <c r="F145" i="44"/>
  <c r="F114" i="44"/>
  <c r="F65" i="44"/>
  <c r="E42" i="44"/>
  <c r="D18" i="28"/>
  <c r="F326" i="44"/>
  <c r="F305" i="44"/>
  <c r="F284" i="44"/>
  <c r="F262" i="44"/>
  <c r="F241" i="44"/>
  <c r="F220" i="44"/>
  <c r="F198" i="44"/>
  <c r="F177" i="44"/>
  <c r="F156" i="44"/>
  <c r="F140" i="44"/>
  <c r="E125" i="44"/>
  <c r="F109" i="44"/>
  <c r="F97" i="44"/>
  <c r="F83" i="44"/>
  <c r="F70" i="44"/>
  <c r="F61" i="44"/>
  <c r="F49" i="44"/>
  <c r="E38" i="44"/>
  <c r="E29" i="44"/>
  <c r="F17" i="44"/>
  <c r="E231" i="44"/>
  <c r="F146" i="44"/>
  <c r="F104" i="44"/>
  <c r="E57" i="44"/>
  <c r="E25" i="44"/>
  <c r="F294" i="44"/>
  <c r="F130" i="44"/>
  <c r="E54" i="44"/>
  <c r="E13" i="44"/>
  <c r="D15" i="28"/>
  <c r="C22" i="28"/>
  <c r="E322" i="44"/>
  <c r="E301" i="44"/>
  <c r="E279" i="44"/>
  <c r="E258" i="44"/>
  <c r="E237" i="44"/>
  <c r="E215" i="44"/>
  <c r="E194" i="44"/>
  <c r="E173" i="44"/>
  <c r="E151" i="44"/>
  <c r="F136" i="44"/>
  <c r="F124" i="44"/>
  <c r="E109" i="44"/>
  <c r="F93" i="44"/>
  <c r="E83" i="44"/>
  <c r="E70" i="44"/>
  <c r="E58" i="44"/>
  <c r="E49" i="44"/>
  <c r="F37" i="44"/>
  <c r="E26" i="44"/>
  <c r="E17" i="44"/>
  <c r="F166" i="44"/>
  <c r="B22" i="28"/>
  <c r="F321" i="44"/>
  <c r="F300" i="44"/>
  <c r="F278" i="44"/>
  <c r="F257" i="44"/>
  <c r="F236" i="44"/>
  <c r="F214" i="44"/>
  <c r="F193" i="44"/>
  <c r="F172" i="44"/>
  <c r="F150" i="44"/>
  <c r="E135" i="44"/>
  <c r="F120" i="44"/>
  <c r="F108" i="44"/>
  <c r="E93" i="44"/>
  <c r="F79" i="44"/>
  <c r="F69" i="44"/>
  <c r="F57" i="44"/>
  <c r="E46" i="44"/>
  <c r="E37" i="44"/>
  <c r="F25" i="44"/>
  <c r="E14" i="44"/>
  <c r="E338" i="44"/>
  <c r="E317" i="44"/>
  <c r="E295" i="44"/>
  <c r="E274" i="44"/>
  <c r="E210" i="44"/>
  <c r="E167" i="44"/>
  <c r="F134" i="44"/>
  <c r="F92" i="44"/>
  <c r="F45" i="44"/>
  <c r="F13" i="44"/>
  <c r="C24" i="52"/>
  <c r="F337" i="44"/>
  <c r="F252" i="44"/>
  <c r="F209" i="44"/>
  <c r="E146" i="44"/>
  <c r="E103" i="44"/>
  <c r="F78" i="44"/>
  <c r="E45" i="44"/>
  <c r="E22" i="44"/>
  <c r="E226" i="44"/>
  <c r="F88" i="44"/>
  <c r="E33" i="44"/>
  <c r="B24" i="52"/>
  <c r="E79" i="44"/>
  <c r="F316" i="44"/>
  <c r="F273" i="44"/>
  <c r="F230" i="44"/>
  <c r="F188" i="44"/>
  <c r="F118" i="44"/>
  <c r="E89" i="44"/>
  <c r="E66" i="44"/>
  <c r="F33" i="44"/>
  <c r="E311" i="44"/>
  <c r="E290" i="44"/>
  <c r="E247" i="44"/>
  <c r="E162" i="44"/>
  <c r="E130" i="44"/>
  <c r="F102" i="44"/>
  <c r="F53" i="44"/>
  <c r="E10" i="44"/>
  <c r="P39" i="44"/>
  <c r="P209" i="44"/>
  <c r="P109" i="44"/>
  <c r="P13" i="44"/>
  <c r="P264" i="44"/>
  <c r="O78" i="44"/>
  <c r="O336" i="44"/>
  <c r="O300" i="44"/>
  <c r="O68" i="44"/>
  <c r="O259" i="44"/>
  <c r="O191" i="44"/>
  <c r="O69" i="44"/>
  <c r="O338" i="44"/>
  <c r="P50" i="44"/>
  <c r="O282" i="44"/>
  <c r="O163" i="44"/>
  <c r="O293" i="44"/>
  <c r="P177" i="44"/>
  <c r="O16" i="44"/>
  <c r="P89" i="44"/>
  <c r="O283" i="44"/>
  <c r="P38" i="44"/>
  <c r="O285" i="44"/>
  <c r="O207" i="44"/>
  <c r="O76" i="44"/>
  <c r="O79" i="44"/>
  <c r="O320" i="44"/>
  <c r="O341" i="44"/>
  <c r="O291" i="44"/>
  <c r="O182" i="44"/>
  <c r="O45" i="44"/>
  <c r="O158" i="44"/>
  <c r="P322" i="44"/>
  <c r="O314" i="44"/>
  <c r="P149" i="44"/>
  <c r="P51" i="44"/>
  <c r="O321" i="44"/>
  <c r="O223" i="44"/>
  <c r="P121" i="44"/>
  <c r="O35" i="44"/>
  <c r="O185" i="44"/>
  <c r="O83" i="44"/>
  <c r="O18" i="44"/>
  <c r="O155" i="44"/>
  <c r="P52" i="44"/>
  <c r="P165" i="44"/>
  <c r="O119" i="44"/>
  <c r="P42" i="44"/>
  <c r="O319" i="44"/>
  <c r="O258" i="44"/>
  <c r="O172" i="44"/>
  <c r="O284" i="44"/>
  <c r="P230" i="44"/>
  <c r="O192" i="44"/>
  <c r="P139" i="44"/>
  <c r="P283" i="44"/>
  <c r="P220" i="44"/>
  <c r="P148" i="44"/>
  <c r="P329" i="44"/>
  <c r="P313" i="44"/>
  <c r="P297" i="44"/>
  <c r="O261" i="44"/>
  <c r="P223" i="44"/>
  <c r="P172" i="44"/>
  <c r="P56" i="44"/>
  <c r="O248" i="44"/>
  <c r="P203" i="44"/>
  <c r="O147" i="44"/>
  <c r="P118" i="44"/>
  <c r="P263" i="44"/>
  <c r="P231" i="44"/>
  <c r="P199" i="44"/>
  <c r="P140" i="44"/>
  <c r="O149" i="44"/>
  <c r="P111" i="44"/>
  <c r="P71" i="44"/>
  <c r="O178" i="44"/>
  <c r="O114" i="44"/>
  <c r="P40" i="44"/>
  <c r="P62" i="44"/>
  <c r="O129" i="44"/>
  <c r="O107" i="44"/>
  <c r="O36" i="44"/>
  <c r="P311" i="44"/>
  <c r="O213" i="44"/>
  <c r="P278" i="44"/>
  <c r="O200" i="44"/>
  <c r="O104" i="44"/>
  <c r="O260" i="44"/>
  <c r="O196" i="44"/>
  <c r="O141" i="44"/>
  <c r="P63" i="44"/>
  <c r="O106" i="44"/>
  <c r="P54" i="44"/>
  <c r="P59" i="44"/>
  <c r="P19" i="44"/>
  <c r="P161" i="44"/>
  <c r="P65" i="44"/>
  <c r="P260" i="44"/>
  <c r="O70" i="44"/>
  <c r="P334" i="44"/>
  <c r="O176" i="44"/>
  <c r="O339" i="44"/>
  <c r="O255" i="44"/>
  <c r="O103" i="44"/>
  <c r="O65" i="44"/>
  <c r="P170" i="44"/>
  <c r="O318" i="44"/>
  <c r="O278" i="44"/>
  <c r="O52" i="44"/>
  <c r="O277" i="44"/>
  <c r="P138" i="44"/>
  <c r="O12" i="44"/>
  <c r="P77" i="44"/>
  <c r="O211" i="44"/>
  <c r="P22" i="44"/>
  <c r="O281" i="44"/>
  <c r="O156" i="44"/>
  <c r="O58" i="44"/>
  <c r="O61" i="44"/>
  <c r="O241" i="44"/>
  <c r="O334" i="44"/>
  <c r="P279" i="44"/>
  <c r="O174" i="44"/>
  <c r="P340" i="44"/>
  <c r="P150" i="44"/>
  <c r="P304" i="44"/>
  <c r="P300" i="44"/>
  <c r="O127" i="44"/>
  <c r="P47" i="44"/>
  <c r="O313" i="44"/>
  <c r="O204" i="44"/>
  <c r="P117" i="44"/>
  <c r="O19" i="44"/>
  <c r="P124" i="44"/>
  <c r="P76" i="44"/>
  <c r="O15" i="44"/>
  <c r="O135" i="44"/>
  <c r="P46" i="44"/>
  <c r="P23" i="44"/>
  <c r="P107" i="44"/>
  <c r="O311" i="44"/>
  <c r="O254" i="44"/>
  <c r="P168" i="44"/>
  <c r="O272" i="44"/>
  <c r="P227" i="44"/>
  <c r="P182" i="44"/>
  <c r="P120" i="44"/>
  <c r="P274" i="44"/>
  <c r="P217" i="44"/>
  <c r="P126" i="44"/>
  <c r="P327" i="44"/>
  <c r="P295" i="44"/>
  <c r="P258" i="44"/>
  <c r="O151" i="44"/>
  <c r="P238" i="44"/>
  <c r="O112" i="44"/>
  <c r="O228" i="44"/>
  <c r="O131" i="44"/>
  <c r="O109" i="44"/>
  <c r="O170" i="44"/>
  <c r="P24" i="44"/>
  <c r="O121" i="44"/>
  <c r="O99" i="44"/>
  <c r="P15" i="44"/>
  <c r="P153" i="44"/>
  <c r="P41" i="44"/>
  <c r="P302" i="44"/>
  <c r="P248" i="44"/>
  <c r="O14" i="44"/>
  <c r="P286" i="44"/>
  <c r="O148" i="44"/>
  <c r="O315" i="44"/>
  <c r="O251" i="44"/>
  <c r="P310" i="44"/>
  <c r="O324" i="44"/>
  <c r="P158" i="44"/>
  <c r="O332" i="44"/>
  <c r="O274" i="44"/>
  <c r="O44" i="44"/>
  <c r="O273" i="44"/>
  <c r="P90" i="44"/>
  <c r="P330" i="44"/>
  <c r="O62" i="44"/>
  <c r="P160" i="44"/>
  <c r="O298" i="44"/>
  <c r="P257" i="44"/>
  <c r="P152" i="44"/>
  <c r="O32" i="44"/>
  <c r="O54" i="44"/>
  <c r="O233" i="44"/>
  <c r="P326" i="44"/>
  <c r="O268" i="44"/>
  <c r="O132" i="44"/>
  <c r="O312" i="44"/>
  <c r="O139" i="44"/>
  <c r="O227" i="44"/>
  <c r="P200" i="44"/>
  <c r="O111" i="44"/>
  <c r="P43" i="44"/>
  <c r="O305" i="44"/>
  <c r="O193" i="44"/>
  <c r="O110" i="44"/>
  <c r="P328" i="44"/>
  <c r="O275" i="44"/>
  <c r="O63" i="44"/>
  <c r="P290" i="44"/>
  <c r="P123" i="44"/>
  <c r="P30" i="44"/>
  <c r="O266" i="44"/>
  <c r="O100" i="44"/>
  <c r="O33" i="44"/>
  <c r="O303" i="44"/>
  <c r="O239" i="44"/>
  <c r="P164" i="44"/>
  <c r="P262" i="44"/>
  <c r="O224" i="44"/>
  <c r="O179" i="44"/>
  <c r="O64" i="44"/>
  <c r="P268" i="44"/>
  <c r="P204" i="44"/>
  <c r="P341" i="44"/>
  <c r="P325" i="44"/>
  <c r="P309" i="44"/>
  <c r="P293" i="44"/>
  <c r="P255" i="44"/>
  <c r="P210" i="44"/>
  <c r="P151" i="44"/>
  <c r="O276" i="44"/>
  <c r="P235" i="44"/>
  <c r="P190" i="44"/>
  <c r="P112" i="44"/>
  <c r="P104" i="44"/>
  <c r="O253" i="44"/>
  <c r="O221" i="44"/>
  <c r="O189" i="44"/>
  <c r="O128" i="44"/>
  <c r="P135" i="44"/>
  <c r="P103" i="44"/>
  <c r="P55" i="44"/>
  <c r="O162" i="44"/>
  <c r="O98" i="44"/>
  <c r="P110" i="44"/>
  <c r="O177" i="44"/>
  <c r="O113" i="44"/>
  <c r="O46" i="44"/>
  <c r="O91" i="44"/>
  <c r="P11" i="44"/>
  <c r="P145" i="44"/>
  <c r="P37" i="44"/>
  <c r="P296" i="44"/>
  <c r="P244" i="44"/>
  <c r="O10" i="44"/>
  <c r="O322" i="44"/>
  <c r="O144" i="44"/>
  <c r="O299" i="44"/>
  <c r="O243" i="44"/>
  <c r="O306" i="44"/>
  <c r="O203" i="44"/>
  <c r="P154" i="44"/>
  <c r="P320" i="44"/>
  <c r="O270" i="44"/>
  <c r="O25" i="44"/>
  <c r="O265" i="44"/>
  <c r="P74" i="44"/>
  <c r="P318" i="44"/>
  <c r="O39" i="44"/>
  <c r="P61" i="44"/>
  <c r="O328" i="44"/>
  <c r="P253" i="44"/>
  <c r="P137" i="44"/>
  <c r="O28" i="44"/>
  <c r="P35" i="44"/>
  <c r="O225" i="44"/>
  <c r="O323" i="44"/>
  <c r="O252" i="44"/>
  <c r="P128" i="44"/>
  <c r="P308" i="44"/>
  <c r="P131" i="44"/>
  <c r="P208" i="44"/>
  <c r="P196" i="44"/>
  <c r="P91" i="44"/>
  <c r="O40" i="44"/>
  <c r="O297" i="44"/>
  <c r="O171" i="44"/>
  <c r="O95" i="44"/>
  <c r="P256" i="44"/>
  <c r="O188" i="44"/>
  <c r="O53" i="44"/>
  <c r="P281" i="44"/>
  <c r="O120" i="44"/>
  <c r="P14" i="44"/>
  <c r="O262" i="44"/>
  <c r="P92" i="44"/>
  <c r="P26" i="44"/>
  <c r="O295" i="44"/>
  <c r="O220" i="44"/>
  <c r="P157" i="44"/>
  <c r="P259" i="44"/>
  <c r="P214" i="44"/>
  <c r="O167" i="44"/>
  <c r="P64" i="44"/>
  <c r="P265" i="44"/>
  <c r="P201" i="44"/>
  <c r="P339" i="44"/>
  <c r="P323" i="44"/>
  <c r="P307" i="44"/>
  <c r="P291" i="44"/>
  <c r="O245" i="44"/>
  <c r="P207" i="44"/>
  <c r="O80" i="44"/>
  <c r="P270" i="44"/>
  <c r="O232" i="44"/>
  <c r="P187" i="44"/>
  <c r="P282" i="44"/>
  <c r="O72" i="44"/>
  <c r="P250" i="44"/>
  <c r="P218" i="44"/>
  <c r="P186" i="44"/>
  <c r="O96" i="44"/>
  <c r="O133" i="44"/>
  <c r="O101" i="44"/>
  <c r="P44" i="44"/>
  <c r="O154" i="44"/>
  <c r="O90" i="44"/>
  <c r="P102" i="44"/>
  <c r="O169" i="44"/>
  <c r="O105" i="44"/>
  <c r="P36" i="44"/>
  <c r="O42" i="44"/>
  <c r="P237" i="44"/>
  <c r="P141" i="44"/>
  <c r="P33" i="44"/>
  <c r="P284" i="44"/>
  <c r="P232" i="44"/>
  <c r="P298" i="44"/>
  <c r="P147" i="44"/>
  <c r="O136" i="44"/>
  <c r="O279" i="44"/>
  <c r="O235" i="44"/>
  <c r="O325" i="44"/>
  <c r="O195" i="44"/>
  <c r="P146" i="44"/>
  <c r="P316" i="44"/>
  <c r="O250" i="44"/>
  <c r="P338" i="44"/>
  <c r="O209" i="44"/>
  <c r="P66" i="44"/>
  <c r="P314" i="44"/>
  <c r="O27" i="44"/>
  <c r="P57" i="44"/>
  <c r="P324" i="44"/>
  <c r="P245" i="44"/>
  <c r="O126" i="44"/>
  <c r="O21" i="44"/>
  <c r="P31" i="44"/>
  <c r="O210" i="44"/>
  <c r="O316" i="44"/>
  <c r="P205" i="44"/>
  <c r="P116" i="44"/>
  <c r="O290" i="44"/>
  <c r="P100" i="44"/>
  <c r="O201" i="44"/>
  <c r="P192" i="44"/>
  <c r="P84" i="44"/>
  <c r="O37" i="44"/>
  <c r="O289" i="44"/>
  <c r="O160" i="44"/>
  <c r="O84" i="44"/>
  <c r="O249" i="44"/>
  <c r="O142" i="44"/>
  <c r="O50" i="44"/>
  <c r="P240" i="44"/>
  <c r="O116" i="44"/>
  <c r="P277" i="44"/>
  <c r="O247" i="44"/>
  <c r="O20" i="44"/>
  <c r="O287" i="44"/>
  <c r="P216" i="44"/>
  <c r="P133" i="44"/>
  <c r="O256" i="44"/>
  <c r="P211" i="44"/>
  <c r="P167" i="44"/>
  <c r="O88" i="44"/>
  <c r="P252" i="44"/>
  <c r="P188" i="44"/>
  <c r="P337" i="44"/>
  <c r="P321" i="44"/>
  <c r="P305" i="44"/>
  <c r="P289" i="44"/>
  <c r="P242" i="44"/>
  <c r="O197" i="44"/>
  <c r="P80" i="44"/>
  <c r="P267" i="44"/>
  <c r="P222" i="44"/>
  <c r="O184" i="44"/>
  <c r="P275" i="44"/>
  <c r="P72" i="44"/>
  <c r="P247" i="44"/>
  <c r="P215" i="44"/>
  <c r="P183" i="44"/>
  <c r="P96" i="44"/>
  <c r="P127" i="44"/>
  <c r="P95" i="44"/>
  <c r="O38" i="44"/>
  <c r="O146" i="44"/>
  <c r="O82" i="44"/>
  <c r="P94" i="44"/>
  <c r="O161" i="44"/>
  <c r="O97" i="44"/>
  <c r="O30" i="44"/>
  <c r="P32" i="44"/>
  <c r="P129" i="44"/>
  <c r="P113" i="44"/>
  <c r="P224" i="44"/>
  <c r="O301" i="44"/>
  <c r="O219" i="44"/>
  <c r="P130" i="44"/>
  <c r="P178" i="44"/>
  <c r="O51" i="44"/>
  <c r="P53" i="44"/>
  <c r="O222" i="44"/>
  <c r="O24" i="44"/>
  <c r="O198" i="44"/>
  <c r="P162" i="44"/>
  <c r="P180" i="44"/>
  <c r="O257" i="44"/>
  <c r="P60" i="44"/>
  <c r="O34" i="44"/>
  <c r="P228" i="44"/>
  <c r="O49" i="44"/>
  <c r="P197" i="44"/>
  <c r="O208" i="44"/>
  <c r="P48" i="44"/>
  <c r="P333" i="44"/>
  <c r="P287" i="44"/>
  <c r="O181" i="44"/>
  <c r="O216" i="44"/>
  <c r="O280" i="44"/>
  <c r="P202" i="44"/>
  <c r="P119" i="44"/>
  <c r="O138" i="44"/>
  <c r="P70" i="44"/>
  <c r="O123" i="44"/>
  <c r="O31" i="44"/>
  <c r="O17" i="44"/>
  <c r="P198" i="44"/>
  <c r="P249" i="44"/>
  <c r="P331" i="44"/>
  <c r="O175" i="44"/>
  <c r="P206" i="44"/>
  <c r="O269" i="44"/>
  <c r="O180" i="44"/>
  <c r="O130" i="44"/>
  <c r="O153" i="44"/>
  <c r="O115" i="44"/>
  <c r="P236" i="44"/>
  <c r="P175" i="44"/>
  <c r="O168" i="44"/>
  <c r="O122" i="44"/>
  <c r="O26" i="44"/>
  <c r="P239" i="44"/>
  <c r="O244" i="44"/>
  <c r="O137" i="44"/>
  <c r="O23" i="44"/>
  <c r="O159" i="44"/>
  <c r="P213" i="44"/>
  <c r="O102" i="44"/>
  <c r="O81" i="44"/>
  <c r="P243" i="44"/>
  <c r="P251" i="44"/>
  <c r="P86" i="44"/>
  <c r="O71" i="44"/>
  <c r="O214" i="44"/>
  <c r="P294" i="44"/>
  <c r="P93" i="44"/>
  <c r="O48" i="44"/>
  <c r="P134" i="44"/>
  <c r="P20" i="44"/>
  <c r="P29" i="44"/>
  <c r="P106" i="44"/>
  <c r="O124" i="44"/>
  <c r="O199" i="44"/>
  <c r="P114" i="44"/>
  <c r="O331" i="44"/>
  <c r="O43" i="44"/>
  <c r="P49" i="44"/>
  <c r="P122" i="44"/>
  <c r="O327" i="44"/>
  <c r="O194" i="44"/>
  <c r="P81" i="44"/>
  <c r="P176" i="44"/>
  <c r="O242" i="44"/>
  <c r="P241" i="44"/>
  <c r="P179" i="44"/>
  <c r="O190" i="44"/>
  <c r="P285" i="44"/>
  <c r="O117" i="44"/>
  <c r="P266" i="44"/>
  <c r="O145" i="44"/>
  <c r="O164" i="44"/>
  <c r="P155" i="44"/>
  <c r="P16" i="44"/>
  <c r="P221" i="44"/>
  <c r="P189" i="44"/>
  <c r="O309" i="44"/>
  <c r="P25" i="44"/>
  <c r="P108" i="44"/>
  <c r="P246" i="44"/>
  <c r="P226" i="44"/>
  <c r="P28" i="44"/>
  <c r="O263" i="44"/>
  <c r="O11" i="44"/>
  <c r="P332" i="44"/>
  <c r="P68" i="44"/>
  <c r="P301" i="44"/>
  <c r="O22" i="44"/>
  <c r="O310" i="44"/>
  <c r="P306" i="44"/>
  <c r="P184" i="44"/>
  <c r="O55" i="44"/>
  <c r="P299" i="44"/>
  <c r="P12" i="44"/>
  <c r="P98" i="44"/>
  <c r="P21" i="44"/>
  <c r="O86" i="44"/>
  <c r="O108" i="44"/>
  <c r="O317" i="44"/>
  <c r="P58" i="44"/>
  <c r="O308" i="44"/>
  <c r="O307" i="44"/>
  <c r="P45" i="44"/>
  <c r="O118" i="44"/>
  <c r="O206" i="44"/>
  <c r="O186" i="44"/>
  <c r="O41" i="44"/>
  <c r="O77" i="44"/>
  <c r="O238" i="44"/>
  <c r="O230" i="44"/>
  <c r="P225" i="44"/>
  <c r="P169" i="44"/>
  <c r="P10" i="44"/>
  <c r="P99" i="44"/>
  <c r="P195" i="44"/>
  <c r="P319" i="44"/>
  <c r="P271" i="44"/>
  <c r="P174" i="44"/>
  <c r="O93" i="44"/>
  <c r="P317" i="44"/>
  <c r="P171" i="44"/>
  <c r="P87" i="44"/>
  <c r="O89" i="44"/>
  <c r="P280" i="44"/>
  <c r="O286" i="44"/>
  <c r="P144" i="44"/>
  <c r="O29" i="44"/>
  <c r="O134" i="44"/>
  <c r="P166" i="44"/>
  <c r="P254" i="44"/>
  <c r="P18" i="44"/>
  <c r="P276" i="44"/>
  <c r="P181" i="44"/>
  <c r="O236" i="44"/>
  <c r="P97" i="44"/>
  <c r="P163" i="44"/>
  <c r="O212" i="44"/>
  <c r="P272" i="44"/>
  <c r="O59" i="44"/>
  <c r="P173" i="44"/>
  <c r="P212" i="44"/>
  <c r="P219" i="44"/>
  <c r="P78" i="44"/>
  <c r="P115" i="44"/>
  <c r="P17" i="44"/>
  <c r="O330" i="44"/>
  <c r="O92" i="44"/>
  <c r="O85" i="44"/>
  <c r="P312" i="44"/>
  <c r="O304" i="44"/>
  <c r="O292" i="44"/>
  <c r="O296" i="44"/>
  <c r="O87" i="44"/>
  <c r="O140" i="44"/>
  <c r="P85" i="44"/>
  <c r="P336" i="44"/>
  <c r="P69" i="44"/>
  <c r="O150" i="44"/>
  <c r="O215" i="44"/>
  <c r="O218" i="44"/>
  <c r="O217" i="44"/>
  <c r="O335" i="44"/>
  <c r="O143" i="44"/>
  <c r="P233" i="44"/>
  <c r="O56" i="44"/>
  <c r="O74" i="44"/>
  <c r="O340" i="44"/>
  <c r="O187" i="44"/>
  <c r="P288" i="44"/>
  <c r="O57" i="44"/>
  <c r="P101" i="44"/>
  <c r="P269" i="44"/>
  <c r="P303" i="44"/>
  <c r="O165" i="44"/>
  <c r="O326" i="44"/>
  <c r="O246" i="44"/>
  <c r="O302" i="44"/>
  <c r="O94" i="44"/>
  <c r="P88" i="44"/>
  <c r="P345" i="44" s="1"/>
  <c r="P159" i="44"/>
  <c r="P125" i="44"/>
  <c r="O226" i="44"/>
  <c r="O47" i="44"/>
  <c r="P335" i="44"/>
  <c r="O205" i="44"/>
  <c r="P229" i="44"/>
  <c r="O333" i="44"/>
  <c r="O271" i="44"/>
  <c r="O73" i="44"/>
  <c r="O294" i="44"/>
  <c r="P193" i="44"/>
  <c r="O288" i="44"/>
  <c r="P292" i="44"/>
  <c r="O13" i="44"/>
  <c r="P82" i="44"/>
  <c r="O60" i="44"/>
  <c r="P73" i="44"/>
  <c r="O66" i="44"/>
  <c r="P136" i="44"/>
  <c r="P105" i="44"/>
  <c r="O166" i="44"/>
  <c r="O202" i="44"/>
  <c r="P273" i="44"/>
  <c r="P143" i="44"/>
  <c r="O152" i="44"/>
  <c r="P185" i="44"/>
  <c r="P315" i="44"/>
  <c r="O229" i="44"/>
  <c r="O264" i="44"/>
  <c r="P156" i="44"/>
  <c r="O237" i="44"/>
  <c r="O173" i="44"/>
  <c r="P79" i="44"/>
  <c r="P34" i="44"/>
  <c r="O267" i="44"/>
  <c r="P132" i="44"/>
  <c r="P142" i="44"/>
  <c r="P234" i="44"/>
  <c r="P83" i="44"/>
  <c r="O183" i="44"/>
  <c r="O234" i="44"/>
  <c r="O337" i="44"/>
  <c r="P261" i="44"/>
  <c r="P194" i="44"/>
  <c r="O157" i="44"/>
  <c r="O231" i="44"/>
  <c r="P27" i="44"/>
  <c r="O240" i="44"/>
  <c r="P191" i="44"/>
  <c r="O125" i="44"/>
  <c r="O329" i="44"/>
  <c r="B61" i="11"/>
  <c r="B60" i="11"/>
  <c r="C60" i="11"/>
  <c r="C61" i="11"/>
  <c r="D27" i="53"/>
  <c r="B27" i="52"/>
  <c r="D26" i="52"/>
  <c r="D27" i="52"/>
  <c r="C27" i="52"/>
  <c r="F28" i="53"/>
  <c r="C27" i="53"/>
  <c r="F26" i="52"/>
  <c r="E12" i="52"/>
  <c r="B26" i="53"/>
  <c r="E28" i="53"/>
  <c r="B27" i="53"/>
  <c r="E26" i="52"/>
  <c r="F12" i="52"/>
  <c r="C12" i="52"/>
  <c r="F27" i="53"/>
  <c r="D28" i="53"/>
  <c r="F26" i="53"/>
  <c r="C28" i="53"/>
  <c r="E26" i="53"/>
  <c r="F27" i="52"/>
  <c r="C26" i="52"/>
  <c r="D12" i="52"/>
  <c r="B28" i="53"/>
  <c r="D26" i="53"/>
  <c r="E27" i="52"/>
  <c r="B26" i="52"/>
  <c r="C26" i="53"/>
  <c r="B12" i="52"/>
  <c r="D24" i="43"/>
  <c r="D13" i="10"/>
  <c r="E13" i="10"/>
  <c r="E15" i="10" s="1"/>
  <c r="E9" i="10"/>
  <c r="D9" i="10"/>
  <c r="C2" i="60"/>
  <c r="C18" i="40" l="1"/>
  <c r="G349" i="44"/>
  <c r="E349" i="44"/>
  <c r="B41" i="13"/>
  <c r="B33" i="45"/>
  <c r="B32" i="45"/>
  <c r="C33" i="45"/>
  <c r="C24" i="13"/>
  <c r="C32" i="45"/>
  <c r="B18" i="40"/>
  <c r="G13" i="53"/>
  <c r="G13" i="52"/>
  <c r="C31" i="11"/>
  <c r="F345" i="44"/>
  <c r="G26" i="53"/>
  <c r="C18" i="11"/>
  <c r="B44" i="11"/>
  <c r="B31" i="11"/>
  <c r="B18" i="11"/>
  <c r="B23" i="40"/>
  <c r="T223" i="44"/>
  <c r="F343" i="44"/>
  <c r="B22" i="40"/>
  <c r="G28" i="53"/>
  <c r="E343" i="44"/>
  <c r="G24" i="52"/>
  <c r="D19" i="8" s="1"/>
  <c r="G25" i="53"/>
  <c r="G27" i="53"/>
  <c r="C14" i="43"/>
  <c r="B30" i="53"/>
  <c r="I17" i="28"/>
  <c r="G27" i="52"/>
  <c r="G26" i="52"/>
  <c r="C18" i="53"/>
  <c r="I12" i="28"/>
  <c r="F18" i="53"/>
  <c r="D18" i="53"/>
  <c r="E18" i="53"/>
  <c r="B18" i="53"/>
  <c r="I13" i="28"/>
  <c r="E17" i="28"/>
  <c r="K17" i="28"/>
  <c r="I16" i="28"/>
  <c r="I15" i="28"/>
  <c r="E14" i="28"/>
  <c r="K14" i="28"/>
  <c r="E18" i="28"/>
  <c r="K18" i="28"/>
  <c r="F2" i="44"/>
  <c r="K12" i="28"/>
  <c r="E12" i="28"/>
  <c r="E13" i="28"/>
  <c r="K13" i="28"/>
  <c r="I18" i="28"/>
  <c r="I14" i="28"/>
  <c r="E16" i="28"/>
  <c r="K16" i="28"/>
  <c r="E15" i="28"/>
  <c r="K15" i="28"/>
  <c r="E2" i="44"/>
  <c r="J17" i="28" l="1"/>
  <c r="J12" i="28"/>
  <c r="J14" i="28"/>
  <c r="J13" i="28"/>
  <c r="J15" i="28"/>
  <c r="K20" i="28"/>
  <c r="D30" i="8" s="1"/>
  <c r="J16" i="28"/>
  <c r="J18" i="28"/>
  <c r="B24" i="13" l="1"/>
  <c r="C16" i="47"/>
  <c r="G20" i="28" l="1"/>
  <c r="G25" i="52" l="1"/>
  <c r="D20" i="8" s="1"/>
  <c r="M30" i="57" s="1"/>
  <c r="W30" i="57" s="1"/>
  <c r="D19" i="9"/>
  <c r="D15" i="59"/>
  <c r="C54" i="9"/>
  <c r="E54" i="9"/>
  <c r="E53" i="9" l="1"/>
  <c r="D58" i="43" s="1"/>
  <c r="E97" i="56" s="1"/>
  <c r="C53" i="9"/>
  <c r="B58" i="43" s="1"/>
  <c r="C97" i="56" s="1"/>
  <c r="I2" i="44" l="1"/>
  <c r="J2" i="44"/>
  <c r="J1" i="44" l="1"/>
  <c r="F14" i="30"/>
  <c r="I14" i="30" s="1"/>
  <c r="B49" i="13" l="1"/>
  <c r="B7" i="13"/>
  <c r="Q12" i="57"/>
  <c r="A2" i="59" l="1"/>
  <c r="A1" i="59"/>
  <c r="J55" i="59"/>
  <c r="I45" i="59"/>
  <c r="E47" i="59"/>
  <c r="I42" i="59"/>
  <c r="F39" i="54" l="1"/>
  <c r="G39" i="54"/>
  <c r="G38" i="54" l="1"/>
  <c r="M27" i="8" l="1"/>
  <c r="B59" i="10"/>
  <c r="B50" i="10"/>
  <c r="C88" i="56" l="1"/>
  <c r="A97" i="56"/>
  <c r="A96" i="56"/>
  <c r="C95" i="56"/>
  <c r="A95" i="56"/>
  <c r="A94" i="56"/>
  <c r="M14" i="57"/>
  <c r="W14" i="57" s="1"/>
  <c r="L14" i="57"/>
  <c r="D14" i="57"/>
  <c r="J12" i="57"/>
  <c r="D12" i="57"/>
  <c r="Q11" i="57"/>
  <c r="C9" i="57"/>
  <c r="B9" i="57"/>
  <c r="C44" i="9" l="1"/>
  <c r="B49" i="43" s="1"/>
  <c r="C89" i="56" s="1"/>
  <c r="C55" i="10" l="1"/>
  <c r="E35" i="54" l="1"/>
  <c r="M26" i="8" l="1"/>
  <c r="S26" i="8" s="1"/>
  <c r="B29" i="13"/>
  <c r="B22" i="30"/>
  <c r="F18" i="30"/>
  <c r="F16" i="30"/>
  <c r="F12" i="30"/>
  <c r="F8" i="30"/>
  <c r="F20" i="30"/>
  <c r="H10" i="30"/>
  <c r="D22" i="30" l="1"/>
  <c r="B52" i="11"/>
  <c r="B33" i="13"/>
  <c r="C22" i="30"/>
  <c r="F10" i="30"/>
  <c r="I10" i="30" s="1"/>
  <c r="F22" i="30" l="1"/>
  <c r="G18" i="53" l="1"/>
  <c r="C37" i="8" s="1"/>
  <c r="L28" i="8" l="1"/>
  <c r="D13" i="43"/>
  <c r="C13" i="43"/>
  <c r="C63" i="11"/>
  <c r="C18" i="47"/>
  <c r="B63" i="11" l="1"/>
  <c r="B15" i="47"/>
  <c r="D34" i="8"/>
  <c r="G30" i="53" l="1"/>
  <c r="C30" i="53" l="1"/>
  <c r="F6" i="11" l="1"/>
  <c r="D11" i="8"/>
  <c r="D15" i="10"/>
  <c r="C11" i="8" s="1"/>
  <c r="D11" i="10"/>
  <c r="E11" i="10"/>
  <c r="B29" i="52" l="1"/>
  <c r="C37" i="10" l="1"/>
  <c r="C46" i="10" l="1"/>
  <c r="C47" i="10"/>
  <c r="C48" i="10"/>
  <c r="C57" i="10"/>
  <c r="C56" i="10"/>
  <c r="E47" i="10" l="1"/>
  <c r="E48" i="10"/>
  <c r="C50" i="10"/>
  <c r="E46" i="10"/>
  <c r="C59" i="10"/>
  <c r="D57" i="10"/>
  <c r="D56" i="10"/>
  <c r="D40" i="10" l="1"/>
  <c r="B40" i="10" s="1"/>
  <c r="E39" i="10"/>
  <c r="C39" i="10"/>
  <c r="E38" i="10"/>
  <c r="E37" i="10"/>
  <c r="C26" i="10" l="1"/>
  <c r="E28" i="10"/>
  <c r="E27" i="10"/>
  <c r="C28" i="10"/>
  <c r="C27" i="10"/>
  <c r="E40" i="10"/>
  <c r="C40" i="10" s="1"/>
  <c r="E30" i="10" l="1"/>
  <c r="C30" i="10"/>
  <c r="A1" i="53"/>
  <c r="F29" i="52"/>
  <c r="E29" i="52"/>
  <c r="D29" i="52"/>
  <c r="F17" i="52"/>
  <c r="E17" i="52"/>
  <c r="B17" i="52"/>
  <c r="G17" i="52" l="1"/>
  <c r="C20" i="8" s="1"/>
  <c r="C29" i="52"/>
  <c r="C17" i="52"/>
  <c r="D17" i="52"/>
  <c r="G29" i="52"/>
  <c r="M28" i="8" l="1"/>
  <c r="A1" i="52"/>
  <c r="B48" i="11" l="1"/>
  <c r="B35" i="10" l="1"/>
  <c r="C19" i="13" l="1"/>
  <c r="B47" i="13"/>
  <c r="B65" i="13"/>
  <c r="B56" i="13"/>
  <c r="B57" i="13"/>
  <c r="B54" i="13"/>
  <c r="B55" i="13"/>
  <c r="B58" i="13"/>
  <c r="B39" i="13"/>
  <c r="B38" i="13"/>
  <c r="B10" i="13"/>
  <c r="B8" i="13"/>
  <c r="B28" i="13"/>
  <c r="B31" i="13"/>
  <c r="B23" i="13"/>
  <c r="B32" i="13"/>
  <c r="B38" i="11" l="1"/>
  <c r="B26" i="11"/>
  <c r="B25" i="11"/>
  <c r="B24" i="11"/>
  <c r="B48" i="13"/>
  <c r="B51" i="13" s="1"/>
  <c r="B25" i="13"/>
  <c r="B27" i="13"/>
  <c r="B26" i="13"/>
  <c r="B17" i="13"/>
  <c r="B10" i="11" l="1"/>
  <c r="B11" i="11"/>
  <c r="B12" i="11"/>
  <c r="B9" i="11"/>
  <c r="B17" i="11"/>
  <c r="B32" i="11"/>
  <c r="B45" i="11"/>
  <c r="B23" i="11"/>
  <c r="B28" i="11" s="1"/>
  <c r="D15" i="9" s="1"/>
  <c r="L29" i="57" s="1"/>
  <c r="B49" i="11"/>
  <c r="B64" i="13"/>
  <c r="B63" i="13"/>
  <c r="B30" i="13"/>
  <c r="B35" i="13" s="1"/>
  <c r="B50" i="11" s="1"/>
  <c r="B40" i="13"/>
  <c r="B16" i="13"/>
  <c r="B18" i="13"/>
  <c r="B15" i="13"/>
  <c r="B9" i="13"/>
  <c r="F9" i="13" s="1"/>
  <c r="B14" i="11" l="1"/>
  <c r="B39" i="11"/>
  <c r="B20" i="11"/>
  <c r="D10" i="9" s="1"/>
  <c r="E51" i="9"/>
  <c r="D56" i="43" s="1"/>
  <c r="E52" i="9"/>
  <c r="D57" i="43" s="1"/>
  <c r="D59" i="43"/>
  <c r="E98" i="56" s="1"/>
  <c r="E50" i="9"/>
  <c r="D55" i="43" s="1"/>
  <c r="B34" i="11" l="1"/>
  <c r="D16" i="9" s="1"/>
  <c r="D9" i="9"/>
  <c r="B41" i="11"/>
  <c r="D17" i="9" s="1"/>
  <c r="C16" i="43" s="1"/>
  <c r="C34" i="43" s="1"/>
  <c r="C36" i="43" s="1"/>
  <c r="L25" i="57" l="1"/>
  <c r="L41" i="57"/>
  <c r="D12" i="9"/>
  <c r="G22" i="30"/>
  <c r="E22" i="30"/>
  <c r="E24" i="30" s="1"/>
  <c r="H18" i="34"/>
  <c r="C24" i="30" l="1"/>
  <c r="F3" i="34"/>
  <c r="H20" i="28" l="1"/>
  <c r="D20" i="28"/>
  <c r="E25" i="30" s="1"/>
  <c r="E26" i="30" s="1"/>
  <c r="C20" i="28"/>
  <c r="K8" i="28"/>
  <c r="I8" i="28"/>
  <c r="J8" i="28" s="1"/>
  <c r="F8" i="28"/>
  <c r="C29" i="43" l="1"/>
  <c r="C25" i="30"/>
  <c r="C26" i="30" s="1"/>
  <c r="E22" i="59"/>
  <c r="C70" i="59"/>
  <c r="B3" i="13"/>
  <c r="B3" i="40"/>
  <c r="D74" i="59" l="1"/>
  <c r="C78" i="59"/>
  <c r="D85" i="59" s="1"/>
  <c r="A2" i="34"/>
  <c r="F2" i="34" s="1"/>
  <c r="C3" i="13"/>
  <c r="A2" i="11"/>
  <c r="A1" i="47"/>
  <c r="A3" i="28"/>
  <c r="C3" i="40"/>
  <c r="A2" i="28"/>
  <c r="A1" i="45"/>
  <c r="D35" i="10"/>
  <c r="A1" i="43"/>
  <c r="A55" i="9"/>
  <c r="A60" i="43" s="1"/>
  <c r="A99" i="56" s="1"/>
  <c r="A54" i="9"/>
  <c r="A59" i="43" s="1"/>
  <c r="A98" i="56" s="1"/>
  <c r="B59" i="43"/>
  <c r="C98" i="56" s="1"/>
  <c r="C52" i="9"/>
  <c r="B57" i="43" s="1"/>
  <c r="C96" i="56" s="1"/>
  <c r="C51" i="9"/>
  <c r="C50" i="9"/>
  <c r="B55" i="43" s="1"/>
  <c r="C94" i="56" s="1"/>
  <c r="A40" i="9"/>
  <c r="A4" i="9"/>
  <c r="A4" i="43" s="1"/>
  <c r="A3" i="10" l="1"/>
  <c r="H16" i="30" l="1"/>
  <c r="H20" i="30" l="1"/>
  <c r="H12" i="30"/>
  <c r="H18" i="30"/>
  <c r="I16" i="30"/>
  <c r="B60" i="13"/>
  <c r="B43" i="13"/>
  <c r="B12" i="13"/>
  <c r="B67" i="13"/>
  <c r="B55" i="11" s="1"/>
  <c r="B20" i="13"/>
  <c r="F20" i="28"/>
  <c r="H22" i="30" l="1"/>
  <c r="D27" i="59" s="1"/>
  <c r="E27" i="59" s="1"/>
  <c r="L33" i="57"/>
  <c r="B51" i="11"/>
  <c r="B53" i="11"/>
  <c r="B54" i="11"/>
  <c r="B47" i="11"/>
  <c r="B46" i="11"/>
  <c r="I20" i="30"/>
  <c r="I8" i="30"/>
  <c r="I18" i="30"/>
  <c r="I12" i="30"/>
  <c r="B20" i="28"/>
  <c r="I20" i="28"/>
  <c r="E20" i="28" l="1"/>
  <c r="L38" i="57"/>
  <c r="B57" i="11"/>
  <c r="D18" i="9" s="1"/>
  <c r="D21" i="9" s="1"/>
  <c r="D23" i="9" s="1"/>
  <c r="I22" i="30"/>
  <c r="G12" i="34" s="1"/>
  <c r="D31" i="8"/>
  <c r="J20" i="28"/>
  <c r="C30" i="8" s="1"/>
  <c r="D27" i="9" l="1"/>
  <c r="D29" i="9" s="1"/>
  <c r="E12" i="59" s="1"/>
  <c r="G13" i="34"/>
  <c r="H13" i="34" s="1"/>
  <c r="H21" i="34" s="1"/>
  <c r="H23" i="34" s="1"/>
  <c r="D31" i="48" s="1"/>
  <c r="M75" i="44" s="1"/>
  <c r="M343" i="44" l="1"/>
  <c r="E32" i="48"/>
  <c r="N67" i="44" s="1"/>
  <c r="D32" i="9"/>
  <c r="C11" i="43"/>
  <c r="C17" i="43" s="1"/>
  <c r="D60" i="59"/>
  <c r="C88" i="59" s="1"/>
  <c r="D89" i="59" s="1"/>
  <c r="E38" i="59" s="1"/>
  <c r="E24" i="59"/>
  <c r="E29" i="59" s="1"/>
  <c r="O67" i="44" l="1"/>
  <c r="P67" i="44"/>
  <c r="O75" i="44"/>
  <c r="P75" i="44"/>
  <c r="N2" i="44"/>
  <c r="B16" i="47"/>
  <c r="B18" i="47" l="1"/>
  <c r="C34" i="8" s="1"/>
  <c r="M2" i="44"/>
  <c r="N1" i="44" s="1"/>
  <c r="D30" i="53"/>
  <c r="E30" i="53"/>
  <c r="F30" i="53"/>
  <c r="D37" i="8" l="1"/>
  <c r="M26" i="57" s="1"/>
  <c r="W26" i="57" s="1"/>
  <c r="E34" i="59" l="1"/>
  <c r="E40" i="59" l="1"/>
  <c r="E41" i="59" l="1"/>
  <c r="E42" i="59" s="1"/>
  <c r="E43" i="59" s="1"/>
  <c r="E44" i="59" s="1"/>
  <c r="E48" i="59" s="1"/>
  <c r="N5" i="48"/>
  <c r="P5" i="48" s="1"/>
  <c r="I41" i="59"/>
  <c r="I43" i="59" s="1"/>
  <c r="I44" i="59" s="1"/>
  <c r="D3" i="48"/>
  <c r="I51" i="59" l="1"/>
  <c r="I53" i="59" s="1"/>
  <c r="K53" i="59" s="1"/>
  <c r="L53" i="59" s="1"/>
  <c r="I46" i="59"/>
  <c r="I52" i="59" l="1"/>
  <c r="K52" i="59" s="1"/>
  <c r="L52" i="59" s="1"/>
  <c r="I54" i="59"/>
  <c r="K54" i="59" s="1"/>
  <c r="L54" i="59" s="1"/>
  <c r="I55" i="59"/>
  <c r="K55" i="59" s="1"/>
  <c r="L55" i="59" s="1"/>
  <c r="I47" i="59"/>
  <c r="C51" i="59" s="1"/>
  <c r="L56" i="59"/>
  <c r="C52" i="59" s="1"/>
  <c r="D34" i="9"/>
  <c r="G2" i="44"/>
  <c r="G343" i="44"/>
  <c r="L17" i="57" l="1"/>
  <c r="L48" i="57"/>
  <c r="L37" i="57"/>
  <c r="B12" i="56"/>
  <c r="B15" i="56" s="1"/>
  <c r="D37" i="9"/>
  <c r="D38" i="9" s="1"/>
  <c r="E52" i="59"/>
  <c r="E54" i="59" s="1"/>
  <c r="E3" i="48"/>
  <c r="E2" i="48" s="1"/>
  <c r="C24" i="43"/>
  <c r="B11" i="45" l="1"/>
  <c r="B18" i="57"/>
  <c r="B17" i="56"/>
  <c r="N343" i="44"/>
  <c r="B14" i="56" l="1"/>
  <c r="D46" i="10" l="1"/>
  <c r="D47" i="10"/>
  <c r="D48" i="10"/>
  <c r="D55" i="10"/>
  <c r="D59" i="10" l="1"/>
  <c r="D50" i="10"/>
  <c r="D31" i="43" l="1"/>
  <c r="C49" i="13"/>
  <c r="C29" i="13"/>
  <c r="D29" i="13" s="1"/>
  <c r="C16" i="40"/>
  <c r="C48" i="13"/>
  <c r="C25" i="13"/>
  <c r="D25" i="13" s="1"/>
  <c r="C21" i="40"/>
  <c r="C15" i="40"/>
  <c r="C58" i="13"/>
  <c r="C8" i="40"/>
  <c r="C65" i="13"/>
  <c r="C26" i="11"/>
  <c r="C49" i="11"/>
  <c r="C36" i="40"/>
  <c r="C10" i="13"/>
  <c r="D10" i="13" s="1"/>
  <c r="C10" i="47"/>
  <c r="C41" i="40"/>
  <c r="C19" i="40"/>
  <c r="C64" i="13"/>
  <c r="C8" i="13"/>
  <c r="D8" i="13" s="1"/>
  <c r="C32" i="13"/>
  <c r="D32" i="13" s="1"/>
  <c r="C39" i="11"/>
  <c r="C38" i="11"/>
  <c r="C9" i="40"/>
  <c r="C18" i="13"/>
  <c r="D18" i="13" s="1"/>
  <c r="C57" i="13"/>
  <c r="C28" i="13"/>
  <c r="D28" i="13" s="1"/>
  <c r="C20" i="40"/>
  <c r="C48" i="11"/>
  <c r="C39" i="13"/>
  <c r="D39" i="13" s="1"/>
  <c r="C28" i="47"/>
  <c r="C10" i="40"/>
  <c r="C40" i="13"/>
  <c r="C16" i="13"/>
  <c r="D16" i="13" s="1"/>
  <c r="C25" i="11"/>
  <c r="C55" i="13"/>
  <c r="C45" i="11"/>
  <c r="C42" i="40"/>
  <c r="C33" i="13"/>
  <c r="D33" i="13" s="1"/>
  <c r="C9" i="13"/>
  <c r="C52" i="11"/>
  <c r="C7" i="40"/>
  <c r="C31" i="45"/>
  <c r="C29" i="47"/>
  <c r="C17" i="40"/>
  <c r="C11" i="11"/>
  <c r="C32" i="11"/>
  <c r="C27" i="13"/>
  <c r="D27" i="13" s="1"/>
  <c r="C30" i="13"/>
  <c r="D30" i="13" s="1"/>
  <c r="C25" i="45"/>
  <c r="C31" i="13"/>
  <c r="D31" i="13" s="1"/>
  <c r="C26" i="13"/>
  <c r="D26" i="13" s="1"/>
  <c r="C24" i="11"/>
  <c r="C12" i="11"/>
  <c r="C17" i="13"/>
  <c r="D17" i="13" s="1"/>
  <c r="C10" i="11"/>
  <c r="C56" i="13"/>
  <c r="C30" i="40"/>
  <c r="C54" i="13"/>
  <c r="C38" i="13"/>
  <c r="C7" i="13"/>
  <c r="C47" i="13"/>
  <c r="C63" i="13"/>
  <c r="C17" i="11"/>
  <c r="C20" i="11" s="1"/>
  <c r="E10" i="9" s="1"/>
  <c r="C23" i="13"/>
  <c r="D23" i="13" s="1"/>
  <c r="C15" i="13"/>
  <c r="C23" i="11"/>
  <c r="C44" i="11"/>
  <c r="C29" i="40"/>
  <c r="C9" i="47"/>
  <c r="C35" i="40"/>
  <c r="F1" i="44"/>
  <c r="K9" i="44"/>
  <c r="C9" i="11"/>
  <c r="C36" i="45" l="1"/>
  <c r="D22" i="8" s="1"/>
  <c r="C14" i="11"/>
  <c r="C12" i="40"/>
  <c r="C24" i="45" s="1"/>
  <c r="C12" i="47"/>
  <c r="C32" i="40"/>
  <c r="C22" i="47" s="1"/>
  <c r="C25" i="40"/>
  <c r="C26" i="45" s="1"/>
  <c r="C67" i="13"/>
  <c r="C55" i="11" s="1"/>
  <c r="C38" i="40"/>
  <c r="C21" i="47" s="1"/>
  <c r="C35" i="13"/>
  <c r="C50" i="11" s="1"/>
  <c r="C60" i="13"/>
  <c r="C54" i="11" s="1"/>
  <c r="C28" i="11"/>
  <c r="E15" i="9" s="1"/>
  <c r="M29" i="57" s="1"/>
  <c r="W29" i="57" s="1"/>
  <c r="C41" i="11"/>
  <c r="E17" i="9" s="1"/>
  <c r="D16" i="43" s="1"/>
  <c r="D34" i="43" s="1"/>
  <c r="D36" i="43" s="1"/>
  <c r="C12" i="13"/>
  <c r="C46" i="11" s="1"/>
  <c r="C44" i="40"/>
  <c r="C27" i="47" s="1"/>
  <c r="C31" i="47" s="1"/>
  <c r="D39" i="8" s="1"/>
  <c r="C43" i="13"/>
  <c r="C51" i="11" s="1"/>
  <c r="R2" i="44"/>
  <c r="T2" i="44" s="1"/>
  <c r="D15" i="13"/>
  <c r="C20" i="13"/>
  <c r="D47" i="13"/>
  <c r="C51" i="13"/>
  <c r="L9" i="44"/>
  <c r="P9" i="44" s="1"/>
  <c r="C34" i="11"/>
  <c r="E16" i="9" s="1"/>
  <c r="M33" i="8" l="1"/>
  <c r="B8" i="40"/>
  <c r="B10" i="40"/>
  <c r="B35" i="40"/>
  <c r="O9" i="44"/>
  <c r="C31" i="8" s="1"/>
  <c r="B17" i="40"/>
  <c r="B10" i="47"/>
  <c r="D33" i="8"/>
  <c r="D35" i="8" s="1"/>
  <c r="E9" i="9"/>
  <c r="C28" i="45"/>
  <c r="D21" i="8" s="1"/>
  <c r="D23" i="8" s="1"/>
  <c r="C24" i="47"/>
  <c r="D38" i="8" s="1"/>
  <c r="C16" i="57"/>
  <c r="C53" i="11"/>
  <c r="C47" i="11"/>
  <c r="M12" i="57" l="1"/>
  <c r="W12" i="57" s="1"/>
  <c r="B36" i="40"/>
  <c r="B38" i="40" s="1"/>
  <c r="B21" i="47" s="1"/>
  <c r="B7" i="40"/>
  <c r="B9" i="40"/>
  <c r="E12" i="9"/>
  <c r="G12" i="9" s="1"/>
  <c r="L30" i="8"/>
  <c r="S30" i="8" s="1"/>
  <c r="M25" i="57"/>
  <c r="W25" i="57" s="1"/>
  <c r="M41" i="57"/>
  <c r="W41" i="57" s="1"/>
  <c r="D41" i="43"/>
  <c r="L30" i="57"/>
  <c r="B20" i="40"/>
  <c r="C57" i="11"/>
  <c r="E18" i="9" s="1"/>
  <c r="E21" i="9" s="1"/>
  <c r="D40" i="8"/>
  <c r="B29" i="40"/>
  <c r="B42" i="40"/>
  <c r="B29" i="47"/>
  <c r="B16" i="40"/>
  <c r="B41" i="40"/>
  <c r="M31" i="8"/>
  <c r="S31" i="8" s="1"/>
  <c r="B31" i="45"/>
  <c r="B15" i="40"/>
  <c r="B21" i="40"/>
  <c r="B25" i="45"/>
  <c r="M32" i="8"/>
  <c r="S32" i="8" s="1"/>
  <c r="B30" i="40"/>
  <c r="B28" i="47"/>
  <c r="B9" i="47"/>
  <c r="B12" i="47" s="1"/>
  <c r="B19" i="40"/>
  <c r="E23" i="9" l="1"/>
  <c r="B12" i="40"/>
  <c r="B24" i="45" s="1"/>
  <c r="L34" i="8"/>
  <c r="C33" i="8"/>
  <c r="C30" i="43" s="1"/>
  <c r="D42" i="8"/>
  <c r="M11" i="57"/>
  <c r="W11" i="57" s="1"/>
  <c r="M33" i="57"/>
  <c r="W33" i="57" s="1"/>
  <c r="P25" i="57"/>
  <c r="M38" i="57"/>
  <c r="W38" i="57" s="1"/>
  <c r="C15" i="57"/>
  <c r="C21" i="43"/>
  <c r="L26" i="57"/>
  <c r="B15" i="57" s="1"/>
  <c r="H2" i="44"/>
  <c r="H1" i="44" s="1"/>
  <c r="D43" i="43"/>
  <c r="C40" i="43"/>
  <c r="B32" i="40"/>
  <c r="B22" i="47" s="1"/>
  <c r="B24" i="47" s="1"/>
  <c r="C38" i="8" s="1"/>
  <c r="B44" i="40"/>
  <c r="M34" i="8"/>
  <c r="B25" i="40"/>
  <c r="B26" i="45" s="1"/>
  <c r="B36" i="45"/>
  <c r="C22" i="8" s="1"/>
  <c r="B16" i="57"/>
  <c r="D16" i="57" s="1"/>
  <c r="E27" i="9" l="1"/>
  <c r="G23" i="9"/>
  <c r="M42" i="57"/>
  <c r="C19" i="57" s="1"/>
  <c r="B27" i="47"/>
  <c r="B31" i="47" s="1"/>
  <c r="C39" i="8" s="1"/>
  <c r="B28" i="45"/>
  <c r="C21" i="8" s="1"/>
  <c r="C23" i="8" s="1"/>
  <c r="N34" i="8"/>
  <c r="C35" i="8"/>
  <c r="E29" i="9"/>
  <c r="D15" i="57"/>
  <c r="C10" i="57"/>
  <c r="M34" i="57"/>
  <c r="H343" i="44"/>
  <c r="C41" i="43"/>
  <c r="C43" i="43" s="1"/>
  <c r="N28" i="8"/>
  <c r="C31" i="43"/>
  <c r="L2" i="44"/>
  <c r="K2" i="44"/>
  <c r="E34" i="9" l="1"/>
  <c r="G29" i="9"/>
  <c r="D11" i="43"/>
  <c r="D17" i="43" s="1"/>
  <c r="D26" i="43" s="1"/>
  <c r="D38" i="43" s="1"/>
  <c r="F45" i="43" s="1"/>
  <c r="G27" i="9"/>
  <c r="W42" i="57"/>
  <c r="C20" i="43"/>
  <c r="C40" i="8"/>
  <c r="L11" i="57" s="1"/>
  <c r="K343" i="44"/>
  <c r="O2" i="44"/>
  <c r="L343" i="44"/>
  <c r="P2" i="44"/>
  <c r="C17" i="57"/>
  <c r="W34" i="57"/>
  <c r="M37" i="57"/>
  <c r="M17" i="57"/>
  <c r="C12" i="56"/>
  <c r="C15" i="56" s="1"/>
  <c r="C17" i="56" s="1"/>
  <c r="M48" i="57"/>
  <c r="W48" i="57" s="1"/>
  <c r="N35" i="8"/>
  <c r="N36" i="8" s="1"/>
  <c r="E37" i="9"/>
  <c r="E38" i="9" s="1"/>
  <c r="C22" i="43"/>
  <c r="L12" i="57"/>
  <c r="L1" i="44"/>
  <c r="C11" i="45" l="1"/>
  <c r="C15" i="45" s="1"/>
  <c r="B10" i="45" s="1"/>
  <c r="B15" i="45" s="1"/>
  <c r="C12" i="8" s="1"/>
  <c r="G34" i="9"/>
  <c r="C26" i="43"/>
  <c r="C38" i="43" s="1"/>
  <c r="E45" i="43" s="1"/>
  <c r="C42" i="8"/>
  <c r="L42" i="57" s="1"/>
  <c r="B19" i="57" s="1"/>
  <c r="D19" i="57" s="1"/>
  <c r="P343" i="44"/>
  <c r="P17" i="57"/>
  <c r="W17" i="57"/>
  <c r="C18" i="57"/>
  <c r="D18" i="57" s="1"/>
  <c r="W37" i="57"/>
  <c r="C14" i="56"/>
  <c r="O343" i="44"/>
  <c r="P1" i="44"/>
  <c r="L34" i="57"/>
  <c r="B17" i="57" s="1"/>
  <c r="D17" i="57" s="1"/>
  <c r="B10" i="57"/>
  <c r="D10" i="57" s="1"/>
  <c r="C13" i="8" l="1"/>
  <c r="E13" i="8" s="1"/>
  <c r="E12" i="8"/>
  <c r="D12" i="8"/>
  <c r="D13" i="8" s="1"/>
  <c r="D25" i="8" s="1"/>
  <c r="C25" i="8"/>
  <c r="E25" i="8" s="1"/>
  <c r="L15" i="57"/>
  <c r="B11" i="57" s="1"/>
  <c r="L49" i="57"/>
  <c r="B20" i="57" s="1"/>
  <c r="M15" i="57"/>
  <c r="M18" i="57" s="1"/>
  <c r="W18" i="57" s="1"/>
  <c r="M49" i="57"/>
  <c r="C20" i="57" s="1"/>
  <c r="D20" i="57" l="1"/>
  <c r="C11" i="57"/>
  <c r="D11" i="57" s="1"/>
  <c r="L18" i="57"/>
  <c r="B13" i="57" s="1"/>
  <c r="W15" i="57"/>
  <c r="W49" i="57"/>
  <c r="C13" i="57"/>
  <c r="D13" i="5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tc={2D3DBE0A-447F-49F4-843C-4D93A78B82E2}</author>
    <author>tc={2BD383A5-065B-4314-B363-5EEE673E0AB0}</author>
  </authors>
  <commentList>
    <comment ref="B40" authorId="0" shapeId="0" xr:uid="{2D3DBE0A-447F-49F4-843C-4D93A78B82E2}">
      <text>
        <t>[Threaded comment]
Your version of Excel allows you to read this threaded comment; however, any edits to it will get removed if the file is opened in a newer version of Excel. Learn more: https://go.microsoft.com/fwlink/?linkid=870924
Comment:
    Closing balance to be consider for Ageing</t>
      </text>
    </comment>
    <comment ref="F40" authorId="1" shapeId="0" xr:uid="{2BD383A5-065B-4314-B363-5EEE673E0AB0}">
      <text>
        <t>[Threaded comment]
Your version of Excel allows you to read this threaded comment; however, any edits to it will get removed if the file is opened in a newer version of Excel. Learn more: https://go.microsoft.com/fwlink/?linkid=870924
Comment:
    Closing balance to be consider for Ageing</t>
      </text>
    </comment>
  </commentList>
</comments>
</file>

<file path=xl/sharedStrings.xml><?xml version="1.0" encoding="utf-8"?>
<sst xmlns="http://schemas.openxmlformats.org/spreadsheetml/2006/main" count="2196" uniqueCount="1189">
  <si>
    <t>Ones</t>
  </si>
  <si>
    <t>Millions</t>
  </si>
  <si>
    <t>Lakhs</t>
  </si>
  <si>
    <t>Ten Thousands</t>
  </si>
  <si>
    <t>Thousands</t>
  </si>
  <si>
    <t>Hundreds</t>
  </si>
  <si>
    <t>Tens</t>
  </si>
  <si>
    <t>As per RBI Prevailing Rates</t>
  </si>
  <si>
    <t>Date</t>
  </si>
  <si>
    <t>Currency</t>
  </si>
  <si>
    <t>Rate/ INR</t>
  </si>
  <si>
    <t>USD</t>
  </si>
  <si>
    <t>ZOVKO ENTERPRISES INC</t>
  </si>
  <si>
    <t>EUR</t>
  </si>
  <si>
    <t>GBP</t>
  </si>
  <si>
    <t>TAZMANIAN FREIGHT SYSTEMS INC</t>
  </si>
  <si>
    <t>SCT LOGISTICS JOINT STOCK COMPANY (OS90029) HO CHI MINH</t>
  </si>
  <si>
    <t>QUALITY FREIGHT SERVICES LTD</t>
  </si>
  <si>
    <t>INTER CONTINENTAL LOGISTICS LTD</t>
  </si>
  <si>
    <t>ELTO FREIGHT</t>
  </si>
  <si>
    <t>CARGONIZER LOGISTICS INC</t>
  </si>
  <si>
    <t>CARE FREIGHT LOGISTICS (PTY) LTD</t>
  </si>
  <si>
    <t>GREAT LINK LOGISTICS CO LTD</t>
  </si>
  <si>
    <t>FLY LOG</t>
  </si>
  <si>
    <t>SKG THESSALONIKI CARGO MON IKE</t>
  </si>
  <si>
    <t>Grand Total</t>
  </si>
  <si>
    <t>FREJA TRANSPORT   LOGISTICS A/S</t>
  </si>
  <si>
    <t>FALCON LOGISTICS B.V.</t>
  </si>
  <si>
    <t>LIFT FREIGHT SERVICES B.V.</t>
  </si>
  <si>
    <t>QCS QUICK CARGO SERVICE GMBH</t>
  </si>
  <si>
    <t>VECTOR SPA</t>
  </si>
  <si>
    <t>TRANSCARGO WORLDWIDE (M) SDN BHD</t>
  </si>
  <si>
    <t>ISCM CHINA CO LTD</t>
  </si>
  <si>
    <t>INFRANORDIC SHIPPING AND FORWARDING AB</t>
  </si>
  <si>
    <t>GENEL TRANSPORT LTD. STI.</t>
  </si>
  <si>
    <t>FOCUS GLOBAL LOGISTICS (HK) CORPORATION LIMITED</t>
  </si>
  <si>
    <t>DYJ LOGISTICS</t>
  </si>
  <si>
    <t>B C INTERNATIONAL LOGISTICS LTD</t>
  </si>
  <si>
    <t>SHANGHAI GLISTENING INTERNATIONAL LOGISTICS CO LTD</t>
  </si>
  <si>
    <t>DGX JAPAN LIMITED</t>
  </si>
  <si>
    <t>EXPO FREIGHT LIMITED..</t>
  </si>
  <si>
    <t>QCS QUICK CARGO SERVICE AG</t>
  </si>
  <si>
    <t>SASCOLINE SHPK</t>
  </si>
  <si>
    <t>SI no</t>
  </si>
  <si>
    <t>Particulars</t>
  </si>
  <si>
    <t>Debit</t>
  </si>
  <si>
    <t>Credit</t>
  </si>
  <si>
    <t>Remarks</t>
  </si>
  <si>
    <t>Assest break ups</t>
  </si>
  <si>
    <t>NETWORK CHSING PURCHSED FOR MAA NEW OFFICE</t>
  </si>
  <si>
    <t>AC INSTALATION CHARGES</t>
  </si>
  <si>
    <t>PLUG - INR 60
1/2" NUTS - INR 150
ANGLR FLANZ - INR 90</t>
  </si>
  <si>
    <t>NETWORKING ACCESSORIES</t>
  </si>
  <si>
    <t>Stablizer FOR AC</t>
  </si>
  <si>
    <t>STABLIZER</t>
  </si>
  <si>
    <t>Stabiliser</t>
  </si>
  <si>
    <t>AIRTEL DONGLE</t>
  </si>
  <si>
    <t>Window Curtain</t>
  </si>
  <si>
    <t>CARGO INTERNATIONAL (INDIA) PRIVATE LIMITED</t>
  </si>
  <si>
    <t>BALANCE SHEET AS AT 31ST MARCH, 2025</t>
  </si>
  <si>
    <t>CIN : U63000TN2010PTC077296</t>
  </si>
  <si>
    <t>Old No.7 / New No.13, First Floor, First Cross Street, Trustpuram, Kodambakkam, Chennai - 600024, India</t>
  </si>
  <si>
    <t>Note No.</t>
  </si>
  <si>
    <t>As on</t>
  </si>
  <si>
    <t>31st March, 2025</t>
  </si>
  <si>
    <t>31st March, 2024</t>
  </si>
  <si>
    <t>I.EQUITY  AND LIABILITIES</t>
  </si>
  <si>
    <t>SHARE HOLDERS FUNDS</t>
  </si>
  <si>
    <t>a.  Share capital</t>
  </si>
  <si>
    <t>b.  Reserve and surplus</t>
  </si>
  <si>
    <t>CURRENT LIABILITIES</t>
  </si>
  <si>
    <t>a.  Trade payables</t>
  </si>
  <si>
    <t>i. Outstanding due against MSME</t>
  </si>
  <si>
    <t>ii.Outstanding due against Other than MSME</t>
  </si>
  <si>
    <t>b.  Other current liabilities</t>
  </si>
  <si>
    <t>Regroupping Reconciliation</t>
  </si>
  <si>
    <t>c.  Short term provisions</t>
  </si>
  <si>
    <t>Variance</t>
  </si>
  <si>
    <t>As per Financials</t>
  </si>
  <si>
    <t>TR</t>
  </si>
  <si>
    <t>TOTAL</t>
  </si>
  <si>
    <t>TP</t>
  </si>
  <si>
    <t>AP/AR</t>
  </si>
  <si>
    <t>II.ASSETS</t>
  </si>
  <si>
    <t>Provision for Operation</t>
  </si>
  <si>
    <t>NON-CURRENT ASSETS</t>
  </si>
  <si>
    <t>Total</t>
  </si>
  <si>
    <t>a.  Property, Plant &amp; Equipment</t>
  </si>
  <si>
    <t>As per TB</t>
  </si>
  <si>
    <t>(i)  Tangible assets</t>
  </si>
  <si>
    <t>b.  Long-term loans and advances</t>
  </si>
  <si>
    <t>c.   Deffered Tax Assets</t>
  </si>
  <si>
    <t>CURRENT ASSETS</t>
  </si>
  <si>
    <t>a.  Trade receivables</t>
  </si>
  <si>
    <t>b.  cash and cash equivalents</t>
  </si>
  <si>
    <t>c.  Short-term loans and advances</t>
  </si>
  <si>
    <t>Significant Accounting Policies in Note 1 &amp; 2</t>
  </si>
  <si>
    <t>The accompanying notes are integral part of the financial statements</t>
  </si>
  <si>
    <t>As per our report of even date</t>
  </si>
  <si>
    <t xml:space="preserve">For and on behalf of </t>
  </si>
  <si>
    <t>For Kalyanasundaram &amp; Associates</t>
  </si>
  <si>
    <t>CARGO INTERNATIONAL (INDIA) PVT. LTD</t>
  </si>
  <si>
    <t>Chartered accountants</t>
  </si>
  <si>
    <t>FRN : 05455s</t>
  </si>
  <si>
    <t>K M Sethu</t>
  </si>
  <si>
    <t>Suresh Padmanabhan</t>
  </si>
  <si>
    <t>Vignesh Natarajan</t>
  </si>
  <si>
    <t>Partner</t>
  </si>
  <si>
    <t>Director</t>
  </si>
  <si>
    <t>M.No.231703</t>
  </si>
  <si>
    <t>DIN: 08284074</t>
  </si>
  <si>
    <t>DIN: 08284068</t>
  </si>
  <si>
    <t xml:space="preserve"> Place : Chennai</t>
  </si>
  <si>
    <t>Place : Birmingham</t>
  </si>
  <si>
    <t>Place : Chennai</t>
  </si>
  <si>
    <t xml:space="preserve"> Date : </t>
  </si>
  <si>
    <t xml:space="preserve">Date: </t>
  </si>
  <si>
    <t xml:space="preserve"> UDIN :  </t>
  </si>
  <si>
    <t>Closing Balance after AR</t>
  </si>
  <si>
    <t>Opening Balance</t>
  </si>
  <si>
    <t>During the Year Transaction</t>
  </si>
  <si>
    <t>Closing Balance</t>
  </si>
  <si>
    <t>Audit entries</t>
  </si>
  <si>
    <t>FY 23-24</t>
  </si>
  <si>
    <t>FY 24-25</t>
  </si>
  <si>
    <t>Sumif</t>
  </si>
  <si>
    <t>Note no</t>
  </si>
  <si>
    <t>CY Grouping</t>
  </si>
  <si>
    <t>Sub sch Ref</t>
  </si>
  <si>
    <t>ASSETS</t>
  </si>
  <si>
    <t xml:space="preserve"> </t>
  </si>
  <si>
    <t>FIXED ASSETS</t>
  </si>
  <si>
    <t>FIXED ASSETS AT COST</t>
  </si>
  <si>
    <t>COMPUTER</t>
  </si>
  <si>
    <t>Fixed Assets</t>
  </si>
  <si>
    <t>OFFICE EQUIPMENTS</t>
  </si>
  <si>
    <t>FURNITURE &amp; FIXTURES</t>
  </si>
  <si>
    <t>MOTOR VEHICLES - CAR</t>
  </si>
  <si>
    <t>ELECTRICAL INSTALLATIONS</t>
  </si>
  <si>
    <t>MOBILE PURCHASE</t>
  </si>
  <si>
    <t>OFFICE EQUIP</t>
  </si>
  <si>
    <t>MACHINERY &amp; ELECTRICAL</t>
  </si>
  <si>
    <t>SUNDRY DEBTORS</t>
  </si>
  <si>
    <t>OVERSEAS DEBTORS - FREIGHT FORWARDING</t>
  </si>
  <si>
    <t>Trade Receivable</t>
  </si>
  <si>
    <t>LOCAL DEBTORS - FREIGHT FORWARDING</t>
  </si>
  <si>
    <t>CASH AND BANK BALANCE</t>
  </si>
  <si>
    <t>CASH IN HAND</t>
  </si>
  <si>
    <t>Cash in hand</t>
  </si>
  <si>
    <t>Cash and cash equivalents</t>
  </si>
  <si>
    <t>BANK BALANCE LOCAL CURRENCY</t>
  </si>
  <si>
    <t>Cash at Bank - Local Currency</t>
  </si>
  <si>
    <t>FIXED DEPOSIT IN BANK</t>
  </si>
  <si>
    <t>MAA PETTY CASH</t>
  </si>
  <si>
    <t>Petty Cash</t>
  </si>
  <si>
    <t>AIRPORT PETTY CASH</t>
  </si>
  <si>
    <t>BANK BALANCE OVERSEAS CURRENCY</t>
  </si>
  <si>
    <t>Cash at Bank - Foreign Currency</t>
  </si>
  <si>
    <t>ATM CASH W/D</t>
  </si>
  <si>
    <t>INTER BANK ACCOUNT TRANSFER</t>
  </si>
  <si>
    <t>SECURITY DEPOSIT</t>
  </si>
  <si>
    <t>Security Deposit</t>
  </si>
  <si>
    <t>TUT PETTY CASH</t>
  </si>
  <si>
    <t>HYD PETTY CASH</t>
  </si>
  <si>
    <t>BLR PETTY CASH</t>
  </si>
  <si>
    <t>CBE PETTY CASH</t>
  </si>
  <si>
    <t>WORK IN PROGRESS JOBS</t>
  </si>
  <si>
    <t>Unbilled Income</t>
  </si>
  <si>
    <t>Short-term loans and advances</t>
  </si>
  <si>
    <t>WORK IN PROGRESS JOBS REV</t>
  </si>
  <si>
    <t>ACCRUALS</t>
  </si>
  <si>
    <t>PREPAID INTERNET EXPESES</t>
  </si>
  <si>
    <t>Prepaid Expenses</t>
  </si>
  <si>
    <t>PREPAID INSURANCES</t>
  </si>
  <si>
    <t>LOANS AND ADVANCES</t>
  </si>
  <si>
    <t>ADVANCE RECOVERABLE IN CASH OR KIND OR FOR VALUE TO BE RECEIVED</t>
  </si>
  <si>
    <t>STAFF ADVANCES</t>
  </si>
  <si>
    <t>Staff Advance</t>
  </si>
  <si>
    <t>STAFF LOAN</t>
  </si>
  <si>
    <t>TRAVEL ADVANCE</t>
  </si>
  <si>
    <t>PREPAID SUBSCRIPTION</t>
  </si>
  <si>
    <t>Prepaid Subscriptions</t>
  </si>
  <si>
    <t>PREPAID RENT</t>
  </si>
  <si>
    <t>Rental Deposit</t>
  </si>
  <si>
    <t>Long-term loans and advances</t>
  </si>
  <si>
    <t>INTEREST ACCRUED BUT NOT RECEIVED</t>
  </si>
  <si>
    <t>Interest Accrued</t>
  </si>
  <si>
    <t>DEPOSITS OFFICE</t>
  </si>
  <si>
    <t>CGST RECEIVABLE</t>
  </si>
  <si>
    <t>GST - Input tax credit</t>
  </si>
  <si>
    <t>GST Input tax credit</t>
  </si>
  <si>
    <t>IGST RECEIVABLE</t>
  </si>
  <si>
    <t>SGST RECEIVABLE</t>
  </si>
  <si>
    <t>GST ELECTRONIC CASH LEDGER</t>
  </si>
  <si>
    <t>CENVAT CREDIT CHS</t>
  </si>
  <si>
    <t>Cenvat Credit</t>
  </si>
  <si>
    <t>CENVAT CREDIT - KRISHI KALYAN CESS - CHS</t>
  </si>
  <si>
    <t>ADVANCE FOR CAPITAL EXPENSES</t>
  </si>
  <si>
    <t>Advance for capital expenses</t>
  </si>
  <si>
    <t>ADVANCE PAID \ RECEIVED</t>
  </si>
  <si>
    <t>advance paid \ received</t>
  </si>
  <si>
    <t>RK CHEQUE</t>
  </si>
  <si>
    <t>ADVANCE TAX</t>
  </si>
  <si>
    <t>TDS RECEIVABLE</t>
  </si>
  <si>
    <t>TDS Receivable</t>
  </si>
  <si>
    <t>DIRECTOR LOAN</t>
  </si>
  <si>
    <t>IATA SHIPMENT ADVANCE</t>
  </si>
  <si>
    <t>DEFERRED TAX ASSET</t>
  </si>
  <si>
    <t>*</t>
  </si>
  <si>
    <t>Deferred tax asset</t>
  </si>
  <si>
    <t>INCOME TAX PAID</t>
  </si>
  <si>
    <t>LIABILITIES</t>
  </si>
  <si>
    <t>SHARE HOLDERS FUND</t>
  </si>
  <si>
    <t>SHARE CAPITAL</t>
  </si>
  <si>
    <t>EQUITY SHARE CAPITAL</t>
  </si>
  <si>
    <t xml:space="preserve">Equity Share Capital </t>
  </si>
  <si>
    <t>Share capital</t>
  </si>
  <si>
    <t>RETAINED EARNINGS</t>
  </si>
  <si>
    <t>Reserve and surplus</t>
  </si>
  <si>
    <t>RESERVES AND SURPLUS</t>
  </si>
  <si>
    <t>PROFIT AND LOSS ACCOUNT</t>
  </si>
  <si>
    <t>LOAN FUND</t>
  </si>
  <si>
    <t>SECURED LOAN</t>
  </si>
  <si>
    <t>LOAN - CIL OMAN</t>
  </si>
  <si>
    <t>Loan - CIL Oman</t>
  </si>
  <si>
    <t>Longterm Borrowings</t>
  </si>
  <si>
    <t>LOAN - ICL UK</t>
  </si>
  <si>
    <t>Loan- ICL UK</t>
  </si>
  <si>
    <t>HDFC CAR LOAN</t>
  </si>
  <si>
    <t>HDFC Car Loan</t>
  </si>
  <si>
    <t>UNSECURED LOAN</t>
  </si>
  <si>
    <t>LOAN - CIL DUBAI</t>
  </si>
  <si>
    <t>Loan - CIL Dubai</t>
  </si>
  <si>
    <t>Unsecured Loan</t>
  </si>
  <si>
    <t>Mobile Emi</t>
  </si>
  <si>
    <t>Mobile EMI</t>
  </si>
  <si>
    <t>SUNDRY CREDITORS</t>
  </si>
  <si>
    <t>LOCAL CREDITORS -  FREIGHT FORWARDING</t>
  </si>
  <si>
    <t>Trade Payables</t>
  </si>
  <si>
    <t>INTER BRANCH ACCOUNT</t>
  </si>
  <si>
    <t>INTER BRANCH SUSPENSE ACCOUNT</t>
  </si>
  <si>
    <t>OVERSEAS CREDITORS - FREIGHT FORWARDING</t>
  </si>
  <si>
    <t>OTHER LIABILITY</t>
  </si>
  <si>
    <t>Other Liabilities</t>
  </si>
  <si>
    <t>Other Current Liabilities</t>
  </si>
  <si>
    <t>AUDIT FEES PAYABLE</t>
  </si>
  <si>
    <t>Audit Fee payable</t>
  </si>
  <si>
    <t>Expense payable</t>
  </si>
  <si>
    <t>GST Audit Fees payable</t>
  </si>
  <si>
    <t>OTHER LIABILITIES</t>
  </si>
  <si>
    <t>CONVEYANCE PAYABLE</t>
  </si>
  <si>
    <t>Convenyance Payable</t>
  </si>
  <si>
    <t>CORPORATE CARD 9003</t>
  </si>
  <si>
    <t>CORPORATE CARD 0007</t>
  </si>
  <si>
    <t>STATUTORY LIABILITIES</t>
  </si>
  <si>
    <t>TDS PAYABLE SALARY</t>
  </si>
  <si>
    <t>TDS Payables</t>
  </si>
  <si>
    <t>Statutory Dues payables</t>
  </si>
  <si>
    <t>TDS PAYABLE CONTRACTOR</t>
  </si>
  <si>
    <t>TDS PAYABLE COMMISSION &amp; BROKERAGE</t>
  </si>
  <si>
    <t>TDS PAYABLE INTEREST</t>
  </si>
  <si>
    <t>TDS PAYABLE PROFESSIONAL FEES OR ROYALTY</t>
  </si>
  <si>
    <t>TDS PAYABLE SUB CONTRACTOR</t>
  </si>
  <si>
    <t>TDS PAYABLE ADVERTISING CONTRACTOR</t>
  </si>
  <si>
    <t>TDS PAYABLE RENT OF LAND OR BUILDING OR FURNITURE</t>
  </si>
  <si>
    <t>PF PAYABLE</t>
  </si>
  <si>
    <t>Provident Fund Payables</t>
  </si>
  <si>
    <t>PROFESSION TAX PAYABLE</t>
  </si>
  <si>
    <t>Professional Tax Payable</t>
  </si>
  <si>
    <t>SWACCH BHARAT CESS COLLECTION – CHS</t>
  </si>
  <si>
    <t>Swachh Bharath payable</t>
  </si>
  <si>
    <t>IMPORT OCEAN SWACHH BHARAT CESS - COLLECTION - BAS</t>
  </si>
  <si>
    <t>KRISHI KALYAN CESS - COLLECTION -CHS</t>
  </si>
  <si>
    <t>Krishi kalyan Cess Payable</t>
  </si>
  <si>
    <t>CGST PAYABLE</t>
  </si>
  <si>
    <t>GST payable</t>
  </si>
  <si>
    <t>SGST  PAYABLE</t>
  </si>
  <si>
    <t>IGST PAYABLE</t>
  </si>
  <si>
    <t>SERVICE TAX COLLECTION - GTA</t>
  </si>
  <si>
    <t>Service tax Payable</t>
  </si>
  <si>
    <t>SWACHH BHARAT CESS - COLLECTION - GTA</t>
  </si>
  <si>
    <t>KRISHI KALYAN CESS - COLLECTION -GTA</t>
  </si>
  <si>
    <t>SERVICE TAX PAYABLE GTA</t>
  </si>
  <si>
    <t>SERVICE TAX COLLECTION - CHS</t>
  </si>
  <si>
    <t>SERVICE TAX PAYABLE CHS</t>
  </si>
  <si>
    <t>SWACHH BHARATH PAYABLE- CHS</t>
  </si>
  <si>
    <t>SWACHH BHARATH PAYABLE GTA</t>
  </si>
  <si>
    <t>KRISHI KALYAN CESS - PAYABLE - CHS</t>
  </si>
  <si>
    <t>KRISHI KALYAN CESS - PAYABLE - GTA</t>
  </si>
  <si>
    <t>INCOME TAX 2016 17</t>
  </si>
  <si>
    <t xml:space="preserve">Income tax payable </t>
  </si>
  <si>
    <t>Note to be given</t>
  </si>
  <si>
    <t>REFUND FROM INCOME TAX</t>
  </si>
  <si>
    <t>TDS PAYABLE NON RESIDENT</t>
  </si>
  <si>
    <t>WORK IN PROGRESS PAYABLE PROVISIONS</t>
  </si>
  <si>
    <t>WORK IN PROGRESS JOB EXPENSE PROVISIONS</t>
  </si>
  <si>
    <t>WORK IN PROGRESS JOB EXPENSE PROVISIONS REV</t>
  </si>
  <si>
    <t>DUTY VAT</t>
  </si>
  <si>
    <t>DUTY VAT ACCOUNT</t>
  </si>
  <si>
    <t>REIMBURSEMENT ACCOUNT</t>
  </si>
  <si>
    <t>PROVISIONS NON BUSINESS</t>
  </si>
  <si>
    <t>Provisions non business</t>
  </si>
  <si>
    <t>Short term provisions</t>
  </si>
  <si>
    <t>SALARY PAYABLE</t>
  </si>
  <si>
    <t>Salary Payable</t>
  </si>
  <si>
    <t>PROVISIONS</t>
  </si>
  <si>
    <t>PROVISIONS BUSINESS</t>
  </si>
  <si>
    <t>PROVISIONS OPERATIONS</t>
  </si>
  <si>
    <t>Provisions operations</t>
  </si>
  <si>
    <t>PROVISION ADVANCE FOR TAXATION</t>
  </si>
  <si>
    <t>PROVISION FOR INCOME TAX</t>
  </si>
  <si>
    <t>Provision for income tax</t>
  </si>
  <si>
    <t>PROVISION FOR ADVANCE TAX</t>
  </si>
  <si>
    <t>Provision for advance tax</t>
  </si>
  <si>
    <t>Suspense Account</t>
  </si>
  <si>
    <t>Other Provision</t>
  </si>
  <si>
    <t>DEFERRED TAX LIABILITY</t>
  </si>
  <si>
    <t>Deffered tax</t>
  </si>
  <si>
    <t>INCOME</t>
  </si>
  <si>
    <t>OPERATING INCOME</t>
  </si>
  <si>
    <t>EXPORT OPERATING INCOME</t>
  </si>
  <si>
    <t>FCL EXPORT REVENUE ACCOUNT</t>
  </si>
  <si>
    <t>Export Operating Income</t>
  </si>
  <si>
    <t>Revenue From Operation</t>
  </si>
  <si>
    <t>EXPORT OCEAN BROKERAGE INCOME ACCOUNT</t>
  </si>
  <si>
    <t>LAND INCOME ACCOUNT</t>
  </si>
  <si>
    <t>EXPORT FREIGHT INCOME</t>
  </si>
  <si>
    <t>AIR EXP REV ACCOUNT</t>
  </si>
  <si>
    <t>INCOME 2015</t>
  </si>
  <si>
    <t>IMPORT OPERATING INCOME</t>
  </si>
  <si>
    <t>FCL IMPORT REVENUE ACCOUNT</t>
  </si>
  <si>
    <t>Import Operating Income</t>
  </si>
  <si>
    <t>BREAK BULK IMPORT REVENUE ACCOUNT</t>
  </si>
  <si>
    <t>LCL IMPORT REVENUE ACCOUNT</t>
  </si>
  <si>
    <t>AIR EXPORT OPERATING INCOME</t>
  </si>
  <si>
    <t>AIR EXPORT REVENUE ACCOUNT</t>
  </si>
  <si>
    <t>Air Export Revenue Account</t>
  </si>
  <si>
    <t>AIR IMPORT OPERATING INCOME</t>
  </si>
  <si>
    <t>AIR IMPORT REVENUE ACCOUNT</t>
  </si>
  <si>
    <t>Air Import Revenue Account</t>
  </si>
  <si>
    <t>OTHER INCOME</t>
  </si>
  <si>
    <t>INTEREST INCOME</t>
  </si>
  <si>
    <t>INTEREST ON DEPOSIT</t>
  </si>
  <si>
    <t>Interest Income</t>
  </si>
  <si>
    <t>Other income</t>
  </si>
  <si>
    <t>INTEREST ON INCOME TAX REFUND</t>
  </si>
  <si>
    <t>TAXES OF EARLIER YEARS</t>
  </si>
  <si>
    <t>Miscellaneous Income</t>
  </si>
  <si>
    <t>DOUBTFUL CREDITORS</t>
  </si>
  <si>
    <t>Doubtful Creditors</t>
  </si>
  <si>
    <t>SUNDRY BALANCE WRITTEN OFF</t>
  </si>
  <si>
    <t>FOREIGN EXCHANGE GAIN/LOSS</t>
  </si>
  <si>
    <t>Foreign Exchange gain/loss</t>
  </si>
  <si>
    <t>Administrative Expense</t>
  </si>
  <si>
    <t>EXCHANGE GAIN LOSS ACCOUNT</t>
  </si>
  <si>
    <t>OTHER MISCELLANEOUS INCOME</t>
  </si>
  <si>
    <t>BROKERAGE INCOME</t>
  </si>
  <si>
    <t>Brokerage Income</t>
  </si>
  <si>
    <t>ROUNDING OFF BALANCE</t>
  </si>
  <si>
    <t>Rounding off balance</t>
  </si>
  <si>
    <t>Other Expense</t>
  </si>
  <si>
    <t>MISCELLANEOUS INCOME</t>
  </si>
  <si>
    <t>EXCESS PAYMENT RECEIVED</t>
  </si>
  <si>
    <t>Excess payment received</t>
  </si>
  <si>
    <t>OTHER INCOME CONTAINER</t>
  </si>
  <si>
    <t>Other Income</t>
  </si>
  <si>
    <t>SERVICE JOB REVENUE ACCOUNT</t>
  </si>
  <si>
    <t>SERVICE JOB REVENUE</t>
  </si>
  <si>
    <t>EXPENDITURE</t>
  </si>
  <si>
    <t>OPERATING EXPENSES</t>
  </si>
  <si>
    <t>EXPORT OPERATING EXPENSES</t>
  </si>
  <si>
    <t>EXPORT OCEAN FREIGHT EXPENSES ACCOUNT</t>
  </si>
  <si>
    <t>Export Operating Expenses</t>
  </si>
  <si>
    <t>Operating expenses</t>
  </si>
  <si>
    <t>BREAK BULK EXPORT EXPENSES ACCOUNT</t>
  </si>
  <si>
    <t>FCL EXPORT COST ACCOUNT</t>
  </si>
  <si>
    <t>LAND EXPENSE ACCOUNT</t>
  </si>
  <si>
    <t>EXPORT OTHER OPERATING EXPENSES</t>
  </si>
  <si>
    <t>EXPORT OCEAN FREIGHT EXPENSES</t>
  </si>
  <si>
    <t>AIR EXP COST ACC</t>
  </si>
  <si>
    <t>IMPORT OPERATING EXPENSES</t>
  </si>
  <si>
    <t>FCL IMPORT COST ACCOUNT</t>
  </si>
  <si>
    <t>Import Operating Expenses</t>
  </si>
  <si>
    <t>LCL IMPORT COST ACCOUNT</t>
  </si>
  <si>
    <t>AIR EXPORT OPERATING EXPENSES</t>
  </si>
  <si>
    <t>AIR EXPORT COST ACCOUNT</t>
  </si>
  <si>
    <t>Air Export Operating Expenses</t>
  </si>
  <si>
    <t>AIR IMPORT OPERATING EXPENSES</t>
  </si>
  <si>
    <t>AIR IMPORT COST ACCOUNT</t>
  </si>
  <si>
    <t>Air Import Operating Expenses</t>
  </si>
  <si>
    <t>EMPLOYEE COST</t>
  </si>
  <si>
    <t>SALARIES AND OTHER BENEFITS</t>
  </si>
  <si>
    <t>STAFF SALARIES &amp; WAGES</t>
  </si>
  <si>
    <t>Salaries</t>
  </si>
  <si>
    <t>Employee Benefit Expenses</t>
  </si>
  <si>
    <t>STAFF SPECIAL ALLOWANCE</t>
  </si>
  <si>
    <t>STAFF ACCOMMODATION ALLOWANCE</t>
  </si>
  <si>
    <t>STAFF EDUCATION ALLOWANCE</t>
  </si>
  <si>
    <t>STAFF MEDICAL</t>
  </si>
  <si>
    <t>STAFF BONUS</t>
  </si>
  <si>
    <t>STAFF VEHICLE / CONVEYANCE ALLOWANCE</t>
  </si>
  <si>
    <t>STAFF INCENTIVE</t>
  </si>
  <si>
    <t>MEDICAL REIMBURSEMENT</t>
  </si>
  <si>
    <t>ANNUAL INCENTIVES</t>
  </si>
  <si>
    <t>FESTIVAL BONUS</t>
  </si>
  <si>
    <t>DIRECTORS REMUNERATION</t>
  </si>
  <si>
    <t>SALES COMMISSION</t>
  </si>
  <si>
    <t>STAFF MEDICAL REIMBURSEMENT</t>
  </si>
  <si>
    <t>CONTRIBUTION TO PF &amp; OTHER FUNDS</t>
  </si>
  <si>
    <t>CONTRIBUTION TO E.P.F.</t>
  </si>
  <si>
    <t>PF ADMINISTRATION CHARGES</t>
  </si>
  <si>
    <t>STAFF WELFARE EXPENSES</t>
  </si>
  <si>
    <t>STAFF TRAINING EXPENSES</t>
  </si>
  <si>
    <t>Staff welfare Expense</t>
  </si>
  <si>
    <t>STAFF INSURANCE</t>
  </si>
  <si>
    <t>STAFF REFRESHMENT EXPENSES</t>
  </si>
  <si>
    <t>STAFF RECRUITMENT EXPENSES</t>
  </si>
  <si>
    <t>ADMIN AND SELLING COST</t>
  </si>
  <si>
    <t>COMMUNICATION EXPENSES</t>
  </si>
  <si>
    <t>TELEPHONE</t>
  </si>
  <si>
    <t>Telephone Expense</t>
  </si>
  <si>
    <t>Communication Expense</t>
  </si>
  <si>
    <t>MOBILE - Airtel</t>
  </si>
  <si>
    <t>Mobile Expense</t>
  </si>
  <si>
    <t>INTERNET</t>
  </si>
  <si>
    <t>Internet Expense</t>
  </si>
  <si>
    <t>WEBSITE EXPENSES</t>
  </si>
  <si>
    <t>POSTAGE</t>
  </si>
  <si>
    <t>Courier Expense</t>
  </si>
  <si>
    <t>COURIER EXPENSES</t>
  </si>
  <si>
    <t>MOBILE</t>
  </si>
  <si>
    <t>EMAIL SUBSCRIPTION AND STORAGE</t>
  </si>
  <si>
    <t>RENT RATES AND TAX</t>
  </si>
  <si>
    <t>OFFICE RENT</t>
  </si>
  <si>
    <t>Office Rent</t>
  </si>
  <si>
    <t>Rent</t>
  </si>
  <si>
    <t>SWACHH BHARAT CESS - CHS - NON JOB</t>
  </si>
  <si>
    <t>Rates and rates</t>
  </si>
  <si>
    <t>WAREHOUSE RENT</t>
  </si>
  <si>
    <t>Warehouse Rent</t>
  </si>
  <si>
    <t>SERVICE TAX - CHS - NON JOB</t>
  </si>
  <si>
    <t>INAUGURATION EXPENSES</t>
  </si>
  <si>
    <t>KRISHI KALYAN CESS - CHS - NON JOB</t>
  </si>
  <si>
    <t>UTILITY RENT</t>
  </si>
  <si>
    <t>Utility Rent</t>
  </si>
  <si>
    <t>PARKING SPACE RENT</t>
  </si>
  <si>
    <t>Parking space rent</t>
  </si>
  <si>
    <t>CAR RENT</t>
  </si>
  <si>
    <t>Car rent</t>
  </si>
  <si>
    <t>GUEST HOUSE RENT</t>
  </si>
  <si>
    <t>TRAVELLING EXPENSES</t>
  </si>
  <si>
    <t>CONVEYANCE EXPENSES</t>
  </si>
  <si>
    <t>DIRECTOR TRAVELING EXPENSES</t>
  </si>
  <si>
    <t>Local Travel</t>
  </si>
  <si>
    <t>Travelling expense</t>
  </si>
  <si>
    <t>PARKING CHARGES</t>
  </si>
  <si>
    <t>FUEL /PETROL EXPENSES</t>
  </si>
  <si>
    <t>Petrol Charges</t>
  </si>
  <si>
    <t>BOARDING AND LODGING</t>
  </si>
  <si>
    <t>Foreign Travel</t>
  </si>
  <si>
    <t>CONVEYANCE EXPENSE</t>
  </si>
  <si>
    <t>To be regrouped</t>
  </si>
  <si>
    <t>FOREIGN TRAVEL EXPENSES</t>
  </si>
  <si>
    <t>BUSINESS TRAVEL EXPENSE</t>
  </si>
  <si>
    <t>VISA RENEWAL CHARGES</t>
  </si>
  <si>
    <t>AIR FARE EXPENSES</t>
  </si>
  <si>
    <t>VISA PROCESSING</t>
  </si>
  <si>
    <t>REPAIRS</t>
  </si>
  <si>
    <t>REPAIRS &amp; MAINTENANCE FOR OFFICE</t>
  </si>
  <si>
    <t>Repairs &amp; Maintenance for office</t>
  </si>
  <si>
    <t>Repairs &amp; maintenance</t>
  </si>
  <si>
    <t>REPAIRS &amp; MAINTENANCE FOR OFFICE EQUIPMENTS</t>
  </si>
  <si>
    <t>Repairs &amp; Maintenance for office equipments</t>
  </si>
  <si>
    <t>REPAIRS &amp; MAINTENANCE FOR COMPUTERS HARDWARE</t>
  </si>
  <si>
    <t>Repairs &amp; Maintenance for computers hardware</t>
  </si>
  <si>
    <t>REPAIRS &amp; MAINTENANCE FOR COMPUTERS SOFTWARE</t>
  </si>
  <si>
    <t>Repairs &amp; Maintenance for computers software</t>
  </si>
  <si>
    <t>REPAIRS &amp; MAINTENANCE FOR VEHICLES</t>
  </si>
  <si>
    <t>Repairs &amp; Maintenance for vehicles</t>
  </si>
  <si>
    <t>PROFESSIONAL AND LEGAL FEES</t>
  </si>
  <si>
    <t>LEGAL FEES</t>
  </si>
  <si>
    <t>Legal Fees</t>
  </si>
  <si>
    <t>Professional charges</t>
  </si>
  <si>
    <t>FINES AND PENALTIES</t>
  </si>
  <si>
    <t>LICENSE RENEWAL CHARGES</t>
  </si>
  <si>
    <t>RETAINER/ PROFESSIONAL FEE</t>
  </si>
  <si>
    <t>Retainer/ Professional fee</t>
  </si>
  <si>
    <t>ROC FILING</t>
  </si>
  <si>
    <t>AUDIT FEES</t>
  </si>
  <si>
    <t>GST Audit Fee</t>
  </si>
  <si>
    <t>CONSULTATION FEES</t>
  </si>
  <si>
    <t>SPONSOR FEE</t>
  </si>
  <si>
    <t>FORENSIC AUDIT FEE</t>
  </si>
  <si>
    <t>Forensic Audit Fee</t>
  </si>
  <si>
    <t>BUSINESS PROMOTION</t>
  </si>
  <si>
    <t>ADVERTISING &amp; PUBLICITY</t>
  </si>
  <si>
    <t>Advertising &amp; Publicity</t>
  </si>
  <si>
    <t>Business Promotion Expense</t>
  </si>
  <si>
    <t>CONFERENCE EXPENSES</t>
  </si>
  <si>
    <t>Conference Expenses</t>
  </si>
  <si>
    <t>ENTERTAINMENT EXPENSES</t>
  </si>
  <si>
    <t>Entertainment Expenses</t>
  </si>
  <si>
    <t>GIFTS &amp; SALES PROMOTION</t>
  </si>
  <si>
    <t>Gifts &amp; Sales Promotion</t>
  </si>
  <si>
    <t>Business Promotion</t>
  </si>
  <si>
    <t>PAYMENT TO AUDITORS</t>
  </si>
  <si>
    <t>TAX AUDIT FEES</t>
  </si>
  <si>
    <t>Audit Fees</t>
  </si>
  <si>
    <t>Statutory Audit fees</t>
  </si>
  <si>
    <t>OTHER EXPENSES</t>
  </si>
  <si>
    <t>MISCELLANEOUS EXPENSES</t>
  </si>
  <si>
    <t>Miscellaneous Expenses</t>
  </si>
  <si>
    <t>PRINTING &amp; STATIONARY</t>
  </si>
  <si>
    <t>Printing &amp; Stationary</t>
  </si>
  <si>
    <t>SUBSCRIPTION &amp; MEMBERSHIP</t>
  </si>
  <si>
    <t>Subscription Charges</t>
  </si>
  <si>
    <t>BOOKS &amp; PERIODICALS</t>
  </si>
  <si>
    <t>UTILITY EXPENSES</t>
  </si>
  <si>
    <t>Utility Expenses</t>
  </si>
  <si>
    <t>FESTIVAL EXPENSES</t>
  </si>
  <si>
    <t>Festival Expenses</t>
  </si>
  <si>
    <t>REGISTRATION AND FILING FEES</t>
  </si>
  <si>
    <t>Registration and filing fees</t>
  </si>
  <si>
    <t>BUDGET MEETING EXPENSES</t>
  </si>
  <si>
    <t>Budget Meeting Expenses</t>
  </si>
  <si>
    <t>SOFTWARE SUBSCRIPTION CHARGE</t>
  </si>
  <si>
    <t>STATUTORY EXPENSES</t>
  </si>
  <si>
    <t>OFFICE SHIFTING EXPENSE</t>
  </si>
  <si>
    <t>Office Shifting Expense</t>
  </si>
  <si>
    <t>SOFTWARE USER COST</t>
  </si>
  <si>
    <t>TRAINING EXPENSES</t>
  </si>
  <si>
    <t>Training Expenses</t>
  </si>
  <si>
    <t>SERVICE JOB COST ACCOUNT</t>
  </si>
  <si>
    <t>Decoration Expenses</t>
  </si>
  <si>
    <t>OTHER EXPENSE CONTAINER</t>
  </si>
  <si>
    <t>Other Expenses Container</t>
  </si>
  <si>
    <t>Donation</t>
  </si>
  <si>
    <t>INTEREST PAID CREDIT CARD</t>
  </si>
  <si>
    <t>FINANCE EXPENSES</t>
  </si>
  <si>
    <t>INTEREST - TDS</t>
  </si>
  <si>
    <t>INTEREST ON TDS PAYABLE</t>
  </si>
  <si>
    <t>INTEREST PAID</t>
  </si>
  <si>
    <t xml:space="preserve">Interest  </t>
  </si>
  <si>
    <t>Finance Cost</t>
  </si>
  <si>
    <t>INTEREST ON SERICE TAX AND GST</t>
  </si>
  <si>
    <t>LOADING &amp; UN LOADING</t>
  </si>
  <si>
    <t>BANK CHARGES</t>
  </si>
  <si>
    <t>Bank Charges</t>
  </si>
  <si>
    <t>Loanding and Unloading Charges</t>
  </si>
  <si>
    <t>INTEREST ON CAR LOAN</t>
  </si>
  <si>
    <t>Interest on Vechile Loan</t>
  </si>
  <si>
    <t>TRANSACTION EXPENSES</t>
  </si>
  <si>
    <t>RENT BROKERAGE / COMMISSION EXPENSES</t>
  </si>
  <si>
    <t>OTHERS.</t>
  </si>
  <si>
    <t>INSURANCE</t>
  </si>
  <si>
    <t>Insurance</t>
  </si>
  <si>
    <t>INSURANCE.</t>
  </si>
  <si>
    <t>INTEREST ON MOBILE EMI</t>
  </si>
  <si>
    <t>DEPRECIATION ON FIXED ASSETS</t>
  </si>
  <si>
    <t>DEPRECIATION</t>
  </si>
  <si>
    <t>Depreciation</t>
  </si>
  <si>
    <t>DEPRECIATION ON COMPUTER</t>
  </si>
  <si>
    <t>DEPRECIATION OFFICE EQUIPMENTS</t>
  </si>
  <si>
    <t>DEPRECIATION FURNITURE &amp; FIXTURES</t>
  </si>
  <si>
    <t>DEPRECIATION MOTOR VEHICLES</t>
  </si>
  <si>
    <t>DEPRECIATION ELECTRICAL INSTALLATIONS</t>
  </si>
  <si>
    <t>DEPRECIATION ON INTERIOR DECORATION</t>
  </si>
  <si>
    <t>DEPRECIATION ON MOBILE PURCHASE</t>
  </si>
  <si>
    <t>BAD &amp; DOUBTFUL DEBTS</t>
  </si>
  <si>
    <t>Bad and Doubtful Debts</t>
  </si>
  <si>
    <t>PROVISION FOR DOUBTFUL DEBTS RECEIVABLE FROM DIRECTOR</t>
  </si>
  <si>
    <t>CREDITORS WRITE OFF</t>
  </si>
  <si>
    <t>Creditors Write off</t>
  </si>
  <si>
    <t>WRITE OFF</t>
  </si>
  <si>
    <t>WRITE OFF ASSETS</t>
  </si>
  <si>
    <t>ITC Write-off</t>
  </si>
  <si>
    <t>HO Currenct A/C :</t>
  </si>
  <si>
    <t>STATEMENT OF PROFIT AND LOSS FOR YEAR ENDED 31ST MARCH, 2025</t>
  </si>
  <si>
    <t>CIN: U63000TN2010PTC077296</t>
  </si>
  <si>
    <t>Note</t>
  </si>
  <si>
    <t>For Year Ended</t>
  </si>
  <si>
    <t>I</t>
  </si>
  <si>
    <t>Revenue from Operation</t>
  </si>
  <si>
    <t>II</t>
  </si>
  <si>
    <t>III</t>
  </si>
  <si>
    <t xml:space="preserve">TOTAL </t>
  </si>
  <si>
    <t>IV</t>
  </si>
  <si>
    <t>EXPENSES</t>
  </si>
  <si>
    <t>Finance cost</t>
  </si>
  <si>
    <t>Administrative expenses</t>
  </si>
  <si>
    <t>V</t>
  </si>
  <si>
    <t>VI</t>
  </si>
  <si>
    <t>Profit before exceptional and extraordinary item and tax (III - V)</t>
  </si>
  <si>
    <t>VII</t>
  </si>
  <si>
    <t>Exceptional items/extra-ordinary items</t>
  </si>
  <si>
    <t>VIII</t>
  </si>
  <si>
    <t>Profit before extra-ordinary item and tax (VI - VII)</t>
  </si>
  <si>
    <t>IX</t>
  </si>
  <si>
    <t>Profit before tax (VIII)</t>
  </si>
  <si>
    <t>X</t>
  </si>
  <si>
    <t>Tax expenses</t>
  </si>
  <si>
    <t>(1)  Current Tax</t>
  </si>
  <si>
    <t>(2)  Deferred  Tax</t>
  </si>
  <si>
    <t>Prior period items</t>
  </si>
  <si>
    <t>XI</t>
  </si>
  <si>
    <t>Profit/(Loss) for the period from continuing operation (IX-X)</t>
  </si>
  <si>
    <t>XII</t>
  </si>
  <si>
    <t>EPS</t>
  </si>
  <si>
    <t>Basic</t>
  </si>
  <si>
    <t>Diluted</t>
  </si>
  <si>
    <t>FRN : 005455S</t>
  </si>
  <si>
    <t>CASH FLOW STATEMENT FOR THE YEAR ENDED ON 31ST MARCH 2025</t>
  </si>
  <si>
    <t>[A] Cash Flow from Operating Activities:</t>
  </si>
  <si>
    <t>Profit before Tax</t>
  </si>
  <si>
    <t>Adjustments for non cash items &amp; Non operating activity:</t>
  </si>
  <si>
    <t>GST Input reversal</t>
  </si>
  <si>
    <t>Interest &amp; Finance Charges</t>
  </si>
  <si>
    <t>Operating Profit before Working Capital changes</t>
  </si>
  <si>
    <t>Adjusted for :</t>
  </si>
  <si>
    <t>(Increase)/Decrease in Loans &amp; Advances</t>
  </si>
  <si>
    <t>(Increase)/Decrease in Sundry Debtors</t>
  </si>
  <si>
    <t>Increase/(Decrease) in Current liabilities</t>
  </si>
  <si>
    <t>Current year Tax:</t>
  </si>
  <si>
    <t>Net Cash from Operating Activities</t>
  </si>
  <si>
    <t>[B] Cash flow from Investing Activities</t>
  </si>
  <si>
    <t>Additions to fixed assets</t>
  </si>
  <si>
    <t>Increase in Long term loans and advances</t>
  </si>
  <si>
    <t>Net cash from/(used in) investing activities</t>
  </si>
  <si>
    <t>[C] Cash flow from Financing Activities</t>
  </si>
  <si>
    <t>Net cash from/(used in) Financing activities</t>
  </si>
  <si>
    <t>Net Cash flow during the year [A + B + C]</t>
  </si>
  <si>
    <t>Cash &amp; Cash equivalents (Opening Balance)</t>
  </si>
  <si>
    <t>Cash &amp; Cash equivalents (Closing Balance)</t>
  </si>
  <si>
    <t xml:space="preserve">Net Cash flow during the year </t>
  </si>
  <si>
    <t>NOTES TO THE FINANCIAL STATEMENTS FOR THE YEAR ENDED 31st MARCH, 2025</t>
  </si>
  <si>
    <t>(1) Contingent Liabilities:</t>
  </si>
  <si>
    <t>There is no contingent liability in respect of the company.</t>
  </si>
  <si>
    <t>(2) Earnings Per Share (EPS)</t>
  </si>
  <si>
    <t>2024 - 25</t>
  </si>
  <si>
    <t>2023 - 24</t>
  </si>
  <si>
    <t xml:space="preserve">a) Net Profit / (Loss) available for Equity Shareholders        </t>
  </si>
  <si>
    <t>b)  Weighed average number of Shares outstanding</t>
  </si>
  <si>
    <t xml:space="preserve">c) Basic Earnings per Share of Rs.10 each                             </t>
  </si>
  <si>
    <t xml:space="preserve">d) Net Profit / (Loss) available for Equity Shareholders        </t>
  </si>
  <si>
    <t>e) Weighed average number of Shares outstanding</t>
  </si>
  <si>
    <t xml:space="preserve">Dilutive Earnings per Share of Rs.10 each                         </t>
  </si>
  <si>
    <t>(3) Earnings in foreign currency during the year (on realisation basis)</t>
  </si>
  <si>
    <t xml:space="preserve">Income realised </t>
  </si>
  <si>
    <t>(4) Expenditure in foreign currency  during the year (on realisation basis)</t>
  </si>
  <si>
    <t>(5) Related Party Disclosures of the year ended 31st March 2025</t>
  </si>
  <si>
    <t>a) List of Related Parties:</t>
  </si>
  <si>
    <t>Key Management Personnel (KMP)</t>
  </si>
  <si>
    <t>Suresh Padmanabhan - Director</t>
  </si>
  <si>
    <t>Vignesh Natarajan - Director</t>
  </si>
  <si>
    <t>Associate/Joint venture Companies/Firms</t>
  </si>
  <si>
    <t>Cargo International Logistics LLC-Oman</t>
  </si>
  <si>
    <t>Inter Continental Logistics Limited-UK</t>
  </si>
  <si>
    <t>Cargo International Limited-Dubai</t>
  </si>
  <si>
    <t>b) Details of Transaction</t>
  </si>
  <si>
    <t>Name of the party and Nature of transaction</t>
  </si>
  <si>
    <t>Closing Balance as on 31/03/2024
Dr. / (Cr.)</t>
  </si>
  <si>
    <t>Transaction during the year</t>
  </si>
  <si>
    <t>Closing Balance as on 31/03/2025
Dr. / (Cr.)</t>
  </si>
  <si>
    <t>Debit Rs.</t>
  </si>
  <si>
    <t>Credit Rs.</t>
  </si>
  <si>
    <t>Overseas Payable (Cr.)</t>
  </si>
  <si>
    <t>Overseas Receivables (Dr.)</t>
  </si>
  <si>
    <t>Advances to Creditors (Dr.)</t>
  </si>
  <si>
    <t>Advances From Debtors (Cr.)</t>
  </si>
  <si>
    <t>c) Shareholders having Substantial Interest</t>
  </si>
  <si>
    <t>d) Director's Remuneration</t>
  </si>
  <si>
    <t>Name of Director</t>
  </si>
  <si>
    <t>Amount in Rs.</t>
  </si>
  <si>
    <t>(6) Micro, Small and Medium Enterprises :</t>
  </si>
  <si>
    <t>As per the information available and as certified by the management, creditors includes payable to Micro, Small and Medium Enterprises amount Rs NIL.as on 31stMarch, 2025.</t>
  </si>
  <si>
    <t>As per the information available and explanation provided to us and as certified by the management, there is no delay in payment of dues to Enterprises as defined under the "Micro, Small and Medium Enterprises Development Act, 2006.</t>
  </si>
  <si>
    <t>The company has not received any intimation from “suppliers” regarding their status under the Micro; Small and Medium, Enterprises Development Act, 2006. Hence, disclosure, if any, relating to amount unpaid as at the year-end together with the interest paid/payable as required under the said Act has not been furnished.</t>
  </si>
  <si>
    <t>(7) Balances with customers and suppliers have been stated at book values and are subject to confirmation.</t>
  </si>
  <si>
    <t>(8) Previous Year’s figures are re-grouped, re-arranged and re-classified, wherever necessary to conform to current year's classification.</t>
  </si>
  <si>
    <t>(9) The below amounts represent opening balance differences in the respective ledgers as compared to Financials with the Books of accounts maintained by the company as on 01st April 2017. the amount are written off/ Written back are as under</t>
  </si>
  <si>
    <t>Amount</t>
  </si>
  <si>
    <t>GST Input Tax credit</t>
  </si>
  <si>
    <t>Opening balance difference of GST input tax credit adjusted against opening reserves in FY 23-24</t>
  </si>
  <si>
    <t>Reserves and Surplus Balance</t>
  </si>
  <si>
    <t>Opening Balance difference since FY 2017-18, adjusted against reserves and surplus.</t>
  </si>
  <si>
    <t>Sundry Creditors</t>
  </si>
  <si>
    <t>Written off to  Exceptional/ Extraordinary item in P &amp;L in FY 2020-21</t>
  </si>
  <si>
    <t>Statutory Dues Payable</t>
  </si>
  <si>
    <t>Short Term Provision</t>
  </si>
  <si>
    <t>Trade Receivables</t>
  </si>
  <si>
    <t>Advance To suppliers</t>
  </si>
  <si>
    <t>(10) There is opening balance differences 2017-18, which has shown in Notes to accounts as suspense account.</t>
  </si>
  <si>
    <t>(11) The Company has filed litigation against the previous directors of the company under Section 166, 241, 242, 246 and 340 of the companies act 2013 (Case Number: CP/519/2019). The matter is pending for resolution with the National Company Law Tribunal. also Company has filed a case against previous directors with the Chennai Central Crime Branch Officeon 28.7.2021 (Case Number: C.NO.124/CCB/COP/Visitors/2021).</t>
  </si>
  <si>
    <t>(12) The company has also done Forensic audit for the year FY 2017-18, in the Forensic Report the auditor has given many qualifications regarding the mis - appropriateness of accounts and balances and also siphoning of funds of Rs.53,28,168 by the previous directors of the company. The above mentioned amounts has been routed through the following parties according to the report:</t>
  </si>
  <si>
    <t>Party Name</t>
  </si>
  <si>
    <t>Mobis</t>
  </si>
  <si>
    <t>Glovis</t>
  </si>
  <si>
    <t xml:space="preserve">Cryolar </t>
  </si>
  <si>
    <t>NSK Sales</t>
  </si>
  <si>
    <t>Kerry Ingredients</t>
  </si>
  <si>
    <t>For KALYANASUNDARAM &amp; ASSOCIATES</t>
  </si>
  <si>
    <t>Chartered Accountants</t>
  </si>
  <si>
    <t>FRN: 005455S</t>
  </si>
  <si>
    <t>(13) Analytical Ratios of the year ended 31st March 2025</t>
  </si>
  <si>
    <t>Remarks 
(Variance above 25%)</t>
  </si>
  <si>
    <t>Workings</t>
  </si>
  <si>
    <t>Current ratio</t>
  </si>
  <si>
    <t>FY 2023-24</t>
  </si>
  <si>
    <t>FY 2022-23</t>
  </si>
  <si>
    <t>Debt-Equity ratio</t>
  </si>
  <si>
    <t>Current Ratio</t>
  </si>
  <si>
    <t>Current Assets</t>
  </si>
  <si>
    <t>Debt service coverage ratio</t>
  </si>
  <si>
    <t>Current liabilities</t>
  </si>
  <si>
    <t>Return on equity</t>
  </si>
  <si>
    <t>The ROE has swung from a positive 25% to a negative 32%, which is a drastic decline. This indicates a severe reduction in profitability or substantial losses relative to shareholders' equity</t>
  </si>
  <si>
    <t>Inventory turnover</t>
  </si>
  <si>
    <t>Debt</t>
  </si>
  <si>
    <t>Trade receivables turnover</t>
  </si>
  <si>
    <t>The decrease in trade receivables turnover suggests a slower collection period for receivables, which might impact cash flow.</t>
  </si>
  <si>
    <t>Debt/Equity</t>
  </si>
  <si>
    <t>Equity</t>
  </si>
  <si>
    <t>Trade payables turnover</t>
  </si>
  <si>
    <t>The significant decrease in trade payables turnover indicates that the company is taking longer to pay its suppliers.</t>
  </si>
  <si>
    <t>Net capital turnover</t>
  </si>
  <si>
    <t>The Variance is attributable due to change in working Capital - being as compared to PY 2022-23.</t>
  </si>
  <si>
    <t>ROE</t>
  </si>
  <si>
    <t>Net profits after taxes-preference dividend</t>
  </si>
  <si>
    <t>Net profit</t>
  </si>
  <si>
    <t>The Variance is attributable due to change in Net profits/ returns.</t>
  </si>
  <si>
    <t>Average shareholders equity</t>
  </si>
  <si>
    <t>Return on capital employed</t>
  </si>
  <si>
    <t>The Variance is attributable due to change in Operating profits/ returns.</t>
  </si>
  <si>
    <t>Return on Investment</t>
  </si>
  <si>
    <t>Inventory turnover ratio</t>
  </si>
  <si>
    <t>Cost of goods sold/sales</t>
  </si>
  <si>
    <t>Average inventory</t>
  </si>
  <si>
    <t>Note 21: Additional Notes</t>
  </si>
  <si>
    <t>Trade receivables turnover ratio</t>
  </si>
  <si>
    <t>(i) Title deeds of Immovable Property not held in name of the Company</t>
  </si>
  <si>
    <t>Net credit sales</t>
  </si>
  <si>
    <t>The company holds no immovable property in any other name.</t>
  </si>
  <si>
    <t>Average accounts receivable</t>
  </si>
  <si>
    <t>(ii) Where the Company has revalued its Property, Plant and Equipment, the company shall disclose as to whether the</t>
  </si>
  <si>
    <t>Trade payables turnover ratio</t>
  </si>
  <si>
    <t xml:space="preserve">revaluation is based on the valuation by a registered valuer as defined under rule 2 of the Companies </t>
  </si>
  <si>
    <t>Net credit purchases</t>
  </si>
  <si>
    <t>(Registered Valuers and Valuation) Rules,2017</t>
  </si>
  <si>
    <t>Average trade payables</t>
  </si>
  <si>
    <t>There is no revaluation of Property Plant and Equipment</t>
  </si>
  <si>
    <t>Net capital turnover ratio</t>
  </si>
  <si>
    <t>(iii) Following disclosures shall be made where Loans or Advances in the nature of loans are granted to promoters, directors,</t>
  </si>
  <si>
    <t>Net sales</t>
  </si>
  <si>
    <t>KMPs and the related parties (as defined under Companies Act, 2013,) either severally or jointly with any other person, that are:</t>
  </si>
  <si>
    <t>Average working capital</t>
  </si>
  <si>
    <t>(a) repayable on demand or</t>
  </si>
  <si>
    <t>(b) without specifying any terms or period of repayment</t>
  </si>
  <si>
    <t>Net profit ratio</t>
  </si>
  <si>
    <t>The company has not granted any loans or advances to promoters, directors, KMPs and the other related parties.</t>
  </si>
  <si>
    <t>(iv) Capital-Work-in Progress (CWIP) / Intangible assets under development (ITAUD)</t>
  </si>
  <si>
    <t>1.There is no Capital-Work-in Progress</t>
  </si>
  <si>
    <t>ROCE</t>
  </si>
  <si>
    <t>2.There is no Intangible assets under development</t>
  </si>
  <si>
    <t>Earnings before interest and taxes</t>
  </si>
  <si>
    <t>Capital employed</t>
  </si>
  <si>
    <t>(v) Details of Benami Property held</t>
  </si>
  <si>
    <t>The company holds no benami property under Benami transactions Prohibitions Act ( 1988)</t>
  </si>
  <si>
    <t>Operating Profitt</t>
  </si>
  <si>
    <t>Capital employed:</t>
  </si>
  <si>
    <t>Total assets- Current liabilities</t>
  </si>
  <si>
    <t>(vi) Where the Company has borrowings from banks or financial institutions on the basis of security of current</t>
  </si>
  <si>
    <t>assets, it shall disclose the following:-</t>
  </si>
  <si>
    <t>The Company has no borrowing from banks or financial institutions on the basis of security of current assets.</t>
  </si>
  <si>
    <t>Total investment</t>
  </si>
  <si>
    <t>(vii) Wilful Defaulter</t>
  </si>
  <si>
    <t>The company is not declared as a wilful defaulter by any bank or financial Institution or other lender.</t>
  </si>
  <si>
    <t>(viii) Registration of charges or satisfaction with Registrar of Companies</t>
  </si>
  <si>
    <t>The Company has not made any registration of charges with registrar of companies</t>
  </si>
  <si>
    <t>(ix) Compliance with number of layers of companies</t>
  </si>
  <si>
    <t>The company has complied with the number of layers prescribed under clause (87) of section 2 of the Act read with</t>
  </si>
  <si>
    <t>Companies (Restriction on number of Layers) Rules, 2017.</t>
  </si>
  <si>
    <t>(x) Compliance with approved Scheme(s) of Arrangements</t>
  </si>
  <si>
    <t>There are no scheme of arrangements for the company</t>
  </si>
  <si>
    <t>(xi)  Utilisation of Borrowed funds and share premium:</t>
  </si>
  <si>
    <t>The company has not advanced or loaned or invested funds (either borrowed funds or share premium or any other sources or</t>
  </si>
  <si>
    <t>kind of funds) to any other person(s) or entity(ies), including foreign entities (Intermediaries).</t>
  </si>
  <si>
    <t>(xii)  DETAILS OF CRYPTOCURRENCY OT VIRTUAL CURRENCY:</t>
  </si>
  <si>
    <t>The company has not traded or invested in cryptocurrency or virtual currency during the financial year.</t>
  </si>
  <si>
    <t>(xiii) UNDISCLOSED INCOME</t>
  </si>
  <si>
    <t>The Company has no undisclosed income which is not recorded in the Books of Accounts.</t>
  </si>
  <si>
    <t>(xiv) DISCREPANCY IN UTILIZATION OF BORROWINGS:</t>
  </si>
  <si>
    <t>The company has no borrowings from banks or any financial institutions.</t>
  </si>
  <si>
    <t>CAPITAL TOWERS, NO.G-3/1, G-3/2 &amp; G-2 DOOR NO.180 KODAMBAKKAM HIGH ROAD, NUNGAMBAKKAM CHENNAI 600034</t>
  </si>
  <si>
    <t>NOTE 1: GENERAL INFORMATION</t>
  </si>
  <si>
    <t>CARGO INTERNATIONAL (INDIA) PVT LTD is a Private Limited Company incorporated under the provisions of Companies Act 2013. The company is providing clearing and Forwarding services. The company is providing clearing &amp; forwarding Transport Services to their clients through Air, Road and Sea Transport</t>
  </si>
  <si>
    <t xml:space="preserve">NOTE 2: SIGNIFICANT ACCOUNTING POLICIES </t>
  </si>
  <si>
    <t>2.1)  Basis of preparation of Financial statements:</t>
  </si>
  <si>
    <t>All financial transactions have been recognized on accrual basis in accordance of companies Act 2013 and Accounting Standards as adopted consistently by the company. The preparation of financial statements in conformity with the GAAP requires that the management makes estimates and assumptions that affect the reported amounts of assets and liabilities, disclosure of contingent liabilities as at the date of the financial statements and the reported amounts of revenue and expenses during the period.</t>
  </si>
  <si>
    <t>2.2)  Use of Estimates</t>
  </si>
  <si>
    <t>The preparation of financial statements requires management to make estimates and assumptions that affect the reported amount of asset and liabilities, the disclosure of contingent assets and liabilities on the date of financial statements and the reported amount of revenue and expenses during the period reported. Actual result could differ from those estimates.</t>
  </si>
  <si>
    <t xml:space="preserve">2.3)   Property, Plant and Equipment </t>
  </si>
  <si>
    <t xml:space="preserve">Property, Plant and Equipment has been accounted at their cost including all expenses such as transportation charges, installation expenses etc., incurred wholly and exclusively for the purpose of putting the assets into the use. </t>
  </si>
  <si>
    <t>2.4)  Depreciation/Amortization</t>
  </si>
  <si>
    <t>Depreciation on the Property, Plant and Equipment is provided on “Written Down Value Method”  based on the use life of assets prescribed in the Part-C  of the Schedule II of the Companies Act, 2013.</t>
  </si>
  <si>
    <t>2.5)   Revenue Recognition</t>
  </si>
  <si>
    <t>Revenue has been recognised on accrual basis</t>
  </si>
  <si>
    <t>2.6)  Earnings per share</t>
  </si>
  <si>
    <t xml:space="preserve">In determining the earnings per share the company considers the net result after tax and includes the post tax effect of any extra-ordinary items. The number of shares used in computing basic earnings per share is the weighted average number of shares outstanding during the year. </t>
  </si>
  <si>
    <t>2.7)   Foreign Currency transactions</t>
  </si>
  <si>
    <t>Foreign currency transactions are accounted at the exchange rate prevailing on the date of the transaction. Monetary assets and liabilities related to foreign currency transactions remaining unsettled at the end of the year are translated at the rate prevailing on the year-end.</t>
  </si>
  <si>
    <t xml:space="preserve">The difference in translation of monetary assets and liabilities and realized gains and losses on foreign exchange transactions are recognized in the Statement of Profit and Loss. </t>
  </si>
  <si>
    <t xml:space="preserve">2.8)   Taxes on Income </t>
  </si>
  <si>
    <t>Taxes on income for the current period is determined on the basis of taxable income and computed in accordance with the provisions of the Income-tax Act, 1961.</t>
  </si>
  <si>
    <t xml:space="preserve">Deferred tax assets and liabilities are recognized for the future tax consequences attributable to timing difference that result between the profit offered for income taxes and profit as per financial statements. Deferred tax asset and liabilities are measured using the tax rates and tax laws that have been enacted or substantively enacted by the Balance Sheet date. The effect on deferred tax and liabilities of change in tax rates is recognized in the period that includes the enactment/substantive enactment date. </t>
  </si>
  <si>
    <t>2.9)    Provisions, Contingent Liabilities and Contingent Assets</t>
  </si>
  <si>
    <t>The company creates a provision when there is a present obligation as a result of an obligating event that probably requires an outflow of resources and reliable estimate can be made of the amount of the outflow.</t>
  </si>
  <si>
    <t>A disclosure for a contingent liability is made when there is a possible obligation or present obligation that may, but probably will not, require an outflow of resources. Where there is a possible obligation or a present obligation in respect of which the likelihood of the outflow of resources is remote, no provision or disclosure is made.</t>
  </si>
  <si>
    <t>Contingent Assets are neither disclosed nor provided for in the financial statements.</t>
  </si>
  <si>
    <t>NOTE 3 : SHARE CAPITAL</t>
  </si>
  <si>
    <t>Authorised share capital</t>
  </si>
  <si>
    <t>(500,000 equity shares of Rs.10 each)</t>
  </si>
  <si>
    <t>Issued, subscribed and paid up capital</t>
  </si>
  <si>
    <t>(20,000 equity shares of Rs.10 each)</t>
  </si>
  <si>
    <t>A. Terms and Rights attached to equity shares</t>
  </si>
  <si>
    <t>The company has only one class of equity shares having a par value of  Rs. 10 per share. Each holder of equity share entitled to one vote per share. The company declares and pays dividend in Indian Rupees The dividend proposed by the Board of directors is subject o the approval of the shareholders in the ensuring Annual General Meeting.</t>
  </si>
  <si>
    <t>During the year ended 31st March 2025, the amount per share dividend recognised as distrubition to shareholders was Rs. NIL (31st march 2024 - NIL)</t>
  </si>
  <si>
    <t>B. Shareholders holding more than 5 percent of equity shares</t>
  </si>
  <si>
    <t>Name of the Shareholder</t>
  </si>
  <si>
    <t>No. Of Shares</t>
  </si>
  <si>
    <t>% holding</t>
  </si>
  <si>
    <t>Ramkumar</t>
  </si>
  <si>
    <t>Prasath</t>
  </si>
  <si>
    <t>C. Reconciliation of shares outstanding at the beginning and at the end of the reporting period.</t>
  </si>
  <si>
    <t xml:space="preserve">Shares outstanding at the beginning of the year </t>
  </si>
  <si>
    <t xml:space="preserve">Shares issued during the year </t>
  </si>
  <si>
    <t>Shares bought back during the year</t>
  </si>
  <si>
    <t>Shares outstanding at the end of the year</t>
  </si>
  <si>
    <t>D. Shares held by promoters at the end of the year</t>
  </si>
  <si>
    <t>Shares held by promoters at the end of the year 31st March 2025</t>
  </si>
  <si>
    <t>Name of the Promoter</t>
  </si>
  <si>
    <t>Amount (Rs.)</t>
  </si>
  <si>
    <t>% of Total shares</t>
  </si>
  <si>
    <t>% Change during the year 2024</t>
  </si>
  <si>
    <t>Shares held by promoters at the end of the year 31st March 2024</t>
  </si>
  <si>
    <t>% Change during the year 2023</t>
  </si>
  <si>
    <t>CAPITAL TOWERS, NO.G-3/1, G-3/2 &amp; G-2 ,DOOR NO.180 KODAMBAKKAM HIGH ROAD, NUNGAMBAKKAM, CHENNAI - 600034</t>
  </si>
  <si>
    <t>NOTE 4 : RESERVES AND SURPLUS</t>
  </si>
  <si>
    <t>General Reserve</t>
  </si>
  <si>
    <t>Opening balance</t>
  </si>
  <si>
    <t>Add:Net Profit/(Loss) for the current year</t>
  </si>
  <si>
    <t>Less: GST Input reversal</t>
  </si>
  <si>
    <t>CY tax included</t>
  </si>
  <si>
    <t>Advance paid \ received</t>
  </si>
  <si>
    <t>Sundry creditors</t>
  </si>
  <si>
    <t>As on Mar 31,2025</t>
  </si>
  <si>
    <t>As on Mar 31, 2024</t>
  </si>
  <si>
    <t>Outstanding for following periods from due date of payment</t>
  </si>
  <si>
    <t>Less than 6 months</t>
  </si>
  <si>
    <t>6 months to 1 year</t>
  </si>
  <si>
    <t>1 - 2 years</t>
  </si>
  <si>
    <t>2 - 3 years</t>
  </si>
  <si>
    <t>more than 3 years</t>
  </si>
  <si>
    <t>MSME</t>
  </si>
  <si>
    <t>Others</t>
  </si>
  <si>
    <t>Disputed Dues (MSME)</t>
  </si>
  <si>
    <t>Disputed Dues (Others)</t>
  </si>
  <si>
    <t>CARGO INTERNATIONAL LTD</t>
  </si>
  <si>
    <t>RPT</t>
  </si>
  <si>
    <t>CARGO INTERNATIONAL (INDIA) PRIVATE LTD</t>
  </si>
  <si>
    <t>AI TEC ELECTRICALS</t>
  </si>
  <si>
    <t>CATHAY PACIFIC</t>
  </si>
  <si>
    <t>CMA CGM</t>
  </si>
  <si>
    <t>CONTAINER CORPORATION OF INDIA LIMITED</t>
  </si>
  <si>
    <t>SRI VBL ASSOCIATES</t>
  </si>
  <si>
    <t>Asset Category</t>
  </si>
  <si>
    <t>Gross Block</t>
  </si>
  <si>
    <t>Net Block</t>
  </si>
  <si>
    <t>As on 
01.04.2024</t>
  </si>
  <si>
    <t xml:space="preserve">Additions </t>
  </si>
  <si>
    <t>Deletion</t>
  </si>
  <si>
    <t>As on 
31.03.2025</t>
  </si>
  <si>
    <t>For the 
Year</t>
  </si>
  <si>
    <t>Tangible Assets</t>
  </si>
  <si>
    <t>Motor Car</t>
  </si>
  <si>
    <t>Interior Decoration</t>
  </si>
  <si>
    <t>Computers</t>
  </si>
  <si>
    <t>Communication Equiptments</t>
  </si>
  <si>
    <t>Furniture and fixtures</t>
  </si>
  <si>
    <t>Electrical equipments</t>
  </si>
  <si>
    <t>Office Equipments</t>
  </si>
  <si>
    <t>Previous Year figure</t>
  </si>
  <si>
    <t>Sundry Debtors</t>
  </si>
  <si>
    <t>Undisputed Trade receivables considered Good</t>
  </si>
  <si>
    <t>Undisputed Trade receivables considered doubtful</t>
  </si>
  <si>
    <t>Disputed Trade receivable considered Good</t>
  </si>
  <si>
    <t>Disputed Trade receivable considered doubtful</t>
  </si>
  <si>
    <t>ASHA LUBE SOLUTIONS PVT LTD</t>
  </si>
  <si>
    <t>BUNDY INDIA LIMITED</t>
  </si>
  <si>
    <t>HEADWIN EXIM PRIVATE LIMITED</t>
  </si>
  <si>
    <t>KERRY INGREDIENTS INDIA PVT LTD</t>
  </si>
  <si>
    <t>SASTRA UNIVERSITY</t>
  </si>
  <si>
    <t>SIGNODE INDIA LIMITED</t>
  </si>
  <si>
    <t>WINVERTEX EXIM PRIVATE LIMITED</t>
  </si>
  <si>
    <t>MARUVUR ARASI LOGISTICS PRIVATE LIMITED</t>
  </si>
  <si>
    <t>DAISY ENTERPRISES</t>
  </si>
  <si>
    <t>THRIVENI  EARTHMOVERS PVT LTD</t>
  </si>
  <si>
    <t>VASUDHA PHARMA CHEM LIMITED..</t>
  </si>
  <si>
    <t>ALAN LOGISTICS</t>
  </si>
  <si>
    <t>ANNAI FREIGHT SYSTEM</t>
  </si>
  <si>
    <t>BRAKES INDIA PRIVATE  LIMITED</t>
  </si>
  <si>
    <t>CRUSHER AND MINING EQUIPMENTS MANUFACTURER</t>
  </si>
  <si>
    <t>JESSICA PICKLEZ PRIVATE LIMITED</t>
  </si>
  <si>
    <t>LOYAL TEXTILE MILLS LTD</t>
  </si>
  <si>
    <t>M/S.SRI SAI IMPEX</t>
  </si>
  <si>
    <t>PROPEL INDUSTRIES PVT LTD</t>
  </si>
  <si>
    <t>PRYM INDUSTRIES</t>
  </si>
  <si>
    <t>SAMARTH IMPEX</t>
  </si>
  <si>
    <t>VIZ TECHNOLOIES (P) LTD</t>
  </si>
  <si>
    <t>GO PEAT</t>
  </si>
  <si>
    <t>HFCL LIMITED</t>
  </si>
  <si>
    <t>MCLEAD ENTERPRISES</t>
  </si>
  <si>
    <t>MANIKANTA INTERNATIONAL CARGO   LOGISTIC</t>
  </si>
  <si>
    <t>MA APPARELS</t>
  </si>
  <si>
    <t>Add: Current year</t>
  </si>
  <si>
    <t>Deferred Tax Assets/(Liabilty)</t>
  </si>
  <si>
    <t>Balance with banks</t>
  </si>
  <si>
    <t>Cash on hand</t>
  </si>
  <si>
    <t>Service Job Revenue</t>
  </si>
  <si>
    <t>REMUNERATION TO AUDITOR</t>
  </si>
  <si>
    <t>Tax Audit Fees</t>
  </si>
  <si>
    <t>CARGO INTERNTIONAL INDIA PRIVATE LIMITED</t>
  </si>
  <si>
    <t>SUB SCHEDULE FOR THE YEAR END 31ST MARCH 2024</t>
  </si>
  <si>
    <t>31st March, 2023</t>
  </si>
  <si>
    <t>SS 1 : Expense Payable</t>
  </si>
  <si>
    <t>SS 2 : Statutory Dues payables</t>
  </si>
  <si>
    <t>Old</t>
  </si>
  <si>
    <t>Duty Vat Account</t>
  </si>
  <si>
    <t>Reimbursement Account</t>
  </si>
  <si>
    <t>need to check</t>
  </si>
  <si>
    <t xml:space="preserve">SS 3 : Cash and cash equivalents </t>
  </si>
  <si>
    <t>Balance with bank</t>
  </si>
  <si>
    <t xml:space="preserve">SS 4 : GST Input tax credit </t>
  </si>
  <si>
    <t>SS 7 : Business Promotion Expense</t>
  </si>
  <si>
    <t>SS 5 : Communication Expense</t>
  </si>
  <si>
    <t>SS 6 : Other Expense</t>
  </si>
  <si>
    <t>Service Job cost - Explaination need to be provided</t>
  </si>
  <si>
    <t>Bangalore office</t>
  </si>
  <si>
    <t>SS 7 : Professional Charges</t>
  </si>
  <si>
    <t>SS 8 : Rent</t>
  </si>
  <si>
    <t>SS 9 : Repairs and Maintenance</t>
  </si>
  <si>
    <t>SS 10 : Travelling Expense</t>
  </si>
  <si>
    <t>Advance Paid/Received</t>
  </si>
  <si>
    <t>Closing Balance as of FY 2024-25</t>
  </si>
  <si>
    <t>Closing Balance as of FY 2023-24</t>
  </si>
  <si>
    <t>Advance From Debtors</t>
  </si>
  <si>
    <t>CIL Dubai</t>
  </si>
  <si>
    <t>ADVANCE TO CREDITORS</t>
  </si>
  <si>
    <t>MAERSK</t>
  </si>
  <si>
    <t>BELL PRINTERS (P) LTD</t>
  </si>
  <si>
    <t>RL FINE CHEM PVT LTD</t>
  </si>
  <si>
    <t>AURONATURE</t>
  </si>
  <si>
    <t>EXPRESS CARGO MOVERS</t>
  </si>
  <si>
    <t>During the yr Transaction/Audit entry</t>
  </si>
  <si>
    <t>Creditors From Provisions GL</t>
  </si>
  <si>
    <t>Schedule of depreciation as per Income Tax Act 1961.</t>
  </si>
  <si>
    <t>NAME OF THE ASSETS</t>
  </si>
  <si>
    <t>Addition</t>
  </si>
  <si>
    <t>Deletions</t>
  </si>
  <si>
    <t>Rate of Dep</t>
  </si>
  <si>
    <t>Dep. Amt</t>
  </si>
  <si>
    <t>Op WDV as on 
01.04.2024</t>
  </si>
  <si>
    <t>&gt; 180</t>
  </si>
  <si>
    <t>&lt; 180</t>
  </si>
  <si>
    <t>Mobiles</t>
  </si>
  <si>
    <t>Furniture and fittings</t>
  </si>
  <si>
    <t>Interior decoration</t>
  </si>
  <si>
    <t>Office Equipment</t>
  </si>
  <si>
    <t>Total Addition as per IT Dep</t>
  </si>
  <si>
    <t>Total Addition as per CA Dep</t>
  </si>
  <si>
    <t>Schedule for Deffered Tax Calculation</t>
  </si>
  <si>
    <t>P&amp;L Approach</t>
  </si>
  <si>
    <t>BL Approach</t>
  </si>
  <si>
    <t>Amount of expenses</t>
  </si>
  <si>
    <t>Deffered Tax Amount</t>
  </si>
  <si>
    <t>DTA/DTL</t>
  </si>
  <si>
    <t>DTA</t>
  </si>
  <si>
    <t>on account of Depreciation</t>
  </si>
  <si>
    <t>WDV as per Income Tax Act</t>
  </si>
  <si>
    <t>WDV as per Companies Act</t>
  </si>
  <si>
    <t>on account of expenses allowed on payable basis</t>
  </si>
  <si>
    <t xml:space="preserve">Provision as per IT </t>
  </si>
  <si>
    <t>Provision as per CA</t>
  </si>
  <si>
    <t>Provision to be reversed for the year</t>
  </si>
  <si>
    <t>DTI</t>
  </si>
  <si>
    <t>D.O.I</t>
  </si>
  <si>
    <t>AY</t>
  </si>
  <si>
    <t>E MAIL ID</t>
  </si>
  <si>
    <t xml:space="preserve">accounts@cargo-int.com </t>
  </si>
  <si>
    <t>FY</t>
  </si>
  <si>
    <t>PH NO</t>
  </si>
  <si>
    <t>PAN NO</t>
  </si>
  <si>
    <t>AAECC1295N</t>
  </si>
  <si>
    <t>Statement of Income</t>
  </si>
  <si>
    <t>INCOME FROM BUSINESS</t>
  </si>
  <si>
    <t>Profit as per Profit  and loss account</t>
  </si>
  <si>
    <t>Add:</t>
  </si>
  <si>
    <t>Disallowed Expenses</t>
  </si>
  <si>
    <t>a) Depreciation as per Companies Act</t>
  </si>
  <si>
    <t>b) ICDS Unrealised Forex</t>
  </si>
  <si>
    <t>c) PT Disallowances</t>
  </si>
  <si>
    <t>d) PF Disallowances</t>
  </si>
  <si>
    <t>e) Expenses Disallowed</t>
  </si>
  <si>
    <t>i) Liabilities Writeback/Writeoff as expenses</t>
  </si>
  <si>
    <t>ii) Exceptional items/extra-ordinary items</t>
  </si>
  <si>
    <t xml:space="preserve">Less: </t>
  </si>
  <si>
    <t>Allowable Expenses</t>
  </si>
  <si>
    <t>Depreciation as per Income Tax Act</t>
  </si>
  <si>
    <t>Business income</t>
  </si>
  <si>
    <t>Business loss carried forward from earlier year</t>
  </si>
  <si>
    <t>set off current year</t>
  </si>
  <si>
    <t>TAXABLE INCOME</t>
  </si>
  <si>
    <t>Tax on normal slab @ 25%</t>
  </si>
  <si>
    <t>(A)</t>
  </si>
  <si>
    <t>Tax payable under section 115JB</t>
  </si>
  <si>
    <t>(B)</t>
  </si>
  <si>
    <t>Calculation for the Interest under 234B &amp; C</t>
  </si>
  <si>
    <t>Tax under normal computation = higher of</t>
  </si>
  <si>
    <t>( A ) or ( B )</t>
  </si>
  <si>
    <t xml:space="preserve"> 234B</t>
  </si>
  <si>
    <t>Surcharge 7%</t>
  </si>
  <si>
    <t>Total Tax Liability</t>
  </si>
  <si>
    <t>Less TDS</t>
  </si>
  <si>
    <t>Health and Education cess</t>
  </si>
  <si>
    <t>90% of the Tax</t>
  </si>
  <si>
    <t>Advance Tax Paid</t>
  </si>
  <si>
    <t>Less:</t>
  </si>
  <si>
    <t>Advance Tax</t>
  </si>
  <si>
    <t>Difference</t>
  </si>
  <si>
    <t>Tax deducted at source</t>
  </si>
  <si>
    <t>Interest</t>
  </si>
  <si>
    <t>Interest u/s 234 A</t>
  </si>
  <si>
    <t>234C</t>
  </si>
  <si>
    <t>Actual Paid</t>
  </si>
  <si>
    <t>Interest u/s 234 B</t>
  </si>
  <si>
    <t>Interest u/s 234 C</t>
  </si>
  <si>
    <t>15% upto 15.06.2020</t>
  </si>
  <si>
    <t>45% upto 15.09.2020</t>
  </si>
  <si>
    <t>Tax Payable/(Refund)</t>
  </si>
  <si>
    <t>75% Upto 15.12.2020</t>
  </si>
  <si>
    <t>100% up to 15.03.2021</t>
  </si>
  <si>
    <t>Total Interest</t>
  </si>
  <si>
    <t>Computation of Book Profit as per Sec. 115JB</t>
  </si>
  <si>
    <t>Net Profit as per Profit &amp; Loss Account before tax</t>
  </si>
  <si>
    <t>Add : -</t>
  </si>
  <si>
    <t>i.</t>
  </si>
  <si>
    <t>Income Tax Paid or Payble</t>
  </si>
  <si>
    <t>ii.</t>
  </si>
  <si>
    <t>Amount carried to reserves</t>
  </si>
  <si>
    <t>iii.</t>
  </si>
  <si>
    <t>Provisions for uncertain liabilities</t>
  </si>
  <si>
    <t>iv.</t>
  </si>
  <si>
    <t>Provisions for losses of Subsidiary companies</t>
  </si>
  <si>
    <t>v.</t>
  </si>
  <si>
    <t>Dividends paid or proposed</t>
  </si>
  <si>
    <t>vi.</t>
  </si>
  <si>
    <t xml:space="preserve">Expenditure relatable to any income to which any of the </t>
  </si>
  <si>
    <t>Sections 10/10A/10B/11/12 applies</t>
  </si>
  <si>
    <t>vii.</t>
  </si>
  <si>
    <t>Depriciation debited to P&amp;L A/C (Normal &amp; Revaluation)</t>
  </si>
  <si>
    <t>viii.</t>
  </si>
  <si>
    <t>Deffered Tax Liability</t>
  </si>
  <si>
    <t>ix.</t>
  </si>
  <si>
    <t>Value of Revaluation of Asset Which effects the Rev Reserve</t>
  </si>
  <si>
    <t>x.</t>
  </si>
  <si>
    <t>Income/Loss In the case of units in Sec 47(xvii)</t>
  </si>
  <si>
    <t>Less:-</t>
  </si>
  <si>
    <t>Amount withdrawn from reserves or provisions</t>
  </si>
  <si>
    <t>Any income to which any of the Sections 10/10A/10B/11/12 applies</t>
  </si>
  <si>
    <t>Depriciation debited to P&amp;L A/C (Normal)</t>
  </si>
  <si>
    <t xml:space="preserve">Withdrawn from Revaluation Reserve Credited to P&amp;L A/c </t>
  </si>
  <si>
    <t>Loss brought forward or unabsorbed depriciation, whichever is less</t>
  </si>
  <si>
    <t>Amount of deduction u/s 80HHC ,HHE,HHF</t>
  </si>
  <si>
    <t>Profit of Sick Industrial Unit</t>
  </si>
  <si>
    <t>Deffered Tax Asset</t>
  </si>
  <si>
    <t>Book profit as per Section 115JB</t>
  </si>
  <si>
    <t>15 % of Book Profit u/s 115JB</t>
  </si>
  <si>
    <t>To PREPAID INSURANCES</t>
  </si>
  <si>
    <t>(Prepaid of FY 23-24 Transferred to Exp)</t>
  </si>
  <si>
    <t>Given</t>
  </si>
  <si>
    <t>To INSURANCE.</t>
  </si>
  <si>
    <t>(Prepaid of FY 24-25 Transferred to Exp)</t>
  </si>
  <si>
    <t>To Accurals</t>
  </si>
  <si>
    <t>(Transfer entry - reversal of audit fee payable for the Previous FY &amp; GST audit fee payable for the FY 2022-23)</t>
  </si>
  <si>
    <t>ITC LIMITED</t>
  </si>
  <si>
    <t>CREATIVE ART EXIM</t>
  </si>
  <si>
    <t>AI AIRPORT SERVICES LIMITED.</t>
  </si>
  <si>
    <t>S.R.J ENGINEERING &amp; TRADING PVT. LTD.</t>
  </si>
  <si>
    <t>HIGH PRECISION INDUSTRY</t>
  </si>
  <si>
    <t>COGENT EXPORTS</t>
  </si>
  <si>
    <t>Audit Entry for FY 2024-25</t>
  </si>
  <si>
    <t>Tax audit 4 Yrs</t>
  </si>
  <si>
    <t>FY 24-25 provision</t>
  </si>
  <si>
    <t>(IT filing transferred)</t>
  </si>
  <si>
    <t>Interest trf entry)</t>
  </si>
  <si>
    <t>(FY 24-25 audit fee)</t>
  </si>
  <si>
    <t>Stat Audit</t>
  </si>
  <si>
    <t>Tax audit</t>
  </si>
  <si>
    <t xml:space="preserve">Note : Amount is derived from TP reconcilation from Ageing folder </t>
  </si>
  <si>
    <t>WDV As on 
31.03.2025</t>
  </si>
  <si>
    <t>Opening balance as on 01.04.2024</t>
  </si>
  <si>
    <t>Closing balance as on 31.03.25</t>
  </si>
  <si>
    <t>FY 2024-25</t>
  </si>
  <si>
    <t xml:space="preserve">Deffered Tax </t>
  </si>
  <si>
    <t>Profit and loss ac</t>
  </si>
  <si>
    <t>BLUE DART</t>
  </si>
  <si>
    <t>I2 IMPEX</t>
  </si>
  <si>
    <t>STAR HEALTH AND ALLIED INSURANCE COMPANY LIMITED</t>
  </si>
  <si>
    <t>THE PROFESSIONAL COURIERS CHENNAI LLP</t>
  </si>
  <si>
    <t>UNIQUE PEST MANAGEMENT</t>
  </si>
  <si>
    <t>BABU RAO</t>
  </si>
  <si>
    <t>BANGALORE ELECTRICITY (BESCOM)</t>
  </si>
  <si>
    <t>GURUASHISH LOGISTICS PVT LTD</t>
  </si>
  <si>
    <t>MOKSHITA TRANSPORT</t>
  </si>
  <si>
    <t>SOLAI TRANS CARRIER</t>
  </si>
  <si>
    <t>THE HONGKONG AND SHANGHAI BANKING CORPORATION LTD</t>
  </si>
  <si>
    <t>YEHWEH SECURED FUMIGATION SERVICES</t>
  </si>
  <si>
    <t>ZENCO LOGISTICS</t>
  </si>
  <si>
    <t>ROYAL SUNDARAM GENERAL INSURANCE CO. LIMITED</t>
  </si>
  <si>
    <t>YES BANK</t>
  </si>
  <si>
    <t>To Write BacK</t>
  </si>
  <si>
    <t>.</t>
  </si>
  <si>
    <t>(Creditors write back refer Trade payable ageing)</t>
  </si>
  <si>
    <t>Wirte off</t>
  </si>
  <si>
    <t>Rounding off</t>
  </si>
  <si>
    <t>KVSS PROJECTS</t>
  </si>
  <si>
    <t>GOPATHI SHIPPING SERVICES</t>
  </si>
  <si>
    <t>(bad debts transferred refer Trade receivable ageing )</t>
  </si>
  <si>
    <t>As on 25-09-2025</t>
  </si>
  <si>
    <t>(Reversal of Restatement entry of FY 23-24 - Debtors)</t>
  </si>
  <si>
    <t>(Reversal of Restatement entry of FY 23-24 - Creditors)</t>
  </si>
  <si>
    <t>(For 3 Quarters)</t>
  </si>
  <si>
    <t>Note : Balance in Provision operation has been closed and transferred to reserves</t>
  </si>
  <si>
    <t xml:space="preserve">Expenses  </t>
  </si>
  <si>
    <t>(Absolute Numbers)</t>
  </si>
  <si>
    <t>Provision operation</t>
  </si>
  <si>
    <t>Exceptional / Extraordinary item relating to FY 2017-18 has been Written off in FY 24-25.</t>
  </si>
  <si>
    <t>Management Consultation fee A/c</t>
  </si>
  <si>
    <t>(Management Consultation fee for the FY 2024-25)</t>
  </si>
  <si>
    <t>Profit and loss a/c</t>
  </si>
  <si>
    <t>Cargo International Ltd - C000144 A/c</t>
  </si>
  <si>
    <t>NON CURRENT LIABILITIES</t>
  </si>
  <si>
    <t>NOTE 5 : NON CURRENT LIABILITIES</t>
  </si>
  <si>
    <t>a. Other Long term Liabilities</t>
  </si>
  <si>
    <t>Other Long term Liabilities</t>
  </si>
  <si>
    <t>Non current</t>
  </si>
  <si>
    <t>Current</t>
  </si>
  <si>
    <t>Provision Operation reversal</t>
  </si>
  <si>
    <t>NOTE 7 : OTHER CURRENT LIABILITIES</t>
  </si>
  <si>
    <t>NOTE 8 : SHORT TERM PROVISIONS</t>
  </si>
  <si>
    <t>NOTE 6 : TRADE PAYABLES</t>
  </si>
  <si>
    <t>Note 9 - Property, Plant &amp; Equipment</t>
  </si>
  <si>
    <t>NOTE 12 : TRADE RECEIVABLES</t>
  </si>
  <si>
    <t>NOTE 10 : LONG TERM LOANS AND ADVANCES</t>
  </si>
  <si>
    <t>NOTE 11 : DEFERRED TAX ASSETS</t>
  </si>
  <si>
    <t>NOTE 13 : CASH AND CASH EQUIVALENTS</t>
  </si>
  <si>
    <t>NOTE 14 : SHORT TERM LOANS AND ADVANCES</t>
  </si>
  <si>
    <t>NOTE 15 : REVENUE FROM OPERATIONS</t>
  </si>
  <si>
    <t>NOTE 16 : OTHER INCOME</t>
  </si>
  <si>
    <t>NOTE 17 : OPERATING EXPENSES</t>
  </si>
  <si>
    <t>NOTE 18 : EMPLOYEE BENEFIT EXPENSE</t>
  </si>
  <si>
    <t>NOTE 19 : FINANCIAL COST</t>
  </si>
  <si>
    <t>NOTE 20 : ADMINISTRATION EXPENSES</t>
  </si>
  <si>
    <t>NOTE 21: ADDITIONAL NOTES AND INFORMATION:</t>
  </si>
  <si>
    <t>(Refer Note. 21(9))</t>
  </si>
  <si>
    <t>(12) Nature of the Matter Arising out of FIR No. 196/2024 registered at Chennai under Sections 406, 420 r/w 34 IPC, an allegation of criminal breach of trust and cheating involving an amount of ₹2,20,00,000 has been made against the Company (M/s. Cargo International India Pvt. Ltd.) and its directors/officers. The Hon’ble Supreme Court, vide final order dated 20 May 2025, has:
a) Upheld the de-freezing of the aforesaid four bank accounts;
b) Directed continuation of freeze on the fifth bank account (ICICI Bank A/c No. 399505000812) having a balance of ₹2,49,99,437.29 as on 16 May 2025;
c) Recorded an undertaking by the Company to maintain a minimum balance of ₹2,20,00,000 in the said account until final adjudication of the dispute on merits by the appropriate forum.</t>
  </si>
  <si>
    <t>AIR INDIA</t>
  </si>
  <si>
    <t>(transferred)</t>
  </si>
  <si>
    <t>Rates and Taxes</t>
  </si>
  <si>
    <t>Statutory Expenses</t>
  </si>
  <si>
    <t xml:space="preserve">Add: Provision operation reversal </t>
  </si>
  <si>
    <t>144,900.00</t>
  </si>
  <si>
    <t>Current Tax A/c (P&amp;L A/c)</t>
  </si>
  <si>
    <t>Provision for Taxation</t>
  </si>
  <si>
    <t>Check</t>
  </si>
  <si>
    <t>Income Tax payable</t>
  </si>
  <si>
    <t>TDS receivables</t>
  </si>
  <si>
    <t>TDS Receivables</t>
  </si>
  <si>
    <t>SD/-</t>
  </si>
  <si>
    <t>+RC[-2]*100000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</si>
</sst>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quot;$&quot;* #,##0_);_(&quot;$&quot;* \(#,##0\);_(&quot;$&quot;* &quot;-&quot;_);_(@_)"/>
    <numFmt numFmtId="165" formatCode="_(* #,##0.00_);_(* \(#,##0.00\);_(* &quot;-&quot;??_);_(@_)"/>
    <numFmt numFmtId="166" formatCode="_(* #,##0_);_(* \(#,##0\);_(* &quot;-&quot;??_);_(@_)"/>
    <numFmt numFmtId="167" formatCode="_ * #,##0_ ;_ * \-#,##0_ ;_ * &quot;-&quot;??_ ;_ @_ "/>
    <numFmt numFmtId="168" formatCode="0.000%"/>
    <numFmt numFmtId="169" formatCode="_(* #,##0.00_);_(* \(#,##0.00\);_(* \-??_);_(@_)"/>
    <numFmt numFmtId="170" formatCode="#,##0.00&quot; &quot;;&quot;(&quot;#,##0.00&quot;)&quot;;&quot;-&quot;#&quot; &quot;;&quot; &quot;@&quot; &quot;"/>
    <numFmt numFmtId="171" formatCode="[$-F800]dddd\,\ mmmm\ dd\,\ yyyy"/>
    <numFmt numFmtId="172" formatCode="#,##0.000000"/>
    <numFmt numFmtId="173" formatCode="_(* #,##0.0_);_(* \(#,##0.0\);_(* &quot;-&quot;??_);_(@_)"/>
  </numFmts>
  <fonts count="5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sz val="8"/>
      <name val="Arial"/>
      <family val="2"/>
    </font>
    <font>
      <sz val="10"/>
      <name val="Calibri"/>
      <family val="2"/>
      <scheme val="minor"/>
    </font>
    <font>
      <b/>
      <sz val="11"/>
      <color theme="1"/>
      <name val="Calibri"/>
      <family val="2"/>
      <scheme val="minor"/>
    </font>
    <font>
      <sz val="10"/>
      <name val="Times New Roman"/>
      <family val="1"/>
    </font>
    <font>
      <sz val="11"/>
      <name val="Times New Roman"/>
      <family val="1"/>
    </font>
    <font>
      <b/>
      <sz val="11"/>
      <name val="Calibri"/>
      <family val="2"/>
      <scheme val="minor"/>
    </font>
    <font>
      <sz val="11"/>
      <name val="Calibri"/>
      <family val="2"/>
      <scheme val="minor"/>
    </font>
    <font>
      <b/>
      <sz val="11"/>
      <name val="Times New Roman"/>
      <family val="1"/>
    </font>
    <font>
      <sz val="11"/>
      <color indexed="8"/>
      <name val="Calibri"/>
      <family val="2"/>
      <scheme val="minor"/>
    </font>
    <font>
      <sz val="10"/>
      <color indexed="8"/>
      <name val="Arial"/>
      <family val="2"/>
    </font>
    <font>
      <sz val="10"/>
      <color indexed="8"/>
      <name val="Arial"/>
      <family val="2"/>
    </font>
    <font>
      <sz val="10"/>
      <name val="Arial"/>
      <family val="2"/>
      <charset val="1"/>
    </font>
    <font>
      <sz val="11"/>
      <color rgb="FF000000"/>
      <name val="Arial1"/>
    </font>
    <font>
      <sz val="10"/>
      <color rgb="FF000000"/>
      <name val="Times New Roman"/>
      <family val="1"/>
    </font>
    <font>
      <b/>
      <sz val="10"/>
      <color indexed="8"/>
      <name val="Calibri"/>
      <family val="2"/>
      <scheme val="minor"/>
    </font>
    <font>
      <b/>
      <sz val="9"/>
      <color indexed="8"/>
      <name val="Calibri"/>
      <family val="2"/>
      <scheme val="minor"/>
    </font>
    <font>
      <b/>
      <sz val="8"/>
      <color indexed="8"/>
      <name val="Calibri"/>
      <family val="2"/>
      <scheme val="minor"/>
    </font>
    <font>
      <b/>
      <sz val="11"/>
      <color indexed="8"/>
      <name val="Calibri"/>
      <family val="2"/>
      <scheme val="minor"/>
    </font>
    <font>
      <b/>
      <sz val="10"/>
      <name val="Calibri"/>
      <family val="2"/>
      <scheme val="minor"/>
    </font>
    <font>
      <b/>
      <u/>
      <sz val="10"/>
      <name val="Calibri"/>
      <family val="2"/>
      <scheme val="minor"/>
    </font>
    <font>
      <b/>
      <sz val="12"/>
      <name val="Calibri"/>
      <family val="2"/>
      <scheme val="minor"/>
    </font>
    <font>
      <b/>
      <sz val="14"/>
      <name val="Calibri"/>
      <family val="2"/>
      <scheme val="minor"/>
    </font>
    <font>
      <b/>
      <u/>
      <sz val="11"/>
      <name val="Calibri"/>
      <family val="2"/>
      <scheme val="minor"/>
    </font>
    <font>
      <b/>
      <sz val="9"/>
      <name val="Calibri"/>
      <family val="2"/>
      <scheme val="minor"/>
    </font>
    <font>
      <i/>
      <sz val="11"/>
      <name val="Calibri"/>
      <family val="2"/>
      <scheme val="minor"/>
    </font>
    <font>
      <i/>
      <sz val="9"/>
      <name val="Calibri"/>
      <family val="2"/>
      <scheme val="minor"/>
    </font>
    <font>
      <i/>
      <sz val="10"/>
      <name val="Calibri"/>
      <family val="2"/>
      <scheme val="minor"/>
    </font>
    <font>
      <b/>
      <i/>
      <sz val="11"/>
      <color theme="1"/>
      <name val="Calibri"/>
      <family val="2"/>
      <scheme val="minor"/>
    </font>
    <font>
      <b/>
      <sz val="10"/>
      <name val="Arial"/>
      <family val="2"/>
    </font>
    <font>
      <sz val="8"/>
      <color indexed="8"/>
      <name val="Arial"/>
      <family val="2"/>
    </font>
    <font>
      <u/>
      <sz val="11"/>
      <name val="Calibri"/>
      <family val="2"/>
      <scheme val="minor"/>
    </font>
    <font>
      <b/>
      <i/>
      <u/>
      <sz val="11"/>
      <name val="Calibri"/>
      <family val="2"/>
      <scheme val="minor"/>
    </font>
    <font>
      <sz val="11"/>
      <color rgb="FFFF0000"/>
      <name val="Calibri"/>
      <family val="2"/>
      <scheme val="minor"/>
    </font>
    <font>
      <i/>
      <sz val="11"/>
      <color indexed="8"/>
      <name val="Calibri"/>
      <family val="2"/>
      <scheme val="minor"/>
    </font>
    <font>
      <sz val="11"/>
      <color indexed="8"/>
      <name val="Calibri"/>
      <family val="2"/>
    </font>
    <font>
      <b/>
      <sz val="12"/>
      <color indexed="8"/>
      <name val="Calibri"/>
      <family val="2"/>
      <scheme val="minor"/>
    </font>
    <font>
      <sz val="9"/>
      <name val="Calibri"/>
      <family val="2"/>
      <scheme val="minor"/>
    </font>
    <font>
      <sz val="10"/>
      <name val="Arial"/>
      <family val="2"/>
    </font>
    <font>
      <b/>
      <sz val="11"/>
      <color indexed="8"/>
      <name val="Calibri"/>
      <family val="2"/>
    </font>
    <font>
      <b/>
      <sz val="11"/>
      <name val="Arial"/>
      <family val="2"/>
    </font>
    <font>
      <b/>
      <i/>
      <sz val="10"/>
      <name val="Calibri"/>
      <family val="2"/>
      <scheme val="minor"/>
    </font>
    <font>
      <b/>
      <i/>
      <sz val="9"/>
      <name val="Calibri"/>
      <family val="2"/>
      <scheme val="minor"/>
    </font>
    <font>
      <b/>
      <i/>
      <sz val="8"/>
      <name val="Calibri"/>
      <family val="2"/>
      <scheme val="minor"/>
    </font>
    <font>
      <b/>
      <sz val="8"/>
      <name val="Calibri"/>
      <family val="2"/>
      <scheme val="minor"/>
    </font>
    <font>
      <b/>
      <sz val="10"/>
      <name val="Times New Roman"/>
      <family val="1"/>
    </font>
    <font>
      <b/>
      <i/>
      <sz val="10"/>
      <name val="Arial"/>
      <family val="2"/>
    </font>
    <font>
      <sz val="10"/>
      <color rgb="FF000000"/>
      <name val="Arial"/>
      <family val="2"/>
    </font>
    <font>
      <sz val="10"/>
      <color theme="1"/>
      <name val="Calibri"/>
      <family val="2"/>
      <scheme val="minor"/>
    </font>
    <font>
      <sz val="10"/>
      <name val="Verdana"/>
      <family val="2"/>
    </font>
    <font>
      <b/>
      <sz val="9"/>
      <color indexed="8"/>
      <name val="Arial"/>
      <family val="2"/>
    </font>
    <font>
      <b/>
      <i/>
      <sz val="11"/>
      <name val="Arial"/>
      <family val="2"/>
    </font>
  </fonts>
  <fills count="12">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tint="-0.14999847407452621"/>
        <bgColor rgb="FFCCCCFF"/>
      </patternFill>
    </fill>
    <fill>
      <patternFill patternType="solid">
        <fgColor theme="0" tint="-0.14999847407452621"/>
        <bgColor indexed="64"/>
      </patternFill>
    </fill>
    <fill>
      <patternFill patternType="solid">
        <fgColor theme="7" tint="0.39997558519241921"/>
        <bgColor indexed="64"/>
      </patternFill>
    </fill>
    <fill>
      <patternFill patternType="solid">
        <fgColor rgb="FF00B050"/>
        <bgColor indexed="64"/>
      </patternFill>
    </fill>
    <fill>
      <patternFill patternType="solid">
        <fgColor rgb="FF92D050"/>
        <bgColor indexed="64"/>
      </patternFill>
    </fill>
    <fill>
      <patternFill patternType="solid">
        <fgColor indexed="11"/>
      </patternFill>
    </fill>
    <fill>
      <patternFill patternType="solid">
        <fgColor theme="4" tint="0.59999389629810485"/>
        <bgColor indexed="64"/>
      </patternFill>
    </fill>
  </fills>
  <borders count="7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style="double">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double">
        <color indexed="64"/>
      </top>
      <bottom style="double">
        <color indexed="64"/>
      </bottom>
      <diagonal/>
    </border>
    <border>
      <left/>
      <right style="thin">
        <color indexed="64"/>
      </right>
      <top style="double">
        <color indexed="64"/>
      </top>
      <bottom style="double">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61">
    <xf numFmtId="0" fontId="0" fillId="0" borderId="0"/>
    <xf numFmtId="43" fontId="6" fillId="0" borderId="0" applyFont="0" applyFill="0" applyBorder="0" applyAlignment="0" applyProtection="0"/>
    <xf numFmtId="165" fontId="7"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0" fontId="5" fillId="0" borderId="0"/>
    <xf numFmtId="9" fontId="7" fillId="0" borderId="0" applyFont="0" applyFill="0" applyBorder="0" applyAlignment="0" applyProtection="0"/>
    <xf numFmtId="0" fontId="5" fillId="0" borderId="0"/>
    <xf numFmtId="165"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0" fontId="5" fillId="0" borderId="0"/>
    <xf numFmtId="0" fontId="4"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7" fillId="0" borderId="0">
      <alignment vertical="top"/>
    </xf>
    <xf numFmtId="0" fontId="17" fillId="0" borderId="0">
      <alignment vertical="top"/>
    </xf>
    <xf numFmtId="0" fontId="5" fillId="0" borderId="0" applyNumberFormat="0" applyFill="0" applyBorder="0" applyAlignment="0" applyProtection="0"/>
    <xf numFmtId="0" fontId="18" fillId="0" borderId="0">
      <alignment vertical="top"/>
    </xf>
    <xf numFmtId="43" fontId="17" fillId="0" borderId="0" applyFont="0" applyFill="0" applyBorder="0" applyAlignment="0" applyProtection="0"/>
    <xf numFmtId="0" fontId="19" fillId="0" borderId="0"/>
    <xf numFmtId="169" fontId="19" fillId="0" borderId="0" applyBorder="0" applyProtection="0"/>
    <xf numFmtId="9" fontId="19" fillId="0" borderId="0" applyBorder="0" applyProtection="0"/>
    <xf numFmtId="168" fontId="19" fillId="0" borderId="0" applyBorder="0" applyProtection="0"/>
    <xf numFmtId="0" fontId="3" fillId="0" borderId="0"/>
    <xf numFmtId="164" fontId="3" fillId="0" borderId="0" applyFont="0" applyFill="0" applyBorder="0" applyAlignment="0" applyProtection="0"/>
    <xf numFmtId="0" fontId="5" fillId="0" borderId="0" applyNumberFormat="0" applyFill="0" applyBorder="0" applyAlignment="0" applyProtection="0"/>
    <xf numFmtId="0" fontId="5" fillId="0" borderId="0"/>
    <xf numFmtId="0" fontId="5" fillId="0" borderId="0"/>
    <xf numFmtId="165" fontId="5" fillId="0" borderId="0" applyFont="0" applyFill="0" applyBorder="0" applyAlignment="0" applyProtection="0"/>
    <xf numFmtId="170" fontId="20" fillId="0" borderId="0" applyFont="0" applyBorder="0" applyProtection="0"/>
    <xf numFmtId="0" fontId="21" fillId="0" borderId="0"/>
    <xf numFmtId="43" fontId="21" fillId="0" borderId="0" applyFont="0" applyFill="0" applyBorder="0" applyAlignment="0" applyProtection="0"/>
    <xf numFmtId="0" fontId="42" fillId="0" borderId="0"/>
    <xf numFmtId="43" fontId="42" fillId="0" borderId="0" applyProtection="0"/>
    <xf numFmtId="165" fontId="42" fillId="0" borderId="0" applyProtection="0"/>
    <xf numFmtId="9" fontId="45" fillId="0" borderId="0" applyFont="0" applyFill="0" applyBorder="0" applyAlignment="0" applyProtection="0"/>
    <xf numFmtId="0" fontId="5" fillId="0" borderId="0"/>
    <xf numFmtId="0" fontId="2" fillId="0" borderId="0"/>
    <xf numFmtId="43" fontId="5" fillId="0" borderId="0" applyFont="0" applyFill="0" applyBorder="0" applyAlignment="0" applyProtection="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7" fillId="0" borderId="0">
      <alignment vertical="top"/>
    </xf>
    <xf numFmtId="43" fontId="17" fillId="0" borderId="0" applyFont="0" applyFill="0" applyBorder="0" applyAlignment="0" applyProtection="0"/>
    <xf numFmtId="0" fontId="1" fillId="0" borderId="0"/>
    <xf numFmtId="164" fontId="1" fillId="0" borderId="0" applyFont="0" applyFill="0" applyBorder="0" applyAlignment="0" applyProtection="0"/>
    <xf numFmtId="43" fontId="5" fillId="0" borderId="0" applyFont="0" applyFill="0" applyBorder="0" applyAlignment="0" applyProtection="0"/>
    <xf numFmtId="43" fontId="21" fillId="0" borderId="0" applyFont="0" applyFill="0" applyBorder="0" applyAlignment="0" applyProtection="0"/>
    <xf numFmtId="43" fontId="42" fillId="0" borderId="0" applyProtection="0"/>
    <xf numFmtId="0" fontId="1" fillId="0" borderId="0"/>
  </cellStyleXfs>
  <cellXfs count="901">
    <xf numFmtId="0" fontId="0" fillId="0" borderId="0" xfId="0"/>
    <xf numFmtId="0" fontId="14" fillId="0" borderId="0" xfId="0" applyFont="1"/>
    <xf numFmtId="0" fontId="5" fillId="0" borderId="0" xfId="0" applyFont="1"/>
    <xf numFmtId="0" fontId="9" fillId="0" borderId="0" xfId="0" applyFont="1"/>
    <xf numFmtId="0" fontId="11" fillId="0" borderId="0" xfId="0" applyFont="1"/>
    <xf numFmtId="167" fontId="14" fillId="0" borderId="0" xfId="1" applyNumberFormat="1" applyFont="1"/>
    <xf numFmtId="0" fontId="13" fillId="0" borderId="0" xfId="0" applyFont="1"/>
    <xf numFmtId="0" fontId="26" fillId="0" borderId="0" xfId="0" applyFont="1"/>
    <xf numFmtId="4" fontId="9" fillId="0" borderId="0" xfId="0" applyNumberFormat="1" applyFont="1"/>
    <xf numFmtId="167" fontId="9" fillId="0" borderId="0" xfId="0" applyNumberFormat="1" applyFont="1"/>
    <xf numFmtId="167" fontId="14" fillId="0" borderId="0" xfId="0" applyNumberFormat="1" applyFont="1"/>
    <xf numFmtId="4" fontId="0" fillId="0" borderId="0" xfId="0" applyNumberFormat="1"/>
    <xf numFmtId="0" fontId="25" fillId="0" borderId="0" xfId="0" applyFont="1" applyAlignment="1">
      <alignment vertical="top"/>
    </xf>
    <xf numFmtId="0" fontId="16" fillId="0" borderId="0" xfId="0" applyFont="1" applyAlignment="1">
      <alignment horizontal="left" vertical="top"/>
    </xf>
    <xf numFmtId="0" fontId="10" fillId="0" borderId="0" xfId="0" applyFont="1"/>
    <xf numFmtId="0" fontId="22" fillId="0" borderId="0" xfId="0" applyFont="1" applyAlignment="1">
      <alignment vertical="top"/>
    </xf>
    <xf numFmtId="0" fontId="9" fillId="0" borderId="0" xfId="0" applyFont="1" applyAlignment="1">
      <alignment vertical="top"/>
    </xf>
    <xf numFmtId="0" fontId="23" fillId="0" borderId="0" xfId="0" applyFont="1" applyAlignment="1">
      <alignment vertical="top"/>
    </xf>
    <xf numFmtId="0" fontId="24" fillId="0" borderId="0" xfId="0" applyFont="1" applyAlignment="1">
      <alignment vertical="top"/>
    </xf>
    <xf numFmtId="0" fontId="26" fillId="0" borderId="0" xfId="0" applyFont="1" applyAlignment="1">
      <alignment vertical="top"/>
    </xf>
    <xf numFmtId="4" fontId="14" fillId="0" borderId="0" xfId="0" applyNumberFormat="1" applyFont="1"/>
    <xf numFmtId="0" fontId="37" fillId="0" borderId="0" xfId="0" applyFont="1" applyAlignment="1">
      <alignment horizontal="left" vertical="top" wrapText="1"/>
    </xf>
    <xf numFmtId="0" fontId="36" fillId="4" borderId="0" xfId="0" applyFont="1" applyFill="1"/>
    <xf numFmtId="0" fontId="0" fillId="4" borderId="0" xfId="0" applyFill="1"/>
    <xf numFmtId="0" fontId="5" fillId="4" borderId="0" xfId="0" applyFont="1" applyFill="1"/>
    <xf numFmtId="14" fontId="11" fillId="0" borderId="0" xfId="0" applyNumberFormat="1" applyFont="1"/>
    <xf numFmtId="4" fontId="11" fillId="0" borderId="0" xfId="0" applyNumberFormat="1" applyFont="1"/>
    <xf numFmtId="166" fontId="14" fillId="0" borderId="0" xfId="0" applyNumberFormat="1" applyFont="1"/>
    <xf numFmtId="0" fontId="40" fillId="0" borderId="0" xfId="0" applyFont="1" applyAlignment="1">
      <alignment horizontal="left" vertical="top"/>
    </xf>
    <xf numFmtId="0" fontId="40" fillId="4" borderId="0" xfId="0" applyFont="1" applyFill="1" applyAlignment="1">
      <alignment horizontal="left" vertical="top"/>
    </xf>
    <xf numFmtId="0" fontId="13" fillId="0" borderId="0" xfId="0" applyFont="1" applyAlignment="1">
      <alignment vertical="center"/>
    </xf>
    <xf numFmtId="0" fontId="14" fillId="8" borderId="0" xfId="0" applyFont="1" applyFill="1"/>
    <xf numFmtId="0" fontId="9" fillId="8" borderId="0" xfId="0" applyFont="1" applyFill="1"/>
    <xf numFmtId="0" fontId="41" fillId="3" borderId="0" xfId="0" applyFont="1" applyFill="1" applyAlignment="1">
      <alignment horizontal="left" vertical="top"/>
    </xf>
    <xf numFmtId="3" fontId="9" fillId="0" borderId="0" xfId="0" applyNumberFormat="1" applyFont="1"/>
    <xf numFmtId="0" fontId="5" fillId="4" borderId="0" xfId="0" applyFont="1" applyFill="1" applyAlignment="1">
      <alignment horizontal="left" indent="1"/>
    </xf>
    <xf numFmtId="0" fontId="16" fillId="3" borderId="0" xfId="0" applyFont="1" applyFill="1" applyAlignment="1">
      <alignment horizontal="left" vertical="top"/>
    </xf>
    <xf numFmtId="0" fontId="5" fillId="4" borderId="0" xfId="0" applyFont="1" applyFill="1" applyAlignment="1">
      <alignment horizontal="left"/>
    </xf>
    <xf numFmtId="0" fontId="0" fillId="4" borderId="0" xfId="0" applyFill="1" applyAlignment="1">
      <alignment horizontal="left" indent="1"/>
    </xf>
    <xf numFmtId="0" fontId="16" fillId="9" borderId="0" xfId="0" applyFont="1" applyFill="1" applyAlignment="1">
      <alignment horizontal="left" vertical="top"/>
    </xf>
    <xf numFmtId="4" fontId="34" fillId="0" borderId="0" xfId="0" applyNumberFormat="1" applyFont="1"/>
    <xf numFmtId="0" fontId="53" fillId="0" borderId="0" xfId="0" applyFont="1"/>
    <xf numFmtId="4" fontId="53" fillId="0" borderId="0" xfId="0" applyNumberFormat="1" applyFont="1"/>
    <xf numFmtId="165" fontId="13" fillId="0" borderId="0" xfId="1" applyNumberFormat="1" applyFont="1" applyFill="1" applyBorder="1" applyAlignment="1">
      <alignment horizontal="center" vertical="center"/>
    </xf>
    <xf numFmtId="165" fontId="13" fillId="0" borderId="35" xfId="1" applyNumberFormat="1" applyFont="1" applyFill="1" applyBorder="1" applyAlignment="1">
      <alignment horizontal="center" vertical="center"/>
    </xf>
    <xf numFmtId="165" fontId="14" fillId="0" borderId="4" xfId="1" applyNumberFormat="1" applyFont="1" applyFill="1" applyBorder="1"/>
    <xf numFmtId="165" fontId="14" fillId="0" borderId="27" xfId="1" applyNumberFormat="1" applyFont="1" applyFill="1" applyBorder="1"/>
    <xf numFmtId="165" fontId="14" fillId="0" borderId="41" xfId="1" applyNumberFormat="1" applyFont="1" applyFill="1" applyBorder="1"/>
    <xf numFmtId="165" fontId="16" fillId="0" borderId="34" xfId="1" applyNumberFormat="1" applyFont="1" applyFill="1" applyBorder="1" applyAlignment="1">
      <alignment vertical="top"/>
    </xf>
    <xf numFmtId="165" fontId="16" fillId="0" borderId="41" xfId="1" applyNumberFormat="1" applyFont="1" applyFill="1" applyBorder="1" applyAlignment="1">
      <alignment vertical="top"/>
    </xf>
    <xf numFmtId="165" fontId="25" fillId="0" borderId="41" xfId="4" applyNumberFormat="1" applyFont="1" applyBorder="1" applyAlignment="1">
      <alignment vertical="top"/>
    </xf>
    <xf numFmtId="165" fontId="25" fillId="0" borderId="42" xfId="4" applyNumberFormat="1" applyFont="1" applyBorder="1" applyAlignment="1">
      <alignment vertical="top"/>
    </xf>
    <xf numFmtId="165" fontId="25" fillId="0" borderId="34" xfId="1" applyNumberFormat="1" applyFont="1" applyFill="1" applyBorder="1" applyAlignment="1">
      <alignment vertical="top"/>
    </xf>
    <xf numFmtId="165" fontId="16" fillId="0" borderId="41" xfId="4" applyNumberFormat="1" applyFont="1" applyBorder="1" applyAlignment="1">
      <alignment vertical="top"/>
    </xf>
    <xf numFmtId="165" fontId="25" fillId="0" borderId="36" xfId="1" applyNumberFormat="1" applyFont="1" applyFill="1" applyBorder="1" applyAlignment="1">
      <alignment vertical="top"/>
    </xf>
    <xf numFmtId="165" fontId="25" fillId="0" borderId="43" xfId="4" applyNumberFormat="1" applyFont="1" applyBorder="1" applyAlignment="1">
      <alignment vertical="top"/>
    </xf>
    <xf numFmtId="165" fontId="25" fillId="0" borderId="36" xfId="4" applyNumberFormat="1" applyFont="1" applyBorder="1" applyAlignment="1">
      <alignment vertical="top"/>
    </xf>
    <xf numFmtId="165" fontId="14" fillId="0" borderId="0" xfId="0" applyNumberFormat="1" applyFont="1"/>
    <xf numFmtId="165" fontId="14" fillId="0" borderId="0" xfId="1" applyNumberFormat="1" applyFont="1"/>
    <xf numFmtId="165" fontId="10" fillId="3" borderId="0" xfId="0" applyNumberFormat="1" applyFont="1" applyFill="1"/>
    <xf numFmtId="165" fontId="10" fillId="7" borderId="0" xfId="0" applyNumberFormat="1" applyFont="1" applyFill="1"/>
    <xf numFmtId="165" fontId="13" fillId="3" borderId="0" xfId="0" applyNumberFormat="1" applyFont="1" applyFill="1"/>
    <xf numFmtId="165" fontId="13" fillId="7" borderId="0" xfId="0" applyNumberFormat="1" applyFont="1" applyFill="1"/>
    <xf numFmtId="165" fontId="0" fillId="0" borderId="0" xfId="0" applyNumberFormat="1"/>
    <xf numFmtId="165" fontId="0" fillId="0" borderId="0" xfId="1" applyNumberFormat="1" applyFont="1"/>
    <xf numFmtId="165" fontId="14" fillId="0" borderId="0" xfId="21" applyNumberFormat="1" applyFont="1" applyFill="1"/>
    <xf numFmtId="165" fontId="0" fillId="0" borderId="0" xfId="1" applyNumberFormat="1" applyFont="1" applyFill="1"/>
    <xf numFmtId="165" fontId="37" fillId="0" borderId="0" xfId="1" applyNumberFormat="1" applyFont="1" applyFill="1" applyAlignment="1">
      <alignment horizontal="left" vertical="top" wrapText="1"/>
    </xf>
    <xf numFmtId="0" fontId="5" fillId="0" borderId="0" xfId="11"/>
    <xf numFmtId="0" fontId="53" fillId="0" borderId="2" xfId="11" applyFont="1" applyBorder="1"/>
    <xf numFmtId="0" fontId="5" fillId="0" borderId="2" xfId="11" applyBorder="1"/>
    <xf numFmtId="14" fontId="5" fillId="0" borderId="2" xfId="11" applyNumberFormat="1" applyBorder="1"/>
    <xf numFmtId="0" fontId="54" fillId="0" borderId="2" xfId="11" applyFont="1" applyBorder="1"/>
    <xf numFmtId="0" fontId="5" fillId="4" borderId="0" xfId="0" applyFont="1" applyFill="1" applyAlignment="1">
      <alignment wrapText="1"/>
    </xf>
    <xf numFmtId="4" fontId="0" fillId="4" borderId="0" xfId="1" applyNumberFormat="1" applyFont="1" applyFill="1"/>
    <xf numFmtId="4" fontId="53" fillId="4" borderId="0" xfId="1" applyNumberFormat="1" applyFont="1" applyFill="1"/>
    <xf numFmtId="4" fontId="36" fillId="4" borderId="0" xfId="1" applyNumberFormat="1" applyFont="1" applyFill="1"/>
    <xf numFmtId="4" fontId="0" fillId="4" borderId="0" xfId="21" applyNumberFormat="1" applyFont="1" applyFill="1"/>
    <xf numFmtId="167" fontId="0" fillId="4" borderId="0" xfId="21" applyNumberFormat="1" applyFont="1" applyFill="1"/>
    <xf numFmtId="4" fontId="5" fillId="4" borderId="0" xfId="21" applyNumberFormat="1" applyFont="1" applyFill="1"/>
    <xf numFmtId="166" fontId="14" fillId="0" borderId="0" xfId="1" applyNumberFormat="1" applyFont="1"/>
    <xf numFmtId="166" fontId="10" fillId="7" borderId="0" xfId="1" applyNumberFormat="1" applyFont="1" applyFill="1"/>
    <xf numFmtId="166" fontId="13" fillId="7" borderId="0" xfId="1" applyNumberFormat="1" applyFont="1" applyFill="1"/>
    <xf numFmtId="166" fontId="0" fillId="0" borderId="0" xfId="0" applyNumberFormat="1"/>
    <xf numFmtId="166" fontId="0" fillId="0" borderId="0" xfId="1" applyNumberFormat="1" applyFont="1"/>
    <xf numFmtId="165" fontId="14" fillId="0" borderId="0" xfId="1" applyNumberFormat="1" applyFont="1" applyFill="1" applyBorder="1"/>
    <xf numFmtId="165" fontId="31" fillId="0" borderId="36" xfId="0" applyNumberFormat="1" applyFont="1" applyBorder="1" applyAlignment="1">
      <alignment horizontal="center"/>
    </xf>
    <xf numFmtId="165" fontId="31" fillId="0" borderId="13" xfId="0" applyNumberFormat="1" applyFont="1" applyBorder="1" applyAlignment="1">
      <alignment horizontal="center"/>
    </xf>
    <xf numFmtId="165" fontId="48" fillId="0" borderId="37" xfId="0" applyNumberFormat="1" applyFont="1" applyBorder="1" applyAlignment="1">
      <alignment horizontal="right"/>
    </xf>
    <xf numFmtId="165" fontId="13" fillId="0" borderId="32" xfId="1" applyNumberFormat="1" applyFont="1" applyFill="1" applyBorder="1" applyAlignment="1">
      <alignment horizontal="center"/>
    </xf>
    <xf numFmtId="165" fontId="13" fillId="0" borderId="33" xfId="1" applyNumberFormat="1" applyFont="1" applyFill="1" applyBorder="1" applyAlignment="1">
      <alignment horizontal="center"/>
    </xf>
    <xf numFmtId="165" fontId="13" fillId="0" borderId="13" xfId="1" applyNumberFormat="1" applyFont="1" applyFill="1" applyBorder="1" applyAlignment="1">
      <alignment horizontal="center"/>
    </xf>
    <xf numFmtId="165" fontId="13" fillId="0" borderId="37" xfId="1" applyNumberFormat="1" applyFont="1" applyFill="1" applyBorder="1" applyAlignment="1">
      <alignment horizontal="center"/>
    </xf>
    <xf numFmtId="165" fontId="14" fillId="0" borderId="34" xfId="0" applyNumberFormat="1" applyFont="1" applyBorder="1"/>
    <xf numFmtId="165" fontId="14" fillId="0" borderId="35" xfId="0" applyNumberFormat="1" applyFont="1" applyBorder="1"/>
    <xf numFmtId="165" fontId="13" fillId="0" borderId="34" xfId="0" applyNumberFormat="1" applyFont="1" applyBorder="1"/>
    <xf numFmtId="165" fontId="13" fillId="0" borderId="0" xfId="0" applyNumberFormat="1" applyFont="1"/>
    <xf numFmtId="165" fontId="13" fillId="0" borderId="35" xfId="0" applyNumberFormat="1" applyFont="1" applyBorder="1"/>
    <xf numFmtId="165" fontId="14" fillId="0" borderId="35" xfId="1" applyNumberFormat="1" applyFont="1" applyFill="1" applyBorder="1"/>
    <xf numFmtId="165" fontId="34" fillId="0" borderId="34" xfId="0" applyNumberFormat="1" applyFont="1" applyBorder="1"/>
    <xf numFmtId="165" fontId="14" fillId="0" borderId="35" xfId="2" applyFont="1" applyFill="1" applyBorder="1"/>
    <xf numFmtId="165" fontId="13" fillId="0" borderId="5" xfId="1" applyNumberFormat="1" applyFont="1" applyFill="1" applyBorder="1"/>
    <xf numFmtId="165" fontId="13" fillId="0" borderId="38" xfId="1" applyNumberFormat="1" applyFont="1" applyFill="1" applyBorder="1"/>
    <xf numFmtId="165" fontId="14" fillId="0" borderId="34" xfId="0" applyNumberFormat="1" applyFont="1" applyBorder="1" applyAlignment="1">
      <alignment wrapText="1"/>
    </xf>
    <xf numFmtId="165" fontId="16" fillId="0" borderId="34" xfId="4" applyNumberFormat="1" applyFont="1" applyBorder="1" applyAlignment="1">
      <alignment vertical="top"/>
    </xf>
    <xf numFmtId="165" fontId="16" fillId="0" borderId="35" xfId="4" applyNumberFormat="1" applyFont="1" applyBorder="1" applyAlignment="1">
      <alignment vertical="top"/>
    </xf>
    <xf numFmtId="165" fontId="14" fillId="0" borderId="36" xfId="0" applyNumberFormat="1" applyFont="1" applyBorder="1" applyAlignment="1">
      <alignment wrapText="1"/>
    </xf>
    <xf numFmtId="165" fontId="14" fillId="0" borderId="13" xfId="0" applyNumberFormat="1" applyFont="1" applyBorder="1" applyAlignment="1">
      <alignment wrapText="1"/>
    </xf>
    <xf numFmtId="165" fontId="14" fillId="0" borderId="37" xfId="0" applyNumberFormat="1" applyFont="1" applyBorder="1" applyAlignment="1">
      <alignment wrapText="1"/>
    </xf>
    <xf numFmtId="165" fontId="9" fillId="0" borderId="0" xfId="0" applyNumberFormat="1" applyFont="1"/>
    <xf numFmtId="165" fontId="28" fillId="0" borderId="0" xfId="0" applyNumberFormat="1" applyFont="1" applyAlignment="1">
      <alignment horizontal="center"/>
    </xf>
    <xf numFmtId="165" fontId="31" fillId="0" borderId="0" xfId="0" applyNumberFormat="1" applyFont="1" applyAlignment="1">
      <alignment horizontal="center"/>
    </xf>
    <xf numFmtId="165" fontId="33" fillId="0" borderId="0" xfId="0" applyNumberFormat="1" applyFont="1" applyAlignment="1">
      <alignment horizontal="right"/>
    </xf>
    <xf numFmtId="165" fontId="13" fillId="0" borderId="31" xfId="0" applyNumberFormat="1" applyFont="1" applyBorder="1" applyAlignment="1">
      <alignment horizontal="left" vertical="center"/>
    </xf>
    <xf numFmtId="165" fontId="13" fillId="0" borderId="32" xfId="0" applyNumberFormat="1" applyFont="1" applyBorder="1" applyAlignment="1">
      <alignment horizontal="left" vertical="center"/>
    </xf>
    <xf numFmtId="165" fontId="13" fillId="0" borderId="32" xfId="3" applyFont="1" applyFill="1" applyBorder="1" applyAlignment="1">
      <alignment horizontal="center"/>
    </xf>
    <xf numFmtId="165" fontId="13" fillId="0" borderId="33" xfId="3" applyFont="1" applyFill="1" applyBorder="1" applyAlignment="1">
      <alignment horizontal="center"/>
    </xf>
    <xf numFmtId="165" fontId="13" fillId="0" borderId="0" xfId="3" applyFont="1" applyFill="1" applyBorder="1" applyAlignment="1">
      <alignment horizontal="center"/>
    </xf>
    <xf numFmtId="165" fontId="13" fillId="0" borderId="36" xfId="0" applyNumberFormat="1" applyFont="1" applyBorder="1" applyAlignment="1">
      <alignment horizontal="left" vertical="center"/>
    </xf>
    <xf numFmtId="165" fontId="13" fillId="0" borderId="13" xfId="0" applyNumberFormat="1" applyFont="1" applyBorder="1" applyAlignment="1">
      <alignment horizontal="left" vertical="center"/>
    </xf>
    <xf numFmtId="165" fontId="13" fillId="0" borderId="13" xfId="3" applyFont="1" applyFill="1" applyBorder="1" applyAlignment="1">
      <alignment horizontal="center"/>
    </xf>
    <xf numFmtId="165" fontId="13" fillId="0" borderId="37" xfId="3" applyFont="1" applyFill="1" applyBorder="1" applyAlignment="1">
      <alignment horizontal="center"/>
    </xf>
    <xf numFmtId="165" fontId="14" fillId="0" borderId="31" xfId="0" applyNumberFormat="1" applyFont="1" applyBorder="1"/>
    <xf numFmtId="165" fontId="14" fillId="0" borderId="32" xfId="0" applyNumberFormat="1" applyFont="1" applyBorder="1" applyAlignment="1">
      <alignment horizontal="center"/>
    </xf>
    <xf numFmtId="165" fontId="14" fillId="0" borderId="33" xfId="0" applyNumberFormat="1" applyFont="1" applyBorder="1" applyAlignment="1">
      <alignment horizontal="center"/>
    </xf>
    <xf numFmtId="165" fontId="28" fillId="0" borderId="34" xfId="0" applyNumberFormat="1" applyFont="1" applyBorder="1"/>
    <xf numFmtId="165" fontId="30" fillId="0" borderId="35" xfId="0" applyNumberFormat="1" applyFont="1" applyBorder="1" applyAlignment="1">
      <alignment horizontal="center"/>
    </xf>
    <xf numFmtId="165" fontId="14" fillId="0" borderId="34" xfId="0" applyNumberFormat="1" applyFont="1" applyBorder="1" applyAlignment="1">
      <alignment horizontal="left" vertical="center"/>
    </xf>
    <xf numFmtId="165" fontId="14" fillId="0" borderId="0" xfId="0" applyNumberFormat="1" applyFont="1" applyAlignment="1">
      <alignment horizontal="center"/>
    </xf>
    <xf numFmtId="165" fontId="14" fillId="0" borderId="0" xfId="3" applyFont="1" applyFill="1" applyBorder="1"/>
    <xf numFmtId="165" fontId="14" fillId="0" borderId="34" xfId="0" applyNumberFormat="1" applyFont="1" applyBorder="1" applyAlignment="1">
      <alignment horizontal="left"/>
    </xf>
    <xf numFmtId="165" fontId="13" fillId="0" borderId="9" xfId="1" applyNumberFormat="1" applyFont="1" applyFill="1" applyBorder="1"/>
    <xf numFmtId="165" fontId="13" fillId="0" borderId="66" xfId="1" applyNumberFormat="1" applyFont="1" applyFill="1" applyBorder="1"/>
    <xf numFmtId="165" fontId="13" fillId="0" borderId="0" xfId="1" applyNumberFormat="1" applyFont="1" applyFill="1" applyBorder="1"/>
    <xf numFmtId="165" fontId="13" fillId="0" borderId="35" xfId="1" applyNumberFormat="1" applyFont="1" applyFill="1" applyBorder="1"/>
    <xf numFmtId="165" fontId="30" fillId="0" borderId="35" xfId="1" applyNumberFormat="1" applyFont="1" applyBorder="1" applyAlignment="1">
      <alignment horizontal="center"/>
    </xf>
    <xf numFmtId="165" fontId="14" fillId="0" borderId="34" xfId="0" applyNumberFormat="1" applyFont="1" applyBorder="1" applyAlignment="1">
      <alignment horizontal="left" indent="1"/>
    </xf>
    <xf numFmtId="165" fontId="48" fillId="0" borderId="14" xfId="0" applyNumberFormat="1" applyFont="1" applyBorder="1"/>
    <xf numFmtId="165" fontId="48" fillId="0" borderId="2" xfId="0" applyNumberFormat="1" applyFont="1" applyBorder="1"/>
    <xf numFmtId="165" fontId="9" fillId="0" borderId="2" xfId="0" applyNumberFormat="1" applyFont="1" applyBorder="1"/>
    <xf numFmtId="165" fontId="14" fillId="0" borderId="35" xfId="1" applyNumberFormat="1" applyFont="1" applyBorder="1" applyAlignment="1">
      <alignment horizontal="center"/>
    </xf>
    <xf numFmtId="165" fontId="9" fillId="0" borderId="0" xfId="1" applyNumberFormat="1" applyFont="1"/>
    <xf numFmtId="165" fontId="9" fillId="0" borderId="2" xfId="1" applyNumberFormat="1" applyFont="1" applyBorder="1"/>
    <xf numFmtId="165" fontId="13" fillId="0" borderId="34" xfId="0" applyNumberFormat="1" applyFont="1" applyBorder="1" applyAlignment="1">
      <alignment horizontal="center"/>
    </xf>
    <xf numFmtId="165" fontId="48" fillId="0" borderId="2" xfId="1" applyNumberFormat="1" applyFont="1" applyBorder="1"/>
    <xf numFmtId="165" fontId="14" fillId="0" borderId="0" xfId="1" applyNumberFormat="1" applyFont="1" applyFill="1" applyBorder="1" applyAlignment="1">
      <alignment horizontal="center"/>
    </xf>
    <xf numFmtId="165" fontId="14" fillId="0" borderId="35" xfId="1" applyNumberFormat="1" applyFont="1" applyFill="1" applyBorder="1" applyAlignment="1">
      <alignment horizontal="center"/>
    </xf>
    <xf numFmtId="165" fontId="14" fillId="0" borderId="36" xfId="0" applyNumberFormat="1" applyFont="1" applyBorder="1"/>
    <xf numFmtId="165" fontId="14" fillId="0" borderId="13" xfId="0" applyNumberFormat="1" applyFont="1" applyBorder="1" applyAlignment="1">
      <alignment horizontal="center"/>
    </xf>
    <xf numFmtId="165" fontId="14" fillId="0" borderId="37" xfId="0" applyNumberFormat="1" applyFont="1" applyBorder="1" applyAlignment="1">
      <alignment horizontal="center"/>
    </xf>
    <xf numFmtId="165" fontId="14" fillId="0" borderId="35" xfId="0" applyNumberFormat="1" applyFont="1" applyBorder="1" applyAlignment="1">
      <alignment horizontal="center"/>
    </xf>
    <xf numFmtId="165" fontId="14" fillId="0" borderId="34" xfId="1" applyNumberFormat="1" applyFont="1" applyFill="1" applyBorder="1" applyAlignment="1"/>
    <xf numFmtId="165" fontId="26" fillId="0" borderId="0" xfId="0" applyNumberFormat="1" applyFont="1"/>
    <xf numFmtId="165" fontId="13" fillId="0" borderId="34" xfId="1" applyNumberFormat="1" applyFont="1" applyFill="1" applyBorder="1" applyAlignment="1"/>
    <xf numFmtId="165" fontId="14" fillId="0" borderId="34" xfId="1" applyNumberFormat="1" applyFont="1" applyFill="1" applyBorder="1"/>
    <xf numFmtId="165" fontId="13" fillId="0" borderId="34" xfId="1" applyNumberFormat="1" applyFont="1" applyFill="1" applyBorder="1" applyAlignment="1">
      <alignment horizontal="left"/>
    </xf>
    <xf numFmtId="165" fontId="13" fillId="0" borderId="35" xfId="0" applyNumberFormat="1" applyFont="1" applyBorder="1" applyAlignment="1">
      <alignment horizontal="left"/>
    </xf>
    <xf numFmtId="165" fontId="14" fillId="0" borderId="0" xfId="0" applyNumberFormat="1" applyFont="1" applyAlignment="1">
      <alignment horizontal="left"/>
    </xf>
    <xf numFmtId="165" fontId="9" fillId="0" borderId="0" xfId="0" applyNumberFormat="1" applyFont="1" applyAlignment="1">
      <alignment horizontal="center"/>
    </xf>
    <xf numFmtId="165" fontId="14" fillId="0" borderId="35" xfId="0" applyNumberFormat="1" applyFont="1" applyBorder="1" applyAlignment="1">
      <alignment horizontal="left"/>
    </xf>
    <xf numFmtId="165" fontId="9" fillId="0" borderId="0" xfId="1" applyNumberFormat="1" applyFont="1" applyFill="1"/>
    <xf numFmtId="165" fontId="9" fillId="0" borderId="0" xfId="11" applyNumberFormat="1" applyFont="1"/>
    <xf numFmtId="165" fontId="13" fillId="0" borderId="34" xfId="11" applyNumberFormat="1" applyFont="1" applyBorder="1"/>
    <xf numFmtId="165" fontId="13" fillId="0" borderId="0" xfId="11" applyNumberFormat="1" applyFont="1"/>
    <xf numFmtId="165" fontId="13" fillId="0" borderId="35" xfId="11" applyNumberFormat="1" applyFont="1" applyBorder="1"/>
    <xf numFmtId="165" fontId="14" fillId="0" borderId="0" xfId="11" applyNumberFormat="1" applyFont="1"/>
    <xf numFmtId="165" fontId="14" fillId="0" borderId="35" xfId="11" applyNumberFormat="1" applyFont="1" applyBorder="1"/>
    <xf numFmtId="165" fontId="14" fillId="0" borderId="31" xfId="11" applyNumberFormat="1" applyFont="1" applyBorder="1"/>
    <xf numFmtId="165" fontId="14" fillId="0" borderId="32" xfId="11" applyNumberFormat="1" applyFont="1" applyBorder="1"/>
    <xf numFmtId="165" fontId="14" fillId="0" borderId="33" xfId="11" applyNumberFormat="1" applyFont="1" applyBorder="1"/>
    <xf numFmtId="165" fontId="14" fillId="0" borderId="34" xfId="11" applyNumberFormat="1" applyFont="1" applyBorder="1"/>
    <xf numFmtId="165" fontId="14" fillId="0" borderId="0" xfId="9" applyFont="1" applyBorder="1"/>
    <xf numFmtId="165" fontId="14" fillId="0" borderId="35" xfId="9" applyFont="1" applyBorder="1"/>
    <xf numFmtId="165" fontId="14" fillId="0" borderId="34" xfId="11" applyNumberFormat="1" applyFont="1" applyBorder="1" applyAlignment="1">
      <alignment horizontal="right"/>
    </xf>
    <xf numFmtId="165" fontId="14" fillId="0" borderId="0" xfId="11" applyNumberFormat="1" applyFont="1" applyAlignment="1">
      <alignment horizontal="left" indent="1"/>
    </xf>
    <xf numFmtId="165" fontId="14" fillId="0" borderId="6" xfId="9" applyFont="1" applyBorder="1"/>
    <xf numFmtId="165" fontId="14" fillId="0" borderId="39" xfId="9" applyFont="1" applyBorder="1"/>
    <xf numFmtId="165" fontId="9" fillId="0" borderId="35" xfId="11" applyNumberFormat="1" applyFont="1" applyBorder="1"/>
    <xf numFmtId="165" fontId="9" fillId="0" borderId="34" xfId="11" applyNumberFormat="1" applyFont="1" applyBorder="1"/>
    <xf numFmtId="165" fontId="14" fillId="0" borderId="39" xfId="9" applyFont="1" applyBorder="1" applyAlignment="1">
      <alignment horizontal="center"/>
    </xf>
    <xf numFmtId="165" fontId="14" fillId="0" borderId="35" xfId="21" applyNumberFormat="1" applyFont="1" applyFill="1" applyBorder="1"/>
    <xf numFmtId="165" fontId="52" fillId="0" borderId="0" xfId="11" applyNumberFormat="1" applyFont="1"/>
    <xf numFmtId="165" fontId="11" fillId="0" borderId="0" xfId="11" applyNumberFormat="1" applyFont="1"/>
    <xf numFmtId="165" fontId="11" fillId="0" borderId="0" xfId="21" applyNumberFormat="1" applyFont="1" applyBorder="1"/>
    <xf numFmtId="165" fontId="14" fillId="0" borderId="35" xfId="9" applyFont="1" applyFill="1" applyBorder="1"/>
    <xf numFmtId="165" fontId="52" fillId="0" borderId="31" xfId="11" applyNumberFormat="1" applyFont="1" applyBorder="1"/>
    <xf numFmtId="165" fontId="11" fillId="0" borderId="33" xfId="11" applyNumberFormat="1" applyFont="1" applyBorder="1"/>
    <xf numFmtId="165" fontId="14" fillId="0" borderId="35" xfId="21" applyNumberFormat="1" applyFont="1" applyBorder="1"/>
    <xf numFmtId="165" fontId="11" fillId="0" borderId="34" xfId="11" applyNumberFormat="1" applyFont="1" applyBorder="1"/>
    <xf numFmtId="165" fontId="11" fillId="0" borderId="35" xfId="11" applyNumberFormat="1" applyFont="1" applyBorder="1"/>
    <xf numFmtId="165" fontId="11" fillId="0" borderId="39" xfId="11" applyNumberFormat="1" applyFont="1" applyBorder="1"/>
    <xf numFmtId="165" fontId="14" fillId="0" borderId="66" xfId="9" applyFont="1" applyBorder="1"/>
    <xf numFmtId="165" fontId="14" fillId="0" borderId="0" xfId="21" applyNumberFormat="1" applyFont="1" applyBorder="1"/>
    <xf numFmtId="165" fontId="14" fillId="0" borderId="6" xfId="21" applyNumberFormat="1" applyFont="1" applyBorder="1"/>
    <xf numFmtId="165" fontId="11" fillId="0" borderId="36" xfId="11" applyNumberFormat="1" applyFont="1" applyBorder="1"/>
    <xf numFmtId="165" fontId="52" fillId="0" borderId="37" xfId="11" applyNumberFormat="1" applyFont="1" applyBorder="1"/>
    <xf numFmtId="165" fontId="14" fillId="0" borderId="38" xfId="9" applyFont="1" applyBorder="1"/>
    <xf numFmtId="165" fontId="11" fillId="0" borderId="32" xfId="11" applyNumberFormat="1" applyFont="1" applyBorder="1"/>
    <xf numFmtId="165" fontId="11" fillId="0" borderId="32" xfId="21" applyNumberFormat="1" applyFont="1" applyBorder="1"/>
    <xf numFmtId="165" fontId="13" fillId="0" borderId="38" xfId="9" applyFont="1" applyBorder="1"/>
    <xf numFmtId="165" fontId="14" fillId="0" borderId="36" xfId="11" applyNumberFormat="1" applyFont="1" applyBorder="1"/>
    <xf numFmtId="165" fontId="14" fillId="0" borderId="13" xfId="11" applyNumberFormat="1" applyFont="1" applyBorder="1"/>
    <xf numFmtId="165" fontId="14" fillId="0" borderId="37" xfId="9" applyFont="1" applyBorder="1"/>
    <xf numFmtId="165" fontId="11" fillId="0" borderId="13" xfId="11" applyNumberFormat="1" applyFont="1" applyBorder="1"/>
    <xf numFmtId="165" fontId="11" fillId="0" borderId="13" xfId="21" applyNumberFormat="1" applyFont="1" applyBorder="1"/>
    <xf numFmtId="165" fontId="12" fillId="0" borderId="34" xfId="4" applyNumberFormat="1" applyFont="1" applyBorder="1"/>
    <xf numFmtId="165" fontId="12" fillId="0" borderId="0" xfId="4" applyNumberFormat="1" applyFont="1"/>
    <xf numFmtId="165" fontId="12" fillId="0" borderId="40" xfId="9" applyFont="1" applyBorder="1"/>
    <xf numFmtId="165" fontId="12" fillId="0" borderId="35" xfId="9" applyFont="1" applyBorder="1"/>
    <xf numFmtId="165" fontId="12" fillId="0" borderId="41" xfId="9" applyFont="1" applyBorder="1"/>
    <xf numFmtId="165" fontId="15" fillId="0" borderId="34" xfId="4" applyNumberFormat="1" applyFont="1" applyBorder="1"/>
    <xf numFmtId="165" fontId="12" fillId="0" borderId="34" xfId="4" applyNumberFormat="1" applyFont="1" applyBorder="1" applyAlignment="1">
      <alignment horizontal="center"/>
    </xf>
    <xf numFmtId="165" fontId="12" fillId="0" borderId="47" xfId="9" applyFont="1" applyBorder="1"/>
    <xf numFmtId="165" fontId="12" fillId="0" borderId="43" xfId="9" applyFont="1" applyBorder="1"/>
    <xf numFmtId="165" fontId="12" fillId="0" borderId="44" xfId="4" applyNumberFormat="1" applyFont="1" applyBorder="1"/>
    <xf numFmtId="165" fontId="15" fillId="0" borderId="45" xfId="4" applyNumberFormat="1" applyFont="1" applyBorder="1" applyAlignment="1">
      <alignment horizontal="left"/>
    </xf>
    <xf numFmtId="165" fontId="15" fillId="0" borderId="44" xfId="9" applyFont="1" applyBorder="1"/>
    <xf numFmtId="165" fontId="15" fillId="0" borderId="46" xfId="9" applyFont="1" applyBorder="1"/>
    <xf numFmtId="165" fontId="15" fillId="0" borderId="45" xfId="4" applyNumberFormat="1" applyFont="1" applyBorder="1"/>
    <xf numFmtId="165" fontId="10" fillId="0" borderId="40" xfId="0" applyNumberFormat="1" applyFont="1" applyBorder="1"/>
    <xf numFmtId="165" fontId="10" fillId="0" borderId="40" xfId="1" applyNumberFormat="1" applyFont="1" applyBorder="1"/>
    <xf numFmtId="165" fontId="9" fillId="0" borderId="43" xfId="0" applyNumberFormat="1" applyFont="1" applyBorder="1"/>
    <xf numFmtId="165" fontId="9" fillId="0" borderId="43" xfId="1" applyNumberFormat="1" applyFont="1" applyBorder="1"/>
    <xf numFmtId="165" fontId="9" fillId="0" borderId="41" xfId="0" applyNumberFormat="1" applyFont="1" applyBorder="1"/>
    <xf numFmtId="165" fontId="9" fillId="0" borderId="41" xfId="1" applyNumberFormat="1" applyFont="1" applyBorder="1"/>
    <xf numFmtId="165" fontId="35" fillId="0" borderId="41" xfId="0" applyNumberFormat="1" applyFont="1" applyBorder="1"/>
    <xf numFmtId="165" fontId="9" fillId="2" borderId="41" xfId="0" applyNumberFormat="1" applyFont="1" applyFill="1" applyBorder="1"/>
    <xf numFmtId="165" fontId="9" fillId="2" borderId="41" xfId="1" applyNumberFormat="1" applyFont="1" applyFill="1" applyBorder="1"/>
    <xf numFmtId="165" fontId="9" fillId="2" borderId="41" xfId="0" applyNumberFormat="1" applyFont="1" applyFill="1" applyBorder="1" applyAlignment="1">
      <alignment horizontal="left"/>
    </xf>
    <xf numFmtId="165" fontId="10" fillId="0" borderId="41" xfId="0" applyNumberFormat="1" applyFont="1" applyBorder="1"/>
    <xf numFmtId="165" fontId="10" fillId="0" borderId="41" xfId="1" applyNumberFormat="1" applyFont="1" applyBorder="1"/>
    <xf numFmtId="165" fontId="10" fillId="0" borderId="42" xfId="1" applyNumberFormat="1" applyFont="1" applyBorder="1"/>
    <xf numFmtId="165" fontId="9" fillId="0" borderId="41" xfId="21" applyNumberFormat="1" applyFont="1" applyBorder="1"/>
    <xf numFmtId="165" fontId="13" fillId="0" borderId="34" xfId="0" applyNumberFormat="1" applyFont="1" applyBorder="1" applyAlignment="1">
      <alignment horizontal="left"/>
    </xf>
    <xf numFmtId="165" fontId="13" fillId="0" borderId="0" xfId="0" applyNumberFormat="1" applyFont="1" applyAlignment="1">
      <alignment horizontal="left"/>
    </xf>
    <xf numFmtId="165" fontId="13" fillId="0" borderId="36" xfId="0" applyNumberFormat="1" applyFont="1" applyBorder="1"/>
    <xf numFmtId="165" fontId="13" fillId="0" borderId="13" xfId="0" applyNumberFormat="1" applyFont="1" applyBorder="1"/>
    <xf numFmtId="165" fontId="14" fillId="0" borderId="37" xfId="0" applyNumberFormat="1" applyFont="1" applyBorder="1"/>
    <xf numFmtId="165" fontId="13" fillId="0" borderId="2" xfId="0" applyNumberFormat="1" applyFont="1" applyBorder="1" applyAlignment="1">
      <alignment horizontal="center" vertical="center"/>
    </xf>
    <xf numFmtId="165" fontId="13" fillId="0" borderId="12" xfId="9" applyFont="1" applyFill="1" applyBorder="1" applyAlignment="1">
      <alignment horizontal="center" vertical="center"/>
    </xf>
    <xf numFmtId="165" fontId="13" fillId="0" borderId="20" xfId="0" applyNumberFormat="1" applyFont="1" applyBorder="1" applyAlignment="1">
      <alignment horizontal="center"/>
    </xf>
    <xf numFmtId="165" fontId="13" fillId="0" borderId="4" xfId="9" applyFont="1" applyFill="1" applyBorder="1" applyAlignment="1">
      <alignment horizontal="center"/>
    </xf>
    <xf numFmtId="165" fontId="13" fillId="0" borderId="4" xfId="0" applyNumberFormat="1" applyFont="1" applyBorder="1" applyAlignment="1">
      <alignment horizontal="center"/>
    </xf>
    <xf numFmtId="165" fontId="13" fillId="0" borderId="35" xfId="9" applyFont="1" applyFill="1" applyBorder="1" applyAlignment="1">
      <alignment horizontal="center"/>
    </xf>
    <xf numFmtId="165" fontId="14" fillId="0" borderId="20" xfId="0" applyNumberFormat="1" applyFont="1" applyBorder="1" applyAlignment="1">
      <alignment horizontal="left" wrapText="1"/>
    </xf>
    <xf numFmtId="165" fontId="14" fillId="0" borderId="3" xfId="1" applyNumberFormat="1" applyFont="1" applyFill="1" applyBorder="1"/>
    <xf numFmtId="165" fontId="14" fillId="0" borderId="4" xfId="1" applyNumberFormat="1" applyFont="1" applyFill="1" applyBorder="1" applyAlignment="1">
      <alignment horizontal="right"/>
    </xf>
    <xf numFmtId="165" fontId="14" fillId="0" borderId="4" xfId="0" applyNumberFormat="1" applyFont="1" applyBorder="1"/>
    <xf numFmtId="165" fontId="14" fillId="0" borderId="4" xfId="1" applyNumberFormat="1" applyFont="1" applyFill="1" applyBorder="1" applyAlignment="1">
      <alignment horizontal="center" vertical="center"/>
    </xf>
    <xf numFmtId="165" fontId="14" fillId="0" borderId="4" xfId="19" applyNumberFormat="1" applyFont="1" applyFill="1" applyBorder="1"/>
    <xf numFmtId="165" fontId="14" fillId="0" borderId="1" xfId="9" applyFont="1" applyFill="1" applyBorder="1"/>
    <xf numFmtId="165" fontId="14" fillId="0" borderId="4" xfId="9" applyFont="1" applyFill="1" applyBorder="1"/>
    <xf numFmtId="165" fontId="14" fillId="0" borderId="4" xfId="9" applyFont="1" applyFill="1" applyBorder="1" applyAlignment="1">
      <alignment horizontal="right"/>
    </xf>
    <xf numFmtId="165" fontId="13" fillId="0" borderId="48" xfId="0" applyNumberFormat="1" applyFont="1" applyBorder="1"/>
    <xf numFmtId="165" fontId="13" fillId="0" borderId="30" xfId="9" applyFont="1" applyFill="1" applyBorder="1"/>
    <xf numFmtId="165" fontId="13" fillId="0" borderId="38" xfId="9" applyFont="1" applyFill="1" applyBorder="1"/>
    <xf numFmtId="165" fontId="9" fillId="0" borderId="36" xfId="0" applyNumberFormat="1" applyFont="1" applyBorder="1"/>
    <xf numFmtId="165" fontId="9" fillId="0" borderId="13" xfId="0" applyNumberFormat="1" applyFont="1" applyBorder="1"/>
    <xf numFmtId="165" fontId="9" fillId="0" borderId="37" xfId="0" applyNumberFormat="1" applyFont="1" applyBorder="1"/>
    <xf numFmtId="165" fontId="0" fillId="0" borderId="2" xfId="0" applyNumberFormat="1" applyBorder="1"/>
    <xf numFmtId="165" fontId="47" fillId="0" borderId="67" xfId="11" applyNumberFormat="1" applyFont="1" applyBorder="1"/>
    <xf numFmtId="165" fontId="36" fillId="0" borderId="67" xfId="11" applyNumberFormat="1" applyFont="1" applyBorder="1"/>
    <xf numFmtId="165" fontId="36" fillId="0" borderId="53" xfId="11" applyNumberFormat="1" applyFont="1" applyBorder="1"/>
    <xf numFmtId="165" fontId="36" fillId="0" borderId="54" xfId="11" applyNumberFormat="1" applyFont="1" applyBorder="1"/>
    <xf numFmtId="165" fontId="10" fillId="0" borderId="2" xfId="0" applyNumberFormat="1" applyFont="1" applyBorder="1"/>
    <xf numFmtId="165" fontId="36" fillId="0" borderId="52" xfId="11" applyNumberFormat="1" applyFont="1" applyBorder="1"/>
    <xf numFmtId="165" fontId="5" fillId="0" borderId="12" xfId="1" applyNumberFormat="1" applyFont="1" applyFill="1" applyBorder="1"/>
    <xf numFmtId="165" fontId="5" fillId="0" borderId="0" xfId="0" applyNumberFormat="1" applyFont="1"/>
    <xf numFmtId="165" fontId="5" fillId="0" borderId="8" xfId="1" applyNumberFormat="1" applyFont="1" applyFill="1" applyBorder="1"/>
    <xf numFmtId="165" fontId="5" fillId="0" borderId="29" xfId="11" applyNumberFormat="1" applyBorder="1"/>
    <xf numFmtId="165" fontId="5" fillId="0" borderId="8" xfId="11" applyNumberFormat="1" applyBorder="1"/>
    <xf numFmtId="165" fontId="36" fillId="0" borderId="59" xfId="11" applyNumberFormat="1" applyFont="1" applyBorder="1"/>
    <xf numFmtId="165" fontId="36" fillId="0" borderId="7" xfId="11" applyNumberFormat="1" applyFont="1" applyBorder="1"/>
    <xf numFmtId="165" fontId="5" fillId="0" borderId="68" xfId="11" applyNumberFormat="1" applyBorder="1"/>
    <xf numFmtId="165" fontId="5" fillId="0" borderId="69" xfId="11" applyNumberFormat="1" applyBorder="1"/>
    <xf numFmtId="165" fontId="36" fillId="0" borderId="69" xfId="11" applyNumberFormat="1" applyFont="1" applyBorder="1"/>
    <xf numFmtId="165" fontId="35" fillId="0" borderId="0" xfId="0" applyNumberFormat="1" applyFont="1"/>
    <xf numFmtId="165" fontId="36" fillId="0" borderId="0" xfId="0" applyNumberFormat="1" applyFont="1" applyAlignment="1">
      <alignment vertical="center"/>
    </xf>
    <xf numFmtId="165" fontId="35" fillId="0" borderId="2" xfId="21" applyNumberFormat="1" applyFont="1" applyFill="1" applyBorder="1" applyAlignment="1">
      <alignment vertical="center"/>
    </xf>
    <xf numFmtId="165" fontId="10" fillId="0" borderId="2" xfId="0" applyNumberFormat="1" applyFont="1" applyBorder="1" applyAlignment="1">
      <alignment horizontal="left" indent="1"/>
    </xf>
    <xf numFmtId="165" fontId="13" fillId="0" borderId="40" xfId="1" applyNumberFormat="1" applyFont="1" applyFill="1" applyBorder="1" applyAlignment="1">
      <alignment horizontal="right"/>
    </xf>
    <xf numFmtId="165" fontId="13" fillId="0" borderId="43" xfId="1" applyNumberFormat="1" applyFont="1" applyFill="1" applyBorder="1" applyAlignment="1">
      <alignment horizontal="right"/>
    </xf>
    <xf numFmtId="165" fontId="25" fillId="0" borderId="31" xfId="4" applyNumberFormat="1" applyFont="1" applyBorder="1" applyAlignment="1">
      <alignment vertical="top"/>
    </xf>
    <xf numFmtId="165" fontId="25" fillId="0" borderId="40" xfId="4" applyNumberFormat="1" applyFont="1" applyBorder="1" applyAlignment="1">
      <alignment vertical="top"/>
    </xf>
    <xf numFmtId="165" fontId="25" fillId="0" borderId="34" xfId="4" applyNumberFormat="1" applyFont="1" applyBorder="1" applyAlignment="1">
      <alignment vertical="top"/>
    </xf>
    <xf numFmtId="165" fontId="9" fillId="0" borderId="0" xfId="43" applyNumberFormat="1" applyFont="1"/>
    <xf numFmtId="165" fontId="22" fillId="0" borderId="0" xfId="4" applyNumberFormat="1" applyFont="1" applyAlignment="1">
      <alignment horizontal="left" vertical="top"/>
    </xf>
    <xf numFmtId="165" fontId="26" fillId="0" borderId="0" xfId="4" applyNumberFormat="1" applyFont="1" applyAlignment="1">
      <alignment vertical="top"/>
    </xf>
    <xf numFmtId="165" fontId="27" fillId="0" borderId="0" xfId="0" applyNumberFormat="1" applyFont="1"/>
    <xf numFmtId="165" fontId="13" fillId="0" borderId="40" xfId="0" applyNumberFormat="1" applyFont="1" applyBorder="1" applyAlignment="1">
      <alignment horizontal="center" vertical="center"/>
    </xf>
    <xf numFmtId="165" fontId="25" fillId="0" borderId="43" xfId="4" applyNumberFormat="1" applyFont="1" applyBorder="1" applyAlignment="1">
      <alignment horizontal="center" vertical="center"/>
    </xf>
    <xf numFmtId="165" fontId="14" fillId="0" borderId="40" xfId="0" applyNumberFormat="1" applyFont="1" applyBorder="1"/>
    <xf numFmtId="165" fontId="14" fillId="0" borderId="34" xfId="1" applyNumberFormat="1" applyFont="1" applyBorder="1"/>
    <xf numFmtId="165" fontId="14" fillId="0" borderId="41" xfId="0" applyNumberFormat="1" applyFont="1" applyBorder="1"/>
    <xf numFmtId="165" fontId="13" fillId="0" borderId="42" xfId="0" applyNumberFormat="1" applyFont="1" applyBorder="1"/>
    <xf numFmtId="165" fontId="13" fillId="0" borderId="34" xfId="1" applyNumberFormat="1" applyFont="1" applyBorder="1"/>
    <xf numFmtId="165" fontId="13" fillId="0" borderId="41" xfId="0" applyNumberFormat="1" applyFont="1" applyBorder="1"/>
    <xf numFmtId="165" fontId="44" fillId="0" borderId="34" xfId="0" applyNumberFormat="1" applyFont="1" applyBorder="1" applyAlignment="1">
      <alignment horizontal="left" wrapText="1"/>
    </xf>
    <xf numFmtId="165" fontId="13" fillId="0" borderId="34" xfId="0" applyNumberFormat="1" applyFont="1" applyBorder="1" applyAlignment="1">
      <alignment horizontal="left" indent="1"/>
    </xf>
    <xf numFmtId="165" fontId="13" fillId="0" borderId="34" xfId="1" applyNumberFormat="1" applyFont="1" applyBorder="1" applyAlignment="1">
      <alignment horizontal="left" indent="1"/>
    </xf>
    <xf numFmtId="165" fontId="13" fillId="0" borderId="41" xfId="0" applyNumberFormat="1" applyFont="1" applyBorder="1" applyAlignment="1">
      <alignment horizontal="left" indent="1"/>
    </xf>
    <xf numFmtId="165" fontId="14" fillId="0" borderId="34" xfId="0" applyNumberFormat="1" applyFont="1" applyBorder="1" applyAlignment="1">
      <alignment horizontal="left" indent="2"/>
    </xf>
    <xf numFmtId="165" fontId="14" fillId="0" borderId="34" xfId="1" applyNumberFormat="1" applyFont="1" applyBorder="1" applyAlignment="1">
      <alignment horizontal="left" indent="2"/>
    </xf>
    <xf numFmtId="165" fontId="14" fillId="0" borderId="41" xfId="0" applyNumberFormat="1" applyFont="1" applyBorder="1" applyAlignment="1">
      <alignment horizontal="left" indent="2"/>
    </xf>
    <xf numFmtId="165" fontId="14" fillId="0" borderId="36" xfId="1" applyNumberFormat="1" applyFont="1" applyBorder="1"/>
    <xf numFmtId="165" fontId="14" fillId="0" borderId="43" xfId="0" applyNumberFormat="1" applyFont="1" applyBorder="1"/>
    <xf numFmtId="165" fontId="31" fillId="0" borderId="34" xfId="0" applyNumberFormat="1" applyFont="1" applyBorder="1" applyAlignment="1">
      <alignment horizontal="left"/>
    </xf>
    <xf numFmtId="165" fontId="13" fillId="0" borderId="32" xfId="1" applyNumberFormat="1" applyFont="1" applyFill="1" applyBorder="1" applyAlignment="1">
      <alignment horizontal="right"/>
    </xf>
    <xf numFmtId="165" fontId="13" fillId="0" borderId="33" xfId="1" applyNumberFormat="1" applyFont="1" applyFill="1" applyBorder="1" applyAlignment="1">
      <alignment horizontal="right"/>
    </xf>
    <xf numFmtId="165" fontId="14" fillId="0" borderId="0" xfId="1" applyNumberFormat="1" applyFont="1" applyBorder="1"/>
    <xf numFmtId="165" fontId="14" fillId="0" borderId="35" xfId="1" applyNumberFormat="1" applyFont="1" applyBorder="1"/>
    <xf numFmtId="165" fontId="13" fillId="0" borderId="0" xfId="1" applyNumberFormat="1" applyFont="1" applyBorder="1" applyAlignment="1">
      <alignment horizontal="left"/>
    </xf>
    <xf numFmtId="165" fontId="13" fillId="0" borderId="35" xfId="1" applyNumberFormat="1" applyFont="1" applyBorder="1" applyAlignment="1">
      <alignment horizontal="left"/>
    </xf>
    <xf numFmtId="165" fontId="13" fillId="0" borderId="13" xfId="1" applyNumberFormat="1" applyFont="1" applyFill="1" applyBorder="1"/>
    <xf numFmtId="165" fontId="13" fillId="0" borderId="37" xfId="1" applyNumberFormat="1" applyFont="1" applyFill="1" applyBorder="1"/>
    <xf numFmtId="165" fontId="14" fillId="0" borderId="13" xfId="0" applyNumberFormat="1" applyFont="1" applyBorder="1"/>
    <xf numFmtId="165" fontId="31" fillId="0" borderId="36" xfId="0" applyNumberFormat="1" applyFont="1" applyBorder="1" applyAlignment="1">
      <alignment horizontal="left"/>
    </xf>
    <xf numFmtId="165" fontId="31" fillId="0" borderId="13" xfId="0" applyNumberFormat="1" applyFont="1" applyBorder="1" applyAlignment="1">
      <alignment horizontal="left"/>
    </xf>
    <xf numFmtId="165" fontId="0" fillId="0" borderId="34" xfId="0" applyNumberFormat="1" applyBorder="1"/>
    <xf numFmtId="165" fontId="0" fillId="0" borderId="35" xfId="0" applyNumberFormat="1" applyBorder="1"/>
    <xf numFmtId="165" fontId="44" fillId="0" borderId="34" xfId="0" applyNumberFormat="1" applyFont="1" applyBorder="1" applyAlignment="1">
      <alignment horizontal="left"/>
    </xf>
    <xf numFmtId="165" fontId="10" fillId="0" borderId="40" xfId="40" applyNumberFormat="1" applyFont="1" applyBorder="1" applyAlignment="1">
      <alignment horizontal="left" vertical="center"/>
    </xf>
    <xf numFmtId="165" fontId="10" fillId="0" borderId="40" xfId="40" applyNumberFormat="1" applyFont="1" applyBorder="1" applyAlignment="1">
      <alignment horizontal="center" vertical="center" wrapText="1"/>
    </xf>
    <xf numFmtId="165" fontId="10" fillId="0" borderId="33" xfId="40" applyNumberFormat="1" applyFont="1" applyBorder="1" applyAlignment="1">
      <alignment horizontal="center" vertical="center" wrapText="1"/>
    </xf>
    <xf numFmtId="165" fontId="0" fillId="0" borderId="41" xfId="1" applyNumberFormat="1" applyFont="1" applyBorder="1"/>
    <xf numFmtId="165" fontId="10" fillId="0" borderId="41" xfId="40" applyNumberFormat="1" applyFont="1" applyBorder="1"/>
    <xf numFmtId="165" fontId="16" fillId="0" borderId="43" xfId="40" applyNumberFormat="1" applyFont="1" applyBorder="1"/>
    <xf numFmtId="165" fontId="16" fillId="0" borderId="37" xfId="40" applyNumberFormat="1" applyFont="1" applyBorder="1"/>
    <xf numFmtId="165" fontId="14" fillId="0" borderId="0" xfId="8" applyNumberFormat="1" applyFont="1"/>
    <xf numFmtId="165" fontId="9" fillId="0" borderId="0" xfId="8" applyNumberFormat="1" applyFont="1"/>
    <xf numFmtId="165" fontId="9" fillId="0" borderId="0" xfId="4" applyNumberFormat="1" applyFont="1"/>
    <xf numFmtId="165" fontId="13" fillId="0" borderId="34" xfId="8" applyNumberFormat="1" applyFont="1" applyBorder="1"/>
    <xf numFmtId="165" fontId="14" fillId="0" borderId="0" xfId="4" applyNumberFormat="1" applyFont="1"/>
    <xf numFmtId="165" fontId="14" fillId="0" borderId="35" xfId="8" applyNumberFormat="1" applyFont="1" applyBorder="1"/>
    <xf numFmtId="165" fontId="13" fillId="0" borderId="34" xfId="8" applyNumberFormat="1" applyFont="1" applyBorder="1" applyAlignment="1">
      <alignment vertical="center"/>
    </xf>
    <xf numFmtId="165" fontId="14" fillId="0" borderId="0" xfId="8" applyNumberFormat="1" applyFont="1" applyAlignment="1">
      <alignment vertical="center"/>
    </xf>
    <xf numFmtId="165" fontId="14" fillId="0" borderId="35" xfId="8" applyNumberFormat="1" applyFont="1" applyBorder="1" applyAlignment="1">
      <alignment vertical="center"/>
    </xf>
    <xf numFmtId="165" fontId="9" fillId="0" borderId="0" xfId="8" applyNumberFormat="1" applyFont="1" applyAlignment="1">
      <alignment vertical="center"/>
    </xf>
    <xf numFmtId="165" fontId="13" fillId="0" borderId="36" xfId="8" applyNumberFormat="1" applyFont="1" applyBorder="1" applyAlignment="1">
      <alignment horizontal="left" vertical="center"/>
    </xf>
    <xf numFmtId="165" fontId="13" fillId="0" borderId="13" xfId="9" applyFont="1" applyFill="1" applyBorder="1" applyAlignment="1">
      <alignment horizontal="center" vertical="center"/>
    </xf>
    <xf numFmtId="165" fontId="13" fillId="0" borderId="0" xfId="9" applyFont="1" applyFill="1" applyBorder="1" applyAlignment="1">
      <alignment horizontal="center" vertical="center"/>
    </xf>
    <xf numFmtId="165" fontId="26" fillId="0" borderId="0" xfId="9" applyFont="1" applyFill="1" applyBorder="1" applyAlignment="1">
      <alignment horizontal="center" vertical="center"/>
    </xf>
    <xf numFmtId="165" fontId="14" fillId="0" borderId="15" xfId="8" applyNumberFormat="1" applyFont="1" applyBorder="1" applyAlignment="1">
      <alignment vertical="center"/>
    </xf>
    <xf numFmtId="165" fontId="14" fillId="0" borderId="25" xfId="8" applyNumberFormat="1" applyFont="1" applyBorder="1" applyAlignment="1">
      <alignment horizontal="center" vertical="center"/>
    </xf>
    <xf numFmtId="165" fontId="14" fillId="0" borderId="25" xfId="8" applyNumberFormat="1" applyFont="1" applyBorder="1" applyAlignment="1">
      <alignment horizontal="right" vertical="center"/>
    </xf>
    <xf numFmtId="165" fontId="14" fillId="0" borderId="26" xfId="8" applyNumberFormat="1" applyFont="1" applyBorder="1" applyAlignment="1">
      <alignment horizontal="center" vertical="center"/>
    </xf>
    <xf numFmtId="165" fontId="13" fillId="0" borderId="20" xfId="8" applyNumberFormat="1" applyFont="1" applyBorder="1" applyAlignment="1">
      <alignment vertical="center"/>
    </xf>
    <xf numFmtId="165" fontId="14" fillId="0" borderId="4" xfId="1" applyNumberFormat="1" applyFont="1" applyBorder="1" applyAlignment="1">
      <alignment horizontal="center" vertical="center"/>
    </xf>
    <xf numFmtId="165" fontId="14" fillId="0" borderId="4" xfId="1" applyNumberFormat="1" applyFont="1" applyBorder="1" applyAlignment="1">
      <alignment horizontal="right" vertical="center"/>
    </xf>
    <xf numFmtId="165" fontId="14" fillId="0" borderId="27" xfId="1" applyNumberFormat="1" applyFont="1" applyBorder="1" applyAlignment="1">
      <alignment horizontal="center" vertical="center"/>
    </xf>
    <xf numFmtId="165" fontId="11" fillId="0" borderId="4" xfId="9" applyFont="1" applyFill="1" applyBorder="1" applyAlignment="1">
      <alignment vertical="center"/>
    </xf>
    <xf numFmtId="165" fontId="11" fillId="0" borderId="3" xfId="9" applyFont="1" applyFill="1" applyBorder="1" applyAlignment="1">
      <alignment vertical="center"/>
    </xf>
    <xf numFmtId="165" fontId="11" fillId="0" borderId="4" xfId="9" applyFont="1" applyBorder="1" applyAlignment="1">
      <alignment vertical="center"/>
    </xf>
    <xf numFmtId="165" fontId="13" fillId="0" borderId="48" xfId="8" applyNumberFormat="1" applyFont="1" applyBorder="1" applyAlignment="1">
      <alignment horizontal="left" vertical="center"/>
    </xf>
    <xf numFmtId="165" fontId="13" fillId="0" borderId="10" xfId="9" applyFont="1" applyFill="1" applyBorder="1" applyAlignment="1">
      <alignment horizontal="center" vertical="center"/>
    </xf>
    <xf numFmtId="165" fontId="13" fillId="0" borderId="49" xfId="9" applyFont="1" applyFill="1" applyBorder="1" applyAlignment="1">
      <alignment horizontal="center" vertical="center"/>
    </xf>
    <xf numFmtId="165" fontId="13" fillId="0" borderId="34" xfId="8" applyNumberFormat="1" applyFont="1" applyBorder="1" applyAlignment="1">
      <alignment horizontal="left" vertical="center"/>
    </xf>
    <xf numFmtId="165" fontId="14" fillId="0" borderId="36" xfId="4" applyNumberFormat="1" applyFont="1" applyBorder="1"/>
    <xf numFmtId="165" fontId="14" fillId="0" borderId="13" xfId="4" applyNumberFormat="1" applyFont="1" applyBorder="1"/>
    <xf numFmtId="165" fontId="14" fillId="0" borderId="37" xfId="4" applyNumberFormat="1" applyFont="1" applyBorder="1"/>
    <xf numFmtId="165" fontId="13" fillId="0" borderId="0" xfId="4" applyNumberFormat="1" applyFont="1"/>
    <xf numFmtId="165" fontId="26" fillId="0" borderId="0" xfId="4" applyNumberFormat="1" applyFont="1"/>
    <xf numFmtId="165" fontId="10" fillId="0" borderId="20" xfId="40" applyNumberFormat="1" applyFont="1" applyBorder="1" applyAlignment="1">
      <alignment horizontal="left" vertical="center"/>
    </xf>
    <xf numFmtId="165" fontId="10" fillId="0" borderId="2" xfId="40" applyNumberFormat="1" applyFont="1" applyBorder="1" applyAlignment="1">
      <alignment horizontal="center" vertical="center" wrapText="1"/>
    </xf>
    <xf numFmtId="165" fontId="10" fillId="0" borderId="56" xfId="40" applyNumberFormat="1" applyFont="1" applyBorder="1" applyAlignment="1">
      <alignment horizontal="center" vertical="center" wrapText="1"/>
    </xf>
    <xf numFmtId="165" fontId="10" fillId="0" borderId="3" xfId="40" applyNumberFormat="1" applyFont="1" applyBorder="1" applyAlignment="1">
      <alignment horizontal="center" vertical="center" wrapText="1"/>
    </xf>
    <xf numFmtId="165" fontId="10" fillId="0" borderId="27" xfId="40" applyNumberFormat="1" applyFont="1" applyBorder="1" applyAlignment="1">
      <alignment horizontal="center" vertical="center" wrapText="1"/>
    </xf>
    <xf numFmtId="165" fontId="0" fillId="0" borderId="3" xfId="0" applyNumberFormat="1" applyBorder="1"/>
    <xf numFmtId="165" fontId="10" fillId="0" borderId="20" xfId="40" applyNumberFormat="1" applyFont="1" applyBorder="1"/>
    <xf numFmtId="165" fontId="10" fillId="0" borderId="10" xfId="1" applyNumberFormat="1" applyFont="1" applyBorder="1"/>
    <xf numFmtId="165" fontId="10" fillId="0" borderId="49" xfId="1" applyNumberFormat="1" applyFont="1" applyBorder="1"/>
    <xf numFmtId="165" fontId="16" fillId="0" borderId="22" xfId="40" applyNumberFormat="1" applyFont="1" applyBorder="1"/>
    <xf numFmtId="165" fontId="16" fillId="0" borderId="23" xfId="40" applyNumberFormat="1" applyFont="1" applyBorder="1"/>
    <xf numFmtId="165" fontId="16" fillId="0" borderId="24" xfId="40" applyNumberFormat="1" applyFont="1" applyBorder="1"/>
    <xf numFmtId="165" fontId="26" fillId="0" borderId="36" xfId="0" applyNumberFormat="1" applyFont="1" applyBorder="1" applyAlignment="1">
      <alignment horizontal="center"/>
    </xf>
    <xf numFmtId="165" fontId="26" fillId="0" borderId="13" xfId="0" applyNumberFormat="1" applyFont="1" applyBorder="1" applyAlignment="1">
      <alignment horizontal="center"/>
    </xf>
    <xf numFmtId="165" fontId="14" fillId="0" borderId="32" xfId="0" applyNumberFormat="1" applyFont="1" applyBorder="1"/>
    <xf numFmtId="165" fontId="14" fillId="0" borderId="32" xfId="2" applyFont="1" applyFill="1" applyBorder="1"/>
    <xf numFmtId="165" fontId="14" fillId="0" borderId="3" xfId="2" applyFont="1" applyFill="1" applyBorder="1"/>
    <xf numFmtId="165" fontId="14" fillId="0" borderId="27" xfId="2" applyFont="1" applyFill="1" applyBorder="1"/>
    <xf numFmtId="165" fontId="13" fillId="0" borderId="34" xfId="9" applyFont="1" applyFill="1" applyBorder="1" applyAlignment="1">
      <alignment vertical="center" wrapText="1"/>
    </xf>
    <xf numFmtId="165" fontId="32" fillId="0" borderId="34" xfId="0" applyNumberFormat="1" applyFont="1" applyBorder="1"/>
    <xf numFmtId="165" fontId="13" fillId="0" borderId="10" xfId="1" applyNumberFormat="1" applyFont="1" applyFill="1" applyBorder="1"/>
    <xf numFmtId="165" fontId="13" fillId="0" borderId="49" xfId="1" applyNumberFormat="1" applyFont="1" applyFill="1" applyBorder="1"/>
    <xf numFmtId="165" fontId="9" fillId="0" borderId="3" xfId="0" applyNumberFormat="1" applyFont="1" applyBorder="1"/>
    <xf numFmtId="165" fontId="9" fillId="0" borderId="27" xfId="0" applyNumberFormat="1" applyFont="1" applyBorder="1"/>
    <xf numFmtId="165" fontId="13" fillId="0" borderId="10" xfId="2" applyFont="1" applyFill="1" applyBorder="1"/>
    <xf numFmtId="165" fontId="13" fillId="0" borderId="49" xfId="2" applyFont="1" applyFill="1" applyBorder="1"/>
    <xf numFmtId="165" fontId="14" fillId="0" borderId="0" xfId="2" applyFont="1" applyFill="1" applyBorder="1"/>
    <xf numFmtId="165" fontId="13" fillId="0" borderId="34" xfId="0" applyNumberFormat="1" applyFont="1" applyBorder="1" applyAlignment="1">
      <alignment vertical="center"/>
    </xf>
    <xf numFmtId="165" fontId="14" fillId="0" borderId="0" xfId="0" applyNumberFormat="1" applyFont="1" applyAlignment="1">
      <alignment wrapText="1"/>
    </xf>
    <xf numFmtId="165" fontId="14" fillId="0" borderId="35" xfId="0" applyNumberFormat="1" applyFont="1" applyBorder="1" applyAlignment="1">
      <alignment wrapText="1"/>
    </xf>
    <xf numFmtId="165" fontId="13" fillId="0" borderId="2" xfId="13" applyNumberFormat="1" applyFont="1" applyBorder="1" applyAlignment="1">
      <alignment horizontal="center"/>
    </xf>
    <xf numFmtId="165" fontId="13" fillId="0" borderId="2" xfId="1" applyNumberFormat="1" applyFont="1" applyFill="1" applyBorder="1" applyAlignment="1">
      <alignment horizontal="center"/>
    </xf>
    <xf numFmtId="165" fontId="13" fillId="0" borderId="56" xfId="1" applyNumberFormat="1" applyFont="1" applyFill="1" applyBorder="1" applyAlignment="1" applyProtection="1">
      <alignment horizontal="center"/>
    </xf>
    <xf numFmtId="165" fontId="14" fillId="0" borderId="7" xfId="1" applyNumberFormat="1" applyFont="1" applyFill="1" applyBorder="1" applyAlignment="1">
      <alignment horizontal="right"/>
    </xf>
    <xf numFmtId="165" fontId="14" fillId="0" borderId="7" xfId="0" applyNumberFormat="1" applyFont="1" applyBorder="1"/>
    <xf numFmtId="165" fontId="14" fillId="0" borderId="3" xfId="1" applyNumberFormat="1" applyFont="1" applyFill="1" applyBorder="1" applyAlignment="1">
      <alignment horizontal="right"/>
    </xf>
    <xf numFmtId="165" fontId="14" fillId="0" borderId="3" xfId="0" applyNumberFormat="1" applyFont="1" applyBorder="1"/>
    <xf numFmtId="165" fontId="14" fillId="0" borderId="27" xfId="0" applyNumberFormat="1" applyFont="1" applyBorder="1"/>
    <xf numFmtId="165" fontId="14" fillId="0" borderId="35" xfId="43" applyNumberFormat="1" applyFont="1" applyFill="1" applyBorder="1" applyAlignment="1" applyProtection="1"/>
    <xf numFmtId="165" fontId="13" fillId="0" borderId="10" xfId="1" applyNumberFormat="1" applyFont="1" applyFill="1" applyBorder="1" applyAlignment="1">
      <alignment horizontal="right"/>
    </xf>
    <xf numFmtId="165" fontId="13" fillId="0" borderId="10" xfId="43" applyNumberFormat="1" applyFont="1" applyFill="1" applyBorder="1" applyAlignment="1">
      <alignment horizontal="right"/>
    </xf>
    <xf numFmtId="165" fontId="13" fillId="0" borderId="38" xfId="43" applyNumberFormat="1" applyFont="1" applyFill="1" applyBorder="1"/>
    <xf numFmtId="165" fontId="13" fillId="0" borderId="55" xfId="0" applyNumberFormat="1" applyFont="1" applyBorder="1"/>
    <xf numFmtId="165" fontId="13" fillId="0" borderId="1" xfId="1" applyNumberFormat="1" applyFont="1" applyFill="1" applyBorder="1" applyAlignment="1">
      <alignment horizontal="right"/>
    </xf>
    <xf numFmtId="165" fontId="13" fillId="0" borderId="1" xfId="43" applyNumberFormat="1" applyFont="1" applyFill="1" applyBorder="1" applyAlignment="1"/>
    <xf numFmtId="165" fontId="14" fillId="0" borderId="1" xfId="1" applyNumberFormat="1" applyFont="1" applyFill="1" applyBorder="1"/>
    <xf numFmtId="165" fontId="14" fillId="0" borderId="39" xfId="1" applyNumberFormat="1" applyFont="1" applyFill="1" applyBorder="1" applyAlignment="1" applyProtection="1"/>
    <xf numFmtId="165" fontId="13" fillId="0" borderId="0" xfId="1" applyNumberFormat="1" applyFont="1" applyFill="1" applyBorder="1" applyAlignment="1">
      <alignment horizontal="right"/>
    </xf>
    <xf numFmtId="165" fontId="13" fillId="0" borderId="35" xfId="1" applyNumberFormat="1" applyFont="1" applyFill="1" applyBorder="1" applyAlignment="1">
      <alignment horizontal="right"/>
    </xf>
    <xf numFmtId="165" fontId="13" fillId="0" borderId="34" xfId="13" applyNumberFormat="1" applyFont="1" applyBorder="1"/>
    <xf numFmtId="165" fontId="14" fillId="0" borderId="35" xfId="13" applyNumberFormat="1" applyFont="1" applyBorder="1"/>
    <xf numFmtId="165" fontId="14" fillId="0" borderId="59" xfId="0" applyNumberFormat="1" applyFont="1" applyBorder="1"/>
    <xf numFmtId="165" fontId="14" fillId="0" borderId="7" xfId="1" applyNumberFormat="1" applyFont="1" applyFill="1" applyBorder="1"/>
    <xf numFmtId="165" fontId="14" fillId="0" borderId="21" xfId="1" applyNumberFormat="1" applyFont="1" applyFill="1" applyBorder="1" applyAlignment="1" applyProtection="1"/>
    <xf numFmtId="165" fontId="14" fillId="0" borderId="20" xfId="0" applyNumberFormat="1" applyFont="1" applyBorder="1"/>
    <xf numFmtId="165" fontId="14" fillId="0" borderId="27" xfId="1" applyNumberFormat="1" applyFont="1" applyFill="1" applyBorder="1" applyAlignment="1" applyProtection="1"/>
    <xf numFmtId="165" fontId="13" fillId="0" borderId="20" xfId="0" applyNumberFormat="1" applyFont="1" applyBorder="1"/>
    <xf numFmtId="165" fontId="13" fillId="0" borderId="49" xfId="1" applyNumberFormat="1" applyFont="1" applyFill="1" applyBorder="1" applyAlignment="1">
      <alignment horizontal="right"/>
    </xf>
    <xf numFmtId="165" fontId="13" fillId="0" borderId="28" xfId="0" applyNumberFormat="1" applyFont="1" applyBorder="1"/>
    <xf numFmtId="165" fontId="14" fillId="0" borderId="50" xfId="1" applyNumberFormat="1" applyFont="1" applyFill="1" applyBorder="1" applyAlignment="1" applyProtection="1"/>
    <xf numFmtId="165" fontId="13" fillId="0" borderId="0" xfId="43" applyNumberFormat="1" applyFont="1" applyFill="1" applyBorder="1" applyAlignment="1"/>
    <xf numFmtId="165" fontId="14" fillId="0" borderId="35" xfId="1" applyNumberFormat="1" applyFont="1" applyFill="1" applyBorder="1" applyAlignment="1" applyProtection="1"/>
    <xf numFmtId="165" fontId="13" fillId="0" borderId="29" xfId="13" applyNumberFormat="1" applyFont="1" applyBorder="1" applyAlignment="1">
      <alignment horizontal="center" vertical="center" wrapText="1"/>
    </xf>
    <xf numFmtId="165" fontId="13" fillId="0" borderId="2" xfId="13" applyNumberFormat="1" applyFont="1" applyBorder="1" applyAlignment="1">
      <alignment horizontal="center" vertical="center" wrapText="1"/>
    </xf>
    <xf numFmtId="165" fontId="13" fillId="0" borderId="2" xfId="1" applyNumberFormat="1" applyFont="1" applyFill="1" applyBorder="1" applyAlignment="1">
      <alignment horizontal="center" vertical="center" wrapText="1"/>
    </xf>
    <xf numFmtId="165" fontId="13" fillId="0" borderId="56" xfId="1" applyNumberFormat="1" applyFont="1" applyFill="1" applyBorder="1" applyAlignment="1" applyProtection="1">
      <alignment horizontal="center" vertical="center" wrapText="1"/>
    </xf>
    <xf numFmtId="165" fontId="14" fillId="0" borderId="21" xfId="0" applyNumberFormat="1" applyFont="1" applyBorder="1" applyAlignment="1">
      <alignment horizontal="center"/>
    </xf>
    <xf numFmtId="165" fontId="14" fillId="0" borderId="27" xfId="0" applyNumberFormat="1" applyFont="1" applyBorder="1" applyAlignment="1">
      <alignment horizontal="center"/>
    </xf>
    <xf numFmtId="165" fontId="13" fillId="0" borderId="38" xfId="1" applyNumberFormat="1" applyFont="1" applyFill="1" applyBorder="1" applyAlignment="1">
      <alignment horizontal="right"/>
    </xf>
    <xf numFmtId="165" fontId="14" fillId="0" borderId="0" xfId="2" applyFont="1" applyFill="1"/>
    <xf numFmtId="165" fontId="29" fillId="0" borderId="40" xfId="0" applyNumberFormat="1" applyFont="1" applyBorder="1" applyAlignment="1">
      <alignment horizontal="center" vertical="center"/>
    </xf>
    <xf numFmtId="165" fontId="28" fillId="0" borderId="41" xfId="0" applyNumberFormat="1" applyFont="1" applyBorder="1" applyAlignment="1">
      <alignment horizontal="center" vertical="center"/>
    </xf>
    <xf numFmtId="165" fontId="26" fillId="0" borderId="43" xfId="0" applyNumberFormat="1" applyFont="1" applyBorder="1" applyAlignment="1">
      <alignment horizontal="center" vertical="center"/>
    </xf>
    <xf numFmtId="165" fontId="14" fillId="0" borderId="41" xfId="0" applyNumberFormat="1" applyFont="1" applyBorder="1" applyAlignment="1">
      <alignment wrapText="1"/>
    </xf>
    <xf numFmtId="165" fontId="13" fillId="0" borderId="41" xfId="0" applyNumberFormat="1" applyFont="1" applyBorder="1" applyAlignment="1">
      <alignment wrapText="1"/>
    </xf>
    <xf numFmtId="165" fontId="14" fillId="0" borderId="43" xfId="0" applyNumberFormat="1" applyFont="1" applyBorder="1" applyAlignment="1">
      <alignment wrapText="1"/>
    </xf>
    <xf numFmtId="165" fontId="9" fillId="0" borderId="0" xfId="21" applyNumberFormat="1" applyFont="1"/>
    <xf numFmtId="165" fontId="13" fillId="0" borderId="32" xfId="27" applyNumberFormat="1" applyFont="1" applyBorder="1" applyAlignment="1">
      <alignment horizontal="justify"/>
    </xf>
    <xf numFmtId="165" fontId="14" fillId="0" borderId="32" xfId="27" applyNumberFormat="1" applyFont="1" applyBorder="1"/>
    <xf numFmtId="165" fontId="9" fillId="0" borderId="33" xfId="11" applyNumberFormat="1" applyFont="1" applyBorder="1"/>
    <xf numFmtId="165" fontId="13" fillId="0" borderId="34" xfId="27" applyNumberFormat="1" applyFont="1" applyBorder="1" applyAlignment="1">
      <alignment horizontal="left"/>
    </xf>
    <xf numFmtId="165" fontId="13" fillId="0" borderId="0" xfId="27" applyNumberFormat="1" applyFont="1" applyAlignment="1">
      <alignment horizontal="left"/>
    </xf>
    <xf numFmtId="165" fontId="13" fillId="0" borderId="0" xfId="27" applyNumberFormat="1" applyFont="1" applyAlignment="1">
      <alignment horizontal="justify"/>
    </xf>
    <xf numFmtId="165" fontId="14" fillId="0" borderId="0" xfId="27" applyNumberFormat="1" applyFont="1"/>
    <xf numFmtId="165" fontId="14" fillId="0" borderId="34" xfId="27" applyNumberFormat="1" applyFont="1" applyBorder="1" applyAlignment="1">
      <alignment horizontal="justify"/>
    </xf>
    <xf numFmtId="165" fontId="14" fillId="0" borderId="0" xfId="27" applyNumberFormat="1" applyFont="1" applyAlignment="1">
      <alignment horizontal="justify"/>
    </xf>
    <xf numFmtId="165" fontId="13" fillId="5" borderId="29" xfId="27" applyNumberFormat="1" applyFont="1" applyFill="1" applyBorder="1" applyAlignment="1">
      <alignment horizontal="center" vertical="center" wrapText="1"/>
    </xf>
    <xf numFmtId="165" fontId="13" fillId="5" borderId="2" xfId="27" applyNumberFormat="1" applyFont="1" applyFill="1" applyBorder="1" applyAlignment="1">
      <alignment horizontal="center" vertical="center" wrapText="1"/>
    </xf>
    <xf numFmtId="165" fontId="13" fillId="5" borderId="12" xfId="27" applyNumberFormat="1" applyFont="1" applyFill="1" applyBorder="1" applyAlignment="1">
      <alignment horizontal="center" vertical="center" wrapText="1"/>
    </xf>
    <xf numFmtId="165" fontId="13" fillId="5" borderId="58" xfId="27" applyNumberFormat="1" applyFont="1" applyFill="1" applyBorder="1" applyAlignment="1">
      <alignment horizontal="center" vertical="center" wrapText="1"/>
    </xf>
    <xf numFmtId="165" fontId="9" fillId="0" borderId="2" xfId="11" applyNumberFormat="1" applyFont="1" applyBorder="1"/>
    <xf numFmtId="165" fontId="28" fillId="0" borderId="2" xfId="11" applyNumberFormat="1" applyFont="1" applyBorder="1"/>
    <xf numFmtId="165" fontId="9" fillId="0" borderId="2" xfId="21" applyNumberFormat="1" applyFont="1" applyBorder="1"/>
    <xf numFmtId="165" fontId="14" fillId="0" borderId="29" xfId="27" applyNumberFormat="1" applyFont="1" applyBorder="1" applyAlignment="1">
      <alignment horizontal="left" vertical="center"/>
    </xf>
    <xf numFmtId="165" fontId="14" fillId="0" borderId="2" xfId="19" applyNumberFormat="1" applyFont="1" applyFill="1" applyBorder="1" applyAlignment="1">
      <alignment horizontal="right" vertical="center"/>
    </xf>
    <xf numFmtId="165" fontId="14" fillId="0" borderId="2" xfId="27" applyNumberFormat="1" applyFont="1" applyBorder="1" applyAlignment="1">
      <alignment horizontal="right" vertical="center"/>
    </xf>
    <xf numFmtId="165" fontId="0" fillId="0" borderId="35" xfId="0" applyNumberFormat="1" applyBorder="1" applyAlignment="1">
      <alignment wrapText="1"/>
    </xf>
    <xf numFmtId="165" fontId="36" fillId="0" borderId="2" xfId="21" applyNumberFormat="1" applyFont="1" applyBorder="1"/>
    <xf numFmtId="165" fontId="0" fillId="0" borderId="56" xfId="0" applyNumberFormat="1" applyBorder="1" applyAlignment="1">
      <alignment wrapText="1"/>
    </xf>
    <xf numFmtId="165" fontId="36" fillId="0" borderId="2" xfId="44" applyNumberFormat="1" applyFont="1" applyBorder="1"/>
    <xf numFmtId="165" fontId="14" fillId="0" borderId="2" xfId="21" applyNumberFormat="1" applyFont="1" applyFill="1" applyBorder="1" applyAlignment="1">
      <alignment horizontal="right" vertical="center"/>
    </xf>
    <xf numFmtId="165" fontId="5" fillId="0" borderId="2" xfId="44" applyNumberFormat="1" applyBorder="1"/>
    <xf numFmtId="165" fontId="14" fillId="0" borderId="61" xfId="27" applyNumberFormat="1" applyFont="1" applyBorder="1" applyAlignment="1">
      <alignment horizontal="left" vertical="center"/>
    </xf>
    <xf numFmtId="165" fontId="14" fillId="0" borderId="62" xfId="19" applyNumberFormat="1" applyFont="1" applyFill="1" applyBorder="1" applyAlignment="1">
      <alignment horizontal="right" vertical="center"/>
    </xf>
    <xf numFmtId="165" fontId="14" fillId="0" borderId="62" xfId="27" applyNumberFormat="1" applyFont="1" applyBorder="1" applyAlignment="1">
      <alignment horizontal="right" vertical="center"/>
    </xf>
    <xf numFmtId="165" fontId="14" fillId="0" borderId="63" xfId="19" applyNumberFormat="1" applyFont="1" applyFill="1" applyBorder="1" applyAlignment="1">
      <alignment horizontal="right" vertical="center"/>
    </xf>
    <xf numFmtId="165" fontId="14" fillId="0" borderId="34" xfId="27" applyNumberFormat="1" applyFont="1" applyBorder="1" applyAlignment="1">
      <alignment horizontal="left" vertical="center"/>
    </xf>
    <xf numFmtId="165" fontId="14" fillId="0" borderId="0" xfId="19" applyNumberFormat="1" applyFont="1" applyFill="1" applyBorder="1" applyAlignment="1">
      <alignment horizontal="right" vertical="center"/>
    </xf>
    <xf numFmtId="165" fontId="14" fillId="0" borderId="0" xfId="27" applyNumberFormat="1" applyFont="1" applyAlignment="1">
      <alignment horizontal="right" vertical="center"/>
    </xf>
    <xf numFmtId="165" fontId="14" fillId="0" borderId="35" xfId="19" applyNumberFormat="1" applyFont="1" applyFill="1" applyBorder="1" applyAlignment="1">
      <alignment horizontal="right" vertical="center"/>
    </xf>
    <xf numFmtId="165" fontId="13" fillId="0" borderId="35" xfId="27" applyNumberFormat="1" applyFont="1" applyBorder="1" applyAlignment="1">
      <alignment horizontal="left"/>
    </xf>
    <xf numFmtId="165" fontId="55" fillId="0" borderId="34" xfId="11" applyNumberFormat="1" applyFont="1" applyBorder="1"/>
    <xf numFmtId="165" fontId="56" fillId="0" borderId="34" xfId="45" applyNumberFormat="1" applyFont="1" applyBorder="1"/>
    <xf numFmtId="165" fontId="46" fillId="0" borderId="2" xfId="44" applyNumberFormat="1" applyFont="1" applyBorder="1"/>
    <xf numFmtId="165" fontId="26" fillId="0" borderId="0" xfId="11" applyNumberFormat="1" applyFont="1"/>
    <xf numFmtId="165" fontId="5" fillId="0" borderId="34" xfId="11" applyNumberFormat="1" applyBorder="1"/>
    <xf numFmtId="165" fontId="9" fillId="0" borderId="36" xfId="11" applyNumberFormat="1" applyFont="1" applyBorder="1"/>
    <xf numFmtId="165" fontId="9" fillId="0" borderId="13" xfId="11" applyNumberFormat="1" applyFont="1" applyBorder="1"/>
    <xf numFmtId="165" fontId="9" fillId="0" borderId="37" xfId="11" applyNumberFormat="1" applyFont="1" applyBorder="1"/>
    <xf numFmtId="165" fontId="13" fillId="0" borderId="34" xfId="27" applyNumberFormat="1" applyFont="1" applyBorder="1" applyAlignment="1">
      <alignment horizontal="justify"/>
    </xf>
    <xf numFmtId="165" fontId="14" fillId="0" borderId="0" xfId="27" applyNumberFormat="1" applyFont="1" applyAlignment="1">
      <alignment horizontal="left"/>
    </xf>
    <xf numFmtId="165" fontId="14" fillId="0" borderId="34" xfId="27" applyNumberFormat="1" applyFont="1" applyBorder="1" applyAlignment="1">
      <alignment horizontal="left" wrapText="1"/>
    </xf>
    <xf numFmtId="165" fontId="14" fillId="0" borderId="0" xfId="27" applyNumberFormat="1" applyFont="1" applyAlignment="1">
      <alignment horizontal="left" wrapText="1"/>
    </xf>
    <xf numFmtId="165" fontId="13" fillId="6" borderId="29" xfId="27" applyNumberFormat="1" applyFont="1" applyFill="1" applyBorder="1" applyAlignment="1">
      <alignment horizontal="justify" vertical="top" wrapText="1"/>
    </xf>
    <xf numFmtId="165" fontId="13" fillId="6" borderId="14" xfId="27" applyNumberFormat="1" applyFont="1" applyFill="1" applyBorder="1" applyAlignment="1">
      <alignment horizontal="center" vertical="top" wrapText="1"/>
    </xf>
    <xf numFmtId="165" fontId="13" fillId="6" borderId="2" xfId="27" applyNumberFormat="1" applyFont="1" applyFill="1" applyBorder="1" applyAlignment="1">
      <alignment horizontal="center" vertical="top" wrapText="1"/>
    </xf>
    <xf numFmtId="165" fontId="14" fillId="0" borderId="29" xfId="27" applyNumberFormat="1" applyFont="1" applyBorder="1" applyAlignment="1">
      <alignment horizontal="justify" vertical="top" wrapText="1"/>
    </xf>
    <xf numFmtId="165" fontId="14" fillId="0" borderId="2" xfId="28" applyNumberFormat="1" applyFont="1" applyBorder="1" applyProtection="1"/>
    <xf numFmtId="165" fontId="14" fillId="0" borderId="14" xfId="28" applyNumberFormat="1" applyFont="1" applyBorder="1" applyAlignment="1" applyProtection="1">
      <alignment vertical="top" wrapText="1"/>
    </xf>
    <xf numFmtId="165" fontId="14" fillId="0" borderId="2" xfId="28" applyNumberFormat="1" applyFont="1" applyBorder="1" applyAlignment="1" applyProtection="1">
      <alignment vertical="top" wrapText="1"/>
    </xf>
    <xf numFmtId="165" fontId="13" fillId="0" borderId="34" xfId="27" applyNumberFormat="1" applyFont="1" applyBorder="1"/>
    <xf numFmtId="165" fontId="14" fillId="0" borderId="2" xfId="28" applyNumberFormat="1" applyFont="1" applyBorder="1" applyAlignment="1" applyProtection="1">
      <alignment horizontal="right" vertical="top" wrapText="1"/>
    </xf>
    <xf numFmtId="165" fontId="14" fillId="0" borderId="35" xfId="27" applyNumberFormat="1" applyFont="1" applyBorder="1"/>
    <xf numFmtId="165" fontId="39" fillId="0" borderId="0" xfId="27" applyNumberFormat="1" applyFont="1" applyAlignment="1">
      <alignment horizontal="justify"/>
    </xf>
    <xf numFmtId="165" fontId="32" fillId="0" borderId="0" xfId="27" applyNumberFormat="1" applyFont="1" applyAlignment="1">
      <alignment horizontal="justify"/>
    </xf>
    <xf numFmtId="165" fontId="14" fillId="0" borderId="34" xfId="27" applyNumberFormat="1" applyFont="1" applyBorder="1" applyAlignment="1">
      <alignment horizontal="left" indent="1"/>
    </xf>
    <xf numFmtId="165" fontId="14" fillId="0" borderId="34" xfId="27" applyNumberFormat="1" applyFont="1" applyBorder="1" applyAlignment="1">
      <alignment horizontal="left" vertical="top" wrapText="1" indent="1"/>
    </xf>
    <xf numFmtId="165" fontId="14" fillId="0" borderId="0" xfId="28" applyNumberFormat="1" applyFont="1" applyBorder="1" applyAlignment="1" applyProtection="1">
      <alignment horizontal="center" vertical="top" wrapText="1"/>
    </xf>
    <xf numFmtId="165" fontId="14" fillId="0" borderId="34" xfId="27" applyNumberFormat="1" applyFont="1" applyBorder="1" applyAlignment="1">
      <alignment horizontal="justify" vertical="top" wrapText="1"/>
    </xf>
    <xf numFmtId="165" fontId="13" fillId="0" borderId="34" xfId="27" applyNumberFormat="1" applyFont="1" applyBorder="1" applyAlignment="1">
      <alignment horizontal="justify" vertical="top" wrapText="1"/>
    </xf>
    <xf numFmtId="165" fontId="13" fillId="5" borderId="2" xfId="27" applyNumberFormat="1" applyFont="1" applyFill="1" applyBorder="1" applyAlignment="1">
      <alignment horizontal="center" vertical="top" wrapText="1"/>
    </xf>
    <xf numFmtId="165" fontId="14" fillId="0" borderId="56" xfId="28" applyNumberFormat="1" applyFont="1" applyBorder="1" applyAlignment="1" applyProtection="1">
      <alignment vertical="top" wrapText="1"/>
    </xf>
    <xf numFmtId="165" fontId="14" fillId="0" borderId="29" xfId="27" applyNumberFormat="1" applyFont="1" applyBorder="1" applyAlignment="1">
      <alignment horizontal="left" vertical="top" wrapText="1" indent="1"/>
    </xf>
    <xf numFmtId="165" fontId="14" fillId="0" borderId="2" xfId="21" applyNumberFormat="1" applyFont="1" applyFill="1" applyBorder="1"/>
    <xf numFmtId="165" fontId="14" fillId="0" borderId="56" xfId="21" applyNumberFormat="1" applyFont="1" applyFill="1" applyBorder="1"/>
    <xf numFmtId="165" fontId="14" fillId="0" borderId="14" xfId="21" applyNumberFormat="1" applyFont="1" applyFill="1" applyBorder="1"/>
    <xf numFmtId="165" fontId="14" fillId="0" borderId="2" xfId="27" applyNumberFormat="1" applyFont="1" applyBorder="1"/>
    <xf numFmtId="165" fontId="14" fillId="0" borderId="56" xfId="27" applyNumberFormat="1" applyFont="1" applyBorder="1"/>
    <xf numFmtId="165" fontId="32" fillId="0" borderId="2" xfId="27" applyNumberFormat="1" applyFont="1" applyBorder="1" applyAlignment="1">
      <alignment horizontal="justify"/>
    </xf>
    <xf numFmtId="165" fontId="32" fillId="0" borderId="56" xfId="27" applyNumberFormat="1" applyFont="1" applyBorder="1" applyAlignment="1">
      <alignment horizontal="justify"/>
    </xf>
    <xf numFmtId="165" fontId="14" fillId="0" borderId="58" xfId="21" applyNumberFormat="1" applyFont="1" applyFill="1" applyBorder="1"/>
    <xf numFmtId="165" fontId="32" fillId="0" borderId="14" xfId="21" applyNumberFormat="1" applyFont="1" applyFill="1" applyBorder="1" applyAlignment="1">
      <alignment horizontal="justify"/>
    </xf>
    <xf numFmtId="165" fontId="14" fillId="0" borderId="34" xfId="27" applyNumberFormat="1" applyFont="1" applyBorder="1"/>
    <xf numFmtId="165" fontId="14" fillId="0" borderId="29" xfId="27" applyNumberFormat="1" applyFont="1" applyBorder="1"/>
    <xf numFmtId="165" fontId="14" fillId="0" borderId="2" xfId="21" applyNumberFormat="1" applyFont="1" applyFill="1" applyBorder="1" applyAlignment="1">
      <alignment horizontal="justify"/>
    </xf>
    <xf numFmtId="165" fontId="14" fillId="0" borderId="0" xfId="27" applyNumberFormat="1" applyFont="1" applyAlignment="1">
      <alignment horizontal="left" vertical="center" wrapText="1"/>
    </xf>
    <xf numFmtId="165" fontId="14" fillId="0" borderId="34" xfId="27" applyNumberFormat="1" applyFont="1" applyBorder="1" applyAlignment="1">
      <alignment vertical="center"/>
    </xf>
    <xf numFmtId="165" fontId="14" fillId="0" borderId="36" xfId="27" applyNumberFormat="1" applyFont="1" applyBorder="1" applyAlignment="1">
      <alignment horizontal="left" vertical="center" wrapText="1"/>
    </xf>
    <xf numFmtId="165" fontId="14" fillId="0" borderId="13" xfId="27" applyNumberFormat="1" applyFont="1" applyBorder="1" applyAlignment="1">
      <alignment horizontal="left" vertical="center" wrapText="1"/>
    </xf>
    <xf numFmtId="165" fontId="13" fillId="5" borderId="70" xfId="27" applyNumberFormat="1" applyFont="1" applyFill="1" applyBorder="1" applyAlignment="1">
      <alignment horizontal="justify" vertical="top" wrapText="1"/>
    </xf>
    <xf numFmtId="165" fontId="13" fillId="5" borderId="64" xfId="27" applyNumberFormat="1" applyFont="1" applyFill="1" applyBorder="1" applyAlignment="1">
      <alignment horizontal="justify" vertical="top" wrapText="1"/>
    </xf>
    <xf numFmtId="165" fontId="14" fillId="0" borderId="29" xfId="27" applyNumberFormat="1" applyFont="1" applyBorder="1" applyAlignment="1">
      <alignment horizontal="left" vertical="center" wrapText="1"/>
    </xf>
    <xf numFmtId="165" fontId="14" fillId="0" borderId="2" xfId="21" applyNumberFormat="1" applyFont="1" applyFill="1" applyBorder="1" applyAlignment="1">
      <alignment vertical="center"/>
    </xf>
    <xf numFmtId="165" fontId="14" fillId="0" borderId="71" xfId="27" applyNumberFormat="1" applyFont="1" applyBorder="1" applyAlignment="1">
      <alignment horizontal="left" vertical="center" wrapText="1"/>
    </xf>
    <xf numFmtId="165" fontId="14" fillId="0" borderId="57" xfId="21" applyNumberFormat="1" applyFont="1" applyFill="1" applyBorder="1" applyAlignment="1">
      <alignment vertical="center"/>
    </xf>
    <xf numFmtId="165" fontId="14" fillId="0" borderId="0" xfId="27" applyNumberFormat="1" applyFont="1" applyAlignment="1">
      <alignment vertical="center"/>
    </xf>
    <xf numFmtId="165" fontId="13" fillId="6" borderId="29" xfId="27" applyNumberFormat="1" applyFont="1" applyFill="1" applyBorder="1" applyAlignment="1">
      <alignment horizontal="left" vertical="center" wrapText="1"/>
    </xf>
    <xf numFmtId="165" fontId="14" fillId="0" borderId="13" xfId="21" applyNumberFormat="1" applyFont="1" applyBorder="1" applyAlignment="1">
      <alignment horizontal="left" vertical="center" wrapText="1"/>
    </xf>
    <xf numFmtId="165" fontId="14" fillId="0" borderId="31" xfId="27" applyNumberFormat="1" applyFont="1" applyBorder="1" applyAlignment="1">
      <alignment horizontal="left" vertical="center" wrapText="1"/>
    </xf>
    <xf numFmtId="165" fontId="14" fillId="0" borderId="32" xfId="27" applyNumberFormat="1" applyFont="1" applyBorder="1" applyAlignment="1">
      <alignment horizontal="left" vertical="center" wrapText="1"/>
    </xf>
    <xf numFmtId="165" fontId="14" fillId="0" borderId="33" xfId="27" applyNumberFormat="1" applyFont="1" applyBorder="1" applyAlignment="1">
      <alignment horizontal="left" vertical="center" wrapText="1"/>
    </xf>
    <xf numFmtId="165" fontId="13" fillId="0" borderId="35" xfId="27" applyNumberFormat="1" applyFont="1" applyBorder="1"/>
    <xf numFmtId="165" fontId="14" fillId="0" borderId="0" xfId="27" applyNumberFormat="1" applyFont="1" applyAlignment="1">
      <alignment horizontal="left" vertical="center"/>
    </xf>
    <xf numFmtId="165" fontId="13" fillId="0" borderId="0" xfId="28" applyNumberFormat="1" applyFont="1" applyBorder="1" applyProtection="1"/>
    <xf numFmtId="165" fontId="13" fillId="0" borderId="35" xfId="28" applyNumberFormat="1" applyFont="1" applyBorder="1" applyProtection="1"/>
    <xf numFmtId="165" fontId="14" fillId="0" borderId="0" xfId="28" applyNumberFormat="1" applyFont="1" applyBorder="1" applyAlignment="1" applyProtection="1">
      <alignment horizontal="right" vertical="center"/>
    </xf>
    <xf numFmtId="165" fontId="13" fillId="0" borderId="0" xfId="27" applyNumberFormat="1" applyFont="1"/>
    <xf numFmtId="165" fontId="14" fillId="0" borderId="36" xfId="30" applyNumberFormat="1" applyFont="1" applyBorder="1" applyProtection="1"/>
    <xf numFmtId="165" fontId="14" fillId="0" borderId="13" xfId="27" applyNumberFormat="1" applyFont="1" applyBorder="1"/>
    <xf numFmtId="165" fontId="14" fillId="0" borderId="35" xfId="1" applyNumberFormat="1" applyFont="1" applyFill="1" applyBorder="1" applyAlignment="1"/>
    <xf numFmtId="165" fontId="13" fillId="0" borderId="0" xfId="1" applyNumberFormat="1" applyFont="1" applyFill="1" applyBorder="1" applyAlignment="1"/>
    <xf numFmtId="165" fontId="13" fillId="0" borderId="35" xfId="1" applyNumberFormat="1" applyFont="1" applyFill="1" applyBorder="1" applyAlignment="1"/>
    <xf numFmtId="165" fontId="38" fillId="0" borderId="34" xfId="0" applyNumberFormat="1" applyFont="1" applyBorder="1"/>
    <xf numFmtId="165" fontId="14" fillId="0" borderId="0" xfId="1" applyNumberFormat="1" applyFont="1" applyFill="1" applyBorder="1" applyAlignment="1"/>
    <xf numFmtId="165" fontId="14" fillId="0" borderId="0" xfId="1" applyNumberFormat="1" applyFont="1" applyFill="1" applyBorder="1" applyAlignment="1" applyProtection="1"/>
    <xf numFmtId="165" fontId="14" fillId="0" borderId="35" xfId="3" applyFont="1" applyFill="1" applyBorder="1"/>
    <xf numFmtId="165" fontId="14" fillId="0" borderId="37" xfId="1" applyNumberFormat="1" applyFont="1" applyFill="1" applyBorder="1"/>
    <xf numFmtId="165" fontId="13" fillId="0" borderId="31" xfId="0" applyNumberFormat="1" applyFont="1" applyBorder="1" applyAlignment="1">
      <alignment horizontal="center"/>
    </xf>
    <xf numFmtId="165" fontId="13" fillId="0" borderId="32" xfId="0" applyNumberFormat="1" applyFont="1" applyBorder="1" applyAlignment="1">
      <alignment horizontal="center"/>
    </xf>
    <xf numFmtId="165" fontId="14" fillId="0" borderId="0" xfId="0" applyNumberFormat="1" applyFont="1" applyAlignment="1">
      <alignment horizontal="left" vertical="top" indent="1"/>
    </xf>
    <xf numFmtId="165" fontId="9" fillId="0" borderId="13" xfId="0" applyNumberFormat="1" applyFont="1" applyBorder="1" applyAlignment="1">
      <alignment horizontal="center"/>
    </xf>
    <xf numFmtId="0" fontId="0" fillId="4" borderId="0" xfId="0" applyFill="1" applyAlignment="1">
      <alignment horizontal="left"/>
    </xf>
    <xf numFmtId="165" fontId="14" fillId="0" borderId="2" xfId="21" applyNumberFormat="1" applyFont="1" applyBorder="1" applyAlignment="1">
      <alignment vertical="center" wrapText="1"/>
    </xf>
    <xf numFmtId="165" fontId="13" fillId="6" borderId="2" xfId="27" applyNumberFormat="1" applyFont="1" applyFill="1" applyBorder="1" applyAlignment="1">
      <alignment vertical="center" wrapText="1"/>
    </xf>
    <xf numFmtId="165" fontId="13" fillId="6" borderId="29" xfId="27" applyNumberFormat="1" applyFont="1" applyFill="1" applyBorder="1"/>
    <xf numFmtId="165" fontId="13" fillId="6" borderId="2" xfId="27" applyNumberFormat="1" applyFont="1" applyFill="1" applyBorder="1"/>
    <xf numFmtId="0" fontId="14" fillId="0" borderId="41" xfId="0" applyFont="1" applyBorder="1" applyAlignment="1">
      <alignment wrapText="1"/>
    </xf>
    <xf numFmtId="0" fontId="14" fillId="0" borderId="41" xfId="0" applyFont="1" applyBorder="1" applyAlignment="1">
      <alignment horizontal="left" wrapText="1"/>
    </xf>
    <xf numFmtId="165" fontId="14" fillId="0" borderId="0" xfId="8" applyNumberFormat="1" applyFont="1" applyAlignment="1">
      <alignment horizontal="center"/>
    </xf>
    <xf numFmtId="165" fontId="14" fillId="0" borderId="0" xfId="8" applyNumberFormat="1" applyFont="1" applyAlignment="1">
      <alignment horizontal="center" vertical="center"/>
    </xf>
    <xf numFmtId="165" fontId="11" fillId="0" borderId="20" xfId="8" applyNumberFormat="1" applyFont="1" applyBorder="1" applyAlignment="1">
      <alignment vertical="center"/>
    </xf>
    <xf numFmtId="165" fontId="11" fillId="0" borderId="35" xfId="9" applyFont="1" applyFill="1" applyBorder="1" applyAlignment="1">
      <alignment vertical="center"/>
    </xf>
    <xf numFmtId="165" fontId="11" fillId="0" borderId="20" xfId="8" applyNumberFormat="1" applyFont="1" applyBorder="1" applyAlignment="1">
      <alignment vertical="center" wrapText="1"/>
    </xf>
    <xf numFmtId="165" fontId="11" fillId="0" borderId="34" xfId="0" applyNumberFormat="1" applyFont="1" applyBorder="1"/>
    <xf numFmtId="165" fontId="11" fillId="0" borderId="35" xfId="10" applyFont="1" applyFill="1" applyBorder="1" applyAlignment="1">
      <alignment vertical="center"/>
    </xf>
    <xf numFmtId="165" fontId="13" fillId="0" borderId="0" xfId="1" applyNumberFormat="1" applyFont="1" applyBorder="1"/>
    <xf numFmtId="171" fontId="13" fillId="0" borderId="13" xfId="1" applyNumberFormat="1" applyFont="1" applyFill="1" applyBorder="1" applyAlignment="1">
      <alignment horizontal="right"/>
    </xf>
    <xf numFmtId="171" fontId="34" fillId="0" borderId="0" xfId="11" applyNumberFormat="1" applyFont="1"/>
    <xf numFmtId="166" fontId="14" fillId="0" borderId="0" xfId="0" applyNumberFormat="1" applyFont="1" applyAlignment="1">
      <alignment horizontal="center"/>
    </xf>
    <xf numFmtId="166" fontId="14" fillId="0" borderId="0" xfId="2" applyNumberFormat="1" applyFont="1" applyFill="1" applyBorder="1" applyAlignment="1">
      <alignment horizontal="center" vertical="center"/>
    </xf>
    <xf numFmtId="165" fontId="13" fillId="0" borderId="32" xfId="0" applyNumberFormat="1" applyFont="1" applyBorder="1" applyAlignment="1">
      <alignment horizontal="right" vertical="center"/>
    </xf>
    <xf numFmtId="165" fontId="13" fillId="0" borderId="33" xfId="0" applyNumberFormat="1" applyFont="1" applyBorder="1" applyAlignment="1">
      <alignment horizontal="right" vertical="center"/>
    </xf>
    <xf numFmtId="171" fontId="13" fillId="0" borderId="13" xfId="0" applyNumberFormat="1" applyFont="1" applyBorder="1" applyAlignment="1">
      <alignment horizontal="right" vertical="center"/>
    </xf>
    <xf numFmtId="171" fontId="13" fillId="0" borderId="37" xfId="0" applyNumberFormat="1" applyFont="1" applyBorder="1" applyAlignment="1">
      <alignment horizontal="right" vertical="center"/>
    </xf>
    <xf numFmtId="165" fontId="14" fillId="0" borderId="13" xfId="2" applyFont="1" applyFill="1" applyBorder="1"/>
    <xf numFmtId="15" fontId="11" fillId="0" borderId="0" xfId="21" applyNumberFormat="1" applyFont="1" applyBorder="1"/>
    <xf numFmtId="172" fontId="9" fillId="0" borderId="0" xfId="0" applyNumberFormat="1" applyFont="1"/>
    <xf numFmtId="165" fontId="0" fillId="0" borderId="0" xfId="21" applyNumberFormat="1" applyFont="1"/>
    <xf numFmtId="43" fontId="14" fillId="0" borderId="0" xfId="0" applyNumberFormat="1" applyFont="1"/>
    <xf numFmtId="43" fontId="14" fillId="0" borderId="0" xfId="1" applyFont="1" applyFill="1"/>
    <xf numFmtId="4" fontId="14" fillId="0" borderId="2" xfId="28" applyNumberFormat="1" applyFont="1" applyBorder="1" applyAlignment="1" applyProtection="1">
      <alignment horizontal="right" vertical="top" wrapText="1"/>
    </xf>
    <xf numFmtId="165" fontId="14" fillId="0" borderId="3" xfId="1" applyNumberFormat="1" applyFont="1" applyBorder="1" applyAlignment="1">
      <alignment horizontal="center" vertical="center"/>
    </xf>
    <xf numFmtId="165" fontId="0" fillId="0" borderId="41" xfId="0" applyNumberFormat="1" applyBorder="1"/>
    <xf numFmtId="165" fontId="2" fillId="0" borderId="20" xfId="40" applyNumberFormat="1" applyFont="1" applyBorder="1"/>
    <xf numFmtId="165" fontId="2" fillId="0" borderId="3" xfId="1" applyNumberFormat="1" applyFont="1" applyBorder="1"/>
    <xf numFmtId="165" fontId="2" fillId="0" borderId="27" xfId="1" applyNumberFormat="1" applyFont="1" applyBorder="1"/>
    <xf numFmtId="165" fontId="2" fillId="0" borderId="41" xfId="40" applyNumberFormat="1" applyFont="1" applyBorder="1" applyAlignment="1">
      <alignment wrapText="1"/>
    </xf>
    <xf numFmtId="165" fontId="2" fillId="0" borderId="41" xfId="40" applyNumberFormat="1" applyFont="1" applyBorder="1"/>
    <xf numFmtId="165" fontId="2" fillId="0" borderId="35" xfId="1" applyNumberFormat="1" applyFont="1" applyBorder="1"/>
    <xf numFmtId="165" fontId="2" fillId="0" borderId="2" xfId="0" applyNumberFormat="1" applyFont="1" applyBorder="1"/>
    <xf numFmtId="165" fontId="10" fillId="0" borderId="52" xfId="0" applyNumberFormat="1" applyFont="1" applyBorder="1"/>
    <xf numFmtId="165" fontId="0" fillId="0" borderId="12" xfId="0" applyNumberFormat="1" applyBorder="1"/>
    <xf numFmtId="165" fontId="10" fillId="0" borderId="12" xfId="0" applyNumberFormat="1" applyFont="1" applyBorder="1"/>
    <xf numFmtId="165" fontId="2" fillId="0" borderId="12" xfId="0" applyNumberFormat="1" applyFont="1" applyBorder="1"/>
    <xf numFmtId="43" fontId="9" fillId="0" borderId="0" xfId="0" applyNumberFormat="1" applyFont="1"/>
    <xf numFmtId="165" fontId="14" fillId="2" borderId="34" xfId="0" applyNumberFormat="1" applyFont="1" applyFill="1" applyBorder="1"/>
    <xf numFmtId="165" fontId="14" fillId="2" borderId="41" xfId="1" applyNumberFormat="1" applyFont="1" applyFill="1" applyBorder="1"/>
    <xf numFmtId="173" fontId="13" fillId="0" borderId="32" xfId="1" applyNumberFormat="1" applyFont="1" applyFill="1" applyBorder="1" applyAlignment="1">
      <alignment horizontal="right"/>
    </xf>
    <xf numFmtId="173" fontId="13" fillId="0" borderId="33" xfId="1" applyNumberFormat="1" applyFont="1" applyFill="1" applyBorder="1" applyAlignment="1">
      <alignment horizontal="right"/>
    </xf>
    <xf numFmtId="173" fontId="13" fillId="0" borderId="32" xfId="0" applyNumberFormat="1" applyFont="1" applyBorder="1" applyAlignment="1">
      <alignment horizontal="center"/>
    </xf>
    <xf numFmtId="173" fontId="13" fillId="0" borderId="33" xfId="0" applyNumberFormat="1" applyFont="1" applyBorder="1" applyAlignment="1">
      <alignment horizontal="center"/>
    </xf>
    <xf numFmtId="173" fontId="14" fillId="0" borderId="0" xfId="1" applyNumberFormat="1" applyFont="1" applyFill="1" applyBorder="1" applyAlignment="1">
      <alignment horizontal="left"/>
    </xf>
    <xf numFmtId="173" fontId="14" fillId="0" borderId="35" xfId="1" applyNumberFormat="1" applyFont="1" applyFill="1" applyBorder="1" applyAlignment="1">
      <alignment horizontal="left"/>
    </xf>
    <xf numFmtId="173" fontId="14" fillId="0" borderId="0" xfId="1" applyNumberFormat="1" applyFont="1" applyFill="1" applyBorder="1"/>
    <xf numFmtId="173" fontId="14" fillId="0" borderId="35" xfId="1" applyNumberFormat="1" applyFont="1" applyFill="1" applyBorder="1"/>
    <xf numFmtId="173" fontId="14" fillId="0" borderId="0" xfId="0" applyNumberFormat="1" applyFont="1" applyAlignment="1">
      <alignment horizontal="center"/>
    </xf>
    <xf numFmtId="173" fontId="14" fillId="0" borderId="35" xfId="0" applyNumberFormat="1" applyFont="1" applyBorder="1" applyAlignment="1">
      <alignment horizontal="center"/>
    </xf>
    <xf numFmtId="173" fontId="13" fillId="0" borderId="5" xfId="1" applyNumberFormat="1" applyFont="1" applyFill="1" applyBorder="1"/>
    <xf numFmtId="173" fontId="13" fillId="0" borderId="38" xfId="1" applyNumberFormat="1" applyFont="1" applyFill="1" applyBorder="1"/>
    <xf numFmtId="173" fontId="14" fillId="0" borderId="35" xfId="3" applyNumberFormat="1" applyFont="1" applyFill="1" applyBorder="1"/>
    <xf numFmtId="173" fontId="14" fillId="0" borderId="0" xfId="3" applyNumberFormat="1" applyFont="1" applyFill="1" applyBorder="1"/>
    <xf numFmtId="173" fontId="13" fillId="0" borderId="0" xfId="1" applyNumberFormat="1" applyFont="1" applyFill="1" applyBorder="1"/>
    <xf numFmtId="173" fontId="13" fillId="0" borderId="35" xfId="3" applyNumberFormat="1" applyFont="1" applyFill="1" applyBorder="1"/>
    <xf numFmtId="173" fontId="14" fillId="0" borderId="0" xfId="1" applyNumberFormat="1" applyFont="1" applyBorder="1" applyAlignment="1">
      <alignment horizontal="center"/>
    </xf>
    <xf numFmtId="173" fontId="14" fillId="0" borderId="35" xfId="1" applyNumberFormat="1" applyFont="1" applyBorder="1" applyAlignment="1">
      <alignment horizontal="center"/>
    </xf>
    <xf numFmtId="173" fontId="13" fillId="0" borderId="38" xfId="3" applyNumberFormat="1" applyFont="1" applyFill="1" applyBorder="1"/>
    <xf numFmtId="173" fontId="14" fillId="0" borderId="13" xfId="0" applyNumberFormat="1" applyFont="1" applyBorder="1" applyAlignment="1">
      <alignment horizontal="center"/>
    </xf>
    <xf numFmtId="173" fontId="14" fillId="0" borderId="37" xfId="0" applyNumberFormat="1" applyFont="1" applyBorder="1" applyAlignment="1">
      <alignment horizontal="center"/>
    </xf>
    <xf numFmtId="173" fontId="14" fillId="0" borderId="0" xfId="0" applyNumberFormat="1" applyFont="1"/>
    <xf numFmtId="173" fontId="14" fillId="0" borderId="35" xfId="0" applyNumberFormat="1" applyFont="1" applyBorder="1"/>
    <xf numFmtId="173" fontId="13" fillId="0" borderId="0" xfId="0" applyNumberFormat="1" applyFont="1"/>
    <xf numFmtId="173" fontId="13" fillId="0" borderId="35" xfId="1" applyNumberFormat="1" applyFont="1" applyFill="1" applyBorder="1"/>
    <xf numFmtId="173" fontId="9" fillId="0" borderId="0" xfId="0" applyNumberFormat="1" applyFont="1" applyAlignment="1">
      <alignment horizontal="center"/>
    </xf>
    <xf numFmtId="173" fontId="9" fillId="0" borderId="35" xfId="0" applyNumberFormat="1" applyFont="1" applyBorder="1" applyAlignment="1">
      <alignment horizontal="center"/>
    </xf>
    <xf numFmtId="173" fontId="9" fillId="0" borderId="13" xfId="0" applyNumberFormat="1" applyFont="1" applyBorder="1" applyAlignment="1">
      <alignment horizontal="center"/>
    </xf>
    <xf numFmtId="173" fontId="9" fillId="0" borderId="37" xfId="0" applyNumberFormat="1" applyFont="1" applyBorder="1" applyAlignment="1">
      <alignment horizontal="center"/>
    </xf>
    <xf numFmtId="165" fontId="14" fillId="9" borderId="0" xfId="21" applyNumberFormat="1" applyFont="1" applyFill="1"/>
    <xf numFmtId="0" fontId="5" fillId="4" borderId="0" xfId="0" applyFont="1" applyFill="1" applyAlignment="1">
      <alignment horizontal="left" wrapText="1"/>
    </xf>
    <xf numFmtId="165" fontId="0" fillId="0" borderId="8" xfId="0" applyNumberFormat="1" applyBorder="1"/>
    <xf numFmtId="166" fontId="9" fillId="0" borderId="0" xfId="0" applyNumberFormat="1" applyFont="1"/>
    <xf numFmtId="43" fontId="9" fillId="0" borderId="2" xfId="46" applyFont="1" applyBorder="1"/>
    <xf numFmtId="165" fontId="36" fillId="0" borderId="0" xfId="0" applyNumberFormat="1" applyFont="1"/>
    <xf numFmtId="165" fontId="14" fillId="2" borderId="3" xfId="1" applyNumberFormat="1" applyFont="1" applyFill="1" applyBorder="1"/>
    <xf numFmtId="43" fontId="0" fillId="4" borderId="0" xfId="21" applyFont="1" applyFill="1"/>
    <xf numFmtId="3" fontId="0" fillId="4" borderId="0" xfId="21" applyNumberFormat="1" applyFont="1" applyFill="1"/>
    <xf numFmtId="171" fontId="13" fillId="0" borderId="37" xfId="1" applyNumberFormat="1" applyFont="1" applyFill="1" applyBorder="1" applyAlignment="1">
      <alignment horizontal="right"/>
    </xf>
    <xf numFmtId="165" fontId="33" fillId="0" borderId="0" xfId="27" applyNumberFormat="1" applyFont="1" applyAlignment="1">
      <alignment horizontal="right"/>
    </xf>
    <xf numFmtId="165" fontId="14" fillId="0" borderId="29" xfId="27" applyNumberFormat="1" applyFont="1" applyBorder="1" applyAlignment="1">
      <alignment horizontal="justify" vertical="top"/>
    </xf>
    <xf numFmtId="165" fontId="16" fillId="0" borderId="0" xfId="40" applyNumberFormat="1" applyFont="1"/>
    <xf numFmtId="165" fontId="29" fillId="0" borderId="31" xfId="0" applyNumberFormat="1" applyFont="1" applyBorder="1" applyAlignment="1">
      <alignment vertical="center"/>
    </xf>
    <xf numFmtId="165" fontId="29" fillId="0" borderId="32" xfId="0" applyNumberFormat="1" applyFont="1" applyBorder="1" applyAlignment="1">
      <alignment vertical="center"/>
    </xf>
    <xf numFmtId="165" fontId="29" fillId="0" borderId="33" xfId="0" applyNumberFormat="1" applyFont="1" applyBorder="1" applyAlignment="1">
      <alignment vertical="center"/>
    </xf>
    <xf numFmtId="165" fontId="28" fillId="0" borderId="34" xfId="0" applyNumberFormat="1" applyFont="1" applyBorder="1" applyAlignment="1">
      <alignment vertical="center"/>
    </xf>
    <xf numFmtId="165" fontId="28" fillId="0" borderId="35" xfId="0" applyNumberFormat="1" applyFont="1" applyBorder="1" applyAlignment="1">
      <alignment vertical="center"/>
    </xf>
    <xf numFmtId="165" fontId="26" fillId="0" borderId="36" xfId="0" applyNumberFormat="1" applyFont="1" applyBorder="1" applyAlignment="1">
      <alignment vertical="center"/>
    </xf>
    <xf numFmtId="165" fontId="26" fillId="0" borderId="13" xfId="0" applyNumberFormat="1" applyFont="1" applyBorder="1" applyAlignment="1">
      <alignment vertical="center"/>
    </xf>
    <xf numFmtId="165" fontId="26" fillId="0" borderId="37" xfId="0" applyNumberFormat="1" applyFont="1" applyBorder="1" applyAlignment="1">
      <alignment vertical="center"/>
    </xf>
    <xf numFmtId="165" fontId="28" fillId="0" borderId="0" xfId="0" applyNumberFormat="1" applyFont="1" applyAlignment="1">
      <alignment vertical="center"/>
    </xf>
    <xf numFmtId="165" fontId="29" fillId="0" borderId="0" xfId="0" applyNumberFormat="1" applyFont="1" applyAlignment="1">
      <alignment vertical="center"/>
    </xf>
    <xf numFmtId="165" fontId="26" fillId="0" borderId="0" xfId="0" applyNumberFormat="1" applyFont="1" applyAlignment="1">
      <alignment vertical="center"/>
    </xf>
    <xf numFmtId="165" fontId="31" fillId="0" borderId="31" xfId="0" applyNumberFormat="1" applyFont="1" applyBorder="1" applyAlignment="1">
      <alignment horizontal="center"/>
    </xf>
    <xf numFmtId="165" fontId="31" fillId="0" borderId="32" xfId="0" applyNumberFormat="1" applyFont="1" applyBorder="1" applyAlignment="1">
      <alignment horizontal="center"/>
    </xf>
    <xf numFmtId="165" fontId="0" fillId="0" borderId="32" xfId="0" applyNumberFormat="1" applyBorder="1"/>
    <xf numFmtId="165" fontId="0" fillId="0" borderId="33" xfId="0" applyNumberFormat="1" applyBorder="1"/>
    <xf numFmtId="165" fontId="0" fillId="0" borderId="27" xfId="0" applyNumberFormat="1" applyBorder="1"/>
    <xf numFmtId="165" fontId="16" fillId="0" borderId="34" xfId="40" applyNumberFormat="1" applyFont="1" applyBorder="1"/>
    <xf numFmtId="165" fontId="16" fillId="0" borderId="35" xfId="40" applyNumberFormat="1" applyFont="1" applyBorder="1"/>
    <xf numFmtId="165" fontId="0" fillId="0" borderId="36" xfId="0" applyNumberFormat="1" applyBorder="1"/>
    <xf numFmtId="165" fontId="0" fillId="0" borderId="13" xfId="0" applyNumberFormat="1" applyBorder="1"/>
    <xf numFmtId="165" fontId="30" fillId="0" borderId="0" xfId="0" applyNumberFormat="1" applyFont="1" applyAlignment="1">
      <alignment horizontal="center"/>
    </xf>
    <xf numFmtId="166" fontId="14" fillId="0" borderId="0" xfId="0" applyNumberFormat="1" applyFont="1" applyAlignment="1">
      <alignment horizontal="center" vertical="center"/>
    </xf>
    <xf numFmtId="166" fontId="30" fillId="0" borderId="0" xfId="0" applyNumberFormat="1" applyFont="1" applyAlignment="1">
      <alignment horizontal="center" vertical="center"/>
    </xf>
    <xf numFmtId="165" fontId="30" fillId="0" borderId="0" xfId="1" applyNumberFormat="1" applyFont="1" applyBorder="1" applyAlignment="1">
      <alignment horizontal="center"/>
    </xf>
    <xf numFmtId="165" fontId="14" fillId="0" borderId="0" xfId="1" applyNumberFormat="1" applyFont="1" applyBorder="1" applyAlignment="1">
      <alignment horizontal="center"/>
    </xf>
    <xf numFmtId="166" fontId="13" fillId="0" borderId="0" xfId="0" applyNumberFormat="1" applyFont="1" applyAlignment="1">
      <alignment horizontal="center" vertical="center"/>
    </xf>
    <xf numFmtId="165" fontId="13" fillId="0" borderId="0" xfId="0" applyNumberFormat="1" applyFont="1" applyAlignment="1">
      <alignment horizontal="center"/>
    </xf>
    <xf numFmtId="165" fontId="14" fillId="0" borderId="32" xfId="1" applyNumberFormat="1" applyFont="1" applyBorder="1"/>
    <xf numFmtId="165" fontId="14" fillId="0" borderId="33" xfId="1" applyNumberFormat="1" applyFont="1" applyFill="1" applyBorder="1" applyAlignment="1"/>
    <xf numFmtId="165" fontId="38" fillId="0" borderId="0" xfId="0" applyNumberFormat="1" applyFont="1"/>
    <xf numFmtId="165" fontId="13" fillId="0" borderId="31" xfId="13" applyNumberFormat="1" applyFont="1" applyBorder="1" applyAlignment="1">
      <alignment horizontal="left"/>
    </xf>
    <xf numFmtId="165" fontId="13" fillId="0" borderId="32" xfId="0" applyNumberFormat="1" applyFont="1" applyBorder="1" applyAlignment="1">
      <alignment horizontal="left"/>
    </xf>
    <xf numFmtId="165" fontId="13" fillId="0" borderId="32" xfId="2" applyFont="1" applyFill="1" applyBorder="1" applyAlignment="1">
      <alignment horizontal="center"/>
    </xf>
    <xf numFmtId="165" fontId="14" fillId="0" borderId="51" xfId="2" applyFont="1" applyFill="1" applyBorder="1"/>
    <xf numFmtId="165" fontId="14" fillId="0" borderId="26" xfId="2" applyFont="1" applyFill="1" applyBorder="1"/>
    <xf numFmtId="165" fontId="14" fillId="0" borderId="21" xfId="0" applyNumberFormat="1" applyFont="1" applyBorder="1"/>
    <xf numFmtId="165" fontId="14" fillId="0" borderId="0" xfId="13" applyNumberFormat="1" applyFont="1"/>
    <xf numFmtId="165" fontId="14" fillId="0" borderId="33" xfId="0" applyNumberFormat="1" applyFont="1" applyBorder="1"/>
    <xf numFmtId="165" fontId="9" fillId="0" borderId="35" xfId="0" applyNumberFormat="1" applyFont="1" applyBorder="1"/>
    <xf numFmtId="165" fontId="16" fillId="0" borderId="0" xfId="4" applyNumberFormat="1" applyFont="1" applyAlignment="1">
      <alignment vertical="top"/>
    </xf>
    <xf numFmtId="165" fontId="14" fillId="0" borderId="33" xfId="1" applyNumberFormat="1" applyFont="1" applyFill="1" applyBorder="1"/>
    <xf numFmtId="14" fontId="14" fillId="0" borderId="0" xfId="11" applyNumberFormat="1" applyFont="1" applyAlignment="1">
      <alignment horizontal="left"/>
    </xf>
    <xf numFmtId="1" fontId="14" fillId="0" borderId="0" xfId="11" applyNumberFormat="1" applyFont="1" applyAlignment="1">
      <alignment horizontal="left"/>
    </xf>
    <xf numFmtId="0" fontId="57" fillId="10" borderId="0" xfId="0" applyFont="1" applyFill="1" applyAlignment="1">
      <alignment horizontal="right" vertical="top"/>
    </xf>
    <xf numFmtId="0" fontId="0" fillId="0" borderId="2" xfId="0" applyBorder="1"/>
    <xf numFmtId="0" fontId="5" fillId="0" borderId="2" xfId="0" applyFont="1" applyBorder="1"/>
    <xf numFmtId="4" fontId="0" fillId="0" borderId="2" xfId="0" applyNumberFormat="1" applyBorder="1"/>
    <xf numFmtId="0" fontId="53" fillId="0" borderId="2" xfId="11" applyFont="1" applyBorder="1" applyAlignment="1">
      <alignment horizontal="center"/>
    </xf>
    <xf numFmtId="0" fontId="58" fillId="11" borderId="14" xfId="0" applyFont="1" applyFill="1" applyBorder="1" applyAlignment="1">
      <alignment horizontal="center"/>
    </xf>
    <xf numFmtId="0" fontId="58" fillId="11" borderId="11" xfId="0" applyFont="1" applyFill="1" applyBorder="1" applyAlignment="1">
      <alignment horizontal="center"/>
    </xf>
    <xf numFmtId="0" fontId="58" fillId="11" borderId="12" xfId="0" applyFont="1" applyFill="1" applyBorder="1" applyAlignment="1">
      <alignment horizontal="center"/>
    </xf>
    <xf numFmtId="165" fontId="13" fillId="7" borderId="0" xfId="0" applyNumberFormat="1" applyFont="1" applyFill="1" applyAlignment="1">
      <alignment horizontal="center"/>
    </xf>
    <xf numFmtId="165" fontId="13" fillId="3" borderId="0" xfId="0" applyNumberFormat="1" applyFont="1" applyFill="1" applyAlignment="1">
      <alignment horizontal="center"/>
    </xf>
    <xf numFmtId="165" fontId="48" fillId="0" borderId="14" xfId="0" applyNumberFormat="1" applyFont="1" applyBorder="1" applyAlignment="1">
      <alignment horizontal="center"/>
    </xf>
    <xf numFmtId="165" fontId="48" fillId="0" borderId="11" xfId="0" applyNumberFormat="1" applyFont="1" applyBorder="1" applyAlignment="1">
      <alignment horizontal="center"/>
    </xf>
    <xf numFmtId="165" fontId="14" fillId="0" borderId="34" xfId="0" applyNumberFormat="1" applyFont="1" applyBorder="1"/>
    <xf numFmtId="165" fontId="14" fillId="0" borderId="0" xfId="0" applyNumberFormat="1" applyFont="1"/>
    <xf numFmtId="165" fontId="14" fillId="0" borderId="35" xfId="0" applyNumberFormat="1" applyFont="1" applyBorder="1"/>
    <xf numFmtId="165" fontId="29" fillId="0" borderId="31" xfId="0" applyNumberFormat="1" applyFont="1" applyBorder="1" applyAlignment="1">
      <alignment horizontal="center" vertical="center"/>
    </xf>
    <xf numFmtId="165" fontId="29" fillId="0" borderId="32" xfId="0" applyNumberFormat="1" applyFont="1" applyBorder="1" applyAlignment="1">
      <alignment horizontal="center" vertical="center"/>
    </xf>
    <xf numFmtId="165" fontId="29" fillId="0" borderId="33" xfId="0" applyNumberFormat="1" applyFont="1" applyBorder="1" applyAlignment="1">
      <alignment horizontal="center" vertical="center"/>
    </xf>
    <xf numFmtId="165" fontId="28" fillId="0" borderId="34" xfId="0" applyNumberFormat="1" applyFont="1" applyBorder="1" applyAlignment="1">
      <alignment horizontal="center" vertical="center"/>
    </xf>
    <xf numFmtId="165" fontId="28" fillId="0" borderId="0" xfId="0" applyNumberFormat="1" applyFont="1" applyAlignment="1">
      <alignment horizontal="center" vertical="center"/>
    </xf>
    <xf numFmtId="165" fontId="28" fillId="0" borderId="35" xfId="0" applyNumberFormat="1" applyFont="1" applyBorder="1" applyAlignment="1">
      <alignment horizontal="center" vertical="center"/>
    </xf>
    <xf numFmtId="165" fontId="49" fillId="0" borderId="36" xfId="0" applyNumberFormat="1" applyFont="1" applyBorder="1" applyAlignment="1">
      <alignment horizontal="right"/>
    </xf>
    <xf numFmtId="165" fontId="49" fillId="0" borderId="13" xfId="0" applyNumberFormat="1" applyFont="1" applyBorder="1" applyAlignment="1">
      <alignment horizontal="right"/>
    </xf>
    <xf numFmtId="165" fontId="49" fillId="0" borderId="37" xfId="0" applyNumberFormat="1" applyFont="1" applyBorder="1" applyAlignment="1">
      <alignment horizontal="right"/>
    </xf>
    <xf numFmtId="165" fontId="13" fillId="0" borderId="31" xfId="0" applyNumberFormat="1" applyFont="1" applyBorder="1" applyAlignment="1">
      <alignment horizontal="left" vertical="center"/>
    </xf>
    <xf numFmtId="165" fontId="13" fillId="0" borderId="36" xfId="0" applyNumberFormat="1" applyFont="1" applyBorder="1" applyAlignment="1">
      <alignment horizontal="left" vertical="center"/>
    </xf>
    <xf numFmtId="165" fontId="13" fillId="0" borderId="32" xfId="0" applyNumberFormat="1" applyFont="1" applyBorder="1" applyAlignment="1">
      <alignment horizontal="left" vertical="center"/>
    </xf>
    <xf numFmtId="165" fontId="13" fillId="0" borderId="13" xfId="0" applyNumberFormat="1" applyFont="1" applyBorder="1" applyAlignment="1">
      <alignment horizontal="left" vertical="center"/>
    </xf>
    <xf numFmtId="165" fontId="31" fillId="0" borderId="34" xfId="0" applyNumberFormat="1" applyFont="1" applyBorder="1" applyAlignment="1">
      <alignment horizontal="center" vertical="center"/>
    </xf>
    <xf numFmtId="165" fontId="31" fillId="0" borderId="0" xfId="0" applyNumberFormat="1" applyFont="1" applyAlignment="1">
      <alignment horizontal="center" vertical="center"/>
    </xf>
    <xf numFmtId="165" fontId="31" fillId="0" borderId="35" xfId="0" applyNumberFormat="1" applyFont="1" applyBorder="1" applyAlignment="1">
      <alignment horizontal="center" vertical="center"/>
    </xf>
    <xf numFmtId="165" fontId="13" fillId="0" borderId="34" xfId="1" applyNumberFormat="1" applyFont="1" applyFill="1" applyBorder="1" applyAlignment="1"/>
    <xf numFmtId="165" fontId="13" fillId="0" borderId="0" xfId="1" applyNumberFormat="1" applyFont="1" applyFill="1" applyBorder="1" applyAlignment="1"/>
    <xf numFmtId="165" fontId="29" fillId="0" borderId="31" xfId="0" applyNumberFormat="1" applyFont="1" applyBorder="1" applyAlignment="1">
      <alignment horizontal="center"/>
    </xf>
    <xf numFmtId="165" fontId="29" fillId="0" borderId="32" xfId="0" applyNumberFormat="1" applyFont="1" applyBorder="1" applyAlignment="1">
      <alignment horizontal="center"/>
    </xf>
    <xf numFmtId="165" fontId="29" fillId="0" borderId="33" xfId="0" applyNumberFormat="1" applyFont="1" applyBorder="1" applyAlignment="1">
      <alignment horizontal="center"/>
    </xf>
    <xf numFmtId="165" fontId="28" fillId="0" borderId="34" xfId="0" applyNumberFormat="1" applyFont="1" applyBorder="1" applyAlignment="1">
      <alignment horizontal="center"/>
    </xf>
    <xf numFmtId="165" fontId="28" fillId="0" borderId="0" xfId="0" applyNumberFormat="1" applyFont="1" applyAlignment="1">
      <alignment horizontal="center"/>
    </xf>
    <xf numFmtId="165" fontId="28" fillId="0" borderId="35" xfId="0" applyNumberFormat="1" applyFont="1" applyBorder="1" applyAlignment="1">
      <alignment horizontal="center"/>
    </xf>
    <xf numFmtId="165" fontId="50" fillId="0" borderId="36" xfId="0" applyNumberFormat="1" applyFont="1" applyBorder="1" applyAlignment="1">
      <alignment horizontal="right"/>
    </xf>
    <xf numFmtId="165" fontId="50" fillId="0" borderId="13" xfId="0" applyNumberFormat="1" applyFont="1" applyBorder="1" applyAlignment="1">
      <alignment horizontal="right"/>
    </xf>
    <xf numFmtId="165" fontId="50" fillId="0" borderId="37" xfId="0" applyNumberFormat="1" applyFont="1" applyBorder="1" applyAlignment="1">
      <alignment horizontal="right"/>
    </xf>
    <xf numFmtId="165" fontId="13" fillId="0" borderId="32" xfId="0" applyNumberFormat="1" applyFont="1" applyBorder="1" applyAlignment="1">
      <alignment horizontal="center" vertical="center"/>
    </xf>
    <xf numFmtId="165" fontId="13" fillId="0" borderId="13" xfId="0" applyNumberFormat="1" applyFont="1" applyBorder="1" applyAlignment="1">
      <alignment horizontal="center" vertical="center"/>
    </xf>
    <xf numFmtId="165" fontId="13" fillId="0" borderId="0" xfId="0" applyNumberFormat="1" applyFont="1"/>
    <xf numFmtId="165" fontId="13" fillId="0" borderId="35" xfId="0" applyNumberFormat="1" applyFont="1" applyBorder="1"/>
    <xf numFmtId="165" fontId="13" fillId="0" borderId="34" xfId="0" applyNumberFormat="1" applyFont="1" applyBorder="1"/>
    <xf numFmtId="165" fontId="14" fillId="0" borderId="34" xfId="1" applyNumberFormat="1" applyFont="1" applyFill="1" applyBorder="1" applyAlignment="1"/>
    <xf numFmtId="165" fontId="14" fillId="0" borderId="0" xfId="1" applyNumberFormat="1" applyFont="1" applyFill="1" applyBorder="1" applyAlignment="1"/>
    <xf numFmtId="165" fontId="31" fillId="0" borderId="34" xfId="0" applyNumberFormat="1" applyFont="1" applyBorder="1" applyAlignment="1">
      <alignment horizontal="center"/>
    </xf>
    <xf numFmtId="165" fontId="31" fillId="0" borderId="0" xfId="0" applyNumberFormat="1" applyFont="1" applyAlignment="1">
      <alignment horizontal="center"/>
    </xf>
    <xf numFmtId="165" fontId="31" fillId="0" borderId="35" xfId="0" applyNumberFormat="1" applyFont="1" applyBorder="1" applyAlignment="1">
      <alignment horizontal="center"/>
    </xf>
    <xf numFmtId="165" fontId="13" fillId="0" borderId="34" xfId="1" applyNumberFormat="1" applyFont="1" applyFill="1" applyBorder="1" applyAlignment="1">
      <alignment horizontal="left" vertical="top"/>
    </xf>
    <xf numFmtId="165" fontId="13" fillId="0" borderId="0" xfId="1" applyNumberFormat="1" applyFont="1" applyFill="1" applyBorder="1" applyAlignment="1">
      <alignment horizontal="left" vertical="top"/>
    </xf>
    <xf numFmtId="165" fontId="26" fillId="0" borderId="34" xfId="0" applyNumberFormat="1" applyFont="1" applyBorder="1" applyAlignment="1">
      <alignment horizontal="center" vertical="center"/>
    </xf>
    <xf numFmtId="165" fontId="26" fillId="0" borderId="0" xfId="0" applyNumberFormat="1" applyFont="1" applyAlignment="1">
      <alignment horizontal="center" vertical="center"/>
    </xf>
    <xf numFmtId="165" fontId="26" fillId="0" borderId="35" xfId="0" applyNumberFormat="1" applyFont="1" applyBorder="1" applyAlignment="1">
      <alignment horizontal="center" vertical="center"/>
    </xf>
    <xf numFmtId="165" fontId="51" fillId="0" borderId="34" xfId="0" applyNumberFormat="1" applyFont="1" applyBorder="1" applyAlignment="1">
      <alignment horizontal="center" vertical="center" wrapText="1"/>
    </xf>
    <xf numFmtId="165" fontId="51" fillId="0" borderId="0" xfId="0" applyNumberFormat="1" applyFont="1" applyAlignment="1">
      <alignment horizontal="center" vertical="center" wrapText="1"/>
    </xf>
    <xf numFmtId="165" fontId="51" fillId="0" borderId="35" xfId="0" applyNumberFormat="1" applyFont="1" applyBorder="1" applyAlignment="1">
      <alignment horizontal="center" vertical="center" wrapText="1"/>
    </xf>
    <xf numFmtId="165" fontId="50" fillId="0" borderId="34" xfId="0" applyNumberFormat="1" applyFont="1" applyBorder="1" applyAlignment="1">
      <alignment horizontal="right"/>
    </xf>
    <xf numFmtId="165" fontId="50" fillId="0" borderId="0" xfId="0" applyNumberFormat="1" applyFont="1" applyAlignment="1">
      <alignment horizontal="right"/>
    </xf>
    <xf numFmtId="165" fontId="50" fillId="0" borderId="35" xfId="0" applyNumberFormat="1" applyFont="1" applyBorder="1" applyAlignment="1">
      <alignment horizontal="right"/>
    </xf>
    <xf numFmtId="165" fontId="13" fillId="0" borderId="60" xfId="0" applyNumberFormat="1" applyFont="1" applyBorder="1" applyAlignment="1">
      <alignment horizontal="center"/>
    </xf>
    <xf numFmtId="165" fontId="13" fillId="0" borderId="11" xfId="0" applyNumberFormat="1" applyFont="1" applyBorder="1" applyAlignment="1">
      <alignment horizontal="center"/>
    </xf>
    <xf numFmtId="165" fontId="13" fillId="0" borderId="58" xfId="0" applyNumberFormat="1" applyFont="1" applyBorder="1" applyAlignment="1">
      <alignment horizontal="center"/>
    </xf>
    <xf numFmtId="0" fontId="14" fillId="0" borderId="34" xfId="0" applyFont="1" applyBorder="1" applyAlignment="1">
      <alignment horizontal="left" vertical="center" wrapText="1"/>
    </xf>
    <xf numFmtId="0" fontId="14" fillId="0" borderId="0" xfId="0" applyFont="1" applyAlignment="1">
      <alignment horizontal="left" vertical="center" wrapText="1"/>
    </xf>
    <xf numFmtId="0" fontId="14" fillId="0" borderId="35" xfId="0" applyFont="1" applyBorder="1" applyAlignment="1">
      <alignment horizontal="left" vertical="center" wrapText="1"/>
    </xf>
    <xf numFmtId="165" fontId="14" fillId="0" borderId="34" xfId="0" applyNumberFormat="1" applyFont="1" applyBorder="1" applyAlignment="1">
      <alignment wrapText="1"/>
    </xf>
    <xf numFmtId="165" fontId="14" fillId="0" borderId="0" xfId="0" applyNumberFormat="1" applyFont="1" applyAlignment="1">
      <alignment wrapText="1"/>
    </xf>
    <xf numFmtId="165" fontId="14" fillId="0" borderId="35" xfId="0" applyNumberFormat="1" applyFont="1" applyBorder="1" applyAlignment="1">
      <alignment wrapText="1"/>
    </xf>
    <xf numFmtId="165" fontId="13" fillId="0" borderId="59" xfId="13" applyNumberFormat="1" applyFont="1" applyBorder="1" applyAlignment="1">
      <alignment horizontal="left" vertical="center"/>
    </xf>
    <xf numFmtId="165" fontId="13" fillId="0" borderId="28" xfId="13" applyNumberFormat="1" applyFont="1" applyBorder="1" applyAlignment="1">
      <alignment horizontal="left" vertical="center"/>
    </xf>
    <xf numFmtId="165" fontId="13" fillId="0" borderId="14" xfId="2" applyFont="1" applyFill="1" applyBorder="1" applyAlignment="1">
      <alignment horizontal="center"/>
    </xf>
    <xf numFmtId="165" fontId="13" fillId="0" borderId="12" xfId="2" applyFont="1" applyFill="1" applyBorder="1" applyAlignment="1">
      <alignment horizontal="center"/>
    </xf>
    <xf numFmtId="165" fontId="13" fillId="0" borderId="58" xfId="2" applyFont="1" applyFill="1" applyBorder="1" applyAlignment="1">
      <alignment horizontal="center"/>
    </xf>
    <xf numFmtId="165" fontId="28" fillId="0" borderId="31" xfId="0" applyNumberFormat="1" applyFont="1" applyBorder="1" applyAlignment="1">
      <alignment horizontal="left" vertical="center"/>
    </xf>
    <xf numFmtId="165" fontId="28" fillId="0" borderId="36" xfId="0" applyNumberFormat="1" applyFont="1" applyBorder="1" applyAlignment="1">
      <alignment horizontal="left" vertical="center"/>
    </xf>
    <xf numFmtId="165" fontId="31" fillId="0" borderId="31" xfId="0" applyNumberFormat="1" applyFont="1" applyBorder="1" applyAlignment="1">
      <alignment horizontal="center" vertical="center"/>
    </xf>
    <xf numFmtId="165" fontId="31" fillId="0" borderId="32" xfId="0" applyNumberFormat="1" applyFont="1" applyBorder="1" applyAlignment="1">
      <alignment horizontal="center" vertical="center"/>
    </xf>
    <xf numFmtId="165" fontId="31" fillId="0" borderId="33" xfId="0" applyNumberFormat="1" applyFont="1" applyBorder="1" applyAlignment="1">
      <alignment horizontal="center" vertical="center"/>
    </xf>
    <xf numFmtId="165" fontId="10" fillId="0" borderId="15" xfId="40" applyNumberFormat="1" applyFont="1" applyBorder="1" applyAlignment="1">
      <alignment horizontal="left" vertical="center"/>
    </xf>
    <xf numFmtId="165" fontId="10" fillId="0" borderId="20" xfId="40" applyNumberFormat="1" applyFont="1" applyBorder="1" applyAlignment="1">
      <alignment horizontal="left" vertical="center"/>
    </xf>
    <xf numFmtId="165" fontId="10" fillId="0" borderId="28" xfId="40" applyNumberFormat="1" applyFont="1" applyBorder="1" applyAlignment="1">
      <alignment horizontal="left" vertical="center"/>
    </xf>
    <xf numFmtId="165" fontId="43" fillId="0" borderId="64" xfId="40" applyNumberFormat="1" applyFont="1" applyBorder="1" applyAlignment="1">
      <alignment horizontal="center"/>
    </xf>
    <xf numFmtId="165" fontId="43" fillId="0" borderId="65" xfId="40" applyNumberFormat="1" applyFont="1" applyBorder="1" applyAlignment="1">
      <alignment horizontal="center"/>
    </xf>
    <xf numFmtId="165" fontId="10" fillId="0" borderId="2" xfId="40" applyNumberFormat="1" applyFont="1" applyBorder="1" applyAlignment="1">
      <alignment horizontal="center"/>
    </xf>
    <xf numFmtId="165" fontId="10" fillId="0" borderId="56" xfId="40" applyNumberFormat="1" applyFont="1" applyBorder="1" applyAlignment="1">
      <alignment horizontal="center"/>
    </xf>
    <xf numFmtId="165" fontId="13" fillId="0" borderId="7" xfId="8" applyNumberFormat="1" applyFont="1" applyBorder="1" applyAlignment="1">
      <alignment horizontal="center" vertical="center" wrapText="1"/>
    </xf>
    <xf numFmtId="165" fontId="13" fillId="0" borderId="23" xfId="8" applyNumberFormat="1" applyFont="1" applyBorder="1" applyAlignment="1">
      <alignment horizontal="center" vertical="center"/>
    </xf>
    <xf numFmtId="165" fontId="13" fillId="0" borderId="7" xfId="8" applyNumberFormat="1" applyFont="1" applyBorder="1" applyAlignment="1">
      <alignment horizontal="center" vertical="center"/>
    </xf>
    <xf numFmtId="165" fontId="13" fillId="0" borderId="9" xfId="8" applyNumberFormat="1" applyFont="1" applyBorder="1" applyAlignment="1">
      <alignment horizontal="center" vertical="center" wrapText="1"/>
    </xf>
    <xf numFmtId="165" fontId="13" fillId="0" borderId="13" xfId="8" applyNumberFormat="1" applyFont="1" applyBorder="1" applyAlignment="1">
      <alignment horizontal="center" vertical="center"/>
    </xf>
    <xf numFmtId="165" fontId="13" fillId="0" borderId="21" xfId="8" applyNumberFormat="1" applyFont="1" applyBorder="1" applyAlignment="1">
      <alignment horizontal="center" vertical="center" wrapText="1"/>
    </xf>
    <xf numFmtId="165" fontId="13" fillId="0" borderId="24" xfId="8" applyNumberFormat="1" applyFont="1" applyBorder="1" applyAlignment="1">
      <alignment horizontal="center" vertical="center" wrapText="1"/>
    </xf>
    <xf numFmtId="165" fontId="13" fillId="0" borderId="34" xfId="8" applyNumberFormat="1" applyFont="1" applyBorder="1" applyAlignment="1">
      <alignment horizontal="center" vertical="center"/>
    </xf>
    <xf numFmtId="165" fontId="13" fillId="0" borderId="0" xfId="8" applyNumberFormat="1" applyFont="1" applyAlignment="1">
      <alignment horizontal="center" vertical="center"/>
    </xf>
    <xf numFmtId="165" fontId="13" fillId="0" borderId="35" xfId="8" applyNumberFormat="1" applyFont="1" applyBorder="1" applyAlignment="1">
      <alignment horizontal="center" vertical="center"/>
    </xf>
    <xf numFmtId="165" fontId="31" fillId="0" borderId="34" xfId="8" applyNumberFormat="1" applyFont="1" applyBorder="1" applyAlignment="1">
      <alignment horizontal="center" vertical="center"/>
    </xf>
    <xf numFmtId="165" fontId="31" fillId="0" borderId="0" xfId="8" applyNumberFormat="1" applyFont="1" applyAlignment="1">
      <alignment horizontal="center" vertical="center"/>
    </xf>
    <xf numFmtId="165" fontId="31" fillId="0" borderId="35" xfId="8" applyNumberFormat="1" applyFont="1" applyBorder="1" applyAlignment="1">
      <alignment horizontal="center" vertical="center"/>
    </xf>
    <xf numFmtId="165" fontId="13" fillId="0" borderId="15" xfId="8" applyNumberFormat="1" applyFont="1" applyBorder="1" applyAlignment="1">
      <alignment horizontal="center" vertical="center"/>
    </xf>
    <xf numFmtId="165" fontId="13" fillId="0" borderId="20" xfId="8" applyNumberFormat="1" applyFont="1" applyBorder="1" applyAlignment="1">
      <alignment horizontal="center" vertical="center"/>
    </xf>
    <xf numFmtId="165" fontId="13" fillId="0" borderId="22" xfId="8" applyNumberFormat="1" applyFont="1" applyBorder="1" applyAlignment="1">
      <alignment horizontal="center" vertical="center"/>
    </xf>
    <xf numFmtId="165" fontId="13" fillId="0" borderId="16" xfId="8" applyNumberFormat="1" applyFont="1" applyBorder="1" applyAlignment="1">
      <alignment horizontal="center" vertical="center"/>
    </xf>
    <xf numFmtId="165" fontId="13" fillId="0" borderId="17" xfId="8" applyNumberFormat="1" applyFont="1" applyBorder="1" applyAlignment="1">
      <alignment horizontal="center" vertical="center"/>
    </xf>
    <xf numFmtId="165" fontId="13" fillId="0" borderId="18" xfId="8" applyNumberFormat="1" applyFont="1" applyBorder="1" applyAlignment="1">
      <alignment horizontal="center" vertical="center"/>
    </xf>
    <xf numFmtId="165" fontId="13" fillId="0" borderId="19" xfId="8" applyNumberFormat="1" applyFont="1" applyBorder="1" applyAlignment="1">
      <alignment horizontal="center" vertical="center"/>
    </xf>
    <xf numFmtId="165" fontId="13" fillId="0" borderId="23" xfId="8" applyNumberFormat="1" applyFont="1" applyBorder="1" applyAlignment="1">
      <alignment horizontal="center" vertical="center" wrapText="1"/>
    </xf>
    <xf numFmtId="165" fontId="10" fillId="0" borderId="40" xfId="40" applyNumberFormat="1" applyFont="1" applyBorder="1" applyAlignment="1">
      <alignment horizontal="left" vertical="center"/>
    </xf>
    <xf numFmtId="165" fontId="10" fillId="0" borderId="41" xfId="40" applyNumberFormat="1" applyFont="1" applyBorder="1" applyAlignment="1">
      <alignment horizontal="left" vertical="center"/>
    </xf>
    <xf numFmtId="165" fontId="10" fillId="0" borderId="43" xfId="40" applyNumberFormat="1" applyFont="1" applyBorder="1" applyAlignment="1">
      <alignment horizontal="left" vertical="center"/>
    </xf>
    <xf numFmtId="165" fontId="43" fillId="0" borderId="44" xfId="40" applyNumberFormat="1" applyFont="1" applyBorder="1" applyAlignment="1">
      <alignment horizontal="center"/>
    </xf>
    <xf numFmtId="165" fontId="43" fillId="0" borderId="45" xfId="40" applyNumberFormat="1" applyFont="1" applyBorder="1" applyAlignment="1">
      <alignment horizontal="center"/>
    </xf>
    <xf numFmtId="165" fontId="43" fillId="0" borderId="46" xfId="40" applyNumberFormat="1" applyFont="1" applyBorder="1" applyAlignment="1">
      <alignment horizontal="center"/>
    </xf>
    <xf numFmtId="165" fontId="10" fillId="0" borderId="44" xfId="40" applyNumberFormat="1" applyFont="1" applyBorder="1" applyAlignment="1">
      <alignment horizontal="center"/>
    </xf>
    <xf numFmtId="165" fontId="10" fillId="0" borderId="45" xfId="40" applyNumberFormat="1" applyFont="1" applyBorder="1" applyAlignment="1">
      <alignment horizontal="center"/>
    </xf>
    <xf numFmtId="165" fontId="10" fillId="0" borderId="46" xfId="40" applyNumberFormat="1" applyFont="1" applyBorder="1" applyAlignment="1">
      <alignment horizontal="center"/>
    </xf>
    <xf numFmtId="165" fontId="14" fillId="0" borderId="14" xfId="27" applyNumberFormat="1" applyFont="1" applyBorder="1" applyAlignment="1">
      <alignment horizontal="left" vertical="center" wrapText="1"/>
    </xf>
    <xf numFmtId="165" fontId="14" fillId="0" borderId="11" xfId="27" applyNumberFormat="1" applyFont="1" applyBorder="1" applyAlignment="1">
      <alignment horizontal="left" vertical="center" wrapText="1"/>
    </xf>
    <xf numFmtId="165" fontId="14" fillId="0" borderId="58" xfId="27" applyNumberFormat="1" applyFont="1" applyBorder="1" applyAlignment="1">
      <alignment horizontal="left" vertical="center" wrapText="1"/>
    </xf>
    <xf numFmtId="165" fontId="14" fillId="0" borderId="72" xfId="27" applyNumberFormat="1" applyFont="1" applyBorder="1" applyAlignment="1">
      <alignment horizontal="left" vertical="center" wrapText="1"/>
    </xf>
    <xf numFmtId="165" fontId="14" fillId="0" borderId="62" xfId="27" applyNumberFormat="1" applyFont="1" applyBorder="1" applyAlignment="1">
      <alignment horizontal="left" vertical="center" wrapText="1"/>
    </xf>
    <xf numFmtId="165" fontId="14" fillId="0" borderId="63" xfId="27" applyNumberFormat="1" applyFont="1" applyBorder="1" applyAlignment="1">
      <alignment horizontal="left" vertical="center" wrapText="1"/>
    </xf>
    <xf numFmtId="0" fontId="14" fillId="0" borderId="34" xfId="27" applyFont="1" applyBorder="1" applyAlignment="1">
      <alignment horizontal="left" vertical="center" wrapText="1"/>
    </xf>
    <xf numFmtId="0" fontId="14" fillId="0" borderId="0" xfId="27" applyFont="1" applyAlignment="1">
      <alignment horizontal="left" vertical="center" wrapText="1"/>
    </xf>
    <xf numFmtId="0" fontId="14" fillId="0" borderId="35" xfId="27" applyFont="1" applyBorder="1" applyAlignment="1">
      <alignment horizontal="left" vertical="center" wrapText="1"/>
    </xf>
    <xf numFmtId="0" fontId="5" fillId="0" borderId="0" xfId="0" applyFont="1" applyAlignment="1">
      <alignment horizontal="left" vertical="top" wrapText="1"/>
    </xf>
    <xf numFmtId="0" fontId="5" fillId="0" borderId="35" xfId="0" applyFont="1" applyBorder="1" applyAlignment="1">
      <alignment horizontal="left" vertical="top" wrapText="1"/>
    </xf>
    <xf numFmtId="165" fontId="13" fillId="5" borderId="64" xfId="27" applyNumberFormat="1" applyFont="1" applyFill="1" applyBorder="1" applyAlignment="1">
      <alignment horizontal="left" vertical="top" wrapText="1"/>
    </xf>
    <xf numFmtId="165" fontId="13" fillId="5" borderId="65" xfId="27" applyNumberFormat="1" applyFont="1" applyFill="1" applyBorder="1" applyAlignment="1">
      <alignment horizontal="left" vertical="top" wrapText="1"/>
    </xf>
    <xf numFmtId="165" fontId="14" fillId="0" borderId="14" xfId="21" applyNumberFormat="1" applyFont="1" applyBorder="1" applyAlignment="1">
      <alignment horizontal="left" vertical="center" wrapText="1"/>
    </xf>
    <xf numFmtId="165" fontId="14" fillId="0" borderId="11" xfId="21" applyNumberFormat="1" applyFont="1" applyBorder="1" applyAlignment="1">
      <alignment horizontal="left" vertical="center" wrapText="1"/>
    </xf>
    <xf numFmtId="165" fontId="14" fillId="0" borderId="58" xfId="21" applyNumberFormat="1" applyFont="1" applyBorder="1" applyAlignment="1">
      <alignment horizontal="left" vertical="center" wrapText="1"/>
    </xf>
    <xf numFmtId="165" fontId="14" fillId="0" borderId="34" xfId="27" applyNumberFormat="1" applyFont="1" applyBorder="1" applyAlignment="1">
      <alignment horizontal="left" vertical="center" wrapText="1" indent="2"/>
    </xf>
    <xf numFmtId="165" fontId="14" fillId="0" borderId="0" xfId="27" applyNumberFormat="1" applyFont="1" applyAlignment="1">
      <alignment horizontal="left" vertical="center" wrapText="1" indent="2"/>
    </xf>
    <xf numFmtId="165" fontId="14" fillId="0" borderId="35" xfId="27" applyNumberFormat="1" applyFont="1" applyBorder="1" applyAlignment="1">
      <alignment horizontal="left" vertical="center" wrapText="1" indent="2"/>
    </xf>
    <xf numFmtId="165" fontId="14" fillId="0" borderId="36" xfId="27" applyNumberFormat="1" applyFont="1" applyBorder="1" applyAlignment="1">
      <alignment horizontal="left" vertical="center" wrapText="1"/>
    </xf>
    <xf numFmtId="165" fontId="14" fillId="0" borderId="13" xfId="27" applyNumberFormat="1" applyFont="1" applyBorder="1" applyAlignment="1">
      <alignment horizontal="left" vertical="center" wrapText="1"/>
    </xf>
    <xf numFmtId="165" fontId="14" fillId="0" borderId="37" xfId="27" applyNumberFormat="1" applyFont="1" applyBorder="1" applyAlignment="1">
      <alignment horizontal="left" vertical="center" wrapText="1"/>
    </xf>
    <xf numFmtId="165" fontId="14" fillId="0" borderId="34" xfId="27" applyNumberFormat="1" applyFont="1" applyBorder="1" applyAlignment="1">
      <alignment horizontal="left" vertical="center" wrapText="1"/>
    </xf>
    <xf numFmtId="165" fontId="14" fillId="0" borderId="0" xfId="27" applyNumberFormat="1" applyFont="1" applyAlignment="1">
      <alignment horizontal="left" vertical="center" wrapText="1"/>
    </xf>
    <xf numFmtId="165" fontId="14" fillId="0" borderId="35" xfId="27" applyNumberFormat="1" applyFont="1" applyBorder="1" applyAlignment="1">
      <alignment horizontal="left" vertical="center" wrapText="1"/>
    </xf>
    <xf numFmtId="0" fontId="14" fillId="0" borderId="34" xfId="27" applyFont="1" applyBorder="1" applyAlignment="1">
      <alignment horizontal="left" vertical="center" wrapText="1" indent="2"/>
    </xf>
    <xf numFmtId="0" fontId="14" fillId="0" borderId="0" xfId="27" applyFont="1" applyAlignment="1">
      <alignment horizontal="left" vertical="center" wrapText="1" indent="2"/>
    </xf>
    <xf numFmtId="0" fontId="14" fillId="0" borderId="35" xfId="27" applyFont="1" applyBorder="1" applyAlignment="1">
      <alignment horizontal="left" vertical="center" wrapText="1" indent="2"/>
    </xf>
    <xf numFmtId="165" fontId="14" fillId="0" borderId="34" xfId="27" applyNumberFormat="1" applyFont="1" applyBorder="1" applyAlignment="1">
      <alignment horizontal="left"/>
    </xf>
    <xf numFmtId="165" fontId="14" fillId="0" borderId="0" xfId="27" applyNumberFormat="1" applyFont="1" applyAlignment="1">
      <alignment horizontal="left"/>
    </xf>
    <xf numFmtId="165" fontId="14" fillId="0" borderId="35" xfId="27" applyNumberFormat="1" applyFont="1" applyBorder="1" applyAlignment="1">
      <alignment horizontal="left"/>
    </xf>
    <xf numFmtId="165" fontId="13" fillId="0" borderId="0" xfId="27" applyNumberFormat="1" applyFont="1" applyAlignment="1">
      <alignment horizontal="center" vertical="top" wrapText="1"/>
    </xf>
    <xf numFmtId="165" fontId="14" fillId="0" borderId="0" xfId="28" applyNumberFormat="1" applyFont="1" applyBorder="1" applyAlignment="1" applyProtection="1">
      <alignment horizontal="center" vertical="top" wrapText="1"/>
    </xf>
    <xf numFmtId="165" fontId="13" fillId="5" borderId="29" xfId="27" applyNumberFormat="1" applyFont="1" applyFill="1" applyBorder="1" applyAlignment="1">
      <alignment horizontal="center" vertical="center" wrapText="1"/>
    </xf>
    <xf numFmtId="165" fontId="13" fillId="5" borderId="2" xfId="27" applyNumberFormat="1" applyFont="1" applyFill="1" applyBorder="1" applyAlignment="1">
      <alignment horizontal="center" vertical="center" wrapText="1"/>
    </xf>
    <xf numFmtId="165" fontId="13" fillId="5" borderId="56" xfId="27" applyNumberFormat="1" applyFont="1" applyFill="1" applyBorder="1" applyAlignment="1">
      <alignment horizontal="center" vertical="center" wrapText="1"/>
    </xf>
    <xf numFmtId="165" fontId="29" fillId="0" borderId="31" xfId="27" applyNumberFormat="1" applyFont="1" applyBorder="1" applyAlignment="1">
      <alignment horizontal="center" vertical="center"/>
    </xf>
    <xf numFmtId="165" fontId="29" fillId="0" borderId="32" xfId="27" applyNumberFormat="1" applyFont="1" applyBorder="1" applyAlignment="1">
      <alignment horizontal="center" vertical="center"/>
    </xf>
    <xf numFmtId="165" fontId="29" fillId="0" borderId="33" xfId="27" applyNumberFormat="1" applyFont="1" applyBorder="1" applyAlignment="1">
      <alignment horizontal="center" vertical="center"/>
    </xf>
    <xf numFmtId="165" fontId="28" fillId="0" borderId="34" xfId="30" applyNumberFormat="1" applyFont="1" applyBorder="1" applyAlignment="1" applyProtection="1">
      <alignment horizontal="center" vertical="center"/>
    </xf>
    <xf numFmtId="165" fontId="28" fillId="0" borderId="0" xfId="30" applyNumberFormat="1" applyFont="1" applyBorder="1" applyAlignment="1" applyProtection="1">
      <alignment horizontal="center" vertical="center"/>
    </xf>
    <xf numFmtId="165" fontId="28" fillId="0" borderId="35" xfId="30" applyNumberFormat="1" applyFont="1" applyBorder="1" applyAlignment="1" applyProtection="1">
      <alignment horizontal="center" vertical="center"/>
    </xf>
    <xf numFmtId="165" fontId="26" fillId="0" borderId="34" xfId="30" applyNumberFormat="1" applyFont="1" applyBorder="1" applyAlignment="1" applyProtection="1">
      <alignment horizontal="center" vertical="top"/>
    </xf>
    <xf numFmtId="165" fontId="26" fillId="0" borderId="0" xfId="30" applyNumberFormat="1" applyFont="1" applyBorder="1" applyAlignment="1" applyProtection="1">
      <alignment horizontal="center" vertical="top"/>
    </xf>
    <xf numFmtId="165" fontId="26" fillId="0" borderId="35" xfId="30" applyNumberFormat="1" applyFont="1" applyBorder="1" applyAlignment="1" applyProtection="1">
      <alignment horizontal="center" vertical="top"/>
    </xf>
    <xf numFmtId="165" fontId="26" fillId="0" borderId="36" xfId="30" applyNumberFormat="1" applyFont="1" applyBorder="1" applyAlignment="1" applyProtection="1">
      <alignment horizontal="center" vertical="top"/>
    </xf>
    <xf numFmtId="165" fontId="26" fillId="0" borderId="13" xfId="30" applyNumberFormat="1" applyFont="1" applyBorder="1" applyAlignment="1" applyProtection="1">
      <alignment horizontal="center" vertical="top"/>
    </xf>
    <xf numFmtId="165" fontId="26" fillId="0" borderId="37" xfId="30" applyNumberFormat="1" applyFont="1" applyBorder="1" applyAlignment="1" applyProtection="1">
      <alignment horizontal="center" vertical="top"/>
    </xf>
    <xf numFmtId="165" fontId="13" fillId="0" borderId="31" xfId="27" applyNumberFormat="1" applyFont="1" applyBorder="1" applyAlignment="1">
      <alignment horizontal="left"/>
    </xf>
    <xf numFmtId="165" fontId="13" fillId="0" borderId="32" xfId="27" applyNumberFormat="1" applyFont="1" applyBorder="1" applyAlignment="1">
      <alignment horizontal="left"/>
    </xf>
    <xf numFmtId="165" fontId="29" fillId="0" borderId="31" xfId="0" applyNumberFormat="1" applyFont="1" applyBorder="1"/>
    <xf numFmtId="165" fontId="29" fillId="0" borderId="32" xfId="0" applyNumberFormat="1" applyFont="1" applyBorder="1"/>
    <xf numFmtId="165" fontId="29" fillId="0" borderId="33" xfId="0" applyNumberFormat="1" applyFont="1" applyBorder="1"/>
    <xf numFmtId="165" fontId="28" fillId="0" borderId="36" xfId="0" applyNumberFormat="1" applyFont="1" applyBorder="1"/>
    <xf numFmtId="165" fontId="28" fillId="0" borderId="13" xfId="0" applyNumberFormat="1" applyFont="1" applyBorder="1"/>
    <xf numFmtId="165" fontId="28" fillId="0" borderId="37" xfId="0" applyNumberFormat="1" applyFont="1" applyBorder="1"/>
    <xf numFmtId="165" fontId="47" fillId="0" borderId="53" xfId="11" applyNumberFormat="1" applyFont="1" applyBorder="1" applyAlignment="1">
      <alignment horizontal="center" vertical="center"/>
    </xf>
    <xf numFmtId="165" fontId="47" fillId="0" borderId="54" xfId="11" applyNumberFormat="1" applyFont="1" applyBorder="1" applyAlignment="1">
      <alignment horizontal="center" vertical="center"/>
    </xf>
    <xf numFmtId="165" fontId="35" fillId="0" borderId="14" xfId="21" applyNumberFormat="1" applyFont="1" applyFill="1" applyBorder="1" applyAlignment="1">
      <alignment horizontal="center" vertical="center" wrapText="1"/>
    </xf>
    <xf numFmtId="165" fontId="35" fillId="0" borderId="12" xfId="21" applyNumberFormat="1" applyFont="1" applyFill="1" applyBorder="1" applyAlignment="1">
      <alignment horizontal="center" vertical="center" wrapText="1"/>
    </xf>
    <xf numFmtId="165" fontId="35" fillId="0" borderId="2" xfId="21" applyNumberFormat="1" applyFont="1" applyFill="1" applyBorder="1" applyAlignment="1">
      <alignment horizontal="center" vertical="center"/>
    </xf>
    <xf numFmtId="165" fontId="35" fillId="0" borderId="14" xfId="21" applyNumberFormat="1" applyFont="1" applyFill="1" applyBorder="1" applyAlignment="1">
      <alignment horizontal="center" vertical="center"/>
    </xf>
    <xf numFmtId="165" fontId="35" fillId="0" borderId="12" xfId="21" applyNumberFormat="1" applyFont="1" applyFill="1" applyBorder="1" applyAlignment="1">
      <alignment horizontal="center" vertical="center"/>
    </xf>
    <xf numFmtId="165" fontId="29" fillId="0" borderId="31" xfId="0" applyNumberFormat="1" applyFont="1" applyBorder="1" applyAlignment="1">
      <alignment horizontal="left"/>
    </xf>
    <xf numFmtId="165" fontId="29" fillId="0" borderId="32" xfId="0" applyNumberFormat="1" applyFont="1" applyBorder="1" applyAlignment="1">
      <alignment horizontal="left"/>
    </xf>
    <xf numFmtId="165" fontId="29" fillId="0" borderId="33" xfId="0" applyNumberFormat="1" applyFont="1" applyBorder="1" applyAlignment="1">
      <alignment horizontal="left"/>
    </xf>
    <xf numFmtId="165" fontId="13" fillId="0" borderId="34" xfId="0" applyNumberFormat="1" applyFont="1" applyBorder="1" applyAlignment="1">
      <alignment horizontal="left"/>
    </xf>
    <xf numFmtId="165" fontId="13" fillId="0" borderId="0" xfId="0" applyNumberFormat="1" applyFont="1" applyAlignment="1">
      <alignment horizontal="left"/>
    </xf>
    <xf numFmtId="165" fontId="13" fillId="0" borderId="35" xfId="0" applyNumberFormat="1" applyFont="1" applyBorder="1" applyAlignment="1">
      <alignment horizontal="left"/>
    </xf>
    <xf numFmtId="165" fontId="13" fillId="0" borderId="51" xfId="0" applyNumberFormat="1" applyFont="1" applyBorder="1" applyAlignment="1">
      <alignment horizontal="center" vertical="center"/>
    </xf>
    <xf numFmtId="165" fontId="13" fillId="0" borderId="1" xfId="0" applyNumberFormat="1" applyFont="1" applyBorder="1" applyAlignment="1">
      <alignment horizontal="center" vertical="center"/>
    </xf>
    <xf numFmtId="165" fontId="13" fillId="0" borderId="51" xfId="9" applyFont="1" applyFill="1" applyBorder="1" applyAlignment="1">
      <alignment horizontal="center" vertical="center"/>
    </xf>
    <xf numFmtId="165" fontId="13" fillId="0" borderId="1" xfId="9" applyFont="1" applyFill="1" applyBorder="1" applyAlignment="1">
      <alignment horizontal="center" vertical="center"/>
    </xf>
    <xf numFmtId="165" fontId="13" fillId="0" borderId="26" xfId="9" applyFont="1" applyFill="1" applyBorder="1" applyAlignment="1">
      <alignment horizontal="center" vertical="center" wrapText="1"/>
    </xf>
    <xf numFmtId="165" fontId="13" fillId="0" borderId="50" xfId="9" applyFont="1" applyFill="1" applyBorder="1" applyAlignment="1">
      <alignment horizontal="center" vertical="center" wrapText="1"/>
    </xf>
    <xf numFmtId="165" fontId="13" fillId="0" borderId="15" xfId="0" applyNumberFormat="1" applyFont="1" applyBorder="1" applyAlignment="1">
      <alignment horizontal="center" vertical="center"/>
    </xf>
    <xf numFmtId="165" fontId="13" fillId="0" borderId="28" xfId="0" applyNumberFormat="1" applyFont="1" applyBorder="1" applyAlignment="1">
      <alignment horizontal="center" vertical="center"/>
    </xf>
    <xf numFmtId="165" fontId="13" fillId="0" borderId="51" xfId="9" applyFont="1" applyFill="1" applyBorder="1" applyAlignment="1">
      <alignment horizontal="center" vertical="center" wrapText="1"/>
    </xf>
    <xf numFmtId="165" fontId="13" fillId="0" borderId="1" xfId="9" applyFont="1" applyFill="1" applyBorder="1" applyAlignment="1">
      <alignment horizontal="center" vertical="center" wrapText="1"/>
    </xf>
    <xf numFmtId="165" fontId="13" fillId="0" borderId="17" xfId="9" applyFont="1" applyFill="1" applyBorder="1" applyAlignment="1">
      <alignment horizontal="center" vertical="center"/>
    </xf>
    <xf numFmtId="165" fontId="13" fillId="0" borderId="18" xfId="9" applyFont="1" applyFill="1" applyBorder="1" applyAlignment="1">
      <alignment horizontal="center" vertical="center"/>
    </xf>
    <xf numFmtId="165" fontId="12" fillId="0" borderId="34" xfId="4" applyNumberFormat="1" applyFont="1" applyBorder="1"/>
    <xf numFmtId="165" fontId="12" fillId="0" borderId="0" xfId="4" applyNumberFormat="1" applyFont="1"/>
    <xf numFmtId="165" fontId="15" fillId="0" borderId="44" xfId="9" applyFont="1" applyBorder="1" applyAlignment="1"/>
    <xf numFmtId="165" fontId="15" fillId="0" borderId="46" xfId="9" applyFont="1" applyBorder="1" applyAlignment="1"/>
    <xf numFmtId="165" fontId="29" fillId="0" borderId="31" xfId="11" applyNumberFormat="1" applyFont="1" applyBorder="1" applyAlignment="1">
      <alignment horizontal="center" vertical="center"/>
    </xf>
    <xf numFmtId="165" fontId="29" fillId="0" borderId="32" xfId="11" applyNumberFormat="1" applyFont="1" applyBorder="1" applyAlignment="1">
      <alignment horizontal="center" vertical="center"/>
    </xf>
    <xf numFmtId="165" fontId="29" fillId="0" borderId="33" xfId="11" applyNumberFormat="1" applyFont="1" applyBorder="1" applyAlignment="1">
      <alignment horizontal="center" vertical="center"/>
    </xf>
    <xf numFmtId="165" fontId="26" fillId="0" borderId="36" xfId="11" applyNumberFormat="1" applyFont="1" applyBorder="1" applyAlignment="1">
      <alignment horizontal="center" vertical="center"/>
    </xf>
    <xf numFmtId="165" fontId="26" fillId="0" borderId="13" xfId="11" applyNumberFormat="1" applyFont="1" applyBorder="1" applyAlignment="1">
      <alignment horizontal="center" vertical="center"/>
    </xf>
    <xf numFmtId="165" fontId="26" fillId="0" borderId="37" xfId="11" applyNumberFormat="1" applyFont="1" applyBorder="1" applyAlignment="1">
      <alignment horizontal="center" vertical="center"/>
    </xf>
    <xf numFmtId="165" fontId="29" fillId="0" borderId="44" xfId="11" applyNumberFormat="1" applyFont="1" applyBorder="1" applyAlignment="1">
      <alignment horizontal="center"/>
    </xf>
    <xf numFmtId="165" fontId="29" fillId="0" borderId="45" xfId="11" applyNumberFormat="1" applyFont="1" applyBorder="1" applyAlignment="1">
      <alignment horizontal="center"/>
    </xf>
    <xf numFmtId="165" fontId="29" fillId="0" borderId="46" xfId="11" applyNumberFormat="1" applyFont="1" applyBorder="1" applyAlignment="1">
      <alignment horizontal="center"/>
    </xf>
    <xf numFmtId="165" fontId="15" fillId="0" borderId="44" xfId="4" applyNumberFormat="1" applyFont="1" applyBorder="1" applyAlignment="1">
      <alignment horizontal="center"/>
    </xf>
    <xf numFmtId="165" fontId="15" fillId="0" borderId="45" xfId="4" applyNumberFormat="1" applyFont="1" applyBorder="1" applyAlignment="1">
      <alignment horizontal="center"/>
    </xf>
    <xf numFmtId="165" fontId="15" fillId="0" borderId="45" xfId="9" applyFont="1" applyBorder="1" applyAlignment="1">
      <alignment horizontal="center" wrapText="1"/>
    </xf>
    <xf numFmtId="165" fontId="15" fillId="0" borderId="46" xfId="9" applyFont="1" applyBorder="1" applyAlignment="1">
      <alignment wrapText="1"/>
    </xf>
  </cellXfs>
  <cellStyles count="61">
    <cellStyle name="Comma" xfId="1" builtinId="3"/>
    <cellStyle name="Comma 2" xfId="2" xr:uid="{00000000-0005-0000-0000-000001000000}"/>
    <cellStyle name="Comma 2 2" xfId="9" xr:uid="{00000000-0005-0000-0000-000002000000}"/>
    <cellStyle name="Comma 2 2 2" xfId="10" xr:uid="{00000000-0005-0000-0000-000003000000}"/>
    <cellStyle name="Comma 2 2 2 2" xfId="21" xr:uid="{00000000-0005-0000-0000-000004000000}"/>
    <cellStyle name="Comma 2 2 2 2 2" xfId="52" xr:uid="{AA766D2F-548D-4DE0-A1A7-DEA413F24C7D}"/>
    <cellStyle name="Comma 2 2 3" xfId="20" xr:uid="{00000000-0005-0000-0000-000005000000}"/>
    <cellStyle name="Comma 2 2 3 2" xfId="51" xr:uid="{4FF30639-FAE3-48B0-9C60-6FFE3D786628}"/>
    <cellStyle name="Comma 2 3" xfId="17" xr:uid="{00000000-0005-0000-0000-000006000000}"/>
    <cellStyle name="Comma 2 3 2" xfId="49" xr:uid="{DAEDB0D6-E953-4CCA-A374-E89F288AE889}"/>
    <cellStyle name="Comma 3" xfId="3" xr:uid="{00000000-0005-0000-0000-000007000000}"/>
    <cellStyle name="Comma 3 2" xfId="18" xr:uid="{00000000-0005-0000-0000-000008000000}"/>
    <cellStyle name="Comma 3 2 2" xfId="50" xr:uid="{CD816BBF-E03C-4093-AA14-A2E7C15FA7BC}"/>
    <cellStyle name="Comma 3 3" xfId="39" xr:uid="{00000000-0005-0000-0000-000009000000}"/>
    <cellStyle name="Comma 3 3 2" xfId="58" xr:uid="{E5D50804-0BD3-4F58-AC15-D58430D5BB66}"/>
    <cellStyle name="Comma 4" xfId="16" xr:uid="{00000000-0005-0000-0000-00000A000000}"/>
    <cellStyle name="Comma 4 2" xfId="48" xr:uid="{CC40C40C-3271-4002-A496-221BBC055275}"/>
    <cellStyle name="Comma 5" xfId="26" xr:uid="{00000000-0005-0000-0000-00000B000000}"/>
    <cellStyle name="Comma 5 2" xfId="54" xr:uid="{801D4621-7AFB-4DE4-8662-0A9CCBCDFC5A}"/>
    <cellStyle name="Comma 6" xfId="28" xr:uid="{00000000-0005-0000-0000-00000C000000}"/>
    <cellStyle name="Comma 7" xfId="42" xr:uid="{00000000-0005-0000-0000-00000D000000}"/>
    <cellStyle name="Comma 7 2" xfId="41" xr:uid="{00000000-0005-0000-0000-00000E000000}"/>
    <cellStyle name="Comma 7 2 2" xfId="59" xr:uid="{AD2ED249-A294-455C-A0C5-8E22DC0FB417}"/>
    <cellStyle name="Comma 8" xfId="46" xr:uid="{F7385A35-E809-4BB5-BE54-98ECD056E884}"/>
    <cellStyle name="Comma 9" xfId="36" xr:uid="{00000000-0005-0000-0000-00000F000000}"/>
    <cellStyle name="Comma 9 2" xfId="57" xr:uid="{4FC4572D-7C31-469B-96E8-1C29E1F9D3EF}"/>
    <cellStyle name="Currency [0] 2" xfId="32" xr:uid="{00000000-0005-0000-0000-000010000000}"/>
    <cellStyle name="Currency [0] 2 2" xfId="56" xr:uid="{988E290C-CA0D-4362-A2FB-2B97723CF838}"/>
    <cellStyle name="Excel_BuiltIn_Comma" xfId="37" xr:uid="{00000000-0005-0000-0000-000011000000}"/>
    <cellStyle name="Explanatory Text 2" xfId="30" xr:uid="{00000000-0005-0000-0000-000012000000}"/>
    <cellStyle name="Normal" xfId="0" builtinId="0"/>
    <cellStyle name="Normal 10" xfId="33" xr:uid="{00000000-0005-0000-0000-000014000000}"/>
    <cellStyle name="Normal 10 2" xfId="11" xr:uid="{00000000-0005-0000-0000-000015000000}"/>
    <cellStyle name="Normal 10 2 2" xfId="12" xr:uid="{00000000-0005-0000-0000-000016000000}"/>
    <cellStyle name="Normal 2" xfId="4" xr:uid="{00000000-0005-0000-0000-000017000000}"/>
    <cellStyle name="Normal 2 2" xfId="24" xr:uid="{00000000-0005-0000-0000-000018000000}"/>
    <cellStyle name="Normal 2 2 2" xfId="35" xr:uid="{00000000-0005-0000-0000-000019000000}"/>
    <cellStyle name="Normal 2 3" xfId="31" xr:uid="{00000000-0005-0000-0000-00001A000000}"/>
    <cellStyle name="Normal 2 3 2" xfId="55" xr:uid="{44C7CF57-6CD8-4936-ACAB-BA9373729A74}"/>
    <cellStyle name="Normal 277" xfId="44" xr:uid="{00000000-0005-0000-0000-00001B000000}"/>
    <cellStyle name="Normal 3" xfId="5" xr:uid="{00000000-0005-0000-0000-00001C000000}"/>
    <cellStyle name="Normal 3 2" xfId="34" xr:uid="{00000000-0005-0000-0000-00001D000000}"/>
    <cellStyle name="Normal 3 3" xfId="38" xr:uid="{00000000-0005-0000-0000-00001E000000}"/>
    <cellStyle name="Normal 4" xfId="15" xr:uid="{00000000-0005-0000-0000-00001F000000}"/>
    <cellStyle name="Normal 5" xfId="6" xr:uid="{00000000-0005-0000-0000-000020000000}"/>
    <cellStyle name="Normal 5 4" xfId="45" xr:uid="{B1DA53BC-A1D3-4A6F-8703-30162C977BB1}"/>
    <cellStyle name="Normal 5 4 2" xfId="60" xr:uid="{435AC5DB-F1A9-4F28-AD38-0D8677E90917}"/>
    <cellStyle name="Normal 6" xfId="22" xr:uid="{00000000-0005-0000-0000-000021000000}"/>
    <cellStyle name="Normal 6 2" xfId="40" xr:uid="{00000000-0005-0000-0000-000022000000}"/>
    <cellStyle name="Normal 7" xfId="14" xr:uid="{00000000-0005-0000-0000-000023000000}"/>
    <cellStyle name="Normal 7 2" xfId="23" xr:uid="{00000000-0005-0000-0000-000024000000}"/>
    <cellStyle name="Normal 7 3" xfId="47" xr:uid="{75616138-289F-4657-89C8-DB122DF96BAA}"/>
    <cellStyle name="Normal 8" xfId="25" xr:uid="{00000000-0005-0000-0000-000025000000}"/>
    <cellStyle name="Normal 8 2" xfId="53" xr:uid="{89D59A56-4CA8-4785-AAB9-FA53E92DE956}"/>
    <cellStyle name="Normal 9" xfId="27" xr:uid="{00000000-0005-0000-0000-000026000000}"/>
    <cellStyle name="Normal_Depreciation 3" xfId="8" xr:uid="{00000000-0005-0000-0000-000027000000}"/>
    <cellStyle name="Normal_DSM Soft  Financial as on 31.03.11final-Revised 2" xfId="13" xr:uid="{00000000-0005-0000-0000-000028000000}"/>
    <cellStyle name="Percent" xfId="43" builtinId="5"/>
    <cellStyle name="Percent 2" xfId="7" xr:uid="{00000000-0005-0000-0000-00002A000000}"/>
    <cellStyle name="Percent 2 2" xfId="19" xr:uid="{00000000-0005-0000-0000-00002B000000}"/>
    <cellStyle name="Percent 3" xfId="29" xr:uid="{00000000-0005-0000-0000-00002C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68</xdr:row>
      <xdr:rowOff>0</xdr:rowOff>
    </xdr:from>
    <xdr:to>
      <xdr:col>3</xdr:col>
      <xdr:colOff>9525</xdr:colOff>
      <xdr:row>68</xdr:row>
      <xdr:rowOff>9525</xdr:rowOff>
    </xdr:to>
    <xdr:sp macro="" textlink="">
      <xdr:nvSpPr>
        <xdr:cNvPr id="24686" name="AutoShape 19" descr="mail?cmd=cookie">
          <a:extLst>
            <a:ext uri="{FF2B5EF4-FFF2-40B4-BE49-F238E27FC236}">
              <a16:creationId xmlns:a16="http://schemas.microsoft.com/office/drawing/2014/main" id="{00000000-0008-0000-0A00-00006E600000}"/>
            </a:ext>
          </a:extLst>
        </xdr:cNvPr>
        <xdr:cNvSpPr>
          <a:spLocks noChangeAspect="1" noChangeArrowheads="1"/>
        </xdr:cNvSpPr>
      </xdr:nvSpPr>
      <xdr:spPr bwMode="auto">
        <a:xfrm>
          <a:off x="6410325" y="17706975"/>
          <a:ext cx="9525" cy="9525"/>
        </a:xfrm>
        <a:prstGeom prst="rect">
          <a:avLst/>
        </a:prstGeom>
        <a:noFill/>
        <a:ln w="9525">
          <a:no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sethu km" id="{A9401235-6F30-44D4-A788-2314D861BDD0}" userId="d017a5c4acb7ccc3"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40" dT="2023-08-25T06:37:40.91" personId="{A9401235-6F30-44D4-A788-2314D861BDD0}" id="{2D3DBE0A-447F-49F4-843C-4D93A78B82E2}">
    <text>Closing balance to be consider for Ageing</text>
  </threadedComment>
  <threadedComment ref="F40" dT="2023-08-25T06:37:10.03" personId="{A9401235-6F30-44D4-A788-2314D861BDD0}" id="{2BD383A5-065B-4314-B363-5EEE673E0AB0}">
    <text>Closing balance to be consider for Ageing</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9.bin"/><Relationship Id="rId4" Type="http://schemas.microsoft.com/office/2017/10/relationships/threadedComment" Target="../threadedComments/threadedComment1.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3504F-59CE-4A7A-A826-5768C0A97AB8}">
  <dimension ref="A2:C10"/>
  <sheetViews>
    <sheetView showGridLines="0" workbookViewId="0">
      <selection activeCell="A2" sqref="A2"/>
    </sheetView>
  </sheetViews>
  <sheetFormatPr defaultRowHeight="13.2"/>
  <cols>
    <col min="1" max="1" width="13.44140625" bestFit="1" customWidth="1"/>
    <col min="2" max="3" width="11.6640625" bestFit="1" customWidth="1"/>
  </cols>
  <sheetData>
    <row r="2" spans="1:3">
      <c r="A2" s="41" t="s">
        <v>2</v>
      </c>
      <c r="B2" s="42">
        <f>+SUMIF(A4:A10,A2,B4:B10)</f>
        <v>100000</v>
      </c>
      <c r="C2" s="11">
        <f>+Deno</f>
        <v>100000</v>
      </c>
    </row>
    <row r="3" spans="1:3">
      <c r="B3" s="11"/>
    </row>
    <row r="4" spans="1:3">
      <c r="A4" t="s">
        <v>1</v>
      </c>
      <c r="B4" s="11">
        <v>1000000</v>
      </c>
    </row>
    <row r="5" spans="1:3">
      <c r="A5" t="s">
        <v>2</v>
      </c>
      <c r="B5" s="11">
        <v>100000</v>
      </c>
    </row>
    <row r="6" spans="1:3">
      <c r="A6" t="s">
        <v>3</v>
      </c>
      <c r="B6" s="11">
        <v>10000</v>
      </c>
    </row>
    <row r="7" spans="1:3">
      <c r="A7" t="s">
        <v>4</v>
      </c>
      <c r="B7" s="11">
        <v>1000</v>
      </c>
    </row>
    <row r="8" spans="1:3">
      <c r="A8" t="s">
        <v>5</v>
      </c>
      <c r="B8" s="11">
        <v>100</v>
      </c>
    </row>
    <row r="9" spans="1:3">
      <c r="A9" t="s">
        <v>6</v>
      </c>
      <c r="B9" s="11">
        <v>10</v>
      </c>
    </row>
    <row r="10" spans="1:3">
      <c r="A10" t="s">
        <v>0</v>
      </c>
      <c r="B10" s="11">
        <v>1</v>
      </c>
    </row>
  </sheetData>
  <dataValidations count="1">
    <dataValidation type="list" allowBlank="1" showInputMessage="1" showErrorMessage="1" sqref="A2" xr:uid="{D56F0096-E6AB-4496-A002-CF5CB695EEBB}">
      <formula1>$A$4:$A$10</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857CC-4FD8-423D-845A-DB5B4DC3A111}">
  <dimension ref="A1:C6"/>
  <sheetViews>
    <sheetView workbookViewId="0">
      <selection activeCell="E3" sqref="E3"/>
    </sheetView>
  </sheetViews>
  <sheetFormatPr defaultRowHeight="13.2"/>
  <cols>
    <col min="1" max="1" width="10.33203125" bestFit="1" customWidth="1"/>
    <col min="3" max="3" width="9.88671875" bestFit="1" customWidth="1"/>
  </cols>
  <sheetData>
    <row r="1" spans="1:3">
      <c r="A1" s="68"/>
      <c r="B1" s="68"/>
      <c r="C1" s="68"/>
    </row>
    <row r="2" spans="1:3">
      <c r="A2" s="688" t="s">
        <v>7</v>
      </c>
      <c r="B2" s="688"/>
      <c r="C2" s="688"/>
    </row>
    <row r="3" spans="1:3">
      <c r="A3" s="69" t="s">
        <v>8</v>
      </c>
      <c r="B3" s="69" t="s">
        <v>9</v>
      </c>
      <c r="C3" s="69" t="s">
        <v>10</v>
      </c>
    </row>
    <row r="4" spans="1:3">
      <c r="A4" s="71">
        <v>45747</v>
      </c>
      <c r="B4" s="70" t="s">
        <v>11</v>
      </c>
      <c r="C4" s="70">
        <v>85.424000000000007</v>
      </c>
    </row>
    <row r="5" spans="1:3">
      <c r="A5" s="71">
        <v>45747</v>
      </c>
      <c r="B5" s="70" t="s">
        <v>13</v>
      </c>
      <c r="C5" s="70">
        <v>92.415000000000006</v>
      </c>
    </row>
    <row r="6" spans="1:3">
      <c r="A6" s="71">
        <v>45747</v>
      </c>
      <c r="B6" s="70" t="s">
        <v>14</v>
      </c>
      <c r="C6" s="72">
        <v>110.53</v>
      </c>
    </row>
  </sheetData>
  <mergeCells count="1">
    <mergeCell ref="A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247"/>
  <sheetViews>
    <sheetView showGridLines="0" zoomScale="85" workbookViewId="0">
      <selection activeCell="P5" sqref="P5:P6"/>
    </sheetView>
  </sheetViews>
  <sheetFormatPr defaultRowHeight="13.2"/>
  <cols>
    <col min="1" max="1" width="9.109375" customWidth="1"/>
    <col min="2" max="2" width="5.33203125" style="23" bestFit="1" customWidth="1"/>
    <col min="3" max="3" width="30" style="23" customWidth="1"/>
    <col min="4" max="4" width="15.5546875" style="74" customWidth="1"/>
    <col min="5" max="5" width="13.33203125" style="74" bestFit="1" customWidth="1"/>
    <col min="6" max="6" width="5.5546875" style="23" customWidth="1"/>
    <col min="7" max="7" width="10.6640625" bestFit="1" customWidth="1"/>
    <col min="8" max="8" width="10.88671875" hidden="1" customWidth="1"/>
    <col min="9" max="9" width="47.5546875" hidden="1" customWidth="1"/>
    <col min="10" max="10" width="9.109375" hidden="1" customWidth="1"/>
    <col min="13" max="13" width="32.44140625" bestFit="1" customWidth="1"/>
    <col min="14" max="14" width="12" bestFit="1" customWidth="1"/>
    <col min="15" max="15" width="11.88671875" bestFit="1" customWidth="1"/>
    <col min="16" max="16" width="11.44140625" bestFit="1" customWidth="1"/>
    <col min="17" max="17" width="10.77734375" bestFit="1" customWidth="1"/>
  </cols>
  <sheetData>
    <row r="2" spans="2:16">
      <c r="B2" s="22" t="s">
        <v>1099</v>
      </c>
      <c r="E2" s="75">
        <f>+D3-E3</f>
        <v>-1.9400000013411045</v>
      </c>
    </row>
    <row r="3" spans="2:16">
      <c r="D3" s="75">
        <f>+SUM(D5:D1048576)</f>
        <v>29995064.749229245</v>
      </c>
      <c r="E3" s="75">
        <f>+SUM(E5:E1048576)</f>
        <v>29995066.689229246</v>
      </c>
    </row>
    <row r="4" spans="2:16" ht="13.8">
      <c r="B4" s="22" t="s">
        <v>43</v>
      </c>
      <c r="C4" s="22" t="s">
        <v>44</v>
      </c>
      <c r="D4" s="76" t="s">
        <v>45</v>
      </c>
      <c r="E4" s="76" t="s">
        <v>46</v>
      </c>
      <c r="F4" s="22" t="s">
        <v>47</v>
      </c>
      <c r="M4" s="689" t="s">
        <v>1183</v>
      </c>
      <c r="N4" s="690"/>
      <c r="O4" s="690"/>
      <c r="P4" s="691"/>
    </row>
    <row r="5" spans="2:16">
      <c r="C5" s="24"/>
      <c r="D5" s="79"/>
      <c r="E5" s="77"/>
      <c r="H5" t="s">
        <v>48</v>
      </c>
      <c r="M5" s="686" t="s">
        <v>1184</v>
      </c>
      <c r="N5" s="685">
        <f>'Statement of Income'!E44</f>
        <v>654762.48607177602</v>
      </c>
      <c r="O5" s="687">
        <f>E149</f>
        <v>654762.48607176181</v>
      </c>
      <c r="P5" s="687">
        <f>N5-O5</f>
        <v>1.4202669262886047E-8</v>
      </c>
    </row>
    <row r="6" spans="2:16">
      <c r="B6" s="23">
        <v>1</v>
      </c>
      <c r="C6" s="23" t="s">
        <v>556</v>
      </c>
      <c r="D6" s="74">
        <v>122066.25</v>
      </c>
      <c r="F6" s="23" t="s">
        <v>1088</v>
      </c>
      <c r="H6" s="25">
        <v>44109</v>
      </c>
      <c r="I6" s="4" t="s">
        <v>49</v>
      </c>
      <c r="J6" s="26">
        <v>2928</v>
      </c>
      <c r="M6" s="686" t="s">
        <v>1186</v>
      </c>
      <c r="N6" s="687">
        <f>'Statement of Income'!E47</f>
        <v>3660953.0300000003</v>
      </c>
      <c r="O6" s="687">
        <f>'TB 24-25'!I61</f>
        <v>3255908.3599999994</v>
      </c>
      <c r="P6" s="687">
        <f>N6-O6</f>
        <v>405044.67000000086</v>
      </c>
    </row>
    <row r="7" spans="2:16">
      <c r="C7" s="35" t="s">
        <v>1086</v>
      </c>
      <c r="D7" s="77"/>
      <c r="E7" s="74">
        <f>+D6</f>
        <v>122066.25</v>
      </c>
      <c r="F7" s="23" t="s">
        <v>1088</v>
      </c>
      <c r="H7" s="25">
        <v>44119</v>
      </c>
      <c r="I7" s="4" t="s">
        <v>50</v>
      </c>
      <c r="J7" s="26">
        <v>1500</v>
      </c>
    </row>
    <row r="8" spans="2:16">
      <c r="C8" s="23" t="s">
        <v>1087</v>
      </c>
      <c r="D8" s="77"/>
      <c r="E8" s="77"/>
      <c r="H8" s="25"/>
      <c r="I8" s="4"/>
      <c r="J8" s="26"/>
    </row>
    <row r="9" spans="2:16">
      <c r="H9" s="25">
        <v>44119</v>
      </c>
      <c r="I9" s="4" t="s">
        <v>51</v>
      </c>
      <c r="J9" s="4">
        <v>400</v>
      </c>
    </row>
    <row r="10" spans="2:16">
      <c r="B10" s="23">
        <v>2</v>
      </c>
      <c r="C10" s="37" t="s">
        <v>173</v>
      </c>
      <c r="D10" s="77">
        <f>392364.68/12*4</f>
        <v>130788.22666666667</v>
      </c>
      <c r="E10" s="77"/>
      <c r="F10" s="23" t="s">
        <v>1088</v>
      </c>
      <c r="H10" s="25">
        <v>44119</v>
      </c>
      <c r="I10" s="4" t="s">
        <v>52</v>
      </c>
      <c r="J10" s="26">
        <v>1684</v>
      </c>
    </row>
    <row r="11" spans="2:16">
      <c r="C11" s="38" t="s">
        <v>1089</v>
      </c>
      <c r="D11" s="77"/>
      <c r="E11" s="77">
        <f>+D10</f>
        <v>130788.22666666667</v>
      </c>
      <c r="F11" s="23" t="s">
        <v>1088</v>
      </c>
      <c r="H11" s="25">
        <v>44141</v>
      </c>
      <c r="I11" s="4"/>
      <c r="J11" s="26">
        <v>2142</v>
      </c>
    </row>
    <row r="12" spans="2:16">
      <c r="C12" s="23" t="s">
        <v>1090</v>
      </c>
      <c r="D12" s="77"/>
      <c r="E12" s="77"/>
      <c r="H12" s="25">
        <v>44989</v>
      </c>
      <c r="I12" s="4" t="s">
        <v>53</v>
      </c>
      <c r="J12" s="26">
        <v>1550</v>
      </c>
    </row>
    <row r="13" spans="2:16">
      <c r="D13" s="77"/>
      <c r="E13" s="77"/>
    </row>
    <row r="14" spans="2:16">
      <c r="B14" s="23">
        <v>3</v>
      </c>
      <c r="C14" s="23" t="s">
        <v>245</v>
      </c>
      <c r="D14" s="77">
        <v>225000</v>
      </c>
      <c r="E14" s="77"/>
      <c r="F14" s="23" t="s">
        <v>1088</v>
      </c>
      <c r="H14" s="25">
        <v>44013</v>
      </c>
      <c r="I14" s="4"/>
      <c r="J14" s="4">
        <v>638.98</v>
      </c>
    </row>
    <row r="15" spans="2:16" ht="12.75" customHeight="1">
      <c r="C15" s="38" t="s">
        <v>1091</v>
      </c>
      <c r="D15" s="77"/>
      <c r="E15" s="77">
        <f>+D14</f>
        <v>225000</v>
      </c>
      <c r="F15" s="23" t="s">
        <v>1088</v>
      </c>
      <c r="H15" s="25">
        <v>44032</v>
      </c>
      <c r="I15" s="4"/>
      <c r="J15" s="26">
        <v>4287.05</v>
      </c>
    </row>
    <row r="16" spans="2:16" ht="52.8">
      <c r="C16" s="629" t="s">
        <v>1092</v>
      </c>
      <c r="D16" s="77"/>
      <c r="E16" s="77"/>
      <c r="H16" s="25">
        <v>44119</v>
      </c>
      <c r="I16" s="4" t="s">
        <v>54</v>
      </c>
      <c r="J16" s="26">
        <v>1100</v>
      </c>
    </row>
    <row r="17" spans="2:10">
      <c r="C17" s="35"/>
      <c r="D17" s="77"/>
      <c r="E17" s="77"/>
      <c r="H17" s="25">
        <v>44124</v>
      </c>
      <c r="I17" s="4" t="s">
        <v>55</v>
      </c>
      <c r="J17" s="26">
        <v>2400</v>
      </c>
    </row>
    <row r="18" spans="2:10">
      <c r="B18" s="23">
        <v>4</v>
      </c>
      <c r="C18" s="37" t="s">
        <v>526</v>
      </c>
      <c r="D18" s="77">
        <v>10000</v>
      </c>
      <c r="E18" s="77"/>
      <c r="F18" s="23" t="s">
        <v>1088</v>
      </c>
      <c r="H18" s="25">
        <v>44965</v>
      </c>
      <c r="I18" s="4" t="s">
        <v>56</v>
      </c>
      <c r="J18" s="26">
        <v>2200</v>
      </c>
    </row>
    <row r="19" spans="2:10">
      <c r="C19" s="35" t="s">
        <v>170</v>
      </c>
      <c r="D19" s="77"/>
      <c r="E19" s="77">
        <v>10000</v>
      </c>
      <c r="F19" s="23" t="s">
        <v>1088</v>
      </c>
      <c r="H19" s="25">
        <v>44983</v>
      </c>
      <c r="I19" s="4" t="s">
        <v>57</v>
      </c>
      <c r="J19" s="26">
        <v>2500</v>
      </c>
    </row>
    <row r="20" spans="2:10">
      <c r="C20" s="35" t="s">
        <v>1102</v>
      </c>
      <c r="D20" s="77"/>
      <c r="E20" s="77"/>
      <c r="H20" s="25">
        <v>44162</v>
      </c>
      <c r="J20" s="26">
        <v>960</v>
      </c>
    </row>
    <row r="21" spans="2:10">
      <c r="C21" s="35"/>
      <c r="D21" s="77"/>
      <c r="E21" s="77"/>
    </row>
    <row r="22" spans="2:10">
      <c r="B22" s="23">
        <v>5</v>
      </c>
      <c r="C22" s="37" t="s">
        <v>170</v>
      </c>
      <c r="D22" s="77">
        <v>1315</v>
      </c>
      <c r="E22" s="77"/>
      <c r="F22" s="23" t="s">
        <v>1088</v>
      </c>
    </row>
    <row r="23" spans="2:10" ht="13.8">
      <c r="C23" s="23" t="s">
        <v>342</v>
      </c>
      <c r="D23" s="77"/>
      <c r="E23" s="77">
        <f>+D22</f>
        <v>1315</v>
      </c>
      <c r="F23" s="23" t="s">
        <v>1088</v>
      </c>
      <c r="H23" s="3"/>
      <c r="I23" s="3"/>
    </row>
    <row r="24" spans="2:10" ht="13.8">
      <c r="C24" s="23" t="s">
        <v>1103</v>
      </c>
      <c r="D24" s="77"/>
      <c r="E24" s="77"/>
      <c r="H24" s="3"/>
      <c r="I24" s="3"/>
    </row>
    <row r="25" spans="2:10" ht="13.8">
      <c r="C25" s="35"/>
      <c r="D25" s="77"/>
      <c r="E25" s="77"/>
      <c r="H25" s="3"/>
      <c r="I25" s="3"/>
    </row>
    <row r="26" spans="2:10" ht="13.8">
      <c r="B26" s="23">
        <v>6</v>
      </c>
      <c r="C26" s="23" t="s">
        <v>1105</v>
      </c>
      <c r="D26" s="77">
        <v>125000</v>
      </c>
      <c r="E26" s="77"/>
      <c r="F26" s="23" t="s">
        <v>1088</v>
      </c>
      <c r="H26" s="3"/>
      <c r="I26" s="3"/>
    </row>
    <row r="27" spans="2:10" ht="13.8">
      <c r="C27" s="23" t="s">
        <v>1106</v>
      </c>
      <c r="D27" s="77">
        <v>100000</v>
      </c>
      <c r="E27" s="77"/>
      <c r="F27" s="23" t="s">
        <v>1088</v>
      </c>
      <c r="H27" s="3"/>
      <c r="I27" s="3"/>
    </row>
    <row r="28" spans="2:10" ht="13.8">
      <c r="C28" s="24" t="s">
        <v>245</v>
      </c>
      <c r="D28" s="77"/>
      <c r="E28" s="74">
        <f>SUM(D26:D27)</f>
        <v>225000</v>
      </c>
      <c r="F28" s="23" t="s">
        <v>1088</v>
      </c>
      <c r="H28" s="3"/>
      <c r="I28" s="3"/>
    </row>
    <row r="29" spans="2:10" ht="13.8">
      <c r="C29" s="24" t="s">
        <v>1104</v>
      </c>
      <c r="D29" s="77"/>
      <c r="E29" s="77"/>
      <c r="H29" s="3"/>
      <c r="I29" s="3"/>
    </row>
    <row r="30" spans="2:10" ht="13.8">
      <c r="C30" s="35"/>
      <c r="D30" s="77"/>
      <c r="E30" s="77"/>
      <c r="H30" s="3"/>
      <c r="I30" s="3"/>
    </row>
    <row r="31" spans="2:10">
      <c r="B31" s="23">
        <v>7</v>
      </c>
      <c r="C31" s="24" t="s">
        <v>1113</v>
      </c>
      <c r="D31" s="77">
        <f>-'Deffered Tax'!H23</f>
        <v>0.37521684789198417</v>
      </c>
      <c r="E31" s="77"/>
      <c r="F31" s="23" t="s">
        <v>1088</v>
      </c>
    </row>
    <row r="32" spans="2:10">
      <c r="C32" s="73" t="s">
        <v>1112</v>
      </c>
      <c r="D32" s="77"/>
      <c r="E32" s="77">
        <f>+D31</f>
        <v>0.37521684789198417</v>
      </c>
      <c r="F32" s="23" t="s">
        <v>1088</v>
      </c>
    </row>
    <row r="33" spans="2:6">
      <c r="D33" s="77"/>
      <c r="E33" s="77"/>
    </row>
    <row r="34" spans="2:6">
      <c r="B34" s="23">
        <v>8</v>
      </c>
      <c r="C34" s="37" t="s">
        <v>237</v>
      </c>
      <c r="D34" s="77">
        <v>12250</v>
      </c>
      <c r="E34" s="77"/>
      <c r="F34" s="23" t="s">
        <v>1088</v>
      </c>
    </row>
    <row r="35" spans="2:6">
      <c r="C35" s="24" t="s">
        <v>473</v>
      </c>
      <c r="D35" s="77"/>
      <c r="E35" s="77">
        <f>+D34</f>
        <v>12250</v>
      </c>
      <c r="F35" s="23" t="s">
        <v>1088</v>
      </c>
    </row>
    <row r="36" spans="2:6">
      <c r="D36" s="77"/>
      <c r="E36" s="77"/>
    </row>
    <row r="37" spans="2:6">
      <c r="B37" s="23">
        <v>9</v>
      </c>
      <c r="C37" s="24" t="s">
        <v>424</v>
      </c>
      <c r="D37" s="78">
        <v>8846.4599999999991</v>
      </c>
      <c r="E37" s="78"/>
      <c r="F37" s="23" t="s">
        <v>1088</v>
      </c>
    </row>
    <row r="38" spans="2:6">
      <c r="C38" s="24" t="s">
        <v>237</v>
      </c>
      <c r="D38" s="78"/>
      <c r="E38" s="78">
        <f>+D37</f>
        <v>8846.4599999999991</v>
      </c>
      <c r="F38" s="23" t="s">
        <v>1088</v>
      </c>
    </row>
    <row r="39" spans="2:6">
      <c r="C39" s="73"/>
      <c r="D39" s="78"/>
      <c r="E39" s="78"/>
    </row>
    <row r="40" spans="2:6">
      <c r="B40" s="23">
        <v>10</v>
      </c>
      <c r="C40" s="23" t="s">
        <v>1114</v>
      </c>
      <c r="D40" s="74">
        <v>177</v>
      </c>
      <c r="F40" s="23" t="s">
        <v>1088</v>
      </c>
    </row>
    <row r="41" spans="2:6">
      <c r="C41" s="37" t="s">
        <v>1115</v>
      </c>
      <c r="D41" s="74">
        <v>298.61999999999534</v>
      </c>
    </row>
    <row r="42" spans="2:6">
      <c r="C42" s="37" t="s">
        <v>1116</v>
      </c>
      <c r="D42" s="74">
        <v>38558.960000000021</v>
      </c>
    </row>
    <row r="43" spans="2:6">
      <c r="C43" s="37" t="s">
        <v>1117</v>
      </c>
      <c r="D43" s="74">
        <v>197.9699999999998</v>
      </c>
    </row>
    <row r="44" spans="2:6">
      <c r="C44" s="37" t="s">
        <v>1118</v>
      </c>
      <c r="D44" s="74">
        <v>1000</v>
      </c>
    </row>
    <row r="45" spans="2:6">
      <c r="C45" s="73" t="s">
        <v>1119</v>
      </c>
      <c r="D45" s="74">
        <v>2144</v>
      </c>
    </row>
    <row r="46" spans="2:6">
      <c r="C46" s="23" t="s">
        <v>1120</v>
      </c>
      <c r="D46" s="74">
        <v>2022.48</v>
      </c>
    </row>
    <row r="47" spans="2:6">
      <c r="C47" s="24" t="s">
        <v>1121</v>
      </c>
      <c r="D47" s="77">
        <v>885.00000000005821</v>
      </c>
    </row>
    <row r="48" spans="2:6">
      <c r="C48" s="37" t="s">
        <v>1122</v>
      </c>
      <c r="D48" s="77">
        <v>3120</v>
      </c>
    </row>
    <row r="49" spans="2:6">
      <c r="C49" s="73" t="s">
        <v>1123</v>
      </c>
      <c r="D49" s="77">
        <v>500</v>
      </c>
    </row>
    <row r="50" spans="2:6">
      <c r="C50" s="24" t="s">
        <v>1124</v>
      </c>
      <c r="D50" s="77">
        <v>275.00000000000011</v>
      </c>
    </row>
    <row r="51" spans="2:6">
      <c r="C51" s="24" t="s">
        <v>1125</v>
      </c>
      <c r="D51" s="77">
        <v>870</v>
      </c>
    </row>
    <row r="52" spans="2:6" ht="12.75" customHeight="1">
      <c r="C52" s="37" t="s">
        <v>1126</v>
      </c>
      <c r="D52" s="77">
        <v>3539.9999999999982</v>
      </c>
    </row>
    <row r="53" spans="2:6">
      <c r="C53" s="35" t="s">
        <v>1127</v>
      </c>
      <c r="D53" s="77" t="s">
        <v>1130</v>
      </c>
      <c r="E53" s="74">
        <v>667</v>
      </c>
    </row>
    <row r="54" spans="2:6">
      <c r="C54" s="35" t="s">
        <v>1128</v>
      </c>
      <c r="D54" s="77"/>
      <c r="E54" s="74">
        <v>16203.189999999999</v>
      </c>
    </row>
    <row r="55" spans="2:6">
      <c r="C55" s="35" t="s">
        <v>1129</v>
      </c>
      <c r="D55" s="77"/>
      <c r="E55" s="74">
        <f>SUM(D40:D52)-SUM(E53:E54)</f>
        <v>36718.840000000084</v>
      </c>
    </row>
    <row r="56" spans="2:6">
      <c r="C56" s="37" t="s">
        <v>1131</v>
      </c>
      <c r="D56" s="77"/>
      <c r="E56" s="77"/>
    </row>
    <row r="57" spans="2:6">
      <c r="C57" s="24"/>
      <c r="D57" s="77"/>
      <c r="E57" s="78"/>
    </row>
    <row r="58" spans="2:6">
      <c r="B58" s="23">
        <v>11</v>
      </c>
      <c r="C58" s="24" t="s">
        <v>1132</v>
      </c>
      <c r="D58" s="636">
        <f>SUM(E70:E83)-D69</f>
        <v>3084106.0100000012</v>
      </c>
      <c r="E58" s="78"/>
      <c r="F58" s="23" t="s">
        <v>1088</v>
      </c>
    </row>
    <row r="59" spans="2:6">
      <c r="C59" s="35" t="s">
        <v>1133</v>
      </c>
      <c r="D59" s="77"/>
      <c r="E59" s="635">
        <f>+SUM(E64:E68)-SUM(D60:D63)</f>
        <v>0.96999999975931139</v>
      </c>
    </row>
    <row r="60" spans="2:6">
      <c r="C60" s="24" t="s">
        <v>897</v>
      </c>
      <c r="D60" s="77">
        <v>0.29999999998835847</v>
      </c>
      <c r="E60" s="78"/>
    </row>
    <row r="61" spans="2:6">
      <c r="C61" s="24" t="s">
        <v>898</v>
      </c>
      <c r="D61" s="77">
        <v>0.25</v>
      </c>
      <c r="E61" s="78"/>
    </row>
    <row r="62" spans="2:6">
      <c r="C62" s="24" t="s">
        <v>899</v>
      </c>
      <c r="D62" s="77">
        <v>0.45000000018626451</v>
      </c>
      <c r="E62" s="78"/>
    </row>
    <row r="63" spans="2:6">
      <c r="C63" s="24" t="s">
        <v>901</v>
      </c>
      <c r="D63" s="77">
        <v>4.0000000037252903E-2</v>
      </c>
      <c r="E63" s="78"/>
    </row>
    <row r="64" spans="2:6">
      <c r="C64" s="35" t="s">
        <v>900</v>
      </c>
      <c r="D64" s="77"/>
      <c r="E64" s="635">
        <v>0.35999999998603016</v>
      </c>
    </row>
    <row r="65" spans="1:5">
      <c r="C65" s="35" t="s">
        <v>902</v>
      </c>
      <c r="D65" s="77"/>
      <c r="E65" s="635">
        <v>0.47999999998137355</v>
      </c>
    </row>
    <row r="66" spans="1:5">
      <c r="C66" s="35" t="s">
        <v>903</v>
      </c>
      <c r="D66" s="77"/>
      <c r="E66" s="635">
        <v>0.08</v>
      </c>
    </row>
    <row r="67" spans="1:5">
      <c r="C67" s="35" t="s">
        <v>922</v>
      </c>
      <c r="D67" s="77"/>
      <c r="E67" s="635">
        <v>0.93000000000029104</v>
      </c>
    </row>
    <row r="68" spans="1:5">
      <c r="C68" s="35" t="s">
        <v>1134</v>
      </c>
      <c r="D68" s="77"/>
      <c r="E68" s="635">
        <v>0.16000000000349246</v>
      </c>
    </row>
    <row r="69" spans="1:5">
      <c r="C69" s="35" t="s">
        <v>1135</v>
      </c>
      <c r="D69" s="77">
        <v>11000</v>
      </c>
      <c r="E69" s="635"/>
    </row>
    <row r="70" spans="1:5">
      <c r="C70" s="35" t="s">
        <v>904</v>
      </c>
      <c r="E70" s="74">
        <v>801725.59</v>
      </c>
    </row>
    <row r="71" spans="1:5">
      <c r="C71" s="35" t="s">
        <v>905</v>
      </c>
      <c r="D71" s="77"/>
      <c r="E71" s="74">
        <v>33.72</v>
      </c>
    </row>
    <row r="72" spans="1:5">
      <c r="A72" s="2"/>
      <c r="C72" s="35" t="s">
        <v>906</v>
      </c>
      <c r="D72" s="77"/>
      <c r="E72" s="74">
        <v>12333.279999999984</v>
      </c>
    </row>
    <row r="73" spans="1:5">
      <c r="A73" s="2"/>
      <c r="C73" s="35" t="s">
        <v>907</v>
      </c>
      <c r="D73" s="77"/>
      <c r="E73" s="74">
        <v>59661.979999999981</v>
      </c>
    </row>
    <row r="74" spans="1:5">
      <c r="A74" s="2"/>
      <c r="C74" s="35" t="s">
        <v>908</v>
      </c>
      <c r="E74" s="77">
        <v>812293.32</v>
      </c>
    </row>
    <row r="75" spans="1:5">
      <c r="A75" s="2"/>
      <c r="C75" s="35" t="s">
        <v>909</v>
      </c>
      <c r="E75" s="77">
        <v>123161.32</v>
      </c>
    </row>
    <row r="76" spans="1:5">
      <c r="A76" s="2"/>
      <c r="C76" s="35" t="s">
        <v>910</v>
      </c>
      <c r="E76" s="77">
        <v>4000.3500000000058</v>
      </c>
    </row>
    <row r="77" spans="1:5">
      <c r="A77" s="2"/>
      <c r="C77" s="35" t="s">
        <v>911</v>
      </c>
      <c r="E77" s="77">
        <v>419133.3</v>
      </c>
    </row>
    <row r="78" spans="1:5">
      <c r="A78" s="2"/>
      <c r="C78" s="35" t="s">
        <v>913</v>
      </c>
      <c r="E78" s="77">
        <v>55032</v>
      </c>
    </row>
    <row r="79" spans="1:5">
      <c r="A79" s="2"/>
      <c r="C79" s="35" t="s">
        <v>914</v>
      </c>
      <c r="E79" s="77">
        <v>902.04000000050291</v>
      </c>
    </row>
    <row r="80" spans="1:5">
      <c r="A80" s="2"/>
      <c r="C80" s="35" t="s">
        <v>915</v>
      </c>
      <c r="E80" s="77">
        <v>102188.69</v>
      </c>
    </row>
    <row r="81" spans="1:5">
      <c r="A81" s="2"/>
      <c r="C81" s="35" t="s">
        <v>917</v>
      </c>
      <c r="E81" s="77">
        <v>96</v>
      </c>
    </row>
    <row r="82" spans="1:5">
      <c r="A82" s="2"/>
      <c r="C82" s="35" t="s">
        <v>918</v>
      </c>
      <c r="E82" s="77">
        <v>70850.12</v>
      </c>
    </row>
    <row r="83" spans="1:5">
      <c r="A83" s="2"/>
      <c r="C83" s="35" t="s">
        <v>920</v>
      </c>
      <c r="E83" s="77">
        <v>633694.30000000075</v>
      </c>
    </row>
    <row r="84" spans="1:5">
      <c r="A84" s="2"/>
      <c r="C84" s="35" t="s">
        <v>1136</v>
      </c>
      <c r="E84" s="77"/>
    </row>
    <row r="85" spans="1:5">
      <c r="A85" s="2"/>
      <c r="C85" s="35"/>
      <c r="E85" s="77"/>
    </row>
    <row r="86" spans="1:5">
      <c r="A86" s="2"/>
      <c r="B86" s="23">
        <v>12</v>
      </c>
      <c r="C86" s="37" t="s">
        <v>18</v>
      </c>
      <c r="D86" s="74">
        <v>13319.800816990435</v>
      </c>
      <c r="E86" s="77"/>
    </row>
    <row r="87" spans="1:5">
      <c r="A87" s="2"/>
      <c r="C87" s="37" t="s">
        <v>17</v>
      </c>
      <c r="D87" s="74">
        <v>4760.9967499999912</v>
      </c>
      <c r="E87" s="77"/>
    </row>
    <row r="88" spans="1:5">
      <c r="A88" s="2"/>
      <c r="C88" s="37" t="s">
        <v>352</v>
      </c>
      <c r="D88" s="74">
        <f>SUM(E89:E97)-SUM(D86:D87)</f>
        <v>86921.929173216209</v>
      </c>
      <c r="E88" s="77"/>
    </row>
    <row r="89" spans="1:5">
      <c r="A89" s="2"/>
      <c r="C89" s="35" t="s">
        <v>15</v>
      </c>
      <c r="E89" s="77">
        <v>77551.819763700943</v>
      </c>
    </row>
    <row r="90" spans="1:5">
      <c r="A90" s="2"/>
      <c r="C90" s="35" t="s">
        <v>21</v>
      </c>
      <c r="E90" s="77">
        <v>19047.417592499638</v>
      </c>
    </row>
    <row r="91" spans="1:5">
      <c r="A91" s="2"/>
      <c r="C91" s="35" t="s">
        <v>20</v>
      </c>
      <c r="E91" s="77">
        <v>53.769350500002474</v>
      </c>
    </row>
    <row r="92" spans="1:5">
      <c r="A92" s="2"/>
      <c r="C92" s="35" t="s">
        <v>12</v>
      </c>
      <c r="E92" s="78">
        <v>199.75035300591844</v>
      </c>
    </row>
    <row r="93" spans="1:5">
      <c r="A93" s="2"/>
      <c r="C93" s="35" t="s">
        <v>16</v>
      </c>
      <c r="E93" s="74">
        <v>393.17961000000651</v>
      </c>
    </row>
    <row r="94" spans="1:5">
      <c r="A94" s="2"/>
      <c r="C94" s="35" t="s">
        <v>19</v>
      </c>
      <c r="E94" s="74">
        <v>2470.8511855000397</v>
      </c>
    </row>
    <row r="95" spans="1:5">
      <c r="A95" s="2"/>
      <c r="C95" s="35" t="s">
        <v>22</v>
      </c>
      <c r="E95" s="74">
        <v>18.175500000000284</v>
      </c>
    </row>
    <row r="96" spans="1:5">
      <c r="A96" s="2"/>
      <c r="C96" s="35" t="s">
        <v>23</v>
      </c>
      <c r="E96" s="74">
        <v>259.3367750000034</v>
      </c>
    </row>
    <row r="97" spans="1:5">
      <c r="A97" s="2"/>
      <c r="C97" s="35" t="s">
        <v>24</v>
      </c>
      <c r="E97" s="74">
        <v>5008.4266100000823</v>
      </c>
    </row>
    <row r="98" spans="1:5">
      <c r="A98" s="2"/>
      <c r="C98" s="37" t="s">
        <v>1138</v>
      </c>
    </row>
    <row r="99" spans="1:5">
      <c r="A99" s="2"/>
      <c r="C99" s="35"/>
    </row>
    <row r="100" spans="1:5">
      <c r="A100" s="2"/>
      <c r="B100" s="23">
        <v>13</v>
      </c>
      <c r="C100" s="37" t="s">
        <v>18</v>
      </c>
      <c r="D100" s="74">
        <v>65217.568189999831</v>
      </c>
    </row>
    <row r="101" spans="1:5">
      <c r="A101" s="2"/>
      <c r="C101" s="37" t="s">
        <v>36</v>
      </c>
      <c r="D101" s="74">
        <v>7566.0876600004267</v>
      </c>
    </row>
    <row r="102" spans="1:5">
      <c r="A102" s="2"/>
      <c r="C102" s="37" t="s">
        <v>35</v>
      </c>
      <c r="D102" s="74">
        <v>1043.3380000002799</v>
      </c>
    </row>
    <row r="103" spans="1:5">
      <c r="A103" s="2"/>
      <c r="C103" s="37" t="s">
        <v>33</v>
      </c>
      <c r="D103" s="74">
        <v>85.546499999976731</v>
      </c>
    </row>
    <row r="104" spans="1:5">
      <c r="A104" s="2"/>
      <c r="C104" s="37" t="s">
        <v>31</v>
      </c>
      <c r="D104" s="74">
        <v>782.10854000000108</v>
      </c>
    </row>
    <row r="105" spans="1:5">
      <c r="A105" s="2"/>
      <c r="C105" s="37" t="s">
        <v>30</v>
      </c>
      <c r="D105" s="74">
        <v>1365.6995019999849</v>
      </c>
    </row>
    <row r="106" spans="1:5">
      <c r="A106" s="2"/>
      <c r="C106" s="37" t="s">
        <v>34</v>
      </c>
      <c r="D106" s="74">
        <v>6152.5329999999958</v>
      </c>
    </row>
    <row r="107" spans="1:5">
      <c r="A107" s="2"/>
      <c r="C107" s="37" t="s">
        <v>15</v>
      </c>
      <c r="D107" s="74">
        <v>294.52592000000004</v>
      </c>
    </row>
    <row r="108" spans="1:5">
      <c r="A108" s="2"/>
      <c r="C108" s="37" t="s">
        <v>40</v>
      </c>
      <c r="D108" s="74">
        <v>88.531150000002526</v>
      </c>
    </row>
    <row r="109" spans="1:5">
      <c r="A109" s="2"/>
      <c r="C109" s="35" t="s">
        <v>352</v>
      </c>
      <c r="E109" s="74">
        <f>SUM(D100:D108)-SUM(E110:E119)</f>
        <v>40722.076629000614</v>
      </c>
    </row>
    <row r="110" spans="1:5">
      <c r="A110" s="2"/>
      <c r="C110" s="35" t="s">
        <v>28</v>
      </c>
      <c r="E110" s="74">
        <v>8936.1128259999678</v>
      </c>
    </row>
    <row r="111" spans="1:5">
      <c r="A111" s="2"/>
      <c r="C111" s="35" t="s">
        <v>32</v>
      </c>
      <c r="E111" s="74">
        <v>328.77550000001793</v>
      </c>
    </row>
    <row r="112" spans="1:5">
      <c r="A112" s="2"/>
      <c r="C112" s="35" t="s">
        <v>29</v>
      </c>
      <c r="E112" s="74">
        <v>20458.067105999799</v>
      </c>
    </row>
    <row r="113" spans="1:7">
      <c r="A113" s="2"/>
      <c r="C113" s="35" t="s">
        <v>41</v>
      </c>
      <c r="E113" s="74">
        <v>1358.7776000000013</v>
      </c>
    </row>
    <row r="114" spans="1:7">
      <c r="A114" s="2"/>
      <c r="C114" s="35" t="s">
        <v>26</v>
      </c>
      <c r="E114" s="74">
        <v>1387.8259300000209</v>
      </c>
    </row>
    <row r="115" spans="1:7">
      <c r="A115" s="2"/>
      <c r="C115" s="35" t="s">
        <v>27</v>
      </c>
      <c r="E115" s="74">
        <v>6515.0311899999797</v>
      </c>
    </row>
    <row r="116" spans="1:7">
      <c r="C116" s="35" t="s">
        <v>37</v>
      </c>
      <c r="E116" s="74">
        <v>1637.1450000001205</v>
      </c>
    </row>
    <row r="117" spans="1:7">
      <c r="C117" s="35" t="s">
        <v>38</v>
      </c>
      <c r="E117" s="74">
        <v>24.131999999999607</v>
      </c>
    </row>
    <row r="118" spans="1:7">
      <c r="C118" s="35" t="s">
        <v>39</v>
      </c>
      <c r="E118" s="74">
        <v>407.26278100000127</v>
      </c>
    </row>
    <row r="119" spans="1:7">
      <c r="C119" s="35" t="s">
        <v>42</v>
      </c>
      <c r="E119" s="74">
        <v>820.73189999999886</v>
      </c>
    </row>
    <row r="120" spans="1:7">
      <c r="C120" s="37" t="s">
        <v>1139</v>
      </c>
    </row>
    <row r="121" spans="1:7">
      <c r="C121" s="24"/>
    </row>
    <row r="122" spans="1:7">
      <c r="B122" s="23">
        <v>14</v>
      </c>
      <c r="C122" s="37" t="s">
        <v>143</v>
      </c>
      <c r="D122" s="74">
        <v>4081269.3</v>
      </c>
      <c r="G122" s="11"/>
    </row>
    <row r="123" spans="1:7">
      <c r="C123" s="38" t="s">
        <v>366</v>
      </c>
      <c r="E123" s="74">
        <f>+D122</f>
        <v>4081269.3</v>
      </c>
    </row>
    <row r="124" spans="1:7" ht="12.75" customHeight="1">
      <c r="C124" s="38" t="s">
        <v>1140</v>
      </c>
    </row>
    <row r="125" spans="1:7" ht="12.75" customHeight="1">
      <c r="C125" s="38"/>
    </row>
    <row r="126" spans="1:7" ht="12.75" customHeight="1">
      <c r="B126" s="23">
        <v>15</v>
      </c>
      <c r="C126" s="553" t="s">
        <v>868</v>
      </c>
      <c r="D126" s="74">
        <v>14106836.380000001</v>
      </c>
    </row>
    <row r="127" spans="1:7" ht="12.75" customHeight="1">
      <c r="C127" s="38" t="s">
        <v>1148</v>
      </c>
      <c r="E127" s="74">
        <f>+D126</f>
        <v>14106836.380000001</v>
      </c>
    </row>
    <row r="128" spans="1:7" ht="12.75" customHeight="1">
      <c r="C128" s="38"/>
    </row>
    <row r="129" spans="2:15" ht="12.75" customHeight="1">
      <c r="B129" s="23">
        <v>16</v>
      </c>
      <c r="C129" s="24" t="s">
        <v>1146</v>
      </c>
      <c r="D129" s="78">
        <f>6000000</f>
        <v>6000000</v>
      </c>
      <c r="E129" s="78"/>
    </row>
    <row r="130" spans="2:15" ht="12.75" customHeight="1">
      <c r="C130" s="35" t="s">
        <v>1149</v>
      </c>
      <c r="D130" s="78"/>
      <c r="E130" s="78">
        <f>+D129</f>
        <v>6000000</v>
      </c>
    </row>
    <row r="131" spans="2:15" ht="12.75" customHeight="1">
      <c r="C131" s="24" t="s">
        <v>1147</v>
      </c>
      <c r="D131" s="78"/>
      <c r="E131" s="78"/>
    </row>
    <row r="132" spans="2:15">
      <c r="C132" s="38"/>
    </row>
    <row r="133" spans="2:15">
      <c r="B133" s="23">
        <v>17</v>
      </c>
      <c r="C133" s="553" t="s">
        <v>307</v>
      </c>
      <c r="D133" s="74">
        <v>3894</v>
      </c>
    </row>
    <row r="134" spans="2:15">
      <c r="C134" s="553" t="s">
        <v>1175</v>
      </c>
      <c r="E134" s="74">
        <v>3894</v>
      </c>
    </row>
    <row r="135" spans="2:15">
      <c r="C135" s="553" t="s">
        <v>1176</v>
      </c>
    </row>
    <row r="136" spans="2:15">
      <c r="C136" s="553"/>
    </row>
    <row r="137" spans="2:15">
      <c r="B137" s="23">
        <v>18</v>
      </c>
      <c r="C137" s="37" t="s">
        <v>153</v>
      </c>
      <c r="D137" s="74">
        <v>5148</v>
      </c>
    </row>
    <row r="138" spans="2:15">
      <c r="C138" s="37" t="s">
        <v>147</v>
      </c>
      <c r="E138" s="74">
        <f>D137</f>
        <v>5148</v>
      </c>
    </row>
    <row r="139" spans="2:15">
      <c r="C139" s="553"/>
    </row>
    <row r="140" spans="2:15">
      <c r="C140" s="38"/>
      <c r="M140" t="s">
        <v>292</v>
      </c>
      <c r="N140">
        <v>1838630</v>
      </c>
    </row>
    <row r="141" spans="2:15">
      <c r="B141" s="23">
        <v>19</v>
      </c>
      <c r="C141" s="37" t="s">
        <v>494</v>
      </c>
      <c r="D141" s="74">
        <v>366831.04</v>
      </c>
      <c r="M141" t="s">
        <v>292</v>
      </c>
      <c r="O141">
        <v>144900</v>
      </c>
    </row>
    <row r="142" spans="2:15">
      <c r="C142" s="24" t="s">
        <v>147</v>
      </c>
      <c r="E142" s="74">
        <f>D141</f>
        <v>366831.04</v>
      </c>
      <c r="M142" t="s">
        <v>150</v>
      </c>
      <c r="O142">
        <v>1625627</v>
      </c>
    </row>
    <row r="143" spans="2:15">
      <c r="C143" s="24"/>
      <c r="M143" t="s">
        <v>541</v>
      </c>
      <c r="O143">
        <v>68103</v>
      </c>
    </row>
    <row r="144" spans="2:15">
      <c r="C144" s="38"/>
      <c r="N144">
        <f>SUM(N140:N143)</f>
        <v>1838630</v>
      </c>
      <c r="O144">
        <f>SUM(O140:O143)</f>
        <v>1838630</v>
      </c>
    </row>
    <row r="145" spans="2:18">
      <c r="B145" s="23">
        <v>20</v>
      </c>
      <c r="C145" s="24" t="s">
        <v>568</v>
      </c>
      <c r="D145" s="74">
        <v>50000</v>
      </c>
    </row>
    <row r="146" spans="2:18">
      <c r="C146" s="24" t="s">
        <v>201</v>
      </c>
      <c r="E146" s="74">
        <f>D145</f>
        <v>50000</v>
      </c>
      <c r="M146" t="s">
        <v>150</v>
      </c>
      <c r="N146">
        <f>O142</f>
        <v>1625627</v>
      </c>
    </row>
    <row r="147" spans="2:18">
      <c r="C147" s="553"/>
      <c r="M147" t="s">
        <v>541</v>
      </c>
      <c r="N147">
        <v>68103</v>
      </c>
      <c r="Q147">
        <f>149120</f>
        <v>149120</v>
      </c>
      <c r="R147">
        <f>Q147-N148</f>
        <v>4220</v>
      </c>
    </row>
    <row r="148" spans="2:18">
      <c r="B148" s="23">
        <v>21</v>
      </c>
      <c r="C148" s="24" t="s">
        <v>1181</v>
      </c>
      <c r="D148" s="74">
        <v>654762.48607176181</v>
      </c>
      <c r="M148" t="s">
        <v>289</v>
      </c>
      <c r="N148">
        <v>144900</v>
      </c>
    </row>
    <row r="149" spans="2:18">
      <c r="C149" s="35" t="s">
        <v>1182</v>
      </c>
      <c r="E149" s="74">
        <f>D148</f>
        <v>654762.48607176181</v>
      </c>
      <c r="M149" t="s">
        <v>292</v>
      </c>
    </row>
    <row r="150" spans="2:18">
      <c r="C150" s="38"/>
      <c r="N150">
        <f>SUM(N146:N149)</f>
        <v>1838630</v>
      </c>
    </row>
    <row r="151" spans="2:18">
      <c r="B151" s="23">
        <v>22</v>
      </c>
      <c r="C151" s="24" t="s">
        <v>1182</v>
      </c>
      <c r="D151" s="74">
        <v>654762.48607176181</v>
      </c>
    </row>
    <row r="152" spans="2:18">
      <c r="C152" s="35" t="s">
        <v>1185</v>
      </c>
      <c r="E152" s="74">
        <f>D151</f>
        <v>654762.48607176181</v>
      </c>
    </row>
    <row r="153" spans="2:18">
      <c r="C153" s="38"/>
    </row>
    <row r="154" spans="2:18">
      <c r="C154" s="38"/>
    </row>
    <row r="155" spans="2:18">
      <c r="C155" s="38"/>
    </row>
    <row r="156" spans="2:18">
      <c r="C156" s="38"/>
    </row>
    <row r="157" spans="2:18">
      <c r="C157" s="38"/>
    </row>
    <row r="158" spans="2:18">
      <c r="C158" s="38"/>
    </row>
    <row r="159" spans="2:18">
      <c r="C159" s="38"/>
    </row>
    <row r="160" spans="2:18">
      <c r="C160" s="38"/>
    </row>
    <row r="161" spans="3:3">
      <c r="C161" s="38"/>
    </row>
    <row r="162" spans="3:3">
      <c r="C162" s="38"/>
    </row>
    <row r="163" spans="3:3">
      <c r="C163" s="38"/>
    </row>
    <row r="164" spans="3:3">
      <c r="C164" s="38"/>
    </row>
    <row r="165" spans="3:3">
      <c r="C165" s="38"/>
    </row>
    <row r="166" spans="3:3">
      <c r="C166" s="38"/>
    </row>
    <row r="167" spans="3:3">
      <c r="C167" s="38"/>
    </row>
    <row r="168" spans="3:3">
      <c r="C168" s="38"/>
    </row>
    <row r="169" spans="3:3">
      <c r="C169" s="38"/>
    </row>
    <row r="170" spans="3:3">
      <c r="C170" s="38"/>
    </row>
    <row r="171" spans="3:3">
      <c r="C171" s="38"/>
    </row>
    <row r="172" spans="3:3">
      <c r="C172" s="38"/>
    </row>
    <row r="173" spans="3:3">
      <c r="C173" s="38"/>
    </row>
    <row r="174" spans="3:3">
      <c r="C174" s="38"/>
    </row>
    <row r="175" spans="3:3">
      <c r="C175" s="38"/>
    </row>
    <row r="176" spans="3:3">
      <c r="C176" s="38"/>
    </row>
    <row r="177" spans="3:3">
      <c r="C177" s="38"/>
    </row>
    <row r="178" spans="3:3">
      <c r="C178" s="38"/>
    </row>
    <row r="179" spans="3:3">
      <c r="C179" s="38"/>
    </row>
    <row r="180" spans="3:3">
      <c r="C180" s="38"/>
    </row>
    <row r="181" spans="3:3">
      <c r="C181" s="38"/>
    </row>
    <row r="182" spans="3:3">
      <c r="C182" s="38"/>
    </row>
    <row r="183" spans="3:3">
      <c r="C183" s="38"/>
    </row>
    <row r="184" spans="3:3">
      <c r="C184" s="38"/>
    </row>
    <row r="185" spans="3:3">
      <c r="C185" s="38"/>
    </row>
    <row r="186" spans="3:3">
      <c r="C186" s="38"/>
    </row>
    <row r="187" spans="3:3">
      <c r="C187" s="38"/>
    </row>
    <row r="188" spans="3:3">
      <c r="C188" s="38"/>
    </row>
    <row r="189" spans="3:3">
      <c r="C189" s="38"/>
    </row>
    <row r="190" spans="3:3">
      <c r="C190" s="38"/>
    </row>
    <row r="191" spans="3:3">
      <c r="C191" s="38"/>
    </row>
    <row r="192" spans="3:3">
      <c r="C192" s="38"/>
    </row>
    <row r="193" spans="1:3">
      <c r="C193" s="38"/>
    </row>
    <row r="194" spans="1:3">
      <c r="C194" s="38"/>
    </row>
    <row r="195" spans="1:3">
      <c r="C195" s="38"/>
    </row>
    <row r="196" spans="1:3">
      <c r="C196" s="38"/>
    </row>
    <row r="197" spans="1:3">
      <c r="C197" s="38"/>
    </row>
    <row r="198" spans="1:3">
      <c r="C198" s="38"/>
    </row>
    <row r="199" spans="1:3">
      <c r="C199" s="38"/>
    </row>
    <row r="200" spans="1:3">
      <c r="C200" s="38"/>
    </row>
    <row r="201" spans="1:3">
      <c r="C201" s="38"/>
    </row>
    <row r="202" spans="1:3">
      <c r="C202" s="38"/>
    </row>
    <row r="203" spans="1:3">
      <c r="C203" s="38"/>
    </row>
    <row r="204" spans="1:3">
      <c r="C204" s="38"/>
    </row>
    <row r="205" spans="1:3">
      <c r="C205" s="38"/>
    </row>
    <row r="206" spans="1:3">
      <c r="C206" s="38"/>
    </row>
    <row r="207" spans="1:3">
      <c r="A207" s="2"/>
      <c r="C207" s="38"/>
    </row>
    <row r="208" spans="1:3">
      <c r="A208" s="2"/>
      <c r="C208" s="38"/>
    </row>
    <row r="209" spans="1:3">
      <c r="A209" s="2"/>
      <c r="C209" s="38"/>
    </row>
    <row r="210" spans="1:3">
      <c r="C210" s="35"/>
    </row>
    <row r="211" spans="1:3">
      <c r="C211" s="37"/>
    </row>
    <row r="214" spans="1:3">
      <c r="C214" s="24"/>
    </row>
    <row r="215" spans="1:3">
      <c r="C215" s="38"/>
    </row>
    <row r="216" spans="1:3">
      <c r="C216" s="24"/>
    </row>
    <row r="218" spans="1:3">
      <c r="C218" s="24"/>
    </row>
    <row r="219" spans="1:3">
      <c r="C219" s="35"/>
    </row>
    <row r="220" spans="1:3">
      <c r="C220" s="24"/>
    </row>
    <row r="221" spans="1:3">
      <c r="C221" s="38"/>
    </row>
    <row r="222" spans="1:3">
      <c r="C222" s="24"/>
    </row>
    <row r="223" spans="1:3">
      <c r="C223" s="35"/>
    </row>
    <row r="224" spans="1:3">
      <c r="C224" s="35"/>
    </row>
    <row r="225" spans="1:3">
      <c r="C225" s="24"/>
    </row>
    <row r="228" spans="1:3">
      <c r="C228" s="35"/>
    </row>
    <row r="229" spans="1:3">
      <c r="C229" s="24"/>
    </row>
    <row r="231" spans="1:3">
      <c r="C231" s="24"/>
    </row>
    <row r="233" spans="1:3">
      <c r="C233" s="24"/>
    </row>
    <row r="234" spans="1:3">
      <c r="C234" s="24"/>
    </row>
    <row r="235" spans="1:3">
      <c r="C235" s="35"/>
    </row>
    <row r="236" spans="1:3">
      <c r="C236" s="35"/>
    </row>
    <row r="237" spans="1:3">
      <c r="A237" s="2"/>
      <c r="C237" s="35"/>
    </row>
    <row r="238" spans="1:3">
      <c r="A238" s="2"/>
      <c r="C238" s="35"/>
    </row>
    <row r="239" spans="1:3">
      <c r="C239" s="35"/>
    </row>
    <row r="240" spans="1:3">
      <c r="C240" s="24"/>
    </row>
    <row r="245" spans="3:3">
      <c r="C245" s="35"/>
    </row>
    <row r="246" spans="3:3">
      <c r="C246" s="35"/>
    </row>
    <row r="247" spans="3:3">
      <c r="C247" s="24"/>
    </row>
  </sheetData>
  <mergeCells count="1">
    <mergeCell ref="M4:P4"/>
  </mergeCells>
  <conditionalFormatting sqref="P5:P6">
    <cfRule type="cellIs" dxfId="6" priority="1" operator="notEqual">
      <formula>0</formula>
    </cfRule>
    <cfRule type="cellIs" dxfId="5" priority="2" operator="equal">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EH351"/>
  <sheetViews>
    <sheetView showGridLines="0" zoomScale="95" zoomScaleNormal="100" workbookViewId="0">
      <pane xSplit="4" ySplit="6" topLeftCell="J61" activePane="bottomRight" state="frozen"/>
      <selection pane="topRight" activeCell="C27" sqref="C27"/>
      <selection pane="bottomLeft" activeCell="C27" sqref="C27"/>
      <selection pane="bottomRight" activeCell="M76" sqref="M76"/>
    </sheetView>
  </sheetViews>
  <sheetFormatPr defaultColWidth="8" defaultRowHeight="14.4"/>
  <cols>
    <col min="1" max="1" width="2.33203125" style="3" customWidth="1"/>
    <col min="2" max="2" width="4.109375" style="3" customWidth="1"/>
    <col min="3" max="3" width="2.6640625" style="3" customWidth="1"/>
    <col min="4" max="4" width="38.44140625" style="1" customWidth="1"/>
    <col min="5" max="9" width="15.88671875" style="63" bestFit="1" customWidth="1"/>
    <col min="10" max="10" width="16.5546875" style="63" bestFit="1" customWidth="1"/>
    <col min="11" max="12" width="15.88671875" style="63" bestFit="1" customWidth="1"/>
    <col min="13" max="13" width="12.109375" style="83" bestFit="1" customWidth="1"/>
    <col min="14" max="14" width="12.6640625" style="83" bestFit="1" customWidth="1"/>
    <col min="15" max="16" width="15.88671875" style="63" bestFit="1" customWidth="1"/>
    <col min="17" max="17" width="40.88671875" style="1" bestFit="1" customWidth="1"/>
    <col min="18" max="18" width="12.6640625" style="1" customWidth="1"/>
    <col min="19" max="19" width="26.5546875" style="1" bestFit="1" customWidth="1"/>
    <col min="20" max="20" width="24.44140625" style="3" bestFit="1" customWidth="1"/>
    <col min="21" max="23" width="13.88671875" style="3" bestFit="1" customWidth="1"/>
    <col min="24" max="16384" width="8" style="3"/>
  </cols>
  <sheetData>
    <row r="1" spans="1:23">
      <c r="A1" s="34"/>
      <c r="B1" s="579"/>
      <c r="C1" s="579"/>
      <c r="D1" s="65">
        <f>Deno</f>
        <v>100000</v>
      </c>
      <c r="E1" s="57"/>
      <c r="F1" s="57">
        <f>+F2-E2</f>
        <v>-3.6854639802186284E-6</v>
      </c>
      <c r="G1" s="57"/>
      <c r="H1" s="57">
        <f>+H2-G2</f>
        <v>408.63145330548286</v>
      </c>
      <c r="I1" s="57"/>
      <c r="J1" s="57">
        <f>+J2-I2</f>
        <v>-408.63000077009201</v>
      </c>
      <c r="K1" s="57"/>
      <c r="L1" s="57">
        <f>+L2-K2</f>
        <v>1.4525055885314941E-3</v>
      </c>
      <c r="M1" s="27"/>
      <c r="N1" s="80">
        <f>+N2-M2</f>
        <v>-5.9999998658895493E-2</v>
      </c>
      <c r="O1" s="57"/>
      <c r="P1" s="57">
        <f>(O2-P2)*Deno</f>
        <v>5.8547630032990128E-2</v>
      </c>
      <c r="R1" s="20"/>
      <c r="S1" s="10"/>
      <c r="V1" s="8">
        <v>-99152768.424146026</v>
      </c>
    </row>
    <row r="2" spans="1:23">
      <c r="D2" s="580"/>
      <c r="E2" s="58">
        <f t="shared" ref="E2:P2" si="0">SUBTOTAL(9,E6:E342)</f>
        <v>3279.2605759887006</v>
      </c>
      <c r="F2" s="58">
        <f t="shared" si="0"/>
        <v>3279.2605723032366</v>
      </c>
      <c r="G2" s="58">
        <f t="shared" si="0"/>
        <v>169626614.45811471</v>
      </c>
      <c r="H2" s="58">
        <f t="shared" si="0"/>
        <v>169627023.08956802</v>
      </c>
      <c r="I2" s="58">
        <f t="shared" si="0"/>
        <v>327579935.56000054</v>
      </c>
      <c r="J2" s="58">
        <f t="shared" si="0"/>
        <v>327579526.92999977</v>
      </c>
      <c r="K2" s="58">
        <f t="shared" si="0"/>
        <v>462623363.7988705</v>
      </c>
      <c r="L2" s="58">
        <f t="shared" si="0"/>
        <v>462623363.80032301</v>
      </c>
      <c r="M2" s="80">
        <f t="shared" si="0"/>
        <v>29907240.859829258</v>
      </c>
      <c r="N2" s="80">
        <f t="shared" si="0"/>
        <v>29907240.79982926</v>
      </c>
      <c r="O2" s="80">
        <f t="shared" si="0"/>
        <v>4665.123209127114</v>
      </c>
      <c r="P2" s="80">
        <f t="shared" si="0"/>
        <v>4665.1232085416377</v>
      </c>
      <c r="R2" s="10">
        <f>+E2-F2</f>
        <v>3.6854639802186284E-6</v>
      </c>
      <c r="S2" s="1">
        <v>1930545.6707310299</v>
      </c>
      <c r="T2" s="9">
        <f>+R2-S2</f>
        <v>-1930545.6707273445</v>
      </c>
      <c r="V2" s="8">
        <v>101186387.67269236</v>
      </c>
      <c r="W2" s="40">
        <f>+SUM(V1:V2)</f>
        <v>2033619.2485463321</v>
      </c>
    </row>
    <row r="3" spans="1:23">
      <c r="E3" s="59" t="s">
        <v>118</v>
      </c>
      <c r="F3" s="59"/>
      <c r="G3" s="60" t="s">
        <v>119</v>
      </c>
      <c r="H3" s="60"/>
      <c r="I3" s="60" t="s">
        <v>120</v>
      </c>
      <c r="J3" s="60"/>
      <c r="K3" s="60" t="s">
        <v>121</v>
      </c>
      <c r="L3" s="60"/>
      <c r="M3" s="81" t="s">
        <v>122</v>
      </c>
      <c r="N3" s="81"/>
      <c r="O3" s="60" t="s">
        <v>118</v>
      </c>
      <c r="P3" s="60"/>
    </row>
    <row r="4" spans="1:23">
      <c r="D4" s="30" t="s">
        <v>44</v>
      </c>
      <c r="E4" s="693" t="s">
        <v>123</v>
      </c>
      <c r="F4" s="693"/>
      <c r="G4" s="692" t="s">
        <v>124</v>
      </c>
      <c r="H4" s="692"/>
      <c r="I4" s="692" t="s">
        <v>124</v>
      </c>
      <c r="J4" s="692"/>
      <c r="K4" s="692" t="s">
        <v>124</v>
      </c>
      <c r="L4" s="692"/>
      <c r="M4" s="692" t="s">
        <v>124</v>
      </c>
      <c r="N4" s="692"/>
      <c r="O4" s="692" t="s">
        <v>124</v>
      </c>
      <c r="P4" s="692"/>
    </row>
    <row r="5" spans="1:23">
      <c r="D5" s="30"/>
      <c r="E5" s="61" t="s">
        <v>45</v>
      </c>
      <c r="F5" s="61" t="s">
        <v>46</v>
      </c>
      <c r="G5" s="62" t="s">
        <v>45</v>
      </c>
      <c r="H5" s="62" t="s">
        <v>46</v>
      </c>
      <c r="I5" s="62" t="s">
        <v>45</v>
      </c>
      <c r="J5" s="62" t="s">
        <v>46</v>
      </c>
      <c r="K5" s="62" t="s">
        <v>45</v>
      </c>
      <c r="L5" s="62" t="s">
        <v>46</v>
      </c>
      <c r="M5" s="82" t="s">
        <v>45</v>
      </c>
      <c r="N5" s="82" t="s">
        <v>46</v>
      </c>
      <c r="O5" s="62" t="s">
        <v>45</v>
      </c>
      <c r="P5" s="62" t="s">
        <v>46</v>
      </c>
      <c r="Q5" s="6" t="s">
        <v>125</v>
      </c>
      <c r="R5" s="6" t="s">
        <v>126</v>
      </c>
      <c r="S5" s="6" t="s">
        <v>127</v>
      </c>
      <c r="T5" s="7" t="s">
        <v>128</v>
      </c>
    </row>
    <row r="6" spans="1:23">
      <c r="A6" s="15" t="s">
        <v>129</v>
      </c>
      <c r="B6" s="15"/>
      <c r="C6" s="15"/>
      <c r="D6" s="12"/>
      <c r="T6" s="3" t="s">
        <v>130</v>
      </c>
    </row>
    <row r="7" spans="1:23">
      <c r="A7" s="16"/>
      <c r="B7" s="17" t="s">
        <v>131</v>
      </c>
      <c r="C7" s="17"/>
      <c r="D7" s="12"/>
      <c r="N7" s="84"/>
      <c r="O7" s="64"/>
      <c r="P7" s="64"/>
    </row>
    <row r="8" spans="1:23" ht="15" customHeight="1">
      <c r="A8" s="16"/>
      <c r="B8" s="16"/>
      <c r="C8" s="18" t="s">
        <v>132</v>
      </c>
      <c r="D8" s="12"/>
      <c r="N8" s="84"/>
      <c r="O8" s="64"/>
      <c r="P8" s="64"/>
    </row>
    <row r="9" spans="1:23" ht="15" customHeight="1">
      <c r="A9" s="16"/>
      <c r="B9" s="16"/>
      <c r="C9" s="16"/>
      <c r="D9" s="13" t="s">
        <v>133</v>
      </c>
      <c r="E9" s="581">
        <f>139899.35933321/(Deno)</f>
        <v>1.3989935933321</v>
      </c>
      <c r="F9" s="581">
        <f t="shared" ref="F9:F16" si="1">0/(Deno)</f>
        <v>0</v>
      </c>
      <c r="G9" s="64">
        <v>139899.35933320981</v>
      </c>
      <c r="H9" s="64">
        <v>0</v>
      </c>
      <c r="I9" s="64">
        <v>32966.11</v>
      </c>
      <c r="J9" s="64">
        <v>0</v>
      </c>
      <c r="K9" s="65">
        <f>+IF((G9+I9-H9-J9&gt;0),G9+I9-H9-J9,0)</f>
        <v>172865.4693332098</v>
      </c>
      <c r="L9" s="65">
        <f>+IF((H9+J9-G9-I9)&gt;0,H9+J9-G9-I9,0)</f>
        <v>0</v>
      </c>
      <c r="M9" s="84"/>
      <c r="N9" s="84"/>
      <c r="O9" s="65">
        <f t="shared" ref="O9" si="2">+IF((K9+M9-L9-N9&gt;0),K9+M9-L9-N9,0)/Deno</f>
        <v>1.7286546933320979</v>
      </c>
      <c r="P9" s="65">
        <f t="shared" ref="P9" si="3">+IF((L9+N9-K9-M9)&gt;0,L9+N9-K9-M9,0)/Deno</f>
        <v>0</v>
      </c>
      <c r="R9" s="1">
        <v>8</v>
      </c>
      <c r="S9" s="1" t="s">
        <v>134</v>
      </c>
    </row>
    <row r="10" spans="1:23" ht="15" customHeight="1">
      <c r="A10" s="16"/>
      <c r="B10" s="16"/>
      <c r="C10" s="16"/>
      <c r="D10" s="13" t="s">
        <v>135</v>
      </c>
      <c r="E10" s="581">
        <f>517825.649127016/(Deno)</f>
        <v>5.1782564912701599</v>
      </c>
      <c r="F10" s="581">
        <f t="shared" si="1"/>
        <v>0</v>
      </c>
      <c r="G10" s="64">
        <v>517825.64912701596</v>
      </c>
      <c r="H10" s="64">
        <v>0</v>
      </c>
      <c r="I10" s="64">
        <v>0</v>
      </c>
      <c r="J10" s="64">
        <v>0</v>
      </c>
      <c r="K10" s="65">
        <f t="shared" ref="K10:K73" si="4">+IF((G10+I10-H10-J10&gt;0),G10+I10-H10-J10,0)</f>
        <v>517825.64912701596</v>
      </c>
      <c r="L10" s="65">
        <f t="shared" ref="L10:L73" si="5">+IF((H10+J10-G10-I10)&gt;0,H10+J10-G10-I10,0)</f>
        <v>0</v>
      </c>
      <c r="M10" s="84"/>
      <c r="N10" s="84"/>
      <c r="O10" s="65">
        <f t="shared" ref="O10:O73" si="6">+IF((K10+M10-L10-N10&gt;0),K10+M10-L10-N10,0)/Deno</f>
        <v>5.1782564912701599</v>
      </c>
      <c r="P10" s="65">
        <f t="shared" ref="P10:P73" si="7">+IF((L10+N10-K10-M10)&gt;0,L10+N10-K10-M10,0)/Deno</f>
        <v>0</v>
      </c>
      <c r="R10" s="1">
        <v>8</v>
      </c>
      <c r="S10" s="1" t="s">
        <v>134</v>
      </c>
    </row>
    <row r="11" spans="1:23" ht="15" customHeight="1">
      <c r="A11" s="16"/>
      <c r="B11" s="16"/>
      <c r="C11" s="16"/>
      <c r="D11" s="13" t="s">
        <v>136</v>
      </c>
      <c r="E11" s="581">
        <f>125082.421142074/(Deno)</f>
        <v>1.25082421142074</v>
      </c>
      <c r="F11" s="581">
        <f t="shared" si="1"/>
        <v>0</v>
      </c>
      <c r="G11" s="64">
        <v>125082.42114207428</v>
      </c>
      <c r="H11" s="64">
        <v>0</v>
      </c>
      <c r="I11" s="64">
        <v>0</v>
      </c>
      <c r="J11" s="64">
        <v>0</v>
      </c>
      <c r="K11" s="65">
        <f t="shared" si="4"/>
        <v>125082.42114207428</v>
      </c>
      <c r="L11" s="65">
        <f t="shared" si="5"/>
        <v>0</v>
      </c>
      <c r="M11" s="84"/>
      <c r="N11" s="84"/>
      <c r="O11" s="65">
        <f t="shared" si="6"/>
        <v>1.2508242114207428</v>
      </c>
      <c r="P11" s="65">
        <f t="shared" si="7"/>
        <v>0</v>
      </c>
      <c r="R11" s="1">
        <v>8</v>
      </c>
      <c r="S11" s="1" t="s">
        <v>134</v>
      </c>
    </row>
    <row r="12" spans="1:23" ht="15" customHeight="1">
      <c r="A12" s="16"/>
      <c r="B12" s="16"/>
      <c r="C12" s="16"/>
      <c r="D12" s="13" t="s">
        <v>137</v>
      </c>
      <c r="E12" s="581">
        <f>0.00022921827621758/(Deno)</f>
        <v>2.2921827621757999E-9</v>
      </c>
      <c r="F12" s="581">
        <f t="shared" si="1"/>
        <v>0</v>
      </c>
      <c r="G12" s="64">
        <v>2.2921827621758E-4</v>
      </c>
      <c r="H12" s="64">
        <v>0</v>
      </c>
      <c r="I12" s="64">
        <v>0</v>
      </c>
      <c r="J12" s="64">
        <v>0</v>
      </c>
      <c r="K12" s="65">
        <f t="shared" si="4"/>
        <v>2.2921827621758E-4</v>
      </c>
      <c r="L12" s="65">
        <f t="shared" si="5"/>
        <v>0</v>
      </c>
      <c r="M12" s="84"/>
      <c r="N12" s="84"/>
      <c r="O12" s="65">
        <f t="shared" si="6"/>
        <v>2.2921827621757999E-9</v>
      </c>
      <c r="P12" s="65">
        <f t="shared" si="7"/>
        <v>0</v>
      </c>
      <c r="R12" s="1">
        <v>8</v>
      </c>
      <c r="S12" s="1" t="s">
        <v>134</v>
      </c>
    </row>
    <row r="13" spans="1:23" ht="15" customHeight="1">
      <c r="A13" s="16"/>
      <c r="B13" s="16"/>
      <c r="C13" s="16"/>
      <c r="D13" s="13" t="s">
        <v>138</v>
      </c>
      <c r="E13" s="581">
        <f>37190.2148490844/(Deno)</f>
        <v>0.37190214849084396</v>
      </c>
      <c r="F13" s="581">
        <f t="shared" si="1"/>
        <v>0</v>
      </c>
      <c r="G13" s="64">
        <v>37190.214849084354</v>
      </c>
      <c r="H13" s="64">
        <v>0</v>
      </c>
      <c r="I13" s="64">
        <v>56000</v>
      </c>
      <c r="J13" s="64">
        <v>0</v>
      </c>
      <c r="K13" s="65">
        <f t="shared" si="4"/>
        <v>93190.214849084354</v>
      </c>
      <c r="L13" s="65">
        <f t="shared" si="5"/>
        <v>0</v>
      </c>
      <c r="M13" s="84"/>
      <c r="N13" s="84"/>
      <c r="O13" s="65">
        <f t="shared" si="6"/>
        <v>0.93190214849084352</v>
      </c>
      <c r="P13" s="65">
        <f t="shared" si="7"/>
        <v>0</v>
      </c>
      <c r="R13" s="1">
        <v>8</v>
      </c>
      <c r="S13" s="1" t="s">
        <v>134</v>
      </c>
    </row>
    <row r="14" spans="1:23" ht="15" customHeight="1">
      <c r="A14" s="16"/>
      <c r="B14" s="16"/>
      <c r="C14" s="16"/>
      <c r="D14" s="13" t="s">
        <v>139</v>
      </c>
      <c r="E14" s="581">
        <f>19061/(Deno)</f>
        <v>0.19061</v>
      </c>
      <c r="F14" s="581">
        <f t="shared" si="1"/>
        <v>0</v>
      </c>
      <c r="G14" s="64">
        <v>19061</v>
      </c>
      <c r="H14" s="64">
        <v>0</v>
      </c>
      <c r="I14" s="64">
        <v>0</v>
      </c>
      <c r="J14" s="64">
        <v>0</v>
      </c>
      <c r="K14" s="65">
        <f t="shared" si="4"/>
        <v>19061</v>
      </c>
      <c r="L14" s="65">
        <f t="shared" si="5"/>
        <v>0</v>
      </c>
      <c r="M14" s="84"/>
      <c r="N14" s="84"/>
      <c r="O14" s="65">
        <f t="shared" si="6"/>
        <v>0.19061</v>
      </c>
      <c r="P14" s="65">
        <f t="shared" si="7"/>
        <v>0</v>
      </c>
      <c r="R14" s="1">
        <v>8</v>
      </c>
      <c r="S14" s="1" t="s">
        <v>134</v>
      </c>
    </row>
    <row r="15" spans="1:23" ht="15" customHeight="1">
      <c r="A15" s="16"/>
      <c r="B15" s="16"/>
      <c r="C15" s="16"/>
      <c r="D15" s="13" t="s">
        <v>135</v>
      </c>
      <c r="E15" s="581">
        <f>39297.176257463/(Deno)</f>
        <v>0.39297176257462996</v>
      </c>
      <c r="F15" s="581">
        <f t="shared" si="1"/>
        <v>0</v>
      </c>
      <c r="G15" s="64">
        <v>39297.176257462997</v>
      </c>
      <c r="H15" s="64">
        <v>0</v>
      </c>
      <c r="I15" s="64">
        <v>0</v>
      </c>
      <c r="J15" s="64">
        <v>0</v>
      </c>
      <c r="K15" s="65">
        <f t="shared" si="4"/>
        <v>39297.176257462997</v>
      </c>
      <c r="L15" s="65">
        <f t="shared" si="5"/>
        <v>0</v>
      </c>
      <c r="M15" s="84"/>
      <c r="N15" s="84"/>
      <c r="O15" s="65">
        <f t="shared" si="6"/>
        <v>0.39297176257462996</v>
      </c>
      <c r="P15" s="65">
        <f t="shared" si="7"/>
        <v>0</v>
      </c>
      <c r="R15" s="1">
        <v>8</v>
      </c>
      <c r="S15" s="1" t="s">
        <v>134</v>
      </c>
    </row>
    <row r="16" spans="1:23" ht="15" customHeight="1">
      <c r="A16" s="16"/>
      <c r="B16" s="16"/>
      <c r="C16" s="16"/>
      <c r="D16" s="28" t="s">
        <v>140</v>
      </c>
      <c r="E16" s="581">
        <f>35787.5/(Deno)</f>
        <v>0.357875</v>
      </c>
      <c r="F16" s="581">
        <f t="shared" si="1"/>
        <v>0</v>
      </c>
      <c r="G16" s="64">
        <v>35787.5</v>
      </c>
      <c r="H16" s="64">
        <v>0</v>
      </c>
      <c r="I16" s="64">
        <v>0</v>
      </c>
      <c r="J16" s="64">
        <v>0</v>
      </c>
      <c r="K16" s="65">
        <f t="shared" si="4"/>
        <v>35787.5</v>
      </c>
      <c r="L16" s="65">
        <f t="shared" si="5"/>
        <v>0</v>
      </c>
      <c r="M16" s="84"/>
      <c r="N16" s="84"/>
      <c r="O16" s="65">
        <f t="shared" si="6"/>
        <v>0.357875</v>
      </c>
      <c r="P16" s="65">
        <f t="shared" si="7"/>
        <v>0</v>
      </c>
      <c r="R16" s="1">
        <v>8</v>
      </c>
      <c r="S16" s="1" t="s">
        <v>134</v>
      </c>
      <c r="U16" s="9"/>
    </row>
    <row r="17" spans="1:22" ht="15" customHeight="1">
      <c r="A17" s="16"/>
      <c r="B17" s="16"/>
      <c r="C17" s="16"/>
      <c r="D17" s="13" t="s">
        <v>141</v>
      </c>
      <c r="E17" s="581">
        <f>0/(Deno)</f>
        <v>0</v>
      </c>
      <c r="F17" s="581">
        <f>0.30000000000291/(Deno)</f>
        <v>3.0000000000290999E-6</v>
      </c>
      <c r="G17" s="64">
        <v>0</v>
      </c>
      <c r="H17" s="64">
        <v>0.30000000000290999</v>
      </c>
      <c r="I17" s="64">
        <v>0</v>
      </c>
      <c r="J17" s="64">
        <v>0</v>
      </c>
      <c r="K17" s="65">
        <f t="shared" si="4"/>
        <v>0</v>
      </c>
      <c r="L17" s="65">
        <f t="shared" si="5"/>
        <v>0.30000000000290999</v>
      </c>
      <c r="M17" s="84"/>
      <c r="N17" s="84"/>
      <c r="O17" s="65">
        <f t="shared" si="6"/>
        <v>0</v>
      </c>
      <c r="P17" s="65">
        <f t="shared" si="7"/>
        <v>3.0000000000290999E-6</v>
      </c>
      <c r="R17" s="1">
        <v>8</v>
      </c>
      <c r="S17" s="1" t="s">
        <v>134</v>
      </c>
      <c r="U17" s="9"/>
    </row>
    <row r="18" spans="1:22" ht="15" customHeight="1">
      <c r="A18" s="16"/>
      <c r="B18" s="17" t="s">
        <v>92</v>
      </c>
      <c r="C18" s="17"/>
      <c r="D18" s="12"/>
      <c r="E18" s="581">
        <f>0/(Deno)</f>
        <v>0</v>
      </c>
      <c r="F18" s="581">
        <f>0/(Deno)</f>
        <v>0</v>
      </c>
      <c r="G18" s="64"/>
      <c r="H18" s="64"/>
      <c r="I18" s="64"/>
      <c r="J18" s="64"/>
      <c r="K18" s="65">
        <f t="shared" si="4"/>
        <v>0</v>
      </c>
      <c r="L18" s="65">
        <f t="shared" si="5"/>
        <v>0</v>
      </c>
      <c r="M18" s="84"/>
      <c r="N18" s="84"/>
      <c r="O18" s="65">
        <f t="shared" si="6"/>
        <v>0</v>
      </c>
      <c r="P18" s="65">
        <f t="shared" si="7"/>
        <v>0</v>
      </c>
    </row>
    <row r="19" spans="1:22" ht="15" customHeight="1">
      <c r="A19" s="16"/>
      <c r="B19" s="16"/>
      <c r="C19" s="18" t="s">
        <v>142</v>
      </c>
      <c r="D19" s="12"/>
      <c r="E19" s="581"/>
      <c r="F19" s="581">
        <f>0/(Deno)</f>
        <v>0</v>
      </c>
      <c r="G19" s="64"/>
      <c r="H19" s="64"/>
      <c r="I19" s="64"/>
      <c r="J19" s="64"/>
      <c r="K19" s="65">
        <f t="shared" si="4"/>
        <v>0</v>
      </c>
      <c r="L19" s="65">
        <f t="shared" si="5"/>
        <v>0</v>
      </c>
      <c r="M19" s="84"/>
      <c r="N19" s="84"/>
      <c r="O19" s="65">
        <f t="shared" si="6"/>
        <v>0</v>
      </c>
      <c r="P19" s="65">
        <f t="shared" si="7"/>
        <v>0</v>
      </c>
    </row>
    <row r="20" spans="1:22" ht="15" customHeight="1">
      <c r="A20" s="16"/>
      <c r="B20" s="16"/>
      <c r="C20" s="16"/>
      <c r="D20" s="13" t="s">
        <v>143</v>
      </c>
      <c r="E20" s="581">
        <f>129065551.851325/(Deno)</f>
        <v>1290.6555185132499</v>
      </c>
      <c r="F20" s="581">
        <f>0/(Deno)</f>
        <v>0</v>
      </c>
      <c r="G20" s="64">
        <v>129065551.85132521</v>
      </c>
      <c r="H20" s="64">
        <v>0</v>
      </c>
      <c r="I20" s="64">
        <v>0</v>
      </c>
      <c r="J20" s="64">
        <v>855729.83000005037</v>
      </c>
      <c r="K20" s="65">
        <f t="shared" si="4"/>
        <v>128209822.02132517</v>
      </c>
      <c r="L20" s="65">
        <f t="shared" si="5"/>
        <v>0</v>
      </c>
      <c r="M20" s="84">
        <f>+'Audit entry'!D122</f>
        <v>4081269.3</v>
      </c>
      <c r="N20" s="84"/>
      <c r="O20" s="65">
        <f t="shared" si="6"/>
        <v>1322.9109132132517</v>
      </c>
      <c r="P20" s="65">
        <f t="shared" si="7"/>
        <v>0</v>
      </c>
      <c r="R20" s="1">
        <v>11</v>
      </c>
      <c r="S20" s="1" t="s">
        <v>144</v>
      </c>
    </row>
    <row r="21" spans="1:22" ht="15" customHeight="1">
      <c r="A21" s="16"/>
      <c r="B21" s="16"/>
      <c r="C21" s="16"/>
      <c r="D21" s="13" t="s">
        <v>145</v>
      </c>
      <c r="E21" s="581">
        <f>0/(Deno)</f>
        <v>0</v>
      </c>
      <c r="F21" s="581">
        <f>65357815.8800001/(Deno)</f>
        <v>653.57815880000101</v>
      </c>
      <c r="G21" s="64">
        <v>0</v>
      </c>
      <c r="H21" s="64">
        <v>65357815.880000114</v>
      </c>
      <c r="I21" s="64">
        <v>36471480.930000305</v>
      </c>
      <c r="J21" s="64">
        <v>0</v>
      </c>
      <c r="K21" s="65">
        <f t="shared" si="4"/>
        <v>0</v>
      </c>
      <c r="L21" s="65">
        <f t="shared" si="5"/>
        <v>28886334.949999809</v>
      </c>
      <c r="M21" s="84"/>
      <c r="N21" s="84">
        <f>SUM('Audit entry'!E64:E83)-SUM('Audit entry'!D60:D83)+SUM('Audit entry'!E89:E97)-SUM('Audit entry'!D86:D87)</f>
        <v>3171028.9091732176</v>
      </c>
      <c r="O21" s="65">
        <f t="shared" si="6"/>
        <v>0</v>
      </c>
      <c r="P21" s="65">
        <f t="shared" si="7"/>
        <v>320.57363859173029</v>
      </c>
      <c r="Q21" s="10"/>
      <c r="R21" s="1">
        <v>11</v>
      </c>
      <c r="S21" s="1" t="s">
        <v>144</v>
      </c>
    </row>
    <row r="22" spans="1:22" ht="15" customHeight="1">
      <c r="A22" s="16"/>
      <c r="B22" s="16"/>
      <c r="C22" s="18" t="s">
        <v>146</v>
      </c>
      <c r="D22" s="12"/>
      <c r="E22" s="581">
        <f>0/(Deno)</f>
        <v>0</v>
      </c>
      <c r="F22" s="581">
        <f t="shared" ref="F22:F32" si="8">0/(Deno)</f>
        <v>0</v>
      </c>
      <c r="G22" s="64"/>
      <c r="H22" s="64"/>
      <c r="I22" s="64"/>
      <c r="J22" s="64"/>
      <c r="K22" s="65">
        <f t="shared" si="4"/>
        <v>0</v>
      </c>
      <c r="L22" s="65">
        <f t="shared" si="5"/>
        <v>0</v>
      </c>
      <c r="M22" s="84"/>
      <c r="N22" s="84"/>
      <c r="O22" s="65">
        <f t="shared" si="6"/>
        <v>0</v>
      </c>
      <c r="P22" s="65">
        <f t="shared" si="7"/>
        <v>0</v>
      </c>
    </row>
    <row r="23" spans="1:22" ht="15" customHeight="1">
      <c r="A23" s="16"/>
      <c r="B23" s="16"/>
      <c r="C23" s="16"/>
      <c r="D23" s="13" t="s">
        <v>147</v>
      </c>
      <c r="E23" s="581">
        <f>371979.04/(Deno)</f>
        <v>3.7197903999999999</v>
      </c>
      <c r="F23" s="581">
        <f t="shared" si="8"/>
        <v>0</v>
      </c>
      <c r="G23" s="64">
        <v>371979.04</v>
      </c>
      <c r="H23" s="64">
        <v>0</v>
      </c>
      <c r="I23" s="64">
        <v>0</v>
      </c>
      <c r="J23" s="64">
        <v>0</v>
      </c>
      <c r="K23" s="65">
        <f t="shared" si="4"/>
        <v>371979.04</v>
      </c>
      <c r="L23" s="65">
        <f t="shared" si="5"/>
        <v>0</v>
      </c>
      <c r="M23" s="84"/>
      <c r="N23" s="84">
        <f>'Audit entry'!E138+'Audit entry'!E142</f>
        <v>371979.04</v>
      </c>
      <c r="O23" s="65">
        <f t="shared" si="6"/>
        <v>0</v>
      </c>
      <c r="P23" s="65">
        <f t="shared" si="7"/>
        <v>0</v>
      </c>
      <c r="Q23" s="1" t="s">
        <v>148</v>
      </c>
      <c r="R23" s="1">
        <v>12</v>
      </c>
      <c r="S23" s="1" t="s">
        <v>149</v>
      </c>
    </row>
    <row r="24" spans="1:22" ht="15" customHeight="1">
      <c r="A24" s="16"/>
      <c r="B24" s="16"/>
      <c r="C24" s="16"/>
      <c r="D24" s="13" t="s">
        <v>150</v>
      </c>
      <c r="E24" s="581">
        <f>3691589.10000008/(Deno)</f>
        <v>36.915891000000805</v>
      </c>
      <c r="F24" s="581">
        <f t="shared" si="8"/>
        <v>0</v>
      </c>
      <c r="G24" s="64">
        <v>3691589.1000000834</v>
      </c>
      <c r="H24" s="64">
        <v>0</v>
      </c>
      <c r="I24" s="64">
        <v>17744543.960000157</v>
      </c>
      <c r="J24" s="64">
        <v>0</v>
      </c>
      <c r="K24" s="65">
        <f t="shared" si="4"/>
        <v>21436133.060000241</v>
      </c>
      <c r="L24" s="65">
        <f t="shared" si="5"/>
        <v>0</v>
      </c>
      <c r="M24" s="84"/>
      <c r="N24" s="84"/>
      <c r="O24" s="65">
        <f t="shared" si="6"/>
        <v>214.36133060000242</v>
      </c>
      <c r="P24" s="65">
        <f t="shared" si="7"/>
        <v>0</v>
      </c>
      <c r="Q24" s="1" t="s">
        <v>151</v>
      </c>
      <c r="R24" s="1">
        <v>12</v>
      </c>
      <c r="S24" s="1" t="s">
        <v>149</v>
      </c>
    </row>
    <row r="25" spans="1:22" ht="15" customHeight="1">
      <c r="A25" s="16"/>
      <c r="B25" s="16"/>
      <c r="C25" s="16"/>
      <c r="D25" s="39" t="s">
        <v>152</v>
      </c>
      <c r="E25" s="581">
        <f>500000/(Deno)</f>
        <v>5</v>
      </c>
      <c r="F25" s="581">
        <f t="shared" si="8"/>
        <v>0</v>
      </c>
      <c r="G25" s="64">
        <v>500000</v>
      </c>
      <c r="H25" s="64">
        <v>0</v>
      </c>
      <c r="I25" s="64">
        <v>0</v>
      </c>
      <c r="J25" s="64">
        <v>500000</v>
      </c>
      <c r="K25" s="65">
        <f t="shared" si="4"/>
        <v>0</v>
      </c>
      <c r="L25" s="65">
        <f t="shared" si="5"/>
        <v>0</v>
      </c>
      <c r="M25" s="84"/>
      <c r="N25" s="84"/>
      <c r="O25" s="65">
        <f t="shared" si="6"/>
        <v>0</v>
      </c>
      <c r="P25" s="65">
        <f t="shared" si="7"/>
        <v>0</v>
      </c>
      <c r="Q25" s="1" t="s">
        <v>151</v>
      </c>
      <c r="R25" s="1">
        <v>12</v>
      </c>
      <c r="S25" s="1" t="s">
        <v>149</v>
      </c>
    </row>
    <row r="26" spans="1:22" ht="15" customHeight="1">
      <c r="A26" s="16"/>
      <c r="B26" s="16"/>
      <c r="C26" s="16"/>
      <c r="D26" s="13" t="s">
        <v>153</v>
      </c>
      <c r="E26" s="581">
        <f>7465/(Deno)</f>
        <v>7.4649999999999994E-2</v>
      </c>
      <c r="F26" s="581">
        <f t="shared" si="8"/>
        <v>0</v>
      </c>
      <c r="G26" s="64">
        <v>7465</v>
      </c>
      <c r="H26" s="64">
        <v>0</v>
      </c>
      <c r="I26" s="64">
        <v>0</v>
      </c>
      <c r="J26" s="64">
        <v>7452</v>
      </c>
      <c r="K26" s="65">
        <f t="shared" si="4"/>
        <v>13</v>
      </c>
      <c r="L26" s="65">
        <f t="shared" si="5"/>
        <v>0</v>
      </c>
      <c r="M26" s="84">
        <f>'Audit entry'!D137</f>
        <v>5148</v>
      </c>
      <c r="N26" s="84"/>
      <c r="O26" s="65">
        <f t="shared" si="6"/>
        <v>5.1610000000000003E-2</v>
      </c>
      <c r="P26" s="65">
        <f t="shared" si="7"/>
        <v>0</v>
      </c>
      <c r="Q26" s="1" t="s">
        <v>154</v>
      </c>
      <c r="R26" s="1">
        <v>12</v>
      </c>
      <c r="S26" s="1" t="s">
        <v>149</v>
      </c>
    </row>
    <row r="27" spans="1:22" ht="15" customHeight="1">
      <c r="A27" s="16"/>
      <c r="B27" s="16"/>
      <c r="C27" s="16"/>
      <c r="D27" s="13" t="s">
        <v>155</v>
      </c>
      <c r="E27" s="581">
        <f>0/(Deno)</f>
        <v>0</v>
      </c>
      <c r="F27" s="581">
        <f t="shared" si="8"/>
        <v>0</v>
      </c>
      <c r="G27" s="64">
        <v>0</v>
      </c>
      <c r="H27" s="64">
        <v>0</v>
      </c>
      <c r="I27" s="64">
        <v>0</v>
      </c>
      <c r="J27" s="64">
        <v>0</v>
      </c>
      <c r="K27" s="65">
        <f t="shared" si="4"/>
        <v>0</v>
      </c>
      <c r="L27" s="65">
        <f t="shared" si="5"/>
        <v>0</v>
      </c>
      <c r="M27" s="84"/>
      <c r="N27" s="84"/>
      <c r="O27" s="65">
        <f t="shared" si="6"/>
        <v>0</v>
      </c>
      <c r="P27" s="65">
        <f t="shared" si="7"/>
        <v>0</v>
      </c>
      <c r="Q27" s="1" t="s">
        <v>154</v>
      </c>
      <c r="R27" s="1">
        <v>12</v>
      </c>
      <c r="S27" s="1" t="s">
        <v>149</v>
      </c>
    </row>
    <row r="28" spans="1:22" ht="15" customHeight="1">
      <c r="A28" s="16"/>
      <c r="B28" s="16"/>
      <c r="C28" s="16"/>
      <c r="D28" s="13" t="s">
        <v>156</v>
      </c>
      <c r="E28" s="581">
        <f>1494951.55499099/(Deno)</f>
        <v>14.949515549909901</v>
      </c>
      <c r="F28" s="581">
        <f t="shared" si="8"/>
        <v>0</v>
      </c>
      <c r="G28" s="64">
        <v>1494951.5549909924</v>
      </c>
      <c r="H28" s="64">
        <v>0</v>
      </c>
      <c r="I28" s="64">
        <v>0</v>
      </c>
      <c r="J28" s="64">
        <v>1253840.0600000322</v>
      </c>
      <c r="K28" s="65">
        <f t="shared" si="4"/>
        <v>241111.49499096023</v>
      </c>
      <c r="L28" s="65">
        <f t="shared" si="5"/>
        <v>0</v>
      </c>
      <c r="M28" s="84"/>
      <c r="N28" s="84"/>
      <c r="O28" s="65">
        <f t="shared" si="6"/>
        <v>2.4111149499096025</v>
      </c>
      <c r="P28" s="65">
        <f t="shared" si="7"/>
        <v>0</v>
      </c>
      <c r="Q28" s="1" t="s">
        <v>157</v>
      </c>
      <c r="R28" s="1">
        <v>12</v>
      </c>
      <c r="S28" s="1" t="s">
        <v>149</v>
      </c>
    </row>
    <row r="29" spans="1:22" ht="15" customHeight="1">
      <c r="A29" s="16"/>
      <c r="B29" s="16"/>
      <c r="C29" s="16"/>
      <c r="D29" s="13" t="s">
        <v>158</v>
      </c>
      <c r="E29" s="581">
        <f>0/(Deno)</f>
        <v>0</v>
      </c>
      <c r="F29" s="581">
        <f t="shared" si="8"/>
        <v>0</v>
      </c>
      <c r="G29" s="64">
        <v>0</v>
      </c>
      <c r="H29" s="64">
        <v>0</v>
      </c>
      <c r="I29" s="64">
        <v>0</v>
      </c>
      <c r="J29" s="64">
        <v>0</v>
      </c>
      <c r="K29" s="65">
        <f t="shared" si="4"/>
        <v>0</v>
      </c>
      <c r="L29" s="65">
        <f t="shared" si="5"/>
        <v>0</v>
      </c>
      <c r="M29" s="84"/>
      <c r="N29" s="84"/>
      <c r="O29" s="65">
        <f t="shared" si="6"/>
        <v>0</v>
      </c>
      <c r="P29" s="65">
        <f t="shared" si="7"/>
        <v>0</v>
      </c>
      <c r="Q29" s="1" t="s">
        <v>148</v>
      </c>
      <c r="R29" s="1">
        <v>12</v>
      </c>
      <c r="S29" s="1" t="s">
        <v>149</v>
      </c>
      <c r="V29" s="9"/>
    </row>
    <row r="30" spans="1:22" ht="15" customHeight="1">
      <c r="A30" s="16"/>
      <c r="B30" s="16"/>
      <c r="C30" s="16"/>
      <c r="D30" s="13" t="s">
        <v>159</v>
      </c>
      <c r="E30" s="581">
        <f>0/(Deno)</f>
        <v>0</v>
      </c>
      <c r="F30" s="581">
        <f t="shared" si="8"/>
        <v>0</v>
      </c>
      <c r="G30" s="64">
        <v>0</v>
      </c>
      <c r="H30" s="64">
        <v>0</v>
      </c>
      <c r="I30" s="64">
        <v>0</v>
      </c>
      <c r="J30" s="64">
        <v>0</v>
      </c>
      <c r="K30" s="65">
        <f t="shared" si="4"/>
        <v>0</v>
      </c>
      <c r="L30" s="65">
        <f t="shared" si="5"/>
        <v>0</v>
      </c>
      <c r="M30" s="84"/>
      <c r="N30" s="84"/>
      <c r="O30" s="65">
        <f t="shared" si="6"/>
        <v>0</v>
      </c>
      <c r="P30" s="65">
        <f t="shared" si="7"/>
        <v>0</v>
      </c>
      <c r="Q30" s="31" t="s">
        <v>151</v>
      </c>
      <c r="R30" s="1">
        <v>12</v>
      </c>
      <c r="S30" s="31" t="s">
        <v>149</v>
      </c>
      <c r="T30" s="32"/>
      <c r="V30" s="9"/>
    </row>
    <row r="31" spans="1:22" ht="15" customHeight="1">
      <c r="A31" s="16"/>
      <c r="B31" s="16"/>
      <c r="C31" s="16"/>
      <c r="D31" s="13" t="s">
        <v>160</v>
      </c>
      <c r="E31" s="581">
        <f>0/(Deno)</f>
        <v>0</v>
      </c>
      <c r="F31" s="581">
        <f t="shared" si="8"/>
        <v>0</v>
      </c>
      <c r="G31" s="64">
        <v>0</v>
      </c>
      <c r="H31" s="64">
        <v>0</v>
      </c>
      <c r="I31" s="64">
        <v>0</v>
      </c>
      <c r="J31" s="64">
        <v>0</v>
      </c>
      <c r="K31" s="65">
        <f t="shared" si="4"/>
        <v>0</v>
      </c>
      <c r="L31" s="65">
        <f t="shared" si="5"/>
        <v>0</v>
      </c>
      <c r="M31" s="84"/>
      <c r="N31" s="84"/>
      <c r="O31" s="65">
        <f t="shared" si="6"/>
        <v>0</v>
      </c>
      <c r="P31" s="65">
        <f t="shared" si="7"/>
        <v>0</v>
      </c>
      <c r="Q31" s="1" t="s">
        <v>161</v>
      </c>
      <c r="R31" s="1">
        <v>12</v>
      </c>
      <c r="S31" s="1" t="s">
        <v>149</v>
      </c>
    </row>
    <row r="32" spans="1:22" ht="15" customHeight="1">
      <c r="A32" s="16"/>
      <c r="B32" s="16"/>
      <c r="C32" s="16"/>
      <c r="D32" s="13" t="s">
        <v>162</v>
      </c>
      <c r="E32" s="581">
        <f>1988/(Deno)</f>
        <v>1.9879999999999998E-2</v>
      </c>
      <c r="F32" s="581">
        <f t="shared" si="8"/>
        <v>0</v>
      </c>
      <c r="G32" s="64">
        <v>1988</v>
      </c>
      <c r="H32" s="64">
        <v>0</v>
      </c>
      <c r="I32" s="64">
        <v>0</v>
      </c>
      <c r="J32" s="64">
        <v>0</v>
      </c>
      <c r="K32" s="65">
        <f t="shared" si="4"/>
        <v>1988</v>
      </c>
      <c r="L32" s="65">
        <f t="shared" si="5"/>
        <v>0</v>
      </c>
      <c r="M32" s="84"/>
      <c r="N32" s="84"/>
      <c r="O32" s="65">
        <f t="shared" si="6"/>
        <v>1.9879999999999998E-2</v>
      </c>
      <c r="P32" s="65">
        <f t="shared" si="7"/>
        <v>0</v>
      </c>
      <c r="Q32" s="1" t="s">
        <v>154</v>
      </c>
      <c r="R32" s="1">
        <v>12</v>
      </c>
      <c r="S32" s="1" t="s">
        <v>149</v>
      </c>
    </row>
    <row r="33" spans="1:19" ht="15" customHeight="1">
      <c r="A33" s="16"/>
      <c r="B33" s="16"/>
      <c r="C33" s="16"/>
      <c r="D33" s="13" t="s">
        <v>163</v>
      </c>
      <c r="E33" s="581">
        <f>0/(Deno)</f>
        <v>0</v>
      </c>
      <c r="F33" s="581">
        <f>2993.62/(Deno)</f>
        <v>2.99362E-2</v>
      </c>
      <c r="G33" s="64">
        <v>0</v>
      </c>
      <c r="H33" s="64">
        <v>2993.6199999999953</v>
      </c>
      <c r="I33" s="64">
        <v>11684.770000000019</v>
      </c>
      <c r="J33" s="64">
        <v>0</v>
      </c>
      <c r="K33" s="65">
        <f t="shared" si="4"/>
        <v>8691.1500000000233</v>
      </c>
      <c r="L33" s="65">
        <f t="shared" si="5"/>
        <v>0</v>
      </c>
      <c r="M33" s="84"/>
      <c r="N33" s="84"/>
      <c r="O33" s="65">
        <f t="shared" si="6"/>
        <v>8.6911500000000239E-2</v>
      </c>
      <c r="P33" s="65">
        <f t="shared" si="7"/>
        <v>0</v>
      </c>
      <c r="Q33" s="1" t="s">
        <v>154</v>
      </c>
      <c r="R33" s="1">
        <v>12</v>
      </c>
      <c r="S33" s="1" t="s">
        <v>149</v>
      </c>
    </row>
    <row r="34" spans="1:19" ht="15" customHeight="1">
      <c r="A34" s="16"/>
      <c r="B34" s="16"/>
      <c r="C34" s="16"/>
      <c r="D34" s="13" t="s">
        <v>164</v>
      </c>
      <c r="E34" s="581">
        <f>0/(Deno)</f>
        <v>0</v>
      </c>
      <c r="F34" s="581">
        <f t="shared" ref="F34:F57" si="9">0/(Deno)</f>
        <v>0</v>
      </c>
      <c r="G34" s="64">
        <v>0</v>
      </c>
      <c r="H34" s="64">
        <v>0</v>
      </c>
      <c r="I34" s="64">
        <v>0</v>
      </c>
      <c r="J34" s="64">
        <v>0</v>
      </c>
      <c r="K34" s="65">
        <f t="shared" si="4"/>
        <v>0</v>
      </c>
      <c r="L34" s="65">
        <f t="shared" si="5"/>
        <v>0</v>
      </c>
      <c r="M34" s="84"/>
      <c r="N34" s="84"/>
      <c r="O34" s="65">
        <f t="shared" si="6"/>
        <v>0</v>
      </c>
      <c r="P34" s="65">
        <f t="shared" si="7"/>
        <v>0</v>
      </c>
      <c r="Q34" s="1" t="s">
        <v>154</v>
      </c>
      <c r="R34" s="1">
        <v>12</v>
      </c>
      <c r="S34" s="1" t="s">
        <v>149</v>
      </c>
    </row>
    <row r="35" spans="1:19" ht="15" customHeight="1">
      <c r="A35" s="16"/>
      <c r="B35" s="16"/>
      <c r="C35" s="16"/>
      <c r="D35" s="13" t="s">
        <v>165</v>
      </c>
      <c r="E35" s="581">
        <f>2590.5/(Deno)</f>
        <v>2.5905000000000001E-2</v>
      </c>
      <c r="F35" s="581">
        <f t="shared" si="9"/>
        <v>0</v>
      </c>
      <c r="G35" s="64">
        <v>2590.5</v>
      </c>
      <c r="H35" s="64">
        <v>0</v>
      </c>
      <c r="I35" s="64">
        <v>0</v>
      </c>
      <c r="J35" s="64">
        <v>2131</v>
      </c>
      <c r="K35" s="65">
        <f t="shared" si="4"/>
        <v>459.5</v>
      </c>
      <c r="L35" s="65">
        <f t="shared" si="5"/>
        <v>0</v>
      </c>
      <c r="M35" s="84"/>
      <c r="N35" s="84"/>
      <c r="O35" s="65">
        <f t="shared" si="6"/>
        <v>4.5950000000000001E-3</v>
      </c>
      <c r="P35" s="65">
        <f t="shared" si="7"/>
        <v>0</v>
      </c>
      <c r="Q35" s="1" t="s">
        <v>154</v>
      </c>
      <c r="R35" s="1">
        <v>12</v>
      </c>
      <c r="S35" s="1" t="s">
        <v>149</v>
      </c>
    </row>
    <row r="36" spans="1:19" ht="15" customHeight="1">
      <c r="A36" s="16"/>
      <c r="B36" s="16"/>
      <c r="C36" s="18" t="s">
        <v>166</v>
      </c>
      <c r="D36" s="12"/>
      <c r="E36" s="581">
        <f>0/(Deno)</f>
        <v>0</v>
      </c>
      <c r="F36" s="581">
        <f t="shared" si="9"/>
        <v>0</v>
      </c>
      <c r="G36" s="64"/>
      <c r="H36" s="64"/>
      <c r="I36" s="64"/>
      <c r="J36" s="64"/>
      <c r="K36" s="65">
        <f t="shared" si="4"/>
        <v>0</v>
      </c>
      <c r="L36" s="65">
        <f t="shared" si="5"/>
        <v>0</v>
      </c>
      <c r="M36" s="84"/>
      <c r="N36" s="84"/>
      <c r="O36" s="65">
        <f t="shared" si="6"/>
        <v>0</v>
      </c>
      <c r="P36" s="65">
        <f t="shared" si="7"/>
        <v>0</v>
      </c>
    </row>
    <row r="37" spans="1:19" ht="15" customHeight="1">
      <c r="A37" s="16"/>
      <c r="B37" s="16"/>
      <c r="C37" s="16"/>
      <c r="D37" s="13" t="s">
        <v>166</v>
      </c>
      <c r="E37" s="581">
        <f>0/(Deno)</f>
        <v>0</v>
      </c>
      <c r="F37" s="581">
        <f t="shared" si="9"/>
        <v>0</v>
      </c>
      <c r="G37" s="64">
        <v>0</v>
      </c>
      <c r="H37" s="64">
        <v>0</v>
      </c>
      <c r="I37" s="64">
        <v>0</v>
      </c>
      <c r="J37" s="64">
        <v>0</v>
      </c>
      <c r="K37" s="65">
        <f t="shared" si="4"/>
        <v>0</v>
      </c>
      <c r="L37" s="65">
        <f t="shared" si="5"/>
        <v>0</v>
      </c>
      <c r="M37" s="84"/>
      <c r="N37" s="84"/>
      <c r="O37" s="65">
        <f t="shared" si="6"/>
        <v>0</v>
      </c>
      <c r="P37" s="65">
        <f t="shared" si="7"/>
        <v>0</v>
      </c>
      <c r="Q37" s="1" t="s">
        <v>167</v>
      </c>
      <c r="R37" s="1">
        <v>13</v>
      </c>
      <c r="S37" s="1" t="s">
        <v>168</v>
      </c>
    </row>
    <row r="38" spans="1:19" ht="15" customHeight="1">
      <c r="A38" s="16"/>
      <c r="B38" s="16"/>
      <c r="C38" s="16"/>
      <c r="D38" s="13" t="s">
        <v>169</v>
      </c>
      <c r="E38" s="581">
        <f>0/(Deno)</f>
        <v>0</v>
      </c>
      <c r="F38" s="581">
        <f t="shared" si="9"/>
        <v>0</v>
      </c>
      <c r="G38" s="64">
        <v>0</v>
      </c>
      <c r="H38" s="64">
        <v>0</v>
      </c>
      <c r="I38" s="64">
        <v>0</v>
      </c>
      <c r="J38" s="64">
        <v>0</v>
      </c>
      <c r="K38" s="65">
        <f t="shared" si="4"/>
        <v>0</v>
      </c>
      <c r="L38" s="65">
        <f t="shared" si="5"/>
        <v>0</v>
      </c>
      <c r="M38" s="84"/>
      <c r="N38" s="84"/>
      <c r="O38" s="65">
        <f t="shared" si="6"/>
        <v>0</v>
      </c>
      <c r="P38" s="65">
        <f t="shared" si="7"/>
        <v>0</v>
      </c>
      <c r="Q38" s="1" t="s">
        <v>167</v>
      </c>
      <c r="R38" s="1">
        <v>13</v>
      </c>
      <c r="S38" s="1" t="s">
        <v>168</v>
      </c>
    </row>
    <row r="39" spans="1:19" ht="15" customHeight="1">
      <c r="A39" s="16"/>
      <c r="B39" s="16"/>
      <c r="C39" s="19" t="s">
        <v>170</v>
      </c>
      <c r="D39" s="13"/>
      <c r="E39" s="581">
        <f>0/(Deno)</f>
        <v>0</v>
      </c>
      <c r="F39" s="581">
        <f t="shared" si="9"/>
        <v>0</v>
      </c>
      <c r="G39" s="64"/>
      <c r="H39" s="64"/>
      <c r="I39" s="64"/>
      <c r="J39" s="64"/>
      <c r="K39" s="65">
        <f t="shared" si="4"/>
        <v>0</v>
      </c>
      <c r="L39" s="65">
        <f t="shared" si="5"/>
        <v>0</v>
      </c>
      <c r="M39" s="84"/>
      <c r="N39" s="84"/>
      <c r="O39" s="65">
        <f t="shared" si="6"/>
        <v>0</v>
      </c>
      <c r="P39" s="65">
        <f t="shared" si="7"/>
        <v>0</v>
      </c>
    </row>
    <row r="40" spans="1:19" ht="15" customHeight="1">
      <c r="A40" s="16"/>
      <c r="B40" s="16"/>
      <c r="C40" s="16"/>
      <c r="D40" s="13" t="s">
        <v>171</v>
      </c>
      <c r="E40" s="581">
        <f>0/(Deno)</f>
        <v>0</v>
      </c>
      <c r="F40" s="581">
        <f t="shared" si="9"/>
        <v>0</v>
      </c>
      <c r="G40" s="64">
        <v>0</v>
      </c>
      <c r="H40" s="64">
        <v>0</v>
      </c>
      <c r="I40" s="64">
        <v>0</v>
      </c>
      <c r="J40" s="64">
        <v>0</v>
      </c>
      <c r="K40" s="65">
        <f t="shared" si="4"/>
        <v>0</v>
      </c>
      <c r="L40" s="65">
        <f t="shared" si="5"/>
        <v>0</v>
      </c>
      <c r="M40" s="84"/>
      <c r="N40" s="84"/>
      <c r="O40" s="65">
        <f t="shared" si="6"/>
        <v>0</v>
      </c>
      <c r="P40" s="65">
        <f t="shared" si="7"/>
        <v>0</v>
      </c>
      <c r="Q40" s="1" t="s">
        <v>172</v>
      </c>
      <c r="R40" s="1">
        <v>13</v>
      </c>
      <c r="S40" s="1" t="s">
        <v>168</v>
      </c>
    </row>
    <row r="41" spans="1:19" ht="15" customHeight="1">
      <c r="A41" s="16"/>
      <c r="B41" s="16"/>
      <c r="C41" s="16"/>
      <c r="D41" s="13" t="s">
        <v>173</v>
      </c>
      <c r="E41" s="581">
        <f>122066.25/(Deno)</f>
        <v>1.2206625</v>
      </c>
      <c r="F41" s="581">
        <f t="shared" si="9"/>
        <v>0</v>
      </c>
      <c r="G41" s="64">
        <v>122066.25</v>
      </c>
      <c r="H41" s="64">
        <v>0</v>
      </c>
      <c r="I41" s="64"/>
      <c r="J41" s="64"/>
      <c r="K41" s="65">
        <f t="shared" si="4"/>
        <v>122066.25</v>
      </c>
      <c r="L41" s="65">
        <f t="shared" si="5"/>
        <v>0</v>
      </c>
      <c r="M41" s="84">
        <f>+'Audit entry'!D10</f>
        <v>130788.22666666667</v>
      </c>
      <c r="N41" s="84">
        <f>+'Audit entry'!E7</f>
        <v>122066.25</v>
      </c>
      <c r="O41" s="65">
        <f t="shared" si="6"/>
        <v>1.3078822666666667</v>
      </c>
      <c r="P41" s="65">
        <f t="shared" si="7"/>
        <v>0</v>
      </c>
      <c r="Q41" s="1" t="s">
        <v>172</v>
      </c>
      <c r="R41" s="1">
        <v>13</v>
      </c>
      <c r="S41" s="1" t="s">
        <v>168</v>
      </c>
    </row>
    <row r="42" spans="1:19" ht="15" customHeight="1">
      <c r="A42" s="16"/>
      <c r="B42" s="17" t="s">
        <v>174</v>
      </c>
      <c r="C42" s="17"/>
      <c r="D42" s="12"/>
      <c r="E42" s="581">
        <f>0/(Deno)</f>
        <v>0</v>
      </c>
      <c r="F42" s="581">
        <f t="shared" si="9"/>
        <v>0</v>
      </c>
      <c r="G42" s="64"/>
      <c r="H42" s="64"/>
      <c r="I42" s="64"/>
      <c r="J42" s="64"/>
      <c r="K42" s="65">
        <f t="shared" si="4"/>
        <v>0</v>
      </c>
      <c r="L42" s="65">
        <f t="shared" si="5"/>
        <v>0</v>
      </c>
      <c r="M42" s="84"/>
      <c r="N42" s="84"/>
      <c r="O42" s="65">
        <f t="shared" si="6"/>
        <v>0</v>
      </c>
      <c r="P42" s="65">
        <f t="shared" si="7"/>
        <v>0</v>
      </c>
    </row>
    <row r="43" spans="1:19" ht="15" customHeight="1">
      <c r="A43" s="16"/>
      <c r="B43" s="16"/>
      <c r="C43" s="18" t="s">
        <v>175</v>
      </c>
      <c r="D43" s="12"/>
      <c r="E43" s="581">
        <f>0/(Deno)</f>
        <v>0</v>
      </c>
      <c r="F43" s="581">
        <f t="shared" si="9"/>
        <v>0</v>
      </c>
      <c r="G43" s="64"/>
      <c r="H43" s="64"/>
      <c r="I43" s="64"/>
      <c r="J43" s="64"/>
      <c r="K43" s="65">
        <f t="shared" si="4"/>
        <v>0</v>
      </c>
      <c r="L43" s="65">
        <f t="shared" si="5"/>
        <v>0</v>
      </c>
      <c r="M43" s="84"/>
      <c r="N43" s="84"/>
      <c r="O43" s="65">
        <f t="shared" si="6"/>
        <v>0</v>
      </c>
      <c r="P43" s="65">
        <f t="shared" si="7"/>
        <v>0</v>
      </c>
    </row>
    <row r="44" spans="1:19" ht="15" customHeight="1">
      <c r="A44" s="16"/>
      <c r="B44" s="16"/>
      <c r="C44" s="16"/>
      <c r="D44" s="13" t="s">
        <v>176</v>
      </c>
      <c r="E44" s="581">
        <f>0/(Deno)</f>
        <v>0</v>
      </c>
      <c r="F44" s="581">
        <f t="shared" si="9"/>
        <v>0</v>
      </c>
      <c r="G44" s="64">
        <v>0</v>
      </c>
      <c r="H44" s="64">
        <v>0</v>
      </c>
      <c r="I44" s="64">
        <v>0</v>
      </c>
      <c r="J44" s="64">
        <v>0</v>
      </c>
      <c r="K44" s="65">
        <f t="shared" si="4"/>
        <v>0</v>
      </c>
      <c r="L44" s="65">
        <f t="shared" si="5"/>
        <v>0</v>
      </c>
      <c r="M44" s="84"/>
      <c r="N44" s="84"/>
      <c r="O44" s="65">
        <f t="shared" si="6"/>
        <v>0</v>
      </c>
      <c r="P44" s="65">
        <f t="shared" si="7"/>
        <v>0</v>
      </c>
      <c r="Q44" s="1" t="s">
        <v>177</v>
      </c>
      <c r="R44" s="1">
        <v>13</v>
      </c>
      <c r="S44" s="1" t="s">
        <v>168</v>
      </c>
    </row>
    <row r="45" spans="1:19" ht="15" customHeight="1">
      <c r="A45" s="16"/>
      <c r="B45" s="16"/>
      <c r="C45" s="16"/>
      <c r="D45" s="13" t="s">
        <v>178</v>
      </c>
      <c r="E45" s="581">
        <f>29999.97/(Deno)</f>
        <v>0.29999970000000004</v>
      </c>
      <c r="F45" s="581">
        <f t="shared" si="9"/>
        <v>0</v>
      </c>
      <c r="G45" s="64">
        <v>29999.97</v>
      </c>
      <c r="H45" s="64">
        <v>0</v>
      </c>
      <c r="I45" s="64">
        <v>0</v>
      </c>
      <c r="J45" s="64">
        <v>30000</v>
      </c>
      <c r="K45" s="65">
        <f t="shared" si="4"/>
        <v>0</v>
      </c>
      <c r="L45" s="65">
        <f t="shared" si="5"/>
        <v>2.9999999998835847E-2</v>
      </c>
      <c r="M45" s="84"/>
      <c r="N45" s="84"/>
      <c r="O45" s="65">
        <f t="shared" si="6"/>
        <v>0</v>
      </c>
      <c r="P45" s="65">
        <f t="shared" si="7"/>
        <v>2.9999999998835847E-7</v>
      </c>
      <c r="Q45" s="1" t="s">
        <v>177</v>
      </c>
      <c r="R45" s="1">
        <v>13</v>
      </c>
      <c r="S45" s="1" t="s">
        <v>168</v>
      </c>
    </row>
    <row r="46" spans="1:19" ht="15" customHeight="1">
      <c r="A46" s="16"/>
      <c r="B46" s="16"/>
      <c r="C46" s="16"/>
      <c r="D46" s="33" t="s">
        <v>179</v>
      </c>
      <c r="E46" s="581">
        <f>25604.67/(Deno)</f>
        <v>0.25604669999999996</v>
      </c>
      <c r="F46" s="581">
        <f t="shared" si="9"/>
        <v>0</v>
      </c>
      <c r="G46" s="64">
        <v>25604.669999999984</v>
      </c>
      <c r="H46" s="64">
        <v>0</v>
      </c>
      <c r="I46" s="64">
        <v>17577.100000000006</v>
      </c>
      <c r="J46" s="64">
        <v>0</v>
      </c>
      <c r="K46" s="65">
        <f t="shared" si="4"/>
        <v>43181.76999999999</v>
      </c>
      <c r="L46" s="65">
        <f t="shared" si="5"/>
        <v>0</v>
      </c>
      <c r="M46" s="84"/>
      <c r="N46" s="84"/>
      <c r="O46" s="65">
        <f t="shared" si="6"/>
        <v>0.43181769999999992</v>
      </c>
      <c r="P46" s="65">
        <f t="shared" si="7"/>
        <v>0</v>
      </c>
      <c r="Q46" s="1" t="s">
        <v>177</v>
      </c>
      <c r="R46" s="1">
        <v>13</v>
      </c>
      <c r="S46" s="1" t="s">
        <v>168</v>
      </c>
    </row>
    <row r="47" spans="1:19" ht="15" customHeight="1">
      <c r="A47" s="16"/>
      <c r="B47" s="16"/>
      <c r="C47" s="16"/>
      <c r="D47" s="13" t="s">
        <v>180</v>
      </c>
      <c r="E47" s="581">
        <f>0/(Deno)</f>
        <v>0</v>
      </c>
      <c r="F47" s="581">
        <f t="shared" si="9"/>
        <v>0</v>
      </c>
      <c r="G47" s="64">
        <v>0</v>
      </c>
      <c r="H47" s="64">
        <v>0</v>
      </c>
      <c r="I47" s="64">
        <v>0</v>
      </c>
      <c r="J47" s="64">
        <v>0</v>
      </c>
      <c r="K47" s="65">
        <f t="shared" si="4"/>
        <v>0</v>
      </c>
      <c r="L47" s="65">
        <f t="shared" si="5"/>
        <v>0</v>
      </c>
      <c r="M47" s="84"/>
      <c r="N47" s="84"/>
      <c r="O47" s="65">
        <f t="shared" si="6"/>
        <v>0</v>
      </c>
      <c r="P47" s="65">
        <f t="shared" si="7"/>
        <v>0</v>
      </c>
      <c r="Q47" s="1" t="s">
        <v>181</v>
      </c>
      <c r="R47" s="1">
        <v>13</v>
      </c>
      <c r="S47" s="1" t="s">
        <v>168</v>
      </c>
    </row>
    <row r="48" spans="1:19" ht="15" customHeight="1">
      <c r="A48" s="16"/>
      <c r="B48" s="16"/>
      <c r="C48" s="16"/>
      <c r="D48" s="13" t="s">
        <v>182</v>
      </c>
      <c r="E48" s="581">
        <f>1473158/(Deno)</f>
        <v>14.731579999999999</v>
      </c>
      <c r="F48" s="581">
        <f t="shared" si="9"/>
        <v>0</v>
      </c>
      <c r="G48" s="64">
        <v>1473158</v>
      </c>
      <c r="H48" s="64">
        <v>0</v>
      </c>
      <c r="I48" s="64">
        <v>0</v>
      </c>
      <c r="J48" s="64">
        <v>300000</v>
      </c>
      <c r="K48" s="65">
        <f t="shared" si="4"/>
        <v>1173158</v>
      </c>
      <c r="L48" s="65">
        <f t="shared" si="5"/>
        <v>0</v>
      </c>
      <c r="M48" s="84"/>
      <c r="N48" s="84"/>
      <c r="O48" s="65">
        <f t="shared" si="6"/>
        <v>11.731579999999999</v>
      </c>
      <c r="P48" s="65">
        <f t="shared" si="7"/>
        <v>0</v>
      </c>
      <c r="Q48" s="1" t="s">
        <v>183</v>
      </c>
      <c r="R48" s="1">
        <v>9</v>
      </c>
      <c r="S48" s="1" t="s">
        <v>184</v>
      </c>
    </row>
    <row r="49" spans="1:20" ht="15" customHeight="1">
      <c r="A49" s="16"/>
      <c r="B49" s="16"/>
      <c r="C49" s="16"/>
      <c r="D49" s="13" t="s">
        <v>185</v>
      </c>
      <c r="E49" s="581">
        <f>0/(Deno)</f>
        <v>0</v>
      </c>
      <c r="F49" s="581">
        <f t="shared" si="9"/>
        <v>0</v>
      </c>
      <c r="G49" s="64">
        <v>0</v>
      </c>
      <c r="H49" s="64">
        <v>0</v>
      </c>
      <c r="I49" s="64">
        <v>0</v>
      </c>
      <c r="J49" s="64">
        <v>0</v>
      </c>
      <c r="K49" s="65">
        <f t="shared" si="4"/>
        <v>0</v>
      </c>
      <c r="L49" s="65">
        <f t="shared" si="5"/>
        <v>0</v>
      </c>
      <c r="M49" s="84"/>
      <c r="N49" s="84"/>
      <c r="O49" s="65">
        <f t="shared" si="6"/>
        <v>0</v>
      </c>
      <c r="P49" s="65">
        <f t="shared" si="7"/>
        <v>0</v>
      </c>
      <c r="Q49" s="1" t="s">
        <v>186</v>
      </c>
      <c r="R49" s="1">
        <v>13</v>
      </c>
      <c r="S49" s="1" t="s">
        <v>168</v>
      </c>
    </row>
    <row r="50" spans="1:20" ht="15" customHeight="1">
      <c r="A50" s="16"/>
      <c r="B50" s="16"/>
      <c r="C50" s="16"/>
      <c r="D50" s="13" t="s">
        <v>187</v>
      </c>
      <c r="E50" s="581">
        <f>496500/(Deno)</f>
        <v>4.9649999999999999</v>
      </c>
      <c r="F50" s="581">
        <f t="shared" si="9"/>
        <v>0</v>
      </c>
      <c r="G50" s="64">
        <v>496500</v>
      </c>
      <c r="H50" s="64">
        <v>0</v>
      </c>
      <c r="I50" s="64">
        <v>0</v>
      </c>
      <c r="J50" s="64">
        <v>0</v>
      </c>
      <c r="K50" s="65">
        <f t="shared" si="4"/>
        <v>496500</v>
      </c>
      <c r="L50" s="65">
        <f t="shared" si="5"/>
        <v>0</v>
      </c>
      <c r="M50" s="84"/>
      <c r="N50" s="84"/>
      <c r="O50" s="65">
        <f t="shared" si="6"/>
        <v>4.9649999999999999</v>
      </c>
      <c r="P50" s="65">
        <f t="shared" si="7"/>
        <v>0</v>
      </c>
      <c r="Q50" s="1" t="s">
        <v>183</v>
      </c>
      <c r="R50" s="1">
        <v>9</v>
      </c>
      <c r="S50" s="1" t="s">
        <v>184</v>
      </c>
    </row>
    <row r="51" spans="1:20" ht="15" customHeight="1">
      <c r="A51" s="16"/>
      <c r="B51" s="16"/>
      <c r="C51" s="16"/>
      <c r="D51" s="13" t="s">
        <v>188</v>
      </c>
      <c r="E51" s="581">
        <f>4179062/(Deno)</f>
        <v>41.790619999999997</v>
      </c>
      <c r="F51" s="581">
        <f t="shared" si="9"/>
        <v>0</v>
      </c>
      <c r="G51" s="64">
        <v>4179062</v>
      </c>
      <c r="H51" s="64">
        <v>0</v>
      </c>
      <c r="I51" s="64">
        <v>7875864.3600000124</v>
      </c>
      <c r="J51" s="64">
        <v>0</v>
      </c>
      <c r="K51" s="65">
        <f t="shared" si="4"/>
        <v>12054926.360000012</v>
      </c>
      <c r="L51" s="65">
        <f t="shared" si="5"/>
        <v>0</v>
      </c>
      <c r="M51" s="84"/>
      <c r="N51" s="84"/>
      <c r="O51" s="65">
        <f t="shared" si="6"/>
        <v>120.54926360000013</v>
      </c>
      <c r="P51" s="65">
        <f t="shared" si="7"/>
        <v>0</v>
      </c>
      <c r="Q51" s="1" t="s">
        <v>189</v>
      </c>
      <c r="R51" s="1">
        <v>13</v>
      </c>
      <c r="S51" s="1" t="s">
        <v>168</v>
      </c>
      <c r="T51" s="3" t="s">
        <v>190</v>
      </c>
    </row>
    <row r="52" spans="1:20" ht="15" customHeight="1">
      <c r="A52" s="16"/>
      <c r="B52" s="16"/>
      <c r="C52" s="16"/>
      <c r="D52" s="13" t="s">
        <v>191</v>
      </c>
      <c r="E52" s="581">
        <f>76342/(Deno)</f>
        <v>0.76341999999999999</v>
      </c>
      <c r="F52" s="581">
        <f t="shared" si="9"/>
        <v>0</v>
      </c>
      <c r="G52" s="64">
        <v>76342</v>
      </c>
      <c r="H52" s="64">
        <v>0</v>
      </c>
      <c r="I52" s="64">
        <v>4830182.9599999916</v>
      </c>
      <c r="J52" s="64">
        <v>0</v>
      </c>
      <c r="K52" s="65">
        <f t="shared" si="4"/>
        <v>4906524.9599999916</v>
      </c>
      <c r="L52" s="65">
        <f t="shared" si="5"/>
        <v>0</v>
      </c>
      <c r="M52" s="84"/>
      <c r="N52" s="84"/>
      <c r="O52" s="65">
        <f t="shared" si="6"/>
        <v>49.065249599999916</v>
      </c>
      <c r="P52" s="65">
        <f t="shared" si="7"/>
        <v>0</v>
      </c>
      <c r="Q52" s="1" t="s">
        <v>189</v>
      </c>
      <c r="R52" s="1">
        <v>13</v>
      </c>
      <c r="S52" s="1" t="s">
        <v>168</v>
      </c>
      <c r="T52" s="3" t="s">
        <v>190</v>
      </c>
    </row>
    <row r="53" spans="1:20" ht="15" customHeight="1">
      <c r="A53" s="16"/>
      <c r="B53" s="16"/>
      <c r="C53" s="16"/>
      <c r="D53" s="13" t="s">
        <v>192</v>
      </c>
      <c r="E53" s="581">
        <f>3028379/(Deno)</f>
        <v>30.28379</v>
      </c>
      <c r="F53" s="581">
        <f t="shared" si="9"/>
        <v>0</v>
      </c>
      <c r="G53" s="64">
        <v>3028379</v>
      </c>
      <c r="H53" s="64">
        <v>0</v>
      </c>
      <c r="I53" s="64">
        <v>7875862.2900000121</v>
      </c>
      <c r="J53" s="64">
        <v>0</v>
      </c>
      <c r="K53" s="65">
        <f t="shared" si="4"/>
        <v>10904241.290000012</v>
      </c>
      <c r="L53" s="65">
        <f t="shared" si="5"/>
        <v>0</v>
      </c>
      <c r="M53" s="84"/>
      <c r="N53" s="84"/>
      <c r="O53" s="65">
        <f t="shared" si="6"/>
        <v>109.04241290000012</v>
      </c>
      <c r="P53" s="65">
        <f t="shared" si="7"/>
        <v>0</v>
      </c>
      <c r="Q53" s="1" t="s">
        <v>189</v>
      </c>
      <c r="R53" s="1">
        <v>13</v>
      </c>
      <c r="S53" s="1" t="s">
        <v>168</v>
      </c>
      <c r="T53" s="3" t="s">
        <v>190</v>
      </c>
    </row>
    <row r="54" spans="1:20" ht="15" customHeight="1">
      <c r="A54" s="16"/>
      <c r="B54" s="16"/>
      <c r="C54" s="16"/>
      <c r="D54" s="13" t="s">
        <v>193</v>
      </c>
      <c r="E54" s="581">
        <f>0/(Deno)</f>
        <v>0</v>
      </c>
      <c r="F54" s="581">
        <f t="shared" si="9"/>
        <v>0</v>
      </c>
      <c r="G54" s="64">
        <v>0</v>
      </c>
      <c r="H54" s="64">
        <v>0</v>
      </c>
      <c r="I54" s="64">
        <v>4235617</v>
      </c>
      <c r="J54" s="64">
        <v>0</v>
      </c>
      <c r="K54" s="65">
        <f t="shared" si="4"/>
        <v>4235617</v>
      </c>
      <c r="L54" s="65">
        <f t="shared" si="5"/>
        <v>0</v>
      </c>
      <c r="M54" s="84"/>
      <c r="N54" s="84"/>
      <c r="O54" s="65">
        <f t="shared" si="6"/>
        <v>42.356169999999999</v>
      </c>
      <c r="P54" s="65">
        <f t="shared" si="7"/>
        <v>0</v>
      </c>
      <c r="Q54" s="1" t="s">
        <v>189</v>
      </c>
      <c r="R54" s="1">
        <v>13</v>
      </c>
      <c r="S54" s="1" t="s">
        <v>168</v>
      </c>
      <c r="T54" s="3" t="s">
        <v>190</v>
      </c>
    </row>
    <row r="55" spans="1:20" ht="15" customHeight="1">
      <c r="A55" s="16"/>
      <c r="B55" s="16"/>
      <c r="C55" s="16"/>
      <c r="D55" s="13" t="s">
        <v>194</v>
      </c>
      <c r="E55" s="581">
        <f>0/(Deno)</f>
        <v>0</v>
      </c>
      <c r="F55" s="581">
        <f t="shared" si="9"/>
        <v>0</v>
      </c>
      <c r="G55" s="64">
        <v>0</v>
      </c>
      <c r="H55" s="64">
        <v>0</v>
      </c>
      <c r="I55" s="64">
        <v>0</v>
      </c>
      <c r="J55" s="64">
        <v>0</v>
      </c>
      <c r="K55" s="65">
        <f t="shared" si="4"/>
        <v>0</v>
      </c>
      <c r="L55" s="65">
        <f t="shared" si="5"/>
        <v>0</v>
      </c>
      <c r="M55" s="84"/>
      <c r="N55" s="84"/>
      <c r="O55" s="65">
        <f t="shared" si="6"/>
        <v>0</v>
      </c>
      <c r="P55" s="65">
        <f t="shared" si="7"/>
        <v>0</v>
      </c>
      <c r="Q55" s="1" t="s">
        <v>195</v>
      </c>
      <c r="R55" s="1">
        <v>13</v>
      </c>
      <c r="S55" s="1" t="s">
        <v>168</v>
      </c>
    </row>
    <row r="56" spans="1:20" ht="15" customHeight="1">
      <c r="A56" s="16"/>
      <c r="B56" s="16"/>
      <c r="C56" s="16"/>
      <c r="D56" s="13" t="s">
        <v>196</v>
      </c>
      <c r="E56" s="581">
        <f>0/(Deno)</f>
        <v>0</v>
      </c>
      <c r="F56" s="581">
        <f t="shared" si="9"/>
        <v>0</v>
      </c>
      <c r="G56" s="64">
        <v>0</v>
      </c>
      <c r="H56" s="64">
        <v>0</v>
      </c>
      <c r="I56" s="64">
        <v>0</v>
      </c>
      <c r="J56" s="64">
        <v>0</v>
      </c>
      <c r="K56" s="65">
        <f t="shared" si="4"/>
        <v>0</v>
      </c>
      <c r="L56" s="65">
        <f t="shared" si="5"/>
        <v>0</v>
      </c>
      <c r="M56" s="84"/>
      <c r="N56" s="84"/>
      <c r="O56" s="65">
        <f t="shared" si="6"/>
        <v>0</v>
      </c>
      <c r="P56" s="65">
        <f t="shared" si="7"/>
        <v>0</v>
      </c>
      <c r="Q56" s="1" t="s">
        <v>195</v>
      </c>
      <c r="R56" s="1">
        <v>13</v>
      </c>
      <c r="S56" s="1" t="s">
        <v>168</v>
      </c>
    </row>
    <row r="57" spans="1:20" ht="15" customHeight="1">
      <c r="A57" s="16"/>
      <c r="B57" s="16"/>
      <c r="C57" s="16"/>
      <c r="D57" s="13" t="s">
        <v>197</v>
      </c>
      <c r="E57" s="581">
        <f>0/(Deno)</f>
        <v>0</v>
      </c>
      <c r="F57" s="581">
        <f t="shared" si="9"/>
        <v>0</v>
      </c>
      <c r="G57" s="64">
        <v>0</v>
      </c>
      <c r="H57" s="64">
        <v>0</v>
      </c>
      <c r="I57" s="64">
        <v>0</v>
      </c>
      <c r="J57" s="64">
        <v>0</v>
      </c>
      <c r="K57" s="65">
        <f t="shared" si="4"/>
        <v>0</v>
      </c>
      <c r="L57" s="65">
        <f t="shared" si="5"/>
        <v>0</v>
      </c>
      <c r="M57" s="84"/>
      <c r="N57" s="84"/>
      <c r="O57" s="65">
        <f t="shared" si="6"/>
        <v>0</v>
      </c>
      <c r="P57" s="65">
        <f t="shared" si="7"/>
        <v>0</v>
      </c>
      <c r="Q57" s="1" t="s">
        <v>198</v>
      </c>
      <c r="R57" s="1">
        <v>13</v>
      </c>
      <c r="S57" s="1" t="s">
        <v>168</v>
      </c>
    </row>
    <row r="58" spans="1:20" ht="15" customHeight="1">
      <c r="A58" s="16"/>
      <c r="B58" s="16"/>
      <c r="C58" s="16"/>
      <c r="D58" s="13" t="s">
        <v>199</v>
      </c>
      <c r="E58" s="581">
        <f>0/(Deno)</f>
        <v>0</v>
      </c>
      <c r="F58" s="581">
        <f>13926026.75/(Deno)</f>
        <v>139.2602675</v>
      </c>
      <c r="G58" s="64">
        <v>0</v>
      </c>
      <c r="H58" s="64">
        <v>13926026.75</v>
      </c>
      <c r="I58" s="64">
        <v>0</v>
      </c>
      <c r="J58" s="64">
        <v>380165.38999999966</v>
      </c>
      <c r="K58" s="65">
        <f t="shared" si="4"/>
        <v>0</v>
      </c>
      <c r="L58" s="65">
        <f t="shared" si="5"/>
        <v>14306192.140000001</v>
      </c>
      <c r="M58" s="84"/>
      <c r="N58" s="84"/>
      <c r="O58" s="65">
        <f t="shared" si="6"/>
        <v>0</v>
      </c>
      <c r="P58" s="65">
        <f t="shared" si="7"/>
        <v>143.06192140000002</v>
      </c>
      <c r="Q58" s="1" t="s">
        <v>200</v>
      </c>
      <c r="R58" s="1">
        <v>7</v>
      </c>
      <c r="S58" s="1" t="s">
        <v>168</v>
      </c>
    </row>
    <row r="59" spans="1:20" ht="15" customHeight="1">
      <c r="A59" s="16"/>
      <c r="B59" s="16"/>
      <c r="C59" s="16"/>
      <c r="D59" s="13" t="s">
        <v>201</v>
      </c>
      <c r="E59" s="581">
        <f>50000/(Deno)</f>
        <v>0.5</v>
      </c>
      <c r="F59" s="581">
        <f t="shared" ref="F59:F71" si="10">0/(Deno)</f>
        <v>0</v>
      </c>
      <c r="G59" s="64">
        <v>50000</v>
      </c>
      <c r="H59" s="64">
        <v>0</v>
      </c>
      <c r="I59" s="64">
        <v>0</v>
      </c>
      <c r="J59" s="64">
        <v>0</v>
      </c>
      <c r="K59" s="65">
        <f t="shared" si="4"/>
        <v>50000</v>
      </c>
      <c r="L59" s="65">
        <f t="shared" si="5"/>
        <v>0</v>
      </c>
      <c r="M59" s="84"/>
      <c r="N59" s="84">
        <f>'Audit entry'!E146</f>
        <v>50000</v>
      </c>
      <c r="O59" s="65">
        <f t="shared" si="6"/>
        <v>0</v>
      </c>
      <c r="P59" s="65">
        <f t="shared" si="7"/>
        <v>0</v>
      </c>
      <c r="Q59" s="1" t="s">
        <v>148</v>
      </c>
      <c r="R59" s="1">
        <v>12</v>
      </c>
      <c r="S59" s="1" t="s">
        <v>149</v>
      </c>
    </row>
    <row r="60" spans="1:20" ht="15" customHeight="1">
      <c r="A60" s="16"/>
      <c r="B60" s="16"/>
      <c r="C60" s="18" t="s">
        <v>202</v>
      </c>
      <c r="D60" s="12"/>
      <c r="E60" s="581">
        <f>0/(Deno)</f>
        <v>0</v>
      </c>
      <c r="F60" s="581">
        <f t="shared" si="10"/>
        <v>0</v>
      </c>
      <c r="G60" s="64"/>
      <c r="H60" s="64"/>
      <c r="I60" s="64"/>
      <c r="J60" s="64"/>
      <c r="K60" s="65">
        <f t="shared" si="4"/>
        <v>0</v>
      </c>
      <c r="L60" s="65">
        <f t="shared" si="5"/>
        <v>0</v>
      </c>
      <c r="M60" s="84"/>
      <c r="N60" s="84"/>
      <c r="O60" s="65">
        <f t="shared" si="6"/>
        <v>0</v>
      </c>
      <c r="P60" s="65">
        <f t="shared" si="7"/>
        <v>0</v>
      </c>
    </row>
    <row r="61" spans="1:20" ht="15" customHeight="1">
      <c r="A61" s="16"/>
      <c r="B61" s="16"/>
      <c r="C61" s="16"/>
      <c r="D61" s="13" t="s">
        <v>203</v>
      </c>
      <c r="E61" s="581">
        <f>18513073.8316667/(Deno)</f>
        <v>185.13073831666699</v>
      </c>
      <c r="F61" s="581">
        <f t="shared" si="10"/>
        <v>0</v>
      </c>
      <c r="G61" s="64">
        <v>18513073.831666701</v>
      </c>
      <c r="H61" s="64">
        <v>0</v>
      </c>
      <c r="I61" s="64">
        <v>3255908.3599999994</v>
      </c>
      <c r="J61" s="64">
        <v>0</v>
      </c>
      <c r="K61" s="65">
        <f t="shared" si="4"/>
        <v>21768982.1916667</v>
      </c>
      <c r="L61" s="65">
        <f t="shared" si="5"/>
        <v>0</v>
      </c>
      <c r="M61" s="84"/>
      <c r="N61" s="84">
        <f>'Audit entry'!E152</f>
        <v>654762.48607176181</v>
      </c>
      <c r="O61" s="65">
        <f t="shared" si="6"/>
        <v>211.1421970559494</v>
      </c>
      <c r="P61" s="65">
        <f t="shared" si="7"/>
        <v>0</v>
      </c>
      <c r="Q61" s="1" t="s">
        <v>204</v>
      </c>
      <c r="R61" s="1">
        <v>9</v>
      </c>
      <c r="S61" s="1" t="s">
        <v>184</v>
      </c>
    </row>
    <row r="62" spans="1:20" ht="15" customHeight="1">
      <c r="A62" s="16"/>
      <c r="B62" s="16"/>
      <c r="C62" s="18" t="s">
        <v>205</v>
      </c>
      <c r="D62" s="12"/>
      <c r="E62" s="581">
        <f>0/(Deno)</f>
        <v>0</v>
      </c>
      <c r="F62" s="581">
        <f t="shared" si="10"/>
        <v>0</v>
      </c>
      <c r="G62" s="64"/>
      <c r="H62" s="64"/>
      <c r="I62" s="64"/>
      <c r="J62" s="64"/>
      <c r="K62" s="65">
        <f t="shared" si="4"/>
        <v>0</v>
      </c>
      <c r="L62" s="65">
        <f t="shared" si="5"/>
        <v>0</v>
      </c>
      <c r="M62" s="84"/>
      <c r="N62" s="84"/>
      <c r="O62" s="65">
        <f t="shared" si="6"/>
        <v>0</v>
      </c>
      <c r="P62" s="65">
        <f t="shared" si="7"/>
        <v>0</v>
      </c>
    </row>
    <row r="63" spans="1:20" ht="15" customHeight="1">
      <c r="A63" s="16"/>
      <c r="B63" s="16"/>
      <c r="C63" s="16"/>
      <c r="D63" s="13" t="s">
        <v>205</v>
      </c>
      <c r="E63" s="581">
        <f>0/(Deno)</f>
        <v>0</v>
      </c>
      <c r="F63" s="581">
        <f t="shared" si="10"/>
        <v>0</v>
      </c>
      <c r="G63" s="64">
        <v>0</v>
      </c>
      <c r="H63" s="64">
        <v>0</v>
      </c>
      <c r="I63" s="64">
        <v>0</v>
      </c>
      <c r="J63" s="64">
        <v>0</v>
      </c>
      <c r="K63" s="65">
        <f t="shared" si="4"/>
        <v>0</v>
      </c>
      <c r="L63" s="65">
        <f t="shared" si="5"/>
        <v>0</v>
      </c>
      <c r="M63" s="84"/>
      <c r="N63" s="84"/>
      <c r="O63" s="65">
        <f t="shared" si="6"/>
        <v>0</v>
      </c>
      <c r="P63" s="65">
        <f t="shared" si="7"/>
        <v>0</v>
      </c>
    </row>
    <row r="64" spans="1:20" ht="15" customHeight="1">
      <c r="A64" s="16"/>
      <c r="B64" s="16"/>
      <c r="C64" s="18" t="s">
        <v>206</v>
      </c>
      <c r="D64" s="12"/>
      <c r="E64" s="581">
        <f>0/(Deno)</f>
        <v>0</v>
      </c>
      <c r="F64" s="581">
        <f t="shared" si="10"/>
        <v>0</v>
      </c>
      <c r="G64" s="64"/>
      <c r="H64" s="64"/>
      <c r="I64" s="64"/>
      <c r="J64" s="64"/>
      <c r="K64" s="65">
        <f t="shared" si="4"/>
        <v>0</v>
      </c>
      <c r="L64" s="65">
        <f t="shared" si="5"/>
        <v>0</v>
      </c>
      <c r="M64" s="84"/>
      <c r="N64" s="84"/>
      <c r="O64" s="65">
        <f t="shared" si="6"/>
        <v>0</v>
      </c>
      <c r="P64" s="65">
        <f t="shared" si="7"/>
        <v>0</v>
      </c>
    </row>
    <row r="65" spans="1:20" ht="15" customHeight="1">
      <c r="A65" s="16"/>
      <c r="B65" s="16"/>
      <c r="C65" s="16"/>
      <c r="D65" s="13" t="s">
        <v>206</v>
      </c>
      <c r="E65" s="581">
        <f>25000/(Deno)</f>
        <v>0.25</v>
      </c>
      <c r="F65" s="581">
        <f t="shared" si="10"/>
        <v>0</v>
      </c>
      <c r="G65" s="64">
        <v>25000</v>
      </c>
      <c r="H65" s="64">
        <v>0</v>
      </c>
      <c r="I65" s="64">
        <v>0</v>
      </c>
      <c r="J65" s="64">
        <v>0</v>
      </c>
      <c r="K65" s="65">
        <f t="shared" si="4"/>
        <v>25000</v>
      </c>
      <c r="L65" s="65">
        <f t="shared" si="5"/>
        <v>0</v>
      </c>
      <c r="M65" s="84"/>
      <c r="N65" s="84"/>
      <c r="O65" s="65">
        <f t="shared" si="6"/>
        <v>0.25</v>
      </c>
      <c r="P65" s="65">
        <f t="shared" si="7"/>
        <v>0</v>
      </c>
      <c r="Q65" s="1" t="s">
        <v>200</v>
      </c>
      <c r="R65" s="1">
        <v>7</v>
      </c>
      <c r="S65" s="1" t="s">
        <v>168</v>
      </c>
    </row>
    <row r="66" spans="1:20" ht="15" customHeight="1">
      <c r="A66" s="16"/>
      <c r="B66" s="17" t="s">
        <v>207</v>
      </c>
      <c r="C66" s="17"/>
      <c r="D66" s="12"/>
      <c r="E66" s="581">
        <f>0/(Deno)</f>
        <v>0</v>
      </c>
      <c r="F66" s="581">
        <f t="shared" si="10"/>
        <v>0</v>
      </c>
      <c r="G66" s="64"/>
      <c r="H66" s="64"/>
      <c r="I66" s="64"/>
      <c r="J66" s="64"/>
      <c r="K66" s="65">
        <f t="shared" si="4"/>
        <v>0</v>
      </c>
      <c r="L66" s="65">
        <f t="shared" si="5"/>
        <v>0</v>
      </c>
      <c r="M66" s="84"/>
      <c r="N66" s="84"/>
      <c r="O66" s="65">
        <f t="shared" si="6"/>
        <v>0</v>
      </c>
      <c r="P66" s="65">
        <f t="shared" si="7"/>
        <v>0</v>
      </c>
      <c r="S66" s="1" t="s">
        <v>208</v>
      </c>
    </row>
    <row r="67" spans="1:20" ht="15" customHeight="1">
      <c r="A67" s="16"/>
      <c r="B67" s="16"/>
      <c r="C67" s="18"/>
      <c r="D67" s="13" t="s">
        <v>207</v>
      </c>
      <c r="E67" s="581">
        <f>634958.005078724/(Deno)</f>
        <v>6.3495800507872397</v>
      </c>
      <c r="F67" s="581">
        <f t="shared" si="10"/>
        <v>0</v>
      </c>
      <c r="G67" s="64">
        <v>634958.00507872389</v>
      </c>
      <c r="H67" s="64">
        <v>0</v>
      </c>
      <c r="I67" s="64">
        <v>0</v>
      </c>
      <c r="J67" s="64">
        <v>0</v>
      </c>
      <c r="K67" s="65">
        <f t="shared" si="4"/>
        <v>634958.00507872389</v>
      </c>
      <c r="L67" s="65">
        <f t="shared" si="5"/>
        <v>0</v>
      </c>
      <c r="M67" s="84"/>
      <c r="N67" s="84">
        <f>+'Audit entry'!E32</f>
        <v>0.37521684789198417</v>
      </c>
      <c r="O67" s="65">
        <f t="shared" si="6"/>
        <v>6.3495762986187598</v>
      </c>
      <c r="P67" s="65">
        <f t="shared" si="7"/>
        <v>0</v>
      </c>
      <c r="R67" s="1">
        <v>10</v>
      </c>
      <c r="S67" s="1" t="s">
        <v>209</v>
      </c>
    </row>
    <row r="68" spans="1:20" ht="15" customHeight="1">
      <c r="A68" s="16"/>
      <c r="B68" s="16"/>
      <c r="C68" s="16"/>
      <c r="D68" s="13" t="s">
        <v>210</v>
      </c>
      <c r="E68" s="581">
        <f t="shared" ref="E68:E74" si="11">0/(Deno)</f>
        <v>0</v>
      </c>
      <c r="F68" s="581">
        <f t="shared" si="10"/>
        <v>0</v>
      </c>
      <c r="G68" s="64">
        <v>0</v>
      </c>
      <c r="H68" s="64">
        <v>0</v>
      </c>
      <c r="I68" s="64">
        <v>0</v>
      </c>
      <c r="J68" s="64">
        <v>0</v>
      </c>
      <c r="K68" s="65">
        <f t="shared" si="4"/>
        <v>0</v>
      </c>
      <c r="L68" s="65">
        <f t="shared" si="5"/>
        <v>0</v>
      </c>
      <c r="M68" s="84"/>
      <c r="N68" s="84"/>
      <c r="O68" s="65">
        <f t="shared" si="6"/>
        <v>0</v>
      </c>
      <c r="P68" s="65">
        <f t="shared" si="7"/>
        <v>0</v>
      </c>
    </row>
    <row r="69" spans="1:20" ht="15" customHeight="1">
      <c r="A69" s="15" t="s">
        <v>211</v>
      </c>
      <c r="B69" s="15"/>
      <c r="C69" s="15"/>
      <c r="D69" s="12"/>
      <c r="E69" s="581">
        <f t="shared" si="11"/>
        <v>0</v>
      </c>
      <c r="F69" s="581">
        <f t="shared" si="10"/>
        <v>0</v>
      </c>
      <c r="G69" s="64"/>
      <c r="H69" s="64"/>
      <c r="I69" s="64"/>
      <c r="J69" s="64"/>
      <c r="K69" s="65">
        <f t="shared" si="4"/>
        <v>0</v>
      </c>
      <c r="L69" s="65">
        <f t="shared" si="5"/>
        <v>0</v>
      </c>
      <c r="M69" s="84"/>
      <c r="N69" s="84"/>
      <c r="O69" s="65">
        <f t="shared" si="6"/>
        <v>0</v>
      </c>
      <c r="P69" s="65">
        <f t="shared" si="7"/>
        <v>0</v>
      </c>
    </row>
    <row r="70" spans="1:20" ht="15" customHeight="1">
      <c r="A70" s="16"/>
      <c r="B70" s="17" t="s">
        <v>212</v>
      </c>
      <c r="C70" s="17"/>
      <c r="D70" s="12"/>
      <c r="E70" s="581">
        <f t="shared" si="11"/>
        <v>0</v>
      </c>
      <c r="F70" s="581">
        <f t="shared" si="10"/>
        <v>0</v>
      </c>
      <c r="G70" s="64"/>
      <c r="H70" s="64"/>
      <c r="I70" s="64"/>
      <c r="J70" s="64"/>
      <c r="K70" s="65">
        <f t="shared" si="4"/>
        <v>0</v>
      </c>
      <c r="L70" s="65">
        <f t="shared" si="5"/>
        <v>0</v>
      </c>
      <c r="M70" s="84"/>
      <c r="N70" s="84"/>
      <c r="O70" s="65">
        <f t="shared" si="6"/>
        <v>0</v>
      </c>
      <c r="P70" s="65">
        <f t="shared" si="7"/>
        <v>0</v>
      </c>
    </row>
    <row r="71" spans="1:20" ht="15" customHeight="1">
      <c r="A71" s="16"/>
      <c r="B71" s="16"/>
      <c r="C71" s="18" t="s">
        <v>213</v>
      </c>
      <c r="D71" s="12"/>
      <c r="E71" s="581">
        <f t="shared" si="11"/>
        <v>0</v>
      </c>
      <c r="F71" s="581">
        <f t="shared" si="10"/>
        <v>0</v>
      </c>
      <c r="G71" s="64"/>
      <c r="H71" s="64"/>
      <c r="I71" s="64"/>
      <c r="J71" s="64"/>
      <c r="K71" s="65">
        <f t="shared" si="4"/>
        <v>0</v>
      </c>
      <c r="L71" s="65">
        <f t="shared" si="5"/>
        <v>0</v>
      </c>
      <c r="M71" s="84"/>
      <c r="N71" s="84"/>
      <c r="O71" s="65">
        <f t="shared" si="6"/>
        <v>0</v>
      </c>
      <c r="P71" s="65">
        <f t="shared" si="7"/>
        <v>0</v>
      </c>
    </row>
    <row r="72" spans="1:20" ht="15" customHeight="1">
      <c r="A72" s="16"/>
      <c r="B72" s="16"/>
      <c r="C72" s="16"/>
      <c r="D72" s="13" t="s">
        <v>214</v>
      </c>
      <c r="E72" s="581">
        <f t="shared" si="11"/>
        <v>0</v>
      </c>
      <c r="F72" s="581">
        <f>200000/(Deno)</f>
        <v>2</v>
      </c>
      <c r="G72" s="64">
        <v>0</v>
      </c>
      <c r="H72" s="64">
        <v>200000</v>
      </c>
      <c r="I72" s="64">
        <v>0</v>
      </c>
      <c r="J72" s="64">
        <v>0</v>
      </c>
      <c r="K72" s="65">
        <f t="shared" si="4"/>
        <v>0</v>
      </c>
      <c r="L72" s="65">
        <f t="shared" si="5"/>
        <v>200000</v>
      </c>
      <c r="M72" s="84"/>
      <c r="N72" s="84"/>
      <c r="O72" s="65">
        <f t="shared" si="6"/>
        <v>0</v>
      </c>
      <c r="P72" s="65">
        <f t="shared" si="7"/>
        <v>2</v>
      </c>
      <c r="Q72" s="1" t="s">
        <v>215</v>
      </c>
      <c r="R72" s="1">
        <v>3</v>
      </c>
      <c r="S72" s="1" t="s">
        <v>216</v>
      </c>
    </row>
    <row r="73" spans="1:20" ht="15" customHeight="1">
      <c r="A73" s="16"/>
      <c r="B73" s="16"/>
      <c r="C73" s="16"/>
      <c r="D73" s="13" t="s">
        <v>217</v>
      </c>
      <c r="E73" s="581">
        <f t="shared" si="11"/>
        <v>0</v>
      </c>
      <c r="F73" s="581">
        <f>12289768.56/(Deno)</f>
        <v>122.8976856</v>
      </c>
      <c r="G73" s="64">
        <v>0</v>
      </c>
      <c r="H73" s="64">
        <f>12289768.56</f>
        <v>12289768.560000001</v>
      </c>
      <c r="I73" s="64">
        <v>0</v>
      </c>
      <c r="J73" s="64">
        <v>0</v>
      </c>
      <c r="K73" s="65">
        <f t="shared" si="4"/>
        <v>0</v>
      </c>
      <c r="L73" s="65">
        <f t="shared" si="5"/>
        <v>12289768.560000001</v>
      </c>
      <c r="M73" s="84"/>
      <c r="N73" s="84"/>
      <c r="O73" s="65">
        <f t="shared" si="6"/>
        <v>0</v>
      </c>
      <c r="P73" s="65">
        <f t="shared" si="7"/>
        <v>122.8976856</v>
      </c>
      <c r="R73" s="1">
        <v>4</v>
      </c>
      <c r="S73" s="1" t="s">
        <v>218</v>
      </c>
    </row>
    <row r="74" spans="1:20" ht="15" customHeight="1">
      <c r="A74" s="16"/>
      <c r="B74" s="16"/>
      <c r="C74" s="18" t="s">
        <v>219</v>
      </c>
      <c r="D74" s="12"/>
      <c r="E74" s="581">
        <f t="shared" si="11"/>
        <v>0</v>
      </c>
      <c r="F74" s="581">
        <f t="shared" ref="F74:F86" si="12">0/(Deno)</f>
        <v>0</v>
      </c>
      <c r="G74" s="64"/>
      <c r="H74" s="64"/>
      <c r="I74" s="64"/>
      <c r="J74" s="64"/>
      <c r="K74" s="65">
        <f t="shared" ref="K74:K137" si="13">+IF((G74+I74-H74-J74&gt;0),G74+I74-H74-J74,0)</f>
        <v>0</v>
      </c>
      <c r="L74" s="65">
        <f t="shared" ref="L74:L137" si="14">+IF((H74+J74-G74-I74)&gt;0,H74+J74-G74-I74,0)</f>
        <v>0</v>
      </c>
      <c r="M74" s="84"/>
      <c r="N74" s="84"/>
      <c r="O74" s="65">
        <f t="shared" ref="O74:O137" si="15">+IF((K74+M74-L74-N74&gt;0),K74+M74-L74-N74,0)/Deno</f>
        <v>0</v>
      </c>
      <c r="P74" s="65">
        <f t="shared" ref="P74:P137" si="16">+IF((L74+N74-K74-M74)&gt;0,L74+N74-K74-M74,0)/Deno</f>
        <v>0</v>
      </c>
    </row>
    <row r="75" spans="1:20" ht="15" customHeight="1">
      <c r="A75" s="16"/>
      <c r="B75" s="16"/>
      <c r="C75" s="16"/>
      <c r="D75" s="13" t="s">
        <v>220</v>
      </c>
      <c r="E75" s="581">
        <f>3589998.79411491/(Deno)</f>
        <v>35.899987941149099</v>
      </c>
      <c r="F75" s="581">
        <f t="shared" si="12"/>
        <v>0</v>
      </c>
      <c r="G75" s="64">
        <v>3589998.7941149082</v>
      </c>
      <c r="H75" s="64">
        <v>-4992850.1907556998</v>
      </c>
      <c r="I75" s="64">
        <v>0</v>
      </c>
      <c r="J75" s="64">
        <v>0</v>
      </c>
      <c r="K75" s="65">
        <f t="shared" si="13"/>
        <v>8582848.9848706089</v>
      </c>
      <c r="L75" s="65">
        <f t="shared" si="14"/>
        <v>0</v>
      </c>
      <c r="M75" s="84">
        <f>+'Audit entry'!D31+'Audit entry'!D148</f>
        <v>654762.86128860968</v>
      </c>
      <c r="N75" s="84">
        <f>+'Audit entry'!E127</f>
        <v>14106836.380000001</v>
      </c>
      <c r="O75" s="65">
        <f t="shared" si="15"/>
        <v>0</v>
      </c>
      <c r="P75" s="65">
        <f t="shared" si="16"/>
        <v>48.692245338407822</v>
      </c>
      <c r="R75" s="1">
        <v>4</v>
      </c>
      <c r="S75" s="1" t="s">
        <v>218</v>
      </c>
      <c r="T75" s="9"/>
    </row>
    <row r="76" spans="1:20" ht="15" customHeight="1">
      <c r="A76" s="16"/>
      <c r="B76" s="17" t="s">
        <v>221</v>
      </c>
      <c r="C76" s="17"/>
      <c r="D76" s="12"/>
      <c r="E76" s="581">
        <f t="shared" ref="E76:E88" si="17">0/(Deno)</f>
        <v>0</v>
      </c>
      <c r="F76" s="581">
        <f t="shared" si="12"/>
        <v>0</v>
      </c>
      <c r="G76" s="64"/>
      <c r="H76" s="64"/>
      <c r="I76" s="64"/>
      <c r="J76" s="64"/>
      <c r="K76" s="65">
        <f t="shared" si="13"/>
        <v>0</v>
      </c>
      <c r="L76" s="65">
        <f t="shared" si="14"/>
        <v>0</v>
      </c>
      <c r="M76" s="84"/>
      <c r="N76" s="84"/>
      <c r="O76" s="65">
        <f t="shared" si="15"/>
        <v>0</v>
      </c>
      <c r="P76" s="65">
        <f t="shared" si="16"/>
        <v>0</v>
      </c>
    </row>
    <row r="77" spans="1:20" ht="15" customHeight="1">
      <c r="A77" s="16"/>
      <c r="B77" s="16"/>
      <c r="C77" s="18" t="s">
        <v>222</v>
      </c>
      <c r="D77" s="12"/>
      <c r="E77" s="581">
        <f t="shared" si="17"/>
        <v>0</v>
      </c>
      <c r="F77" s="581">
        <f t="shared" si="12"/>
        <v>0</v>
      </c>
      <c r="G77" s="64"/>
      <c r="H77" s="64"/>
      <c r="I77" s="64"/>
      <c r="J77" s="64"/>
      <c r="K77" s="65">
        <f t="shared" si="13"/>
        <v>0</v>
      </c>
      <c r="L77" s="65">
        <f t="shared" si="14"/>
        <v>0</v>
      </c>
      <c r="M77" s="84"/>
      <c r="N77" s="84"/>
      <c r="O77" s="65">
        <f t="shared" si="15"/>
        <v>0</v>
      </c>
      <c r="P77" s="65">
        <f t="shared" si="16"/>
        <v>0</v>
      </c>
      <c r="T77" s="9"/>
    </row>
    <row r="78" spans="1:20" ht="15" customHeight="1">
      <c r="A78" s="16"/>
      <c r="B78" s="16"/>
      <c r="C78" s="16"/>
      <c r="D78" s="13" t="s">
        <v>223</v>
      </c>
      <c r="E78" s="581">
        <f t="shared" si="17"/>
        <v>0</v>
      </c>
      <c r="F78" s="581">
        <f t="shared" si="12"/>
        <v>0</v>
      </c>
      <c r="G78" s="64">
        <v>0</v>
      </c>
      <c r="H78" s="64">
        <v>0</v>
      </c>
      <c r="I78" s="64">
        <v>0</v>
      </c>
      <c r="J78" s="64">
        <v>0</v>
      </c>
      <c r="K78" s="65">
        <f t="shared" si="13"/>
        <v>0</v>
      </c>
      <c r="L78" s="65">
        <f t="shared" si="14"/>
        <v>0</v>
      </c>
      <c r="M78" s="84"/>
      <c r="N78" s="84"/>
      <c r="O78" s="65">
        <f t="shared" si="15"/>
        <v>0</v>
      </c>
      <c r="P78" s="65">
        <f t="shared" si="16"/>
        <v>0</v>
      </c>
      <c r="Q78" s="1" t="s">
        <v>224</v>
      </c>
      <c r="S78" s="1" t="s">
        <v>225</v>
      </c>
    </row>
    <row r="79" spans="1:20" ht="15" customHeight="1">
      <c r="A79" s="16"/>
      <c r="B79" s="16"/>
      <c r="C79" s="16"/>
      <c r="D79" s="13" t="s">
        <v>226</v>
      </c>
      <c r="E79" s="581">
        <f t="shared" si="17"/>
        <v>0</v>
      </c>
      <c r="F79" s="581">
        <f t="shared" si="12"/>
        <v>0</v>
      </c>
      <c r="G79" s="64">
        <v>0</v>
      </c>
      <c r="H79" s="64">
        <v>0</v>
      </c>
      <c r="I79" s="64">
        <v>0</v>
      </c>
      <c r="J79" s="64">
        <v>0</v>
      </c>
      <c r="K79" s="65">
        <f t="shared" si="13"/>
        <v>0</v>
      </c>
      <c r="L79" s="65">
        <f t="shared" si="14"/>
        <v>0</v>
      </c>
      <c r="M79" s="84"/>
      <c r="N79" s="84"/>
      <c r="O79" s="65">
        <f t="shared" si="15"/>
        <v>0</v>
      </c>
      <c r="P79" s="65">
        <f t="shared" si="16"/>
        <v>0</v>
      </c>
      <c r="Q79" s="1" t="s">
        <v>227</v>
      </c>
      <c r="S79" s="1" t="s">
        <v>225</v>
      </c>
    </row>
    <row r="80" spans="1:20" ht="15" customHeight="1">
      <c r="A80" s="16"/>
      <c r="B80" s="16"/>
      <c r="C80" s="16"/>
      <c r="D80" s="13" t="s">
        <v>228</v>
      </c>
      <c r="E80" s="581">
        <f t="shared" si="17"/>
        <v>0</v>
      </c>
      <c r="F80" s="581">
        <f t="shared" si="12"/>
        <v>0</v>
      </c>
      <c r="G80" s="64">
        <v>0</v>
      </c>
      <c r="H80" s="64">
        <v>0</v>
      </c>
      <c r="I80" s="64">
        <v>0</v>
      </c>
      <c r="J80" s="64">
        <v>0</v>
      </c>
      <c r="K80" s="65">
        <f t="shared" si="13"/>
        <v>0</v>
      </c>
      <c r="L80" s="65">
        <f t="shared" si="14"/>
        <v>0</v>
      </c>
      <c r="M80" s="84"/>
      <c r="N80" s="84"/>
      <c r="O80" s="65">
        <f t="shared" si="15"/>
        <v>0</v>
      </c>
      <c r="P80" s="65">
        <f t="shared" si="16"/>
        <v>0</v>
      </c>
      <c r="Q80" s="1" t="s">
        <v>229</v>
      </c>
      <c r="S80" s="1" t="s">
        <v>225</v>
      </c>
    </row>
    <row r="81" spans="1:20" ht="15" customHeight="1">
      <c r="A81" s="16"/>
      <c r="B81" s="16"/>
      <c r="C81" s="18" t="s">
        <v>230</v>
      </c>
      <c r="D81" s="12"/>
      <c r="E81" s="581">
        <f t="shared" si="17"/>
        <v>0</v>
      </c>
      <c r="F81" s="581">
        <f t="shared" si="12"/>
        <v>0</v>
      </c>
      <c r="G81" s="64"/>
      <c r="H81" s="64"/>
      <c r="I81" s="64"/>
      <c r="J81" s="64"/>
      <c r="K81" s="65">
        <f t="shared" si="13"/>
        <v>0</v>
      </c>
      <c r="L81" s="65">
        <f t="shared" si="14"/>
        <v>0</v>
      </c>
      <c r="M81" s="84"/>
      <c r="N81" s="84"/>
      <c r="O81" s="65">
        <f t="shared" si="15"/>
        <v>0</v>
      </c>
      <c r="P81" s="65">
        <f t="shared" si="16"/>
        <v>0</v>
      </c>
    </row>
    <row r="82" spans="1:20" ht="15" customHeight="1">
      <c r="A82" s="16"/>
      <c r="B82" s="16"/>
      <c r="C82" s="16"/>
      <c r="D82" s="13" t="s">
        <v>231</v>
      </c>
      <c r="E82" s="581">
        <f t="shared" si="17"/>
        <v>0</v>
      </c>
      <c r="F82" s="581">
        <f t="shared" si="12"/>
        <v>0</v>
      </c>
      <c r="G82" s="64">
        <v>0</v>
      </c>
      <c r="H82" s="64">
        <v>0</v>
      </c>
      <c r="I82" s="64">
        <v>0</v>
      </c>
      <c r="J82" s="64">
        <v>0</v>
      </c>
      <c r="K82" s="65">
        <f t="shared" si="13"/>
        <v>0</v>
      </c>
      <c r="L82" s="65">
        <f t="shared" si="14"/>
        <v>0</v>
      </c>
      <c r="M82" s="84"/>
      <c r="N82" s="84"/>
      <c r="O82" s="65">
        <f t="shared" si="15"/>
        <v>0</v>
      </c>
      <c r="P82" s="65">
        <f t="shared" si="16"/>
        <v>0</v>
      </c>
      <c r="Q82" s="1" t="s">
        <v>232</v>
      </c>
      <c r="S82" s="1" t="s">
        <v>225</v>
      </c>
    </row>
    <row r="83" spans="1:20" ht="15" customHeight="1">
      <c r="A83" s="16"/>
      <c r="B83" s="16"/>
      <c r="C83" s="16"/>
      <c r="D83" s="13" t="s">
        <v>230</v>
      </c>
      <c r="E83" s="581">
        <f t="shared" si="17"/>
        <v>0</v>
      </c>
      <c r="F83" s="581">
        <f t="shared" si="12"/>
        <v>0</v>
      </c>
      <c r="G83" s="64">
        <v>0</v>
      </c>
      <c r="H83" s="64">
        <v>0</v>
      </c>
      <c r="I83" s="64">
        <v>0</v>
      </c>
      <c r="J83" s="64">
        <v>0</v>
      </c>
      <c r="K83" s="65">
        <f t="shared" si="13"/>
        <v>0</v>
      </c>
      <c r="L83" s="65">
        <f t="shared" si="14"/>
        <v>0</v>
      </c>
      <c r="M83" s="84"/>
      <c r="N83" s="84"/>
      <c r="O83" s="65">
        <f t="shared" si="15"/>
        <v>0</v>
      </c>
      <c r="P83" s="65">
        <f t="shared" si="16"/>
        <v>0</v>
      </c>
      <c r="Q83" s="1" t="s">
        <v>233</v>
      </c>
      <c r="S83" s="1" t="s">
        <v>225</v>
      </c>
    </row>
    <row r="84" spans="1:20" ht="15" customHeight="1">
      <c r="A84" s="16"/>
      <c r="B84" s="16"/>
      <c r="C84" s="16"/>
      <c r="D84" s="13" t="s">
        <v>234</v>
      </c>
      <c r="E84" s="581">
        <f t="shared" si="17"/>
        <v>0</v>
      </c>
      <c r="F84" s="581">
        <f t="shared" si="12"/>
        <v>0</v>
      </c>
      <c r="G84" s="64">
        <v>0</v>
      </c>
      <c r="H84" s="64">
        <v>0</v>
      </c>
      <c r="I84" s="64">
        <v>0</v>
      </c>
      <c r="J84" s="64">
        <v>0</v>
      </c>
      <c r="K84" s="65">
        <f t="shared" si="13"/>
        <v>0</v>
      </c>
      <c r="L84" s="65">
        <f t="shared" si="14"/>
        <v>0</v>
      </c>
      <c r="M84" s="84"/>
      <c r="N84" s="84"/>
      <c r="O84" s="65">
        <f t="shared" si="15"/>
        <v>0</v>
      </c>
      <c r="P84" s="65">
        <f t="shared" si="16"/>
        <v>0</v>
      </c>
      <c r="Q84" s="1" t="s">
        <v>235</v>
      </c>
      <c r="S84" s="1" t="s">
        <v>225</v>
      </c>
    </row>
    <row r="85" spans="1:20" ht="15" customHeight="1">
      <c r="A85" s="16"/>
      <c r="B85" s="17" t="s">
        <v>70</v>
      </c>
      <c r="C85" s="17"/>
      <c r="D85" s="12"/>
      <c r="E85" s="581">
        <f t="shared" si="17"/>
        <v>0</v>
      </c>
      <c r="F85" s="581">
        <f t="shared" si="12"/>
        <v>0</v>
      </c>
      <c r="G85" s="64"/>
      <c r="H85" s="64"/>
      <c r="I85" s="64"/>
      <c r="J85" s="64"/>
      <c r="K85" s="65">
        <f t="shared" si="13"/>
        <v>0</v>
      </c>
      <c r="L85" s="65">
        <f t="shared" si="14"/>
        <v>0</v>
      </c>
      <c r="M85" s="84"/>
      <c r="N85" s="84"/>
      <c r="O85" s="65">
        <f t="shared" si="15"/>
        <v>0</v>
      </c>
      <c r="P85" s="65">
        <f t="shared" si="16"/>
        <v>0</v>
      </c>
    </row>
    <row r="86" spans="1:20" ht="15" customHeight="1">
      <c r="A86" s="16"/>
      <c r="B86" s="16"/>
      <c r="C86" s="18" t="s">
        <v>236</v>
      </c>
      <c r="D86" s="12"/>
      <c r="E86" s="581">
        <f t="shared" si="17"/>
        <v>0</v>
      </c>
      <c r="F86" s="581">
        <f t="shared" si="12"/>
        <v>0</v>
      </c>
      <c r="G86" s="64"/>
      <c r="H86" s="64"/>
      <c r="I86" s="64"/>
      <c r="J86" s="64"/>
      <c r="K86" s="65">
        <f t="shared" si="13"/>
        <v>0</v>
      </c>
      <c r="L86" s="65">
        <f t="shared" si="14"/>
        <v>0</v>
      </c>
      <c r="M86" s="84"/>
      <c r="N86" s="84"/>
      <c r="O86" s="65">
        <f t="shared" si="15"/>
        <v>0</v>
      </c>
      <c r="P86" s="65">
        <f t="shared" si="16"/>
        <v>0</v>
      </c>
    </row>
    <row r="87" spans="1:20" ht="15" customHeight="1">
      <c r="A87" s="16"/>
      <c r="B87" s="16"/>
      <c r="C87" s="16"/>
      <c r="D87" s="13" t="s">
        <v>237</v>
      </c>
      <c r="E87" s="581">
        <f t="shared" si="17"/>
        <v>0</v>
      </c>
      <c r="F87" s="581">
        <f>39845262.9399998/(Deno)</f>
        <v>398.45262939999799</v>
      </c>
      <c r="G87" s="64">
        <v>0</v>
      </c>
      <c r="H87" s="64">
        <v>39845262.939999789</v>
      </c>
      <c r="I87" s="64">
        <v>0</v>
      </c>
      <c r="J87" s="64">
        <v>415912.28999993205</v>
      </c>
      <c r="K87" s="65">
        <f t="shared" si="13"/>
        <v>0</v>
      </c>
      <c r="L87" s="65">
        <f t="shared" si="14"/>
        <v>40261175.229999721</v>
      </c>
      <c r="M87" s="84">
        <f>+'Audit entry'!D34+SUM('Audit entry'!D40:D52)-SUM('Audit entry'!E53:E54)+SUM('Audit entry'!D100:D108)-SUM('Audit entry'!E110:E119)</f>
        <v>89690.916629000698</v>
      </c>
      <c r="N87" s="84">
        <f>+'Audit entry'!E38+'Audit entry'!E130+'Audit entry'!E134</f>
        <v>6012740.46</v>
      </c>
      <c r="O87" s="65">
        <f t="shared" si="15"/>
        <v>0</v>
      </c>
      <c r="P87" s="65">
        <f t="shared" si="16"/>
        <v>461.84224773370721</v>
      </c>
      <c r="R87" s="1">
        <v>5</v>
      </c>
      <c r="S87" s="1" t="s">
        <v>238</v>
      </c>
    </row>
    <row r="88" spans="1:20" ht="15" customHeight="1">
      <c r="A88" s="16"/>
      <c r="B88" s="16"/>
      <c r="C88" s="16"/>
      <c r="D88" s="13" t="s">
        <v>239</v>
      </c>
      <c r="E88" s="581">
        <f t="shared" si="17"/>
        <v>0</v>
      </c>
      <c r="F88" s="581">
        <f>1072835.62/(Deno)</f>
        <v>10.7283562</v>
      </c>
      <c r="G88" s="64">
        <v>0</v>
      </c>
      <c r="H88" s="64">
        <v>1072835.620000001</v>
      </c>
      <c r="I88" s="64">
        <v>0</v>
      </c>
      <c r="J88" s="64">
        <v>3.7252902984619141E-9</v>
      </c>
      <c r="K88" s="65">
        <f t="shared" si="13"/>
        <v>0</v>
      </c>
      <c r="L88" s="65">
        <f t="shared" si="14"/>
        <v>1072835.6200000048</v>
      </c>
      <c r="M88" s="84"/>
      <c r="N88" s="84"/>
      <c r="O88" s="65">
        <f t="shared" si="15"/>
        <v>0</v>
      </c>
      <c r="P88" s="65">
        <f t="shared" si="16"/>
        <v>10.728356200000048</v>
      </c>
      <c r="R88" s="1">
        <v>5</v>
      </c>
      <c r="S88" s="1" t="s">
        <v>238</v>
      </c>
    </row>
    <row r="89" spans="1:20" ht="15" customHeight="1">
      <c r="A89" s="16"/>
      <c r="B89" s="16"/>
      <c r="C89" s="16"/>
      <c r="D89" s="13" t="s">
        <v>240</v>
      </c>
      <c r="E89" s="581">
        <f>1004426/(Deno)</f>
        <v>10.04426</v>
      </c>
      <c r="F89" s="581">
        <f>0/(Deno)</f>
        <v>0</v>
      </c>
      <c r="G89" s="64">
        <v>1004426</v>
      </c>
      <c r="H89" s="64">
        <v>0</v>
      </c>
      <c r="I89" s="64">
        <v>7734</v>
      </c>
      <c r="J89" s="64">
        <v>0</v>
      </c>
      <c r="K89" s="65">
        <f>+IF((G89+I89-H89-J89&gt;0),G89+I89-H89-J89,0)</f>
        <v>1012160</v>
      </c>
      <c r="L89" s="65">
        <f t="shared" si="14"/>
        <v>0</v>
      </c>
      <c r="M89" s="84"/>
      <c r="N89" s="84"/>
      <c r="O89" s="65">
        <f t="shared" si="15"/>
        <v>10.121600000000001</v>
      </c>
      <c r="P89" s="65">
        <f t="shared" si="16"/>
        <v>0</v>
      </c>
      <c r="R89" s="1">
        <v>5</v>
      </c>
      <c r="S89" s="1" t="s">
        <v>238</v>
      </c>
    </row>
    <row r="90" spans="1:20" ht="15" customHeight="1">
      <c r="A90" s="16"/>
      <c r="B90" s="16"/>
      <c r="C90" s="16"/>
      <c r="D90" s="13" t="s">
        <v>241</v>
      </c>
      <c r="E90" s="581">
        <f t="shared" ref="E90:E122" si="18">0/(Deno)</f>
        <v>0</v>
      </c>
      <c r="F90" s="581">
        <f>17438152.028043/(Deno)</f>
        <v>174.38152028042998</v>
      </c>
      <c r="G90" s="64">
        <v>0</v>
      </c>
      <c r="H90" s="64">
        <v>17438152.028043002</v>
      </c>
      <c r="I90" s="64">
        <v>0</v>
      </c>
      <c r="J90" s="64">
        <v>37639710.480000034</v>
      </c>
      <c r="K90" s="65">
        <f t="shared" si="13"/>
        <v>0</v>
      </c>
      <c r="L90" s="65">
        <f t="shared" si="14"/>
        <v>55077862.508043036</v>
      </c>
      <c r="M90" s="84"/>
      <c r="N90" s="84"/>
      <c r="O90" s="65">
        <f t="shared" si="15"/>
        <v>0</v>
      </c>
      <c r="P90" s="65">
        <f t="shared" si="16"/>
        <v>550.7786250804304</v>
      </c>
      <c r="R90" s="1">
        <v>5</v>
      </c>
      <c r="S90" s="1" t="s">
        <v>238</v>
      </c>
    </row>
    <row r="91" spans="1:20" ht="15" customHeight="1">
      <c r="A91" s="16"/>
      <c r="B91" s="16"/>
      <c r="C91" s="16"/>
      <c r="D91" s="13" t="s">
        <v>242</v>
      </c>
      <c r="E91" s="581">
        <f t="shared" si="18"/>
        <v>0</v>
      </c>
      <c r="F91" s="581">
        <f>0/(Deno)</f>
        <v>0</v>
      </c>
      <c r="G91" s="64">
        <v>0</v>
      </c>
      <c r="H91" s="64">
        <v>0</v>
      </c>
      <c r="I91" s="64">
        <v>0</v>
      </c>
      <c r="J91" s="64">
        <v>0</v>
      </c>
      <c r="K91" s="65">
        <f t="shared" si="13"/>
        <v>0</v>
      </c>
      <c r="L91" s="65">
        <f t="shared" si="14"/>
        <v>0</v>
      </c>
      <c r="M91" s="84"/>
      <c r="N91" s="84"/>
      <c r="O91" s="65">
        <f t="shared" si="15"/>
        <v>0</v>
      </c>
      <c r="P91" s="65">
        <f t="shared" si="16"/>
        <v>0</v>
      </c>
      <c r="Q91" s="1" t="s">
        <v>243</v>
      </c>
      <c r="R91" s="1">
        <v>6</v>
      </c>
      <c r="S91" s="1" t="s">
        <v>244</v>
      </c>
    </row>
    <row r="92" spans="1:20" ht="15" customHeight="1">
      <c r="A92" s="16"/>
      <c r="B92" s="16"/>
      <c r="C92" s="16"/>
      <c r="D92" s="13" t="s">
        <v>245</v>
      </c>
      <c r="E92" s="581">
        <f t="shared" si="18"/>
        <v>0</v>
      </c>
      <c r="F92" s="581">
        <f>725000/(Deno)</f>
        <v>7.25</v>
      </c>
      <c r="G92" s="64">
        <v>0</v>
      </c>
      <c r="H92" s="64">
        <v>725000</v>
      </c>
      <c r="I92" s="64"/>
      <c r="J92" s="64"/>
      <c r="K92" s="65">
        <f t="shared" si="13"/>
        <v>0</v>
      </c>
      <c r="L92" s="65">
        <f t="shared" si="14"/>
        <v>725000</v>
      </c>
      <c r="M92" s="84">
        <f>+'Audit entry'!D14</f>
        <v>225000</v>
      </c>
      <c r="N92" s="84">
        <f>+'Audit entry'!E28</f>
        <v>225000</v>
      </c>
      <c r="O92" s="65">
        <f t="shared" si="15"/>
        <v>0</v>
      </c>
      <c r="P92" s="65">
        <f t="shared" si="16"/>
        <v>7.25</v>
      </c>
      <c r="Q92" s="1" t="s">
        <v>246</v>
      </c>
      <c r="R92" s="1">
        <v>6</v>
      </c>
      <c r="S92" s="1" t="s">
        <v>244</v>
      </c>
      <c r="T92" s="3" t="s">
        <v>247</v>
      </c>
    </row>
    <row r="93" spans="1:20" ht="15" customHeight="1">
      <c r="A93" s="16"/>
      <c r="B93" s="16"/>
      <c r="C93" s="16"/>
      <c r="D93" s="29" t="s">
        <v>248</v>
      </c>
      <c r="E93" s="581">
        <f t="shared" si="18"/>
        <v>0</v>
      </c>
      <c r="F93" s="581">
        <f>90000/(Deno)</f>
        <v>0.9</v>
      </c>
      <c r="G93" s="64">
        <v>0</v>
      </c>
      <c r="H93" s="64">
        <v>90000</v>
      </c>
      <c r="I93" s="64"/>
      <c r="J93" s="64"/>
      <c r="K93" s="65">
        <f t="shared" si="13"/>
        <v>0</v>
      </c>
      <c r="L93" s="65">
        <f t="shared" si="14"/>
        <v>90000</v>
      </c>
      <c r="M93" s="84"/>
      <c r="N93" s="84"/>
      <c r="O93" s="65">
        <f t="shared" si="15"/>
        <v>0</v>
      </c>
      <c r="P93" s="65">
        <f t="shared" si="16"/>
        <v>0.9</v>
      </c>
      <c r="Q93" s="1" t="s">
        <v>248</v>
      </c>
      <c r="R93" s="1">
        <v>6</v>
      </c>
      <c r="S93" s="1" t="s">
        <v>244</v>
      </c>
      <c r="T93" s="3" t="s">
        <v>247</v>
      </c>
    </row>
    <row r="94" spans="1:20" ht="15" customHeight="1">
      <c r="A94" s="16"/>
      <c r="B94" s="16"/>
      <c r="C94" s="18" t="s">
        <v>249</v>
      </c>
      <c r="D94" s="12"/>
      <c r="E94" s="581">
        <f t="shared" si="18"/>
        <v>0</v>
      </c>
      <c r="F94" s="581">
        <f>0/(Deno)</f>
        <v>0</v>
      </c>
      <c r="G94" s="64"/>
      <c r="H94" s="64"/>
      <c r="I94" s="64"/>
      <c r="J94" s="64"/>
      <c r="K94" s="65">
        <f t="shared" si="13"/>
        <v>0</v>
      </c>
      <c r="L94" s="65">
        <f t="shared" si="14"/>
        <v>0</v>
      </c>
      <c r="M94" s="84"/>
      <c r="N94" s="84"/>
      <c r="O94" s="65">
        <f t="shared" si="15"/>
        <v>0</v>
      </c>
      <c r="P94" s="65">
        <f t="shared" si="16"/>
        <v>0</v>
      </c>
    </row>
    <row r="95" spans="1:20" ht="15" customHeight="1">
      <c r="A95" s="16"/>
      <c r="B95" s="16"/>
      <c r="C95" s="18"/>
      <c r="D95" s="12"/>
      <c r="E95" s="581">
        <f t="shared" si="18"/>
        <v>0</v>
      </c>
      <c r="F95" s="581">
        <f>0/(Deno)</f>
        <v>0</v>
      </c>
      <c r="G95" s="64"/>
      <c r="H95" s="64"/>
      <c r="I95" s="64"/>
      <c r="J95" s="64"/>
      <c r="K95" s="65">
        <f t="shared" si="13"/>
        <v>0</v>
      </c>
      <c r="L95" s="65">
        <f t="shared" si="14"/>
        <v>0</v>
      </c>
      <c r="M95" s="84"/>
      <c r="N95" s="84"/>
      <c r="O95" s="65">
        <f t="shared" si="15"/>
        <v>0</v>
      </c>
      <c r="P95" s="65">
        <f t="shared" si="16"/>
        <v>0</v>
      </c>
    </row>
    <row r="96" spans="1:20" ht="15" customHeight="1">
      <c r="A96" s="16"/>
      <c r="B96" s="16"/>
      <c r="C96" s="16"/>
      <c r="D96" s="13" t="s">
        <v>250</v>
      </c>
      <c r="E96" s="581">
        <f t="shared" si="18"/>
        <v>0</v>
      </c>
      <c r="F96" s="581">
        <f>198883.37/(Deno)</f>
        <v>1.9888337</v>
      </c>
      <c r="G96" s="64">
        <v>0</v>
      </c>
      <c r="H96" s="64">
        <v>198883.36999999988</v>
      </c>
      <c r="I96" s="64">
        <v>0</v>
      </c>
      <c r="J96" s="64">
        <v>704970.68999999971</v>
      </c>
      <c r="K96" s="65">
        <f t="shared" si="13"/>
        <v>0</v>
      </c>
      <c r="L96" s="65">
        <f t="shared" si="14"/>
        <v>903854.05999999959</v>
      </c>
      <c r="M96" s="84"/>
      <c r="N96" s="84"/>
      <c r="O96" s="65">
        <f t="shared" si="15"/>
        <v>0</v>
      </c>
      <c r="P96" s="65">
        <f t="shared" si="16"/>
        <v>9.0385405999999957</v>
      </c>
      <c r="Q96" s="1" t="s">
        <v>251</v>
      </c>
      <c r="R96" s="1">
        <v>6</v>
      </c>
      <c r="S96" s="1" t="s">
        <v>244</v>
      </c>
      <c r="T96" s="3" t="s">
        <v>247</v>
      </c>
    </row>
    <row r="97" spans="1:20" ht="15" customHeight="1">
      <c r="A97" s="16"/>
      <c r="B97" s="16"/>
      <c r="C97" s="16"/>
      <c r="D97" s="39" t="s">
        <v>170</v>
      </c>
      <c r="E97" s="581">
        <f t="shared" si="18"/>
        <v>0</v>
      </c>
      <c r="F97" s="581">
        <f>0/(Deno)</f>
        <v>0</v>
      </c>
      <c r="G97" s="64">
        <v>0</v>
      </c>
      <c r="H97" s="64">
        <v>0</v>
      </c>
      <c r="I97" s="64">
        <v>233685</v>
      </c>
      <c r="J97" s="64">
        <v>0</v>
      </c>
      <c r="K97" s="65">
        <f t="shared" si="13"/>
        <v>233685</v>
      </c>
      <c r="L97" s="65">
        <f t="shared" si="14"/>
        <v>0</v>
      </c>
      <c r="M97" s="84">
        <f>+'Audit entry'!D22</f>
        <v>1315</v>
      </c>
      <c r="N97" s="84">
        <f>'Audit entry'!E15+'Audit entry'!E19</f>
        <v>235000</v>
      </c>
      <c r="O97" s="65">
        <f t="shared" si="15"/>
        <v>0</v>
      </c>
      <c r="P97" s="65">
        <f t="shared" si="16"/>
        <v>0</v>
      </c>
      <c r="Q97" s="1" t="s">
        <v>246</v>
      </c>
      <c r="R97" s="1">
        <v>6</v>
      </c>
      <c r="S97" s="1" t="s">
        <v>244</v>
      </c>
      <c r="T97" s="3" t="s">
        <v>247</v>
      </c>
    </row>
    <row r="98" spans="1:20" ht="15" customHeight="1">
      <c r="A98" s="16"/>
      <c r="B98" s="16"/>
      <c r="C98" s="16"/>
      <c r="D98" s="39" t="s">
        <v>252</v>
      </c>
      <c r="E98" s="581">
        <f t="shared" si="18"/>
        <v>0</v>
      </c>
      <c r="F98" s="581">
        <f>0/(Deno)</f>
        <v>0</v>
      </c>
      <c r="G98" s="64">
        <v>0</v>
      </c>
      <c r="H98" s="64">
        <v>0</v>
      </c>
      <c r="I98" s="64">
        <v>0</v>
      </c>
      <c r="J98" s="64">
        <v>797544.98</v>
      </c>
      <c r="K98" s="65">
        <f t="shared" si="13"/>
        <v>0</v>
      </c>
      <c r="L98" s="65">
        <f t="shared" si="14"/>
        <v>797544.98</v>
      </c>
      <c r="M98" s="84"/>
      <c r="N98" s="84"/>
      <c r="O98" s="65">
        <f t="shared" si="15"/>
        <v>0</v>
      </c>
      <c r="P98" s="65">
        <f t="shared" si="16"/>
        <v>7.9754497999999998</v>
      </c>
      <c r="Q98" s="1" t="s">
        <v>243</v>
      </c>
      <c r="R98" s="1">
        <v>6</v>
      </c>
      <c r="S98" s="1" t="s">
        <v>244</v>
      </c>
      <c r="T98" s="3" t="s">
        <v>247</v>
      </c>
    </row>
    <row r="99" spans="1:20" ht="15" customHeight="1">
      <c r="A99" s="16"/>
      <c r="B99" s="16"/>
      <c r="C99" s="16"/>
      <c r="D99" s="39" t="s">
        <v>253</v>
      </c>
      <c r="E99" s="581">
        <f t="shared" si="18"/>
        <v>0</v>
      </c>
      <c r="F99" s="581">
        <f>0/(Deno)</f>
        <v>0</v>
      </c>
      <c r="G99" s="64">
        <v>0</v>
      </c>
      <c r="H99" s="64">
        <v>0</v>
      </c>
      <c r="I99" s="64">
        <v>0</v>
      </c>
      <c r="J99" s="64">
        <v>0</v>
      </c>
      <c r="K99" s="65">
        <f t="shared" si="13"/>
        <v>0</v>
      </c>
      <c r="L99" s="65">
        <f t="shared" si="14"/>
        <v>0</v>
      </c>
      <c r="M99" s="84"/>
      <c r="N99" s="84"/>
      <c r="O99" s="65">
        <f t="shared" si="15"/>
        <v>0</v>
      </c>
      <c r="P99" s="65">
        <f t="shared" si="16"/>
        <v>0</v>
      </c>
      <c r="Q99" s="1" t="s">
        <v>243</v>
      </c>
      <c r="R99" s="1">
        <v>6</v>
      </c>
      <c r="S99" s="1" t="s">
        <v>244</v>
      </c>
      <c r="T99" s="3" t="s">
        <v>247</v>
      </c>
    </row>
    <row r="100" spans="1:20" ht="15" customHeight="1">
      <c r="A100" s="16"/>
      <c r="B100" s="16"/>
      <c r="C100" s="18" t="s">
        <v>254</v>
      </c>
      <c r="D100" s="12"/>
      <c r="E100" s="581">
        <f t="shared" si="18"/>
        <v>0</v>
      </c>
      <c r="F100" s="581">
        <f>0/(Deno)</f>
        <v>0</v>
      </c>
      <c r="G100" s="64"/>
      <c r="H100" s="64"/>
      <c r="I100" s="64"/>
      <c r="J100" s="64"/>
      <c r="K100" s="65">
        <f t="shared" si="13"/>
        <v>0</v>
      </c>
      <c r="L100" s="65">
        <f t="shared" si="14"/>
        <v>0</v>
      </c>
      <c r="M100" s="84"/>
      <c r="N100" s="84"/>
      <c r="O100" s="65">
        <f t="shared" si="15"/>
        <v>0</v>
      </c>
      <c r="P100" s="65">
        <f t="shared" si="16"/>
        <v>0</v>
      </c>
    </row>
    <row r="101" spans="1:20" ht="15" customHeight="1">
      <c r="A101" s="16"/>
      <c r="B101" s="16"/>
      <c r="C101" s="16"/>
      <c r="D101" s="13" t="s">
        <v>255</v>
      </c>
      <c r="E101" s="581">
        <f t="shared" si="18"/>
        <v>0</v>
      </c>
      <c r="F101" s="581">
        <f>39676/(Deno)</f>
        <v>0.39676</v>
      </c>
      <c r="G101" s="64">
        <v>0</v>
      </c>
      <c r="H101" s="64">
        <v>39676</v>
      </c>
      <c r="I101" s="64">
        <v>0</v>
      </c>
      <c r="J101" s="64">
        <v>98886</v>
      </c>
      <c r="K101" s="65">
        <f t="shared" si="13"/>
        <v>0</v>
      </c>
      <c r="L101" s="65">
        <f t="shared" si="14"/>
        <v>138562</v>
      </c>
      <c r="M101" s="84"/>
      <c r="N101" s="84"/>
      <c r="O101" s="65">
        <f t="shared" si="15"/>
        <v>0</v>
      </c>
      <c r="P101" s="65">
        <f t="shared" si="16"/>
        <v>1.3856200000000001</v>
      </c>
      <c r="Q101" s="1" t="s">
        <v>256</v>
      </c>
      <c r="R101" s="1">
        <v>6</v>
      </c>
      <c r="S101" s="1" t="s">
        <v>244</v>
      </c>
      <c r="T101" s="3" t="s">
        <v>257</v>
      </c>
    </row>
    <row r="102" spans="1:20" ht="15" customHeight="1">
      <c r="A102" s="16"/>
      <c r="B102" s="16"/>
      <c r="C102" s="16"/>
      <c r="D102" s="13" t="s">
        <v>258</v>
      </c>
      <c r="E102" s="581">
        <f t="shared" si="18"/>
        <v>0</v>
      </c>
      <c r="F102" s="581">
        <f>122401/(Deno)</f>
        <v>1.22401</v>
      </c>
      <c r="G102" s="64">
        <v>0</v>
      </c>
      <c r="H102" s="64">
        <v>122401</v>
      </c>
      <c r="I102" s="64">
        <v>85874</v>
      </c>
      <c r="J102" s="64">
        <v>0</v>
      </c>
      <c r="K102" s="65">
        <f t="shared" si="13"/>
        <v>0</v>
      </c>
      <c r="L102" s="65">
        <f t="shared" si="14"/>
        <v>36527</v>
      </c>
      <c r="M102" s="84"/>
      <c r="N102" s="84"/>
      <c r="O102" s="65">
        <f t="shared" si="15"/>
        <v>0</v>
      </c>
      <c r="P102" s="65">
        <f t="shared" si="16"/>
        <v>0.36526999999999998</v>
      </c>
      <c r="Q102" s="1" t="s">
        <v>256</v>
      </c>
      <c r="R102" s="1">
        <v>6</v>
      </c>
      <c r="S102" s="1" t="s">
        <v>244</v>
      </c>
      <c r="T102" s="3" t="s">
        <v>257</v>
      </c>
    </row>
    <row r="103" spans="1:20" ht="15" customHeight="1">
      <c r="A103" s="16"/>
      <c r="B103" s="16"/>
      <c r="C103" s="16"/>
      <c r="D103" s="13" t="s">
        <v>259</v>
      </c>
      <c r="E103" s="581">
        <f t="shared" si="18"/>
        <v>0</v>
      </c>
      <c r="F103" s="581">
        <f>66074/(Deno)</f>
        <v>0.66073999999999999</v>
      </c>
      <c r="G103" s="64">
        <v>0</v>
      </c>
      <c r="H103" s="64">
        <v>66074</v>
      </c>
      <c r="I103" s="64">
        <v>64746</v>
      </c>
      <c r="J103" s="64">
        <v>0</v>
      </c>
      <c r="K103" s="65">
        <f t="shared" si="13"/>
        <v>0</v>
      </c>
      <c r="L103" s="65">
        <f t="shared" si="14"/>
        <v>1328</v>
      </c>
      <c r="M103" s="84"/>
      <c r="N103" s="84"/>
      <c r="O103" s="65">
        <f t="shared" si="15"/>
        <v>0</v>
      </c>
      <c r="P103" s="65">
        <f t="shared" si="16"/>
        <v>1.328E-2</v>
      </c>
      <c r="Q103" s="1" t="s">
        <v>256</v>
      </c>
      <c r="R103" s="1">
        <v>6</v>
      </c>
      <c r="S103" s="1" t="s">
        <v>244</v>
      </c>
      <c r="T103" s="3" t="s">
        <v>257</v>
      </c>
    </row>
    <row r="104" spans="1:20" ht="15" customHeight="1">
      <c r="A104" s="16"/>
      <c r="B104" s="16"/>
      <c r="C104" s="16"/>
      <c r="D104" s="13" t="s">
        <v>260</v>
      </c>
      <c r="E104" s="581">
        <f t="shared" si="18"/>
        <v>0</v>
      </c>
      <c r="F104" s="581">
        <f>2041/(Deno)</f>
        <v>2.0410000000000001E-2</v>
      </c>
      <c r="G104" s="64">
        <v>0</v>
      </c>
      <c r="H104" s="64">
        <v>2041</v>
      </c>
      <c r="I104" s="64">
        <v>0</v>
      </c>
      <c r="J104" s="64">
        <v>0</v>
      </c>
      <c r="K104" s="65">
        <f t="shared" si="13"/>
        <v>0</v>
      </c>
      <c r="L104" s="65">
        <f t="shared" si="14"/>
        <v>2041</v>
      </c>
      <c r="M104" s="84"/>
      <c r="N104" s="84"/>
      <c r="O104" s="65">
        <f t="shared" si="15"/>
        <v>0</v>
      </c>
      <c r="P104" s="65">
        <f t="shared" si="16"/>
        <v>2.0410000000000001E-2</v>
      </c>
      <c r="Q104" s="1" t="s">
        <v>256</v>
      </c>
      <c r="R104" s="1">
        <v>6</v>
      </c>
      <c r="S104" s="1" t="s">
        <v>244</v>
      </c>
      <c r="T104" s="3" t="s">
        <v>257</v>
      </c>
    </row>
    <row r="105" spans="1:20" ht="15" customHeight="1">
      <c r="A105" s="16"/>
      <c r="B105" s="16"/>
      <c r="C105" s="16"/>
      <c r="D105" s="13" t="s">
        <v>261</v>
      </c>
      <c r="E105" s="581">
        <f t="shared" si="18"/>
        <v>0</v>
      </c>
      <c r="F105" s="581">
        <f>10639/(Deno)</f>
        <v>0.10639</v>
      </c>
      <c r="G105" s="64">
        <v>0</v>
      </c>
      <c r="H105" s="64">
        <v>10639</v>
      </c>
      <c r="I105" s="64">
        <v>0</v>
      </c>
      <c r="J105" s="64">
        <v>123495</v>
      </c>
      <c r="K105" s="65">
        <f t="shared" si="13"/>
        <v>0</v>
      </c>
      <c r="L105" s="65">
        <f t="shared" si="14"/>
        <v>134134</v>
      </c>
      <c r="M105" s="84"/>
      <c r="N105" s="84"/>
      <c r="O105" s="65">
        <f t="shared" si="15"/>
        <v>0</v>
      </c>
      <c r="P105" s="65">
        <f t="shared" si="16"/>
        <v>1.34134</v>
      </c>
      <c r="Q105" s="1" t="s">
        <v>256</v>
      </c>
      <c r="R105" s="1">
        <v>6</v>
      </c>
      <c r="S105" s="1" t="s">
        <v>244</v>
      </c>
      <c r="T105" s="3" t="s">
        <v>257</v>
      </c>
    </row>
    <row r="106" spans="1:20" ht="15" customHeight="1">
      <c r="A106" s="16"/>
      <c r="B106" s="16"/>
      <c r="C106" s="16"/>
      <c r="D106" s="13" t="s">
        <v>262</v>
      </c>
      <c r="E106" s="581">
        <f t="shared" si="18"/>
        <v>0</v>
      </c>
      <c r="F106" s="581">
        <f>24401.96/(Deno)</f>
        <v>0.2440196</v>
      </c>
      <c r="G106" s="64">
        <v>0</v>
      </c>
      <c r="H106" s="64">
        <v>24401.96000000001</v>
      </c>
      <c r="I106" s="64">
        <v>0</v>
      </c>
      <c r="J106" s="64">
        <v>19576</v>
      </c>
      <c r="K106" s="65">
        <f t="shared" si="13"/>
        <v>0</v>
      </c>
      <c r="L106" s="65">
        <f t="shared" si="14"/>
        <v>43977.960000000006</v>
      </c>
      <c r="M106" s="84"/>
      <c r="N106" s="84"/>
      <c r="O106" s="65">
        <f t="shared" si="15"/>
        <v>0</v>
      </c>
      <c r="P106" s="65">
        <f t="shared" si="16"/>
        <v>0.43977960000000005</v>
      </c>
      <c r="Q106" s="1" t="s">
        <v>256</v>
      </c>
      <c r="R106" s="1">
        <v>6</v>
      </c>
      <c r="S106" s="1" t="s">
        <v>244</v>
      </c>
      <c r="T106" s="3" t="s">
        <v>257</v>
      </c>
    </row>
    <row r="107" spans="1:20" ht="15" customHeight="1">
      <c r="A107" s="16"/>
      <c r="B107" s="16"/>
      <c r="C107" s="16"/>
      <c r="D107" s="13" t="s">
        <v>263</v>
      </c>
      <c r="E107" s="581">
        <f t="shared" si="18"/>
        <v>0</v>
      </c>
      <c r="F107" s="581">
        <f>0/(Deno)</f>
        <v>0</v>
      </c>
      <c r="G107" s="64">
        <v>0</v>
      </c>
      <c r="H107" s="64">
        <v>0</v>
      </c>
      <c r="I107" s="64">
        <v>0</v>
      </c>
      <c r="J107" s="64">
        <v>0</v>
      </c>
      <c r="K107" s="65">
        <f t="shared" si="13"/>
        <v>0</v>
      </c>
      <c r="L107" s="65">
        <f t="shared" si="14"/>
        <v>0</v>
      </c>
      <c r="M107" s="84"/>
      <c r="N107" s="84"/>
      <c r="O107" s="65">
        <f t="shared" si="15"/>
        <v>0</v>
      </c>
      <c r="P107" s="65">
        <f t="shared" si="16"/>
        <v>0</v>
      </c>
      <c r="Q107" s="1" t="s">
        <v>256</v>
      </c>
      <c r="R107" s="1">
        <v>6</v>
      </c>
      <c r="S107" s="1" t="s">
        <v>244</v>
      </c>
      <c r="T107" s="3" t="s">
        <v>257</v>
      </c>
    </row>
    <row r="108" spans="1:20" ht="15" customHeight="1">
      <c r="A108" s="16"/>
      <c r="B108" s="16"/>
      <c r="C108" s="16"/>
      <c r="D108" s="13" t="s">
        <v>264</v>
      </c>
      <c r="E108" s="581">
        <f t="shared" si="18"/>
        <v>0</v>
      </c>
      <c r="F108" s="581">
        <f>14585/(Deno)</f>
        <v>0.14585000000000001</v>
      </c>
      <c r="G108" s="64">
        <v>0</v>
      </c>
      <c r="H108" s="64">
        <v>14585</v>
      </c>
      <c r="I108" s="64">
        <v>1765</v>
      </c>
      <c r="J108" s="64">
        <v>0</v>
      </c>
      <c r="K108" s="65">
        <f t="shared" si="13"/>
        <v>0</v>
      </c>
      <c r="L108" s="65">
        <f t="shared" si="14"/>
        <v>12820</v>
      </c>
      <c r="M108" s="84"/>
      <c r="N108" s="84"/>
      <c r="O108" s="65">
        <f t="shared" si="15"/>
        <v>0</v>
      </c>
      <c r="P108" s="65">
        <f t="shared" si="16"/>
        <v>0.12820000000000001</v>
      </c>
      <c r="Q108" s="1" t="s">
        <v>256</v>
      </c>
      <c r="R108" s="1">
        <v>6</v>
      </c>
      <c r="S108" s="1" t="s">
        <v>244</v>
      </c>
      <c r="T108" s="3" t="s">
        <v>257</v>
      </c>
    </row>
    <row r="109" spans="1:20" ht="15" customHeight="1">
      <c r="A109" s="16"/>
      <c r="B109" s="16"/>
      <c r="C109" s="16"/>
      <c r="D109" s="13" t="s">
        <v>265</v>
      </c>
      <c r="E109" s="581">
        <f t="shared" si="18"/>
        <v>0</v>
      </c>
      <c r="F109" s="581">
        <f>35025.0000000001/(Deno)</f>
        <v>0.350250000000001</v>
      </c>
      <c r="G109" s="64">
        <v>0</v>
      </c>
      <c r="H109" s="64">
        <v>35025.000000000116</v>
      </c>
      <c r="I109" s="64">
        <v>0</v>
      </c>
      <c r="J109" s="64">
        <f>5317-408.63</f>
        <v>4908.37</v>
      </c>
      <c r="K109" s="65">
        <f t="shared" si="13"/>
        <v>0</v>
      </c>
      <c r="L109" s="65">
        <f t="shared" si="14"/>
        <v>39933.370000000119</v>
      </c>
      <c r="M109" s="84"/>
      <c r="N109" s="84"/>
      <c r="O109" s="65">
        <f t="shared" si="15"/>
        <v>0</v>
      </c>
      <c r="P109" s="65">
        <f t="shared" si="16"/>
        <v>0.39933370000000118</v>
      </c>
      <c r="Q109" s="1" t="s">
        <v>266</v>
      </c>
      <c r="R109" s="1">
        <v>6</v>
      </c>
      <c r="S109" s="1" t="s">
        <v>244</v>
      </c>
      <c r="T109" s="3" t="s">
        <v>257</v>
      </c>
    </row>
    <row r="110" spans="1:20" ht="15" customHeight="1">
      <c r="A110" s="16"/>
      <c r="B110" s="16"/>
      <c r="C110" s="16"/>
      <c r="D110" s="13" t="s">
        <v>267</v>
      </c>
      <c r="E110" s="581">
        <f t="shared" si="18"/>
        <v>0</v>
      </c>
      <c r="F110" s="581">
        <f>89539/(Deno)</f>
        <v>0.89539000000000002</v>
      </c>
      <c r="G110" s="64">
        <v>0</v>
      </c>
      <c r="H110" s="64">
        <v>89539</v>
      </c>
      <c r="I110" s="64">
        <v>0</v>
      </c>
      <c r="J110" s="64">
        <v>49296</v>
      </c>
      <c r="K110" s="65">
        <f t="shared" si="13"/>
        <v>0</v>
      </c>
      <c r="L110" s="65">
        <f t="shared" si="14"/>
        <v>138835</v>
      </c>
      <c r="M110" s="84"/>
      <c r="N110" s="84"/>
      <c r="O110" s="65">
        <f t="shared" si="15"/>
        <v>0</v>
      </c>
      <c r="P110" s="65">
        <f t="shared" si="16"/>
        <v>1.38835</v>
      </c>
      <c r="Q110" s="1" t="s">
        <v>268</v>
      </c>
      <c r="R110" s="1">
        <v>6</v>
      </c>
      <c r="S110" s="1" t="s">
        <v>244</v>
      </c>
      <c r="T110" s="3" t="s">
        <v>257</v>
      </c>
    </row>
    <row r="111" spans="1:20" ht="15" customHeight="1">
      <c r="A111" s="16"/>
      <c r="B111" s="16"/>
      <c r="C111" s="16"/>
      <c r="D111" s="13" t="s">
        <v>269</v>
      </c>
      <c r="E111" s="581">
        <f t="shared" si="18"/>
        <v>0</v>
      </c>
      <c r="F111" s="581">
        <f>98948.85/(Deno)</f>
        <v>0.9894885000000001</v>
      </c>
      <c r="G111" s="64">
        <v>0</v>
      </c>
      <c r="H111" s="64">
        <v>98948.85</v>
      </c>
      <c r="I111" s="64">
        <v>0</v>
      </c>
      <c r="J111" s="64">
        <v>0</v>
      </c>
      <c r="K111" s="65">
        <f t="shared" si="13"/>
        <v>0</v>
      </c>
      <c r="L111" s="65">
        <f t="shared" si="14"/>
        <v>98948.85</v>
      </c>
      <c r="M111" s="84"/>
      <c r="N111" s="84"/>
      <c r="O111" s="65">
        <f t="shared" si="15"/>
        <v>0</v>
      </c>
      <c r="P111" s="65">
        <f t="shared" si="16"/>
        <v>0.9894885000000001</v>
      </c>
      <c r="Q111" s="1" t="s">
        <v>270</v>
      </c>
      <c r="R111" s="1">
        <v>6</v>
      </c>
      <c r="S111" s="1" t="s">
        <v>244</v>
      </c>
      <c r="T111" s="3" t="s">
        <v>257</v>
      </c>
    </row>
    <row r="112" spans="1:20" ht="15" customHeight="1">
      <c r="A112" s="16"/>
      <c r="B112" s="16"/>
      <c r="C112" s="16"/>
      <c r="D112" s="13" t="s">
        <v>271</v>
      </c>
      <c r="E112" s="581">
        <f t="shared" si="18"/>
        <v>0</v>
      </c>
      <c r="F112" s="581">
        <f>0/(Deno)</f>
        <v>0</v>
      </c>
      <c r="G112" s="64">
        <v>0</v>
      </c>
      <c r="H112" s="64">
        <v>0</v>
      </c>
      <c r="I112" s="64">
        <v>0</v>
      </c>
      <c r="J112" s="64">
        <v>0</v>
      </c>
      <c r="K112" s="65">
        <f t="shared" si="13"/>
        <v>0</v>
      </c>
      <c r="L112" s="65">
        <f t="shared" si="14"/>
        <v>0</v>
      </c>
      <c r="M112" s="84"/>
      <c r="N112" s="84"/>
      <c r="O112" s="65">
        <f t="shared" si="15"/>
        <v>0</v>
      </c>
      <c r="P112" s="65">
        <f t="shared" si="16"/>
        <v>0</v>
      </c>
      <c r="Q112" s="1" t="s">
        <v>270</v>
      </c>
      <c r="R112" s="1">
        <v>6</v>
      </c>
      <c r="S112" s="1" t="s">
        <v>244</v>
      </c>
      <c r="T112" s="3" t="s">
        <v>257</v>
      </c>
    </row>
    <row r="113" spans="1:21" ht="15" customHeight="1">
      <c r="A113" s="16"/>
      <c r="B113" s="16"/>
      <c r="C113" s="16"/>
      <c r="D113" s="13" t="s">
        <v>272</v>
      </c>
      <c r="E113" s="581">
        <f t="shared" si="18"/>
        <v>0</v>
      </c>
      <c r="F113" s="581">
        <f>101598/(Deno)</f>
        <v>1.0159800000000001</v>
      </c>
      <c r="G113" s="64">
        <v>0</v>
      </c>
      <c r="H113" s="64">
        <v>101598</v>
      </c>
      <c r="I113" s="64">
        <v>0</v>
      </c>
      <c r="J113" s="64">
        <v>0</v>
      </c>
      <c r="K113" s="65">
        <f t="shared" si="13"/>
        <v>0</v>
      </c>
      <c r="L113" s="65">
        <f t="shared" si="14"/>
        <v>101598</v>
      </c>
      <c r="M113" s="84"/>
      <c r="N113" s="84"/>
      <c r="O113" s="65">
        <f t="shared" si="15"/>
        <v>0</v>
      </c>
      <c r="P113" s="65">
        <f t="shared" si="16"/>
        <v>1.0159800000000001</v>
      </c>
      <c r="Q113" s="1" t="s">
        <v>273</v>
      </c>
      <c r="R113" s="1">
        <v>6</v>
      </c>
      <c r="S113" s="1" t="s">
        <v>244</v>
      </c>
      <c r="T113" s="3" t="s">
        <v>257</v>
      </c>
    </row>
    <row r="114" spans="1:21" ht="15" customHeight="1">
      <c r="A114" s="16"/>
      <c r="B114" s="16"/>
      <c r="C114" s="16"/>
      <c r="D114" s="13" t="s">
        <v>274</v>
      </c>
      <c r="E114" s="581">
        <f t="shared" si="18"/>
        <v>0</v>
      </c>
      <c r="F114" s="581">
        <f>0/(Deno)</f>
        <v>0</v>
      </c>
      <c r="G114" s="64">
        <v>0</v>
      </c>
      <c r="H114" s="64">
        <v>0</v>
      </c>
      <c r="I114" s="64">
        <v>0</v>
      </c>
      <c r="J114" s="64">
        <v>9636012.9500000011</v>
      </c>
      <c r="K114" s="65">
        <f t="shared" si="13"/>
        <v>0</v>
      </c>
      <c r="L114" s="65">
        <f t="shared" si="14"/>
        <v>9636012.9500000011</v>
      </c>
      <c r="M114" s="84"/>
      <c r="N114" s="84"/>
      <c r="O114" s="65">
        <f t="shared" si="15"/>
        <v>0</v>
      </c>
      <c r="P114" s="65">
        <f t="shared" si="16"/>
        <v>96.360129500000014</v>
      </c>
      <c r="Q114" s="1" t="s">
        <v>275</v>
      </c>
      <c r="R114" s="1">
        <v>13</v>
      </c>
      <c r="S114" s="1" t="s">
        <v>168</v>
      </c>
      <c r="T114" s="3" t="s">
        <v>190</v>
      </c>
    </row>
    <row r="115" spans="1:21" ht="15" customHeight="1">
      <c r="A115" s="16"/>
      <c r="B115" s="16"/>
      <c r="C115" s="16"/>
      <c r="D115" s="13" t="s">
        <v>276</v>
      </c>
      <c r="E115" s="581">
        <f t="shared" si="18"/>
        <v>0</v>
      </c>
      <c r="F115" s="581">
        <f>0/(Deno)</f>
        <v>0</v>
      </c>
      <c r="G115" s="64">
        <v>0</v>
      </c>
      <c r="H115" s="64">
        <v>0</v>
      </c>
      <c r="I115" s="64">
        <v>0</v>
      </c>
      <c r="J115" s="64">
        <v>9716423.9500000011</v>
      </c>
      <c r="K115" s="65">
        <f t="shared" si="13"/>
        <v>0</v>
      </c>
      <c r="L115" s="65">
        <f t="shared" si="14"/>
        <v>9716423.9500000011</v>
      </c>
      <c r="M115" s="84"/>
      <c r="N115" s="84"/>
      <c r="O115" s="65">
        <f t="shared" si="15"/>
        <v>0</v>
      </c>
      <c r="P115" s="65">
        <f t="shared" si="16"/>
        <v>97.164239500000008</v>
      </c>
      <c r="Q115" s="1" t="s">
        <v>275</v>
      </c>
      <c r="R115" s="1">
        <v>13</v>
      </c>
      <c r="S115" s="1" t="s">
        <v>168</v>
      </c>
      <c r="T115" s="3" t="s">
        <v>190</v>
      </c>
    </row>
    <row r="116" spans="1:21" ht="15" customHeight="1">
      <c r="A116" s="16"/>
      <c r="B116" s="16"/>
      <c r="C116" s="16"/>
      <c r="D116" s="13" t="s">
        <v>277</v>
      </c>
      <c r="E116" s="581">
        <f t="shared" si="18"/>
        <v>0</v>
      </c>
      <c r="F116" s="581">
        <f>0/(Deno)</f>
        <v>0</v>
      </c>
      <c r="G116" s="64">
        <v>0</v>
      </c>
      <c r="H116" s="64">
        <v>0</v>
      </c>
      <c r="I116" s="64">
        <v>0</v>
      </c>
      <c r="J116" s="64">
        <v>7683802.6899999902</v>
      </c>
      <c r="K116" s="65">
        <f t="shared" si="13"/>
        <v>0</v>
      </c>
      <c r="L116" s="65">
        <f t="shared" si="14"/>
        <v>7683802.6899999902</v>
      </c>
      <c r="M116" s="84"/>
      <c r="N116" s="84"/>
      <c r="O116" s="65">
        <f t="shared" si="15"/>
        <v>0</v>
      </c>
      <c r="P116" s="65">
        <f t="shared" si="16"/>
        <v>76.838026899999903</v>
      </c>
      <c r="Q116" s="1" t="s">
        <v>275</v>
      </c>
      <c r="R116" s="1">
        <v>13</v>
      </c>
      <c r="S116" s="1" t="s">
        <v>168</v>
      </c>
      <c r="T116" s="3" t="s">
        <v>190</v>
      </c>
    </row>
    <row r="117" spans="1:21" ht="15" customHeight="1">
      <c r="A117" s="16"/>
      <c r="B117" s="16"/>
      <c r="C117" s="16"/>
      <c r="D117" s="13" t="s">
        <v>278</v>
      </c>
      <c r="E117" s="581">
        <f t="shared" si="18"/>
        <v>0</v>
      </c>
      <c r="F117" s="581">
        <f>0/(Deno)</f>
        <v>0</v>
      </c>
      <c r="G117" s="64">
        <v>0</v>
      </c>
      <c r="H117" s="64">
        <v>0</v>
      </c>
      <c r="I117" s="64">
        <v>0</v>
      </c>
      <c r="J117" s="64">
        <v>0</v>
      </c>
      <c r="K117" s="65">
        <f t="shared" si="13"/>
        <v>0</v>
      </c>
      <c r="L117" s="65">
        <f t="shared" si="14"/>
        <v>0</v>
      </c>
      <c r="M117" s="84"/>
      <c r="N117" s="84"/>
      <c r="O117" s="65">
        <f t="shared" si="15"/>
        <v>0</v>
      </c>
      <c r="P117" s="65">
        <f t="shared" si="16"/>
        <v>0</v>
      </c>
      <c r="Q117" s="1" t="s">
        <v>279</v>
      </c>
      <c r="R117" s="1">
        <v>6</v>
      </c>
      <c r="S117" s="1" t="s">
        <v>244</v>
      </c>
      <c r="T117" s="3" t="s">
        <v>257</v>
      </c>
    </row>
    <row r="118" spans="1:21" ht="15" customHeight="1">
      <c r="A118" s="16"/>
      <c r="B118" s="16"/>
      <c r="C118" s="16"/>
      <c r="D118" s="13" t="s">
        <v>280</v>
      </c>
      <c r="E118" s="581">
        <f t="shared" si="18"/>
        <v>0</v>
      </c>
      <c r="F118" s="581">
        <f>5321.11/(Deno)</f>
        <v>5.3211099999999997E-2</v>
      </c>
      <c r="G118" s="64">
        <v>0</v>
      </c>
      <c r="H118" s="64">
        <v>5321.11</v>
      </c>
      <c r="I118" s="64">
        <v>0</v>
      </c>
      <c r="J118" s="64">
        <v>0</v>
      </c>
      <c r="K118" s="65">
        <f t="shared" si="13"/>
        <v>0</v>
      </c>
      <c r="L118" s="65">
        <f t="shared" si="14"/>
        <v>5321.11</v>
      </c>
      <c r="M118" s="84"/>
      <c r="N118" s="84"/>
      <c r="O118" s="65">
        <f t="shared" si="15"/>
        <v>0</v>
      </c>
      <c r="P118" s="65">
        <f t="shared" si="16"/>
        <v>5.3211099999999997E-2</v>
      </c>
      <c r="Q118" s="1" t="s">
        <v>270</v>
      </c>
      <c r="R118" s="1">
        <v>6</v>
      </c>
      <c r="S118" s="1" t="s">
        <v>244</v>
      </c>
      <c r="T118" s="3" t="s">
        <v>257</v>
      </c>
    </row>
    <row r="119" spans="1:21" ht="15" customHeight="1">
      <c r="A119" s="16"/>
      <c r="B119" s="16"/>
      <c r="C119" s="16"/>
      <c r="D119" s="13" t="s">
        <v>281</v>
      </c>
      <c r="E119" s="581">
        <f t="shared" si="18"/>
        <v>0</v>
      </c>
      <c r="F119" s="581">
        <f>5321.11/(Deno)</f>
        <v>5.3211099999999997E-2</v>
      </c>
      <c r="G119" s="64">
        <v>0</v>
      </c>
      <c r="H119" s="64">
        <v>5321.11</v>
      </c>
      <c r="I119" s="64">
        <v>0</v>
      </c>
      <c r="J119" s="64">
        <v>0</v>
      </c>
      <c r="K119" s="65">
        <f t="shared" si="13"/>
        <v>0</v>
      </c>
      <c r="L119" s="65">
        <f t="shared" si="14"/>
        <v>5321.11</v>
      </c>
      <c r="M119" s="84"/>
      <c r="N119" s="84"/>
      <c r="O119" s="65">
        <f t="shared" si="15"/>
        <v>0</v>
      </c>
      <c r="P119" s="65">
        <f t="shared" si="16"/>
        <v>5.3211099999999997E-2</v>
      </c>
      <c r="Q119" s="1" t="s">
        <v>273</v>
      </c>
      <c r="R119" s="1">
        <v>6</v>
      </c>
      <c r="S119" s="1" t="s">
        <v>244</v>
      </c>
      <c r="T119" s="3" t="s">
        <v>257</v>
      </c>
    </row>
    <row r="120" spans="1:21" ht="15" customHeight="1">
      <c r="A120" s="16"/>
      <c r="B120" s="16"/>
      <c r="C120" s="16"/>
      <c r="D120" s="13" t="s">
        <v>282</v>
      </c>
      <c r="E120" s="581">
        <f t="shared" si="18"/>
        <v>0</v>
      </c>
      <c r="F120" s="581">
        <f t="shared" ref="F120:F127" si="19">0/(Deno)</f>
        <v>0</v>
      </c>
      <c r="G120" s="64">
        <v>0</v>
      </c>
      <c r="H120" s="64">
        <v>0</v>
      </c>
      <c r="I120" s="64">
        <v>0</v>
      </c>
      <c r="J120" s="64">
        <v>0</v>
      </c>
      <c r="K120" s="65">
        <f t="shared" si="13"/>
        <v>0</v>
      </c>
      <c r="L120" s="65">
        <f t="shared" si="14"/>
        <v>0</v>
      </c>
      <c r="M120" s="84"/>
      <c r="N120" s="84"/>
      <c r="O120" s="65">
        <f t="shared" si="15"/>
        <v>0</v>
      </c>
      <c r="P120" s="65">
        <f t="shared" si="16"/>
        <v>0</v>
      </c>
      <c r="Q120" s="1" t="s">
        <v>279</v>
      </c>
      <c r="R120" s="1">
        <v>6</v>
      </c>
      <c r="S120" s="1" t="s">
        <v>244</v>
      </c>
      <c r="T120" s="3" t="s">
        <v>257</v>
      </c>
    </row>
    <row r="121" spans="1:21" ht="15" customHeight="1">
      <c r="A121" s="16"/>
      <c r="B121" s="16"/>
      <c r="C121" s="16"/>
      <c r="D121" s="13" t="s">
        <v>283</v>
      </c>
      <c r="E121" s="581">
        <f t="shared" si="18"/>
        <v>0</v>
      </c>
      <c r="F121" s="581">
        <f t="shared" si="19"/>
        <v>0</v>
      </c>
      <c r="G121" s="64">
        <v>0</v>
      </c>
      <c r="H121" s="64">
        <v>0</v>
      </c>
      <c r="I121" s="64">
        <v>0</v>
      </c>
      <c r="J121" s="64">
        <v>0</v>
      </c>
      <c r="K121" s="65">
        <f t="shared" si="13"/>
        <v>0</v>
      </c>
      <c r="L121" s="65">
        <f t="shared" si="14"/>
        <v>0</v>
      </c>
      <c r="M121" s="84"/>
      <c r="N121" s="84"/>
      <c r="O121" s="65">
        <f t="shared" si="15"/>
        <v>0</v>
      </c>
      <c r="P121" s="65">
        <f t="shared" si="16"/>
        <v>0</v>
      </c>
      <c r="Q121" s="1" t="s">
        <v>279</v>
      </c>
      <c r="R121" s="1">
        <v>6</v>
      </c>
      <c r="S121" s="1" t="s">
        <v>244</v>
      </c>
      <c r="T121" s="3" t="s">
        <v>257</v>
      </c>
    </row>
    <row r="122" spans="1:21" ht="15" customHeight="1">
      <c r="A122" s="16"/>
      <c r="B122" s="16"/>
      <c r="C122" s="16"/>
      <c r="D122" s="13" t="s">
        <v>284</v>
      </c>
      <c r="E122" s="581">
        <f t="shared" si="18"/>
        <v>0</v>
      </c>
      <c r="F122" s="581">
        <f t="shared" si="19"/>
        <v>0</v>
      </c>
      <c r="G122" s="64">
        <v>0</v>
      </c>
      <c r="H122" s="64">
        <v>0</v>
      </c>
      <c r="I122" s="64">
        <v>0</v>
      </c>
      <c r="J122" s="64">
        <v>0</v>
      </c>
      <c r="K122" s="65">
        <f t="shared" si="13"/>
        <v>0</v>
      </c>
      <c r="L122" s="65">
        <f t="shared" si="14"/>
        <v>0</v>
      </c>
      <c r="M122" s="84"/>
      <c r="N122" s="84"/>
      <c r="O122" s="65">
        <f t="shared" si="15"/>
        <v>0</v>
      </c>
      <c r="P122" s="65">
        <f t="shared" si="16"/>
        <v>0</v>
      </c>
      <c r="Q122" s="1" t="s">
        <v>279</v>
      </c>
      <c r="R122" s="1">
        <v>6</v>
      </c>
      <c r="S122" s="1" t="s">
        <v>244</v>
      </c>
      <c r="T122" s="3" t="s">
        <v>257</v>
      </c>
    </row>
    <row r="123" spans="1:21" ht="15" customHeight="1">
      <c r="A123" s="16"/>
      <c r="B123" s="16"/>
      <c r="C123" s="16"/>
      <c r="D123" s="13" t="s">
        <v>285</v>
      </c>
      <c r="E123" s="581">
        <f>128252.85/(Deno)</f>
        <v>1.2825285</v>
      </c>
      <c r="F123" s="581">
        <f t="shared" si="19"/>
        <v>0</v>
      </c>
      <c r="G123" s="64">
        <v>128252.85</v>
      </c>
      <c r="H123" s="64">
        <v>0</v>
      </c>
      <c r="I123" s="64">
        <v>0</v>
      </c>
      <c r="J123" s="64">
        <v>0</v>
      </c>
      <c r="K123" s="65">
        <f t="shared" si="13"/>
        <v>128252.85</v>
      </c>
      <c r="L123" s="65">
        <f t="shared" si="14"/>
        <v>0</v>
      </c>
      <c r="M123" s="84"/>
      <c r="N123" s="84"/>
      <c r="O123" s="65">
        <f t="shared" si="15"/>
        <v>1.2825285</v>
      </c>
      <c r="P123" s="65">
        <f t="shared" si="16"/>
        <v>0</v>
      </c>
      <c r="Q123" s="1" t="s">
        <v>270</v>
      </c>
      <c r="R123" s="1">
        <v>6</v>
      </c>
      <c r="S123" s="1" t="s">
        <v>244</v>
      </c>
      <c r="T123" s="3" t="s">
        <v>257</v>
      </c>
    </row>
    <row r="124" spans="1:21" ht="15" customHeight="1">
      <c r="A124" s="16"/>
      <c r="B124" s="16"/>
      <c r="C124" s="16"/>
      <c r="D124" s="13" t="s">
        <v>286</v>
      </c>
      <c r="E124" s="581">
        <f>29544.38/(Deno)</f>
        <v>0.29544380000000003</v>
      </c>
      <c r="F124" s="581">
        <f t="shared" si="19"/>
        <v>0</v>
      </c>
      <c r="G124" s="64">
        <v>29544.38</v>
      </c>
      <c r="H124" s="64">
        <v>0</v>
      </c>
      <c r="I124" s="64">
        <v>0</v>
      </c>
      <c r="J124" s="64">
        <v>0</v>
      </c>
      <c r="K124" s="65">
        <f t="shared" si="13"/>
        <v>29544.38</v>
      </c>
      <c r="L124" s="65">
        <f t="shared" si="14"/>
        <v>0</v>
      </c>
      <c r="M124" s="84"/>
      <c r="N124" s="84"/>
      <c r="O124" s="65">
        <f t="shared" si="15"/>
        <v>0.29544380000000003</v>
      </c>
      <c r="P124" s="65">
        <f t="shared" si="16"/>
        <v>0</v>
      </c>
      <c r="Q124" s="1" t="s">
        <v>270</v>
      </c>
      <c r="R124" s="1">
        <v>6</v>
      </c>
      <c r="S124" s="1" t="s">
        <v>244</v>
      </c>
      <c r="T124" s="3" t="s">
        <v>257</v>
      </c>
    </row>
    <row r="125" spans="1:21" ht="15" customHeight="1">
      <c r="A125" s="16"/>
      <c r="B125" s="16"/>
      <c r="C125" s="16"/>
      <c r="D125" s="13" t="s">
        <v>287</v>
      </c>
      <c r="E125" s="581">
        <f>14291.25/(Deno)</f>
        <v>0.1429125</v>
      </c>
      <c r="F125" s="581">
        <f t="shared" si="19"/>
        <v>0</v>
      </c>
      <c r="G125" s="64">
        <v>14291.25</v>
      </c>
      <c r="H125" s="64">
        <v>0</v>
      </c>
      <c r="I125" s="64">
        <v>0</v>
      </c>
      <c r="J125" s="64">
        <v>0</v>
      </c>
      <c r="K125" s="65">
        <f t="shared" si="13"/>
        <v>14291.25</v>
      </c>
      <c r="L125" s="65">
        <f t="shared" si="14"/>
        <v>0</v>
      </c>
      <c r="M125" s="84"/>
      <c r="N125" s="84"/>
      <c r="O125" s="65">
        <f t="shared" si="15"/>
        <v>0.1429125</v>
      </c>
      <c r="P125" s="65">
        <f t="shared" si="16"/>
        <v>0</v>
      </c>
      <c r="Q125" s="1" t="s">
        <v>273</v>
      </c>
      <c r="R125" s="1">
        <v>6</v>
      </c>
      <c r="S125" s="1" t="s">
        <v>244</v>
      </c>
      <c r="T125" s="3" t="s">
        <v>257</v>
      </c>
    </row>
    <row r="126" spans="1:21" ht="15" customHeight="1">
      <c r="A126" s="16"/>
      <c r="B126" s="16"/>
      <c r="C126" s="16"/>
      <c r="D126" s="13" t="s">
        <v>288</v>
      </c>
      <c r="E126" s="581">
        <f>6579.09/(Deno)</f>
        <v>6.5790899999999999E-2</v>
      </c>
      <c r="F126" s="581">
        <f t="shared" si="19"/>
        <v>0</v>
      </c>
      <c r="G126" s="64">
        <v>6579.09</v>
      </c>
      <c r="H126" s="64">
        <v>0</v>
      </c>
      <c r="I126" s="64">
        <v>0</v>
      </c>
      <c r="J126" s="64">
        <v>0</v>
      </c>
      <c r="K126" s="65">
        <f t="shared" si="13"/>
        <v>6579.09</v>
      </c>
      <c r="L126" s="65">
        <f t="shared" si="14"/>
        <v>0</v>
      </c>
      <c r="M126" s="84"/>
      <c r="N126" s="84"/>
      <c r="O126" s="65">
        <f t="shared" si="15"/>
        <v>6.5790899999999999E-2</v>
      </c>
      <c r="P126" s="65">
        <f t="shared" si="16"/>
        <v>0</v>
      </c>
      <c r="Q126" s="1" t="s">
        <v>273</v>
      </c>
      <c r="R126" s="1">
        <v>6</v>
      </c>
      <c r="S126" s="1" t="s">
        <v>244</v>
      </c>
      <c r="T126" s="3" t="s">
        <v>257</v>
      </c>
    </row>
    <row r="127" spans="1:21" ht="15" customHeight="1">
      <c r="A127" s="16"/>
      <c r="B127" s="16"/>
      <c r="C127" s="16"/>
      <c r="D127" s="13" t="s">
        <v>289</v>
      </c>
      <c r="E127" s="581">
        <f>149120/(Deno)</f>
        <v>1.4912000000000001</v>
      </c>
      <c r="F127" s="581">
        <f t="shared" si="19"/>
        <v>0</v>
      </c>
      <c r="G127" s="64">
        <v>149120</v>
      </c>
      <c r="H127" s="64">
        <v>0</v>
      </c>
      <c r="I127" s="64">
        <v>0</v>
      </c>
      <c r="J127" s="64">
        <v>0</v>
      </c>
      <c r="K127" s="65">
        <f t="shared" si="13"/>
        <v>149120</v>
      </c>
      <c r="L127" s="65">
        <f t="shared" si="14"/>
        <v>0</v>
      </c>
      <c r="M127" s="84"/>
      <c r="N127" s="84"/>
      <c r="O127" s="65">
        <f t="shared" si="15"/>
        <v>1.4912000000000001</v>
      </c>
      <c r="P127" s="65">
        <f t="shared" si="16"/>
        <v>0</v>
      </c>
      <c r="Q127" s="1" t="s">
        <v>290</v>
      </c>
      <c r="R127" s="1">
        <v>6</v>
      </c>
      <c r="S127" s="1" t="s">
        <v>244</v>
      </c>
      <c r="T127" s="3" t="s">
        <v>257</v>
      </c>
      <c r="U127" s="3" t="s">
        <v>291</v>
      </c>
    </row>
    <row r="128" spans="1:21" ht="15" customHeight="1">
      <c r="A128" s="16"/>
      <c r="B128" s="16"/>
      <c r="C128" s="16"/>
      <c r="D128" s="39" t="s">
        <v>292</v>
      </c>
      <c r="E128" s="581">
        <f t="shared" ref="E128:E159" si="20">0/(Deno)</f>
        <v>0</v>
      </c>
      <c r="F128" s="581">
        <f>1693730/(Deno)</f>
        <v>16.9373</v>
      </c>
      <c r="G128" s="64">
        <v>0</v>
      </c>
      <c r="H128" s="64">
        <v>1693730</v>
      </c>
      <c r="I128" s="64">
        <v>0</v>
      </c>
      <c r="J128" s="64">
        <v>2308670</v>
      </c>
      <c r="K128" s="65">
        <f t="shared" si="13"/>
        <v>0</v>
      </c>
      <c r="L128" s="65">
        <f t="shared" si="14"/>
        <v>4002400</v>
      </c>
      <c r="M128" s="84"/>
      <c r="N128" s="84"/>
      <c r="O128" s="65">
        <f t="shared" si="15"/>
        <v>0</v>
      </c>
      <c r="P128" s="65">
        <f t="shared" si="16"/>
        <v>40.024000000000001</v>
      </c>
      <c r="Q128" s="1" t="s">
        <v>290</v>
      </c>
      <c r="R128" s="1">
        <v>6</v>
      </c>
      <c r="S128" s="1" t="s">
        <v>244</v>
      </c>
      <c r="T128" s="3" t="s">
        <v>257</v>
      </c>
    </row>
    <row r="129" spans="1:21" ht="15" customHeight="1">
      <c r="A129" s="16"/>
      <c r="B129" s="16"/>
      <c r="C129" s="16"/>
      <c r="D129" s="39" t="s">
        <v>293</v>
      </c>
      <c r="E129" s="581">
        <f t="shared" si="20"/>
        <v>0</v>
      </c>
      <c r="F129" s="581">
        <f>24/(Deno)</f>
        <v>2.4000000000000001E-4</v>
      </c>
      <c r="G129" s="64">
        <v>0</v>
      </c>
      <c r="H129" s="64">
        <v>24</v>
      </c>
      <c r="I129" s="64">
        <v>26</v>
      </c>
      <c r="J129" s="64">
        <v>0</v>
      </c>
      <c r="K129" s="65">
        <f t="shared" si="13"/>
        <v>2</v>
      </c>
      <c r="L129" s="65">
        <f t="shared" si="14"/>
        <v>0</v>
      </c>
      <c r="M129" s="84"/>
      <c r="N129" s="84"/>
      <c r="O129" s="65">
        <f t="shared" si="15"/>
        <v>2.0000000000000002E-5</v>
      </c>
      <c r="P129" s="65">
        <f t="shared" si="16"/>
        <v>0</v>
      </c>
      <c r="Q129" s="1" t="s">
        <v>290</v>
      </c>
      <c r="R129" s="1">
        <v>6</v>
      </c>
      <c r="S129" s="1" t="s">
        <v>244</v>
      </c>
      <c r="T129" s="3" t="s">
        <v>257</v>
      </c>
    </row>
    <row r="130" spans="1:21" ht="15" customHeight="1">
      <c r="A130" s="16"/>
      <c r="B130" s="16"/>
      <c r="C130" s="18" t="s">
        <v>294</v>
      </c>
      <c r="D130" s="12"/>
      <c r="E130" s="581">
        <f t="shared" si="20"/>
        <v>0</v>
      </c>
      <c r="F130" s="581">
        <f t="shared" ref="F130:F138" si="21">0/(Deno)</f>
        <v>0</v>
      </c>
      <c r="G130" s="64"/>
      <c r="H130" s="64"/>
      <c r="I130" s="64"/>
      <c r="J130" s="64"/>
      <c r="K130" s="65">
        <f t="shared" si="13"/>
        <v>0</v>
      </c>
      <c r="L130" s="65">
        <f t="shared" si="14"/>
        <v>0</v>
      </c>
      <c r="M130" s="84"/>
      <c r="N130" s="84"/>
      <c r="O130" s="65">
        <f t="shared" si="15"/>
        <v>0</v>
      </c>
      <c r="P130" s="65">
        <f t="shared" si="16"/>
        <v>0</v>
      </c>
    </row>
    <row r="131" spans="1:21" ht="15" customHeight="1">
      <c r="A131" s="16"/>
      <c r="B131" s="16"/>
      <c r="C131" s="16"/>
      <c r="D131" s="13" t="s">
        <v>295</v>
      </c>
      <c r="E131" s="581">
        <f t="shared" si="20"/>
        <v>0</v>
      </c>
      <c r="F131" s="581">
        <f t="shared" si="21"/>
        <v>0</v>
      </c>
      <c r="G131" s="64">
        <v>0</v>
      </c>
      <c r="H131" s="64">
        <v>0</v>
      </c>
      <c r="I131" s="64">
        <v>0</v>
      </c>
      <c r="J131" s="64">
        <v>0</v>
      </c>
      <c r="K131" s="65">
        <f t="shared" si="13"/>
        <v>0</v>
      </c>
      <c r="L131" s="65">
        <f t="shared" si="14"/>
        <v>0</v>
      </c>
      <c r="M131" s="84"/>
      <c r="N131" s="84"/>
      <c r="O131" s="65">
        <f t="shared" si="15"/>
        <v>0</v>
      </c>
      <c r="P131" s="65">
        <f t="shared" si="16"/>
        <v>0</v>
      </c>
      <c r="Q131" s="1" t="s">
        <v>167</v>
      </c>
      <c r="R131" s="1">
        <v>13</v>
      </c>
      <c r="S131" s="1" t="s">
        <v>168</v>
      </c>
    </row>
    <row r="132" spans="1:21" ht="15" customHeight="1">
      <c r="A132" s="16"/>
      <c r="B132" s="16"/>
      <c r="C132" s="16"/>
      <c r="D132" s="13" t="s">
        <v>296</v>
      </c>
      <c r="E132" s="581">
        <f t="shared" si="20"/>
        <v>0</v>
      </c>
      <c r="F132" s="581">
        <f t="shared" si="21"/>
        <v>0</v>
      </c>
      <c r="G132" s="64">
        <v>0</v>
      </c>
      <c r="H132" s="64">
        <v>0</v>
      </c>
      <c r="I132" s="64">
        <v>0</v>
      </c>
      <c r="J132" s="64">
        <v>0</v>
      </c>
      <c r="K132" s="65">
        <f t="shared" si="13"/>
        <v>0</v>
      </c>
      <c r="L132" s="65">
        <f t="shared" si="14"/>
        <v>0</v>
      </c>
      <c r="M132" s="84"/>
      <c r="N132" s="84"/>
      <c r="O132" s="65">
        <f t="shared" si="15"/>
        <v>0</v>
      </c>
      <c r="P132" s="65">
        <f t="shared" si="16"/>
        <v>0</v>
      </c>
      <c r="Q132" s="1" t="s">
        <v>167</v>
      </c>
      <c r="R132" s="1">
        <v>13</v>
      </c>
      <c r="S132" s="1" t="s">
        <v>168</v>
      </c>
    </row>
    <row r="133" spans="1:21" ht="15" customHeight="1">
      <c r="A133" s="16"/>
      <c r="B133" s="16"/>
      <c r="C133" s="18" t="s">
        <v>297</v>
      </c>
      <c r="D133" s="13"/>
      <c r="E133" s="581">
        <f t="shared" si="20"/>
        <v>0</v>
      </c>
      <c r="F133" s="581">
        <f t="shared" si="21"/>
        <v>0</v>
      </c>
      <c r="G133" s="64"/>
      <c r="H133" s="64"/>
      <c r="I133" s="64"/>
      <c r="J133" s="64"/>
      <c r="K133" s="65">
        <f t="shared" si="13"/>
        <v>0</v>
      </c>
      <c r="L133" s="65">
        <f t="shared" si="14"/>
        <v>0</v>
      </c>
      <c r="M133" s="84"/>
      <c r="N133" s="84"/>
      <c r="O133" s="65">
        <f t="shared" si="15"/>
        <v>0</v>
      </c>
      <c r="P133" s="65">
        <f t="shared" si="16"/>
        <v>0</v>
      </c>
    </row>
    <row r="134" spans="1:21" ht="15" customHeight="1">
      <c r="A134" s="16"/>
      <c r="B134" s="16"/>
      <c r="C134" s="16"/>
      <c r="D134" s="39" t="s">
        <v>298</v>
      </c>
      <c r="E134" s="581">
        <f t="shared" si="20"/>
        <v>0</v>
      </c>
      <c r="F134" s="581">
        <f t="shared" si="21"/>
        <v>0</v>
      </c>
      <c r="G134" s="64">
        <v>0</v>
      </c>
      <c r="H134" s="64">
        <v>0</v>
      </c>
      <c r="I134" s="64">
        <v>8577</v>
      </c>
      <c r="J134" s="64">
        <v>0</v>
      </c>
      <c r="K134" s="65">
        <f t="shared" si="13"/>
        <v>8577</v>
      </c>
      <c r="L134" s="65">
        <f t="shared" si="14"/>
        <v>0</v>
      </c>
      <c r="M134" s="84"/>
      <c r="N134" s="84"/>
      <c r="O134" s="65">
        <f t="shared" si="15"/>
        <v>8.5769999999999999E-2</v>
      </c>
      <c r="P134" s="65">
        <f t="shared" si="16"/>
        <v>0</v>
      </c>
      <c r="Q134" s="1" t="s">
        <v>298</v>
      </c>
      <c r="R134" s="1">
        <v>6</v>
      </c>
      <c r="S134" s="1" t="s">
        <v>244</v>
      </c>
      <c r="T134" s="3" t="s">
        <v>257</v>
      </c>
      <c r="U134" s="3" t="str">
        <f>PROPER(Q134)</f>
        <v>Duty Vat Account</v>
      </c>
    </row>
    <row r="135" spans="1:21" ht="15" customHeight="1">
      <c r="A135" s="16"/>
      <c r="B135" s="16"/>
      <c r="C135" s="16"/>
      <c r="D135" s="39" t="s">
        <v>299</v>
      </c>
      <c r="E135" s="581">
        <f t="shared" si="20"/>
        <v>0</v>
      </c>
      <c r="F135" s="581">
        <f t="shared" si="21"/>
        <v>0</v>
      </c>
      <c r="G135" s="64">
        <v>0</v>
      </c>
      <c r="H135" s="64">
        <v>0</v>
      </c>
      <c r="I135" s="64">
        <v>3655.0000000000291</v>
      </c>
      <c r="J135" s="64">
        <v>0</v>
      </c>
      <c r="K135" s="65">
        <f t="shared" si="13"/>
        <v>3655.0000000000291</v>
      </c>
      <c r="L135" s="65">
        <f t="shared" si="14"/>
        <v>0</v>
      </c>
      <c r="M135" s="84"/>
      <c r="N135" s="84"/>
      <c r="O135" s="65">
        <f t="shared" si="15"/>
        <v>3.6550000000000291E-2</v>
      </c>
      <c r="P135" s="65">
        <f t="shared" si="16"/>
        <v>0</v>
      </c>
      <c r="Q135" s="1" t="s">
        <v>299</v>
      </c>
      <c r="R135" s="1">
        <v>6</v>
      </c>
      <c r="S135" s="1" t="s">
        <v>244</v>
      </c>
      <c r="T135" s="3" t="s">
        <v>257</v>
      </c>
      <c r="U135" s="3" t="str">
        <f>PROPER(Q135)</f>
        <v>Reimbursement Account</v>
      </c>
    </row>
    <row r="136" spans="1:21" ht="15" customHeight="1">
      <c r="A136" s="16"/>
      <c r="B136" s="16"/>
      <c r="C136" s="18" t="s">
        <v>300</v>
      </c>
      <c r="D136" s="12"/>
      <c r="E136" s="581">
        <f t="shared" si="20"/>
        <v>0</v>
      </c>
      <c r="F136" s="581">
        <f t="shared" si="21"/>
        <v>0</v>
      </c>
      <c r="G136" s="64"/>
      <c r="H136" s="64"/>
      <c r="I136" s="64"/>
      <c r="J136" s="64"/>
      <c r="K136" s="65">
        <f t="shared" si="13"/>
        <v>0</v>
      </c>
      <c r="L136" s="65">
        <f t="shared" si="14"/>
        <v>0</v>
      </c>
      <c r="M136" s="84"/>
      <c r="N136" s="84"/>
      <c r="O136" s="65">
        <f t="shared" si="15"/>
        <v>0</v>
      </c>
      <c r="P136" s="65">
        <f t="shared" si="16"/>
        <v>0</v>
      </c>
    </row>
    <row r="137" spans="1:21" ht="15" customHeight="1">
      <c r="A137" s="16"/>
      <c r="B137" s="16"/>
      <c r="C137" s="16"/>
      <c r="D137" s="13" t="s">
        <v>300</v>
      </c>
      <c r="E137" s="581">
        <f t="shared" si="20"/>
        <v>0</v>
      </c>
      <c r="F137" s="581">
        <f t="shared" si="21"/>
        <v>0</v>
      </c>
      <c r="G137" s="64">
        <v>0</v>
      </c>
      <c r="H137" s="64">
        <v>0</v>
      </c>
      <c r="I137" s="64">
        <v>0</v>
      </c>
      <c r="J137" s="64">
        <v>0</v>
      </c>
      <c r="K137" s="65">
        <f t="shared" si="13"/>
        <v>0</v>
      </c>
      <c r="L137" s="65">
        <f t="shared" si="14"/>
        <v>0</v>
      </c>
      <c r="M137" s="84"/>
      <c r="N137" s="84"/>
      <c r="O137" s="65">
        <f t="shared" si="15"/>
        <v>0</v>
      </c>
      <c r="P137" s="65">
        <f t="shared" si="16"/>
        <v>0</v>
      </c>
      <c r="Q137" s="1" t="s">
        <v>301</v>
      </c>
      <c r="R137" s="1">
        <v>7</v>
      </c>
      <c r="S137" s="1" t="s">
        <v>302</v>
      </c>
    </row>
    <row r="138" spans="1:21" ht="15" customHeight="1">
      <c r="A138" s="16"/>
      <c r="B138" s="16"/>
      <c r="C138" s="18" t="s">
        <v>303</v>
      </c>
      <c r="D138" s="12"/>
      <c r="E138" s="581">
        <f t="shared" si="20"/>
        <v>0</v>
      </c>
      <c r="F138" s="581">
        <f t="shared" si="21"/>
        <v>0</v>
      </c>
      <c r="G138" s="64"/>
      <c r="H138" s="64"/>
      <c r="I138" s="64"/>
      <c r="J138" s="64"/>
      <c r="K138" s="65">
        <f t="shared" ref="K138:K201" si="22">+IF((G138+I138-H138-J138&gt;0),G138+I138-H138-J138,0)</f>
        <v>0</v>
      </c>
      <c r="L138" s="65">
        <f t="shared" ref="L138:L201" si="23">+IF((H138+J138-G138-I138)&gt;0,H138+J138-G138-I138,0)</f>
        <v>0</v>
      </c>
      <c r="M138" s="84"/>
      <c r="N138" s="84"/>
      <c r="O138" s="65">
        <f t="shared" ref="O138:O201" si="24">+IF((K138+M138-L138-N138&gt;0),K138+M138-L138-N138,0)/Deno</f>
        <v>0</v>
      </c>
      <c r="P138" s="65">
        <f t="shared" ref="P138:P201" si="25">+IF((L138+N138-K138-M138)&gt;0,L138+N138-K138-M138,0)/Deno</f>
        <v>0</v>
      </c>
    </row>
    <row r="139" spans="1:21" ht="15" customHeight="1">
      <c r="A139" s="16"/>
      <c r="B139" s="16"/>
      <c r="C139" s="16"/>
      <c r="D139" s="13" t="s">
        <v>303</v>
      </c>
      <c r="E139" s="581">
        <f t="shared" si="20"/>
        <v>0</v>
      </c>
      <c r="F139" s="581">
        <f>304949.23/(Deno)</f>
        <v>3.0494922999999998</v>
      </c>
      <c r="G139" s="64">
        <v>0</v>
      </c>
      <c r="H139" s="64">
        <v>304949.23000000045</v>
      </c>
      <c r="I139" s="64">
        <v>0</v>
      </c>
      <c r="J139" s="64">
        <v>1707121</v>
      </c>
      <c r="K139" s="65">
        <f t="shared" si="22"/>
        <v>0</v>
      </c>
      <c r="L139" s="65">
        <f t="shared" si="23"/>
        <v>2012070.2300000004</v>
      </c>
      <c r="M139" s="84"/>
      <c r="N139" s="84"/>
      <c r="O139" s="65">
        <f t="shared" si="24"/>
        <v>0</v>
      </c>
      <c r="P139" s="65">
        <f t="shared" si="25"/>
        <v>20.120702300000005</v>
      </c>
      <c r="Q139" s="1" t="s">
        <v>304</v>
      </c>
      <c r="R139" s="1">
        <v>6</v>
      </c>
      <c r="S139" s="1" t="s">
        <v>244</v>
      </c>
      <c r="T139" s="3" t="s">
        <v>247</v>
      </c>
    </row>
    <row r="140" spans="1:21" ht="15" customHeight="1">
      <c r="A140" s="16"/>
      <c r="B140" s="17" t="s">
        <v>305</v>
      </c>
      <c r="C140" s="17"/>
      <c r="D140" s="12"/>
      <c r="E140" s="581">
        <f t="shared" si="20"/>
        <v>0</v>
      </c>
      <c r="F140" s="581">
        <f>0/(Deno)</f>
        <v>0</v>
      </c>
      <c r="G140" s="64"/>
      <c r="H140" s="64"/>
      <c r="I140" s="64"/>
      <c r="J140" s="64"/>
      <c r="K140" s="65">
        <f t="shared" si="22"/>
        <v>0</v>
      </c>
      <c r="L140" s="65">
        <f t="shared" si="23"/>
        <v>0</v>
      </c>
      <c r="M140" s="84"/>
      <c r="N140" s="84"/>
      <c r="O140" s="65">
        <f t="shared" si="24"/>
        <v>0</v>
      </c>
      <c r="P140" s="65">
        <f t="shared" si="25"/>
        <v>0</v>
      </c>
    </row>
    <row r="141" spans="1:21" ht="15" customHeight="1">
      <c r="A141" s="16"/>
      <c r="B141" s="16"/>
      <c r="C141" s="18" t="s">
        <v>306</v>
      </c>
      <c r="D141" s="12"/>
      <c r="E141" s="581">
        <f t="shared" si="20"/>
        <v>0</v>
      </c>
      <c r="F141" s="581">
        <f>0/(Deno)</f>
        <v>0</v>
      </c>
      <c r="G141" s="64"/>
      <c r="H141" s="64"/>
      <c r="I141" s="64"/>
      <c r="J141" s="64"/>
      <c r="K141" s="65">
        <f t="shared" si="22"/>
        <v>0</v>
      </c>
      <c r="L141" s="65">
        <f t="shared" si="23"/>
        <v>0</v>
      </c>
      <c r="M141" s="84"/>
      <c r="N141" s="84"/>
      <c r="O141" s="65">
        <f t="shared" si="24"/>
        <v>0</v>
      </c>
      <c r="P141" s="65">
        <f t="shared" si="25"/>
        <v>0</v>
      </c>
    </row>
    <row r="142" spans="1:21" ht="15" customHeight="1">
      <c r="A142" s="16"/>
      <c r="B142" s="16"/>
      <c r="C142" s="16"/>
      <c r="D142" s="13" t="s">
        <v>307</v>
      </c>
      <c r="E142" s="581">
        <f t="shared" si="20"/>
        <v>0</v>
      </c>
      <c r="F142" s="581">
        <f>14106836.38/(Deno)</f>
        <v>141.06836380000001</v>
      </c>
      <c r="G142" s="64">
        <v>0</v>
      </c>
      <c r="H142" s="64">
        <v>14106836.380000001</v>
      </c>
      <c r="I142" s="64">
        <v>0</v>
      </c>
      <c r="J142" s="64">
        <v>3894</v>
      </c>
      <c r="K142" s="65">
        <f t="shared" si="22"/>
        <v>0</v>
      </c>
      <c r="L142" s="65">
        <f t="shared" si="23"/>
        <v>14110730.380000001</v>
      </c>
      <c r="M142" s="84">
        <f>+'Audit entry'!D126+'Audit entry'!D133</f>
        <v>14110730.380000001</v>
      </c>
      <c r="N142" s="84"/>
      <c r="O142" s="65">
        <f t="shared" si="24"/>
        <v>0</v>
      </c>
      <c r="P142" s="65">
        <f t="shared" si="25"/>
        <v>0</v>
      </c>
      <c r="Q142" s="1" t="s">
        <v>308</v>
      </c>
      <c r="R142" s="1">
        <v>7</v>
      </c>
      <c r="S142" s="1" t="s">
        <v>302</v>
      </c>
    </row>
    <row r="143" spans="1:21" ht="15" customHeight="1">
      <c r="A143" s="16"/>
      <c r="B143" s="16"/>
      <c r="C143" s="18" t="s">
        <v>309</v>
      </c>
      <c r="D143" s="12"/>
      <c r="E143" s="581">
        <f t="shared" si="20"/>
        <v>0</v>
      </c>
      <c r="F143" s="581">
        <f>0/(Deno)</f>
        <v>0</v>
      </c>
      <c r="G143" s="64"/>
      <c r="H143" s="64"/>
      <c r="I143" s="64"/>
      <c r="J143" s="64"/>
      <c r="K143" s="65">
        <f t="shared" si="22"/>
        <v>0</v>
      </c>
      <c r="L143" s="65">
        <f t="shared" si="23"/>
        <v>0</v>
      </c>
      <c r="M143" s="84"/>
      <c r="N143" s="84"/>
      <c r="O143" s="65">
        <f t="shared" si="24"/>
        <v>0</v>
      </c>
      <c r="P143" s="65">
        <f t="shared" si="25"/>
        <v>0</v>
      </c>
    </row>
    <row r="144" spans="1:21" ht="15" customHeight="1">
      <c r="A144" s="16"/>
      <c r="B144" s="16"/>
      <c r="C144" s="16"/>
      <c r="D144" s="13" t="s">
        <v>310</v>
      </c>
      <c r="E144" s="581">
        <f t="shared" si="20"/>
        <v>0</v>
      </c>
      <c r="F144" s="581">
        <f>6752022.96469295/(Deno)</f>
        <v>67.520229646929508</v>
      </c>
      <c r="G144" s="64">
        <v>0</v>
      </c>
      <c r="H144" s="64">
        <v>6752022.9646929502</v>
      </c>
      <c r="I144" s="64">
        <v>0</v>
      </c>
      <c r="J144" s="64">
        <v>0</v>
      </c>
      <c r="K144" s="65">
        <f t="shared" si="22"/>
        <v>0</v>
      </c>
      <c r="L144" s="65">
        <f t="shared" si="23"/>
        <v>6752022.9646929502</v>
      </c>
      <c r="M144" s="84">
        <f>+'Audit entry'!D151</f>
        <v>654762.48607176181</v>
      </c>
      <c r="N144" s="84">
        <f>+'Audit entry'!E149</f>
        <v>654762.48607176181</v>
      </c>
      <c r="O144" s="65">
        <f t="shared" si="24"/>
        <v>0</v>
      </c>
      <c r="P144" s="65">
        <f t="shared" si="25"/>
        <v>67.520229646929508</v>
      </c>
      <c r="Q144" s="1" t="s">
        <v>311</v>
      </c>
      <c r="R144" s="1">
        <v>7</v>
      </c>
      <c r="S144" s="1" t="s">
        <v>302</v>
      </c>
    </row>
    <row r="145" spans="1:19" ht="15" customHeight="1">
      <c r="A145" s="16"/>
      <c r="B145" s="16"/>
      <c r="C145" s="16"/>
      <c r="D145" s="13" t="s">
        <v>312</v>
      </c>
      <c r="E145" s="581">
        <f t="shared" si="20"/>
        <v>0</v>
      </c>
      <c r="F145" s="581">
        <f>0/(Deno)</f>
        <v>0</v>
      </c>
      <c r="G145" s="64">
        <v>0</v>
      </c>
      <c r="H145" s="64">
        <v>0</v>
      </c>
      <c r="I145" s="64">
        <v>0</v>
      </c>
      <c r="J145" s="64">
        <v>0</v>
      </c>
      <c r="K145" s="65">
        <f t="shared" si="22"/>
        <v>0</v>
      </c>
      <c r="L145" s="65">
        <f t="shared" si="23"/>
        <v>0</v>
      </c>
      <c r="M145" s="84"/>
      <c r="N145" s="84"/>
      <c r="O145" s="65">
        <f t="shared" si="24"/>
        <v>0</v>
      </c>
      <c r="P145" s="65">
        <f t="shared" si="25"/>
        <v>0</v>
      </c>
      <c r="Q145" s="1" t="s">
        <v>313</v>
      </c>
      <c r="R145" s="1">
        <v>7</v>
      </c>
      <c r="S145" s="1" t="s">
        <v>302</v>
      </c>
    </row>
    <row r="146" spans="1:19" ht="15" customHeight="1">
      <c r="A146" s="16"/>
      <c r="B146" s="16"/>
      <c r="C146" s="16"/>
      <c r="D146" s="13" t="s">
        <v>314</v>
      </c>
      <c r="E146" s="581">
        <f t="shared" si="20"/>
        <v>0</v>
      </c>
      <c r="F146" s="581">
        <f>0/(Deno)</f>
        <v>0</v>
      </c>
      <c r="G146" s="64">
        <v>0</v>
      </c>
      <c r="H146" s="64">
        <v>0</v>
      </c>
      <c r="I146" s="64"/>
      <c r="J146" s="64"/>
      <c r="K146" s="65">
        <f t="shared" si="22"/>
        <v>0</v>
      </c>
      <c r="L146" s="65">
        <f t="shared" si="23"/>
        <v>0</v>
      </c>
      <c r="M146" s="84"/>
      <c r="N146" s="84"/>
      <c r="O146" s="65">
        <f t="shared" si="24"/>
        <v>0</v>
      </c>
      <c r="P146" s="65">
        <f t="shared" si="25"/>
        <v>0</v>
      </c>
      <c r="Q146" s="1" t="s">
        <v>315</v>
      </c>
      <c r="R146" s="1">
        <v>7</v>
      </c>
      <c r="S146" s="1" t="s">
        <v>302</v>
      </c>
    </row>
    <row r="147" spans="1:19" ht="15" customHeight="1">
      <c r="A147" s="16"/>
      <c r="B147" s="17" t="s">
        <v>316</v>
      </c>
      <c r="C147" s="17"/>
      <c r="D147" s="12"/>
      <c r="E147" s="581">
        <f t="shared" si="20"/>
        <v>0</v>
      </c>
      <c r="F147" s="581">
        <f>0/(Deno)</f>
        <v>0</v>
      </c>
      <c r="G147" s="64"/>
      <c r="H147" s="64"/>
      <c r="I147" s="64"/>
      <c r="J147" s="64"/>
      <c r="K147" s="65">
        <f t="shared" si="22"/>
        <v>0</v>
      </c>
      <c r="L147" s="65">
        <f t="shared" si="23"/>
        <v>0</v>
      </c>
      <c r="M147" s="84"/>
      <c r="N147" s="84"/>
      <c r="O147" s="65">
        <f t="shared" si="24"/>
        <v>0</v>
      </c>
      <c r="P147" s="65">
        <f t="shared" si="25"/>
        <v>0</v>
      </c>
    </row>
    <row r="148" spans="1:19" ht="15" customHeight="1">
      <c r="A148" s="16"/>
      <c r="B148" s="16"/>
      <c r="C148" s="18" t="s">
        <v>316</v>
      </c>
      <c r="D148" s="12"/>
      <c r="E148" s="581">
        <f t="shared" si="20"/>
        <v>0</v>
      </c>
      <c r="F148" s="581">
        <f>0/(Deno)</f>
        <v>0</v>
      </c>
      <c r="G148" s="64"/>
      <c r="H148" s="64"/>
      <c r="I148" s="64"/>
      <c r="J148" s="64"/>
      <c r="K148" s="65">
        <f t="shared" si="22"/>
        <v>0</v>
      </c>
      <c r="L148" s="65">
        <f t="shared" si="23"/>
        <v>0</v>
      </c>
      <c r="M148" s="84"/>
      <c r="N148" s="84"/>
      <c r="O148" s="65">
        <f t="shared" si="24"/>
        <v>0</v>
      </c>
      <c r="P148" s="65">
        <f t="shared" si="25"/>
        <v>0</v>
      </c>
    </row>
    <row r="149" spans="1:19" ht="15" customHeight="1">
      <c r="A149" s="16"/>
      <c r="B149" s="16"/>
      <c r="C149" s="16"/>
      <c r="D149" s="13" t="s">
        <v>316</v>
      </c>
      <c r="E149" s="581">
        <f t="shared" si="20"/>
        <v>0</v>
      </c>
      <c r="F149" s="581">
        <f>0.607587853446603/(Deno)</f>
        <v>6.0758785344660307E-6</v>
      </c>
      <c r="G149" s="64">
        <v>0</v>
      </c>
      <c r="H149" s="64">
        <v>0.60758785344660304</v>
      </c>
      <c r="I149" s="64">
        <v>0</v>
      </c>
      <c r="J149" s="64">
        <v>0</v>
      </c>
      <c r="K149" s="65">
        <f t="shared" si="22"/>
        <v>0</v>
      </c>
      <c r="L149" s="65">
        <f t="shared" si="23"/>
        <v>0.60758785344660304</v>
      </c>
      <c r="M149" s="84"/>
      <c r="N149" s="84"/>
      <c r="O149" s="65">
        <f t="shared" si="24"/>
        <v>0</v>
      </c>
      <c r="P149" s="65">
        <f t="shared" si="25"/>
        <v>6.0758785344660307E-6</v>
      </c>
      <c r="R149" s="1">
        <v>10</v>
      </c>
      <c r="S149" s="1" t="s">
        <v>317</v>
      </c>
    </row>
    <row r="150" spans="1:19" ht="15" customHeight="1">
      <c r="A150" s="15" t="s">
        <v>318</v>
      </c>
      <c r="B150" s="15"/>
      <c r="C150" s="15"/>
      <c r="D150" s="12"/>
      <c r="E150" s="581">
        <f t="shared" si="20"/>
        <v>0</v>
      </c>
      <c r="F150" s="581">
        <f>0/(Deno)</f>
        <v>0</v>
      </c>
      <c r="G150" s="64"/>
      <c r="H150" s="64"/>
      <c r="I150" s="64"/>
      <c r="J150" s="64"/>
      <c r="K150" s="65">
        <f t="shared" si="22"/>
        <v>0</v>
      </c>
      <c r="L150" s="65">
        <f t="shared" si="23"/>
        <v>0</v>
      </c>
      <c r="M150" s="84"/>
      <c r="N150" s="84"/>
      <c r="O150" s="65">
        <f t="shared" si="24"/>
        <v>0</v>
      </c>
      <c r="P150" s="65">
        <f t="shared" si="25"/>
        <v>0</v>
      </c>
    </row>
    <row r="151" spans="1:19" ht="15" customHeight="1">
      <c r="A151" s="16"/>
      <c r="B151" s="17" t="s">
        <v>319</v>
      </c>
      <c r="C151" s="17"/>
      <c r="D151" s="12"/>
      <c r="E151" s="581">
        <f t="shared" si="20"/>
        <v>0</v>
      </c>
      <c r="F151" s="581">
        <f>0/(Deno)</f>
        <v>0</v>
      </c>
      <c r="G151" s="64"/>
      <c r="H151" s="64"/>
      <c r="I151" s="64"/>
      <c r="J151" s="64"/>
      <c r="K151" s="65">
        <f t="shared" si="22"/>
        <v>0</v>
      </c>
      <c r="L151" s="65">
        <f t="shared" si="23"/>
        <v>0</v>
      </c>
      <c r="M151" s="84"/>
      <c r="N151" s="84"/>
      <c r="O151" s="65">
        <f t="shared" si="24"/>
        <v>0</v>
      </c>
      <c r="P151" s="65">
        <f t="shared" si="25"/>
        <v>0</v>
      </c>
    </row>
    <row r="152" spans="1:19" ht="15" customHeight="1">
      <c r="A152" s="16"/>
      <c r="B152" s="16"/>
      <c r="C152" s="18" t="s">
        <v>320</v>
      </c>
      <c r="D152" s="12"/>
      <c r="E152" s="581">
        <f t="shared" si="20"/>
        <v>0</v>
      </c>
      <c r="F152" s="581">
        <f>0/(Deno)</f>
        <v>0</v>
      </c>
      <c r="G152" s="64"/>
      <c r="H152" s="64"/>
      <c r="I152" s="64"/>
      <c r="J152" s="64"/>
      <c r="K152" s="65">
        <f t="shared" si="22"/>
        <v>0</v>
      </c>
      <c r="L152" s="65">
        <f t="shared" si="23"/>
        <v>0</v>
      </c>
      <c r="M152" s="84"/>
      <c r="N152" s="84"/>
      <c r="O152" s="65">
        <f t="shared" si="24"/>
        <v>0</v>
      </c>
      <c r="P152" s="65">
        <f t="shared" si="25"/>
        <v>0</v>
      </c>
    </row>
    <row r="153" spans="1:19" ht="15" customHeight="1">
      <c r="A153" s="16"/>
      <c r="B153" s="16"/>
      <c r="C153" s="16"/>
      <c r="D153" s="13" t="s">
        <v>321</v>
      </c>
      <c r="E153" s="581">
        <f t="shared" si="20"/>
        <v>0</v>
      </c>
      <c r="F153" s="581">
        <f>51234682.82/(Deno)</f>
        <v>512.3468282</v>
      </c>
      <c r="G153" s="66"/>
      <c r="H153" s="66"/>
      <c r="I153" s="64">
        <v>0</v>
      </c>
      <c r="J153" s="64">
        <v>135947885.60999981</v>
      </c>
      <c r="K153" s="65">
        <f t="shared" si="22"/>
        <v>0</v>
      </c>
      <c r="L153" s="65">
        <f t="shared" si="23"/>
        <v>135947885.60999981</v>
      </c>
      <c r="M153" s="84"/>
      <c r="N153" s="84"/>
      <c r="O153" s="65">
        <f t="shared" si="24"/>
        <v>0</v>
      </c>
      <c r="P153" s="628">
        <f t="shared" si="25"/>
        <v>1359.478856099998</v>
      </c>
      <c r="Q153" s="1" t="s">
        <v>322</v>
      </c>
      <c r="R153" s="1">
        <v>14</v>
      </c>
      <c r="S153" s="1" t="s">
        <v>323</v>
      </c>
    </row>
    <row r="154" spans="1:19" ht="15" customHeight="1">
      <c r="A154" s="16"/>
      <c r="B154" s="16"/>
      <c r="C154" s="16"/>
      <c r="D154" s="13" t="s">
        <v>324</v>
      </c>
      <c r="E154" s="581">
        <f t="shared" si="20"/>
        <v>0</v>
      </c>
      <c r="F154" s="581">
        <f>3807008.53/(Deno)</f>
        <v>38.070085299999995</v>
      </c>
      <c r="G154" s="66"/>
      <c r="H154" s="66"/>
      <c r="I154" s="64">
        <v>0</v>
      </c>
      <c r="J154" s="64">
        <v>5475915.1300000018</v>
      </c>
      <c r="K154" s="65">
        <f t="shared" si="22"/>
        <v>0</v>
      </c>
      <c r="L154" s="65">
        <f t="shared" si="23"/>
        <v>5475915.1300000018</v>
      </c>
      <c r="M154" s="84"/>
      <c r="N154" s="84"/>
      <c r="O154" s="65">
        <f t="shared" si="24"/>
        <v>0</v>
      </c>
      <c r="P154" s="628">
        <f t="shared" si="25"/>
        <v>54.759151300000021</v>
      </c>
      <c r="Q154" s="1" t="s">
        <v>322</v>
      </c>
      <c r="R154" s="1">
        <v>14</v>
      </c>
      <c r="S154" s="1" t="s">
        <v>323</v>
      </c>
    </row>
    <row r="155" spans="1:19" ht="15" customHeight="1">
      <c r="A155" s="16"/>
      <c r="B155" s="16"/>
      <c r="C155" s="16"/>
      <c r="D155" s="13" t="s">
        <v>325</v>
      </c>
      <c r="E155" s="581">
        <f t="shared" si="20"/>
        <v>0</v>
      </c>
      <c r="F155" s="581">
        <f>170000/(Deno)</f>
        <v>1.7</v>
      </c>
      <c r="G155" s="66"/>
      <c r="H155" s="66"/>
      <c r="I155" s="64">
        <v>0</v>
      </c>
      <c r="J155" s="64">
        <v>19000</v>
      </c>
      <c r="K155" s="65">
        <f t="shared" si="22"/>
        <v>0</v>
      </c>
      <c r="L155" s="65">
        <f t="shared" si="23"/>
        <v>19000</v>
      </c>
      <c r="M155" s="84"/>
      <c r="N155" s="84"/>
      <c r="O155" s="65">
        <f t="shared" si="24"/>
        <v>0</v>
      </c>
      <c r="P155" s="628">
        <f t="shared" si="25"/>
        <v>0.19</v>
      </c>
      <c r="Q155" s="1" t="s">
        <v>322</v>
      </c>
      <c r="R155" s="1">
        <v>14</v>
      </c>
      <c r="S155" s="1" t="s">
        <v>323</v>
      </c>
    </row>
    <row r="156" spans="1:19" ht="15" customHeight="1">
      <c r="A156" s="16"/>
      <c r="B156" s="16"/>
      <c r="C156" s="16"/>
      <c r="D156" s="13" t="s">
        <v>326</v>
      </c>
      <c r="E156" s="581">
        <f t="shared" si="20"/>
        <v>0</v>
      </c>
      <c r="F156" s="581">
        <f>0/(Deno)</f>
        <v>0</v>
      </c>
      <c r="G156" s="66"/>
      <c r="H156" s="66"/>
      <c r="I156" s="64">
        <v>0</v>
      </c>
      <c r="J156" s="64">
        <v>0</v>
      </c>
      <c r="K156" s="65">
        <f t="shared" si="22"/>
        <v>0</v>
      </c>
      <c r="L156" s="65">
        <f t="shared" si="23"/>
        <v>0</v>
      </c>
      <c r="M156" s="84"/>
      <c r="N156" s="84"/>
      <c r="O156" s="65">
        <f t="shared" si="24"/>
        <v>0</v>
      </c>
      <c r="P156" s="65">
        <f t="shared" si="25"/>
        <v>0</v>
      </c>
      <c r="Q156" s="1" t="s">
        <v>322</v>
      </c>
      <c r="R156" s="1">
        <v>14</v>
      </c>
      <c r="S156" s="1" t="s">
        <v>323</v>
      </c>
    </row>
    <row r="157" spans="1:19" ht="15" customHeight="1">
      <c r="A157" s="16"/>
      <c r="B157" s="16"/>
      <c r="C157" s="16"/>
      <c r="D157" s="13" t="s">
        <v>327</v>
      </c>
      <c r="E157" s="581">
        <f t="shared" si="20"/>
        <v>0</v>
      </c>
      <c r="F157" s="581">
        <f>0/(Deno)</f>
        <v>0</v>
      </c>
      <c r="G157" s="66"/>
      <c r="H157" s="66"/>
      <c r="I157" s="64">
        <v>0</v>
      </c>
      <c r="J157" s="64">
        <v>0</v>
      </c>
      <c r="K157" s="65">
        <f t="shared" si="22"/>
        <v>0</v>
      </c>
      <c r="L157" s="65">
        <f t="shared" si="23"/>
        <v>0</v>
      </c>
      <c r="M157" s="84"/>
      <c r="N157" s="84"/>
      <c r="O157" s="65">
        <f t="shared" si="24"/>
        <v>0</v>
      </c>
      <c r="P157" s="65">
        <f t="shared" si="25"/>
        <v>0</v>
      </c>
      <c r="Q157" s="1" t="s">
        <v>322</v>
      </c>
      <c r="R157" s="1">
        <v>14</v>
      </c>
      <c r="S157" s="1" t="s">
        <v>323</v>
      </c>
    </row>
    <row r="158" spans="1:19" ht="15" customHeight="1">
      <c r="A158" s="16"/>
      <c r="B158" s="16"/>
      <c r="C158" s="16"/>
      <c r="D158" s="13" t="s">
        <v>328</v>
      </c>
      <c r="E158" s="581">
        <f t="shared" si="20"/>
        <v>0</v>
      </c>
      <c r="F158" s="581">
        <f>0/(Deno)</f>
        <v>0</v>
      </c>
      <c r="G158" s="66"/>
      <c r="H158" s="66"/>
      <c r="I158" s="64">
        <v>0</v>
      </c>
      <c r="J158" s="64">
        <v>0</v>
      </c>
      <c r="K158" s="65">
        <f t="shared" si="22"/>
        <v>0</v>
      </c>
      <c r="L158" s="65">
        <f t="shared" si="23"/>
        <v>0</v>
      </c>
      <c r="M158" s="84"/>
      <c r="N158" s="84"/>
      <c r="O158" s="65">
        <f t="shared" si="24"/>
        <v>0</v>
      </c>
      <c r="P158" s="65">
        <f t="shared" si="25"/>
        <v>0</v>
      </c>
      <c r="Q158" s="1" t="s">
        <v>322</v>
      </c>
      <c r="R158" s="1">
        <v>14</v>
      </c>
      <c r="S158" s="1" t="s">
        <v>323</v>
      </c>
    </row>
    <row r="159" spans="1:19" ht="15" customHeight="1">
      <c r="A159" s="16"/>
      <c r="B159" s="16"/>
      <c r="C159" s="18" t="s">
        <v>329</v>
      </c>
      <c r="D159" s="12"/>
      <c r="E159" s="581">
        <f t="shared" si="20"/>
        <v>0</v>
      </c>
      <c r="F159" s="581">
        <f>0/(Deno)</f>
        <v>0</v>
      </c>
      <c r="G159" s="66"/>
      <c r="H159" s="66"/>
      <c r="I159" s="64"/>
      <c r="J159" s="64"/>
      <c r="K159" s="65">
        <f t="shared" si="22"/>
        <v>0</v>
      </c>
      <c r="L159" s="65">
        <f t="shared" si="23"/>
        <v>0</v>
      </c>
      <c r="M159" s="84"/>
      <c r="N159" s="84"/>
      <c r="O159" s="65">
        <f t="shared" si="24"/>
        <v>0</v>
      </c>
      <c r="P159" s="65">
        <f t="shared" si="25"/>
        <v>0</v>
      </c>
    </row>
    <row r="160" spans="1:19" ht="15" customHeight="1">
      <c r="A160" s="16"/>
      <c r="B160" s="16"/>
      <c r="C160" s="16"/>
      <c r="D160" s="13" t="s">
        <v>330</v>
      </c>
      <c r="E160" s="581">
        <f t="shared" ref="E160:E177" si="26">0/(Deno)</f>
        <v>0</v>
      </c>
      <c r="F160" s="581">
        <f>9558956.49/(Deno)</f>
        <v>95.589564899999999</v>
      </c>
      <c r="G160" s="66"/>
      <c r="H160" s="66"/>
      <c r="I160" s="64">
        <v>0</v>
      </c>
      <c r="J160" s="64">
        <v>25076479.12999998</v>
      </c>
      <c r="K160" s="65">
        <f t="shared" si="22"/>
        <v>0</v>
      </c>
      <c r="L160" s="65">
        <f t="shared" si="23"/>
        <v>25076479.12999998</v>
      </c>
      <c r="M160" s="84"/>
      <c r="N160" s="84"/>
      <c r="O160" s="65">
        <f t="shared" si="24"/>
        <v>0</v>
      </c>
      <c r="P160" s="628">
        <f t="shared" si="25"/>
        <v>250.76479129999981</v>
      </c>
      <c r="Q160" s="1" t="s">
        <v>331</v>
      </c>
      <c r="R160" s="1">
        <v>14</v>
      </c>
      <c r="S160" s="1" t="s">
        <v>323</v>
      </c>
    </row>
    <row r="161" spans="1:19" ht="15" customHeight="1">
      <c r="A161" s="16"/>
      <c r="B161" s="16"/>
      <c r="C161" s="16"/>
      <c r="D161" s="13" t="s">
        <v>332</v>
      </c>
      <c r="E161" s="581">
        <f t="shared" si="26"/>
        <v>0</v>
      </c>
      <c r="F161" s="581">
        <f>0/(Deno)</f>
        <v>0</v>
      </c>
      <c r="G161" s="66"/>
      <c r="H161" s="66"/>
      <c r="I161" s="64">
        <v>0</v>
      </c>
      <c r="J161" s="64">
        <v>0</v>
      </c>
      <c r="K161" s="65">
        <f t="shared" si="22"/>
        <v>0</v>
      </c>
      <c r="L161" s="65">
        <f t="shared" si="23"/>
        <v>0</v>
      </c>
      <c r="M161" s="84"/>
      <c r="N161" s="84"/>
      <c r="O161" s="65">
        <f t="shared" si="24"/>
        <v>0</v>
      </c>
      <c r="P161" s="65">
        <f t="shared" si="25"/>
        <v>0</v>
      </c>
      <c r="Q161" s="1" t="s">
        <v>331</v>
      </c>
      <c r="R161" s="1">
        <v>14</v>
      </c>
      <c r="S161" s="1" t="s">
        <v>323</v>
      </c>
    </row>
    <row r="162" spans="1:19" ht="15" customHeight="1">
      <c r="A162" s="16"/>
      <c r="B162" s="16"/>
      <c r="C162" s="16"/>
      <c r="D162" s="13" t="s">
        <v>333</v>
      </c>
      <c r="E162" s="581">
        <f t="shared" si="26"/>
        <v>0</v>
      </c>
      <c r="F162" s="581">
        <f>2441844.04/(Deno)</f>
        <v>24.418440400000001</v>
      </c>
      <c r="G162" s="66"/>
      <c r="H162" s="66"/>
      <c r="I162" s="64">
        <v>0</v>
      </c>
      <c r="J162" s="64">
        <v>2297765.3399999994</v>
      </c>
      <c r="K162" s="65">
        <f t="shared" si="22"/>
        <v>0</v>
      </c>
      <c r="L162" s="65">
        <f t="shared" si="23"/>
        <v>2297765.3399999994</v>
      </c>
      <c r="M162" s="84"/>
      <c r="N162" s="84"/>
      <c r="O162" s="65">
        <f t="shared" si="24"/>
        <v>0</v>
      </c>
      <c r="P162" s="628">
        <f t="shared" si="25"/>
        <v>22.977653399999994</v>
      </c>
      <c r="Q162" s="1" t="s">
        <v>331</v>
      </c>
      <c r="R162" s="1">
        <v>14</v>
      </c>
      <c r="S162" s="1" t="s">
        <v>323</v>
      </c>
    </row>
    <row r="163" spans="1:19" ht="15" customHeight="1">
      <c r="A163" s="16"/>
      <c r="B163" s="16"/>
      <c r="C163" s="18" t="s">
        <v>334</v>
      </c>
      <c r="D163" s="12"/>
      <c r="E163" s="581">
        <f t="shared" si="26"/>
        <v>0</v>
      </c>
      <c r="F163" s="581">
        <f>0/(Deno)</f>
        <v>0</v>
      </c>
      <c r="G163" s="66"/>
      <c r="H163" s="66"/>
      <c r="I163" s="64"/>
      <c r="J163" s="64"/>
      <c r="K163" s="65">
        <f t="shared" si="22"/>
        <v>0</v>
      </c>
      <c r="L163" s="65">
        <f t="shared" si="23"/>
        <v>0</v>
      </c>
      <c r="M163" s="84"/>
      <c r="N163" s="84"/>
      <c r="O163" s="65">
        <f t="shared" si="24"/>
        <v>0</v>
      </c>
      <c r="P163" s="65">
        <f t="shared" si="25"/>
        <v>0</v>
      </c>
    </row>
    <row r="164" spans="1:19" ht="15" customHeight="1">
      <c r="A164" s="16"/>
      <c r="B164" s="16"/>
      <c r="C164" s="16"/>
      <c r="D164" s="13" t="s">
        <v>335</v>
      </c>
      <c r="E164" s="581">
        <f t="shared" si="26"/>
        <v>0</v>
      </c>
      <c r="F164" s="581">
        <f>71108395.35/(Deno)</f>
        <v>711.08395349999989</v>
      </c>
      <c r="G164" s="66"/>
      <c r="H164" s="66"/>
      <c r="I164" s="64">
        <v>0</v>
      </c>
      <c r="J164" s="64">
        <v>72299417.409999937</v>
      </c>
      <c r="K164" s="65">
        <f t="shared" si="22"/>
        <v>0</v>
      </c>
      <c r="L164" s="65">
        <f t="shared" si="23"/>
        <v>72299417.409999937</v>
      </c>
      <c r="M164" s="84"/>
      <c r="N164" s="84"/>
      <c r="O164" s="65">
        <f t="shared" si="24"/>
        <v>0</v>
      </c>
      <c r="P164" s="628">
        <f t="shared" si="25"/>
        <v>722.99417409999933</v>
      </c>
      <c r="Q164" s="1" t="s">
        <v>336</v>
      </c>
      <c r="R164" s="1">
        <v>14</v>
      </c>
      <c r="S164" s="1" t="s">
        <v>323</v>
      </c>
    </row>
    <row r="165" spans="1:19" ht="15" customHeight="1">
      <c r="A165" s="16"/>
      <c r="B165" s="16"/>
      <c r="C165" s="18" t="s">
        <v>337</v>
      </c>
      <c r="D165" s="12"/>
      <c r="E165" s="581">
        <f t="shared" si="26"/>
        <v>0</v>
      </c>
      <c r="F165" s="581">
        <f>0/(Deno)</f>
        <v>0</v>
      </c>
      <c r="G165" s="66"/>
      <c r="H165" s="66"/>
      <c r="I165" s="64"/>
      <c r="J165" s="64"/>
      <c r="K165" s="65">
        <f t="shared" si="22"/>
        <v>0</v>
      </c>
      <c r="L165" s="65">
        <f t="shared" si="23"/>
        <v>0</v>
      </c>
      <c r="M165" s="84"/>
      <c r="N165" s="84"/>
      <c r="O165" s="65">
        <f t="shared" si="24"/>
        <v>0</v>
      </c>
      <c r="P165" s="65">
        <f t="shared" si="25"/>
        <v>0</v>
      </c>
    </row>
    <row r="166" spans="1:19" ht="15" customHeight="1">
      <c r="A166" s="16"/>
      <c r="B166" s="16"/>
      <c r="C166" s="16"/>
      <c r="D166" s="13" t="s">
        <v>338</v>
      </c>
      <c r="E166" s="581">
        <f t="shared" si="26"/>
        <v>0</v>
      </c>
      <c r="F166" s="581">
        <f>10155796.02/(Deno)</f>
        <v>101.5579602</v>
      </c>
      <c r="G166" s="66"/>
      <c r="H166" s="66"/>
      <c r="I166" s="64">
        <v>0</v>
      </c>
      <c r="J166" s="64">
        <v>9940420.320000004</v>
      </c>
      <c r="K166" s="65">
        <f t="shared" si="22"/>
        <v>0</v>
      </c>
      <c r="L166" s="65">
        <f t="shared" si="23"/>
        <v>9940420.320000004</v>
      </c>
      <c r="M166" s="84"/>
      <c r="N166" s="84"/>
      <c r="O166" s="65">
        <f t="shared" si="24"/>
        <v>0</v>
      </c>
      <c r="P166" s="628">
        <f t="shared" si="25"/>
        <v>99.40420320000004</v>
      </c>
      <c r="Q166" s="1" t="s">
        <v>339</v>
      </c>
      <c r="R166" s="1">
        <v>14</v>
      </c>
      <c r="S166" s="1" t="s">
        <v>323</v>
      </c>
    </row>
    <row r="167" spans="1:19" ht="15" customHeight="1">
      <c r="A167" s="16"/>
      <c r="B167" s="17" t="s">
        <v>340</v>
      </c>
      <c r="C167" s="17"/>
      <c r="D167" s="12"/>
      <c r="E167" s="581">
        <f t="shared" si="26"/>
        <v>0</v>
      </c>
      <c r="F167" s="581">
        <f t="shared" ref="F167:F178" si="27">0/(Deno)</f>
        <v>0</v>
      </c>
      <c r="G167" s="66"/>
      <c r="H167" s="66"/>
      <c r="I167" s="64"/>
      <c r="J167" s="64"/>
      <c r="K167" s="65">
        <f t="shared" si="22"/>
        <v>0</v>
      </c>
      <c r="L167" s="65">
        <f t="shared" si="23"/>
        <v>0</v>
      </c>
      <c r="M167" s="84"/>
      <c r="N167" s="84"/>
      <c r="O167" s="65">
        <f t="shared" si="24"/>
        <v>0</v>
      </c>
      <c r="P167" s="65">
        <f t="shared" si="25"/>
        <v>0</v>
      </c>
    </row>
    <row r="168" spans="1:19" ht="15" customHeight="1">
      <c r="A168" s="16"/>
      <c r="B168" s="16"/>
      <c r="C168" s="18" t="s">
        <v>341</v>
      </c>
      <c r="D168" s="12"/>
      <c r="E168" s="581">
        <f t="shared" si="26"/>
        <v>0</v>
      </c>
      <c r="F168" s="581">
        <f t="shared" si="27"/>
        <v>0</v>
      </c>
      <c r="G168" s="66"/>
      <c r="H168" s="66"/>
      <c r="I168" s="64"/>
      <c r="J168" s="64"/>
      <c r="K168" s="65">
        <f t="shared" si="22"/>
        <v>0</v>
      </c>
      <c r="L168" s="65">
        <f t="shared" si="23"/>
        <v>0</v>
      </c>
      <c r="M168" s="84"/>
      <c r="N168" s="84"/>
      <c r="O168" s="65">
        <f t="shared" si="24"/>
        <v>0</v>
      </c>
      <c r="P168" s="65">
        <f t="shared" si="25"/>
        <v>0</v>
      </c>
    </row>
    <row r="169" spans="1:19" ht="15" customHeight="1">
      <c r="A169" s="16"/>
      <c r="B169" s="16"/>
      <c r="C169" s="18"/>
      <c r="D169" s="39" t="s">
        <v>342</v>
      </c>
      <c r="E169" s="581">
        <f t="shared" si="26"/>
        <v>0</v>
      </c>
      <c r="F169" s="581">
        <f t="shared" si="27"/>
        <v>0</v>
      </c>
      <c r="G169" s="66"/>
      <c r="H169" s="66"/>
      <c r="I169" s="64">
        <v>0</v>
      </c>
      <c r="J169" s="64">
        <v>82</v>
      </c>
      <c r="K169" s="65">
        <f t="shared" si="22"/>
        <v>0</v>
      </c>
      <c r="L169" s="65">
        <f t="shared" si="23"/>
        <v>82</v>
      </c>
      <c r="M169" s="84"/>
      <c r="N169" s="84">
        <f>+'Audit entry'!E23</f>
        <v>1315</v>
      </c>
      <c r="O169" s="65">
        <f t="shared" si="24"/>
        <v>0</v>
      </c>
      <c r="P169" s="628">
        <f t="shared" si="25"/>
        <v>1.397E-2</v>
      </c>
      <c r="Q169" s="1" t="s">
        <v>343</v>
      </c>
      <c r="R169" s="1">
        <v>15</v>
      </c>
      <c r="S169" s="1" t="s">
        <v>344</v>
      </c>
    </row>
    <row r="170" spans="1:19" ht="15" customHeight="1">
      <c r="A170" s="16"/>
      <c r="B170" s="16"/>
      <c r="C170" s="16"/>
      <c r="D170" s="13" t="s">
        <v>341</v>
      </c>
      <c r="E170" s="581">
        <f t="shared" si="26"/>
        <v>0</v>
      </c>
      <c r="F170" s="581">
        <f t="shared" si="27"/>
        <v>0</v>
      </c>
      <c r="G170" s="66"/>
      <c r="H170" s="66"/>
      <c r="I170" s="64">
        <v>0</v>
      </c>
      <c r="J170" s="64">
        <v>0</v>
      </c>
      <c r="K170" s="65">
        <f t="shared" si="22"/>
        <v>0</v>
      </c>
      <c r="L170" s="65">
        <f t="shared" si="23"/>
        <v>0</v>
      </c>
      <c r="M170" s="84"/>
      <c r="N170" s="84"/>
      <c r="O170" s="65">
        <f t="shared" si="24"/>
        <v>0</v>
      </c>
      <c r="P170" s="65">
        <f t="shared" si="25"/>
        <v>0</v>
      </c>
      <c r="Q170" s="1" t="s">
        <v>343</v>
      </c>
      <c r="R170" s="1">
        <v>15</v>
      </c>
      <c r="S170" s="1" t="s">
        <v>344</v>
      </c>
    </row>
    <row r="171" spans="1:19" ht="15" customHeight="1">
      <c r="A171" s="16"/>
      <c r="B171" s="16"/>
      <c r="C171" s="16"/>
      <c r="D171" s="13" t="s">
        <v>345</v>
      </c>
      <c r="E171" s="581">
        <f t="shared" si="26"/>
        <v>0</v>
      </c>
      <c r="F171" s="581">
        <f t="shared" si="27"/>
        <v>0</v>
      </c>
      <c r="G171" s="66"/>
      <c r="H171" s="66"/>
      <c r="I171" s="64">
        <v>0</v>
      </c>
      <c r="J171" s="64">
        <v>0</v>
      </c>
      <c r="K171" s="65">
        <f t="shared" si="22"/>
        <v>0</v>
      </c>
      <c r="L171" s="65">
        <f t="shared" si="23"/>
        <v>0</v>
      </c>
      <c r="M171" s="84"/>
      <c r="N171" s="84"/>
      <c r="O171" s="65">
        <f t="shared" si="24"/>
        <v>0</v>
      </c>
      <c r="P171" s="65">
        <f t="shared" si="25"/>
        <v>0</v>
      </c>
    </row>
    <row r="172" spans="1:19" ht="15" customHeight="1">
      <c r="A172" s="16"/>
      <c r="B172" s="16"/>
      <c r="C172" s="16"/>
      <c r="D172" s="13" t="s">
        <v>346</v>
      </c>
      <c r="E172" s="581">
        <f t="shared" si="26"/>
        <v>0</v>
      </c>
      <c r="F172" s="581">
        <f t="shared" si="27"/>
        <v>0</v>
      </c>
      <c r="G172" s="66"/>
      <c r="H172" s="66"/>
      <c r="I172" s="64">
        <v>0</v>
      </c>
      <c r="J172" s="64">
        <v>0</v>
      </c>
      <c r="K172" s="65">
        <f t="shared" si="22"/>
        <v>0</v>
      </c>
      <c r="L172" s="65">
        <f t="shared" si="23"/>
        <v>0</v>
      </c>
      <c r="M172" s="84"/>
      <c r="N172" s="84"/>
      <c r="O172" s="65">
        <f t="shared" si="24"/>
        <v>0</v>
      </c>
      <c r="P172" s="65">
        <f t="shared" si="25"/>
        <v>0</v>
      </c>
      <c r="Q172" s="1" t="s">
        <v>347</v>
      </c>
      <c r="R172" s="1">
        <v>15</v>
      </c>
      <c r="S172" s="1" t="s">
        <v>344</v>
      </c>
    </row>
    <row r="173" spans="1:19" ht="15" customHeight="1">
      <c r="A173" s="16"/>
      <c r="B173" s="16"/>
      <c r="C173" s="18" t="s">
        <v>348</v>
      </c>
      <c r="D173" s="12"/>
      <c r="E173" s="581">
        <f t="shared" si="26"/>
        <v>0</v>
      </c>
      <c r="F173" s="581">
        <f t="shared" si="27"/>
        <v>0</v>
      </c>
      <c r="G173" s="66"/>
      <c r="H173" s="66"/>
      <c r="I173" s="64"/>
      <c r="J173" s="64"/>
      <c r="K173" s="65">
        <f t="shared" si="22"/>
        <v>0</v>
      </c>
      <c r="L173" s="65">
        <f t="shared" si="23"/>
        <v>0</v>
      </c>
      <c r="M173" s="84"/>
      <c r="N173" s="84"/>
      <c r="O173" s="65">
        <f t="shared" si="24"/>
        <v>0</v>
      </c>
      <c r="P173" s="65">
        <f t="shared" si="25"/>
        <v>0</v>
      </c>
    </row>
    <row r="174" spans="1:19" ht="15" customHeight="1">
      <c r="A174" s="16"/>
      <c r="B174" s="16"/>
      <c r="C174" s="16"/>
      <c r="D174" s="13" t="s">
        <v>348</v>
      </c>
      <c r="E174" s="581">
        <f t="shared" si="26"/>
        <v>0</v>
      </c>
      <c r="F174" s="581">
        <f t="shared" si="27"/>
        <v>0</v>
      </c>
      <c r="G174" s="66"/>
      <c r="H174" s="66"/>
      <c r="I174" s="64">
        <v>0</v>
      </c>
      <c r="J174" s="64">
        <v>0</v>
      </c>
      <c r="K174" s="65">
        <f t="shared" si="22"/>
        <v>0</v>
      </c>
      <c r="L174" s="65">
        <f t="shared" si="23"/>
        <v>0</v>
      </c>
      <c r="M174" s="84"/>
      <c r="N174" s="84"/>
      <c r="O174" s="65">
        <f t="shared" si="24"/>
        <v>0</v>
      </c>
      <c r="P174" s="65">
        <f t="shared" si="25"/>
        <v>0</v>
      </c>
      <c r="Q174" s="1" t="s">
        <v>349</v>
      </c>
      <c r="R174" s="1">
        <v>15</v>
      </c>
      <c r="S174" s="1" t="s">
        <v>344</v>
      </c>
    </row>
    <row r="175" spans="1:19" ht="15" customHeight="1">
      <c r="A175" s="16"/>
      <c r="B175" s="16"/>
      <c r="C175" s="18" t="s">
        <v>350</v>
      </c>
      <c r="D175" s="12"/>
      <c r="E175" s="581">
        <f t="shared" si="26"/>
        <v>0</v>
      </c>
      <c r="F175" s="581">
        <f t="shared" si="27"/>
        <v>0</v>
      </c>
      <c r="G175" s="66"/>
      <c r="H175" s="66"/>
      <c r="I175" s="64"/>
      <c r="J175" s="64"/>
      <c r="K175" s="65">
        <f t="shared" si="22"/>
        <v>0</v>
      </c>
      <c r="L175" s="65">
        <f t="shared" si="23"/>
        <v>0</v>
      </c>
      <c r="M175" s="84"/>
      <c r="N175" s="84"/>
      <c r="O175" s="65">
        <f t="shared" si="24"/>
        <v>0</v>
      </c>
      <c r="P175" s="65">
        <f t="shared" si="25"/>
        <v>0</v>
      </c>
    </row>
    <row r="176" spans="1:19" ht="15" customHeight="1">
      <c r="A176" s="16"/>
      <c r="B176" s="16"/>
      <c r="C176" s="16"/>
      <c r="D176" s="13" t="s">
        <v>350</v>
      </c>
      <c r="E176" s="581">
        <f t="shared" si="26"/>
        <v>0</v>
      </c>
      <c r="F176" s="581">
        <f t="shared" si="27"/>
        <v>0</v>
      </c>
      <c r="G176" s="66"/>
      <c r="H176" s="66"/>
      <c r="I176" s="64">
        <v>0</v>
      </c>
      <c r="J176" s="64">
        <v>0</v>
      </c>
      <c r="K176" s="65">
        <f t="shared" si="22"/>
        <v>0</v>
      </c>
      <c r="L176" s="65">
        <f t="shared" si="23"/>
        <v>0</v>
      </c>
      <c r="M176" s="84"/>
      <c r="N176" s="84"/>
      <c r="O176" s="65">
        <f t="shared" si="24"/>
        <v>0</v>
      </c>
      <c r="P176" s="65">
        <f t="shared" si="25"/>
        <v>0</v>
      </c>
    </row>
    <row r="177" spans="1:20" ht="15" customHeight="1">
      <c r="A177" s="16"/>
      <c r="B177" s="16"/>
      <c r="C177" s="18" t="s">
        <v>351</v>
      </c>
      <c r="D177" s="12"/>
      <c r="E177" s="581">
        <f t="shared" si="26"/>
        <v>0</v>
      </c>
      <c r="F177" s="581">
        <f t="shared" si="27"/>
        <v>0</v>
      </c>
      <c r="G177" s="66"/>
      <c r="H177" s="66"/>
      <c r="I177" s="64"/>
      <c r="J177" s="64"/>
      <c r="K177" s="65">
        <f t="shared" si="22"/>
        <v>0</v>
      </c>
      <c r="L177" s="65">
        <f t="shared" si="23"/>
        <v>0</v>
      </c>
      <c r="M177" s="84"/>
      <c r="N177" s="84"/>
      <c r="O177" s="65">
        <f t="shared" si="24"/>
        <v>0</v>
      </c>
      <c r="P177" s="65">
        <f t="shared" si="25"/>
        <v>0</v>
      </c>
    </row>
    <row r="178" spans="1:20" ht="15" customHeight="1">
      <c r="A178" s="16"/>
      <c r="B178" s="16"/>
      <c r="C178" s="16"/>
      <c r="D178" s="13" t="s">
        <v>351</v>
      </c>
      <c r="E178" s="581">
        <f>531750.374404804/(Deno)</f>
        <v>5.3175037440480395</v>
      </c>
      <c r="F178" s="581">
        <f t="shared" si="27"/>
        <v>0</v>
      </c>
      <c r="G178" s="66"/>
      <c r="H178" s="66"/>
      <c r="I178" s="64">
        <v>0</v>
      </c>
      <c r="J178" s="64">
        <v>72574.499999999971</v>
      </c>
      <c r="K178" s="65">
        <f t="shared" si="22"/>
        <v>0</v>
      </c>
      <c r="L178" s="65">
        <f t="shared" si="23"/>
        <v>72574.499999999971</v>
      </c>
      <c r="M178" s="84">
        <f>+'Audit entry'!D88</f>
        <v>86921.929173216209</v>
      </c>
      <c r="N178" s="84">
        <f>'Audit entry'!E109</f>
        <v>40722.076629000614</v>
      </c>
      <c r="O178" s="65">
        <f t="shared" si="24"/>
        <v>0</v>
      </c>
      <c r="P178" s="65">
        <f t="shared" si="25"/>
        <v>0.26374647455784378</v>
      </c>
      <c r="Q178" s="1" t="s">
        <v>352</v>
      </c>
      <c r="R178" s="1">
        <v>19</v>
      </c>
      <c r="S178" s="1" t="s">
        <v>353</v>
      </c>
      <c r="T178" s="3" t="s">
        <v>352</v>
      </c>
    </row>
    <row r="179" spans="1:20" ht="15" customHeight="1">
      <c r="A179" s="16"/>
      <c r="B179" s="16"/>
      <c r="C179" s="16"/>
      <c r="D179" s="13" t="s">
        <v>354</v>
      </c>
      <c r="E179" s="581">
        <f>0/(Deno)</f>
        <v>0</v>
      </c>
      <c r="F179" s="581">
        <f>173303.69/(Deno)</f>
        <v>1.7330369000000001</v>
      </c>
      <c r="G179" s="66"/>
      <c r="H179" s="66"/>
      <c r="I179" s="64">
        <v>0</v>
      </c>
      <c r="J179" s="64">
        <v>7546.2600000000011</v>
      </c>
      <c r="K179" s="65">
        <f t="shared" si="22"/>
        <v>0</v>
      </c>
      <c r="L179" s="65">
        <f t="shared" si="23"/>
        <v>7546.2600000000011</v>
      </c>
      <c r="M179" s="84"/>
      <c r="N179" s="84"/>
      <c r="O179" s="65">
        <f t="shared" si="24"/>
        <v>0</v>
      </c>
      <c r="P179" s="65">
        <f t="shared" si="25"/>
        <v>7.5462600000000005E-2</v>
      </c>
      <c r="Q179" s="1" t="s">
        <v>352</v>
      </c>
      <c r="R179" s="1">
        <v>19</v>
      </c>
      <c r="S179" s="1" t="s">
        <v>353</v>
      </c>
      <c r="T179" s="3" t="s">
        <v>352</v>
      </c>
    </row>
    <row r="180" spans="1:20" ht="15" customHeight="1">
      <c r="A180" s="16"/>
      <c r="B180" s="16"/>
      <c r="C180" s="18" t="s">
        <v>355</v>
      </c>
      <c r="D180" s="12"/>
      <c r="E180" s="581">
        <f>0/(Deno)</f>
        <v>0</v>
      </c>
      <c r="F180" s="581">
        <f t="shared" ref="F180:F185" si="28">0/(Deno)</f>
        <v>0</v>
      </c>
      <c r="G180" s="66"/>
      <c r="H180" s="66"/>
      <c r="I180" s="64"/>
      <c r="J180" s="64"/>
      <c r="K180" s="65">
        <f t="shared" si="22"/>
        <v>0</v>
      </c>
      <c r="L180" s="65">
        <f t="shared" si="23"/>
        <v>0</v>
      </c>
      <c r="M180" s="84"/>
      <c r="N180" s="84"/>
      <c r="O180" s="65">
        <f t="shared" si="24"/>
        <v>0</v>
      </c>
      <c r="P180" s="65">
        <f t="shared" si="25"/>
        <v>0</v>
      </c>
    </row>
    <row r="181" spans="1:20" ht="15" customHeight="1">
      <c r="A181" s="16"/>
      <c r="B181" s="16"/>
      <c r="C181" s="16"/>
      <c r="D181" s="13" t="s">
        <v>356</v>
      </c>
      <c r="E181" s="581">
        <f>0/(Deno)</f>
        <v>0</v>
      </c>
      <c r="F181" s="581">
        <f t="shared" si="28"/>
        <v>0</v>
      </c>
      <c r="G181" s="66"/>
      <c r="H181" s="66"/>
      <c r="I181" s="64">
        <v>0</v>
      </c>
      <c r="J181" s="64">
        <v>0</v>
      </c>
      <c r="K181" s="65">
        <f t="shared" si="22"/>
        <v>0</v>
      </c>
      <c r="L181" s="65">
        <f t="shared" si="23"/>
        <v>0</v>
      </c>
      <c r="M181" s="84"/>
      <c r="N181" s="84"/>
      <c r="O181" s="65">
        <f t="shared" si="24"/>
        <v>0</v>
      </c>
      <c r="P181" s="65">
        <f t="shared" si="25"/>
        <v>0</v>
      </c>
      <c r="Q181" s="1" t="s">
        <v>357</v>
      </c>
      <c r="R181" s="1">
        <v>15</v>
      </c>
      <c r="S181" s="1" t="s">
        <v>344</v>
      </c>
    </row>
    <row r="182" spans="1:20" ht="15" customHeight="1">
      <c r="A182" s="16"/>
      <c r="B182" s="16"/>
      <c r="C182" s="16"/>
      <c r="D182" s="13" t="s">
        <v>358</v>
      </c>
      <c r="E182" s="581">
        <f>40.51/(Deno)</f>
        <v>4.0509999999999998E-4</v>
      </c>
      <c r="F182" s="581">
        <f t="shared" si="28"/>
        <v>0</v>
      </c>
      <c r="G182" s="66"/>
      <c r="H182" s="66"/>
      <c r="I182" s="64">
        <v>826.73000000000116</v>
      </c>
      <c r="J182" s="64">
        <v>0</v>
      </c>
      <c r="K182" s="65">
        <f t="shared" si="22"/>
        <v>826.73000000000116</v>
      </c>
      <c r="L182" s="65">
        <f t="shared" si="23"/>
        <v>0</v>
      </c>
      <c r="M182" s="84">
        <v>2</v>
      </c>
      <c r="N182" s="84">
        <f>+'Audit entry'!E59</f>
        <v>0.96999999975931139</v>
      </c>
      <c r="O182" s="65">
        <f t="shared" si="24"/>
        <v>8.2776000000024177E-3</v>
      </c>
      <c r="P182" s="65">
        <f t="shared" si="25"/>
        <v>0</v>
      </c>
      <c r="Q182" s="1" t="s">
        <v>359</v>
      </c>
      <c r="R182" s="1">
        <v>19</v>
      </c>
      <c r="S182" s="1" t="s">
        <v>353</v>
      </c>
      <c r="T182" s="3" t="s">
        <v>360</v>
      </c>
    </row>
    <row r="183" spans="1:20" ht="15" customHeight="1">
      <c r="A183" s="16"/>
      <c r="B183" s="16"/>
      <c r="C183" s="16"/>
      <c r="D183" s="13" t="s">
        <v>361</v>
      </c>
      <c r="E183" s="581">
        <f t="shared" ref="E183:E190" si="29">0/(Deno)</f>
        <v>0</v>
      </c>
      <c r="F183" s="581">
        <f t="shared" si="28"/>
        <v>0</v>
      </c>
      <c r="G183" s="66"/>
      <c r="H183" s="66"/>
      <c r="I183" s="64">
        <v>0</v>
      </c>
      <c r="J183" s="64">
        <v>0</v>
      </c>
      <c r="K183" s="65">
        <f t="shared" si="22"/>
        <v>0</v>
      </c>
      <c r="L183" s="65">
        <f t="shared" si="23"/>
        <v>0</v>
      </c>
      <c r="M183" s="84"/>
      <c r="N183" s="84"/>
      <c r="O183" s="65">
        <f t="shared" si="24"/>
        <v>0</v>
      </c>
      <c r="P183" s="65">
        <f t="shared" si="25"/>
        <v>0</v>
      </c>
      <c r="Q183" s="1" t="s">
        <v>347</v>
      </c>
      <c r="R183" s="1">
        <v>15</v>
      </c>
      <c r="S183" s="1" t="s">
        <v>344</v>
      </c>
    </row>
    <row r="184" spans="1:20" ht="15" customHeight="1">
      <c r="A184" s="16"/>
      <c r="B184" s="16"/>
      <c r="C184" s="16"/>
      <c r="D184" s="13" t="s">
        <v>362</v>
      </c>
      <c r="E184" s="581">
        <f t="shared" si="29"/>
        <v>0</v>
      </c>
      <c r="F184" s="581">
        <f t="shared" si="28"/>
        <v>0</v>
      </c>
      <c r="G184" s="66"/>
      <c r="H184" s="66"/>
      <c r="I184" s="64">
        <v>0</v>
      </c>
      <c r="J184" s="64">
        <v>0</v>
      </c>
      <c r="K184" s="65">
        <f t="shared" si="22"/>
        <v>0</v>
      </c>
      <c r="L184" s="65">
        <f t="shared" si="23"/>
        <v>0</v>
      </c>
      <c r="M184" s="84"/>
      <c r="N184" s="84"/>
      <c r="O184" s="65">
        <f t="shared" si="24"/>
        <v>0</v>
      </c>
      <c r="P184" s="65">
        <f t="shared" si="25"/>
        <v>0</v>
      </c>
      <c r="Q184" s="1" t="s">
        <v>363</v>
      </c>
      <c r="R184" s="1">
        <v>15</v>
      </c>
      <c r="S184" s="1" t="s">
        <v>344</v>
      </c>
    </row>
    <row r="185" spans="1:20" ht="15" customHeight="1">
      <c r="A185" s="16"/>
      <c r="B185" s="16"/>
      <c r="C185" s="16"/>
      <c r="D185" s="39" t="s">
        <v>364</v>
      </c>
      <c r="E185" s="581">
        <f t="shared" si="29"/>
        <v>0</v>
      </c>
      <c r="F185" s="581">
        <f t="shared" si="28"/>
        <v>0</v>
      </c>
      <c r="G185" s="66"/>
      <c r="H185" s="66"/>
      <c r="I185" s="64">
        <v>0</v>
      </c>
      <c r="J185" s="64">
        <v>0</v>
      </c>
      <c r="K185" s="65">
        <f t="shared" si="22"/>
        <v>0</v>
      </c>
      <c r="L185" s="65">
        <f t="shared" si="23"/>
        <v>0</v>
      </c>
      <c r="M185" s="84"/>
      <c r="N185" s="84"/>
      <c r="O185" s="65">
        <f t="shared" si="24"/>
        <v>0</v>
      </c>
      <c r="P185" s="65">
        <f t="shared" si="25"/>
        <v>0</v>
      </c>
      <c r="Q185" s="1" t="s">
        <v>365</v>
      </c>
      <c r="R185" s="1">
        <v>15</v>
      </c>
      <c r="S185" s="1" t="s">
        <v>344</v>
      </c>
    </row>
    <row r="186" spans="1:20" ht="15" customHeight="1">
      <c r="A186" s="16"/>
      <c r="B186" s="16"/>
      <c r="C186" s="16"/>
      <c r="D186" s="29" t="s">
        <v>366</v>
      </c>
      <c r="E186" s="581">
        <f t="shared" si="29"/>
        <v>0</v>
      </c>
      <c r="F186" s="581">
        <f>4656197.01/(Deno)</f>
        <v>46.561970099999996</v>
      </c>
      <c r="G186" s="66"/>
      <c r="H186" s="66"/>
      <c r="I186" s="64">
        <v>0</v>
      </c>
      <c r="J186" s="64">
        <v>2192403.5499999998</v>
      </c>
      <c r="K186" s="65">
        <f t="shared" si="22"/>
        <v>0</v>
      </c>
      <c r="L186" s="65">
        <f t="shared" si="23"/>
        <v>2192403.5499999998</v>
      </c>
      <c r="M186" s="84"/>
      <c r="N186" s="84">
        <v>4081269.3</v>
      </c>
      <c r="O186" s="65">
        <f t="shared" si="24"/>
        <v>0</v>
      </c>
      <c r="P186" s="628">
        <f t="shared" si="25"/>
        <v>62.736728499999998</v>
      </c>
      <c r="Q186" s="31" t="s">
        <v>367</v>
      </c>
      <c r="R186" s="1">
        <v>15</v>
      </c>
      <c r="S186" s="31" t="s">
        <v>344</v>
      </c>
      <c r="T186" s="32"/>
    </row>
    <row r="187" spans="1:20" ht="15" customHeight="1">
      <c r="A187" s="16"/>
      <c r="B187" s="16"/>
      <c r="C187" s="16"/>
      <c r="D187" s="13" t="s">
        <v>340</v>
      </c>
      <c r="E187" s="581">
        <f t="shared" si="29"/>
        <v>0</v>
      </c>
      <c r="F187" s="581">
        <f t="shared" ref="F187:F218" si="30">0/(Deno)</f>
        <v>0</v>
      </c>
      <c r="G187" s="66"/>
      <c r="H187" s="66"/>
      <c r="I187" s="64">
        <v>0</v>
      </c>
      <c r="J187" s="64">
        <v>0</v>
      </c>
      <c r="K187" s="65">
        <f t="shared" si="22"/>
        <v>0</v>
      </c>
      <c r="L187" s="65">
        <f t="shared" si="23"/>
        <v>0</v>
      </c>
      <c r="M187" s="84"/>
      <c r="N187" s="84"/>
      <c r="O187" s="65">
        <f t="shared" si="24"/>
        <v>0</v>
      </c>
      <c r="P187" s="65">
        <f t="shared" si="25"/>
        <v>0</v>
      </c>
      <c r="Q187" s="1" t="s">
        <v>365</v>
      </c>
      <c r="R187" s="1">
        <v>15</v>
      </c>
      <c r="S187" s="1" t="s">
        <v>344</v>
      </c>
    </row>
    <row r="188" spans="1:20" ht="15" customHeight="1">
      <c r="A188" s="15" t="s">
        <v>368</v>
      </c>
      <c r="B188" s="15"/>
      <c r="C188" s="15"/>
      <c r="D188" s="12"/>
      <c r="E188" s="581">
        <f t="shared" si="29"/>
        <v>0</v>
      </c>
      <c r="F188" s="581">
        <f t="shared" si="30"/>
        <v>0</v>
      </c>
      <c r="G188" s="66"/>
      <c r="H188" s="66"/>
      <c r="I188" s="64"/>
      <c r="J188" s="64"/>
      <c r="K188" s="65">
        <f t="shared" si="22"/>
        <v>0</v>
      </c>
      <c r="L188" s="65">
        <f t="shared" si="23"/>
        <v>0</v>
      </c>
      <c r="M188" s="84"/>
      <c r="N188" s="84"/>
      <c r="O188" s="65">
        <f t="shared" si="24"/>
        <v>0</v>
      </c>
      <c r="P188" s="65">
        <f t="shared" si="25"/>
        <v>0</v>
      </c>
    </row>
    <row r="189" spans="1:20" ht="15" customHeight="1">
      <c r="A189" s="16"/>
      <c r="B189" s="17" t="s">
        <v>369</v>
      </c>
      <c r="C189" s="17"/>
      <c r="D189" s="12"/>
      <c r="E189" s="581">
        <f t="shared" si="29"/>
        <v>0</v>
      </c>
      <c r="F189" s="581">
        <f t="shared" si="30"/>
        <v>0</v>
      </c>
      <c r="G189" s="66"/>
      <c r="H189" s="66"/>
      <c r="I189" s="64"/>
      <c r="J189" s="64"/>
      <c r="K189" s="65">
        <f t="shared" si="22"/>
        <v>0</v>
      </c>
      <c r="L189" s="65">
        <f t="shared" si="23"/>
        <v>0</v>
      </c>
      <c r="M189" s="84"/>
      <c r="N189" s="84"/>
      <c r="O189" s="65">
        <f t="shared" si="24"/>
        <v>0</v>
      </c>
      <c r="P189" s="65">
        <f t="shared" si="25"/>
        <v>0</v>
      </c>
    </row>
    <row r="190" spans="1:20" ht="15" customHeight="1">
      <c r="A190" s="16"/>
      <c r="B190" s="16"/>
      <c r="C190" s="18" t="s">
        <v>370</v>
      </c>
      <c r="D190" s="12"/>
      <c r="E190" s="581">
        <f t="shared" si="29"/>
        <v>0</v>
      </c>
      <c r="F190" s="581">
        <f t="shared" si="30"/>
        <v>0</v>
      </c>
      <c r="G190" s="66"/>
      <c r="H190" s="66"/>
      <c r="I190" s="64"/>
      <c r="J190" s="64"/>
      <c r="K190" s="65">
        <f t="shared" si="22"/>
        <v>0</v>
      </c>
      <c r="L190" s="65">
        <f t="shared" si="23"/>
        <v>0</v>
      </c>
      <c r="M190" s="84"/>
      <c r="N190" s="84"/>
      <c r="O190" s="65">
        <f t="shared" si="24"/>
        <v>0</v>
      </c>
      <c r="P190" s="65">
        <f t="shared" si="25"/>
        <v>0</v>
      </c>
    </row>
    <row r="191" spans="1:20" ht="15" customHeight="1">
      <c r="A191" s="16"/>
      <c r="B191" s="16"/>
      <c r="C191" s="16"/>
      <c r="D191" s="13" t="s">
        <v>371</v>
      </c>
      <c r="E191" s="581">
        <f>58823.39/(Deno)</f>
        <v>0.58823389999999998</v>
      </c>
      <c r="F191" s="581">
        <f t="shared" si="30"/>
        <v>0</v>
      </c>
      <c r="G191" s="66"/>
      <c r="H191" s="66"/>
      <c r="I191" s="64">
        <v>3213851.1099999994</v>
      </c>
      <c r="J191" s="64">
        <v>0</v>
      </c>
      <c r="K191" s="65">
        <f t="shared" si="22"/>
        <v>3213851.1099999994</v>
      </c>
      <c r="L191" s="65">
        <f t="shared" si="23"/>
        <v>0</v>
      </c>
      <c r="M191" s="84"/>
      <c r="N191" s="84"/>
      <c r="O191" s="65">
        <f t="shared" si="24"/>
        <v>32.138511099999995</v>
      </c>
      <c r="P191" s="65">
        <f t="shared" si="25"/>
        <v>0</v>
      </c>
      <c r="Q191" s="1" t="s">
        <v>372</v>
      </c>
      <c r="R191" s="1">
        <v>16</v>
      </c>
      <c r="S191" s="1" t="s">
        <v>373</v>
      </c>
    </row>
    <row r="192" spans="1:20" ht="15" customHeight="1">
      <c r="A192" s="16"/>
      <c r="B192" s="16"/>
      <c r="C192" s="16"/>
      <c r="D192" s="13" t="s">
        <v>374</v>
      </c>
      <c r="E192" s="581">
        <f>0/(Deno)</f>
        <v>0</v>
      </c>
      <c r="F192" s="581">
        <f t="shared" si="30"/>
        <v>0</v>
      </c>
      <c r="G192" s="66"/>
      <c r="H192" s="66"/>
      <c r="I192" s="64">
        <v>0</v>
      </c>
      <c r="J192" s="64">
        <v>0</v>
      </c>
      <c r="K192" s="65">
        <f t="shared" si="22"/>
        <v>0</v>
      </c>
      <c r="L192" s="65">
        <f t="shared" si="23"/>
        <v>0</v>
      </c>
      <c r="M192" s="84"/>
      <c r="N192" s="84"/>
      <c r="O192" s="65">
        <f t="shared" si="24"/>
        <v>0</v>
      </c>
      <c r="P192" s="65">
        <f t="shared" si="25"/>
        <v>0</v>
      </c>
      <c r="Q192" s="1" t="s">
        <v>372</v>
      </c>
      <c r="R192" s="1">
        <v>16</v>
      </c>
      <c r="S192" s="1" t="s">
        <v>373</v>
      </c>
    </row>
    <row r="193" spans="1:19" ht="15" customHeight="1">
      <c r="A193" s="16"/>
      <c r="B193" s="16"/>
      <c r="C193" s="16"/>
      <c r="D193" s="13" t="s">
        <v>375</v>
      </c>
      <c r="E193" s="581">
        <f>41694803.13/(Deno)</f>
        <v>416.94803130000003</v>
      </c>
      <c r="F193" s="581">
        <f t="shared" si="30"/>
        <v>0</v>
      </c>
      <c r="G193" s="66"/>
      <c r="H193" s="66"/>
      <c r="I193" s="64">
        <v>114375960.40999998</v>
      </c>
      <c r="J193" s="64">
        <v>0</v>
      </c>
      <c r="K193" s="65">
        <f t="shared" si="22"/>
        <v>114375960.40999998</v>
      </c>
      <c r="L193" s="65">
        <f t="shared" si="23"/>
        <v>0</v>
      </c>
      <c r="M193" s="84"/>
      <c r="N193" s="84"/>
      <c r="O193" s="65">
        <f t="shared" si="24"/>
        <v>1143.7596040999997</v>
      </c>
      <c r="P193" s="65">
        <f t="shared" si="25"/>
        <v>0</v>
      </c>
      <c r="Q193" s="1" t="s">
        <v>372</v>
      </c>
      <c r="R193" s="1">
        <v>16</v>
      </c>
      <c r="S193" s="1" t="s">
        <v>373</v>
      </c>
    </row>
    <row r="194" spans="1:19" ht="15" customHeight="1">
      <c r="A194" s="16"/>
      <c r="B194" s="16"/>
      <c r="C194" s="16"/>
      <c r="D194" s="13" t="s">
        <v>376</v>
      </c>
      <c r="E194" s="581">
        <f>144000/(Deno)</f>
        <v>1.44</v>
      </c>
      <c r="F194" s="581">
        <f t="shared" si="30"/>
        <v>0</v>
      </c>
      <c r="G194" s="66"/>
      <c r="H194" s="66"/>
      <c r="I194" s="64">
        <v>16500</v>
      </c>
      <c r="J194" s="64">
        <v>0</v>
      </c>
      <c r="K194" s="65">
        <f t="shared" si="22"/>
        <v>16500</v>
      </c>
      <c r="L194" s="65">
        <f t="shared" si="23"/>
        <v>0</v>
      </c>
      <c r="M194" s="84"/>
      <c r="N194" s="84"/>
      <c r="O194" s="65">
        <f t="shared" si="24"/>
        <v>0.16500000000000001</v>
      </c>
      <c r="P194" s="65">
        <f t="shared" si="25"/>
        <v>0</v>
      </c>
      <c r="Q194" s="1" t="s">
        <v>372</v>
      </c>
      <c r="R194" s="1">
        <v>16</v>
      </c>
      <c r="S194" s="1" t="s">
        <v>373</v>
      </c>
    </row>
    <row r="195" spans="1:19" ht="15" customHeight="1">
      <c r="A195" s="16"/>
      <c r="B195" s="16"/>
      <c r="C195" s="16"/>
      <c r="D195" s="13" t="s">
        <v>377</v>
      </c>
      <c r="E195" s="581">
        <f>0/(Deno)</f>
        <v>0</v>
      </c>
      <c r="F195" s="581">
        <f t="shared" si="30"/>
        <v>0</v>
      </c>
      <c r="G195" s="66"/>
      <c r="H195" s="66"/>
      <c r="I195" s="64">
        <v>0</v>
      </c>
      <c r="J195" s="64">
        <v>0</v>
      </c>
      <c r="K195" s="65">
        <f t="shared" si="22"/>
        <v>0</v>
      </c>
      <c r="L195" s="65">
        <f t="shared" si="23"/>
        <v>0</v>
      </c>
      <c r="M195" s="84"/>
      <c r="N195" s="84"/>
      <c r="O195" s="65">
        <f t="shared" si="24"/>
        <v>0</v>
      </c>
      <c r="P195" s="65">
        <f t="shared" si="25"/>
        <v>0</v>
      </c>
      <c r="Q195" s="1" t="s">
        <v>372</v>
      </c>
      <c r="R195" s="1">
        <v>16</v>
      </c>
      <c r="S195" s="1" t="s">
        <v>373</v>
      </c>
    </row>
    <row r="196" spans="1:19" ht="15" customHeight="1">
      <c r="A196" s="16"/>
      <c r="B196" s="16"/>
      <c r="C196" s="16"/>
      <c r="D196" s="13" t="s">
        <v>378</v>
      </c>
      <c r="E196" s="581">
        <f>0/(Deno)</f>
        <v>0</v>
      </c>
      <c r="F196" s="581">
        <f t="shared" si="30"/>
        <v>0</v>
      </c>
      <c r="G196" s="66"/>
      <c r="H196" s="66"/>
      <c r="I196" s="64">
        <v>0</v>
      </c>
      <c r="J196" s="64">
        <v>0</v>
      </c>
      <c r="K196" s="65">
        <f t="shared" si="22"/>
        <v>0</v>
      </c>
      <c r="L196" s="65">
        <f t="shared" si="23"/>
        <v>0</v>
      </c>
      <c r="M196" s="84"/>
      <c r="N196" s="84"/>
      <c r="O196" s="65">
        <f t="shared" si="24"/>
        <v>0</v>
      </c>
      <c r="P196" s="65">
        <f t="shared" si="25"/>
        <v>0</v>
      </c>
      <c r="Q196" s="1" t="s">
        <v>372</v>
      </c>
      <c r="R196" s="1">
        <v>16</v>
      </c>
      <c r="S196" s="1" t="s">
        <v>373</v>
      </c>
    </row>
    <row r="197" spans="1:19" ht="15" customHeight="1">
      <c r="A197" s="16"/>
      <c r="B197" s="16"/>
      <c r="C197" s="16"/>
      <c r="D197" s="13" t="s">
        <v>379</v>
      </c>
      <c r="E197" s="581">
        <f>0/(Deno)</f>
        <v>0</v>
      </c>
      <c r="F197" s="581">
        <f t="shared" si="30"/>
        <v>0</v>
      </c>
      <c r="G197" s="66"/>
      <c r="H197" s="66"/>
      <c r="I197" s="64">
        <v>0</v>
      </c>
      <c r="J197" s="64">
        <v>0</v>
      </c>
      <c r="K197" s="65">
        <f t="shared" si="22"/>
        <v>0</v>
      </c>
      <c r="L197" s="65">
        <f t="shared" si="23"/>
        <v>0</v>
      </c>
      <c r="M197" s="84"/>
      <c r="N197" s="84"/>
      <c r="O197" s="65">
        <f t="shared" si="24"/>
        <v>0</v>
      </c>
      <c r="P197" s="65">
        <f t="shared" si="25"/>
        <v>0</v>
      </c>
      <c r="Q197" s="1" t="s">
        <v>372</v>
      </c>
      <c r="R197" s="1">
        <v>16</v>
      </c>
      <c r="S197" s="1" t="s">
        <v>373</v>
      </c>
    </row>
    <row r="198" spans="1:19" ht="15" customHeight="1">
      <c r="A198" s="16"/>
      <c r="B198" s="16"/>
      <c r="C198" s="18" t="s">
        <v>380</v>
      </c>
      <c r="D198" s="12"/>
      <c r="E198" s="581">
        <f>0/(Deno)</f>
        <v>0</v>
      </c>
      <c r="F198" s="581">
        <f t="shared" si="30"/>
        <v>0</v>
      </c>
      <c r="G198" s="66"/>
      <c r="H198" s="66"/>
      <c r="I198" s="64"/>
      <c r="J198" s="64"/>
      <c r="K198" s="65">
        <f t="shared" si="22"/>
        <v>0</v>
      </c>
      <c r="L198" s="65">
        <f t="shared" si="23"/>
        <v>0</v>
      </c>
      <c r="M198" s="84"/>
      <c r="N198" s="84"/>
      <c r="O198" s="65">
        <f t="shared" si="24"/>
        <v>0</v>
      </c>
      <c r="P198" s="65">
        <f t="shared" si="25"/>
        <v>0</v>
      </c>
    </row>
    <row r="199" spans="1:19" ht="15" customHeight="1">
      <c r="A199" s="16"/>
      <c r="B199" s="16"/>
      <c r="C199" s="16"/>
      <c r="D199" s="13" t="s">
        <v>381</v>
      </c>
      <c r="E199" s="581">
        <f>8092011.93/(Deno)</f>
        <v>80.920119299999996</v>
      </c>
      <c r="F199" s="581">
        <f t="shared" si="30"/>
        <v>0</v>
      </c>
      <c r="G199" s="66"/>
      <c r="H199" s="66"/>
      <c r="I199" s="64">
        <v>22408406.379999999</v>
      </c>
      <c r="J199" s="64">
        <v>0</v>
      </c>
      <c r="K199" s="65">
        <f t="shared" si="22"/>
        <v>22408406.379999999</v>
      </c>
      <c r="L199" s="65">
        <f t="shared" si="23"/>
        <v>0</v>
      </c>
      <c r="M199" s="84"/>
      <c r="N199" s="84"/>
      <c r="O199" s="65">
        <f t="shared" si="24"/>
        <v>224.0840638</v>
      </c>
      <c r="P199" s="65">
        <f t="shared" si="25"/>
        <v>0</v>
      </c>
      <c r="Q199" s="1" t="s">
        <v>382</v>
      </c>
      <c r="R199" s="1">
        <v>16</v>
      </c>
      <c r="S199" s="1" t="s">
        <v>373</v>
      </c>
    </row>
    <row r="200" spans="1:19" ht="15" customHeight="1">
      <c r="A200" s="16"/>
      <c r="B200" s="16"/>
      <c r="C200" s="16"/>
      <c r="D200" s="13" t="s">
        <v>383</v>
      </c>
      <c r="E200" s="581">
        <f>4477178.89/(Deno)</f>
        <v>44.771788899999997</v>
      </c>
      <c r="F200" s="581">
        <f t="shared" si="30"/>
        <v>0</v>
      </c>
      <c r="G200" s="66"/>
      <c r="H200" s="66"/>
      <c r="I200" s="64">
        <v>1679331.46</v>
      </c>
      <c r="J200" s="64">
        <v>0</v>
      </c>
      <c r="K200" s="65">
        <f t="shared" si="22"/>
        <v>1679331.46</v>
      </c>
      <c r="L200" s="65">
        <f t="shared" si="23"/>
        <v>0</v>
      </c>
      <c r="M200" s="84"/>
      <c r="N200" s="84"/>
      <c r="O200" s="65">
        <f t="shared" si="24"/>
        <v>16.793314599999999</v>
      </c>
      <c r="P200" s="65">
        <f t="shared" si="25"/>
        <v>0</v>
      </c>
      <c r="Q200" s="1" t="s">
        <v>382</v>
      </c>
      <c r="R200" s="1">
        <v>16</v>
      </c>
      <c r="S200" s="1" t="s">
        <v>373</v>
      </c>
    </row>
    <row r="201" spans="1:19" ht="15" customHeight="1">
      <c r="A201" s="16"/>
      <c r="B201" s="16"/>
      <c r="C201" s="18" t="s">
        <v>384</v>
      </c>
      <c r="D201" s="12"/>
      <c r="E201" s="581">
        <f>0/(Deno)</f>
        <v>0</v>
      </c>
      <c r="F201" s="581">
        <f t="shared" si="30"/>
        <v>0</v>
      </c>
      <c r="G201" s="66"/>
      <c r="H201" s="66"/>
      <c r="I201" s="64"/>
      <c r="J201" s="64"/>
      <c r="K201" s="65">
        <f t="shared" si="22"/>
        <v>0</v>
      </c>
      <c r="L201" s="65">
        <f t="shared" si="23"/>
        <v>0</v>
      </c>
      <c r="M201" s="84"/>
      <c r="N201" s="84"/>
      <c r="O201" s="65">
        <f t="shared" si="24"/>
        <v>0</v>
      </c>
      <c r="P201" s="65">
        <f t="shared" si="25"/>
        <v>0</v>
      </c>
    </row>
    <row r="202" spans="1:19" ht="15" customHeight="1">
      <c r="A202" s="16"/>
      <c r="B202" s="16"/>
      <c r="C202" s="16"/>
      <c r="D202" s="13" t="s">
        <v>385</v>
      </c>
      <c r="E202" s="581">
        <f>59305508.2600001/(Deno)</f>
        <v>593.05508260000101</v>
      </c>
      <c r="F202" s="581">
        <f t="shared" si="30"/>
        <v>0</v>
      </c>
      <c r="G202" s="66"/>
      <c r="H202" s="66"/>
      <c r="I202" s="64">
        <v>65618240.920000024</v>
      </c>
      <c r="J202" s="64">
        <v>0</v>
      </c>
      <c r="K202" s="65">
        <f t="shared" ref="K202:K265" si="31">+IF((G202+I202-H202-J202&gt;0),G202+I202-H202-J202,0)</f>
        <v>65618240.920000024</v>
      </c>
      <c r="L202" s="65">
        <f t="shared" ref="L202:L265" si="32">+IF((H202+J202-G202-I202)&gt;0,H202+J202-G202-I202,0)</f>
        <v>0</v>
      </c>
      <c r="M202" s="84"/>
      <c r="N202" s="84"/>
      <c r="O202" s="65">
        <f t="shared" ref="O202:O265" si="33">+IF((K202+M202-L202-N202&gt;0),K202+M202-L202-N202,0)/Deno</f>
        <v>656.18240920000028</v>
      </c>
      <c r="P202" s="65">
        <f t="shared" ref="P202:P265" si="34">+IF((L202+N202-K202-M202)&gt;0,L202+N202-K202-M202,0)/Deno</f>
        <v>0</v>
      </c>
      <c r="Q202" s="1" t="s">
        <v>386</v>
      </c>
      <c r="R202" s="1">
        <v>16</v>
      </c>
      <c r="S202" s="1" t="s">
        <v>373</v>
      </c>
    </row>
    <row r="203" spans="1:19" ht="15" customHeight="1">
      <c r="A203" s="16"/>
      <c r="B203" s="16"/>
      <c r="C203" s="18" t="s">
        <v>387</v>
      </c>
      <c r="D203" s="12"/>
      <c r="E203" s="581">
        <f>0/(Deno)</f>
        <v>0</v>
      </c>
      <c r="F203" s="581">
        <f t="shared" si="30"/>
        <v>0</v>
      </c>
      <c r="G203" s="66"/>
      <c r="H203" s="66"/>
      <c r="I203" s="64"/>
      <c r="J203" s="64"/>
      <c r="K203" s="65">
        <f t="shared" si="31"/>
        <v>0</v>
      </c>
      <c r="L203" s="65">
        <f t="shared" si="32"/>
        <v>0</v>
      </c>
      <c r="M203" s="84"/>
      <c r="N203" s="84"/>
      <c r="O203" s="65">
        <f t="shared" si="33"/>
        <v>0</v>
      </c>
      <c r="P203" s="65">
        <f t="shared" si="34"/>
        <v>0</v>
      </c>
    </row>
    <row r="204" spans="1:19" ht="15" customHeight="1">
      <c r="A204" s="16"/>
      <c r="B204" s="16"/>
      <c r="C204" s="16"/>
      <c r="D204" s="13" t="s">
        <v>388</v>
      </c>
      <c r="E204" s="581">
        <f>7901399.71999999/(Deno)</f>
        <v>79.013997199999906</v>
      </c>
      <c r="F204" s="581">
        <f t="shared" si="30"/>
        <v>0</v>
      </c>
      <c r="G204" s="66"/>
      <c r="H204" s="66"/>
      <c r="I204" s="64">
        <v>8054463.0599999968</v>
      </c>
      <c r="J204" s="64">
        <v>0</v>
      </c>
      <c r="K204" s="65">
        <f t="shared" si="31"/>
        <v>8054463.0599999968</v>
      </c>
      <c r="L204" s="65">
        <f t="shared" si="32"/>
        <v>0</v>
      </c>
      <c r="M204" s="84"/>
      <c r="N204" s="84"/>
      <c r="O204" s="65">
        <f t="shared" si="33"/>
        <v>80.544630599999962</v>
      </c>
      <c r="P204" s="65">
        <f t="shared" si="34"/>
        <v>0</v>
      </c>
      <c r="Q204" s="1" t="s">
        <v>389</v>
      </c>
      <c r="R204" s="1">
        <v>16</v>
      </c>
      <c r="S204" s="1" t="s">
        <v>373</v>
      </c>
    </row>
    <row r="205" spans="1:19" ht="15" customHeight="1">
      <c r="A205" s="16"/>
      <c r="B205" s="17" t="s">
        <v>390</v>
      </c>
      <c r="C205" s="17"/>
      <c r="D205" s="12"/>
      <c r="E205" s="581">
        <f>0/(Deno)</f>
        <v>0</v>
      </c>
      <c r="F205" s="581">
        <f t="shared" si="30"/>
        <v>0</v>
      </c>
      <c r="G205" s="66"/>
      <c r="H205" s="66"/>
      <c r="I205" s="64"/>
      <c r="J205" s="64"/>
      <c r="K205" s="65">
        <f t="shared" si="31"/>
        <v>0</v>
      </c>
      <c r="L205" s="65">
        <f t="shared" si="32"/>
        <v>0</v>
      </c>
      <c r="M205" s="84"/>
      <c r="N205" s="84"/>
      <c r="O205" s="65">
        <f t="shared" si="33"/>
        <v>0</v>
      </c>
      <c r="P205" s="65">
        <f t="shared" si="34"/>
        <v>0</v>
      </c>
    </row>
    <row r="206" spans="1:19" ht="15" customHeight="1">
      <c r="A206" s="16"/>
      <c r="B206" s="16"/>
      <c r="C206" s="18" t="s">
        <v>391</v>
      </c>
      <c r="D206" s="12"/>
      <c r="E206" s="581">
        <f>0/(Deno)</f>
        <v>0</v>
      </c>
      <c r="F206" s="581">
        <f t="shared" si="30"/>
        <v>0</v>
      </c>
      <c r="G206" s="66"/>
      <c r="H206" s="66"/>
      <c r="I206" s="64"/>
      <c r="J206" s="64"/>
      <c r="K206" s="65">
        <f t="shared" si="31"/>
        <v>0</v>
      </c>
      <c r="L206" s="65">
        <f t="shared" si="32"/>
        <v>0</v>
      </c>
      <c r="M206" s="84"/>
      <c r="N206" s="84"/>
      <c r="O206" s="65">
        <f t="shared" si="33"/>
        <v>0</v>
      </c>
      <c r="P206" s="65">
        <f t="shared" si="34"/>
        <v>0</v>
      </c>
    </row>
    <row r="207" spans="1:19" ht="15" customHeight="1">
      <c r="A207" s="16"/>
      <c r="B207" s="16"/>
      <c r="C207" s="16"/>
      <c r="D207" s="13" t="s">
        <v>392</v>
      </c>
      <c r="E207" s="581">
        <f>13428935/(Deno)</f>
        <v>134.28935000000001</v>
      </c>
      <c r="F207" s="581">
        <f t="shared" si="30"/>
        <v>0</v>
      </c>
      <c r="G207" s="66"/>
      <c r="H207" s="66"/>
      <c r="I207" s="64">
        <v>14038003</v>
      </c>
      <c r="J207" s="64">
        <v>0</v>
      </c>
      <c r="K207" s="65">
        <f t="shared" si="31"/>
        <v>14038003</v>
      </c>
      <c r="L207" s="65">
        <f t="shared" si="32"/>
        <v>0</v>
      </c>
      <c r="M207" s="84"/>
      <c r="N207" s="84"/>
      <c r="O207" s="65">
        <f t="shared" si="33"/>
        <v>140.38003</v>
      </c>
      <c r="P207" s="65">
        <f t="shared" si="34"/>
        <v>0</v>
      </c>
      <c r="Q207" s="1" t="s">
        <v>393</v>
      </c>
      <c r="R207" s="1">
        <v>17</v>
      </c>
      <c r="S207" s="1" t="s">
        <v>394</v>
      </c>
    </row>
    <row r="208" spans="1:19" ht="15" customHeight="1">
      <c r="A208" s="16"/>
      <c r="B208" s="16"/>
      <c r="C208" s="16"/>
      <c r="D208" s="13" t="s">
        <v>395</v>
      </c>
      <c r="E208" s="581">
        <f t="shared" ref="E208:E216" si="35">0/(Deno)</f>
        <v>0</v>
      </c>
      <c r="F208" s="581">
        <f t="shared" si="30"/>
        <v>0</v>
      </c>
      <c r="G208" s="66"/>
      <c r="H208" s="66"/>
      <c r="I208" s="64">
        <v>0</v>
      </c>
      <c r="J208" s="64">
        <v>0</v>
      </c>
      <c r="K208" s="65">
        <f t="shared" si="31"/>
        <v>0</v>
      </c>
      <c r="L208" s="65">
        <f t="shared" si="32"/>
        <v>0</v>
      </c>
      <c r="M208" s="84"/>
      <c r="N208" s="84"/>
      <c r="O208" s="65">
        <f t="shared" si="33"/>
        <v>0</v>
      </c>
      <c r="P208" s="65">
        <f t="shared" si="34"/>
        <v>0</v>
      </c>
      <c r="Q208" s="1" t="s">
        <v>393</v>
      </c>
      <c r="R208" s="1">
        <v>17</v>
      </c>
      <c r="S208" s="1" t="s">
        <v>394</v>
      </c>
    </row>
    <row r="209" spans="1:16362" ht="15" customHeight="1">
      <c r="A209" s="21"/>
      <c r="B209" s="21"/>
      <c r="C209" s="21"/>
      <c r="D209" s="13" t="s">
        <v>396</v>
      </c>
      <c r="E209" s="581">
        <f t="shared" si="35"/>
        <v>0</v>
      </c>
      <c r="F209" s="581">
        <f t="shared" si="30"/>
        <v>0</v>
      </c>
      <c r="G209" s="67"/>
      <c r="H209" s="67"/>
      <c r="I209" s="64">
        <v>0</v>
      </c>
      <c r="J209" s="64">
        <v>0</v>
      </c>
      <c r="K209" s="65">
        <f t="shared" si="31"/>
        <v>0</v>
      </c>
      <c r="L209" s="65">
        <f t="shared" si="32"/>
        <v>0</v>
      </c>
      <c r="M209" s="84"/>
      <c r="N209" s="84"/>
      <c r="O209" s="65">
        <f t="shared" si="33"/>
        <v>0</v>
      </c>
      <c r="P209" s="65">
        <f t="shared" si="34"/>
        <v>0</v>
      </c>
      <c r="Q209" s="1" t="s">
        <v>393</v>
      </c>
      <c r="R209" s="1">
        <v>17</v>
      </c>
      <c r="S209" s="1" t="s">
        <v>394</v>
      </c>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c r="DM209" s="21"/>
      <c r="DN209" s="21"/>
      <c r="DO209" s="21"/>
      <c r="DP209" s="21"/>
      <c r="DQ209" s="21"/>
      <c r="DR209" s="21"/>
      <c r="DS209" s="21"/>
      <c r="DT209" s="21"/>
      <c r="DU209" s="21"/>
      <c r="DV209" s="21"/>
      <c r="DW209" s="21"/>
      <c r="DX209" s="21"/>
      <c r="DY209" s="21"/>
      <c r="DZ209" s="21"/>
      <c r="EA209" s="21"/>
      <c r="EB209" s="21"/>
      <c r="EC209" s="21"/>
      <c r="ED209" s="21"/>
      <c r="EE209" s="21"/>
      <c r="EF209" s="21"/>
      <c r="EG209" s="21"/>
      <c r="EH209" s="21"/>
      <c r="EI209" s="21"/>
      <c r="EJ209" s="21"/>
      <c r="EK209" s="21"/>
      <c r="EL209" s="21"/>
      <c r="EM209" s="21"/>
      <c r="EN209" s="21"/>
      <c r="EO209" s="21"/>
      <c r="EP209" s="21"/>
      <c r="EQ209" s="21"/>
      <c r="ER209" s="21"/>
      <c r="ES209" s="21"/>
      <c r="ET209" s="21"/>
      <c r="EU209" s="21"/>
      <c r="EV209" s="21"/>
      <c r="EW209" s="21"/>
      <c r="EX209" s="21"/>
      <c r="EY209" s="21"/>
      <c r="EZ209" s="21"/>
      <c r="FA209" s="21"/>
      <c r="FB209" s="21"/>
      <c r="FC209" s="21"/>
      <c r="FD209" s="21"/>
      <c r="FE209" s="21"/>
      <c r="FF209" s="21"/>
      <c r="FG209" s="21"/>
      <c r="FH209" s="21"/>
      <c r="FI209" s="21"/>
      <c r="FJ209" s="21"/>
      <c r="FK209" s="21"/>
      <c r="FL209" s="21"/>
      <c r="FM209" s="21"/>
      <c r="FN209" s="21"/>
      <c r="FO209" s="21"/>
      <c r="FP209" s="21"/>
      <c r="FQ209" s="21"/>
      <c r="FR209" s="21"/>
      <c r="FS209" s="21"/>
      <c r="FT209" s="21"/>
      <c r="FU209" s="21"/>
      <c r="FV209" s="21"/>
      <c r="FW209" s="21"/>
      <c r="FX209" s="21"/>
      <c r="FY209" s="21"/>
      <c r="FZ209" s="21"/>
      <c r="GA209" s="21"/>
      <c r="GB209" s="21"/>
      <c r="GC209" s="21"/>
      <c r="GD209" s="21"/>
      <c r="GE209" s="21"/>
      <c r="GF209" s="21"/>
      <c r="GG209" s="21"/>
      <c r="GH209" s="21"/>
      <c r="GI209" s="21"/>
      <c r="GJ209" s="21"/>
      <c r="GK209" s="21"/>
      <c r="GL209" s="21"/>
      <c r="GM209" s="21"/>
      <c r="GN209" s="21"/>
      <c r="GO209" s="21"/>
      <c r="GP209" s="21"/>
      <c r="GQ209" s="21"/>
      <c r="GR209" s="21"/>
      <c r="GS209" s="21"/>
      <c r="GT209" s="21"/>
      <c r="GU209" s="21"/>
      <c r="GV209" s="21"/>
      <c r="GW209" s="21"/>
      <c r="GX209" s="21"/>
      <c r="GY209" s="21"/>
      <c r="GZ209" s="21"/>
      <c r="HA209" s="21"/>
      <c r="HB209" s="21"/>
      <c r="HC209" s="21"/>
      <c r="HD209" s="21"/>
      <c r="HE209" s="21"/>
      <c r="HF209" s="21"/>
      <c r="HG209" s="21"/>
      <c r="HH209" s="21"/>
      <c r="HI209" s="21"/>
      <c r="HJ209" s="21"/>
      <c r="HK209" s="21"/>
      <c r="HL209" s="21"/>
      <c r="HM209" s="21"/>
      <c r="HN209" s="21"/>
      <c r="HO209" s="21"/>
      <c r="HP209" s="21"/>
      <c r="HQ209" s="21"/>
      <c r="HR209" s="21"/>
      <c r="HS209" s="21"/>
      <c r="HT209" s="21"/>
      <c r="HU209" s="21"/>
      <c r="HV209" s="21"/>
      <c r="HW209" s="21"/>
      <c r="HX209" s="21"/>
      <c r="HY209" s="21"/>
      <c r="HZ209" s="21"/>
      <c r="IA209" s="21"/>
      <c r="IB209" s="21"/>
      <c r="IC209" s="21"/>
      <c r="ID209" s="21"/>
      <c r="IE209" s="21"/>
      <c r="IF209" s="21"/>
      <c r="IG209" s="21"/>
      <c r="IH209" s="21"/>
      <c r="II209" s="21"/>
      <c r="IJ209" s="21"/>
      <c r="IK209" s="21"/>
      <c r="IL209" s="21"/>
      <c r="IM209" s="21"/>
      <c r="IN209" s="21"/>
      <c r="IO209" s="21"/>
      <c r="IP209" s="21"/>
      <c r="IQ209" s="21"/>
      <c r="IR209" s="21"/>
      <c r="IS209" s="21"/>
      <c r="IT209" s="21"/>
      <c r="IU209" s="21"/>
      <c r="IV209" s="21"/>
      <c r="IW209" s="21"/>
      <c r="IX209" s="21"/>
      <c r="IY209" s="21"/>
      <c r="IZ209" s="21"/>
      <c r="JA209" s="21"/>
      <c r="JB209" s="21"/>
      <c r="JC209" s="21"/>
      <c r="JD209" s="21"/>
      <c r="JE209" s="21"/>
      <c r="JF209" s="21"/>
      <c r="JG209" s="21"/>
      <c r="JH209" s="21"/>
      <c r="JI209" s="21"/>
      <c r="JJ209" s="21"/>
      <c r="JK209" s="21"/>
      <c r="JL209" s="21"/>
      <c r="JM209" s="21"/>
      <c r="JN209" s="21"/>
      <c r="JO209" s="21"/>
      <c r="JP209" s="21"/>
      <c r="JQ209" s="21"/>
      <c r="JR209" s="21"/>
      <c r="JS209" s="21"/>
      <c r="JT209" s="21"/>
      <c r="JU209" s="21"/>
      <c r="JV209" s="21"/>
      <c r="JW209" s="21"/>
      <c r="JX209" s="21"/>
      <c r="JY209" s="21"/>
      <c r="JZ209" s="21"/>
      <c r="KA209" s="21"/>
      <c r="KB209" s="21"/>
      <c r="KC209" s="21"/>
      <c r="KD209" s="21"/>
      <c r="KE209" s="21"/>
      <c r="KF209" s="21"/>
      <c r="KG209" s="21"/>
      <c r="KH209" s="21"/>
      <c r="KI209" s="21"/>
      <c r="KJ209" s="21"/>
      <c r="KK209" s="21"/>
      <c r="KL209" s="21"/>
      <c r="KM209" s="21"/>
      <c r="KN209" s="21"/>
      <c r="KO209" s="21"/>
      <c r="KP209" s="21"/>
      <c r="KQ209" s="21"/>
      <c r="KR209" s="21"/>
      <c r="KS209" s="21"/>
      <c r="KT209" s="21"/>
      <c r="KU209" s="21"/>
      <c r="KV209" s="21"/>
      <c r="KW209" s="21"/>
      <c r="KX209" s="21"/>
      <c r="KY209" s="21"/>
      <c r="KZ209" s="21"/>
      <c r="LA209" s="21"/>
      <c r="LB209" s="21"/>
      <c r="LC209" s="21"/>
      <c r="LD209" s="21"/>
      <c r="LE209" s="21"/>
      <c r="LF209" s="21"/>
      <c r="LG209" s="21"/>
      <c r="LH209" s="21"/>
      <c r="LI209" s="21"/>
      <c r="LJ209" s="21"/>
      <c r="LK209" s="21"/>
      <c r="LL209" s="21"/>
      <c r="LM209" s="21"/>
      <c r="LN209" s="21"/>
      <c r="LO209" s="21"/>
      <c r="LP209" s="21"/>
      <c r="LQ209" s="21"/>
      <c r="LR209" s="21"/>
      <c r="LS209" s="21"/>
      <c r="LT209" s="21"/>
      <c r="LU209" s="21"/>
      <c r="LV209" s="21"/>
      <c r="LW209" s="21"/>
      <c r="LX209" s="21"/>
      <c r="LY209" s="21"/>
      <c r="LZ209" s="21"/>
      <c r="MA209" s="21"/>
      <c r="MB209" s="21"/>
      <c r="MC209" s="21"/>
      <c r="MD209" s="21"/>
      <c r="ME209" s="21"/>
      <c r="MF209" s="21"/>
      <c r="MG209" s="21"/>
      <c r="MH209" s="21"/>
      <c r="MI209" s="21"/>
      <c r="MJ209" s="21"/>
      <c r="MK209" s="21"/>
      <c r="ML209" s="21"/>
      <c r="MM209" s="21"/>
      <c r="MN209" s="21"/>
      <c r="MO209" s="21"/>
      <c r="MP209" s="21"/>
      <c r="MQ209" s="21"/>
      <c r="MR209" s="21"/>
      <c r="MS209" s="21"/>
      <c r="MT209" s="21"/>
      <c r="MU209" s="21"/>
      <c r="MV209" s="21"/>
      <c r="MW209" s="21"/>
      <c r="MX209" s="21"/>
      <c r="MY209" s="21"/>
      <c r="MZ209" s="21"/>
      <c r="NA209" s="21"/>
      <c r="NB209" s="21"/>
      <c r="NC209" s="21"/>
      <c r="ND209" s="21"/>
      <c r="NE209" s="21"/>
      <c r="NF209" s="21"/>
      <c r="NG209" s="21"/>
      <c r="NH209" s="21"/>
      <c r="NI209" s="21"/>
      <c r="NJ209" s="21"/>
      <c r="NK209" s="21"/>
      <c r="NL209" s="21"/>
      <c r="NM209" s="21"/>
      <c r="NN209" s="21"/>
      <c r="NO209" s="21"/>
      <c r="NP209" s="21"/>
      <c r="NQ209" s="21"/>
      <c r="NR209" s="21"/>
      <c r="NS209" s="21"/>
      <c r="NT209" s="21"/>
      <c r="NU209" s="21"/>
      <c r="NV209" s="21"/>
      <c r="NW209" s="21"/>
      <c r="NX209" s="21"/>
      <c r="NY209" s="21"/>
      <c r="NZ209" s="21"/>
      <c r="OA209" s="21"/>
      <c r="OB209" s="21"/>
      <c r="OC209" s="21"/>
      <c r="OD209" s="21"/>
      <c r="OE209" s="21"/>
      <c r="OF209" s="21"/>
      <c r="OG209" s="21"/>
      <c r="OH209" s="21"/>
      <c r="OI209" s="21"/>
      <c r="OJ209" s="21"/>
      <c r="OK209" s="21"/>
      <c r="OL209" s="21"/>
      <c r="OM209" s="21"/>
      <c r="ON209" s="21"/>
      <c r="OO209" s="21"/>
      <c r="OP209" s="21"/>
      <c r="OQ209" s="21"/>
      <c r="OR209" s="21"/>
      <c r="OS209" s="21"/>
      <c r="OT209" s="21"/>
      <c r="OU209" s="21"/>
      <c r="OV209" s="21"/>
      <c r="OW209" s="21"/>
      <c r="OX209" s="21"/>
      <c r="OY209" s="21"/>
      <c r="OZ209" s="21"/>
      <c r="PA209" s="21"/>
      <c r="PB209" s="21"/>
      <c r="PC209" s="21"/>
      <c r="PD209" s="21"/>
      <c r="PE209" s="21"/>
      <c r="PF209" s="21"/>
      <c r="PG209" s="21"/>
      <c r="PH209" s="21"/>
      <c r="PI209" s="21"/>
      <c r="PJ209" s="21"/>
      <c r="PK209" s="21"/>
      <c r="PL209" s="21"/>
      <c r="PM209" s="21"/>
      <c r="PN209" s="21"/>
      <c r="PO209" s="21"/>
      <c r="PP209" s="21"/>
      <c r="PQ209" s="21"/>
      <c r="PR209" s="21"/>
      <c r="PS209" s="21"/>
      <c r="PT209" s="21"/>
      <c r="PU209" s="21"/>
      <c r="PV209" s="21"/>
      <c r="PW209" s="21"/>
      <c r="PX209" s="21"/>
      <c r="PY209" s="21"/>
      <c r="PZ209" s="21"/>
      <c r="QA209" s="21"/>
      <c r="QB209" s="21"/>
      <c r="QC209" s="21"/>
      <c r="QD209" s="21"/>
      <c r="QE209" s="21"/>
      <c r="QF209" s="21"/>
      <c r="QG209" s="21"/>
      <c r="QH209" s="21"/>
      <c r="QI209" s="21"/>
      <c r="QJ209" s="21"/>
      <c r="QK209" s="21"/>
      <c r="QL209" s="21"/>
      <c r="QM209" s="21"/>
      <c r="QN209" s="21"/>
      <c r="QO209" s="21"/>
      <c r="QP209" s="21"/>
      <c r="QQ209" s="21"/>
      <c r="QR209" s="21"/>
      <c r="QS209" s="21"/>
      <c r="QT209" s="21"/>
      <c r="QU209" s="21"/>
      <c r="QV209" s="21"/>
      <c r="QW209" s="21"/>
      <c r="QX209" s="21"/>
      <c r="QY209" s="21"/>
      <c r="QZ209" s="21"/>
      <c r="RA209" s="21"/>
      <c r="RB209" s="21"/>
      <c r="RC209" s="21"/>
      <c r="RD209" s="21"/>
      <c r="RE209" s="21"/>
      <c r="RF209" s="21"/>
      <c r="RG209" s="21"/>
      <c r="RH209" s="21"/>
      <c r="RI209" s="21"/>
      <c r="RJ209" s="21"/>
      <c r="RK209" s="21"/>
      <c r="RL209" s="21"/>
      <c r="RM209" s="21"/>
      <c r="RN209" s="21"/>
      <c r="RO209" s="21"/>
      <c r="RP209" s="21"/>
      <c r="RQ209" s="21"/>
      <c r="RR209" s="21"/>
      <c r="RS209" s="21"/>
      <c r="RT209" s="21"/>
      <c r="RU209" s="21"/>
      <c r="RV209" s="21"/>
      <c r="RW209" s="21"/>
      <c r="RX209" s="21"/>
      <c r="RY209" s="21"/>
      <c r="RZ209" s="21"/>
      <c r="SA209" s="21"/>
      <c r="SB209" s="21"/>
      <c r="SC209" s="21"/>
      <c r="SD209" s="21"/>
      <c r="SE209" s="21"/>
      <c r="SF209" s="21"/>
      <c r="SG209" s="21"/>
      <c r="SH209" s="21"/>
      <c r="SI209" s="21"/>
      <c r="SJ209" s="21"/>
      <c r="SK209" s="21"/>
      <c r="SL209" s="21"/>
      <c r="SM209" s="21"/>
      <c r="SN209" s="21"/>
      <c r="SO209" s="21"/>
      <c r="SP209" s="21"/>
      <c r="SQ209" s="21"/>
      <c r="SR209" s="21"/>
      <c r="SS209" s="21"/>
      <c r="ST209" s="21"/>
      <c r="SU209" s="21"/>
      <c r="SV209" s="21"/>
      <c r="SW209" s="21"/>
      <c r="SX209" s="21"/>
      <c r="SY209" s="21"/>
      <c r="SZ209" s="21"/>
      <c r="TA209" s="21"/>
      <c r="TB209" s="21"/>
      <c r="TC209" s="21"/>
      <c r="TD209" s="21"/>
      <c r="TE209" s="21"/>
      <c r="TF209" s="21"/>
      <c r="TG209" s="21"/>
      <c r="TH209" s="21"/>
      <c r="TI209" s="21"/>
      <c r="TJ209" s="21"/>
      <c r="TK209" s="21"/>
      <c r="TL209" s="21"/>
      <c r="TM209" s="21"/>
      <c r="TN209" s="21"/>
      <c r="TO209" s="21"/>
      <c r="TP209" s="21"/>
      <c r="TQ209" s="21"/>
      <c r="TR209" s="21"/>
      <c r="TS209" s="21"/>
      <c r="TT209" s="21"/>
      <c r="TU209" s="21"/>
      <c r="TV209" s="21"/>
      <c r="TW209" s="21"/>
      <c r="TX209" s="21"/>
      <c r="TY209" s="21"/>
      <c r="TZ209" s="21"/>
      <c r="UA209" s="21"/>
      <c r="UB209" s="21"/>
      <c r="UC209" s="21"/>
      <c r="UD209" s="21"/>
      <c r="UE209" s="21"/>
      <c r="UF209" s="21"/>
      <c r="UG209" s="21"/>
      <c r="UH209" s="21"/>
      <c r="UI209" s="21"/>
      <c r="UJ209" s="21"/>
      <c r="UK209" s="21"/>
      <c r="UL209" s="21"/>
      <c r="UM209" s="21"/>
      <c r="UN209" s="21"/>
      <c r="UO209" s="21"/>
      <c r="UP209" s="21"/>
      <c r="UQ209" s="21"/>
      <c r="UR209" s="21"/>
      <c r="US209" s="21"/>
      <c r="UT209" s="21"/>
      <c r="UU209" s="21"/>
      <c r="UV209" s="21"/>
      <c r="UW209" s="21"/>
      <c r="UX209" s="21"/>
      <c r="UY209" s="21"/>
      <c r="UZ209" s="21"/>
      <c r="VA209" s="21"/>
      <c r="VB209" s="21"/>
      <c r="VC209" s="21"/>
      <c r="VD209" s="21"/>
      <c r="VE209" s="21"/>
      <c r="VF209" s="21"/>
      <c r="VG209" s="21"/>
      <c r="VH209" s="21"/>
      <c r="VI209" s="21"/>
      <c r="VJ209" s="21"/>
      <c r="VK209" s="21"/>
      <c r="VL209" s="21"/>
      <c r="VM209" s="21"/>
      <c r="VN209" s="21"/>
      <c r="VO209" s="21"/>
      <c r="VP209" s="21"/>
      <c r="VQ209" s="21"/>
      <c r="VR209" s="21"/>
      <c r="VS209" s="21"/>
      <c r="VT209" s="21"/>
      <c r="VU209" s="21"/>
      <c r="VV209" s="21"/>
      <c r="VW209" s="21"/>
      <c r="VX209" s="21"/>
      <c r="VY209" s="21"/>
      <c r="VZ209" s="21"/>
      <c r="WA209" s="21"/>
      <c r="WB209" s="21"/>
      <c r="WC209" s="21"/>
      <c r="WD209" s="21"/>
      <c r="WE209" s="21"/>
      <c r="WF209" s="21"/>
      <c r="WG209" s="21"/>
      <c r="WH209" s="21"/>
      <c r="WI209" s="21"/>
      <c r="WJ209" s="21"/>
      <c r="WK209" s="21"/>
      <c r="WL209" s="21"/>
      <c r="WM209" s="21"/>
      <c r="WN209" s="21"/>
      <c r="WO209" s="21"/>
      <c r="WP209" s="21"/>
      <c r="WQ209" s="21"/>
      <c r="WR209" s="21"/>
      <c r="WS209" s="21"/>
      <c r="WT209" s="21"/>
      <c r="WU209" s="21"/>
      <c r="WV209" s="21"/>
      <c r="WW209" s="21"/>
      <c r="WX209" s="21"/>
      <c r="WY209" s="21"/>
      <c r="WZ209" s="21"/>
      <c r="XA209" s="21"/>
      <c r="XB209" s="21"/>
      <c r="XC209" s="21"/>
      <c r="XD209" s="21"/>
      <c r="XE209" s="21"/>
      <c r="XF209" s="21"/>
      <c r="XG209" s="21"/>
      <c r="XH209" s="21"/>
      <c r="XI209" s="21"/>
      <c r="XJ209" s="21"/>
      <c r="XK209" s="21"/>
      <c r="XL209" s="21"/>
      <c r="XM209" s="21"/>
      <c r="XN209" s="21"/>
      <c r="XO209" s="21"/>
      <c r="XP209" s="21"/>
      <c r="XQ209" s="21"/>
      <c r="XR209" s="21"/>
      <c r="XS209" s="21"/>
      <c r="XT209" s="21"/>
      <c r="XU209" s="21"/>
      <c r="XV209" s="21"/>
      <c r="XW209" s="21"/>
      <c r="XX209" s="21"/>
      <c r="XY209" s="21"/>
      <c r="XZ209" s="21"/>
      <c r="YA209" s="21"/>
      <c r="YB209" s="21"/>
      <c r="YC209" s="21"/>
      <c r="YD209" s="21"/>
      <c r="YE209" s="21"/>
      <c r="YF209" s="21"/>
      <c r="YG209" s="21"/>
      <c r="YH209" s="21"/>
      <c r="YI209" s="21"/>
      <c r="YJ209" s="21"/>
      <c r="YK209" s="21"/>
      <c r="YL209" s="21"/>
      <c r="YM209" s="21"/>
      <c r="YN209" s="21"/>
      <c r="YO209" s="21"/>
      <c r="YP209" s="21"/>
      <c r="YQ209" s="21"/>
      <c r="YR209" s="21"/>
      <c r="YS209" s="21"/>
      <c r="YT209" s="21"/>
      <c r="YU209" s="21"/>
      <c r="YV209" s="21"/>
      <c r="YW209" s="21"/>
      <c r="YX209" s="21"/>
      <c r="YY209" s="21"/>
      <c r="YZ209" s="21"/>
      <c r="ZA209" s="21"/>
      <c r="ZB209" s="21"/>
      <c r="ZC209" s="21"/>
      <c r="ZD209" s="21"/>
      <c r="ZE209" s="21"/>
      <c r="ZF209" s="21"/>
      <c r="ZG209" s="21"/>
      <c r="ZH209" s="21"/>
      <c r="ZI209" s="21"/>
      <c r="ZJ209" s="21"/>
      <c r="ZK209" s="21"/>
      <c r="ZL209" s="21"/>
      <c r="ZM209" s="21"/>
      <c r="ZN209" s="21"/>
      <c r="ZO209" s="21"/>
      <c r="ZP209" s="21"/>
      <c r="ZQ209" s="21"/>
      <c r="ZR209" s="21"/>
      <c r="ZS209" s="21"/>
      <c r="ZT209" s="21"/>
      <c r="ZU209" s="21"/>
      <c r="ZV209" s="21"/>
      <c r="ZW209" s="21"/>
      <c r="ZX209" s="21"/>
      <c r="ZY209" s="21"/>
      <c r="ZZ209" s="21"/>
      <c r="AAA209" s="21"/>
      <c r="AAB209" s="21"/>
      <c r="AAC209" s="21"/>
      <c r="AAD209" s="21"/>
      <c r="AAE209" s="21"/>
      <c r="AAF209" s="21"/>
      <c r="AAG209" s="21"/>
      <c r="AAH209" s="21"/>
      <c r="AAI209" s="21"/>
      <c r="AAJ209" s="21"/>
      <c r="AAK209" s="21"/>
      <c r="AAL209" s="21"/>
      <c r="AAM209" s="21"/>
      <c r="AAN209" s="21"/>
      <c r="AAO209" s="21"/>
      <c r="AAP209" s="21"/>
      <c r="AAQ209" s="21"/>
      <c r="AAR209" s="21"/>
      <c r="AAS209" s="21"/>
      <c r="AAT209" s="21"/>
      <c r="AAU209" s="21"/>
      <c r="AAV209" s="21"/>
      <c r="AAW209" s="21"/>
      <c r="AAX209" s="21"/>
      <c r="AAY209" s="21"/>
      <c r="AAZ209" s="21"/>
      <c r="ABA209" s="21"/>
      <c r="ABB209" s="21"/>
      <c r="ABC209" s="21"/>
      <c r="ABD209" s="21"/>
      <c r="ABE209" s="21"/>
      <c r="ABF209" s="21"/>
      <c r="ABG209" s="21"/>
      <c r="ABH209" s="21"/>
      <c r="ABI209" s="21"/>
      <c r="ABJ209" s="21"/>
      <c r="ABK209" s="21"/>
      <c r="ABL209" s="21"/>
      <c r="ABM209" s="21"/>
      <c r="ABN209" s="21"/>
      <c r="ABO209" s="21"/>
      <c r="ABP209" s="21"/>
      <c r="ABQ209" s="21"/>
      <c r="ABR209" s="21"/>
      <c r="ABS209" s="21"/>
      <c r="ABT209" s="21"/>
      <c r="ABU209" s="21"/>
      <c r="ABV209" s="21"/>
      <c r="ABW209" s="21"/>
      <c r="ABX209" s="21"/>
      <c r="ABY209" s="21"/>
      <c r="ABZ209" s="21"/>
      <c r="ACA209" s="21"/>
      <c r="ACB209" s="21"/>
      <c r="ACC209" s="21"/>
      <c r="ACD209" s="21"/>
      <c r="ACE209" s="21"/>
      <c r="ACF209" s="21"/>
      <c r="ACG209" s="21"/>
      <c r="ACH209" s="21"/>
      <c r="ACI209" s="21"/>
      <c r="ACJ209" s="21"/>
      <c r="ACK209" s="21"/>
      <c r="ACL209" s="21"/>
      <c r="ACM209" s="21"/>
      <c r="ACN209" s="21"/>
      <c r="ACO209" s="21"/>
      <c r="ACP209" s="21"/>
      <c r="ACQ209" s="21"/>
      <c r="ACR209" s="21"/>
      <c r="ACS209" s="21"/>
      <c r="ACT209" s="21"/>
      <c r="ACU209" s="21"/>
      <c r="ACV209" s="21"/>
      <c r="ACW209" s="21"/>
      <c r="ACX209" s="21"/>
      <c r="ACY209" s="21"/>
      <c r="ACZ209" s="21"/>
      <c r="ADA209" s="21"/>
      <c r="ADB209" s="21"/>
      <c r="ADC209" s="21"/>
      <c r="ADD209" s="21"/>
      <c r="ADE209" s="21"/>
      <c r="ADF209" s="21"/>
      <c r="ADG209" s="21"/>
      <c r="ADH209" s="21"/>
      <c r="ADI209" s="21"/>
      <c r="ADJ209" s="21"/>
      <c r="ADK209" s="21"/>
      <c r="ADL209" s="21"/>
      <c r="ADM209" s="21"/>
      <c r="ADN209" s="21"/>
      <c r="ADO209" s="21"/>
      <c r="ADP209" s="21"/>
      <c r="ADQ209" s="21"/>
      <c r="ADR209" s="21"/>
      <c r="ADS209" s="21"/>
      <c r="ADT209" s="21"/>
      <c r="ADU209" s="21"/>
      <c r="ADV209" s="21"/>
      <c r="ADW209" s="21"/>
      <c r="ADX209" s="21"/>
      <c r="ADY209" s="21"/>
      <c r="ADZ209" s="21"/>
      <c r="AEA209" s="21"/>
      <c r="AEB209" s="21"/>
      <c r="AEC209" s="21"/>
      <c r="AED209" s="21"/>
      <c r="AEE209" s="21"/>
      <c r="AEF209" s="21"/>
      <c r="AEG209" s="21"/>
      <c r="AEH209" s="21"/>
      <c r="AEI209" s="21"/>
      <c r="AEJ209" s="21"/>
      <c r="AEK209" s="21"/>
      <c r="AEL209" s="21"/>
      <c r="AEM209" s="21"/>
      <c r="AEN209" s="21"/>
      <c r="AEO209" s="21"/>
      <c r="AEP209" s="21"/>
      <c r="AEQ209" s="21"/>
      <c r="AER209" s="21"/>
      <c r="AES209" s="21"/>
      <c r="AET209" s="21"/>
      <c r="AEU209" s="21"/>
      <c r="AEV209" s="21"/>
      <c r="AEW209" s="21"/>
      <c r="AEX209" s="21"/>
      <c r="AEY209" s="21"/>
      <c r="AEZ209" s="21"/>
      <c r="AFA209" s="21"/>
      <c r="AFB209" s="21"/>
      <c r="AFC209" s="21"/>
      <c r="AFD209" s="21"/>
      <c r="AFE209" s="21"/>
      <c r="AFF209" s="21"/>
      <c r="AFG209" s="21"/>
      <c r="AFH209" s="21"/>
      <c r="AFI209" s="21"/>
      <c r="AFJ209" s="21"/>
      <c r="AFK209" s="21"/>
      <c r="AFL209" s="21"/>
      <c r="AFM209" s="21"/>
      <c r="AFN209" s="21"/>
      <c r="AFO209" s="21"/>
      <c r="AFP209" s="21"/>
      <c r="AFQ209" s="21"/>
      <c r="AFR209" s="21"/>
      <c r="AFS209" s="21"/>
      <c r="AFT209" s="21"/>
      <c r="AFU209" s="21"/>
      <c r="AFV209" s="21"/>
      <c r="AFW209" s="21"/>
      <c r="AFX209" s="21"/>
      <c r="AFY209" s="21"/>
      <c r="AFZ209" s="21"/>
      <c r="AGA209" s="21"/>
      <c r="AGB209" s="21"/>
      <c r="AGC209" s="21"/>
      <c r="AGD209" s="21"/>
      <c r="AGE209" s="21"/>
      <c r="AGF209" s="21"/>
      <c r="AGG209" s="21"/>
      <c r="AGH209" s="21"/>
      <c r="AGI209" s="21"/>
      <c r="AGJ209" s="21"/>
      <c r="AGK209" s="21"/>
      <c r="AGL209" s="21"/>
      <c r="AGM209" s="21"/>
      <c r="AGN209" s="21"/>
      <c r="AGO209" s="21"/>
      <c r="AGP209" s="21"/>
      <c r="AGQ209" s="21"/>
      <c r="AGR209" s="21"/>
      <c r="AGS209" s="21"/>
      <c r="AGT209" s="21"/>
      <c r="AGU209" s="21"/>
      <c r="AGV209" s="21"/>
      <c r="AGW209" s="21"/>
      <c r="AGX209" s="21"/>
      <c r="AGY209" s="21"/>
      <c r="AGZ209" s="21"/>
      <c r="AHA209" s="21"/>
      <c r="AHB209" s="21"/>
      <c r="AHC209" s="21"/>
      <c r="AHD209" s="21"/>
      <c r="AHE209" s="21"/>
      <c r="AHF209" s="21"/>
      <c r="AHG209" s="21"/>
      <c r="AHH209" s="21"/>
      <c r="AHI209" s="21"/>
      <c r="AHJ209" s="21"/>
      <c r="AHK209" s="21"/>
      <c r="AHL209" s="21"/>
      <c r="AHM209" s="21"/>
      <c r="AHN209" s="21"/>
      <c r="AHO209" s="21"/>
      <c r="AHP209" s="21"/>
      <c r="AHQ209" s="21"/>
      <c r="AHR209" s="21"/>
      <c r="AHS209" s="21"/>
      <c r="AHT209" s="21"/>
      <c r="AHU209" s="21"/>
      <c r="AHV209" s="21"/>
      <c r="AHW209" s="21"/>
      <c r="AHX209" s="21"/>
      <c r="AHY209" s="21"/>
      <c r="AHZ209" s="21"/>
      <c r="AIA209" s="21"/>
      <c r="AIB209" s="21"/>
      <c r="AIC209" s="21"/>
      <c r="AID209" s="21"/>
      <c r="AIE209" s="21"/>
      <c r="AIF209" s="21"/>
      <c r="AIG209" s="21"/>
      <c r="AIH209" s="21"/>
      <c r="AII209" s="21"/>
      <c r="AIJ209" s="21"/>
      <c r="AIK209" s="21"/>
      <c r="AIL209" s="21"/>
      <c r="AIM209" s="21"/>
      <c r="AIN209" s="21"/>
      <c r="AIO209" s="21"/>
      <c r="AIP209" s="21"/>
      <c r="AIQ209" s="21"/>
      <c r="AIR209" s="21"/>
      <c r="AIS209" s="21"/>
      <c r="AIT209" s="21"/>
      <c r="AIU209" s="21"/>
      <c r="AIV209" s="21"/>
      <c r="AIW209" s="21"/>
      <c r="AIX209" s="21"/>
      <c r="AIY209" s="21"/>
      <c r="AIZ209" s="21"/>
      <c r="AJA209" s="21"/>
      <c r="AJB209" s="21"/>
      <c r="AJC209" s="21"/>
      <c r="AJD209" s="21"/>
      <c r="AJE209" s="21"/>
      <c r="AJF209" s="21"/>
      <c r="AJG209" s="21"/>
      <c r="AJH209" s="21"/>
      <c r="AJI209" s="21"/>
      <c r="AJJ209" s="21"/>
      <c r="AJK209" s="21"/>
      <c r="AJL209" s="21"/>
      <c r="AJM209" s="21"/>
      <c r="AJN209" s="21"/>
      <c r="AJO209" s="21"/>
      <c r="AJP209" s="21"/>
      <c r="AJQ209" s="21"/>
      <c r="AJR209" s="21"/>
      <c r="AJS209" s="21"/>
      <c r="AJT209" s="21"/>
      <c r="AJU209" s="21"/>
      <c r="AJV209" s="21"/>
      <c r="AJW209" s="21"/>
      <c r="AJX209" s="21"/>
      <c r="AJY209" s="21"/>
      <c r="AJZ209" s="21"/>
      <c r="AKA209" s="21"/>
      <c r="AKB209" s="21"/>
      <c r="AKC209" s="21"/>
      <c r="AKD209" s="21"/>
      <c r="AKE209" s="21"/>
      <c r="AKF209" s="21"/>
      <c r="AKG209" s="21"/>
      <c r="AKH209" s="21"/>
      <c r="AKI209" s="21"/>
      <c r="AKJ209" s="21"/>
      <c r="AKK209" s="21"/>
      <c r="AKL209" s="21"/>
      <c r="AKM209" s="21"/>
      <c r="AKN209" s="21"/>
      <c r="AKO209" s="21"/>
      <c r="AKP209" s="21"/>
      <c r="AKQ209" s="21"/>
      <c r="AKR209" s="21"/>
      <c r="AKS209" s="21"/>
      <c r="AKT209" s="21"/>
      <c r="AKU209" s="21"/>
      <c r="AKV209" s="21"/>
      <c r="AKW209" s="21"/>
      <c r="AKX209" s="21"/>
      <c r="AKY209" s="21"/>
      <c r="AKZ209" s="21"/>
      <c r="ALA209" s="21"/>
      <c r="ALB209" s="21"/>
      <c r="ALC209" s="21"/>
      <c r="ALD209" s="21"/>
      <c r="ALE209" s="21"/>
      <c r="ALF209" s="21"/>
      <c r="ALG209" s="21"/>
      <c r="ALH209" s="21"/>
      <c r="ALI209" s="21"/>
      <c r="ALJ209" s="21"/>
      <c r="ALK209" s="21"/>
      <c r="ALL209" s="21"/>
      <c r="ALM209" s="21"/>
      <c r="ALN209" s="21"/>
      <c r="ALO209" s="21"/>
      <c r="ALP209" s="21"/>
      <c r="ALQ209" s="21"/>
      <c r="ALR209" s="21"/>
      <c r="ALS209" s="21"/>
      <c r="ALT209" s="21"/>
      <c r="ALU209" s="21"/>
      <c r="ALV209" s="21"/>
      <c r="ALW209" s="21"/>
      <c r="ALX209" s="21"/>
      <c r="ALY209" s="21"/>
      <c r="ALZ209" s="21"/>
      <c r="AMA209" s="21"/>
      <c r="AMB209" s="21"/>
      <c r="AMC209" s="21"/>
      <c r="AMD209" s="21"/>
      <c r="AME209" s="21"/>
      <c r="AMF209" s="21"/>
      <c r="AMG209" s="21"/>
      <c r="AMH209" s="21"/>
      <c r="AMI209" s="21"/>
      <c r="AMJ209" s="21"/>
      <c r="AMK209" s="21"/>
      <c r="AML209" s="21"/>
      <c r="AMM209" s="21"/>
      <c r="AMN209" s="21"/>
      <c r="AMO209" s="21"/>
      <c r="AMP209" s="21"/>
      <c r="AMQ209" s="21"/>
      <c r="AMR209" s="21"/>
      <c r="AMS209" s="21"/>
      <c r="AMT209" s="21"/>
      <c r="AMU209" s="21"/>
      <c r="AMV209" s="21"/>
      <c r="AMW209" s="21"/>
      <c r="AMX209" s="21"/>
      <c r="AMY209" s="21"/>
      <c r="AMZ209" s="21"/>
      <c r="ANA209" s="21"/>
      <c r="ANB209" s="21"/>
      <c r="ANC209" s="21"/>
      <c r="AND209" s="21"/>
      <c r="ANE209" s="21"/>
      <c r="ANF209" s="21"/>
      <c r="ANG209" s="21"/>
      <c r="ANH209" s="21"/>
      <c r="ANI209" s="21"/>
      <c r="ANJ209" s="21"/>
      <c r="ANK209" s="21"/>
      <c r="ANL209" s="21"/>
      <c r="ANM209" s="21"/>
      <c r="ANN209" s="21"/>
      <c r="ANO209" s="21"/>
      <c r="ANP209" s="21"/>
      <c r="ANQ209" s="21"/>
      <c r="ANR209" s="21"/>
      <c r="ANS209" s="21"/>
      <c r="ANT209" s="21"/>
      <c r="ANU209" s="21"/>
      <c r="ANV209" s="21"/>
      <c r="ANW209" s="21"/>
      <c r="ANX209" s="21"/>
      <c r="ANY209" s="21"/>
      <c r="ANZ209" s="21"/>
      <c r="AOA209" s="21"/>
      <c r="AOB209" s="21"/>
      <c r="AOC209" s="21"/>
      <c r="AOD209" s="21"/>
      <c r="AOE209" s="21"/>
      <c r="AOF209" s="21"/>
      <c r="AOG209" s="21"/>
      <c r="AOH209" s="21"/>
      <c r="AOI209" s="21"/>
      <c r="AOJ209" s="21"/>
      <c r="AOK209" s="21"/>
      <c r="AOL209" s="21"/>
      <c r="AOM209" s="21"/>
      <c r="AON209" s="21"/>
      <c r="AOO209" s="21"/>
      <c r="AOP209" s="21"/>
      <c r="AOQ209" s="21"/>
      <c r="AOR209" s="21"/>
      <c r="AOS209" s="21"/>
      <c r="AOT209" s="21"/>
      <c r="AOU209" s="21"/>
      <c r="AOV209" s="21"/>
      <c r="AOW209" s="21"/>
      <c r="AOX209" s="21"/>
      <c r="AOY209" s="21"/>
      <c r="AOZ209" s="21"/>
      <c r="APA209" s="21"/>
      <c r="APB209" s="21"/>
      <c r="APC209" s="21"/>
      <c r="APD209" s="21"/>
      <c r="APE209" s="21"/>
      <c r="APF209" s="21"/>
      <c r="APG209" s="21"/>
      <c r="APH209" s="21"/>
      <c r="API209" s="21"/>
      <c r="APJ209" s="21"/>
      <c r="APK209" s="21"/>
      <c r="APL209" s="21"/>
      <c r="APM209" s="21"/>
      <c r="APN209" s="21"/>
      <c r="APO209" s="21"/>
      <c r="APP209" s="21"/>
      <c r="APQ209" s="21"/>
      <c r="APR209" s="21"/>
      <c r="APS209" s="21"/>
      <c r="APT209" s="21"/>
      <c r="APU209" s="21"/>
      <c r="APV209" s="21"/>
      <c r="APW209" s="21"/>
      <c r="APX209" s="21"/>
      <c r="APY209" s="21"/>
      <c r="APZ209" s="21"/>
      <c r="AQA209" s="21"/>
      <c r="AQB209" s="21"/>
      <c r="AQC209" s="21"/>
      <c r="AQD209" s="21"/>
      <c r="AQE209" s="21"/>
      <c r="AQF209" s="21"/>
      <c r="AQG209" s="21"/>
      <c r="AQH209" s="21"/>
      <c r="AQI209" s="21"/>
      <c r="AQJ209" s="21"/>
      <c r="AQK209" s="21"/>
      <c r="AQL209" s="21"/>
      <c r="AQM209" s="21"/>
      <c r="AQN209" s="21"/>
      <c r="AQO209" s="21"/>
      <c r="AQP209" s="21"/>
      <c r="AQQ209" s="21"/>
      <c r="AQR209" s="21"/>
      <c r="AQS209" s="21"/>
      <c r="AQT209" s="21"/>
      <c r="AQU209" s="21"/>
      <c r="AQV209" s="21"/>
      <c r="AQW209" s="21"/>
      <c r="AQX209" s="21"/>
      <c r="AQY209" s="21"/>
      <c r="AQZ209" s="21"/>
      <c r="ARA209" s="21"/>
      <c r="ARB209" s="21"/>
      <c r="ARC209" s="21"/>
      <c r="ARD209" s="21"/>
      <c r="ARE209" s="21"/>
      <c r="ARF209" s="21"/>
      <c r="ARG209" s="21"/>
      <c r="ARH209" s="21"/>
      <c r="ARI209" s="21"/>
      <c r="ARJ209" s="21"/>
      <c r="ARK209" s="21"/>
      <c r="ARL209" s="21"/>
      <c r="ARM209" s="21"/>
      <c r="ARN209" s="21"/>
      <c r="ARO209" s="21"/>
      <c r="ARP209" s="21"/>
      <c r="ARQ209" s="21"/>
      <c r="ARR209" s="21"/>
      <c r="ARS209" s="21"/>
      <c r="ART209" s="21"/>
      <c r="ARU209" s="21"/>
      <c r="ARV209" s="21"/>
      <c r="ARW209" s="21"/>
      <c r="ARX209" s="21"/>
      <c r="ARY209" s="21"/>
      <c r="ARZ209" s="21"/>
      <c r="ASA209" s="21"/>
      <c r="ASB209" s="21"/>
      <c r="ASC209" s="21"/>
      <c r="ASD209" s="21"/>
      <c r="ASE209" s="21"/>
      <c r="ASF209" s="21"/>
      <c r="ASG209" s="21"/>
      <c r="ASH209" s="21"/>
      <c r="ASI209" s="21"/>
      <c r="ASJ209" s="21"/>
      <c r="ASK209" s="21"/>
      <c r="ASL209" s="21"/>
      <c r="ASM209" s="21"/>
      <c r="ASN209" s="21"/>
      <c r="ASO209" s="21"/>
      <c r="ASP209" s="21"/>
      <c r="ASQ209" s="21"/>
      <c r="ASR209" s="21"/>
      <c r="ASS209" s="21"/>
      <c r="AST209" s="21"/>
      <c r="ASU209" s="21"/>
      <c r="ASV209" s="21"/>
      <c r="ASW209" s="21"/>
      <c r="ASX209" s="21"/>
      <c r="ASY209" s="21"/>
      <c r="ASZ209" s="21"/>
      <c r="ATA209" s="21"/>
      <c r="ATB209" s="21"/>
      <c r="ATC209" s="21"/>
      <c r="ATD209" s="21"/>
      <c r="ATE209" s="21"/>
      <c r="ATF209" s="21"/>
      <c r="ATG209" s="21"/>
      <c r="ATH209" s="21"/>
      <c r="ATI209" s="21"/>
      <c r="ATJ209" s="21"/>
      <c r="ATK209" s="21"/>
      <c r="ATL209" s="21"/>
      <c r="ATM209" s="21"/>
      <c r="ATN209" s="21"/>
      <c r="ATO209" s="21"/>
      <c r="ATP209" s="21"/>
      <c r="ATQ209" s="21"/>
      <c r="ATR209" s="21"/>
      <c r="ATS209" s="21"/>
      <c r="ATT209" s="21"/>
      <c r="ATU209" s="21"/>
      <c r="ATV209" s="21"/>
      <c r="ATW209" s="21"/>
      <c r="ATX209" s="21"/>
      <c r="ATY209" s="21"/>
      <c r="ATZ209" s="21"/>
      <c r="AUA209" s="21"/>
      <c r="AUB209" s="21"/>
      <c r="AUC209" s="21"/>
      <c r="AUD209" s="21"/>
      <c r="AUE209" s="21"/>
      <c r="AUF209" s="21"/>
      <c r="AUG209" s="21"/>
      <c r="AUH209" s="21"/>
      <c r="AUI209" s="21"/>
      <c r="AUJ209" s="21"/>
      <c r="AUK209" s="21"/>
      <c r="AUL209" s="21"/>
      <c r="AUM209" s="21"/>
      <c r="AUN209" s="21"/>
      <c r="AUO209" s="21"/>
      <c r="AUP209" s="21"/>
      <c r="AUQ209" s="21"/>
      <c r="AUR209" s="21"/>
      <c r="AUS209" s="21"/>
      <c r="AUT209" s="21"/>
      <c r="AUU209" s="21"/>
      <c r="AUV209" s="21"/>
      <c r="AUW209" s="21"/>
      <c r="AUX209" s="21"/>
      <c r="AUY209" s="21"/>
      <c r="AUZ209" s="21"/>
      <c r="AVA209" s="21"/>
      <c r="AVB209" s="21"/>
      <c r="AVC209" s="21"/>
      <c r="AVD209" s="21"/>
      <c r="AVE209" s="21"/>
      <c r="AVF209" s="21"/>
      <c r="AVG209" s="21"/>
      <c r="AVH209" s="21"/>
      <c r="AVI209" s="21"/>
      <c r="AVJ209" s="21"/>
      <c r="AVK209" s="21"/>
      <c r="AVL209" s="21"/>
      <c r="AVM209" s="21"/>
      <c r="AVN209" s="21"/>
      <c r="AVO209" s="21"/>
      <c r="AVP209" s="21"/>
      <c r="AVQ209" s="21"/>
      <c r="AVR209" s="21"/>
      <c r="AVS209" s="21"/>
      <c r="AVT209" s="21"/>
      <c r="AVU209" s="21"/>
      <c r="AVV209" s="21"/>
      <c r="AVW209" s="21"/>
      <c r="AVX209" s="21"/>
      <c r="AVY209" s="21"/>
      <c r="AVZ209" s="21"/>
      <c r="AWA209" s="21"/>
      <c r="AWB209" s="21"/>
      <c r="AWC209" s="21"/>
      <c r="AWD209" s="21"/>
      <c r="AWE209" s="21"/>
      <c r="AWF209" s="21"/>
      <c r="AWG209" s="21"/>
      <c r="AWH209" s="21"/>
      <c r="AWI209" s="21"/>
      <c r="AWJ209" s="21"/>
      <c r="AWK209" s="21"/>
      <c r="AWL209" s="21"/>
      <c r="AWM209" s="21"/>
      <c r="AWN209" s="21"/>
      <c r="AWO209" s="21"/>
      <c r="AWP209" s="21"/>
      <c r="AWQ209" s="21"/>
      <c r="AWR209" s="21"/>
      <c r="AWS209" s="21"/>
      <c r="AWT209" s="21"/>
      <c r="AWU209" s="21"/>
      <c r="AWV209" s="21"/>
      <c r="AWW209" s="21"/>
      <c r="AWX209" s="21"/>
      <c r="AWY209" s="21"/>
      <c r="AWZ209" s="21"/>
      <c r="AXA209" s="21"/>
      <c r="AXB209" s="21"/>
      <c r="AXC209" s="21"/>
      <c r="AXD209" s="21"/>
      <c r="AXE209" s="21"/>
      <c r="AXF209" s="21"/>
      <c r="AXG209" s="21"/>
      <c r="AXH209" s="21"/>
      <c r="AXI209" s="21"/>
      <c r="AXJ209" s="21"/>
      <c r="AXK209" s="21"/>
      <c r="AXL209" s="21"/>
      <c r="AXM209" s="21"/>
      <c r="AXN209" s="21"/>
      <c r="AXO209" s="21"/>
      <c r="AXP209" s="21"/>
      <c r="AXQ209" s="21"/>
      <c r="AXR209" s="21"/>
      <c r="AXS209" s="21"/>
      <c r="AXT209" s="21"/>
      <c r="AXU209" s="21"/>
      <c r="AXV209" s="21"/>
      <c r="AXW209" s="21"/>
      <c r="AXX209" s="21"/>
      <c r="AXY209" s="21"/>
      <c r="AXZ209" s="21"/>
      <c r="AYA209" s="21"/>
      <c r="AYB209" s="21"/>
      <c r="AYC209" s="21"/>
      <c r="AYD209" s="21"/>
      <c r="AYE209" s="21"/>
      <c r="AYF209" s="21"/>
      <c r="AYG209" s="21"/>
      <c r="AYH209" s="21"/>
      <c r="AYI209" s="21"/>
      <c r="AYJ209" s="21"/>
      <c r="AYK209" s="21"/>
      <c r="AYL209" s="21"/>
      <c r="AYM209" s="21"/>
      <c r="AYN209" s="21"/>
      <c r="AYO209" s="21"/>
      <c r="AYP209" s="21"/>
      <c r="AYQ209" s="21"/>
      <c r="AYR209" s="21"/>
      <c r="AYS209" s="21"/>
      <c r="AYT209" s="21"/>
      <c r="AYU209" s="21"/>
      <c r="AYV209" s="21"/>
      <c r="AYW209" s="21"/>
      <c r="AYX209" s="21"/>
      <c r="AYY209" s="21"/>
      <c r="AYZ209" s="21"/>
      <c r="AZA209" s="21"/>
      <c r="AZB209" s="21"/>
      <c r="AZC209" s="21"/>
      <c r="AZD209" s="21"/>
      <c r="AZE209" s="21"/>
      <c r="AZF209" s="21"/>
      <c r="AZG209" s="21"/>
      <c r="AZH209" s="21"/>
      <c r="AZI209" s="21"/>
      <c r="AZJ209" s="21"/>
      <c r="AZK209" s="21"/>
      <c r="AZL209" s="21"/>
      <c r="AZM209" s="21"/>
      <c r="AZN209" s="21"/>
      <c r="AZO209" s="21"/>
      <c r="AZP209" s="21"/>
      <c r="AZQ209" s="21"/>
      <c r="AZR209" s="21"/>
      <c r="AZS209" s="21"/>
      <c r="AZT209" s="21"/>
      <c r="AZU209" s="21"/>
      <c r="AZV209" s="21"/>
      <c r="AZW209" s="21"/>
      <c r="AZX209" s="21"/>
      <c r="AZY209" s="21"/>
      <c r="AZZ209" s="21"/>
      <c r="BAA209" s="21"/>
      <c r="BAB209" s="21"/>
      <c r="BAC209" s="21"/>
      <c r="BAD209" s="21"/>
      <c r="BAE209" s="21"/>
      <c r="BAF209" s="21"/>
      <c r="BAG209" s="21"/>
      <c r="BAH209" s="21"/>
      <c r="BAI209" s="21"/>
      <c r="BAJ209" s="21"/>
      <c r="BAK209" s="21"/>
      <c r="BAL209" s="21"/>
      <c r="BAM209" s="21"/>
      <c r="BAN209" s="21"/>
      <c r="BAO209" s="21"/>
      <c r="BAP209" s="21"/>
      <c r="BAQ209" s="21"/>
      <c r="BAR209" s="21"/>
      <c r="BAS209" s="21"/>
      <c r="BAT209" s="21"/>
      <c r="BAU209" s="21"/>
      <c r="BAV209" s="21"/>
      <c r="BAW209" s="21"/>
      <c r="BAX209" s="21"/>
      <c r="BAY209" s="21"/>
      <c r="BAZ209" s="21"/>
      <c r="BBA209" s="21"/>
      <c r="BBB209" s="21"/>
      <c r="BBC209" s="21"/>
      <c r="BBD209" s="21"/>
      <c r="BBE209" s="21"/>
      <c r="BBF209" s="21"/>
      <c r="BBG209" s="21"/>
      <c r="BBH209" s="21"/>
      <c r="BBI209" s="21"/>
      <c r="BBJ209" s="21"/>
      <c r="BBK209" s="21"/>
      <c r="BBL209" s="21"/>
      <c r="BBM209" s="21"/>
      <c r="BBN209" s="21"/>
      <c r="BBO209" s="21"/>
      <c r="BBP209" s="21"/>
      <c r="BBQ209" s="21"/>
      <c r="BBR209" s="21"/>
      <c r="BBS209" s="21"/>
      <c r="BBT209" s="21"/>
      <c r="BBU209" s="21"/>
      <c r="BBV209" s="21"/>
      <c r="BBW209" s="21"/>
      <c r="BBX209" s="21"/>
      <c r="BBY209" s="21"/>
      <c r="BBZ209" s="21"/>
      <c r="BCA209" s="21"/>
      <c r="BCB209" s="21"/>
      <c r="BCC209" s="21"/>
      <c r="BCD209" s="21"/>
      <c r="BCE209" s="21"/>
      <c r="BCF209" s="21"/>
      <c r="BCG209" s="21"/>
      <c r="BCH209" s="21"/>
      <c r="BCI209" s="21"/>
      <c r="BCJ209" s="21"/>
      <c r="BCK209" s="21"/>
      <c r="BCL209" s="21"/>
      <c r="BCM209" s="21"/>
      <c r="BCN209" s="21"/>
      <c r="BCO209" s="21"/>
      <c r="BCP209" s="21"/>
      <c r="BCQ209" s="21"/>
      <c r="BCR209" s="21"/>
      <c r="BCS209" s="21"/>
      <c r="BCT209" s="21"/>
      <c r="BCU209" s="21"/>
      <c r="BCV209" s="21"/>
      <c r="BCW209" s="21"/>
      <c r="BCX209" s="21"/>
      <c r="BCY209" s="21"/>
      <c r="BCZ209" s="21"/>
      <c r="BDA209" s="21"/>
      <c r="BDB209" s="21"/>
      <c r="BDC209" s="21"/>
      <c r="BDD209" s="21"/>
      <c r="BDE209" s="21"/>
      <c r="BDF209" s="21"/>
      <c r="BDG209" s="21"/>
      <c r="BDH209" s="21"/>
      <c r="BDI209" s="21"/>
      <c r="BDJ209" s="21"/>
      <c r="BDK209" s="21"/>
      <c r="BDL209" s="21"/>
      <c r="BDM209" s="21"/>
      <c r="BDN209" s="21"/>
      <c r="BDO209" s="21"/>
      <c r="BDP209" s="21"/>
      <c r="BDQ209" s="21"/>
      <c r="BDR209" s="21"/>
      <c r="BDS209" s="21"/>
      <c r="BDT209" s="21"/>
      <c r="BDU209" s="21"/>
      <c r="BDV209" s="21"/>
      <c r="BDW209" s="21"/>
      <c r="BDX209" s="21"/>
      <c r="BDY209" s="21"/>
      <c r="BDZ209" s="21"/>
      <c r="BEA209" s="21"/>
      <c r="BEB209" s="21"/>
      <c r="BEC209" s="21"/>
      <c r="BED209" s="21"/>
      <c r="BEE209" s="21"/>
      <c r="BEF209" s="21"/>
      <c r="BEG209" s="21"/>
      <c r="BEH209" s="21"/>
      <c r="BEI209" s="21"/>
      <c r="BEJ209" s="21"/>
      <c r="BEK209" s="21"/>
      <c r="BEL209" s="21"/>
      <c r="BEM209" s="21"/>
      <c r="BEN209" s="21"/>
      <c r="BEO209" s="21"/>
      <c r="BEP209" s="21"/>
      <c r="BEQ209" s="21"/>
      <c r="BER209" s="21"/>
      <c r="BES209" s="21"/>
      <c r="BET209" s="21"/>
      <c r="BEU209" s="21"/>
      <c r="BEV209" s="21"/>
      <c r="BEW209" s="21"/>
      <c r="BEX209" s="21"/>
      <c r="BEY209" s="21"/>
      <c r="BEZ209" s="21"/>
      <c r="BFA209" s="21"/>
      <c r="BFB209" s="21"/>
      <c r="BFC209" s="21"/>
      <c r="BFD209" s="21"/>
      <c r="BFE209" s="21"/>
      <c r="BFF209" s="21"/>
      <c r="BFG209" s="21"/>
      <c r="BFH209" s="21"/>
      <c r="BFI209" s="21"/>
      <c r="BFJ209" s="21"/>
      <c r="BFK209" s="21"/>
      <c r="BFL209" s="21"/>
      <c r="BFM209" s="21"/>
      <c r="BFN209" s="21"/>
      <c r="BFO209" s="21"/>
      <c r="BFP209" s="21"/>
      <c r="BFQ209" s="21"/>
      <c r="BFR209" s="21"/>
      <c r="BFS209" s="21"/>
      <c r="BFT209" s="21"/>
      <c r="BFU209" s="21"/>
      <c r="BFV209" s="21"/>
      <c r="BFW209" s="21"/>
      <c r="BFX209" s="21"/>
      <c r="BFY209" s="21"/>
      <c r="BFZ209" s="21"/>
      <c r="BGA209" s="21"/>
      <c r="BGB209" s="21"/>
      <c r="BGC209" s="21"/>
      <c r="BGD209" s="21"/>
      <c r="BGE209" s="21"/>
      <c r="BGF209" s="21"/>
      <c r="BGG209" s="21"/>
      <c r="BGH209" s="21"/>
      <c r="BGI209" s="21"/>
      <c r="BGJ209" s="21"/>
      <c r="BGK209" s="21"/>
      <c r="BGL209" s="21"/>
      <c r="BGM209" s="21"/>
      <c r="BGN209" s="21"/>
      <c r="BGO209" s="21"/>
      <c r="BGP209" s="21"/>
      <c r="BGQ209" s="21"/>
      <c r="BGR209" s="21"/>
      <c r="BGS209" s="21"/>
      <c r="BGT209" s="21"/>
      <c r="BGU209" s="21"/>
      <c r="BGV209" s="21"/>
      <c r="BGW209" s="21"/>
      <c r="BGX209" s="21"/>
      <c r="BGY209" s="21"/>
      <c r="BGZ209" s="21"/>
      <c r="BHA209" s="21"/>
      <c r="BHB209" s="21"/>
      <c r="BHC209" s="21"/>
      <c r="BHD209" s="21"/>
      <c r="BHE209" s="21"/>
      <c r="BHF209" s="21"/>
      <c r="BHG209" s="21"/>
      <c r="BHH209" s="21"/>
      <c r="BHI209" s="21"/>
      <c r="BHJ209" s="21"/>
      <c r="BHK209" s="21"/>
      <c r="BHL209" s="21"/>
      <c r="BHM209" s="21"/>
      <c r="BHN209" s="21"/>
      <c r="BHO209" s="21"/>
      <c r="BHP209" s="21"/>
      <c r="BHQ209" s="21"/>
      <c r="BHR209" s="21"/>
      <c r="BHS209" s="21"/>
      <c r="BHT209" s="21"/>
      <c r="BHU209" s="21"/>
      <c r="BHV209" s="21"/>
      <c r="BHW209" s="21"/>
      <c r="BHX209" s="21"/>
      <c r="BHY209" s="21"/>
      <c r="BHZ209" s="21"/>
      <c r="BIA209" s="21"/>
      <c r="BIB209" s="21"/>
      <c r="BIC209" s="21"/>
      <c r="BID209" s="21"/>
      <c r="BIE209" s="21"/>
      <c r="BIF209" s="21"/>
      <c r="BIG209" s="21"/>
      <c r="BIH209" s="21"/>
      <c r="BII209" s="21"/>
      <c r="BIJ209" s="21"/>
      <c r="BIK209" s="21"/>
      <c r="BIL209" s="21"/>
      <c r="BIM209" s="21"/>
      <c r="BIN209" s="21"/>
      <c r="BIO209" s="21"/>
      <c r="BIP209" s="21"/>
      <c r="BIQ209" s="21"/>
      <c r="BIR209" s="21"/>
      <c r="BIS209" s="21"/>
      <c r="BIT209" s="21"/>
      <c r="BIU209" s="21"/>
      <c r="BIV209" s="21"/>
      <c r="BIW209" s="21"/>
      <c r="BIX209" s="21"/>
      <c r="BIY209" s="21"/>
      <c r="BIZ209" s="21"/>
      <c r="BJA209" s="21"/>
      <c r="BJB209" s="21"/>
      <c r="BJC209" s="21"/>
      <c r="BJD209" s="21"/>
      <c r="BJE209" s="21"/>
      <c r="BJF209" s="21"/>
      <c r="BJG209" s="21"/>
      <c r="BJH209" s="21"/>
      <c r="BJI209" s="21"/>
      <c r="BJJ209" s="21"/>
      <c r="BJK209" s="21"/>
      <c r="BJL209" s="21"/>
      <c r="BJM209" s="21"/>
      <c r="BJN209" s="21"/>
      <c r="BJO209" s="21"/>
      <c r="BJP209" s="21"/>
      <c r="BJQ209" s="21"/>
      <c r="BJR209" s="21"/>
      <c r="BJS209" s="21"/>
      <c r="BJT209" s="21"/>
      <c r="BJU209" s="21"/>
      <c r="BJV209" s="21"/>
      <c r="BJW209" s="21"/>
      <c r="BJX209" s="21"/>
      <c r="BJY209" s="21"/>
      <c r="BJZ209" s="21"/>
      <c r="BKA209" s="21"/>
      <c r="BKB209" s="21"/>
      <c r="BKC209" s="21"/>
      <c r="BKD209" s="21"/>
      <c r="BKE209" s="21"/>
      <c r="BKF209" s="21"/>
      <c r="BKG209" s="21"/>
      <c r="BKH209" s="21"/>
      <c r="BKI209" s="21"/>
      <c r="BKJ209" s="21"/>
      <c r="BKK209" s="21"/>
      <c r="BKL209" s="21"/>
      <c r="BKM209" s="21"/>
      <c r="BKN209" s="21"/>
      <c r="BKO209" s="21"/>
      <c r="BKP209" s="21"/>
      <c r="BKQ209" s="21"/>
      <c r="BKR209" s="21"/>
      <c r="BKS209" s="21"/>
      <c r="BKT209" s="21"/>
      <c r="BKU209" s="21"/>
      <c r="BKV209" s="21"/>
      <c r="BKW209" s="21"/>
      <c r="BKX209" s="21"/>
      <c r="BKY209" s="21"/>
      <c r="BKZ209" s="21"/>
      <c r="BLA209" s="21"/>
      <c r="BLB209" s="21"/>
      <c r="BLC209" s="21"/>
      <c r="BLD209" s="21"/>
      <c r="BLE209" s="21"/>
      <c r="BLF209" s="21"/>
      <c r="BLG209" s="21"/>
      <c r="BLH209" s="21"/>
      <c r="BLI209" s="21"/>
      <c r="BLJ209" s="21"/>
      <c r="BLK209" s="21"/>
      <c r="BLL209" s="21"/>
      <c r="BLM209" s="21"/>
      <c r="BLN209" s="21"/>
      <c r="BLO209" s="21"/>
      <c r="BLP209" s="21"/>
      <c r="BLQ209" s="21"/>
      <c r="BLR209" s="21"/>
      <c r="BLS209" s="21"/>
      <c r="BLT209" s="21"/>
      <c r="BLU209" s="21"/>
      <c r="BLV209" s="21"/>
      <c r="BLW209" s="21"/>
      <c r="BLX209" s="21"/>
      <c r="BLY209" s="21"/>
      <c r="BLZ209" s="21"/>
      <c r="BMA209" s="21"/>
      <c r="BMB209" s="21"/>
      <c r="BMC209" s="21"/>
      <c r="BMD209" s="21"/>
      <c r="BME209" s="21"/>
      <c r="BMF209" s="21"/>
      <c r="BMG209" s="21"/>
      <c r="BMH209" s="21"/>
      <c r="BMI209" s="21"/>
      <c r="BMJ209" s="21"/>
      <c r="BMK209" s="21"/>
      <c r="BML209" s="21"/>
      <c r="BMM209" s="21"/>
      <c r="BMN209" s="21"/>
      <c r="BMO209" s="21"/>
      <c r="BMP209" s="21"/>
      <c r="BMQ209" s="21"/>
      <c r="BMR209" s="21"/>
      <c r="BMS209" s="21"/>
      <c r="BMT209" s="21"/>
      <c r="BMU209" s="21"/>
      <c r="BMV209" s="21"/>
      <c r="BMW209" s="21"/>
      <c r="BMX209" s="21"/>
      <c r="BMY209" s="21"/>
      <c r="BMZ209" s="21"/>
      <c r="BNA209" s="21"/>
      <c r="BNB209" s="21"/>
      <c r="BNC209" s="21"/>
      <c r="BND209" s="21"/>
      <c r="BNE209" s="21"/>
      <c r="BNF209" s="21"/>
      <c r="BNG209" s="21"/>
      <c r="BNH209" s="21"/>
      <c r="BNI209" s="21"/>
      <c r="BNJ209" s="21"/>
      <c r="BNK209" s="21"/>
      <c r="BNL209" s="21"/>
      <c r="BNM209" s="21"/>
      <c r="BNN209" s="21"/>
      <c r="BNO209" s="21"/>
      <c r="BNP209" s="21"/>
      <c r="BNQ209" s="21"/>
      <c r="BNR209" s="21"/>
      <c r="BNS209" s="21"/>
      <c r="BNT209" s="21"/>
      <c r="BNU209" s="21"/>
      <c r="BNV209" s="21"/>
      <c r="BNW209" s="21"/>
      <c r="BNX209" s="21"/>
      <c r="BNY209" s="21"/>
      <c r="BNZ209" s="21"/>
      <c r="BOA209" s="21"/>
      <c r="BOB209" s="21"/>
      <c r="BOC209" s="21"/>
      <c r="BOD209" s="21"/>
      <c r="BOE209" s="21"/>
      <c r="BOF209" s="21"/>
      <c r="BOG209" s="21"/>
      <c r="BOH209" s="21"/>
      <c r="BOI209" s="21"/>
      <c r="BOJ209" s="21"/>
      <c r="BOK209" s="21"/>
      <c r="BOL209" s="21"/>
      <c r="BOM209" s="21"/>
      <c r="BON209" s="21"/>
      <c r="BOO209" s="21"/>
      <c r="BOP209" s="21"/>
      <c r="BOQ209" s="21"/>
      <c r="BOR209" s="21"/>
      <c r="BOS209" s="21"/>
      <c r="BOT209" s="21"/>
      <c r="BOU209" s="21"/>
      <c r="BOV209" s="21"/>
      <c r="BOW209" s="21"/>
      <c r="BOX209" s="21"/>
      <c r="BOY209" s="21"/>
      <c r="BOZ209" s="21"/>
      <c r="BPA209" s="21"/>
      <c r="BPB209" s="21"/>
      <c r="BPC209" s="21"/>
      <c r="BPD209" s="21"/>
      <c r="BPE209" s="21"/>
      <c r="BPF209" s="21"/>
      <c r="BPG209" s="21"/>
      <c r="BPH209" s="21"/>
      <c r="BPI209" s="21"/>
      <c r="BPJ209" s="21"/>
      <c r="BPK209" s="21"/>
      <c r="BPL209" s="21"/>
      <c r="BPM209" s="21"/>
      <c r="BPN209" s="21"/>
      <c r="BPO209" s="21"/>
      <c r="BPP209" s="21"/>
      <c r="BPQ209" s="21"/>
      <c r="BPR209" s="21"/>
      <c r="BPS209" s="21"/>
      <c r="BPT209" s="21"/>
      <c r="BPU209" s="21"/>
      <c r="BPV209" s="21"/>
      <c r="BPW209" s="21"/>
      <c r="BPX209" s="21"/>
      <c r="BPY209" s="21"/>
      <c r="BPZ209" s="21"/>
      <c r="BQA209" s="21"/>
      <c r="BQB209" s="21"/>
      <c r="BQC209" s="21"/>
      <c r="BQD209" s="21"/>
      <c r="BQE209" s="21"/>
      <c r="BQF209" s="21"/>
      <c r="BQG209" s="21"/>
      <c r="BQH209" s="21"/>
      <c r="BQI209" s="21"/>
      <c r="BQJ209" s="21"/>
      <c r="BQK209" s="21"/>
      <c r="BQL209" s="21"/>
      <c r="BQM209" s="21"/>
      <c r="BQN209" s="21"/>
      <c r="BQO209" s="21"/>
      <c r="BQP209" s="21"/>
      <c r="BQQ209" s="21"/>
      <c r="BQR209" s="21"/>
      <c r="BQS209" s="21"/>
      <c r="BQT209" s="21"/>
      <c r="BQU209" s="21"/>
      <c r="BQV209" s="21"/>
      <c r="BQW209" s="21"/>
      <c r="BQX209" s="21"/>
      <c r="BQY209" s="21"/>
      <c r="BQZ209" s="21"/>
      <c r="BRA209" s="21"/>
      <c r="BRB209" s="21"/>
      <c r="BRC209" s="21"/>
      <c r="BRD209" s="21"/>
      <c r="BRE209" s="21"/>
      <c r="BRF209" s="21"/>
      <c r="BRG209" s="21"/>
      <c r="BRH209" s="21"/>
      <c r="BRI209" s="21"/>
      <c r="BRJ209" s="21"/>
      <c r="BRK209" s="21"/>
      <c r="BRL209" s="21"/>
      <c r="BRM209" s="21"/>
      <c r="BRN209" s="21"/>
      <c r="BRO209" s="21"/>
      <c r="BRP209" s="21"/>
      <c r="BRQ209" s="21"/>
      <c r="BRR209" s="21"/>
      <c r="BRS209" s="21"/>
      <c r="BRT209" s="21"/>
      <c r="BRU209" s="21"/>
      <c r="BRV209" s="21"/>
      <c r="BRW209" s="21"/>
      <c r="BRX209" s="21"/>
      <c r="BRY209" s="21"/>
      <c r="BRZ209" s="21"/>
      <c r="BSA209" s="21"/>
      <c r="BSB209" s="21"/>
      <c r="BSC209" s="21"/>
      <c r="BSD209" s="21"/>
      <c r="BSE209" s="21"/>
      <c r="BSF209" s="21"/>
      <c r="BSG209" s="21"/>
      <c r="BSH209" s="21"/>
      <c r="BSI209" s="21"/>
      <c r="BSJ209" s="21"/>
      <c r="BSK209" s="21"/>
      <c r="BSL209" s="21"/>
      <c r="BSM209" s="21"/>
      <c r="BSN209" s="21"/>
      <c r="BSO209" s="21"/>
      <c r="BSP209" s="21"/>
      <c r="BSQ209" s="21"/>
      <c r="BSR209" s="21"/>
      <c r="BSS209" s="21"/>
      <c r="BST209" s="21"/>
      <c r="BSU209" s="21"/>
      <c r="BSV209" s="21"/>
      <c r="BSW209" s="21"/>
      <c r="BSX209" s="21"/>
      <c r="BSY209" s="21"/>
      <c r="BSZ209" s="21"/>
      <c r="BTA209" s="21"/>
      <c r="BTB209" s="21"/>
      <c r="BTC209" s="21"/>
      <c r="BTD209" s="21"/>
      <c r="BTE209" s="21"/>
      <c r="BTF209" s="21"/>
      <c r="BTG209" s="21"/>
      <c r="BTH209" s="21"/>
      <c r="BTI209" s="21"/>
      <c r="BTJ209" s="21"/>
      <c r="BTK209" s="21"/>
      <c r="BTL209" s="21"/>
      <c r="BTM209" s="21"/>
      <c r="BTN209" s="21"/>
      <c r="BTO209" s="21"/>
      <c r="BTP209" s="21"/>
      <c r="BTQ209" s="21"/>
      <c r="BTR209" s="21"/>
      <c r="BTS209" s="21"/>
      <c r="BTT209" s="21"/>
      <c r="BTU209" s="21"/>
      <c r="BTV209" s="21"/>
      <c r="BTW209" s="21"/>
      <c r="BTX209" s="21"/>
      <c r="BTY209" s="21"/>
      <c r="BTZ209" s="21"/>
      <c r="BUA209" s="21"/>
      <c r="BUB209" s="21"/>
      <c r="BUC209" s="21"/>
      <c r="BUD209" s="21"/>
      <c r="BUE209" s="21"/>
      <c r="BUF209" s="21"/>
      <c r="BUG209" s="21"/>
      <c r="BUH209" s="21"/>
      <c r="BUI209" s="21"/>
      <c r="BUJ209" s="21"/>
      <c r="BUK209" s="21"/>
      <c r="BUL209" s="21"/>
      <c r="BUM209" s="21"/>
      <c r="BUN209" s="21"/>
      <c r="BUO209" s="21"/>
      <c r="BUP209" s="21"/>
      <c r="BUQ209" s="21"/>
      <c r="BUR209" s="21"/>
      <c r="BUS209" s="21"/>
      <c r="BUT209" s="21"/>
      <c r="BUU209" s="21"/>
      <c r="BUV209" s="21"/>
      <c r="BUW209" s="21"/>
      <c r="BUX209" s="21"/>
      <c r="BUY209" s="21"/>
      <c r="BUZ209" s="21"/>
      <c r="BVA209" s="21"/>
      <c r="BVB209" s="21"/>
      <c r="BVC209" s="21"/>
      <c r="BVD209" s="21"/>
      <c r="BVE209" s="21"/>
      <c r="BVF209" s="21"/>
      <c r="BVG209" s="21"/>
      <c r="BVH209" s="21"/>
      <c r="BVI209" s="21"/>
      <c r="BVJ209" s="21"/>
      <c r="BVK209" s="21"/>
      <c r="BVL209" s="21"/>
      <c r="BVM209" s="21"/>
      <c r="BVN209" s="21"/>
      <c r="BVO209" s="21"/>
      <c r="BVP209" s="21"/>
      <c r="BVQ209" s="21"/>
      <c r="BVR209" s="21"/>
      <c r="BVS209" s="21"/>
      <c r="BVT209" s="21"/>
      <c r="BVU209" s="21"/>
      <c r="BVV209" s="21"/>
      <c r="BVW209" s="21"/>
      <c r="BVX209" s="21"/>
      <c r="BVY209" s="21"/>
      <c r="BVZ209" s="21"/>
      <c r="BWA209" s="21"/>
      <c r="BWB209" s="21"/>
      <c r="BWC209" s="21"/>
      <c r="BWD209" s="21"/>
      <c r="BWE209" s="21"/>
      <c r="BWF209" s="21"/>
      <c r="BWG209" s="21"/>
      <c r="BWH209" s="21"/>
      <c r="BWI209" s="21"/>
      <c r="BWJ209" s="21"/>
      <c r="BWK209" s="21"/>
      <c r="BWL209" s="21"/>
      <c r="BWM209" s="21"/>
      <c r="BWN209" s="21"/>
      <c r="BWO209" s="21"/>
      <c r="BWP209" s="21"/>
      <c r="BWQ209" s="21"/>
      <c r="BWR209" s="21"/>
      <c r="BWS209" s="21"/>
      <c r="BWT209" s="21"/>
      <c r="BWU209" s="21"/>
      <c r="BWV209" s="21"/>
      <c r="BWW209" s="21"/>
      <c r="BWX209" s="21"/>
      <c r="BWY209" s="21"/>
      <c r="BWZ209" s="21"/>
      <c r="BXA209" s="21"/>
      <c r="BXB209" s="21"/>
      <c r="BXC209" s="21"/>
      <c r="BXD209" s="21"/>
      <c r="BXE209" s="21"/>
      <c r="BXF209" s="21"/>
      <c r="BXG209" s="21"/>
      <c r="BXH209" s="21"/>
      <c r="BXI209" s="21"/>
      <c r="BXJ209" s="21"/>
      <c r="BXK209" s="21"/>
      <c r="BXL209" s="21"/>
      <c r="BXM209" s="21"/>
      <c r="BXN209" s="21"/>
      <c r="BXO209" s="21"/>
      <c r="BXP209" s="21"/>
      <c r="BXQ209" s="21"/>
      <c r="BXR209" s="21"/>
      <c r="BXS209" s="21"/>
      <c r="BXT209" s="21"/>
      <c r="BXU209" s="21"/>
      <c r="BXV209" s="21"/>
      <c r="BXW209" s="21"/>
      <c r="BXX209" s="21"/>
      <c r="BXY209" s="21"/>
      <c r="BXZ209" s="21"/>
      <c r="BYA209" s="21"/>
      <c r="BYB209" s="21"/>
      <c r="BYC209" s="21"/>
      <c r="BYD209" s="21"/>
      <c r="BYE209" s="21"/>
      <c r="BYF209" s="21"/>
      <c r="BYG209" s="21"/>
      <c r="BYH209" s="21"/>
      <c r="BYI209" s="21"/>
      <c r="BYJ209" s="21"/>
      <c r="BYK209" s="21"/>
      <c r="BYL209" s="21"/>
      <c r="BYM209" s="21"/>
      <c r="BYN209" s="21"/>
      <c r="BYO209" s="21"/>
      <c r="BYP209" s="21"/>
      <c r="BYQ209" s="21"/>
      <c r="BYR209" s="21"/>
      <c r="BYS209" s="21"/>
      <c r="BYT209" s="21"/>
      <c r="BYU209" s="21"/>
      <c r="BYV209" s="21"/>
      <c r="BYW209" s="21"/>
      <c r="BYX209" s="21"/>
      <c r="BYY209" s="21"/>
      <c r="BYZ209" s="21"/>
      <c r="BZA209" s="21"/>
      <c r="BZB209" s="21"/>
      <c r="BZC209" s="21"/>
      <c r="BZD209" s="21"/>
      <c r="BZE209" s="21"/>
      <c r="BZF209" s="21"/>
      <c r="BZG209" s="21"/>
      <c r="BZH209" s="21"/>
      <c r="BZI209" s="21"/>
      <c r="BZJ209" s="21"/>
      <c r="BZK209" s="21"/>
      <c r="BZL209" s="21"/>
      <c r="BZM209" s="21"/>
      <c r="BZN209" s="21"/>
      <c r="BZO209" s="21"/>
      <c r="BZP209" s="21"/>
      <c r="BZQ209" s="21"/>
      <c r="BZR209" s="21"/>
      <c r="BZS209" s="21"/>
      <c r="BZT209" s="21"/>
      <c r="BZU209" s="21"/>
      <c r="BZV209" s="21"/>
      <c r="BZW209" s="21"/>
      <c r="BZX209" s="21"/>
      <c r="BZY209" s="21"/>
      <c r="BZZ209" s="21"/>
      <c r="CAA209" s="21"/>
      <c r="CAB209" s="21"/>
      <c r="CAC209" s="21"/>
      <c r="CAD209" s="21"/>
      <c r="CAE209" s="21"/>
      <c r="CAF209" s="21"/>
      <c r="CAG209" s="21"/>
      <c r="CAH209" s="21"/>
      <c r="CAI209" s="21"/>
      <c r="CAJ209" s="21"/>
      <c r="CAK209" s="21"/>
      <c r="CAL209" s="21"/>
      <c r="CAM209" s="21"/>
      <c r="CAN209" s="21"/>
      <c r="CAO209" s="21"/>
      <c r="CAP209" s="21"/>
      <c r="CAQ209" s="21"/>
      <c r="CAR209" s="21"/>
      <c r="CAS209" s="21"/>
      <c r="CAT209" s="21"/>
      <c r="CAU209" s="21"/>
      <c r="CAV209" s="21"/>
      <c r="CAW209" s="21"/>
      <c r="CAX209" s="21"/>
      <c r="CAY209" s="21"/>
      <c r="CAZ209" s="21"/>
      <c r="CBA209" s="21"/>
      <c r="CBB209" s="21"/>
      <c r="CBC209" s="21"/>
      <c r="CBD209" s="21"/>
      <c r="CBE209" s="21"/>
      <c r="CBF209" s="21"/>
      <c r="CBG209" s="21"/>
      <c r="CBH209" s="21"/>
      <c r="CBI209" s="21"/>
      <c r="CBJ209" s="21"/>
      <c r="CBK209" s="21"/>
      <c r="CBL209" s="21"/>
      <c r="CBM209" s="21"/>
      <c r="CBN209" s="21"/>
      <c r="CBO209" s="21"/>
      <c r="CBP209" s="21"/>
      <c r="CBQ209" s="21"/>
      <c r="CBR209" s="21"/>
      <c r="CBS209" s="21"/>
      <c r="CBT209" s="21"/>
      <c r="CBU209" s="21"/>
      <c r="CBV209" s="21"/>
      <c r="CBW209" s="21"/>
      <c r="CBX209" s="21"/>
      <c r="CBY209" s="21"/>
      <c r="CBZ209" s="21"/>
      <c r="CCA209" s="21"/>
      <c r="CCB209" s="21"/>
      <c r="CCC209" s="21"/>
      <c r="CCD209" s="21"/>
      <c r="CCE209" s="21"/>
      <c r="CCF209" s="21"/>
      <c r="CCG209" s="21"/>
      <c r="CCH209" s="21"/>
      <c r="CCI209" s="21"/>
      <c r="CCJ209" s="21"/>
      <c r="CCK209" s="21"/>
      <c r="CCL209" s="21"/>
      <c r="CCM209" s="21"/>
      <c r="CCN209" s="21"/>
      <c r="CCO209" s="21"/>
      <c r="CCP209" s="21"/>
      <c r="CCQ209" s="21"/>
      <c r="CCR209" s="21"/>
      <c r="CCS209" s="21"/>
      <c r="CCT209" s="21"/>
      <c r="CCU209" s="21"/>
      <c r="CCV209" s="21"/>
      <c r="CCW209" s="21"/>
      <c r="CCX209" s="21"/>
      <c r="CCY209" s="21"/>
      <c r="CCZ209" s="21"/>
      <c r="CDA209" s="21"/>
      <c r="CDB209" s="21"/>
      <c r="CDC209" s="21"/>
      <c r="CDD209" s="21"/>
      <c r="CDE209" s="21"/>
      <c r="CDF209" s="21"/>
      <c r="CDG209" s="21"/>
      <c r="CDH209" s="21"/>
      <c r="CDI209" s="21"/>
      <c r="CDJ209" s="21"/>
      <c r="CDK209" s="21"/>
      <c r="CDL209" s="21"/>
      <c r="CDM209" s="21"/>
      <c r="CDN209" s="21"/>
      <c r="CDO209" s="21"/>
      <c r="CDP209" s="21"/>
      <c r="CDQ209" s="21"/>
      <c r="CDR209" s="21"/>
      <c r="CDS209" s="21"/>
      <c r="CDT209" s="21"/>
      <c r="CDU209" s="21"/>
      <c r="CDV209" s="21"/>
      <c r="CDW209" s="21"/>
      <c r="CDX209" s="21"/>
      <c r="CDY209" s="21"/>
      <c r="CDZ209" s="21"/>
      <c r="CEA209" s="21"/>
      <c r="CEB209" s="21"/>
      <c r="CEC209" s="21"/>
      <c r="CED209" s="21"/>
      <c r="CEE209" s="21"/>
      <c r="CEF209" s="21"/>
      <c r="CEG209" s="21"/>
      <c r="CEH209" s="21"/>
      <c r="CEI209" s="21"/>
      <c r="CEJ209" s="21"/>
      <c r="CEK209" s="21"/>
      <c r="CEL209" s="21"/>
      <c r="CEM209" s="21"/>
      <c r="CEN209" s="21"/>
      <c r="CEO209" s="21"/>
      <c r="CEP209" s="21"/>
      <c r="CEQ209" s="21"/>
      <c r="CER209" s="21"/>
      <c r="CES209" s="21"/>
      <c r="CET209" s="21"/>
      <c r="CEU209" s="21"/>
      <c r="CEV209" s="21"/>
      <c r="CEW209" s="21"/>
      <c r="CEX209" s="21"/>
      <c r="CEY209" s="21"/>
      <c r="CEZ209" s="21"/>
      <c r="CFA209" s="21"/>
      <c r="CFB209" s="21"/>
      <c r="CFC209" s="21"/>
      <c r="CFD209" s="21"/>
      <c r="CFE209" s="21"/>
      <c r="CFF209" s="21"/>
      <c r="CFG209" s="21"/>
      <c r="CFH209" s="21"/>
      <c r="CFI209" s="21"/>
      <c r="CFJ209" s="21"/>
      <c r="CFK209" s="21"/>
      <c r="CFL209" s="21"/>
      <c r="CFM209" s="21"/>
      <c r="CFN209" s="21"/>
      <c r="CFO209" s="21"/>
      <c r="CFP209" s="21"/>
      <c r="CFQ209" s="21"/>
      <c r="CFR209" s="21"/>
      <c r="CFS209" s="21"/>
      <c r="CFT209" s="21"/>
      <c r="CFU209" s="21"/>
      <c r="CFV209" s="21"/>
      <c r="CFW209" s="21"/>
      <c r="CFX209" s="21"/>
      <c r="CFY209" s="21"/>
      <c r="CFZ209" s="21"/>
      <c r="CGA209" s="21"/>
      <c r="CGB209" s="21"/>
      <c r="CGC209" s="21"/>
      <c r="CGD209" s="21"/>
      <c r="CGE209" s="21"/>
      <c r="CGF209" s="21"/>
      <c r="CGG209" s="21"/>
      <c r="CGH209" s="21"/>
      <c r="CGI209" s="21"/>
      <c r="CGJ209" s="21"/>
      <c r="CGK209" s="21"/>
      <c r="CGL209" s="21"/>
      <c r="CGM209" s="21"/>
      <c r="CGN209" s="21"/>
      <c r="CGO209" s="21"/>
      <c r="CGP209" s="21"/>
      <c r="CGQ209" s="21"/>
      <c r="CGR209" s="21"/>
      <c r="CGS209" s="21"/>
      <c r="CGT209" s="21"/>
      <c r="CGU209" s="21"/>
      <c r="CGV209" s="21"/>
      <c r="CGW209" s="21"/>
      <c r="CGX209" s="21"/>
      <c r="CGY209" s="21"/>
      <c r="CGZ209" s="21"/>
      <c r="CHA209" s="21"/>
      <c r="CHB209" s="21"/>
      <c r="CHC209" s="21"/>
      <c r="CHD209" s="21"/>
      <c r="CHE209" s="21"/>
      <c r="CHF209" s="21"/>
      <c r="CHG209" s="21"/>
      <c r="CHH209" s="21"/>
      <c r="CHI209" s="21"/>
      <c r="CHJ209" s="21"/>
      <c r="CHK209" s="21"/>
      <c r="CHL209" s="21"/>
      <c r="CHM209" s="21"/>
      <c r="CHN209" s="21"/>
      <c r="CHO209" s="21"/>
      <c r="CHP209" s="21"/>
      <c r="CHQ209" s="21"/>
      <c r="CHR209" s="21"/>
      <c r="CHS209" s="21"/>
      <c r="CHT209" s="21"/>
      <c r="CHU209" s="21"/>
      <c r="CHV209" s="21"/>
      <c r="CHW209" s="21"/>
      <c r="CHX209" s="21"/>
      <c r="CHY209" s="21"/>
      <c r="CHZ209" s="21"/>
      <c r="CIA209" s="21"/>
      <c r="CIB209" s="21"/>
      <c r="CIC209" s="21"/>
      <c r="CID209" s="21"/>
      <c r="CIE209" s="21"/>
      <c r="CIF209" s="21"/>
      <c r="CIG209" s="21"/>
      <c r="CIH209" s="21"/>
      <c r="CII209" s="21"/>
      <c r="CIJ209" s="21"/>
      <c r="CIK209" s="21"/>
      <c r="CIL209" s="21"/>
      <c r="CIM209" s="21"/>
      <c r="CIN209" s="21"/>
      <c r="CIO209" s="21"/>
      <c r="CIP209" s="21"/>
      <c r="CIQ209" s="21"/>
      <c r="CIR209" s="21"/>
      <c r="CIS209" s="21"/>
      <c r="CIT209" s="21"/>
      <c r="CIU209" s="21"/>
      <c r="CIV209" s="21"/>
      <c r="CIW209" s="21"/>
      <c r="CIX209" s="21"/>
      <c r="CIY209" s="21"/>
      <c r="CIZ209" s="21"/>
      <c r="CJA209" s="21"/>
      <c r="CJB209" s="21"/>
      <c r="CJC209" s="21"/>
      <c r="CJD209" s="21"/>
      <c r="CJE209" s="21"/>
      <c r="CJF209" s="21"/>
      <c r="CJG209" s="21"/>
      <c r="CJH209" s="21"/>
      <c r="CJI209" s="21"/>
      <c r="CJJ209" s="21"/>
      <c r="CJK209" s="21"/>
      <c r="CJL209" s="21"/>
      <c r="CJM209" s="21"/>
      <c r="CJN209" s="21"/>
      <c r="CJO209" s="21"/>
      <c r="CJP209" s="21"/>
      <c r="CJQ209" s="21"/>
      <c r="CJR209" s="21"/>
      <c r="CJS209" s="21"/>
      <c r="CJT209" s="21"/>
      <c r="CJU209" s="21"/>
      <c r="CJV209" s="21"/>
      <c r="CJW209" s="21"/>
      <c r="CJX209" s="21"/>
      <c r="CJY209" s="21"/>
      <c r="CJZ209" s="21"/>
      <c r="CKA209" s="21"/>
      <c r="CKB209" s="21"/>
      <c r="CKC209" s="21"/>
      <c r="CKD209" s="21"/>
      <c r="CKE209" s="21"/>
      <c r="CKF209" s="21"/>
      <c r="CKG209" s="21"/>
      <c r="CKH209" s="21"/>
      <c r="CKI209" s="21"/>
      <c r="CKJ209" s="21"/>
      <c r="CKK209" s="21"/>
      <c r="CKL209" s="21"/>
      <c r="CKM209" s="21"/>
      <c r="CKN209" s="21"/>
      <c r="CKO209" s="21"/>
      <c r="CKP209" s="21"/>
      <c r="CKQ209" s="21"/>
      <c r="CKR209" s="21"/>
      <c r="CKS209" s="21"/>
      <c r="CKT209" s="21"/>
      <c r="CKU209" s="21"/>
      <c r="CKV209" s="21"/>
      <c r="CKW209" s="21"/>
      <c r="CKX209" s="21"/>
      <c r="CKY209" s="21"/>
      <c r="CKZ209" s="21"/>
      <c r="CLA209" s="21"/>
      <c r="CLB209" s="21"/>
      <c r="CLC209" s="21"/>
      <c r="CLD209" s="21"/>
      <c r="CLE209" s="21"/>
      <c r="CLF209" s="21"/>
      <c r="CLG209" s="21"/>
      <c r="CLH209" s="21"/>
      <c r="CLI209" s="21"/>
      <c r="CLJ209" s="21"/>
      <c r="CLK209" s="21"/>
      <c r="CLL209" s="21"/>
      <c r="CLM209" s="21"/>
      <c r="CLN209" s="21"/>
      <c r="CLO209" s="21"/>
      <c r="CLP209" s="21"/>
      <c r="CLQ209" s="21"/>
      <c r="CLR209" s="21"/>
      <c r="CLS209" s="21"/>
      <c r="CLT209" s="21"/>
      <c r="CLU209" s="21"/>
      <c r="CLV209" s="21"/>
      <c r="CLW209" s="21"/>
      <c r="CLX209" s="21"/>
      <c r="CLY209" s="21"/>
      <c r="CLZ209" s="21"/>
      <c r="CMA209" s="21"/>
      <c r="CMB209" s="21"/>
      <c r="CMC209" s="21"/>
      <c r="CMD209" s="21"/>
      <c r="CME209" s="21"/>
      <c r="CMF209" s="21"/>
      <c r="CMG209" s="21"/>
      <c r="CMH209" s="21"/>
      <c r="CMI209" s="21"/>
      <c r="CMJ209" s="21"/>
      <c r="CMK209" s="21"/>
      <c r="CML209" s="21"/>
      <c r="CMM209" s="21"/>
      <c r="CMN209" s="21"/>
      <c r="CMO209" s="21"/>
      <c r="CMP209" s="21"/>
      <c r="CMQ209" s="21"/>
      <c r="CMR209" s="21"/>
      <c r="CMS209" s="21"/>
      <c r="CMT209" s="21"/>
      <c r="CMU209" s="21"/>
      <c r="CMV209" s="21"/>
      <c r="CMW209" s="21"/>
      <c r="CMX209" s="21"/>
      <c r="CMY209" s="21"/>
      <c r="CMZ209" s="21"/>
      <c r="CNA209" s="21"/>
      <c r="CNB209" s="21"/>
      <c r="CNC209" s="21"/>
      <c r="CND209" s="21"/>
      <c r="CNE209" s="21"/>
      <c r="CNF209" s="21"/>
      <c r="CNG209" s="21"/>
      <c r="CNH209" s="21"/>
      <c r="CNI209" s="21"/>
      <c r="CNJ209" s="21"/>
      <c r="CNK209" s="21"/>
      <c r="CNL209" s="21"/>
      <c r="CNM209" s="21"/>
      <c r="CNN209" s="21"/>
      <c r="CNO209" s="21"/>
      <c r="CNP209" s="21"/>
      <c r="CNQ209" s="21"/>
      <c r="CNR209" s="21"/>
      <c r="CNS209" s="21"/>
      <c r="CNT209" s="21"/>
      <c r="CNU209" s="21"/>
      <c r="CNV209" s="21"/>
      <c r="CNW209" s="21"/>
      <c r="CNX209" s="21"/>
      <c r="CNY209" s="21"/>
      <c r="CNZ209" s="21"/>
      <c r="COA209" s="21"/>
      <c r="COB209" s="21"/>
      <c r="COC209" s="21"/>
      <c r="COD209" s="21"/>
      <c r="COE209" s="21"/>
      <c r="COF209" s="21"/>
      <c r="COG209" s="21"/>
      <c r="COH209" s="21"/>
      <c r="COI209" s="21"/>
      <c r="COJ209" s="21"/>
      <c r="COK209" s="21"/>
      <c r="COL209" s="21"/>
      <c r="COM209" s="21"/>
      <c r="CON209" s="21"/>
      <c r="COO209" s="21"/>
      <c r="COP209" s="21"/>
      <c r="COQ209" s="21"/>
      <c r="COR209" s="21"/>
      <c r="COS209" s="21"/>
      <c r="COT209" s="21"/>
      <c r="COU209" s="21"/>
      <c r="COV209" s="21"/>
      <c r="COW209" s="21"/>
      <c r="COX209" s="21"/>
      <c r="COY209" s="21"/>
      <c r="COZ209" s="21"/>
      <c r="CPA209" s="21"/>
      <c r="CPB209" s="21"/>
      <c r="CPC209" s="21"/>
      <c r="CPD209" s="21"/>
      <c r="CPE209" s="21"/>
      <c r="CPF209" s="21"/>
      <c r="CPG209" s="21"/>
      <c r="CPH209" s="21"/>
      <c r="CPI209" s="21"/>
      <c r="CPJ209" s="21"/>
      <c r="CPK209" s="21"/>
      <c r="CPL209" s="21"/>
      <c r="CPM209" s="21"/>
      <c r="CPN209" s="21"/>
      <c r="CPO209" s="21"/>
      <c r="CPP209" s="21"/>
      <c r="CPQ209" s="21"/>
      <c r="CPR209" s="21"/>
      <c r="CPS209" s="21"/>
      <c r="CPT209" s="21"/>
      <c r="CPU209" s="21"/>
      <c r="CPV209" s="21"/>
      <c r="CPW209" s="21"/>
      <c r="CPX209" s="21"/>
      <c r="CPY209" s="21"/>
      <c r="CPZ209" s="21"/>
      <c r="CQA209" s="21"/>
      <c r="CQB209" s="21"/>
      <c r="CQC209" s="21"/>
      <c r="CQD209" s="21"/>
      <c r="CQE209" s="21"/>
      <c r="CQF209" s="21"/>
      <c r="CQG209" s="21"/>
      <c r="CQH209" s="21"/>
      <c r="CQI209" s="21"/>
      <c r="CQJ209" s="21"/>
      <c r="CQK209" s="21"/>
      <c r="CQL209" s="21"/>
      <c r="CQM209" s="21"/>
      <c r="CQN209" s="21"/>
      <c r="CQO209" s="21"/>
      <c r="CQP209" s="21"/>
      <c r="CQQ209" s="21"/>
      <c r="CQR209" s="21"/>
      <c r="CQS209" s="21"/>
      <c r="CQT209" s="21"/>
      <c r="CQU209" s="21"/>
      <c r="CQV209" s="21"/>
      <c r="CQW209" s="21"/>
      <c r="CQX209" s="21"/>
      <c r="CQY209" s="21"/>
      <c r="CQZ209" s="21"/>
      <c r="CRA209" s="21"/>
      <c r="CRB209" s="21"/>
      <c r="CRC209" s="21"/>
      <c r="CRD209" s="21"/>
      <c r="CRE209" s="21"/>
      <c r="CRF209" s="21"/>
      <c r="CRG209" s="21"/>
      <c r="CRH209" s="21"/>
      <c r="CRI209" s="21"/>
      <c r="CRJ209" s="21"/>
      <c r="CRK209" s="21"/>
      <c r="CRL209" s="21"/>
      <c r="CRM209" s="21"/>
      <c r="CRN209" s="21"/>
      <c r="CRO209" s="21"/>
      <c r="CRP209" s="21"/>
      <c r="CRQ209" s="21"/>
      <c r="CRR209" s="21"/>
      <c r="CRS209" s="21"/>
      <c r="CRT209" s="21"/>
      <c r="CRU209" s="21"/>
      <c r="CRV209" s="21"/>
      <c r="CRW209" s="21"/>
      <c r="CRX209" s="21"/>
      <c r="CRY209" s="21"/>
      <c r="CRZ209" s="21"/>
      <c r="CSA209" s="21"/>
      <c r="CSB209" s="21"/>
      <c r="CSC209" s="21"/>
      <c r="CSD209" s="21"/>
      <c r="CSE209" s="21"/>
      <c r="CSF209" s="21"/>
      <c r="CSG209" s="21"/>
      <c r="CSH209" s="21"/>
      <c r="CSI209" s="21"/>
      <c r="CSJ209" s="21"/>
      <c r="CSK209" s="21"/>
      <c r="CSL209" s="21"/>
      <c r="CSM209" s="21"/>
      <c r="CSN209" s="21"/>
      <c r="CSO209" s="21"/>
      <c r="CSP209" s="21"/>
      <c r="CSQ209" s="21"/>
      <c r="CSR209" s="21"/>
      <c r="CSS209" s="21"/>
      <c r="CST209" s="21"/>
      <c r="CSU209" s="21"/>
      <c r="CSV209" s="21"/>
      <c r="CSW209" s="21"/>
      <c r="CSX209" s="21"/>
      <c r="CSY209" s="21"/>
      <c r="CSZ209" s="21"/>
      <c r="CTA209" s="21"/>
      <c r="CTB209" s="21"/>
      <c r="CTC209" s="21"/>
      <c r="CTD209" s="21"/>
      <c r="CTE209" s="21"/>
      <c r="CTF209" s="21"/>
      <c r="CTG209" s="21"/>
      <c r="CTH209" s="21"/>
      <c r="CTI209" s="21"/>
      <c r="CTJ209" s="21"/>
      <c r="CTK209" s="21"/>
      <c r="CTL209" s="21"/>
      <c r="CTM209" s="21"/>
      <c r="CTN209" s="21"/>
      <c r="CTO209" s="21"/>
      <c r="CTP209" s="21"/>
      <c r="CTQ209" s="21"/>
      <c r="CTR209" s="21"/>
      <c r="CTS209" s="21"/>
      <c r="CTT209" s="21"/>
      <c r="CTU209" s="21"/>
      <c r="CTV209" s="21"/>
      <c r="CTW209" s="21"/>
      <c r="CTX209" s="21"/>
      <c r="CTY209" s="21"/>
      <c r="CTZ209" s="21"/>
      <c r="CUA209" s="21"/>
      <c r="CUB209" s="21"/>
      <c r="CUC209" s="21"/>
      <c r="CUD209" s="21"/>
      <c r="CUE209" s="21"/>
      <c r="CUF209" s="21"/>
      <c r="CUG209" s="21"/>
      <c r="CUH209" s="21"/>
      <c r="CUI209" s="21"/>
      <c r="CUJ209" s="21"/>
      <c r="CUK209" s="21"/>
      <c r="CUL209" s="21"/>
      <c r="CUM209" s="21"/>
      <c r="CUN209" s="21"/>
      <c r="CUO209" s="21"/>
      <c r="CUP209" s="21"/>
      <c r="CUQ209" s="21"/>
      <c r="CUR209" s="21"/>
      <c r="CUS209" s="21"/>
      <c r="CUT209" s="21"/>
      <c r="CUU209" s="21"/>
      <c r="CUV209" s="21"/>
      <c r="CUW209" s="21"/>
      <c r="CUX209" s="21"/>
      <c r="CUY209" s="21"/>
      <c r="CUZ209" s="21"/>
      <c r="CVA209" s="21"/>
      <c r="CVB209" s="21"/>
      <c r="CVC209" s="21"/>
      <c r="CVD209" s="21"/>
      <c r="CVE209" s="21"/>
      <c r="CVF209" s="21"/>
      <c r="CVG209" s="21"/>
      <c r="CVH209" s="21"/>
      <c r="CVI209" s="21"/>
      <c r="CVJ209" s="21"/>
      <c r="CVK209" s="21"/>
      <c r="CVL209" s="21"/>
      <c r="CVM209" s="21"/>
      <c r="CVN209" s="21"/>
      <c r="CVO209" s="21"/>
      <c r="CVP209" s="21"/>
      <c r="CVQ209" s="21"/>
      <c r="CVR209" s="21"/>
      <c r="CVS209" s="21"/>
      <c r="CVT209" s="21"/>
      <c r="CVU209" s="21"/>
      <c r="CVV209" s="21"/>
      <c r="CVW209" s="21"/>
      <c r="CVX209" s="21"/>
      <c r="CVY209" s="21"/>
      <c r="CVZ209" s="21"/>
      <c r="CWA209" s="21"/>
      <c r="CWB209" s="21"/>
      <c r="CWC209" s="21"/>
      <c r="CWD209" s="21"/>
      <c r="CWE209" s="21"/>
      <c r="CWF209" s="21"/>
      <c r="CWG209" s="21"/>
      <c r="CWH209" s="21"/>
      <c r="CWI209" s="21"/>
      <c r="CWJ209" s="21"/>
      <c r="CWK209" s="21"/>
      <c r="CWL209" s="21"/>
      <c r="CWM209" s="21"/>
      <c r="CWN209" s="21"/>
      <c r="CWO209" s="21"/>
      <c r="CWP209" s="21"/>
      <c r="CWQ209" s="21"/>
      <c r="CWR209" s="21"/>
      <c r="CWS209" s="21"/>
      <c r="CWT209" s="21"/>
      <c r="CWU209" s="21"/>
      <c r="CWV209" s="21"/>
      <c r="CWW209" s="21"/>
      <c r="CWX209" s="21"/>
      <c r="CWY209" s="21"/>
      <c r="CWZ209" s="21"/>
      <c r="CXA209" s="21"/>
      <c r="CXB209" s="21"/>
      <c r="CXC209" s="21"/>
      <c r="CXD209" s="21"/>
      <c r="CXE209" s="21"/>
      <c r="CXF209" s="21"/>
      <c r="CXG209" s="21"/>
      <c r="CXH209" s="21"/>
      <c r="CXI209" s="21"/>
      <c r="CXJ209" s="21"/>
      <c r="CXK209" s="21"/>
      <c r="CXL209" s="21"/>
      <c r="CXM209" s="21"/>
      <c r="CXN209" s="21"/>
      <c r="CXO209" s="21"/>
      <c r="CXP209" s="21"/>
      <c r="CXQ209" s="21"/>
      <c r="CXR209" s="21"/>
      <c r="CXS209" s="21"/>
      <c r="CXT209" s="21"/>
      <c r="CXU209" s="21"/>
      <c r="CXV209" s="21"/>
      <c r="CXW209" s="21"/>
      <c r="CXX209" s="21"/>
      <c r="CXY209" s="21"/>
      <c r="CXZ209" s="21"/>
      <c r="CYA209" s="21"/>
      <c r="CYB209" s="21"/>
      <c r="CYC209" s="21"/>
      <c r="CYD209" s="21"/>
      <c r="CYE209" s="21"/>
      <c r="CYF209" s="21"/>
      <c r="CYG209" s="21"/>
      <c r="CYH209" s="21"/>
      <c r="CYI209" s="21"/>
      <c r="CYJ209" s="21"/>
      <c r="CYK209" s="21"/>
      <c r="CYL209" s="21"/>
      <c r="CYM209" s="21"/>
      <c r="CYN209" s="21"/>
      <c r="CYO209" s="21"/>
      <c r="CYP209" s="21"/>
      <c r="CYQ209" s="21"/>
      <c r="CYR209" s="21"/>
      <c r="CYS209" s="21"/>
      <c r="CYT209" s="21"/>
      <c r="CYU209" s="21"/>
      <c r="CYV209" s="21"/>
      <c r="CYW209" s="21"/>
      <c r="CYX209" s="21"/>
      <c r="CYY209" s="21"/>
      <c r="CYZ209" s="21"/>
      <c r="CZA209" s="21"/>
      <c r="CZB209" s="21"/>
      <c r="CZC209" s="21"/>
      <c r="CZD209" s="21"/>
      <c r="CZE209" s="21"/>
      <c r="CZF209" s="21"/>
      <c r="CZG209" s="21"/>
      <c r="CZH209" s="21"/>
      <c r="CZI209" s="21"/>
      <c r="CZJ209" s="21"/>
      <c r="CZK209" s="21"/>
      <c r="CZL209" s="21"/>
      <c r="CZM209" s="21"/>
      <c r="CZN209" s="21"/>
      <c r="CZO209" s="21"/>
      <c r="CZP209" s="21"/>
      <c r="CZQ209" s="21"/>
      <c r="CZR209" s="21"/>
      <c r="CZS209" s="21"/>
      <c r="CZT209" s="21"/>
      <c r="CZU209" s="21"/>
      <c r="CZV209" s="21"/>
      <c r="CZW209" s="21"/>
      <c r="CZX209" s="21"/>
      <c r="CZY209" s="21"/>
      <c r="CZZ209" s="21"/>
      <c r="DAA209" s="21"/>
      <c r="DAB209" s="21"/>
      <c r="DAC209" s="21"/>
      <c r="DAD209" s="21"/>
      <c r="DAE209" s="21"/>
      <c r="DAF209" s="21"/>
      <c r="DAG209" s="21"/>
      <c r="DAH209" s="21"/>
      <c r="DAI209" s="21"/>
      <c r="DAJ209" s="21"/>
      <c r="DAK209" s="21"/>
      <c r="DAL209" s="21"/>
      <c r="DAM209" s="21"/>
      <c r="DAN209" s="21"/>
      <c r="DAO209" s="21"/>
      <c r="DAP209" s="21"/>
      <c r="DAQ209" s="21"/>
      <c r="DAR209" s="21"/>
      <c r="DAS209" s="21"/>
      <c r="DAT209" s="21"/>
      <c r="DAU209" s="21"/>
      <c r="DAV209" s="21"/>
      <c r="DAW209" s="21"/>
      <c r="DAX209" s="21"/>
      <c r="DAY209" s="21"/>
      <c r="DAZ209" s="21"/>
      <c r="DBA209" s="21"/>
      <c r="DBB209" s="21"/>
      <c r="DBC209" s="21"/>
      <c r="DBD209" s="21"/>
      <c r="DBE209" s="21"/>
      <c r="DBF209" s="21"/>
      <c r="DBG209" s="21"/>
      <c r="DBH209" s="21"/>
      <c r="DBI209" s="21"/>
      <c r="DBJ209" s="21"/>
      <c r="DBK209" s="21"/>
      <c r="DBL209" s="21"/>
      <c r="DBM209" s="21"/>
      <c r="DBN209" s="21"/>
      <c r="DBO209" s="21"/>
      <c r="DBP209" s="21"/>
      <c r="DBQ209" s="21"/>
      <c r="DBR209" s="21"/>
      <c r="DBS209" s="21"/>
      <c r="DBT209" s="21"/>
      <c r="DBU209" s="21"/>
      <c r="DBV209" s="21"/>
      <c r="DBW209" s="21"/>
      <c r="DBX209" s="21"/>
      <c r="DBY209" s="21"/>
      <c r="DBZ209" s="21"/>
      <c r="DCA209" s="21"/>
      <c r="DCB209" s="21"/>
      <c r="DCC209" s="21"/>
      <c r="DCD209" s="21"/>
      <c r="DCE209" s="21"/>
      <c r="DCF209" s="21"/>
      <c r="DCG209" s="21"/>
      <c r="DCH209" s="21"/>
      <c r="DCI209" s="21"/>
      <c r="DCJ209" s="21"/>
      <c r="DCK209" s="21"/>
      <c r="DCL209" s="21"/>
      <c r="DCM209" s="21"/>
      <c r="DCN209" s="21"/>
      <c r="DCO209" s="21"/>
      <c r="DCP209" s="21"/>
      <c r="DCQ209" s="21"/>
      <c r="DCR209" s="21"/>
      <c r="DCS209" s="21"/>
      <c r="DCT209" s="21"/>
      <c r="DCU209" s="21"/>
      <c r="DCV209" s="21"/>
      <c r="DCW209" s="21"/>
      <c r="DCX209" s="21"/>
      <c r="DCY209" s="21"/>
      <c r="DCZ209" s="21"/>
      <c r="DDA209" s="21"/>
      <c r="DDB209" s="21"/>
      <c r="DDC209" s="21"/>
      <c r="DDD209" s="21"/>
      <c r="DDE209" s="21"/>
      <c r="DDF209" s="21"/>
      <c r="DDG209" s="21"/>
      <c r="DDH209" s="21"/>
      <c r="DDI209" s="21"/>
      <c r="DDJ209" s="21"/>
      <c r="DDK209" s="21"/>
      <c r="DDL209" s="21"/>
      <c r="DDM209" s="21"/>
      <c r="DDN209" s="21"/>
      <c r="DDO209" s="21"/>
      <c r="DDP209" s="21"/>
      <c r="DDQ209" s="21"/>
      <c r="DDR209" s="21"/>
      <c r="DDS209" s="21"/>
      <c r="DDT209" s="21"/>
      <c r="DDU209" s="21"/>
      <c r="DDV209" s="21"/>
      <c r="DDW209" s="21"/>
      <c r="DDX209" s="21"/>
      <c r="DDY209" s="21"/>
      <c r="DDZ209" s="21"/>
      <c r="DEA209" s="21"/>
      <c r="DEB209" s="21"/>
      <c r="DEC209" s="21"/>
      <c r="DED209" s="21"/>
      <c r="DEE209" s="21"/>
      <c r="DEF209" s="21"/>
      <c r="DEG209" s="21"/>
      <c r="DEH209" s="21"/>
      <c r="DEI209" s="21"/>
      <c r="DEJ209" s="21"/>
      <c r="DEK209" s="21"/>
      <c r="DEL209" s="21"/>
      <c r="DEM209" s="21"/>
      <c r="DEN209" s="21"/>
      <c r="DEO209" s="21"/>
      <c r="DEP209" s="21"/>
      <c r="DEQ209" s="21"/>
      <c r="DER209" s="21"/>
      <c r="DES209" s="21"/>
      <c r="DET209" s="21"/>
      <c r="DEU209" s="21"/>
      <c r="DEV209" s="21"/>
      <c r="DEW209" s="21"/>
      <c r="DEX209" s="21"/>
      <c r="DEY209" s="21"/>
      <c r="DEZ209" s="21"/>
      <c r="DFA209" s="21"/>
      <c r="DFB209" s="21"/>
      <c r="DFC209" s="21"/>
      <c r="DFD209" s="21"/>
      <c r="DFE209" s="21"/>
      <c r="DFF209" s="21"/>
      <c r="DFG209" s="21"/>
      <c r="DFH209" s="21"/>
      <c r="DFI209" s="21"/>
      <c r="DFJ209" s="21"/>
      <c r="DFK209" s="21"/>
      <c r="DFL209" s="21"/>
      <c r="DFM209" s="21"/>
      <c r="DFN209" s="21"/>
      <c r="DFO209" s="21"/>
      <c r="DFP209" s="21"/>
      <c r="DFQ209" s="21"/>
      <c r="DFR209" s="21"/>
      <c r="DFS209" s="21"/>
      <c r="DFT209" s="21"/>
      <c r="DFU209" s="21"/>
      <c r="DFV209" s="21"/>
      <c r="DFW209" s="21"/>
      <c r="DFX209" s="21"/>
      <c r="DFY209" s="21"/>
      <c r="DFZ209" s="21"/>
      <c r="DGA209" s="21"/>
      <c r="DGB209" s="21"/>
      <c r="DGC209" s="21"/>
      <c r="DGD209" s="21"/>
      <c r="DGE209" s="21"/>
      <c r="DGF209" s="21"/>
      <c r="DGG209" s="21"/>
      <c r="DGH209" s="21"/>
      <c r="DGI209" s="21"/>
      <c r="DGJ209" s="21"/>
      <c r="DGK209" s="21"/>
      <c r="DGL209" s="21"/>
      <c r="DGM209" s="21"/>
      <c r="DGN209" s="21"/>
      <c r="DGO209" s="21"/>
      <c r="DGP209" s="21"/>
      <c r="DGQ209" s="21"/>
      <c r="DGR209" s="21"/>
      <c r="DGS209" s="21"/>
      <c r="DGT209" s="21"/>
      <c r="DGU209" s="21"/>
      <c r="DGV209" s="21"/>
      <c r="DGW209" s="21"/>
      <c r="DGX209" s="21"/>
      <c r="DGY209" s="21"/>
      <c r="DGZ209" s="21"/>
      <c r="DHA209" s="21"/>
      <c r="DHB209" s="21"/>
      <c r="DHC209" s="21"/>
      <c r="DHD209" s="21"/>
      <c r="DHE209" s="21"/>
      <c r="DHF209" s="21"/>
      <c r="DHG209" s="21"/>
      <c r="DHH209" s="21"/>
      <c r="DHI209" s="21"/>
      <c r="DHJ209" s="21"/>
      <c r="DHK209" s="21"/>
      <c r="DHL209" s="21"/>
      <c r="DHM209" s="21"/>
      <c r="DHN209" s="21"/>
      <c r="DHO209" s="21"/>
      <c r="DHP209" s="21"/>
      <c r="DHQ209" s="21"/>
      <c r="DHR209" s="21"/>
      <c r="DHS209" s="21"/>
      <c r="DHT209" s="21"/>
      <c r="DHU209" s="21"/>
      <c r="DHV209" s="21"/>
      <c r="DHW209" s="21"/>
      <c r="DHX209" s="21"/>
      <c r="DHY209" s="21"/>
      <c r="DHZ209" s="21"/>
      <c r="DIA209" s="21"/>
      <c r="DIB209" s="21"/>
      <c r="DIC209" s="21"/>
      <c r="DID209" s="21"/>
      <c r="DIE209" s="21"/>
      <c r="DIF209" s="21"/>
      <c r="DIG209" s="21"/>
      <c r="DIH209" s="21"/>
      <c r="DII209" s="21"/>
      <c r="DIJ209" s="21"/>
      <c r="DIK209" s="21"/>
      <c r="DIL209" s="21"/>
      <c r="DIM209" s="21"/>
      <c r="DIN209" s="21"/>
      <c r="DIO209" s="21"/>
      <c r="DIP209" s="21"/>
      <c r="DIQ209" s="21"/>
      <c r="DIR209" s="21"/>
      <c r="DIS209" s="21"/>
      <c r="DIT209" s="21"/>
      <c r="DIU209" s="21"/>
      <c r="DIV209" s="21"/>
      <c r="DIW209" s="21"/>
      <c r="DIX209" s="21"/>
      <c r="DIY209" s="21"/>
      <c r="DIZ209" s="21"/>
      <c r="DJA209" s="21"/>
      <c r="DJB209" s="21"/>
      <c r="DJC209" s="21"/>
      <c r="DJD209" s="21"/>
      <c r="DJE209" s="21"/>
      <c r="DJF209" s="21"/>
      <c r="DJG209" s="21"/>
      <c r="DJH209" s="21"/>
      <c r="DJI209" s="21"/>
      <c r="DJJ209" s="21"/>
      <c r="DJK209" s="21"/>
      <c r="DJL209" s="21"/>
      <c r="DJM209" s="21"/>
      <c r="DJN209" s="21"/>
      <c r="DJO209" s="21"/>
      <c r="DJP209" s="21"/>
      <c r="DJQ209" s="21"/>
      <c r="DJR209" s="21"/>
      <c r="DJS209" s="21"/>
      <c r="DJT209" s="21"/>
      <c r="DJU209" s="21"/>
      <c r="DJV209" s="21"/>
      <c r="DJW209" s="21"/>
      <c r="DJX209" s="21"/>
      <c r="DJY209" s="21"/>
      <c r="DJZ209" s="21"/>
      <c r="DKA209" s="21"/>
      <c r="DKB209" s="21"/>
      <c r="DKC209" s="21"/>
      <c r="DKD209" s="21"/>
      <c r="DKE209" s="21"/>
      <c r="DKF209" s="21"/>
      <c r="DKG209" s="21"/>
      <c r="DKH209" s="21"/>
      <c r="DKI209" s="21"/>
      <c r="DKJ209" s="21"/>
      <c r="DKK209" s="21"/>
      <c r="DKL209" s="21"/>
      <c r="DKM209" s="21"/>
      <c r="DKN209" s="21"/>
      <c r="DKO209" s="21"/>
      <c r="DKP209" s="21"/>
      <c r="DKQ209" s="21"/>
      <c r="DKR209" s="21"/>
      <c r="DKS209" s="21"/>
      <c r="DKT209" s="21"/>
      <c r="DKU209" s="21"/>
      <c r="DKV209" s="21"/>
      <c r="DKW209" s="21"/>
      <c r="DKX209" s="21"/>
      <c r="DKY209" s="21"/>
      <c r="DKZ209" s="21"/>
      <c r="DLA209" s="21"/>
      <c r="DLB209" s="21"/>
      <c r="DLC209" s="21"/>
      <c r="DLD209" s="21"/>
      <c r="DLE209" s="21"/>
      <c r="DLF209" s="21"/>
      <c r="DLG209" s="21"/>
      <c r="DLH209" s="21"/>
      <c r="DLI209" s="21"/>
      <c r="DLJ209" s="21"/>
      <c r="DLK209" s="21"/>
      <c r="DLL209" s="21"/>
      <c r="DLM209" s="21"/>
      <c r="DLN209" s="21"/>
      <c r="DLO209" s="21"/>
      <c r="DLP209" s="21"/>
      <c r="DLQ209" s="21"/>
      <c r="DLR209" s="21"/>
      <c r="DLS209" s="21"/>
      <c r="DLT209" s="21"/>
      <c r="DLU209" s="21"/>
      <c r="DLV209" s="21"/>
      <c r="DLW209" s="21"/>
      <c r="DLX209" s="21"/>
      <c r="DLY209" s="21"/>
      <c r="DLZ209" s="21"/>
      <c r="DMA209" s="21"/>
      <c r="DMB209" s="21"/>
      <c r="DMC209" s="21"/>
      <c r="DMD209" s="21"/>
      <c r="DME209" s="21"/>
      <c r="DMF209" s="21"/>
      <c r="DMG209" s="21"/>
      <c r="DMH209" s="21"/>
      <c r="DMI209" s="21"/>
      <c r="DMJ209" s="21"/>
      <c r="DMK209" s="21"/>
      <c r="DML209" s="21"/>
      <c r="DMM209" s="21"/>
      <c r="DMN209" s="21"/>
      <c r="DMO209" s="21"/>
      <c r="DMP209" s="21"/>
      <c r="DMQ209" s="21"/>
      <c r="DMR209" s="21"/>
      <c r="DMS209" s="21"/>
      <c r="DMT209" s="21"/>
      <c r="DMU209" s="21"/>
      <c r="DMV209" s="21"/>
      <c r="DMW209" s="21"/>
      <c r="DMX209" s="21"/>
      <c r="DMY209" s="21"/>
      <c r="DMZ209" s="21"/>
      <c r="DNA209" s="21"/>
      <c r="DNB209" s="21"/>
      <c r="DNC209" s="21"/>
      <c r="DND209" s="21"/>
      <c r="DNE209" s="21"/>
      <c r="DNF209" s="21"/>
      <c r="DNG209" s="21"/>
      <c r="DNH209" s="21"/>
      <c r="DNI209" s="21"/>
      <c r="DNJ209" s="21"/>
      <c r="DNK209" s="21"/>
      <c r="DNL209" s="21"/>
      <c r="DNM209" s="21"/>
      <c r="DNN209" s="21"/>
      <c r="DNO209" s="21"/>
      <c r="DNP209" s="21"/>
      <c r="DNQ209" s="21"/>
      <c r="DNR209" s="21"/>
      <c r="DNS209" s="21"/>
      <c r="DNT209" s="21"/>
      <c r="DNU209" s="21"/>
      <c r="DNV209" s="21"/>
      <c r="DNW209" s="21"/>
      <c r="DNX209" s="21"/>
      <c r="DNY209" s="21"/>
      <c r="DNZ209" s="21"/>
      <c r="DOA209" s="21"/>
      <c r="DOB209" s="21"/>
      <c r="DOC209" s="21"/>
      <c r="DOD209" s="21"/>
      <c r="DOE209" s="21"/>
      <c r="DOF209" s="21"/>
      <c r="DOG209" s="21"/>
      <c r="DOH209" s="21"/>
      <c r="DOI209" s="21"/>
      <c r="DOJ209" s="21"/>
      <c r="DOK209" s="21"/>
      <c r="DOL209" s="21"/>
      <c r="DOM209" s="21"/>
      <c r="DON209" s="21"/>
      <c r="DOO209" s="21"/>
      <c r="DOP209" s="21"/>
      <c r="DOQ209" s="21"/>
      <c r="DOR209" s="21"/>
      <c r="DOS209" s="21"/>
      <c r="DOT209" s="21"/>
      <c r="DOU209" s="21"/>
      <c r="DOV209" s="21"/>
      <c r="DOW209" s="21"/>
      <c r="DOX209" s="21"/>
      <c r="DOY209" s="21"/>
      <c r="DOZ209" s="21"/>
      <c r="DPA209" s="21"/>
      <c r="DPB209" s="21"/>
      <c r="DPC209" s="21"/>
      <c r="DPD209" s="21"/>
      <c r="DPE209" s="21"/>
      <c r="DPF209" s="21"/>
      <c r="DPG209" s="21"/>
      <c r="DPH209" s="21"/>
      <c r="DPI209" s="21"/>
      <c r="DPJ209" s="21"/>
      <c r="DPK209" s="21"/>
      <c r="DPL209" s="21"/>
      <c r="DPM209" s="21"/>
      <c r="DPN209" s="21"/>
      <c r="DPO209" s="21"/>
      <c r="DPP209" s="21"/>
      <c r="DPQ209" s="21"/>
      <c r="DPR209" s="21"/>
      <c r="DPS209" s="21"/>
      <c r="DPT209" s="21"/>
      <c r="DPU209" s="21"/>
      <c r="DPV209" s="21"/>
      <c r="DPW209" s="21"/>
      <c r="DPX209" s="21"/>
      <c r="DPY209" s="21"/>
      <c r="DPZ209" s="21"/>
      <c r="DQA209" s="21"/>
      <c r="DQB209" s="21"/>
      <c r="DQC209" s="21"/>
      <c r="DQD209" s="21"/>
      <c r="DQE209" s="21"/>
      <c r="DQF209" s="21"/>
      <c r="DQG209" s="21"/>
      <c r="DQH209" s="21"/>
      <c r="DQI209" s="21"/>
      <c r="DQJ209" s="21"/>
      <c r="DQK209" s="21"/>
      <c r="DQL209" s="21"/>
      <c r="DQM209" s="21"/>
      <c r="DQN209" s="21"/>
      <c r="DQO209" s="21"/>
      <c r="DQP209" s="21"/>
      <c r="DQQ209" s="21"/>
      <c r="DQR209" s="21"/>
      <c r="DQS209" s="21"/>
      <c r="DQT209" s="21"/>
      <c r="DQU209" s="21"/>
      <c r="DQV209" s="21"/>
      <c r="DQW209" s="21"/>
      <c r="DQX209" s="21"/>
      <c r="DQY209" s="21"/>
      <c r="DQZ209" s="21"/>
      <c r="DRA209" s="21"/>
      <c r="DRB209" s="21"/>
      <c r="DRC209" s="21"/>
      <c r="DRD209" s="21"/>
      <c r="DRE209" s="21"/>
      <c r="DRF209" s="21"/>
      <c r="DRG209" s="21"/>
      <c r="DRH209" s="21"/>
      <c r="DRI209" s="21"/>
      <c r="DRJ209" s="21"/>
      <c r="DRK209" s="21"/>
      <c r="DRL209" s="21"/>
      <c r="DRM209" s="21"/>
      <c r="DRN209" s="21"/>
      <c r="DRO209" s="21"/>
      <c r="DRP209" s="21"/>
      <c r="DRQ209" s="21"/>
      <c r="DRR209" s="21"/>
      <c r="DRS209" s="21"/>
      <c r="DRT209" s="21"/>
      <c r="DRU209" s="21"/>
      <c r="DRV209" s="21"/>
      <c r="DRW209" s="21"/>
      <c r="DRX209" s="21"/>
      <c r="DRY209" s="21"/>
      <c r="DRZ209" s="21"/>
      <c r="DSA209" s="21"/>
      <c r="DSB209" s="21"/>
      <c r="DSC209" s="21"/>
      <c r="DSD209" s="21"/>
      <c r="DSE209" s="21"/>
      <c r="DSF209" s="21"/>
      <c r="DSG209" s="21"/>
      <c r="DSH209" s="21"/>
      <c r="DSI209" s="21"/>
      <c r="DSJ209" s="21"/>
      <c r="DSK209" s="21"/>
      <c r="DSL209" s="21"/>
      <c r="DSM209" s="21"/>
      <c r="DSN209" s="21"/>
      <c r="DSO209" s="21"/>
      <c r="DSP209" s="21"/>
      <c r="DSQ209" s="21"/>
      <c r="DSR209" s="21"/>
      <c r="DSS209" s="21"/>
      <c r="DST209" s="21"/>
      <c r="DSU209" s="21"/>
      <c r="DSV209" s="21"/>
      <c r="DSW209" s="21"/>
      <c r="DSX209" s="21"/>
      <c r="DSY209" s="21"/>
      <c r="DSZ209" s="21"/>
      <c r="DTA209" s="21"/>
      <c r="DTB209" s="21"/>
      <c r="DTC209" s="21"/>
      <c r="DTD209" s="21"/>
      <c r="DTE209" s="21"/>
      <c r="DTF209" s="21"/>
      <c r="DTG209" s="21"/>
      <c r="DTH209" s="21"/>
      <c r="DTI209" s="21"/>
      <c r="DTJ209" s="21"/>
      <c r="DTK209" s="21"/>
      <c r="DTL209" s="21"/>
      <c r="DTM209" s="21"/>
      <c r="DTN209" s="21"/>
      <c r="DTO209" s="21"/>
      <c r="DTP209" s="21"/>
      <c r="DTQ209" s="21"/>
      <c r="DTR209" s="21"/>
      <c r="DTS209" s="21"/>
      <c r="DTT209" s="21"/>
      <c r="DTU209" s="21"/>
      <c r="DTV209" s="21"/>
      <c r="DTW209" s="21"/>
      <c r="DTX209" s="21"/>
      <c r="DTY209" s="21"/>
      <c r="DTZ209" s="21"/>
      <c r="DUA209" s="21"/>
      <c r="DUB209" s="21"/>
      <c r="DUC209" s="21"/>
      <c r="DUD209" s="21"/>
      <c r="DUE209" s="21"/>
      <c r="DUF209" s="21"/>
      <c r="DUG209" s="21"/>
      <c r="DUH209" s="21"/>
      <c r="DUI209" s="21"/>
      <c r="DUJ209" s="21"/>
      <c r="DUK209" s="21"/>
      <c r="DUL209" s="21"/>
      <c r="DUM209" s="21"/>
      <c r="DUN209" s="21"/>
      <c r="DUO209" s="21"/>
      <c r="DUP209" s="21"/>
      <c r="DUQ209" s="21"/>
      <c r="DUR209" s="21"/>
      <c r="DUS209" s="21"/>
      <c r="DUT209" s="21"/>
      <c r="DUU209" s="21"/>
      <c r="DUV209" s="21"/>
      <c r="DUW209" s="21"/>
      <c r="DUX209" s="21"/>
      <c r="DUY209" s="21"/>
      <c r="DUZ209" s="21"/>
      <c r="DVA209" s="21"/>
      <c r="DVB209" s="21"/>
      <c r="DVC209" s="21"/>
      <c r="DVD209" s="21"/>
      <c r="DVE209" s="21"/>
      <c r="DVF209" s="21"/>
      <c r="DVG209" s="21"/>
      <c r="DVH209" s="21"/>
      <c r="DVI209" s="21"/>
      <c r="DVJ209" s="21"/>
      <c r="DVK209" s="21"/>
      <c r="DVL209" s="21"/>
      <c r="DVM209" s="21"/>
      <c r="DVN209" s="21"/>
      <c r="DVO209" s="21"/>
      <c r="DVP209" s="21"/>
      <c r="DVQ209" s="21"/>
      <c r="DVR209" s="21"/>
      <c r="DVS209" s="21"/>
      <c r="DVT209" s="21"/>
      <c r="DVU209" s="21"/>
      <c r="DVV209" s="21"/>
      <c r="DVW209" s="21"/>
      <c r="DVX209" s="21"/>
      <c r="DVY209" s="21"/>
      <c r="DVZ209" s="21"/>
      <c r="DWA209" s="21"/>
      <c r="DWB209" s="21"/>
      <c r="DWC209" s="21"/>
      <c r="DWD209" s="21"/>
      <c r="DWE209" s="21"/>
      <c r="DWF209" s="21"/>
      <c r="DWG209" s="21"/>
      <c r="DWH209" s="21"/>
      <c r="DWI209" s="21"/>
      <c r="DWJ209" s="21"/>
      <c r="DWK209" s="21"/>
      <c r="DWL209" s="21"/>
      <c r="DWM209" s="21"/>
      <c r="DWN209" s="21"/>
      <c r="DWO209" s="21"/>
      <c r="DWP209" s="21"/>
      <c r="DWQ209" s="21"/>
      <c r="DWR209" s="21"/>
      <c r="DWS209" s="21"/>
      <c r="DWT209" s="21"/>
      <c r="DWU209" s="21"/>
      <c r="DWV209" s="21"/>
      <c r="DWW209" s="21"/>
      <c r="DWX209" s="21"/>
      <c r="DWY209" s="21"/>
      <c r="DWZ209" s="21"/>
      <c r="DXA209" s="21"/>
      <c r="DXB209" s="21"/>
      <c r="DXC209" s="21"/>
      <c r="DXD209" s="21"/>
      <c r="DXE209" s="21"/>
      <c r="DXF209" s="21"/>
      <c r="DXG209" s="21"/>
      <c r="DXH209" s="21"/>
      <c r="DXI209" s="21"/>
      <c r="DXJ209" s="21"/>
      <c r="DXK209" s="21"/>
      <c r="DXL209" s="21"/>
      <c r="DXM209" s="21"/>
      <c r="DXN209" s="21"/>
      <c r="DXO209" s="21"/>
      <c r="DXP209" s="21"/>
      <c r="DXQ209" s="21"/>
      <c r="DXR209" s="21"/>
      <c r="DXS209" s="21"/>
      <c r="DXT209" s="21"/>
      <c r="DXU209" s="21"/>
      <c r="DXV209" s="21"/>
      <c r="DXW209" s="21"/>
      <c r="DXX209" s="21"/>
      <c r="DXY209" s="21"/>
      <c r="DXZ209" s="21"/>
      <c r="DYA209" s="21"/>
      <c r="DYB209" s="21"/>
      <c r="DYC209" s="21"/>
      <c r="DYD209" s="21"/>
      <c r="DYE209" s="21"/>
      <c r="DYF209" s="21"/>
      <c r="DYG209" s="21"/>
      <c r="DYH209" s="21"/>
      <c r="DYI209" s="21"/>
      <c r="DYJ209" s="21"/>
      <c r="DYK209" s="21"/>
      <c r="DYL209" s="21"/>
      <c r="DYM209" s="21"/>
      <c r="DYN209" s="21"/>
      <c r="DYO209" s="21"/>
      <c r="DYP209" s="21"/>
      <c r="DYQ209" s="21"/>
      <c r="DYR209" s="21"/>
      <c r="DYS209" s="21"/>
      <c r="DYT209" s="21"/>
      <c r="DYU209" s="21"/>
      <c r="DYV209" s="21"/>
      <c r="DYW209" s="21"/>
      <c r="DYX209" s="21"/>
      <c r="DYY209" s="21"/>
      <c r="DYZ209" s="21"/>
      <c r="DZA209" s="21"/>
      <c r="DZB209" s="21"/>
      <c r="DZC209" s="21"/>
      <c r="DZD209" s="21"/>
      <c r="DZE209" s="21"/>
      <c r="DZF209" s="21"/>
      <c r="DZG209" s="21"/>
      <c r="DZH209" s="21"/>
      <c r="DZI209" s="21"/>
      <c r="DZJ209" s="21"/>
      <c r="DZK209" s="21"/>
      <c r="DZL209" s="21"/>
      <c r="DZM209" s="21"/>
      <c r="DZN209" s="21"/>
      <c r="DZO209" s="21"/>
      <c r="DZP209" s="21"/>
      <c r="DZQ209" s="21"/>
      <c r="DZR209" s="21"/>
      <c r="DZS209" s="21"/>
      <c r="DZT209" s="21"/>
      <c r="DZU209" s="21"/>
      <c r="DZV209" s="21"/>
      <c r="DZW209" s="21"/>
      <c r="DZX209" s="21"/>
      <c r="DZY209" s="21"/>
      <c r="DZZ209" s="21"/>
      <c r="EAA209" s="21"/>
      <c r="EAB209" s="21"/>
      <c r="EAC209" s="21"/>
      <c r="EAD209" s="21"/>
      <c r="EAE209" s="21"/>
      <c r="EAF209" s="21"/>
      <c r="EAG209" s="21"/>
      <c r="EAH209" s="21"/>
      <c r="EAI209" s="21"/>
      <c r="EAJ209" s="21"/>
      <c r="EAK209" s="21"/>
      <c r="EAL209" s="21"/>
      <c r="EAM209" s="21"/>
      <c r="EAN209" s="21"/>
      <c r="EAO209" s="21"/>
      <c r="EAP209" s="21"/>
      <c r="EAQ209" s="21"/>
      <c r="EAR209" s="21"/>
      <c r="EAS209" s="21"/>
      <c r="EAT209" s="21"/>
      <c r="EAU209" s="21"/>
      <c r="EAV209" s="21"/>
      <c r="EAW209" s="21"/>
      <c r="EAX209" s="21"/>
      <c r="EAY209" s="21"/>
      <c r="EAZ209" s="21"/>
      <c r="EBA209" s="21"/>
      <c r="EBB209" s="21"/>
      <c r="EBC209" s="21"/>
      <c r="EBD209" s="21"/>
      <c r="EBE209" s="21"/>
      <c r="EBF209" s="21"/>
      <c r="EBG209" s="21"/>
      <c r="EBH209" s="21"/>
      <c r="EBI209" s="21"/>
      <c r="EBJ209" s="21"/>
      <c r="EBK209" s="21"/>
      <c r="EBL209" s="21"/>
      <c r="EBM209" s="21"/>
      <c r="EBN209" s="21"/>
      <c r="EBO209" s="21"/>
      <c r="EBP209" s="21"/>
      <c r="EBQ209" s="21"/>
      <c r="EBR209" s="21"/>
      <c r="EBS209" s="21"/>
      <c r="EBT209" s="21"/>
      <c r="EBU209" s="21"/>
      <c r="EBV209" s="21"/>
      <c r="EBW209" s="21"/>
      <c r="EBX209" s="21"/>
      <c r="EBY209" s="21"/>
      <c r="EBZ209" s="21"/>
      <c r="ECA209" s="21"/>
      <c r="ECB209" s="21"/>
      <c r="ECC209" s="21"/>
      <c r="ECD209" s="21"/>
      <c r="ECE209" s="21"/>
      <c r="ECF209" s="21"/>
      <c r="ECG209" s="21"/>
      <c r="ECH209" s="21"/>
      <c r="ECI209" s="21"/>
      <c r="ECJ209" s="21"/>
      <c r="ECK209" s="21"/>
      <c r="ECL209" s="21"/>
      <c r="ECM209" s="21"/>
      <c r="ECN209" s="21"/>
      <c r="ECO209" s="21"/>
      <c r="ECP209" s="21"/>
      <c r="ECQ209" s="21"/>
      <c r="ECR209" s="21"/>
      <c r="ECS209" s="21"/>
      <c r="ECT209" s="21"/>
      <c r="ECU209" s="21"/>
      <c r="ECV209" s="21"/>
      <c r="ECW209" s="21"/>
      <c r="ECX209" s="21"/>
      <c r="ECY209" s="21"/>
      <c r="ECZ209" s="21"/>
      <c r="EDA209" s="21"/>
      <c r="EDB209" s="21"/>
      <c r="EDC209" s="21"/>
      <c r="EDD209" s="21"/>
      <c r="EDE209" s="21"/>
      <c r="EDF209" s="21"/>
      <c r="EDG209" s="21"/>
      <c r="EDH209" s="21"/>
      <c r="EDI209" s="21"/>
      <c r="EDJ209" s="21"/>
      <c r="EDK209" s="21"/>
      <c r="EDL209" s="21"/>
      <c r="EDM209" s="21"/>
      <c r="EDN209" s="21"/>
      <c r="EDO209" s="21"/>
      <c r="EDP209" s="21"/>
      <c r="EDQ209" s="21"/>
      <c r="EDR209" s="21"/>
      <c r="EDS209" s="21"/>
      <c r="EDT209" s="21"/>
      <c r="EDU209" s="21"/>
      <c r="EDV209" s="21"/>
      <c r="EDW209" s="21"/>
      <c r="EDX209" s="21"/>
      <c r="EDY209" s="21"/>
      <c r="EDZ209" s="21"/>
      <c r="EEA209" s="21"/>
      <c r="EEB209" s="21"/>
      <c r="EEC209" s="21"/>
      <c r="EED209" s="21"/>
      <c r="EEE209" s="21"/>
      <c r="EEF209" s="21"/>
      <c r="EEG209" s="21"/>
      <c r="EEH209" s="21"/>
      <c r="EEI209" s="21"/>
      <c r="EEJ209" s="21"/>
      <c r="EEK209" s="21"/>
      <c r="EEL209" s="21"/>
      <c r="EEM209" s="21"/>
      <c r="EEN209" s="21"/>
      <c r="EEO209" s="21"/>
      <c r="EEP209" s="21"/>
      <c r="EEQ209" s="21"/>
      <c r="EER209" s="21"/>
      <c r="EES209" s="21"/>
      <c r="EET209" s="21"/>
      <c r="EEU209" s="21"/>
      <c r="EEV209" s="21"/>
      <c r="EEW209" s="21"/>
      <c r="EEX209" s="21"/>
      <c r="EEY209" s="21"/>
      <c r="EEZ209" s="21"/>
      <c r="EFA209" s="21"/>
      <c r="EFB209" s="21"/>
      <c r="EFC209" s="21"/>
      <c r="EFD209" s="21"/>
      <c r="EFE209" s="21"/>
      <c r="EFF209" s="21"/>
      <c r="EFG209" s="21"/>
      <c r="EFH209" s="21"/>
      <c r="EFI209" s="21"/>
      <c r="EFJ209" s="21"/>
      <c r="EFK209" s="21"/>
      <c r="EFL209" s="21"/>
      <c r="EFM209" s="21"/>
      <c r="EFN209" s="21"/>
      <c r="EFO209" s="21"/>
      <c r="EFP209" s="21"/>
      <c r="EFQ209" s="21"/>
      <c r="EFR209" s="21"/>
      <c r="EFS209" s="21"/>
      <c r="EFT209" s="21"/>
      <c r="EFU209" s="21"/>
      <c r="EFV209" s="21"/>
      <c r="EFW209" s="21"/>
      <c r="EFX209" s="21"/>
      <c r="EFY209" s="21"/>
      <c r="EFZ209" s="21"/>
      <c r="EGA209" s="21"/>
      <c r="EGB209" s="21"/>
      <c r="EGC209" s="21"/>
      <c r="EGD209" s="21"/>
      <c r="EGE209" s="21"/>
      <c r="EGF209" s="21"/>
      <c r="EGG209" s="21"/>
      <c r="EGH209" s="21"/>
      <c r="EGI209" s="21"/>
      <c r="EGJ209" s="21"/>
      <c r="EGK209" s="21"/>
      <c r="EGL209" s="21"/>
      <c r="EGM209" s="21"/>
      <c r="EGN209" s="21"/>
      <c r="EGO209" s="21"/>
      <c r="EGP209" s="21"/>
      <c r="EGQ209" s="21"/>
      <c r="EGR209" s="21"/>
      <c r="EGS209" s="21"/>
      <c r="EGT209" s="21"/>
      <c r="EGU209" s="21"/>
      <c r="EGV209" s="21"/>
      <c r="EGW209" s="21"/>
      <c r="EGX209" s="21"/>
      <c r="EGY209" s="21"/>
      <c r="EGZ209" s="21"/>
      <c r="EHA209" s="21"/>
      <c r="EHB209" s="21"/>
      <c r="EHC209" s="21"/>
      <c r="EHD209" s="21"/>
      <c r="EHE209" s="21"/>
      <c r="EHF209" s="21"/>
      <c r="EHG209" s="21"/>
      <c r="EHH209" s="21"/>
      <c r="EHI209" s="21"/>
      <c r="EHJ209" s="21"/>
      <c r="EHK209" s="21"/>
      <c r="EHL209" s="21"/>
      <c r="EHM209" s="21"/>
      <c r="EHN209" s="21"/>
      <c r="EHO209" s="21"/>
      <c r="EHP209" s="21"/>
      <c r="EHQ209" s="21"/>
      <c r="EHR209" s="21"/>
      <c r="EHS209" s="21"/>
      <c r="EHT209" s="21"/>
      <c r="EHU209" s="21"/>
      <c r="EHV209" s="21"/>
      <c r="EHW209" s="21"/>
      <c r="EHX209" s="21"/>
      <c r="EHY209" s="21"/>
      <c r="EHZ209" s="21"/>
      <c r="EIA209" s="21"/>
      <c r="EIB209" s="21"/>
      <c r="EIC209" s="21"/>
      <c r="EID209" s="21"/>
      <c r="EIE209" s="21"/>
      <c r="EIF209" s="21"/>
      <c r="EIG209" s="21"/>
      <c r="EIH209" s="21"/>
      <c r="EII209" s="21"/>
      <c r="EIJ209" s="21"/>
      <c r="EIK209" s="21"/>
      <c r="EIL209" s="21"/>
      <c r="EIM209" s="21"/>
      <c r="EIN209" s="21"/>
      <c r="EIO209" s="21"/>
      <c r="EIP209" s="21"/>
      <c r="EIQ209" s="21"/>
      <c r="EIR209" s="21"/>
      <c r="EIS209" s="21"/>
      <c r="EIT209" s="21"/>
      <c r="EIU209" s="21"/>
      <c r="EIV209" s="21"/>
      <c r="EIW209" s="21"/>
      <c r="EIX209" s="21"/>
      <c r="EIY209" s="21"/>
      <c r="EIZ209" s="21"/>
      <c r="EJA209" s="21"/>
      <c r="EJB209" s="21"/>
      <c r="EJC209" s="21"/>
      <c r="EJD209" s="21"/>
      <c r="EJE209" s="21"/>
      <c r="EJF209" s="21"/>
      <c r="EJG209" s="21"/>
      <c r="EJH209" s="21"/>
      <c r="EJI209" s="21"/>
      <c r="EJJ209" s="21"/>
      <c r="EJK209" s="21"/>
      <c r="EJL209" s="21"/>
      <c r="EJM209" s="21"/>
      <c r="EJN209" s="21"/>
      <c r="EJO209" s="21"/>
      <c r="EJP209" s="21"/>
      <c r="EJQ209" s="21"/>
      <c r="EJR209" s="21"/>
      <c r="EJS209" s="21"/>
      <c r="EJT209" s="21"/>
      <c r="EJU209" s="21"/>
      <c r="EJV209" s="21"/>
      <c r="EJW209" s="21"/>
      <c r="EJX209" s="21"/>
      <c r="EJY209" s="21"/>
      <c r="EJZ209" s="21"/>
      <c r="EKA209" s="21"/>
      <c r="EKB209" s="21"/>
      <c r="EKC209" s="21"/>
      <c r="EKD209" s="21"/>
      <c r="EKE209" s="21"/>
      <c r="EKF209" s="21"/>
      <c r="EKG209" s="21"/>
      <c r="EKH209" s="21"/>
      <c r="EKI209" s="21"/>
      <c r="EKJ209" s="21"/>
      <c r="EKK209" s="21"/>
      <c r="EKL209" s="21"/>
      <c r="EKM209" s="21"/>
      <c r="EKN209" s="21"/>
      <c r="EKO209" s="21"/>
      <c r="EKP209" s="21"/>
      <c r="EKQ209" s="21"/>
      <c r="EKR209" s="21"/>
      <c r="EKS209" s="21"/>
      <c r="EKT209" s="21"/>
      <c r="EKU209" s="21"/>
      <c r="EKV209" s="21"/>
      <c r="EKW209" s="21"/>
      <c r="EKX209" s="21"/>
      <c r="EKY209" s="21"/>
      <c r="EKZ209" s="21"/>
      <c r="ELA209" s="21"/>
      <c r="ELB209" s="21"/>
      <c r="ELC209" s="21"/>
      <c r="ELD209" s="21"/>
      <c r="ELE209" s="21"/>
      <c r="ELF209" s="21"/>
      <c r="ELG209" s="21"/>
      <c r="ELH209" s="21"/>
      <c r="ELI209" s="21"/>
      <c r="ELJ209" s="21"/>
      <c r="ELK209" s="21"/>
      <c r="ELL209" s="21"/>
      <c r="ELM209" s="21"/>
      <c r="ELN209" s="21"/>
      <c r="ELO209" s="21"/>
      <c r="ELP209" s="21"/>
      <c r="ELQ209" s="21"/>
      <c r="ELR209" s="21"/>
      <c r="ELS209" s="21"/>
      <c r="ELT209" s="21"/>
      <c r="ELU209" s="21"/>
      <c r="ELV209" s="21"/>
      <c r="ELW209" s="21"/>
      <c r="ELX209" s="21"/>
      <c r="ELY209" s="21"/>
      <c r="ELZ209" s="21"/>
      <c r="EMA209" s="21"/>
      <c r="EMB209" s="21"/>
      <c r="EMC209" s="21"/>
      <c r="EMD209" s="21"/>
      <c r="EME209" s="21"/>
      <c r="EMF209" s="21"/>
      <c r="EMG209" s="21"/>
      <c r="EMH209" s="21"/>
      <c r="EMI209" s="21"/>
      <c r="EMJ209" s="21"/>
      <c r="EMK209" s="21"/>
      <c r="EML209" s="21"/>
      <c r="EMM209" s="21"/>
      <c r="EMN209" s="21"/>
      <c r="EMO209" s="21"/>
      <c r="EMP209" s="21"/>
      <c r="EMQ209" s="21"/>
      <c r="EMR209" s="21"/>
      <c r="EMS209" s="21"/>
      <c r="EMT209" s="21"/>
      <c r="EMU209" s="21"/>
      <c r="EMV209" s="21"/>
      <c r="EMW209" s="21"/>
      <c r="EMX209" s="21"/>
      <c r="EMY209" s="21"/>
      <c r="EMZ209" s="21"/>
      <c r="ENA209" s="21"/>
      <c r="ENB209" s="21"/>
      <c r="ENC209" s="21"/>
      <c r="END209" s="21"/>
      <c r="ENE209" s="21"/>
      <c r="ENF209" s="21"/>
      <c r="ENG209" s="21"/>
      <c r="ENH209" s="21"/>
      <c r="ENI209" s="21"/>
      <c r="ENJ209" s="21"/>
      <c r="ENK209" s="21"/>
      <c r="ENL209" s="21"/>
      <c r="ENM209" s="21"/>
      <c r="ENN209" s="21"/>
      <c r="ENO209" s="21"/>
      <c r="ENP209" s="21"/>
      <c r="ENQ209" s="21"/>
      <c r="ENR209" s="21"/>
      <c r="ENS209" s="21"/>
      <c r="ENT209" s="21"/>
      <c r="ENU209" s="21"/>
      <c r="ENV209" s="21"/>
      <c r="ENW209" s="21"/>
      <c r="ENX209" s="21"/>
      <c r="ENY209" s="21"/>
      <c r="ENZ209" s="21"/>
      <c r="EOA209" s="21"/>
      <c r="EOB209" s="21"/>
      <c r="EOC209" s="21"/>
      <c r="EOD209" s="21"/>
      <c r="EOE209" s="21"/>
      <c r="EOF209" s="21"/>
      <c r="EOG209" s="21"/>
      <c r="EOH209" s="21"/>
      <c r="EOI209" s="21"/>
      <c r="EOJ209" s="21"/>
      <c r="EOK209" s="21"/>
      <c r="EOL209" s="21"/>
      <c r="EOM209" s="21"/>
      <c r="EON209" s="21"/>
      <c r="EOO209" s="21"/>
      <c r="EOP209" s="21"/>
      <c r="EOQ209" s="21"/>
      <c r="EOR209" s="21"/>
      <c r="EOS209" s="21"/>
      <c r="EOT209" s="21"/>
      <c r="EOU209" s="21"/>
      <c r="EOV209" s="21"/>
      <c r="EOW209" s="21"/>
      <c r="EOX209" s="21"/>
      <c r="EOY209" s="21"/>
      <c r="EOZ209" s="21"/>
      <c r="EPA209" s="21"/>
      <c r="EPB209" s="21"/>
      <c r="EPC209" s="21"/>
      <c r="EPD209" s="21"/>
      <c r="EPE209" s="21"/>
      <c r="EPF209" s="21"/>
      <c r="EPG209" s="21"/>
      <c r="EPH209" s="21"/>
      <c r="EPI209" s="21"/>
      <c r="EPJ209" s="21"/>
      <c r="EPK209" s="21"/>
      <c r="EPL209" s="21"/>
      <c r="EPM209" s="21"/>
      <c r="EPN209" s="21"/>
      <c r="EPO209" s="21"/>
      <c r="EPP209" s="21"/>
      <c r="EPQ209" s="21"/>
      <c r="EPR209" s="21"/>
      <c r="EPS209" s="21"/>
      <c r="EPT209" s="21"/>
      <c r="EPU209" s="21"/>
      <c r="EPV209" s="21"/>
      <c r="EPW209" s="21"/>
      <c r="EPX209" s="21"/>
      <c r="EPY209" s="21"/>
      <c r="EPZ209" s="21"/>
      <c r="EQA209" s="21"/>
      <c r="EQB209" s="21"/>
      <c r="EQC209" s="21"/>
      <c r="EQD209" s="21"/>
      <c r="EQE209" s="21"/>
      <c r="EQF209" s="21"/>
      <c r="EQG209" s="21"/>
      <c r="EQH209" s="21"/>
      <c r="EQI209" s="21"/>
      <c r="EQJ209" s="21"/>
      <c r="EQK209" s="21"/>
      <c r="EQL209" s="21"/>
      <c r="EQM209" s="21"/>
      <c r="EQN209" s="21"/>
      <c r="EQO209" s="21"/>
      <c r="EQP209" s="21"/>
      <c r="EQQ209" s="21"/>
      <c r="EQR209" s="21"/>
      <c r="EQS209" s="21"/>
      <c r="EQT209" s="21"/>
      <c r="EQU209" s="21"/>
      <c r="EQV209" s="21"/>
      <c r="EQW209" s="21"/>
      <c r="EQX209" s="21"/>
      <c r="EQY209" s="21"/>
      <c r="EQZ209" s="21"/>
      <c r="ERA209" s="21"/>
      <c r="ERB209" s="21"/>
      <c r="ERC209" s="21"/>
      <c r="ERD209" s="21"/>
      <c r="ERE209" s="21"/>
      <c r="ERF209" s="21"/>
      <c r="ERG209" s="21"/>
      <c r="ERH209" s="21"/>
      <c r="ERI209" s="21"/>
      <c r="ERJ209" s="21"/>
      <c r="ERK209" s="21"/>
      <c r="ERL209" s="21"/>
      <c r="ERM209" s="21"/>
      <c r="ERN209" s="21"/>
      <c r="ERO209" s="21"/>
      <c r="ERP209" s="21"/>
      <c r="ERQ209" s="21"/>
      <c r="ERR209" s="21"/>
      <c r="ERS209" s="21"/>
      <c r="ERT209" s="21"/>
      <c r="ERU209" s="21"/>
      <c r="ERV209" s="21"/>
      <c r="ERW209" s="21"/>
      <c r="ERX209" s="21"/>
      <c r="ERY209" s="21"/>
      <c r="ERZ209" s="21"/>
      <c r="ESA209" s="21"/>
      <c r="ESB209" s="21"/>
      <c r="ESC209" s="21"/>
      <c r="ESD209" s="21"/>
      <c r="ESE209" s="21"/>
      <c r="ESF209" s="21"/>
      <c r="ESG209" s="21"/>
      <c r="ESH209" s="21"/>
      <c r="ESI209" s="21"/>
      <c r="ESJ209" s="21"/>
      <c r="ESK209" s="21"/>
      <c r="ESL209" s="21"/>
      <c r="ESM209" s="21"/>
      <c r="ESN209" s="21"/>
      <c r="ESO209" s="21"/>
      <c r="ESP209" s="21"/>
      <c r="ESQ209" s="21"/>
      <c r="ESR209" s="21"/>
      <c r="ESS209" s="21"/>
      <c r="EST209" s="21"/>
      <c r="ESU209" s="21"/>
      <c r="ESV209" s="21"/>
      <c r="ESW209" s="21"/>
      <c r="ESX209" s="21"/>
      <c r="ESY209" s="21"/>
      <c r="ESZ209" s="21"/>
      <c r="ETA209" s="21"/>
      <c r="ETB209" s="21"/>
      <c r="ETC209" s="21"/>
      <c r="ETD209" s="21"/>
      <c r="ETE209" s="21"/>
      <c r="ETF209" s="21"/>
      <c r="ETG209" s="21"/>
      <c r="ETH209" s="21"/>
      <c r="ETI209" s="21"/>
      <c r="ETJ209" s="21"/>
      <c r="ETK209" s="21"/>
      <c r="ETL209" s="21"/>
      <c r="ETM209" s="21"/>
      <c r="ETN209" s="21"/>
      <c r="ETO209" s="21"/>
      <c r="ETP209" s="21"/>
      <c r="ETQ209" s="21"/>
      <c r="ETR209" s="21"/>
      <c r="ETS209" s="21"/>
      <c r="ETT209" s="21"/>
      <c r="ETU209" s="21"/>
      <c r="ETV209" s="21"/>
      <c r="ETW209" s="21"/>
      <c r="ETX209" s="21"/>
      <c r="ETY209" s="21"/>
      <c r="ETZ209" s="21"/>
      <c r="EUA209" s="21"/>
      <c r="EUB209" s="21"/>
      <c r="EUC209" s="21"/>
      <c r="EUD209" s="21"/>
      <c r="EUE209" s="21"/>
      <c r="EUF209" s="21"/>
      <c r="EUG209" s="21"/>
      <c r="EUH209" s="21"/>
      <c r="EUI209" s="21"/>
      <c r="EUJ209" s="21"/>
      <c r="EUK209" s="21"/>
      <c r="EUL209" s="21"/>
      <c r="EUM209" s="21"/>
      <c r="EUN209" s="21"/>
      <c r="EUO209" s="21"/>
      <c r="EUP209" s="21"/>
      <c r="EUQ209" s="21"/>
      <c r="EUR209" s="21"/>
      <c r="EUS209" s="21"/>
      <c r="EUT209" s="21"/>
      <c r="EUU209" s="21"/>
      <c r="EUV209" s="21"/>
      <c r="EUW209" s="21"/>
      <c r="EUX209" s="21"/>
      <c r="EUY209" s="21"/>
      <c r="EUZ209" s="21"/>
      <c r="EVA209" s="21"/>
      <c r="EVB209" s="21"/>
      <c r="EVC209" s="21"/>
      <c r="EVD209" s="21"/>
      <c r="EVE209" s="21"/>
      <c r="EVF209" s="21"/>
      <c r="EVG209" s="21"/>
      <c r="EVH209" s="21"/>
      <c r="EVI209" s="21"/>
      <c r="EVJ209" s="21"/>
      <c r="EVK209" s="21"/>
      <c r="EVL209" s="21"/>
      <c r="EVM209" s="21"/>
      <c r="EVN209" s="21"/>
      <c r="EVO209" s="21"/>
      <c r="EVP209" s="21"/>
      <c r="EVQ209" s="21"/>
      <c r="EVR209" s="21"/>
      <c r="EVS209" s="21"/>
      <c r="EVT209" s="21"/>
      <c r="EVU209" s="21"/>
      <c r="EVV209" s="21"/>
      <c r="EVW209" s="21"/>
      <c r="EVX209" s="21"/>
      <c r="EVY209" s="21"/>
      <c r="EVZ209" s="21"/>
      <c r="EWA209" s="21"/>
      <c r="EWB209" s="21"/>
      <c r="EWC209" s="21"/>
      <c r="EWD209" s="21"/>
      <c r="EWE209" s="21"/>
      <c r="EWF209" s="21"/>
      <c r="EWG209" s="21"/>
      <c r="EWH209" s="21"/>
      <c r="EWI209" s="21"/>
      <c r="EWJ209" s="21"/>
      <c r="EWK209" s="21"/>
      <c r="EWL209" s="21"/>
      <c r="EWM209" s="21"/>
      <c r="EWN209" s="21"/>
      <c r="EWO209" s="21"/>
      <c r="EWP209" s="21"/>
      <c r="EWQ209" s="21"/>
      <c r="EWR209" s="21"/>
      <c r="EWS209" s="21"/>
      <c r="EWT209" s="21"/>
      <c r="EWU209" s="21"/>
      <c r="EWV209" s="21"/>
      <c r="EWW209" s="21"/>
      <c r="EWX209" s="21"/>
      <c r="EWY209" s="21"/>
      <c r="EWZ209" s="21"/>
      <c r="EXA209" s="21"/>
      <c r="EXB209" s="21"/>
      <c r="EXC209" s="21"/>
      <c r="EXD209" s="21"/>
      <c r="EXE209" s="21"/>
      <c r="EXF209" s="21"/>
      <c r="EXG209" s="21"/>
      <c r="EXH209" s="21"/>
      <c r="EXI209" s="21"/>
      <c r="EXJ209" s="21"/>
      <c r="EXK209" s="21"/>
      <c r="EXL209" s="21"/>
      <c r="EXM209" s="21"/>
      <c r="EXN209" s="21"/>
      <c r="EXO209" s="21"/>
      <c r="EXP209" s="21"/>
      <c r="EXQ209" s="21"/>
      <c r="EXR209" s="21"/>
      <c r="EXS209" s="21"/>
      <c r="EXT209" s="21"/>
      <c r="EXU209" s="21"/>
      <c r="EXV209" s="21"/>
      <c r="EXW209" s="21"/>
      <c r="EXX209" s="21"/>
      <c r="EXY209" s="21"/>
      <c r="EXZ209" s="21"/>
      <c r="EYA209" s="21"/>
      <c r="EYB209" s="21"/>
      <c r="EYC209" s="21"/>
      <c r="EYD209" s="21"/>
      <c r="EYE209" s="21"/>
      <c r="EYF209" s="21"/>
      <c r="EYG209" s="21"/>
      <c r="EYH209" s="21"/>
      <c r="EYI209" s="21"/>
      <c r="EYJ209" s="21"/>
      <c r="EYK209" s="21"/>
      <c r="EYL209" s="21"/>
      <c r="EYM209" s="21"/>
      <c r="EYN209" s="21"/>
      <c r="EYO209" s="21"/>
      <c r="EYP209" s="21"/>
      <c r="EYQ209" s="21"/>
      <c r="EYR209" s="21"/>
      <c r="EYS209" s="21"/>
      <c r="EYT209" s="21"/>
      <c r="EYU209" s="21"/>
      <c r="EYV209" s="21"/>
      <c r="EYW209" s="21"/>
      <c r="EYX209" s="21"/>
      <c r="EYY209" s="21"/>
      <c r="EYZ209" s="21"/>
      <c r="EZA209" s="21"/>
      <c r="EZB209" s="21"/>
      <c r="EZC209" s="21"/>
      <c r="EZD209" s="21"/>
      <c r="EZE209" s="21"/>
      <c r="EZF209" s="21"/>
      <c r="EZG209" s="21"/>
      <c r="EZH209" s="21"/>
      <c r="EZI209" s="21"/>
      <c r="EZJ209" s="21"/>
      <c r="EZK209" s="21"/>
      <c r="EZL209" s="21"/>
      <c r="EZM209" s="21"/>
      <c r="EZN209" s="21"/>
      <c r="EZO209" s="21"/>
      <c r="EZP209" s="21"/>
      <c r="EZQ209" s="21"/>
      <c r="EZR209" s="21"/>
      <c r="EZS209" s="21"/>
      <c r="EZT209" s="21"/>
      <c r="EZU209" s="21"/>
      <c r="EZV209" s="21"/>
      <c r="EZW209" s="21"/>
      <c r="EZX209" s="21"/>
      <c r="EZY209" s="21"/>
      <c r="EZZ209" s="21"/>
      <c r="FAA209" s="21"/>
      <c r="FAB209" s="21"/>
      <c r="FAC209" s="21"/>
      <c r="FAD209" s="21"/>
      <c r="FAE209" s="21"/>
      <c r="FAF209" s="21"/>
      <c r="FAG209" s="21"/>
      <c r="FAH209" s="21"/>
      <c r="FAI209" s="21"/>
      <c r="FAJ209" s="21"/>
      <c r="FAK209" s="21"/>
      <c r="FAL209" s="21"/>
      <c r="FAM209" s="21"/>
      <c r="FAN209" s="21"/>
      <c r="FAO209" s="21"/>
      <c r="FAP209" s="21"/>
      <c r="FAQ209" s="21"/>
      <c r="FAR209" s="21"/>
      <c r="FAS209" s="21"/>
      <c r="FAT209" s="21"/>
      <c r="FAU209" s="21"/>
      <c r="FAV209" s="21"/>
      <c r="FAW209" s="21"/>
      <c r="FAX209" s="21"/>
      <c r="FAY209" s="21"/>
      <c r="FAZ209" s="21"/>
      <c r="FBA209" s="21"/>
      <c r="FBB209" s="21"/>
      <c r="FBC209" s="21"/>
      <c r="FBD209" s="21"/>
      <c r="FBE209" s="21"/>
      <c r="FBF209" s="21"/>
      <c r="FBG209" s="21"/>
      <c r="FBH209" s="21"/>
      <c r="FBI209" s="21"/>
      <c r="FBJ209" s="21"/>
      <c r="FBK209" s="21"/>
      <c r="FBL209" s="21"/>
      <c r="FBM209" s="21"/>
      <c r="FBN209" s="21"/>
      <c r="FBO209" s="21"/>
      <c r="FBP209" s="21"/>
      <c r="FBQ209" s="21"/>
      <c r="FBR209" s="21"/>
      <c r="FBS209" s="21"/>
      <c r="FBT209" s="21"/>
      <c r="FBU209" s="21"/>
      <c r="FBV209" s="21"/>
      <c r="FBW209" s="21"/>
      <c r="FBX209" s="21"/>
      <c r="FBY209" s="21"/>
      <c r="FBZ209" s="21"/>
      <c r="FCA209" s="21"/>
      <c r="FCB209" s="21"/>
      <c r="FCC209" s="21"/>
      <c r="FCD209" s="21"/>
      <c r="FCE209" s="21"/>
      <c r="FCF209" s="21"/>
      <c r="FCG209" s="21"/>
      <c r="FCH209" s="21"/>
      <c r="FCI209" s="21"/>
      <c r="FCJ209" s="21"/>
      <c r="FCK209" s="21"/>
      <c r="FCL209" s="21"/>
      <c r="FCM209" s="21"/>
      <c r="FCN209" s="21"/>
      <c r="FCO209" s="21"/>
      <c r="FCP209" s="21"/>
      <c r="FCQ209" s="21"/>
      <c r="FCR209" s="21"/>
      <c r="FCS209" s="21"/>
      <c r="FCT209" s="21"/>
      <c r="FCU209" s="21"/>
      <c r="FCV209" s="21"/>
      <c r="FCW209" s="21"/>
      <c r="FCX209" s="21"/>
      <c r="FCY209" s="21"/>
      <c r="FCZ209" s="21"/>
      <c r="FDA209" s="21"/>
      <c r="FDB209" s="21"/>
      <c r="FDC209" s="21"/>
      <c r="FDD209" s="21"/>
      <c r="FDE209" s="21"/>
      <c r="FDF209" s="21"/>
      <c r="FDG209" s="21"/>
      <c r="FDH209" s="21"/>
      <c r="FDI209" s="21"/>
      <c r="FDJ209" s="21"/>
      <c r="FDK209" s="21"/>
      <c r="FDL209" s="21"/>
      <c r="FDM209" s="21"/>
      <c r="FDN209" s="21"/>
      <c r="FDO209" s="21"/>
      <c r="FDP209" s="21"/>
      <c r="FDQ209" s="21"/>
      <c r="FDR209" s="21"/>
      <c r="FDS209" s="21"/>
      <c r="FDT209" s="21"/>
      <c r="FDU209" s="21"/>
      <c r="FDV209" s="21"/>
      <c r="FDW209" s="21"/>
      <c r="FDX209" s="21"/>
      <c r="FDY209" s="21"/>
      <c r="FDZ209" s="21"/>
      <c r="FEA209" s="21"/>
      <c r="FEB209" s="21"/>
      <c r="FEC209" s="21"/>
      <c r="FED209" s="21"/>
      <c r="FEE209" s="21"/>
      <c r="FEF209" s="21"/>
      <c r="FEG209" s="21"/>
      <c r="FEH209" s="21"/>
      <c r="FEI209" s="21"/>
      <c r="FEJ209" s="21"/>
      <c r="FEK209" s="21"/>
      <c r="FEL209" s="21"/>
      <c r="FEM209" s="21"/>
      <c r="FEN209" s="21"/>
      <c r="FEO209" s="21"/>
      <c r="FEP209" s="21"/>
      <c r="FEQ209" s="21"/>
      <c r="FER209" s="21"/>
      <c r="FES209" s="21"/>
      <c r="FET209" s="21"/>
      <c r="FEU209" s="21"/>
      <c r="FEV209" s="21"/>
      <c r="FEW209" s="21"/>
      <c r="FEX209" s="21"/>
      <c r="FEY209" s="21"/>
      <c r="FEZ209" s="21"/>
      <c r="FFA209" s="21"/>
      <c r="FFB209" s="21"/>
      <c r="FFC209" s="21"/>
      <c r="FFD209" s="21"/>
      <c r="FFE209" s="21"/>
      <c r="FFF209" s="21"/>
      <c r="FFG209" s="21"/>
      <c r="FFH209" s="21"/>
      <c r="FFI209" s="21"/>
      <c r="FFJ209" s="21"/>
      <c r="FFK209" s="21"/>
      <c r="FFL209" s="21"/>
      <c r="FFM209" s="21"/>
      <c r="FFN209" s="21"/>
      <c r="FFO209" s="21"/>
      <c r="FFP209" s="21"/>
      <c r="FFQ209" s="21"/>
      <c r="FFR209" s="21"/>
      <c r="FFS209" s="21"/>
      <c r="FFT209" s="21"/>
      <c r="FFU209" s="21"/>
      <c r="FFV209" s="21"/>
      <c r="FFW209" s="21"/>
      <c r="FFX209" s="21"/>
      <c r="FFY209" s="21"/>
      <c r="FFZ209" s="21"/>
      <c r="FGA209" s="21"/>
      <c r="FGB209" s="21"/>
      <c r="FGC209" s="21"/>
      <c r="FGD209" s="21"/>
      <c r="FGE209" s="21"/>
      <c r="FGF209" s="21"/>
      <c r="FGG209" s="21"/>
      <c r="FGH209" s="21"/>
      <c r="FGI209" s="21"/>
      <c r="FGJ209" s="21"/>
      <c r="FGK209" s="21"/>
      <c r="FGL209" s="21"/>
      <c r="FGM209" s="21"/>
      <c r="FGN209" s="21"/>
      <c r="FGO209" s="21"/>
      <c r="FGP209" s="21"/>
      <c r="FGQ209" s="21"/>
      <c r="FGR209" s="21"/>
      <c r="FGS209" s="21"/>
      <c r="FGT209" s="21"/>
      <c r="FGU209" s="21"/>
      <c r="FGV209" s="21"/>
      <c r="FGW209" s="21"/>
      <c r="FGX209" s="21"/>
      <c r="FGY209" s="21"/>
      <c r="FGZ209" s="21"/>
      <c r="FHA209" s="21"/>
      <c r="FHB209" s="21"/>
      <c r="FHC209" s="21"/>
      <c r="FHD209" s="21"/>
      <c r="FHE209" s="21"/>
      <c r="FHF209" s="21"/>
      <c r="FHG209" s="21"/>
      <c r="FHH209" s="21"/>
      <c r="FHI209" s="21"/>
      <c r="FHJ209" s="21"/>
      <c r="FHK209" s="21"/>
      <c r="FHL209" s="21"/>
      <c r="FHM209" s="21"/>
      <c r="FHN209" s="21"/>
      <c r="FHO209" s="21"/>
      <c r="FHP209" s="21"/>
      <c r="FHQ209" s="21"/>
      <c r="FHR209" s="21"/>
      <c r="FHS209" s="21"/>
      <c r="FHT209" s="21"/>
      <c r="FHU209" s="21"/>
      <c r="FHV209" s="21"/>
      <c r="FHW209" s="21"/>
      <c r="FHX209" s="21"/>
      <c r="FHY209" s="21"/>
      <c r="FHZ209" s="21"/>
      <c r="FIA209" s="21"/>
      <c r="FIB209" s="21"/>
      <c r="FIC209" s="21"/>
      <c r="FID209" s="21"/>
      <c r="FIE209" s="21"/>
      <c r="FIF209" s="21"/>
      <c r="FIG209" s="21"/>
      <c r="FIH209" s="21"/>
      <c r="FII209" s="21"/>
      <c r="FIJ209" s="21"/>
      <c r="FIK209" s="21"/>
      <c r="FIL209" s="21"/>
      <c r="FIM209" s="21"/>
      <c r="FIN209" s="21"/>
      <c r="FIO209" s="21"/>
      <c r="FIP209" s="21"/>
      <c r="FIQ209" s="21"/>
      <c r="FIR209" s="21"/>
      <c r="FIS209" s="21"/>
      <c r="FIT209" s="21"/>
      <c r="FIU209" s="21"/>
      <c r="FIV209" s="21"/>
      <c r="FIW209" s="21"/>
      <c r="FIX209" s="21"/>
      <c r="FIY209" s="21"/>
      <c r="FIZ209" s="21"/>
      <c r="FJA209" s="21"/>
      <c r="FJB209" s="21"/>
      <c r="FJC209" s="21"/>
      <c r="FJD209" s="21"/>
      <c r="FJE209" s="21"/>
      <c r="FJF209" s="21"/>
      <c r="FJG209" s="21"/>
      <c r="FJH209" s="21"/>
      <c r="FJI209" s="21"/>
      <c r="FJJ209" s="21"/>
      <c r="FJK209" s="21"/>
      <c r="FJL209" s="21"/>
      <c r="FJM209" s="21"/>
      <c r="FJN209" s="21"/>
      <c r="FJO209" s="21"/>
      <c r="FJP209" s="21"/>
      <c r="FJQ209" s="21"/>
      <c r="FJR209" s="21"/>
      <c r="FJS209" s="21"/>
      <c r="FJT209" s="21"/>
      <c r="FJU209" s="21"/>
      <c r="FJV209" s="21"/>
      <c r="FJW209" s="21"/>
      <c r="FJX209" s="21"/>
      <c r="FJY209" s="21"/>
      <c r="FJZ209" s="21"/>
      <c r="FKA209" s="21"/>
      <c r="FKB209" s="21"/>
      <c r="FKC209" s="21"/>
      <c r="FKD209" s="21"/>
      <c r="FKE209" s="21"/>
      <c r="FKF209" s="21"/>
      <c r="FKG209" s="21"/>
      <c r="FKH209" s="21"/>
      <c r="FKI209" s="21"/>
      <c r="FKJ209" s="21"/>
      <c r="FKK209" s="21"/>
      <c r="FKL209" s="21"/>
      <c r="FKM209" s="21"/>
      <c r="FKN209" s="21"/>
      <c r="FKO209" s="21"/>
      <c r="FKP209" s="21"/>
      <c r="FKQ209" s="21"/>
      <c r="FKR209" s="21"/>
      <c r="FKS209" s="21"/>
      <c r="FKT209" s="21"/>
      <c r="FKU209" s="21"/>
      <c r="FKV209" s="21"/>
      <c r="FKW209" s="21"/>
      <c r="FKX209" s="21"/>
      <c r="FKY209" s="21"/>
      <c r="FKZ209" s="21"/>
      <c r="FLA209" s="21"/>
      <c r="FLB209" s="21"/>
      <c r="FLC209" s="21"/>
      <c r="FLD209" s="21"/>
      <c r="FLE209" s="21"/>
      <c r="FLF209" s="21"/>
      <c r="FLG209" s="21"/>
      <c r="FLH209" s="21"/>
      <c r="FLI209" s="21"/>
      <c r="FLJ209" s="21"/>
      <c r="FLK209" s="21"/>
      <c r="FLL209" s="21"/>
      <c r="FLM209" s="21"/>
      <c r="FLN209" s="21"/>
      <c r="FLO209" s="21"/>
      <c r="FLP209" s="21"/>
      <c r="FLQ209" s="21"/>
      <c r="FLR209" s="21"/>
      <c r="FLS209" s="21"/>
      <c r="FLT209" s="21"/>
      <c r="FLU209" s="21"/>
      <c r="FLV209" s="21"/>
      <c r="FLW209" s="21"/>
      <c r="FLX209" s="21"/>
      <c r="FLY209" s="21"/>
      <c r="FLZ209" s="21"/>
      <c r="FMA209" s="21"/>
      <c r="FMB209" s="21"/>
      <c r="FMC209" s="21"/>
      <c r="FMD209" s="21"/>
      <c r="FME209" s="21"/>
      <c r="FMF209" s="21"/>
      <c r="FMG209" s="21"/>
      <c r="FMH209" s="21"/>
      <c r="FMI209" s="21"/>
      <c r="FMJ209" s="21"/>
      <c r="FMK209" s="21"/>
      <c r="FML209" s="21"/>
      <c r="FMM209" s="21"/>
      <c r="FMN209" s="21"/>
      <c r="FMO209" s="21"/>
      <c r="FMP209" s="21"/>
      <c r="FMQ209" s="21"/>
      <c r="FMR209" s="21"/>
      <c r="FMS209" s="21"/>
      <c r="FMT209" s="21"/>
      <c r="FMU209" s="21"/>
      <c r="FMV209" s="21"/>
      <c r="FMW209" s="21"/>
      <c r="FMX209" s="21"/>
      <c r="FMY209" s="21"/>
      <c r="FMZ209" s="21"/>
      <c r="FNA209" s="21"/>
      <c r="FNB209" s="21"/>
      <c r="FNC209" s="21"/>
      <c r="FND209" s="21"/>
      <c r="FNE209" s="21"/>
      <c r="FNF209" s="21"/>
      <c r="FNG209" s="21"/>
      <c r="FNH209" s="21"/>
      <c r="FNI209" s="21"/>
      <c r="FNJ209" s="21"/>
      <c r="FNK209" s="21"/>
      <c r="FNL209" s="21"/>
      <c r="FNM209" s="21"/>
      <c r="FNN209" s="21"/>
      <c r="FNO209" s="21"/>
      <c r="FNP209" s="21"/>
      <c r="FNQ209" s="21"/>
      <c r="FNR209" s="21"/>
      <c r="FNS209" s="21"/>
      <c r="FNT209" s="21"/>
      <c r="FNU209" s="21"/>
      <c r="FNV209" s="21"/>
      <c r="FNW209" s="21"/>
      <c r="FNX209" s="21"/>
      <c r="FNY209" s="21"/>
      <c r="FNZ209" s="21"/>
      <c r="FOA209" s="21"/>
      <c r="FOB209" s="21"/>
      <c r="FOC209" s="21"/>
      <c r="FOD209" s="21"/>
      <c r="FOE209" s="21"/>
      <c r="FOF209" s="21"/>
      <c r="FOG209" s="21"/>
      <c r="FOH209" s="21"/>
      <c r="FOI209" s="21"/>
      <c r="FOJ209" s="21"/>
      <c r="FOK209" s="21"/>
      <c r="FOL209" s="21"/>
      <c r="FOM209" s="21"/>
      <c r="FON209" s="21"/>
      <c r="FOO209" s="21"/>
      <c r="FOP209" s="21"/>
      <c r="FOQ209" s="21"/>
      <c r="FOR209" s="21"/>
      <c r="FOS209" s="21"/>
      <c r="FOT209" s="21"/>
      <c r="FOU209" s="21"/>
      <c r="FOV209" s="21"/>
      <c r="FOW209" s="21"/>
      <c r="FOX209" s="21"/>
      <c r="FOY209" s="21"/>
      <c r="FOZ209" s="21"/>
      <c r="FPA209" s="21"/>
      <c r="FPB209" s="21"/>
      <c r="FPC209" s="21"/>
      <c r="FPD209" s="21"/>
      <c r="FPE209" s="21"/>
      <c r="FPF209" s="21"/>
      <c r="FPG209" s="21"/>
      <c r="FPH209" s="21"/>
      <c r="FPI209" s="21"/>
      <c r="FPJ209" s="21"/>
      <c r="FPK209" s="21"/>
      <c r="FPL209" s="21"/>
      <c r="FPM209" s="21"/>
      <c r="FPN209" s="21"/>
      <c r="FPO209" s="21"/>
      <c r="FPP209" s="21"/>
      <c r="FPQ209" s="21"/>
      <c r="FPR209" s="21"/>
      <c r="FPS209" s="21"/>
      <c r="FPT209" s="21"/>
      <c r="FPU209" s="21"/>
      <c r="FPV209" s="21"/>
      <c r="FPW209" s="21"/>
      <c r="FPX209" s="21"/>
      <c r="FPY209" s="21"/>
      <c r="FPZ209" s="21"/>
      <c r="FQA209" s="21"/>
      <c r="FQB209" s="21"/>
      <c r="FQC209" s="21"/>
      <c r="FQD209" s="21"/>
      <c r="FQE209" s="21"/>
      <c r="FQF209" s="21"/>
      <c r="FQG209" s="21"/>
      <c r="FQH209" s="21"/>
      <c r="FQI209" s="21"/>
      <c r="FQJ209" s="21"/>
      <c r="FQK209" s="21"/>
      <c r="FQL209" s="21"/>
      <c r="FQM209" s="21"/>
      <c r="FQN209" s="21"/>
      <c r="FQO209" s="21"/>
      <c r="FQP209" s="21"/>
      <c r="FQQ209" s="21"/>
      <c r="FQR209" s="21"/>
      <c r="FQS209" s="21"/>
      <c r="FQT209" s="21"/>
      <c r="FQU209" s="21"/>
      <c r="FQV209" s="21"/>
      <c r="FQW209" s="21"/>
      <c r="FQX209" s="21"/>
      <c r="FQY209" s="21"/>
      <c r="FQZ209" s="21"/>
      <c r="FRA209" s="21"/>
      <c r="FRB209" s="21"/>
      <c r="FRC209" s="21"/>
      <c r="FRD209" s="21"/>
      <c r="FRE209" s="21"/>
      <c r="FRF209" s="21"/>
      <c r="FRG209" s="21"/>
      <c r="FRH209" s="21"/>
      <c r="FRI209" s="21"/>
      <c r="FRJ209" s="21"/>
      <c r="FRK209" s="21"/>
      <c r="FRL209" s="21"/>
      <c r="FRM209" s="21"/>
      <c r="FRN209" s="21"/>
      <c r="FRO209" s="21"/>
      <c r="FRP209" s="21"/>
      <c r="FRQ209" s="21"/>
      <c r="FRR209" s="21"/>
      <c r="FRS209" s="21"/>
      <c r="FRT209" s="21"/>
      <c r="FRU209" s="21"/>
      <c r="FRV209" s="21"/>
      <c r="FRW209" s="21"/>
      <c r="FRX209" s="21"/>
      <c r="FRY209" s="21"/>
      <c r="FRZ209" s="21"/>
      <c r="FSA209" s="21"/>
      <c r="FSB209" s="21"/>
      <c r="FSC209" s="21"/>
      <c r="FSD209" s="21"/>
      <c r="FSE209" s="21"/>
      <c r="FSF209" s="21"/>
      <c r="FSG209" s="21"/>
      <c r="FSH209" s="21"/>
      <c r="FSI209" s="21"/>
      <c r="FSJ209" s="21"/>
      <c r="FSK209" s="21"/>
      <c r="FSL209" s="21"/>
      <c r="FSM209" s="21"/>
      <c r="FSN209" s="21"/>
      <c r="FSO209" s="21"/>
      <c r="FSP209" s="21"/>
      <c r="FSQ209" s="21"/>
      <c r="FSR209" s="21"/>
      <c r="FSS209" s="21"/>
      <c r="FST209" s="21"/>
      <c r="FSU209" s="21"/>
      <c r="FSV209" s="21"/>
      <c r="FSW209" s="21"/>
      <c r="FSX209" s="21"/>
      <c r="FSY209" s="21"/>
      <c r="FSZ209" s="21"/>
      <c r="FTA209" s="21"/>
      <c r="FTB209" s="21"/>
      <c r="FTC209" s="21"/>
      <c r="FTD209" s="21"/>
      <c r="FTE209" s="21"/>
      <c r="FTF209" s="21"/>
      <c r="FTG209" s="21"/>
      <c r="FTH209" s="21"/>
      <c r="FTI209" s="21"/>
      <c r="FTJ209" s="21"/>
      <c r="FTK209" s="21"/>
      <c r="FTL209" s="21"/>
      <c r="FTM209" s="21"/>
      <c r="FTN209" s="21"/>
      <c r="FTO209" s="21"/>
      <c r="FTP209" s="21"/>
      <c r="FTQ209" s="21"/>
      <c r="FTR209" s="21"/>
      <c r="FTS209" s="21"/>
      <c r="FTT209" s="21"/>
      <c r="FTU209" s="21"/>
      <c r="FTV209" s="21"/>
      <c r="FTW209" s="21"/>
      <c r="FTX209" s="21"/>
      <c r="FTY209" s="21"/>
      <c r="FTZ209" s="21"/>
      <c r="FUA209" s="21"/>
      <c r="FUB209" s="21"/>
      <c r="FUC209" s="21"/>
      <c r="FUD209" s="21"/>
      <c r="FUE209" s="21"/>
      <c r="FUF209" s="21"/>
      <c r="FUG209" s="21"/>
      <c r="FUH209" s="21"/>
      <c r="FUI209" s="21"/>
      <c r="FUJ209" s="21"/>
      <c r="FUK209" s="21"/>
      <c r="FUL209" s="21"/>
      <c r="FUM209" s="21"/>
      <c r="FUN209" s="21"/>
      <c r="FUO209" s="21"/>
      <c r="FUP209" s="21"/>
      <c r="FUQ209" s="21"/>
      <c r="FUR209" s="21"/>
      <c r="FUS209" s="21"/>
      <c r="FUT209" s="21"/>
      <c r="FUU209" s="21"/>
      <c r="FUV209" s="21"/>
      <c r="FUW209" s="21"/>
      <c r="FUX209" s="21"/>
      <c r="FUY209" s="21"/>
      <c r="FUZ209" s="21"/>
      <c r="FVA209" s="21"/>
      <c r="FVB209" s="21"/>
      <c r="FVC209" s="21"/>
      <c r="FVD209" s="21"/>
      <c r="FVE209" s="21"/>
      <c r="FVF209" s="21"/>
      <c r="FVG209" s="21"/>
      <c r="FVH209" s="21"/>
      <c r="FVI209" s="21"/>
      <c r="FVJ209" s="21"/>
      <c r="FVK209" s="21"/>
      <c r="FVL209" s="21"/>
      <c r="FVM209" s="21"/>
      <c r="FVN209" s="21"/>
      <c r="FVO209" s="21"/>
      <c r="FVP209" s="21"/>
      <c r="FVQ209" s="21"/>
      <c r="FVR209" s="21"/>
      <c r="FVS209" s="21"/>
      <c r="FVT209" s="21"/>
      <c r="FVU209" s="21"/>
      <c r="FVV209" s="21"/>
      <c r="FVW209" s="21"/>
      <c r="FVX209" s="21"/>
      <c r="FVY209" s="21"/>
      <c r="FVZ209" s="21"/>
      <c r="FWA209" s="21"/>
      <c r="FWB209" s="21"/>
      <c r="FWC209" s="21"/>
      <c r="FWD209" s="21"/>
      <c r="FWE209" s="21"/>
      <c r="FWF209" s="21"/>
      <c r="FWG209" s="21"/>
      <c r="FWH209" s="21"/>
      <c r="FWI209" s="21"/>
      <c r="FWJ209" s="21"/>
      <c r="FWK209" s="21"/>
      <c r="FWL209" s="21"/>
      <c r="FWM209" s="21"/>
      <c r="FWN209" s="21"/>
      <c r="FWO209" s="21"/>
      <c r="FWP209" s="21"/>
      <c r="FWQ209" s="21"/>
      <c r="FWR209" s="21"/>
      <c r="FWS209" s="21"/>
      <c r="FWT209" s="21"/>
      <c r="FWU209" s="21"/>
      <c r="FWV209" s="21"/>
      <c r="FWW209" s="21"/>
      <c r="FWX209" s="21"/>
      <c r="FWY209" s="21"/>
      <c r="FWZ209" s="21"/>
      <c r="FXA209" s="21"/>
      <c r="FXB209" s="21"/>
      <c r="FXC209" s="21"/>
      <c r="FXD209" s="21"/>
      <c r="FXE209" s="21"/>
      <c r="FXF209" s="21"/>
      <c r="FXG209" s="21"/>
      <c r="FXH209" s="21"/>
      <c r="FXI209" s="21"/>
      <c r="FXJ209" s="21"/>
      <c r="FXK209" s="21"/>
      <c r="FXL209" s="21"/>
      <c r="FXM209" s="21"/>
      <c r="FXN209" s="21"/>
      <c r="FXO209" s="21"/>
      <c r="FXP209" s="21"/>
      <c r="FXQ209" s="21"/>
      <c r="FXR209" s="21"/>
      <c r="FXS209" s="21"/>
      <c r="FXT209" s="21"/>
      <c r="FXU209" s="21"/>
      <c r="FXV209" s="21"/>
      <c r="FXW209" s="21"/>
      <c r="FXX209" s="21"/>
      <c r="FXY209" s="21"/>
      <c r="FXZ209" s="21"/>
      <c r="FYA209" s="21"/>
      <c r="FYB209" s="21"/>
      <c r="FYC209" s="21"/>
      <c r="FYD209" s="21"/>
      <c r="FYE209" s="21"/>
      <c r="FYF209" s="21"/>
      <c r="FYG209" s="21"/>
      <c r="FYH209" s="21"/>
      <c r="FYI209" s="21"/>
      <c r="FYJ209" s="21"/>
      <c r="FYK209" s="21"/>
      <c r="FYL209" s="21"/>
      <c r="FYM209" s="21"/>
      <c r="FYN209" s="21"/>
      <c r="FYO209" s="21"/>
      <c r="FYP209" s="21"/>
      <c r="FYQ209" s="21"/>
      <c r="FYR209" s="21"/>
      <c r="FYS209" s="21"/>
      <c r="FYT209" s="21"/>
      <c r="FYU209" s="21"/>
      <c r="FYV209" s="21"/>
      <c r="FYW209" s="21"/>
      <c r="FYX209" s="21"/>
      <c r="FYY209" s="21"/>
      <c r="FYZ209" s="21"/>
      <c r="FZA209" s="21"/>
      <c r="FZB209" s="21"/>
      <c r="FZC209" s="21"/>
      <c r="FZD209" s="21"/>
      <c r="FZE209" s="21"/>
      <c r="FZF209" s="21"/>
      <c r="FZG209" s="21"/>
      <c r="FZH209" s="21"/>
      <c r="FZI209" s="21"/>
      <c r="FZJ209" s="21"/>
      <c r="FZK209" s="21"/>
      <c r="FZL209" s="21"/>
      <c r="FZM209" s="21"/>
      <c r="FZN209" s="21"/>
      <c r="FZO209" s="21"/>
      <c r="FZP209" s="21"/>
      <c r="FZQ209" s="21"/>
      <c r="FZR209" s="21"/>
      <c r="FZS209" s="21"/>
      <c r="FZT209" s="21"/>
      <c r="FZU209" s="21"/>
      <c r="FZV209" s="21"/>
      <c r="FZW209" s="21"/>
      <c r="FZX209" s="21"/>
      <c r="FZY209" s="21"/>
      <c r="FZZ209" s="21"/>
      <c r="GAA209" s="21"/>
      <c r="GAB209" s="21"/>
      <c r="GAC209" s="21"/>
      <c r="GAD209" s="21"/>
      <c r="GAE209" s="21"/>
      <c r="GAF209" s="21"/>
      <c r="GAG209" s="21"/>
      <c r="GAH209" s="21"/>
      <c r="GAI209" s="21"/>
      <c r="GAJ209" s="21"/>
      <c r="GAK209" s="21"/>
      <c r="GAL209" s="21"/>
      <c r="GAM209" s="21"/>
      <c r="GAN209" s="21"/>
      <c r="GAO209" s="21"/>
      <c r="GAP209" s="21"/>
      <c r="GAQ209" s="21"/>
      <c r="GAR209" s="21"/>
      <c r="GAS209" s="21"/>
      <c r="GAT209" s="21"/>
      <c r="GAU209" s="21"/>
      <c r="GAV209" s="21"/>
      <c r="GAW209" s="21"/>
      <c r="GAX209" s="21"/>
      <c r="GAY209" s="21"/>
      <c r="GAZ209" s="21"/>
      <c r="GBA209" s="21"/>
      <c r="GBB209" s="21"/>
      <c r="GBC209" s="21"/>
      <c r="GBD209" s="21"/>
      <c r="GBE209" s="21"/>
      <c r="GBF209" s="21"/>
      <c r="GBG209" s="21"/>
      <c r="GBH209" s="21"/>
      <c r="GBI209" s="21"/>
      <c r="GBJ209" s="21"/>
      <c r="GBK209" s="21"/>
      <c r="GBL209" s="21"/>
      <c r="GBM209" s="21"/>
      <c r="GBN209" s="21"/>
      <c r="GBO209" s="21"/>
      <c r="GBP209" s="21"/>
      <c r="GBQ209" s="21"/>
      <c r="GBR209" s="21"/>
      <c r="GBS209" s="21"/>
      <c r="GBT209" s="21"/>
      <c r="GBU209" s="21"/>
      <c r="GBV209" s="21"/>
      <c r="GBW209" s="21"/>
      <c r="GBX209" s="21"/>
      <c r="GBY209" s="21"/>
      <c r="GBZ209" s="21"/>
      <c r="GCA209" s="21"/>
      <c r="GCB209" s="21"/>
      <c r="GCC209" s="21"/>
      <c r="GCD209" s="21"/>
      <c r="GCE209" s="21"/>
      <c r="GCF209" s="21"/>
      <c r="GCG209" s="21"/>
      <c r="GCH209" s="21"/>
      <c r="GCI209" s="21"/>
      <c r="GCJ209" s="21"/>
      <c r="GCK209" s="21"/>
      <c r="GCL209" s="21"/>
      <c r="GCM209" s="21"/>
      <c r="GCN209" s="21"/>
      <c r="GCO209" s="21"/>
      <c r="GCP209" s="21"/>
      <c r="GCQ209" s="21"/>
      <c r="GCR209" s="21"/>
      <c r="GCS209" s="21"/>
      <c r="GCT209" s="21"/>
      <c r="GCU209" s="21"/>
      <c r="GCV209" s="21"/>
      <c r="GCW209" s="21"/>
      <c r="GCX209" s="21"/>
      <c r="GCY209" s="21"/>
      <c r="GCZ209" s="21"/>
      <c r="GDA209" s="21"/>
      <c r="GDB209" s="21"/>
      <c r="GDC209" s="21"/>
      <c r="GDD209" s="21"/>
      <c r="GDE209" s="21"/>
      <c r="GDF209" s="21"/>
      <c r="GDG209" s="21"/>
      <c r="GDH209" s="21"/>
      <c r="GDI209" s="21"/>
      <c r="GDJ209" s="21"/>
      <c r="GDK209" s="21"/>
      <c r="GDL209" s="21"/>
      <c r="GDM209" s="21"/>
      <c r="GDN209" s="21"/>
      <c r="GDO209" s="21"/>
      <c r="GDP209" s="21"/>
      <c r="GDQ209" s="21"/>
      <c r="GDR209" s="21"/>
      <c r="GDS209" s="21"/>
      <c r="GDT209" s="21"/>
      <c r="GDU209" s="21"/>
      <c r="GDV209" s="21"/>
      <c r="GDW209" s="21"/>
      <c r="GDX209" s="21"/>
      <c r="GDY209" s="21"/>
      <c r="GDZ209" s="21"/>
      <c r="GEA209" s="21"/>
      <c r="GEB209" s="21"/>
      <c r="GEC209" s="21"/>
      <c r="GED209" s="21"/>
      <c r="GEE209" s="21"/>
      <c r="GEF209" s="21"/>
      <c r="GEG209" s="21"/>
      <c r="GEH209" s="21"/>
      <c r="GEI209" s="21"/>
      <c r="GEJ209" s="21"/>
      <c r="GEK209" s="21"/>
      <c r="GEL209" s="21"/>
      <c r="GEM209" s="21"/>
      <c r="GEN209" s="21"/>
      <c r="GEO209" s="21"/>
      <c r="GEP209" s="21"/>
      <c r="GEQ209" s="21"/>
      <c r="GER209" s="21"/>
      <c r="GES209" s="21"/>
      <c r="GET209" s="21"/>
      <c r="GEU209" s="21"/>
      <c r="GEV209" s="21"/>
      <c r="GEW209" s="21"/>
      <c r="GEX209" s="21"/>
      <c r="GEY209" s="21"/>
      <c r="GEZ209" s="21"/>
      <c r="GFA209" s="21"/>
      <c r="GFB209" s="21"/>
      <c r="GFC209" s="21"/>
      <c r="GFD209" s="21"/>
      <c r="GFE209" s="21"/>
      <c r="GFF209" s="21"/>
      <c r="GFG209" s="21"/>
      <c r="GFH209" s="21"/>
      <c r="GFI209" s="21"/>
      <c r="GFJ209" s="21"/>
      <c r="GFK209" s="21"/>
      <c r="GFL209" s="21"/>
      <c r="GFM209" s="21"/>
      <c r="GFN209" s="21"/>
      <c r="GFO209" s="21"/>
      <c r="GFP209" s="21"/>
      <c r="GFQ209" s="21"/>
      <c r="GFR209" s="21"/>
      <c r="GFS209" s="21"/>
      <c r="GFT209" s="21"/>
      <c r="GFU209" s="21"/>
      <c r="GFV209" s="21"/>
      <c r="GFW209" s="21"/>
      <c r="GFX209" s="21"/>
      <c r="GFY209" s="21"/>
      <c r="GFZ209" s="21"/>
      <c r="GGA209" s="21"/>
      <c r="GGB209" s="21"/>
      <c r="GGC209" s="21"/>
      <c r="GGD209" s="21"/>
      <c r="GGE209" s="21"/>
      <c r="GGF209" s="21"/>
      <c r="GGG209" s="21"/>
      <c r="GGH209" s="21"/>
      <c r="GGI209" s="21"/>
      <c r="GGJ209" s="21"/>
      <c r="GGK209" s="21"/>
      <c r="GGL209" s="21"/>
      <c r="GGM209" s="21"/>
      <c r="GGN209" s="21"/>
      <c r="GGO209" s="21"/>
      <c r="GGP209" s="21"/>
      <c r="GGQ209" s="21"/>
      <c r="GGR209" s="21"/>
      <c r="GGS209" s="21"/>
      <c r="GGT209" s="21"/>
      <c r="GGU209" s="21"/>
      <c r="GGV209" s="21"/>
      <c r="GGW209" s="21"/>
      <c r="GGX209" s="21"/>
      <c r="GGY209" s="21"/>
      <c r="GGZ209" s="21"/>
      <c r="GHA209" s="21"/>
      <c r="GHB209" s="21"/>
      <c r="GHC209" s="21"/>
      <c r="GHD209" s="21"/>
      <c r="GHE209" s="21"/>
      <c r="GHF209" s="21"/>
      <c r="GHG209" s="21"/>
      <c r="GHH209" s="21"/>
      <c r="GHI209" s="21"/>
      <c r="GHJ209" s="21"/>
      <c r="GHK209" s="21"/>
      <c r="GHL209" s="21"/>
      <c r="GHM209" s="21"/>
      <c r="GHN209" s="21"/>
      <c r="GHO209" s="21"/>
      <c r="GHP209" s="21"/>
      <c r="GHQ209" s="21"/>
      <c r="GHR209" s="21"/>
      <c r="GHS209" s="21"/>
      <c r="GHT209" s="21"/>
      <c r="GHU209" s="21"/>
      <c r="GHV209" s="21"/>
      <c r="GHW209" s="21"/>
      <c r="GHX209" s="21"/>
      <c r="GHY209" s="21"/>
      <c r="GHZ209" s="21"/>
      <c r="GIA209" s="21"/>
      <c r="GIB209" s="21"/>
      <c r="GIC209" s="21"/>
      <c r="GID209" s="21"/>
      <c r="GIE209" s="21"/>
      <c r="GIF209" s="21"/>
      <c r="GIG209" s="21"/>
      <c r="GIH209" s="21"/>
      <c r="GII209" s="21"/>
      <c r="GIJ209" s="21"/>
      <c r="GIK209" s="21"/>
      <c r="GIL209" s="21"/>
      <c r="GIM209" s="21"/>
      <c r="GIN209" s="21"/>
      <c r="GIO209" s="21"/>
      <c r="GIP209" s="21"/>
      <c r="GIQ209" s="21"/>
      <c r="GIR209" s="21"/>
      <c r="GIS209" s="21"/>
      <c r="GIT209" s="21"/>
      <c r="GIU209" s="21"/>
      <c r="GIV209" s="21"/>
      <c r="GIW209" s="21"/>
      <c r="GIX209" s="21"/>
      <c r="GIY209" s="21"/>
      <c r="GIZ209" s="21"/>
      <c r="GJA209" s="21"/>
      <c r="GJB209" s="21"/>
      <c r="GJC209" s="21"/>
      <c r="GJD209" s="21"/>
      <c r="GJE209" s="21"/>
      <c r="GJF209" s="21"/>
      <c r="GJG209" s="21"/>
      <c r="GJH209" s="21"/>
      <c r="GJI209" s="21"/>
      <c r="GJJ209" s="21"/>
      <c r="GJK209" s="21"/>
      <c r="GJL209" s="21"/>
      <c r="GJM209" s="21"/>
      <c r="GJN209" s="21"/>
      <c r="GJO209" s="21"/>
      <c r="GJP209" s="21"/>
      <c r="GJQ209" s="21"/>
      <c r="GJR209" s="21"/>
      <c r="GJS209" s="21"/>
      <c r="GJT209" s="21"/>
      <c r="GJU209" s="21"/>
      <c r="GJV209" s="21"/>
      <c r="GJW209" s="21"/>
      <c r="GJX209" s="21"/>
      <c r="GJY209" s="21"/>
      <c r="GJZ209" s="21"/>
      <c r="GKA209" s="21"/>
      <c r="GKB209" s="21"/>
      <c r="GKC209" s="21"/>
      <c r="GKD209" s="21"/>
      <c r="GKE209" s="21"/>
      <c r="GKF209" s="21"/>
      <c r="GKG209" s="21"/>
      <c r="GKH209" s="21"/>
      <c r="GKI209" s="21"/>
      <c r="GKJ209" s="21"/>
      <c r="GKK209" s="21"/>
      <c r="GKL209" s="21"/>
      <c r="GKM209" s="21"/>
      <c r="GKN209" s="21"/>
      <c r="GKO209" s="21"/>
      <c r="GKP209" s="21"/>
      <c r="GKQ209" s="21"/>
      <c r="GKR209" s="21"/>
      <c r="GKS209" s="21"/>
      <c r="GKT209" s="21"/>
      <c r="GKU209" s="21"/>
      <c r="GKV209" s="21"/>
      <c r="GKW209" s="21"/>
      <c r="GKX209" s="21"/>
      <c r="GKY209" s="21"/>
      <c r="GKZ209" s="21"/>
      <c r="GLA209" s="21"/>
      <c r="GLB209" s="21"/>
      <c r="GLC209" s="21"/>
      <c r="GLD209" s="21"/>
      <c r="GLE209" s="21"/>
      <c r="GLF209" s="21"/>
      <c r="GLG209" s="21"/>
      <c r="GLH209" s="21"/>
      <c r="GLI209" s="21"/>
      <c r="GLJ209" s="21"/>
      <c r="GLK209" s="21"/>
      <c r="GLL209" s="21"/>
      <c r="GLM209" s="21"/>
      <c r="GLN209" s="21"/>
      <c r="GLO209" s="21"/>
      <c r="GLP209" s="21"/>
      <c r="GLQ209" s="21"/>
      <c r="GLR209" s="21"/>
      <c r="GLS209" s="21"/>
      <c r="GLT209" s="21"/>
      <c r="GLU209" s="21"/>
      <c r="GLV209" s="21"/>
      <c r="GLW209" s="21"/>
      <c r="GLX209" s="21"/>
      <c r="GLY209" s="21"/>
      <c r="GLZ209" s="21"/>
      <c r="GMA209" s="21"/>
      <c r="GMB209" s="21"/>
      <c r="GMC209" s="21"/>
      <c r="GMD209" s="21"/>
      <c r="GME209" s="21"/>
      <c r="GMF209" s="21"/>
      <c r="GMG209" s="21"/>
      <c r="GMH209" s="21"/>
      <c r="GMI209" s="21"/>
      <c r="GMJ209" s="21"/>
      <c r="GMK209" s="21"/>
      <c r="GML209" s="21"/>
      <c r="GMM209" s="21"/>
      <c r="GMN209" s="21"/>
      <c r="GMO209" s="21"/>
      <c r="GMP209" s="21"/>
      <c r="GMQ209" s="21"/>
      <c r="GMR209" s="21"/>
      <c r="GMS209" s="21"/>
      <c r="GMT209" s="21"/>
      <c r="GMU209" s="21"/>
      <c r="GMV209" s="21"/>
      <c r="GMW209" s="21"/>
      <c r="GMX209" s="21"/>
      <c r="GMY209" s="21"/>
      <c r="GMZ209" s="21"/>
      <c r="GNA209" s="21"/>
      <c r="GNB209" s="21"/>
      <c r="GNC209" s="21"/>
      <c r="GND209" s="21"/>
      <c r="GNE209" s="21"/>
      <c r="GNF209" s="21"/>
      <c r="GNG209" s="21"/>
      <c r="GNH209" s="21"/>
      <c r="GNI209" s="21"/>
      <c r="GNJ209" s="21"/>
      <c r="GNK209" s="21"/>
      <c r="GNL209" s="21"/>
      <c r="GNM209" s="21"/>
      <c r="GNN209" s="21"/>
      <c r="GNO209" s="21"/>
      <c r="GNP209" s="21"/>
      <c r="GNQ209" s="21"/>
      <c r="GNR209" s="21"/>
      <c r="GNS209" s="21"/>
      <c r="GNT209" s="21"/>
      <c r="GNU209" s="21"/>
      <c r="GNV209" s="21"/>
      <c r="GNW209" s="21"/>
      <c r="GNX209" s="21"/>
      <c r="GNY209" s="21"/>
      <c r="GNZ209" s="21"/>
      <c r="GOA209" s="21"/>
      <c r="GOB209" s="21"/>
      <c r="GOC209" s="21"/>
      <c r="GOD209" s="21"/>
      <c r="GOE209" s="21"/>
      <c r="GOF209" s="21"/>
      <c r="GOG209" s="21"/>
      <c r="GOH209" s="21"/>
      <c r="GOI209" s="21"/>
      <c r="GOJ209" s="21"/>
      <c r="GOK209" s="21"/>
      <c r="GOL209" s="21"/>
      <c r="GOM209" s="21"/>
      <c r="GON209" s="21"/>
      <c r="GOO209" s="21"/>
      <c r="GOP209" s="21"/>
      <c r="GOQ209" s="21"/>
      <c r="GOR209" s="21"/>
      <c r="GOS209" s="21"/>
      <c r="GOT209" s="21"/>
      <c r="GOU209" s="21"/>
      <c r="GOV209" s="21"/>
      <c r="GOW209" s="21"/>
      <c r="GOX209" s="21"/>
      <c r="GOY209" s="21"/>
      <c r="GOZ209" s="21"/>
      <c r="GPA209" s="21"/>
      <c r="GPB209" s="21"/>
      <c r="GPC209" s="21"/>
      <c r="GPD209" s="21"/>
      <c r="GPE209" s="21"/>
      <c r="GPF209" s="21"/>
      <c r="GPG209" s="21"/>
      <c r="GPH209" s="21"/>
      <c r="GPI209" s="21"/>
      <c r="GPJ209" s="21"/>
      <c r="GPK209" s="21"/>
      <c r="GPL209" s="21"/>
      <c r="GPM209" s="21"/>
      <c r="GPN209" s="21"/>
      <c r="GPO209" s="21"/>
      <c r="GPP209" s="21"/>
      <c r="GPQ209" s="21"/>
      <c r="GPR209" s="21"/>
      <c r="GPS209" s="21"/>
      <c r="GPT209" s="21"/>
      <c r="GPU209" s="21"/>
      <c r="GPV209" s="21"/>
      <c r="GPW209" s="21"/>
      <c r="GPX209" s="21"/>
      <c r="GPY209" s="21"/>
      <c r="GPZ209" s="21"/>
      <c r="GQA209" s="21"/>
      <c r="GQB209" s="21"/>
      <c r="GQC209" s="21"/>
      <c r="GQD209" s="21"/>
      <c r="GQE209" s="21"/>
      <c r="GQF209" s="21"/>
      <c r="GQG209" s="21"/>
      <c r="GQH209" s="21"/>
      <c r="GQI209" s="21"/>
      <c r="GQJ209" s="21"/>
      <c r="GQK209" s="21"/>
      <c r="GQL209" s="21"/>
      <c r="GQM209" s="21"/>
      <c r="GQN209" s="21"/>
      <c r="GQO209" s="21"/>
      <c r="GQP209" s="21"/>
      <c r="GQQ209" s="21"/>
      <c r="GQR209" s="21"/>
      <c r="GQS209" s="21"/>
      <c r="GQT209" s="21"/>
      <c r="GQU209" s="21"/>
      <c r="GQV209" s="21"/>
      <c r="GQW209" s="21"/>
      <c r="GQX209" s="21"/>
      <c r="GQY209" s="21"/>
      <c r="GQZ209" s="21"/>
      <c r="GRA209" s="21"/>
      <c r="GRB209" s="21"/>
      <c r="GRC209" s="21"/>
      <c r="GRD209" s="21"/>
      <c r="GRE209" s="21"/>
      <c r="GRF209" s="21"/>
      <c r="GRG209" s="21"/>
      <c r="GRH209" s="21"/>
      <c r="GRI209" s="21"/>
      <c r="GRJ209" s="21"/>
      <c r="GRK209" s="21"/>
      <c r="GRL209" s="21"/>
      <c r="GRM209" s="21"/>
      <c r="GRN209" s="21"/>
      <c r="GRO209" s="21"/>
      <c r="GRP209" s="21"/>
      <c r="GRQ209" s="21"/>
      <c r="GRR209" s="21"/>
      <c r="GRS209" s="21"/>
      <c r="GRT209" s="21"/>
      <c r="GRU209" s="21"/>
      <c r="GRV209" s="21"/>
      <c r="GRW209" s="21"/>
      <c r="GRX209" s="21"/>
      <c r="GRY209" s="21"/>
      <c r="GRZ209" s="21"/>
      <c r="GSA209" s="21"/>
      <c r="GSB209" s="21"/>
      <c r="GSC209" s="21"/>
      <c r="GSD209" s="21"/>
      <c r="GSE209" s="21"/>
      <c r="GSF209" s="21"/>
      <c r="GSG209" s="21"/>
      <c r="GSH209" s="21"/>
      <c r="GSI209" s="21"/>
      <c r="GSJ209" s="21"/>
      <c r="GSK209" s="21"/>
      <c r="GSL209" s="21"/>
      <c r="GSM209" s="21"/>
      <c r="GSN209" s="21"/>
      <c r="GSO209" s="21"/>
      <c r="GSP209" s="21"/>
      <c r="GSQ209" s="21"/>
      <c r="GSR209" s="21"/>
      <c r="GSS209" s="21"/>
      <c r="GST209" s="21"/>
      <c r="GSU209" s="21"/>
      <c r="GSV209" s="21"/>
      <c r="GSW209" s="21"/>
      <c r="GSX209" s="21"/>
      <c r="GSY209" s="21"/>
      <c r="GSZ209" s="21"/>
      <c r="GTA209" s="21"/>
      <c r="GTB209" s="21"/>
      <c r="GTC209" s="21"/>
      <c r="GTD209" s="21"/>
      <c r="GTE209" s="21"/>
      <c r="GTF209" s="21"/>
      <c r="GTG209" s="21"/>
      <c r="GTH209" s="21"/>
      <c r="GTI209" s="21"/>
      <c r="GTJ209" s="21"/>
      <c r="GTK209" s="21"/>
      <c r="GTL209" s="21"/>
      <c r="GTM209" s="21"/>
      <c r="GTN209" s="21"/>
      <c r="GTO209" s="21"/>
      <c r="GTP209" s="21"/>
      <c r="GTQ209" s="21"/>
      <c r="GTR209" s="21"/>
      <c r="GTS209" s="21"/>
      <c r="GTT209" s="21"/>
      <c r="GTU209" s="21"/>
      <c r="GTV209" s="21"/>
      <c r="GTW209" s="21"/>
      <c r="GTX209" s="21"/>
      <c r="GTY209" s="21"/>
      <c r="GTZ209" s="21"/>
      <c r="GUA209" s="21"/>
      <c r="GUB209" s="21"/>
      <c r="GUC209" s="21"/>
      <c r="GUD209" s="21"/>
      <c r="GUE209" s="21"/>
      <c r="GUF209" s="21"/>
      <c r="GUG209" s="21"/>
      <c r="GUH209" s="21"/>
      <c r="GUI209" s="21"/>
      <c r="GUJ209" s="21"/>
      <c r="GUK209" s="21"/>
      <c r="GUL209" s="21"/>
      <c r="GUM209" s="21"/>
      <c r="GUN209" s="21"/>
      <c r="GUO209" s="21"/>
      <c r="GUP209" s="21"/>
      <c r="GUQ209" s="21"/>
      <c r="GUR209" s="21"/>
      <c r="GUS209" s="21"/>
      <c r="GUT209" s="21"/>
      <c r="GUU209" s="21"/>
      <c r="GUV209" s="21"/>
      <c r="GUW209" s="21"/>
      <c r="GUX209" s="21"/>
      <c r="GUY209" s="21"/>
      <c r="GUZ209" s="21"/>
      <c r="GVA209" s="21"/>
      <c r="GVB209" s="21"/>
      <c r="GVC209" s="21"/>
      <c r="GVD209" s="21"/>
      <c r="GVE209" s="21"/>
      <c r="GVF209" s="21"/>
      <c r="GVG209" s="21"/>
      <c r="GVH209" s="21"/>
      <c r="GVI209" s="21"/>
      <c r="GVJ209" s="21"/>
      <c r="GVK209" s="21"/>
      <c r="GVL209" s="21"/>
      <c r="GVM209" s="21"/>
      <c r="GVN209" s="21"/>
      <c r="GVO209" s="21"/>
      <c r="GVP209" s="21"/>
      <c r="GVQ209" s="21"/>
      <c r="GVR209" s="21"/>
      <c r="GVS209" s="21"/>
      <c r="GVT209" s="21"/>
      <c r="GVU209" s="21"/>
      <c r="GVV209" s="21"/>
      <c r="GVW209" s="21"/>
      <c r="GVX209" s="21"/>
      <c r="GVY209" s="21"/>
      <c r="GVZ209" s="21"/>
      <c r="GWA209" s="21"/>
      <c r="GWB209" s="21"/>
      <c r="GWC209" s="21"/>
      <c r="GWD209" s="21"/>
      <c r="GWE209" s="21"/>
      <c r="GWF209" s="21"/>
      <c r="GWG209" s="21"/>
      <c r="GWH209" s="21"/>
      <c r="GWI209" s="21"/>
      <c r="GWJ209" s="21"/>
      <c r="GWK209" s="21"/>
      <c r="GWL209" s="21"/>
      <c r="GWM209" s="21"/>
      <c r="GWN209" s="21"/>
      <c r="GWO209" s="21"/>
      <c r="GWP209" s="21"/>
      <c r="GWQ209" s="21"/>
      <c r="GWR209" s="21"/>
      <c r="GWS209" s="21"/>
      <c r="GWT209" s="21"/>
      <c r="GWU209" s="21"/>
      <c r="GWV209" s="21"/>
      <c r="GWW209" s="21"/>
      <c r="GWX209" s="21"/>
      <c r="GWY209" s="21"/>
      <c r="GWZ209" s="21"/>
      <c r="GXA209" s="21"/>
      <c r="GXB209" s="21"/>
      <c r="GXC209" s="21"/>
      <c r="GXD209" s="21"/>
      <c r="GXE209" s="21"/>
      <c r="GXF209" s="21"/>
      <c r="GXG209" s="21"/>
      <c r="GXH209" s="21"/>
      <c r="GXI209" s="21"/>
      <c r="GXJ209" s="21"/>
      <c r="GXK209" s="21"/>
      <c r="GXL209" s="21"/>
      <c r="GXM209" s="21"/>
      <c r="GXN209" s="21"/>
      <c r="GXO209" s="21"/>
      <c r="GXP209" s="21"/>
      <c r="GXQ209" s="21"/>
      <c r="GXR209" s="21"/>
      <c r="GXS209" s="21"/>
      <c r="GXT209" s="21"/>
      <c r="GXU209" s="21"/>
      <c r="GXV209" s="21"/>
      <c r="GXW209" s="21"/>
      <c r="GXX209" s="21"/>
      <c r="GXY209" s="21"/>
      <c r="GXZ209" s="21"/>
      <c r="GYA209" s="21"/>
      <c r="GYB209" s="21"/>
      <c r="GYC209" s="21"/>
      <c r="GYD209" s="21"/>
      <c r="GYE209" s="21"/>
      <c r="GYF209" s="21"/>
      <c r="GYG209" s="21"/>
      <c r="GYH209" s="21"/>
      <c r="GYI209" s="21"/>
      <c r="GYJ209" s="21"/>
      <c r="GYK209" s="21"/>
      <c r="GYL209" s="21"/>
      <c r="GYM209" s="21"/>
      <c r="GYN209" s="21"/>
      <c r="GYO209" s="21"/>
      <c r="GYP209" s="21"/>
      <c r="GYQ209" s="21"/>
      <c r="GYR209" s="21"/>
      <c r="GYS209" s="21"/>
      <c r="GYT209" s="21"/>
      <c r="GYU209" s="21"/>
      <c r="GYV209" s="21"/>
      <c r="GYW209" s="21"/>
      <c r="GYX209" s="21"/>
      <c r="GYY209" s="21"/>
      <c r="GYZ209" s="21"/>
      <c r="GZA209" s="21"/>
      <c r="GZB209" s="21"/>
      <c r="GZC209" s="21"/>
      <c r="GZD209" s="21"/>
      <c r="GZE209" s="21"/>
      <c r="GZF209" s="21"/>
      <c r="GZG209" s="21"/>
      <c r="GZH209" s="21"/>
      <c r="GZI209" s="21"/>
      <c r="GZJ209" s="21"/>
      <c r="GZK209" s="21"/>
      <c r="GZL209" s="21"/>
      <c r="GZM209" s="21"/>
      <c r="GZN209" s="21"/>
      <c r="GZO209" s="21"/>
      <c r="GZP209" s="21"/>
      <c r="GZQ209" s="21"/>
      <c r="GZR209" s="21"/>
      <c r="GZS209" s="21"/>
      <c r="GZT209" s="21"/>
      <c r="GZU209" s="21"/>
      <c r="GZV209" s="21"/>
      <c r="GZW209" s="21"/>
      <c r="GZX209" s="21"/>
      <c r="GZY209" s="21"/>
      <c r="GZZ209" s="21"/>
      <c r="HAA209" s="21"/>
      <c r="HAB209" s="21"/>
      <c r="HAC209" s="21"/>
      <c r="HAD209" s="21"/>
      <c r="HAE209" s="21"/>
      <c r="HAF209" s="21"/>
      <c r="HAG209" s="21"/>
      <c r="HAH209" s="21"/>
      <c r="HAI209" s="21"/>
      <c r="HAJ209" s="21"/>
      <c r="HAK209" s="21"/>
      <c r="HAL209" s="21"/>
      <c r="HAM209" s="21"/>
      <c r="HAN209" s="21"/>
      <c r="HAO209" s="21"/>
      <c r="HAP209" s="21"/>
      <c r="HAQ209" s="21"/>
      <c r="HAR209" s="21"/>
      <c r="HAS209" s="21"/>
      <c r="HAT209" s="21"/>
      <c r="HAU209" s="21"/>
      <c r="HAV209" s="21"/>
      <c r="HAW209" s="21"/>
      <c r="HAX209" s="21"/>
      <c r="HAY209" s="21"/>
      <c r="HAZ209" s="21"/>
      <c r="HBA209" s="21"/>
      <c r="HBB209" s="21"/>
      <c r="HBC209" s="21"/>
      <c r="HBD209" s="21"/>
      <c r="HBE209" s="21"/>
      <c r="HBF209" s="21"/>
      <c r="HBG209" s="21"/>
      <c r="HBH209" s="21"/>
      <c r="HBI209" s="21"/>
      <c r="HBJ209" s="21"/>
      <c r="HBK209" s="21"/>
      <c r="HBL209" s="21"/>
      <c r="HBM209" s="21"/>
      <c r="HBN209" s="21"/>
      <c r="HBO209" s="21"/>
      <c r="HBP209" s="21"/>
      <c r="HBQ209" s="21"/>
      <c r="HBR209" s="21"/>
      <c r="HBS209" s="21"/>
      <c r="HBT209" s="21"/>
      <c r="HBU209" s="21"/>
      <c r="HBV209" s="21"/>
      <c r="HBW209" s="21"/>
      <c r="HBX209" s="21"/>
      <c r="HBY209" s="21"/>
      <c r="HBZ209" s="21"/>
      <c r="HCA209" s="21"/>
      <c r="HCB209" s="21"/>
      <c r="HCC209" s="21"/>
      <c r="HCD209" s="21"/>
      <c r="HCE209" s="21"/>
      <c r="HCF209" s="21"/>
      <c r="HCG209" s="21"/>
      <c r="HCH209" s="21"/>
      <c r="HCI209" s="21"/>
      <c r="HCJ209" s="21"/>
      <c r="HCK209" s="21"/>
      <c r="HCL209" s="21"/>
      <c r="HCM209" s="21"/>
      <c r="HCN209" s="21"/>
      <c r="HCO209" s="21"/>
      <c r="HCP209" s="21"/>
      <c r="HCQ209" s="21"/>
      <c r="HCR209" s="21"/>
      <c r="HCS209" s="21"/>
      <c r="HCT209" s="21"/>
      <c r="HCU209" s="21"/>
      <c r="HCV209" s="21"/>
      <c r="HCW209" s="21"/>
      <c r="HCX209" s="21"/>
      <c r="HCY209" s="21"/>
      <c r="HCZ209" s="21"/>
      <c r="HDA209" s="21"/>
      <c r="HDB209" s="21"/>
      <c r="HDC209" s="21"/>
      <c r="HDD209" s="21"/>
      <c r="HDE209" s="21"/>
      <c r="HDF209" s="21"/>
      <c r="HDG209" s="21"/>
      <c r="HDH209" s="21"/>
      <c r="HDI209" s="21"/>
      <c r="HDJ209" s="21"/>
      <c r="HDK209" s="21"/>
      <c r="HDL209" s="21"/>
      <c r="HDM209" s="21"/>
      <c r="HDN209" s="21"/>
      <c r="HDO209" s="21"/>
      <c r="HDP209" s="21"/>
      <c r="HDQ209" s="21"/>
      <c r="HDR209" s="21"/>
      <c r="HDS209" s="21"/>
      <c r="HDT209" s="21"/>
      <c r="HDU209" s="21"/>
      <c r="HDV209" s="21"/>
      <c r="HDW209" s="21"/>
      <c r="HDX209" s="21"/>
      <c r="HDY209" s="21"/>
      <c r="HDZ209" s="21"/>
      <c r="HEA209" s="21"/>
      <c r="HEB209" s="21"/>
      <c r="HEC209" s="21"/>
      <c r="HED209" s="21"/>
      <c r="HEE209" s="21"/>
      <c r="HEF209" s="21"/>
      <c r="HEG209" s="21"/>
      <c r="HEH209" s="21"/>
      <c r="HEI209" s="21"/>
      <c r="HEJ209" s="21"/>
      <c r="HEK209" s="21"/>
      <c r="HEL209" s="21"/>
      <c r="HEM209" s="21"/>
      <c r="HEN209" s="21"/>
      <c r="HEO209" s="21"/>
      <c r="HEP209" s="21"/>
      <c r="HEQ209" s="21"/>
      <c r="HER209" s="21"/>
      <c r="HES209" s="21"/>
      <c r="HET209" s="21"/>
      <c r="HEU209" s="21"/>
      <c r="HEV209" s="21"/>
      <c r="HEW209" s="21"/>
      <c r="HEX209" s="21"/>
      <c r="HEY209" s="21"/>
      <c r="HEZ209" s="21"/>
      <c r="HFA209" s="21"/>
      <c r="HFB209" s="21"/>
      <c r="HFC209" s="21"/>
      <c r="HFD209" s="21"/>
      <c r="HFE209" s="21"/>
      <c r="HFF209" s="21"/>
      <c r="HFG209" s="21"/>
      <c r="HFH209" s="21"/>
      <c r="HFI209" s="21"/>
      <c r="HFJ209" s="21"/>
      <c r="HFK209" s="21"/>
      <c r="HFL209" s="21"/>
      <c r="HFM209" s="21"/>
      <c r="HFN209" s="21"/>
      <c r="HFO209" s="21"/>
      <c r="HFP209" s="21"/>
      <c r="HFQ209" s="21"/>
      <c r="HFR209" s="21"/>
      <c r="HFS209" s="21"/>
      <c r="HFT209" s="21"/>
      <c r="HFU209" s="21"/>
      <c r="HFV209" s="21"/>
      <c r="HFW209" s="21"/>
      <c r="HFX209" s="21"/>
      <c r="HFY209" s="21"/>
      <c r="HFZ209" s="21"/>
      <c r="HGA209" s="21"/>
      <c r="HGB209" s="21"/>
      <c r="HGC209" s="21"/>
      <c r="HGD209" s="21"/>
      <c r="HGE209" s="21"/>
      <c r="HGF209" s="21"/>
      <c r="HGG209" s="21"/>
      <c r="HGH209" s="21"/>
      <c r="HGI209" s="21"/>
      <c r="HGJ209" s="21"/>
      <c r="HGK209" s="21"/>
      <c r="HGL209" s="21"/>
      <c r="HGM209" s="21"/>
      <c r="HGN209" s="21"/>
      <c r="HGO209" s="21"/>
      <c r="HGP209" s="21"/>
      <c r="HGQ209" s="21"/>
      <c r="HGR209" s="21"/>
      <c r="HGS209" s="21"/>
      <c r="HGT209" s="21"/>
      <c r="HGU209" s="21"/>
      <c r="HGV209" s="21"/>
      <c r="HGW209" s="21"/>
      <c r="HGX209" s="21"/>
      <c r="HGY209" s="21"/>
      <c r="HGZ209" s="21"/>
      <c r="HHA209" s="21"/>
      <c r="HHB209" s="21"/>
      <c r="HHC209" s="21"/>
      <c r="HHD209" s="21"/>
      <c r="HHE209" s="21"/>
      <c r="HHF209" s="21"/>
      <c r="HHG209" s="21"/>
      <c r="HHH209" s="21"/>
      <c r="HHI209" s="21"/>
      <c r="HHJ209" s="21"/>
      <c r="HHK209" s="21"/>
      <c r="HHL209" s="21"/>
      <c r="HHM209" s="21"/>
      <c r="HHN209" s="21"/>
      <c r="HHO209" s="21"/>
      <c r="HHP209" s="21"/>
      <c r="HHQ209" s="21"/>
      <c r="HHR209" s="21"/>
      <c r="HHS209" s="21"/>
      <c r="HHT209" s="21"/>
      <c r="HHU209" s="21"/>
      <c r="HHV209" s="21"/>
      <c r="HHW209" s="21"/>
      <c r="HHX209" s="21"/>
      <c r="HHY209" s="21"/>
      <c r="HHZ209" s="21"/>
      <c r="HIA209" s="21"/>
      <c r="HIB209" s="21"/>
      <c r="HIC209" s="21"/>
      <c r="HID209" s="21"/>
      <c r="HIE209" s="21"/>
      <c r="HIF209" s="21"/>
      <c r="HIG209" s="21"/>
      <c r="HIH209" s="21"/>
      <c r="HII209" s="21"/>
      <c r="HIJ209" s="21"/>
      <c r="HIK209" s="21"/>
      <c r="HIL209" s="21"/>
      <c r="HIM209" s="21"/>
      <c r="HIN209" s="21"/>
      <c r="HIO209" s="21"/>
      <c r="HIP209" s="21"/>
      <c r="HIQ209" s="21"/>
      <c r="HIR209" s="21"/>
      <c r="HIS209" s="21"/>
      <c r="HIT209" s="21"/>
      <c r="HIU209" s="21"/>
      <c r="HIV209" s="21"/>
      <c r="HIW209" s="21"/>
      <c r="HIX209" s="21"/>
      <c r="HIY209" s="21"/>
      <c r="HIZ209" s="21"/>
      <c r="HJA209" s="21"/>
      <c r="HJB209" s="21"/>
      <c r="HJC209" s="21"/>
      <c r="HJD209" s="21"/>
      <c r="HJE209" s="21"/>
      <c r="HJF209" s="21"/>
      <c r="HJG209" s="21"/>
      <c r="HJH209" s="21"/>
      <c r="HJI209" s="21"/>
      <c r="HJJ209" s="21"/>
      <c r="HJK209" s="21"/>
      <c r="HJL209" s="21"/>
      <c r="HJM209" s="21"/>
      <c r="HJN209" s="21"/>
      <c r="HJO209" s="21"/>
      <c r="HJP209" s="21"/>
      <c r="HJQ209" s="21"/>
      <c r="HJR209" s="21"/>
      <c r="HJS209" s="21"/>
      <c r="HJT209" s="21"/>
      <c r="HJU209" s="21"/>
      <c r="HJV209" s="21"/>
      <c r="HJW209" s="21"/>
      <c r="HJX209" s="21"/>
      <c r="HJY209" s="21"/>
      <c r="HJZ209" s="21"/>
      <c r="HKA209" s="21"/>
      <c r="HKB209" s="21"/>
      <c r="HKC209" s="21"/>
      <c r="HKD209" s="21"/>
      <c r="HKE209" s="21"/>
      <c r="HKF209" s="21"/>
      <c r="HKG209" s="21"/>
      <c r="HKH209" s="21"/>
      <c r="HKI209" s="21"/>
      <c r="HKJ209" s="21"/>
      <c r="HKK209" s="21"/>
      <c r="HKL209" s="21"/>
      <c r="HKM209" s="21"/>
      <c r="HKN209" s="21"/>
      <c r="HKO209" s="21"/>
      <c r="HKP209" s="21"/>
      <c r="HKQ209" s="21"/>
      <c r="HKR209" s="21"/>
      <c r="HKS209" s="21"/>
      <c r="HKT209" s="21"/>
      <c r="HKU209" s="21"/>
      <c r="HKV209" s="21"/>
      <c r="HKW209" s="21"/>
      <c r="HKX209" s="21"/>
      <c r="HKY209" s="21"/>
      <c r="HKZ209" s="21"/>
      <c r="HLA209" s="21"/>
      <c r="HLB209" s="21"/>
      <c r="HLC209" s="21"/>
      <c r="HLD209" s="21"/>
      <c r="HLE209" s="21"/>
      <c r="HLF209" s="21"/>
      <c r="HLG209" s="21"/>
      <c r="HLH209" s="21"/>
      <c r="HLI209" s="21"/>
      <c r="HLJ209" s="21"/>
      <c r="HLK209" s="21"/>
      <c r="HLL209" s="21"/>
      <c r="HLM209" s="21"/>
      <c r="HLN209" s="21"/>
      <c r="HLO209" s="21"/>
      <c r="HLP209" s="21"/>
      <c r="HLQ209" s="21"/>
      <c r="HLR209" s="21"/>
      <c r="HLS209" s="21"/>
      <c r="HLT209" s="21"/>
      <c r="HLU209" s="21"/>
      <c r="HLV209" s="21"/>
      <c r="HLW209" s="21"/>
      <c r="HLX209" s="21"/>
      <c r="HLY209" s="21"/>
      <c r="HLZ209" s="21"/>
      <c r="HMA209" s="21"/>
      <c r="HMB209" s="21"/>
      <c r="HMC209" s="21"/>
      <c r="HMD209" s="21"/>
      <c r="HME209" s="21"/>
      <c r="HMF209" s="21"/>
      <c r="HMG209" s="21"/>
      <c r="HMH209" s="21"/>
      <c r="HMI209" s="21"/>
      <c r="HMJ209" s="21"/>
      <c r="HMK209" s="21"/>
      <c r="HML209" s="21"/>
      <c r="HMM209" s="21"/>
      <c r="HMN209" s="21"/>
      <c r="HMO209" s="21"/>
      <c r="HMP209" s="21"/>
      <c r="HMQ209" s="21"/>
      <c r="HMR209" s="21"/>
      <c r="HMS209" s="21"/>
      <c r="HMT209" s="21"/>
      <c r="HMU209" s="21"/>
      <c r="HMV209" s="21"/>
      <c r="HMW209" s="21"/>
      <c r="HMX209" s="21"/>
      <c r="HMY209" s="21"/>
      <c r="HMZ209" s="21"/>
      <c r="HNA209" s="21"/>
      <c r="HNB209" s="21"/>
      <c r="HNC209" s="21"/>
      <c r="HND209" s="21"/>
      <c r="HNE209" s="21"/>
      <c r="HNF209" s="21"/>
      <c r="HNG209" s="21"/>
      <c r="HNH209" s="21"/>
      <c r="HNI209" s="21"/>
      <c r="HNJ209" s="21"/>
      <c r="HNK209" s="21"/>
      <c r="HNL209" s="21"/>
      <c r="HNM209" s="21"/>
      <c r="HNN209" s="21"/>
      <c r="HNO209" s="21"/>
      <c r="HNP209" s="21"/>
      <c r="HNQ209" s="21"/>
      <c r="HNR209" s="21"/>
      <c r="HNS209" s="21"/>
      <c r="HNT209" s="21"/>
      <c r="HNU209" s="21"/>
      <c r="HNV209" s="21"/>
      <c r="HNW209" s="21"/>
      <c r="HNX209" s="21"/>
      <c r="HNY209" s="21"/>
      <c r="HNZ209" s="21"/>
      <c r="HOA209" s="21"/>
      <c r="HOB209" s="21"/>
      <c r="HOC209" s="21"/>
      <c r="HOD209" s="21"/>
      <c r="HOE209" s="21"/>
      <c r="HOF209" s="21"/>
      <c r="HOG209" s="21"/>
      <c r="HOH209" s="21"/>
      <c r="HOI209" s="21"/>
      <c r="HOJ209" s="21"/>
      <c r="HOK209" s="21"/>
      <c r="HOL209" s="21"/>
      <c r="HOM209" s="21"/>
      <c r="HON209" s="21"/>
      <c r="HOO209" s="21"/>
      <c r="HOP209" s="21"/>
      <c r="HOQ209" s="21"/>
      <c r="HOR209" s="21"/>
      <c r="HOS209" s="21"/>
      <c r="HOT209" s="21"/>
      <c r="HOU209" s="21"/>
      <c r="HOV209" s="21"/>
      <c r="HOW209" s="21"/>
      <c r="HOX209" s="21"/>
      <c r="HOY209" s="21"/>
      <c r="HOZ209" s="21"/>
      <c r="HPA209" s="21"/>
      <c r="HPB209" s="21"/>
      <c r="HPC209" s="21"/>
      <c r="HPD209" s="21"/>
      <c r="HPE209" s="21"/>
      <c r="HPF209" s="21"/>
      <c r="HPG209" s="21"/>
      <c r="HPH209" s="21"/>
      <c r="HPI209" s="21"/>
      <c r="HPJ209" s="21"/>
      <c r="HPK209" s="21"/>
      <c r="HPL209" s="21"/>
      <c r="HPM209" s="21"/>
      <c r="HPN209" s="21"/>
      <c r="HPO209" s="21"/>
      <c r="HPP209" s="21"/>
      <c r="HPQ209" s="21"/>
      <c r="HPR209" s="21"/>
      <c r="HPS209" s="21"/>
      <c r="HPT209" s="21"/>
      <c r="HPU209" s="21"/>
      <c r="HPV209" s="21"/>
      <c r="HPW209" s="21"/>
      <c r="HPX209" s="21"/>
      <c r="HPY209" s="21"/>
      <c r="HPZ209" s="21"/>
      <c r="HQA209" s="21"/>
      <c r="HQB209" s="21"/>
      <c r="HQC209" s="21"/>
      <c r="HQD209" s="21"/>
      <c r="HQE209" s="21"/>
      <c r="HQF209" s="21"/>
      <c r="HQG209" s="21"/>
      <c r="HQH209" s="21"/>
      <c r="HQI209" s="21"/>
      <c r="HQJ209" s="21"/>
      <c r="HQK209" s="21"/>
      <c r="HQL209" s="21"/>
      <c r="HQM209" s="21"/>
      <c r="HQN209" s="21"/>
      <c r="HQO209" s="21"/>
      <c r="HQP209" s="21"/>
      <c r="HQQ209" s="21"/>
      <c r="HQR209" s="21"/>
      <c r="HQS209" s="21"/>
      <c r="HQT209" s="21"/>
      <c r="HQU209" s="21"/>
      <c r="HQV209" s="21"/>
      <c r="HQW209" s="21"/>
      <c r="HQX209" s="21"/>
      <c r="HQY209" s="21"/>
      <c r="HQZ209" s="21"/>
      <c r="HRA209" s="21"/>
      <c r="HRB209" s="21"/>
      <c r="HRC209" s="21"/>
      <c r="HRD209" s="21"/>
      <c r="HRE209" s="21"/>
      <c r="HRF209" s="21"/>
      <c r="HRG209" s="21"/>
      <c r="HRH209" s="21"/>
      <c r="HRI209" s="21"/>
      <c r="HRJ209" s="21"/>
      <c r="HRK209" s="21"/>
      <c r="HRL209" s="21"/>
      <c r="HRM209" s="21"/>
      <c r="HRN209" s="21"/>
      <c r="HRO209" s="21"/>
      <c r="HRP209" s="21"/>
      <c r="HRQ209" s="21"/>
      <c r="HRR209" s="21"/>
      <c r="HRS209" s="21"/>
      <c r="HRT209" s="21"/>
      <c r="HRU209" s="21"/>
      <c r="HRV209" s="21"/>
      <c r="HRW209" s="21"/>
      <c r="HRX209" s="21"/>
      <c r="HRY209" s="21"/>
      <c r="HRZ209" s="21"/>
      <c r="HSA209" s="21"/>
      <c r="HSB209" s="21"/>
      <c r="HSC209" s="21"/>
      <c r="HSD209" s="21"/>
      <c r="HSE209" s="21"/>
      <c r="HSF209" s="21"/>
      <c r="HSG209" s="21"/>
      <c r="HSH209" s="21"/>
      <c r="HSI209" s="21"/>
      <c r="HSJ209" s="21"/>
      <c r="HSK209" s="21"/>
      <c r="HSL209" s="21"/>
      <c r="HSM209" s="21"/>
      <c r="HSN209" s="21"/>
      <c r="HSO209" s="21"/>
      <c r="HSP209" s="21"/>
      <c r="HSQ209" s="21"/>
      <c r="HSR209" s="21"/>
      <c r="HSS209" s="21"/>
      <c r="HST209" s="21"/>
      <c r="HSU209" s="21"/>
      <c r="HSV209" s="21"/>
      <c r="HSW209" s="21"/>
      <c r="HSX209" s="21"/>
      <c r="HSY209" s="21"/>
      <c r="HSZ209" s="21"/>
      <c r="HTA209" s="21"/>
      <c r="HTB209" s="21"/>
      <c r="HTC209" s="21"/>
      <c r="HTD209" s="21"/>
      <c r="HTE209" s="21"/>
      <c r="HTF209" s="21"/>
      <c r="HTG209" s="21"/>
      <c r="HTH209" s="21"/>
      <c r="HTI209" s="21"/>
      <c r="HTJ209" s="21"/>
      <c r="HTK209" s="21"/>
      <c r="HTL209" s="21"/>
      <c r="HTM209" s="21"/>
      <c r="HTN209" s="21"/>
      <c r="HTO209" s="21"/>
      <c r="HTP209" s="21"/>
      <c r="HTQ209" s="21"/>
      <c r="HTR209" s="21"/>
      <c r="HTS209" s="21"/>
      <c r="HTT209" s="21"/>
      <c r="HTU209" s="21"/>
      <c r="HTV209" s="21"/>
      <c r="HTW209" s="21"/>
      <c r="HTX209" s="21"/>
      <c r="HTY209" s="21"/>
      <c r="HTZ209" s="21"/>
      <c r="HUA209" s="21"/>
      <c r="HUB209" s="21"/>
      <c r="HUC209" s="21"/>
      <c r="HUD209" s="21"/>
      <c r="HUE209" s="21"/>
      <c r="HUF209" s="21"/>
      <c r="HUG209" s="21"/>
      <c r="HUH209" s="21"/>
      <c r="HUI209" s="21"/>
      <c r="HUJ209" s="21"/>
      <c r="HUK209" s="21"/>
      <c r="HUL209" s="21"/>
      <c r="HUM209" s="21"/>
      <c r="HUN209" s="21"/>
      <c r="HUO209" s="21"/>
      <c r="HUP209" s="21"/>
      <c r="HUQ209" s="21"/>
      <c r="HUR209" s="21"/>
      <c r="HUS209" s="21"/>
      <c r="HUT209" s="21"/>
      <c r="HUU209" s="21"/>
      <c r="HUV209" s="21"/>
      <c r="HUW209" s="21"/>
      <c r="HUX209" s="21"/>
      <c r="HUY209" s="21"/>
      <c r="HUZ209" s="21"/>
      <c r="HVA209" s="21"/>
      <c r="HVB209" s="21"/>
      <c r="HVC209" s="21"/>
      <c r="HVD209" s="21"/>
      <c r="HVE209" s="21"/>
      <c r="HVF209" s="21"/>
      <c r="HVG209" s="21"/>
      <c r="HVH209" s="21"/>
      <c r="HVI209" s="21"/>
      <c r="HVJ209" s="21"/>
      <c r="HVK209" s="21"/>
      <c r="HVL209" s="21"/>
      <c r="HVM209" s="21"/>
      <c r="HVN209" s="21"/>
      <c r="HVO209" s="21"/>
      <c r="HVP209" s="21"/>
      <c r="HVQ209" s="21"/>
      <c r="HVR209" s="21"/>
      <c r="HVS209" s="21"/>
      <c r="HVT209" s="21"/>
      <c r="HVU209" s="21"/>
      <c r="HVV209" s="21"/>
      <c r="HVW209" s="21"/>
      <c r="HVX209" s="21"/>
      <c r="HVY209" s="21"/>
      <c r="HVZ209" s="21"/>
      <c r="HWA209" s="21"/>
      <c r="HWB209" s="21"/>
      <c r="HWC209" s="21"/>
      <c r="HWD209" s="21"/>
      <c r="HWE209" s="21"/>
      <c r="HWF209" s="21"/>
      <c r="HWG209" s="21"/>
      <c r="HWH209" s="21"/>
      <c r="HWI209" s="21"/>
      <c r="HWJ209" s="21"/>
      <c r="HWK209" s="21"/>
      <c r="HWL209" s="21"/>
      <c r="HWM209" s="21"/>
      <c r="HWN209" s="21"/>
      <c r="HWO209" s="21"/>
      <c r="HWP209" s="21"/>
      <c r="HWQ209" s="21"/>
      <c r="HWR209" s="21"/>
      <c r="HWS209" s="21"/>
      <c r="HWT209" s="21"/>
      <c r="HWU209" s="21"/>
      <c r="HWV209" s="21"/>
      <c r="HWW209" s="21"/>
      <c r="HWX209" s="21"/>
      <c r="HWY209" s="21"/>
      <c r="HWZ209" s="21"/>
      <c r="HXA209" s="21"/>
      <c r="HXB209" s="21"/>
      <c r="HXC209" s="21"/>
      <c r="HXD209" s="21"/>
      <c r="HXE209" s="21"/>
      <c r="HXF209" s="21"/>
      <c r="HXG209" s="21"/>
      <c r="HXH209" s="21"/>
      <c r="HXI209" s="21"/>
      <c r="HXJ209" s="21"/>
      <c r="HXK209" s="21"/>
      <c r="HXL209" s="21"/>
      <c r="HXM209" s="21"/>
      <c r="HXN209" s="21"/>
      <c r="HXO209" s="21"/>
      <c r="HXP209" s="21"/>
      <c r="HXQ209" s="21"/>
      <c r="HXR209" s="21"/>
      <c r="HXS209" s="21"/>
      <c r="HXT209" s="21"/>
      <c r="HXU209" s="21"/>
      <c r="HXV209" s="21"/>
      <c r="HXW209" s="21"/>
      <c r="HXX209" s="21"/>
      <c r="HXY209" s="21"/>
      <c r="HXZ209" s="21"/>
      <c r="HYA209" s="21"/>
      <c r="HYB209" s="21"/>
      <c r="HYC209" s="21"/>
      <c r="HYD209" s="21"/>
      <c r="HYE209" s="21"/>
      <c r="HYF209" s="21"/>
      <c r="HYG209" s="21"/>
      <c r="HYH209" s="21"/>
      <c r="HYI209" s="21"/>
      <c r="HYJ209" s="21"/>
      <c r="HYK209" s="21"/>
      <c r="HYL209" s="21"/>
      <c r="HYM209" s="21"/>
      <c r="HYN209" s="21"/>
      <c r="HYO209" s="21"/>
      <c r="HYP209" s="21"/>
      <c r="HYQ209" s="21"/>
      <c r="HYR209" s="21"/>
      <c r="HYS209" s="21"/>
      <c r="HYT209" s="21"/>
      <c r="HYU209" s="21"/>
      <c r="HYV209" s="21"/>
      <c r="HYW209" s="21"/>
      <c r="HYX209" s="21"/>
      <c r="HYY209" s="21"/>
      <c r="HYZ209" s="21"/>
      <c r="HZA209" s="21"/>
      <c r="HZB209" s="21"/>
      <c r="HZC209" s="21"/>
      <c r="HZD209" s="21"/>
      <c r="HZE209" s="21"/>
      <c r="HZF209" s="21"/>
      <c r="HZG209" s="21"/>
      <c r="HZH209" s="21"/>
      <c r="HZI209" s="21"/>
      <c r="HZJ209" s="21"/>
      <c r="HZK209" s="21"/>
      <c r="HZL209" s="21"/>
      <c r="HZM209" s="21"/>
      <c r="HZN209" s="21"/>
      <c r="HZO209" s="21"/>
      <c r="HZP209" s="21"/>
      <c r="HZQ209" s="21"/>
      <c r="HZR209" s="21"/>
      <c r="HZS209" s="21"/>
      <c r="HZT209" s="21"/>
      <c r="HZU209" s="21"/>
      <c r="HZV209" s="21"/>
      <c r="HZW209" s="21"/>
      <c r="HZX209" s="21"/>
      <c r="HZY209" s="21"/>
      <c r="HZZ209" s="21"/>
      <c r="IAA209" s="21"/>
      <c r="IAB209" s="21"/>
      <c r="IAC209" s="21"/>
      <c r="IAD209" s="21"/>
      <c r="IAE209" s="21"/>
      <c r="IAF209" s="21"/>
      <c r="IAG209" s="21"/>
      <c r="IAH209" s="21"/>
      <c r="IAI209" s="21"/>
      <c r="IAJ209" s="21"/>
      <c r="IAK209" s="21"/>
      <c r="IAL209" s="21"/>
      <c r="IAM209" s="21"/>
      <c r="IAN209" s="21"/>
      <c r="IAO209" s="21"/>
      <c r="IAP209" s="21"/>
      <c r="IAQ209" s="21"/>
      <c r="IAR209" s="21"/>
      <c r="IAS209" s="21"/>
      <c r="IAT209" s="21"/>
      <c r="IAU209" s="21"/>
      <c r="IAV209" s="21"/>
      <c r="IAW209" s="21"/>
      <c r="IAX209" s="21"/>
      <c r="IAY209" s="21"/>
      <c r="IAZ209" s="21"/>
      <c r="IBA209" s="21"/>
      <c r="IBB209" s="21"/>
      <c r="IBC209" s="21"/>
      <c r="IBD209" s="21"/>
      <c r="IBE209" s="21"/>
      <c r="IBF209" s="21"/>
      <c r="IBG209" s="21"/>
      <c r="IBH209" s="21"/>
      <c r="IBI209" s="21"/>
      <c r="IBJ209" s="21"/>
      <c r="IBK209" s="21"/>
      <c r="IBL209" s="21"/>
      <c r="IBM209" s="21"/>
      <c r="IBN209" s="21"/>
      <c r="IBO209" s="21"/>
      <c r="IBP209" s="21"/>
      <c r="IBQ209" s="21"/>
      <c r="IBR209" s="21"/>
      <c r="IBS209" s="21"/>
      <c r="IBT209" s="21"/>
      <c r="IBU209" s="21"/>
      <c r="IBV209" s="21"/>
      <c r="IBW209" s="21"/>
      <c r="IBX209" s="21"/>
      <c r="IBY209" s="21"/>
      <c r="IBZ209" s="21"/>
      <c r="ICA209" s="21"/>
      <c r="ICB209" s="21"/>
      <c r="ICC209" s="21"/>
      <c r="ICD209" s="21"/>
      <c r="ICE209" s="21"/>
      <c r="ICF209" s="21"/>
      <c r="ICG209" s="21"/>
      <c r="ICH209" s="21"/>
      <c r="ICI209" s="21"/>
      <c r="ICJ209" s="21"/>
      <c r="ICK209" s="21"/>
      <c r="ICL209" s="21"/>
      <c r="ICM209" s="21"/>
      <c r="ICN209" s="21"/>
      <c r="ICO209" s="21"/>
      <c r="ICP209" s="21"/>
      <c r="ICQ209" s="21"/>
      <c r="ICR209" s="21"/>
      <c r="ICS209" s="21"/>
      <c r="ICT209" s="21"/>
      <c r="ICU209" s="21"/>
      <c r="ICV209" s="21"/>
      <c r="ICW209" s="21"/>
      <c r="ICX209" s="21"/>
      <c r="ICY209" s="21"/>
      <c r="ICZ209" s="21"/>
      <c r="IDA209" s="21"/>
      <c r="IDB209" s="21"/>
      <c r="IDC209" s="21"/>
      <c r="IDD209" s="21"/>
      <c r="IDE209" s="21"/>
      <c r="IDF209" s="21"/>
      <c r="IDG209" s="21"/>
      <c r="IDH209" s="21"/>
      <c r="IDI209" s="21"/>
      <c r="IDJ209" s="21"/>
      <c r="IDK209" s="21"/>
      <c r="IDL209" s="21"/>
      <c r="IDM209" s="21"/>
      <c r="IDN209" s="21"/>
      <c r="IDO209" s="21"/>
      <c r="IDP209" s="21"/>
      <c r="IDQ209" s="21"/>
      <c r="IDR209" s="21"/>
      <c r="IDS209" s="21"/>
      <c r="IDT209" s="21"/>
      <c r="IDU209" s="21"/>
      <c r="IDV209" s="21"/>
      <c r="IDW209" s="21"/>
      <c r="IDX209" s="21"/>
      <c r="IDY209" s="21"/>
      <c r="IDZ209" s="21"/>
      <c r="IEA209" s="21"/>
      <c r="IEB209" s="21"/>
      <c r="IEC209" s="21"/>
      <c r="IED209" s="21"/>
      <c r="IEE209" s="21"/>
      <c r="IEF209" s="21"/>
      <c r="IEG209" s="21"/>
      <c r="IEH209" s="21"/>
      <c r="IEI209" s="21"/>
      <c r="IEJ209" s="21"/>
      <c r="IEK209" s="21"/>
      <c r="IEL209" s="21"/>
      <c r="IEM209" s="21"/>
      <c r="IEN209" s="21"/>
      <c r="IEO209" s="21"/>
      <c r="IEP209" s="21"/>
      <c r="IEQ209" s="21"/>
      <c r="IER209" s="21"/>
      <c r="IES209" s="21"/>
      <c r="IET209" s="21"/>
      <c r="IEU209" s="21"/>
      <c r="IEV209" s="21"/>
      <c r="IEW209" s="21"/>
      <c r="IEX209" s="21"/>
      <c r="IEY209" s="21"/>
      <c r="IEZ209" s="21"/>
      <c r="IFA209" s="21"/>
      <c r="IFB209" s="21"/>
      <c r="IFC209" s="21"/>
      <c r="IFD209" s="21"/>
      <c r="IFE209" s="21"/>
      <c r="IFF209" s="21"/>
      <c r="IFG209" s="21"/>
      <c r="IFH209" s="21"/>
      <c r="IFI209" s="21"/>
      <c r="IFJ209" s="21"/>
      <c r="IFK209" s="21"/>
      <c r="IFL209" s="21"/>
      <c r="IFM209" s="21"/>
      <c r="IFN209" s="21"/>
      <c r="IFO209" s="21"/>
      <c r="IFP209" s="21"/>
      <c r="IFQ209" s="21"/>
      <c r="IFR209" s="21"/>
      <c r="IFS209" s="21"/>
      <c r="IFT209" s="21"/>
      <c r="IFU209" s="21"/>
      <c r="IFV209" s="21"/>
      <c r="IFW209" s="21"/>
      <c r="IFX209" s="21"/>
      <c r="IFY209" s="21"/>
      <c r="IFZ209" s="21"/>
      <c r="IGA209" s="21"/>
      <c r="IGB209" s="21"/>
      <c r="IGC209" s="21"/>
      <c r="IGD209" s="21"/>
      <c r="IGE209" s="21"/>
      <c r="IGF209" s="21"/>
      <c r="IGG209" s="21"/>
      <c r="IGH209" s="21"/>
      <c r="IGI209" s="21"/>
      <c r="IGJ209" s="21"/>
      <c r="IGK209" s="21"/>
      <c r="IGL209" s="21"/>
      <c r="IGM209" s="21"/>
      <c r="IGN209" s="21"/>
      <c r="IGO209" s="21"/>
      <c r="IGP209" s="21"/>
      <c r="IGQ209" s="21"/>
      <c r="IGR209" s="21"/>
      <c r="IGS209" s="21"/>
      <c r="IGT209" s="21"/>
      <c r="IGU209" s="21"/>
      <c r="IGV209" s="21"/>
      <c r="IGW209" s="21"/>
      <c r="IGX209" s="21"/>
      <c r="IGY209" s="21"/>
      <c r="IGZ209" s="21"/>
      <c r="IHA209" s="21"/>
      <c r="IHB209" s="21"/>
      <c r="IHC209" s="21"/>
      <c r="IHD209" s="21"/>
      <c r="IHE209" s="21"/>
      <c r="IHF209" s="21"/>
      <c r="IHG209" s="21"/>
      <c r="IHH209" s="21"/>
      <c r="IHI209" s="21"/>
      <c r="IHJ209" s="21"/>
      <c r="IHK209" s="21"/>
      <c r="IHL209" s="21"/>
      <c r="IHM209" s="21"/>
      <c r="IHN209" s="21"/>
      <c r="IHO209" s="21"/>
      <c r="IHP209" s="21"/>
      <c r="IHQ209" s="21"/>
      <c r="IHR209" s="21"/>
      <c r="IHS209" s="21"/>
      <c r="IHT209" s="21"/>
      <c r="IHU209" s="21"/>
      <c r="IHV209" s="21"/>
      <c r="IHW209" s="21"/>
      <c r="IHX209" s="21"/>
      <c r="IHY209" s="21"/>
      <c r="IHZ209" s="21"/>
      <c r="IIA209" s="21"/>
      <c r="IIB209" s="21"/>
      <c r="IIC209" s="21"/>
      <c r="IID209" s="21"/>
      <c r="IIE209" s="21"/>
      <c r="IIF209" s="21"/>
      <c r="IIG209" s="21"/>
      <c r="IIH209" s="21"/>
      <c r="III209" s="21"/>
      <c r="IIJ209" s="21"/>
      <c r="IIK209" s="21"/>
      <c r="IIL209" s="21"/>
      <c r="IIM209" s="21"/>
      <c r="IIN209" s="21"/>
      <c r="IIO209" s="21"/>
      <c r="IIP209" s="21"/>
      <c r="IIQ209" s="21"/>
      <c r="IIR209" s="21"/>
      <c r="IIS209" s="21"/>
      <c r="IIT209" s="21"/>
      <c r="IIU209" s="21"/>
      <c r="IIV209" s="21"/>
      <c r="IIW209" s="21"/>
      <c r="IIX209" s="21"/>
      <c r="IIY209" s="21"/>
      <c r="IIZ209" s="21"/>
      <c r="IJA209" s="21"/>
      <c r="IJB209" s="21"/>
      <c r="IJC209" s="21"/>
      <c r="IJD209" s="21"/>
      <c r="IJE209" s="21"/>
      <c r="IJF209" s="21"/>
      <c r="IJG209" s="21"/>
      <c r="IJH209" s="21"/>
      <c r="IJI209" s="21"/>
      <c r="IJJ209" s="21"/>
      <c r="IJK209" s="21"/>
      <c r="IJL209" s="21"/>
      <c r="IJM209" s="21"/>
      <c r="IJN209" s="21"/>
      <c r="IJO209" s="21"/>
      <c r="IJP209" s="21"/>
      <c r="IJQ209" s="21"/>
      <c r="IJR209" s="21"/>
      <c r="IJS209" s="21"/>
      <c r="IJT209" s="21"/>
      <c r="IJU209" s="21"/>
      <c r="IJV209" s="21"/>
      <c r="IJW209" s="21"/>
      <c r="IJX209" s="21"/>
      <c r="IJY209" s="21"/>
      <c r="IJZ209" s="21"/>
      <c r="IKA209" s="21"/>
      <c r="IKB209" s="21"/>
      <c r="IKC209" s="21"/>
      <c r="IKD209" s="21"/>
      <c r="IKE209" s="21"/>
      <c r="IKF209" s="21"/>
      <c r="IKG209" s="21"/>
      <c r="IKH209" s="21"/>
      <c r="IKI209" s="21"/>
      <c r="IKJ209" s="21"/>
      <c r="IKK209" s="21"/>
      <c r="IKL209" s="21"/>
      <c r="IKM209" s="21"/>
      <c r="IKN209" s="21"/>
      <c r="IKO209" s="21"/>
      <c r="IKP209" s="21"/>
      <c r="IKQ209" s="21"/>
      <c r="IKR209" s="21"/>
      <c r="IKS209" s="21"/>
      <c r="IKT209" s="21"/>
      <c r="IKU209" s="21"/>
      <c r="IKV209" s="21"/>
      <c r="IKW209" s="21"/>
      <c r="IKX209" s="21"/>
      <c r="IKY209" s="21"/>
      <c r="IKZ209" s="21"/>
      <c r="ILA209" s="21"/>
      <c r="ILB209" s="21"/>
      <c r="ILC209" s="21"/>
      <c r="ILD209" s="21"/>
      <c r="ILE209" s="21"/>
      <c r="ILF209" s="21"/>
      <c r="ILG209" s="21"/>
      <c r="ILH209" s="21"/>
      <c r="ILI209" s="21"/>
      <c r="ILJ209" s="21"/>
      <c r="ILK209" s="21"/>
      <c r="ILL209" s="21"/>
      <c r="ILM209" s="21"/>
      <c r="ILN209" s="21"/>
      <c r="ILO209" s="21"/>
      <c r="ILP209" s="21"/>
      <c r="ILQ209" s="21"/>
      <c r="ILR209" s="21"/>
      <c r="ILS209" s="21"/>
      <c r="ILT209" s="21"/>
      <c r="ILU209" s="21"/>
      <c r="ILV209" s="21"/>
      <c r="ILW209" s="21"/>
      <c r="ILX209" s="21"/>
      <c r="ILY209" s="21"/>
      <c r="ILZ209" s="21"/>
      <c r="IMA209" s="21"/>
      <c r="IMB209" s="21"/>
      <c r="IMC209" s="21"/>
      <c r="IMD209" s="21"/>
      <c r="IME209" s="21"/>
      <c r="IMF209" s="21"/>
      <c r="IMG209" s="21"/>
      <c r="IMH209" s="21"/>
      <c r="IMI209" s="21"/>
      <c r="IMJ209" s="21"/>
      <c r="IMK209" s="21"/>
      <c r="IML209" s="21"/>
      <c r="IMM209" s="21"/>
      <c r="IMN209" s="21"/>
      <c r="IMO209" s="21"/>
      <c r="IMP209" s="21"/>
      <c r="IMQ209" s="21"/>
      <c r="IMR209" s="21"/>
      <c r="IMS209" s="21"/>
      <c r="IMT209" s="21"/>
      <c r="IMU209" s="21"/>
      <c r="IMV209" s="21"/>
      <c r="IMW209" s="21"/>
      <c r="IMX209" s="21"/>
      <c r="IMY209" s="21"/>
      <c r="IMZ209" s="21"/>
      <c r="INA209" s="21"/>
      <c r="INB209" s="21"/>
      <c r="INC209" s="21"/>
      <c r="IND209" s="21"/>
      <c r="INE209" s="21"/>
      <c r="INF209" s="21"/>
      <c r="ING209" s="21"/>
      <c r="INH209" s="21"/>
      <c r="INI209" s="21"/>
      <c r="INJ209" s="21"/>
      <c r="INK209" s="21"/>
      <c r="INL209" s="21"/>
      <c r="INM209" s="21"/>
      <c r="INN209" s="21"/>
      <c r="INO209" s="21"/>
      <c r="INP209" s="21"/>
      <c r="INQ209" s="21"/>
      <c r="INR209" s="21"/>
      <c r="INS209" s="21"/>
      <c r="INT209" s="21"/>
      <c r="INU209" s="21"/>
      <c r="INV209" s="21"/>
      <c r="INW209" s="21"/>
      <c r="INX209" s="21"/>
      <c r="INY209" s="21"/>
      <c r="INZ209" s="21"/>
      <c r="IOA209" s="21"/>
      <c r="IOB209" s="21"/>
      <c r="IOC209" s="21"/>
      <c r="IOD209" s="21"/>
      <c r="IOE209" s="21"/>
      <c r="IOF209" s="21"/>
      <c r="IOG209" s="21"/>
      <c r="IOH209" s="21"/>
      <c r="IOI209" s="21"/>
      <c r="IOJ209" s="21"/>
      <c r="IOK209" s="21"/>
      <c r="IOL209" s="21"/>
      <c r="IOM209" s="21"/>
      <c r="ION209" s="21"/>
      <c r="IOO209" s="21"/>
      <c r="IOP209" s="21"/>
      <c r="IOQ209" s="21"/>
      <c r="IOR209" s="21"/>
      <c r="IOS209" s="21"/>
      <c r="IOT209" s="21"/>
      <c r="IOU209" s="21"/>
      <c r="IOV209" s="21"/>
      <c r="IOW209" s="21"/>
      <c r="IOX209" s="21"/>
      <c r="IOY209" s="21"/>
      <c r="IOZ209" s="21"/>
      <c r="IPA209" s="21"/>
      <c r="IPB209" s="21"/>
      <c r="IPC209" s="21"/>
      <c r="IPD209" s="21"/>
      <c r="IPE209" s="21"/>
      <c r="IPF209" s="21"/>
      <c r="IPG209" s="21"/>
      <c r="IPH209" s="21"/>
      <c r="IPI209" s="21"/>
      <c r="IPJ209" s="21"/>
      <c r="IPK209" s="21"/>
      <c r="IPL209" s="21"/>
      <c r="IPM209" s="21"/>
      <c r="IPN209" s="21"/>
      <c r="IPO209" s="21"/>
      <c r="IPP209" s="21"/>
      <c r="IPQ209" s="21"/>
      <c r="IPR209" s="21"/>
      <c r="IPS209" s="21"/>
      <c r="IPT209" s="21"/>
      <c r="IPU209" s="21"/>
      <c r="IPV209" s="21"/>
      <c r="IPW209" s="21"/>
      <c r="IPX209" s="21"/>
      <c r="IPY209" s="21"/>
      <c r="IPZ209" s="21"/>
      <c r="IQA209" s="21"/>
      <c r="IQB209" s="21"/>
      <c r="IQC209" s="21"/>
      <c r="IQD209" s="21"/>
      <c r="IQE209" s="21"/>
      <c r="IQF209" s="21"/>
      <c r="IQG209" s="21"/>
      <c r="IQH209" s="21"/>
      <c r="IQI209" s="21"/>
      <c r="IQJ209" s="21"/>
      <c r="IQK209" s="21"/>
      <c r="IQL209" s="21"/>
      <c r="IQM209" s="21"/>
      <c r="IQN209" s="21"/>
      <c r="IQO209" s="21"/>
      <c r="IQP209" s="21"/>
      <c r="IQQ209" s="21"/>
      <c r="IQR209" s="21"/>
      <c r="IQS209" s="21"/>
      <c r="IQT209" s="21"/>
      <c r="IQU209" s="21"/>
      <c r="IQV209" s="21"/>
      <c r="IQW209" s="21"/>
      <c r="IQX209" s="21"/>
      <c r="IQY209" s="21"/>
      <c r="IQZ209" s="21"/>
      <c r="IRA209" s="21"/>
      <c r="IRB209" s="21"/>
      <c r="IRC209" s="21"/>
      <c r="IRD209" s="21"/>
      <c r="IRE209" s="21"/>
      <c r="IRF209" s="21"/>
      <c r="IRG209" s="21"/>
      <c r="IRH209" s="21"/>
      <c r="IRI209" s="21"/>
      <c r="IRJ209" s="21"/>
      <c r="IRK209" s="21"/>
      <c r="IRL209" s="21"/>
      <c r="IRM209" s="21"/>
      <c r="IRN209" s="21"/>
      <c r="IRO209" s="21"/>
      <c r="IRP209" s="21"/>
      <c r="IRQ209" s="21"/>
      <c r="IRR209" s="21"/>
      <c r="IRS209" s="21"/>
      <c r="IRT209" s="21"/>
      <c r="IRU209" s="21"/>
      <c r="IRV209" s="21"/>
      <c r="IRW209" s="21"/>
      <c r="IRX209" s="21"/>
      <c r="IRY209" s="21"/>
      <c r="IRZ209" s="21"/>
      <c r="ISA209" s="21"/>
      <c r="ISB209" s="21"/>
      <c r="ISC209" s="21"/>
      <c r="ISD209" s="21"/>
      <c r="ISE209" s="21"/>
      <c r="ISF209" s="21"/>
      <c r="ISG209" s="21"/>
      <c r="ISH209" s="21"/>
      <c r="ISI209" s="21"/>
      <c r="ISJ209" s="21"/>
      <c r="ISK209" s="21"/>
      <c r="ISL209" s="21"/>
      <c r="ISM209" s="21"/>
      <c r="ISN209" s="21"/>
      <c r="ISO209" s="21"/>
      <c r="ISP209" s="21"/>
      <c r="ISQ209" s="21"/>
      <c r="ISR209" s="21"/>
      <c r="ISS209" s="21"/>
      <c r="IST209" s="21"/>
      <c r="ISU209" s="21"/>
      <c r="ISV209" s="21"/>
      <c r="ISW209" s="21"/>
      <c r="ISX209" s="21"/>
      <c r="ISY209" s="21"/>
      <c r="ISZ209" s="21"/>
      <c r="ITA209" s="21"/>
      <c r="ITB209" s="21"/>
      <c r="ITC209" s="21"/>
      <c r="ITD209" s="21"/>
      <c r="ITE209" s="21"/>
      <c r="ITF209" s="21"/>
      <c r="ITG209" s="21"/>
      <c r="ITH209" s="21"/>
      <c r="ITI209" s="21"/>
      <c r="ITJ209" s="21"/>
      <c r="ITK209" s="21"/>
      <c r="ITL209" s="21"/>
      <c r="ITM209" s="21"/>
      <c r="ITN209" s="21"/>
      <c r="ITO209" s="21"/>
      <c r="ITP209" s="21"/>
      <c r="ITQ209" s="21"/>
      <c r="ITR209" s="21"/>
      <c r="ITS209" s="21"/>
      <c r="ITT209" s="21"/>
      <c r="ITU209" s="21"/>
      <c r="ITV209" s="21"/>
      <c r="ITW209" s="21"/>
      <c r="ITX209" s="21"/>
      <c r="ITY209" s="21"/>
      <c r="ITZ209" s="21"/>
      <c r="IUA209" s="21"/>
      <c r="IUB209" s="21"/>
      <c r="IUC209" s="21"/>
      <c r="IUD209" s="21"/>
      <c r="IUE209" s="21"/>
      <c r="IUF209" s="21"/>
      <c r="IUG209" s="21"/>
      <c r="IUH209" s="21"/>
      <c r="IUI209" s="21"/>
      <c r="IUJ209" s="21"/>
      <c r="IUK209" s="21"/>
      <c r="IUL209" s="21"/>
      <c r="IUM209" s="21"/>
      <c r="IUN209" s="21"/>
      <c r="IUO209" s="21"/>
      <c r="IUP209" s="21"/>
      <c r="IUQ209" s="21"/>
      <c r="IUR209" s="21"/>
      <c r="IUS209" s="21"/>
      <c r="IUT209" s="21"/>
      <c r="IUU209" s="21"/>
      <c r="IUV209" s="21"/>
      <c r="IUW209" s="21"/>
      <c r="IUX209" s="21"/>
      <c r="IUY209" s="21"/>
      <c r="IUZ209" s="21"/>
      <c r="IVA209" s="21"/>
      <c r="IVB209" s="21"/>
      <c r="IVC209" s="21"/>
      <c r="IVD209" s="21"/>
      <c r="IVE209" s="21"/>
      <c r="IVF209" s="21"/>
      <c r="IVG209" s="21"/>
      <c r="IVH209" s="21"/>
      <c r="IVI209" s="21"/>
      <c r="IVJ209" s="21"/>
      <c r="IVK209" s="21"/>
      <c r="IVL209" s="21"/>
      <c r="IVM209" s="21"/>
      <c r="IVN209" s="21"/>
      <c r="IVO209" s="21"/>
      <c r="IVP209" s="21"/>
      <c r="IVQ209" s="21"/>
      <c r="IVR209" s="21"/>
      <c r="IVS209" s="21"/>
      <c r="IVT209" s="21"/>
      <c r="IVU209" s="21"/>
      <c r="IVV209" s="21"/>
      <c r="IVW209" s="21"/>
      <c r="IVX209" s="21"/>
      <c r="IVY209" s="21"/>
      <c r="IVZ209" s="21"/>
      <c r="IWA209" s="21"/>
      <c r="IWB209" s="21"/>
      <c r="IWC209" s="21"/>
      <c r="IWD209" s="21"/>
      <c r="IWE209" s="21"/>
      <c r="IWF209" s="21"/>
      <c r="IWG209" s="21"/>
      <c r="IWH209" s="21"/>
      <c r="IWI209" s="21"/>
      <c r="IWJ209" s="21"/>
      <c r="IWK209" s="21"/>
      <c r="IWL209" s="21"/>
      <c r="IWM209" s="21"/>
      <c r="IWN209" s="21"/>
      <c r="IWO209" s="21"/>
      <c r="IWP209" s="21"/>
      <c r="IWQ209" s="21"/>
      <c r="IWR209" s="21"/>
      <c r="IWS209" s="21"/>
      <c r="IWT209" s="21"/>
      <c r="IWU209" s="21"/>
      <c r="IWV209" s="21"/>
      <c r="IWW209" s="21"/>
      <c r="IWX209" s="21"/>
      <c r="IWY209" s="21"/>
      <c r="IWZ209" s="21"/>
      <c r="IXA209" s="21"/>
      <c r="IXB209" s="21"/>
      <c r="IXC209" s="21"/>
      <c r="IXD209" s="21"/>
      <c r="IXE209" s="21"/>
      <c r="IXF209" s="21"/>
      <c r="IXG209" s="21"/>
      <c r="IXH209" s="21"/>
      <c r="IXI209" s="21"/>
      <c r="IXJ209" s="21"/>
      <c r="IXK209" s="21"/>
      <c r="IXL209" s="21"/>
      <c r="IXM209" s="21"/>
      <c r="IXN209" s="21"/>
      <c r="IXO209" s="21"/>
      <c r="IXP209" s="21"/>
      <c r="IXQ209" s="21"/>
      <c r="IXR209" s="21"/>
      <c r="IXS209" s="21"/>
      <c r="IXT209" s="21"/>
      <c r="IXU209" s="21"/>
      <c r="IXV209" s="21"/>
      <c r="IXW209" s="21"/>
      <c r="IXX209" s="21"/>
      <c r="IXY209" s="21"/>
      <c r="IXZ209" s="21"/>
      <c r="IYA209" s="21"/>
      <c r="IYB209" s="21"/>
      <c r="IYC209" s="21"/>
      <c r="IYD209" s="21"/>
      <c r="IYE209" s="21"/>
      <c r="IYF209" s="21"/>
      <c r="IYG209" s="21"/>
      <c r="IYH209" s="21"/>
      <c r="IYI209" s="21"/>
      <c r="IYJ209" s="21"/>
      <c r="IYK209" s="21"/>
      <c r="IYL209" s="21"/>
      <c r="IYM209" s="21"/>
      <c r="IYN209" s="21"/>
      <c r="IYO209" s="21"/>
      <c r="IYP209" s="21"/>
      <c r="IYQ209" s="21"/>
      <c r="IYR209" s="21"/>
      <c r="IYS209" s="21"/>
      <c r="IYT209" s="21"/>
      <c r="IYU209" s="21"/>
      <c r="IYV209" s="21"/>
      <c r="IYW209" s="21"/>
      <c r="IYX209" s="21"/>
      <c r="IYY209" s="21"/>
      <c r="IYZ209" s="21"/>
      <c r="IZA209" s="21"/>
      <c r="IZB209" s="21"/>
      <c r="IZC209" s="21"/>
      <c r="IZD209" s="21"/>
      <c r="IZE209" s="21"/>
      <c r="IZF209" s="21"/>
      <c r="IZG209" s="21"/>
      <c r="IZH209" s="21"/>
      <c r="IZI209" s="21"/>
      <c r="IZJ209" s="21"/>
      <c r="IZK209" s="21"/>
      <c r="IZL209" s="21"/>
      <c r="IZM209" s="21"/>
      <c r="IZN209" s="21"/>
      <c r="IZO209" s="21"/>
      <c r="IZP209" s="21"/>
      <c r="IZQ209" s="21"/>
      <c r="IZR209" s="21"/>
      <c r="IZS209" s="21"/>
      <c r="IZT209" s="21"/>
      <c r="IZU209" s="21"/>
      <c r="IZV209" s="21"/>
      <c r="IZW209" s="21"/>
      <c r="IZX209" s="21"/>
      <c r="IZY209" s="21"/>
      <c r="IZZ209" s="21"/>
      <c r="JAA209" s="21"/>
      <c r="JAB209" s="21"/>
      <c r="JAC209" s="21"/>
      <c r="JAD209" s="21"/>
      <c r="JAE209" s="21"/>
      <c r="JAF209" s="21"/>
      <c r="JAG209" s="21"/>
      <c r="JAH209" s="21"/>
      <c r="JAI209" s="21"/>
      <c r="JAJ209" s="21"/>
      <c r="JAK209" s="21"/>
      <c r="JAL209" s="21"/>
      <c r="JAM209" s="21"/>
      <c r="JAN209" s="21"/>
      <c r="JAO209" s="21"/>
      <c r="JAP209" s="21"/>
      <c r="JAQ209" s="21"/>
      <c r="JAR209" s="21"/>
      <c r="JAS209" s="21"/>
      <c r="JAT209" s="21"/>
      <c r="JAU209" s="21"/>
      <c r="JAV209" s="21"/>
      <c r="JAW209" s="21"/>
      <c r="JAX209" s="21"/>
      <c r="JAY209" s="21"/>
      <c r="JAZ209" s="21"/>
      <c r="JBA209" s="21"/>
      <c r="JBB209" s="21"/>
      <c r="JBC209" s="21"/>
      <c r="JBD209" s="21"/>
      <c r="JBE209" s="21"/>
      <c r="JBF209" s="21"/>
      <c r="JBG209" s="21"/>
      <c r="JBH209" s="21"/>
      <c r="JBI209" s="21"/>
      <c r="JBJ209" s="21"/>
      <c r="JBK209" s="21"/>
      <c r="JBL209" s="21"/>
      <c r="JBM209" s="21"/>
      <c r="JBN209" s="21"/>
      <c r="JBO209" s="21"/>
      <c r="JBP209" s="21"/>
      <c r="JBQ209" s="21"/>
      <c r="JBR209" s="21"/>
      <c r="JBS209" s="21"/>
      <c r="JBT209" s="21"/>
      <c r="JBU209" s="21"/>
      <c r="JBV209" s="21"/>
      <c r="JBW209" s="21"/>
      <c r="JBX209" s="21"/>
      <c r="JBY209" s="21"/>
      <c r="JBZ209" s="21"/>
      <c r="JCA209" s="21"/>
      <c r="JCB209" s="21"/>
      <c r="JCC209" s="21"/>
      <c r="JCD209" s="21"/>
      <c r="JCE209" s="21"/>
      <c r="JCF209" s="21"/>
      <c r="JCG209" s="21"/>
      <c r="JCH209" s="21"/>
      <c r="JCI209" s="21"/>
      <c r="JCJ209" s="21"/>
      <c r="JCK209" s="21"/>
      <c r="JCL209" s="21"/>
      <c r="JCM209" s="21"/>
      <c r="JCN209" s="21"/>
      <c r="JCO209" s="21"/>
      <c r="JCP209" s="21"/>
      <c r="JCQ209" s="21"/>
      <c r="JCR209" s="21"/>
      <c r="JCS209" s="21"/>
      <c r="JCT209" s="21"/>
      <c r="JCU209" s="21"/>
      <c r="JCV209" s="21"/>
      <c r="JCW209" s="21"/>
      <c r="JCX209" s="21"/>
      <c r="JCY209" s="21"/>
      <c r="JCZ209" s="21"/>
      <c r="JDA209" s="21"/>
      <c r="JDB209" s="21"/>
      <c r="JDC209" s="21"/>
      <c r="JDD209" s="21"/>
      <c r="JDE209" s="21"/>
      <c r="JDF209" s="21"/>
      <c r="JDG209" s="21"/>
      <c r="JDH209" s="21"/>
      <c r="JDI209" s="21"/>
      <c r="JDJ209" s="21"/>
      <c r="JDK209" s="21"/>
      <c r="JDL209" s="21"/>
      <c r="JDM209" s="21"/>
      <c r="JDN209" s="21"/>
      <c r="JDO209" s="21"/>
      <c r="JDP209" s="21"/>
      <c r="JDQ209" s="21"/>
      <c r="JDR209" s="21"/>
      <c r="JDS209" s="21"/>
      <c r="JDT209" s="21"/>
      <c r="JDU209" s="21"/>
      <c r="JDV209" s="21"/>
      <c r="JDW209" s="21"/>
      <c r="JDX209" s="21"/>
      <c r="JDY209" s="21"/>
      <c r="JDZ209" s="21"/>
      <c r="JEA209" s="21"/>
      <c r="JEB209" s="21"/>
      <c r="JEC209" s="21"/>
      <c r="JED209" s="21"/>
      <c r="JEE209" s="21"/>
      <c r="JEF209" s="21"/>
      <c r="JEG209" s="21"/>
      <c r="JEH209" s="21"/>
      <c r="JEI209" s="21"/>
      <c r="JEJ209" s="21"/>
      <c r="JEK209" s="21"/>
      <c r="JEL209" s="21"/>
      <c r="JEM209" s="21"/>
      <c r="JEN209" s="21"/>
      <c r="JEO209" s="21"/>
      <c r="JEP209" s="21"/>
      <c r="JEQ209" s="21"/>
      <c r="JER209" s="21"/>
      <c r="JES209" s="21"/>
      <c r="JET209" s="21"/>
      <c r="JEU209" s="21"/>
      <c r="JEV209" s="21"/>
      <c r="JEW209" s="21"/>
      <c r="JEX209" s="21"/>
      <c r="JEY209" s="21"/>
      <c r="JEZ209" s="21"/>
      <c r="JFA209" s="21"/>
      <c r="JFB209" s="21"/>
      <c r="JFC209" s="21"/>
      <c r="JFD209" s="21"/>
      <c r="JFE209" s="21"/>
      <c r="JFF209" s="21"/>
      <c r="JFG209" s="21"/>
      <c r="JFH209" s="21"/>
      <c r="JFI209" s="21"/>
      <c r="JFJ209" s="21"/>
      <c r="JFK209" s="21"/>
      <c r="JFL209" s="21"/>
      <c r="JFM209" s="21"/>
      <c r="JFN209" s="21"/>
      <c r="JFO209" s="21"/>
      <c r="JFP209" s="21"/>
      <c r="JFQ209" s="21"/>
      <c r="JFR209" s="21"/>
      <c r="JFS209" s="21"/>
      <c r="JFT209" s="21"/>
      <c r="JFU209" s="21"/>
      <c r="JFV209" s="21"/>
      <c r="JFW209" s="21"/>
      <c r="JFX209" s="21"/>
      <c r="JFY209" s="21"/>
      <c r="JFZ209" s="21"/>
      <c r="JGA209" s="21"/>
      <c r="JGB209" s="21"/>
      <c r="JGC209" s="21"/>
      <c r="JGD209" s="21"/>
      <c r="JGE209" s="21"/>
      <c r="JGF209" s="21"/>
      <c r="JGG209" s="21"/>
      <c r="JGH209" s="21"/>
      <c r="JGI209" s="21"/>
      <c r="JGJ209" s="21"/>
      <c r="JGK209" s="21"/>
      <c r="JGL209" s="21"/>
      <c r="JGM209" s="21"/>
      <c r="JGN209" s="21"/>
      <c r="JGO209" s="21"/>
      <c r="JGP209" s="21"/>
      <c r="JGQ209" s="21"/>
      <c r="JGR209" s="21"/>
      <c r="JGS209" s="21"/>
      <c r="JGT209" s="21"/>
      <c r="JGU209" s="21"/>
      <c r="JGV209" s="21"/>
      <c r="JGW209" s="21"/>
      <c r="JGX209" s="21"/>
      <c r="JGY209" s="21"/>
      <c r="JGZ209" s="21"/>
      <c r="JHA209" s="21"/>
      <c r="JHB209" s="21"/>
      <c r="JHC209" s="21"/>
      <c r="JHD209" s="21"/>
      <c r="JHE209" s="21"/>
      <c r="JHF209" s="21"/>
      <c r="JHG209" s="21"/>
      <c r="JHH209" s="21"/>
      <c r="JHI209" s="21"/>
      <c r="JHJ209" s="21"/>
      <c r="JHK209" s="21"/>
      <c r="JHL209" s="21"/>
      <c r="JHM209" s="21"/>
      <c r="JHN209" s="21"/>
      <c r="JHO209" s="21"/>
      <c r="JHP209" s="21"/>
      <c r="JHQ209" s="21"/>
      <c r="JHR209" s="21"/>
      <c r="JHS209" s="21"/>
      <c r="JHT209" s="21"/>
      <c r="JHU209" s="21"/>
      <c r="JHV209" s="21"/>
      <c r="JHW209" s="21"/>
      <c r="JHX209" s="21"/>
      <c r="JHY209" s="21"/>
      <c r="JHZ209" s="21"/>
      <c r="JIA209" s="21"/>
      <c r="JIB209" s="21"/>
      <c r="JIC209" s="21"/>
      <c r="JID209" s="21"/>
      <c r="JIE209" s="21"/>
      <c r="JIF209" s="21"/>
      <c r="JIG209" s="21"/>
      <c r="JIH209" s="21"/>
      <c r="JII209" s="21"/>
      <c r="JIJ209" s="21"/>
      <c r="JIK209" s="21"/>
      <c r="JIL209" s="21"/>
      <c r="JIM209" s="21"/>
      <c r="JIN209" s="21"/>
      <c r="JIO209" s="21"/>
      <c r="JIP209" s="21"/>
      <c r="JIQ209" s="21"/>
      <c r="JIR209" s="21"/>
      <c r="JIS209" s="21"/>
      <c r="JIT209" s="21"/>
      <c r="JIU209" s="21"/>
      <c r="JIV209" s="21"/>
      <c r="JIW209" s="21"/>
      <c r="JIX209" s="21"/>
      <c r="JIY209" s="21"/>
      <c r="JIZ209" s="21"/>
      <c r="JJA209" s="21"/>
      <c r="JJB209" s="21"/>
      <c r="JJC209" s="21"/>
      <c r="JJD209" s="21"/>
      <c r="JJE209" s="21"/>
      <c r="JJF209" s="21"/>
      <c r="JJG209" s="21"/>
      <c r="JJH209" s="21"/>
      <c r="JJI209" s="21"/>
      <c r="JJJ209" s="21"/>
      <c r="JJK209" s="21"/>
      <c r="JJL209" s="21"/>
      <c r="JJM209" s="21"/>
      <c r="JJN209" s="21"/>
      <c r="JJO209" s="21"/>
      <c r="JJP209" s="21"/>
      <c r="JJQ209" s="21"/>
      <c r="JJR209" s="21"/>
      <c r="JJS209" s="21"/>
      <c r="JJT209" s="21"/>
      <c r="JJU209" s="21"/>
      <c r="JJV209" s="21"/>
      <c r="JJW209" s="21"/>
      <c r="JJX209" s="21"/>
      <c r="JJY209" s="21"/>
      <c r="JJZ209" s="21"/>
      <c r="JKA209" s="21"/>
      <c r="JKB209" s="21"/>
      <c r="JKC209" s="21"/>
      <c r="JKD209" s="21"/>
      <c r="JKE209" s="21"/>
      <c r="JKF209" s="21"/>
      <c r="JKG209" s="21"/>
      <c r="JKH209" s="21"/>
      <c r="JKI209" s="21"/>
      <c r="JKJ209" s="21"/>
      <c r="JKK209" s="21"/>
      <c r="JKL209" s="21"/>
      <c r="JKM209" s="21"/>
      <c r="JKN209" s="21"/>
      <c r="JKO209" s="21"/>
      <c r="JKP209" s="21"/>
      <c r="JKQ209" s="21"/>
      <c r="JKR209" s="21"/>
      <c r="JKS209" s="21"/>
      <c r="JKT209" s="21"/>
      <c r="JKU209" s="21"/>
      <c r="JKV209" s="21"/>
      <c r="JKW209" s="21"/>
      <c r="JKX209" s="21"/>
      <c r="JKY209" s="21"/>
      <c r="JKZ209" s="21"/>
      <c r="JLA209" s="21"/>
      <c r="JLB209" s="21"/>
      <c r="JLC209" s="21"/>
      <c r="JLD209" s="21"/>
      <c r="JLE209" s="21"/>
      <c r="JLF209" s="21"/>
      <c r="JLG209" s="21"/>
      <c r="JLH209" s="21"/>
      <c r="JLI209" s="21"/>
      <c r="JLJ209" s="21"/>
      <c r="JLK209" s="21"/>
      <c r="JLL209" s="21"/>
      <c r="JLM209" s="21"/>
      <c r="JLN209" s="21"/>
      <c r="JLO209" s="21"/>
      <c r="JLP209" s="21"/>
      <c r="JLQ209" s="21"/>
      <c r="JLR209" s="21"/>
      <c r="JLS209" s="21"/>
      <c r="JLT209" s="21"/>
      <c r="JLU209" s="21"/>
      <c r="JLV209" s="21"/>
      <c r="JLW209" s="21"/>
      <c r="JLX209" s="21"/>
      <c r="JLY209" s="21"/>
      <c r="JLZ209" s="21"/>
      <c r="JMA209" s="21"/>
      <c r="JMB209" s="21"/>
      <c r="JMC209" s="21"/>
      <c r="JMD209" s="21"/>
      <c r="JME209" s="21"/>
      <c r="JMF209" s="21"/>
      <c r="JMG209" s="21"/>
      <c r="JMH209" s="21"/>
      <c r="JMI209" s="21"/>
      <c r="JMJ209" s="21"/>
      <c r="JMK209" s="21"/>
      <c r="JML209" s="21"/>
      <c r="JMM209" s="21"/>
      <c r="JMN209" s="21"/>
      <c r="JMO209" s="21"/>
      <c r="JMP209" s="21"/>
      <c r="JMQ209" s="21"/>
      <c r="JMR209" s="21"/>
      <c r="JMS209" s="21"/>
      <c r="JMT209" s="21"/>
      <c r="JMU209" s="21"/>
      <c r="JMV209" s="21"/>
      <c r="JMW209" s="21"/>
      <c r="JMX209" s="21"/>
      <c r="JMY209" s="21"/>
      <c r="JMZ209" s="21"/>
      <c r="JNA209" s="21"/>
      <c r="JNB209" s="21"/>
      <c r="JNC209" s="21"/>
      <c r="JND209" s="21"/>
      <c r="JNE209" s="21"/>
      <c r="JNF209" s="21"/>
      <c r="JNG209" s="21"/>
      <c r="JNH209" s="21"/>
      <c r="JNI209" s="21"/>
      <c r="JNJ209" s="21"/>
      <c r="JNK209" s="21"/>
      <c r="JNL209" s="21"/>
      <c r="JNM209" s="21"/>
      <c r="JNN209" s="21"/>
      <c r="JNO209" s="21"/>
      <c r="JNP209" s="21"/>
      <c r="JNQ209" s="21"/>
      <c r="JNR209" s="21"/>
      <c r="JNS209" s="21"/>
      <c r="JNT209" s="21"/>
      <c r="JNU209" s="21"/>
      <c r="JNV209" s="21"/>
      <c r="JNW209" s="21"/>
      <c r="JNX209" s="21"/>
      <c r="JNY209" s="21"/>
      <c r="JNZ209" s="21"/>
      <c r="JOA209" s="21"/>
      <c r="JOB209" s="21"/>
      <c r="JOC209" s="21"/>
      <c r="JOD209" s="21"/>
      <c r="JOE209" s="21"/>
      <c r="JOF209" s="21"/>
      <c r="JOG209" s="21"/>
      <c r="JOH209" s="21"/>
      <c r="JOI209" s="21"/>
      <c r="JOJ209" s="21"/>
      <c r="JOK209" s="21"/>
      <c r="JOL209" s="21"/>
      <c r="JOM209" s="21"/>
      <c r="JON209" s="21"/>
      <c r="JOO209" s="21"/>
      <c r="JOP209" s="21"/>
      <c r="JOQ209" s="21"/>
      <c r="JOR209" s="21"/>
      <c r="JOS209" s="21"/>
      <c r="JOT209" s="21"/>
      <c r="JOU209" s="21"/>
      <c r="JOV209" s="21"/>
      <c r="JOW209" s="21"/>
      <c r="JOX209" s="21"/>
      <c r="JOY209" s="21"/>
      <c r="JOZ209" s="21"/>
      <c r="JPA209" s="21"/>
      <c r="JPB209" s="21"/>
      <c r="JPC209" s="21"/>
      <c r="JPD209" s="21"/>
      <c r="JPE209" s="21"/>
      <c r="JPF209" s="21"/>
      <c r="JPG209" s="21"/>
      <c r="JPH209" s="21"/>
      <c r="JPI209" s="21"/>
      <c r="JPJ209" s="21"/>
      <c r="JPK209" s="21"/>
      <c r="JPL209" s="21"/>
      <c r="JPM209" s="21"/>
      <c r="JPN209" s="21"/>
      <c r="JPO209" s="21"/>
      <c r="JPP209" s="21"/>
      <c r="JPQ209" s="21"/>
      <c r="JPR209" s="21"/>
      <c r="JPS209" s="21"/>
      <c r="JPT209" s="21"/>
      <c r="JPU209" s="21"/>
      <c r="JPV209" s="21"/>
      <c r="JPW209" s="21"/>
      <c r="JPX209" s="21"/>
      <c r="JPY209" s="21"/>
      <c r="JPZ209" s="21"/>
      <c r="JQA209" s="21"/>
      <c r="JQB209" s="21"/>
      <c r="JQC209" s="21"/>
      <c r="JQD209" s="21"/>
      <c r="JQE209" s="21"/>
      <c r="JQF209" s="21"/>
      <c r="JQG209" s="21"/>
      <c r="JQH209" s="21"/>
      <c r="JQI209" s="21"/>
      <c r="JQJ209" s="21"/>
      <c r="JQK209" s="21"/>
      <c r="JQL209" s="21"/>
      <c r="JQM209" s="21"/>
      <c r="JQN209" s="21"/>
      <c r="JQO209" s="21"/>
      <c r="JQP209" s="21"/>
      <c r="JQQ209" s="21"/>
      <c r="JQR209" s="21"/>
      <c r="JQS209" s="21"/>
      <c r="JQT209" s="21"/>
      <c r="JQU209" s="21"/>
      <c r="JQV209" s="21"/>
      <c r="JQW209" s="21"/>
      <c r="JQX209" s="21"/>
      <c r="JQY209" s="21"/>
      <c r="JQZ209" s="21"/>
      <c r="JRA209" s="21"/>
      <c r="JRB209" s="21"/>
      <c r="JRC209" s="21"/>
      <c r="JRD209" s="21"/>
      <c r="JRE209" s="21"/>
      <c r="JRF209" s="21"/>
      <c r="JRG209" s="21"/>
      <c r="JRH209" s="21"/>
      <c r="JRI209" s="21"/>
      <c r="JRJ209" s="21"/>
      <c r="JRK209" s="21"/>
      <c r="JRL209" s="21"/>
      <c r="JRM209" s="21"/>
      <c r="JRN209" s="21"/>
      <c r="JRO209" s="21"/>
      <c r="JRP209" s="21"/>
      <c r="JRQ209" s="21"/>
      <c r="JRR209" s="21"/>
      <c r="JRS209" s="21"/>
      <c r="JRT209" s="21"/>
      <c r="JRU209" s="21"/>
      <c r="JRV209" s="21"/>
      <c r="JRW209" s="21"/>
      <c r="JRX209" s="21"/>
      <c r="JRY209" s="21"/>
      <c r="JRZ209" s="21"/>
      <c r="JSA209" s="21"/>
      <c r="JSB209" s="21"/>
      <c r="JSC209" s="21"/>
      <c r="JSD209" s="21"/>
      <c r="JSE209" s="21"/>
      <c r="JSF209" s="21"/>
      <c r="JSG209" s="21"/>
      <c r="JSH209" s="21"/>
      <c r="JSI209" s="21"/>
      <c r="JSJ209" s="21"/>
      <c r="JSK209" s="21"/>
      <c r="JSL209" s="21"/>
      <c r="JSM209" s="21"/>
      <c r="JSN209" s="21"/>
      <c r="JSO209" s="21"/>
      <c r="JSP209" s="21"/>
      <c r="JSQ209" s="21"/>
      <c r="JSR209" s="21"/>
      <c r="JSS209" s="21"/>
      <c r="JST209" s="21"/>
      <c r="JSU209" s="21"/>
      <c r="JSV209" s="21"/>
      <c r="JSW209" s="21"/>
      <c r="JSX209" s="21"/>
      <c r="JSY209" s="21"/>
      <c r="JSZ209" s="21"/>
      <c r="JTA209" s="21"/>
      <c r="JTB209" s="21"/>
      <c r="JTC209" s="21"/>
      <c r="JTD209" s="21"/>
      <c r="JTE209" s="21"/>
      <c r="JTF209" s="21"/>
      <c r="JTG209" s="21"/>
      <c r="JTH209" s="21"/>
      <c r="JTI209" s="21"/>
      <c r="JTJ209" s="21"/>
      <c r="JTK209" s="21"/>
      <c r="JTL209" s="21"/>
      <c r="JTM209" s="21"/>
      <c r="JTN209" s="21"/>
      <c r="JTO209" s="21"/>
      <c r="JTP209" s="21"/>
      <c r="JTQ209" s="21"/>
      <c r="JTR209" s="21"/>
      <c r="JTS209" s="21"/>
      <c r="JTT209" s="21"/>
      <c r="JTU209" s="21"/>
      <c r="JTV209" s="21"/>
      <c r="JTW209" s="21"/>
      <c r="JTX209" s="21"/>
      <c r="JTY209" s="21"/>
      <c r="JTZ209" s="21"/>
      <c r="JUA209" s="21"/>
      <c r="JUB209" s="21"/>
      <c r="JUC209" s="21"/>
      <c r="JUD209" s="21"/>
      <c r="JUE209" s="21"/>
      <c r="JUF209" s="21"/>
      <c r="JUG209" s="21"/>
      <c r="JUH209" s="21"/>
      <c r="JUI209" s="21"/>
      <c r="JUJ209" s="21"/>
      <c r="JUK209" s="21"/>
      <c r="JUL209" s="21"/>
      <c r="JUM209" s="21"/>
      <c r="JUN209" s="21"/>
      <c r="JUO209" s="21"/>
      <c r="JUP209" s="21"/>
      <c r="JUQ209" s="21"/>
      <c r="JUR209" s="21"/>
      <c r="JUS209" s="21"/>
      <c r="JUT209" s="21"/>
      <c r="JUU209" s="21"/>
      <c r="JUV209" s="21"/>
      <c r="JUW209" s="21"/>
      <c r="JUX209" s="21"/>
      <c r="JUY209" s="21"/>
      <c r="JUZ209" s="21"/>
      <c r="JVA209" s="21"/>
      <c r="JVB209" s="21"/>
      <c r="JVC209" s="21"/>
      <c r="JVD209" s="21"/>
      <c r="JVE209" s="21"/>
      <c r="JVF209" s="21"/>
      <c r="JVG209" s="21"/>
      <c r="JVH209" s="21"/>
      <c r="JVI209" s="21"/>
      <c r="JVJ209" s="21"/>
      <c r="JVK209" s="21"/>
      <c r="JVL209" s="21"/>
      <c r="JVM209" s="21"/>
      <c r="JVN209" s="21"/>
      <c r="JVO209" s="21"/>
      <c r="JVP209" s="21"/>
      <c r="JVQ209" s="21"/>
      <c r="JVR209" s="21"/>
      <c r="JVS209" s="21"/>
      <c r="JVT209" s="21"/>
      <c r="JVU209" s="21"/>
      <c r="JVV209" s="21"/>
      <c r="JVW209" s="21"/>
      <c r="JVX209" s="21"/>
      <c r="JVY209" s="21"/>
      <c r="JVZ209" s="21"/>
      <c r="JWA209" s="21"/>
      <c r="JWB209" s="21"/>
      <c r="JWC209" s="21"/>
      <c r="JWD209" s="21"/>
      <c r="JWE209" s="21"/>
      <c r="JWF209" s="21"/>
      <c r="JWG209" s="21"/>
      <c r="JWH209" s="21"/>
      <c r="JWI209" s="21"/>
      <c r="JWJ209" s="21"/>
      <c r="JWK209" s="21"/>
      <c r="JWL209" s="21"/>
      <c r="JWM209" s="21"/>
      <c r="JWN209" s="21"/>
      <c r="JWO209" s="21"/>
      <c r="JWP209" s="21"/>
      <c r="JWQ209" s="21"/>
      <c r="JWR209" s="21"/>
      <c r="JWS209" s="21"/>
      <c r="JWT209" s="21"/>
      <c r="JWU209" s="21"/>
      <c r="JWV209" s="21"/>
      <c r="JWW209" s="21"/>
      <c r="JWX209" s="21"/>
      <c r="JWY209" s="21"/>
      <c r="JWZ209" s="21"/>
      <c r="JXA209" s="21"/>
      <c r="JXB209" s="21"/>
      <c r="JXC209" s="21"/>
      <c r="JXD209" s="21"/>
      <c r="JXE209" s="21"/>
      <c r="JXF209" s="21"/>
      <c r="JXG209" s="21"/>
      <c r="JXH209" s="21"/>
      <c r="JXI209" s="21"/>
      <c r="JXJ209" s="21"/>
      <c r="JXK209" s="21"/>
      <c r="JXL209" s="21"/>
      <c r="JXM209" s="21"/>
      <c r="JXN209" s="21"/>
      <c r="JXO209" s="21"/>
      <c r="JXP209" s="21"/>
      <c r="JXQ209" s="21"/>
      <c r="JXR209" s="21"/>
      <c r="JXS209" s="21"/>
      <c r="JXT209" s="21"/>
      <c r="JXU209" s="21"/>
      <c r="JXV209" s="21"/>
      <c r="JXW209" s="21"/>
      <c r="JXX209" s="21"/>
      <c r="JXY209" s="21"/>
      <c r="JXZ209" s="21"/>
      <c r="JYA209" s="21"/>
      <c r="JYB209" s="21"/>
      <c r="JYC209" s="21"/>
      <c r="JYD209" s="21"/>
      <c r="JYE209" s="21"/>
      <c r="JYF209" s="21"/>
      <c r="JYG209" s="21"/>
      <c r="JYH209" s="21"/>
      <c r="JYI209" s="21"/>
      <c r="JYJ209" s="21"/>
      <c r="JYK209" s="21"/>
      <c r="JYL209" s="21"/>
      <c r="JYM209" s="21"/>
      <c r="JYN209" s="21"/>
      <c r="JYO209" s="21"/>
      <c r="JYP209" s="21"/>
      <c r="JYQ209" s="21"/>
      <c r="JYR209" s="21"/>
      <c r="JYS209" s="21"/>
      <c r="JYT209" s="21"/>
      <c r="JYU209" s="21"/>
      <c r="JYV209" s="21"/>
      <c r="JYW209" s="21"/>
      <c r="JYX209" s="21"/>
      <c r="JYY209" s="21"/>
      <c r="JYZ209" s="21"/>
      <c r="JZA209" s="21"/>
      <c r="JZB209" s="21"/>
      <c r="JZC209" s="21"/>
      <c r="JZD209" s="21"/>
      <c r="JZE209" s="21"/>
      <c r="JZF209" s="21"/>
      <c r="JZG209" s="21"/>
      <c r="JZH209" s="21"/>
      <c r="JZI209" s="21"/>
      <c r="JZJ209" s="21"/>
      <c r="JZK209" s="21"/>
      <c r="JZL209" s="21"/>
      <c r="JZM209" s="21"/>
      <c r="JZN209" s="21"/>
      <c r="JZO209" s="21"/>
      <c r="JZP209" s="21"/>
      <c r="JZQ209" s="21"/>
      <c r="JZR209" s="21"/>
      <c r="JZS209" s="21"/>
      <c r="JZT209" s="21"/>
      <c r="JZU209" s="21"/>
      <c r="JZV209" s="21"/>
      <c r="JZW209" s="21"/>
      <c r="JZX209" s="21"/>
      <c r="JZY209" s="21"/>
      <c r="JZZ209" s="21"/>
      <c r="KAA209" s="21"/>
      <c r="KAB209" s="21"/>
      <c r="KAC209" s="21"/>
      <c r="KAD209" s="21"/>
      <c r="KAE209" s="21"/>
      <c r="KAF209" s="21"/>
      <c r="KAG209" s="21"/>
      <c r="KAH209" s="21"/>
      <c r="KAI209" s="21"/>
      <c r="KAJ209" s="21"/>
      <c r="KAK209" s="21"/>
      <c r="KAL209" s="21"/>
      <c r="KAM209" s="21"/>
      <c r="KAN209" s="21"/>
      <c r="KAO209" s="21"/>
      <c r="KAP209" s="21"/>
      <c r="KAQ209" s="21"/>
      <c r="KAR209" s="21"/>
      <c r="KAS209" s="21"/>
      <c r="KAT209" s="21"/>
      <c r="KAU209" s="21"/>
      <c r="KAV209" s="21"/>
      <c r="KAW209" s="21"/>
      <c r="KAX209" s="21"/>
      <c r="KAY209" s="21"/>
      <c r="KAZ209" s="21"/>
      <c r="KBA209" s="21"/>
      <c r="KBB209" s="21"/>
      <c r="KBC209" s="21"/>
      <c r="KBD209" s="21"/>
      <c r="KBE209" s="21"/>
      <c r="KBF209" s="21"/>
      <c r="KBG209" s="21"/>
      <c r="KBH209" s="21"/>
      <c r="KBI209" s="21"/>
      <c r="KBJ209" s="21"/>
      <c r="KBK209" s="21"/>
      <c r="KBL209" s="21"/>
      <c r="KBM209" s="21"/>
      <c r="KBN209" s="21"/>
      <c r="KBO209" s="21"/>
      <c r="KBP209" s="21"/>
      <c r="KBQ209" s="21"/>
      <c r="KBR209" s="21"/>
      <c r="KBS209" s="21"/>
      <c r="KBT209" s="21"/>
      <c r="KBU209" s="21"/>
      <c r="KBV209" s="21"/>
      <c r="KBW209" s="21"/>
      <c r="KBX209" s="21"/>
      <c r="KBY209" s="21"/>
      <c r="KBZ209" s="21"/>
      <c r="KCA209" s="21"/>
      <c r="KCB209" s="21"/>
      <c r="KCC209" s="21"/>
      <c r="KCD209" s="21"/>
      <c r="KCE209" s="21"/>
      <c r="KCF209" s="21"/>
      <c r="KCG209" s="21"/>
      <c r="KCH209" s="21"/>
      <c r="KCI209" s="21"/>
      <c r="KCJ209" s="21"/>
      <c r="KCK209" s="21"/>
      <c r="KCL209" s="21"/>
      <c r="KCM209" s="21"/>
      <c r="KCN209" s="21"/>
      <c r="KCO209" s="21"/>
      <c r="KCP209" s="21"/>
      <c r="KCQ209" s="21"/>
      <c r="KCR209" s="21"/>
      <c r="KCS209" s="21"/>
      <c r="KCT209" s="21"/>
      <c r="KCU209" s="21"/>
      <c r="KCV209" s="21"/>
      <c r="KCW209" s="21"/>
      <c r="KCX209" s="21"/>
      <c r="KCY209" s="21"/>
      <c r="KCZ209" s="21"/>
      <c r="KDA209" s="21"/>
      <c r="KDB209" s="21"/>
      <c r="KDC209" s="21"/>
      <c r="KDD209" s="21"/>
      <c r="KDE209" s="21"/>
      <c r="KDF209" s="21"/>
      <c r="KDG209" s="21"/>
      <c r="KDH209" s="21"/>
      <c r="KDI209" s="21"/>
      <c r="KDJ209" s="21"/>
      <c r="KDK209" s="21"/>
      <c r="KDL209" s="21"/>
      <c r="KDM209" s="21"/>
      <c r="KDN209" s="21"/>
      <c r="KDO209" s="21"/>
      <c r="KDP209" s="21"/>
      <c r="KDQ209" s="21"/>
      <c r="KDR209" s="21"/>
      <c r="KDS209" s="21"/>
      <c r="KDT209" s="21"/>
      <c r="KDU209" s="21"/>
      <c r="KDV209" s="21"/>
      <c r="KDW209" s="21"/>
      <c r="KDX209" s="21"/>
      <c r="KDY209" s="21"/>
      <c r="KDZ209" s="21"/>
      <c r="KEA209" s="21"/>
      <c r="KEB209" s="21"/>
      <c r="KEC209" s="21"/>
      <c r="KED209" s="21"/>
      <c r="KEE209" s="21"/>
      <c r="KEF209" s="21"/>
      <c r="KEG209" s="21"/>
      <c r="KEH209" s="21"/>
      <c r="KEI209" s="21"/>
      <c r="KEJ209" s="21"/>
      <c r="KEK209" s="21"/>
      <c r="KEL209" s="21"/>
      <c r="KEM209" s="21"/>
      <c r="KEN209" s="21"/>
      <c r="KEO209" s="21"/>
      <c r="KEP209" s="21"/>
      <c r="KEQ209" s="21"/>
      <c r="KER209" s="21"/>
      <c r="KES209" s="21"/>
      <c r="KET209" s="21"/>
      <c r="KEU209" s="21"/>
      <c r="KEV209" s="21"/>
      <c r="KEW209" s="21"/>
      <c r="KEX209" s="21"/>
      <c r="KEY209" s="21"/>
      <c r="KEZ209" s="21"/>
      <c r="KFA209" s="21"/>
      <c r="KFB209" s="21"/>
      <c r="KFC209" s="21"/>
      <c r="KFD209" s="21"/>
      <c r="KFE209" s="21"/>
      <c r="KFF209" s="21"/>
      <c r="KFG209" s="21"/>
      <c r="KFH209" s="21"/>
      <c r="KFI209" s="21"/>
      <c r="KFJ209" s="21"/>
      <c r="KFK209" s="21"/>
      <c r="KFL209" s="21"/>
      <c r="KFM209" s="21"/>
      <c r="KFN209" s="21"/>
      <c r="KFO209" s="21"/>
      <c r="KFP209" s="21"/>
      <c r="KFQ209" s="21"/>
      <c r="KFR209" s="21"/>
      <c r="KFS209" s="21"/>
      <c r="KFT209" s="21"/>
      <c r="KFU209" s="21"/>
      <c r="KFV209" s="21"/>
      <c r="KFW209" s="21"/>
      <c r="KFX209" s="21"/>
      <c r="KFY209" s="21"/>
      <c r="KFZ209" s="21"/>
      <c r="KGA209" s="21"/>
      <c r="KGB209" s="21"/>
      <c r="KGC209" s="21"/>
      <c r="KGD209" s="21"/>
      <c r="KGE209" s="21"/>
      <c r="KGF209" s="21"/>
      <c r="KGG209" s="21"/>
      <c r="KGH209" s="21"/>
      <c r="KGI209" s="21"/>
      <c r="KGJ209" s="21"/>
      <c r="KGK209" s="21"/>
      <c r="KGL209" s="21"/>
      <c r="KGM209" s="21"/>
      <c r="KGN209" s="21"/>
      <c r="KGO209" s="21"/>
      <c r="KGP209" s="21"/>
      <c r="KGQ209" s="21"/>
      <c r="KGR209" s="21"/>
      <c r="KGS209" s="21"/>
      <c r="KGT209" s="21"/>
      <c r="KGU209" s="21"/>
      <c r="KGV209" s="21"/>
      <c r="KGW209" s="21"/>
      <c r="KGX209" s="21"/>
      <c r="KGY209" s="21"/>
      <c r="KGZ209" s="21"/>
      <c r="KHA209" s="21"/>
      <c r="KHB209" s="21"/>
      <c r="KHC209" s="21"/>
      <c r="KHD209" s="21"/>
      <c r="KHE209" s="21"/>
      <c r="KHF209" s="21"/>
      <c r="KHG209" s="21"/>
      <c r="KHH209" s="21"/>
      <c r="KHI209" s="21"/>
      <c r="KHJ209" s="21"/>
      <c r="KHK209" s="21"/>
      <c r="KHL209" s="21"/>
      <c r="KHM209" s="21"/>
      <c r="KHN209" s="21"/>
      <c r="KHO209" s="21"/>
      <c r="KHP209" s="21"/>
      <c r="KHQ209" s="21"/>
      <c r="KHR209" s="21"/>
      <c r="KHS209" s="21"/>
      <c r="KHT209" s="21"/>
      <c r="KHU209" s="21"/>
      <c r="KHV209" s="21"/>
      <c r="KHW209" s="21"/>
      <c r="KHX209" s="21"/>
      <c r="KHY209" s="21"/>
      <c r="KHZ209" s="21"/>
      <c r="KIA209" s="21"/>
      <c r="KIB209" s="21"/>
      <c r="KIC209" s="21"/>
      <c r="KID209" s="21"/>
      <c r="KIE209" s="21"/>
      <c r="KIF209" s="21"/>
      <c r="KIG209" s="21"/>
      <c r="KIH209" s="21"/>
      <c r="KII209" s="21"/>
      <c r="KIJ209" s="21"/>
      <c r="KIK209" s="21"/>
      <c r="KIL209" s="21"/>
      <c r="KIM209" s="21"/>
      <c r="KIN209" s="21"/>
      <c r="KIO209" s="21"/>
      <c r="KIP209" s="21"/>
      <c r="KIQ209" s="21"/>
      <c r="KIR209" s="21"/>
      <c r="KIS209" s="21"/>
      <c r="KIT209" s="21"/>
      <c r="KIU209" s="21"/>
      <c r="KIV209" s="21"/>
      <c r="KIW209" s="21"/>
      <c r="KIX209" s="21"/>
      <c r="KIY209" s="21"/>
      <c r="KIZ209" s="21"/>
      <c r="KJA209" s="21"/>
      <c r="KJB209" s="21"/>
      <c r="KJC209" s="21"/>
      <c r="KJD209" s="21"/>
      <c r="KJE209" s="21"/>
      <c r="KJF209" s="21"/>
      <c r="KJG209" s="21"/>
      <c r="KJH209" s="21"/>
      <c r="KJI209" s="21"/>
      <c r="KJJ209" s="21"/>
      <c r="KJK209" s="21"/>
      <c r="KJL209" s="21"/>
      <c r="KJM209" s="21"/>
      <c r="KJN209" s="21"/>
      <c r="KJO209" s="21"/>
      <c r="KJP209" s="21"/>
      <c r="KJQ209" s="21"/>
      <c r="KJR209" s="21"/>
      <c r="KJS209" s="21"/>
      <c r="KJT209" s="21"/>
      <c r="KJU209" s="21"/>
      <c r="KJV209" s="21"/>
      <c r="KJW209" s="21"/>
      <c r="KJX209" s="21"/>
      <c r="KJY209" s="21"/>
      <c r="KJZ209" s="21"/>
      <c r="KKA209" s="21"/>
      <c r="KKB209" s="21"/>
      <c r="KKC209" s="21"/>
      <c r="KKD209" s="21"/>
      <c r="KKE209" s="21"/>
      <c r="KKF209" s="21"/>
      <c r="KKG209" s="21"/>
      <c r="KKH209" s="21"/>
      <c r="KKI209" s="21"/>
      <c r="KKJ209" s="21"/>
      <c r="KKK209" s="21"/>
      <c r="KKL209" s="21"/>
      <c r="KKM209" s="21"/>
      <c r="KKN209" s="21"/>
      <c r="KKO209" s="21"/>
      <c r="KKP209" s="21"/>
      <c r="KKQ209" s="21"/>
      <c r="KKR209" s="21"/>
      <c r="KKS209" s="21"/>
      <c r="KKT209" s="21"/>
      <c r="KKU209" s="21"/>
      <c r="KKV209" s="21"/>
      <c r="KKW209" s="21"/>
      <c r="KKX209" s="21"/>
      <c r="KKY209" s="21"/>
      <c r="KKZ209" s="21"/>
      <c r="KLA209" s="21"/>
      <c r="KLB209" s="21"/>
      <c r="KLC209" s="21"/>
      <c r="KLD209" s="21"/>
      <c r="KLE209" s="21"/>
      <c r="KLF209" s="21"/>
      <c r="KLG209" s="21"/>
      <c r="KLH209" s="21"/>
      <c r="KLI209" s="21"/>
      <c r="KLJ209" s="21"/>
      <c r="KLK209" s="21"/>
      <c r="KLL209" s="21"/>
      <c r="KLM209" s="21"/>
      <c r="KLN209" s="21"/>
      <c r="KLO209" s="21"/>
      <c r="KLP209" s="21"/>
      <c r="KLQ209" s="21"/>
      <c r="KLR209" s="21"/>
      <c r="KLS209" s="21"/>
      <c r="KLT209" s="21"/>
      <c r="KLU209" s="21"/>
      <c r="KLV209" s="21"/>
      <c r="KLW209" s="21"/>
      <c r="KLX209" s="21"/>
      <c r="KLY209" s="21"/>
      <c r="KLZ209" s="21"/>
      <c r="KMA209" s="21"/>
      <c r="KMB209" s="21"/>
      <c r="KMC209" s="21"/>
      <c r="KMD209" s="21"/>
      <c r="KME209" s="21"/>
      <c r="KMF209" s="21"/>
      <c r="KMG209" s="21"/>
      <c r="KMH209" s="21"/>
      <c r="KMI209" s="21"/>
      <c r="KMJ209" s="21"/>
      <c r="KMK209" s="21"/>
      <c r="KML209" s="21"/>
      <c r="KMM209" s="21"/>
      <c r="KMN209" s="21"/>
      <c r="KMO209" s="21"/>
      <c r="KMP209" s="21"/>
      <c r="KMQ209" s="21"/>
      <c r="KMR209" s="21"/>
      <c r="KMS209" s="21"/>
      <c r="KMT209" s="21"/>
      <c r="KMU209" s="21"/>
      <c r="KMV209" s="21"/>
      <c r="KMW209" s="21"/>
      <c r="KMX209" s="21"/>
      <c r="KMY209" s="21"/>
      <c r="KMZ209" s="21"/>
      <c r="KNA209" s="21"/>
      <c r="KNB209" s="21"/>
      <c r="KNC209" s="21"/>
      <c r="KND209" s="21"/>
      <c r="KNE209" s="21"/>
      <c r="KNF209" s="21"/>
      <c r="KNG209" s="21"/>
      <c r="KNH209" s="21"/>
      <c r="KNI209" s="21"/>
      <c r="KNJ209" s="21"/>
      <c r="KNK209" s="21"/>
      <c r="KNL209" s="21"/>
      <c r="KNM209" s="21"/>
      <c r="KNN209" s="21"/>
      <c r="KNO209" s="21"/>
      <c r="KNP209" s="21"/>
      <c r="KNQ209" s="21"/>
      <c r="KNR209" s="21"/>
      <c r="KNS209" s="21"/>
      <c r="KNT209" s="21"/>
      <c r="KNU209" s="21"/>
      <c r="KNV209" s="21"/>
      <c r="KNW209" s="21"/>
      <c r="KNX209" s="21"/>
      <c r="KNY209" s="21"/>
      <c r="KNZ209" s="21"/>
      <c r="KOA209" s="21"/>
      <c r="KOB209" s="21"/>
      <c r="KOC209" s="21"/>
      <c r="KOD209" s="21"/>
      <c r="KOE209" s="21"/>
      <c r="KOF209" s="21"/>
      <c r="KOG209" s="21"/>
      <c r="KOH209" s="21"/>
      <c r="KOI209" s="21"/>
      <c r="KOJ209" s="21"/>
      <c r="KOK209" s="21"/>
      <c r="KOL209" s="21"/>
      <c r="KOM209" s="21"/>
      <c r="KON209" s="21"/>
      <c r="KOO209" s="21"/>
      <c r="KOP209" s="21"/>
      <c r="KOQ209" s="21"/>
      <c r="KOR209" s="21"/>
      <c r="KOS209" s="21"/>
      <c r="KOT209" s="21"/>
      <c r="KOU209" s="21"/>
      <c r="KOV209" s="21"/>
      <c r="KOW209" s="21"/>
      <c r="KOX209" s="21"/>
      <c r="KOY209" s="21"/>
      <c r="KOZ209" s="21"/>
      <c r="KPA209" s="21"/>
      <c r="KPB209" s="21"/>
      <c r="KPC209" s="21"/>
      <c r="KPD209" s="21"/>
      <c r="KPE209" s="21"/>
      <c r="KPF209" s="21"/>
      <c r="KPG209" s="21"/>
      <c r="KPH209" s="21"/>
      <c r="KPI209" s="21"/>
      <c r="KPJ209" s="21"/>
      <c r="KPK209" s="21"/>
      <c r="KPL209" s="21"/>
      <c r="KPM209" s="21"/>
      <c r="KPN209" s="21"/>
      <c r="KPO209" s="21"/>
      <c r="KPP209" s="21"/>
      <c r="KPQ209" s="21"/>
      <c r="KPR209" s="21"/>
      <c r="KPS209" s="21"/>
      <c r="KPT209" s="21"/>
      <c r="KPU209" s="21"/>
      <c r="KPV209" s="21"/>
      <c r="KPW209" s="21"/>
      <c r="KPX209" s="21"/>
      <c r="KPY209" s="21"/>
      <c r="KPZ209" s="21"/>
      <c r="KQA209" s="21"/>
      <c r="KQB209" s="21"/>
      <c r="KQC209" s="21"/>
      <c r="KQD209" s="21"/>
      <c r="KQE209" s="21"/>
      <c r="KQF209" s="21"/>
      <c r="KQG209" s="21"/>
      <c r="KQH209" s="21"/>
      <c r="KQI209" s="21"/>
      <c r="KQJ209" s="21"/>
      <c r="KQK209" s="21"/>
      <c r="KQL209" s="21"/>
      <c r="KQM209" s="21"/>
      <c r="KQN209" s="21"/>
      <c r="KQO209" s="21"/>
      <c r="KQP209" s="21"/>
      <c r="KQQ209" s="21"/>
      <c r="KQR209" s="21"/>
      <c r="KQS209" s="21"/>
      <c r="KQT209" s="21"/>
      <c r="KQU209" s="21"/>
      <c r="KQV209" s="21"/>
      <c r="KQW209" s="21"/>
      <c r="KQX209" s="21"/>
      <c r="KQY209" s="21"/>
      <c r="KQZ209" s="21"/>
      <c r="KRA209" s="21"/>
      <c r="KRB209" s="21"/>
      <c r="KRC209" s="21"/>
      <c r="KRD209" s="21"/>
      <c r="KRE209" s="21"/>
      <c r="KRF209" s="21"/>
      <c r="KRG209" s="21"/>
      <c r="KRH209" s="21"/>
      <c r="KRI209" s="21"/>
      <c r="KRJ209" s="21"/>
      <c r="KRK209" s="21"/>
      <c r="KRL209" s="21"/>
      <c r="KRM209" s="21"/>
      <c r="KRN209" s="21"/>
      <c r="KRO209" s="21"/>
      <c r="KRP209" s="21"/>
      <c r="KRQ209" s="21"/>
      <c r="KRR209" s="21"/>
      <c r="KRS209" s="21"/>
      <c r="KRT209" s="21"/>
      <c r="KRU209" s="21"/>
      <c r="KRV209" s="21"/>
      <c r="KRW209" s="21"/>
      <c r="KRX209" s="21"/>
      <c r="KRY209" s="21"/>
      <c r="KRZ209" s="21"/>
      <c r="KSA209" s="21"/>
      <c r="KSB209" s="21"/>
      <c r="KSC209" s="21"/>
      <c r="KSD209" s="21"/>
      <c r="KSE209" s="21"/>
      <c r="KSF209" s="21"/>
      <c r="KSG209" s="21"/>
      <c r="KSH209" s="21"/>
      <c r="KSI209" s="21"/>
      <c r="KSJ209" s="21"/>
      <c r="KSK209" s="21"/>
      <c r="KSL209" s="21"/>
      <c r="KSM209" s="21"/>
      <c r="KSN209" s="21"/>
      <c r="KSO209" s="21"/>
      <c r="KSP209" s="21"/>
      <c r="KSQ209" s="21"/>
      <c r="KSR209" s="21"/>
      <c r="KSS209" s="21"/>
      <c r="KST209" s="21"/>
      <c r="KSU209" s="21"/>
      <c r="KSV209" s="21"/>
      <c r="KSW209" s="21"/>
      <c r="KSX209" s="21"/>
      <c r="KSY209" s="21"/>
      <c r="KSZ209" s="21"/>
      <c r="KTA209" s="21"/>
      <c r="KTB209" s="21"/>
      <c r="KTC209" s="21"/>
      <c r="KTD209" s="21"/>
      <c r="KTE209" s="21"/>
      <c r="KTF209" s="21"/>
      <c r="KTG209" s="21"/>
      <c r="KTH209" s="21"/>
      <c r="KTI209" s="21"/>
      <c r="KTJ209" s="21"/>
      <c r="KTK209" s="21"/>
      <c r="KTL209" s="21"/>
      <c r="KTM209" s="21"/>
      <c r="KTN209" s="21"/>
      <c r="KTO209" s="21"/>
      <c r="KTP209" s="21"/>
      <c r="KTQ209" s="21"/>
      <c r="KTR209" s="21"/>
      <c r="KTS209" s="21"/>
      <c r="KTT209" s="21"/>
      <c r="KTU209" s="21"/>
      <c r="KTV209" s="21"/>
      <c r="KTW209" s="21"/>
      <c r="KTX209" s="21"/>
      <c r="KTY209" s="21"/>
      <c r="KTZ209" s="21"/>
      <c r="KUA209" s="21"/>
      <c r="KUB209" s="21"/>
      <c r="KUC209" s="21"/>
      <c r="KUD209" s="21"/>
      <c r="KUE209" s="21"/>
      <c r="KUF209" s="21"/>
      <c r="KUG209" s="21"/>
      <c r="KUH209" s="21"/>
      <c r="KUI209" s="21"/>
      <c r="KUJ209" s="21"/>
      <c r="KUK209" s="21"/>
      <c r="KUL209" s="21"/>
      <c r="KUM209" s="21"/>
      <c r="KUN209" s="21"/>
      <c r="KUO209" s="21"/>
      <c r="KUP209" s="21"/>
      <c r="KUQ209" s="21"/>
      <c r="KUR209" s="21"/>
      <c r="KUS209" s="21"/>
      <c r="KUT209" s="21"/>
      <c r="KUU209" s="21"/>
      <c r="KUV209" s="21"/>
      <c r="KUW209" s="21"/>
      <c r="KUX209" s="21"/>
      <c r="KUY209" s="21"/>
      <c r="KUZ209" s="21"/>
      <c r="KVA209" s="21"/>
      <c r="KVB209" s="21"/>
      <c r="KVC209" s="21"/>
      <c r="KVD209" s="21"/>
      <c r="KVE209" s="21"/>
      <c r="KVF209" s="21"/>
      <c r="KVG209" s="21"/>
      <c r="KVH209" s="21"/>
      <c r="KVI209" s="21"/>
      <c r="KVJ209" s="21"/>
      <c r="KVK209" s="21"/>
      <c r="KVL209" s="21"/>
      <c r="KVM209" s="21"/>
      <c r="KVN209" s="21"/>
      <c r="KVO209" s="21"/>
      <c r="KVP209" s="21"/>
      <c r="KVQ209" s="21"/>
      <c r="KVR209" s="21"/>
      <c r="KVS209" s="21"/>
      <c r="KVT209" s="21"/>
      <c r="KVU209" s="21"/>
      <c r="KVV209" s="21"/>
      <c r="KVW209" s="21"/>
      <c r="KVX209" s="21"/>
      <c r="KVY209" s="21"/>
      <c r="KVZ209" s="21"/>
      <c r="KWA209" s="21"/>
      <c r="KWB209" s="21"/>
      <c r="KWC209" s="21"/>
      <c r="KWD209" s="21"/>
      <c r="KWE209" s="21"/>
      <c r="KWF209" s="21"/>
      <c r="KWG209" s="21"/>
      <c r="KWH209" s="21"/>
      <c r="KWI209" s="21"/>
      <c r="KWJ209" s="21"/>
      <c r="KWK209" s="21"/>
      <c r="KWL209" s="21"/>
      <c r="KWM209" s="21"/>
      <c r="KWN209" s="21"/>
      <c r="KWO209" s="21"/>
      <c r="KWP209" s="21"/>
      <c r="KWQ209" s="21"/>
      <c r="KWR209" s="21"/>
      <c r="KWS209" s="21"/>
      <c r="KWT209" s="21"/>
      <c r="KWU209" s="21"/>
      <c r="KWV209" s="21"/>
      <c r="KWW209" s="21"/>
      <c r="KWX209" s="21"/>
      <c r="KWY209" s="21"/>
      <c r="KWZ209" s="21"/>
      <c r="KXA209" s="21"/>
      <c r="KXB209" s="21"/>
      <c r="KXC209" s="21"/>
      <c r="KXD209" s="21"/>
      <c r="KXE209" s="21"/>
      <c r="KXF209" s="21"/>
      <c r="KXG209" s="21"/>
      <c r="KXH209" s="21"/>
      <c r="KXI209" s="21"/>
      <c r="KXJ209" s="21"/>
      <c r="KXK209" s="21"/>
      <c r="KXL209" s="21"/>
      <c r="KXM209" s="21"/>
      <c r="KXN209" s="21"/>
      <c r="KXO209" s="21"/>
      <c r="KXP209" s="21"/>
      <c r="KXQ209" s="21"/>
      <c r="KXR209" s="21"/>
      <c r="KXS209" s="21"/>
      <c r="KXT209" s="21"/>
      <c r="KXU209" s="21"/>
      <c r="KXV209" s="21"/>
      <c r="KXW209" s="21"/>
      <c r="KXX209" s="21"/>
      <c r="KXY209" s="21"/>
      <c r="KXZ209" s="21"/>
      <c r="KYA209" s="21"/>
      <c r="KYB209" s="21"/>
      <c r="KYC209" s="21"/>
      <c r="KYD209" s="21"/>
      <c r="KYE209" s="21"/>
      <c r="KYF209" s="21"/>
      <c r="KYG209" s="21"/>
      <c r="KYH209" s="21"/>
      <c r="KYI209" s="21"/>
      <c r="KYJ209" s="21"/>
      <c r="KYK209" s="21"/>
      <c r="KYL209" s="21"/>
      <c r="KYM209" s="21"/>
      <c r="KYN209" s="21"/>
      <c r="KYO209" s="21"/>
      <c r="KYP209" s="21"/>
      <c r="KYQ209" s="21"/>
      <c r="KYR209" s="21"/>
      <c r="KYS209" s="21"/>
      <c r="KYT209" s="21"/>
      <c r="KYU209" s="21"/>
      <c r="KYV209" s="21"/>
      <c r="KYW209" s="21"/>
      <c r="KYX209" s="21"/>
      <c r="KYY209" s="21"/>
      <c r="KYZ209" s="21"/>
      <c r="KZA209" s="21"/>
      <c r="KZB209" s="21"/>
      <c r="KZC209" s="21"/>
      <c r="KZD209" s="21"/>
      <c r="KZE209" s="21"/>
      <c r="KZF209" s="21"/>
      <c r="KZG209" s="21"/>
      <c r="KZH209" s="21"/>
      <c r="KZI209" s="21"/>
      <c r="KZJ209" s="21"/>
      <c r="KZK209" s="21"/>
      <c r="KZL209" s="21"/>
      <c r="KZM209" s="21"/>
      <c r="KZN209" s="21"/>
      <c r="KZO209" s="21"/>
      <c r="KZP209" s="21"/>
      <c r="KZQ209" s="21"/>
      <c r="KZR209" s="21"/>
      <c r="KZS209" s="21"/>
      <c r="KZT209" s="21"/>
      <c r="KZU209" s="21"/>
      <c r="KZV209" s="21"/>
      <c r="KZW209" s="21"/>
      <c r="KZX209" s="21"/>
      <c r="KZY209" s="21"/>
      <c r="KZZ209" s="21"/>
      <c r="LAA209" s="21"/>
      <c r="LAB209" s="21"/>
      <c r="LAC209" s="21"/>
      <c r="LAD209" s="21"/>
      <c r="LAE209" s="21"/>
      <c r="LAF209" s="21"/>
      <c r="LAG209" s="21"/>
      <c r="LAH209" s="21"/>
      <c r="LAI209" s="21"/>
      <c r="LAJ209" s="21"/>
      <c r="LAK209" s="21"/>
      <c r="LAL209" s="21"/>
      <c r="LAM209" s="21"/>
      <c r="LAN209" s="21"/>
      <c r="LAO209" s="21"/>
      <c r="LAP209" s="21"/>
      <c r="LAQ209" s="21"/>
      <c r="LAR209" s="21"/>
      <c r="LAS209" s="21"/>
      <c r="LAT209" s="21"/>
      <c r="LAU209" s="21"/>
      <c r="LAV209" s="21"/>
      <c r="LAW209" s="21"/>
      <c r="LAX209" s="21"/>
      <c r="LAY209" s="21"/>
      <c r="LAZ209" s="21"/>
      <c r="LBA209" s="21"/>
      <c r="LBB209" s="21"/>
      <c r="LBC209" s="21"/>
      <c r="LBD209" s="21"/>
      <c r="LBE209" s="21"/>
      <c r="LBF209" s="21"/>
      <c r="LBG209" s="21"/>
      <c r="LBH209" s="21"/>
      <c r="LBI209" s="21"/>
      <c r="LBJ209" s="21"/>
      <c r="LBK209" s="21"/>
      <c r="LBL209" s="21"/>
      <c r="LBM209" s="21"/>
      <c r="LBN209" s="21"/>
      <c r="LBO209" s="21"/>
      <c r="LBP209" s="21"/>
      <c r="LBQ209" s="21"/>
      <c r="LBR209" s="21"/>
      <c r="LBS209" s="21"/>
      <c r="LBT209" s="21"/>
      <c r="LBU209" s="21"/>
      <c r="LBV209" s="21"/>
      <c r="LBW209" s="21"/>
      <c r="LBX209" s="21"/>
      <c r="LBY209" s="21"/>
      <c r="LBZ209" s="21"/>
      <c r="LCA209" s="21"/>
      <c r="LCB209" s="21"/>
      <c r="LCC209" s="21"/>
      <c r="LCD209" s="21"/>
      <c r="LCE209" s="21"/>
      <c r="LCF209" s="21"/>
      <c r="LCG209" s="21"/>
      <c r="LCH209" s="21"/>
      <c r="LCI209" s="21"/>
      <c r="LCJ209" s="21"/>
      <c r="LCK209" s="21"/>
      <c r="LCL209" s="21"/>
      <c r="LCM209" s="21"/>
      <c r="LCN209" s="21"/>
      <c r="LCO209" s="21"/>
      <c r="LCP209" s="21"/>
      <c r="LCQ209" s="21"/>
      <c r="LCR209" s="21"/>
      <c r="LCS209" s="21"/>
      <c r="LCT209" s="21"/>
      <c r="LCU209" s="21"/>
      <c r="LCV209" s="21"/>
      <c r="LCW209" s="21"/>
      <c r="LCX209" s="21"/>
      <c r="LCY209" s="21"/>
      <c r="LCZ209" s="21"/>
      <c r="LDA209" s="21"/>
      <c r="LDB209" s="21"/>
      <c r="LDC209" s="21"/>
      <c r="LDD209" s="21"/>
      <c r="LDE209" s="21"/>
      <c r="LDF209" s="21"/>
      <c r="LDG209" s="21"/>
      <c r="LDH209" s="21"/>
      <c r="LDI209" s="21"/>
      <c r="LDJ209" s="21"/>
      <c r="LDK209" s="21"/>
      <c r="LDL209" s="21"/>
      <c r="LDM209" s="21"/>
      <c r="LDN209" s="21"/>
      <c r="LDO209" s="21"/>
      <c r="LDP209" s="21"/>
      <c r="LDQ209" s="21"/>
      <c r="LDR209" s="21"/>
      <c r="LDS209" s="21"/>
      <c r="LDT209" s="21"/>
      <c r="LDU209" s="21"/>
      <c r="LDV209" s="21"/>
      <c r="LDW209" s="21"/>
      <c r="LDX209" s="21"/>
      <c r="LDY209" s="21"/>
      <c r="LDZ209" s="21"/>
      <c r="LEA209" s="21"/>
      <c r="LEB209" s="21"/>
      <c r="LEC209" s="21"/>
      <c r="LED209" s="21"/>
      <c r="LEE209" s="21"/>
      <c r="LEF209" s="21"/>
      <c r="LEG209" s="21"/>
      <c r="LEH209" s="21"/>
      <c r="LEI209" s="21"/>
      <c r="LEJ209" s="21"/>
      <c r="LEK209" s="21"/>
      <c r="LEL209" s="21"/>
      <c r="LEM209" s="21"/>
      <c r="LEN209" s="21"/>
      <c r="LEO209" s="21"/>
      <c r="LEP209" s="21"/>
      <c r="LEQ209" s="21"/>
      <c r="LER209" s="21"/>
      <c r="LES209" s="21"/>
      <c r="LET209" s="21"/>
      <c r="LEU209" s="21"/>
      <c r="LEV209" s="21"/>
      <c r="LEW209" s="21"/>
      <c r="LEX209" s="21"/>
      <c r="LEY209" s="21"/>
      <c r="LEZ209" s="21"/>
      <c r="LFA209" s="21"/>
      <c r="LFB209" s="21"/>
      <c r="LFC209" s="21"/>
      <c r="LFD209" s="21"/>
      <c r="LFE209" s="21"/>
      <c r="LFF209" s="21"/>
      <c r="LFG209" s="21"/>
      <c r="LFH209" s="21"/>
      <c r="LFI209" s="21"/>
      <c r="LFJ209" s="21"/>
      <c r="LFK209" s="21"/>
      <c r="LFL209" s="21"/>
      <c r="LFM209" s="21"/>
      <c r="LFN209" s="21"/>
      <c r="LFO209" s="21"/>
      <c r="LFP209" s="21"/>
      <c r="LFQ209" s="21"/>
      <c r="LFR209" s="21"/>
      <c r="LFS209" s="21"/>
      <c r="LFT209" s="21"/>
      <c r="LFU209" s="21"/>
      <c r="LFV209" s="21"/>
      <c r="LFW209" s="21"/>
      <c r="LFX209" s="21"/>
      <c r="LFY209" s="21"/>
      <c r="LFZ209" s="21"/>
      <c r="LGA209" s="21"/>
      <c r="LGB209" s="21"/>
      <c r="LGC209" s="21"/>
      <c r="LGD209" s="21"/>
      <c r="LGE209" s="21"/>
      <c r="LGF209" s="21"/>
      <c r="LGG209" s="21"/>
      <c r="LGH209" s="21"/>
      <c r="LGI209" s="21"/>
      <c r="LGJ209" s="21"/>
      <c r="LGK209" s="21"/>
      <c r="LGL209" s="21"/>
      <c r="LGM209" s="21"/>
      <c r="LGN209" s="21"/>
      <c r="LGO209" s="21"/>
      <c r="LGP209" s="21"/>
      <c r="LGQ209" s="21"/>
      <c r="LGR209" s="21"/>
      <c r="LGS209" s="21"/>
      <c r="LGT209" s="21"/>
      <c r="LGU209" s="21"/>
      <c r="LGV209" s="21"/>
      <c r="LGW209" s="21"/>
      <c r="LGX209" s="21"/>
      <c r="LGY209" s="21"/>
      <c r="LGZ209" s="21"/>
      <c r="LHA209" s="21"/>
      <c r="LHB209" s="21"/>
      <c r="LHC209" s="21"/>
      <c r="LHD209" s="21"/>
      <c r="LHE209" s="21"/>
      <c r="LHF209" s="21"/>
      <c r="LHG209" s="21"/>
      <c r="LHH209" s="21"/>
      <c r="LHI209" s="21"/>
      <c r="LHJ209" s="21"/>
      <c r="LHK209" s="21"/>
      <c r="LHL209" s="21"/>
      <c r="LHM209" s="21"/>
      <c r="LHN209" s="21"/>
      <c r="LHO209" s="21"/>
      <c r="LHP209" s="21"/>
      <c r="LHQ209" s="21"/>
      <c r="LHR209" s="21"/>
      <c r="LHS209" s="21"/>
      <c r="LHT209" s="21"/>
      <c r="LHU209" s="21"/>
      <c r="LHV209" s="21"/>
      <c r="LHW209" s="21"/>
      <c r="LHX209" s="21"/>
      <c r="LHY209" s="21"/>
      <c r="LHZ209" s="21"/>
      <c r="LIA209" s="21"/>
      <c r="LIB209" s="21"/>
      <c r="LIC209" s="21"/>
      <c r="LID209" s="21"/>
      <c r="LIE209" s="21"/>
      <c r="LIF209" s="21"/>
      <c r="LIG209" s="21"/>
      <c r="LIH209" s="21"/>
      <c r="LII209" s="21"/>
      <c r="LIJ209" s="21"/>
      <c r="LIK209" s="21"/>
      <c r="LIL209" s="21"/>
      <c r="LIM209" s="21"/>
      <c r="LIN209" s="21"/>
      <c r="LIO209" s="21"/>
      <c r="LIP209" s="21"/>
      <c r="LIQ209" s="21"/>
      <c r="LIR209" s="21"/>
      <c r="LIS209" s="21"/>
      <c r="LIT209" s="21"/>
      <c r="LIU209" s="21"/>
      <c r="LIV209" s="21"/>
      <c r="LIW209" s="21"/>
      <c r="LIX209" s="21"/>
      <c r="LIY209" s="21"/>
      <c r="LIZ209" s="21"/>
      <c r="LJA209" s="21"/>
      <c r="LJB209" s="21"/>
      <c r="LJC209" s="21"/>
      <c r="LJD209" s="21"/>
      <c r="LJE209" s="21"/>
      <c r="LJF209" s="21"/>
      <c r="LJG209" s="21"/>
      <c r="LJH209" s="21"/>
      <c r="LJI209" s="21"/>
      <c r="LJJ209" s="21"/>
      <c r="LJK209" s="21"/>
      <c r="LJL209" s="21"/>
      <c r="LJM209" s="21"/>
      <c r="LJN209" s="21"/>
      <c r="LJO209" s="21"/>
      <c r="LJP209" s="21"/>
      <c r="LJQ209" s="21"/>
      <c r="LJR209" s="21"/>
      <c r="LJS209" s="21"/>
      <c r="LJT209" s="21"/>
      <c r="LJU209" s="21"/>
      <c r="LJV209" s="21"/>
      <c r="LJW209" s="21"/>
      <c r="LJX209" s="21"/>
      <c r="LJY209" s="21"/>
      <c r="LJZ209" s="21"/>
      <c r="LKA209" s="21"/>
      <c r="LKB209" s="21"/>
      <c r="LKC209" s="21"/>
      <c r="LKD209" s="21"/>
      <c r="LKE209" s="21"/>
      <c r="LKF209" s="21"/>
      <c r="LKG209" s="21"/>
      <c r="LKH209" s="21"/>
      <c r="LKI209" s="21"/>
      <c r="LKJ209" s="21"/>
      <c r="LKK209" s="21"/>
      <c r="LKL209" s="21"/>
      <c r="LKM209" s="21"/>
      <c r="LKN209" s="21"/>
      <c r="LKO209" s="21"/>
      <c r="LKP209" s="21"/>
      <c r="LKQ209" s="21"/>
      <c r="LKR209" s="21"/>
      <c r="LKS209" s="21"/>
      <c r="LKT209" s="21"/>
      <c r="LKU209" s="21"/>
      <c r="LKV209" s="21"/>
      <c r="LKW209" s="21"/>
      <c r="LKX209" s="21"/>
      <c r="LKY209" s="21"/>
      <c r="LKZ209" s="21"/>
      <c r="LLA209" s="21"/>
      <c r="LLB209" s="21"/>
      <c r="LLC209" s="21"/>
      <c r="LLD209" s="21"/>
      <c r="LLE209" s="21"/>
      <c r="LLF209" s="21"/>
      <c r="LLG209" s="21"/>
      <c r="LLH209" s="21"/>
      <c r="LLI209" s="21"/>
      <c r="LLJ209" s="21"/>
      <c r="LLK209" s="21"/>
      <c r="LLL209" s="21"/>
      <c r="LLM209" s="21"/>
      <c r="LLN209" s="21"/>
      <c r="LLO209" s="21"/>
      <c r="LLP209" s="21"/>
      <c r="LLQ209" s="21"/>
      <c r="LLR209" s="21"/>
      <c r="LLS209" s="21"/>
      <c r="LLT209" s="21"/>
      <c r="LLU209" s="21"/>
      <c r="LLV209" s="21"/>
      <c r="LLW209" s="21"/>
      <c r="LLX209" s="21"/>
      <c r="LLY209" s="21"/>
      <c r="LLZ209" s="21"/>
      <c r="LMA209" s="21"/>
      <c r="LMB209" s="21"/>
      <c r="LMC209" s="21"/>
      <c r="LMD209" s="21"/>
      <c r="LME209" s="21"/>
      <c r="LMF209" s="21"/>
      <c r="LMG209" s="21"/>
      <c r="LMH209" s="21"/>
      <c r="LMI209" s="21"/>
      <c r="LMJ209" s="21"/>
      <c r="LMK209" s="21"/>
      <c r="LML209" s="21"/>
      <c r="LMM209" s="21"/>
      <c r="LMN209" s="21"/>
      <c r="LMO209" s="21"/>
      <c r="LMP209" s="21"/>
      <c r="LMQ209" s="21"/>
      <c r="LMR209" s="21"/>
      <c r="LMS209" s="21"/>
      <c r="LMT209" s="21"/>
      <c r="LMU209" s="21"/>
      <c r="LMV209" s="21"/>
      <c r="LMW209" s="21"/>
      <c r="LMX209" s="21"/>
      <c r="LMY209" s="21"/>
      <c r="LMZ209" s="21"/>
      <c r="LNA209" s="21"/>
      <c r="LNB209" s="21"/>
      <c r="LNC209" s="21"/>
      <c r="LND209" s="21"/>
      <c r="LNE209" s="21"/>
      <c r="LNF209" s="21"/>
      <c r="LNG209" s="21"/>
      <c r="LNH209" s="21"/>
      <c r="LNI209" s="21"/>
      <c r="LNJ209" s="21"/>
      <c r="LNK209" s="21"/>
      <c r="LNL209" s="21"/>
      <c r="LNM209" s="21"/>
      <c r="LNN209" s="21"/>
      <c r="LNO209" s="21"/>
      <c r="LNP209" s="21"/>
      <c r="LNQ209" s="21"/>
      <c r="LNR209" s="21"/>
      <c r="LNS209" s="21"/>
      <c r="LNT209" s="21"/>
      <c r="LNU209" s="21"/>
      <c r="LNV209" s="21"/>
      <c r="LNW209" s="21"/>
      <c r="LNX209" s="21"/>
      <c r="LNY209" s="21"/>
      <c r="LNZ209" s="21"/>
      <c r="LOA209" s="21"/>
      <c r="LOB209" s="21"/>
      <c r="LOC209" s="21"/>
      <c r="LOD209" s="21"/>
      <c r="LOE209" s="21"/>
      <c r="LOF209" s="21"/>
      <c r="LOG209" s="21"/>
      <c r="LOH209" s="21"/>
      <c r="LOI209" s="21"/>
      <c r="LOJ209" s="21"/>
      <c r="LOK209" s="21"/>
      <c r="LOL209" s="21"/>
      <c r="LOM209" s="21"/>
      <c r="LON209" s="21"/>
      <c r="LOO209" s="21"/>
      <c r="LOP209" s="21"/>
      <c r="LOQ209" s="21"/>
      <c r="LOR209" s="21"/>
      <c r="LOS209" s="21"/>
      <c r="LOT209" s="21"/>
      <c r="LOU209" s="21"/>
      <c r="LOV209" s="21"/>
      <c r="LOW209" s="21"/>
      <c r="LOX209" s="21"/>
      <c r="LOY209" s="21"/>
      <c r="LOZ209" s="21"/>
      <c r="LPA209" s="21"/>
      <c r="LPB209" s="21"/>
      <c r="LPC209" s="21"/>
      <c r="LPD209" s="21"/>
      <c r="LPE209" s="21"/>
      <c r="LPF209" s="21"/>
      <c r="LPG209" s="21"/>
      <c r="LPH209" s="21"/>
      <c r="LPI209" s="21"/>
      <c r="LPJ209" s="21"/>
      <c r="LPK209" s="21"/>
      <c r="LPL209" s="21"/>
      <c r="LPM209" s="21"/>
      <c r="LPN209" s="21"/>
      <c r="LPO209" s="21"/>
      <c r="LPP209" s="21"/>
      <c r="LPQ209" s="21"/>
      <c r="LPR209" s="21"/>
      <c r="LPS209" s="21"/>
      <c r="LPT209" s="21"/>
      <c r="LPU209" s="21"/>
      <c r="LPV209" s="21"/>
      <c r="LPW209" s="21"/>
      <c r="LPX209" s="21"/>
      <c r="LPY209" s="21"/>
      <c r="LPZ209" s="21"/>
      <c r="LQA209" s="21"/>
      <c r="LQB209" s="21"/>
      <c r="LQC209" s="21"/>
      <c r="LQD209" s="21"/>
      <c r="LQE209" s="21"/>
      <c r="LQF209" s="21"/>
      <c r="LQG209" s="21"/>
      <c r="LQH209" s="21"/>
      <c r="LQI209" s="21"/>
      <c r="LQJ209" s="21"/>
      <c r="LQK209" s="21"/>
      <c r="LQL209" s="21"/>
      <c r="LQM209" s="21"/>
      <c r="LQN209" s="21"/>
      <c r="LQO209" s="21"/>
      <c r="LQP209" s="21"/>
      <c r="LQQ209" s="21"/>
      <c r="LQR209" s="21"/>
      <c r="LQS209" s="21"/>
      <c r="LQT209" s="21"/>
      <c r="LQU209" s="21"/>
      <c r="LQV209" s="21"/>
      <c r="LQW209" s="21"/>
      <c r="LQX209" s="21"/>
      <c r="LQY209" s="21"/>
      <c r="LQZ209" s="21"/>
      <c r="LRA209" s="21"/>
      <c r="LRB209" s="21"/>
      <c r="LRC209" s="21"/>
      <c r="LRD209" s="21"/>
      <c r="LRE209" s="21"/>
      <c r="LRF209" s="21"/>
      <c r="LRG209" s="21"/>
      <c r="LRH209" s="21"/>
      <c r="LRI209" s="21"/>
      <c r="LRJ209" s="21"/>
      <c r="LRK209" s="21"/>
      <c r="LRL209" s="21"/>
      <c r="LRM209" s="21"/>
      <c r="LRN209" s="21"/>
      <c r="LRO209" s="21"/>
      <c r="LRP209" s="21"/>
      <c r="LRQ209" s="21"/>
      <c r="LRR209" s="21"/>
      <c r="LRS209" s="21"/>
      <c r="LRT209" s="21"/>
      <c r="LRU209" s="21"/>
      <c r="LRV209" s="21"/>
      <c r="LRW209" s="21"/>
      <c r="LRX209" s="21"/>
      <c r="LRY209" s="21"/>
      <c r="LRZ209" s="21"/>
      <c r="LSA209" s="21"/>
      <c r="LSB209" s="21"/>
      <c r="LSC209" s="21"/>
      <c r="LSD209" s="21"/>
      <c r="LSE209" s="21"/>
      <c r="LSF209" s="21"/>
      <c r="LSG209" s="21"/>
      <c r="LSH209" s="21"/>
      <c r="LSI209" s="21"/>
      <c r="LSJ209" s="21"/>
      <c r="LSK209" s="21"/>
      <c r="LSL209" s="21"/>
      <c r="LSM209" s="21"/>
      <c r="LSN209" s="21"/>
      <c r="LSO209" s="21"/>
      <c r="LSP209" s="21"/>
      <c r="LSQ209" s="21"/>
      <c r="LSR209" s="21"/>
      <c r="LSS209" s="21"/>
      <c r="LST209" s="21"/>
      <c r="LSU209" s="21"/>
      <c r="LSV209" s="21"/>
      <c r="LSW209" s="21"/>
      <c r="LSX209" s="21"/>
      <c r="LSY209" s="21"/>
      <c r="LSZ209" s="21"/>
      <c r="LTA209" s="21"/>
      <c r="LTB209" s="21"/>
      <c r="LTC209" s="21"/>
      <c r="LTD209" s="21"/>
      <c r="LTE209" s="21"/>
      <c r="LTF209" s="21"/>
      <c r="LTG209" s="21"/>
      <c r="LTH209" s="21"/>
      <c r="LTI209" s="21"/>
      <c r="LTJ209" s="21"/>
      <c r="LTK209" s="21"/>
      <c r="LTL209" s="21"/>
      <c r="LTM209" s="21"/>
      <c r="LTN209" s="21"/>
      <c r="LTO209" s="21"/>
      <c r="LTP209" s="21"/>
      <c r="LTQ209" s="21"/>
      <c r="LTR209" s="21"/>
      <c r="LTS209" s="21"/>
      <c r="LTT209" s="21"/>
      <c r="LTU209" s="21"/>
      <c r="LTV209" s="21"/>
      <c r="LTW209" s="21"/>
      <c r="LTX209" s="21"/>
      <c r="LTY209" s="21"/>
      <c r="LTZ209" s="21"/>
      <c r="LUA209" s="21"/>
      <c r="LUB209" s="21"/>
      <c r="LUC209" s="21"/>
      <c r="LUD209" s="21"/>
      <c r="LUE209" s="21"/>
      <c r="LUF209" s="21"/>
      <c r="LUG209" s="21"/>
      <c r="LUH209" s="21"/>
      <c r="LUI209" s="21"/>
      <c r="LUJ209" s="21"/>
      <c r="LUK209" s="21"/>
      <c r="LUL209" s="21"/>
      <c r="LUM209" s="21"/>
      <c r="LUN209" s="21"/>
      <c r="LUO209" s="21"/>
      <c r="LUP209" s="21"/>
      <c r="LUQ209" s="21"/>
      <c r="LUR209" s="21"/>
      <c r="LUS209" s="21"/>
      <c r="LUT209" s="21"/>
      <c r="LUU209" s="21"/>
      <c r="LUV209" s="21"/>
      <c r="LUW209" s="21"/>
      <c r="LUX209" s="21"/>
      <c r="LUY209" s="21"/>
      <c r="LUZ209" s="21"/>
      <c r="LVA209" s="21"/>
      <c r="LVB209" s="21"/>
      <c r="LVC209" s="21"/>
      <c r="LVD209" s="21"/>
      <c r="LVE209" s="21"/>
      <c r="LVF209" s="21"/>
      <c r="LVG209" s="21"/>
      <c r="LVH209" s="21"/>
      <c r="LVI209" s="21"/>
      <c r="LVJ209" s="21"/>
      <c r="LVK209" s="21"/>
      <c r="LVL209" s="21"/>
      <c r="LVM209" s="21"/>
      <c r="LVN209" s="21"/>
      <c r="LVO209" s="21"/>
      <c r="LVP209" s="21"/>
      <c r="LVQ209" s="21"/>
      <c r="LVR209" s="21"/>
      <c r="LVS209" s="21"/>
      <c r="LVT209" s="21"/>
      <c r="LVU209" s="21"/>
      <c r="LVV209" s="21"/>
      <c r="LVW209" s="21"/>
      <c r="LVX209" s="21"/>
      <c r="LVY209" s="21"/>
      <c r="LVZ209" s="21"/>
      <c r="LWA209" s="21"/>
      <c r="LWB209" s="21"/>
      <c r="LWC209" s="21"/>
      <c r="LWD209" s="21"/>
      <c r="LWE209" s="21"/>
      <c r="LWF209" s="21"/>
      <c r="LWG209" s="21"/>
      <c r="LWH209" s="21"/>
      <c r="LWI209" s="21"/>
      <c r="LWJ209" s="21"/>
      <c r="LWK209" s="21"/>
      <c r="LWL209" s="21"/>
      <c r="LWM209" s="21"/>
      <c r="LWN209" s="21"/>
      <c r="LWO209" s="21"/>
      <c r="LWP209" s="21"/>
      <c r="LWQ209" s="21"/>
      <c r="LWR209" s="21"/>
      <c r="LWS209" s="21"/>
      <c r="LWT209" s="21"/>
      <c r="LWU209" s="21"/>
      <c r="LWV209" s="21"/>
      <c r="LWW209" s="21"/>
      <c r="LWX209" s="21"/>
      <c r="LWY209" s="21"/>
      <c r="LWZ209" s="21"/>
      <c r="LXA209" s="21"/>
      <c r="LXB209" s="21"/>
      <c r="LXC209" s="21"/>
      <c r="LXD209" s="21"/>
      <c r="LXE209" s="21"/>
      <c r="LXF209" s="21"/>
      <c r="LXG209" s="21"/>
      <c r="LXH209" s="21"/>
      <c r="LXI209" s="21"/>
      <c r="LXJ209" s="21"/>
      <c r="LXK209" s="21"/>
      <c r="LXL209" s="21"/>
      <c r="LXM209" s="21"/>
      <c r="LXN209" s="21"/>
      <c r="LXO209" s="21"/>
      <c r="LXP209" s="21"/>
      <c r="LXQ209" s="21"/>
      <c r="LXR209" s="21"/>
      <c r="LXS209" s="21"/>
      <c r="LXT209" s="21"/>
      <c r="LXU209" s="21"/>
      <c r="LXV209" s="21"/>
      <c r="LXW209" s="21"/>
      <c r="LXX209" s="21"/>
      <c r="LXY209" s="21"/>
      <c r="LXZ209" s="21"/>
      <c r="LYA209" s="21"/>
      <c r="LYB209" s="21"/>
      <c r="LYC209" s="21"/>
      <c r="LYD209" s="21"/>
      <c r="LYE209" s="21"/>
      <c r="LYF209" s="21"/>
      <c r="LYG209" s="21"/>
      <c r="LYH209" s="21"/>
      <c r="LYI209" s="21"/>
      <c r="LYJ209" s="21"/>
      <c r="LYK209" s="21"/>
      <c r="LYL209" s="21"/>
      <c r="LYM209" s="21"/>
      <c r="LYN209" s="21"/>
      <c r="LYO209" s="21"/>
      <c r="LYP209" s="21"/>
      <c r="LYQ209" s="21"/>
      <c r="LYR209" s="21"/>
      <c r="LYS209" s="21"/>
      <c r="LYT209" s="21"/>
      <c r="LYU209" s="21"/>
      <c r="LYV209" s="21"/>
      <c r="LYW209" s="21"/>
      <c r="LYX209" s="21"/>
      <c r="LYY209" s="21"/>
      <c r="LYZ209" s="21"/>
      <c r="LZA209" s="21"/>
      <c r="LZB209" s="21"/>
      <c r="LZC209" s="21"/>
      <c r="LZD209" s="21"/>
      <c r="LZE209" s="21"/>
      <c r="LZF209" s="21"/>
      <c r="LZG209" s="21"/>
      <c r="LZH209" s="21"/>
      <c r="LZI209" s="21"/>
      <c r="LZJ209" s="21"/>
      <c r="LZK209" s="21"/>
      <c r="LZL209" s="21"/>
      <c r="LZM209" s="21"/>
      <c r="LZN209" s="21"/>
      <c r="LZO209" s="21"/>
      <c r="LZP209" s="21"/>
      <c r="LZQ209" s="21"/>
      <c r="LZR209" s="21"/>
      <c r="LZS209" s="21"/>
      <c r="LZT209" s="21"/>
      <c r="LZU209" s="21"/>
      <c r="LZV209" s="21"/>
      <c r="LZW209" s="21"/>
      <c r="LZX209" s="21"/>
      <c r="LZY209" s="21"/>
      <c r="LZZ209" s="21"/>
      <c r="MAA209" s="21"/>
      <c r="MAB209" s="21"/>
      <c r="MAC209" s="21"/>
      <c r="MAD209" s="21"/>
      <c r="MAE209" s="21"/>
      <c r="MAF209" s="21"/>
      <c r="MAG209" s="21"/>
      <c r="MAH209" s="21"/>
      <c r="MAI209" s="21"/>
      <c r="MAJ209" s="21"/>
      <c r="MAK209" s="21"/>
      <c r="MAL209" s="21"/>
      <c r="MAM209" s="21"/>
      <c r="MAN209" s="21"/>
      <c r="MAO209" s="21"/>
      <c r="MAP209" s="21"/>
      <c r="MAQ209" s="21"/>
      <c r="MAR209" s="21"/>
      <c r="MAS209" s="21"/>
      <c r="MAT209" s="21"/>
      <c r="MAU209" s="21"/>
      <c r="MAV209" s="21"/>
      <c r="MAW209" s="21"/>
      <c r="MAX209" s="21"/>
      <c r="MAY209" s="21"/>
      <c r="MAZ209" s="21"/>
      <c r="MBA209" s="21"/>
      <c r="MBB209" s="21"/>
      <c r="MBC209" s="21"/>
      <c r="MBD209" s="21"/>
      <c r="MBE209" s="21"/>
      <c r="MBF209" s="21"/>
      <c r="MBG209" s="21"/>
      <c r="MBH209" s="21"/>
      <c r="MBI209" s="21"/>
      <c r="MBJ209" s="21"/>
      <c r="MBK209" s="21"/>
      <c r="MBL209" s="21"/>
      <c r="MBM209" s="21"/>
      <c r="MBN209" s="21"/>
      <c r="MBO209" s="21"/>
      <c r="MBP209" s="21"/>
      <c r="MBQ209" s="21"/>
      <c r="MBR209" s="21"/>
      <c r="MBS209" s="21"/>
      <c r="MBT209" s="21"/>
      <c r="MBU209" s="21"/>
      <c r="MBV209" s="21"/>
      <c r="MBW209" s="21"/>
      <c r="MBX209" s="21"/>
      <c r="MBY209" s="21"/>
      <c r="MBZ209" s="21"/>
      <c r="MCA209" s="21"/>
      <c r="MCB209" s="21"/>
      <c r="MCC209" s="21"/>
      <c r="MCD209" s="21"/>
      <c r="MCE209" s="21"/>
      <c r="MCF209" s="21"/>
      <c r="MCG209" s="21"/>
      <c r="MCH209" s="21"/>
      <c r="MCI209" s="21"/>
      <c r="MCJ209" s="21"/>
      <c r="MCK209" s="21"/>
      <c r="MCL209" s="21"/>
      <c r="MCM209" s="21"/>
      <c r="MCN209" s="21"/>
      <c r="MCO209" s="21"/>
      <c r="MCP209" s="21"/>
      <c r="MCQ209" s="21"/>
      <c r="MCR209" s="21"/>
      <c r="MCS209" s="21"/>
      <c r="MCT209" s="21"/>
      <c r="MCU209" s="21"/>
      <c r="MCV209" s="21"/>
      <c r="MCW209" s="21"/>
      <c r="MCX209" s="21"/>
      <c r="MCY209" s="21"/>
      <c r="MCZ209" s="21"/>
      <c r="MDA209" s="21"/>
      <c r="MDB209" s="21"/>
      <c r="MDC209" s="21"/>
      <c r="MDD209" s="21"/>
      <c r="MDE209" s="21"/>
      <c r="MDF209" s="21"/>
      <c r="MDG209" s="21"/>
      <c r="MDH209" s="21"/>
      <c r="MDI209" s="21"/>
      <c r="MDJ209" s="21"/>
      <c r="MDK209" s="21"/>
      <c r="MDL209" s="21"/>
      <c r="MDM209" s="21"/>
      <c r="MDN209" s="21"/>
      <c r="MDO209" s="21"/>
      <c r="MDP209" s="21"/>
      <c r="MDQ209" s="21"/>
      <c r="MDR209" s="21"/>
      <c r="MDS209" s="21"/>
      <c r="MDT209" s="21"/>
      <c r="MDU209" s="21"/>
      <c r="MDV209" s="21"/>
      <c r="MDW209" s="21"/>
      <c r="MDX209" s="21"/>
      <c r="MDY209" s="21"/>
      <c r="MDZ209" s="21"/>
      <c r="MEA209" s="21"/>
      <c r="MEB209" s="21"/>
      <c r="MEC209" s="21"/>
      <c r="MED209" s="21"/>
      <c r="MEE209" s="21"/>
      <c r="MEF209" s="21"/>
      <c r="MEG209" s="21"/>
      <c r="MEH209" s="21"/>
      <c r="MEI209" s="21"/>
      <c r="MEJ209" s="21"/>
      <c r="MEK209" s="21"/>
      <c r="MEL209" s="21"/>
      <c r="MEM209" s="21"/>
      <c r="MEN209" s="21"/>
      <c r="MEO209" s="21"/>
      <c r="MEP209" s="21"/>
      <c r="MEQ209" s="21"/>
      <c r="MER209" s="21"/>
      <c r="MES209" s="21"/>
      <c r="MET209" s="21"/>
      <c r="MEU209" s="21"/>
      <c r="MEV209" s="21"/>
      <c r="MEW209" s="21"/>
      <c r="MEX209" s="21"/>
      <c r="MEY209" s="21"/>
      <c r="MEZ209" s="21"/>
      <c r="MFA209" s="21"/>
      <c r="MFB209" s="21"/>
      <c r="MFC209" s="21"/>
      <c r="MFD209" s="21"/>
      <c r="MFE209" s="21"/>
      <c r="MFF209" s="21"/>
      <c r="MFG209" s="21"/>
      <c r="MFH209" s="21"/>
      <c r="MFI209" s="21"/>
      <c r="MFJ209" s="21"/>
      <c r="MFK209" s="21"/>
      <c r="MFL209" s="21"/>
      <c r="MFM209" s="21"/>
      <c r="MFN209" s="21"/>
      <c r="MFO209" s="21"/>
      <c r="MFP209" s="21"/>
      <c r="MFQ209" s="21"/>
      <c r="MFR209" s="21"/>
      <c r="MFS209" s="21"/>
      <c r="MFT209" s="21"/>
      <c r="MFU209" s="21"/>
      <c r="MFV209" s="21"/>
      <c r="MFW209" s="21"/>
      <c r="MFX209" s="21"/>
      <c r="MFY209" s="21"/>
      <c r="MFZ209" s="21"/>
      <c r="MGA209" s="21"/>
      <c r="MGB209" s="21"/>
      <c r="MGC209" s="21"/>
      <c r="MGD209" s="21"/>
      <c r="MGE209" s="21"/>
      <c r="MGF209" s="21"/>
      <c r="MGG209" s="21"/>
      <c r="MGH209" s="21"/>
      <c r="MGI209" s="21"/>
      <c r="MGJ209" s="21"/>
      <c r="MGK209" s="21"/>
      <c r="MGL209" s="21"/>
      <c r="MGM209" s="21"/>
      <c r="MGN209" s="21"/>
      <c r="MGO209" s="21"/>
      <c r="MGP209" s="21"/>
      <c r="MGQ209" s="21"/>
      <c r="MGR209" s="21"/>
      <c r="MGS209" s="21"/>
      <c r="MGT209" s="21"/>
      <c r="MGU209" s="21"/>
      <c r="MGV209" s="21"/>
      <c r="MGW209" s="21"/>
      <c r="MGX209" s="21"/>
      <c r="MGY209" s="21"/>
      <c r="MGZ209" s="21"/>
      <c r="MHA209" s="21"/>
      <c r="MHB209" s="21"/>
      <c r="MHC209" s="21"/>
      <c r="MHD209" s="21"/>
      <c r="MHE209" s="21"/>
      <c r="MHF209" s="21"/>
      <c r="MHG209" s="21"/>
      <c r="MHH209" s="21"/>
      <c r="MHI209" s="21"/>
      <c r="MHJ209" s="21"/>
      <c r="MHK209" s="21"/>
      <c r="MHL209" s="21"/>
      <c r="MHM209" s="21"/>
      <c r="MHN209" s="21"/>
      <c r="MHO209" s="21"/>
      <c r="MHP209" s="21"/>
      <c r="MHQ209" s="21"/>
      <c r="MHR209" s="21"/>
      <c r="MHS209" s="21"/>
      <c r="MHT209" s="21"/>
      <c r="MHU209" s="21"/>
      <c r="MHV209" s="21"/>
      <c r="MHW209" s="21"/>
      <c r="MHX209" s="21"/>
      <c r="MHY209" s="21"/>
      <c r="MHZ209" s="21"/>
      <c r="MIA209" s="21"/>
      <c r="MIB209" s="21"/>
      <c r="MIC209" s="21"/>
      <c r="MID209" s="21"/>
      <c r="MIE209" s="21"/>
      <c r="MIF209" s="21"/>
      <c r="MIG209" s="21"/>
      <c r="MIH209" s="21"/>
      <c r="MII209" s="21"/>
      <c r="MIJ209" s="21"/>
      <c r="MIK209" s="21"/>
      <c r="MIL209" s="21"/>
      <c r="MIM209" s="21"/>
      <c r="MIN209" s="21"/>
      <c r="MIO209" s="21"/>
      <c r="MIP209" s="21"/>
      <c r="MIQ209" s="21"/>
      <c r="MIR209" s="21"/>
      <c r="MIS209" s="21"/>
      <c r="MIT209" s="21"/>
      <c r="MIU209" s="21"/>
      <c r="MIV209" s="21"/>
      <c r="MIW209" s="21"/>
      <c r="MIX209" s="21"/>
      <c r="MIY209" s="21"/>
      <c r="MIZ209" s="21"/>
      <c r="MJA209" s="21"/>
      <c r="MJB209" s="21"/>
      <c r="MJC209" s="21"/>
      <c r="MJD209" s="21"/>
      <c r="MJE209" s="21"/>
      <c r="MJF209" s="21"/>
      <c r="MJG209" s="21"/>
      <c r="MJH209" s="21"/>
      <c r="MJI209" s="21"/>
      <c r="MJJ209" s="21"/>
      <c r="MJK209" s="21"/>
      <c r="MJL209" s="21"/>
      <c r="MJM209" s="21"/>
      <c r="MJN209" s="21"/>
      <c r="MJO209" s="21"/>
      <c r="MJP209" s="21"/>
      <c r="MJQ209" s="21"/>
      <c r="MJR209" s="21"/>
      <c r="MJS209" s="21"/>
      <c r="MJT209" s="21"/>
      <c r="MJU209" s="21"/>
      <c r="MJV209" s="21"/>
      <c r="MJW209" s="21"/>
      <c r="MJX209" s="21"/>
      <c r="MJY209" s="21"/>
      <c r="MJZ209" s="21"/>
      <c r="MKA209" s="21"/>
      <c r="MKB209" s="21"/>
      <c r="MKC209" s="21"/>
      <c r="MKD209" s="21"/>
      <c r="MKE209" s="21"/>
      <c r="MKF209" s="21"/>
      <c r="MKG209" s="21"/>
      <c r="MKH209" s="21"/>
      <c r="MKI209" s="21"/>
      <c r="MKJ209" s="21"/>
      <c r="MKK209" s="21"/>
      <c r="MKL209" s="21"/>
      <c r="MKM209" s="21"/>
      <c r="MKN209" s="21"/>
      <c r="MKO209" s="21"/>
      <c r="MKP209" s="21"/>
      <c r="MKQ209" s="21"/>
      <c r="MKR209" s="21"/>
      <c r="MKS209" s="21"/>
      <c r="MKT209" s="21"/>
      <c r="MKU209" s="21"/>
      <c r="MKV209" s="21"/>
      <c r="MKW209" s="21"/>
      <c r="MKX209" s="21"/>
      <c r="MKY209" s="21"/>
      <c r="MKZ209" s="21"/>
      <c r="MLA209" s="21"/>
      <c r="MLB209" s="21"/>
      <c r="MLC209" s="21"/>
      <c r="MLD209" s="21"/>
      <c r="MLE209" s="21"/>
      <c r="MLF209" s="21"/>
      <c r="MLG209" s="21"/>
      <c r="MLH209" s="21"/>
      <c r="MLI209" s="21"/>
      <c r="MLJ209" s="21"/>
      <c r="MLK209" s="21"/>
      <c r="MLL209" s="21"/>
      <c r="MLM209" s="21"/>
      <c r="MLN209" s="21"/>
      <c r="MLO209" s="21"/>
      <c r="MLP209" s="21"/>
      <c r="MLQ209" s="21"/>
      <c r="MLR209" s="21"/>
      <c r="MLS209" s="21"/>
      <c r="MLT209" s="21"/>
      <c r="MLU209" s="21"/>
      <c r="MLV209" s="21"/>
      <c r="MLW209" s="21"/>
      <c r="MLX209" s="21"/>
      <c r="MLY209" s="21"/>
      <c r="MLZ209" s="21"/>
      <c r="MMA209" s="21"/>
      <c r="MMB209" s="21"/>
      <c r="MMC209" s="21"/>
      <c r="MMD209" s="21"/>
      <c r="MME209" s="21"/>
      <c r="MMF209" s="21"/>
      <c r="MMG209" s="21"/>
      <c r="MMH209" s="21"/>
      <c r="MMI209" s="21"/>
      <c r="MMJ209" s="21"/>
      <c r="MMK209" s="21"/>
      <c r="MML209" s="21"/>
      <c r="MMM209" s="21"/>
      <c r="MMN209" s="21"/>
      <c r="MMO209" s="21"/>
      <c r="MMP209" s="21"/>
      <c r="MMQ209" s="21"/>
      <c r="MMR209" s="21"/>
      <c r="MMS209" s="21"/>
      <c r="MMT209" s="21"/>
      <c r="MMU209" s="21"/>
      <c r="MMV209" s="21"/>
      <c r="MMW209" s="21"/>
      <c r="MMX209" s="21"/>
      <c r="MMY209" s="21"/>
      <c r="MMZ209" s="21"/>
      <c r="MNA209" s="21"/>
      <c r="MNB209" s="21"/>
      <c r="MNC209" s="21"/>
      <c r="MND209" s="21"/>
      <c r="MNE209" s="21"/>
      <c r="MNF209" s="21"/>
      <c r="MNG209" s="21"/>
      <c r="MNH209" s="21"/>
      <c r="MNI209" s="21"/>
      <c r="MNJ209" s="21"/>
      <c r="MNK209" s="21"/>
      <c r="MNL209" s="21"/>
      <c r="MNM209" s="21"/>
      <c r="MNN209" s="21"/>
      <c r="MNO209" s="21"/>
      <c r="MNP209" s="21"/>
      <c r="MNQ209" s="21"/>
      <c r="MNR209" s="21"/>
      <c r="MNS209" s="21"/>
      <c r="MNT209" s="21"/>
      <c r="MNU209" s="21"/>
      <c r="MNV209" s="21"/>
      <c r="MNW209" s="21"/>
      <c r="MNX209" s="21"/>
      <c r="MNY209" s="21"/>
      <c r="MNZ209" s="21"/>
      <c r="MOA209" s="21"/>
      <c r="MOB209" s="21"/>
      <c r="MOC209" s="21"/>
      <c r="MOD209" s="21"/>
      <c r="MOE209" s="21"/>
      <c r="MOF209" s="21"/>
      <c r="MOG209" s="21"/>
      <c r="MOH209" s="21"/>
      <c r="MOI209" s="21"/>
      <c r="MOJ209" s="21"/>
      <c r="MOK209" s="21"/>
      <c r="MOL209" s="21"/>
      <c r="MOM209" s="21"/>
      <c r="MON209" s="21"/>
      <c r="MOO209" s="21"/>
      <c r="MOP209" s="21"/>
      <c r="MOQ209" s="21"/>
      <c r="MOR209" s="21"/>
      <c r="MOS209" s="21"/>
      <c r="MOT209" s="21"/>
      <c r="MOU209" s="21"/>
      <c r="MOV209" s="21"/>
      <c r="MOW209" s="21"/>
      <c r="MOX209" s="21"/>
      <c r="MOY209" s="21"/>
      <c r="MOZ209" s="21"/>
      <c r="MPA209" s="21"/>
      <c r="MPB209" s="21"/>
      <c r="MPC209" s="21"/>
      <c r="MPD209" s="21"/>
      <c r="MPE209" s="21"/>
      <c r="MPF209" s="21"/>
      <c r="MPG209" s="21"/>
      <c r="MPH209" s="21"/>
      <c r="MPI209" s="21"/>
      <c r="MPJ209" s="21"/>
      <c r="MPK209" s="21"/>
      <c r="MPL209" s="21"/>
      <c r="MPM209" s="21"/>
      <c r="MPN209" s="21"/>
      <c r="MPO209" s="21"/>
      <c r="MPP209" s="21"/>
      <c r="MPQ209" s="21"/>
      <c r="MPR209" s="21"/>
      <c r="MPS209" s="21"/>
      <c r="MPT209" s="21"/>
      <c r="MPU209" s="21"/>
      <c r="MPV209" s="21"/>
      <c r="MPW209" s="21"/>
      <c r="MPX209" s="21"/>
      <c r="MPY209" s="21"/>
      <c r="MPZ209" s="21"/>
      <c r="MQA209" s="21"/>
      <c r="MQB209" s="21"/>
      <c r="MQC209" s="21"/>
      <c r="MQD209" s="21"/>
      <c r="MQE209" s="21"/>
      <c r="MQF209" s="21"/>
      <c r="MQG209" s="21"/>
      <c r="MQH209" s="21"/>
      <c r="MQI209" s="21"/>
      <c r="MQJ209" s="21"/>
      <c r="MQK209" s="21"/>
      <c r="MQL209" s="21"/>
      <c r="MQM209" s="21"/>
      <c r="MQN209" s="21"/>
      <c r="MQO209" s="21"/>
      <c r="MQP209" s="21"/>
      <c r="MQQ209" s="21"/>
      <c r="MQR209" s="21"/>
      <c r="MQS209" s="21"/>
      <c r="MQT209" s="21"/>
      <c r="MQU209" s="21"/>
      <c r="MQV209" s="21"/>
      <c r="MQW209" s="21"/>
      <c r="MQX209" s="21"/>
      <c r="MQY209" s="21"/>
      <c r="MQZ209" s="21"/>
      <c r="MRA209" s="21"/>
      <c r="MRB209" s="21"/>
      <c r="MRC209" s="21"/>
      <c r="MRD209" s="21"/>
      <c r="MRE209" s="21"/>
      <c r="MRF209" s="21"/>
      <c r="MRG209" s="21"/>
      <c r="MRH209" s="21"/>
      <c r="MRI209" s="21"/>
      <c r="MRJ209" s="21"/>
      <c r="MRK209" s="21"/>
      <c r="MRL209" s="21"/>
      <c r="MRM209" s="21"/>
      <c r="MRN209" s="21"/>
      <c r="MRO209" s="21"/>
      <c r="MRP209" s="21"/>
      <c r="MRQ209" s="21"/>
      <c r="MRR209" s="21"/>
      <c r="MRS209" s="21"/>
      <c r="MRT209" s="21"/>
      <c r="MRU209" s="21"/>
      <c r="MRV209" s="21"/>
      <c r="MRW209" s="21"/>
      <c r="MRX209" s="21"/>
      <c r="MRY209" s="21"/>
      <c r="MRZ209" s="21"/>
      <c r="MSA209" s="21"/>
      <c r="MSB209" s="21"/>
      <c r="MSC209" s="21"/>
      <c r="MSD209" s="21"/>
      <c r="MSE209" s="21"/>
      <c r="MSF209" s="21"/>
      <c r="MSG209" s="21"/>
      <c r="MSH209" s="21"/>
      <c r="MSI209" s="21"/>
      <c r="MSJ209" s="21"/>
      <c r="MSK209" s="21"/>
      <c r="MSL209" s="21"/>
      <c r="MSM209" s="21"/>
      <c r="MSN209" s="21"/>
      <c r="MSO209" s="21"/>
      <c r="MSP209" s="21"/>
      <c r="MSQ209" s="21"/>
      <c r="MSR209" s="21"/>
      <c r="MSS209" s="21"/>
      <c r="MST209" s="21"/>
      <c r="MSU209" s="21"/>
      <c r="MSV209" s="21"/>
      <c r="MSW209" s="21"/>
      <c r="MSX209" s="21"/>
      <c r="MSY209" s="21"/>
      <c r="MSZ209" s="21"/>
      <c r="MTA209" s="21"/>
      <c r="MTB209" s="21"/>
      <c r="MTC209" s="21"/>
      <c r="MTD209" s="21"/>
      <c r="MTE209" s="21"/>
      <c r="MTF209" s="21"/>
      <c r="MTG209" s="21"/>
      <c r="MTH209" s="21"/>
      <c r="MTI209" s="21"/>
      <c r="MTJ209" s="21"/>
      <c r="MTK209" s="21"/>
      <c r="MTL209" s="21"/>
      <c r="MTM209" s="21"/>
      <c r="MTN209" s="21"/>
      <c r="MTO209" s="21"/>
      <c r="MTP209" s="21"/>
      <c r="MTQ209" s="21"/>
      <c r="MTR209" s="21"/>
      <c r="MTS209" s="21"/>
      <c r="MTT209" s="21"/>
      <c r="MTU209" s="21"/>
      <c r="MTV209" s="21"/>
      <c r="MTW209" s="21"/>
      <c r="MTX209" s="21"/>
      <c r="MTY209" s="21"/>
      <c r="MTZ209" s="21"/>
      <c r="MUA209" s="21"/>
      <c r="MUB209" s="21"/>
      <c r="MUC209" s="21"/>
      <c r="MUD209" s="21"/>
      <c r="MUE209" s="21"/>
      <c r="MUF209" s="21"/>
      <c r="MUG209" s="21"/>
      <c r="MUH209" s="21"/>
      <c r="MUI209" s="21"/>
      <c r="MUJ209" s="21"/>
      <c r="MUK209" s="21"/>
      <c r="MUL209" s="21"/>
      <c r="MUM209" s="21"/>
      <c r="MUN209" s="21"/>
      <c r="MUO209" s="21"/>
      <c r="MUP209" s="21"/>
      <c r="MUQ209" s="21"/>
      <c r="MUR209" s="21"/>
      <c r="MUS209" s="21"/>
      <c r="MUT209" s="21"/>
      <c r="MUU209" s="21"/>
      <c r="MUV209" s="21"/>
      <c r="MUW209" s="21"/>
      <c r="MUX209" s="21"/>
      <c r="MUY209" s="21"/>
      <c r="MUZ209" s="21"/>
      <c r="MVA209" s="21"/>
      <c r="MVB209" s="21"/>
      <c r="MVC209" s="21"/>
      <c r="MVD209" s="21"/>
      <c r="MVE209" s="21"/>
      <c r="MVF209" s="21"/>
      <c r="MVG209" s="21"/>
      <c r="MVH209" s="21"/>
      <c r="MVI209" s="21"/>
      <c r="MVJ209" s="21"/>
      <c r="MVK209" s="21"/>
      <c r="MVL209" s="21"/>
      <c r="MVM209" s="21"/>
      <c r="MVN209" s="21"/>
      <c r="MVO209" s="21"/>
      <c r="MVP209" s="21"/>
      <c r="MVQ209" s="21"/>
      <c r="MVR209" s="21"/>
      <c r="MVS209" s="21"/>
      <c r="MVT209" s="21"/>
      <c r="MVU209" s="21"/>
      <c r="MVV209" s="21"/>
      <c r="MVW209" s="21"/>
      <c r="MVX209" s="21"/>
      <c r="MVY209" s="21"/>
      <c r="MVZ209" s="21"/>
      <c r="MWA209" s="21"/>
      <c r="MWB209" s="21"/>
      <c r="MWC209" s="21"/>
      <c r="MWD209" s="21"/>
      <c r="MWE209" s="21"/>
      <c r="MWF209" s="21"/>
      <c r="MWG209" s="21"/>
      <c r="MWH209" s="21"/>
      <c r="MWI209" s="21"/>
      <c r="MWJ209" s="21"/>
      <c r="MWK209" s="21"/>
      <c r="MWL209" s="21"/>
      <c r="MWM209" s="21"/>
      <c r="MWN209" s="21"/>
      <c r="MWO209" s="21"/>
      <c r="MWP209" s="21"/>
      <c r="MWQ209" s="21"/>
      <c r="MWR209" s="21"/>
      <c r="MWS209" s="21"/>
      <c r="MWT209" s="21"/>
      <c r="MWU209" s="21"/>
      <c r="MWV209" s="21"/>
      <c r="MWW209" s="21"/>
      <c r="MWX209" s="21"/>
      <c r="MWY209" s="21"/>
      <c r="MWZ209" s="21"/>
      <c r="MXA209" s="21"/>
      <c r="MXB209" s="21"/>
      <c r="MXC209" s="21"/>
      <c r="MXD209" s="21"/>
      <c r="MXE209" s="21"/>
      <c r="MXF209" s="21"/>
      <c r="MXG209" s="21"/>
      <c r="MXH209" s="21"/>
      <c r="MXI209" s="21"/>
      <c r="MXJ209" s="21"/>
      <c r="MXK209" s="21"/>
      <c r="MXL209" s="21"/>
      <c r="MXM209" s="21"/>
      <c r="MXN209" s="21"/>
      <c r="MXO209" s="21"/>
      <c r="MXP209" s="21"/>
      <c r="MXQ209" s="21"/>
      <c r="MXR209" s="21"/>
      <c r="MXS209" s="21"/>
      <c r="MXT209" s="21"/>
      <c r="MXU209" s="21"/>
      <c r="MXV209" s="21"/>
      <c r="MXW209" s="21"/>
      <c r="MXX209" s="21"/>
      <c r="MXY209" s="21"/>
      <c r="MXZ209" s="21"/>
      <c r="MYA209" s="21"/>
      <c r="MYB209" s="21"/>
      <c r="MYC209" s="21"/>
      <c r="MYD209" s="21"/>
      <c r="MYE209" s="21"/>
      <c r="MYF209" s="21"/>
      <c r="MYG209" s="21"/>
      <c r="MYH209" s="21"/>
      <c r="MYI209" s="21"/>
      <c r="MYJ209" s="21"/>
      <c r="MYK209" s="21"/>
      <c r="MYL209" s="21"/>
      <c r="MYM209" s="21"/>
      <c r="MYN209" s="21"/>
      <c r="MYO209" s="21"/>
      <c r="MYP209" s="21"/>
      <c r="MYQ209" s="21"/>
      <c r="MYR209" s="21"/>
      <c r="MYS209" s="21"/>
      <c r="MYT209" s="21"/>
      <c r="MYU209" s="21"/>
      <c r="MYV209" s="21"/>
      <c r="MYW209" s="21"/>
      <c r="MYX209" s="21"/>
      <c r="MYY209" s="21"/>
      <c r="MYZ209" s="21"/>
      <c r="MZA209" s="21"/>
      <c r="MZB209" s="21"/>
      <c r="MZC209" s="21"/>
      <c r="MZD209" s="21"/>
      <c r="MZE209" s="21"/>
      <c r="MZF209" s="21"/>
      <c r="MZG209" s="21"/>
      <c r="MZH209" s="21"/>
      <c r="MZI209" s="21"/>
      <c r="MZJ209" s="21"/>
      <c r="MZK209" s="21"/>
      <c r="MZL209" s="21"/>
      <c r="MZM209" s="21"/>
      <c r="MZN209" s="21"/>
      <c r="MZO209" s="21"/>
      <c r="MZP209" s="21"/>
      <c r="MZQ209" s="21"/>
      <c r="MZR209" s="21"/>
      <c r="MZS209" s="21"/>
      <c r="MZT209" s="21"/>
      <c r="MZU209" s="21"/>
      <c r="MZV209" s="21"/>
      <c r="MZW209" s="21"/>
      <c r="MZX209" s="21"/>
      <c r="MZY209" s="21"/>
      <c r="MZZ209" s="21"/>
      <c r="NAA209" s="21"/>
      <c r="NAB209" s="21"/>
      <c r="NAC209" s="21"/>
      <c r="NAD209" s="21"/>
      <c r="NAE209" s="21"/>
      <c r="NAF209" s="21"/>
      <c r="NAG209" s="21"/>
      <c r="NAH209" s="21"/>
      <c r="NAI209" s="21"/>
      <c r="NAJ209" s="21"/>
      <c r="NAK209" s="21"/>
      <c r="NAL209" s="21"/>
      <c r="NAM209" s="21"/>
      <c r="NAN209" s="21"/>
      <c r="NAO209" s="21"/>
      <c r="NAP209" s="21"/>
      <c r="NAQ209" s="21"/>
      <c r="NAR209" s="21"/>
      <c r="NAS209" s="21"/>
      <c r="NAT209" s="21"/>
      <c r="NAU209" s="21"/>
      <c r="NAV209" s="21"/>
      <c r="NAW209" s="21"/>
      <c r="NAX209" s="21"/>
      <c r="NAY209" s="21"/>
      <c r="NAZ209" s="21"/>
      <c r="NBA209" s="21"/>
      <c r="NBB209" s="21"/>
      <c r="NBC209" s="21"/>
      <c r="NBD209" s="21"/>
      <c r="NBE209" s="21"/>
      <c r="NBF209" s="21"/>
      <c r="NBG209" s="21"/>
      <c r="NBH209" s="21"/>
      <c r="NBI209" s="21"/>
      <c r="NBJ209" s="21"/>
      <c r="NBK209" s="21"/>
      <c r="NBL209" s="21"/>
      <c r="NBM209" s="21"/>
      <c r="NBN209" s="21"/>
      <c r="NBO209" s="21"/>
      <c r="NBP209" s="21"/>
      <c r="NBQ209" s="21"/>
      <c r="NBR209" s="21"/>
      <c r="NBS209" s="21"/>
      <c r="NBT209" s="21"/>
      <c r="NBU209" s="21"/>
      <c r="NBV209" s="21"/>
      <c r="NBW209" s="21"/>
      <c r="NBX209" s="21"/>
      <c r="NBY209" s="21"/>
      <c r="NBZ209" s="21"/>
      <c r="NCA209" s="21"/>
      <c r="NCB209" s="21"/>
      <c r="NCC209" s="21"/>
      <c r="NCD209" s="21"/>
      <c r="NCE209" s="21"/>
      <c r="NCF209" s="21"/>
      <c r="NCG209" s="21"/>
      <c r="NCH209" s="21"/>
      <c r="NCI209" s="21"/>
      <c r="NCJ209" s="21"/>
      <c r="NCK209" s="21"/>
      <c r="NCL209" s="21"/>
      <c r="NCM209" s="21"/>
      <c r="NCN209" s="21"/>
      <c r="NCO209" s="21"/>
      <c r="NCP209" s="21"/>
      <c r="NCQ209" s="21"/>
      <c r="NCR209" s="21"/>
      <c r="NCS209" s="21"/>
      <c r="NCT209" s="21"/>
      <c r="NCU209" s="21"/>
      <c r="NCV209" s="21"/>
      <c r="NCW209" s="21"/>
      <c r="NCX209" s="21"/>
      <c r="NCY209" s="21"/>
      <c r="NCZ209" s="21"/>
      <c r="NDA209" s="21"/>
      <c r="NDB209" s="21"/>
      <c r="NDC209" s="21"/>
      <c r="NDD209" s="21"/>
      <c r="NDE209" s="21"/>
      <c r="NDF209" s="21"/>
      <c r="NDG209" s="21"/>
      <c r="NDH209" s="21"/>
      <c r="NDI209" s="21"/>
      <c r="NDJ209" s="21"/>
      <c r="NDK209" s="21"/>
      <c r="NDL209" s="21"/>
      <c r="NDM209" s="21"/>
      <c r="NDN209" s="21"/>
      <c r="NDO209" s="21"/>
      <c r="NDP209" s="21"/>
      <c r="NDQ209" s="21"/>
      <c r="NDR209" s="21"/>
      <c r="NDS209" s="21"/>
      <c r="NDT209" s="21"/>
      <c r="NDU209" s="21"/>
      <c r="NDV209" s="21"/>
      <c r="NDW209" s="21"/>
      <c r="NDX209" s="21"/>
      <c r="NDY209" s="21"/>
      <c r="NDZ209" s="21"/>
      <c r="NEA209" s="21"/>
      <c r="NEB209" s="21"/>
      <c r="NEC209" s="21"/>
      <c r="NED209" s="21"/>
      <c r="NEE209" s="21"/>
      <c r="NEF209" s="21"/>
      <c r="NEG209" s="21"/>
      <c r="NEH209" s="21"/>
      <c r="NEI209" s="21"/>
      <c r="NEJ209" s="21"/>
      <c r="NEK209" s="21"/>
      <c r="NEL209" s="21"/>
      <c r="NEM209" s="21"/>
      <c r="NEN209" s="21"/>
      <c r="NEO209" s="21"/>
      <c r="NEP209" s="21"/>
      <c r="NEQ209" s="21"/>
      <c r="NER209" s="21"/>
      <c r="NES209" s="21"/>
      <c r="NET209" s="21"/>
      <c r="NEU209" s="21"/>
      <c r="NEV209" s="21"/>
      <c r="NEW209" s="21"/>
      <c r="NEX209" s="21"/>
      <c r="NEY209" s="21"/>
      <c r="NEZ209" s="21"/>
      <c r="NFA209" s="21"/>
      <c r="NFB209" s="21"/>
      <c r="NFC209" s="21"/>
      <c r="NFD209" s="21"/>
      <c r="NFE209" s="21"/>
      <c r="NFF209" s="21"/>
      <c r="NFG209" s="21"/>
      <c r="NFH209" s="21"/>
      <c r="NFI209" s="21"/>
      <c r="NFJ209" s="21"/>
      <c r="NFK209" s="21"/>
      <c r="NFL209" s="21"/>
      <c r="NFM209" s="21"/>
      <c r="NFN209" s="21"/>
      <c r="NFO209" s="21"/>
      <c r="NFP209" s="21"/>
      <c r="NFQ209" s="21"/>
      <c r="NFR209" s="21"/>
      <c r="NFS209" s="21"/>
      <c r="NFT209" s="21"/>
      <c r="NFU209" s="21"/>
      <c r="NFV209" s="21"/>
      <c r="NFW209" s="21"/>
      <c r="NFX209" s="21"/>
      <c r="NFY209" s="21"/>
      <c r="NFZ209" s="21"/>
      <c r="NGA209" s="21"/>
      <c r="NGB209" s="21"/>
      <c r="NGC209" s="21"/>
      <c r="NGD209" s="21"/>
      <c r="NGE209" s="21"/>
      <c r="NGF209" s="21"/>
      <c r="NGG209" s="21"/>
      <c r="NGH209" s="21"/>
      <c r="NGI209" s="21"/>
      <c r="NGJ209" s="21"/>
      <c r="NGK209" s="21"/>
      <c r="NGL209" s="21"/>
      <c r="NGM209" s="21"/>
      <c r="NGN209" s="21"/>
      <c r="NGO209" s="21"/>
      <c r="NGP209" s="21"/>
      <c r="NGQ209" s="21"/>
      <c r="NGR209" s="21"/>
      <c r="NGS209" s="21"/>
      <c r="NGT209" s="21"/>
      <c r="NGU209" s="21"/>
      <c r="NGV209" s="21"/>
      <c r="NGW209" s="21"/>
      <c r="NGX209" s="21"/>
      <c r="NGY209" s="21"/>
      <c r="NGZ209" s="21"/>
      <c r="NHA209" s="21"/>
      <c r="NHB209" s="21"/>
      <c r="NHC209" s="21"/>
      <c r="NHD209" s="21"/>
      <c r="NHE209" s="21"/>
      <c r="NHF209" s="21"/>
      <c r="NHG209" s="21"/>
      <c r="NHH209" s="21"/>
      <c r="NHI209" s="21"/>
      <c r="NHJ209" s="21"/>
      <c r="NHK209" s="21"/>
      <c r="NHL209" s="21"/>
      <c r="NHM209" s="21"/>
      <c r="NHN209" s="21"/>
      <c r="NHO209" s="21"/>
      <c r="NHP209" s="21"/>
      <c r="NHQ209" s="21"/>
      <c r="NHR209" s="21"/>
      <c r="NHS209" s="21"/>
      <c r="NHT209" s="21"/>
      <c r="NHU209" s="21"/>
      <c r="NHV209" s="21"/>
      <c r="NHW209" s="21"/>
      <c r="NHX209" s="21"/>
      <c r="NHY209" s="21"/>
      <c r="NHZ209" s="21"/>
      <c r="NIA209" s="21"/>
      <c r="NIB209" s="21"/>
      <c r="NIC209" s="21"/>
      <c r="NID209" s="21"/>
      <c r="NIE209" s="21"/>
      <c r="NIF209" s="21"/>
      <c r="NIG209" s="21"/>
      <c r="NIH209" s="21"/>
      <c r="NII209" s="21"/>
      <c r="NIJ209" s="21"/>
      <c r="NIK209" s="21"/>
      <c r="NIL209" s="21"/>
      <c r="NIM209" s="21"/>
      <c r="NIN209" s="21"/>
      <c r="NIO209" s="21"/>
      <c r="NIP209" s="21"/>
      <c r="NIQ209" s="21"/>
      <c r="NIR209" s="21"/>
      <c r="NIS209" s="21"/>
      <c r="NIT209" s="21"/>
      <c r="NIU209" s="21"/>
      <c r="NIV209" s="21"/>
      <c r="NIW209" s="21"/>
      <c r="NIX209" s="21"/>
      <c r="NIY209" s="21"/>
      <c r="NIZ209" s="21"/>
      <c r="NJA209" s="21"/>
      <c r="NJB209" s="21"/>
      <c r="NJC209" s="21"/>
      <c r="NJD209" s="21"/>
      <c r="NJE209" s="21"/>
      <c r="NJF209" s="21"/>
      <c r="NJG209" s="21"/>
      <c r="NJH209" s="21"/>
      <c r="NJI209" s="21"/>
      <c r="NJJ209" s="21"/>
      <c r="NJK209" s="21"/>
      <c r="NJL209" s="21"/>
      <c r="NJM209" s="21"/>
      <c r="NJN209" s="21"/>
      <c r="NJO209" s="21"/>
      <c r="NJP209" s="21"/>
      <c r="NJQ209" s="21"/>
      <c r="NJR209" s="21"/>
      <c r="NJS209" s="21"/>
      <c r="NJT209" s="21"/>
      <c r="NJU209" s="21"/>
      <c r="NJV209" s="21"/>
      <c r="NJW209" s="21"/>
      <c r="NJX209" s="21"/>
      <c r="NJY209" s="21"/>
      <c r="NJZ209" s="21"/>
      <c r="NKA209" s="21"/>
      <c r="NKB209" s="21"/>
      <c r="NKC209" s="21"/>
      <c r="NKD209" s="21"/>
      <c r="NKE209" s="21"/>
      <c r="NKF209" s="21"/>
      <c r="NKG209" s="21"/>
      <c r="NKH209" s="21"/>
      <c r="NKI209" s="21"/>
      <c r="NKJ209" s="21"/>
      <c r="NKK209" s="21"/>
      <c r="NKL209" s="21"/>
      <c r="NKM209" s="21"/>
      <c r="NKN209" s="21"/>
      <c r="NKO209" s="21"/>
      <c r="NKP209" s="21"/>
      <c r="NKQ209" s="21"/>
      <c r="NKR209" s="21"/>
      <c r="NKS209" s="21"/>
      <c r="NKT209" s="21"/>
      <c r="NKU209" s="21"/>
      <c r="NKV209" s="21"/>
      <c r="NKW209" s="21"/>
      <c r="NKX209" s="21"/>
      <c r="NKY209" s="21"/>
      <c r="NKZ209" s="21"/>
      <c r="NLA209" s="21"/>
      <c r="NLB209" s="21"/>
      <c r="NLC209" s="21"/>
      <c r="NLD209" s="21"/>
      <c r="NLE209" s="21"/>
      <c r="NLF209" s="21"/>
      <c r="NLG209" s="21"/>
      <c r="NLH209" s="21"/>
      <c r="NLI209" s="21"/>
      <c r="NLJ209" s="21"/>
      <c r="NLK209" s="21"/>
      <c r="NLL209" s="21"/>
      <c r="NLM209" s="21"/>
      <c r="NLN209" s="21"/>
      <c r="NLO209" s="21"/>
      <c r="NLP209" s="21"/>
      <c r="NLQ209" s="21"/>
      <c r="NLR209" s="21"/>
      <c r="NLS209" s="21"/>
      <c r="NLT209" s="21"/>
      <c r="NLU209" s="21"/>
      <c r="NLV209" s="21"/>
      <c r="NLW209" s="21"/>
      <c r="NLX209" s="21"/>
      <c r="NLY209" s="21"/>
      <c r="NLZ209" s="21"/>
      <c r="NMA209" s="21"/>
      <c r="NMB209" s="21"/>
      <c r="NMC209" s="21"/>
      <c r="NMD209" s="21"/>
      <c r="NME209" s="21"/>
      <c r="NMF209" s="21"/>
      <c r="NMG209" s="21"/>
      <c r="NMH209" s="21"/>
      <c r="NMI209" s="21"/>
      <c r="NMJ209" s="21"/>
      <c r="NMK209" s="21"/>
      <c r="NML209" s="21"/>
      <c r="NMM209" s="21"/>
      <c r="NMN209" s="21"/>
      <c r="NMO209" s="21"/>
      <c r="NMP209" s="21"/>
      <c r="NMQ209" s="21"/>
      <c r="NMR209" s="21"/>
      <c r="NMS209" s="21"/>
      <c r="NMT209" s="21"/>
      <c r="NMU209" s="21"/>
      <c r="NMV209" s="21"/>
      <c r="NMW209" s="21"/>
      <c r="NMX209" s="21"/>
      <c r="NMY209" s="21"/>
      <c r="NMZ209" s="21"/>
      <c r="NNA209" s="21"/>
      <c r="NNB209" s="21"/>
      <c r="NNC209" s="21"/>
      <c r="NND209" s="21"/>
      <c r="NNE209" s="21"/>
      <c r="NNF209" s="21"/>
      <c r="NNG209" s="21"/>
      <c r="NNH209" s="21"/>
      <c r="NNI209" s="21"/>
      <c r="NNJ209" s="21"/>
      <c r="NNK209" s="21"/>
      <c r="NNL209" s="21"/>
      <c r="NNM209" s="21"/>
      <c r="NNN209" s="21"/>
      <c r="NNO209" s="21"/>
      <c r="NNP209" s="21"/>
      <c r="NNQ209" s="21"/>
      <c r="NNR209" s="21"/>
      <c r="NNS209" s="21"/>
      <c r="NNT209" s="21"/>
      <c r="NNU209" s="21"/>
      <c r="NNV209" s="21"/>
      <c r="NNW209" s="21"/>
      <c r="NNX209" s="21"/>
      <c r="NNY209" s="21"/>
      <c r="NNZ209" s="21"/>
      <c r="NOA209" s="21"/>
      <c r="NOB209" s="21"/>
      <c r="NOC209" s="21"/>
      <c r="NOD209" s="21"/>
      <c r="NOE209" s="21"/>
      <c r="NOF209" s="21"/>
      <c r="NOG209" s="21"/>
      <c r="NOH209" s="21"/>
      <c r="NOI209" s="21"/>
      <c r="NOJ209" s="21"/>
      <c r="NOK209" s="21"/>
      <c r="NOL209" s="21"/>
      <c r="NOM209" s="21"/>
      <c r="NON209" s="21"/>
      <c r="NOO209" s="21"/>
      <c r="NOP209" s="21"/>
      <c r="NOQ209" s="21"/>
      <c r="NOR209" s="21"/>
      <c r="NOS209" s="21"/>
      <c r="NOT209" s="21"/>
      <c r="NOU209" s="21"/>
      <c r="NOV209" s="21"/>
      <c r="NOW209" s="21"/>
      <c r="NOX209" s="21"/>
      <c r="NOY209" s="21"/>
      <c r="NOZ209" s="21"/>
      <c r="NPA209" s="21"/>
      <c r="NPB209" s="21"/>
      <c r="NPC209" s="21"/>
      <c r="NPD209" s="21"/>
      <c r="NPE209" s="21"/>
      <c r="NPF209" s="21"/>
      <c r="NPG209" s="21"/>
      <c r="NPH209" s="21"/>
      <c r="NPI209" s="21"/>
      <c r="NPJ209" s="21"/>
      <c r="NPK209" s="21"/>
      <c r="NPL209" s="21"/>
      <c r="NPM209" s="21"/>
      <c r="NPN209" s="21"/>
      <c r="NPO209" s="21"/>
      <c r="NPP209" s="21"/>
      <c r="NPQ209" s="21"/>
      <c r="NPR209" s="21"/>
      <c r="NPS209" s="21"/>
      <c r="NPT209" s="21"/>
      <c r="NPU209" s="21"/>
      <c r="NPV209" s="21"/>
      <c r="NPW209" s="21"/>
      <c r="NPX209" s="21"/>
      <c r="NPY209" s="21"/>
      <c r="NPZ209" s="21"/>
      <c r="NQA209" s="21"/>
      <c r="NQB209" s="21"/>
      <c r="NQC209" s="21"/>
      <c r="NQD209" s="21"/>
      <c r="NQE209" s="21"/>
      <c r="NQF209" s="21"/>
      <c r="NQG209" s="21"/>
      <c r="NQH209" s="21"/>
      <c r="NQI209" s="21"/>
      <c r="NQJ209" s="21"/>
      <c r="NQK209" s="21"/>
      <c r="NQL209" s="21"/>
      <c r="NQM209" s="21"/>
      <c r="NQN209" s="21"/>
      <c r="NQO209" s="21"/>
      <c r="NQP209" s="21"/>
      <c r="NQQ209" s="21"/>
      <c r="NQR209" s="21"/>
      <c r="NQS209" s="21"/>
      <c r="NQT209" s="21"/>
      <c r="NQU209" s="21"/>
      <c r="NQV209" s="21"/>
      <c r="NQW209" s="21"/>
      <c r="NQX209" s="21"/>
      <c r="NQY209" s="21"/>
      <c r="NQZ209" s="21"/>
      <c r="NRA209" s="21"/>
      <c r="NRB209" s="21"/>
      <c r="NRC209" s="21"/>
      <c r="NRD209" s="21"/>
      <c r="NRE209" s="21"/>
      <c r="NRF209" s="21"/>
      <c r="NRG209" s="21"/>
      <c r="NRH209" s="21"/>
      <c r="NRI209" s="21"/>
      <c r="NRJ209" s="21"/>
      <c r="NRK209" s="21"/>
      <c r="NRL209" s="21"/>
      <c r="NRM209" s="21"/>
      <c r="NRN209" s="21"/>
      <c r="NRO209" s="21"/>
      <c r="NRP209" s="21"/>
      <c r="NRQ209" s="21"/>
      <c r="NRR209" s="21"/>
      <c r="NRS209" s="21"/>
      <c r="NRT209" s="21"/>
      <c r="NRU209" s="21"/>
      <c r="NRV209" s="21"/>
      <c r="NRW209" s="21"/>
      <c r="NRX209" s="21"/>
      <c r="NRY209" s="21"/>
      <c r="NRZ209" s="21"/>
      <c r="NSA209" s="21"/>
      <c r="NSB209" s="21"/>
      <c r="NSC209" s="21"/>
      <c r="NSD209" s="21"/>
      <c r="NSE209" s="21"/>
      <c r="NSF209" s="21"/>
      <c r="NSG209" s="21"/>
      <c r="NSH209" s="21"/>
      <c r="NSI209" s="21"/>
      <c r="NSJ209" s="21"/>
      <c r="NSK209" s="21"/>
      <c r="NSL209" s="21"/>
      <c r="NSM209" s="21"/>
      <c r="NSN209" s="21"/>
      <c r="NSO209" s="21"/>
      <c r="NSP209" s="21"/>
      <c r="NSQ209" s="21"/>
      <c r="NSR209" s="21"/>
      <c r="NSS209" s="21"/>
      <c r="NST209" s="21"/>
      <c r="NSU209" s="21"/>
      <c r="NSV209" s="21"/>
      <c r="NSW209" s="21"/>
      <c r="NSX209" s="21"/>
      <c r="NSY209" s="21"/>
      <c r="NSZ209" s="21"/>
      <c r="NTA209" s="21"/>
      <c r="NTB209" s="21"/>
      <c r="NTC209" s="21"/>
      <c r="NTD209" s="21"/>
      <c r="NTE209" s="21"/>
      <c r="NTF209" s="21"/>
      <c r="NTG209" s="21"/>
      <c r="NTH209" s="21"/>
      <c r="NTI209" s="21"/>
      <c r="NTJ209" s="21"/>
      <c r="NTK209" s="21"/>
      <c r="NTL209" s="21"/>
      <c r="NTM209" s="21"/>
      <c r="NTN209" s="21"/>
      <c r="NTO209" s="21"/>
      <c r="NTP209" s="21"/>
      <c r="NTQ209" s="21"/>
      <c r="NTR209" s="21"/>
      <c r="NTS209" s="21"/>
      <c r="NTT209" s="21"/>
      <c r="NTU209" s="21"/>
      <c r="NTV209" s="21"/>
      <c r="NTW209" s="21"/>
      <c r="NTX209" s="21"/>
      <c r="NTY209" s="21"/>
      <c r="NTZ209" s="21"/>
      <c r="NUA209" s="21"/>
      <c r="NUB209" s="21"/>
      <c r="NUC209" s="21"/>
      <c r="NUD209" s="21"/>
      <c r="NUE209" s="21"/>
      <c r="NUF209" s="21"/>
      <c r="NUG209" s="21"/>
      <c r="NUH209" s="21"/>
      <c r="NUI209" s="21"/>
      <c r="NUJ209" s="21"/>
      <c r="NUK209" s="21"/>
      <c r="NUL209" s="21"/>
      <c r="NUM209" s="21"/>
      <c r="NUN209" s="21"/>
      <c r="NUO209" s="21"/>
      <c r="NUP209" s="21"/>
      <c r="NUQ209" s="21"/>
      <c r="NUR209" s="21"/>
      <c r="NUS209" s="21"/>
      <c r="NUT209" s="21"/>
      <c r="NUU209" s="21"/>
      <c r="NUV209" s="21"/>
      <c r="NUW209" s="21"/>
      <c r="NUX209" s="21"/>
      <c r="NUY209" s="21"/>
      <c r="NUZ209" s="21"/>
      <c r="NVA209" s="21"/>
      <c r="NVB209" s="21"/>
      <c r="NVC209" s="21"/>
      <c r="NVD209" s="21"/>
      <c r="NVE209" s="21"/>
      <c r="NVF209" s="21"/>
      <c r="NVG209" s="21"/>
      <c r="NVH209" s="21"/>
      <c r="NVI209" s="21"/>
      <c r="NVJ209" s="21"/>
      <c r="NVK209" s="21"/>
      <c r="NVL209" s="21"/>
      <c r="NVM209" s="21"/>
      <c r="NVN209" s="21"/>
      <c r="NVO209" s="21"/>
      <c r="NVP209" s="21"/>
      <c r="NVQ209" s="21"/>
      <c r="NVR209" s="21"/>
      <c r="NVS209" s="21"/>
      <c r="NVT209" s="21"/>
      <c r="NVU209" s="21"/>
      <c r="NVV209" s="21"/>
      <c r="NVW209" s="21"/>
      <c r="NVX209" s="21"/>
      <c r="NVY209" s="21"/>
      <c r="NVZ209" s="21"/>
      <c r="NWA209" s="21"/>
      <c r="NWB209" s="21"/>
      <c r="NWC209" s="21"/>
      <c r="NWD209" s="21"/>
      <c r="NWE209" s="21"/>
      <c r="NWF209" s="21"/>
      <c r="NWG209" s="21"/>
      <c r="NWH209" s="21"/>
      <c r="NWI209" s="21"/>
      <c r="NWJ209" s="21"/>
      <c r="NWK209" s="21"/>
      <c r="NWL209" s="21"/>
      <c r="NWM209" s="21"/>
      <c r="NWN209" s="21"/>
      <c r="NWO209" s="21"/>
      <c r="NWP209" s="21"/>
      <c r="NWQ209" s="21"/>
      <c r="NWR209" s="21"/>
      <c r="NWS209" s="21"/>
      <c r="NWT209" s="21"/>
      <c r="NWU209" s="21"/>
      <c r="NWV209" s="21"/>
      <c r="NWW209" s="21"/>
      <c r="NWX209" s="21"/>
      <c r="NWY209" s="21"/>
      <c r="NWZ209" s="21"/>
      <c r="NXA209" s="21"/>
      <c r="NXB209" s="21"/>
      <c r="NXC209" s="21"/>
      <c r="NXD209" s="21"/>
      <c r="NXE209" s="21"/>
      <c r="NXF209" s="21"/>
      <c r="NXG209" s="21"/>
      <c r="NXH209" s="21"/>
      <c r="NXI209" s="21"/>
      <c r="NXJ209" s="21"/>
      <c r="NXK209" s="21"/>
      <c r="NXL209" s="21"/>
      <c r="NXM209" s="21"/>
      <c r="NXN209" s="21"/>
      <c r="NXO209" s="21"/>
      <c r="NXP209" s="21"/>
      <c r="NXQ209" s="21"/>
      <c r="NXR209" s="21"/>
      <c r="NXS209" s="21"/>
      <c r="NXT209" s="21"/>
      <c r="NXU209" s="21"/>
      <c r="NXV209" s="21"/>
      <c r="NXW209" s="21"/>
      <c r="NXX209" s="21"/>
      <c r="NXY209" s="21"/>
      <c r="NXZ209" s="21"/>
      <c r="NYA209" s="21"/>
      <c r="NYB209" s="21"/>
      <c r="NYC209" s="21"/>
      <c r="NYD209" s="21"/>
      <c r="NYE209" s="21"/>
      <c r="NYF209" s="21"/>
      <c r="NYG209" s="21"/>
      <c r="NYH209" s="21"/>
      <c r="NYI209" s="21"/>
      <c r="NYJ209" s="21"/>
      <c r="NYK209" s="21"/>
      <c r="NYL209" s="21"/>
      <c r="NYM209" s="21"/>
      <c r="NYN209" s="21"/>
      <c r="NYO209" s="21"/>
      <c r="NYP209" s="21"/>
      <c r="NYQ209" s="21"/>
      <c r="NYR209" s="21"/>
      <c r="NYS209" s="21"/>
      <c r="NYT209" s="21"/>
      <c r="NYU209" s="21"/>
      <c r="NYV209" s="21"/>
      <c r="NYW209" s="21"/>
      <c r="NYX209" s="21"/>
      <c r="NYY209" s="21"/>
      <c r="NYZ209" s="21"/>
      <c r="NZA209" s="21"/>
      <c r="NZB209" s="21"/>
      <c r="NZC209" s="21"/>
      <c r="NZD209" s="21"/>
      <c r="NZE209" s="21"/>
      <c r="NZF209" s="21"/>
      <c r="NZG209" s="21"/>
      <c r="NZH209" s="21"/>
      <c r="NZI209" s="21"/>
      <c r="NZJ209" s="21"/>
      <c r="NZK209" s="21"/>
      <c r="NZL209" s="21"/>
      <c r="NZM209" s="21"/>
      <c r="NZN209" s="21"/>
      <c r="NZO209" s="21"/>
      <c r="NZP209" s="21"/>
      <c r="NZQ209" s="21"/>
      <c r="NZR209" s="21"/>
      <c r="NZS209" s="21"/>
      <c r="NZT209" s="21"/>
      <c r="NZU209" s="21"/>
      <c r="NZV209" s="21"/>
      <c r="NZW209" s="21"/>
      <c r="NZX209" s="21"/>
      <c r="NZY209" s="21"/>
      <c r="NZZ209" s="21"/>
      <c r="OAA209" s="21"/>
      <c r="OAB209" s="21"/>
      <c r="OAC209" s="21"/>
      <c r="OAD209" s="21"/>
      <c r="OAE209" s="21"/>
      <c r="OAF209" s="21"/>
      <c r="OAG209" s="21"/>
      <c r="OAH209" s="21"/>
      <c r="OAI209" s="21"/>
      <c r="OAJ209" s="21"/>
      <c r="OAK209" s="21"/>
      <c r="OAL209" s="21"/>
      <c r="OAM209" s="21"/>
      <c r="OAN209" s="21"/>
      <c r="OAO209" s="21"/>
      <c r="OAP209" s="21"/>
      <c r="OAQ209" s="21"/>
      <c r="OAR209" s="21"/>
      <c r="OAS209" s="21"/>
      <c r="OAT209" s="21"/>
      <c r="OAU209" s="21"/>
      <c r="OAV209" s="21"/>
      <c r="OAW209" s="21"/>
      <c r="OAX209" s="21"/>
      <c r="OAY209" s="21"/>
      <c r="OAZ209" s="21"/>
      <c r="OBA209" s="21"/>
      <c r="OBB209" s="21"/>
      <c r="OBC209" s="21"/>
      <c r="OBD209" s="21"/>
      <c r="OBE209" s="21"/>
      <c r="OBF209" s="21"/>
      <c r="OBG209" s="21"/>
      <c r="OBH209" s="21"/>
      <c r="OBI209" s="21"/>
      <c r="OBJ209" s="21"/>
      <c r="OBK209" s="21"/>
      <c r="OBL209" s="21"/>
      <c r="OBM209" s="21"/>
      <c r="OBN209" s="21"/>
      <c r="OBO209" s="21"/>
      <c r="OBP209" s="21"/>
      <c r="OBQ209" s="21"/>
      <c r="OBR209" s="21"/>
      <c r="OBS209" s="21"/>
      <c r="OBT209" s="21"/>
      <c r="OBU209" s="21"/>
      <c r="OBV209" s="21"/>
      <c r="OBW209" s="21"/>
      <c r="OBX209" s="21"/>
      <c r="OBY209" s="21"/>
      <c r="OBZ209" s="21"/>
      <c r="OCA209" s="21"/>
      <c r="OCB209" s="21"/>
      <c r="OCC209" s="21"/>
      <c r="OCD209" s="21"/>
      <c r="OCE209" s="21"/>
      <c r="OCF209" s="21"/>
      <c r="OCG209" s="21"/>
      <c r="OCH209" s="21"/>
      <c r="OCI209" s="21"/>
      <c r="OCJ209" s="21"/>
      <c r="OCK209" s="21"/>
      <c r="OCL209" s="21"/>
      <c r="OCM209" s="21"/>
      <c r="OCN209" s="21"/>
      <c r="OCO209" s="21"/>
      <c r="OCP209" s="21"/>
      <c r="OCQ209" s="21"/>
      <c r="OCR209" s="21"/>
      <c r="OCS209" s="21"/>
      <c r="OCT209" s="21"/>
      <c r="OCU209" s="21"/>
      <c r="OCV209" s="21"/>
      <c r="OCW209" s="21"/>
      <c r="OCX209" s="21"/>
      <c r="OCY209" s="21"/>
      <c r="OCZ209" s="21"/>
      <c r="ODA209" s="21"/>
      <c r="ODB209" s="21"/>
      <c r="ODC209" s="21"/>
      <c r="ODD209" s="21"/>
      <c r="ODE209" s="21"/>
      <c r="ODF209" s="21"/>
      <c r="ODG209" s="21"/>
      <c r="ODH209" s="21"/>
      <c r="ODI209" s="21"/>
      <c r="ODJ209" s="21"/>
      <c r="ODK209" s="21"/>
      <c r="ODL209" s="21"/>
      <c r="ODM209" s="21"/>
      <c r="ODN209" s="21"/>
      <c r="ODO209" s="21"/>
      <c r="ODP209" s="21"/>
      <c r="ODQ209" s="21"/>
      <c r="ODR209" s="21"/>
      <c r="ODS209" s="21"/>
      <c r="ODT209" s="21"/>
      <c r="ODU209" s="21"/>
      <c r="ODV209" s="21"/>
      <c r="ODW209" s="21"/>
      <c r="ODX209" s="21"/>
      <c r="ODY209" s="21"/>
      <c r="ODZ209" s="21"/>
      <c r="OEA209" s="21"/>
      <c r="OEB209" s="21"/>
      <c r="OEC209" s="21"/>
      <c r="OED209" s="21"/>
      <c r="OEE209" s="21"/>
      <c r="OEF209" s="21"/>
      <c r="OEG209" s="21"/>
      <c r="OEH209" s="21"/>
      <c r="OEI209" s="21"/>
      <c r="OEJ209" s="21"/>
      <c r="OEK209" s="21"/>
      <c r="OEL209" s="21"/>
      <c r="OEM209" s="21"/>
      <c r="OEN209" s="21"/>
      <c r="OEO209" s="21"/>
      <c r="OEP209" s="21"/>
      <c r="OEQ209" s="21"/>
      <c r="OER209" s="21"/>
      <c r="OES209" s="21"/>
      <c r="OET209" s="21"/>
      <c r="OEU209" s="21"/>
      <c r="OEV209" s="21"/>
      <c r="OEW209" s="21"/>
      <c r="OEX209" s="21"/>
      <c r="OEY209" s="21"/>
      <c r="OEZ209" s="21"/>
      <c r="OFA209" s="21"/>
      <c r="OFB209" s="21"/>
      <c r="OFC209" s="21"/>
      <c r="OFD209" s="21"/>
      <c r="OFE209" s="21"/>
      <c r="OFF209" s="21"/>
      <c r="OFG209" s="21"/>
      <c r="OFH209" s="21"/>
      <c r="OFI209" s="21"/>
      <c r="OFJ209" s="21"/>
      <c r="OFK209" s="21"/>
      <c r="OFL209" s="21"/>
      <c r="OFM209" s="21"/>
      <c r="OFN209" s="21"/>
      <c r="OFO209" s="21"/>
      <c r="OFP209" s="21"/>
      <c r="OFQ209" s="21"/>
      <c r="OFR209" s="21"/>
      <c r="OFS209" s="21"/>
      <c r="OFT209" s="21"/>
      <c r="OFU209" s="21"/>
      <c r="OFV209" s="21"/>
      <c r="OFW209" s="21"/>
      <c r="OFX209" s="21"/>
      <c r="OFY209" s="21"/>
      <c r="OFZ209" s="21"/>
      <c r="OGA209" s="21"/>
      <c r="OGB209" s="21"/>
      <c r="OGC209" s="21"/>
      <c r="OGD209" s="21"/>
      <c r="OGE209" s="21"/>
      <c r="OGF209" s="21"/>
      <c r="OGG209" s="21"/>
      <c r="OGH209" s="21"/>
      <c r="OGI209" s="21"/>
      <c r="OGJ209" s="21"/>
      <c r="OGK209" s="21"/>
      <c r="OGL209" s="21"/>
      <c r="OGM209" s="21"/>
      <c r="OGN209" s="21"/>
      <c r="OGO209" s="21"/>
      <c r="OGP209" s="21"/>
      <c r="OGQ209" s="21"/>
      <c r="OGR209" s="21"/>
      <c r="OGS209" s="21"/>
      <c r="OGT209" s="21"/>
      <c r="OGU209" s="21"/>
      <c r="OGV209" s="21"/>
      <c r="OGW209" s="21"/>
      <c r="OGX209" s="21"/>
      <c r="OGY209" s="21"/>
      <c r="OGZ209" s="21"/>
      <c r="OHA209" s="21"/>
      <c r="OHB209" s="21"/>
      <c r="OHC209" s="21"/>
      <c r="OHD209" s="21"/>
      <c r="OHE209" s="21"/>
      <c r="OHF209" s="21"/>
      <c r="OHG209" s="21"/>
      <c r="OHH209" s="21"/>
      <c r="OHI209" s="21"/>
      <c r="OHJ209" s="21"/>
      <c r="OHK209" s="21"/>
      <c r="OHL209" s="21"/>
      <c r="OHM209" s="21"/>
      <c r="OHN209" s="21"/>
      <c r="OHO209" s="21"/>
      <c r="OHP209" s="21"/>
      <c r="OHQ209" s="21"/>
      <c r="OHR209" s="21"/>
      <c r="OHS209" s="21"/>
      <c r="OHT209" s="21"/>
      <c r="OHU209" s="21"/>
      <c r="OHV209" s="21"/>
      <c r="OHW209" s="21"/>
      <c r="OHX209" s="21"/>
      <c r="OHY209" s="21"/>
      <c r="OHZ209" s="21"/>
      <c r="OIA209" s="21"/>
      <c r="OIB209" s="21"/>
      <c r="OIC209" s="21"/>
      <c r="OID209" s="21"/>
      <c r="OIE209" s="21"/>
      <c r="OIF209" s="21"/>
      <c r="OIG209" s="21"/>
      <c r="OIH209" s="21"/>
      <c r="OII209" s="21"/>
      <c r="OIJ209" s="21"/>
      <c r="OIK209" s="21"/>
      <c r="OIL209" s="21"/>
      <c r="OIM209" s="21"/>
      <c r="OIN209" s="21"/>
      <c r="OIO209" s="21"/>
      <c r="OIP209" s="21"/>
      <c r="OIQ209" s="21"/>
      <c r="OIR209" s="21"/>
      <c r="OIS209" s="21"/>
      <c r="OIT209" s="21"/>
      <c r="OIU209" s="21"/>
      <c r="OIV209" s="21"/>
      <c r="OIW209" s="21"/>
      <c r="OIX209" s="21"/>
      <c r="OIY209" s="21"/>
      <c r="OIZ209" s="21"/>
      <c r="OJA209" s="21"/>
      <c r="OJB209" s="21"/>
      <c r="OJC209" s="21"/>
      <c r="OJD209" s="21"/>
      <c r="OJE209" s="21"/>
      <c r="OJF209" s="21"/>
      <c r="OJG209" s="21"/>
      <c r="OJH209" s="21"/>
      <c r="OJI209" s="21"/>
      <c r="OJJ209" s="21"/>
      <c r="OJK209" s="21"/>
      <c r="OJL209" s="21"/>
      <c r="OJM209" s="21"/>
      <c r="OJN209" s="21"/>
      <c r="OJO209" s="21"/>
      <c r="OJP209" s="21"/>
      <c r="OJQ209" s="21"/>
      <c r="OJR209" s="21"/>
      <c r="OJS209" s="21"/>
      <c r="OJT209" s="21"/>
      <c r="OJU209" s="21"/>
      <c r="OJV209" s="21"/>
      <c r="OJW209" s="21"/>
      <c r="OJX209" s="21"/>
      <c r="OJY209" s="21"/>
      <c r="OJZ209" s="21"/>
      <c r="OKA209" s="21"/>
      <c r="OKB209" s="21"/>
      <c r="OKC209" s="21"/>
      <c r="OKD209" s="21"/>
      <c r="OKE209" s="21"/>
      <c r="OKF209" s="21"/>
      <c r="OKG209" s="21"/>
      <c r="OKH209" s="21"/>
      <c r="OKI209" s="21"/>
      <c r="OKJ209" s="21"/>
      <c r="OKK209" s="21"/>
      <c r="OKL209" s="21"/>
      <c r="OKM209" s="21"/>
      <c r="OKN209" s="21"/>
      <c r="OKO209" s="21"/>
      <c r="OKP209" s="21"/>
      <c r="OKQ209" s="21"/>
      <c r="OKR209" s="21"/>
      <c r="OKS209" s="21"/>
      <c r="OKT209" s="21"/>
      <c r="OKU209" s="21"/>
      <c r="OKV209" s="21"/>
      <c r="OKW209" s="21"/>
      <c r="OKX209" s="21"/>
      <c r="OKY209" s="21"/>
      <c r="OKZ209" s="21"/>
      <c r="OLA209" s="21"/>
      <c r="OLB209" s="21"/>
      <c r="OLC209" s="21"/>
      <c r="OLD209" s="21"/>
      <c r="OLE209" s="21"/>
      <c r="OLF209" s="21"/>
      <c r="OLG209" s="21"/>
      <c r="OLH209" s="21"/>
      <c r="OLI209" s="21"/>
      <c r="OLJ209" s="21"/>
      <c r="OLK209" s="21"/>
      <c r="OLL209" s="21"/>
      <c r="OLM209" s="21"/>
      <c r="OLN209" s="21"/>
      <c r="OLO209" s="21"/>
      <c r="OLP209" s="21"/>
      <c r="OLQ209" s="21"/>
      <c r="OLR209" s="21"/>
      <c r="OLS209" s="21"/>
      <c r="OLT209" s="21"/>
      <c r="OLU209" s="21"/>
      <c r="OLV209" s="21"/>
      <c r="OLW209" s="21"/>
      <c r="OLX209" s="21"/>
      <c r="OLY209" s="21"/>
      <c r="OLZ209" s="21"/>
      <c r="OMA209" s="21"/>
      <c r="OMB209" s="21"/>
      <c r="OMC209" s="21"/>
      <c r="OMD209" s="21"/>
      <c r="OME209" s="21"/>
      <c r="OMF209" s="21"/>
      <c r="OMG209" s="21"/>
      <c r="OMH209" s="21"/>
      <c r="OMI209" s="21"/>
      <c r="OMJ209" s="21"/>
      <c r="OMK209" s="21"/>
      <c r="OML209" s="21"/>
      <c r="OMM209" s="21"/>
      <c r="OMN209" s="21"/>
      <c r="OMO209" s="21"/>
      <c r="OMP209" s="21"/>
      <c r="OMQ209" s="21"/>
      <c r="OMR209" s="21"/>
      <c r="OMS209" s="21"/>
      <c r="OMT209" s="21"/>
      <c r="OMU209" s="21"/>
      <c r="OMV209" s="21"/>
      <c r="OMW209" s="21"/>
      <c r="OMX209" s="21"/>
      <c r="OMY209" s="21"/>
      <c r="OMZ209" s="21"/>
      <c r="ONA209" s="21"/>
      <c r="ONB209" s="21"/>
      <c r="ONC209" s="21"/>
      <c r="OND209" s="21"/>
      <c r="ONE209" s="21"/>
      <c r="ONF209" s="21"/>
      <c r="ONG209" s="21"/>
      <c r="ONH209" s="21"/>
      <c r="ONI209" s="21"/>
      <c r="ONJ209" s="21"/>
      <c r="ONK209" s="21"/>
      <c r="ONL209" s="21"/>
      <c r="ONM209" s="21"/>
      <c r="ONN209" s="21"/>
      <c r="ONO209" s="21"/>
      <c r="ONP209" s="21"/>
      <c r="ONQ209" s="21"/>
      <c r="ONR209" s="21"/>
      <c r="ONS209" s="21"/>
      <c r="ONT209" s="21"/>
      <c r="ONU209" s="21"/>
      <c r="ONV209" s="21"/>
      <c r="ONW209" s="21"/>
      <c r="ONX209" s="21"/>
      <c r="ONY209" s="21"/>
      <c r="ONZ209" s="21"/>
      <c r="OOA209" s="21"/>
      <c r="OOB209" s="21"/>
      <c r="OOC209" s="21"/>
      <c r="OOD209" s="21"/>
      <c r="OOE209" s="21"/>
      <c r="OOF209" s="21"/>
      <c r="OOG209" s="21"/>
      <c r="OOH209" s="21"/>
      <c r="OOI209" s="21"/>
      <c r="OOJ209" s="21"/>
      <c r="OOK209" s="21"/>
      <c r="OOL209" s="21"/>
      <c r="OOM209" s="21"/>
      <c r="OON209" s="21"/>
      <c r="OOO209" s="21"/>
      <c r="OOP209" s="21"/>
      <c r="OOQ209" s="21"/>
      <c r="OOR209" s="21"/>
      <c r="OOS209" s="21"/>
      <c r="OOT209" s="21"/>
      <c r="OOU209" s="21"/>
      <c r="OOV209" s="21"/>
      <c r="OOW209" s="21"/>
      <c r="OOX209" s="21"/>
      <c r="OOY209" s="21"/>
      <c r="OOZ209" s="21"/>
      <c r="OPA209" s="21"/>
      <c r="OPB209" s="21"/>
      <c r="OPC209" s="21"/>
      <c r="OPD209" s="21"/>
      <c r="OPE209" s="21"/>
      <c r="OPF209" s="21"/>
      <c r="OPG209" s="21"/>
      <c r="OPH209" s="21"/>
      <c r="OPI209" s="21"/>
      <c r="OPJ209" s="21"/>
      <c r="OPK209" s="21"/>
      <c r="OPL209" s="21"/>
      <c r="OPM209" s="21"/>
      <c r="OPN209" s="21"/>
      <c r="OPO209" s="21"/>
      <c r="OPP209" s="21"/>
      <c r="OPQ209" s="21"/>
      <c r="OPR209" s="21"/>
      <c r="OPS209" s="21"/>
      <c r="OPT209" s="21"/>
      <c r="OPU209" s="21"/>
      <c r="OPV209" s="21"/>
      <c r="OPW209" s="21"/>
      <c r="OPX209" s="21"/>
      <c r="OPY209" s="21"/>
      <c r="OPZ209" s="21"/>
      <c r="OQA209" s="21"/>
      <c r="OQB209" s="21"/>
      <c r="OQC209" s="21"/>
      <c r="OQD209" s="21"/>
      <c r="OQE209" s="21"/>
      <c r="OQF209" s="21"/>
      <c r="OQG209" s="21"/>
      <c r="OQH209" s="21"/>
      <c r="OQI209" s="21"/>
      <c r="OQJ209" s="21"/>
      <c r="OQK209" s="21"/>
      <c r="OQL209" s="21"/>
      <c r="OQM209" s="21"/>
      <c r="OQN209" s="21"/>
      <c r="OQO209" s="21"/>
      <c r="OQP209" s="21"/>
      <c r="OQQ209" s="21"/>
      <c r="OQR209" s="21"/>
      <c r="OQS209" s="21"/>
      <c r="OQT209" s="21"/>
      <c r="OQU209" s="21"/>
      <c r="OQV209" s="21"/>
      <c r="OQW209" s="21"/>
      <c r="OQX209" s="21"/>
      <c r="OQY209" s="21"/>
      <c r="OQZ209" s="21"/>
      <c r="ORA209" s="21"/>
      <c r="ORB209" s="21"/>
      <c r="ORC209" s="21"/>
      <c r="ORD209" s="21"/>
      <c r="ORE209" s="21"/>
      <c r="ORF209" s="21"/>
      <c r="ORG209" s="21"/>
      <c r="ORH209" s="21"/>
      <c r="ORI209" s="21"/>
      <c r="ORJ209" s="21"/>
      <c r="ORK209" s="21"/>
      <c r="ORL209" s="21"/>
      <c r="ORM209" s="21"/>
      <c r="ORN209" s="21"/>
      <c r="ORO209" s="21"/>
      <c r="ORP209" s="21"/>
      <c r="ORQ209" s="21"/>
      <c r="ORR209" s="21"/>
      <c r="ORS209" s="21"/>
      <c r="ORT209" s="21"/>
      <c r="ORU209" s="21"/>
      <c r="ORV209" s="21"/>
      <c r="ORW209" s="21"/>
      <c r="ORX209" s="21"/>
      <c r="ORY209" s="21"/>
      <c r="ORZ209" s="21"/>
      <c r="OSA209" s="21"/>
      <c r="OSB209" s="21"/>
      <c r="OSC209" s="21"/>
      <c r="OSD209" s="21"/>
      <c r="OSE209" s="21"/>
      <c r="OSF209" s="21"/>
      <c r="OSG209" s="21"/>
      <c r="OSH209" s="21"/>
      <c r="OSI209" s="21"/>
      <c r="OSJ209" s="21"/>
      <c r="OSK209" s="21"/>
      <c r="OSL209" s="21"/>
      <c r="OSM209" s="21"/>
      <c r="OSN209" s="21"/>
      <c r="OSO209" s="21"/>
      <c r="OSP209" s="21"/>
      <c r="OSQ209" s="21"/>
      <c r="OSR209" s="21"/>
      <c r="OSS209" s="21"/>
      <c r="OST209" s="21"/>
      <c r="OSU209" s="21"/>
      <c r="OSV209" s="21"/>
      <c r="OSW209" s="21"/>
      <c r="OSX209" s="21"/>
      <c r="OSY209" s="21"/>
      <c r="OSZ209" s="21"/>
      <c r="OTA209" s="21"/>
      <c r="OTB209" s="21"/>
      <c r="OTC209" s="21"/>
      <c r="OTD209" s="21"/>
      <c r="OTE209" s="21"/>
      <c r="OTF209" s="21"/>
      <c r="OTG209" s="21"/>
      <c r="OTH209" s="21"/>
      <c r="OTI209" s="21"/>
      <c r="OTJ209" s="21"/>
      <c r="OTK209" s="21"/>
      <c r="OTL209" s="21"/>
      <c r="OTM209" s="21"/>
      <c r="OTN209" s="21"/>
      <c r="OTO209" s="21"/>
      <c r="OTP209" s="21"/>
      <c r="OTQ209" s="21"/>
      <c r="OTR209" s="21"/>
      <c r="OTS209" s="21"/>
      <c r="OTT209" s="21"/>
      <c r="OTU209" s="21"/>
      <c r="OTV209" s="21"/>
      <c r="OTW209" s="21"/>
      <c r="OTX209" s="21"/>
      <c r="OTY209" s="21"/>
      <c r="OTZ209" s="21"/>
      <c r="OUA209" s="21"/>
      <c r="OUB209" s="21"/>
      <c r="OUC209" s="21"/>
      <c r="OUD209" s="21"/>
      <c r="OUE209" s="21"/>
      <c r="OUF209" s="21"/>
      <c r="OUG209" s="21"/>
      <c r="OUH209" s="21"/>
      <c r="OUI209" s="21"/>
      <c r="OUJ209" s="21"/>
      <c r="OUK209" s="21"/>
      <c r="OUL209" s="21"/>
      <c r="OUM209" s="21"/>
      <c r="OUN209" s="21"/>
      <c r="OUO209" s="21"/>
      <c r="OUP209" s="21"/>
      <c r="OUQ209" s="21"/>
      <c r="OUR209" s="21"/>
      <c r="OUS209" s="21"/>
      <c r="OUT209" s="21"/>
      <c r="OUU209" s="21"/>
      <c r="OUV209" s="21"/>
      <c r="OUW209" s="21"/>
      <c r="OUX209" s="21"/>
      <c r="OUY209" s="21"/>
      <c r="OUZ209" s="21"/>
      <c r="OVA209" s="21"/>
      <c r="OVB209" s="21"/>
      <c r="OVC209" s="21"/>
      <c r="OVD209" s="21"/>
      <c r="OVE209" s="21"/>
      <c r="OVF209" s="21"/>
      <c r="OVG209" s="21"/>
      <c r="OVH209" s="21"/>
      <c r="OVI209" s="21"/>
      <c r="OVJ209" s="21"/>
      <c r="OVK209" s="21"/>
      <c r="OVL209" s="21"/>
      <c r="OVM209" s="21"/>
      <c r="OVN209" s="21"/>
      <c r="OVO209" s="21"/>
      <c r="OVP209" s="21"/>
      <c r="OVQ209" s="21"/>
      <c r="OVR209" s="21"/>
      <c r="OVS209" s="21"/>
      <c r="OVT209" s="21"/>
      <c r="OVU209" s="21"/>
      <c r="OVV209" s="21"/>
      <c r="OVW209" s="21"/>
      <c r="OVX209" s="21"/>
      <c r="OVY209" s="21"/>
      <c r="OVZ209" s="21"/>
      <c r="OWA209" s="21"/>
      <c r="OWB209" s="21"/>
      <c r="OWC209" s="21"/>
      <c r="OWD209" s="21"/>
      <c r="OWE209" s="21"/>
      <c r="OWF209" s="21"/>
      <c r="OWG209" s="21"/>
      <c r="OWH209" s="21"/>
      <c r="OWI209" s="21"/>
      <c r="OWJ209" s="21"/>
      <c r="OWK209" s="21"/>
      <c r="OWL209" s="21"/>
      <c r="OWM209" s="21"/>
      <c r="OWN209" s="21"/>
      <c r="OWO209" s="21"/>
      <c r="OWP209" s="21"/>
      <c r="OWQ209" s="21"/>
      <c r="OWR209" s="21"/>
      <c r="OWS209" s="21"/>
      <c r="OWT209" s="21"/>
      <c r="OWU209" s="21"/>
      <c r="OWV209" s="21"/>
      <c r="OWW209" s="21"/>
      <c r="OWX209" s="21"/>
      <c r="OWY209" s="21"/>
      <c r="OWZ209" s="21"/>
      <c r="OXA209" s="21"/>
      <c r="OXB209" s="21"/>
      <c r="OXC209" s="21"/>
      <c r="OXD209" s="21"/>
      <c r="OXE209" s="21"/>
      <c r="OXF209" s="21"/>
      <c r="OXG209" s="21"/>
      <c r="OXH209" s="21"/>
      <c r="OXI209" s="21"/>
      <c r="OXJ209" s="21"/>
      <c r="OXK209" s="21"/>
      <c r="OXL209" s="21"/>
      <c r="OXM209" s="21"/>
      <c r="OXN209" s="21"/>
      <c r="OXO209" s="21"/>
      <c r="OXP209" s="21"/>
      <c r="OXQ209" s="21"/>
      <c r="OXR209" s="21"/>
      <c r="OXS209" s="21"/>
      <c r="OXT209" s="21"/>
      <c r="OXU209" s="21"/>
      <c r="OXV209" s="21"/>
      <c r="OXW209" s="21"/>
      <c r="OXX209" s="21"/>
      <c r="OXY209" s="21"/>
      <c r="OXZ209" s="21"/>
      <c r="OYA209" s="21"/>
      <c r="OYB209" s="21"/>
      <c r="OYC209" s="21"/>
      <c r="OYD209" s="21"/>
      <c r="OYE209" s="21"/>
      <c r="OYF209" s="21"/>
      <c r="OYG209" s="21"/>
      <c r="OYH209" s="21"/>
      <c r="OYI209" s="21"/>
      <c r="OYJ209" s="21"/>
      <c r="OYK209" s="21"/>
      <c r="OYL209" s="21"/>
      <c r="OYM209" s="21"/>
      <c r="OYN209" s="21"/>
      <c r="OYO209" s="21"/>
      <c r="OYP209" s="21"/>
      <c r="OYQ209" s="21"/>
      <c r="OYR209" s="21"/>
      <c r="OYS209" s="21"/>
      <c r="OYT209" s="21"/>
      <c r="OYU209" s="21"/>
      <c r="OYV209" s="21"/>
      <c r="OYW209" s="21"/>
      <c r="OYX209" s="21"/>
      <c r="OYY209" s="21"/>
      <c r="OYZ209" s="21"/>
      <c r="OZA209" s="21"/>
      <c r="OZB209" s="21"/>
      <c r="OZC209" s="21"/>
      <c r="OZD209" s="21"/>
      <c r="OZE209" s="21"/>
      <c r="OZF209" s="21"/>
      <c r="OZG209" s="21"/>
      <c r="OZH209" s="21"/>
      <c r="OZI209" s="21"/>
      <c r="OZJ209" s="21"/>
      <c r="OZK209" s="21"/>
      <c r="OZL209" s="21"/>
      <c r="OZM209" s="21"/>
      <c r="OZN209" s="21"/>
      <c r="OZO209" s="21"/>
      <c r="OZP209" s="21"/>
      <c r="OZQ209" s="21"/>
      <c r="OZR209" s="21"/>
      <c r="OZS209" s="21"/>
      <c r="OZT209" s="21"/>
      <c r="OZU209" s="21"/>
      <c r="OZV209" s="21"/>
      <c r="OZW209" s="21"/>
      <c r="OZX209" s="21"/>
      <c r="OZY209" s="21"/>
      <c r="OZZ209" s="21"/>
      <c r="PAA209" s="21"/>
      <c r="PAB209" s="21"/>
      <c r="PAC209" s="21"/>
      <c r="PAD209" s="21"/>
      <c r="PAE209" s="21"/>
      <c r="PAF209" s="21"/>
      <c r="PAG209" s="21"/>
      <c r="PAH209" s="21"/>
      <c r="PAI209" s="21"/>
      <c r="PAJ209" s="21"/>
      <c r="PAK209" s="21"/>
      <c r="PAL209" s="21"/>
      <c r="PAM209" s="21"/>
      <c r="PAN209" s="21"/>
      <c r="PAO209" s="21"/>
      <c r="PAP209" s="21"/>
      <c r="PAQ209" s="21"/>
      <c r="PAR209" s="21"/>
      <c r="PAS209" s="21"/>
      <c r="PAT209" s="21"/>
      <c r="PAU209" s="21"/>
      <c r="PAV209" s="21"/>
      <c r="PAW209" s="21"/>
      <c r="PAX209" s="21"/>
      <c r="PAY209" s="21"/>
      <c r="PAZ209" s="21"/>
      <c r="PBA209" s="21"/>
      <c r="PBB209" s="21"/>
      <c r="PBC209" s="21"/>
      <c r="PBD209" s="21"/>
      <c r="PBE209" s="21"/>
      <c r="PBF209" s="21"/>
      <c r="PBG209" s="21"/>
      <c r="PBH209" s="21"/>
      <c r="PBI209" s="21"/>
      <c r="PBJ209" s="21"/>
      <c r="PBK209" s="21"/>
      <c r="PBL209" s="21"/>
      <c r="PBM209" s="21"/>
      <c r="PBN209" s="21"/>
      <c r="PBO209" s="21"/>
      <c r="PBP209" s="21"/>
      <c r="PBQ209" s="21"/>
      <c r="PBR209" s="21"/>
      <c r="PBS209" s="21"/>
      <c r="PBT209" s="21"/>
      <c r="PBU209" s="21"/>
      <c r="PBV209" s="21"/>
      <c r="PBW209" s="21"/>
      <c r="PBX209" s="21"/>
      <c r="PBY209" s="21"/>
      <c r="PBZ209" s="21"/>
      <c r="PCA209" s="21"/>
      <c r="PCB209" s="21"/>
      <c r="PCC209" s="21"/>
      <c r="PCD209" s="21"/>
      <c r="PCE209" s="21"/>
      <c r="PCF209" s="21"/>
      <c r="PCG209" s="21"/>
      <c r="PCH209" s="21"/>
      <c r="PCI209" s="21"/>
      <c r="PCJ209" s="21"/>
      <c r="PCK209" s="21"/>
      <c r="PCL209" s="21"/>
      <c r="PCM209" s="21"/>
      <c r="PCN209" s="21"/>
      <c r="PCO209" s="21"/>
      <c r="PCP209" s="21"/>
      <c r="PCQ209" s="21"/>
      <c r="PCR209" s="21"/>
      <c r="PCS209" s="21"/>
      <c r="PCT209" s="21"/>
      <c r="PCU209" s="21"/>
      <c r="PCV209" s="21"/>
      <c r="PCW209" s="21"/>
      <c r="PCX209" s="21"/>
      <c r="PCY209" s="21"/>
      <c r="PCZ209" s="21"/>
      <c r="PDA209" s="21"/>
      <c r="PDB209" s="21"/>
      <c r="PDC209" s="21"/>
      <c r="PDD209" s="21"/>
      <c r="PDE209" s="21"/>
      <c r="PDF209" s="21"/>
      <c r="PDG209" s="21"/>
      <c r="PDH209" s="21"/>
      <c r="PDI209" s="21"/>
      <c r="PDJ209" s="21"/>
      <c r="PDK209" s="21"/>
      <c r="PDL209" s="21"/>
      <c r="PDM209" s="21"/>
      <c r="PDN209" s="21"/>
      <c r="PDO209" s="21"/>
      <c r="PDP209" s="21"/>
      <c r="PDQ209" s="21"/>
      <c r="PDR209" s="21"/>
      <c r="PDS209" s="21"/>
      <c r="PDT209" s="21"/>
      <c r="PDU209" s="21"/>
      <c r="PDV209" s="21"/>
      <c r="PDW209" s="21"/>
      <c r="PDX209" s="21"/>
      <c r="PDY209" s="21"/>
      <c r="PDZ209" s="21"/>
      <c r="PEA209" s="21"/>
      <c r="PEB209" s="21"/>
      <c r="PEC209" s="21"/>
      <c r="PED209" s="21"/>
      <c r="PEE209" s="21"/>
      <c r="PEF209" s="21"/>
      <c r="PEG209" s="21"/>
      <c r="PEH209" s="21"/>
      <c r="PEI209" s="21"/>
      <c r="PEJ209" s="21"/>
      <c r="PEK209" s="21"/>
      <c r="PEL209" s="21"/>
      <c r="PEM209" s="21"/>
      <c r="PEN209" s="21"/>
      <c r="PEO209" s="21"/>
      <c r="PEP209" s="21"/>
      <c r="PEQ209" s="21"/>
      <c r="PER209" s="21"/>
      <c r="PES209" s="21"/>
      <c r="PET209" s="21"/>
      <c r="PEU209" s="21"/>
      <c r="PEV209" s="21"/>
      <c r="PEW209" s="21"/>
      <c r="PEX209" s="21"/>
      <c r="PEY209" s="21"/>
      <c r="PEZ209" s="21"/>
      <c r="PFA209" s="21"/>
      <c r="PFB209" s="21"/>
      <c r="PFC209" s="21"/>
      <c r="PFD209" s="21"/>
      <c r="PFE209" s="21"/>
      <c r="PFF209" s="21"/>
      <c r="PFG209" s="21"/>
      <c r="PFH209" s="21"/>
      <c r="PFI209" s="21"/>
      <c r="PFJ209" s="21"/>
      <c r="PFK209" s="21"/>
      <c r="PFL209" s="21"/>
      <c r="PFM209" s="21"/>
      <c r="PFN209" s="21"/>
      <c r="PFO209" s="21"/>
      <c r="PFP209" s="21"/>
      <c r="PFQ209" s="21"/>
      <c r="PFR209" s="21"/>
      <c r="PFS209" s="21"/>
      <c r="PFT209" s="21"/>
      <c r="PFU209" s="21"/>
      <c r="PFV209" s="21"/>
      <c r="PFW209" s="21"/>
      <c r="PFX209" s="21"/>
      <c r="PFY209" s="21"/>
      <c r="PFZ209" s="21"/>
      <c r="PGA209" s="21"/>
      <c r="PGB209" s="21"/>
      <c r="PGC209" s="21"/>
      <c r="PGD209" s="21"/>
      <c r="PGE209" s="21"/>
      <c r="PGF209" s="21"/>
      <c r="PGG209" s="21"/>
      <c r="PGH209" s="21"/>
      <c r="PGI209" s="21"/>
      <c r="PGJ209" s="21"/>
      <c r="PGK209" s="21"/>
      <c r="PGL209" s="21"/>
      <c r="PGM209" s="21"/>
      <c r="PGN209" s="21"/>
      <c r="PGO209" s="21"/>
      <c r="PGP209" s="21"/>
      <c r="PGQ209" s="21"/>
      <c r="PGR209" s="21"/>
      <c r="PGS209" s="21"/>
      <c r="PGT209" s="21"/>
      <c r="PGU209" s="21"/>
      <c r="PGV209" s="21"/>
      <c r="PGW209" s="21"/>
      <c r="PGX209" s="21"/>
      <c r="PGY209" s="21"/>
      <c r="PGZ209" s="21"/>
      <c r="PHA209" s="21"/>
      <c r="PHB209" s="21"/>
      <c r="PHC209" s="21"/>
      <c r="PHD209" s="21"/>
      <c r="PHE209" s="21"/>
      <c r="PHF209" s="21"/>
      <c r="PHG209" s="21"/>
      <c r="PHH209" s="21"/>
      <c r="PHI209" s="21"/>
      <c r="PHJ209" s="21"/>
      <c r="PHK209" s="21"/>
      <c r="PHL209" s="21"/>
      <c r="PHM209" s="21"/>
      <c r="PHN209" s="21"/>
      <c r="PHO209" s="21"/>
      <c r="PHP209" s="21"/>
      <c r="PHQ209" s="21"/>
      <c r="PHR209" s="21"/>
      <c r="PHS209" s="21"/>
      <c r="PHT209" s="21"/>
      <c r="PHU209" s="21"/>
      <c r="PHV209" s="21"/>
      <c r="PHW209" s="21"/>
      <c r="PHX209" s="21"/>
      <c r="PHY209" s="21"/>
      <c r="PHZ209" s="21"/>
      <c r="PIA209" s="21"/>
      <c r="PIB209" s="21"/>
      <c r="PIC209" s="21"/>
      <c r="PID209" s="21"/>
      <c r="PIE209" s="21"/>
      <c r="PIF209" s="21"/>
      <c r="PIG209" s="21"/>
      <c r="PIH209" s="21"/>
      <c r="PII209" s="21"/>
      <c r="PIJ209" s="21"/>
      <c r="PIK209" s="21"/>
      <c r="PIL209" s="21"/>
      <c r="PIM209" s="21"/>
      <c r="PIN209" s="21"/>
      <c r="PIO209" s="21"/>
      <c r="PIP209" s="21"/>
      <c r="PIQ209" s="21"/>
      <c r="PIR209" s="21"/>
      <c r="PIS209" s="21"/>
      <c r="PIT209" s="21"/>
      <c r="PIU209" s="21"/>
      <c r="PIV209" s="21"/>
      <c r="PIW209" s="21"/>
      <c r="PIX209" s="21"/>
      <c r="PIY209" s="21"/>
      <c r="PIZ209" s="21"/>
      <c r="PJA209" s="21"/>
      <c r="PJB209" s="21"/>
      <c r="PJC209" s="21"/>
      <c r="PJD209" s="21"/>
      <c r="PJE209" s="21"/>
      <c r="PJF209" s="21"/>
      <c r="PJG209" s="21"/>
      <c r="PJH209" s="21"/>
      <c r="PJI209" s="21"/>
      <c r="PJJ209" s="21"/>
      <c r="PJK209" s="21"/>
      <c r="PJL209" s="21"/>
      <c r="PJM209" s="21"/>
      <c r="PJN209" s="21"/>
      <c r="PJO209" s="21"/>
      <c r="PJP209" s="21"/>
      <c r="PJQ209" s="21"/>
      <c r="PJR209" s="21"/>
      <c r="PJS209" s="21"/>
      <c r="PJT209" s="21"/>
      <c r="PJU209" s="21"/>
      <c r="PJV209" s="21"/>
      <c r="PJW209" s="21"/>
      <c r="PJX209" s="21"/>
      <c r="PJY209" s="21"/>
      <c r="PJZ209" s="21"/>
      <c r="PKA209" s="21"/>
      <c r="PKB209" s="21"/>
      <c r="PKC209" s="21"/>
      <c r="PKD209" s="21"/>
      <c r="PKE209" s="21"/>
      <c r="PKF209" s="21"/>
      <c r="PKG209" s="21"/>
      <c r="PKH209" s="21"/>
      <c r="PKI209" s="21"/>
      <c r="PKJ209" s="21"/>
      <c r="PKK209" s="21"/>
      <c r="PKL209" s="21"/>
      <c r="PKM209" s="21"/>
      <c r="PKN209" s="21"/>
      <c r="PKO209" s="21"/>
      <c r="PKP209" s="21"/>
      <c r="PKQ209" s="21"/>
      <c r="PKR209" s="21"/>
      <c r="PKS209" s="21"/>
      <c r="PKT209" s="21"/>
      <c r="PKU209" s="21"/>
      <c r="PKV209" s="21"/>
      <c r="PKW209" s="21"/>
      <c r="PKX209" s="21"/>
      <c r="PKY209" s="21"/>
      <c r="PKZ209" s="21"/>
      <c r="PLA209" s="21"/>
      <c r="PLB209" s="21"/>
      <c r="PLC209" s="21"/>
      <c r="PLD209" s="21"/>
      <c r="PLE209" s="21"/>
      <c r="PLF209" s="21"/>
      <c r="PLG209" s="21"/>
      <c r="PLH209" s="21"/>
      <c r="PLI209" s="21"/>
      <c r="PLJ209" s="21"/>
      <c r="PLK209" s="21"/>
      <c r="PLL209" s="21"/>
      <c r="PLM209" s="21"/>
      <c r="PLN209" s="21"/>
      <c r="PLO209" s="21"/>
      <c r="PLP209" s="21"/>
      <c r="PLQ209" s="21"/>
      <c r="PLR209" s="21"/>
      <c r="PLS209" s="21"/>
      <c r="PLT209" s="21"/>
      <c r="PLU209" s="21"/>
      <c r="PLV209" s="21"/>
      <c r="PLW209" s="21"/>
      <c r="PLX209" s="21"/>
      <c r="PLY209" s="21"/>
      <c r="PLZ209" s="21"/>
      <c r="PMA209" s="21"/>
      <c r="PMB209" s="21"/>
      <c r="PMC209" s="21"/>
      <c r="PMD209" s="21"/>
      <c r="PME209" s="21"/>
      <c r="PMF209" s="21"/>
      <c r="PMG209" s="21"/>
      <c r="PMH209" s="21"/>
      <c r="PMI209" s="21"/>
      <c r="PMJ209" s="21"/>
      <c r="PMK209" s="21"/>
      <c r="PML209" s="21"/>
      <c r="PMM209" s="21"/>
      <c r="PMN209" s="21"/>
      <c r="PMO209" s="21"/>
      <c r="PMP209" s="21"/>
      <c r="PMQ209" s="21"/>
      <c r="PMR209" s="21"/>
      <c r="PMS209" s="21"/>
      <c r="PMT209" s="21"/>
      <c r="PMU209" s="21"/>
      <c r="PMV209" s="21"/>
      <c r="PMW209" s="21"/>
      <c r="PMX209" s="21"/>
      <c r="PMY209" s="21"/>
      <c r="PMZ209" s="21"/>
      <c r="PNA209" s="21"/>
      <c r="PNB209" s="21"/>
      <c r="PNC209" s="21"/>
      <c r="PND209" s="21"/>
      <c r="PNE209" s="21"/>
      <c r="PNF209" s="21"/>
      <c r="PNG209" s="21"/>
      <c r="PNH209" s="21"/>
      <c r="PNI209" s="21"/>
      <c r="PNJ209" s="21"/>
      <c r="PNK209" s="21"/>
      <c r="PNL209" s="21"/>
      <c r="PNM209" s="21"/>
      <c r="PNN209" s="21"/>
      <c r="PNO209" s="21"/>
      <c r="PNP209" s="21"/>
      <c r="PNQ209" s="21"/>
      <c r="PNR209" s="21"/>
      <c r="PNS209" s="21"/>
      <c r="PNT209" s="21"/>
      <c r="PNU209" s="21"/>
      <c r="PNV209" s="21"/>
      <c r="PNW209" s="21"/>
      <c r="PNX209" s="21"/>
      <c r="PNY209" s="21"/>
      <c r="PNZ209" s="21"/>
      <c r="POA209" s="21"/>
      <c r="POB209" s="21"/>
      <c r="POC209" s="21"/>
      <c r="POD209" s="21"/>
      <c r="POE209" s="21"/>
      <c r="POF209" s="21"/>
      <c r="POG209" s="21"/>
      <c r="POH209" s="21"/>
      <c r="POI209" s="21"/>
      <c r="POJ209" s="21"/>
      <c r="POK209" s="21"/>
      <c r="POL209" s="21"/>
      <c r="POM209" s="21"/>
      <c r="PON209" s="21"/>
      <c r="POO209" s="21"/>
      <c r="POP209" s="21"/>
      <c r="POQ209" s="21"/>
      <c r="POR209" s="21"/>
      <c r="POS209" s="21"/>
      <c r="POT209" s="21"/>
      <c r="POU209" s="21"/>
      <c r="POV209" s="21"/>
      <c r="POW209" s="21"/>
      <c r="POX209" s="21"/>
      <c r="POY209" s="21"/>
      <c r="POZ209" s="21"/>
      <c r="PPA209" s="21"/>
      <c r="PPB209" s="21"/>
      <c r="PPC209" s="21"/>
      <c r="PPD209" s="21"/>
      <c r="PPE209" s="21"/>
      <c r="PPF209" s="21"/>
      <c r="PPG209" s="21"/>
      <c r="PPH209" s="21"/>
      <c r="PPI209" s="21"/>
      <c r="PPJ209" s="21"/>
      <c r="PPK209" s="21"/>
      <c r="PPL209" s="21"/>
      <c r="PPM209" s="21"/>
      <c r="PPN209" s="21"/>
      <c r="PPO209" s="21"/>
      <c r="PPP209" s="21"/>
      <c r="PPQ209" s="21"/>
      <c r="PPR209" s="21"/>
      <c r="PPS209" s="21"/>
      <c r="PPT209" s="21"/>
      <c r="PPU209" s="21"/>
      <c r="PPV209" s="21"/>
      <c r="PPW209" s="21"/>
      <c r="PPX209" s="21"/>
      <c r="PPY209" s="21"/>
      <c r="PPZ209" s="21"/>
      <c r="PQA209" s="21"/>
      <c r="PQB209" s="21"/>
      <c r="PQC209" s="21"/>
      <c r="PQD209" s="21"/>
      <c r="PQE209" s="21"/>
      <c r="PQF209" s="21"/>
      <c r="PQG209" s="21"/>
      <c r="PQH209" s="21"/>
      <c r="PQI209" s="21"/>
      <c r="PQJ209" s="21"/>
      <c r="PQK209" s="21"/>
      <c r="PQL209" s="21"/>
      <c r="PQM209" s="21"/>
      <c r="PQN209" s="21"/>
      <c r="PQO209" s="21"/>
      <c r="PQP209" s="21"/>
      <c r="PQQ209" s="21"/>
      <c r="PQR209" s="21"/>
      <c r="PQS209" s="21"/>
      <c r="PQT209" s="21"/>
      <c r="PQU209" s="21"/>
      <c r="PQV209" s="21"/>
      <c r="PQW209" s="21"/>
      <c r="PQX209" s="21"/>
      <c r="PQY209" s="21"/>
      <c r="PQZ209" s="21"/>
      <c r="PRA209" s="21"/>
      <c r="PRB209" s="21"/>
      <c r="PRC209" s="21"/>
      <c r="PRD209" s="21"/>
      <c r="PRE209" s="21"/>
      <c r="PRF209" s="21"/>
      <c r="PRG209" s="21"/>
      <c r="PRH209" s="21"/>
      <c r="PRI209" s="21"/>
      <c r="PRJ209" s="21"/>
      <c r="PRK209" s="21"/>
      <c r="PRL209" s="21"/>
      <c r="PRM209" s="21"/>
      <c r="PRN209" s="21"/>
      <c r="PRO209" s="21"/>
      <c r="PRP209" s="21"/>
      <c r="PRQ209" s="21"/>
      <c r="PRR209" s="21"/>
      <c r="PRS209" s="21"/>
      <c r="PRT209" s="21"/>
      <c r="PRU209" s="21"/>
      <c r="PRV209" s="21"/>
      <c r="PRW209" s="21"/>
      <c r="PRX209" s="21"/>
      <c r="PRY209" s="21"/>
      <c r="PRZ209" s="21"/>
      <c r="PSA209" s="21"/>
      <c r="PSB209" s="21"/>
      <c r="PSC209" s="21"/>
      <c r="PSD209" s="21"/>
      <c r="PSE209" s="21"/>
      <c r="PSF209" s="21"/>
      <c r="PSG209" s="21"/>
      <c r="PSH209" s="21"/>
      <c r="PSI209" s="21"/>
      <c r="PSJ209" s="21"/>
      <c r="PSK209" s="21"/>
      <c r="PSL209" s="21"/>
      <c r="PSM209" s="21"/>
      <c r="PSN209" s="21"/>
      <c r="PSO209" s="21"/>
      <c r="PSP209" s="21"/>
      <c r="PSQ209" s="21"/>
      <c r="PSR209" s="21"/>
      <c r="PSS209" s="21"/>
      <c r="PST209" s="21"/>
      <c r="PSU209" s="21"/>
      <c r="PSV209" s="21"/>
      <c r="PSW209" s="21"/>
      <c r="PSX209" s="21"/>
      <c r="PSY209" s="21"/>
      <c r="PSZ209" s="21"/>
      <c r="PTA209" s="21"/>
      <c r="PTB209" s="21"/>
      <c r="PTC209" s="21"/>
      <c r="PTD209" s="21"/>
      <c r="PTE209" s="21"/>
      <c r="PTF209" s="21"/>
      <c r="PTG209" s="21"/>
      <c r="PTH209" s="21"/>
      <c r="PTI209" s="21"/>
      <c r="PTJ209" s="21"/>
      <c r="PTK209" s="21"/>
      <c r="PTL209" s="21"/>
      <c r="PTM209" s="21"/>
      <c r="PTN209" s="21"/>
      <c r="PTO209" s="21"/>
      <c r="PTP209" s="21"/>
      <c r="PTQ209" s="21"/>
      <c r="PTR209" s="21"/>
      <c r="PTS209" s="21"/>
      <c r="PTT209" s="21"/>
      <c r="PTU209" s="21"/>
      <c r="PTV209" s="21"/>
      <c r="PTW209" s="21"/>
      <c r="PTX209" s="21"/>
      <c r="PTY209" s="21"/>
      <c r="PTZ209" s="21"/>
      <c r="PUA209" s="21"/>
      <c r="PUB209" s="21"/>
      <c r="PUC209" s="21"/>
      <c r="PUD209" s="21"/>
      <c r="PUE209" s="21"/>
      <c r="PUF209" s="21"/>
      <c r="PUG209" s="21"/>
      <c r="PUH209" s="21"/>
      <c r="PUI209" s="21"/>
      <c r="PUJ209" s="21"/>
      <c r="PUK209" s="21"/>
      <c r="PUL209" s="21"/>
      <c r="PUM209" s="21"/>
      <c r="PUN209" s="21"/>
      <c r="PUO209" s="21"/>
      <c r="PUP209" s="21"/>
      <c r="PUQ209" s="21"/>
      <c r="PUR209" s="21"/>
      <c r="PUS209" s="21"/>
      <c r="PUT209" s="21"/>
      <c r="PUU209" s="21"/>
      <c r="PUV209" s="21"/>
      <c r="PUW209" s="21"/>
      <c r="PUX209" s="21"/>
      <c r="PUY209" s="21"/>
      <c r="PUZ209" s="21"/>
      <c r="PVA209" s="21"/>
      <c r="PVB209" s="21"/>
      <c r="PVC209" s="21"/>
      <c r="PVD209" s="21"/>
      <c r="PVE209" s="21"/>
      <c r="PVF209" s="21"/>
      <c r="PVG209" s="21"/>
      <c r="PVH209" s="21"/>
      <c r="PVI209" s="21"/>
      <c r="PVJ209" s="21"/>
      <c r="PVK209" s="21"/>
      <c r="PVL209" s="21"/>
      <c r="PVM209" s="21"/>
      <c r="PVN209" s="21"/>
      <c r="PVO209" s="21"/>
      <c r="PVP209" s="21"/>
      <c r="PVQ209" s="21"/>
      <c r="PVR209" s="21"/>
      <c r="PVS209" s="21"/>
      <c r="PVT209" s="21"/>
      <c r="PVU209" s="21"/>
      <c r="PVV209" s="21"/>
      <c r="PVW209" s="21"/>
      <c r="PVX209" s="21"/>
      <c r="PVY209" s="21"/>
      <c r="PVZ209" s="21"/>
      <c r="PWA209" s="21"/>
      <c r="PWB209" s="21"/>
      <c r="PWC209" s="21"/>
      <c r="PWD209" s="21"/>
      <c r="PWE209" s="21"/>
      <c r="PWF209" s="21"/>
      <c r="PWG209" s="21"/>
      <c r="PWH209" s="21"/>
      <c r="PWI209" s="21"/>
      <c r="PWJ209" s="21"/>
      <c r="PWK209" s="21"/>
      <c r="PWL209" s="21"/>
      <c r="PWM209" s="21"/>
      <c r="PWN209" s="21"/>
      <c r="PWO209" s="21"/>
      <c r="PWP209" s="21"/>
      <c r="PWQ209" s="21"/>
      <c r="PWR209" s="21"/>
      <c r="PWS209" s="21"/>
      <c r="PWT209" s="21"/>
      <c r="PWU209" s="21"/>
      <c r="PWV209" s="21"/>
      <c r="PWW209" s="21"/>
      <c r="PWX209" s="21"/>
      <c r="PWY209" s="21"/>
      <c r="PWZ209" s="21"/>
      <c r="PXA209" s="21"/>
      <c r="PXB209" s="21"/>
      <c r="PXC209" s="21"/>
      <c r="PXD209" s="21"/>
      <c r="PXE209" s="21"/>
      <c r="PXF209" s="21"/>
      <c r="PXG209" s="21"/>
      <c r="PXH209" s="21"/>
      <c r="PXI209" s="21"/>
      <c r="PXJ209" s="21"/>
      <c r="PXK209" s="21"/>
      <c r="PXL209" s="21"/>
      <c r="PXM209" s="21"/>
      <c r="PXN209" s="21"/>
      <c r="PXO209" s="21"/>
      <c r="PXP209" s="21"/>
      <c r="PXQ209" s="21"/>
      <c r="PXR209" s="21"/>
      <c r="PXS209" s="21"/>
      <c r="PXT209" s="21"/>
      <c r="PXU209" s="21"/>
      <c r="PXV209" s="21"/>
      <c r="PXW209" s="21"/>
      <c r="PXX209" s="21"/>
      <c r="PXY209" s="21"/>
      <c r="PXZ209" s="21"/>
      <c r="PYA209" s="21"/>
      <c r="PYB209" s="21"/>
      <c r="PYC209" s="21"/>
      <c r="PYD209" s="21"/>
      <c r="PYE209" s="21"/>
      <c r="PYF209" s="21"/>
      <c r="PYG209" s="21"/>
      <c r="PYH209" s="21"/>
      <c r="PYI209" s="21"/>
      <c r="PYJ209" s="21"/>
      <c r="PYK209" s="21"/>
      <c r="PYL209" s="21"/>
      <c r="PYM209" s="21"/>
      <c r="PYN209" s="21"/>
      <c r="PYO209" s="21"/>
      <c r="PYP209" s="21"/>
      <c r="PYQ209" s="21"/>
      <c r="PYR209" s="21"/>
      <c r="PYS209" s="21"/>
      <c r="PYT209" s="21"/>
      <c r="PYU209" s="21"/>
      <c r="PYV209" s="21"/>
      <c r="PYW209" s="21"/>
      <c r="PYX209" s="21"/>
      <c r="PYY209" s="21"/>
      <c r="PYZ209" s="21"/>
      <c r="PZA209" s="21"/>
      <c r="PZB209" s="21"/>
      <c r="PZC209" s="21"/>
      <c r="PZD209" s="21"/>
      <c r="PZE209" s="21"/>
      <c r="PZF209" s="21"/>
      <c r="PZG209" s="21"/>
      <c r="PZH209" s="21"/>
      <c r="PZI209" s="21"/>
      <c r="PZJ209" s="21"/>
      <c r="PZK209" s="21"/>
      <c r="PZL209" s="21"/>
      <c r="PZM209" s="21"/>
      <c r="PZN209" s="21"/>
      <c r="PZO209" s="21"/>
      <c r="PZP209" s="21"/>
      <c r="PZQ209" s="21"/>
      <c r="PZR209" s="21"/>
      <c r="PZS209" s="21"/>
      <c r="PZT209" s="21"/>
      <c r="PZU209" s="21"/>
      <c r="PZV209" s="21"/>
      <c r="PZW209" s="21"/>
      <c r="PZX209" s="21"/>
      <c r="PZY209" s="21"/>
      <c r="PZZ209" s="21"/>
      <c r="QAA209" s="21"/>
      <c r="QAB209" s="21"/>
      <c r="QAC209" s="21"/>
      <c r="QAD209" s="21"/>
      <c r="QAE209" s="21"/>
      <c r="QAF209" s="21"/>
      <c r="QAG209" s="21"/>
      <c r="QAH209" s="21"/>
      <c r="QAI209" s="21"/>
      <c r="QAJ209" s="21"/>
      <c r="QAK209" s="21"/>
      <c r="QAL209" s="21"/>
      <c r="QAM209" s="21"/>
      <c r="QAN209" s="21"/>
      <c r="QAO209" s="21"/>
      <c r="QAP209" s="21"/>
      <c r="QAQ209" s="21"/>
      <c r="QAR209" s="21"/>
      <c r="QAS209" s="21"/>
      <c r="QAT209" s="21"/>
      <c r="QAU209" s="21"/>
      <c r="QAV209" s="21"/>
      <c r="QAW209" s="21"/>
      <c r="QAX209" s="21"/>
      <c r="QAY209" s="21"/>
      <c r="QAZ209" s="21"/>
      <c r="QBA209" s="21"/>
      <c r="QBB209" s="21"/>
      <c r="QBC209" s="21"/>
      <c r="QBD209" s="21"/>
      <c r="QBE209" s="21"/>
      <c r="QBF209" s="21"/>
      <c r="QBG209" s="21"/>
      <c r="QBH209" s="21"/>
      <c r="QBI209" s="21"/>
      <c r="QBJ209" s="21"/>
      <c r="QBK209" s="21"/>
      <c r="QBL209" s="21"/>
      <c r="QBM209" s="21"/>
      <c r="QBN209" s="21"/>
      <c r="QBO209" s="21"/>
      <c r="QBP209" s="21"/>
      <c r="QBQ209" s="21"/>
      <c r="QBR209" s="21"/>
      <c r="QBS209" s="21"/>
      <c r="QBT209" s="21"/>
      <c r="QBU209" s="21"/>
      <c r="QBV209" s="21"/>
      <c r="QBW209" s="21"/>
      <c r="QBX209" s="21"/>
      <c r="QBY209" s="21"/>
      <c r="QBZ209" s="21"/>
      <c r="QCA209" s="21"/>
      <c r="QCB209" s="21"/>
      <c r="QCC209" s="21"/>
      <c r="QCD209" s="21"/>
      <c r="QCE209" s="21"/>
      <c r="QCF209" s="21"/>
      <c r="QCG209" s="21"/>
      <c r="QCH209" s="21"/>
      <c r="QCI209" s="21"/>
      <c r="QCJ209" s="21"/>
      <c r="QCK209" s="21"/>
      <c r="QCL209" s="21"/>
      <c r="QCM209" s="21"/>
      <c r="QCN209" s="21"/>
      <c r="QCO209" s="21"/>
      <c r="QCP209" s="21"/>
      <c r="QCQ209" s="21"/>
      <c r="QCR209" s="21"/>
      <c r="QCS209" s="21"/>
      <c r="QCT209" s="21"/>
      <c r="QCU209" s="21"/>
      <c r="QCV209" s="21"/>
      <c r="QCW209" s="21"/>
      <c r="QCX209" s="21"/>
      <c r="QCY209" s="21"/>
      <c r="QCZ209" s="21"/>
      <c r="QDA209" s="21"/>
      <c r="QDB209" s="21"/>
      <c r="QDC209" s="21"/>
      <c r="QDD209" s="21"/>
      <c r="QDE209" s="21"/>
      <c r="QDF209" s="21"/>
      <c r="QDG209" s="21"/>
      <c r="QDH209" s="21"/>
      <c r="QDI209" s="21"/>
      <c r="QDJ209" s="21"/>
      <c r="QDK209" s="21"/>
      <c r="QDL209" s="21"/>
      <c r="QDM209" s="21"/>
      <c r="QDN209" s="21"/>
      <c r="QDO209" s="21"/>
      <c r="QDP209" s="21"/>
      <c r="QDQ209" s="21"/>
      <c r="QDR209" s="21"/>
      <c r="QDS209" s="21"/>
      <c r="QDT209" s="21"/>
      <c r="QDU209" s="21"/>
      <c r="QDV209" s="21"/>
      <c r="QDW209" s="21"/>
      <c r="QDX209" s="21"/>
      <c r="QDY209" s="21"/>
      <c r="QDZ209" s="21"/>
      <c r="QEA209" s="21"/>
      <c r="QEB209" s="21"/>
      <c r="QEC209" s="21"/>
      <c r="QED209" s="21"/>
      <c r="QEE209" s="21"/>
      <c r="QEF209" s="21"/>
      <c r="QEG209" s="21"/>
      <c r="QEH209" s="21"/>
      <c r="QEI209" s="21"/>
      <c r="QEJ209" s="21"/>
      <c r="QEK209" s="21"/>
      <c r="QEL209" s="21"/>
      <c r="QEM209" s="21"/>
      <c r="QEN209" s="21"/>
      <c r="QEO209" s="21"/>
      <c r="QEP209" s="21"/>
      <c r="QEQ209" s="21"/>
      <c r="QER209" s="21"/>
      <c r="QES209" s="21"/>
      <c r="QET209" s="21"/>
      <c r="QEU209" s="21"/>
      <c r="QEV209" s="21"/>
      <c r="QEW209" s="21"/>
      <c r="QEX209" s="21"/>
      <c r="QEY209" s="21"/>
      <c r="QEZ209" s="21"/>
      <c r="QFA209" s="21"/>
      <c r="QFB209" s="21"/>
      <c r="QFC209" s="21"/>
      <c r="QFD209" s="21"/>
      <c r="QFE209" s="21"/>
      <c r="QFF209" s="21"/>
      <c r="QFG209" s="21"/>
      <c r="QFH209" s="21"/>
      <c r="QFI209" s="21"/>
      <c r="QFJ209" s="21"/>
      <c r="QFK209" s="21"/>
      <c r="QFL209" s="21"/>
      <c r="QFM209" s="21"/>
      <c r="QFN209" s="21"/>
      <c r="QFO209" s="21"/>
      <c r="QFP209" s="21"/>
      <c r="QFQ209" s="21"/>
      <c r="QFR209" s="21"/>
      <c r="QFS209" s="21"/>
      <c r="QFT209" s="21"/>
      <c r="QFU209" s="21"/>
      <c r="QFV209" s="21"/>
      <c r="QFW209" s="21"/>
      <c r="QFX209" s="21"/>
      <c r="QFY209" s="21"/>
      <c r="QFZ209" s="21"/>
      <c r="QGA209" s="21"/>
      <c r="QGB209" s="21"/>
      <c r="QGC209" s="21"/>
      <c r="QGD209" s="21"/>
      <c r="QGE209" s="21"/>
      <c r="QGF209" s="21"/>
      <c r="QGG209" s="21"/>
      <c r="QGH209" s="21"/>
      <c r="QGI209" s="21"/>
      <c r="QGJ209" s="21"/>
      <c r="QGK209" s="21"/>
      <c r="QGL209" s="21"/>
      <c r="QGM209" s="21"/>
      <c r="QGN209" s="21"/>
      <c r="QGO209" s="21"/>
      <c r="QGP209" s="21"/>
      <c r="QGQ209" s="21"/>
      <c r="QGR209" s="21"/>
      <c r="QGS209" s="21"/>
      <c r="QGT209" s="21"/>
      <c r="QGU209" s="21"/>
      <c r="QGV209" s="21"/>
      <c r="QGW209" s="21"/>
      <c r="QGX209" s="21"/>
      <c r="QGY209" s="21"/>
      <c r="QGZ209" s="21"/>
      <c r="QHA209" s="21"/>
      <c r="QHB209" s="21"/>
      <c r="QHC209" s="21"/>
      <c r="QHD209" s="21"/>
      <c r="QHE209" s="21"/>
      <c r="QHF209" s="21"/>
      <c r="QHG209" s="21"/>
      <c r="QHH209" s="21"/>
      <c r="QHI209" s="21"/>
      <c r="QHJ209" s="21"/>
      <c r="QHK209" s="21"/>
      <c r="QHL209" s="21"/>
      <c r="QHM209" s="21"/>
      <c r="QHN209" s="21"/>
      <c r="QHO209" s="21"/>
      <c r="QHP209" s="21"/>
      <c r="QHQ209" s="21"/>
      <c r="QHR209" s="21"/>
      <c r="QHS209" s="21"/>
      <c r="QHT209" s="21"/>
      <c r="QHU209" s="21"/>
      <c r="QHV209" s="21"/>
      <c r="QHW209" s="21"/>
      <c r="QHX209" s="21"/>
      <c r="QHY209" s="21"/>
      <c r="QHZ209" s="21"/>
      <c r="QIA209" s="21"/>
      <c r="QIB209" s="21"/>
      <c r="QIC209" s="21"/>
      <c r="QID209" s="21"/>
      <c r="QIE209" s="21"/>
      <c r="QIF209" s="21"/>
      <c r="QIG209" s="21"/>
      <c r="QIH209" s="21"/>
      <c r="QII209" s="21"/>
      <c r="QIJ209" s="21"/>
      <c r="QIK209" s="21"/>
      <c r="QIL209" s="21"/>
      <c r="QIM209" s="21"/>
      <c r="QIN209" s="21"/>
      <c r="QIO209" s="21"/>
      <c r="QIP209" s="21"/>
      <c r="QIQ209" s="21"/>
      <c r="QIR209" s="21"/>
      <c r="QIS209" s="21"/>
      <c r="QIT209" s="21"/>
      <c r="QIU209" s="21"/>
      <c r="QIV209" s="21"/>
      <c r="QIW209" s="21"/>
      <c r="QIX209" s="21"/>
      <c r="QIY209" s="21"/>
      <c r="QIZ209" s="21"/>
      <c r="QJA209" s="21"/>
      <c r="QJB209" s="21"/>
      <c r="QJC209" s="21"/>
      <c r="QJD209" s="21"/>
      <c r="QJE209" s="21"/>
      <c r="QJF209" s="21"/>
      <c r="QJG209" s="21"/>
      <c r="QJH209" s="21"/>
      <c r="QJI209" s="21"/>
      <c r="QJJ209" s="21"/>
      <c r="QJK209" s="21"/>
      <c r="QJL209" s="21"/>
      <c r="QJM209" s="21"/>
      <c r="QJN209" s="21"/>
      <c r="QJO209" s="21"/>
      <c r="QJP209" s="21"/>
      <c r="QJQ209" s="21"/>
      <c r="QJR209" s="21"/>
      <c r="QJS209" s="21"/>
      <c r="QJT209" s="21"/>
      <c r="QJU209" s="21"/>
      <c r="QJV209" s="21"/>
      <c r="QJW209" s="21"/>
      <c r="QJX209" s="21"/>
      <c r="QJY209" s="21"/>
      <c r="QJZ209" s="21"/>
      <c r="QKA209" s="21"/>
      <c r="QKB209" s="21"/>
      <c r="QKC209" s="21"/>
      <c r="QKD209" s="21"/>
      <c r="QKE209" s="21"/>
      <c r="QKF209" s="21"/>
      <c r="QKG209" s="21"/>
      <c r="QKH209" s="21"/>
      <c r="QKI209" s="21"/>
      <c r="QKJ209" s="21"/>
      <c r="QKK209" s="21"/>
      <c r="QKL209" s="21"/>
      <c r="QKM209" s="21"/>
      <c r="QKN209" s="21"/>
      <c r="QKO209" s="21"/>
      <c r="QKP209" s="21"/>
      <c r="QKQ209" s="21"/>
      <c r="QKR209" s="21"/>
      <c r="QKS209" s="21"/>
      <c r="QKT209" s="21"/>
      <c r="QKU209" s="21"/>
      <c r="QKV209" s="21"/>
      <c r="QKW209" s="21"/>
      <c r="QKX209" s="21"/>
      <c r="QKY209" s="21"/>
      <c r="QKZ209" s="21"/>
      <c r="QLA209" s="21"/>
      <c r="QLB209" s="21"/>
      <c r="QLC209" s="21"/>
      <c r="QLD209" s="21"/>
      <c r="QLE209" s="21"/>
      <c r="QLF209" s="21"/>
      <c r="QLG209" s="21"/>
      <c r="QLH209" s="21"/>
      <c r="QLI209" s="21"/>
      <c r="QLJ209" s="21"/>
      <c r="QLK209" s="21"/>
      <c r="QLL209" s="21"/>
      <c r="QLM209" s="21"/>
      <c r="QLN209" s="21"/>
      <c r="QLO209" s="21"/>
      <c r="QLP209" s="21"/>
      <c r="QLQ209" s="21"/>
      <c r="QLR209" s="21"/>
      <c r="QLS209" s="21"/>
      <c r="QLT209" s="21"/>
      <c r="QLU209" s="21"/>
      <c r="QLV209" s="21"/>
      <c r="QLW209" s="21"/>
      <c r="QLX209" s="21"/>
      <c r="QLY209" s="21"/>
      <c r="QLZ209" s="21"/>
      <c r="QMA209" s="21"/>
      <c r="QMB209" s="21"/>
      <c r="QMC209" s="21"/>
      <c r="QMD209" s="21"/>
      <c r="QME209" s="21"/>
      <c r="QMF209" s="21"/>
      <c r="QMG209" s="21"/>
      <c r="QMH209" s="21"/>
      <c r="QMI209" s="21"/>
      <c r="QMJ209" s="21"/>
      <c r="QMK209" s="21"/>
      <c r="QML209" s="21"/>
      <c r="QMM209" s="21"/>
      <c r="QMN209" s="21"/>
      <c r="QMO209" s="21"/>
      <c r="QMP209" s="21"/>
      <c r="QMQ209" s="21"/>
      <c r="QMR209" s="21"/>
      <c r="QMS209" s="21"/>
      <c r="QMT209" s="21"/>
      <c r="QMU209" s="21"/>
      <c r="QMV209" s="21"/>
      <c r="QMW209" s="21"/>
      <c r="QMX209" s="21"/>
      <c r="QMY209" s="21"/>
      <c r="QMZ209" s="21"/>
      <c r="QNA209" s="21"/>
      <c r="QNB209" s="21"/>
      <c r="QNC209" s="21"/>
      <c r="QND209" s="21"/>
      <c r="QNE209" s="21"/>
      <c r="QNF209" s="21"/>
      <c r="QNG209" s="21"/>
      <c r="QNH209" s="21"/>
      <c r="QNI209" s="21"/>
      <c r="QNJ209" s="21"/>
      <c r="QNK209" s="21"/>
      <c r="QNL209" s="21"/>
      <c r="QNM209" s="21"/>
      <c r="QNN209" s="21"/>
      <c r="QNO209" s="21"/>
      <c r="QNP209" s="21"/>
      <c r="QNQ209" s="21"/>
      <c r="QNR209" s="21"/>
      <c r="QNS209" s="21"/>
      <c r="QNT209" s="21"/>
      <c r="QNU209" s="21"/>
      <c r="QNV209" s="21"/>
      <c r="QNW209" s="21"/>
      <c r="QNX209" s="21"/>
      <c r="QNY209" s="21"/>
      <c r="QNZ209" s="21"/>
      <c r="QOA209" s="21"/>
      <c r="QOB209" s="21"/>
      <c r="QOC209" s="21"/>
      <c r="QOD209" s="21"/>
      <c r="QOE209" s="21"/>
      <c r="QOF209" s="21"/>
      <c r="QOG209" s="21"/>
      <c r="QOH209" s="21"/>
      <c r="QOI209" s="21"/>
      <c r="QOJ209" s="21"/>
      <c r="QOK209" s="21"/>
      <c r="QOL209" s="21"/>
      <c r="QOM209" s="21"/>
      <c r="QON209" s="21"/>
      <c r="QOO209" s="21"/>
      <c r="QOP209" s="21"/>
      <c r="QOQ209" s="21"/>
      <c r="QOR209" s="21"/>
      <c r="QOS209" s="21"/>
      <c r="QOT209" s="21"/>
      <c r="QOU209" s="21"/>
      <c r="QOV209" s="21"/>
      <c r="QOW209" s="21"/>
      <c r="QOX209" s="21"/>
      <c r="QOY209" s="21"/>
      <c r="QOZ209" s="21"/>
      <c r="QPA209" s="21"/>
      <c r="QPB209" s="21"/>
      <c r="QPC209" s="21"/>
      <c r="QPD209" s="21"/>
      <c r="QPE209" s="21"/>
      <c r="QPF209" s="21"/>
      <c r="QPG209" s="21"/>
      <c r="QPH209" s="21"/>
      <c r="QPI209" s="21"/>
      <c r="QPJ209" s="21"/>
      <c r="QPK209" s="21"/>
      <c r="QPL209" s="21"/>
      <c r="QPM209" s="21"/>
      <c r="QPN209" s="21"/>
      <c r="QPO209" s="21"/>
      <c r="QPP209" s="21"/>
      <c r="QPQ209" s="21"/>
      <c r="QPR209" s="21"/>
      <c r="QPS209" s="21"/>
      <c r="QPT209" s="21"/>
      <c r="QPU209" s="21"/>
      <c r="QPV209" s="21"/>
      <c r="QPW209" s="21"/>
      <c r="QPX209" s="21"/>
      <c r="QPY209" s="21"/>
      <c r="QPZ209" s="21"/>
      <c r="QQA209" s="21"/>
      <c r="QQB209" s="21"/>
      <c r="QQC209" s="21"/>
      <c r="QQD209" s="21"/>
      <c r="QQE209" s="21"/>
      <c r="QQF209" s="21"/>
      <c r="QQG209" s="21"/>
      <c r="QQH209" s="21"/>
      <c r="QQI209" s="21"/>
      <c r="QQJ209" s="21"/>
      <c r="QQK209" s="21"/>
      <c r="QQL209" s="21"/>
      <c r="QQM209" s="21"/>
      <c r="QQN209" s="21"/>
      <c r="QQO209" s="21"/>
      <c r="QQP209" s="21"/>
      <c r="QQQ209" s="21"/>
      <c r="QQR209" s="21"/>
      <c r="QQS209" s="21"/>
      <c r="QQT209" s="21"/>
      <c r="QQU209" s="21"/>
      <c r="QQV209" s="21"/>
      <c r="QQW209" s="21"/>
      <c r="QQX209" s="21"/>
      <c r="QQY209" s="21"/>
      <c r="QQZ209" s="21"/>
      <c r="QRA209" s="21"/>
      <c r="QRB209" s="21"/>
      <c r="QRC209" s="21"/>
      <c r="QRD209" s="21"/>
      <c r="QRE209" s="21"/>
      <c r="QRF209" s="21"/>
      <c r="QRG209" s="21"/>
      <c r="QRH209" s="21"/>
      <c r="QRI209" s="21"/>
      <c r="QRJ209" s="21"/>
      <c r="QRK209" s="21"/>
      <c r="QRL209" s="21"/>
      <c r="QRM209" s="21"/>
      <c r="QRN209" s="21"/>
      <c r="QRO209" s="21"/>
      <c r="QRP209" s="21"/>
      <c r="QRQ209" s="21"/>
      <c r="QRR209" s="21"/>
      <c r="QRS209" s="21"/>
      <c r="QRT209" s="21"/>
      <c r="QRU209" s="21"/>
      <c r="QRV209" s="21"/>
      <c r="QRW209" s="21"/>
      <c r="QRX209" s="21"/>
      <c r="QRY209" s="21"/>
      <c r="QRZ209" s="21"/>
      <c r="QSA209" s="21"/>
      <c r="QSB209" s="21"/>
      <c r="QSC209" s="21"/>
      <c r="QSD209" s="21"/>
      <c r="QSE209" s="21"/>
      <c r="QSF209" s="21"/>
      <c r="QSG209" s="21"/>
      <c r="QSH209" s="21"/>
      <c r="QSI209" s="21"/>
      <c r="QSJ209" s="21"/>
      <c r="QSK209" s="21"/>
      <c r="QSL209" s="21"/>
      <c r="QSM209" s="21"/>
      <c r="QSN209" s="21"/>
      <c r="QSO209" s="21"/>
      <c r="QSP209" s="21"/>
      <c r="QSQ209" s="21"/>
      <c r="QSR209" s="21"/>
      <c r="QSS209" s="21"/>
      <c r="QST209" s="21"/>
      <c r="QSU209" s="21"/>
      <c r="QSV209" s="21"/>
      <c r="QSW209" s="21"/>
      <c r="QSX209" s="21"/>
      <c r="QSY209" s="21"/>
      <c r="QSZ209" s="21"/>
      <c r="QTA209" s="21"/>
      <c r="QTB209" s="21"/>
      <c r="QTC209" s="21"/>
      <c r="QTD209" s="21"/>
      <c r="QTE209" s="21"/>
      <c r="QTF209" s="21"/>
      <c r="QTG209" s="21"/>
      <c r="QTH209" s="21"/>
      <c r="QTI209" s="21"/>
      <c r="QTJ209" s="21"/>
      <c r="QTK209" s="21"/>
      <c r="QTL209" s="21"/>
      <c r="QTM209" s="21"/>
      <c r="QTN209" s="21"/>
      <c r="QTO209" s="21"/>
      <c r="QTP209" s="21"/>
      <c r="QTQ209" s="21"/>
      <c r="QTR209" s="21"/>
      <c r="QTS209" s="21"/>
      <c r="QTT209" s="21"/>
      <c r="QTU209" s="21"/>
      <c r="QTV209" s="21"/>
      <c r="QTW209" s="21"/>
      <c r="QTX209" s="21"/>
      <c r="QTY209" s="21"/>
      <c r="QTZ209" s="21"/>
      <c r="QUA209" s="21"/>
      <c r="QUB209" s="21"/>
      <c r="QUC209" s="21"/>
      <c r="QUD209" s="21"/>
      <c r="QUE209" s="21"/>
      <c r="QUF209" s="21"/>
      <c r="QUG209" s="21"/>
      <c r="QUH209" s="21"/>
      <c r="QUI209" s="21"/>
      <c r="QUJ209" s="21"/>
      <c r="QUK209" s="21"/>
      <c r="QUL209" s="21"/>
      <c r="QUM209" s="21"/>
      <c r="QUN209" s="21"/>
      <c r="QUO209" s="21"/>
      <c r="QUP209" s="21"/>
      <c r="QUQ209" s="21"/>
      <c r="QUR209" s="21"/>
      <c r="QUS209" s="21"/>
      <c r="QUT209" s="21"/>
      <c r="QUU209" s="21"/>
      <c r="QUV209" s="21"/>
      <c r="QUW209" s="21"/>
      <c r="QUX209" s="21"/>
      <c r="QUY209" s="21"/>
      <c r="QUZ209" s="21"/>
      <c r="QVA209" s="21"/>
      <c r="QVB209" s="21"/>
      <c r="QVC209" s="21"/>
      <c r="QVD209" s="21"/>
      <c r="QVE209" s="21"/>
      <c r="QVF209" s="21"/>
      <c r="QVG209" s="21"/>
      <c r="QVH209" s="21"/>
      <c r="QVI209" s="21"/>
      <c r="QVJ209" s="21"/>
      <c r="QVK209" s="21"/>
      <c r="QVL209" s="21"/>
      <c r="QVM209" s="21"/>
      <c r="QVN209" s="21"/>
      <c r="QVO209" s="21"/>
      <c r="QVP209" s="21"/>
      <c r="QVQ209" s="21"/>
      <c r="QVR209" s="21"/>
      <c r="QVS209" s="21"/>
      <c r="QVT209" s="21"/>
      <c r="QVU209" s="21"/>
      <c r="QVV209" s="21"/>
      <c r="QVW209" s="21"/>
      <c r="QVX209" s="21"/>
      <c r="QVY209" s="21"/>
      <c r="QVZ209" s="21"/>
      <c r="QWA209" s="21"/>
      <c r="QWB209" s="21"/>
      <c r="QWC209" s="21"/>
      <c r="QWD209" s="21"/>
      <c r="QWE209" s="21"/>
      <c r="QWF209" s="21"/>
      <c r="QWG209" s="21"/>
      <c r="QWH209" s="21"/>
      <c r="QWI209" s="21"/>
      <c r="QWJ209" s="21"/>
      <c r="QWK209" s="21"/>
      <c r="QWL209" s="21"/>
      <c r="QWM209" s="21"/>
      <c r="QWN209" s="21"/>
      <c r="QWO209" s="21"/>
      <c r="QWP209" s="21"/>
      <c r="QWQ209" s="21"/>
      <c r="QWR209" s="21"/>
      <c r="QWS209" s="21"/>
      <c r="QWT209" s="21"/>
      <c r="QWU209" s="21"/>
      <c r="QWV209" s="21"/>
      <c r="QWW209" s="21"/>
      <c r="QWX209" s="21"/>
      <c r="QWY209" s="21"/>
      <c r="QWZ209" s="21"/>
      <c r="QXA209" s="21"/>
      <c r="QXB209" s="21"/>
      <c r="QXC209" s="21"/>
      <c r="QXD209" s="21"/>
      <c r="QXE209" s="21"/>
      <c r="QXF209" s="21"/>
      <c r="QXG209" s="21"/>
      <c r="QXH209" s="21"/>
      <c r="QXI209" s="21"/>
      <c r="QXJ209" s="21"/>
      <c r="QXK209" s="21"/>
      <c r="QXL209" s="21"/>
      <c r="QXM209" s="21"/>
      <c r="QXN209" s="21"/>
      <c r="QXO209" s="21"/>
      <c r="QXP209" s="21"/>
      <c r="QXQ209" s="21"/>
      <c r="QXR209" s="21"/>
      <c r="QXS209" s="21"/>
      <c r="QXT209" s="21"/>
      <c r="QXU209" s="21"/>
      <c r="QXV209" s="21"/>
      <c r="QXW209" s="21"/>
      <c r="QXX209" s="21"/>
      <c r="QXY209" s="21"/>
      <c r="QXZ209" s="21"/>
      <c r="QYA209" s="21"/>
      <c r="QYB209" s="21"/>
      <c r="QYC209" s="21"/>
      <c r="QYD209" s="21"/>
      <c r="QYE209" s="21"/>
      <c r="QYF209" s="21"/>
      <c r="QYG209" s="21"/>
      <c r="QYH209" s="21"/>
      <c r="QYI209" s="21"/>
      <c r="QYJ209" s="21"/>
      <c r="QYK209" s="21"/>
      <c r="QYL209" s="21"/>
      <c r="QYM209" s="21"/>
      <c r="QYN209" s="21"/>
      <c r="QYO209" s="21"/>
      <c r="QYP209" s="21"/>
      <c r="QYQ209" s="21"/>
      <c r="QYR209" s="21"/>
      <c r="QYS209" s="21"/>
      <c r="QYT209" s="21"/>
      <c r="QYU209" s="21"/>
      <c r="QYV209" s="21"/>
      <c r="QYW209" s="21"/>
      <c r="QYX209" s="21"/>
      <c r="QYY209" s="21"/>
      <c r="QYZ209" s="21"/>
      <c r="QZA209" s="21"/>
      <c r="QZB209" s="21"/>
      <c r="QZC209" s="21"/>
      <c r="QZD209" s="21"/>
      <c r="QZE209" s="21"/>
      <c r="QZF209" s="21"/>
      <c r="QZG209" s="21"/>
      <c r="QZH209" s="21"/>
      <c r="QZI209" s="21"/>
      <c r="QZJ209" s="21"/>
      <c r="QZK209" s="21"/>
      <c r="QZL209" s="21"/>
      <c r="QZM209" s="21"/>
      <c r="QZN209" s="21"/>
      <c r="QZO209" s="21"/>
      <c r="QZP209" s="21"/>
      <c r="QZQ209" s="21"/>
      <c r="QZR209" s="21"/>
      <c r="QZS209" s="21"/>
      <c r="QZT209" s="21"/>
      <c r="QZU209" s="21"/>
      <c r="QZV209" s="21"/>
      <c r="QZW209" s="21"/>
      <c r="QZX209" s="21"/>
      <c r="QZY209" s="21"/>
      <c r="QZZ209" s="21"/>
      <c r="RAA209" s="21"/>
      <c r="RAB209" s="21"/>
      <c r="RAC209" s="21"/>
      <c r="RAD209" s="21"/>
      <c r="RAE209" s="21"/>
      <c r="RAF209" s="21"/>
      <c r="RAG209" s="21"/>
      <c r="RAH209" s="21"/>
      <c r="RAI209" s="21"/>
      <c r="RAJ209" s="21"/>
      <c r="RAK209" s="21"/>
      <c r="RAL209" s="21"/>
      <c r="RAM209" s="21"/>
      <c r="RAN209" s="21"/>
      <c r="RAO209" s="21"/>
      <c r="RAP209" s="21"/>
      <c r="RAQ209" s="21"/>
      <c r="RAR209" s="21"/>
      <c r="RAS209" s="21"/>
      <c r="RAT209" s="21"/>
      <c r="RAU209" s="21"/>
      <c r="RAV209" s="21"/>
      <c r="RAW209" s="21"/>
      <c r="RAX209" s="21"/>
      <c r="RAY209" s="21"/>
      <c r="RAZ209" s="21"/>
      <c r="RBA209" s="21"/>
      <c r="RBB209" s="21"/>
      <c r="RBC209" s="21"/>
      <c r="RBD209" s="21"/>
      <c r="RBE209" s="21"/>
      <c r="RBF209" s="21"/>
      <c r="RBG209" s="21"/>
      <c r="RBH209" s="21"/>
      <c r="RBI209" s="21"/>
      <c r="RBJ209" s="21"/>
      <c r="RBK209" s="21"/>
      <c r="RBL209" s="21"/>
      <c r="RBM209" s="21"/>
      <c r="RBN209" s="21"/>
      <c r="RBO209" s="21"/>
      <c r="RBP209" s="21"/>
      <c r="RBQ209" s="21"/>
      <c r="RBR209" s="21"/>
      <c r="RBS209" s="21"/>
      <c r="RBT209" s="21"/>
      <c r="RBU209" s="21"/>
      <c r="RBV209" s="21"/>
      <c r="RBW209" s="21"/>
      <c r="RBX209" s="21"/>
      <c r="RBY209" s="21"/>
      <c r="RBZ209" s="21"/>
      <c r="RCA209" s="21"/>
      <c r="RCB209" s="21"/>
      <c r="RCC209" s="21"/>
      <c r="RCD209" s="21"/>
      <c r="RCE209" s="21"/>
      <c r="RCF209" s="21"/>
      <c r="RCG209" s="21"/>
      <c r="RCH209" s="21"/>
      <c r="RCI209" s="21"/>
      <c r="RCJ209" s="21"/>
      <c r="RCK209" s="21"/>
      <c r="RCL209" s="21"/>
      <c r="RCM209" s="21"/>
      <c r="RCN209" s="21"/>
      <c r="RCO209" s="21"/>
      <c r="RCP209" s="21"/>
      <c r="RCQ209" s="21"/>
      <c r="RCR209" s="21"/>
      <c r="RCS209" s="21"/>
      <c r="RCT209" s="21"/>
      <c r="RCU209" s="21"/>
      <c r="RCV209" s="21"/>
      <c r="RCW209" s="21"/>
      <c r="RCX209" s="21"/>
      <c r="RCY209" s="21"/>
      <c r="RCZ209" s="21"/>
      <c r="RDA209" s="21"/>
      <c r="RDB209" s="21"/>
      <c r="RDC209" s="21"/>
      <c r="RDD209" s="21"/>
      <c r="RDE209" s="21"/>
      <c r="RDF209" s="21"/>
      <c r="RDG209" s="21"/>
      <c r="RDH209" s="21"/>
      <c r="RDI209" s="21"/>
      <c r="RDJ209" s="21"/>
      <c r="RDK209" s="21"/>
      <c r="RDL209" s="21"/>
      <c r="RDM209" s="21"/>
      <c r="RDN209" s="21"/>
      <c r="RDO209" s="21"/>
      <c r="RDP209" s="21"/>
      <c r="RDQ209" s="21"/>
      <c r="RDR209" s="21"/>
      <c r="RDS209" s="21"/>
      <c r="RDT209" s="21"/>
      <c r="RDU209" s="21"/>
      <c r="RDV209" s="21"/>
      <c r="RDW209" s="21"/>
      <c r="RDX209" s="21"/>
      <c r="RDY209" s="21"/>
      <c r="RDZ209" s="21"/>
      <c r="REA209" s="21"/>
      <c r="REB209" s="21"/>
      <c r="REC209" s="21"/>
      <c r="RED209" s="21"/>
      <c r="REE209" s="21"/>
      <c r="REF209" s="21"/>
      <c r="REG209" s="21"/>
      <c r="REH209" s="21"/>
      <c r="REI209" s="21"/>
      <c r="REJ209" s="21"/>
      <c r="REK209" s="21"/>
      <c r="REL209" s="21"/>
      <c r="REM209" s="21"/>
      <c r="REN209" s="21"/>
      <c r="REO209" s="21"/>
      <c r="REP209" s="21"/>
      <c r="REQ209" s="21"/>
      <c r="RER209" s="21"/>
      <c r="RES209" s="21"/>
      <c r="RET209" s="21"/>
      <c r="REU209" s="21"/>
      <c r="REV209" s="21"/>
      <c r="REW209" s="21"/>
      <c r="REX209" s="21"/>
      <c r="REY209" s="21"/>
      <c r="REZ209" s="21"/>
      <c r="RFA209" s="21"/>
      <c r="RFB209" s="21"/>
      <c r="RFC209" s="21"/>
      <c r="RFD209" s="21"/>
      <c r="RFE209" s="21"/>
      <c r="RFF209" s="21"/>
      <c r="RFG209" s="21"/>
      <c r="RFH209" s="21"/>
      <c r="RFI209" s="21"/>
      <c r="RFJ209" s="21"/>
      <c r="RFK209" s="21"/>
      <c r="RFL209" s="21"/>
      <c r="RFM209" s="21"/>
      <c r="RFN209" s="21"/>
      <c r="RFO209" s="21"/>
      <c r="RFP209" s="21"/>
      <c r="RFQ209" s="21"/>
      <c r="RFR209" s="21"/>
      <c r="RFS209" s="21"/>
      <c r="RFT209" s="21"/>
      <c r="RFU209" s="21"/>
      <c r="RFV209" s="21"/>
      <c r="RFW209" s="21"/>
      <c r="RFX209" s="21"/>
      <c r="RFY209" s="21"/>
      <c r="RFZ209" s="21"/>
      <c r="RGA209" s="21"/>
      <c r="RGB209" s="21"/>
      <c r="RGC209" s="21"/>
      <c r="RGD209" s="21"/>
      <c r="RGE209" s="21"/>
      <c r="RGF209" s="21"/>
      <c r="RGG209" s="21"/>
      <c r="RGH209" s="21"/>
      <c r="RGI209" s="21"/>
      <c r="RGJ209" s="21"/>
      <c r="RGK209" s="21"/>
      <c r="RGL209" s="21"/>
      <c r="RGM209" s="21"/>
      <c r="RGN209" s="21"/>
      <c r="RGO209" s="21"/>
      <c r="RGP209" s="21"/>
      <c r="RGQ209" s="21"/>
      <c r="RGR209" s="21"/>
      <c r="RGS209" s="21"/>
      <c r="RGT209" s="21"/>
      <c r="RGU209" s="21"/>
      <c r="RGV209" s="21"/>
      <c r="RGW209" s="21"/>
      <c r="RGX209" s="21"/>
      <c r="RGY209" s="21"/>
      <c r="RGZ209" s="21"/>
      <c r="RHA209" s="21"/>
      <c r="RHB209" s="21"/>
      <c r="RHC209" s="21"/>
      <c r="RHD209" s="21"/>
      <c r="RHE209" s="21"/>
      <c r="RHF209" s="21"/>
      <c r="RHG209" s="21"/>
      <c r="RHH209" s="21"/>
      <c r="RHI209" s="21"/>
      <c r="RHJ209" s="21"/>
      <c r="RHK209" s="21"/>
      <c r="RHL209" s="21"/>
      <c r="RHM209" s="21"/>
      <c r="RHN209" s="21"/>
      <c r="RHO209" s="21"/>
      <c r="RHP209" s="21"/>
      <c r="RHQ209" s="21"/>
      <c r="RHR209" s="21"/>
      <c r="RHS209" s="21"/>
      <c r="RHT209" s="21"/>
      <c r="RHU209" s="21"/>
      <c r="RHV209" s="21"/>
      <c r="RHW209" s="21"/>
      <c r="RHX209" s="21"/>
      <c r="RHY209" s="21"/>
      <c r="RHZ209" s="21"/>
      <c r="RIA209" s="21"/>
      <c r="RIB209" s="21"/>
      <c r="RIC209" s="21"/>
      <c r="RID209" s="21"/>
      <c r="RIE209" s="21"/>
      <c r="RIF209" s="21"/>
      <c r="RIG209" s="21"/>
      <c r="RIH209" s="21"/>
      <c r="RII209" s="21"/>
      <c r="RIJ209" s="21"/>
      <c r="RIK209" s="21"/>
      <c r="RIL209" s="21"/>
      <c r="RIM209" s="21"/>
      <c r="RIN209" s="21"/>
      <c r="RIO209" s="21"/>
      <c r="RIP209" s="21"/>
      <c r="RIQ209" s="21"/>
      <c r="RIR209" s="21"/>
      <c r="RIS209" s="21"/>
      <c r="RIT209" s="21"/>
      <c r="RIU209" s="21"/>
      <c r="RIV209" s="21"/>
      <c r="RIW209" s="21"/>
      <c r="RIX209" s="21"/>
      <c r="RIY209" s="21"/>
      <c r="RIZ209" s="21"/>
      <c r="RJA209" s="21"/>
      <c r="RJB209" s="21"/>
      <c r="RJC209" s="21"/>
      <c r="RJD209" s="21"/>
      <c r="RJE209" s="21"/>
      <c r="RJF209" s="21"/>
      <c r="RJG209" s="21"/>
      <c r="RJH209" s="21"/>
      <c r="RJI209" s="21"/>
      <c r="RJJ209" s="21"/>
      <c r="RJK209" s="21"/>
      <c r="RJL209" s="21"/>
      <c r="RJM209" s="21"/>
      <c r="RJN209" s="21"/>
      <c r="RJO209" s="21"/>
      <c r="RJP209" s="21"/>
      <c r="RJQ209" s="21"/>
      <c r="RJR209" s="21"/>
      <c r="RJS209" s="21"/>
      <c r="RJT209" s="21"/>
      <c r="RJU209" s="21"/>
      <c r="RJV209" s="21"/>
      <c r="RJW209" s="21"/>
      <c r="RJX209" s="21"/>
      <c r="RJY209" s="21"/>
      <c r="RJZ209" s="21"/>
      <c r="RKA209" s="21"/>
      <c r="RKB209" s="21"/>
      <c r="RKC209" s="21"/>
      <c r="RKD209" s="21"/>
      <c r="RKE209" s="21"/>
      <c r="RKF209" s="21"/>
      <c r="RKG209" s="21"/>
      <c r="RKH209" s="21"/>
      <c r="RKI209" s="21"/>
      <c r="RKJ209" s="21"/>
      <c r="RKK209" s="21"/>
      <c r="RKL209" s="21"/>
      <c r="RKM209" s="21"/>
      <c r="RKN209" s="21"/>
      <c r="RKO209" s="21"/>
      <c r="RKP209" s="21"/>
      <c r="RKQ209" s="21"/>
      <c r="RKR209" s="21"/>
      <c r="RKS209" s="21"/>
      <c r="RKT209" s="21"/>
      <c r="RKU209" s="21"/>
      <c r="RKV209" s="21"/>
      <c r="RKW209" s="21"/>
      <c r="RKX209" s="21"/>
      <c r="RKY209" s="21"/>
      <c r="RKZ209" s="21"/>
      <c r="RLA209" s="21"/>
      <c r="RLB209" s="21"/>
      <c r="RLC209" s="21"/>
      <c r="RLD209" s="21"/>
      <c r="RLE209" s="21"/>
      <c r="RLF209" s="21"/>
      <c r="RLG209" s="21"/>
      <c r="RLH209" s="21"/>
      <c r="RLI209" s="21"/>
      <c r="RLJ209" s="21"/>
      <c r="RLK209" s="21"/>
      <c r="RLL209" s="21"/>
      <c r="RLM209" s="21"/>
      <c r="RLN209" s="21"/>
      <c r="RLO209" s="21"/>
      <c r="RLP209" s="21"/>
      <c r="RLQ209" s="21"/>
      <c r="RLR209" s="21"/>
      <c r="RLS209" s="21"/>
      <c r="RLT209" s="21"/>
      <c r="RLU209" s="21"/>
      <c r="RLV209" s="21"/>
      <c r="RLW209" s="21"/>
      <c r="RLX209" s="21"/>
      <c r="RLY209" s="21"/>
      <c r="RLZ209" s="21"/>
      <c r="RMA209" s="21"/>
      <c r="RMB209" s="21"/>
      <c r="RMC209" s="21"/>
      <c r="RMD209" s="21"/>
      <c r="RME209" s="21"/>
      <c r="RMF209" s="21"/>
      <c r="RMG209" s="21"/>
      <c r="RMH209" s="21"/>
      <c r="RMI209" s="21"/>
      <c r="RMJ209" s="21"/>
      <c r="RMK209" s="21"/>
      <c r="RML209" s="21"/>
      <c r="RMM209" s="21"/>
      <c r="RMN209" s="21"/>
      <c r="RMO209" s="21"/>
      <c r="RMP209" s="21"/>
      <c r="RMQ209" s="21"/>
      <c r="RMR209" s="21"/>
      <c r="RMS209" s="21"/>
      <c r="RMT209" s="21"/>
      <c r="RMU209" s="21"/>
      <c r="RMV209" s="21"/>
      <c r="RMW209" s="21"/>
      <c r="RMX209" s="21"/>
      <c r="RMY209" s="21"/>
      <c r="RMZ209" s="21"/>
      <c r="RNA209" s="21"/>
      <c r="RNB209" s="21"/>
      <c r="RNC209" s="21"/>
      <c r="RND209" s="21"/>
      <c r="RNE209" s="21"/>
      <c r="RNF209" s="21"/>
      <c r="RNG209" s="21"/>
      <c r="RNH209" s="21"/>
      <c r="RNI209" s="21"/>
      <c r="RNJ209" s="21"/>
      <c r="RNK209" s="21"/>
      <c r="RNL209" s="21"/>
      <c r="RNM209" s="21"/>
      <c r="RNN209" s="21"/>
      <c r="RNO209" s="21"/>
      <c r="RNP209" s="21"/>
      <c r="RNQ209" s="21"/>
      <c r="RNR209" s="21"/>
      <c r="RNS209" s="21"/>
      <c r="RNT209" s="21"/>
      <c r="RNU209" s="21"/>
      <c r="RNV209" s="21"/>
      <c r="RNW209" s="21"/>
      <c r="RNX209" s="21"/>
      <c r="RNY209" s="21"/>
      <c r="RNZ209" s="21"/>
      <c r="ROA209" s="21"/>
      <c r="ROB209" s="21"/>
      <c r="ROC209" s="21"/>
      <c r="ROD209" s="21"/>
      <c r="ROE209" s="21"/>
      <c r="ROF209" s="21"/>
      <c r="ROG209" s="21"/>
      <c r="ROH209" s="21"/>
      <c r="ROI209" s="21"/>
      <c r="ROJ209" s="21"/>
      <c r="ROK209" s="21"/>
      <c r="ROL209" s="21"/>
      <c r="ROM209" s="21"/>
      <c r="RON209" s="21"/>
      <c r="ROO209" s="21"/>
      <c r="ROP209" s="21"/>
      <c r="ROQ209" s="21"/>
      <c r="ROR209" s="21"/>
      <c r="ROS209" s="21"/>
      <c r="ROT209" s="21"/>
      <c r="ROU209" s="21"/>
      <c r="ROV209" s="21"/>
      <c r="ROW209" s="21"/>
      <c r="ROX209" s="21"/>
      <c r="ROY209" s="21"/>
      <c r="ROZ209" s="21"/>
      <c r="RPA209" s="21"/>
      <c r="RPB209" s="21"/>
      <c r="RPC209" s="21"/>
      <c r="RPD209" s="21"/>
      <c r="RPE209" s="21"/>
      <c r="RPF209" s="21"/>
      <c r="RPG209" s="21"/>
      <c r="RPH209" s="21"/>
      <c r="RPI209" s="21"/>
      <c r="RPJ209" s="21"/>
      <c r="RPK209" s="21"/>
      <c r="RPL209" s="21"/>
      <c r="RPM209" s="21"/>
      <c r="RPN209" s="21"/>
      <c r="RPO209" s="21"/>
      <c r="RPP209" s="21"/>
      <c r="RPQ209" s="21"/>
      <c r="RPR209" s="21"/>
      <c r="RPS209" s="21"/>
      <c r="RPT209" s="21"/>
      <c r="RPU209" s="21"/>
      <c r="RPV209" s="21"/>
      <c r="RPW209" s="21"/>
      <c r="RPX209" s="21"/>
      <c r="RPY209" s="21"/>
      <c r="RPZ209" s="21"/>
      <c r="RQA209" s="21"/>
      <c r="RQB209" s="21"/>
      <c r="RQC209" s="21"/>
      <c r="RQD209" s="21"/>
      <c r="RQE209" s="21"/>
      <c r="RQF209" s="21"/>
      <c r="RQG209" s="21"/>
      <c r="RQH209" s="21"/>
      <c r="RQI209" s="21"/>
      <c r="RQJ209" s="21"/>
      <c r="RQK209" s="21"/>
      <c r="RQL209" s="21"/>
      <c r="RQM209" s="21"/>
      <c r="RQN209" s="21"/>
      <c r="RQO209" s="21"/>
      <c r="RQP209" s="21"/>
      <c r="RQQ209" s="21"/>
      <c r="RQR209" s="21"/>
      <c r="RQS209" s="21"/>
      <c r="RQT209" s="21"/>
      <c r="RQU209" s="21"/>
      <c r="RQV209" s="21"/>
      <c r="RQW209" s="21"/>
      <c r="RQX209" s="21"/>
      <c r="RQY209" s="21"/>
      <c r="RQZ209" s="21"/>
      <c r="RRA209" s="21"/>
      <c r="RRB209" s="21"/>
      <c r="RRC209" s="21"/>
      <c r="RRD209" s="21"/>
      <c r="RRE209" s="21"/>
      <c r="RRF209" s="21"/>
      <c r="RRG209" s="21"/>
      <c r="RRH209" s="21"/>
      <c r="RRI209" s="21"/>
      <c r="RRJ209" s="21"/>
      <c r="RRK209" s="21"/>
      <c r="RRL209" s="21"/>
      <c r="RRM209" s="21"/>
      <c r="RRN209" s="21"/>
      <c r="RRO209" s="21"/>
      <c r="RRP209" s="21"/>
      <c r="RRQ209" s="21"/>
      <c r="RRR209" s="21"/>
      <c r="RRS209" s="21"/>
      <c r="RRT209" s="21"/>
      <c r="RRU209" s="21"/>
      <c r="RRV209" s="21"/>
      <c r="RRW209" s="21"/>
      <c r="RRX209" s="21"/>
      <c r="RRY209" s="21"/>
      <c r="RRZ209" s="21"/>
      <c r="RSA209" s="21"/>
      <c r="RSB209" s="21"/>
      <c r="RSC209" s="21"/>
      <c r="RSD209" s="21"/>
      <c r="RSE209" s="21"/>
      <c r="RSF209" s="21"/>
      <c r="RSG209" s="21"/>
      <c r="RSH209" s="21"/>
      <c r="RSI209" s="21"/>
      <c r="RSJ209" s="21"/>
      <c r="RSK209" s="21"/>
      <c r="RSL209" s="21"/>
      <c r="RSM209" s="21"/>
      <c r="RSN209" s="21"/>
      <c r="RSO209" s="21"/>
      <c r="RSP209" s="21"/>
      <c r="RSQ209" s="21"/>
      <c r="RSR209" s="21"/>
      <c r="RSS209" s="21"/>
      <c r="RST209" s="21"/>
      <c r="RSU209" s="21"/>
      <c r="RSV209" s="21"/>
      <c r="RSW209" s="21"/>
      <c r="RSX209" s="21"/>
      <c r="RSY209" s="21"/>
      <c r="RSZ209" s="21"/>
      <c r="RTA209" s="21"/>
      <c r="RTB209" s="21"/>
      <c r="RTC209" s="21"/>
      <c r="RTD209" s="21"/>
      <c r="RTE209" s="21"/>
      <c r="RTF209" s="21"/>
      <c r="RTG209" s="21"/>
      <c r="RTH209" s="21"/>
      <c r="RTI209" s="21"/>
      <c r="RTJ209" s="21"/>
      <c r="RTK209" s="21"/>
      <c r="RTL209" s="21"/>
      <c r="RTM209" s="21"/>
      <c r="RTN209" s="21"/>
      <c r="RTO209" s="21"/>
      <c r="RTP209" s="21"/>
      <c r="RTQ209" s="21"/>
      <c r="RTR209" s="21"/>
      <c r="RTS209" s="21"/>
      <c r="RTT209" s="21"/>
      <c r="RTU209" s="21"/>
      <c r="RTV209" s="21"/>
      <c r="RTW209" s="21"/>
      <c r="RTX209" s="21"/>
      <c r="RTY209" s="21"/>
      <c r="RTZ209" s="21"/>
      <c r="RUA209" s="21"/>
      <c r="RUB209" s="21"/>
      <c r="RUC209" s="21"/>
      <c r="RUD209" s="21"/>
      <c r="RUE209" s="21"/>
      <c r="RUF209" s="21"/>
      <c r="RUG209" s="21"/>
      <c r="RUH209" s="21"/>
      <c r="RUI209" s="21"/>
      <c r="RUJ209" s="21"/>
      <c r="RUK209" s="21"/>
      <c r="RUL209" s="21"/>
      <c r="RUM209" s="21"/>
      <c r="RUN209" s="21"/>
      <c r="RUO209" s="21"/>
      <c r="RUP209" s="21"/>
      <c r="RUQ209" s="21"/>
      <c r="RUR209" s="21"/>
      <c r="RUS209" s="21"/>
      <c r="RUT209" s="21"/>
      <c r="RUU209" s="21"/>
      <c r="RUV209" s="21"/>
      <c r="RUW209" s="21"/>
      <c r="RUX209" s="21"/>
      <c r="RUY209" s="21"/>
      <c r="RUZ209" s="21"/>
      <c r="RVA209" s="21"/>
      <c r="RVB209" s="21"/>
      <c r="RVC209" s="21"/>
      <c r="RVD209" s="21"/>
      <c r="RVE209" s="21"/>
      <c r="RVF209" s="21"/>
      <c r="RVG209" s="21"/>
      <c r="RVH209" s="21"/>
      <c r="RVI209" s="21"/>
      <c r="RVJ209" s="21"/>
      <c r="RVK209" s="21"/>
      <c r="RVL209" s="21"/>
      <c r="RVM209" s="21"/>
      <c r="RVN209" s="21"/>
      <c r="RVO209" s="21"/>
      <c r="RVP209" s="21"/>
      <c r="RVQ209" s="21"/>
      <c r="RVR209" s="21"/>
      <c r="RVS209" s="21"/>
      <c r="RVT209" s="21"/>
      <c r="RVU209" s="21"/>
      <c r="RVV209" s="21"/>
      <c r="RVW209" s="21"/>
      <c r="RVX209" s="21"/>
      <c r="RVY209" s="21"/>
      <c r="RVZ209" s="21"/>
      <c r="RWA209" s="21"/>
      <c r="RWB209" s="21"/>
      <c r="RWC209" s="21"/>
      <c r="RWD209" s="21"/>
      <c r="RWE209" s="21"/>
      <c r="RWF209" s="21"/>
      <c r="RWG209" s="21"/>
      <c r="RWH209" s="21"/>
      <c r="RWI209" s="21"/>
      <c r="RWJ209" s="21"/>
      <c r="RWK209" s="21"/>
      <c r="RWL209" s="21"/>
      <c r="RWM209" s="21"/>
      <c r="RWN209" s="21"/>
      <c r="RWO209" s="21"/>
      <c r="RWP209" s="21"/>
      <c r="RWQ209" s="21"/>
      <c r="RWR209" s="21"/>
      <c r="RWS209" s="21"/>
      <c r="RWT209" s="21"/>
      <c r="RWU209" s="21"/>
      <c r="RWV209" s="21"/>
      <c r="RWW209" s="21"/>
      <c r="RWX209" s="21"/>
      <c r="RWY209" s="21"/>
      <c r="RWZ209" s="21"/>
      <c r="RXA209" s="21"/>
      <c r="RXB209" s="21"/>
      <c r="RXC209" s="21"/>
      <c r="RXD209" s="21"/>
      <c r="RXE209" s="21"/>
      <c r="RXF209" s="21"/>
      <c r="RXG209" s="21"/>
      <c r="RXH209" s="21"/>
      <c r="RXI209" s="21"/>
      <c r="RXJ209" s="21"/>
      <c r="RXK209" s="21"/>
      <c r="RXL209" s="21"/>
      <c r="RXM209" s="21"/>
      <c r="RXN209" s="21"/>
      <c r="RXO209" s="21"/>
      <c r="RXP209" s="21"/>
      <c r="RXQ209" s="21"/>
      <c r="RXR209" s="21"/>
      <c r="RXS209" s="21"/>
      <c r="RXT209" s="21"/>
      <c r="RXU209" s="21"/>
      <c r="RXV209" s="21"/>
      <c r="RXW209" s="21"/>
      <c r="RXX209" s="21"/>
      <c r="RXY209" s="21"/>
      <c r="RXZ209" s="21"/>
      <c r="RYA209" s="21"/>
      <c r="RYB209" s="21"/>
      <c r="RYC209" s="21"/>
      <c r="RYD209" s="21"/>
      <c r="RYE209" s="21"/>
      <c r="RYF209" s="21"/>
      <c r="RYG209" s="21"/>
      <c r="RYH209" s="21"/>
      <c r="RYI209" s="21"/>
      <c r="RYJ209" s="21"/>
      <c r="RYK209" s="21"/>
      <c r="RYL209" s="21"/>
      <c r="RYM209" s="21"/>
      <c r="RYN209" s="21"/>
      <c r="RYO209" s="21"/>
      <c r="RYP209" s="21"/>
      <c r="RYQ209" s="21"/>
      <c r="RYR209" s="21"/>
      <c r="RYS209" s="21"/>
      <c r="RYT209" s="21"/>
      <c r="RYU209" s="21"/>
      <c r="RYV209" s="21"/>
      <c r="RYW209" s="21"/>
      <c r="RYX209" s="21"/>
      <c r="RYY209" s="21"/>
      <c r="RYZ209" s="21"/>
      <c r="RZA209" s="21"/>
      <c r="RZB209" s="21"/>
      <c r="RZC209" s="21"/>
      <c r="RZD209" s="21"/>
      <c r="RZE209" s="21"/>
      <c r="RZF209" s="21"/>
      <c r="RZG209" s="21"/>
      <c r="RZH209" s="21"/>
      <c r="RZI209" s="21"/>
      <c r="RZJ209" s="21"/>
      <c r="RZK209" s="21"/>
      <c r="RZL209" s="21"/>
      <c r="RZM209" s="21"/>
      <c r="RZN209" s="21"/>
      <c r="RZO209" s="21"/>
      <c r="RZP209" s="21"/>
      <c r="RZQ209" s="21"/>
      <c r="RZR209" s="21"/>
      <c r="RZS209" s="21"/>
      <c r="RZT209" s="21"/>
      <c r="RZU209" s="21"/>
      <c r="RZV209" s="21"/>
      <c r="RZW209" s="21"/>
      <c r="RZX209" s="21"/>
      <c r="RZY209" s="21"/>
      <c r="RZZ209" s="21"/>
      <c r="SAA209" s="21"/>
      <c r="SAB209" s="21"/>
      <c r="SAC209" s="21"/>
      <c r="SAD209" s="21"/>
      <c r="SAE209" s="21"/>
      <c r="SAF209" s="21"/>
      <c r="SAG209" s="21"/>
      <c r="SAH209" s="21"/>
      <c r="SAI209" s="21"/>
      <c r="SAJ209" s="21"/>
      <c r="SAK209" s="21"/>
      <c r="SAL209" s="21"/>
      <c r="SAM209" s="21"/>
      <c r="SAN209" s="21"/>
      <c r="SAO209" s="21"/>
      <c r="SAP209" s="21"/>
      <c r="SAQ209" s="21"/>
      <c r="SAR209" s="21"/>
      <c r="SAS209" s="21"/>
      <c r="SAT209" s="21"/>
      <c r="SAU209" s="21"/>
      <c r="SAV209" s="21"/>
      <c r="SAW209" s="21"/>
      <c r="SAX209" s="21"/>
      <c r="SAY209" s="21"/>
      <c r="SAZ209" s="21"/>
      <c r="SBA209" s="21"/>
      <c r="SBB209" s="21"/>
      <c r="SBC209" s="21"/>
      <c r="SBD209" s="21"/>
      <c r="SBE209" s="21"/>
      <c r="SBF209" s="21"/>
      <c r="SBG209" s="21"/>
      <c r="SBH209" s="21"/>
      <c r="SBI209" s="21"/>
      <c r="SBJ209" s="21"/>
      <c r="SBK209" s="21"/>
      <c r="SBL209" s="21"/>
      <c r="SBM209" s="21"/>
      <c r="SBN209" s="21"/>
      <c r="SBO209" s="21"/>
      <c r="SBP209" s="21"/>
      <c r="SBQ209" s="21"/>
      <c r="SBR209" s="21"/>
      <c r="SBS209" s="21"/>
      <c r="SBT209" s="21"/>
      <c r="SBU209" s="21"/>
      <c r="SBV209" s="21"/>
      <c r="SBW209" s="21"/>
      <c r="SBX209" s="21"/>
      <c r="SBY209" s="21"/>
      <c r="SBZ209" s="21"/>
      <c r="SCA209" s="21"/>
      <c r="SCB209" s="21"/>
      <c r="SCC209" s="21"/>
      <c r="SCD209" s="21"/>
      <c r="SCE209" s="21"/>
      <c r="SCF209" s="21"/>
      <c r="SCG209" s="21"/>
      <c r="SCH209" s="21"/>
      <c r="SCI209" s="21"/>
      <c r="SCJ209" s="21"/>
      <c r="SCK209" s="21"/>
      <c r="SCL209" s="21"/>
      <c r="SCM209" s="21"/>
      <c r="SCN209" s="21"/>
      <c r="SCO209" s="21"/>
      <c r="SCP209" s="21"/>
      <c r="SCQ209" s="21"/>
      <c r="SCR209" s="21"/>
      <c r="SCS209" s="21"/>
      <c r="SCT209" s="21"/>
      <c r="SCU209" s="21"/>
      <c r="SCV209" s="21"/>
      <c r="SCW209" s="21"/>
      <c r="SCX209" s="21"/>
      <c r="SCY209" s="21"/>
      <c r="SCZ209" s="21"/>
      <c r="SDA209" s="21"/>
      <c r="SDB209" s="21"/>
      <c r="SDC209" s="21"/>
      <c r="SDD209" s="21"/>
      <c r="SDE209" s="21"/>
      <c r="SDF209" s="21"/>
      <c r="SDG209" s="21"/>
      <c r="SDH209" s="21"/>
      <c r="SDI209" s="21"/>
      <c r="SDJ209" s="21"/>
      <c r="SDK209" s="21"/>
      <c r="SDL209" s="21"/>
      <c r="SDM209" s="21"/>
      <c r="SDN209" s="21"/>
      <c r="SDO209" s="21"/>
      <c r="SDP209" s="21"/>
      <c r="SDQ209" s="21"/>
      <c r="SDR209" s="21"/>
      <c r="SDS209" s="21"/>
      <c r="SDT209" s="21"/>
      <c r="SDU209" s="21"/>
      <c r="SDV209" s="21"/>
      <c r="SDW209" s="21"/>
      <c r="SDX209" s="21"/>
      <c r="SDY209" s="21"/>
      <c r="SDZ209" s="21"/>
      <c r="SEA209" s="21"/>
      <c r="SEB209" s="21"/>
      <c r="SEC209" s="21"/>
      <c r="SED209" s="21"/>
      <c r="SEE209" s="21"/>
      <c r="SEF209" s="21"/>
      <c r="SEG209" s="21"/>
      <c r="SEH209" s="21"/>
      <c r="SEI209" s="21"/>
      <c r="SEJ209" s="21"/>
      <c r="SEK209" s="21"/>
      <c r="SEL209" s="21"/>
      <c r="SEM209" s="21"/>
      <c r="SEN209" s="21"/>
      <c r="SEO209" s="21"/>
      <c r="SEP209" s="21"/>
      <c r="SEQ209" s="21"/>
      <c r="SER209" s="21"/>
      <c r="SES209" s="21"/>
      <c r="SET209" s="21"/>
      <c r="SEU209" s="21"/>
      <c r="SEV209" s="21"/>
      <c r="SEW209" s="21"/>
      <c r="SEX209" s="21"/>
      <c r="SEY209" s="21"/>
      <c r="SEZ209" s="21"/>
      <c r="SFA209" s="21"/>
      <c r="SFB209" s="21"/>
      <c r="SFC209" s="21"/>
      <c r="SFD209" s="21"/>
      <c r="SFE209" s="21"/>
      <c r="SFF209" s="21"/>
      <c r="SFG209" s="21"/>
      <c r="SFH209" s="21"/>
      <c r="SFI209" s="21"/>
      <c r="SFJ209" s="21"/>
      <c r="SFK209" s="21"/>
      <c r="SFL209" s="21"/>
      <c r="SFM209" s="21"/>
      <c r="SFN209" s="21"/>
      <c r="SFO209" s="21"/>
      <c r="SFP209" s="21"/>
      <c r="SFQ209" s="21"/>
      <c r="SFR209" s="21"/>
      <c r="SFS209" s="21"/>
      <c r="SFT209" s="21"/>
      <c r="SFU209" s="21"/>
      <c r="SFV209" s="21"/>
      <c r="SFW209" s="21"/>
      <c r="SFX209" s="21"/>
      <c r="SFY209" s="21"/>
      <c r="SFZ209" s="21"/>
      <c r="SGA209" s="21"/>
      <c r="SGB209" s="21"/>
      <c r="SGC209" s="21"/>
      <c r="SGD209" s="21"/>
      <c r="SGE209" s="21"/>
      <c r="SGF209" s="21"/>
      <c r="SGG209" s="21"/>
      <c r="SGH209" s="21"/>
      <c r="SGI209" s="21"/>
      <c r="SGJ209" s="21"/>
      <c r="SGK209" s="21"/>
      <c r="SGL209" s="21"/>
      <c r="SGM209" s="21"/>
      <c r="SGN209" s="21"/>
      <c r="SGO209" s="21"/>
      <c r="SGP209" s="21"/>
      <c r="SGQ209" s="21"/>
      <c r="SGR209" s="21"/>
      <c r="SGS209" s="21"/>
      <c r="SGT209" s="21"/>
      <c r="SGU209" s="21"/>
      <c r="SGV209" s="21"/>
      <c r="SGW209" s="21"/>
      <c r="SGX209" s="21"/>
      <c r="SGY209" s="21"/>
      <c r="SGZ209" s="21"/>
      <c r="SHA209" s="21"/>
      <c r="SHB209" s="21"/>
      <c r="SHC209" s="21"/>
      <c r="SHD209" s="21"/>
      <c r="SHE209" s="21"/>
      <c r="SHF209" s="21"/>
      <c r="SHG209" s="21"/>
      <c r="SHH209" s="21"/>
      <c r="SHI209" s="21"/>
      <c r="SHJ209" s="21"/>
      <c r="SHK209" s="21"/>
      <c r="SHL209" s="21"/>
      <c r="SHM209" s="21"/>
      <c r="SHN209" s="21"/>
      <c r="SHO209" s="21"/>
      <c r="SHP209" s="21"/>
      <c r="SHQ209" s="21"/>
      <c r="SHR209" s="21"/>
      <c r="SHS209" s="21"/>
      <c r="SHT209" s="21"/>
      <c r="SHU209" s="21"/>
      <c r="SHV209" s="21"/>
      <c r="SHW209" s="21"/>
      <c r="SHX209" s="21"/>
      <c r="SHY209" s="21"/>
      <c r="SHZ209" s="21"/>
      <c r="SIA209" s="21"/>
      <c r="SIB209" s="21"/>
      <c r="SIC209" s="21"/>
      <c r="SID209" s="21"/>
      <c r="SIE209" s="21"/>
      <c r="SIF209" s="21"/>
      <c r="SIG209" s="21"/>
      <c r="SIH209" s="21"/>
      <c r="SII209" s="21"/>
      <c r="SIJ209" s="21"/>
      <c r="SIK209" s="21"/>
      <c r="SIL209" s="21"/>
      <c r="SIM209" s="21"/>
      <c r="SIN209" s="21"/>
      <c r="SIO209" s="21"/>
      <c r="SIP209" s="21"/>
      <c r="SIQ209" s="21"/>
      <c r="SIR209" s="21"/>
      <c r="SIS209" s="21"/>
      <c r="SIT209" s="21"/>
      <c r="SIU209" s="21"/>
      <c r="SIV209" s="21"/>
      <c r="SIW209" s="21"/>
      <c r="SIX209" s="21"/>
      <c r="SIY209" s="21"/>
      <c r="SIZ209" s="21"/>
      <c r="SJA209" s="21"/>
      <c r="SJB209" s="21"/>
      <c r="SJC209" s="21"/>
      <c r="SJD209" s="21"/>
      <c r="SJE209" s="21"/>
      <c r="SJF209" s="21"/>
      <c r="SJG209" s="21"/>
      <c r="SJH209" s="21"/>
      <c r="SJI209" s="21"/>
      <c r="SJJ209" s="21"/>
      <c r="SJK209" s="21"/>
      <c r="SJL209" s="21"/>
      <c r="SJM209" s="21"/>
      <c r="SJN209" s="21"/>
      <c r="SJO209" s="21"/>
      <c r="SJP209" s="21"/>
      <c r="SJQ209" s="21"/>
      <c r="SJR209" s="21"/>
      <c r="SJS209" s="21"/>
      <c r="SJT209" s="21"/>
      <c r="SJU209" s="21"/>
      <c r="SJV209" s="21"/>
      <c r="SJW209" s="21"/>
      <c r="SJX209" s="21"/>
      <c r="SJY209" s="21"/>
      <c r="SJZ209" s="21"/>
      <c r="SKA209" s="21"/>
      <c r="SKB209" s="21"/>
      <c r="SKC209" s="21"/>
      <c r="SKD209" s="21"/>
      <c r="SKE209" s="21"/>
      <c r="SKF209" s="21"/>
      <c r="SKG209" s="21"/>
      <c r="SKH209" s="21"/>
      <c r="SKI209" s="21"/>
      <c r="SKJ209" s="21"/>
      <c r="SKK209" s="21"/>
      <c r="SKL209" s="21"/>
      <c r="SKM209" s="21"/>
      <c r="SKN209" s="21"/>
      <c r="SKO209" s="21"/>
      <c r="SKP209" s="21"/>
      <c r="SKQ209" s="21"/>
      <c r="SKR209" s="21"/>
      <c r="SKS209" s="21"/>
      <c r="SKT209" s="21"/>
      <c r="SKU209" s="21"/>
      <c r="SKV209" s="21"/>
      <c r="SKW209" s="21"/>
      <c r="SKX209" s="21"/>
      <c r="SKY209" s="21"/>
      <c r="SKZ209" s="21"/>
      <c r="SLA209" s="21"/>
      <c r="SLB209" s="21"/>
      <c r="SLC209" s="21"/>
      <c r="SLD209" s="21"/>
      <c r="SLE209" s="21"/>
      <c r="SLF209" s="21"/>
      <c r="SLG209" s="21"/>
      <c r="SLH209" s="21"/>
      <c r="SLI209" s="21"/>
      <c r="SLJ209" s="21"/>
      <c r="SLK209" s="21"/>
      <c r="SLL209" s="21"/>
      <c r="SLM209" s="21"/>
      <c r="SLN209" s="21"/>
      <c r="SLO209" s="21"/>
      <c r="SLP209" s="21"/>
      <c r="SLQ209" s="21"/>
      <c r="SLR209" s="21"/>
      <c r="SLS209" s="21"/>
      <c r="SLT209" s="21"/>
      <c r="SLU209" s="21"/>
      <c r="SLV209" s="21"/>
      <c r="SLW209" s="21"/>
      <c r="SLX209" s="21"/>
      <c r="SLY209" s="21"/>
      <c r="SLZ209" s="21"/>
      <c r="SMA209" s="21"/>
      <c r="SMB209" s="21"/>
      <c r="SMC209" s="21"/>
      <c r="SMD209" s="21"/>
      <c r="SME209" s="21"/>
      <c r="SMF209" s="21"/>
      <c r="SMG209" s="21"/>
      <c r="SMH209" s="21"/>
      <c r="SMI209" s="21"/>
      <c r="SMJ209" s="21"/>
      <c r="SMK209" s="21"/>
      <c r="SML209" s="21"/>
      <c r="SMM209" s="21"/>
      <c r="SMN209" s="21"/>
      <c r="SMO209" s="21"/>
      <c r="SMP209" s="21"/>
      <c r="SMQ209" s="21"/>
      <c r="SMR209" s="21"/>
      <c r="SMS209" s="21"/>
      <c r="SMT209" s="21"/>
      <c r="SMU209" s="21"/>
      <c r="SMV209" s="21"/>
      <c r="SMW209" s="21"/>
      <c r="SMX209" s="21"/>
      <c r="SMY209" s="21"/>
      <c r="SMZ209" s="21"/>
      <c r="SNA209" s="21"/>
      <c r="SNB209" s="21"/>
      <c r="SNC209" s="21"/>
      <c r="SND209" s="21"/>
      <c r="SNE209" s="21"/>
      <c r="SNF209" s="21"/>
      <c r="SNG209" s="21"/>
      <c r="SNH209" s="21"/>
      <c r="SNI209" s="21"/>
      <c r="SNJ209" s="21"/>
      <c r="SNK209" s="21"/>
      <c r="SNL209" s="21"/>
      <c r="SNM209" s="21"/>
      <c r="SNN209" s="21"/>
      <c r="SNO209" s="21"/>
      <c r="SNP209" s="21"/>
      <c r="SNQ209" s="21"/>
      <c r="SNR209" s="21"/>
      <c r="SNS209" s="21"/>
      <c r="SNT209" s="21"/>
      <c r="SNU209" s="21"/>
      <c r="SNV209" s="21"/>
      <c r="SNW209" s="21"/>
      <c r="SNX209" s="21"/>
      <c r="SNY209" s="21"/>
      <c r="SNZ209" s="21"/>
      <c r="SOA209" s="21"/>
      <c r="SOB209" s="21"/>
      <c r="SOC209" s="21"/>
      <c r="SOD209" s="21"/>
      <c r="SOE209" s="21"/>
      <c r="SOF209" s="21"/>
      <c r="SOG209" s="21"/>
      <c r="SOH209" s="21"/>
      <c r="SOI209" s="21"/>
      <c r="SOJ209" s="21"/>
      <c r="SOK209" s="21"/>
      <c r="SOL209" s="21"/>
      <c r="SOM209" s="21"/>
      <c r="SON209" s="21"/>
      <c r="SOO209" s="21"/>
      <c r="SOP209" s="21"/>
      <c r="SOQ209" s="21"/>
      <c r="SOR209" s="21"/>
      <c r="SOS209" s="21"/>
      <c r="SOT209" s="21"/>
      <c r="SOU209" s="21"/>
      <c r="SOV209" s="21"/>
      <c r="SOW209" s="21"/>
      <c r="SOX209" s="21"/>
      <c r="SOY209" s="21"/>
      <c r="SOZ209" s="21"/>
      <c r="SPA209" s="21"/>
      <c r="SPB209" s="21"/>
      <c r="SPC209" s="21"/>
      <c r="SPD209" s="21"/>
      <c r="SPE209" s="21"/>
      <c r="SPF209" s="21"/>
      <c r="SPG209" s="21"/>
      <c r="SPH209" s="21"/>
      <c r="SPI209" s="21"/>
      <c r="SPJ209" s="21"/>
      <c r="SPK209" s="21"/>
      <c r="SPL209" s="21"/>
      <c r="SPM209" s="21"/>
      <c r="SPN209" s="21"/>
      <c r="SPO209" s="21"/>
      <c r="SPP209" s="21"/>
      <c r="SPQ209" s="21"/>
      <c r="SPR209" s="21"/>
      <c r="SPS209" s="21"/>
      <c r="SPT209" s="21"/>
      <c r="SPU209" s="21"/>
      <c r="SPV209" s="21"/>
      <c r="SPW209" s="21"/>
      <c r="SPX209" s="21"/>
      <c r="SPY209" s="21"/>
      <c r="SPZ209" s="21"/>
      <c r="SQA209" s="21"/>
      <c r="SQB209" s="21"/>
      <c r="SQC209" s="21"/>
      <c r="SQD209" s="21"/>
      <c r="SQE209" s="21"/>
      <c r="SQF209" s="21"/>
      <c r="SQG209" s="21"/>
      <c r="SQH209" s="21"/>
      <c r="SQI209" s="21"/>
      <c r="SQJ209" s="21"/>
      <c r="SQK209" s="21"/>
      <c r="SQL209" s="21"/>
      <c r="SQM209" s="21"/>
      <c r="SQN209" s="21"/>
      <c r="SQO209" s="21"/>
      <c r="SQP209" s="21"/>
      <c r="SQQ209" s="21"/>
      <c r="SQR209" s="21"/>
      <c r="SQS209" s="21"/>
      <c r="SQT209" s="21"/>
      <c r="SQU209" s="21"/>
      <c r="SQV209" s="21"/>
      <c r="SQW209" s="21"/>
      <c r="SQX209" s="21"/>
      <c r="SQY209" s="21"/>
      <c r="SQZ209" s="21"/>
      <c r="SRA209" s="21"/>
      <c r="SRB209" s="21"/>
      <c r="SRC209" s="21"/>
      <c r="SRD209" s="21"/>
      <c r="SRE209" s="21"/>
      <c r="SRF209" s="21"/>
      <c r="SRG209" s="21"/>
      <c r="SRH209" s="21"/>
      <c r="SRI209" s="21"/>
      <c r="SRJ209" s="21"/>
      <c r="SRK209" s="21"/>
      <c r="SRL209" s="21"/>
      <c r="SRM209" s="21"/>
      <c r="SRN209" s="21"/>
      <c r="SRO209" s="21"/>
      <c r="SRP209" s="21"/>
      <c r="SRQ209" s="21"/>
      <c r="SRR209" s="21"/>
      <c r="SRS209" s="21"/>
      <c r="SRT209" s="21"/>
      <c r="SRU209" s="21"/>
      <c r="SRV209" s="21"/>
      <c r="SRW209" s="21"/>
      <c r="SRX209" s="21"/>
      <c r="SRY209" s="21"/>
      <c r="SRZ209" s="21"/>
      <c r="SSA209" s="21"/>
      <c r="SSB209" s="21"/>
      <c r="SSC209" s="21"/>
      <c r="SSD209" s="21"/>
      <c r="SSE209" s="21"/>
      <c r="SSF209" s="21"/>
      <c r="SSG209" s="21"/>
      <c r="SSH209" s="21"/>
      <c r="SSI209" s="21"/>
      <c r="SSJ209" s="21"/>
      <c r="SSK209" s="21"/>
      <c r="SSL209" s="21"/>
      <c r="SSM209" s="21"/>
      <c r="SSN209" s="21"/>
      <c r="SSO209" s="21"/>
      <c r="SSP209" s="21"/>
      <c r="SSQ209" s="21"/>
      <c r="SSR209" s="21"/>
      <c r="SSS209" s="21"/>
      <c r="SST209" s="21"/>
      <c r="SSU209" s="21"/>
      <c r="SSV209" s="21"/>
      <c r="SSW209" s="21"/>
      <c r="SSX209" s="21"/>
      <c r="SSY209" s="21"/>
      <c r="SSZ209" s="21"/>
      <c r="STA209" s="21"/>
      <c r="STB209" s="21"/>
      <c r="STC209" s="21"/>
      <c r="STD209" s="21"/>
      <c r="STE209" s="21"/>
      <c r="STF209" s="21"/>
      <c r="STG209" s="21"/>
      <c r="STH209" s="21"/>
      <c r="STI209" s="21"/>
      <c r="STJ209" s="21"/>
      <c r="STK209" s="21"/>
      <c r="STL209" s="21"/>
      <c r="STM209" s="21"/>
      <c r="STN209" s="21"/>
      <c r="STO209" s="21"/>
      <c r="STP209" s="21"/>
      <c r="STQ209" s="21"/>
      <c r="STR209" s="21"/>
      <c r="STS209" s="21"/>
      <c r="STT209" s="21"/>
      <c r="STU209" s="21"/>
      <c r="STV209" s="21"/>
      <c r="STW209" s="21"/>
      <c r="STX209" s="21"/>
      <c r="STY209" s="21"/>
      <c r="STZ209" s="21"/>
      <c r="SUA209" s="21"/>
      <c r="SUB209" s="21"/>
      <c r="SUC209" s="21"/>
      <c r="SUD209" s="21"/>
      <c r="SUE209" s="21"/>
      <c r="SUF209" s="21"/>
      <c r="SUG209" s="21"/>
      <c r="SUH209" s="21"/>
      <c r="SUI209" s="21"/>
      <c r="SUJ209" s="21"/>
      <c r="SUK209" s="21"/>
      <c r="SUL209" s="21"/>
      <c r="SUM209" s="21"/>
      <c r="SUN209" s="21"/>
      <c r="SUO209" s="21"/>
      <c r="SUP209" s="21"/>
      <c r="SUQ209" s="21"/>
      <c r="SUR209" s="21"/>
      <c r="SUS209" s="21"/>
      <c r="SUT209" s="21"/>
      <c r="SUU209" s="21"/>
      <c r="SUV209" s="21"/>
      <c r="SUW209" s="21"/>
      <c r="SUX209" s="21"/>
      <c r="SUY209" s="21"/>
      <c r="SUZ209" s="21"/>
      <c r="SVA209" s="21"/>
      <c r="SVB209" s="21"/>
      <c r="SVC209" s="21"/>
      <c r="SVD209" s="21"/>
      <c r="SVE209" s="21"/>
      <c r="SVF209" s="21"/>
      <c r="SVG209" s="21"/>
      <c r="SVH209" s="21"/>
      <c r="SVI209" s="21"/>
      <c r="SVJ209" s="21"/>
      <c r="SVK209" s="21"/>
      <c r="SVL209" s="21"/>
      <c r="SVM209" s="21"/>
      <c r="SVN209" s="21"/>
      <c r="SVO209" s="21"/>
      <c r="SVP209" s="21"/>
      <c r="SVQ209" s="21"/>
      <c r="SVR209" s="21"/>
      <c r="SVS209" s="21"/>
      <c r="SVT209" s="21"/>
      <c r="SVU209" s="21"/>
      <c r="SVV209" s="21"/>
      <c r="SVW209" s="21"/>
      <c r="SVX209" s="21"/>
      <c r="SVY209" s="21"/>
      <c r="SVZ209" s="21"/>
      <c r="SWA209" s="21"/>
      <c r="SWB209" s="21"/>
      <c r="SWC209" s="21"/>
      <c r="SWD209" s="21"/>
      <c r="SWE209" s="21"/>
      <c r="SWF209" s="21"/>
      <c r="SWG209" s="21"/>
      <c r="SWH209" s="21"/>
      <c r="SWI209" s="21"/>
      <c r="SWJ209" s="21"/>
      <c r="SWK209" s="21"/>
      <c r="SWL209" s="21"/>
      <c r="SWM209" s="21"/>
      <c r="SWN209" s="21"/>
      <c r="SWO209" s="21"/>
      <c r="SWP209" s="21"/>
      <c r="SWQ209" s="21"/>
      <c r="SWR209" s="21"/>
      <c r="SWS209" s="21"/>
      <c r="SWT209" s="21"/>
      <c r="SWU209" s="21"/>
      <c r="SWV209" s="21"/>
      <c r="SWW209" s="21"/>
      <c r="SWX209" s="21"/>
      <c r="SWY209" s="21"/>
      <c r="SWZ209" s="21"/>
      <c r="SXA209" s="21"/>
      <c r="SXB209" s="21"/>
      <c r="SXC209" s="21"/>
      <c r="SXD209" s="21"/>
      <c r="SXE209" s="21"/>
      <c r="SXF209" s="21"/>
      <c r="SXG209" s="21"/>
      <c r="SXH209" s="21"/>
      <c r="SXI209" s="21"/>
      <c r="SXJ209" s="21"/>
      <c r="SXK209" s="21"/>
      <c r="SXL209" s="21"/>
      <c r="SXM209" s="21"/>
      <c r="SXN209" s="21"/>
      <c r="SXO209" s="21"/>
      <c r="SXP209" s="21"/>
      <c r="SXQ209" s="21"/>
      <c r="SXR209" s="21"/>
      <c r="SXS209" s="21"/>
      <c r="SXT209" s="21"/>
      <c r="SXU209" s="21"/>
      <c r="SXV209" s="21"/>
      <c r="SXW209" s="21"/>
      <c r="SXX209" s="21"/>
      <c r="SXY209" s="21"/>
      <c r="SXZ209" s="21"/>
      <c r="SYA209" s="21"/>
      <c r="SYB209" s="21"/>
      <c r="SYC209" s="21"/>
      <c r="SYD209" s="21"/>
      <c r="SYE209" s="21"/>
      <c r="SYF209" s="21"/>
      <c r="SYG209" s="21"/>
      <c r="SYH209" s="21"/>
      <c r="SYI209" s="21"/>
      <c r="SYJ209" s="21"/>
      <c r="SYK209" s="21"/>
      <c r="SYL209" s="21"/>
      <c r="SYM209" s="21"/>
      <c r="SYN209" s="21"/>
      <c r="SYO209" s="21"/>
      <c r="SYP209" s="21"/>
      <c r="SYQ209" s="21"/>
      <c r="SYR209" s="21"/>
      <c r="SYS209" s="21"/>
      <c r="SYT209" s="21"/>
      <c r="SYU209" s="21"/>
      <c r="SYV209" s="21"/>
      <c r="SYW209" s="21"/>
      <c r="SYX209" s="21"/>
      <c r="SYY209" s="21"/>
      <c r="SYZ209" s="21"/>
      <c r="SZA209" s="21"/>
      <c r="SZB209" s="21"/>
      <c r="SZC209" s="21"/>
      <c r="SZD209" s="21"/>
      <c r="SZE209" s="21"/>
      <c r="SZF209" s="21"/>
      <c r="SZG209" s="21"/>
      <c r="SZH209" s="21"/>
      <c r="SZI209" s="21"/>
      <c r="SZJ209" s="21"/>
      <c r="SZK209" s="21"/>
      <c r="SZL209" s="21"/>
      <c r="SZM209" s="21"/>
      <c r="SZN209" s="21"/>
      <c r="SZO209" s="21"/>
      <c r="SZP209" s="21"/>
      <c r="SZQ209" s="21"/>
      <c r="SZR209" s="21"/>
      <c r="SZS209" s="21"/>
      <c r="SZT209" s="21"/>
      <c r="SZU209" s="21"/>
      <c r="SZV209" s="21"/>
      <c r="SZW209" s="21"/>
      <c r="SZX209" s="21"/>
      <c r="SZY209" s="21"/>
      <c r="SZZ209" s="21"/>
      <c r="TAA209" s="21"/>
      <c r="TAB209" s="21"/>
      <c r="TAC209" s="21"/>
      <c r="TAD209" s="21"/>
      <c r="TAE209" s="21"/>
      <c r="TAF209" s="21"/>
      <c r="TAG209" s="21"/>
      <c r="TAH209" s="21"/>
      <c r="TAI209" s="21"/>
      <c r="TAJ209" s="21"/>
      <c r="TAK209" s="21"/>
      <c r="TAL209" s="21"/>
      <c r="TAM209" s="21"/>
      <c r="TAN209" s="21"/>
      <c r="TAO209" s="21"/>
      <c r="TAP209" s="21"/>
      <c r="TAQ209" s="21"/>
      <c r="TAR209" s="21"/>
      <c r="TAS209" s="21"/>
      <c r="TAT209" s="21"/>
      <c r="TAU209" s="21"/>
      <c r="TAV209" s="21"/>
      <c r="TAW209" s="21"/>
      <c r="TAX209" s="21"/>
      <c r="TAY209" s="21"/>
      <c r="TAZ209" s="21"/>
      <c r="TBA209" s="21"/>
      <c r="TBB209" s="21"/>
      <c r="TBC209" s="21"/>
      <c r="TBD209" s="21"/>
      <c r="TBE209" s="21"/>
      <c r="TBF209" s="21"/>
      <c r="TBG209" s="21"/>
      <c r="TBH209" s="21"/>
      <c r="TBI209" s="21"/>
      <c r="TBJ209" s="21"/>
      <c r="TBK209" s="21"/>
      <c r="TBL209" s="21"/>
      <c r="TBM209" s="21"/>
      <c r="TBN209" s="21"/>
      <c r="TBO209" s="21"/>
      <c r="TBP209" s="21"/>
      <c r="TBQ209" s="21"/>
      <c r="TBR209" s="21"/>
      <c r="TBS209" s="21"/>
      <c r="TBT209" s="21"/>
      <c r="TBU209" s="21"/>
      <c r="TBV209" s="21"/>
      <c r="TBW209" s="21"/>
      <c r="TBX209" s="21"/>
      <c r="TBY209" s="21"/>
      <c r="TBZ209" s="21"/>
      <c r="TCA209" s="21"/>
      <c r="TCB209" s="21"/>
      <c r="TCC209" s="21"/>
      <c r="TCD209" s="21"/>
      <c r="TCE209" s="21"/>
      <c r="TCF209" s="21"/>
      <c r="TCG209" s="21"/>
      <c r="TCH209" s="21"/>
      <c r="TCI209" s="21"/>
      <c r="TCJ209" s="21"/>
      <c r="TCK209" s="21"/>
      <c r="TCL209" s="21"/>
      <c r="TCM209" s="21"/>
      <c r="TCN209" s="21"/>
      <c r="TCO209" s="21"/>
      <c r="TCP209" s="21"/>
      <c r="TCQ209" s="21"/>
      <c r="TCR209" s="21"/>
      <c r="TCS209" s="21"/>
      <c r="TCT209" s="21"/>
      <c r="TCU209" s="21"/>
      <c r="TCV209" s="21"/>
      <c r="TCW209" s="21"/>
      <c r="TCX209" s="21"/>
      <c r="TCY209" s="21"/>
      <c r="TCZ209" s="21"/>
      <c r="TDA209" s="21"/>
      <c r="TDB209" s="21"/>
      <c r="TDC209" s="21"/>
      <c r="TDD209" s="21"/>
      <c r="TDE209" s="21"/>
      <c r="TDF209" s="21"/>
      <c r="TDG209" s="21"/>
      <c r="TDH209" s="21"/>
      <c r="TDI209" s="21"/>
      <c r="TDJ209" s="21"/>
      <c r="TDK209" s="21"/>
      <c r="TDL209" s="21"/>
      <c r="TDM209" s="21"/>
      <c r="TDN209" s="21"/>
      <c r="TDO209" s="21"/>
      <c r="TDP209" s="21"/>
      <c r="TDQ209" s="21"/>
      <c r="TDR209" s="21"/>
      <c r="TDS209" s="21"/>
      <c r="TDT209" s="21"/>
      <c r="TDU209" s="21"/>
      <c r="TDV209" s="21"/>
      <c r="TDW209" s="21"/>
      <c r="TDX209" s="21"/>
      <c r="TDY209" s="21"/>
      <c r="TDZ209" s="21"/>
      <c r="TEA209" s="21"/>
      <c r="TEB209" s="21"/>
      <c r="TEC209" s="21"/>
      <c r="TED209" s="21"/>
      <c r="TEE209" s="21"/>
      <c r="TEF209" s="21"/>
      <c r="TEG209" s="21"/>
      <c r="TEH209" s="21"/>
      <c r="TEI209" s="21"/>
      <c r="TEJ209" s="21"/>
      <c r="TEK209" s="21"/>
      <c r="TEL209" s="21"/>
      <c r="TEM209" s="21"/>
      <c r="TEN209" s="21"/>
      <c r="TEO209" s="21"/>
      <c r="TEP209" s="21"/>
      <c r="TEQ209" s="21"/>
      <c r="TER209" s="21"/>
      <c r="TES209" s="21"/>
      <c r="TET209" s="21"/>
      <c r="TEU209" s="21"/>
      <c r="TEV209" s="21"/>
      <c r="TEW209" s="21"/>
      <c r="TEX209" s="21"/>
      <c r="TEY209" s="21"/>
      <c r="TEZ209" s="21"/>
      <c r="TFA209" s="21"/>
      <c r="TFB209" s="21"/>
      <c r="TFC209" s="21"/>
      <c r="TFD209" s="21"/>
      <c r="TFE209" s="21"/>
      <c r="TFF209" s="21"/>
      <c r="TFG209" s="21"/>
      <c r="TFH209" s="21"/>
      <c r="TFI209" s="21"/>
      <c r="TFJ209" s="21"/>
      <c r="TFK209" s="21"/>
      <c r="TFL209" s="21"/>
      <c r="TFM209" s="21"/>
      <c r="TFN209" s="21"/>
      <c r="TFO209" s="21"/>
      <c r="TFP209" s="21"/>
      <c r="TFQ209" s="21"/>
      <c r="TFR209" s="21"/>
      <c r="TFS209" s="21"/>
      <c r="TFT209" s="21"/>
      <c r="TFU209" s="21"/>
      <c r="TFV209" s="21"/>
      <c r="TFW209" s="21"/>
      <c r="TFX209" s="21"/>
      <c r="TFY209" s="21"/>
      <c r="TFZ209" s="21"/>
      <c r="TGA209" s="21"/>
      <c r="TGB209" s="21"/>
      <c r="TGC209" s="21"/>
      <c r="TGD209" s="21"/>
      <c r="TGE209" s="21"/>
      <c r="TGF209" s="21"/>
      <c r="TGG209" s="21"/>
      <c r="TGH209" s="21"/>
      <c r="TGI209" s="21"/>
      <c r="TGJ209" s="21"/>
      <c r="TGK209" s="21"/>
      <c r="TGL209" s="21"/>
      <c r="TGM209" s="21"/>
      <c r="TGN209" s="21"/>
      <c r="TGO209" s="21"/>
      <c r="TGP209" s="21"/>
      <c r="TGQ209" s="21"/>
      <c r="TGR209" s="21"/>
      <c r="TGS209" s="21"/>
      <c r="TGT209" s="21"/>
      <c r="TGU209" s="21"/>
      <c r="TGV209" s="21"/>
      <c r="TGW209" s="21"/>
      <c r="TGX209" s="21"/>
      <c r="TGY209" s="21"/>
      <c r="TGZ209" s="21"/>
      <c r="THA209" s="21"/>
      <c r="THB209" s="21"/>
      <c r="THC209" s="21"/>
      <c r="THD209" s="21"/>
      <c r="THE209" s="21"/>
      <c r="THF209" s="21"/>
      <c r="THG209" s="21"/>
      <c r="THH209" s="21"/>
      <c r="THI209" s="21"/>
      <c r="THJ209" s="21"/>
      <c r="THK209" s="21"/>
      <c r="THL209" s="21"/>
      <c r="THM209" s="21"/>
      <c r="THN209" s="21"/>
      <c r="THO209" s="21"/>
      <c r="THP209" s="21"/>
      <c r="THQ209" s="21"/>
      <c r="THR209" s="21"/>
      <c r="THS209" s="21"/>
      <c r="THT209" s="21"/>
      <c r="THU209" s="21"/>
      <c r="THV209" s="21"/>
      <c r="THW209" s="21"/>
      <c r="THX209" s="21"/>
      <c r="THY209" s="21"/>
      <c r="THZ209" s="21"/>
      <c r="TIA209" s="21"/>
      <c r="TIB209" s="21"/>
      <c r="TIC209" s="21"/>
      <c r="TID209" s="21"/>
      <c r="TIE209" s="21"/>
      <c r="TIF209" s="21"/>
      <c r="TIG209" s="21"/>
      <c r="TIH209" s="21"/>
      <c r="TII209" s="21"/>
      <c r="TIJ209" s="21"/>
      <c r="TIK209" s="21"/>
      <c r="TIL209" s="21"/>
      <c r="TIM209" s="21"/>
      <c r="TIN209" s="21"/>
      <c r="TIO209" s="21"/>
      <c r="TIP209" s="21"/>
      <c r="TIQ209" s="21"/>
      <c r="TIR209" s="21"/>
      <c r="TIS209" s="21"/>
      <c r="TIT209" s="21"/>
      <c r="TIU209" s="21"/>
      <c r="TIV209" s="21"/>
      <c r="TIW209" s="21"/>
      <c r="TIX209" s="21"/>
      <c r="TIY209" s="21"/>
      <c r="TIZ209" s="21"/>
      <c r="TJA209" s="21"/>
      <c r="TJB209" s="21"/>
      <c r="TJC209" s="21"/>
      <c r="TJD209" s="21"/>
      <c r="TJE209" s="21"/>
      <c r="TJF209" s="21"/>
      <c r="TJG209" s="21"/>
      <c r="TJH209" s="21"/>
      <c r="TJI209" s="21"/>
      <c r="TJJ209" s="21"/>
      <c r="TJK209" s="21"/>
      <c r="TJL209" s="21"/>
      <c r="TJM209" s="21"/>
      <c r="TJN209" s="21"/>
      <c r="TJO209" s="21"/>
      <c r="TJP209" s="21"/>
      <c r="TJQ209" s="21"/>
      <c r="TJR209" s="21"/>
      <c r="TJS209" s="21"/>
      <c r="TJT209" s="21"/>
      <c r="TJU209" s="21"/>
      <c r="TJV209" s="21"/>
      <c r="TJW209" s="21"/>
      <c r="TJX209" s="21"/>
      <c r="TJY209" s="21"/>
      <c r="TJZ209" s="21"/>
      <c r="TKA209" s="21"/>
      <c r="TKB209" s="21"/>
      <c r="TKC209" s="21"/>
      <c r="TKD209" s="21"/>
      <c r="TKE209" s="21"/>
      <c r="TKF209" s="21"/>
      <c r="TKG209" s="21"/>
      <c r="TKH209" s="21"/>
      <c r="TKI209" s="21"/>
      <c r="TKJ209" s="21"/>
      <c r="TKK209" s="21"/>
      <c r="TKL209" s="21"/>
      <c r="TKM209" s="21"/>
      <c r="TKN209" s="21"/>
      <c r="TKO209" s="21"/>
      <c r="TKP209" s="21"/>
      <c r="TKQ209" s="21"/>
      <c r="TKR209" s="21"/>
      <c r="TKS209" s="21"/>
      <c r="TKT209" s="21"/>
      <c r="TKU209" s="21"/>
      <c r="TKV209" s="21"/>
      <c r="TKW209" s="21"/>
      <c r="TKX209" s="21"/>
      <c r="TKY209" s="21"/>
      <c r="TKZ209" s="21"/>
      <c r="TLA209" s="21"/>
      <c r="TLB209" s="21"/>
      <c r="TLC209" s="21"/>
      <c r="TLD209" s="21"/>
      <c r="TLE209" s="21"/>
      <c r="TLF209" s="21"/>
      <c r="TLG209" s="21"/>
      <c r="TLH209" s="21"/>
      <c r="TLI209" s="21"/>
      <c r="TLJ209" s="21"/>
      <c r="TLK209" s="21"/>
      <c r="TLL209" s="21"/>
      <c r="TLM209" s="21"/>
      <c r="TLN209" s="21"/>
      <c r="TLO209" s="21"/>
      <c r="TLP209" s="21"/>
      <c r="TLQ209" s="21"/>
      <c r="TLR209" s="21"/>
      <c r="TLS209" s="21"/>
      <c r="TLT209" s="21"/>
      <c r="TLU209" s="21"/>
      <c r="TLV209" s="21"/>
      <c r="TLW209" s="21"/>
      <c r="TLX209" s="21"/>
      <c r="TLY209" s="21"/>
      <c r="TLZ209" s="21"/>
      <c r="TMA209" s="21"/>
      <c r="TMB209" s="21"/>
      <c r="TMC209" s="21"/>
      <c r="TMD209" s="21"/>
      <c r="TME209" s="21"/>
      <c r="TMF209" s="21"/>
      <c r="TMG209" s="21"/>
      <c r="TMH209" s="21"/>
      <c r="TMI209" s="21"/>
      <c r="TMJ209" s="21"/>
      <c r="TMK209" s="21"/>
      <c r="TML209" s="21"/>
      <c r="TMM209" s="21"/>
      <c r="TMN209" s="21"/>
      <c r="TMO209" s="21"/>
      <c r="TMP209" s="21"/>
      <c r="TMQ209" s="21"/>
      <c r="TMR209" s="21"/>
      <c r="TMS209" s="21"/>
      <c r="TMT209" s="21"/>
      <c r="TMU209" s="21"/>
      <c r="TMV209" s="21"/>
      <c r="TMW209" s="21"/>
      <c r="TMX209" s="21"/>
      <c r="TMY209" s="21"/>
      <c r="TMZ209" s="21"/>
      <c r="TNA209" s="21"/>
      <c r="TNB209" s="21"/>
      <c r="TNC209" s="21"/>
      <c r="TND209" s="21"/>
      <c r="TNE209" s="21"/>
      <c r="TNF209" s="21"/>
      <c r="TNG209" s="21"/>
      <c r="TNH209" s="21"/>
      <c r="TNI209" s="21"/>
      <c r="TNJ209" s="21"/>
      <c r="TNK209" s="21"/>
      <c r="TNL209" s="21"/>
      <c r="TNM209" s="21"/>
      <c r="TNN209" s="21"/>
      <c r="TNO209" s="21"/>
      <c r="TNP209" s="21"/>
      <c r="TNQ209" s="21"/>
      <c r="TNR209" s="21"/>
      <c r="TNS209" s="21"/>
      <c r="TNT209" s="21"/>
      <c r="TNU209" s="21"/>
      <c r="TNV209" s="21"/>
      <c r="TNW209" s="21"/>
      <c r="TNX209" s="21"/>
      <c r="TNY209" s="21"/>
      <c r="TNZ209" s="21"/>
      <c r="TOA209" s="21"/>
      <c r="TOB209" s="21"/>
      <c r="TOC209" s="21"/>
      <c r="TOD209" s="21"/>
      <c r="TOE209" s="21"/>
      <c r="TOF209" s="21"/>
      <c r="TOG209" s="21"/>
      <c r="TOH209" s="21"/>
      <c r="TOI209" s="21"/>
      <c r="TOJ209" s="21"/>
      <c r="TOK209" s="21"/>
      <c r="TOL209" s="21"/>
      <c r="TOM209" s="21"/>
      <c r="TON209" s="21"/>
      <c r="TOO209" s="21"/>
      <c r="TOP209" s="21"/>
      <c r="TOQ209" s="21"/>
      <c r="TOR209" s="21"/>
      <c r="TOS209" s="21"/>
      <c r="TOT209" s="21"/>
      <c r="TOU209" s="21"/>
      <c r="TOV209" s="21"/>
      <c r="TOW209" s="21"/>
      <c r="TOX209" s="21"/>
      <c r="TOY209" s="21"/>
      <c r="TOZ209" s="21"/>
      <c r="TPA209" s="21"/>
      <c r="TPB209" s="21"/>
      <c r="TPC209" s="21"/>
      <c r="TPD209" s="21"/>
      <c r="TPE209" s="21"/>
      <c r="TPF209" s="21"/>
      <c r="TPG209" s="21"/>
      <c r="TPH209" s="21"/>
      <c r="TPI209" s="21"/>
      <c r="TPJ209" s="21"/>
      <c r="TPK209" s="21"/>
      <c r="TPL209" s="21"/>
      <c r="TPM209" s="21"/>
      <c r="TPN209" s="21"/>
      <c r="TPO209" s="21"/>
      <c r="TPP209" s="21"/>
      <c r="TPQ209" s="21"/>
      <c r="TPR209" s="21"/>
      <c r="TPS209" s="21"/>
      <c r="TPT209" s="21"/>
      <c r="TPU209" s="21"/>
      <c r="TPV209" s="21"/>
      <c r="TPW209" s="21"/>
      <c r="TPX209" s="21"/>
      <c r="TPY209" s="21"/>
      <c r="TPZ209" s="21"/>
      <c r="TQA209" s="21"/>
      <c r="TQB209" s="21"/>
      <c r="TQC209" s="21"/>
      <c r="TQD209" s="21"/>
      <c r="TQE209" s="21"/>
      <c r="TQF209" s="21"/>
      <c r="TQG209" s="21"/>
      <c r="TQH209" s="21"/>
      <c r="TQI209" s="21"/>
      <c r="TQJ209" s="21"/>
      <c r="TQK209" s="21"/>
      <c r="TQL209" s="21"/>
      <c r="TQM209" s="21"/>
      <c r="TQN209" s="21"/>
      <c r="TQO209" s="21"/>
      <c r="TQP209" s="21"/>
      <c r="TQQ209" s="21"/>
      <c r="TQR209" s="21"/>
      <c r="TQS209" s="21"/>
      <c r="TQT209" s="21"/>
      <c r="TQU209" s="21"/>
      <c r="TQV209" s="21"/>
      <c r="TQW209" s="21"/>
      <c r="TQX209" s="21"/>
      <c r="TQY209" s="21"/>
      <c r="TQZ209" s="21"/>
      <c r="TRA209" s="21"/>
      <c r="TRB209" s="21"/>
      <c r="TRC209" s="21"/>
      <c r="TRD209" s="21"/>
      <c r="TRE209" s="21"/>
      <c r="TRF209" s="21"/>
      <c r="TRG209" s="21"/>
      <c r="TRH209" s="21"/>
      <c r="TRI209" s="21"/>
      <c r="TRJ209" s="21"/>
      <c r="TRK209" s="21"/>
      <c r="TRL209" s="21"/>
      <c r="TRM209" s="21"/>
      <c r="TRN209" s="21"/>
      <c r="TRO209" s="21"/>
      <c r="TRP209" s="21"/>
      <c r="TRQ209" s="21"/>
      <c r="TRR209" s="21"/>
      <c r="TRS209" s="21"/>
      <c r="TRT209" s="21"/>
      <c r="TRU209" s="21"/>
      <c r="TRV209" s="21"/>
      <c r="TRW209" s="21"/>
      <c r="TRX209" s="21"/>
      <c r="TRY209" s="21"/>
      <c r="TRZ209" s="21"/>
      <c r="TSA209" s="21"/>
      <c r="TSB209" s="21"/>
      <c r="TSC209" s="21"/>
      <c r="TSD209" s="21"/>
      <c r="TSE209" s="21"/>
      <c r="TSF209" s="21"/>
      <c r="TSG209" s="21"/>
      <c r="TSH209" s="21"/>
      <c r="TSI209" s="21"/>
      <c r="TSJ209" s="21"/>
      <c r="TSK209" s="21"/>
      <c r="TSL209" s="21"/>
      <c r="TSM209" s="21"/>
      <c r="TSN209" s="21"/>
      <c r="TSO209" s="21"/>
      <c r="TSP209" s="21"/>
      <c r="TSQ209" s="21"/>
      <c r="TSR209" s="21"/>
      <c r="TSS209" s="21"/>
      <c r="TST209" s="21"/>
      <c r="TSU209" s="21"/>
      <c r="TSV209" s="21"/>
      <c r="TSW209" s="21"/>
      <c r="TSX209" s="21"/>
      <c r="TSY209" s="21"/>
      <c r="TSZ209" s="21"/>
      <c r="TTA209" s="21"/>
      <c r="TTB209" s="21"/>
      <c r="TTC209" s="21"/>
      <c r="TTD209" s="21"/>
      <c r="TTE209" s="21"/>
      <c r="TTF209" s="21"/>
      <c r="TTG209" s="21"/>
      <c r="TTH209" s="21"/>
      <c r="TTI209" s="21"/>
      <c r="TTJ209" s="21"/>
      <c r="TTK209" s="21"/>
      <c r="TTL209" s="21"/>
      <c r="TTM209" s="21"/>
      <c r="TTN209" s="21"/>
      <c r="TTO209" s="21"/>
      <c r="TTP209" s="21"/>
      <c r="TTQ209" s="21"/>
      <c r="TTR209" s="21"/>
      <c r="TTS209" s="21"/>
      <c r="TTT209" s="21"/>
      <c r="TTU209" s="21"/>
      <c r="TTV209" s="21"/>
      <c r="TTW209" s="21"/>
      <c r="TTX209" s="21"/>
      <c r="TTY209" s="21"/>
      <c r="TTZ209" s="21"/>
      <c r="TUA209" s="21"/>
      <c r="TUB209" s="21"/>
      <c r="TUC209" s="21"/>
      <c r="TUD209" s="21"/>
      <c r="TUE209" s="21"/>
      <c r="TUF209" s="21"/>
      <c r="TUG209" s="21"/>
      <c r="TUH209" s="21"/>
      <c r="TUI209" s="21"/>
      <c r="TUJ209" s="21"/>
      <c r="TUK209" s="21"/>
      <c r="TUL209" s="21"/>
      <c r="TUM209" s="21"/>
      <c r="TUN209" s="21"/>
      <c r="TUO209" s="21"/>
      <c r="TUP209" s="21"/>
      <c r="TUQ209" s="21"/>
      <c r="TUR209" s="21"/>
      <c r="TUS209" s="21"/>
      <c r="TUT209" s="21"/>
      <c r="TUU209" s="21"/>
      <c r="TUV209" s="21"/>
      <c r="TUW209" s="21"/>
      <c r="TUX209" s="21"/>
      <c r="TUY209" s="21"/>
      <c r="TUZ209" s="21"/>
      <c r="TVA209" s="21"/>
      <c r="TVB209" s="21"/>
      <c r="TVC209" s="21"/>
      <c r="TVD209" s="21"/>
      <c r="TVE209" s="21"/>
      <c r="TVF209" s="21"/>
      <c r="TVG209" s="21"/>
      <c r="TVH209" s="21"/>
      <c r="TVI209" s="21"/>
      <c r="TVJ209" s="21"/>
      <c r="TVK209" s="21"/>
      <c r="TVL209" s="21"/>
      <c r="TVM209" s="21"/>
      <c r="TVN209" s="21"/>
      <c r="TVO209" s="21"/>
      <c r="TVP209" s="21"/>
      <c r="TVQ209" s="21"/>
      <c r="TVR209" s="21"/>
      <c r="TVS209" s="21"/>
      <c r="TVT209" s="21"/>
      <c r="TVU209" s="21"/>
      <c r="TVV209" s="21"/>
      <c r="TVW209" s="21"/>
      <c r="TVX209" s="21"/>
      <c r="TVY209" s="21"/>
      <c r="TVZ209" s="21"/>
      <c r="TWA209" s="21"/>
      <c r="TWB209" s="21"/>
      <c r="TWC209" s="21"/>
      <c r="TWD209" s="21"/>
      <c r="TWE209" s="21"/>
      <c r="TWF209" s="21"/>
      <c r="TWG209" s="21"/>
      <c r="TWH209" s="21"/>
      <c r="TWI209" s="21"/>
      <c r="TWJ209" s="21"/>
      <c r="TWK209" s="21"/>
      <c r="TWL209" s="21"/>
      <c r="TWM209" s="21"/>
      <c r="TWN209" s="21"/>
      <c r="TWO209" s="21"/>
      <c r="TWP209" s="21"/>
      <c r="TWQ209" s="21"/>
      <c r="TWR209" s="21"/>
      <c r="TWS209" s="21"/>
      <c r="TWT209" s="21"/>
      <c r="TWU209" s="21"/>
      <c r="TWV209" s="21"/>
      <c r="TWW209" s="21"/>
      <c r="TWX209" s="21"/>
      <c r="TWY209" s="21"/>
      <c r="TWZ209" s="21"/>
      <c r="TXA209" s="21"/>
      <c r="TXB209" s="21"/>
      <c r="TXC209" s="21"/>
      <c r="TXD209" s="21"/>
      <c r="TXE209" s="21"/>
      <c r="TXF209" s="21"/>
      <c r="TXG209" s="21"/>
      <c r="TXH209" s="21"/>
      <c r="TXI209" s="21"/>
      <c r="TXJ209" s="21"/>
      <c r="TXK209" s="21"/>
      <c r="TXL209" s="21"/>
      <c r="TXM209" s="21"/>
      <c r="TXN209" s="21"/>
      <c r="TXO209" s="21"/>
      <c r="TXP209" s="21"/>
      <c r="TXQ209" s="21"/>
      <c r="TXR209" s="21"/>
      <c r="TXS209" s="21"/>
      <c r="TXT209" s="21"/>
      <c r="TXU209" s="21"/>
      <c r="TXV209" s="21"/>
      <c r="TXW209" s="21"/>
      <c r="TXX209" s="21"/>
      <c r="TXY209" s="21"/>
      <c r="TXZ209" s="21"/>
      <c r="TYA209" s="21"/>
      <c r="TYB209" s="21"/>
      <c r="TYC209" s="21"/>
      <c r="TYD209" s="21"/>
      <c r="TYE209" s="21"/>
      <c r="TYF209" s="21"/>
      <c r="TYG209" s="21"/>
      <c r="TYH209" s="21"/>
      <c r="TYI209" s="21"/>
      <c r="TYJ209" s="21"/>
      <c r="TYK209" s="21"/>
      <c r="TYL209" s="21"/>
      <c r="TYM209" s="21"/>
      <c r="TYN209" s="21"/>
      <c r="TYO209" s="21"/>
      <c r="TYP209" s="21"/>
      <c r="TYQ209" s="21"/>
      <c r="TYR209" s="21"/>
      <c r="TYS209" s="21"/>
      <c r="TYT209" s="21"/>
      <c r="TYU209" s="21"/>
      <c r="TYV209" s="21"/>
      <c r="TYW209" s="21"/>
      <c r="TYX209" s="21"/>
      <c r="TYY209" s="21"/>
      <c r="TYZ209" s="21"/>
      <c r="TZA209" s="21"/>
      <c r="TZB209" s="21"/>
      <c r="TZC209" s="21"/>
      <c r="TZD209" s="21"/>
      <c r="TZE209" s="21"/>
      <c r="TZF209" s="21"/>
      <c r="TZG209" s="21"/>
      <c r="TZH209" s="21"/>
      <c r="TZI209" s="21"/>
      <c r="TZJ209" s="21"/>
      <c r="TZK209" s="21"/>
      <c r="TZL209" s="21"/>
      <c r="TZM209" s="21"/>
      <c r="TZN209" s="21"/>
      <c r="TZO209" s="21"/>
      <c r="TZP209" s="21"/>
      <c r="TZQ209" s="21"/>
      <c r="TZR209" s="21"/>
      <c r="TZS209" s="21"/>
      <c r="TZT209" s="21"/>
      <c r="TZU209" s="21"/>
      <c r="TZV209" s="21"/>
      <c r="TZW209" s="21"/>
      <c r="TZX209" s="21"/>
      <c r="TZY209" s="21"/>
      <c r="TZZ209" s="21"/>
      <c r="UAA209" s="21"/>
      <c r="UAB209" s="21"/>
      <c r="UAC209" s="21"/>
      <c r="UAD209" s="21"/>
      <c r="UAE209" s="21"/>
      <c r="UAF209" s="21"/>
      <c r="UAG209" s="21"/>
      <c r="UAH209" s="21"/>
      <c r="UAI209" s="21"/>
      <c r="UAJ209" s="21"/>
      <c r="UAK209" s="21"/>
      <c r="UAL209" s="21"/>
      <c r="UAM209" s="21"/>
      <c r="UAN209" s="21"/>
      <c r="UAO209" s="21"/>
      <c r="UAP209" s="21"/>
      <c r="UAQ209" s="21"/>
      <c r="UAR209" s="21"/>
      <c r="UAS209" s="21"/>
      <c r="UAT209" s="21"/>
      <c r="UAU209" s="21"/>
      <c r="UAV209" s="21"/>
      <c r="UAW209" s="21"/>
      <c r="UAX209" s="21"/>
      <c r="UAY209" s="21"/>
      <c r="UAZ209" s="21"/>
      <c r="UBA209" s="21"/>
      <c r="UBB209" s="21"/>
      <c r="UBC209" s="21"/>
      <c r="UBD209" s="21"/>
      <c r="UBE209" s="21"/>
      <c r="UBF209" s="21"/>
      <c r="UBG209" s="21"/>
      <c r="UBH209" s="21"/>
      <c r="UBI209" s="21"/>
      <c r="UBJ209" s="21"/>
      <c r="UBK209" s="21"/>
      <c r="UBL209" s="21"/>
      <c r="UBM209" s="21"/>
      <c r="UBN209" s="21"/>
      <c r="UBO209" s="21"/>
      <c r="UBP209" s="21"/>
      <c r="UBQ209" s="21"/>
      <c r="UBR209" s="21"/>
      <c r="UBS209" s="21"/>
      <c r="UBT209" s="21"/>
      <c r="UBU209" s="21"/>
      <c r="UBV209" s="21"/>
      <c r="UBW209" s="21"/>
      <c r="UBX209" s="21"/>
      <c r="UBY209" s="21"/>
      <c r="UBZ209" s="21"/>
      <c r="UCA209" s="21"/>
      <c r="UCB209" s="21"/>
      <c r="UCC209" s="21"/>
      <c r="UCD209" s="21"/>
      <c r="UCE209" s="21"/>
      <c r="UCF209" s="21"/>
      <c r="UCG209" s="21"/>
      <c r="UCH209" s="21"/>
      <c r="UCI209" s="21"/>
      <c r="UCJ209" s="21"/>
      <c r="UCK209" s="21"/>
      <c r="UCL209" s="21"/>
      <c r="UCM209" s="21"/>
      <c r="UCN209" s="21"/>
      <c r="UCO209" s="21"/>
      <c r="UCP209" s="21"/>
      <c r="UCQ209" s="21"/>
      <c r="UCR209" s="21"/>
      <c r="UCS209" s="21"/>
      <c r="UCT209" s="21"/>
      <c r="UCU209" s="21"/>
      <c r="UCV209" s="21"/>
      <c r="UCW209" s="21"/>
      <c r="UCX209" s="21"/>
      <c r="UCY209" s="21"/>
      <c r="UCZ209" s="21"/>
      <c r="UDA209" s="21"/>
      <c r="UDB209" s="21"/>
      <c r="UDC209" s="21"/>
      <c r="UDD209" s="21"/>
      <c r="UDE209" s="21"/>
      <c r="UDF209" s="21"/>
      <c r="UDG209" s="21"/>
      <c r="UDH209" s="21"/>
      <c r="UDI209" s="21"/>
      <c r="UDJ209" s="21"/>
      <c r="UDK209" s="21"/>
      <c r="UDL209" s="21"/>
      <c r="UDM209" s="21"/>
      <c r="UDN209" s="21"/>
      <c r="UDO209" s="21"/>
      <c r="UDP209" s="21"/>
      <c r="UDQ209" s="21"/>
      <c r="UDR209" s="21"/>
      <c r="UDS209" s="21"/>
      <c r="UDT209" s="21"/>
      <c r="UDU209" s="21"/>
      <c r="UDV209" s="21"/>
      <c r="UDW209" s="21"/>
      <c r="UDX209" s="21"/>
      <c r="UDY209" s="21"/>
      <c r="UDZ209" s="21"/>
      <c r="UEA209" s="21"/>
      <c r="UEB209" s="21"/>
      <c r="UEC209" s="21"/>
      <c r="UED209" s="21"/>
      <c r="UEE209" s="21"/>
      <c r="UEF209" s="21"/>
      <c r="UEG209" s="21"/>
      <c r="UEH209" s="21"/>
      <c r="UEI209" s="21"/>
      <c r="UEJ209" s="21"/>
      <c r="UEK209" s="21"/>
      <c r="UEL209" s="21"/>
      <c r="UEM209" s="21"/>
      <c r="UEN209" s="21"/>
      <c r="UEO209" s="21"/>
      <c r="UEP209" s="21"/>
      <c r="UEQ209" s="21"/>
      <c r="UER209" s="21"/>
      <c r="UES209" s="21"/>
      <c r="UET209" s="21"/>
      <c r="UEU209" s="21"/>
      <c r="UEV209" s="21"/>
      <c r="UEW209" s="21"/>
      <c r="UEX209" s="21"/>
      <c r="UEY209" s="21"/>
      <c r="UEZ209" s="21"/>
      <c r="UFA209" s="21"/>
      <c r="UFB209" s="21"/>
      <c r="UFC209" s="21"/>
      <c r="UFD209" s="21"/>
      <c r="UFE209" s="21"/>
      <c r="UFF209" s="21"/>
      <c r="UFG209" s="21"/>
      <c r="UFH209" s="21"/>
      <c r="UFI209" s="21"/>
      <c r="UFJ209" s="21"/>
      <c r="UFK209" s="21"/>
      <c r="UFL209" s="21"/>
      <c r="UFM209" s="21"/>
      <c r="UFN209" s="21"/>
      <c r="UFO209" s="21"/>
      <c r="UFP209" s="21"/>
      <c r="UFQ209" s="21"/>
      <c r="UFR209" s="21"/>
      <c r="UFS209" s="21"/>
      <c r="UFT209" s="21"/>
      <c r="UFU209" s="21"/>
      <c r="UFV209" s="21"/>
      <c r="UFW209" s="21"/>
      <c r="UFX209" s="21"/>
      <c r="UFY209" s="21"/>
      <c r="UFZ209" s="21"/>
      <c r="UGA209" s="21"/>
      <c r="UGB209" s="21"/>
      <c r="UGC209" s="21"/>
      <c r="UGD209" s="21"/>
      <c r="UGE209" s="21"/>
      <c r="UGF209" s="21"/>
      <c r="UGG209" s="21"/>
      <c r="UGH209" s="21"/>
      <c r="UGI209" s="21"/>
      <c r="UGJ209" s="21"/>
      <c r="UGK209" s="21"/>
      <c r="UGL209" s="21"/>
      <c r="UGM209" s="21"/>
      <c r="UGN209" s="21"/>
      <c r="UGO209" s="21"/>
      <c r="UGP209" s="21"/>
      <c r="UGQ209" s="21"/>
      <c r="UGR209" s="21"/>
      <c r="UGS209" s="21"/>
      <c r="UGT209" s="21"/>
      <c r="UGU209" s="21"/>
      <c r="UGV209" s="21"/>
      <c r="UGW209" s="21"/>
      <c r="UGX209" s="21"/>
      <c r="UGY209" s="21"/>
      <c r="UGZ209" s="21"/>
      <c r="UHA209" s="21"/>
      <c r="UHB209" s="21"/>
      <c r="UHC209" s="21"/>
      <c r="UHD209" s="21"/>
      <c r="UHE209" s="21"/>
      <c r="UHF209" s="21"/>
      <c r="UHG209" s="21"/>
      <c r="UHH209" s="21"/>
      <c r="UHI209" s="21"/>
      <c r="UHJ209" s="21"/>
      <c r="UHK209" s="21"/>
      <c r="UHL209" s="21"/>
      <c r="UHM209" s="21"/>
      <c r="UHN209" s="21"/>
      <c r="UHO209" s="21"/>
      <c r="UHP209" s="21"/>
      <c r="UHQ209" s="21"/>
      <c r="UHR209" s="21"/>
      <c r="UHS209" s="21"/>
      <c r="UHT209" s="21"/>
      <c r="UHU209" s="21"/>
      <c r="UHV209" s="21"/>
      <c r="UHW209" s="21"/>
      <c r="UHX209" s="21"/>
      <c r="UHY209" s="21"/>
      <c r="UHZ209" s="21"/>
      <c r="UIA209" s="21"/>
      <c r="UIB209" s="21"/>
      <c r="UIC209" s="21"/>
      <c r="UID209" s="21"/>
      <c r="UIE209" s="21"/>
      <c r="UIF209" s="21"/>
      <c r="UIG209" s="21"/>
      <c r="UIH209" s="21"/>
      <c r="UII209" s="21"/>
      <c r="UIJ209" s="21"/>
      <c r="UIK209" s="21"/>
      <c r="UIL209" s="21"/>
      <c r="UIM209" s="21"/>
      <c r="UIN209" s="21"/>
      <c r="UIO209" s="21"/>
      <c r="UIP209" s="21"/>
      <c r="UIQ209" s="21"/>
      <c r="UIR209" s="21"/>
      <c r="UIS209" s="21"/>
      <c r="UIT209" s="21"/>
      <c r="UIU209" s="21"/>
      <c r="UIV209" s="21"/>
      <c r="UIW209" s="21"/>
      <c r="UIX209" s="21"/>
      <c r="UIY209" s="21"/>
      <c r="UIZ209" s="21"/>
      <c r="UJA209" s="21"/>
      <c r="UJB209" s="21"/>
      <c r="UJC209" s="21"/>
      <c r="UJD209" s="21"/>
      <c r="UJE209" s="21"/>
      <c r="UJF209" s="21"/>
      <c r="UJG209" s="21"/>
      <c r="UJH209" s="21"/>
      <c r="UJI209" s="21"/>
      <c r="UJJ209" s="21"/>
      <c r="UJK209" s="21"/>
      <c r="UJL209" s="21"/>
      <c r="UJM209" s="21"/>
      <c r="UJN209" s="21"/>
      <c r="UJO209" s="21"/>
      <c r="UJP209" s="21"/>
      <c r="UJQ209" s="21"/>
      <c r="UJR209" s="21"/>
      <c r="UJS209" s="21"/>
      <c r="UJT209" s="21"/>
      <c r="UJU209" s="21"/>
      <c r="UJV209" s="21"/>
      <c r="UJW209" s="21"/>
      <c r="UJX209" s="21"/>
      <c r="UJY209" s="21"/>
      <c r="UJZ209" s="21"/>
      <c r="UKA209" s="21"/>
      <c r="UKB209" s="21"/>
      <c r="UKC209" s="21"/>
      <c r="UKD209" s="21"/>
      <c r="UKE209" s="21"/>
      <c r="UKF209" s="21"/>
      <c r="UKG209" s="21"/>
      <c r="UKH209" s="21"/>
      <c r="UKI209" s="21"/>
      <c r="UKJ209" s="21"/>
      <c r="UKK209" s="21"/>
      <c r="UKL209" s="21"/>
      <c r="UKM209" s="21"/>
      <c r="UKN209" s="21"/>
      <c r="UKO209" s="21"/>
      <c r="UKP209" s="21"/>
      <c r="UKQ209" s="21"/>
      <c r="UKR209" s="21"/>
      <c r="UKS209" s="21"/>
      <c r="UKT209" s="21"/>
      <c r="UKU209" s="21"/>
      <c r="UKV209" s="21"/>
      <c r="UKW209" s="21"/>
      <c r="UKX209" s="21"/>
      <c r="UKY209" s="21"/>
      <c r="UKZ209" s="21"/>
      <c r="ULA209" s="21"/>
      <c r="ULB209" s="21"/>
      <c r="ULC209" s="21"/>
      <c r="ULD209" s="21"/>
      <c r="ULE209" s="21"/>
      <c r="ULF209" s="21"/>
      <c r="ULG209" s="21"/>
      <c r="ULH209" s="21"/>
      <c r="ULI209" s="21"/>
      <c r="ULJ209" s="21"/>
      <c r="ULK209" s="21"/>
      <c r="ULL209" s="21"/>
      <c r="ULM209" s="21"/>
      <c r="ULN209" s="21"/>
      <c r="ULO209" s="21"/>
      <c r="ULP209" s="21"/>
      <c r="ULQ209" s="21"/>
      <c r="ULR209" s="21"/>
      <c r="ULS209" s="21"/>
      <c r="ULT209" s="21"/>
      <c r="ULU209" s="21"/>
      <c r="ULV209" s="21"/>
      <c r="ULW209" s="21"/>
      <c r="ULX209" s="21"/>
      <c r="ULY209" s="21"/>
      <c r="ULZ209" s="21"/>
      <c r="UMA209" s="21"/>
      <c r="UMB209" s="21"/>
      <c r="UMC209" s="21"/>
      <c r="UMD209" s="21"/>
      <c r="UME209" s="21"/>
      <c r="UMF209" s="21"/>
      <c r="UMG209" s="21"/>
      <c r="UMH209" s="21"/>
      <c r="UMI209" s="21"/>
      <c r="UMJ209" s="21"/>
      <c r="UMK209" s="21"/>
      <c r="UML209" s="21"/>
      <c r="UMM209" s="21"/>
      <c r="UMN209" s="21"/>
      <c r="UMO209" s="21"/>
      <c r="UMP209" s="21"/>
      <c r="UMQ209" s="21"/>
      <c r="UMR209" s="21"/>
      <c r="UMS209" s="21"/>
      <c r="UMT209" s="21"/>
      <c r="UMU209" s="21"/>
      <c r="UMV209" s="21"/>
      <c r="UMW209" s="21"/>
      <c r="UMX209" s="21"/>
      <c r="UMY209" s="21"/>
      <c r="UMZ209" s="21"/>
      <c r="UNA209" s="21"/>
      <c r="UNB209" s="21"/>
      <c r="UNC209" s="21"/>
      <c r="UND209" s="21"/>
      <c r="UNE209" s="21"/>
      <c r="UNF209" s="21"/>
      <c r="UNG209" s="21"/>
      <c r="UNH209" s="21"/>
      <c r="UNI209" s="21"/>
      <c r="UNJ209" s="21"/>
      <c r="UNK209" s="21"/>
      <c r="UNL209" s="21"/>
      <c r="UNM209" s="21"/>
      <c r="UNN209" s="21"/>
      <c r="UNO209" s="21"/>
      <c r="UNP209" s="21"/>
      <c r="UNQ209" s="21"/>
      <c r="UNR209" s="21"/>
      <c r="UNS209" s="21"/>
      <c r="UNT209" s="21"/>
      <c r="UNU209" s="21"/>
      <c r="UNV209" s="21"/>
      <c r="UNW209" s="21"/>
      <c r="UNX209" s="21"/>
      <c r="UNY209" s="21"/>
      <c r="UNZ209" s="21"/>
      <c r="UOA209" s="21"/>
      <c r="UOB209" s="21"/>
      <c r="UOC209" s="21"/>
      <c r="UOD209" s="21"/>
      <c r="UOE209" s="21"/>
      <c r="UOF209" s="21"/>
      <c r="UOG209" s="21"/>
      <c r="UOH209" s="21"/>
      <c r="UOI209" s="21"/>
      <c r="UOJ209" s="21"/>
      <c r="UOK209" s="21"/>
      <c r="UOL209" s="21"/>
      <c r="UOM209" s="21"/>
      <c r="UON209" s="21"/>
      <c r="UOO209" s="21"/>
      <c r="UOP209" s="21"/>
      <c r="UOQ209" s="21"/>
      <c r="UOR209" s="21"/>
      <c r="UOS209" s="21"/>
      <c r="UOT209" s="21"/>
      <c r="UOU209" s="21"/>
      <c r="UOV209" s="21"/>
      <c r="UOW209" s="21"/>
      <c r="UOX209" s="21"/>
      <c r="UOY209" s="21"/>
      <c r="UOZ209" s="21"/>
      <c r="UPA209" s="21"/>
      <c r="UPB209" s="21"/>
      <c r="UPC209" s="21"/>
      <c r="UPD209" s="21"/>
      <c r="UPE209" s="21"/>
      <c r="UPF209" s="21"/>
      <c r="UPG209" s="21"/>
      <c r="UPH209" s="21"/>
      <c r="UPI209" s="21"/>
      <c r="UPJ209" s="21"/>
      <c r="UPK209" s="21"/>
      <c r="UPL209" s="21"/>
      <c r="UPM209" s="21"/>
      <c r="UPN209" s="21"/>
      <c r="UPO209" s="21"/>
      <c r="UPP209" s="21"/>
      <c r="UPQ209" s="21"/>
      <c r="UPR209" s="21"/>
      <c r="UPS209" s="21"/>
      <c r="UPT209" s="21"/>
      <c r="UPU209" s="21"/>
      <c r="UPV209" s="21"/>
      <c r="UPW209" s="21"/>
      <c r="UPX209" s="21"/>
      <c r="UPY209" s="21"/>
      <c r="UPZ209" s="21"/>
      <c r="UQA209" s="21"/>
      <c r="UQB209" s="21"/>
      <c r="UQC209" s="21"/>
      <c r="UQD209" s="21"/>
      <c r="UQE209" s="21"/>
      <c r="UQF209" s="21"/>
      <c r="UQG209" s="21"/>
      <c r="UQH209" s="21"/>
      <c r="UQI209" s="21"/>
      <c r="UQJ209" s="21"/>
      <c r="UQK209" s="21"/>
      <c r="UQL209" s="21"/>
      <c r="UQM209" s="21"/>
      <c r="UQN209" s="21"/>
      <c r="UQO209" s="21"/>
      <c r="UQP209" s="21"/>
      <c r="UQQ209" s="21"/>
      <c r="UQR209" s="21"/>
      <c r="UQS209" s="21"/>
      <c r="UQT209" s="21"/>
      <c r="UQU209" s="21"/>
      <c r="UQV209" s="21"/>
      <c r="UQW209" s="21"/>
      <c r="UQX209" s="21"/>
      <c r="UQY209" s="21"/>
      <c r="UQZ209" s="21"/>
      <c r="URA209" s="21"/>
      <c r="URB209" s="21"/>
      <c r="URC209" s="21"/>
      <c r="URD209" s="21"/>
      <c r="URE209" s="21"/>
      <c r="URF209" s="21"/>
      <c r="URG209" s="21"/>
      <c r="URH209" s="21"/>
      <c r="URI209" s="21"/>
      <c r="URJ209" s="21"/>
      <c r="URK209" s="21"/>
      <c r="URL209" s="21"/>
      <c r="URM209" s="21"/>
      <c r="URN209" s="21"/>
      <c r="URO209" s="21"/>
      <c r="URP209" s="21"/>
      <c r="URQ209" s="21"/>
      <c r="URR209" s="21"/>
      <c r="URS209" s="21"/>
      <c r="URT209" s="21"/>
      <c r="URU209" s="21"/>
      <c r="URV209" s="21"/>
      <c r="URW209" s="21"/>
      <c r="URX209" s="21"/>
      <c r="URY209" s="21"/>
      <c r="URZ209" s="21"/>
      <c r="USA209" s="21"/>
      <c r="USB209" s="21"/>
      <c r="USC209" s="21"/>
      <c r="USD209" s="21"/>
      <c r="USE209" s="21"/>
      <c r="USF209" s="21"/>
      <c r="USG209" s="21"/>
      <c r="USH209" s="21"/>
      <c r="USI209" s="21"/>
      <c r="USJ209" s="21"/>
      <c r="USK209" s="21"/>
      <c r="USL209" s="21"/>
      <c r="USM209" s="21"/>
      <c r="USN209" s="21"/>
      <c r="USO209" s="21"/>
      <c r="USP209" s="21"/>
      <c r="USQ209" s="21"/>
      <c r="USR209" s="21"/>
      <c r="USS209" s="21"/>
      <c r="UST209" s="21"/>
      <c r="USU209" s="21"/>
      <c r="USV209" s="21"/>
      <c r="USW209" s="21"/>
      <c r="USX209" s="21"/>
      <c r="USY209" s="21"/>
      <c r="USZ209" s="21"/>
      <c r="UTA209" s="21"/>
      <c r="UTB209" s="21"/>
      <c r="UTC209" s="21"/>
      <c r="UTD209" s="21"/>
      <c r="UTE209" s="21"/>
      <c r="UTF209" s="21"/>
      <c r="UTG209" s="21"/>
      <c r="UTH209" s="21"/>
      <c r="UTI209" s="21"/>
      <c r="UTJ209" s="21"/>
      <c r="UTK209" s="21"/>
      <c r="UTL209" s="21"/>
      <c r="UTM209" s="21"/>
      <c r="UTN209" s="21"/>
      <c r="UTO209" s="21"/>
      <c r="UTP209" s="21"/>
      <c r="UTQ209" s="21"/>
      <c r="UTR209" s="21"/>
      <c r="UTS209" s="21"/>
      <c r="UTT209" s="21"/>
      <c r="UTU209" s="21"/>
      <c r="UTV209" s="21"/>
      <c r="UTW209" s="21"/>
      <c r="UTX209" s="21"/>
      <c r="UTY209" s="21"/>
      <c r="UTZ209" s="21"/>
      <c r="UUA209" s="21"/>
      <c r="UUB209" s="21"/>
      <c r="UUC209" s="21"/>
      <c r="UUD209" s="21"/>
      <c r="UUE209" s="21"/>
      <c r="UUF209" s="21"/>
      <c r="UUG209" s="21"/>
      <c r="UUH209" s="21"/>
      <c r="UUI209" s="21"/>
      <c r="UUJ209" s="21"/>
      <c r="UUK209" s="21"/>
      <c r="UUL209" s="21"/>
      <c r="UUM209" s="21"/>
      <c r="UUN209" s="21"/>
      <c r="UUO209" s="21"/>
      <c r="UUP209" s="21"/>
      <c r="UUQ209" s="21"/>
      <c r="UUR209" s="21"/>
      <c r="UUS209" s="21"/>
      <c r="UUT209" s="21"/>
      <c r="UUU209" s="21"/>
      <c r="UUV209" s="21"/>
      <c r="UUW209" s="21"/>
      <c r="UUX209" s="21"/>
      <c r="UUY209" s="21"/>
      <c r="UUZ209" s="21"/>
      <c r="UVA209" s="21"/>
      <c r="UVB209" s="21"/>
      <c r="UVC209" s="21"/>
      <c r="UVD209" s="21"/>
      <c r="UVE209" s="21"/>
      <c r="UVF209" s="21"/>
      <c r="UVG209" s="21"/>
      <c r="UVH209" s="21"/>
      <c r="UVI209" s="21"/>
      <c r="UVJ209" s="21"/>
      <c r="UVK209" s="21"/>
      <c r="UVL209" s="21"/>
      <c r="UVM209" s="21"/>
      <c r="UVN209" s="21"/>
      <c r="UVO209" s="21"/>
      <c r="UVP209" s="21"/>
      <c r="UVQ209" s="21"/>
      <c r="UVR209" s="21"/>
      <c r="UVS209" s="21"/>
      <c r="UVT209" s="21"/>
      <c r="UVU209" s="21"/>
      <c r="UVV209" s="21"/>
      <c r="UVW209" s="21"/>
      <c r="UVX209" s="21"/>
      <c r="UVY209" s="21"/>
      <c r="UVZ209" s="21"/>
      <c r="UWA209" s="21"/>
      <c r="UWB209" s="21"/>
      <c r="UWC209" s="21"/>
      <c r="UWD209" s="21"/>
      <c r="UWE209" s="21"/>
      <c r="UWF209" s="21"/>
      <c r="UWG209" s="21"/>
      <c r="UWH209" s="21"/>
      <c r="UWI209" s="21"/>
      <c r="UWJ209" s="21"/>
      <c r="UWK209" s="21"/>
      <c r="UWL209" s="21"/>
      <c r="UWM209" s="21"/>
      <c r="UWN209" s="21"/>
      <c r="UWO209" s="21"/>
      <c r="UWP209" s="21"/>
      <c r="UWQ209" s="21"/>
      <c r="UWR209" s="21"/>
      <c r="UWS209" s="21"/>
      <c r="UWT209" s="21"/>
      <c r="UWU209" s="21"/>
      <c r="UWV209" s="21"/>
      <c r="UWW209" s="21"/>
      <c r="UWX209" s="21"/>
      <c r="UWY209" s="21"/>
      <c r="UWZ209" s="21"/>
      <c r="UXA209" s="21"/>
      <c r="UXB209" s="21"/>
      <c r="UXC209" s="21"/>
      <c r="UXD209" s="21"/>
      <c r="UXE209" s="21"/>
      <c r="UXF209" s="21"/>
      <c r="UXG209" s="21"/>
      <c r="UXH209" s="21"/>
      <c r="UXI209" s="21"/>
      <c r="UXJ209" s="21"/>
      <c r="UXK209" s="21"/>
      <c r="UXL209" s="21"/>
      <c r="UXM209" s="21"/>
      <c r="UXN209" s="21"/>
      <c r="UXO209" s="21"/>
      <c r="UXP209" s="21"/>
      <c r="UXQ209" s="21"/>
      <c r="UXR209" s="21"/>
      <c r="UXS209" s="21"/>
      <c r="UXT209" s="21"/>
      <c r="UXU209" s="21"/>
      <c r="UXV209" s="21"/>
      <c r="UXW209" s="21"/>
      <c r="UXX209" s="21"/>
      <c r="UXY209" s="21"/>
      <c r="UXZ209" s="21"/>
      <c r="UYA209" s="21"/>
      <c r="UYB209" s="21"/>
      <c r="UYC209" s="21"/>
      <c r="UYD209" s="21"/>
      <c r="UYE209" s="21"/>
      <c r="UYF209" s="21"/>
      <c r="UYG209" s="21"/>
      <c r="UYH209" s="21"/>
      <c r="UYI209" s="21"/>
      <c r="UYJ209" s="21"/>
      <c r="UYK209" s="21"/>
      <c r="UYL209" s="21"/>
      <c r="UYM209" s="21"/>
      <c r="UYN209" s="21"/>
      <c r="UYO209" s="21"/>
      <c r="UYP209" s="21"/>
      <c r="UYQ209" s="21"/>
      <c r="UYR209" s="21"/>
      <c r="UYS209" s="21"/>
      <c r="UYT209" s="21"/>
      <c r="UYU209" s="21"/>
      <c r="UYV209" s="21"/>
      <c r="UYW209" s="21"/>
      <c r="UYX209" s="21"/>
      <c r="UYY209" s="21"/>
      <c r="UYZ209" s="21"/>
      <c r="UZA209" s="21"/>
      <c r="UZB209" s="21"/>
      <c r="UZC209" s="21"/>
      <c r="UZD209" s="21"/>
      <c r="UZE209" s="21"/>
      <c r="UZF209" s="21"/>
      <c r="UZG209" s="21"/>
      <c r="UZH209" s="21"/>
      <c r="UZI209" s="21"/>
      <c r="UZJ209" s="21"/>
      <c r="UZK209" s="21"/>
      <c r="UZL209" s="21"/>
      <c r="UZM209" s="21"/>
      <c r="UZN209" s="21"/>
      <c r="UZO209" s="21"/>
      <c r="UZP209" s="21"/>
      <c r="UZQ209" s="21"/>
      <c r="UZR209" s="21"/>
      <c r="UZS209" s="21"/>
      <c r="UZT209" s="21"/>
      <c r="UZU209" s="21"/>
      <c r="UZV209" s="21"/>
      <c r="UZW209" s="21"/>
      <c r="UZX209" s="21"/>
      <c r="UZY209" s="21"/>
      <c r="UZZ209" s="21"/>
      <c r="VAA209" s="21"/>
      <c r="VAB209" s="21"/>
      <c r="VAC209" s="21"/>
      <c r="VAD209" s="21"/>
      <c r="VAE209" s="21"/>
      <c r="VAF209" s="21"/>
      <c r="VAG209" s="21"/>
      <c r="VAH209" s="21"/>
      <c r="VAI209" s="21"/>
      <c r="VAJ209" s="21"/>
      <c r="VAK209" s="21"/>
      <c r="VAL209" s="21"/>
      <c r="VAM209" s="21"/>
      <c r="VAN209" s="21"/>
      <c r="VAO209" s="21"/>
      <c r="VAP209" s="21"/>
      <c r="VAQ209" s="21"/>
      <c r="VAR209" s="21"/>
      <c r="VAS209" s="21"/>
      <c r="VAT209" s="21"/>
      <c r="VAU209" s="21"/>
      <c r="VAV209" s="21"/>
      <c r="VAW209" s="21"/>
      <c r="VAX209" s="21"/>
      <c r="VAY209" s="21"/>
      <c r="VAZ209" s="21"/>
      <c r="VBA209" s="21"/>
      <c r="VBB209" s="21"/>
      <c r="VBC209" s="21"/>
      <c r="VBD209" s="21"/>
      <c r="VBE209" s="21"/>
      <c r="VBF209" s="21"/>
      <c r="VBG209" s="21"/>
      <c r="VBH209" s="21"/>
      <c r="VBI209" s="21"/>
      <c r="VBJ209" s="21"/>
      <c r="VBK209" s="21"/>
      <c r="VBL209" s="21"/>
      <c r="VBM209" s="21"/>
      <c r="VBN209" s="21"/>
      <c r="VBO209" s="21"/>
      <c r="VBP209" s="21"/>
      <c r="VBQ209" s="21"/>
      <c r="VBR209" s="21"/>
      <c r="VBS209" s="21"/>
      <c r="VBT209" s="21"/>
      <c r="VBU209" s="21"/>
      <c r="VBV209" s="21"/>
      <c r="VBW209" s="21"/>
      <c r="VBX209" s="21"/>
      <c r="VBY209" s="21"/>
      <c r="VBZ209" s="21"/>
      <c r="VCA209" s="21"/>
      <c r="VCB209" s="21"/>
      <c r="VCC209" s="21"/>
      <c r="VCD209" s="21"/>
      <c r="VCE209" s="21"/>
      <c r="VCF209" s="21"/>
      <c r="VCG209" s="21"/>
      <c r="VCH209" s="21"/>
      <c r="VCI209" s="21"/>
      <c r="VCJ209" s="21"/>
      <c r="VCK209" s="21"/>
      <c r="VCL209" s="21"/>
      <c r="VCM209" s="21"/>
      <c r="VCN209" s="21"/>
      <c r="VCO209" s="21"/>
      <c r="VCP209" s="21"/>
      <c r="VCQ209" s="21"/>
      <c r="VCR209" s="21"/>
      <c r="VCS209" s="21"/>
      <c r="VCT209" s="21"/>
      <c r="VCU209" s="21"/>
      <c r="VCV209" s="21"/>
      <c r="VCW209" s="21"/>
      <c r="VCX209" s="21"/>
      <c r="VCY209" s="21"/>
      <c r="VCZ209" s="21"/>
      <c r="VDA209" s="21"/>
      <c r="VDB209" s="21"/>
      <c r="VDC209" s="21"/>
      <c r="VDD209" s="21"/>
      <c r="VDE209" s="21"/>
      <c r="VDF209" s="21"/>
      <c r="VDG209" s="21"/>
      <c r="VDH209" s="21"/>
      <c r="VDI209" s="21"/>
      <c r="VDJ209" s="21"/>
      <c r="VDK209" s="21"/>
      <c r="VDL209" s="21"/>
      <c r="VDM209" s="21"/>
      <c r="VDN209" s="21"/>
      <c r="VDO209" s="21"/>
      <c r="VDP209" s="21"/>
      <c r="VDQ209" s="21"/>
      <c r="VDR209" s="21"/>
      <c r="VDS209" s="21"/>
      <c r="VDT209" s="21"/>
      <c r="VDU209" s="21"/>
      <c r="VDV209" s="21"/>
      <c r="VDW209" s="21"/>
      <c r="VDX209" s="21"/>
      <c r="VDY209" s="21"/>
      <c r="VDZ209" s="21"/>
      <c r="VEA209" s="21"/>
      <c r="VEB209" s="21"/>
      <c r="VEC209" s="21"/>
      <c r="VED209" s="21"/>
      <c r="VEE209" s="21"/>
      <c r="VEF209" s="21"/>
      <c r="VEG209" s="21"/>
      <c r="VEH209" s="21"/>
      <c r="VEI209" s="21"/>
      <c r="VEJ209" s="21"/>
      <c r="VEK209" s="21"/>
      <c r="VEL209" s="21"/>
      <c r="VEM209" s="21"/>
      <c r="VEN209" s="21"/>
      <c r="VEO209" s="21"/>
      <c r="VEP209" s="21"/>
      <c r="VEQ209" s="21"/>
      <c r="VER209" s="21"/>
      <c r="VES209" s="21"/>
      <c r="VET209" s="21"/>
      <c r="VEU209" s="21"/>
      <c r="VEV209" s="21"/>
      <c r="VEW209" s="21"/>
      <c r="VEX209" s="21"/>
      <c r="VEY209" s="21"/>
      <c r="VEZ209" s="21"/>
      <c r="VFA209" s="21"/>
      <c r="VFB209" s="21"/>
      <c r="VFC209" s="21"/>
      <c r="VFD209" s="21"/>
      <c r="VFE209" s="21"/>
      <c r="VFF209" s="21"/>
      <c r="VFG209" s="21"/>
      <c r="VFH209" s="21"/>
      <c r="VFI209" s="21"/>
      <c r="VFJ209" s="21"/>
      <c r="VFK209" s="21"/>
      <c r="VFL209" s="21"/>
      <c r="VFM209" s="21"/>
      <c r="VFN209" s="21"/>
      <c r="VFO209" s="21"/>
      <c r="VFP209" s="21"/>
      <c r="VFQ209" s="21"/>
      <c r="VFR209" s="21"/>
      <c r="VFS209" s="21"/>
      <c r="VFT209" s="21"/>
      <c r="VFU209" s="21"/>
      <c r="VFV209" s="21"/>
      <c r="VFW209" s="21"/>
      <c r="VFX209" s="21"/>
      <c r="VFY209" s="21"/>
      <c r="VFZ209" s="21"/>
      <c r="VGA209" s="21"/>
      <c r="VGB209" s="21"/>
      <c r="VGC209" s="21"/>
      <c r="VGD209" s="21"/>
      <c r="VGE209" s="21"/>
      <c r="VGF209" s="21"/>
      <c r="VGG209" s="21"/>
      <c r="VGH209" s="21"/>
      <c r="VGI209" s="21"/>
      <c r="VGJ209" s="21"/>
      <c r="VGK209" s="21"/>
      <c r="VGL209" s="21"/>
      <c r="VGM209" s="21"/>
      <c r="VGN209" s="21"/>
      <c r="VGO209" s="21"/>
      <c r="VGP209" s="21"/>
      <c r="VGQ209" s="21"/>
      <c r="VGR209" s="21"/>
      <c r="VGS209" s="21"/>
      <c r="VGT209" s="21"/>
      <c r="VGU209" s="21"/>
      <c r="VGV209" s="21"/>
      <c r="VGW209" s="21"/>
      <c r="VGX209" s="21"/>
      <c r="VGY209" s="21"/>
      <c r="VGZ209" s="21"/>
      <c r="VHA209" s="21"/>
      <c r="VHB209" s="21"/>
      <c r="VHC209" s="21"/>
      <c r="VHD209" s="21"/>
      <c r="VHE209" s="21"/>
      <c r="VHF209" s="21"/>
      <c r="VHG209" s="21"/>
      <c r="VHH209" s="21"/>
      <c r="VHI209" s="21"/>
      <c r="VHJ209" s="21"/>
      <c r="VHK209" s="21"/>
      <c r="VHL209" s="21"/>
      <c r="VHM209" s="21"/>
      <c r="VHN209" s="21"/>
      <c r="VHO209" s="21"/>
      <c r="VHP209" s="21"/>
      <c r="VHQ209" s="21"/>
      <c r="VHR209" s="21"/>
      <c r="VHS209" s="21"/>
      <c r="VHT209" s="21"/>
      <c r="VHU209" s="21"/>
      <c r="VHV209" s="21"/>
      <c r="VHW209" s="21"/>
      <c r="VHX209" s="21"/>
      <c r="VHY209" s="21"/>
      <c r="VHZ209" s="21"/>
      <c r="VIA209" s="21"/>
      <c r="VIB209" s="21"/>
      <c r="VIC209" s="21"/>
      <c r="VID209" s="21"/>
      <c r="VIE209" s="21"/>
      <c r="VIF209" s="21"/>
      <c r="VIG209" s="21"/>
      <c r="VIH209" s="21"/>
      <c r="VII209" s="21"/>
      <c r="VIJ209" s="21"/>
      <c r="VIK209" s="21"/>
      <c r="VIL209" s="21"/>
      <c r="VIM209" s="21"/>
      <c r="VIN209" s="21"/>
      <c r="VIO209" s="21"/>
      <c r="VIP209" s="21"/>
      <c r="VIQ209" s="21"/>
      <c r="VIR209" s="21"/>
      <c r="VIS209" s="21"/>
      <c r="VIT209" s="21"/>
      <c r="VIU209" s="21"/>
      <c r="VIV209" s="21"/>
      <c r="VIW209" s="21"/>
      <c r="VIX209" s="21"/>
      <c r="VIY209" s="21"/>
      <c r="VIZ209" s="21"/>
      <c r="VJA209" s="21"/>
      <c r="VJB209" s="21"/>
      <c r="VJC209" s="21"/>
      <c r="VJD209" s="21"/>
      <c r="VJE209" s="21"/>
      <c r="VJF209" s="21"/>
      <c r="VJG209" s="21"/>
      <c r="VJH209" s="21"/>
      <c r="VJI209" s="21"/>
      <c r="VJJ209" s="21"/>
      <c r="VJK209" s="21"/>
      <c r="VJL209" s="21"/>
      <c r="VJM209" s="21"/>
      <c r="VJN209" s="21"/>
      <c r="VJO209" s="21"/>
      <c r="VJP209" s="21"/>
      <c r="VJQ209" s="21"/>
      <c r="VJR209" s="21"/>
      <c r="VJS209" s="21"/>
      <c r="VJT209" s="21"/>
      <c r="VJU209" s="21"/>
      <c r="VJV209" s="21"/>
      <c r="VJW209" s="21"/>
      <c r="VJX209" s="21"/>
      <c r="VJY209" s="21"/>
      <c r="VJZ209" s="21"/>
      <c r="VKA209" s="21"/>
      <c r="VKB209" s="21"/>
      <c r="VKC209" s="21"/>
      <c r="VKD209" s="21"/>
      <c r="VKE209" s="21"/>
      <c r="VKF209" s="21"/>
      <c r="VKG209" s="21"/>
      <c r="VKH209" s="21"/>
      <c r="VKI209" s="21"/>
      <c r="VKJ209" s="21"/>
      <c r="VKK209" s="21"/>
      <c r="VKL209" s="21"/>
      <c r="VKM209" s="21"/>
      <c r="VKN209" s="21"/>
      <c r="VKO209" s="21"/>
      <c r="VKP209" s="21"/>
      <c r="VKQ209" s="21"/>
      <c r="VKR209" s="21"/>
      <c r="VKS209" s="21"/>
      <c r="VKT209" s="21"/>
      <c r="VKU209" s="21"/>
      <c r="VKV209" s="21"/>
      <c r="VKW209" s="21"/>
      <c r="VKX209" s="21"/>
      <c r="VKY209" s="21"/>
      <c r="VKZ209" s="21"/>
      <c r="VLA209" s="21"/>
      <c r="VLB209" s="21"/>
      <c r="VLC209" s="21"/>
      <c r="VLD209" s="21"/>
      <c r="VLE209" s="21"/>
      <c r="VLF209" s="21"/>
      <c r="VLG209" s="21"/>
      <c r="VLH209" s="21"/>
      <c r="VLI209" s="21"/>
      <c r="VLJ209" s="21"/>
      <c r="VLK209" s="21"/>
      <c r="VLL209" s="21"/>
      <c r="VLM209" s="21"/>
      <c r="VLN209" s="21"/>
      <c r="VLO209" s="21"/>
      <c r="VLP209" s="21"/>
      <c r="VLQ209" s="21"/>
      <c r="VLR209" s="21"/>
      <c r="VLS209" s="21"/>
      <c r="VLT209" s="21"/>
      <c r="VLU209" s="21"/>
      <c r="VLV209" s="21"/>
      <c r="VLW209" s="21"/>
      <c r="VLX209" s="21"/>
      <c r="VLY209" s="21"/>
      <c r="VLZ209" s="21"/>
      <c r="VMA209" s="21"/>
      <c r="VMB209" s="21"/>
      <c r="VMC209" s="21"/>
      <c r="VMD209" s="21"/>
      <c r="VME209" s="21"/>
      <c r="VMF209" s="21"/>
      <c r="VMG209" s="21"/>
      <c r="VMH209" s="21"/>
      <c r="VMI209" s="21"/>
      <c r="VMJ209" s="21"/>
      <c r="VMK209" s="21"/>
      <c r="VML209" s="21"/>
      <c r="VMM209" s="21"/>
      <c r="VMN209" s="21"/>
      <c r="VMO209" s="21"/>
      <c r="VMP209" s="21"/>
      <c r="VMQ209" s="21"/>
      <c r="VMR209" s="21"/>
      <c r="VMS209" s="21"/>
      <c r="VMT209" s="21"/>
      <c r="VMU209" s="21"/>
      <c r="VMV209" s="21"/>
      <c r="VMW209" s="21"/>
      <c r="VMX209" s="21"/>
      <c r="VMY209" s="21"/>
      <c r="VMZ209" s="21"/>
      <c r="VNA209" s="21"/>
      <c r="VNB209" s="21"/>
      <c r="VNC209" s="21"/>
      <c r="VND209" s="21"/>
      <c r="VNE209" s="21"/>
      <c r="VNF209" s="21"/>
      <c r="VNG209" s="21"/>
      <c r="VNH209" s="21"/>
      <c r="VNI209" s="21"/>
      <c r="VNJ209" s="21"/>
      <c r="VNK209" s="21"/>
      <c r="VNL209" s="21"/>
      <c r="VNM209" s="21"/>
      <c r="VNN209" s="21"/>
      <c r="VNO209" s="21"/>
      <c r="VNP209" s="21"/>
      <c r="VNQ209" s="21"/>
      <c r="VNR209" s="21"/>
      <c r="VNS209" s="21"/>
      <c r="VNT209" s="21"/>
      <c r="VNU209" s="21"/>
      <c r="VNV209" s="21"/>
      <c r="VNW209" s="21"/>
      <c r="VNX209" s="21"/>
      <c r="VNY209" s="21"/>
      <c r="VNZ209" s="21"/>
      <c r="VOA209" s="21"/>
      <c r="VOB209" s="21"/>
      <c r="VOC209" s="21"/>
      <c r="VOD209" s="21"/>
      <c r="VOE209" s="21"/>
      <c r="VOF209" s="21"/>
      <c r="VOG209" s="21"/>
      <c r="VOH209" s="21"/>
      <c r="VOI209" s="21"/>
      <c r="VOJ209" s="21"/>
      <c r="VOK209" s="21"/>
      <c r="VOL209" s="21"/>
      <c r="VOM209" s="21"/>
      <c r="VON209" s="21"/>
      <c r="VOO209" s="21"/>
      <c r="VOP209" s="21"/>
      <c r="VOQ209" s="21"/>
      <c r="VOR209" s="21"/>
      <c r="VOS209" s="21"/>
      <c r="VOT209" s="21"/>
      <c r="VOU209" s="21"/>
      <c r="VOV209" s="21"/>
      <c r="VOW209" s="21"/>
      <c r="VOX209" s="21"/>
      <c r="VOY209" s="21"/>
      <c r="VOZ209" s="21"/>
      <c r="VPA209" s="21"/>
      <c r="VPB209" s="21"/>
      <c r="VPC209" s="21"/>
      <c r="VPD209" s="21"/>
      <c r="VPE209" s="21"/>
      <c r="VPF209" s="21"/>
      <c r="VPG209" s="21"/>
      <c r="VPH209" s="21"/>
      <c r="VPI209" s="21"/>
      <c r="VPJ209" s="21"/>
      <c r="VPK209" s="21"/>
      <c r="VPL209" s="21"/>
      <c r="VPM209" s="21"/>
      <c r="VPN209" s="21"/>
      <c r="VPO209" s="21"/>
      <c r="VPP209" s="21"/>
      <c r="VPQ209" s="21"/>
      <c r="VPR209" s="21"/>
      <c r="VPS209" s="21"/>
      <c r="VPT209" s="21"/>
      <c r="VPU209" s="21"/>
      <c r="VPV209" s="21"/>
      <c r="VPW209" s="21"/>
      <c r="VPX209" s="21"/>
      <c r="VPY209" s="21"/>
      <c r="VPZ209" s="21"/>
      <c r="VQA209" s="21"/>
      <c r="VQB209" s="21"/>
      <c r="VQC209" s="21"/>
      <c r="VQD209" s="21"/>
      <c r="VQE209" s="21"/>
      <c r="VQF209" s="21"/>
      <c r="VQG209" s="21"/>
      <c r="VQH209" s="21"/>
      <c r="VQI209" s="21"/>
      <c r="VQJ209" s="21"/>
      <c r="VQK209" s="21"/>
      <c r="VQL209" s="21"/>
      <c r="VQM209" s="21"/>
      <c r="VQN209" s="21"/>
      <c r="VQO209" s="21"/>
      <c r="VQP209" s="21"/>
      <c r="VQQ209" s="21"/>
      <c r="VQR209" s="21"/>
      <c r="VQS209" s="21"/>
      <c r="VQT209" s="21"/>
      <c r="VQU209" s="21"/>
      <c r="VQV209" s="21"/>
      <c r="VQW209" s="21"/>
      <c r="VQX209" s="21"/>
      <c r="VQY209" s="21"/>
      <c r="VQZ209" s="21"/>
      <c r="VRA209" s="21"/>
      <c r="VRB209" s="21"/>
      <c r="VRC209" s="21"/>
      <c r="VRD209" s="21"/>
      <c r="VRE209" s="21"/>
      <c r="VRF209" s="21"/>
      <c r="VRG209" s="21"/>
      <c r="VRH209" s="21"/>
      <c r="VRI209" s="21"/>
      <c r="VRJ209" s="21"/>
      <c r="VRK209" s="21"/>
      <c r="VRL209" s="21"/>
      <c r="VRM209" s="21"/>
      <c r="VRN209" s="21"/>
      <c r="VRO209" s="21"/>
      <c r="VRP209" s="21"/>
      <c r="VRQ209" s="21"/>
      <c r="VRR209" s="21"/>
      <c r="VRS209" s="21"/>
      <c r="VRT209" s="21"/>
      <c r="VRU209" s="21"/>
      <c r="VRV209" s="21"/>
      <c r="VRW209" s="21"/>
      <c r="VRX209" s="21"/>
      <c r="VRY209" s="21"/>
      <c r="VRZ209" s="21"/>
      <c r="VSA209" s="21"/>
      <c r="VSB209" s="21"/>
      <c r="VSC209" s="21"/>
      <c r="VSD209" s="21"/>
      <c r="VSE209" s="21"/>
      <c r="VSF209" s="21"/>
      <c r="VSG209" s="21"/>
      <c r="VSH209" s="21"/>
      <c r="VSI209" s="21"/>
      <c r="VSJ209" s="21"/>
      <c r="VSK209" s="21"/>
      <c r="VSL209" s="21"/>
      <c r="VSM209" s="21"/>
      <c r="VSN209" s="21"/>
      <c r="VSO209" s="21"/>
      <c r="VSP209" s="21"/>
      <c r="VSQ209" s="21"/>
      <c r="VSR209" s="21"/>
      <c r="VSS209" s="21"/>
      <c r="VST209" s="21"/>
      <c r="VSU209" s="21"/>
      <c r="VSV209" s="21"/>
      <c r="VSW209" s="21"/>
      <c r="VSX209" s="21"/>
      <c r="VSY209" s="21"/>
      <c r="VSZ209" s="21"/>
      <c r="VTA209" s="21"/>
      <c r="VTB209" s="21"/>
      <c r="VTC209" s="21"/>
      <c r="VTD209" s="21"/>
      <c r="VTE209" s="21"/>
      <c r="VTF209" s="21"/>
      <c r="VTG209" s="21"/>
      <c r="VTH209" s="21"/>
      <c r="VTI209" s="21"/>
      <c r="VTJ209" s="21"/>
      <c r="VTK209" s="21"/>
      <c r="VTL209" s="21"/>
      <c r="VTM209" s="21"/>
      <c r="VTN209" s="21"/>
      <c r="VTO209" s="21"/>
      <c r="VTP209" s="21"/>
      <c r="VTQ209" s="21"/>
      <c r="VTR209" s="21"/>
      <c r="VTS209" s="21"/>
      <c r="VTT209" s="21"/>
      <c r="VTU209" s="21"/>
      <c r="VTV209" s="21"/>
      <c r="VTW209" s="21"/>
      <c r="VTX209" s="21"/>
      <c r="VTY209" s="21"/>
      <c r="VTZ209" s="21"/>
      <c r="VUA209" s="21"/>
      <c r="VUB209" s="21"/>
      <c r="VUC209" s="21"/>
      <c r="VUD209" s="21"/>
      <c r="VUE209" s="21"/>
      <c r="VUF209" s="21"/>
      <c r="VUG209" s="21"/>
      <c r="VUH209" s="21"/>
      <c r="VUI209" s="21"/>
      <c r="VUJ209" s="21"/>
      <c r="VUK209" s="21"/>
      <c r="VUL209" s="21"/>
      <c r="VUM209" s="21"/>
      <c r="VUN209" s="21"/>
      <c r="VUO209" s="21"/>
      <c r="VUP209" s="21"/>
      <c r="VUQ209" s="21"/>
      <c r="VUR209" s="21"/>
      <c r="VUS209" s="21"/>
      <c r="VUT209" s="21"/>
      <c r="VUU209" s="21"/>
      <c r="VUV209" s="21"/>
      <c r="VUW209" s="21"/>
      <c r="VUX209" s="21"/>
      <c r="VUY209" s="21"/>
      <c r="VUZ209" s="21"/>
      <c r="VVA209" s="21"/>
      <c r="VVB209" s="21"/>
      <c r="VVC209" s="21"/>
      <c r="VVD209" s="21"/>
      <c r="VVE209" s="21"/>
      <c r="VVF209" s="21"/>
      <c r="VVG209" s="21"/>
      <c r="VVH209" s="21"/>
      <c r="VVI209" s="21"/>
      <c r="VVJ209" s="21"/>
      <c r="VVK209" s="21"/>
      <c r="VVL209" s="21"/>
      <c r="VVM209" s="21"/>
      <c r="VVN209" s="21"/>
      <c r="VVO209" s="21"/>
      <c r="VVP209" s="21"/>
      <c r="VVQ209" s="21"/>
      <c r="VVR209" s="21"/>
      <c r="VVS209" s="21"/>
      <c r="VVT209" s="21"/>
      <c r="VVU209" s="21"/>
      <c r="VVV209" s="21"/>
      <c r="VVW209" s="21"/>
      <c r="VVX209" s="21"/>
      <c r="VVY209" s="21"/>
      <c r="VVZ209" s="21"/>
      <c r="VWA209" s="21"/>
      <c r="VWB209" s="21"/>
      <c r="VWC209" s="21"/>
      <c r="VWD209" s="21"/>
      <c r="VWE209" s="21"/>
      <c r="VWF209" s="21"/>
      <c r="VWG209" s="21"/>
      <c r="VWH209" s="21"/>
      <c r="VWI209" s="21"/>
      <c r="VWJ209" s="21"/>
      <c r="VWK209" s="21"/>
      <c r="VWL209" s="21"/>
      <c r="VWM209" s="21"/>
      <c r="VWN209" s="21"/>
      <c r="VWO209" s="21"/>
      <c r="VWP209" s="21"/>
      <c r="VWQ209" s="21"/>
      <c r="VWR209" s="21"/>
      <c r="VWS209" s="21"/>
      <c r="VWT209" s="21"/>
      <c r="VWU209" s="21"/>
      <c r="VWV209" s="21"/>
      <c r="VWW209" s="21"/>
      <c r="VWX209" s="21"/>
      <c r="VWY209" s="21"/>
      <c r="VWZ209" s="21"/>
      <c r="VXA209" s="21"/>
      <c r="VXB209" s="21"/>
      <c r="VXC209" s="21"/>
      <c r="VXD209" s="21"/>
      <c r="VXE209" s="21"/>
      <c r="VXF209" s="21"/>
      <c r="VXG209" s="21"/>
      <c r="VXH209" s="21"/>
      <c r="VXI209" s="21"/>
      <c r="VXJ209" s="21"/>
      <c r="VXK209" s="21"/>
      <c r="VXL209" s="21"/>
      <c r="VXM209" s="21"/>
      <c r="VXN209" s="21"/>
      <c r="VXO209" s="21"/>
      <c r="VXP209" s="21"/>
      <c r="VXQ209" s="21"/>
      <c r="VXR209" s="21"/>
      <c r="VXS209" s="21"/>
      <c r="VXT209" s="21"/>
      <c r="VXU209" s="21"/>
      <c r="VXV209" s="21"/>
      <c r="VXW209" s="21"/>
      <c r="VXX209" s="21"/>
      <c r="VXY209" s="21"/>
      <c r="VXZ209" s="21"/>
      <c r="VYA209" s="21"/>
      <c r="VYB209" s="21"/>
      <c r="VYC209" s="21"/>
      <c r="VYD209" s="21"/>
      <c r="VYE209" s="21"/>
      <c r="VYF209" s="21"/>
      <c r="VYG209" s="21"/>
      <c r="VYH209" s="21"/>
      <c r="VYI209" s="21"/>
      <c r="VYJ209" s="21"/>
      <c r="VYK209" s="21"/>
      <c r="VYL209" s="21"/>
      <c r="VYM209" s="21"/>
      <c r="VYN209" s="21"/>
      <c r="VYO209" s="21"/>
      <c r="VYP209" s="21"/>
      <c r="VYQ209" s="21"/>
      <c r="VYR209" s="21"/>
      <c r="VYS209" s="21"/>
      <c r="VYT209" s="21"/>
      <c r="VYU209" s="21"/>
      <c r="VYV209" s="21"/>
      <c r="VYW209" s="21"/>
      <c r="VYX209" s="21"/>
      <c r="VYY209" s="21"/>
      <c r="VYZ209" s="21"/>
      <c r="VZA209" s="21"/>
      <c r="VZB209" s="21"/>
      <c r="VZC209" s="21"/>
      <c r="VZD209" s="21"/>
      <c r="VZE209" s="21"/>
      <c r="VZF209" s="21"/>
      <c r="VZG209" s="21"/>
      <c r="VZH209" s="21"/>
      <c r="VZI209" s="21"/>
      <c r="VZJ209" s="21"/>
      <c r="VZK209" s="21"/>
      <c r="VZL209" s="21"/>
      <c r="VZM209" s="21"/>
      <c r="VZN209" s="21"/>
      <c r="VZO209" s="21"/>
      <c r="VZP209" s="21"/>
      <c r="VZQ209" s="21"/>
      <c r="VZR209" s="21"/>
      <c r="VZS209" s="21"/>
      <c r="VZT209" s="21"/>
      <c r="VZU209" s="21"/>
      <c r="VZV209" s="21"/>
      <c r="VZW209" s="21"/>
      <c r="VZX209" s="21"/>
      <c r="VZY209" s="21"/>
      <c r="VZZ209" s="21"/>
      <c r="WAA209" s="21"/>
      <c r="WAB209" s="21"/>
      <c r="WAC209" s="21"/>
      <c r="WAD209" s="21"/>
      <c r="WAE209" s="21"/>
      <c r="WAF209" s="21"/>
      <c r="WAG209" s="21"/>
      <c r="WAH209" s="21"/>
      <c r="WAI209" s="21"/>
      <c r="WAJ209" s="21"/>
      <c r="WAK209" s="21"/>
      <c r="WAL209" s="21"/>
      <c r="WAM209" s="21"/>
      <c r="WAN209" s="21"/>
      <c r="WAO209" s="21"/>
      <c r="WAP209" s="21"/>
      <c r="WAQ209" s="21"/>
      <c r="WAR209" s="21"/>
      <c r="WAS209" s="21"/>
      <c r="WAT209" s="21"/>
      <c r="WAU209" s="21"/>
      <c r="WAV209" s="21"/>
      <c r="WAW209" s="21"/>
      <c r="WAX209" s="21"/>
      <c r="WAY209" s="21"/>
      <c r="WAZ209" s="21"/>
      <c r="WBA209" s="21"/>
      <c r="WBB209" s="21"/>
      <c r="WBC209" s="21"/>
      <c r="WBD209" s="21"/>
      <c r="WBE209" s="21"/>
      <c r="WBF209" s="21"/>
      <c r="WBG209" s="21"/>
      <c r="WBH209" s="21"/>
      <c r="WBI209" s="21"/>
      <c r="WBJ209" s="21"/>
      <c r="WBK209" s="21"/>
      <c r="WBL209" s="21"/>
      <c r="WBM209" s="21"/>
      <c r="WBN209" s="21"/>
      <c r="WBO209" s="21"/>
      <c r="WBP209" s="21"/>
      <c r="WBQ209" s="21"/>
      <c r="WBR209" s="21"/>
      <c r="WBS209" s="21"/>
      <c r="WBT209" s="21"/>
      <c r="WBU209" s="21"/>
      <c r="WBV209" s="21"/>
      <c r="WBW209" s="21"/>
      <c r="WBX209" s="21"/>
      <c r="WBY209" s="21"/>
      <c r="WBZ209" s="21"/>
      <c r="WCA209" s="21"/>
      <c r="WCB209" s="21"/>
      <c r="WCC209" s="21"/>
      <c r="WCD209" s="21"/>
      <c r="WCE209" s="21"/>
      <c r="WCF209" s="21"/>
      <c r="WCG209" s="21"/>
      <c r="WCH209" s="21"/>
      <c r="WCI209" s="21"/>
      <c r="WCJ209" s="21"/>
      <c r="WCK209" s="21"/>
      <c r="WCL209" s="21"/>
      <c r="WCM209" s="21"/>
      <c r="WCN209" s="21"/>
      <c r="WCO209" s="21"/>
      <c r="WCP209" s="21"/>
      <c r="WCQ209" s="21"/>
      <c r="WCR209" s="21"/>
      <c r="WCS209" s="21"/>
      <c r="WCT209" s="21"/>
      <c r="WCU209" s="21"/>
      <c r="WCV209" s="21"/>
      <c r="WCW209" s="21"/>
      <c r="WCX209" s="21"/>
      <c r="WCY209" s="21"/>
      <c r="WCZ209" s="21"/>
      <c r="WDA209" s="21"/>
      <c r="WDB209" s="21"/>
      <c r="WDC209" s="21"/>
      <c r="WDD209" s="21"/>
      <c r="WDE209" s="21"/>
      <c r="WDF209" s="21"/>
      <c r="WDG209" s="21"/>
      <c r="WDH209" s="21"/>
      <c r="WDI209" s="21"/>
      <c r="WDJ209" s="21"/>
      <c r="WDK209" s="21"/>
      <c r="WDL209" s="21"/>
      <c r="WDM209" s="21"/>
      <c r="WDN209" s="21"/>
      <c r="WDO209" s="21"/>
      <c r="WDP209" s="21"/>
      <c r="WDQ209" s="21"/>
      <c r="WDR209" s="21"/>
      <c r="WDS209" s="21"/>
      <c r="WDT209" s="21"/>
      <c r="WDU209" s="21"/>
      <c r="WDV209" s="21"/>
      <c r="WDW209" s="21"/>
      <c r="WDX209" s="21"/>
      <c r="WDY209" s="21"/>
      <c r="WDZ209" s="21"/>
      <c r="WEA209" s="21"/>
      <c r="WEB209" s="21"/>
      <c r="WEC209" s="21"/>
      <c r="WED209" s="21"/>
      <c r="WEE209" s="21"/>
      <c r="WEF209" s="21"/>
      <c r="WEG209" s="21"/>
      <c r="WEH209" s="21"/>
      <c r="WEI209" s="21"/>
      <c r="WEJ209" s="21"/>
      <c r="WEK209" s="21"/>
      <c r="WEL209" s="21"/>
      <c r="WEM209" s="21"/>
      <c r="WEN209" s="21"/>
      <c r="WEO209" s="21"/>
      <c r="WEP209" s="21"/>
      <c r="WEQ209" s="21"/>
      <c r="WER209" s="21"/>
      <c r="WES209" s="21"/>
      <c r="WET209" s="21"/>
      <c r="WEU209" s="21"/>
      <c r="WEV209" s="21"/>
      <c r="WEW209" s="21"/>
      <c r="WEX209" s="21"/>
      <c r="WEY209" s="21"/>
      <c r="WEZ209" s="21"/>
      <c r="WFA209" s="21"/>
      <c r="WFB209" s="21"/>
      <c r="WFC209" s="21"/>
      <c r="WFD209" s="21"/>
      <c r="WFE209" s="21"/>
      <c r="WFF209" s="21"/>
      <c r="WFG209" s="21"/>
      <c r="WFH209" s="21"/>
      <c r="WFI209" s="21"/>
      <c r="WFJ209" s="21"/>
      <c r="WFK209" s="21"/>
      <c r="WFL209" s="21"/>
      <c r="WFM209" s="21"/>
      <c r="WFN209" s="21"/>
      <c r="WFO209" s="21"/>
      <c r="WFP209" s="21"/>
      <c r="WFQ209" s="21"/>
      <c r="WFR209" s="21"/>
      <c r="WFS209" s="21"/>
      <c r="WFT209" s="21"/>
      <c r="WFU209" s="21"/>
      <c r="WFV209" s="21"/>
      <c r="WFW209" s="21"/>
      <c r="WFX209" s="21"/>
      <c r="WFY209" s="21"/>
      <c r="WFZ209" s="21"/>
      <c r="WGA209" s="21"/>
      <c r="WGB209" s="21"/>
      <c r="WGC209" s="21"/>
      <c r="WGD209" s="21"/>
      <c r="WGE209" s="21"/>
      <c r="WGF209" s="21"/>
      <c r="WGG209" s="21"/>
      <c r="WGH209" s="21"/>
      <c r="WGI209" s="21"/>
      <c r="WGJ209" s="21"/>
      <c r="WGK209" s="21"/>
      <c r="WGL209" s="21"/>
      <c r="WGM209" s="21"/>
      <c r="WGN209" s="21"/>
      <c r="WGO209" s="21"/>
      <c r="WGP209" s="21"/>
      <c r="WGQ209" s="21"/>
      <c r="WGR209" s="21"/>
      <c r="WGS209" s="21"/>
      <c r="WGT209" s="21"/>
      <c r="WGU209" s="21"/>
      <c r="WGV209" s="21"/>
      <c r="WGW209" s="21"/>
      <c r="WGX209" s="21"/>
      <c r="WGY209" s="21"/>
      <c r="WGZ209" s="21"/>
      <c r="WHA209" s="21"/>
      <c r="WHB209" s="21"/>
      <c r="WHC209" s="21"/>
      <c r="WHD209" s="21"/>
      <c r="WHE209" s="21"/>
      <c r="WHF209" s="21"/>
      <c r="WHG209" s="21"/>
      <c r="WHH209" s="21"/>
      <c r="WHI209" s="21"/>
      <c r="WHJ209" s="21"/>
      <c r="WHK209" s="21"/>
      <c r="WHL209" s="21"/>
      <c r="WHM209" s="21"/>
      <c r="WHN209" s="21"/>
      <c r="WHO209" s="21"/>
      <c r="WHP209" s="21"/>
      <c r="WHQ209" s="21"/>
      <c r="WHR209" s="21"/>
      <c r="WHS209" s="21"/>
      <c r="WHT209" s="21"/>
      <c r="WHU209" s="21"/>
      <c r="WHV209" s="21"/>
      <c r="WHW209" s="21"/>
      <c r="WHX209" s="21"/>
      <c r="WHY209" s="21"/>
      <c r="WHZ209" s="21"/>
      <c r="WIA209" s="21"/>
      <c r="WIB209" s="21"/>
      <c r="WIC209" s="21"/>
      <c r="WID209" s="21"/>
      <c r="WIE209" s="21"/>
      <c r="WIF209" s="21"/>
      <c r="WIG209" s="21"/>
      <c r="WIH209" s="21"/>
      <c r="WII209" s="21"/>
      <c r="WIJ209" s="21"/>
      <c r="WIK209" s="21"/>
      <c r="WIL209" s="21"/>
      <c r="WIM209" s="21"/>
      <c r="WIN209" s="21"/>
      <c r="WIO209" s="21"/>
      <c r="WIP209" s="21"/>
      <c r="WIQ209" s="21"/>
      <c r="WIR209" s="21"/>
      <c r="WIS209" s="21"/>
      <c r="WIT209" s="21"/>
      <c r="WIU209" s="21"/>
      <c r="WIV209" s="21"/>
      <c r="WIW209" s="21"/>
      <c r="WIX209" s="21"/>
      <c r="WIY209" s="21"/>
      <c r="WIZ209" s="21"/>
      <c r="WJA209" s="21"/>
      <c r="WJB209" s="21"/>
      <c r="WJC209" s="21"/>
      <c r="WJD209" s="21"/>
      <c r="WJE209" s="21"/>
      <c r="WJF209" s="21"/>
      <c r="WJG209" s="21"/>
      <c r="WJH209" s="21"/>
      <c r="WJI209" s="21"/>
      <c r="WJJ209" s="21"/>
      <c r="WJK209" s="21"/>
      <c r="WJL209" s="21"/>
      <c r="WJM209" s="21"/>
      <c r="WJN209" s="21"/>
      <c r="WJO209" s="21"/>
      <c r="WJP209" s="21"/>
      <c r="WJQ209" s="21"/>
      <c r="WJR209" s="21"/>
      <c r="WJS209" s="21"/>
      <c r="WJT209" s="21"/>
      <c r="WJU209" s="21"/>
      <c r="WJV209" s="21"/>
      <c r="WJW209" s="21"/>
      <c r="WJX209" s="21"/>
      <c r="WJY209" s="21"/>
      <c r="WJZ209" s="21"/>
      <c r="WKA209" s="21"/>
      <c r="WKB209" s="21"/>
      <c r="WKC209" s="21"/>
      <c r="WKD209" s="21"/>
      <c r="WKE209" s="21"/>
      <c r="WKF209" s="21"/>
      <c r="WKG209" s="21"/>
      <c r="WKH209" s="21"/>
      <c r="WKI209" s="21"/>
      <c r="WKJ209" s="21"/>
      <c r="WKK209" s="21"/>
      <c r="WKL209" s="21"/>
      <c r="WKM209" s="21"/>
      <c r="WKN209" s="21"/>
      <c r="WKO209" s="21"/>
      <c r="WKP209" s="21"/>
      <c r="WKQ209" s="21"/>
      <c r="WKR209" s="21"/>
      <c r="WKS209" s="21"/>
      <c r="WKT209" s="21"/>
      <c r="WKU209" s="21"/>
      <c r="WKV209" s="21"/>
      <c r="WKW209" s="21"/>
      <c r="WKX209" s="21"/>
      <c r="WKY209" s="21"/>
      <c r="WKZ209" s="21"/>
      <c r="WLA209" s="21"/>
      <c r="WLB209" s="21"/>
      <c r="WLC209" s="21"/>
      <c r="WLD209" s="21"/>
      <c r="WLE209" s="21"/>
      <c r="WLF209" s="21"/>
      <c r="WLG209" s="21"/>
      <c r="WLH209" s="21"/>
      <c r="WLI209" s="21"/>
      <c r="WLJ209" s="21"/>
      <c r="WLK209" s="21"/>
      <c r="WLL209" s="21"/>
      <c r="WLM209" s="21"/>
      <c r="WLN209" s="21"/>
      <c r="WLO209" s="21"/>
      <c r="WLP209" s="21"/>
      <c r="WLQ209" s="21"/>
      <c r="WLR209" s="21"/>
      <c r="WLS209" s="21"/>
      <c r="WLT209" s="21"/>
      <c r="WLU209" s="21"/>
      <c r="WLV209" s="21"/>
      <c r="WLW209" s="21"/>
      <c r="WLX209" s="21"/>
      <c r="WLY209" s="21"/>
      <c r="WLZ209" s="21"/>
      <c r="WMA209" s="21"/>
      <c r="WMB209" s="21"/>
      <c r="WMC209" s="21"/>
      <c r="WMD209" s="21"/>
      <c r="WME209" s="21"/>
      <c r="WMF209" s="21"/>
      <c r="WMG209" s="21"/>
      <c r="WMH209" s="21"/>
      <c r="WMI209" s="21"/>
      <c r="WMJ209" s="21"/>
      <c r="WMK209" s="21"/>
      <c r="WML209" s="21"/>
      <c r="WMM209" s="21"/>
      <c r="WMN209" s="21"/>
      <c r="WMO209" s="21"/>
      <c r="WMP209" s="21"/>
      <c r="WMQ209" s="21"/>
      <c r="WMR209" s="21"/>
      <c r="WMS209" s="21"/>
      <c r="WMT209" s="21"/>
      <c r="WMU209" s="21"/>
      <c r="WMV209" s="21"/>
      <c r="WMW209" s="21"/>
      <c r="WMX209" s="21"/>
      <c r="WMY209" s="21"/>
      <c r="WMZ209" s="21"/>
      <c r="WNA209" s="21"/>
      <c r="WNB209" s="21"/>
      <c r="WNC209" s="21"/>
      <c r="WND209" s="21"/>
      <c r="WNE209" s="21"/>
      <c r="WNF209" s="21"/>
      <c r="WNG209" s="21"/>
      <c r="WNH209" s="21"/>
      <c r="WNI209" s="21"/>
      <c r="WNJ209" s="21"/>
      <c r="WNK209" s="21"/>
      <c r="WNL209" s="21"/>
      <c r="WNM209" s="21"/>
      <c r="WNN209" s="21"/>
      <c r="WNO209" s="21"/>
      <c r="WNP209" s="21"/>
      <c r="WNQ209" s="21"/>
      <c r="WNR209" s="21"/>
      <c r="WNS209" s="21"/>
      <c r="WNT209" s="21"/>
      <c r="WNU209" s="21"/>
      <c r="WNV209" s="21"/>
      <c r="WNW209" s="21"/>
      <c r="WNX209" s="21"/>
      <c r="WNY209" s="21"/>
      <c r="WNZ209" s="21"/>
      <c r="WOA209" s="21"/>
      <c r="WOB209" s="21"/>
      <c r="WOC209" s="21"/>
      <c r="WOD209" s="21"/>
      <c r="WOE209" s="21"/>
      <c r="WOF209" s="21"/>
      <c r="WOG209" s="21"/>
      <c r="WOH209" s="21"/>
      <c r="WOI209" s="21"/>
      <c r="WOJ209" s="21"/>
      <c r="WOK209" s="21"/>
      <c r="WOL209" s="21"/>
      <c r="WOM209" s="21"/>
      <c r="WON209" s="21"/>
      <c r="WOO209" s="21"/>
      <c r="WOP209" s="21"/>
      <c r="WOQ209" s="21"/>
      <c r="WOR209" s="21"/>
      <c r="WOS209" s="21"/>
      <c r="WOT209" s="21"/>
      <c r="WOU209" s="21"/>
      <c r="WOV209" s="21"/>
      <c r="WOW209" s="21"/>
      <c r="WOX209" s="21"/>
      <c r="WOY209" s="21"/>
      <c r="WOZ209" s="21"/>
      <c r="WPA209" s="21"/>
      <c r="WPB209" s="21"/>
      <c r="WPC209" s="21"/>
      <c r="WPD209" s="21"/>
      <c r="WPE209" s="21"/>
      <c r="WPF209" s="21"/>
      <c r="WPG209" s="21"/>
      <c r="WPH209" s="21"/>
      <c r="WPI209" s="21"/>
      <c r="WPJ209" s="21"/>
      <c r="WPK209" s="21"/>
      <c r="WPL209" s="21"/>
      <c r="WPM209" s="21"/>
      <c r="WPN209" s="21"/>
      <c r="WPO209" s="21"/>
      <c r="WPP209" s="21"/>
      <c r="WPQ209" s="21"/>
      <c r="WPR209" s="21"/>
      <c r="WPS209" s="21"/>
      <c r="WPT209" s="21"/>
      <c r="WPU209" s="21"/>
      <c r="WPV209" s="21"/>
      <c r="WPW209" s="21"/>
      <c r="WPX209" s="21"/>
      <c r="WPY209" s="21"/>
      <c r="WPZ209" s="21"/>
      <c r="WQA209" s="21"/>
      <c r="WQB209" s="21"/>
      <c r="WQC209" s="21"/>
      <c r="WQD209" s="21"/>
      <c r="WQE209" s="21"/>
      <c r="WQF209" s="21"/>
      <c r="WQG209" s="21"/>
      <c r="WQH209" s="21"/>
      <c r="WQI209" s="21"/>
      <c r="WQJ209" s="21"/>
      <c r="WQK209" s="21"/>
      <c r="WQL209" s="21"/>
      <c r="WQM209" s="21"/>
      <c r="WQN209" s="21"/>
      <c r="WQO209" s="21"/>
      <c r="WQP209" s="21"/>
      <c r="WQQ209" s="21"/>
      <c r="WQR209" s="21"/>
      <c r="WQS209" s="21"/>
      <c r="WQT209" s="21"/>
      <c r="WQU209" s="21"/>
      <c r="WQV209" s="21"/>
      <c r="WQW209" s="21"/>
      <c r="WQX209" s="21"/>
      <c r="WQY209" s="21"/>
      <c r="WQZ209" s="21"/>
      <c r="WRA209" s="21"/>
      <c r="WRB209" s="21"/>
      <c r="WRC209" s="21"/>
      <c r="WRD209" s="21"/>
      <c r="WRE209" s="21"/>
      <c r="WRF209" s="21"/>
      <c r="WRG209" s="21"/>
      <c r="WRH209" s="21"/>
      <c r="WRI209" s="21"/>
      <c r="WRJ209" s="21"/>
      <c r="WRK209" s="21"/>
      <c r="WRL209" s="21"/>
      <c r="WRM209" s="21"/>
      <c r="WRN209" s="21"/>
      <c r="WRO209" s="21"/>
      <c r="WRP209" s="21"/>
      <c r="WRQ209" s="21"/>
      <c r="WRR209" s="21"/>
      <c r="WRS209" s="21"/>
      <c r="WRT209" s="21"/>
      <c r="WRU209" s="21"/>
      <c r="WRV209" s="21"/>
      <c r="WRW209" s="21"/>
      <c r="WRX209" s="21"/>
      <c r="WRY209" s="21"/>
      <c r="WRZ209" s="21"/>
      <c r="WSA209" s="21"/>
      <c r="WSB209" s="21"/>
      <c r="WSC209" s="21"/>
      <c r="WSD209" s="21"/>
      <c r="WSE209" s="21"/>
      <c r="WSF209" s="21"/>
      <c r="WSG209" s="21"/>
      <c r="WSH209" s="21"/>
      <c r="WSI209" s="21"/>
      <c r="WSJ209" s="21"/>
      <c r="WSK209" s="21"/>
      <c r="WSL209" s="21"/>
      <c r="WSM209" s="21"/>
      <c r="WSN209" s="21"/>
      <c r="WSO209" s="21"/>
      <c r="WSP209" s="21"/>
      <c r="WSQ209" s="21"/>
      <c r="WSR209" s="21"/>
      <c r="WSS209" s="21"/>
      <c r="WST209" s="21"/>
      <c r="WSU209" s="21"/>
      <c r="WSV209" s="21"/>
      <c r="WSW209" s="21"/>
      <c r="WSX209" s="21"/>
      <c r="WSY209" s="21"/>
      <c r="WSZ209" s="21"/>
      <c r="WTA209" s="21"/>
      <c r="WTB209" s="21"/>
      <c r="WTC209" s="21"/>
      <c r="WTD209" s="21"/>
      <c r="WTE209" s="21"/>
      <c r="WTF209" s="21"/>
      <c r="WTG209" s="21"/>
      <c r="WTH209" s="21"/>
      <c r="WTI209" s="21"/>
      <c r="WTJ209" s="21"/>
      <c r="WTK209" s="21"/>
      <c r="WTL209" s="21"/>
      <c r="WTM209" s="21"/>
      <c r="WTN209" s="21"/>
      <c r="WTO209" s="21"/>
      <c r="WTP209" s="21"/>
      <c r="WTQ209" s="21"/>
      <c r="WTR209" s="21"/>
      <c r="WTS209" s="21"/>
      <c r="WTT209" s="21"/>
      <c r="WTU209" s="21"/>
      <c r="WTV209" s="21"/>
      <c r="WTW209" s="21"/>
      <c r="WTX209" s="21"/>
      <c r="WTY209" s="21"/>
      <c r="WTZ209" s="21"/>
      <c r="WUA209" s="21"/>
      <c r="WUB209" s="21"/>
      <c r="WUC209" s="21"/>
      <c r="WUD209" s="21"/>
      <c r="WUE209" s="21"/>
      <c r="WUF209" s="21"/>
      <c r="WUG209" s="21"/>
      <c r="WUH209" s="21"/>
      <c r="WUI209" s="21"/>
      <c r="WUJ209" s="21"/>
      <c r="WUK209" s="21"/>
      <c r="WUL209" s="21"/>
      <c r="WUM209" s="21"/>
      <c r="WUN209" s="21"/>
      <c r="WUO209" s="21"/>
      <c r="WUP209" s="21"/>
      <c r="WUQ209" s="21"/>
      <c r="WUR209" s="21"/>
      <c r="WUS209" s="21"/>
      <c r="WUT209" s="21"/>
      <c r="WUU209" s="21"/>
      <c r="WUV209" s="21"/>
      <c r="WUW209" s="21"/>
      <c r="WUX209" s="21"/>
      <c r="WUY209" s="21"/>
      <c r="WUZ209" s="21"/>
      <c r="WVA209" s="21"/>
      <c r="WVB209" s="21"/>
      <c r="WVC209" s="21"/>
      <c r="WVD209" s="21"/>
      <c r="WVE209" s="21"/>
      <c r="WVF209" s="21"/>
      <c r="WVG209" s="21"/>
      <c r="WVH209" s="21"/>
      <c r="WVI209" s="21"/>
      <c r="WVJ209" s="21"/>
      <c r="WVK209" s="21"/>
      <c r="WVL209" s="21"/>
      <c r="WVM209" s="21"/>
      <c r="WVN209" s="21"/>
      <c r="WVO209" s="21"/>
      <c r="WVP209" s="21"/>
      <c r="WVQ209" s="21"/>
      <c r="WVR209" s="21"/>
      <c r="WVS209" s="21"/>
      <c r="WVT209" s="21"/>
      <c r="WVU209" s="21"/>
      <c r="WVV209" s="21"/>
      <c r="WVW209" s="21"/>
      <c r="WVX209" s="21"/>
      <c r="WVY209" s="21"/>
      <c r="WVZ209" s="21"/>
      <c r="WWA209" s="21"/>
      <c r="WWB209" s="21"/>
      <c r="WWC209" s="21"/>
      <c r="WWD209" s="21"/>
      <c r="WWE209" s="21"/>
      <c r="WWF209" s="21"/>
      <c r="WWG209" s="21"/>
      <c r="WWH209" s="21"/>
      <c r="WWI209" s="21"/>
      <c r="WWJ209" s="21"/>
      <c r="WWK209" s="21"/>
      <c r="WWL209" s="21"/>
      <c r="WWM209" s="21"/>
      <c r="WWN209" s="21"/>
      <c r="WWO209" s="21"/>
      <c r="WWP209" s="21"/>
      <c r="WWQ209" s="21"/>
      <c r="WWR209" s="21"/>
      <c r="WWS209" s="21"/>
      <c r="WWT209" s="21"/>
      <c r="WWU209" s="21"/>
      <c r="WWV209" s="21"/>
      <c r="WWW209" s="21"/>
      <c r="WWX209" s="21"/>
      <c r="WWY209" s="21"/>
      <c r="WWZ209" s="21"/>
      <c r="WXA209" s="21"/>
      <c r="WXB209" s="21"/>
      <c r="WXC209" s="21"/>
      <c r="WXD209" s="21"/>
      <c r="WXE209" s="21"/>
      <c r="WXF209" s="21"/>
      <c r="WXG209" s="21"/>
      <c r="WXH209" s="21"/>
      <c r="WXI209" s="21"/>
      <c r="WXJ209" s="21"/>
      <c r="WXK209" s="21"/>
      <c r="WXL209" s="21"/>
      <c r="WXM209" s="21"/>
      <c r="WXN209" s="21"/>
      <c r="WXO209" s="21"/>
      <c r="WXP209" s="21"/>
      <c r="WXQ209" s="21"/>
      <c r="WXR209" s="21"/>
      <c r="WXS209" s="21"/>
      <c r="WXT209" s="21"/>
      <c r="WXU209" s="21"/>
      <c r="WXV209" s="21"/>
      <c r="WXW209" s="21"/>
      <c r="WXX209" s="21"/>
      <c r="WXY209" s="21"/>
      <c r="WXZ209" s="21"/>
      <c r="WYA209" s="21"/>
      <c r="WYB209" s="21"/>
      <c r="WYC209" s="21"/>
      <c r="WYD209" s="21"/>
      <c r="WYE209" s="21"/>
      <c r="WYF209" s="21"/>
      <c r="WYG209" s="21"/>
      <c r="WYH209" s="21"/>
      <c r="WYI209" s="21"/>
      <c r="WYJ209" s="21"/>
      <c r="WYK209" s="21"/>
      <c r="WYL209" s="21"/>
      <c r="WYM209" s="21"/>
      <c r="WYN209" s="21"/>
      <c r="WYO209" s="21"/>
      <c r="WYP209" s="21"/>
      <c r="WYQ209" s="21"/>
      <c r="WYR209" s="21"/>
      <c r="WYS209" s="21"/>
      <c r="WYT209" s="21"/>
      <c r="WYU209" s="21"/>
      <c r="WYV209" s="21"/>
      <c r="WYW209" s="21"/>
      <c r="WYX209" s="21"/>
      <c r="WYY209" s="21"/>
      <c r="WYZ209" s="21"/>
      <c r="WZA209" s="21"/>
      <c r="WZB209" s="21"/>
      <c r="WZC209" s="21"/>
      <c r="WZD209" s="21"/>
      <c r="WZE209" s="21"/>
      <c r="WZF209" s="21"/>
      <c r="WZG209" s="21"/>
      <c r="WZH209" s="21"/>
      <c r="WZI209" s="21"/>
      <c r="WZJ209" s="21"/>
      <c r="WZK209" s="21"/>
      <c r="WZL209" s="21"/>
      <c r="WZM209" s="21"/>
      <c r="WZN209" s="21"/>
      <c r="WZO209" s="21"/>
      <c r="WZP209" s="21"/>
      <c r="WZQ209" s="21"/>
      <c r="WZR209" s="21"/>
      <c r="WZS209" s="21"/>
      <c r="WZT209" s="21"/>
      <c r="WZU209" s="21"/>
      <c r="WZV209" s="21"/>
      <c r="WZW209" s="21"/>
      <c r="WZX209" s="21"/>
      <c r="WZY209" s="21"/>
      <c r="WZZ209" s="21"/>
      <c r="XAA209" s="21"/>
      <c r="XAB209" s="21"/>
      <c r="XAC209" s="21"/>
      <c r="XAD209" s="21"/>
      <c r="XAE209" s="21"/>
      <c r="XAF209" s="21"/>
      <c r="XAG209" s="21"/>
      <c r="XAH209" s="21"/>
      <c r="XAI209" s="21"/>
      <c r="XAJ209" s="21"/>
      <c r="XAK209" s="21"/>
      <c r="XAL209" s="21"/>
      <c r="XAM209" s="21"/>
      <c r="XAN209" s="21"/>
      <c r="XAO209" s="21"/>
      <c r="XAP209" s="21"/>
      <c r="XAQ209" s="21"/>
      <c r="XAR209" s="21"/>
      <c r="XAS209" s="21"/>
      <c r="XAT209" s="21"/>
      <c r="XAU209" s="21"/>
      <c r="XAV209" s="21"/>
      <c r="XAW209" s="21"/>
      <c r="XAX209" s="21"/>
      <c r="XAY209" s="21"/>
      <c r="XAZ209" s="21"/>
      <c r="XBA209" s="21"/>
      <c r="XBB209" s="21"/>
      <c r="XBC209" s="21"/>
      <c r="XBD209" s="21"/>
      <c r="XBE209" s="21"/>
      <c r="XBF209" s="21"/>
      <c r="XBG209" s="21"/>
      <c r="XBH209" s="21"/>
      <c r="XBI209" s="21"/>
      <c r="XBJ209" s="21"/>
      <c r="XBK209" s="21"/>
      <c r="XBL209" s="21"/>
      <c r="XBM209" s="21"/>
      <c r="XBN209" s="21"/>
      <c r="XBO209" s="21"/>
      <c r="XBP209" s="21"/>
      <c r="XBQ209" s="21"/>
      <c r="XBR209" s="21"/>
      <c r="XBS209" s="21"/>
      <c r="XBT209" s="21"/>
      <c r="XBU209" s="21"/>
      <c r="XBV209" s="21"/>
      <c r="XBW209" s="21"/>
      <c r="XBX209" s="21"/>
      <c r="XBY209" s="21"/>
      <c r="XBZ209" s="21"/>
      <c r="XCA209" s="21"/>
      <c r="XCB209" s="21"/>
      <c r="XCC209" s="21"/>
      <c r="XCD209" s="21"/>
      <c r="XCE209" s="21"/>
      <c r="XCF209" s="21"/>
      <c r="XCG209" s="21"/>
      <c r="XCH209" s="21"/>
      <c r="XCI209" s="21"/>
      <c r="XCJ209" s="21"/>
      <c r="XCK209" s="21"/>
      <c r="XCL209" s="21"/>
      <c r="XCM209" s="21"/>
      <c r="XCN209" s="21"/>
      <c r="XCO209" s="21"/>
      <c r="XCP209" s="21"/>
      <c r="XCQ209" s="21"/>
      <c r="XCR209" s="21"/>
      <c r="XCS209" s="21"/>
      <c r="XCT209" s="21"/>
      <c r="XCU209" s="21"/>
      <c r="XCV209" s="21"/>
      <c r="XCW209" s="21"/>
      <c r="XCX209" s="21"/>
      <c r="XCY209" s="21"/>
      <c r="XCZ209" s="21"/>
      <c r="XDA209" s="21"/>
      <c r="XDB209" s="21"/>
      <c r="XDC209" s="21"/>
      <c r="XDD209" s="21"/>
      <c r="XDE209" s="21"/>
      <c r="XDF209" s="21"/>
      <c r="XDG209" s="21"/>
      <c r="XDH209" s="21"/>
      <c r="XDI209" s="21"/>
      <c r="XDJ209" s="21"/>
      <c r="XDK209" s="21"/>
      <c r="XDL209" s="21"/>
      <c r="XDM209" s="21"/>
      <c r="XDN209" s="21"/>
      <c r="XDO209" s="21"/>
      <c r="XDP209" s="21"/>
      <c r="XDQ209" s="21"/>
      <c r="XDR209" s="21"/>
      <c r="XDS209" s="21"/>
      <c r="XDT209" s="21"/>
      <c r="XDU209" s="21"/>
      <c r="XDV209" s="21"/>
      <c r="XDW209" s="21"/>
      <c r="XDX209" s="21"/>
      <c r="XDY209" s="21"/>
      <c r="XDZ209" s="21"/>
      <c r="XEA209" s="21"/>
      <c r="XEB209" s="21"/>
      <c r="XEC209" s="21"/>
      <c r="XED209" s="21"/>
      <c r="XEE209" s="21"/>
      <c r="XEF209" s="21"/>
      <c r="XEG209" s="21"/>
      <c r="XEH209" s="21"/>
    </row>
    <row r="210" spans="1:16362" ht="15" customHeight="1">
      <c r="A210" s="16"/>
      <c r="B210" s="16"/>
      <c r="C210" s="16"/>
      <c r="D210" s="13" t="s">
        <v>397</v>
      </c>
      <c r="E210" s="581">
        <f t="shared" si="35"/>
        <v>0</v>
      </c>
      <c r="F210" s="581">
        <f t="shared" si="30"/>
        <v>0</v>
      </c>
      <c r="G210" s="66"/>
      <c r="H210" s="66"/>
      <c r="I210" s="64">
        <v>0</v>
      </c>
      <c r="J210" s="64">
        <v>0</v>
      </c>
      <c r="K210" s="65">
        <f t="shared" si="31"/>
        <v>0</v>
      </c>
      <c r="L210" s="65">
        <f t="shared" si="32"/>
        <v>0</v>
      </c>
      <c r="M210" s="84"/>
      <c r="N210" s="84"/>
      <c r="O210" s="65">
        <f t="shared" si="33"/>
        <v>0</v>
      </c>
      <c r="P210" s="65">
        <f t="shared" si="34"/>
        <v>0</v>
      </c>
      <c r="Q210" s="1" t="s">
        <v>393</v>
      </c>
      <c r="R210" s="1">
        <v>17</v>
      </c>
      <c r="S210" s="1" t="s">
        <v>394</v>
      </c>
    </row>
    <row r="211" spans="1:16362" ht="15" customHeight="1">
      <c r="A211" s="16"/>
      <c r="B211" s="16"/>
      <c r="C211" s="16"/>
      <c r="D211" s="13" t="s">
        <v>398</v>
      </c>
      <c r="E211" s="581">
        <f t="shared" si="35"/>
        <v>0</v>
      </c>
      <c r="F211" s="581">
        <f t="shared" si="30"/>
        <v>0</v>
      </c>
      <c r="G211" s="66"/>
      <c r="H211" s="66"/>
      <c r="I211" s="64">
        <v>0</v>
      </c>
      <c r="J211" s="64">
        <v>0</v>
      </c>
      <c r="K211" s="65">
        <f t="shared" si="31"/>
        <v>0</v>
      </c>
      <c r="L211" s="65">
        <f t="shared" si="32"/>
        <v>0</v>
      </c>
      <c r="M211" s="84"/>
      <c r="N211" s="84"/>
      <c r="O211" s="65">
        <f t="shared" si="33"/>
        <v>0</v>
      </c>
      <c r="P211" s="65">
        <f t="shared" si="34"/>
        <v>0</v>
      </c>
      <c r="Q211" s="1" t="s">
        <v>393</v>
      </c>
      <c r="R211" s="1">
        <v>17</v>
      </c>
      <c r="S211" s="1" t="s">
        <v>394</v>
      </c>
    </row>
    <row r="212" spans="1:16362" ht="15" customHeight="1">
      <c r="A212" s="16"/>
      <c r="B212" s="16"/>
      <c r="C212" s="16"/>
      <c r="D212" s="13" t="s">
        <v>399</v>
      </c>
      <c r="E212" s="581">
        <f t="shared" si="35"/>
        <v>0</v>
      </c>
      <c r="F212" s="581">
        <f t="shared" si="30"/>
        <v>0</v>
      </c>
      <c r="G212" s="66"/>
      <c r="H212" s="66"/>
      <c r="I212" s="64">
        <v>0</v>
      </c>
      <c r="J212" s="64">
        <v>0</v>
      </c>
      <c r="K212" s="65">
        <f t="shared" si="31"/>
        <v>0</v>
      </c>
      <c r="L212" s="65">
        <f t="shared" si="32"/>
        <v>0</v>
      </c>
      <c r="M212" s="84"/>
      <c r="N212" s="84"/>
      <c r="O212" s="65">
        <f t="shared" si="33"/>
        <v>0</v>
      </c>
      <c r="P212" s="65">
        <f t="shared" si="34"/>
        <v>0</v>
      </c>
      <c r="Q212" s="1" t="s">
        <v>393</v>
      </c>
      <c r="R212" s="1">
        <v>17</v>
      </c>
      <c r="S212" s="1" t="s">
        <v>394</v>
      </c>
    </row>
    <row r="213" spans="1:16362" ht="15" customHeight="1">
      <c r="A213" s="16"/>
      <c r="B213" s="16"/>
      <c r="C213" s="16"/>
      <c r="D213" s="13" t="s">
        <v>400</v>
      </c>
      <c r="E213" s="581">
        <f t="shared" si="35"/>
        <v>0</v>
      </c>
      <c r="F213" s="581">
        <f t="shared" si="30"/>
        <v>0</v>
      </c>
      <c r="G213" s="66"/>
      <c r="H213" s="66"/>
      <c r="I213" s="64">
        <v>4583</v>
      </c>
      <c r="J213" s="64">
        <v>0</v>
      </c>
      <c r="K213" s="65">
        <f t="shared" si="31"/>
        <v>4583</v>
      </c>
      <c r="L213" s="65">
        <f t="shared" si="32"/>
        <v>0</v>
      </c>
      <c r="M213" s="84"/>
      <c r="N213" s="84"/>
      <c r="O213" s="65">
        <f t="shared" si="33"/>
        <v>4.5830000000000003E-2</v>
      </c>
      <c r="P213" s="65">
        <f t="shared" si="34"/>
        <v>0</v>
      </c>
      <c r="Q213" s="1" t="s">
        <v>393</v>
      </c>
      <c r="R213" s="1">
        <v>17</v>
      </c>
      <c r="S213" s="1" t="s">
        <v>394</v>
      </c>
    </row>
    <row r="214" spans="1:16362" ht="15" customHeight="1">
      <c r="A214" s="16"/>
      <c r="B214" s="16"/>
      <c r="C214" s="16"/>
      <c r="D214" s="13" t="s">
        <v>401</v>
      </c>
      <c r="E214" s="581">
        <f t="shared" si="35"/>
        <v>0</v>
      </c>
      <c r="F214" s="581">
        <f t="shared" si="30"/>
        <v>0</v>
      </c>
      <c r="G214" s="66"/>
      <c r="H214" s="66"/>
      <c r="I214" s="64">
        <v>0</v>
      </c>
      <c r="J214" s="64">
        <v>0</v>
      </c>
      <c r="K214" s="65">
        <f t="shared" si="31"/>
        <v>0</v>
      </c>
      <c r="L214" s="65">
        <f t="shared" si="32"/>
        <v>0</v>
      </c>
      <c r="M214" s="84"/>
      <c r="N214" s="84"/>
      <c r="O214" s="65">
        <f t="shared" si="33"/>
        <v>0</v>
      </c>
      <c r="P214" s="65">
        <f t="shared" si="34"/>
        <v>0</v>
      </c>
      <c r="Q214" s="1" t="s">
        <v>393</v>
      </c>
      <c r="R214" s="1">
        <v>17</v>
      </c>
      <c r="S214" s="1" t="s">
        <v>394</v>
      </c>
    </row>
    <row r="215" spans="1:16362" ht="15" customHeight="1">
      <c r="A215" s="16"/>
      <c r="B215" s="16"/>
      <c r="C215" s="16"/>
      <c r="D215" s="39" t="s">
        <v>402</v>
      </c>
      <c r="E215" s="581">
        <f t="shared" si="35"/>
        <v>0</v>
      </c>
      <c r="F215" s="581">
        <f t="shared" si="30"/>
        <v>0</v>
      </c>
      <c r="G215" s="66"/>
      <c r="H215" s="66"/>
      <c r="I215" s="64">
        <v>0</v>
      </c>
      <c r="J215" s="64">
        <v>0</v>
      </c>
      <c r="K215" s="65">
        <f t="shared" si="31"/>
        <v>0</v>
      </c>
      <c r="L215" s="65">
        <f t="shared" si="32"/>
        <v>0</v>
      </c>
      <c r="M215" s="84"/>
      <c r="N215" s="84"/>
      <c r="O215" s="65">
        <f t="shared" si="33"/>
        <v>0</v>
      </c>
      <c r="P215" s="65">
        <f t="shared" si="34"/>
        <v>0</v>
      </c>
      <c r="Q215" s="1" t="s">
        <v>393</v>
      </c>
      <c r="R215" s="1">
        <v>17</v>
      </c>
      <c r="S215" s="1" t="s">
        <v>394</v>
      </c>
    </row>
    <row r="216" spans="1:16362" ht="15" customHeight="1">
      <c r="A216" s="16"/>
      <c r="B216" s="16"/>
      <c r="C216" s="16"/>
      <c r="D216" s="13" t="s">
        <v>403</v>
      </c>
      <c r="E216" s="581">
        <f t="shared" si="35"/>
        <v>0</v>
      </c>
      <c r="F216" s="581">
        <f t="shared" si="30"/>
        <v>0</v>
      </c>
      <c r="G216" s="66"/>
      <c r="H216" s="66"/>
      <c r="I216" s="64">
        <v>682757</v>
      </c>
      <c r="J216" s="64">
        <v>0</v>
      </c>
      <c r="K216" s="65">
        <f t="shared" si="31"/>
        <v>682757</v>
      </c>
      <c r="L216" s="65">
        <f t="shared" si="32"/>
        <v>0</v>
      </c>
      <c r="M216" s="84"/>
      <c r="N216" s="84"/>
      <c r="O216" s="65">
        <f t="shared" si="33"/>
        <v>6.8275699999999997</v>
      </c>
      <c r="P216" s="65">
        <f t="shared" si="34"/>
        <v>0</v>
      </c>
      <c r="Q216" s="1" t="s">
        <v>393</v>
      </c>
      <c r="R216" s="1">
        <v>17</v>
      </c>
      <c r="S216" s="1" t="s">
        <v>394</v>
      </c>
    </row>
    <row r="217" spans="1:16362" ht="15" customHeight="1">
      <c r="A217" s="16"/>
      <c r="B217" s="16"/>
      <c r="C217" s="16"/>
      <c r="D217" s="13" t="s">
        <v>404</v>
      </c>
      <c r="E217" s="581">
        <f>2010000/(Deno)</f>
        <v>20.100000000000001</v>
      </c>
      <c r="F217" s="581">
        <f t="shared" si="30"/>
        <v>0</v>
      </c>
      <c r="G217" s="66"/>
      <c r="H217" s="66"/>
      <c r="I217" s="64">
        <v>1780000</v>
      </c>
      <c r="J217" s="64">
        <v>0</v>
      </c>
      <c r="K217" s="65">
        <f t="shared" si="31"/>
        <v>1780000</v>
      </c>
      <c r="L217" s="65">
        <f t="shared" si="32"/>
        <v>0</v>
      </c>
      <c r="M217" s="84"/>
      <c r="N217" s="84"/>
      <c r="O217" s="65">
        <f t="shared" si="33"/>
        <v>17.8</v>
      </c>
      <c r="P217" s="65">
        <f t="shared" si="34"/>
        <v>0</v>
      </c>
      <c r="Q217" s="1" t="s">
        <v>393</v>
      </c>
      <c r="R217" s="1">
        <v>17</v>
      </c>
      <c r="S217" s="1" t="s">
        <v>394</v>
      </c>
    </row>
    <row r="218" spans="1:16362" ht="15" customHeight="1">
      <c r="A218" s="16"/>
      <c r="B218" s="16"/>
      <c r="C218" s="16"/>
      <c r="D218" s="13" t="s">
        <v>405</v>
      </c>
      <c r="E218" s="581">
        <f>6000000/(Deno)</f>
        <v>60</v>
      </c>
      <c r="F218" s="581">
        <f t="shared" si="30"/>
        <v>0</v>
      </c>
      <c r="G218" s="66"/>
      <c r="H218" s="66"/>
      <c r="I218" s="64">
        <v>0</v>
      </c>
      <c r="J218" s="64">
        <v>0</v>
      </c>
      <c r="K218" s="65">
        <f t="shared" si="31"/>
        <v>0</v>
      </c>
      <c r="L218" s="65">
        <f t="shared" si="32"/>
        <v>0</v>
      </c>
      <c r="M218" s="84">
        <f>+'Audit entry'!D129</f>
        <v>6000000</v>
      </c>
      <c r="N218" s="84"/>
      <c r="O218" s="65">
        <f t="shared" si="33"/>
        <v>60</v>
      </c>
      <c r="P218" s="65">
        <f t="shared" si="34"/>
        <v>0</v>
      </c>
      <c r="Q218" s="1" t="s">
        <v>393</v>
      </c>
      <c r="R218" s="1">
        <v>17</v>
      </c>
      <c r="S218" s="1" t="s">
        <v>394</v>
      </c>
    </row>
    <row r="219" spans="1:16362" ht="15" customHeight="1">
      <c r="A219" s="16"/>
      <c r="B219" s="16"/>
      <c r="C219" s="16"/>
      <c r="D219" s="13" t="s">
        <v>406</v>
      </c>
      <c r="E219" s="581">
        <f>0/(Deno)</f>
        <v>0</v>
      </c>
      <c r="F219" s="581">
        <f t="shared" ref="F219:F250" si="36">0/(Deno)</f>
        <v>0</v>
      </c>
      <c r="G219" s="66"/>
      <c r="H219" s="66"/>
      <c r="I219" s="64">
        <v>0</v>
      </c>
      <c r="J219" s="64">
        <v>0</v>
      </c>
      <c r="K219" s="65">
        <f t="shared" si="31"/>
        <v>0</v>
      </c>
      <c r="L219" s="65">
        <f t="shared" si="32"/>
        <v>0</v>
      </c>
      <c r="M219" s="84"/>
      <c r="N219" s="84"/>
      <c r="O219" s="65">
        <f t="shared" si="33"/>
        <v>0</v>
      </c>
      <c r="P219" s="65">
        <f t="shared" si="34"/>
        <v>0</v>
      </c>
      <c r="Q219" s="1" t="s">
        <v>393</v>
      </c>
      <c r="R219" s="1">
        <v>17</v>
      </c>
      <c r="S219" s="1" t="s">
        <v>394</v>
      </c>
    </row>
    <row r="220" spans="1:16362" ht="15" customHeight="1">
      <c r="A220" s="16"/>
      <c r="B220" s="16"/>
      <c r="C220" s="16"/>
      <c r="D220" s="13" t="s">
        <v>407</v>
      </c>
      <c r="E220" s="581">
        <f>0/(Deno)</f>
        <v>0</v>
      </c>
      <c r="F220" s="581">
        <f t="shared" si="36"/>
        <v>0</v>
      </c>
      <c r="G220" s="66"/>
      <c r="H220" s="66"/>
      <c r="I220" s="64">
        <v>0</v>
      </c>
      <c r="J220" s="64">
        <v>0</v>
      </c>
      <c r="K220" s="65">
        <f t="shared" si="31"/>
        <v>0</v>
      </c>
      <c r="L220" s="65">
        <f t="shared" si="32"/>
        <v>0</v>
      </c>
      <c r="M220" s="84"/>
      <c r="N220" s="84"/>
      <c r="O220" s="65">
        <f t="shared" si="33"/>
        <v>0</v>
      </c>
      <c r="P220" s="65">
        <f t="shared" si="34"/>
        <v>0</v>
      </c>
      <c r="Q220" s="1" t="s">
        <v>393</v>
      </c>
      <c r="R220" s="1">
        <v>17</v>
      </c>
      <c r="S220" s="1" t="s">
        <v>394</v>
      </c>
    </row>
    <row r="221" spans="1:16362" ht="15" customHeight="1">
      <c r="A221" s="16"/>
      <c r="B221" s="16"/>
      <c r="C221" s="18" t="s">
        <v>408</v>
      </c>
      <c r="D221" s="12"/>
      <c r="E221" s="581">
        <f>0/(Deno)</f>
        <v>0</v>
      </c>
      <c r="F221" s="581">
        <f t="shared" si="36"/>
        <v>0</v>
      </c>
      <c r="G221" s="66"/>
      <c r="H221" s="66"/>
      <c r="I221" s="64"/>
      <c r="J221" s="64"/>
      <c r="K221" s="65">
        <f t="shared" si="31"/>
        <v>0</v>
      </c>
      <c r="L221" s="65">
        <f t="shared" si="32"/>
        <v>0</v>
      </c>
      <c r="M221" s="84"/>
      <c r="N221" s="84"/>
      <c r="O221" s="65">
        <f t="shared" si="33"/>
        <v>0</v>
      </c>
      <c r="P221" s="65">
        <f t="shared" si="34"/>
        <v>0</v>
      </c>
    </row>
    <row r="222" spans="1:16362" ht="15" customHeight="1">
      <c r="A222" s="16"/>
      <c r="B222" s="16"/>
      <c r="C222" s="16"/>
      <c r="D222" s="13" t="s">
        <v>409</v>
      </c>
      <c r="E222" s="581">
        <f>409/(Deno)</f>
        <v>4.0899999999999999E-3</v>
      </c>
      <c r="F222" s="581">
        <f t="shared" si="36"/>
        <v>0</v>
      </c>
      <c r="G222" s="66"/>
      <c r="H222" s="66"/>
      <c r="I222" s="64">
        <v>0</v>
      </c>
      <c r="J222" s="64">
        <v>5317</v>
      </c>
      <c r="K222" s="65">
        <f t="shared" si="31"/>
        <v>0</v>
      </c>
      <c r="L222" s="65">
        <f t="shared" si="32"/>
        <v>5317</v>
      </c>
      <c r="M222" s="84"/>
      <c r="N222" s="84"/>
      <c r="O222" s="65">
        <f t="shared" si="33"/>
        <v>0</v>
      </c>
      <c r="P222" s="65">
        <f t="shared" si="34"/>
        <v>5.3170000000000002E-2</v>
      </c>
      <c r="R222" s="1">
        <v>17</v>
      </c>
      <c r="S222" s="1" t="s">
        <v>394</v>
      </c>
    </row>
    <row r="223" spans="1:16362" ht="15" customHeight="1">
      <c r="A223" s="16"/>
      <c r="B223" s="16"/>
      <c r="C223" s="16"/>
      <c r="D223" s="13" t="s">
        <v>410</v>
      </c>
      <c r="E223" s="581">
        <f>36369/(Deno)</f>
        <v>0.36369000000000001</v>
      </c>
      <c r="F223" s="581">
        <f t="shared" si="36"/>
        <v>0</v>
      </c>
      <c r="G223" s="66"/>
      <c r="H223" s="66"/>
      <c r="I223" s="64">
        <v>38002</v>
      </c>
      <c r="J223" s="64">
        <v>0</v>
      </c>
      <c r="K223" s="65">
        <f t="shared" si="31"/>
        <v>38002</v>
      </c>
      <c r="L223" s="65">
        <f t="shared" si="32"/>
        <v>0</v>
      </c>
      <c r="M223" s="84"/>
      <c r="N223" s="84"/>
      <c r="O223" s="65">
        <f t="shared" si="33"/>
        <v>0.38002000000000002</v>
      </c>
      <c r="P223" s="65">
        <f t="shared" si="34"/>
        <v>0</v>
      </c>
      <c r="R223" s="1">
        <v>17</v>
      </c>
      <c r="S223" s="1" t="s">
        <v>394</v>
      </c>
      <c r="T223" s="596">
        <f>+O223-P222</f>
        <v>0.32685000000000003</v>
      </c>
    </row>
    <row r="224" spans="1:16362" ht="15" customHeight="1">
      <c r="A224" s="16"/>
      <c r="B224" s="16"/>
      <c r="C224" s="18" t="s">
        <v>411</v>
      </c>
      <c r="D224" s="12"/>
      <c r="E224" s="581">
        <f>0/(Deno)</f>
        <v>0</v>
      </c>
      <c r="F224" s="581">
        <f t="shared" si="36"/>
        <v>0</v>
      </c>
      <c r="G224" s="66"/>
      <c r="H224" s="66"/>
      <c r="I224" s="64"/>
      <c r="J224" s="64"/>
      <c r="K224" s="65">
        <f t="shared" si="31"/>
        <v>0</v>
      </c>
      <c r="L224" s="65">
        <f t="shared" si="32"/>
        <v>0</v>
      </c>
      <c r="M224" s="84"/>
      <c r="N224" s="84"/>
      <c r="O224" s="65">
        <f t="shared" si="33"/>
        <v>0</v>
      </c>
      <c r="P224" s="65">
        <f t="shared" si="34"/>
        <v>0</v>
      </c>
    </row>
    <row r="225" spans="1:20" ht="15" customHeight="1">
      <c r="A225" s="16"/>
      <c r="B225" s="16"/>
      <c r="C225" s="16"/>
      <c r="D225" s="13" t="s">
        <v>412</v>
      </c>
      <c r="E225" s="581">
        <f>201417/(Deno)</f>
        <v>2.01417</v>
      </c>
      <c r="F225" s="581">
        <f t="shared" si="36"/>
        <v>0</v>
      </c>
      <c r="G225" s="66"/>
      <c r="H225" s="66"/>
      <c r="I225" s="64">
        <v>306700</v>
      </c>
      <c r="J225" s="64">
        <v>0</v>
      </c>
      <c r="K225" s="65">
        <f t="shared" si="31"/>
        <v>306700</v>
      </c>
      <c r="L225" s="65">
        <f t="shared" si="32"/>
        <v>0</v>
      </c>
      <c r="M225" s="84"/>
      <c r="N225" s="84"/>
      <c r="O225" s="65">
        <f t="shared" si="33"/>
        <v>3.0670000000000002</v>
      </c>
      <c r="P225" s="65">
        <f t="shared" si="34"/>
        <v>0</v>
      </c>
      <c r="Q225" s="1" t="s">
        <v>413</v>
      </c>
      <c r="R225" s="1">
        <v>17</v>
      </c>
      <c r="S225" s="1" t="s">
        <v>394</v>
      </c>
    </row>
    <row r="226" spans="1:20" ht="15" customHeight="1">
      <c r="A226" s="16"/>
      <c r="B226" s="16"/>
      <c r="C226" s="16"/>
      <c r="D226" s="13" t="s">
        <v>414</v>
      </c>
      <c r="E226" s="581">
        <f>201808/(Deno)</f>
        <v>2.0180799999999999</v>
      </c>
      <c r="F226" s="581">
        <f t="shared" si="36"/>
        <v>0</v>
      </c>
      <c r="G226" s="66"/>
      <c r="H226" s="66"/>
      <c r="I226" s="64">
        <v>0</v>
      </c>
      <c r="J226" s="64">
        <v>5178</v>
      </c>
      <c r="K226" s="65">
        <f t="shared" si="31"/>
        <v>0</v>
      </c>
      <c r="L226" s="65">
        <f t="shared" si="32"/>
        <v>5178</v>
      </c>
      <c r="M226" s="84"/>
      <c r="N226" s="84"/>
      <c r="O226" s="65">
        <f t="shared" si="33"/>
        <v>0</v>
      </c>
      <c r="P226" s="65">
        <f t="shared" si="34"/>
        <v>5.178E-2</v>
      </c>
      <c r="Q226" s="1" t="s">
        <v>413</v>
      </c>
      <c r="R226" s="1">
        <v>17</v>
      </c>
      <c r="S226" s="1" t="s">
        <v>394</v>
      </c>
    </row>
    <row r="227" spans="1:20" ht="15" customHeight="1">
      <c r="A227" s="16"/>
      <c r="B227" s="16"/>
      <c r="C227" s="16"/>
      <c r="D227" s="13" t="s">
        <v>415</v>
      </c>
      <c r="E227" s="581">
        <f>0/(Deno)</f>
        <v>0</v>
      </c>
      <c r="F227" s="581">
        <f t="shared" si="36"/>
        <v>0</v>
      </c>
      <c r="G227" s="66"/>
      <c r="H227" s="66"/>
      <c r="I227" s="64">
        <v>0</v>
      </c>
      <c r="J227" s="64">
        <v>0</v>
      </c>
      <c r="K227" s="65">
        <f t="shared" si="31"/>
        <v>0</v>
      </c>
      <c r="L227" s="65">
        <f t="shared" si="32"/>
        <v>0</v>
      </c>
      <c r="M227" s="84"/>
      <c r="N227" s="84"/>
      <c r="O227" s="65">
        <f t="shared" si="33"/>
        <v>0</v>
      </c>
      <c r="P227" s="65">
        <f t="shared" si="34"/>
        <v>0</v>
      </c>
      <c r="Q227" s="1" t="s">
        <v>413</v>
      </c>
      <c r="R227" s="1">
        <v>17</v>
      </c>
      <c r="S227" s="1" t="s">
        <v>394</v>
      </c>
    </row>
    <row r="228" spans="1:20" ht="15" customHeight="1">
      <c r="A228" s="16"/>
      <c r="B228" s="16"/>
      <c r="C228" s="16"/>
      <c r="D228" s="13" t="s">
        <v>411</v>
      </c>
      <c r="E228" s="581">
        <f>184271/(Deno)</f>
        <v>1.8427100000000001</v>
      </c>
      <c r="F228" s="581">
        <f t="shared" si="36"/>
        <v>0</v>
      </c>
      <c r="G228" s="66"/>
      <c r="H228" s="66"/>
      <c r="I228" s="64">
        <v>207981</v>
      </c>
      <c r="J228" s="64">
        <v>0</v>
      </c>
      <c r="K228" s="65">
        <f t="shared" si="31"/>
        <v>207981</v>
      </c>
      <c r="L228" s="65">
        <f t="shared" si="32"/>
        <v>0</v>
      </c>
      <c r="M228" s="84"/>
      <c r="N228" s="84"/>
      <c r="O228" s="65">
        <f t="shared" si="33"/>
        <v>2.0798100000000002</v>
      </c>
      <c r="P228" s="65">
        <f t="shared" si="34"/>
        <v>0</v>
      </c>
      <c r="Q228" s="1" t="s">
        <v>413</v>
      </c>
      <c r="R228" s="1">
        <v>17</v>
      </c>
      <c r="S228" s="1" t="s">
        <v>394</v>
      </c>
    </row>
    <row r="229" spans="1:20" ht="15" customHeight="1">
      <c r="A229" s="16"/>
      <c r="B229" s="16"/>
      <c r="C229" s="16"/>
      <c r="D229" s="13" t="s">
        <v>416</v>
      </c>
      <c r="E229" s="581">
        <f>0/(Deno)</f>
        <v>0</v>
      </c>
      <c r="F229" s="581">
        <f t="shared" si="36"/>
        <v>0</v>
      </c>
      <c r="G229" s="66"/>
      <c r="H229" s="66"/>
      <c r="I229" s="64">
        <v>0</v>
      </c>
      <c r="J229" s="64">
        <v>0</v>
      </c>
      <c r="K229" s="65">
        <f t="shared" si="31"/>
        <v>0</v>
      </c>
      <c r="L229" s="65">
        <f t="shared" si="32"/>
        <v>0</v>
      </c>
      <c r="M229" s="84"/>
      <c r="N229" s="84"/>
      <c r="O229" s="65">
        <f t="shared" si="33"/>
        <v>0</v>
      </c>
      <c r="P229" s="65">
        <f t="shared" si="34"/>
        <v>0</v>
      </c>
      <c r="Q229" s="1" t="s">
        <v>413</v>
      </c>
      <c r="R229" s="1">
        <v>17</v>
      </c>
      <c r="S229" s="1" t="s">
        <v>394</v>
      </c>
    </row>
    <row r="230" spans="1:20" ht="15" customHeight="1">
      <c r="A230" s="16"/>
      <c r="B230" s="17" t="s">
        <v>417</v>
      </c>
      <c r="C230" s="17"/>
      <c r="D230" s="12"/>
      <c r="E230" s="581">
        <f>0/(Deno)</f>
        <v>0</v>
      </c>
      <c r="F230" s="581">
        <f t="shared" si="36"/>
        <v>0</v>
      </c>
      <c r="G230" s="66"/>
      <c r="H230" s="66"/>
      <c r="I230" s="64"/>
      <c r="J230" s="64"/>
      <c r="K230" s="65">
        <f t="shared" si="31"/>
        <v>0</v>
      </c>
      <c r="L230" s="65">
        <f t="shared" si="32"/>
        <v>0</v>
      </c>
      <c r="M230" s="84"/>
      <c r="N230" s="84"/>
      <c r="O230" s="65">
        <f t="shared" si="33"/>
        <v>0</v>
      </c>
      <c r="P230" s="65">
        <f t="shared" si="34"/>
        <v>0</v>
      </c>
    </row>
    <row r="231" spans="1:20" ht="15" customHeight="1">
      <c r="A231" s="16"/>
      <c r="B231" s="16"/>
      <c r="C231" s="18" t="s">
        <v>418</v>
      </c>
      <c r="D231" s="12"/>
      <c r="E231" s="581">
        <f>0/(Deno)</f>
        <v>0</v>
      </c>
      <c r="F231" s="581">
        <f t="shared" si="36"/>
        <v>0</v>
      </c>
      <c r="G231" s="66"/>
      <c r="H231" s="66"/>
      <c r="I231" s="64"/>
      <c r="J231" s="64"/>
      <c r="K231" s="65">
        <f t="shared" si="31"/>
        <v>0</v>
      </c>
      <c r="L231" s="65">
        <f t="shared" si="32"/>
        <v>0</v>
      </c>
      <c r="M231" s="84"/>
      <c r="N231" s="84"/>
      <c r="O231" s="65">
        <f t="shared" si="33"/>
        <v>0</v>
      </c>
      <c r="P231" s="65">
        <f t="shared" si="34"/>
        <v>0</v>
      </c>
    </row>
    <row r="232" spans="1:20" ht="15" customHeight="1">
      <c r="A232" s="16"/>
      <c r="B232" s="16"/>
      <c r="C232" s="16"/>
      <c r="D232" s="13" t="s">
        <v>419</v>
      </c>
      <c r="E232" s="581">
        <f>19006/(Deno)</f>
        <v>0.19006000000000001</v>
      </c>
      <c r="F232" s="581">
        <f t="shared" si="36"/>
        <v>0</v>
      </c>
      <c r="G232" s="66"/>
      <c r="H232" s="66"/>
      <c r="I232" s="64">
        <v>17318.57</v>
      </c>
      <c r="J232" s="64">
        <v>0</v>
      </c>
      <c r="K232" s="65">
        <f t="shared" si="31"/>
        <v>17318.57</v>
      </c>
      <c r="L232" s="65">
        <f t="shared" si="32"/>
        <v>0</v>
      </c>
      <c r="M232" s="84"/>
      <c r="N232" s="84"/>
      <c r="O232" s="65">
        <f t="shared" si="33"/>
        <v>0.1731857</v>
      </c>
      <c r="P232" s="65">
        <f t="shared" si="34"/>
        <v>0</v>
      </c>
      <c r="Q232" s="1" t="s">
        <v>420</v>
      </c>
      <c r="R232" s="1">
        <v>19</v>
      </c>
      <c r="S232" s="1" t="s">
        <v>353</v>
      </c>
      <c r="T232" s="3" t="s">
        <v>421</v>
      </c>
    </row>
    <row r="233" spans="1:20" ht="15" customHeight="1">
      <c r="A233" s="16"/>
      <c r="B233" s="16"/>
      <c r="C233" s="16"/>
      <c r="D233" s="36" t="s">
        <v>422</v>
      </c>
      <c r="E233" s="581">
        <f>0/(Deno)</f>
        <v>0</v>
      </c>
      <c r="F233" s="581">
        <f t="shared" si="36"/>
        <v>0</v>
      </c>
      <c r="G233" s="66"/>
      <c r="H233" s="66"/>
      <c r="I233" s="64">
        <v>26278.959999999999</v>
      </c>
      <c r="J233" s="64">
        <v>0</v>
      </c>
      <c r="K233" s="65">
        <f t="shared" si="31"/>
        <v>26278.959999999999</v>
      </c>
      <c r="L233" s="65">
        <f t="shared" si="32"/>
        <v>0</v>
      </c>
      <c r="M233" s="84"/>
      <c r="N233" s="84"/>
      <c r="O233" s="65">
        <f t="shared" si="33"/>
        <v>0.26278960000000001</v>
      </c>
      <c r="P233" s="65">
        <f t="shared" si="34"/>
        <v>0</v>
      </c>
      <c r="Q233" s="1" t="s">
        <v>423</v>
      </c>
      <c r="R233" s="1">
        <v>19</v>
      </c>
      <c r="S233" s="1" t="s">
        <v>353</v>
      </c>
      <c r="T233" s="3" t="s">
        <v>421</v>
      </c>
    </row>
    <row r="234" spans="1:20" ht="15" customHeight="1">
      <c r="A234" s="16"/>
      <c r="B234" s="16"/>
      <c r="C234" s="16"/>
      <c r="D234" s="13" t="s">
        <v>424</v>
      </c>
      <c r="E234" s="581">
        <f>51942.1/(Deno)</f>
        <v>0.51942100000000002</v>
      </c>
      <c r="F234" s="581">
        <f t="shared" si="36"/>
        <v>0</v>
      </c>
      <c r="G234" s="66"/>
      <c r="H234" s="66"/>
      <c r="I234" s="64">
        <v>56205.84</v>
      </c>
      <c r="J234" s="64">
        <v>0</v>
      </c>
      <c r="K234" s="65">
        <f t="shared" si="31"/>
        <v>56205.84</v>
      </c>
      <c r="L234" s="65">
        <f t="shared" si="32"/>
        <v>0</v>
      </c>
      <c r="M234" s="84">
        <f>+'Audit entry'!D37</f>
        <v>8846.4599999999991</v>
      </c>
      <c r="N234" s="84"/>
      <c r="O234" s="65">
        <f t="shared" si="33"/>
        <v>0.65052299999999996</v>
      </c>
      <c r="P234" s="65">
        <f t="shared" si="34"/>
        <v>0</v>
      </c>
      <c r="Q234" s="1" t="s">
        <v>425</v>
      </c>
      <c r="R234" s="1">
        <v>19</v>
      </c>
      <c r="S234" s="1" t="s">
        <v>353</v>
      </c>
      <c r="T234" s="3" t="s">
        <v>421</v>
      </c>
    </row>
    <row r="235" spans="1:20" ht="15" customHeight="1">
      <c r="A235" s="16"/>
      <c r="B235" s="16"/>
      <c r="C235" s="16"/>
      <c r="D235" s="13" t="s">
        <v>426</v>
      </c>
      <c r="E235" s="581">
        <f>0/(Deno)</f>
        <v>0</v>
      </c>
      <c r="F235" s="581">
        <f t="shared" si="36"/>
        <v>0</v>
      </c>
      <c r="G235" s="66"/>
      <c r="H235" s="66"/>
      <c r="I235" s="64">
        <v>0</v>
      </c>
      <c r="J235" s="64">
        <v>0</v>
      </c>
      <c r="K235" s="65">
        <f t="shared" si="31"/>
        <v>0</v>
      </c>
      <c r="L235" s="65">
        <f t="shared" si="32"/>
        <v>0</v>
      </c>
      <c r="M235" s="84"/>
      <c r="N235" s="84"/>
      <c r="O235" s="65">
        <f t="shared" si="33"/>
        <v>0</v>
      </c>
      <c r="P235" s="65">
        <f t="shared" si="34"/>
        <v>0</v>
      </c>
      <c r="Q235" s="1" t="s">
        <v>425</v>
      </c>
      <c r="R235" s="1">
        <v>19</v>
      </c>
      <c r="S235" s="1" t="s">
        <v>353</v>
      </c>
      <c r="T235" s="3" t="s">
        <v>421</v>
      </c>
    </row>
    <row r="236" spans="1:20" ht="15" customHeight="1">
      <c r="A236" s="16"/>
      <c r="B236" s="16"/>
      <c r="C236" s="16"/>
      <c r="D236" s="13" t="s">
        <v>427</v>
      </c>
      <c r="E236" s="581">
        <f>0/(Deno)</f>
        <v>0</v>
      </c>
      <c r="F236" s="581">
        <f t="shared" si="36"/>
        <v>0</v>
      </c>
      <c r="G236" s="66"/>
      <c r="H236" s="66"/>
      <c r="I236" s="64">
        <v>0</v>
      </c>
      <c r="J236" s="64">
        <v>0</v>
      </c>
      <c r="K236" s="65">
        <f t="shared" si="31"/>
        <v>0</v>
      </c>
      <c r="L236" s="65">
        <f t="shared" si="32"/>
        <v>0</v>
      </c>
      <c r="M236" s="84"/>
      <c r="N236" s="84"/>
      <c r="O236" s="65">
        <f t="shared" si="33"/>
        <v>0</v>
      </c>
      <c r="P236" s="65">
        <f t="shared" si="34"/>
        <v>0</v>
      </c>
      <c r="Q236" s="1" t="s">
        <v>428</v>
      </c>
      <c r="R236" s="1">
        <v>19</v>
      </c>
      <c r="S236" s="1" t="s">
        <v>353</v>
      </c>
      <c r="T236" s="3" t="s">
        <v>421</v>
      </c>
    </row>
    <row r="237" spans="1:20" ht="15" customHeight="1">
      <c r="A237" s="16"/>
      <c r="B237" s="16"/>
      <c r="C237" s="16"/>
      <c r="D237" s="13" t="s">
        <v>429</v>
      </c>
      <c r="E237" s="581">
        <f>34177.69/(Deno)</f>
        <v>0.34177690000000005</v>
      </c>
      <c r="F237" s="581">
        <f t="shared" si="36"/>
        <v>0</v>
      </c>
      <c r="G237" s="66"/>
      <c r="H237" s="66"/>
      <c r="I237" s="64">
        <v>32274.290000000008</v>
      </c>
      <c r="J237" s="64">
        <v>0</v>
      </c>
      <c r="K237" s="65">
        <f t="shared" si="31"/>
        <v>32274.290000000008</v>
      </c>
      <c r="L237" s="65">
        <f t="shared" si="32"/>
        <v>0</v>
      </c>
      <c r="M237" s="84"/>
      <c r="N237" s="84"/>
      <c r="O237" s="65">
        <f t="shared" si="33"/>
        <v>0.32274290000000005</v>
      </c>
      <c r="P237" s="65">
        <f t="shared" si="34"/>
        <v>0</v>
      </c>
      <c r="Q237" s="1" t="s">
        <v>428</v>
      </c>
      <c r="R237" s="1">
        <v>19</v>
      </c>
      <c r="S237" s="1" t="s">
        <v>353</v>
      </c>
      <c r="T237" s="3" t="s">
        <v>421</v>
      </c>
    </row>
    <row r="238" spans="1:20" ht="15" customHeight="1">
      <c r="A238" s="16"/>
      <c r="B238" s="16"/>
      <c r="C238" s="16"/>
      <c r="D238" s="36" t="s">
        <v>430</v>
      </c>
      <c r="E238" s="581">
        <f>111842.46/(Deno)</f>
        <v>1.1184246</v>
      </c>
      <c r="F238" s="581">
        <f t="shared" si="36"/>
        <v>0</v>
      </c>
      <c r="G238" s="66"/>
      <c r="H238" s="66"/>
      <c r="I238" s="64">
        <v>62101.8</v>
      </c>
      <c r="J238" s="64">
        <v>0</v>
      </c>
      <c r="K238" s="65">
        <f t="shared" si="31"/>
        <v>62101.8</v>
      </c>
      <c r="L238" s="65">
        <f t="shared" si="32"/>
        <v>0</v>
      </c>
      <c r="M238" s="84"/>
      <c r="N238" s="84"/>
      <c r="O238" s="65">
        <f t="shared" si="33"/>
        <v>0.62101800000000007</v>
      </c>
      <c r="P238" s="65">
        <f t="shared" si="34"/>
        <v>0</v>
      </c>
      <c r="Q238" s="1" t="s">
        <v>423</v>
      </c>
      <c r="R238" s="1">
        <v>19</v>
      </c>
      <c r="S238" s="1" t="s">
        <v>353</v>
      </c>
      <c r="T238" s="3" t="s">
        <v>421</v>
      </c>
    </row>
    <row r="239" spans="1:20" ht="15" customHeight="1">
      <c r="A239" s="16"/>
      <c r="B239" s="16"/>
      <c r="C239" s="16"/>
      <c r="D239" s="13" t="s">
        <v>431</v>
      </c>
      <c r="E239" s="581">
        <f>696485.87/(Deno)</f>
        <v>6.9648586999999997</v>
      </c>
      <c r="F239" s="581">
        <f t="shared" si="36"/>
        <v>0</v>
      </c>
      <c r="G239" s="66"/>
      <c r="H239" s="66"/>
      <c r="I239" s="64">
        <v>857414.4</v>
      </c>
      <c r="J239" s="64">
        <v>0</v>
      </c>
      <c r="K239" s="65">
        <f t="shared" si="31"/>
        <v>857414.4</v>
      </c>
      <c r="L239" s="65">
        <f t="shared" si="32"/>
        <v>0</v>
      </c>
      <c r="M239" s="84"/>
      <c r="N239" s="84"/>
      <c r="O239" s="65">
        <f t="shared" si="33"/>
        <v>8.5741440000000004</v>
      </c>
      <c r="P239" s="65">
        <f t="shared" si="34"/>
        <v>0</v>
      </c>
      <c r="Q239" s="1" t="s">
        <v>425</v>
      </c>
      <c r="R239" s="1">
        <v>19</v>
      </c>
      <c r="S239" s="1" t="s">
        <v>353</v>
      </c>
      <c r="T239" s="3" t="s">
        <v>421</v>
      </c>
    </row>
    <row r="240" spans="1:20" ht="15" customHeight="1">
      <c r="A240" s="16"/>
      <c r="B240" s="16"/>
      <c r="C240" s="18" t="s">
        <v>432</v>
      </c>
      <c r="D240" s="12"/>
      <c r="E240" s="581">
        <f>0/(Deno)</f>
        <v>0</v>
      </c>
      <c r="F240" s="581">
        <f t="shared" si="36"/>
        <v>0</v>
      </c>
      <c r="G240" s="66"/>
      <c r="H240" s="66"/>
      <c r="I240" s="64"/>
      <c r="J240" s="64"/>
      <c r="K240" s="65">
        <f t="shared" si="31"/>
        <v>0</v>
      </c>
      <c r="L240" s="65">
        <f t="shared" si="32"/>
        <v>0</v>
      </c>
      <c r="M240" s="84"/>
      <c r="N240" s="84"/>
      <c r="O240" s="65">
        <f t="shared" si="33"/>
        <v>0</v>
      </c>
      <c r="P240" s="65">
        <f t="shared" si="34"/>
        <v>0</v>
      </c>
    </row>
    <row r="241" spans="1:20" ht="15" customHeight="1">
      <c r="A241" s="16"/>
      <c r="B241" s="16"/>
      <c r="C241" s="16"/>
      <c r="D241" s="13" t="s">
        <v>433</v>
      </c>
      <c r="E241" s="581">
        <f>2373275/(Deno)</f>
        <v>23.732749999999999</v>
      </c>
      <c r="F241" s="581">
        <f t="shared" si="36"/>
        <v>0</v>
      </c>
      <c r="G241" s="66"/>
      <c r="H241" s="66"/>
      <c r="I241" s="64">
        <v>1876065</v>
      </c>
      <c r="J241" s="64">
        <v>0</v>
      </c>
      <c r="K241" s="65">
        <f t="shared" si="31"/>
        <v>1876065</v>
      </c>
      <c r="L241" s="65">
        <f t="shared" si="32"/>
        <v>0</v>
      </c>
      <c r="M241" s="84"/>
      <c r="N241" s="84"/>
      <c r="O241" s="65">
        <f t="shared" si="33"/>
        <v>18.760649999999998</v>
      </c>
      <c r="P241" s="65">
        <f t="shared" si="34"/>
        <v>0</v>
      </c>
      <c r="Q241" s="1" t="s">
        <v>434</v>
      </c>
      <c r="R241" s="1">
        <v>19</v>
      </c>
      <c r="S241" s="1" t="s">
        <v>353</v>
      </c>
      <c r="T241" s="3" t="s">
        <v>435</v>
      </c>
    </row>
    <row r="242" spans="1:20" ht="15" customHeight="1">
      <c r="A242" s="16"/>
      <c r="B242" s="16"/>
      <c r="C242" s="16"/>
      <c r="D242" s="13" t="s">
        <v>436</v>
      </c>
      <c r="E242" s="581">
        <f>0/(Deno)</f>
        <v>0</v>
      </c>
      <c r="F242" s="581">
        <f t="shared" si="36"/>
        <v>0</v>
      </c>
      <c r="G242" s="66"/>
      <c r="H242" s="66"/>
      <c r="I242" s="64">
        <v>0</v>
      </c>
      <c r="J242" s="64">
        <v>0</v>
      </c>
      <c r="K242" s="65">
        <f t="shared" si="31"/>
        <v>0</v>
      </c>
      <c r="L242" s="65">
        <f t="shared" si="32"/>
        <v>0</v>
      </c>
      <c r="M242" s="84"/>
      <c r="N242" s="84"/>
      <c r="O242" s="65">
        <f t="shared" si="33"/>
        <v>0</v>
      </c>
      <c r="P242" s="65">
        <f t="shared" si="34"/>
        <v>0</v>
      </c>
      <c r="Q242" s="1" t="s">
        <v>1177</v>
      </c>
      <c r="R242" s="1">
        <v>19</v>
      </c>
      <c r="S242" s="1" t="s">
        <v>353</v>
      </c>
      <c r="T242" s="3" t="s">
        <v>437</v>
      </c>
    </row>
    <row r="243" spans="1:20" ht="15" customHeight="1">
      <c r="A243" s="16"/>
      <c r="B243" s="16"/>
      <c r="C243" s="16"/>
      <c r="D243" s="13" t="s">
        <v>438</v>
      </c>
      <c r="E243" s="581">
        <f>0/(Deno)</f>
        <v>0</v>
      </c>
      <c r="F243" s="581">
        <f t="shared" si="36"/>
        <v>0</v>
      </c>
      <c r="G243" s="66"/>
      <c r="H243" s="66"/>
      <c r="I243" s="64">
        <v>0</v>
      </c>
      <c r="J243" s="64">
        <v>0</v>
      </c>
      <c r="K243" s="65">
        <f t="shared" si="31"/>
        <v>0</v>
      </c>
      <c r="L243" s="65">
        <f t="shared" si="32"/>
        <v>0</v>
      </c>
      <c r="M243" s="84"/>
      <c r="N243" s="84"/>
      <c r="O243" s="65">
        <f t="shared" si="33"/>
        <v>0</v>
      </c>
      <c r="P243" s="65">
        <f t="shared" si="34"/>
        <v>0</v>
      </c>
      <c r="Q243" s="1" t="s">
        <v>439</v>
      </c>
      <c r="R243" s="1">
        <v>19</v>
      </c>
      <c r="S243" s="1" t="s">
        <v>353</v>
      </c>
      <c r="T243" s="3" t="s">
        <v>435</v>
      </c>
    </row>
    <row r="244" spans="1:20" ht="15" customHeight="1">
      <c r="A244" s="16"/>
      <c r="B244" s="16"/>
      <c r="C244" s="16"/>
      <c r="D244" s="13" t="s">
        <v>440</v>
      </c>
      <c r="E244" s="581">
        <f>0/(Deno)</f>
        <v>0</v>
      </c>
      <c r="F244" s="581">
        <f t="shared" si="36"/>
        <v>0</v>
      </c>
      <c r="G244" s="66"/>
      <c r="H244" s="66"/>
      <c r="I244" s="64">
        <v>0</v>
      </c>
      <c r="J244" s="64">
        <v>0</v>
      </c>
      <c r="K244" s="65">
        <f t="shared" si="31"/>
        <v>0</v>
      </c>
      <c r="L244" s="65">
        <f t="shared" si="32"/>
        <v>0</v>
      </c>
      <c r="M244" s="84"/>
      <c r="N244" s="84"/>
      <c r="O244" s="65">
        <f t="shared" si="33"/>
        <v>0</v>
      </c>
      <c r="P244" s="65">
        <f t="shared" si="34"/>
        <v>0</v>
      </c>
      <c r="Q244" s="1" t="s">
        <v>1177</v>
      </c>
      <c r="R244" s="1">
        <v>19</v>
      </c>
      <c r="S244" s="1" t="s">
        <v>353</v>
      </c>
      <c r="T244" s="3" t="s">
        <v>437</v>
      </c>
    </row>
    <row r="245" spans="1:20" ht="15" customHeight="1">
      <c r="A245" s="16"/>
      <c r="B245" s="16"/>
      <c r="C245" s="16"/>
      <c r="D245" s="13" t="s">
        <v>441</v>
      </c>
      <c r="E245" s="581">
        <f>0/(Deno)</f>
        <v>0</v>
      </c>
      <c r="F245" s="581">
        <f t="shared" si="36"/>
        <v>0</v>
      </c>
      <c r="G245" s="66"/>
      <c r="H245" s="66"/>
      <c r="I245" s="64">
        <v>0</v>
      </c>
      <c r="J245" s="64">
        <v>0</v>
      </c>
      <c r="K245" s="65">
        <f t="shared" si="31"/>
        <v>0</v>
      </c>
      <c r="L245" s="65">
        <f t="shared" si="32"/>
        <v>0</v>
      </c>
      <c r="M245" s="84"/>
      <c r="N245" s="84"/>
      <c r="O245" s="65">
        <f t="shared" si="33"/>
        <v>0</v>
      </c>
      <c r="P245" s="65">
        <f t="shared" si="34"/>
        <v>0</v>
      </c>
      <c r="Q245" s="1" t="s">
        <v>1177</v>
      </c>
      <c r="R245" s="1">
        <v>19</v>
      </c>
      <c r="S245" s="1" t="s">
        <v>353</v>
      </c>
      <c r="T245" s="3" t="s">
        <v>437</v>
      </c>
    </row>
    <row r="246" spans="1:20" ht="15" customHeight="1">
      <c r="A246" s="16"/>
      <c r="B246" s="16"/>
      <c r="C246" s="16"/>
      <c r="D246" s="13" t="s">
        <v>442</v>
      </c>
      <c r="E246" s="581">
        <f>0/(Deno)</f>
        <v>0</v>
      </c>
      <c r="F246" s="581">
        <f t="shared" si="36"/>
        <v>0</v>
      </c>
      <c r="G246" s="66"/>
      <c r="H246" s="66"/>
      <c r="I246" s="64">
        <v>0</v>
      </c>
      <c r="J246" s="64">
        <v>0</v>
      </c>
      <c r="K246" s="65">
        <f t="shared" si="31"/>
        <v>0</v>
      </c>
      <c r="L246" s="65">
        <f t="shared" si="32"/>
        <v>0</v>
      </c>
      <c r="M246" s="84"/>
      <c r="N246" s="84"/>
      <c r="O246" s="65">
        <f t="shared" si="33"/>
        <v>0</v>
      </c>
      <c r="P246" s="65">
        <f t="shared" si="34"/>
        <v>0</v>
      </c>
      <c r="Q246" s="1" t="s">
        <v>1177</v>
      </c>
      <c r="R246" s="1">
        <v>19</v>
      </c>
      <c r="S246" s="1" t="s">
        <v>353</v>
      </c>
      <c r="T246" s="3" t="s">
        <v>437</v>
      </c>
    </row>
    <row r="247" spans="1:20" ht="15" customHeight="1">
      <c r="A247" s="16"/>
      <c r="B247" s="16"/>
      <c r="C247" s="16"/>
      <c r="D247" s="13" t="s">
        <v>443</v>
      </c>
      <c r="E247" s="581">
        <f>48000/(Deno)</f>
        <v>0.48</v>
      </c>
      <c r="F247" s="581">
        <f t="shared" si="36"/>
        <v>0</v>
      </c>
      <c r="G247" s="66"/>
      <c r="H247" s="66"/>
      <c r="I247" s="64">
        <v>48000</v>
      </c>
      <c r="J247" s="64">
        <v>0</v>
      </c>
      <c r="K247" s="65">
        <f t="shared" si="31"/>
        <v>48000</v>
      </c>
      <c r="L247" s="65">
        <f t="shared" si="32"/>
        <v>0</v>
      </c>
      <c r="M247" s="84"/>
      <c r="N247" s="84"/>
      <c r="O247" s="65">
        <f t="shared" si="33"/>
        <v>0.48</v>
      </c>
      <c r="P247" s="65">
        <f t="shared" si="34"/>
        <v>0</v>
      </c>
      <c r="Q247" s="1" t="s">
        <v>444</v>
      </c>
      <c r="R247" s="1">
        <v>19</v>
      </c>
      <c r="S247" s="1" t="s">
        <v>353</v>
      </c>
      <c r="T247" s="3" t="s">
        <v>435</v>
      </c>
    </row>
    <row r="248" spans="1:20" ht="15" customHeight="1">
      <c r="A248" s="16"/>
      <c r="B248" s="16"/>
      <c r="C248" s="16"/>
      <c r="D248" s="13" t="s">
        <v>445</v>
      </c>
      <c r="E248" s="581">
        <f>0/(Deno)</f>
        <v>0</v>
      </c>
      <c r="F248" s="581">
        <f t="shared" si="36"/>
        <v>0</v>
      </c>
      <c r="G248" s="66"/>
      <c r="H248" s="66"/>
      <c r="I248" s="64">
        <v>0</v>
      </c>
      <c r="J248" s="64">
        <v>0</v>
      </c>
      <c r="K248" s="65">
        <f t="shared" si="31"/>
        <v>0</v>
      </c>
      <c r="L248" s="65">
        <f t="shared" si="32"/>
        <v>0</v>
      </c>
      <c r="M248" s="84"/>
      <c r="N248" s="84"/>
      <c r="O248" s="65">
        <f t="shared" si="33"/>
        <v>0</v>
      </c>
      <c r="P248" s="65">
        <f t="shared" si="34"/>
        <v>0</v>
      </c>
      <c r="Q248" s="1" t="s">
        <v>446</v>
      </c>
      <c r="R248" s="1">
        <v>19</v>
      </c>
      <c r="S248" s="1" t="s">
        <v>353</v>
      </c>
      <c r="T248" s="3" t="s">
        <v>435</v>
      </c>
    </row>
    <row r="249" spans="1:20" ht="15" customHeight="1">
      <c r="A249" s="16"/>
      <c r="B249" s="16"/>
      <c r="C249" s="16"/>
      <c r="D249" s="13" t="s">
        <v>447</v>
      </c>
      <c r="E249" s="581">
        <f>0/(Deno)</f>
        <v>0</v>
      </c>
      <c r="F249" s="581">
        <f t="shared" si="36"/>
        <v>0</v>
      </c>
      <c r="G249" s="66"/>
      <c r="H249" s="66"/>
      <c r="I249" s="64">
        <v>0</v>
      </c>
      <c r="J249" s="64">
        <v>0</v>
      </c>
      <c r="K249" s="65">
        <f t="shared" si="31"/>
        <v>0</v>
      </c>
      <c r="L249" s="65">
        <f t="shared" si="32"/>
        <v>0</v>
      </c>
      <c r="M249" s="84"/>
      <c r="N249" s="84"/>
      <c r="O249" s="65">
        <f t="shared" si="33"/>
        <v>0</v>
      </c>
      <c r="P249" s="65">
        <f t="shared" si="34"/>
        <v>0</v>
      </c>
      <c r="Q249" s="1" t="s">
        <v>448</v>
      </c>
      <c r="R249" s="1">
        <v>19</v>
      </c>
      <c r="S249" s="1" t="s">
        <v>353</v>
      </c>
      <c r="T249" s="3" t="s">
        <v>435</v>
      </c>
    </row>
    <row r="250" spans="1:20" ht="15" customHeight="1">
      <c r="A250" s="16"/>
      <c r="B250" s="16"/>
      <c r="C250" s="16"/>
      <c r="D250" s="39" t="s">
        <v>449</v>
      </c>
      <c r="E250" s="581">
        <f>105000/(Deno)</f>
        <v>1.05</v>
      </c>
      <c r="F250" s="581">
        <f t="shared" si="36"/>
        <v>0</v>
      </c>
      <c r="G250" s="66"/>
      <c r="H250" s="66"/>
      <c r="I250" s="64">
        <v>211000</v>
      </c>
      <c r="J250" s="64">
        <v>0</v>
      </c>
      <c r="K250" s="65">
        <f t="shared" si="31"/>
        <v>211000</v>
      </c>
      <c r="L250" s="65">
        <f t="shared" si="32"/>
        <v>0</v>
      </c>
      <c r="M250" s="84"/>
      <c r="N250" s="84"/>
      <c r="O250" s="65">
        <f t="shared" si="33"/>
        <v>2.11</v>
      </c>
      <c r="P250" s="65">
        <f t="shared" si="34"/>
        <v>0</v>
      </c>
      <c r="Q250" s="1" t="s">
        <v>449</v>
      </c>
      <c r="R250" s="1">
        <v>19</v>
      </c>
      <c r="S250" s="1" t="s">
        <v>353</v>
      </c>
      <c r="T250" s="3" t="s">
        <v>435</v>
      </c>
    </row>
    <row r="251" spans="1:20" ht="15" customHeight="1">
      <c r="A251" s="16"/>
      <c r="B251" s="16"/>
      <c r="C251" s="18" t="s">
        <v>450</v>
      </c>
      <c r="D251" s="12"/>
      <c r="E251" s="581">
        <f>0/(Deno)</f>
        <v>0</v>
      </c>
      <c r="F251" s="581">
        <f t="shared" ref="F251:F282" si="37">0/(Deno)</f>
        <v>0</v>
      </c>
      <c r="G251" s="66"/>
      <c r="H251" s="66"/>
      <c r="I251" s="64"/>
      <c r="J251" s="64"/>
      <c r="K251" s="65">
        <f t="shared" si="31"/>
        <v>0</v>
      </c>
      <c r="L251" s="65">
        <f t="shared" si="32"/>
        <v>0</v>
      </c>
      <c r="M251" s="84"/>
      <c r="N251" s="84"/>
      <c r="O251" s="65">
        <f t="shared" si="33"/>
        <v>0</v>
      </c>
      <c r="P251" s="65">
        <f t="shared" si="34"/>
        <v>0</v>
      </c>
    </row>
    <row r="252" spans="1:20" ht="15" customHeight="1">
      <c r="A252" s="16"/>
      <c r="B252" s="16"/>
      <c r="C252" s="16"/>
      <c r="D252" s="13" t="s">
        <v>451</v>
      </c>
      <c r="E252" s="581">
        <f>0/(Deno)</f>
        <v>0</v>
      </c>
      <c r="F252" s="581">
        <f t="shared" si="37"/>
        <v>0</v>
      </c>
      <c r="G252" s="66"/>
      <c r="H252" s="66"/>
      <c r="I252" s="64">
        <v>0</v>
      </c>
      <c r="J252" s="64">
        <v>0</v>
      </c>
      <c r="K252" s="65">
        <f t="shared" si="31"/>
        <v>0</v>
      </c>
      <c r="L252" s="65">
        <f t="shared" si="32"/>
        <v>0</v>
      </c>
      <c r="M252" s="84"/>
      <c r="N252" s="84"/>
      <c r="O252" s="65">
        <f t="shared" si="33"/>
        <v>0</v>
      </c>
      <c r="P252" s="65">
        <f t="shared" si="34"/>
        <v>0</v>
      </c>
    </row>
    <row r="253" spans="1:20" ht="15" customHeight="1">
      <c r="A253" s="16"/>
      <c r="B253" s="16"/>
      <c r="C253" s="16"/>
      <c r="D253" s="13" t="s">
        <v>452</v>
      </c>
      <c r="E253" s="581">
        <f>0/(Deno)</f>
        <v>0</v>
      </c>
      <c r="F253" s="581">
        <f t="shared" si="37"/>
        <v>0</v>
      </c>
      <c r="G253" s="66"/>
      <c r="H253" s="66"/>
      <c r="I253" s="64">
        <v>0</v>
      </c>
      <c r="J253" s="64">
        <v>0</v>
      </c>
      <c r="K253" s="65">
        <f t="shared" si="31"/>
        <v>0</v>
      </c>
      <c r="L253" s="65">
        <f t="shared" si="32"/>
        <v>0</v>
      </c>
      <c r="M253" s="84"/>
      <c r="N253" s="84"/>
      <c r="O253" s="65">
        <f t="shared" si="33"/>
        <v>0</v>
      </c>
      <c r="P253" s="65">
        <f t="shared" si="34"/>
        <v>0</v>
      </c>
      <c r="Q253" s="1" t="s">
        <v>453</v>
      </c>
      <c r="R253" s="1">
        <v>19</v>
      </c>
      <c r="S253" s="1" t="s">
        <v>353</v>
      </c>
      <c r="T253" s="3" t="s">
        <v>454</v>
      </c>
    </row>
    <row r="254" spans="1:20" ht="15" customHeight="1">
      <c r="A254" s="16"/>
      <c r="B254" s="16"/>
      <c r="C254" s="16"/>
      <c r="D254" s="13" t="s">
        <v>455</v>
      </c>
      <c r="E254" s="581">
        <f>3300/(Deno)</f>
        <v>3.3000000000000002E-2</v>
      </c>
      <c r="F254" s="581">
        <f t="shared" si="37"/>
        <v>0</v>
      </c>
      <c r="G254" s="66"/>
      <c r="H254" s="66"/>
      <c r="I254" s="64">
        <v>4800</v>
      </c>
      <c r="J254" s="64">
        <v>0</v>
      </c>
      <c r="K254" s="65">
        <f t="shared" si="31"/>
        <v>4800</v>
      </c>
      <c r="L254" s="65">
        <f t="shared" si="32"/>
        <v>0</v>
      </c>
      <c r="M254" s="84"/>
      <c r="N254" s="84"/>
      <c r="O254" s="65">
        <f t="shared" si="33"/>
        <v>4.8000000000000001E-2</v>
      </c>
      <c r="P254" s="65">
        <f t="shared" si="34"/>
        <v>0</v>
      </c>
      <c r="Q254" s="1" t="s">
        <v>453</v>
      </c>
      <c r="R254" s="1">
        <v>19</v>
      </c>
      <c r="S254" s="1" t="s">
        <v>353</v>
      </c>
      <c r="T254" s="3" t="s">
        <v>454</v>
      </c>
    </row>
    <row r="255" spans="1:20" ht="15" customHeight="1">
      <c r="A255" s="16"/>
      <c r="B255" s="16"/>
      <c r="C255" s="16"/>
      <c r="D255" s="13" t="s">
        <v>456</v>
      </c>
      <c r="E255" s="581">
        <f>257373.29/(Deno)</f>
        <v>2.5737329</v>
      </c>
      <c r="F255" s="581">
        <f t="shared" si="37"/>
        <v>0</v>
      </c>
      <c r="G255" s="66"/>
      <c r="H255" s="66"/>
      <c r="I255" s="64">
        <v>210831.46</v>
      </c>
      <c r="J255" s="64">
        <v>0</v>
      </c>
      <c r="K255" s="65">
        <f t="shared" si="31"/>
        <v>210831.46</v>
      </c>
      <c r="L255" s="65">
        <f t="shared" si="32"/>
        <v>0</v>
      </c>
      <c r="M255" s="84"/>
      <c r="N255" s="84"/>
      <c r="O255" s="65">
        <f t="shared" si="33"/>
        <v>2.1083145999999999</v>
      </c>
      <c r="P255" s="65">
        <f t="shared" si="34"/>
        <v>0</v>
      </c>
      <c r="Q255" s="1" t="s">
        <v>457</v>
      </c>
      <c r="R255" s="1">
        <v>19</v>
      </c>
      <c r="S255" s="1" t="s">
        <v>353</v>
      </c>
      <c r="T255" s="3" t="s">
        <v>454</v>
      </c>
    </row>
    <row r="256" spans="1:20" ht="15" customHeight="1">
      <c r="A256" s="16"/>
      <c r="B256" s="16"/>
      <c r="C256" s="16"/>
      <c r="D256" s="13" t="s">
        <v>458</v>
      </c>
      <c r="E256" s="581">
        <f>193624.74/(Deno)</f>
        <v>1.9362473999999998</v>
      </c>
      <c r="F256" s="581">
        <f t="shared" si="37"/>
        <v>0</v>
      </c>
      <c r="G256" s="66"/>
      <c r="H256" s="66"/>
      <c r="I256" s="64">
        <v>408610.76</v>
      </c>
      <c r="J256" s="64">
        <v>0</v>
      </c>
      <c r="K256" s="65">
        <f t="shared" si="31"/>
        <v>408610.76</v>
      </c>
      <c r="L256" s="65">
        <f t="shared" si="32"/>
        <v>0</v>
      </c>
      <c r="M256" s="84"/>
      <c r="N256" s="84"/>
      <c r="O256" s="65">
        <f t="shared" si="33"/>
        <v>4.0861076000000001</v>
      </c>
      <c r="P256" s="65">
        <f t="shared" si="34"/>
        <v>0</v>
      </c>
      <c r="Q256" s="1" t="s">
        <v>459</v>
      </c>
      <c r="R256" s="1">
        <v>19</v>
      </c>
      <c r="S256" s="1" t="s">
        <v>353</v>
      </c>
      <c r="T256" s="3" t="s">
        <v>454</v>
      </c>
    </row>
    <row r="257" spans="1:21" ht="15" customHeight="1">
      <c r="A257" s="16"/>
      <c r="B257" s="16"/>
      <c r="C257" s="16"/>
      <c r="D257" s="13" t="s">
        <v>460</v>
      </c>
      <c r="E257" s="581">
        <f>893209.68/(Deno)</f>
        <v>8.9320968000000001</v>
      </c>
      <c r="F257" s="581">
        <f t="shared" si="37"/>
        <v>0</v>
      </c>
      <c r="G257" s="66"/>
      <c r="H257" s="66"/>
      <c r="I257" s="64">
        <v>1169957.45</v>
      </c>
      <c r="J257" s="64">
        <v>0</v>
      </c>
      <c r="K257" s="65">
        <f t="shared" si="31"/>
        <v>1169957.45</v>
      </c>
      <c r="L257" s="65">
        <f t="shared" si="32"/>
        <v>0</v>
      </c>
      <c r="M257" s="84"/>
      <c r="N257" s="84"/>
      <c r="O257" s="65">
        <f t="shared" si="33"/>
        <v>11.699574499999999</v>
      </c>
      <c r="P257" s="65">
        <f t="shared" si="34"/>
        <v>0</v>
      </c>
      <c r="Q257" s="1" t="s">
        <v>459</v>
      </c>
      <c r="R257" s="1">
        <v>19</v>
      </c>
      <c r="S257" s="1" t="s">
        <v>353</v>
      </c>
      <c r="T257" s="3" t="s">
        <v>454</v>
      </c>
      <c r="U257" s="3" t="s">
        <v>461</v>
      </c>
    </row>
    <row r="258" spans="1:21" ht="15" customHeight="1">
      <c r="A258" s="16"/>
      <c r="B258" s="16"/>
      <c r="C258" s="16"/>
      <c r="D258" s="13" t="s">
        <v>462</v>
      </c>
      <c r="E258" s="581">
        <f>0/(Deno)</f>
        <v>0</v>
      </c>
      <c r="F258" s="581">
        <f t="shared" si="37"/>
        <v>0</v>
      </c>
      <c r="G258" s="66"/>
      <c r="H258" s="66"/>
      <c r="I258" s="64">
        <v>0</v>
      </c>
      <c r="J258" s="64">
        <v>0</v>
      </c>
      <c r="K258" s="65">
        <f t="shared" si="31"/>
        <v>0</v>
      </c>
      <c r="L258" s="65">
        <f t="shared" si="32"/>
        <v>0</v>
      </c>
      <c r="M258" s="84"/>
      <c r="N258" s="84"/>
      <c r="O258" s="65">
        <f t="shared" si="33"/>
        <v>0</v>
      </c>
      <c r="P258" s="65">
        <f t="shared" si="34"/>
        <v>0</v>
      </c>
      <c r="Q258" s="1" t="s">
        <v>459</v>
      </c>
      <c r="R258" s="1">
        <v>19</v>
      </c>
      <c r="S258" s="1" t="s">
        <v>353</v>
      </c>
      <c r="T258" s="3" t="s">
        <v>454</v>
      </c>
    </row>
    <row r="259" spans="1:21" ht="15" customHeight="1">
      <c r="A259" s="16"/>
      <c r="B259" s="16"/>
      <c r="C259" s="16"/>
      <c r="D259" s="13" t="s">
        <v>463</v>
      </c>
      <c r="E259" s="581">
        <f>0/(Deno)</f>
        <v>0</v>
      </c>
      <c r="F259" s="581">
        <f t="shared" si="37"/>
        <v>0</v>
      </c>
      <c r="G259" s="66"/>
      <c r="H259" s="66"/>
      <c r="I259" s="64">
        <v>0</v>
      </c>
      <c r="J259" s="64">
        <v>0</v>
      </c>
      <c r="K259" s="65">
        <f t="shared" si="31"/>
        <v>0</v>
      </c>
      <c r="L259" s="65">
        <f t="shared" si="32"/>
        <v>0</v>
      </c>
      <c r="M259" s="84"/>
      <c r="N259" s="84"/>
      <c r="O259" s="65">
        <f t="shared" si="33"/>
        <v>0</v>
      </c>
      <c r="P259" s="65">
        <f t="shared" si="34"/>
        <v>0</v>
      </c>
      <c r="Q259" s="1" t="s">
        <v>453</v>
      </c>
      <c r="R259" s="1">
        <v>19</v>
      </c>
      <c r="S259" s="1" t="s">
        <v>353</v>
      </c>
      <c r="T259" s="3" t="s">
        <v>454</v>
      </c>
    </row>
    <row r="260" spans="1:21" ht="15" customHeight="1">
      <c r="A260" s="16"/>
      <c r="B260" s="16"/>
      <c r="C260" s="16"/>
      <c r="D260" s="13" t="s">
        <v>464</v>
      </c>
      <c r="E260" s="581">
        <f>0/(Deno)</f>
        <v>0</v>
      </c>
      <c r="F260" s="581">
        <f t="shared" si="37"/>
        <v>0</v>
      </c>
      <c r="G260" s="66"/>
      <c r="H260" s="66"/>
      <c r="I260" s="64">
        <v>0</v>
      </c>
      <c r="J260" s="64">
        <v>0</v>
      </c>
      <c r="K260" s="65">
        <f t="shared" si="31"/>
        <v>0</v>
      </c>
      <c r="L260" s="65">
        <f t="shared" si="32"/>
        <v>0</v>
      </c>
      <c r="M260" s="84"/>
      <c r="N260" s="84"/>
      <c r="O260" s="65">
        <f t="shared" si="33"/>
        <v>0</v>
      </c>
      <c r="P260" s="65">
        <f t="shared" si="34"/>
        <v>0</v>
      </c>
      <c r="Q260" s="1" t="s">
        <v>459</v>
      </c>
      <c r="R260" s="1">
        <v>19</v>
      </c>
      <c r="S260" s="1" t="s">
        <v>353</v>
      </c>
      <c r="T260" s="3" t="s">
        <v>454</v>
      </c>
    </row>
    <row r="261" spans="1:21" ht="15" customHeight="1">
      <c r="A261" s="16"/>
      <c r="B261" s="16"/>
      <c r="C261" s="16"/>
      <c r="D261" s="13" t="s">
        <v>465</v>
      </c>
      <c r="E261" s="581">
        <f>218721.2/(Deno)</f>
        <v>2.1872120000000002</v>
      </c>
      <c r="F261" s="581">
        <f t="shared" si="37"/>
        <v>0</v>
      </c>
      <c r="G261" s="66"/>
      <c r="H261" s="66"/>
      <c r="I261" s="64">
        <v>432948.92000000016</v>
      </c>
      <c r="J261" s="64">
        <v>0</v>
      </c>
      <c r="K261" s="65">
        <f t="shared" si="31"/>
        <v>432948.92000000016</v>
      </c>
      <c r="L261" s="65">
        <f t="shared" si="32"/>
        <v>0</v>
      </c>
      <c r="M261" s="84"/>
      <c r="N261" s="84"/>
      <c r="O261" s="65">
        <f t="shared" si="33"/>
        <v>4.3294892000000011</v>
      </c>
      <c r="P261" s="65">
        <f t="shared" si="34"/>
        <v>0</v>
      </c>
      <c r="Q261" s="1" t="s">
        <v>459</v>
      </c>
      <c r="R261" s="1">
        <v>19</v>
      </c>
      <c r="S261" s="1" t="s">
        <v>353</v>
      </c>
      <c r="T261" s="3" t="s">
        <v>454</v>
      </c>
    </row>
    <row r="262" spans="1:21" ht="15" customHeight="1">
      <c r="A262" s="16"/>
      <c r="B262" s="16"/>
      <c r="C262" s="16"/>
      <c r="D262" s="33" t="s">
        <v>466</v>
      </c>
      <c r="E262" s="581">
        <f>7300/(Deno)</f>
        <v>7.2999999999999995E-2</v>
      </c>
      <c r="F262" s="581">
        <f t="shared" si="37"/>
        <v>0</v>
      </c>
      <c r="G262" s="66"/>
      <c r="H262" s="66"/>
      <c r="I262" s="64">
        <v>91435</v>
      </c>
      <c r="J262" s="64">
        <v>0</v>
      </c>
      <c r="K262" s="65">
        <f t="shared" si="31"/>
        <v>91435</v>
      </c>
      <c r="L262" s="65">
        <f t="shared" si="32"/>
        <v>0</v>
      </c>
      <c r="M262" s="84"/>
      <c r="N262" s="84"/>
      <c r="O262" s="65">
        <f t="shared" si="33"/>
        <v>0.91435</v>
      </c>
      <c r="P262" s="65">
        <f t="shared" si="34"/>
        <v>0</v>
      </c>
      <c r="Q262" s="1" t="s">
        <v>459</v>
      </c>
      <c r="R262" s="1">
        <v>19</v>
      </c>
      <c r="S262" s="1" t="s">
        <v>353</v>
      </c>
      <c r="T262" s="3" t="s">
        <v>454</v>
      </c>
    </row>
    <row r="263" spans="1:21" ht="15" customHeight="1">
      <c r="A263" s="16"/>
      <c r="B263" s="16"/>
      <c r="C263" s="18" t="s">
        <v>467</v>
      </c>
      <c r="D263" s="12"/>
      <c r="E263" s="581">
        <f>0/(Deno)</f>
        <v>0</v>
      </c>
      <c r="F263" s="581">
        <f t="shared" si="37"/>
        <v>0</v>
      </c>
      <c r="G263" s="66"/>
      <c r="H263" s="66"/>
      <c r="I263" s="64"/>
      <c r="J263" s="64"/>
      <c r="K263" s="65">
        <f t="shared" si="31"/>
        <v>0</v>
      </c>
      <c r="L263" s="65">
        <f t="shared" si="32"/>
        <v>0</v>
      </c>
      <c r="M263" s="84"/>
      <c r="N263" s="84"/>
      <c r="O263" s="65">
        <f t="shared" si="33"/>
        <v>0</v>
      </c>
      <c r="P263" s="65">
        <f t="shared" si="34"/>
        <v>0</v>
      </c>
    </row>
    <row r="264" spans="1:21" ht="15" customHeight="1">
      <c r="A264" s="16"/>
      <c r="B264" s="16"/>
      <c r="C264" s="16"/>
      <c r="D264" s="13" t="s">
        <v>468</v>
      </c>
      <c r="E264" s="581">
        <f>275890/(Deno)</f>
        <v>2.7589000000000001</v>
      </c>
      <c r="F264" s="581">
        <f t="shared" si="37"/>
        <v>0</v>
      </c>
      <c r="G264" s="66"/>
      <c r="H264" s="66"/>
      <c r="I264" s="64">
        <v>472152.28</v>
      </c>
      <c r="J264" s="64">
        <v>0</v>
      </c>
      <c r="K264" s="65">
        <f t="shared" si="31"/>
        <v>472152.28</v>
      </c>
      <c r="L264" s="65">
        <f t="shared" si="32"/>
        <v>0</v>
      </c>
      <c r="M264" s="84"/>
      <c r="N264" s="84"/>
      <c r="O264" s="65">
        <f t="shared" si="33"/>
        <v>4.7215228000000007</v>
      </c>
      <c r="P264" s="65">
        <f t="shared" si="34"/>
        <v>0</v>
      </c>
      <c r="Q264" s="1" t="s">
        <v>469</v>
      </c>
      <c r="R264" s="1">
        <v>19</v>
      </c>
      <c r="S264" s="1" t="s">
        <v>353</v>
      </c>
      <c r="T264" s="3" t="s">
        <v>470</v>
      </c>
    </row>
    <row r="265" spans="1:21" ht="15" customHeight="1">
      <c r="A265" s="16"/>
      <c r="B265" s="16"/>
      <c r="C265" s="16"/>
      <c r="D265" s="13" t="s">
        <v>471</v>
      </c>
      <c r="E265" s="581">
        <f>23970/(Deno)</f>
        <v>0.2397</v>
      </c>
      <c r="F265" s="581">
        <f t="shared" si="37"/>
        <v>0</v>
      </c>
      <c r="G265" s="66"/>
      <c r="H265" s="66"/>
      <c r="I265" s="64">
        <v>25245</v>
      </c>
      <c r="J265" s="64">
        <v>0</v>
      </c>
      <c r="K265" s="65">
        <f t="shared" si="31"/>
        <v>25245</v>
      </c>
      <c r="L265" s="65">
        <f t="shared" si="32"/>
        <v>0</v>
      </c>
      <c r="M265" s="84"/>
      <c r="N265" s="84"/>
      <c r="O265" s="65">
        <f t="shared" si="33"/>
        <v>0.25245000000000001</v>
      </c>
      <c r="P265" s="65">
        <f t="shared" si="34"/>
        <v>0</v>
      </c>
      <c r="Q265" s="1" t="s">
        <v>472</v>
      </c>
      <c r="R265" s="1">
        <v>19</v>
      </c>
      <c r="S265" s="1" t="s">
        <v>353</v>
      </c>
      <c r="T265" s="3" t="s">
        <v>470</v>
      </c>
    </row>
    <row r="266" spans="1:21" ht="15" customHeight="1">
      <c r="A266" s="16"/>
      <c r="B266" s="16"/>
      <c r="C266" s="16"/>
      <c r="D266" s="13" t="s">
        <v>473</v>
      </c>
      <c r="E266" s="581">
        <f>31377.38/(Deno)</f>
        <v>0.31377379999999999</v>
      </c>
      <c r="F266" s="581">
        <f t="shared" si="37"/>
        <v>0</v>
      </c>
      <c r="G266" s="66"/>
      <c r="H266" s="66"/>
      <c r="I266" s="64">
        <v>90382.200000000012</v>
      </c>
      <c r="J266" s="64">
        <v>0</v>
      </c>
      <c r="K266" s="65">
        <f t="shared" ref="K266:K329" si="38">+IF((G266+I266-H266-J266&gt;0),G266+I266-H266-J266,0)</f>
        <v>90382.200000000012</v>
      </c>
      <c r="L266" s="65">
        <f t="shared" ref="L266:L329" si="39">+IF((H266+J266-G266-I266)&gt;0,H266+J266-G266-I266,0)</f>
        <v>0</v>
      </c>
      <c r="M266" s="84"/>
      <c r="N266" s="84">
        <f>+'Audit entry'!E35</f>
        <v>12250</v>
      </c>
      <c r="O266" s="65">
        <f t="shared" ref="O266:O329" si="40">+IF((K266+M266-L266-N266&gt;0),K266+M266-L266-N266,0)/Deno</f>
        <v>0.78132200000000007</v>
      </c>
      <c r="P266" s="65">
        <f t="shared" ref="P266:P329" si="41">+IF((L266+N266-K266-M266)&gt;0,L266+N266-K266-M266,0)/Deno</f>
        <v>0</v>
      </c>
      <c r="Q266" s="1" t="s">
        <v>474</v>
      </c>
      <c r="R266" s="1">
        <v>19</v>
      </c>
      <c r="S266" s="1" t="s">
        <v>353</v>
      </c>
      <c r="T266" s="3" t="s">
        <v>470</v>
      </c>
    </row>
    <row r="267" spans="1:21" ht="15" customHeight="1">
      <c r="A267" s="16"/>
      <c r="B267" s="16"/>
      <c r="C267" s="16"/>
      <c r="D267" s="13" t="s">
        <v>475</v>
      </c>
      <c r="E267" s="581">
        <f>4608.48/(Deno)</f>
        <v>4.6084799999999995E-2</v>
      </c>
      <c r="F267" s="581">
        <f t="shared" si="37"/>
        <v>0</v>
      </c>
      <c r="G267" s="66"/>
      <c r="H267" s="66"/>
      <c r="I267" s="64">
        <v>34008.47</v>
      </c>
      <c r="J267" s="64">
        <v>0</v>
      </c>
      <c r="K267" s="65">
        <f t="shared" si="38"/>
        <v>34008.47</v>
      </c>
      <c r="L267" s="65">
        <f t="shared" si="39"/>
        <v>0</v>
      </c>
      <c r="M267" s="84"/>
      <c r="N267" s="84"/>
      <c r="O267" s="65">
        <f t="shared" si="40"/>
        <v>0.34008470000000002</v>
      </c>
      <c r="P267" s="65">
        <f t="shared" si="41"/>
        <v>0</v>
      </c>
      <c r="Q267" s="1" t="s">
        <v>476</v>
      </c>
      <c r="R267" s="1">
        <v>19</v>
      </c>
      <c r="S267" s="1" t="s">
        <v>353</v>
      </c>
      <c r="T267" s="3" t="s">
        <v>470</v>
      </c>
    </row>
    <row r="268" spans="1:21" ht="15" customHeight="1">
      <c r="A268" s="16"/>
      <c r="B268" s="16"/>
      <c r="C268" s="16"/>
      <c r="D268" s="13" t="s">
        <v>477</v>
      </c>
      <c r="E268" s="581">
        <f>0/(Deno)</f>
        <v>0</v>
      </c>
      <c r="F268" s="581">
        <f t="shared" si="37"/>
        <v>0</v>
      </c>
      <c r="G268" s="66"/>
      <c r="H268" s="66"/>
      <c r="I268" s="64">
        <v>0</v>
      </c>
      <c r="J268" s="64">
        <v>0</v>
      </c>
      <c r="K268" s="65">
        <f t="shared" si="38"/>
        <v>0</v>
      </c>
      <c r="L268" s="65">
        <f t="shared" si="39"/>
        <v>0</v>
      </c>
      <c r="M268" s="84"/>
      <c r="N268" s="84"/>
      <c r="O268" s="65">
        <f t="shared" si="40"/>
        <v>0</v>
      </c>
      <c r="P268" s="65">
        <f t="shared" si="41"/>
        <v>0</v>
      </c>
      <c r="Q268" s="1" t="s">
        <v>478</v>
      </c>
      <c r="R268" s="1">
        <v>19</v>
      </c>
      <c r="S268" s="1" t="s">
        <v>353</v>
      </c>
      <c r="T268" s="3" t="s">
        <v>470</v>
      </c>
    </row>
    <row r="269" spans="1:21" ht="15" customHeight="1">
      <c r="A269" s="16"/>
      <c r="B269" s="16"/>
      <c r="C269" s="18" t="s">
        <v>479</v>
      </c>
      <c r="D269" s="12"/>
      <c r="E269" s="581">
        <f>0/(Deno)</f>
        <v>0</v>
      </c>
      <c r="F269" s="581">
        <f t="shared" si="37"/>
        <v>0</v>
      </c>
      <c r="G269" s="66"/>
      <c r="H269" s="66"/>
      <c r="I269" s="64"/>
      <c r="J269" s="64"/>
      <c r="K269" s="65">
        <f t="shared" si="38"/>
        <v>0</v>
      </c>
      <c r="L269" s="65">
        <f t="shared" si="39"/>
        <v>0</v>
      </c>
      <c r="M269" s="84"/>
      <c r="N269" s="84"/>
      <c r="O269" s="65">
        <f t="shared" si="40"/>
        <v>0</v>
      </c>
      <c r="P269" s="65">
        <f t="shared" si="41"/>
        <v>0</v>
      </c>
    </row>
    <row r="270" spans="1:21" ht="15" customHeight="1">
      <c r="A270" s="16"/>
      <c r="B270" s="16"/>
      <c r="C270" s="16"/>
      <c r="D270" s="13" t="s">
        <v>480</v>
      </c>
      <c r="E270" s="581">
        <f>923700/(Deno)</f>
        <v>9.2370000000000001</v>
      </c>
      <c r="F270" s="581">
        <f t="shared" si="37"/>
        <v>0</v>
      </c>
      <c r="G270" s="66"/>
      <c r="H270" s="66"/>
      <c r="I270" s="64">
        <v>1431600</v>
      </c>
      <c r="J270" s="64">
        <v>0</v>
      </c>
      <c r="K270" s="65">
        <f t="shared" si="38"/>
        <v>1431600</v>
      </c>
      <c r="L270" s="65">
        <f t="shared" si="39"/>
        <v>0</v>
      </c>
      <c r="M270" s="84"/>
      <c r="N270" s="84"/>
      <c r="O270" s="65">
        <f t="shared" si="40"/>
        <v>14.316000000000001</v>
      </c>
      <c r="P270" s="65">
        <f t="shared" si="41"/>
        <v>0</v>
      </c>
      <c r="Q270" s="1" t="s">
        <v>481</v>
      </c>
      <c r="R270" s="1">
        <v>19</v>
      </c>
      <c r="S270" s="1" t="s">
        <v>353</v>
      </c>
      <c r="T270" s="3" t="s">
        <v>482</v>
      </c>
    </row>
    <row r="271" spans="1:21" ht="15" customHeight="1">
      <c r="A271" s="16"/>
      <c r="B271" s="16"/>
      <c r="C271" s="16"/>
      <c r="D271" s="13" t="s">
        <v>483</v>
      </c>
      <c r="E271" s="581">
        <f>538938/(Deno)</f>
        <v>5.3893800000000001</v>
      </c>
      <c r="F271" s="581">
        <f t="shared" si="37"/>
        <v>0</v>
      </c>
      <c r="G271" s="66"/>
      <c r="H271" s="66"/>
      <c r="I271" s="64">
        <v>68282</v>
      </c>
      <c r="J271" s="64">
        <v>0</v>
      </c>
      <c r="K271" s="65">
        <f t="shared" si="38"/>
        <v>68282</v>
      </c>
      <c r="L271" s="65">
        <f t="shared" si="39"/>
        <v>0</v>
      </c>
      <c r="M271" s="84"/>
      <c r="N271" s="84"/>
      <c r="O271" s="65">
        <f t="shared" si="40"/>
        <v>0.68281999999999998</v>
      </c>
      <c r="P271" s="65">
        <f t="shared" si="41"/>
        <v>0</v>
      </c>
      <c r="Q271" s="1" t="s">
        <v>1177</v>
      </c>
      <c r="R271" s="1">
        <v>19</v>
      </c>
      <c r="S271" s="1" t="s">
        <v>353</v>
      </c>
      <c r="T271" s="3" t="s">
        <v>437</v>
      </c>
    </row>
    <row r="272" spans="1:21" ht="15" customHeight="1">
      <c r="A272" s="16"/>
      <c r="B272" s="16"/>
      <c r="C272" s="16"/>
      <c r="D272" s="13" t="s">
        <v>484</v>
      </c>
      <c r="E272" s="581">
        <f>14940/(Deno)</f>
        <v>0.14940000000000001</v>
      </c>
      <c r="F272" s="581">
        <f t="shared" si="37"/>
        <v>0</v>
      </c>
      <c r="G272" s="66"/>
      <c r="H272" s="66"/>
      <c r="I272" s="64">
        <v>0</v>
      </c>
      <c r="J272" s="64">
        <v>0</v>
      </c>
      <c r="K272" s="65">
        <f t="shared" si="38"/>
        <v>0</v>
      </c>
      <c r="L272" s="65">
        <f t="shared" si="39"/>
        <v>0</v>
      </c>
      <c r="M272" s="84"/>
      <c r="N272" s="84"/>
      <c r="O272" s="65">
        <f t="shared" si="40"/>
        <v>0</v>
      </c>
      <c r="P272" s="65">
        <f t="shared" si="41"/>
        <v>0</v>
      </c>
      <c r="Q272" s="1" t="s">
        <v>1177</v>
      </c>
      <c r="R272" s="1">
        <v>19</v>
      </c>
      <c r="S272" s="1" t="s">
        <v>353</v>
      </c>
      <c r="T272" s="3" t="s">
        <v>437</v>
      </c>
    </row>
    <row r="273" spans="1:20" ht="15" customHeight="1">
      <c r="A273" s="16"/>
      <c r="B273" s="16"/>
      <c r="C273" s="16"/>
      <c r="D273" s="13" t="s">
        <v>485</v>
      </c>
      <c r="E273" s="581">
        <f>0/(Deno)</f>
        <v>0</v>
      </c>
      <c r="F273" s="581">
        <f t="shared" si="37"/>
        <v>0</v>
      </c>
      <c r="G273" s="66"/>
      <c r="H273" s="66"/>
      <c r="I273" s="64">
        <v>0</v>
      </c>
      <c r="J273" s="64">
        <v>0</v>
      </c>
      <c r="K273" s="65">
        <f t="shared" si="38"/>
        <v>0</v>
      </c>
      <c r="L273" s="65">
        <f t="shared" si="39"/>
        <v>0</v>
      </c>
      <c r="M273" s="84"/>
      <c r="N273" s="84"/>
      <c r="O273" s="65">
        <f t="shared" si="40"/>
        <v>0</v>
      </c>
      <c r="P273" s="65">
        <f t="shared" si="41"/>
        <v>0</v>
      </c>
      <c r="Q273" s="1" t="s">
        <v>486</v>
      </c>
      <c r="R273" s="1">
        <v>19</v>
      </c>
      <c r="S273" s="1" t="s">
        <v>353</v>
      </c>
      <c r="T273" s="3" t="s">
        <v>482</v>
      </c>
    </row>
    <row r="274" spans="1:20" ht="15" customHeight="1">
      <c r="A274" s="16"/>
      <c r="B274" s="16"/>
      <c r="C274" s="16"/>
      <c r="D274" s="13" t="s">
        <v>487</v>
      </c>
      <c r="E274" s="581">
        <f>0/(Deno)</f>
        <v>0</v>
      </c>
      <c r="F274" s="581">
        <f t="shared" si="37"/>
        <v>0</v>
      </c>
      <c r="G274" s="66"/>
      <c r="H274" s="66"/>
      <c r="I274" s="64">
        <v>0</v>
      </c>
      <c r="J274" s="64">
        <v>0</v>
      </c>
      <c r="K274" s="65">
        <f t="shared" si="38"/>
        <v>0</v>
      </c>
      <c r="L274" s="65">
        <f t="shared" si="39"/>
        <v>0</v>
      </c>
      <c r="M274" s="84"/>
      <c r="N274" s="84"/>
      <c r="O274" s="65">
        <f t="shared" si="40"/>
        <v>0</v>
      </c>
      <c r="P274" s="65">
        <f t="shared" si="41"/>
        <v>0</v>
      </c>
      <c r="Q274" s="1" t="s">
        <v>1177</v>
      </c>
      <c r="R274" s="1">
        <v>19</v>
      </c>
      <c r="S274" s="1" t="s">
        <v>353</v>
      </c>
      <c r="T274" s="3" t="s">
        <v>437</v>
      </c>
    </row>
    <row r="275" spans="1:20" ht="15" customHeight="1">
      <c r="A275" s="16"/>
      <c r="B275" s="16"/>
      <c r="C275" s="16"/>
      <c r="D275" s="13" t="s">
        <v>488</v>
      </c>
      <c r="E275" s="581">
        <f>90000/(Deno)</f>
        <v>0.9</v>
      </c>
      <c r="F275" s="581">
        <f t="shared" si="37"/>
        <v>0</v>
      </c>
      <c r="G275" s="66"/>
      <c r="H275" s="66"/>
      <c r="I275" s="64">
        <v>0</v>
      </c>
      <c r="J275" s="64">
        <v>0</v>
      </c>
      <c r="K275" s="65">
        <f t="shared" si="38"/>
        <v>0</v>
      </c>
      <c r="L275" s="65">
        <f t="shared" si="39"/>
        <v>0</v>
      </c>
      <c r="M275" s="84"/>
      <c r="N275" s="84"/>
      <c r="O275" s="65">
        <f t="shared" si="40"/>
        <v>0</v>
      </c>
      <c r="P275" s="65">
        <f t="shared" si="41"/>
        <v>0</v>
      </c>
      <c r="Q275" s="1" t="s">
        <v>489</v>
      </c>
      <c r="R275" s="1">
        <v>19</v>
      </c>
      <c r="S275" s="1" t="s">
        <v>353</v>
      </c>
      <c r="T275" s="3" t="s">
        <v>482</v>
      </c>
    </row>
    <row r="276" spans="1:20" ht="15" customHeight="1">
      <c r="A276" s="16"/>
      <c r="B276" s="16"/>
      <c r="C276" s="16"/>
      <c r="D276" s="13" t="s">
        <v>490</v>
      </c>
      <c r="E276" s="581">
        <f>0/(Deno)</f>
        <v>0</v>
      </c>
      <c r="F276" s="581">
        <f t="shared" si="37"/>
        <v>0</v>
      </c>
      <c r="G276" s="66"/>
      <c r="H276" s="66"/>
      <c r="I276" s="64">
        <v>0</v>
      </c>
      <c r="J276" s="64">
        <v>0</v>
      </c>
      <c r="K276" s="65">
        <f t="shared" si="38"/>
        <v>0</v>
      </c>
      <c r="L276" s="65">
        <f t="shared" si="39"/>
        <v>0</v>
      </c>
      <c r="M276" s="84"/>
      <c r="N276" s="84"/>
      <c r="O276" s="65">
        <f t="shared" si="40"/>
        <v>0</v>
      </c>
      <c r="P276" s="65">
        <f t="shared" si="41"/>
        <v>0</v>
      </c>
      <c r="Q276" s="1" t="s">
        <v>486</v>
      </c>
      <c r="R276" s="1">
        <v>19</v>
      </c>
      <c r="S276" s="1" t="s">
        <v>353</v>
      </c>
      <c r="T276" s="3" t="s">
        <v>482</v>
      </c>
    </row>
    <row r="277" spans="1:20" ht="15" customHeight="1">
      <c r="A277" s="16"/>
      <c r="B277" s="16"/>
      <c r="C277" s="16"/>
      <c r="D277" s="33" t="s">
        <v>491</v>
      </c>
      <c r="E277" s="581">
        <f>0/(Deno)</f>
        <v>0</v>
      </c>
      <c r="F277" s="581">
        <f t="shared" si="37"/>
        <v>0</v>
      </c>
      <c r="G277" s="66"/>
      <c r="H277" s="66"/>
      <c r="I277" s="64">
        <v>30000</v>
      </c>
      <c r="J277" s="64">
        <v>0</v>
      </c>
      <c r="K277" s="65">
        <f t="shared" si="38"/>
        <v>30000</v>
      </c>
      <c r="L277" s="65">
        <f t="shared" si="39"/>
        <v>0</v>
      </c>
      <c r="M277" s="84"/>
      <c r="N277" s="84"/>
      <c r="O277" s="65">
        <f t="shared" si="40"/>
        <v>0.3</v>
      </c>
      <c r="P277" s="65">
        <f t="shared" si="41"/>
        <v>0</v>
      </c>
      <c r="Q277" s="1" t="s">
        <v>486</v>
      </c>
      <c r="R277" s="1">
        <v>19</v>
      </c>
      <c r="S277" s="1" t="s">
        <v>353</v>
      </c>
      <c r="T277" s="3" t="s">
        <v>482</v>
      </c>
    </row>
    <row r="278" spans="1:20" ht="15" customHeight="1">
      <c r="A278" s="16"/>
      <c r="B278" s="16"/>
      <c r="C278" s="16"/>
      <c r="D278" s="13" t="s">
        <v>492</v>
      </c>
      <c r="E278" s="581">
        <f>0/(Deno)</f>
        <v>0</v>
      </c>
      <c r="F278" s="581">
        <f t="shared" si="37"/>
        <v>0</v>
      </c>
      <c r="G278" s="66"/>
      <c r="H278" s="66"/>
      <c r="I278" s="64">
        <v>0</v>
      </c>
      <c r="J278" s="64">
        <v>0</v>
      </c>
      <c r="K278" s="65">
        <f t="shared" si="38"/>
        <v>0</v>
      </c>
      <c r="L278" s="65">
        <f t="shared" si="39"/>
        <v>0</v>
      </c>
      <c r="M278" s="84"/>
      <c r="N278" s="84"/>
      <c r="O278" s="65">
        <f t="shared" si="40"/>
        <v>0</v>
      </c>
      <c r="P278" s="65">
        <f t="shared" si="41"/>
        <v>0</v>
      </c>
      <c r="Q278" s="1" t="s">
        <v>493</v>
      </c>
      <c r="R278" s="1">
        <v>19</v>
      </c>
      <c r="S278" s="1" t="s">
        <v>353</v>
      </c>
      <c r="T278" s="3" t="s">
        <v>482</v>
      </c>
    </row>
    <row r="279" spans="1:20" ht="15" customHeight="1">
      <c r="A279" s="16"/>
      <c r="B279" s="16"/>
      <c r="C279" s="18" t="s">
        <v>494</v>
      </c>
      <c r="D279" s="12"/>
      <c r="E279" s="581">
        <f>0/(Deno)</f>
        <v>0</v>
      </c>
      <c r="F279" s="581">
        <f t="shared" si="37"/>
        <v>0</v>
      </c>
      <c r="G279" s="66"/>
      <c r="H279" s="66"/>
      <c r="I279" s="64"/>
      <c r="J279" s="64"/>
      <c r="K279" s="65">
        <f t="shared" si="38"/>
        <v>0</v>
      </c>
      <c r="L279" s="65">
        <f t="shared" si="39"/>
        <v>0</v>
      </c>
      <c r="M279" s="84"/>
      <c r="N279" s="84"/>
      <c r="O279" s="65">
        <f t="shared" si="40"/>
        <v>0</v>
      </c>
      <c r="P279" s="65">
        <f t="shared" si="41"/>
        <v>0</v>
      </c>
    </row>
    <row r="280" spans="1:20" ht="15" customHeight="1">
      <c r="A280" s="16"/>
      <c r="B280" s="16"/>
      <c r="C280" s="16"/>
      <c r="D280" s="13" t="s">
        <v>495</v>
      </c>
      <c r="E280" s="581">
        <f>1920/(Deno)</f>
        <v>1.9199999999999998E-2</v>
      </c>
      <c r="F280" s="581">
        <f t="shared" si="37"/>
        <v>0</v>
      </c>
      <c r="G280" s="66"/>
      <c r="H280" s="66"/>
      <c r="I280" s="64">
        <v>1920</v>
      </c>
      <c r="J280" s="64">
        <v>0</v>
      </c>
      <c r="K280" s="65">
        <f t="shared" si="38"/>
        <v>1920</v>
      </c>
      <c r="L280" s="65">
        <f t="shared" si="39"/>
        <v>0</v>
      </c>
      <c r="M280" s="84"/>
      <c r="N280" s="84"/>
      <c r="O280" s="65">
        <f t="shared" si="40"/>
        <v>1.9199999999999998E-2</v>
      </c>
      <c r="P280" s="65">
        <f t="shared" si="41"/>
        <v>0</v>
      </c>
      <c r="Q280" s="1" t="s">
        <v>496</v>
      </c>
      <c r="R280" s="1">
        <v>19</v>
      </c>
      <c r="S280" s="1" t="s">
        <v>353</v>
      </c>
      <c r="T280" s="1" t="s">
        <v>497</v>
      </c>
    </row>
    <row r="281" spans="1:20" ht="15" customHeight="1">
      <c r="A281" s="16"/>
      <c r="B281" s="16"/>
      <c r="C281" s="16"/>
      <c r="D281" s="13" t="s">
        <v>498</v>
      </c>
      <c r="E281" s="581">
        <f>200278.5/(Deno)</f>
        <v>2.0027849999999998</v>
      </c>
      <c r="F281" s="581">
        <f t="shared" si="37"/>
        <v>0</v>
      </c>
      <c r="G281" s="66"/>
      <c r="H281" s="66"/>
      <c r="I281" s="64">
        <v>127702.91</v>
      </c>
      <c r="J281" s="64">
        <v>0</v>
      </c>
      <c r="K281" s="65">
        <f t="shared" si="38"/>
        <v>127702.91</v>
      </c>
      <c r="L281" s="65">
        <f t="shared" si="39"/>
        <v>0</v>
      </c>
      <c r="M281" s="84"/>
      <c r="N281" s="84"/>
      <c r="O281" s="65">
        <f t="shared" si="40"/>
        <v>1.2770291</v>
      </c>
      <c r="P281" s="65">
        <f t="shared" si="41"/>
        <v>0</v>
      </c>
      <c r="Q281" s="1" t="s">
        <v>499</v>
      </c>
      <c r="R281" s="1">
        <v>19</v>
      </c>
      <c r="S281" s="1" t="s">
        <v>353</v>
      </c>
      <c r="T281" s="1" t="s">
        <v>497</v>
      </c>
    </row>
    <row r="282" spans="1:20" ht="15" customHeight="1">
      <c r="A282" s="16"/>
      <c r="B282" s="16"/>
      <c r="C282" s="16"/>
      <c r="D282" s="13" t="s">
        <v>500</v>
      </c>
      <c r="E282" s="581">
        <f>179632.8/(Deno)</f>
        <v>1.7963279999999999</v>
      </c>
      <c r="F282" s="581">
        <f t="shared" si="37"/>
        <v>0</v>
      </c>
      <c r="G282" s="66"/>
      <c r="H282" s="66"/>
      <c r="I282" s="64">
        <v>293502.10000000009</v>
      </c>
      <c r="J282" s="64">
        <v>0</v>
      </c>
      <c r="K282" s="65">
        <f t="shared" si="38"/>
        <v>293502.10000000009</v>
      </c>
      <c r="L282" s="65">
        <f t="shared" si="39"/>
        <v>0</v>
      </c>
      <c r="M282" s="84"/>
      <c r="N282" s="84"/>
      <c r="O282" s="65">
        <f t="shared" si="40"/>
        <v>2.9350210000000008</v>
      </c>
      <c r="P282" s="65">
        <f t="shared" si="41"/>
        <v>0</v>
      </c>
      <c r="Q282" s="1" t="s">
        <v>501</v>
      </c>
      <c r="R282" s="1">
        <v>19</v>
      </c>
      <c r="S282" s="1" t="s">
        <v>353</v>
      </c>
      <c r="T282" s="1" t="s">
        <v>497</v>
      </c>
    </row>
    <row r="283" spans="1:20" ht="15" customHeight="1">
      <c r="A283" s="16"/>
      <c r="B283" s="16"/>
      <c r="C283" s="16"/>
      <c r="D283" s="13" t="s">
        <v>502</v>
      </c>
      <c r="E283" s="581">
        <f>0/(Deno)</f>
        <v>0</v>
      </c>
      <c r="F283" s="581">
        <f t="shared" ref="F283:F314" si="42">0/(Deno)</f>
        <v>0</v>
      </c>
      <c r="G283" s="66"/>
      <c r="H283" s="66"/>
      <c r="I283" s="64">
        <v>0</v>
      </c>
      <c r="J283" s="64">
        <v>0</v>
      </c>
      <c r="K283" s="65">
        <f t="shared" si="38"/>
        <v>0</v>
      </c>
      <c r="L283" s="65">
        <f t="shared" si="39"/>
        <v>0</v>
      </c>
      <c r="M283" s="84"/>
      <c r="N283" s="84"/>
      <c r="O283" s="65">
        <f t="shared" si="40"/>
        <v>0</v>
      </c>
      <c r="P283" s="65">
        <f t="shared" si="41"/>
        <v>0</v>
      </c>
      <c r="Q283" s="1" t="s">
        <v>503</v>
      </c>
      <c r="R283" s="1">
        <v>19</v>
      </c>
      <c r="S283" s="1" t="s">
        <v>353</v>
      </c>
      <c r="T283" s="1" t="s">
        <v>497</v>
      </c>
    </row>
    <row r="284" spans="1:20" ht="15" customHeight="1">
      <c r="A284" s="16"/>
      <c r="B284" s="16"/>
      <c r="C284" s="16"/>
      <c r="D284" s="13" t="s">
        <v>494</v>
      </c>
      <c r="E284" s="581">
        <f>191559/(Deno)</f>
        <v>1.9155899999999999</v>
      </c>
      <c r="F284" s="581">
        <f t="shared" si="42"/>
        <v>0</v>
      </c>
      <c r="G284" s="66"/>
      <c r="H284" s="66"/>
      <c r="I284" s="64">
        <v>843365</v>
      </c>
      <c r="J284" s="64">
        <v>0</v>
      </c>
      <c r="K284" s="65">
        <f t="shared" si="38"/>
        <v>843365</v>
      </c>
      <c r="L284" s="65">
        <f t="shared" si="39"/>
        <v>0</v>
      </c>
      <c r="M284" s="84">
        <f>+'Audit entry'!D141</f>
        <v>366831.04</v>
      </c>
      <c r="N284" s="84"/>
      <c r="O284" s="65">
        <f t="shared" si="40"/>
        <v>12.101960400000001</v>
      </c>
      <c r="P284" s="65">
        <f t="shared" si="41"/>
        <v>0</v>
      </c>
      <c r="Q284" s="1" t="s">
        <v>504</v>
      </c>
      <c r="R284" s="1">
        <v>19</v>
      </c>
      <c r="S284" s="1" t="s">
        <v>353</v>
      </c>
      <c r="T284" s="1" t="s">
        <v>497</v>
      </c>
    </row>
    <row r="285" spans="1:20" ht="15" customHeight="1">
      <c r="A285" s="16"/>
      <c r="B285" s="16"/>
      <c r="C285" s="18" t="s">
        <v>505</v>
      </c>
      <c r="D285" s="12"/>
      <c r="E285" s="581">
        <f>0/(Deno)</f>
        <v>0</v>
      </c>
      <c r="F285" s="581">
        <f t="shared" si="42"/>
        <v>0</v>
      </c>
      <c r="G285" s="66"/>
      <c r="H285" s="66"/>
      <c r="I285" s="64"/>
      <c r="J285" s="64"/>
      <c r="K285" s="65">
        <f t="shared" si="38"/>
        <v>0</v>
      </c>
      <c r="L285" s="65">
        <f t="shared" si="39"/>
        <v>0</v>
      </c>
      <c r="M285" s="84"/>
      <c r="N285" s="84"/>
      <c r="O285" s="65">
        <f t="shared" si="40"/>
        <v>0</v>
      </c>
      <c r="P285" s="65">
        <f t="shared" si="41"/>
        <v>0</v>
      </c>
    </row>
    <row r="286" spans="1:20" ht="15" customHeight="1">
      <c r="A286" s="16"/>
      <c r="B286" s="16"/>
      <c r="C286" s="16"/>
      <c r="D286" s="13" t="s">
        <v>506</v>
      </c>
      <c r="E286" s="581">
        <f>125000/(Deno)</f>
        <v>1.25</v>
      </c>
      <c r="F286" s="581">
        <f t="shared" si="42"/>
        <v>0</v>
      </c>
      <c r="G286" s="66"/>
      <c r="H286" s="66"/>
      <c r="I286" s="64">
        <v>0</v>
      </c>
      <c r="J286" s="64">
        <v>0</v>
      </c>
      <c r="K286" s="65">
        <f t="shared" si="38"/>
        <v>0</v>
      </c>
      <c r="L286" s="65">
        <f t="shared" si="39"/>
        <v>0</v>
      </c>
      <c r="M286" s="84">
        <f>+'Audit entry'!D27</f>
        <v>100000</v>
      </c>
      <c r="N286" s="84"/>
      <c r="O286" s="65">
        <f t="shared" si="40"/>
        <v>1</v>
      </c>
      <c r="P286" s="65">
        <f t="shared" si="41"/>
        <v>0</v>
      </c>
      <c r="Q286" s="1" t="s">
        <v>507</v>
      </c>
      <c r="R286" s="1">
        <v>19</v>
      </c>
      <c r="S286" s="1" t="s">
        <v>353</v>
      </c>
      <c r="T286" s="3" t="s">
        <v>507</v>
      </c>
    </row>
    <row r="287" spans="1:20" ht="15" customHeight="1">
      <c r="A287" s="16"/>
      <c r="B287" s="16"/>
      <c r="C287" s="16"/>
      <c r="D287" s="13" t="s">
        <v>508</v>
      </c>
      <c r="E287" s="581">
        <f>100000/(Deno)</f>
        <v>1</v>
      </c>
      <c r="F287" s="581">
        <f t="shared" si="42"/>
        <v>0</v>
      </c>
      <c r="G287" s="66"/>
      <c r="H287" s="66"/>
      <c r="I287" s="64"/>
      <c r="J287" s="64"/>
      <c r="K287" s="65">
        <f t="shared" si="38"/>
        <v>0</v>
      </c>
      <c r="L287" s="65">
        <f t="shared" si="39"/>
        <v>0</v>
      </c>
      <c r="M287" s="84">
        <f>+'Audit entry'!D26</f>
        <v>125000</v>
      </c>
      <c r="N287" s="84"/>
      <c r="O287" s="65">
        <f t="shared" si="40"/>
        <v>1.25</v>
      </c>
      <c r="P287" s="65">
        <f t="shared" si="41"/>
        <v>0</v>
      </c>
      <c r="Q287" s="1" t="s">
        <v>507</v>
      </c>
      <c r="R287" s="1">
        <v>19</v>
      </c>
      <c r="S287" s="1" t="s">
        <v>353</v>
      </c>
      <c r="T287" s="3" t="s">
        <v>507</v>
      </c>
    </row>
    <row r="288" spans="1:20" ht="15" customHeight="1">
      <c r="A288" s="16"/>
      <c r="B288" s="16"/>
      <c r="C288" s="18" t="s">
        <v>509</v>
      </c>
      <c r="D288" s="12"/>
      <c r="E288" s="581">
        <f>0/(Deno)</f>
        <v>0</v>
      </c>
      <c r="F288" s="581">
        <f t="shared" si="42"/>
        <v>0</v>
      </c>
      <c r="G288" s="66"/>
      <c r="H288" s="66"/>
      <c r="I288" s="64"/>
      <c r="J288" s="64"/>
      <c r="K288" s="65">
        <f t="shared" si="38"/>
        <v>0</v>
      </c>
      <c r="L288" s="65">
        <f t="shared" si="39"/>
        <v>0</v>
      </c>
      <c r="M288" s="84"/>
      <c r="N288" s="84"/>
      <c r="O288" s="65">
        <f t="shared" si="40"/>
        <v>0</v>
      </c>
      <c r="P288" s="65">
        <f t="shared" si="41"/>
        <v>0</v>
      </c>
    </row>
    <row r="289" spans="1:20" ht="15" customHeight="1">
      <c r="A289" s="16"/>
      <c r="B289" s="16"/>
      <c r="C289" s="16"/>
      <c r="D289" s="13" t="s">
        <v>510</v>
      </c>
      <c r="E289" s="581">
        <f>108329/(Deno)</f>
        <v>1.0832900000000001</v>
      </c>
      <c r="F289" s="581">
        <f t="shared" si="42"/>
        <v>0</v>
      </c>
      <c r="G289" s="66"/>
      <c r="H289" s="66"/>
      <c r="I289" s="64">
        <v>94783.639999999985</v>
      </c>
      <c r="J289" s="64">
        <v>0</v>
      </c>
      <c r="K289" s="65">
        <f t="shared" si="38"/>
        <v>94783.639999999985</v>
      </c>
      <c r="L289" s="65">
        <f t="shared" si="39"/>
        <v>0</v>
      </c>
      <c r="M289" s="84"/>
      <c r="N289" s="84"/>
      <c r="O289" s="65">
        <f t="shared" si="40"/>
        <v>0.9478363999999998</v>
      </c>
      <c r="P289" s="65">
        <f t="shared" si="41"/>
        <v>0</v>
      </c>
      <c r="Q289" s="1" t="s">
        <v>511</v>
      </c>
      <c r="R289" s="1">
        <v>19</v>
      </c>
      <c r="S289" s="1" t="s">
        <v>353</v>
      </c>
      <c r="T289" s="3" t="s">
        <v>360</v>
      </c>
    </row>
    <row r="290" spans="1:20" ht="15" customHeight="1">
      <c r="A290" s="16"/>
      <c r="B290" s="16"/>
      <c r="C290" s="16"/>
      <c r="D290" s="13" t="s">
        <v>512</v>
      </c>
      <c r="E290" s="581">
        <f>83659.75/(Deno)</f>
        <v>0.83659749999999999</v>
      </c>
      <c r="F290" s="581">
        <f t="shared" si="42"/>
        <v>0</v>
      </c>
      <c r="G290" s="66"/>
      <c r="H290" s="66"/>
      <c r="I290" s="64">
        <v>105501.6</v>
      </c>
      <c r="J290" s="64">
        <v>0</v>
      </c>
      <c r="K290" s="65">
        <f t="shared" si="38"/>
        <v>105501.6</v>
      </c>
      <c r="L290" s="65">
        <f t="shared" si="39"/>
        <v>0</v>
      </c>
      <c r="M290" s="84"/>
      <c r="N290" s="84"/>
      <c r="O290" s="65">
        <f t="shared" si="40"/>
        <v>1.055016</v>
      </c>
      <c r="P290" s="65">
        <f t="shared" si="41"/>
        <v>0</v>
      </c>
      <c r="Q290" s="1" t="s">
        <v>513</v>
      </c>
      <c r="R290" s="1">
        <v>19</v>
      </c>
      <c r="S290" s="1" t="s">
        <v>353</v>
      </c>
      <c r="T290" s="3" t="s">
        <v>360</v>
      </c>
    </row>
    <row r="291" spans="1:20" ht="15" customHeight="1">
      <c r="A291" s="16"/>
      <c r="B291" s="16"/>
      <c r="C291" s="16"/>
      <c r="D291" s="13" t="s">
        <v>514</v>
      </c>
      <c r="E291" s="581">
        <f>579890.31/(Deno)</f>
        <v>5.7989031000000004</v>
      </c>
      <c r="F291" s="581">
        <f t="shared" si="42"/>
        <v>0</v>
      </c>
      <c r="G291" s="66"/>
      <c r="H291" s="66"/>
      <c r="I291" s="64">
        <v>535554.87</v>
      </c>
      <c r="J291" s="64">
        <v>0</v>
      </c>
      <c r="K291" s="65">
        <f t="shared" si="38"/>
        <v>535554.87</v>
      </c>
      <c r="L291" s="65">
        <f t="shared" si="39"/>
        <v>0</v>
      </c>
      <c r="M291" s="84"/>
      <c r="N291" s="84"/>
      <c r="O291" s="65">
        <f t="shared" si="40"/>
        <v>5.3555486999999999</v>
      </c>
      <c r="P291" s="65">
        <f t="shared" si="41"/>
        <v>0</v>
      </c>
      <c r="Q291" s="1" t="s">
        <v>515</v>
      </c>
      <c r="R291" s="1">
        <v>19</v>
      </c>
      <c r="S291" s="1" t="s">
        <v>353</v>
      </c>
      <c r="T291" s="3" t="s">
        <v>360</v>
      </c>
    </row>
    <row r="292" spans="1:20" ht="15" customHeight="1">
      <c r="A292" s="16"/>
      <c r="B292" s="16"/>
      <c r="C292" s="16"/>
      <c r="D292" s="13" t="s">
        <v>516</v>
      </c>
      <c r="E292" s="581">
        <f>0/(Deno)</f>
        <v>0</v>
      </c>
      <c r="F292" s="581">
        <f t="shared" si="42"/>
        <v>0</v>
      </c>
      <c r="G292" s="66"/>
      <c r="H292" s="66"/>
      <c r="I292" s="64">
        <v>0</v>
      </c>
      <c r="J292" s="64">
        <v>0</v>
      </c>
      <c r="K292" s="65">
        <f t="shared" si="38"/>
        <v>0</v>
      </c>
      <c r="L292" s="65">
        <f t="shared" si="39"/>
        <v>0</v>
      </c>
      <c r="M292" s="84"/>
      <c r="N292" s="84"/>
      <c r="O292" s="65">
        <f t="shared" si="40"/>
        <v>0</v>
      </c>
      <c r="P292" s="65">
        <f t="shared" si="41"/>
        <v>0</v>
      </c>
      <c r="Q292" s="1" t="s">
        <v>515</v>
      </c>
      <c r="R292" s="1">
        <v>19</v>
      </c>
      <c r="S292" s="1" t="s">
        <v>353</v>
      </c>
      <c r="T292" s="3" t="s">
        <v>360</v>
      </c>
    </row>
    <row r="293" spans="1:20" ht="15" customHeight="1">
      <c r="A293" s="16"/>
      <c r="B293" s="16"/>
      <c r="C293" s="16"/>
      <c r="D293" s="13" t="s">
        <v>517</v>
      </c>
      <c r="E293" s="581">
        <f>282656.46/(Deno)</f>
        <v>2.8265646000000002</v>
      </c>
      <c r="F293" s="581">
        <f t="shared" si="42"/>
        <v>0</v>
      </c>
      <c r="G293" s="66"/>
      <c r="H293" s="66"/>
      <c r="I293" s="64">
        <v>250621.77000000002</v>
      </c>
      <c r="J293" s="64">
        <v>0</v>
      </c>
      <c r="K293" s="65">
        <f t="shared" si="38"/>
        <v>250621.77000000002</v>
      </c>
      <c r="L293" s="65">
        <f t="shared" si="39"/>
        <v>0</v>
      </c>
      <c r="M293" s="84"/>
      <c r="N293" s="84"/>
      <c r="O293" s="65">
        <f t="shared" si="40"/>
        <v>2.5062177000000001</v>
      </c>
      <c r="P293" s="65">
        <f t="shared" si="41"/>
        <v>0</v>
      </c>
      <c r="Q293" s="1" t="s">
        <v>518</v>
      </c>
      <c r="R293" s="1">
        <v>19</v>
      </c>
      <c r="S293" s="1" t="s">
        <v>353</v>
      </c>
      <c r="T293" s="3" t="s">
        <v>360</v>
      </c>
    </row>
    <row r="294" spans="1:20" ht="15" customHeight="1">
      <c r="A294" s="16"/>
      <c r="B294" s="16"/>
      <c r="C294" s="16"/>
      <c r="D294" s="13" t="s">
        <v>519</v>
      </c>
      <c r="E294" s="581">
        <f>9255/(Deno)</f>
        <v>9.2549999999999993E-2</v>
      </c>
      <c r="F294" s="581">
        <f t="shared" si="42"/>
        <v>0</v>
      </c>
      <c r="G294" s="66"/>
      <c r="H294" s="66"/>
      <c r="I294" s="64">
        <v>144763</v>
      </c>
      <c r="J294" s="64">
        <v>0</v>
      </c>
      <c r="K294" s="65">
        <f t="shared" si="38"/>
        <v>144763</v>
      </c>
      <c r="L294" s="65">
        <f t="shared" si="39"/>
        <v>0</v>
      </c>
      <c r="M294" s="84"/>
      <c r="N294" s="84"/>
      <c r="O294" s="65">
        <f t="shared" si="40"/>
        <v>1.44763</v>
      </c>
      <c r="P294" s="65">
        <f t="shared" si="41"/>
        <v>0</v>
      </c>
      <c r="Q294" s="1" t="s">
        <v>520</v>
      </c>
      <c r="R294" s="1">
        <v>19</v>
      </c>
      <c r="S294" s="1" t="s">
        <v>353</v>
      </c>
      <c r="T294" s="3" t="s">
        <v>360</v>
      </c>
    </row>
    <row r="295" spans="1:20" ht="15" customHeight="1">
      <c r="A295" s="16"/>
      <c r="B295" s="16"/>
      <c r="C295" s="16"/>
      <c r="D295" s="13" t="s">
        <v>521</v>
      </c>
      <c r="E295" s="581">
        <f>0/(Deno)</f>
        <v>0</v>
      </c>
      <c r="F295" s="581">
        <f t="shared" si="42"/>
        <v>0</v>
      </c>
      <c r="G295" s="66"/>
      <c r="H295" s="66"/>
      <c r="I295" s="64">
        <v>0</v>
      </c>
      <c r="J295" s="64">
        <v>0</v>
      </c>
      <c r="K295" s="65">
        <f t="shared" si="38"/>
        <v>0</v>
      </c>
      <c r="L295" s="65">
        <f t="shared" si="39"/>
        <v>0</v>
      </c>
      <c r="M295" s="84"/>
      <c r="N295" s="84"/>
      <c r="O295" s="65">
        <f t="shared" si="40"/>
        <v>0</v>
      </c>
      <c r="P295" s="65">
        <f t="shared" si="41"/>
        <v>0</v>
      </c>
      <c r="Q295" s="1" t="s">
        <v>522</v>
      </c>
      <c r="R295" s="1">
        <v>19</v>
      </c>
      <c r="S295" s="1" t="s">
        <v>353</v>
      </c>
      <c r="T295" s="3" t="s">
        <v>360</v>
      </c>
    </row>
    <row r="296" spans="1:20" ht="15" customHeight="1">
      <c r="A296" s="16"/>
      <c r="B296" s="16"/>
      <c r="C296" s="16"/>
      <c r="D296" s="13" t="s">
        <v>523</v>
      </c>
      <c r="E296" s="581">
        <f>310537.84/(Deno)</f>
        <v>3.1053784000000002</v>
      </c>
      <c r="F296" s="581">
        <f t="shared" si="42"/>
        <v>0</v>
      </c>
      <c r="G296" s="66"/>
      <c r="H296" s="66"/>
      <c r="I296" s="64">
        <v>461666.80000000005</v>
      </c>
      <c r="J296" s="64">
        <v>0</v>
      </c>
      <c r="K296" s="65">
        <f t="shared" si="38"/>
        <v>461666.80000000005</v>
      </c>
      <c r="L296" s="65">
        <f t="shared" si="39"/>
        <v>0</v>
      </c>
      <c r="M296" s="84"/>
      <c r="N296" s="84"/>
      <c r="O296" s="65">
        <f t="shared" si="40"/>
        <v>4.6166680000000007</v>
      </c>
      <c r="P296" s="65">
        <f t="shared" si="41"/>
        <v>0</v>
      </c>
      <c r="Q296" s="1" t="s">
        <v>524</v>
      </c>
      <c r="R296" s="1">
        <v>19</v>
      </c>
      <c r="S296" s="1" t="s">
        <v>353</v>
      </c>
      <c r="T296" s="3" t="s">
        <v>360</v>
      </c>
    </row>
    <row r="297" spans="1:20" ht="15" customHeight="1">
      <c r="A297" s="16"/>
      <c r="B297" s="16"/>
      <c r="C297" s="16"/>
      <c r="D297" s="13" t="s">
        <v>525</v>
      </c>
      <c r="E297" s="581">
        <f>36000/(Deno)</f>
        <v>0.36</v>
      </c>
      <c r="F297" s="581">
        <f t="shared" si="42"/>
        <v>0</v>
      </c>
      <c r="G297" s="66"/>
      <c r="H297" s="66"/>
      <c r="I297" s="64">
        <v>171504.66999999998</v>
      </c>
      <c r="J297" s="64">
        <v>0</v>
      </c>
      <c r="K297" s="65">
        <f t="shared" si="38"/>
        <v>171504.66999999998</v>
      </c>
      <c r="L297" s="65">
        <f t="shared" si="39"/>
        <v>0</v>
      </c>
      <c r="M297" s="84"/>
      <c r="N297" s="84"/>
      <c r="O297" s="65">
        <f t="shared" si="40"/>
        <v>1.7150466999999998</v>
      </c>
      <c r="P297" s="65">
        <f t="shared" si="41"/>
        <v>0</v>
      </c>
      <c r="Q297" s="1" t="s">
        <v>515</v>
      </c>
      <c r="R297" s="1">
        <v>19</v>
      </c>
      <c r="S297" s="1" t="s">
        <v>353</v>
      </c>
      <c r="T297" s="3" t="s">
        <v>360</v>
      </c>
    </row>
    <row r="298" spans="1:20" ht="15" customHeight="1">
      <c r="A298" s="16"/>
      <c r="B298" s="16"/>
      <c r="C298" s="16"/>
      <c r="D298" s="13" t="s">
        <v>526</v>
      </c>
      <c r="E298" s="581">
        <f>825540/(Deno)</f>
        <v>8.2553999999999998</v>
      </c>
      <c r="F298" s="581">
        <f t="shared" si="42"/>
        <v>0</v>
      </c>
      <c r="G298" s="66"/>
      <c r="H298" s="66"/>
      <c r="I298" s="64">
        <v>528370.89</v>
      </c>
      <c r="J298" s="64">
        <v>0</v>
      </c>
      <c r="K298" s="65">
        <f t="shared" si="38"/>
        <v>528370.89</v>
      </c>
      <c r="L298" s="65">
        <f t="shared" si="39"/>
        <v>0</v>
      </c>
      <c r="M298" s="84">
        <f>+'Audit entry'!D18</f>
        <v>10000</v>
      </c>
      <c r="N298" s="84"/>
      <c r="O298" s="65">
        <f t="shared" si="40"/>
        <v>5.3837089000000002</v>
      </c>
      <c r="P298" s="65">
        <f t="shared" si="41"/>
        <v>0</v>
      </c>
      <c r="Q298" s="1" t="s">
        <v>1178</v>
      </c>
      <c r="R298" s="1">
        <v>19</v>
      </c>
      <c r="S298" s="1" t="s">
        <v>353</v>
      </c>
      <c r="T298" s="3" t="s">
        <v>482</v>
      </c>
    </row>
    <row r="299" spans="1:20" ht="15" customHeight="1">
      <c r="A299" s="16"/>
      <c r="B299" s="16"/>
      <c r="C299" s="16"/>
      <c r="D299" s="13" t="s">
        <v>527</v>
      </c>
      <c r="E299" s="581">
        <f>14500/(Deno)</f>
        <v>0.14499999999999999</v>
      </c>
      <c r="F299" s="581">
        <f t="shared" si="42"/>
        <v>0</v>
      </c>
      <c r="G299" s="66"/>
      <c r="H299" s="66"/>
      <c r="I299" s="64">
        <v>0</v>
      </c>
      <c r="J299" s="64">
        <v>0</v>
      </c>
      <c r="K299" s="65">
        <f t="shared" si="38"/>
        <v>0</v>
      </c>
      <c r="L299" s="65">
        <f t="shared" si="39"/>
        <v>0</v>
      </c>
      <c r="M299" s="84"/>
      <c r="N299" s="84"/>
      <c r="O299" s="65">
        <f t="shared" si="40"/>
        <v>0</v>
      </c>
      <c r="P299" s="65">
        <f t="shared" si="41"/>
        <v>0</v>
      </c>
      <c r="Q299" s="1" t="s">
        <v>528</v>
      </c>
      <c r="R299" s="1">
        <v>19</v>
      </c>
      <c r="S299" s="1" t="s">
        <v>353</v>
      </c>
      <c r="T299" s="3" t="s">
        <v>360</v>
      </c>
    </row>
    <row r="300" spans="1:20" ht="15" customHeight="1">
      <c r="A300" s="16"/>
      <c r="B300" s="16"/>
      <c r="C300" s="16"/>
      <c r="D300" s="13" t="s">
        <v>529</v>
      </c>
      <c r="E300" s="581">
        <f>54000/(Deno)</f>
        <v>0.54</v>
      </c>
      <c r="F300" s="581">
        <f t="shared" si="42"/>
        <v>0</v>
      </c>
      <c r="G300" s="66"/>
      <c r="H300" s="66"/>
      <c r="I300" s="64">
        <v>57500</v>
      </c>
      <c r="J300" s="64">
        <v>0</v>
      </c>
      <c r="K300" s="65">
        <f t="shared" si="38"/>
        <v>57500</v>
      </c>
      <c r="L300" s="65">
        <f t="shared" si="39"/>
        <v>0</v>
      </c>
      <c r="M300" s="84"/>
      <c r="N300" s="84"/>
      <c r="O300" s="65">
        <f t="shared" si="40"/>
        <v>0.57499999999999996</v>
      </c>
      <c r="P300" s="65">
        <f t="shared" si="41"/>
        <v>0</v>
      </c>
      <c r="Q300" s="1" t="s">
        <v>515</v>
      </c>
      <c r="R300" s="1">
        <v>19</v>
      </c>
      <c r="S300" s="1" t="s">
        <v>353</v>
      </c>
      <c r="T300" s="3" t="s">
        <v>360</v>
      </c>
    </row>
    <row r="301" spans="1:20" ht="15" customHeight="1">
      <c r="A301" s="16"/>
      <c r="B301" s="16"/>
      <c r="C301" s="16"/>
      <c r="D301" s="13" t="s">
        <v>530</v>
      </c>
      <c r="E301" s="581">
        <f>0/(Deno)</f>
        <v>0</v>
      </c>
      <c r="F301" s="581">
        <f t="shared" si="42"/>
        <v>0</v>
      </c>
      <c r="G301" s="66"/>
      <c r="H301" s="66"/>
      <c r="I301" s="64">
        <v>33000</v>
      </c>
      <c r="J301" s="64">
        <v>0</v>
      </c>
      <c r="K301" s="65">
        <f t="shared" si="38"/>
        <v>33000</v>
      </c>
      <c r="L301" s="65">
        <f t="shared" si="39"/>
        <v>0</v>
      </c>
      <c r="M301" s="84"/>
      <c r="N301" s="84"/>
      <c r="O301" s="65">
        <f t="shared" si="40"/>
        <v>0.33</v>
      </c>
      <c r="P301" s="65">
        <f t="shared" si="41"/>
        <v>0</v>
      </c>
      <c r="Q301" s="1" t="s">
        <v>531</v>
      </c>
      <c r="R301" s="1">
        <v>19</v>
      </c>
      <c r="S301" s="1" t="s">
        <v>353</v>
      </c>
      <c r="T301" s="3" t="s">
        <v>360</v>
      </c>
    </row>
    <row r="302" spans="1:20" ht="15" customHeight="1">
      <c r="A302" s="16"/>
      <c r="B302" s="16"/>
      <c r="C302" s="16"/>
      <c r="D302" s="13" t="s">
        <v>532</v>
      </c>
      <c r="E302" s="581">
        <f>2059400/(Deno)</f>
        <v>20.594000000000001</v>
      </c>
      <c r="F302" s="581">
        <f t="shared" si="42"/>
        <v>0</v>
      </c>
      <c r="G302" s="66"/>
      <c r="H302" s="66"/>
      <c r="I302" s="64">
        <v>75000</v>
      </c>
      <c r="J302" s="64">
        <v>0</v>
      </c>
      <c r="K302" s="65">
        <f t="shared" si="38"/>
        <v>75000</v>
      </c>
      <c r="L302" s="65">
        <f t="shared" si="39"/>
        <v>0</v>
      </c>
      <c r="M302" s="84"/>
      <c r="N302" s="84"/>
      <c r="O302" s="65">
        <f t="shared" si="40"/>
        <v>0.75</v>
      </c>
      <c r="P302" s="65">
        <f t="shared" si="41"/>
        <v>0</v>
      </c>
      <c r="Q302" s="31" t="s">
        <v>511</v>
      </c>
      <c r="R302" s="1">
        <v>19</v>
      </c>
      <c r="S302" s="31" t="s">
        <v>353</v>
      </c>
      <c r="T302" s="3" t="s">
        <v>360</v>
      </c>
    </row>
    <row r="303" spans="1:20" ht="15" customHeight="1">
      <c r="A303" s="16"/>
      <c r="B303" s="16"/>
      <c r="C303" s="16"/>
      <c r="D303" s="13" t="s">
        <v>533</v>
      </c>
      <c r="E303" s="581">
        <f t="shared" ref="E303:E308" si="43">0/(Deno)</f>
        <v>0</v>
      </c>
      <c r="F303" s="581">
        <f t="shared" si="42"/>
        <v>0</v>
      </c>
      <c r="G303" s="66"/>
      <c r="H303" s="66"/>
      <c r="I303" s="64">
        <v>0</v>
      </c>
      <c r="J303" s="64">
        <v>0</v>
      </c>
      <c r="K303" s="65">
        <f t="shared" si="38"/>
        <v>0</v>
      </c>
      <c r="L303" s="65">
        <f t="shared" si="39"/>
        <v>0</v>
      </c>
      <c r="M303" s="84"/>
      <c r="N303" s="84"/>
      <c r="O303" s="65">
        <f t="shared" si="40"/>
        <v>0</v>
      </c>
      <c r="P303" s="65">
        <f t="shared" si="41"/>
        <v>0</v>
      </c>
      <c r="Q303" s="1" t="s">
        <v>533</v>
      </c>
      <c r="R303" s="1">
        <v>19</v>
      </c>
      <c r="S303" s="1" t="s">
        <v>353</v>
      </c>
      <c r="T303" s="3" t="s">
        <v>360</v>
      </c>
    </row>
    <row r="304" spans="1:20" ht="15" customHeight="1">
      <c r="A304" s="16"/>
      <c r="B304" s="16"/>
      <c r="C304" s="16"/>
      <c r="D304" s="39" t="s">
        <v>534</v>
      </c>
      <c r="E304" s="581">
        <f t="shared" si="43"/>
        <v>0</v>
      </c>
      <c r="F304" s="581">
        <f t="shared" si="42"/>
        <v>0</v>
      </c>
      <c r="G304" s="66"/>
      <c r="H304" s="66"/>
      <c r="I304" s="64">
        <v>0</v>
      </c>
      <c r="J304" s="64">
        <v>0</v>
      </c>
      <c r="K304" s="65">
        <f t="shared" si="38"/>
        <v>0</v>
      </c>
      <c r="L304" s="65">
        <f t="shared" si="39"/>
        <v>0</v>
      </c>
      <c r="M304" s="84"/>
      <c r="N304" s="84"/>
      <c r="O304" s="65">
        <f t="shared" si="40"/>
        <v>0</v>
      </c>
      <c r="P304" s="65">
        <f t="shared" si="41"/>
        <v>0</v>
      </c>
      <c r="Q304" s="1" t="s">
        <v>535</v>
      </c>
      <c r="R304" s="1">
        <v>19</v>
      </c>
      <c r="S304" s="1" t="s">
        <v>353</v>
      </c>
      <c r="T304" s="3" t="s">
        <v>360</v>
      </c>
    </row>
    <row r="305" spans="1:20" ht="15" customHeight="1">
      <c r="A305" s="16"/>
      <c r="B305" s="16"/>
      <c r="C305" s="16"/>
      <c r="D305" s="13" t="s">
        <v>536</v>
      </c>
      <c r="E305" s="581">
        <f t="shared" si="43"/>
        <v>0</v>
      </c>
      <c r="F305" s="581">
        <f t="shared" si="42"/>
        <v>0</v>
      </c>
      <c r="G305" s="66"/>
      <c r="H305" s="66"/>
      <c r="I305" s="64">
        <v>0</v>
      </c>
      <c r="J305" s="64">
        <v>0</v>
      </c>
      <c r="K305" s="65">
        <f t="shared" si="38"/>
        <v>0</v>
      </c>
      <c r="L305" s="65">
        <f t="shared" si="39"/>
        <v>0</v>
      </c>
      <c r="M305" s="84"/>
      <c r="N305" s="84"/>
      <c r="O305" s="65">
        <f t="shared" si="40"/>
        <v>0</v>
      </c>
      <c r="P305" s="65">
        <f t="shared" si="41"/>
        <v>0</v>
      </c>
      <c r="Q305" s="1" t="s">
        <v>536</v>
      </c>
      <c r="R305" s="1">
        <v>19</v>
      </c>
      <c r="S305" s="1" t="s">
        <v>353</v>
      </c>
      <c r="T305" s="3" t="s">
        <v>360</v>
      </c>
    </row>
    <row r="306" spans="1:20" ht="15" customHeight="1">
      <c r="A306" s="16"/>
      <c r="B306" s="16"/>
      <c r="C306" s="16"/>
      <c r="D306" s="39" t="s">
        <v>537</v>
      </c>
      <c r="E306" s="581">
        <f t="shared" si="43"/>
        <v>0</v>
      </c>
      <c r="F306" s="581">
        <f t="shared" si="42"/>
        <v>0</v>
      </c>
      <c r="G306" s="66"/>
      <c r="H306" s="66"/>
      <c r="I306" s="64">
        <v>4222.62</v>
      </c>
      <c r="J306" s="64">
        <v>0</v>
      </c>
      <c r="K306" s="65">
        <f t="shared" si="38"/>
        <v>4222.62</v>
      </c>
      <c r="L306" s="65">
        <f t="shared" si="39"/>
        <v>0</v>
      </c>
      <c r="M306" s="84"/>
      <c r="N306" s="84"/>
      <c r="O306" s="65">
        <f t="shared" si="40"/>
        <v>4.2226199999999998E-2</v>
      </c>
      <c r="P306" s="65">
        <f t="shared" si="41"/>
        <v>0</v>
      </c>
      <c r="Q306" s="1" t="s">
        <v>511</v>
      </c>
      <c r="R306" s="1">
        <v>19</v>
      </c>
      <c r="S306" s="1" t="s">
        <v>353</v>
      </c>
      <c r="T306" s="3" t="s">
        <v>360</v>
      </c>
    </row>
    <row r="307" spans="1:20" ht="15" customHeight="1">
      <c r="A307" s="16"/>
      <c r="B307" s="17" t="s">
        <v>538</v>
      </c>
      <c r="C307" s="17"/>
      <c r="D307" s="12"/>
      <c r="E307" s="581">
        <f t="shared" si="43"/>
        <v>0</v>
      </c>
      <c r="F307" s="581">
        <f t="shared" si="42"/>
        <v>0</v>
      </c>
      <c r="G307" s="66"/>
      <c r="H307" s="66"/>
      <c r="I307" s="64"/>
      <c r="J307" s="64"/>
      <c r="K307" s="65">
        <f t="shared" si="38"/>
        <v>0</v>
      </c>
      <c r="L307" s="65">
        <f t="shared" si="39"/>
        <v>0</v>
      </c>
      <c r="M307" s="84"/>
      <c r="N307" s="84"/>
      <c r="O307" s="65">
        <f t="shared" si="40"/>
        <v>0</v>
      </c>
      <c r="P307" s="65">
        <f t="shared" si="41"/>
        <v>0</v>
      </c>
    </row>
    <row r="308" spans="1:20" ht="15" customHeight="1">
      <c r="A308" s="16"/>
      <c r="B308" s="16"/>
      <c r="C308" s="18" t="s">
        <v>539</v>
      </c>
      <c r="D308" s="12"/>
      <c r="E308" s="581">
        <f t="shared" si="43"/>
        <v>0</v>
      </c>
      <c r="F308" s="581">
        <f t="shared" si="42"/>
        <v>0</v>
      </c>
      <c r="G308" s="66"/>
      <c r="H308" s="66"/>
      <c r="I308" s="64"/>
      <c r="J308" s="64"/>
      <c r="K308" s="65">
        <f t="shared" si="38"/>
        <v>0</v>
      </c>
      <c r="L308" s="65">
        <f t="shared" si="39"/>
        <v>0</v>
      </c>
      <c r="M308" s="84"/>
      <c r="N308" s="84"/>
      <c r="O308" s="65">
        <f t="shared" si="40"/>
        <v>0</v>
      </c>
      <c r="P308" s="65">
        <f t="shared" si="41"/>
        <v>0</v>
      </c>
    </row>
    <row r="309" spans="1:20" ht="15" customHeight="1">
      <c r="A309" s="16"/>
      <c r="B309" s="16"/>
      <c r="C309" s="16"/>
      <c r="D309" s="13" t="s">
        <v>540</v>
      </c>
      <c r="E309" s="581">
        <f>2540/(Deno)</f>
        <v>2.5399999999999999E-2</v>
      </c>
      <c r="F309" s="581">
        <f t="shared" si="42"/>
        <v>0</v>
      </c>
      <c r="G309" s="66"/>
      <c r="H309" s="66"/>
      <c r="I309" s="64">
        <v>0</v>
      </c>
      <c r="J309" s="64">
        <v>0</v>
      </c>
      <c r="K309" s="65">
        <f t="shared" si="38"/>
        <v>0</v>
      </c>
      <c r="L309" s="65">
        <f t="shared" si="39"/>
        <v>0</v>
      </c>
      <c r="M309" s="84"/>
      <c r="N309" s="84"/>
      <c r="O309" s="65">
        <f t="shared" si="40"/>
        <v>0</v>
      </c>
      <c r="P309" s="65">
        <f t="shared" si="41"/>
        <v>0</v>
      </c>
      <c r="Q309" s="1" t="s">
        <v>1177</v>
      </c>
      <c r="R309" s="1">
        <v>19</v>
      </c>
      <c r="S309" s="1" t="s">
        <v>353</v>
      </c>
      <c r="T309" s="3" t="s">
        <v>437</v>
      </c>
    </row>
    <row r="310" spans="1:20" ht="15" customHeight="1">
      <c r="A310" s="16"/>
      <c r="B310" s="16"/>
      <c r="C310" s="16"/>
      <c r="D310" s="13" t="s">
        <v>541</v>
      </c>
      <c r="E310" s="581">
        <f>0/(Deno)</f>
        <v>0</v>
      </c>
      <c r="F310" s="581">
        <f t="shared" si="42"/>
        <v>0</v>
      </c>
      <c r="G310" s="66"/>
      <c r="H310" s="66"/>
      <c r="I310" s="64">
        <v>879.48</v>
      </c>
      <c r="J310" s="64">
        <v>0</v>
      </c>
      <c r="K310" s="65">
        <f t="shared" si="38"/>
        <v>879.48</v>
      </c>
      <c r="L310" s="65">
        <f t="shared" si="39"/>
        <v>0</v>
      </c>
      <c r="M310" s="84"/>
      <c r="N310" s="84"/>
      <c r="O310" s="65">
        <f t="shared" si="40"/>
        <v>8.7948000000000002E-3</v>
      </c>
      <c r="P310" s="65">
        <f t="shared" si="41"/>
        <v>0</v>
      </c>
      <c r="Q310" s="1" t="s">
        <v>542</v>
      </c>
      <c r="R310" s="1">
        <v>18</v>
      </c>
      <c r="S310" s="1" t="s">
        <v>543</v>
      </c>
    </row>
    <row r="311" spans="1:20" ht="15" customHeight="1">
      <c r="A311" s="16"/>
      <c r="B311" s="16"/>
      <c r="C311" s="16"/>
      <c r="D311" s="13" t="s">
        <v>544</v>
      </c>
      <c r="E311" s="581">
        <f>1047807/(Deno)</f>
        <v>10.478070000000001</v>
      </c>
      <c r="F311" s="581">
        <f t="shared" si="42"/>
        <v>0</v>
      </c>
      <c r="G311" s="66"/>
      <c r="H311" s="66"/>
      <c r="I311" s="64">
        <v>292935</v>
      </c>
      <c r="J311" s="64">
        <v>0</v>
      </c>
      <c r="K311" s="65">
        <f t="shared" si="38"/>
        <v>292935</v>
      </c>
      <c r="L311" s="65">
        <f t="shared" si="39"/>
        <v>0</v>
      </c>
      <c r="M311" s="84"/>
      <c r="N311" s="84"/>
      <c r="O311" s="65">
        <f t="shared" si="40"/>
        <v>2.9293499999999999</v>
      </c>
      <c r="P311" s="65">
        <f t="shared" si="41"/>
        <v>0</v>
      </c>
      <c r="Q311" s="1" t="s">
        <v>1177</v>
      </c>
      <c r="R311" s="1">
        <v>19</v>
      </c>
      <c r="S311" s="1" t="s">
        <v>353</v>
      </c>
      <c r="T311" s="3" t="s">
        <v>437</v>
      </c>
    </row>
    <row r="312" spans="1:20" ht="15" customHeight="1">
      <c r="A312" s="16"/>
      <c r="B312" s="16"/>
      <c r="C312" s="18" t="s">
        <v>545</v>
      </c>
      <c r="D312" s="12"/>
      <c r="E312" s="581">
        <f>0/(Deno)</f>
        <v>0</v>
      </c>
      <c r="F312" s="581">
        <f t="shared" si="42"/>
        <v>0</v>
      </c>
      <c r="G312" s="66"/>
      <c r="H312" s="66"/>
      <c r="I312" s="64"/>
      <c r="J312" s="64"/>
      <c r="K312" s="65">
        <f t="shared" si="38"/>
        <v>0</v>
      </c>
      <c r="L312" s="65">
        <f t="shared" si="39"/>
        <v>0</v>
      </c>
      <c r="M312" s="84"/>
      <c r="N312" s="84"/>
      <c r="O312" s="65">
        <f t="shared" si="40"/>
        <v>0</v>
      </c>
      <c r="P312" s="65">
        <f t="shared" si="41"/>
        <v>0</v>
      </c>
    </row>
    <row r="313" spans="1:20" ht="15" customHeight="1">
      <c r="A313" s="16"/>
      <c r="B313" s="16"/>
      <c r="C313" s="16"/>
      <c r="D313" s="13" t="s">
        <v>546</v>
      </c>
      <c r="E313" s="581">
        <f>187949.3/(Deno)</f>
        <v>1.8794929999999999</v>
      </c>
      <c r="F313" s="581">
        <f t="shared" si="42"/>
        <v>0</v>
      </c>
      <c r="G313" s="66"/>
      <c r="H313" s="66"/>
      <c r="I313" s="64">
        <v>265560.22000000009</v>
      </c>
      <c r="J313" s="64">
        <v>0</v>
      </c>
      <c r="K313" s="65">
        <f t="shared" si="38"/>
        <v>265560.22000000009</v>
      </c>
      <c r="L313" s="65">
        <f t="shared" si="39"/>
        <v>0</v>
      </c>
      <c r="M313" s="84"/>
      <c r="N313" s="84"/>
      <c r="O313" s="65">
        <f t="shared" si="40"/>
        <v>2.655602200000001</v>
      </c>
      <c r="P313" s="65">
        <f t="shared" si="41"/>
        <v>0</v>
      </c>
      <c r="Q313" s="5" t="s">
        <v>547</v>
      </c>
      <c r="R313" s="1">
        <v>18</v>
      </c>
      <c r="S313" s="1" t="s">
        <v>543</v>
      </c>
    </row>
    <row r="314" spans="1:20" ht="15" customHeight="1">
      <c r="A314" s="16"/>
      <c r="B314" s="16"/>
      <c r="C314" s="16"/>
      <c r="D314" s="13" t="s">
        <v>545</v>
      </c>
      <c r="E314" s="581">
        <f t="shared" ref="E314:E319" si="44">0/(Deno)</f>
        <v>0</v>
      </c>
      <c r="F314" s="581">
        <f t="shared" si="42"/>
        <v>0</v>
      </c>
      <c r="G314" s="66"/>
      <c r="H314" s="66"/>
      <c r="I314" s="64">
        <v>0</v>
      </c>
      <c r="J314" s="64">
        <v>0</v>
      </c>
      <c r="K314" s="65">
        <f t="shared" si="38"/>
        <v>0</v>
      </c>
      <c r="L314" s="65">
        <f t="shared" si="39"/>
        <v>0</v>
      </c>
      <c r="M314" s="84"/>
      <c r="N314" s="84"/>
      <c r="O314" s="65">
        <f t="shared" si="40"/>
        <v>0</v>
      </c>
      <c r="P314" s="65">
        <f t="shared" si="41"/>
        <v>0</v>
      </c>
      <c r="Q314" s="5" t="s">
        <v>548</v>
      </c>
      <c r="R314" s="1">
        <v>19</v>
      </c>
      <c r="S314" s="1" t="s">
        <v>353</v>
      </c>
      <c r="T314" s="3" t="s">
        <v>360</v>
      </c>
    </row>
    <row r="315" spans="1:20" ht="15" customHeight="1">
      <c r="A315" s="16"/>
      <c r="B315" s="16"/>
      <c r="C315" s="16"/>
      <c r="D315" s="13" t="s">
        <v>549</v>
      </c>
      <c r="E315" s="581">
        <f t="shared" si="44"/>
        <v>0</v>
      </c>
      <c r="F315" s="581">
        <f t="shared" ref="F315:F341" si="45">0/(Deno)</f>
        <v>0</v>
      </c>
      <c r="G315" s="66"/>
      <c r="H315" s="66"/>
      <c r="I315" s="64">
        <v>0</v>
      </c>
      <c r="J315" s="64">
        <v>0</v>
      </c>
      <c r="K315" s="65">
        <f t="shared" si="38"/>
        <v>0</v>
      </c>
      <c r="L315" s="65">
        <f t="shared" si="39"/>
        <v>0</v>
      </c>
      <c r="M315" s="84"/>
      <c r="N315" s="84"/>
      <c r="O315" s="65">
        <f t="shared" si="40"/>
        <v>0</v>
      </c>
      <c r="P315" s="65">
        <f t="shared" si="41"/>
        <v>0</v>
      </c>
      <c r="Q315" s="5" t="s">
        <v>550</v>
      </c>
      <c r="R315" s="1">
        <v>18</v>
      </c>
      <c r="S315" s="1" t="s">
        <v>543</v>
      </c>
    </row>
    <row r="316" spans="1:20" ht="15" customHeight="1">
      <c r="A316" s="16"/>
      <c r="B316" s="16"/>
      <c r="C316" s="18" t="s">
        <v>551</v>
      </c>
      <c r="D316" s="12"/>
      <c r="E316" s="581">
        <f t="shared" si="44"/>
        <v>0</v>
      </c>
      <c r="F316" s="581">
        <f t="shared" si="45"/>
        <v>0</v>
      </c>
      <c r="G316" s="66"/>
      <c r="H316" s="66"/>
      <c r="I316" s="64"/>
      <c r="J316" s="64"/>
      <c r="K316" s="65">
        <f t="shared" si="38"/>
        <v>0</v>
      </c>
      <c r="L316" s="65">
        <f t="shared" si="39"/>
        <v>0</v>
      </c>
      <c r="M316" s="84"/>
      <c r="N316" s="84"/>
      <c r="O316" s="65">
        <f t="shared" si="40"/>
        <v>0</v>
      </c>
      <c r="P316" s="65">
        <f t="shared" si="41"/>
        <v>0</v>
      </c>
      <c r="Q316" s="5"/>
    </row>
    <row r="317" spans="1:20" ht="15" customHeight="1">
      <c r="A317" s="16"/>
      <c r="B317" s="16"/>
      <c r="C317" s="16"/>
      <c r="D317" s="13" t="s">
        <v>552</v>
      </c>
      <c r="E317" s="581">
        <f t="shared" si="44"/>
        <v>0</v>
      </c>
      <c r="F317" s="581">
        <f t="shared" si="45"/>
        <v>0</v>
      </c>
      <c r="G317" s="66"/>
      <c r="H317" s="66"/>
      <c r="I317" s="64">
        <v>0</v>
      </c>
      <c r="J317" s="64">
        <v>0</v>
      </c>
      <c r="K317" s="65">
        <f t="shared" si="38"/>
        <v>0</v>
      </c>
      <c r="L317" s="65">
        <f t="shared" si="39"/>
        <v>0</v>
      </c>
      <c r="M317" s="84"/>
      <c r="N317" s="84"/>
      <c r="O317" s="65">
        <f t="shared" si="40"/>
        <v>0</v>
      </c>
      <c r="P317" s="65">
        <f t="shared" si="41"/>
        <v>0</v>
      </c>
      <c r="Q317" s="5"/>
    </row>
    <row r="318" spans="1:20" ht="15" customHeight="1">
      <c r="A318" s="16"/>
      <c r="B318" s="16"/>
      <c r="C318" s="18" t="s">
        <v>553</v>
      </c>
      <c r="D318" s="12"/>
      <c r="E318" s="581">
        <f t="shared" si="44"/>
        <v>0</v>
      </c>
      <c r="F318" s="581">
        <f t="shared" si="45"/>
        <v>0</v>
      </c>
      <c r="G318" s="66"/>
      <c r="H318" s="66"/>
      <c r="I318" s="64"/>
      <c r="J318" s="64"/>
      <c r="K318" s="65">
        <f t="shared" si="38"/>
        <v>0</v>
      </c>
      <c r="L318" s="65">
        <f t="shared" si="39"/>
        <v>0</v>
      </c>
      <c r="M318" s="84"/>
      <c r="N318" s="84"/>
      <c r="O318" s="65">
        <f t="shared" si="40"/>
        <v>0</v>
      </c>
      <c r="P318" s="65">
        <f t="shared" si="41"/>
        <v>0</v>
      </c>
      <c r="Q318" s="5"/>
    </row>
    <row r="319" spans="1:20" ht="15" customHeight="1">
      <c r="A319" s="16"/>
      <c r="B319" s="16"/>
      <c r="C319" s="16"/>
      <c r="D319" s="13" t="s">
        <v>554</v>
      </c>
      <c r="E319" s="581">
        <f t="shared" si="44"/>
        <v>0</v>
      </c>
      <c r="F319" s="581">
        <f t="shared" si="45"/>
        <v>0</v>
      </c>
      <c r="G319" s="66"/>
      <c r="H319" s="66"/>
      <c r="I319" s="64">
        <v>0</v>
      </c>
      <c r="J319" s="64">
        <v>0</v>
      </c>
      <c r="K319" s="65">
        <f t="shared" si="38"/>
        <v>0</v>
      </c>
      <c r="L319" s="65">
        <f t="shared" si="39"/>
        <v>0</v>
      </c>
      <c r="M319" s="84"/>
      <c r="N319" s="84"/>
      <c r="O319" s="65">
        <f t="shared" si="40"/>
        <v>0</v>
      </c>
      <c r="P319" s="65">
        <f t="shared" si="41"/>
        <v>0</v>
      </c>
      <c r="Q319" s="5" t="s">
        <v>555</v>
      </c>
      <c r="R319" s="1">
        <v>19</v>
      </c>
      <c r="S319" s="1" t="s">
        <v>353</v>
      </c>
      <c r="T319" s="3" t="s">
        <v>555</v>
      </c>
    </row>
    <row r="320" spans="1:20" ht="15" customHeight="1">
      <c r="A320" s="16"/>
      <c r="B320" s="16"/>
      <c r="C320" s="16"/>
      <c r="D320" s="13" t="s">
        <v>556</v>
      </c>
      <c r="E320" s="581">
        <f>344060.915/(Deno)</f>
        <v>3.4406091499999998</v>
      </c>
      <c r="F320" s="581">
        <f t="shared" si="45"/>
        <v>0</v>
      </c>
      <c r="G320" s="66"/>
      <c r="H320" s="66"/>
      <c r="I320" s="64">
        <v>395312.68</v>
      </c>
      <c r="J320" s="64">
        <v>0</v>
      </c>
      <c r="K320" s="65">
        <f t="shared" si="38"/>
        <v>395312.68</v>
      </c>
      <c r="L320" s="65">
        <f t="shared" si="39"/>
        <v>0</v>
      </c>
      <c r="M320" s="84">
        <f>+'Audit entry'!D6</f>
        <v>122066.25</v>
      </c>
      <c r="N320" s="84">
        <f>+'Audit entry'!E11</f>
        <v>130788.22666666667</v>
      </c>
      <c r="O320" s="65">
        <f t="shared" si="40"/>
        <v>3.865907033333333</v>
      </c>
      <c r="P320" s="65">
        <f t="shared" si="41"/>
        <v>0</v>
      </c>
      <c r="Q320" s="5" t="s">
        <v>555</v>
      </c>
      <c r="R320" s="1">
        <v>19</v>
      </c>
      <c r="S320" s="1" t="s">
        <v>353</v>
      </c>
      <c r="T320" s="3" t="s">
        <v>555</v>
      </c>
    </row>
    <row r="321" spans="1:20" ht="15" customHeight="1">
      <c r="A321" s="16"/>
      <c r="B321" s="16"/>
      <c r="C321" s="16"/>
      <c r="D321" s="39" t="s">
        <v>557</v>
      </c>
      <c r="E321" s="581">
        <f>0/(Deno)</f>
        <v>0</v>
      </c>
      <c r="F321" s="581">
        <f t="shared" si="45"/>
        <v>0</v>
      </c>
      <c r="G321" s="66"/>
      <c r="H321" s="66"/>
      <c r="I321" s="64">
        <v>0</v>
      </c>
      <c r="J321" s="64">
        <v>0</v>
      </c>
      <c r="K321" s="65">
        <f t="shared" si="38"/>
        <v>0</v>
      </c>
      <c r="L321" s="65">
        <f t="shared" si="39"/>
        <v>0</v>
      </c>
      <c r="M321" s="84"/>
      <c r="N321" s="84"/>
      <c r="O321" s="65">
        <f t="shared" si="40"/>
        <v>0</v>
      </c>
      <c r="P321" s="65">
        <f t="shared" si="41"/>
        <v>0</v>
      </c>
      <c r="Q321" s="5" t="s">
        <v>511</v>
      </c>
      <c r="R321" s="1">
        <v>19</v>
      </c>
      <c r="S321" s="1" t="s">
        <v>353</v>
      </c>
      <c r="T321" s="3" t="s">
        <v>360</v>
      </c>
    </row>
    <row r="322" spans="1:20" ht="15" customHeight="1">
      <c r="A322" s="16"/>
      <c r="B322" s="17" t="s">
        <v>558</v>
      </c>
      <c r="C322" s="17"/>
      <c r="D322" s="12"/>
      <c r="E322" s="581">
        <f>0/(Deno)</f>
        <v>0</v>
      </c>
      <c r="F322" s="581">
        <f t="shared" si="45"/>
        <v>0</v>
      </c>
      <c r="G322" s="66"/>
      <c r="H322" s="66"/>
      <c r="I322" s="64"/>
      <c r="J322" s="64"/>
      <c r="K322" s="65">
        <f t="shared" si="38"/>
        <v>0</v>
      </c>
      <c r="L322" s="65">
        <f t="shared" si="39"/>
        <v>0</v>
      </c>
      <c r="M322" s="84"/>
      <c r="N322" s="84"/>
      <c r="O322" s="65">
        <f t="shared" si="40"/>
        <v>0</v>
      </c>
      <c r="P322" s="65">
        <f t="shared" si="41"/>
        <v>0</v>
      </c>
    </row>
    <row r="323" spans="1:20" ht="15" customHeight="1">
      <c r="A323" s="16"/>
      <c r="B323" s="16"/>
      <c r="C323" s="18" t="s">
        <v>559</v>
      </c>
      <c r="D323" s="12"/>
      <c r="E323" s="581">
        <f>335320.171350791/(Deno)</f>
        <v>3.35320171350791</v>
      </c>
      <c r="F323" s="581">
        <f t="shared" si="45"/>
        <v>0</v>
      </c>
      <c r="G323" s="66"/>
      <c r="H323" s="66"/>
      <c r="I323" s="64"/>
      <c r="J323" s="64"/>
      <c r="K323" s="65">
        <f t="shared" si="38"/>
        <v>0</v>
      </c>
      <c r="L323" s="65">
        <f t="shared" si="39"/>
        <v>0</v>
      </c>
      <c r="M323" s="84"/>
      <c r="N323" s="84"/>
      <c r="O323" s="65">
        <f t="shared" si="40"/>
        <v>0</v>
      </c>
      <c r="P323" s="65">
        <f t="shared" si="41"/>
        <v>0</v>
      </c>
      <c r="S323" s="1" t="s">
        <v>560</v>
      </c>
    </row>
    <row r="324" spans="1:20" ht="15" customHeight="1">
      <c r="A324" s="16"/>
      <c r="B324" s="16"/>
      <c r="C324" s="16"/>
      <c r="D324" s="13" t="s">
        <v>561</v>
      </c>
      <c r="E324" s="581">
        <f t="shared" ref="E324:E332" si="46">0/(Deno)</f>
        <v>0</v>
      </c>
      <c r="F324" s="581">
        <f t="shared" si="45"/>
        <v>0</v>
      </c>
      <c r="G324" s="66"/>
      <c r="H324" s="66"/>
      <c r="I324" s="64">
        <v>0</v>
      </c>
      <c r="J324" s="64">
        <v>0</v>
      </c>
      <c r="K324" s="65">
        <f t="shared" si="38"/>
        <v>0</v>
      </c>
      <c r="L324" s="65">
        <f t="shared" si="39"/>
        <v>0</v>
      </c>
      <c r="M324" s="84"/>
      <c r="N324" s="84"/>
      <c r="O324" s="65">
        <f t="shared" si="40"/>
        <v>0</v>
      </c>
      <c r="P324" s="65">
        <f t="shared" si="41"/>
        <v>0</v>
      </c>
    </row>
    <row r="325" spans="1:20" ht="15" customHeight="1">
      <c r="A325" s="16"/>
      <c r="B325" s="16"/>
      <c r="C325" s="16"/>
      <c r="D325" s="13" t="s">
        <v>562</v>
      </c>
      <c r="E325" s="581">
        <f t="shared" si="46"/>
        <v>0</v>
      </c>
      <c r="F325" s="581">
        <f t="shared" si="45"/>
        <v>0</v>
      </c>
      <c r="G325" s="66"/>
      <c r="H325" s="66"/>
      <c r="I325" s="64">
        <v>0</v>
      </c>
      <c r="J325" s="64">
        <v>0</v>
      </c>
      <c r="K325" s="65">
        <f t="shared" si="38"/>
        <v>0</v>
      </c>
      <c r="L325" s="65">
        <f t="shared" si="39"/>
        <v>0</v>
      </c>
      <c r="M325" s="84"/>
      <c r="N325" s="84"/>
      <c r="O325" s="65">
        <f t="shared" si="40"/>
        <v>0</v>
      </c>
      <c r="P325" s="65">
        <f t="shared" si="41"/>
        <v>0</v>
      </c>
    </row>
    <row r="326" spans="1:20" ht="15" customHeight="1">
      <c r="A326" s="16"/>
      <c r="B326" s="16"/>
      <c r="C326" s="16"/>
      <c r="D326" s="13" t="s">
        <v>563</v>
      </c>
      <c r="E326" s="581">
        <f t="shared" si="46"/>
        <v>0</v>
      </c>
      <c r="F326" s="581">
        <f t="shared" si="45"/>
        <v>0</v>
      </c>
      <c r="G326" s="66"/>
      <c r="H326" s="66"/>
      <c r="I326" s="64">
        <v>0</v>
      </c>
      <c r="J326" s="64">
        <v>0</v>
      </c>
      <c r="K326" s="65">
        <f t="shared" si="38"/>
        <v>0</v>
      </c>
      <c r="L326" s="65">
        <f t="shared" si="39"/>
        <v>0</v>
      </c>
      <c r="M326" s="84"/>
      <c r="N326" s="84"/>
      <c r="O326" s="65">
        <f t="shared" si="40"/>
        <v>0</v>
      </c>
      <c r="P326" s="65">
        <f t="shared" si="41"/>
        <v>0</v>
      </c>
    </row>
    <row r="327" spans="1:20" ht="15" customHeight="1">
      <c r="A327" s="16"/>
      <c r="B327" s="16"/>
      <c r="C327" s="16"/>
      <c r="D327" s="13" t="s">
        <v>564</v>
      </c>
      <c r="E327" s="581">
        <f t="shared" si="46"/>
        <v>0</v>
      </c>
      <c r="F327" s="581">
        <f t="shared" si="45"/>
        <v>0</v>
      </c>
      <c r="G327" s="66"/>
      <c r="H327" s="66"/>
      <c r="I327" s="64">
        <v>0</v>
      </c>
      <c r="J327" s="64">
        <v>0</v>
      </c>
      <c r="K327" s="65">
        <f t="shared" si="38"/>
        <v>0</v>
      </c>
      <c r="L327" s="65">
        <f t="shared" si="39"/>
        <v>0</v>
      </c>
      <c r="M327" s="84"/>
      <c r="N327" s="84"/>
      <c r="O327" s="65">
        <f t="shared" si="40"/>
        <v>0</v>
      </c>
      <c r="P327" s="65">
        <f t="shared" si="41"/>
        <v>0</v>
      </c>
    </row>
    <row r="328" spans="1:20" ht="15" customHeight="1">
      <c r="A328" s="16"/>
      <c r="B328" s="16"/>
      <c r="C328" s="16"/>
      <c r="D328" s="13" t="s">
        <v>565</v>
      </c>
      <c r="E328" s="581">
        <f t="shared" si="46"/>
        <v>0</v>
      </c>
      <c r="F328" s="581">
        <f t="shared" si="45"/>
        <v>0</v>
      </c>
      <c r="G328" s="66"/>
      <c r="H328" s="66"/>
      <c r="I328" s="64">
        <v>0</v>
      </c>
      <c r="J328" s="64">
        <v>0</v>
      </c>
      <c r="K328" s="65">
        <f t="shared" si="38"/>
        <v>0</v>
      </c>
      <c r="L328" s="65">
        <f t="shared" si="39"/>
        <v>0</v>
      </c>
      <c r="M328" s="84"/>
      <c r="N328" s="84"/>
      <c r="O328" s="65">
        <f t="shared" si="40"/>
        <v>0</v>
      </c>
      <c r="P328" s="65">
        <f t="shared" si="41"/>
        <v>0</v>
      </c>
    </row>
    <row r="329" spans="1:20" ht="15" customHeight="1">
      <c r="A329" s="16"/>
      <c r="B329" s="16"/>
      <c r="C329" s="16"/>
      <c r="D329" s="13" t="s">
        <v>566</v>
      </c>
      <c r="E329" s="581">
        <f t="shared" si="46"/>
        <v>0</v>
      </c>
      <c r="F329" s="581">
        <f t="shared" si="45"/>
        <v>0</v>
      </c>
      <c r="G329" s="66"/>
      <c r="H329" s="66"/>
      <c r="I329" s="64">
        <v>0</v>
      </c>
      <c r="J329" s="64">
        <v>0</v>
      </c>
      <c r="K329" s="65">
        <f t="shared" si="38"/>
        <v>0</v>
      </c>
      <c r="L329" s="65">
        <f t="shared" si="39"/>
        <v>0</v>
      </c>
      <c r="M329" s="84"/>
      <c r="N329" s="84"/>
      <c r="O329" s="65">
        <f t="shared" si="40"/>
        <v>0</v>
      </c>
      <c r="P329" s="65">
        <f t="shared" si="41"/>
        <v>0</v>
      </c>
    </row>
    <row r="330" spans="1:20" ht="15" customHeight="1">
      <c r="A330" s="16"/>
      <c r="B330" s="16"/>
      <c r="C330" s="16"/>
      <c r="D330" s="13" t="s">
        <v>567</v>
      </c>
      <c r="E330" s="581">
        <f t="shared" si="46"/>
        <v>0</v>
      </c>
      <c r="F330" s="581">
        <f t="shared" si="45"/>
        <v>0</v>
      </c>
      <c r="G330" s="66"/>
      <c r="H330" s="66"/>
      <c r="I330" s="64">
        <v>0</v>
      </c>
      <c r="J330" s="64">
        <v>0</v>
      </c>
      <c r="K330" s="65">
        <f t="shared" ref="K330:K341" si="47">+IF((G330+I330-H330-J330&gt;0),G330+I330-H330-J330,0)</f>
        <v>0</v>
      </c>
      <c r="L330" s="65">
        <f t="shared" ref="L330:L341" si="48">+IF((H330+J330-G330-I330)&gt;0,H330+J330-G330-I330,0)</f>
        <v>0</v>
      </c>
      <c r="M330" s="84"/>
      <c r="N330" s="84"/>
      <c r="O330" s="65">
        <f t="shared" ref="O330:O341" si="49">+IF((K330+M330-L330-N330&gt;0),K330+M330-L330-N330,0)/Deno</f>
        <v>0</v>
      </c>
      <c r="P330" s="65">
        <f t="shared" ref="P330:P341" si="50">+IF((L330+N330-K330-M330)&gt;0,L330+N330-K330-M330,0)/Deno</f>
        <v>0</v>
      </c>
    </row>
    <row r="331" spans="1:20" ht="15" customHeight="1">
      <c r="A331" s="16"/>
      <c r="B331" s="17" t="s">
        <v>568</v>
      </c>
      <c r="C331" s="17"/>
      <c r="D331" s="12"/>
      <c r="E331" s="581">
        <f t="shared" si="46"/>
        <v>0</v>
      </c>
      <c r="F331" s="581">
        <f t="shared" si="45"/>
        <v>0</v>
      </c>
      <c r="G331" s="66"/>
      <c r="H331" s="66"/>
      <c r="I331" s="64"/>
      <c r="J331" s="64"/>
      <c r="K331" s="65">
        <f t="shared" si="47"/>
        <v>0</v>
      </c>
      <c r="L331" s="65">
        <f t="shared" si="48"/>
        <v>0</v>
      </c>
      <c r="M331" s="84"/>
      <c r="N331" s="84"/>
      <c r="O331" s="65">
        <f t="shared" si="49"/>
        <v>0</v>
      </c>
      <c r="P331" s="65">
        <f t="shared" si="50"/>
        <v>0</v>
      </c>
    </row>
    <row r="332" spans="1:20" ht="15" customHeight="1">
      <c r="A332" s="16"/>
      <c r="B332" s="16"/>
      <c r="C332" s="18" t="s">
        <v>568</v>
      </c>
      <c r="D332" s="12"/>
      <c r="E332" s="581">
        <f t="shared" si="46"/>
        <v>0</v>
      </c>
      <c r="F332" s="581">
        <f t="shared" si="45"/>
        <v>0</v>
      </c>
      <c r="G332" s="66"/>
      <c r="H332" s="66"/>
      <c r="I332" s="64"/>
      <c r="J332" s="64"/>
      <c r="K332" s="65">
        <f t="shared" si="47"/>
        <v>0</v>
      </c>
      <c r="L332" s="65">
        <f t="shared" si="48"/>
        <v>0</v>
      </c>
      <c r="M332" s="84"/>
      <c r="N332" s="84"/>
      <c r="O332" s="65">
        <f t="shared" si="49"/>
        <v>0</v>
      </c>
      <c r="P332" s="65">
        <f t="shared" si="50"/>
        <v>0</v>
      </c>
    </row>
    <row r="333" spans="1:20" ht="15" customHeight="1">
      <c r="A333" s="16"/>
      <c r="B333" s="16"/>
      <c r="C333" s="16"/>
      <c r="D333" s="13" t="s">
        <v>568</v>
      </c>
      <c r="E333" s="581">
        <f>34200/(Deno)</f>
        <v>0.34200000000000003</v>
      </c>
      <c r="F333" s="581">
        <f t="shared" si="45"/>
        <v>0</v>
      </c>
      <c r="G333" s="66"/>
      <c r="H333" s="66"/>
      <c r="I333" s="64">
        <v>0</v>
      </c>
      <c r="J333" s="64">
        <v>0</v>
      </c>
      <c r="K333" s="65">
        <f t="shared" si="47"/>
        <v>0</v>
      </c>
      <c r="L333" s="65">
        <f t="shared" si="48"/>
        <v>0</v>
      </c>
      <c r="M333" s="84">
        <f>+'Audit entry'!D58+'Audit entry'!D145</f>
        <v>3134106.0100000012</v>
      </c>
      <c r="N333" s="84">
        <f>+'Audit entry'!E55</f>
        <v>36718.840000000084</v>
      </c>
      <c r="O333" s="65">
        <f t="shared" si="49"/>
        <v>30.973871700000007</v>
      </c>
      <c r="P333" s="65">
        <f t="shared" si="50"/>
        <v>0</v>
      </c>
      <c r="Q333" s="1" t="s">
        <v>569</v>
      </c>
      <c r="R333" s="1">
        <v>19</v>
      </c>
      <c r="S333" s="1" t="s">
        <v>353</v>
      </c>
      <c r="T333" s="3" t="s">
        <v>360</v>
      </c>
    </row>
    <row r="334" spans="1:20" ht="15" customHeight="1">
      <c r="A334" s="16"/>
      <c r="B334" s="16"/>
      <c r="C334" s="16"/>
      <c r="D334" s="39" t="s">
        <v>570</v>
      </c>
      <c r="E334" s="581">
        <f t="shared" ref="E334:E341" si="51">0/(Deno)</f>
        <v>0</v>
      </c>
      <c r="F334" s="581">
        <f t="shared" si="45"/>
        <v>0</v>
      </c>
      <c r="G334" s="66"/>
      <c r="H334" s="66"/>
      <c r="I334" s="64">
        <v>0</v>
      </c>
      <c r="J334" s="64">
        <v>0</v>
      </c>
      <c r="K334" s="65">
        <f t="shared" si="47"/>
        <v>0</v>
      </c>
      <c r="L334" s="65">
        <f t="shared" si="48"/>
        <v>0</v>
      </c>
      <c r="M334" s="84"/>
      <c r="N334" s="84"/>
      <c r="O334" s="65">
        <f t="shared" si="49"/>
        <v>0</v>
      </c>
      <c r="P334" s="65">
        <f t="shared" si="50"/>
        <v>0</v>
      </c>
      <c r="Q334" s="1" t="s">
        <v>569</v>
      </c>
      <c r="R334" s="1">
        <v>19</v>
      </c>
      <c r="S334" s="1" t="s">
        <v>353</v>
      </c>
      <c r="T334" s="3" t="s">
        <v>360</v>
      </c>
    </row>
    <row r="335" spans="1:20" ht="15" customHeight="1">
      <c r="A335" s="16"/>
      <c r="B335" s="17" t="s">
        <v>348</v>
      </c>
      <c r="C335" s="17"/>
      <c r="D335" s="12"/>
      <c r="E335" s="581">
        <f t="shared" si="51"/>
        <v>0</v>
      </c>
      <c r="F335" s="581">
        <f t="shared" si="45"/>
        <v>0</v>
      </c>
      <c r="G335" s="66"/>
      <c r="H335" s="66"/>
      <c r="I335" s="64"/>
      <c r="J335" s="64"/>
      <c r="K335" s="65">
        <f t="shared" si="47"/>
        <v>0</v>
      </c>
      <c r="L335" s="65">
        <f t="shared" si="48"/>
        <v>0</v>
      </c>
      <c r="M335" s="84"/>
      <c r="N335" s="84"/>
      <c r="O335" s="65">
        <f t="shared" si="49"/>
        <v>0</v>
      </c>
      <c r="P335" s="65">
        <f t="shared" si="50"/>
        <v>0</v>
      </c>
    </row>
    <row r="336" spans="1:20" ht="15" customHeight="1">
      <c r="A336" s="16"/>
      <c r="B336" s="16"/>
      <c r="C336" s="18" t="s">
        <v>348</v>
      </c>
      <c r="D336" s="12"/>
      <c r="E336" s="581">
        <f t="shared" si="51"/>
        <v>0</v>
      </c>
      <c r="F336" s="581">
        <f t="shared" si="45"/>
        <v>0</v>
      </c>
      <c r="G336" s="66"/>
      <c r="H336" s="66"/>
      <c r="I336" s="64"/>
      <c r="J336" s="64"/>
      <c r="K336" s="65">
        <f t="shared" si="47"/>
        <v>0</v>
      </c>
      <c r="L336" s="65">
        <f t="shared" si="48"/>
        <v>0</v>
      </c>
      <c r="M336" s="84"/>
      <c r="N336" s="84"/>
      <c r="O336" s="65">
        <f t="shared" si="49"/>
        <v>0</v>
      </c>
      <c r="P336" s="65">
        <f t="shared" si="50"/>
        <v>0</v>
      </c>
    </row>
    <row r="337" spans="1:20" ht="15" customHeight="1">
      <c r="A337" s="16"/>
      <c r="B337" s="16"/>
      <c r="C337" s="16"/>
      <c r="D337" s="13" t="s">
        <v>571</v>
      </c>
      <c r="E337" s="581">
        <f t="shared" si="51"/>
        <v>0</v>
      </c>
      <c r="F337" s="581">
        <f t="shared" si="45"/>
        <v>0</v>
      </c>
      <c r="G337" s="66"/>
      <c r="H337" s="66"/>
      <c r="I337" s="64">
        <v>0</v>
      </c>
      <c r="J337" s="64">
        <v>0</v>
      </c>
      <c r="K337" s="65">
        <f t="shared" si="47"/>
        <v>0</v>
      </c>
      <c r="L337" s="65">
        <f t="shared" si="48"/>
        <v>0</v>
      </c>
      <c r="M337" s="84"/>
      <c r="N337" s="84"/>
      <c r="O337" s="65">
        <f t="shared" si="49"/>
        <v>0</v>
      </c>
      <c r="P337" s="65">
        <f t="shared" si="50"/>
        <v>0</v>
      </c>
      <c r="Q337" s="1" t="s">
        <v>572</v>
      </c>
      <c r="R337" s="1">
        <v>19</v>
      </c>
      <c r="S337" s="1" t="s">
        <v>353</v>
      </c>
      <c r="T337" s="3" t="s">
        <v>572</v>
      </c>
    </row>
    <row r="338" spans="1:20" ht="15" customHeight="1">
      <c r="A338" s="16"/>
      <c r="B338" s="17" t="s">
        <v>573</v>
      </c>
      <c r="C338" s="17"/>
      <c r="D338" s="12"/>
      <c r="E338" s="581">
        <f t="shared" si="51"/>
        <v>0</v>
      </c>
      <c r="F338" s="581">
        <f t="shared" si="45"/>
        <v>0</v>
      </c>
      <c r="G338" s="66"/>
      <c r="H338" s="66"/>
      <c r="I338" s="64"/>
      <c r="J338" s="64"/>
      <c r="K338" s="65">
        <f t="shared" si="47"/>
        <v>0</v>
      </c>
      <c r="L338" s="65">
        <f t="shared" si="48"/>
        <v>0</v>
      </c>
      <c r="M338" s="84"/>
      <c r="N338" s="84"/>
      <c r="O338" s="65">
        <f t="shared" si="49"/>
        <v>0</v>
      </c>
      <c r="P338" s="65">
        <f t="shared" si="50"/>
        <v>0</v>
      </c>
    </row>
    <row r="339" spans="1:20">
      <c r="A339" s="16"/>
      <c r="B339" s="16"/>
      <c r="C339" s="18" t="s">
        <v>574</v>
      </c>
      <c r="D339" s="12"/>
      <c r="E339" s="581">
        <f t="shared" si="51"/>
        <v>0</v>
      </c>
      <c r="F339" s="581">
        <f t="shared" si="45"/>
        <v>0</v>
      </c>
      <c r="G339" s="66"/>
      <c r="H339" s="66"/>
      <c r="I339" s="64"/>
      <c r="J339" s="64"/>
      <c r="K339" s="65">
        <f t="shared" si="47"/>
        <v>0</v>
      </c>
      <c r="L339" s="65">
        <f t="shared" si="48"/>
        <v>0</v>
      </c>
      <c r="M339" s="84"/>
      <c r="N339" s="84"/>
      <c r="O339" s="65">
        <f t="shared" si="49"/>
        <v>0</v>
      </c>
      <c r="P339" s="65">
        <f t="shared" si="50"/>
        <v>0</v>
      </c>
    </row>
    <row r="340" spans="1:20">
      <c r="A340" s="16"/>
      <c r="B340" s="16"/>
      <c r="C340" s="16"/>
      <c r="D340" s="13" t="s">
        <v>574</v>
      </c>
      <c r="E340" s="581">
        <f t="shared" si="51"/>
        <v>0</v>
      </c>
      <c r="F340" s="581">
        <f t="shared" si="45"/>
        <v>0</v>
      </c>
      <c r="G340" s="66"/>
      <c r="H340" s="66"/>
      <c r="I340" s="64">
        <v>0</v>
      </c>
      <c r="J340" s="64">
        <v>0</v>
      </c>
      <c r="K340" s="65">
        <f t="shared" si="47"/>
        <v>0</v>
      </c>
      <c r="L340" s="65">
        <f t="shared" si="48"/>
        <v>0</v>
      </c>
      <c r="M340" s="84"/>
      <c r="N340" s="84"/>
      <c r="O340" s="65">
        <f t="shared" si="49"/>
        <v>0</v>
      </c>
      <c r="P340" s="65">
        <f t="shared" si="50"/>
        <v>0</v>
      </c>
      <c r="Q340" s="1" t="s">
        <v>575</v>
      </c>
      <c r="R340" s="1">
        <v>19</v>
      </c>
      <c r="S340" s="1" t="s">
        <v>353</v>
      </c>
      <c r="T340" s="3" t="s">
        <v>360</v>
      </c>
    </row>
    <row r="341" spans="1:20">
      <c r="D341" s="1" t="s">
        <v>576</v>
      </c>
      <c r="E341" s="581">
        <f t="shared" si="51"/>
        <v>0</v>
      </c>
      <c r="F341" s="581">
        <f t="shared" si="45"/>
        <v>0</v>
      </c>
      <c r="G341" s="66"/>
      <c r="H341" s="66"/>
      <c r="I341" s="64"/>
      <c r="J341" s="64"/>
      <c r="K341" s="65">
        <f t="shared" si="47"/>
        <v>0</v>
      </c>
      <c r="L341" s="65">
        <f t="shared" si="48"/>
        <v>0</v>
      </c>
      <c r="M341" s="84"/>
      <c r="N341" s="84"/>
      <c r="O341" s="65">
        <f t="shared" si="49"/>
        <v>0</v>
      </c>
      <c r="P341" s="65">
        <f t="shared" si="50"/>
        <v>0</v>
      </c>
    </row>
    <row r="342" spans="1:20">
      <c r="E342" s="64"/>
      <c r="F342" s="64"/>
      <c r="G342" s="64"/>
      <c r="H342" s="64"/>
      <c r="I342" s="64"/>
      <c r="J342" s="64"/>
      <c r="K342" s="65"/>
      <c r="L342" s="65"/>
      <c r="M342" s="84"/>
      <c r="N342" s="84"/>
      <c r="O342" s="65"/>
      <c r="P342" s="65"/>
    </row>
    <row r="343" spans="1:20">
      <c r="D343" s="14" t="s">
        <v>25</v>
      </c>
      <c r="E343" s="58">
        <f t="shared" ref="E343:N343" si="52">SUM(E6:E342)</f>
        <v>3279.2605759887006</v>
      </c>
      <c r="F343" s="58">
        <f t="shared" si="52"/>
        <v>3279.2605723032366</v>
      </c>
      <c r="G343" s="58">
        <f t="shared" si="52"/>
        <v>169626614.45811471</v>
      </c>
      <c r="H343" s="58">
        <f t="shared" si="52"/>
        <v>169627023.08956802</v>
      </c>
      <c r="I343" s="58">
        <v>236877959.41000012</v>
      </c>
      <c r="J343" s="58">
        <v>236877959.41000003</v>
      </c>
      <c r="K343" s="58">
        <f t="shared" si="52"/>
        <v>462623363.7988705</v>
      </c>
      <c r="L343" s="58">
        <f>SUM(L6:L342)</f>
        <v>462623363.80032301</v>
      </c>
      <c r="M343" s="80">
        <f>SUM(M6:M342)</f>
        <v>29907240.859829258</v>
      </c>
      <c r="N343" s="80">
        <f t="shared" si="52"/>
        <v>29907240.79982926</v>
      </c>
      <c r="O343" s="58">
        <f>SUM(O6:O342)</f>
        <v>4665.123209127114</v>
      </c>
      <c r="P343" s="58">
        <f>SUM(P6:P342)</f>
        <v>4665.1232085416377</v>
      </c>
    </row>
    <row r="345" spans="1:20">
      <c r="F345" s="63">
        <f>+F88-E89</f>
        <v>0.68409620000000082</v>
      </c>
      <c r="P345" s="63">
        <f>+P88-O89</f>
        <v>0.60675620000004749</v>
      </c>
    </row>
    <row r="346" spans="1:20">
      <c r="P346" s="11"/>
    </row>
    <row r="347" spans="1:20">
      <c r="P347" s="11"/>
    </row>
    <row r="348" spans="1:20">
      <c r="E348" s="684" t="s">
        <v>1180</v>
      </c>
      <c r="F348" s="63">
        <v>153306183.94999999</v>
      </c>
    </row>
    <row r="349" spans="1:20">
      <c r="E349" s="63">
        <f>E127-E348</f>
        <v>-144898.50880000001</v>
      </c>
      <c r="F349" s="63">
        <v>158299443.13999999</v>
      </c>
      <c r="G349" s="63">
        <f>F128-E127</f>
        <v>15.446100000000001</v>
      </c>
      <c r="O349" s="63">
        <v>22186027.900000006</v>
      </c>
    </row>
    <row r="350" spans="1:20">
      <c r="F350" s="63">
        <f>+F349-F348</f>
        <v>4993259.1899999976</v>
      </c>
      <c r="O350" s="11">
        <v>7285222</v>
      </c>
    </row>
    <row r="351" spans="1:20">
      <c r="O351" s="63">
        <f>+O349-O350</f>
        <v>14900805.900000006</v>
      </c>
    </row>
  </sheetData>
  <autoFilter ref="A5:XEH341" xr:uid="{00000000-0001-0000-0100-000000000000}"/>
  <mergeCells count="6">
    <mergeCell ref="O4:P4"/>
    <mergeCell ref="G4:H4"/>
    <mergeCell ref="I4:J4"/>
    <mergeCell ref="K4:L4"/>
    <mergeCell ref="E4:F4"/>
    <mergeCell ref="M4:N4"/>
  </mergeCells>
  <conditionalFormatting sqref="D46">
    <cfRule type="duplicateValues" dxfId="4" priority="4"/>
  </conditionalFormatting>
  <conditionalFormatting sqref="D47:D91 D2:D45 D93:D208 D210:D1048576">
    <cfRule type="duplicateValues" dxfId="3" priority="8"/>
  </conditionalFormatting>
  <conditionalFormatting sqref="D92">
    <cfRule type="duplicateValues" dxfId="2" priority="3"/>
  </conditionalFormatting>
  <conditionalFormatting sqref="D209">
    <cfRule type="duplicateValues" dxfId="1" priority="5"/>
  </conditionalFormatting>
  <conditionalFormatting sqref="T209:XFD209 A209:C209">
    <cfRule type="duplicateValues" dxfId="0" priority="6"/>
  </conditionalFormatting>
  <pageMargins left="0.7" right="0.7" top="0.75" bottom="0.75" header="0.3" footer="0.3"/>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60"/>
  <sheetViews>
    <sheetView showGridLines="0" view="pageBreakPreview" topLeftCell="A26" zoomScale="95" zoomScaleNormal="95" zoomScaleSheetLayoutView="95" workbookViewId="0">
      <selection activeCell="I13" sqref="I13"/>
    </sheetView>
  </sheetViews>
  <sheetFormatPr defaultColWidth="9.109375" defaultRowHeight="13.8"/>
  <cols>
    <col min="1" max="1" width="55.6640625" style="109" customWidth="1"/>
    <col min="2" max="2" width="9.88671875" style="158" customWidth="1"/>
    <col min="3" max="4" width="20.6640625" style="158" customWidth="1"/>
    <col min="5" max="5" width="18.88671875" style="160" bestFit="1" customWidth="1"/>
    <col min="6" max="6" width="15.109375" style="109" bestFit="1" customWidth="1"/>
    <col min="7" max="9" width="14.6640625" style="109" bestFit="1" customWidth="1"/>
    <col min="10" max="10" width="9.109375" style="109"/>
    <col min="11" max="11" width="19.33203125" style="109" bestFit="1" customWidth="1"/>
    <col min="12" max="12" width="14.5546875" style="109" bestFit="1" customWidth="1"/>
    <col min="13" max="13" width="15.109375" style="109" bestFit="1" customWidth="1"/>
    <col min="14" max="14" width="15.33203125" style="109" bestFit="1" customWidth="1"/>
    <col min="15" max="15" width="9.109375" style="109"/>
    <col min="16" max="16" width="13.88671875" style="109" bestFit="1" customWidth="1"/>
    <col min="17" max="17" width="13.77734375" style="109" bestFit="1" customWidth="1"/>
    <col min="18" max="18" width="14" style="109" bestFit="1" customWidth="1"/>
    <col min="19" max="19" width="11" style="109" bestFit="1" customWidth="1"/>
    <col min="20" max="16384" width="9.109375" style="109"/>
  </cols>
  <sheetData>
    <row r="1" spans="1:7" ht="16.5" customHeight="1">
      <c r="A1" s="699" t="s">
        <v>58</v>
      </c>
      <c r="B1" s="700"/>
      <c r="C1" s="700"/>
      <c r="D1" s="701"/>
      <c r="E1" s="110"/>
    </row>
    <row r="2" spans="1:7" ht="15" customHeight="1">
      <c r="A2" s="702" t="s">
        <v>59</v>
      </c>
      <c r="B2" s="703"/>
      <c r="C2" s="703"/>
      <c r="D2" s="704"/>
      <c r="E2" s="110"/>
    </row>
    <row r="3" spans="1:7" ht="15" customHeight="1">
      <c r="A3" s="702" t="s">
        <v>60</v>
      </c>
      <c r="B3" s="703"/>
      <c r="C3" s="703"/>
      <c r="D3" s="704"/>
      <c r="E3" s="110"/>
    </row>
    <row r="4" spans="1:7" ht="15" customHeight="1">
      <c r="A4" s="712" t="s">
        <v>61</v>
      </c>
      <c r="B4" s="713"/>
      <c r="C4" s="713"/>
      <c r="D4" s="714"/>
      <c r="E4" s="111"/>
    </row>
    <row r="5" spans="1:7" ht="15.75" customHeight="1" thickBot="1">
      <c r="A5" s="705" t="str">
        <f>+"(Unless otherwise specified, all amounts are "&amp;IF('Master data'!A2="Ones","Indian Rupees","in "&amp;'Master data'!A2&amp;" of INR)")</f>
        <v>(Unless otherwise specified, all amounts are in Lakhs of INR)</v>
      </c>
      <c r="B5" s="706"/>
      <c r="C5" s="706"/>
      <c r="D5" s="707"/>
      <c r="E5" s="112"/>
    </row>
    <row r="6" spans="1:7" ht="14.4">
      <c r="A6" s="708" t="s">
        <v>44</v>
      </c>
      <c r="B6" s="710" t="s">
        <v>62</v>
      </c>
      <c r="C6" s="115" t="s">
        <v>63</v>
      </c>
      <c r="D6" s="116" t="s">
        <v>63</v>
      </c>
      <c r="E6" s="117"/>
    </row>
    <row r="7" spans="1:7" ht="15" thickBot="1">
      <c r="A7" s="709"/>
      <c r="B7" s="711"/>
      <c r="C7" s="120" t="s">
        <v>64</v>
      </c>
      <c r="D7" s="121" t="s">
        <v>65</v>
      </c>
      <c r="E7" s="117"/>
    </row>
    <row r="8" spans="1:7" ht="14.4">
      <c r="A8" s="122"/>
      <c r="B8" s="123"/>
      <c r="C8" s="123"/>
      <c r="D8" s="124"/>
      <c r="E8" s="85"/>
    </row>
    <row r="9" spans="1:7" ht="15.6">
      <c r="A9" s="125" t="s">
        <v>66</v>
      </c>
      <c r="B9" s="661"/>
      <c r="C9" s="661"/>
      <c r="D9" s="126"/>
      <c r="E9" s="85"/>
      <c r="F9" s="109" t="s">
        <v>1188</v>
      </c>
      <c r="G9" s="109" t="s">
        <v>1188</v>
      </c>
    </row>
    <row r="10" spans="1:7" ht="14.4">
      <c r="A10" s="95" t="s">
        <v>67</v>
      </c>
      <c r="B10" s="661"/>
      <c r="C10" s="661"/>
      <c r="D10" s="126"/>
      <c r="E10" s="85"/>
      <c r="F10" s="109" t="s">
        <v>1188</v>
      </c>
      <c r="G10" s="109" t="s">
        <v>1188</v>
      </c>
    </row>
    <row r="11" spans="1:7" ht="14.4">
      <c r="A11" s="127" t="s">
        <v>68</v>
      </c>
      <c r="B11" s="662">
        <v>3</v>
      </c>
      <c r="C11" s="85">
        <f>+'NOTE 3'!D15</f>
        <v>2</v>
      </c>
      <c r="D11" s="98">
        <f>+'NOTE 3'!E15</f>
        <v>2</v>
      </c>
      <c r="E11" s="129"/>
      <c r="F11" s="109" t="s">
        <v>1188</v>
      </c>
    </row>
    <row r="12" spans="1:7" ht="14.4">
      <c r="A12" s="130" t="s">
        <v>69</v>
      </c>
      <c r="B12" s="662">
        <v>4</v>
      </c>
      <c r="C12" s="85">
        <f>+'NOTE 4-8'!B15</f>
        <v>197.74661828920893</v>
      </c>
      <c r="D12" s="98">
        <f>+'NOTE 4-8'!C15</f>
        <v>37.069192956596368</v>
      </c>
      <c r="E12" s="129">
        <f t="shared" ref="E12:E42" si="0">+C12*100000</f>
        <v>19774661.828920893</v>
      </c>
      <c r="F12" s="109" t="s">
        <v>1188</v>
      </c>
      <c r="G12" s="109" t="s">
        <v>1188</v>
      </c>
    </row>
    <row r="13" spans="1:7" ht="14.4">
      <c r="A13" s="93"/>
      <c r="B13" s="662"/>
      <c r="C13" s="131">
        <f>SUM(C11:C12)</f>
        <v>199.74661828920893</v>
      </c>
      <c r="D13" s="132">
        <f>SUM(D11:D12)</f>
        <v>39.069192956596368</v>
      </c>
      <c r="E13" s="129">
        <f t="shared" si="0"/>
        <v>19974661.828920893</v>
      </c>
      <c r="F13" s="109" t="s">
        <v>1188</v>
      </c>
      <c r="G13" s="109" t="s">
        <v>1188</v>
      </c>
    </row>
    <row r="14" spans="1:7" ht="14.4">
      <c r="A14" s="95" t="s">
        <v>1150</v>
      </c>
      <c r="B14" s="662"/>
      <c r="C14" s="133"/>
      <c r="D14" s="134"/>
      <c r="E14" s="129">
        <f t="shared" si="0"/>
        <v>0</v>
      </c>
      <c r="F14" s="109" t="s">
        <v>1188</v>
      </c>
      <c r="G14" s="109" t="s">
        <v>1188</v>
      </c>
    </row>
    <row r="15" spans="1:7" ht="14.4">
      <c r="A15" s="93" t="s">
        <v>1152</v>
      </c>
      <c r="B15" s="662">
        <v>5</v>
      </c>
      <c r="C15" s="85">
        <f>+'NOTE 4-8'!B20</f>
        <v>148.44184840000003</v>
      </c>
      <c r="D15" s="98">
        <f>+'NOTE 4-8'!C20</f>
        <v>148.44184840000003</v>
      </c>
      <c r="E15" s="129">
        <f t="shared" si="0"/>
        <v>14844184.840000002</v>
      </c>
      <c r="F15" s="109" t="s">
        <v>1188</v>
      </c>
      <c r="G15" s="109" t="s">
        <v>1188</v>
      </c>
    </row>
    <row r="16" spans="1:7" ht="14.4">
      <c r="A16" s="93"/>
      <c r="B16" s="662"/>
      <c r="C16" s="131">
        <f>+C15</f>
        <v>148.44184840000003</v>
      </c>
      <c r="D16" s="132">
        <f>+D15</f>
        <v>148.44184840000003</v>
      </c>
      <c r="E16" s="129">
        <f t="shared" si="0"/>
        <v>14844184.840000002</v>
      </c>
      <c r="F16" s="109" t="s">
        <v>1188</v>
      </c>
      <c r="G16" s="109" t="s">
        <v>1188</v>
      </c>
    </row>
    <row r="17" spans="1:19" ht="14.4">
      <c r="A17" s="95" t="s">
        <v>70</v>
      </c>
      <c r="B17" s="663"/>
      <c r="C17" s="664"/>
      <c r="D17" s="135"/>
      <c r="E17" s="129">
        <f t="shared" si="0"/>
        <v>0</v>
      </c>
      <c r="F17" s="109" t="s">
        <v>1188</v>
      </c>
      <c r="G17" s="109" t="s">
        <v>1188</v>
      </c>
    </row>
    <row r="18" spans="1:19" ht="14.4">
      <c r="A18" s="93" t="s">
        <v>71</v>
      </c>
      <c r="B18" s="662">
        <v>6</v>
      </c>
      <c r="C18" s="85"/>
      <c r="D18" s="98"/>
      <c r="E18" s="129">
        <f t="shared" si="0"/>
        <v>0</v>
      </c>
      <c r="F18" s="109" t="s">
        <v>1188</v>
      </c>
      <c r="G18" s="109" t="s">
        <v>1188</v>
      </c>
    </row>
    <row r="19" spans="1:19" ht="14.4">
      <c r="A19" s="136" t="s">
        <v>72</v>
      </c>
      <c r="B19" s="662"/>
      <c r="C19" s="85">
        <f>+'NOTE 6'!G12</f>
        <v>0</v>
      </c>
      <c r="D19" s="98">
        <f>+'NOTE 6'!G24</f>
        <v>0</v>
      </c>
      <c r="E19" s="129">
        <f t="shared" si="0"/>
        <v>0</v>
      </c>
      <c r="F19" s="109" t="s">
        <v>1188</v>
      </c>
      <c r="G19" s="109" t="s">
        <v>1188</v>
      </c>
    </row>
    <row r="20" spans="1:19" ht="14.4">
      <c r="A20" s="136" t="s">
        <v>73</v>
      </c>
      <c r="B20" s="662"/>
      <c r="C20" s="85">
        <f>+'NOTE 6'!G17</f>
        <v>904.28353559999994</v>
      </c>
      <c r="D20" s="98">
        <f>+SUM('NOTE 6'!G25:G27)</f>
        <v>464.57415249999997</v>
      </c>
      <c r="E20" s="129">
        <f t="shared" si="0"/>
        <v>90428353.559999987</v>
      </c>
      <c r="F20" s="109" t="s">
        <v>1188</v>
      </c>
      <c r="G20" s="109" t="s">
        <v>1188</v>
      </c>
    </row>
    <row r="21" spans="1:19" ht="14.4">
      <c r="A21" s="93" t="s">
        <v>74</v>
      </c>
      <c r="B21" s="662">
        <v>7</v>
      </c>
      <c r="C21" s="85">
        <f>+'NOTE 4-8'!B28</f>
        <v>89.50195100000002</v>
      </c>
      <c r="D21" s="98">
        <f>+'NOTE 4-8'!C28</f>
        <v>32.999610600000004</v>
      </c>
      <c r="E21" s="129">
        <f t="shared" si="0"/>
        <v>8950195.1000000015</v>
      </c>
      <c r="F21" s="109" t="s">
        <v>1188</v>
      </c>
      <c r="G21" s="109" t="s">
        <v>1188</v>
      </c>
      <c r="K21" s="694" t="s">
        <v>75</v>
      </c>
      <c r="L21" s="695"/>
      <c r="M21" s="695"/>
      <c r="N21" s="695"/>
    </row>
    <row r="22" spans="1:19" ht="14.4">
      <c r="A22" s="93" t="s">
        <v>76</v>
      </c>
      <c r="B22" s="662">
        <v>8</v>
      </c>
      <c r="C22" s="85">
        <f>+'NOTE 4-8'!B36</f>
        <v>67.553087646929512</v>
      </c>
      <c r="D22" s="98">
        <f>+'NOTE 4-8'!C36</f>
        <v>204.81979754692952</v>
      </c>
      <c r="E22" s="129">
        <f t="shared" si="0"/>
        <v>6755308.764692951</v>
      </c>
      <c r="F22" s="109" t="s">
        <v>1188</v>
      </c>
      <c r="G22" s="109" t="s">
        <v>1188</v>
      </c>
      <c r="K22" s="137" t="s">
        <v>44</v>
      </c>
      <c r="L22" s="138" t="s">
        <v>45</v>
      </c>
      <c r="M22" s="138" t="s">
        <v>46</v>
      </c>
      <c r="N22" s="138" t="s">
        <v>77</v>
      </c>
    </row>
    <row r="23" spans="1:19" ht="14.4">
      <c r="A23" s="93"/>
      <c r="B23" s="662"/>
      <c r="C23" s="131">
        <f>SUM(C18:C22)</f>
        <v>1061.3385742469295</v>
      </c>
      <c r="D23" s="132">
        <f>SUM(D18:D22)</f>
        <v>702.39356064692947</v>
      </c>
      <c r="E23" s="129">
        <f t="shared" si="0"/>
        <v>106133857.42469294</v>
      </c>
      <c r="F23" s="109" t="s">
        <v>1188</v>
      </c>
      <c r="G23" s="109" t="s">
        <v>1188</v>
      </c>
      <c r="K23" s="137" t="s">
        <v>78</v>
      </c>
      <c r="L23" s="139"/>
      <c r="M23" s="139"/>
      <c r="N23" s="139"/>
    </row>
    <row r="24" spans="1:19" ht="14.4">
      <c r="A24" s="93"/>
      <c r="B24" s="662"/>
      <c r="C24" s="665"/>
      <c r="D24" s="140"/>
      <c r="E24" s="129">
        <f t="shared" si="0"/>
        <v>0</v>
      </c>
      <c r="F24" s="109" t="s">
        <v>1188</v>
      </c>
      <c r="G24" s="109" t="s">
        <v>1188</v>
      </c>
      <c r="I24" s="141"/>
      <c r="K24" s="139" t="s">
        <v>79</v>
      </c>
      <c r="L24" s="142">
        <v>88995355.108094171</v>
      </c>
      <c r="M24" s="142">
        <v>0</v>
      </c>
      <c r="N24" s="142"/>
      <c r="P24" s="109">
        <v>53379604.009999998</v>
      </c>
      <c r="Q24" s="109">
        <v>35615751.099999964</v>
      </c>
      <c r="R24" s="109">
        <f>+P24+Q24</f>
        <v>88995355.109999955</v>
      </c>
      <c r="S24" s="109">
        <f>+L24-R24</f>
        <v>-1.905784010887146E-3</v>
      </c>
    </row>
    <row r="25" spans="1:19" ht="15" thickBot="1">
      <c r="A25" s="143" t="s">
        <v>80</v>
      </c>
      <c r="B25" s="666"/>
      <c r="C25" s="101">
        <f>C13+C16+C23</f>
        <v>1409.5270409361385</v>
      </c>
      <c r="D25" s="102">
        <f>D13+D16+D23</f>
        <v>889.90460200352584</v>
      </c>
      <c r="E25" s="129">
        <f t="shared" si="0"/>
        <v>140952704.09361386</v>
      </c>
      <c r="F25" s="109" t="s">
        <v>1188</v>
      </c>
      <c r="G25" s="109" t="s">
        <v>1188</v>
      </c>
      <c r="I25" s="141"/>
      <c r="K25" s="139" t="s">
        <v>81</v>
      </c>
      <c r="L25" s="142">
        <v>0</v>
      </c>
      <c r="M25" s="142">
        <v>84505304.028043002</v>
      </c>
      <c r="N25" s="142"/>
      <c r="P25" s="109">
        <v>46457415.259999998</v>
      </c>
      <c r="Q25" s="109">
        <v>38055622.770000011</v>
      </c>
      <c r="R25" s="109">
        <f>+P25+Q25</f>
        <v>84513038.030000001</v>
      </c>
      <c r="S25" s="109">
        <f>+M25-R25</f>
        <v>-7734.0019569993019</v>
      </c>
    </row>
    <row r="26" spans="1:19" ht="15" thickTop="1">
      <c r="A26" s="93"/>
      <c r="B26" s="662"/>
      <c r="C26" s="665"/>
      <c r="D26" s="140"/>
      <c r="E26" s="129">
        <f t="shared" si="0"/>
        <v>0</v>
      </c>
      <c r="F26" s="109" t="s">
        <v>1188</v>
      </c>
      <c r="G26" s="109" t="s">
        <v>1188</v>
      </c>
      <c r="K26" s="139" t="s">
        <v>82</v>
      </c>
      <c r="L26" s="142">
        <v>0</v>
      </c>
      <c r="M26" s="142">
        <f>+'NOTE 4-8'!B34</f>
        <v>3.285799999999988E-2</v>
      </c>
      <c r="N26" s="142"/>
      <c r="P26" s="109">
        <v>14467305.25</v>
      </c>
      <c r="Q26" s="109">
        <v>380165.38999999966</v>
      </c>
      <c r="R26" s="109">
        <f>+P26+Q26</f>
        <v>14847470.640000001</v>
      </c>
      <c r="S26" s="631">
        <f>+M26-R26</f>
        <v>-14847470.607142001</v>
      </c>
    </row>
    <row r="27" spans="1:19" ht="15.6">
      <c r="A27" s="125" t="s">
        <v>83</v>
      </c>
      <c r="B27" s="663"/>
      <c r="C27" s="664"/>
      <c r="D27" s="135"/>
      <c r="E27" s="129">
        <f t="shared" si="0"/>
        <v>0</v>
      </c>
      <c r="F27" s="109" t="s">
        <v>1188</v>
      </c>
      <c r="G27" s="109" t="s">
        <v>1188</v>
      </c>
      <c r="K27" s="139" t="s">
        <v>84</v>
      </c>
      <c r="L27" s="142">
        <v>0</v>
      </c>
      <c r="M27" s="142">
        <f>+'NOTE 4-8'!B33</f>
        <v>0</v>
      </c>
      <c r="N27" s="142"/>
    </row>
    <row r="28" spans="1:19" ht="14.4">
      <c r="A28" s="95" t="s">
        <v>85</v>
      </c>
      <c r="B28" s="663"/>
      <c r="C28" s="664"/>
      <c r="D28" s="135"/>
      <c r="E28" s="129">
        <f t="shared" si="0"/>
        <v>0</v>
      </c>
      <c r="F28" s="109" t="s">
        <v>1188</v>
      </c>
      <c r="G28" s="109" t="s">
        <v>1188</v>
      </c>
      <c r="K28" s="138" t="s">
        <v>86</v>
      </c>
      <c r="L28" s="144">
        <f>SUM(L24:L27)</f>
        <v>88995355.108094171</v>
      </c>
      <c r="M28" s="144">
        <f>SUM(M24:M27)</f>
        <v>84505304.060901001</v>
      </c>
      <c r="N28" s="144">
        <f>+L28-M28</f>
        <v>4490051.0471931696</v>
      </c>
    </row>
    <row r="29" spans="1:19" ht="14.4">
      <c r="A29" s="93" t="s">
        <v>87</v>
      </c>
      <c r="B29" s="571">
        <v>9</v>
      </c>
      <c r="C29" s="145"/>
      <c r="D29" s="146"/>
      <c r="E29" s="129">
        <f t="shared" si="0"/>
        <v>0</v>
      </c>
      <c r="F29" s="109" t="s">
        <v>1188</v>
      </c>
      <c r="G29" s="109" t="s">
        <v>1188</v>
      </c>
      <c r="K29" s="137" t="s">
        <v>88</v>
      </c>
      <c r="L29" s="142"/>
      <c r="M29" s="142"/>
      <c r="N29" s="142"/>
    </row>
    <row r="30" spans="1:19" ht="14.4">
      <c r="A30" s="136" t="s">
        <v>89</v>
      </c>
      <c r="B30" s="662"/>
      <c r="C30" s="85">
        <f>+'Note 9'!J20</f>
        <v>7.3320925070883707</v>
      </c>
      <c r="D30" s="98">
        <f>+'Note 9'!K20</f>
        <v>9.141420707088372</v>
      </c>
      <c r="E30" s="129">
        <f t="shared" si="0"/>
        <v>733209.25070883706</v>
      </c>
      <c r="F30" s="109" t="s">
        <v>1188</v>
      </c>
      <c r="G30" s="109" t="s">
        <v>1188</v>
      </c>
      <c r="K30" s="139" t="s">
        <v>79</v>
      </c>
      <c r="L30" s="142">
        <f>+'TB 24-25'!O20-'TB 24-25'!P21</f>
        <v>1002.3372746215214</v>
      </c>
      <c r="M30" s="142">
        <v>0</v>
      </c>
      <c r="N30" s="142"/>
      <c r="P30" s="109">
        <v>63707735.969999999</v>
      </c>
      <c r="Q30" s="109">
        <v>35615751.099999964</v>
      </c>
      <c r="R30" s="109">
        <f>+P30+Q30</f>
        <v>99323487.069999963</v>
      </c>
      <c r="S30" s="109">
        <f>+L30-R30</f>
        <v>-99322484.732725337</v>
      </c>
    </row>
    <row r="31" spans="1:19" ht="14.4">
      <c r="A31" s="93"/>
      <c r="B31" s="662"/>
      <c r="C31" s="131">
        <f>SUM(C30:C30)</f>
        <v>7.3320925070883707</v>
      </c>
      <c r="D31" s="132">
        <f>SUM(D30:D30)</f>
        <v>9.141420707088372</v>
      </c>
      <c r="E31" s="129">
        <f t="shared" si="0"/>
        <v>733209.25070883706</v>
      </c>
      <c r="F31" s="109" t="s">
        <v>1188</v>
      </c>
      <c r="G31" s="109" t="s">
        <v>1188</v>
      </c>
      <c r="K31" s="139" t="s">
        <v>81</v>
      </c>
      <c r="L31" s="142">
        <v>0</v>
      </c>
      <c r="M31" s="142">
        <f>+SUM('TB 24-25'!P87:P90)-'TB 24-25'!O89</f>
        <v>1013.2276290141376</v>
      </c>
      <c r="N31" s="142"/>
      <c r="P31" s="632">
        <v>57351824.579999998</v>
      </c>
      <c r="Q31" s="109">
        <v>38055622.770000011</v>
      </c>
      <c r="R31" s="109">
        <f>+P31+Q31</f>
        <v>95407447.350000009</v>
      </c>
      <c r="S31" s="109">
        <f>+M31-R31</f>
        <v>-95406434.122370988</v>
      </c>
    </row>
    <row r="32" spans="1:19" ht="14.4">
      <c r="A32" s="93"/>
      <c r="B32" s="662"/>
      <c r="C32" s="85"/>
      <c r="D32" s="98"/>
      <c r="E32" s="129">
        <f t="shared" si="0"/>
        <v>0</v>
      </c>
      <c r="F32" s="109" t="s">
        <v>1188</v>
      </c>
      <c r="G32" s="109" t="s">
        <v>1188</v>
      </c>
      <c r="K32" s="139" t="s">
        <v>82</v>
      </c>
      <c r="L32" s="142">
        <v>0</v>
      </c>
      <c r="M32" s="142">
        <f>+'TB 24-25'!P58-'TB 24-25'!O65</f>
        <v>142.81192140000002</v>
      </c>
      <c r="N32" s="142"/>
      <c r="P32" s="109">
        <v>13901026.75</v>
      </c>
      <c r="Q32" s="109">
        <v>380165.38999999966</v>
      </c>
      <c r="R32" s="109">
        <f>+P32+Q32</f>
        <v>14281192.140000001</v>
      </c>
      <c r="S32" s="109">
        <f>+M32-R32</f>
        <v>-14281049.328078602</v>
      </c>
    </row>
    <row r="33" spans="1:14" ht="14.4">
      <c r="A33" s="93" t="s">
        <v>90</v>
      </c>
      <c r="B33" s="662">
        <v>10</v>
      </c>
      <c r="C33" s="85">
        <f>+'NOTE 10-14'!B12</f>
        <v>227.83877705594938</v>
      </c>
      <c r="D33" s="98">
        <f>+'NOTE 10-14'!C12</f>
        <v>204.827318316667</v>
      </c>
      <c r="E33" s="129">
        <f t="shared" si="0"/>
        <v>22783877.705594938</v>
      </c>
      <c r="F33" s="109" t="s">
        <v>1188</v>
      </c>
      <c r="G33" s="109" t="s">
        <v>1188</v>
      </c>
      <c r="K33" s="139" t="s">
        <v>84</v>
      </c>
      <c r="L33" s="142">
        <v>0</v>
      </c>
      <c r="M33" s="142">
        <f>+'TB 24-25'!P142</f>
        <v>0</v>
      </c>
      <c r="N33" s="142"/>
    </row>
    <row r="34" spans="1:14" ht="14.4">
      <c r="A34" s="93" t="s">
        <v>91</v>
      </c>
      <c r="B34" s="662">
        <v>11</v>
      </c>
      <c r="C34" s="85">
        <f>+'NOTE 10-14'!B18</f>
        <v>5.974360132108016</v>
      </c>
      <c r="D34" s="98">
        <f>+'NOTE 10-14'!C18</f>
        <v>6.3495769800000001</v>
      </c>
      <c r="E34" s="129">
        <f t="shared" si="0"/>
        <v>597436.01321080164</v>
      </c>
      <c r="F34" s="109" t="s">
        <v>1188</v>
      </c>
      <c r="G34" s="109" t="s">
        <v>1188</v>
      </c>
      <c r="K34" s="138" t="s">
        <v>86</v>
      </c>
      <c r="L34" s="144">
        <f>SUM(L30:L33)</f>
        <v>1002.3372746215214</v>
      </c>
      <c r="M34" s="144">
        <f>SUM(M30:M33)</f>
        <v>1156.0395504141377</v>
      </c>
      <c r="N34" s="144">
        <f>+L34-M34</f>
        <v>-153.70227579261632</v>
      </c>
    </row>
    <row r="35" spans="1:14" ht="14.4">
      <c r="A35" s="93"/>
      <c r="B35" s="662">
        <v>0</v>
      </c>
      <c r="C35" s="131">
        <f>+C33+C34</f>
        <v>233.8131371880574</v>
      </c>
      <c r="D35" s="132">
        <f>D33+D34</f>
        <v>211.176895296667</v>
      </c>
      <c r="E35" s="129">
        <f t="shared" si="0"/>
        <v>23381313.718805738</v>
      </c>
      <c r="F35" s="129">
        <f t="shared" ref="F12:F42" si="1">+D35*100000</f>
        <v>21117689.529666699</v>
      </c>
      <c r="N35" s="109">
        <f>+N28-N34</f>
        <v>4490204.7494689627</v>
      </c>
    </row>
    <row r="36" spans="1:14" ht="14.4">
      <c r="A36" s="95" t="s">
        <v>92</v>
      </c>
      <c r="B36" s="663"/>
      <c r="C36" s="85"/>
      <c r="D36" s="98"/>
      <c r="E36" s="129">
        <f t="shared" si="0"/>
        <v>0</v>
      </c>
      <c r="F36" s="129">
        <f t="shared" si="1"/>
        <v>0</v>
      </c>
      <c r="N36" s="109">
        <f>+N35*Deno</f>
        <v>449020474946.89624</v>
      </c>
    </row>
    <row r="37" spans="1:14" ht="14.4">
      <c r="A37" s="93" t="s">
        <v>93</v>
      </c>
      <c r="B37" s="662">
        <v>12</v>
      </c>
      <c r="C37" s="85">
        <f>+'NOTE 12'!G18</f>
        <v>899.05595489999996</v>
      </c>
      <c r="D37" s="98">
        <f>+'NOTE 12'!G30</f>
        <v>533.79604000000006</v>
      </c>
      <c r="E37" s="129">
        <f t="shared" si="0"/>
        <v>89905595.489999995</v>
      </c>
      <c r="F37" s="129">
        <f t="shared" si="1"/>
        <v>53379604.000000007</v>
      </c>
    </row>
    <row r="38" spans="1:14" ht="14.4">
      <c r="A38" s="93" t="s">
        <v>94</v>
      </c>
      <c r="B38" s="662">
        <v>13</v>
      </c>
      <c r="C38" s="85">
        <f>+'NOTE 10-14'!B24+(1.99/Deno)</f>
        <v>216.93546194991202</v>
      </c>
      <c r="D38" s="98">
        <f>+'NOTE 10-14'!C24+(1.99/Deno)</f>
        <v>61.1757156499107</v>
      </c>
      <c r="E38" s="129">
        <f t="shared" si="0"/>
        <v>21693546.194991201</v>
      </c>
      <c r="F38" s="129">
        <f t="shared" si="1"/>
        <v>6117571.56499107</v>
      </c>
    </row>
    <row r="39" spans="1:14" ht="14.4">
      <c r="A39" s="93" t="s">
        <v>95</v>
      </c>
      <c r="B39" s="662">
        <v>14</v>
      </c>
      <c r="C39" s="85">
        <f>+'NOTE 10-14'!B31</f>
        <v>52.390399866666911</v>
      </c>
      <c r="D39" s="98">
        <f>+'NOTE 10-14'!C31</f>
        <v>74.614538899999999</v>
      </c>
      <c r="E39" s="129">
        <f t="shared" si="0"/>
        <v>5239039.9866666915</v>
      </c>
      <c r="F39" s="129">
        <f t="shared" si="1"/>
        <v>7461453.8899999997</v>
      </c>
    </row>
    <row r="40" spans="1:14" ht="14.4">
      <c r="A40" s="93"/>
      <c r="B40" s="662"/>
      <c r="C40" s="131">
        <f>SUM(C37:C39)</f>
        <v>1168.3818167165789</v>
      </c>
      <c r="D40" s="132">
        <f>SUM(D37:D39)</f>
        <v>669.58629454991069</v>
      </c>
      <c r="E40" s="129">
        <f t="shared" si="0"/>
        <v>116838181.67165789</v>
      </c>
      <c r="F40" s="129">
        <f t="shared" si="1"/>
        <v>66958629.454991072</v>
      </c>
    </row>
    <row r="41" spans="1:14" ht="14.4">
      <c r="A41" s="93"/>
      <c r="B41" s="128"/>
      <c r="C41" s="85"/>
      <c r="D41" s="98"/>
      <c r="E41" s="129">
        <f t="shared" si="0"/>
        <v>0</v>
      </c>
      <c r="F41" s="129">
        <f t="shared" si="1"/>
        <v>0</v>
      </c>
    </row>
    <row r="42" spans="1:14" ht="15" thickBot="1">
      <c r="A42" s="143" t="s">
        <v>80</v>
      </c>
      <c r="B42" s="667"/>
      <c r="C42" s="101">
        <f>C31+C35+C40</f>
        <v>1409.5270464117248</v>
      </c>
      <c r="D42" s="102">
        <f>D31+D35+D40</f>
        <v>889.90461055366609</v>
      </c>
      <c r="E42" s="129">
        <f t="shared" si="0"/>
        <v>140952704.64117247</v>
      </c>
      <c r="F42" s="129">
        <f t="shared" si="1"/>
        <v>88990461.055366606</v>
      </c>
    </row>
    <row r="43" spans="1:14" ht="15.6" thickTop="1" thickBot="1">
      <c r="A43" s="147"/>
      <c r="B43" s="148"/>
      <c r="C43" s="148"/>
      <c r="D43" s="149"/>
      <c r="E43" s="85">
        <f>+E42*Deno</f>
        <v>14095270464117.246</v>
      </c>
      <c r="F43" s="85">
        <f>+F42*Deno</f>
        <v>8899046105536.6602</v>
      </c>
    </row>
    <row r="44" spans="1:14" ht="14.4">
      <c r="A44" s="696" t="s">
        <v>96</v>
      </c>
      <c r="B44" s="697"/>
      <c r="C44" s="697"/>
      <c r="D44" s="698"/>
      <c r="E44" s="57"/>
    </row>
    <row r="45" spans="1:14" ht="14.4">
      <c r="A45" s="696" t="s">
        <v>97</v>
      </c>
      <c r="B45" s="697"/>
      <c r="C45" s="697"/>
      <c r="D45" s="698"/>
      <c r="E45" s="57"/>
    </row>
    <row r="46" spans="1:14" ht="14.4">
      <c r="A46" s="93"/>
      <c r="B46" s="128"/>
      <c r="C46" s="128"/>
      <c r="D46" s="150"/>
      <c r="E46" s="128"/>
    </row>
    <row r="47" spans="1:14" s="152" customFormat="1" ht="15.75" customHeight="1">
      <c r="A47" s="151" t="s">
        <v>98</v>
      </c>
      <c r="B47" s="57" t="s">
        <v>99</v>
      </c>
      <c r="C47" s="57"/>
      <c r="D47" s="94"/>
      <c r="E47" s="57"/>
      <c r="K47" s="109"/>
      <c r="L47" s="109"/>
      <c r="M47" s="109"/>
      <c r="N47" s="109"/>
    </row>
    <row r="48" spans="1:14" ht="14.4">
      <c r="A48" s="153" t="s">
        <v>100</v>
      </c>
      <c r="B48" s="96" t="s">
        <v>101</v>
      </c>
      <c r="C48" s="96"/>
      <c r="D48" s="97"/>
      <c r="E48" s="96"/>
    </row>
    <row r="49" spans="1:14" ht="14.4">
      <c r="A49" s="153" t="s">
        <v>102</v>
      </c>
      <c r="B49" s="57"/>
      <c r="C49" s="57"/>
      <c r="D49" s="94"/>
      <c r="E49" s="85"/>
      <c r="K49" s="152"/>
      <c r="L49" s="152"/>
      <c r="M49" s="152"/>
      <c r="N49" s="152"/>
    </row>
    <row r="50" spans="1:14" ht="14.4">
      <c r="A50" s="153" t="s">
        <v>103</v>
      </c>
      <c r="B50" s="57"/>
      <c r="C50" s="57"/>
      <c r="D50" s="94"/>
      <c r="E50" s="85"/>
    </row>
    <row r="51" spans="1:14" ht="14.4">
      <c r="A51" s="153"/>
      <c r="B51" s="57"/>
      <c r="C51" s="57"/>
      <c r="D51" s="94"/>
      <c r="E51" s="85"/>
    </row>
    <row r="52" spans="1:14" ht="14.4">
      <c r="A52" s="151" t="s">
        <v>1187</v>
      </c>
      <c r="B52" s="57" t="s">
        <v>1187</v>
      </c>
      <c r="C52" s="57"/>
      <c r="D52" s="94" t="s">
        <v>1187</v>
      </c>
      <c r="E52" s="85"/>
    </row>
    <row r="53" spans="1:14" ht="14.4">
      <c r="A53" s="154"/>
      <c r="B53" s="85"/>
      <c r="C53" s="57"/>
      <c r="D53" s="98"/>
      <c r="E53" s="85"/>
    </row>
    <row r="54" spans="1:14" ht="14.4">
      <c r="A54" s="155" t="s">
        <v>104</v>
      </c>
      <c r="B54" s="96" t="s">
        <v>105</v>
      </c>
      <c r="C54" s="96"/>
      <c r="D54" s="156" t="s">
        <v>106</v>
      </c>
      <c r="E54" s="96"/>
    </row>
    <row r="55" spans="1:14" ht="14.4">
      <c r="A55" s="153" t="s">
        <v>107</v>
      </c>
      <c r="B55" s="96" t="s">
        <v>108</v>
      </c>
      <c r="C55" s="96"/>
      <c r="D55" s="156" t="s">
        <v>108</v>
      </c>
      <c r="E55" s="96"/>
    </row>
    <row r="56" spans="1:14" ht="14.4">
      <c r="A56" s="153" t="s">
        <v>109</v>
      </c>
      <c r="B56" s="96" t="s">
        <v>110</v>
      </c>
      <c r="C56" s="96"/>
      <c r="D56" s="156" t="s">
        <v>111</v>
      </c>
      <c r="E56" s="96"/>
    </row>
    <row r="57" spans="1:14" ht="14.4">
      <c r="A57" s="93" t="s">
        <v>112</v>
      </c>
      <c r="B57" s="157" t="s">
        <v>113</v>
      </c>
      <c r="D57" s="159" t="s">
        <v>114</v>
      </c>
      <c r="E57" s="57"/>
    </row>
    <row r="58" spans="1:14" ht="14.4">
      <c r="A58" s="93" t="s">
        <v>115</v>
      </c>
      <c r="B58" s="57" t="s">
        <v>116</v>
      </c>
      <c r="C58" s="128"/>
      <c r="D58" s="94" t="s">
        <v>116</v>
      </c>
      <c r="E58" s="85"/>
    </row>
    <row r="59" spans="1:14" ht="14.4">
      <c r="A59" s="93" t="s">
        <v>117</v>
      </c>
      <c r="B59" s="128"/>
      <c r="C59" s="128"/>
      <c r="D59" s="150"/>
      <c r="E59" s="85"/>
    </row>
    <row r="60" spans="1:14" ht="15" thickBot="1">
      <c r="A60" s="147"/>
      <c r="B60" s="148"/>
      <c r="C60" s="148"/>
      <c r="D60" s="149"/>
      <c r="E60" s="85"/>
    </row>
  </sheetData>
  <mergeCells count="10">
    <mergeCell ref="K21:N21"/>
    <mergeCell ref="A44:D44"/>
    <mergeCell ref="A45:D45"/>
    <mergeCell ref="A1:D1"/>
    <mergeCell ref="A2:D2"/>
    <mergeCell ref="A5:D5"/>
    <mergeCell ref="A6:A7"/>
    <mergeCell ref="B6:B7"/>
    <mergeCell ref="A3:D3"/>
    <mergeCell ref="A4:D4"/>
  </mergeCells>
  <phoneticPr fontId="8" type="noConversion"/>
  <printOptions horizontalCentered="1" verticalCentered="1"/>
  <pageMargins left="0.35433070866141736" right="0.35433070866141736" top="0.27559055118110237" bottom="0.27559055118110237" header="0.15748031496062992" footer="0.19685039370078741"/>
  <pageSetup paperSize="9" scale="92"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6"/>
  <sheetViews>
    <sheetView showGridLines="0" view="pageBreakPreview" zoomScaleNormal="100" zoomScaleSheetLayoutView="100" workbookViewId="0">
      <selection activeCell="I13" sqref="I13"/>
    </sheetView>
  </sheetViews>
  <sheetFormatPr defaultColWidth="9.109375" defaultRowHeight="13.8"/>
  <cols>
    <col min="1" max="1" width="3.6640625" style="109" bestFit="1" customWidth="1"/>
    <col min="2" max="2" width="50.6640625" style="109" customWidth="1"/>
    <col min="3" max="3" width="8.6640625" style="158" customWidth="1"/>
    <col min="4" max="5" width="20.6640625" style="624" customWidth="1"/>
    <col min="6" max="8" width="15.109375" style="109" bestFit="1" customWidth="1"/>
    <col min="9" max="10" width="14.6640625" style="109" bestFit="1" customWidth="1"/>
    <col min="11" max="16384" width="9.109375" style="109"/>
  </cols>
  <sheetData>
    <row r="1" spans="1:7" s="57" customFormat="1" ht="15" customHeight="1">
      <c r="A1" s="717" t="s">
        <v>58</v>
      </c>
      <c r="B1" s="718"/>
      <c r="C1" s="718"/>
      <c r="D1" s="718"/>
      <c r="E1" s="719"/>
    </row>
    <row r="2" spans="1:7" s="57" customFormat="1" ht="15" customHeight="1">
      <c r="A2" s="720" t="s">
        <v>577</v>
      </c>
      <c r="B2" s="721"/>
      <c r="C2" s="721"/>
      <c r="D2" s="721"/>
      <c r="E2" s="722"/>
    </row>
    <row r="3" spans="1:7" s="57" customFormat="1" ht="15" customHeight="1">
      <c r="A3" s="720" t="s">
        <v>578</v>
      </c>
      <c r="B3" s="721"/>
      <c r="C3" s="721"/>
      <c r="D3" s="721"/>
      <c r="E3" s="722"/>
    </row>
    <row r="4" spans="1:7" s="57" customFormat="1" ht="15" customHeight="1">
      <c r="A4" s="733" t="str">
        <f>+BS!A4</f>
        <v>Old No.7 / New No.13, First Floor, First Cross Street, Trustpuram, Kodambakkam, Chennai - 600024, India</v>
      </c>
      <c r="B4" s="734"/>
      <c r="C4" s="734"/>
      <c r="D4" s="734"/>
      <c r="E4" s="735"/>
    </row>
    <row r="5" spans="1:7" s="57" customFormat="1" ht="15" thickBot="1">
      <c r="A5" s="723" t="str">
        <f>+"(Unless otherwise specified, all amounts are "&amp;IF('Master data'!A2="Ones","Indian Rupees","in "&amp;'Master data'!A2&amp;" of INR)")</f>
        <v>(Unless otherwise specified, all amounts are in Lakhs of INR)</v>
      </c>
      <c r="B5" s="724"/>
      <c r="C5" s="724"/>
      <c r="D5" s="724"/>
      <c r="E5" s="725"/>
    </row>
    <row r="6" spans="1:7" s="57" customFormat="1" ht="14.4">
      <c r="A6" s="708" t="s">
        <v>44</v>
      </c>
      <c r="B6" s="710"/>
      <c r="C6" s="726" t="s">
        <v>579</v>
      </c>
      <c r="D6" s="599" t="s">
        <v>580</v>
      </c>
      <c r="E6" s="600" t="s">
        <v>580</v>
      </c>
    </row>
    <row r="7" spans="1:7" s="57" customFormat="1" ht="15" thickBot="1">
      <c r="A7" s="709"/>
      <c r="B7" s="711"/>
      <c r="C7" s="727"/>
      <c r="D7" s="568">
        <v>45747</v>
      </c>
      <c r="E7" s="637">
        <v>45382</v>
      </c>
    </row>
    <row r="8" spans="1:7" s="57" customFormat="1" ht="14.4">
      <c r="A8" s="549"/>
      <c r="B8" s="550"/>
      <c r="C8" s="550"/>
      <c r="D8" s="601"/>
      <c r="E8" s="602"/>
    </row>
    <row r="9" spans="1:7" s="57" customFormat="1" ht="14.4">
      <c r="A9" s="93" t="s">
        <v>581</v>
      </c>
      <c r="B9" s="57" t="s">
        <v>582</v>
      </c>
      <c r="C9" s="570">
        <v>15</v>
      </c>
      <c r="D9" s="603">
        <f>'NOTE 15-20'!B14</f>
        <v>2510.5688293999974</v>
      </c>
      <c r="E9" s="604">
        <f>'NOTE 15-20'!C14</f>
        <v>1484.7668325</v>
      </c>
      <c r="F9" s="57">
        <f>+D9*100000</f>
        <v>251056882.93999973</v>
      </c>
      <c r="G9" s="57">
        <f>+E9*100000</f>
        <v>148476683.25</v>
      </c>
    </row>
    <row r="10" spans="1:7" s="57" customFormat="1" ht="14.4">
      <c r="A10" s="93" t="s">
        <v>583</v>
      </c>
      <c r="B10" s="57" t="s">
        <v>365</v>
      </c>
      <c r="C10" s="570">
        <v>16</v>
      </c>
      <c r="D10" s="605">
        <f>'NOTE 15-20'!B20</f>
        <v>62.750698499999999</v>
      </c>
      <c r="E10" s="606">
        <f>'NOTE 15-20'!C20</f>
        <v>46.561970099999996</v>
      </c>
      <c r="F10" s="57">
        <f t="shared" ref="F10:F34" si="0">+D10*100000</f>
        <v>6275069.8499999996</v>
      </c>
      <c r="G10" s="57">
        <f t="shared" ref="G10:G34" si="1">+E10*100000</f>
        <v>4656197.01</v>
      </c>
    </row>
    <row r="11" spans="1:7" s="57" customFormat="1" ht="14.4">
      <c r="A11" s="93"/>
      <c r="C11" s="570"/>
      <c r="D11" s="607"/>
      <c r="E11" s="608"/>
      <c r="F11" s="57">
        <f t="shared" si="0"/>
        <v>0</v>
      </c>
    </row>
    <row r="12" spans="1:7" s="57" customFormat="1" ht="15" thickBot="1">
      <c r="A12" s="95" t="s">
        <v>584</v>
      </c>
      <c r="B12" s="234" t="s">
        <v>585</v>
      </c>
      <c r="C12" s="570"/>
      <c r="D12" s="609">
        <f>SUM(D9:D11)</f>
        <v>2573.3195278999974</v>
      </c>
      <c r="E12" s="610">
        <f>SUM(E9:E11)</f>
        <v>1531.3288026</v>
      </c>
      <c r="F12" s="57">
        <f t="shared" si="0"/>
        <v>257331952.78999975</v>
      </c>
      <c r="G12" s="57">
        <f t="shared" si="1"/>
        <v>153132880.25999999</v>
      </c>
    </row>
    <row r="13" spans="1:7" s="57" customFormat="1" ht="15" thickTop="1">
      <c r="A13" s="93"/>
      <c r="C13" s="570"/>
      <c r="D13" s="607"/>
      <c r="E13" s="608"/>
      <c r="F13" s="57">
        <f t="shared" si="0"/>
        <v>0</v>
      </c>
      <c r="G13" s="57">
        <f t="shared" si="1"/>
        <v>0</v>
      </c>
    </row>
    <row r="14" spans="1:7" s="57" customFormat="1" ht="14.4">
      <c r="A14" s="93" t="s">
        <v>586</v>
      </c>
      <c r="B14" s="57" t="s">
        <v>587</v>
      </c>
      <c r="C14" s="570"/>
      <c r="D14" s="607"/>
      <c r="E14" s="608"/>
      <c r="F14" s="57">
        <f t="shared" si="0"/>
        <v>0</v>
      </c>
      <c r="G14" s="57">
        <f t="shared" si="1"/>
        <v>0</v>
      </c>
    </row>
    <row r="15" spans="1:7" s="57" customFormat="1" ht="14.4">
      <c r="A15" s="93"/>
      <c r="B15" s="57" t="s">
        <v>373</v>
      </c>
      <c r="C15" s="570">
        <v>17</v>
      </c>
      <c r="D15" s="605">
        <f>'NOTE 15-20'!B28</f>
        <v>2153.6675333999997</v>
      </c>
      <c r="E15" s="606">
        <f>'NOTE 15-20'!C28</f>
        <v>1216.7372532000011</v>
      </c>
      <c r="F15" s="57">
        <f t="shared" si="0"/>
        <v>215366753.33999997</v>
      </c>
      <c r="G15" s="57">
        <f t="shared" si="1"/>
        <v>121673725.32000011</v>
      </c>
    </row>
    <row r="16" spans="1:7" s="57" customFormat="1" ht="14.4">
      <c r="A16" s="93"/>
      <c r="B16" s="57" t="s">
        <v>394</v>
      </c>
      <c r="C16" s="570">
        <v>18</v>
      </c>
      <c r="D16" s="605">
        <f>'NOTE 15-20'!B34</f>
        <v>230.47531000000004</v>
      </c>
      <c r="E16" s="606">
        <f>'NOTE 15-20'!C34</f>
        <v>220.62799999999999</v>
      </c>
      <c r="F16" s="57">
        <f t="shared" si="0"/>
        <v>23047531.000000004</v>
      </c>
      <c r="G16" s="57">
        <f t="shared" si="1"/>
        <v>22062800</v>
      </c>
    </row>
    <row r="17" spans="1:7" s="57" customFormat="1" ht="14.4">
      <c r="A17" s="93"/>
      <c r="B17" s="57" t="s">
        <v>588</v>
      </c>
      <c r="C17" s="570">
        <v>19</v>
      </c>
      <c r="D17" s="605">
        <f>+'NOTE 15-20'!B41</f>
        <v>2.664397000000001</v>
      </c>
      <c r="E17" s="606">
        <f>+'NOTE 15-20'!C41</f>
        <v>1.8794929999999999</v>
      </c>
      <c r="F17" s="57">
        <f t="shared" si="0"/>
        <v>266439.70000000013</v>
      </c>
      <c r="G17" s="57">
        <f t="shared" si="1"/>
        <v>187949.3</v>
      </c>
    </row>
    <row r="18" spans="1:7" s="57" customFormat="1" ht="14.4">
      <c r="A18" s="93"/>
      <c r="B18" s="57" t="s">
        <v>589</v>
      </c>
      <c r="C18" s="570">
        <v>20</v>
      </c>
      <c r="D18" s="605">
        <f>'NOTE 15-20'!B57</f>
        <v>157.28139495877551</v>
      </c>
      <c r="E18" s="606">
        <f>'NOTE 15-20'!C57</f>
        <v>138.65935659404806</v>
      </c>
      <c r="F18" s="57">
        <f t="shared" si="0"/>
        <v>15728139.495877551</v>
      </c>
      <c r="G18" s="57">
        <f t="shared" si="1"/>
        <v>13865935.659404807</v>
      </c>
    </row>
    <row r="19" spans="1:7" s="57" customFormat="1" ht="14.4">
      <c r="A19" s="93"/>
      <c r="B19" s="57" t="s">
        <v>560</v>
      </c>
      <c r="C19" s="570">
        <v>9</v>
      </c>
      <c r="D19" s="605">
        <f>+'Note 9'!G20</f>
        <v>2.6989893</v>
      </c>
      <c r="E19" s="606">
        <f>+'Note 9'!G22</f>
        <v>3.35320171350791</v>
      </c>
      <c r="F19" s="57">
        <f t="shared" si="0"/>
        <v>269898.93</v>
      </c>
      <c r="G19" s="57">
        <f t="shared" si="1"/>
        <v>335320.171350791</v>
      </c>
    </row>
    <row r="20" spans="1:7" s="57" customFormat="1" ht="14.4">
      <c r="A20" s="93"/>
      <c r="C20" s="128"/>
      <c r="D20" s="607"/>
      <c r="E20" s="608"/>
      <c r="F20" s="57">
        <f t="shared" si="0"/>
        <v>0</v>
      </c>
      <c r="G20" s="57">
        <f t="shared" si="1"/>
        <v>0</v>
      </c>
    </row>
    <row r="21" spans="1:7" s="57" customFormat="1" ht="15" thickBot="1">
      <c r="A21" s="95" t="s">
        <v>590</v>
      </c>
      <c r="B21" s="234" t="s">
        <v>585</v>
      </c>
      <c r="C21" s="128"/>
      <c r="D21" s="609">
        <f>SUM(D15:D20)</f>
        <v>2546.7876246587753</v>
      </c>
      <c r="E21" s="610">
        <f>SUM(E15:E20)</f>
        <v>1581.2573045075567</v>
      </c>
      <c r="F21" s="57">
        <f t="shared" si="0"/>
        <v>254678762.46587753</v>
      </c>
      <c r="G21" s="57">
        <f t="shared" si="1"/>
        <v>158125730.45075566</v>
      </c>
    </row>
    <row r="22" spans="1:7" s="57" customFormat="1" ht="15" thickTop="1">
      <c r="A22" s="93"/>
      <c r="B22" s="96"/>
      <c r="C22" s="128"/>
      <c r="D22" s="607"/>
      <c r="E22" s="608"/>
      <c r="F22" s="57">
        <f t="shared" si="0"/>
        <v>0</v>
      </c>
      <c r="G22" s="57">
        <f t="shared" si="1"/>
        <v>0</v>
      </c>
    </row>
    <row r="23" spans="1:7" s="57" customFormat="1" ht="14.4">
      <c r="A23" s="93" t="s">
        <v>591</v>
      </c>
      <c r="B23" s="57" t="s">
        <v>592</v>
      </c>
      <c r="C23" s="128"/>
      <c r="D23" s="605">
        <f>D12-D21</f>
        <v>26.531903241222153</v>
      </c>
      <c r="E23" s="611">
        <f>E12-E21</f>
        <v>-49.928501907556665</v>
      </c>
      <c r="F23" s="57">
        <f t="shared" si="0"/>
        <v>2653190.3241222152</v>
      </c>
      <c r="G23" s="57">
        <f t="shared" si="1"/>
        <v>-4992850.1907556662</v>
      </c>
    </row>
    <row r="24" spans="1:7" s="57" customFormat="1" ht="14.4">
      <c r="A24" s="93"/>
      <c r="C24" s="128"/>
      <c r="D24" s="612"/>
      <c r="E24" s="611"/>
      <c r="F24" s="57">
        <f t="shared" si="0"/>
        <v>0</v>
      </c>
      <c r="G24" s="57">
        <f t="shared" si="1"/>
        <v>0</v>
      </c>
    </row>
    <row r="25" spans="1:7" s="57" customFormat="1" ht="14.4">
      <c r="A25" s="93" t="s">
        <v>593</v>
      </c>
      <c r="B25" s="57" t="s">
        <v>594</v>
      </c>
      <c r="C25" s="128"/>
      <c r="D25" s="605">
        <v>0</v>
      </c>
      <c r="E25" s="606">
        <v>0</v>
      </c>
      <c r="F25" s="57">
        <f t="shared" si="0"/>
        <v>0</v>
      </c>
      <c r="G25" s="57">
        <f t="shared" si="1"/>
        <v>0</v>
      </c>
    </row>
    <row r="26" spans="1:7" s="57" customFormat="1" ht="14.4">
      <c r="A26" s="93"/>
      <c r="C26" s="128"/>
      <c r="D26" s="605"/>
      <c r="E26" s="606"/>
      <c r="F26" s="57">
        <f t="shared" si="0"/>
        <v>0</v>
      </c>
      <c r="G26" s="57">
        <f t="shared" si="1"/>
        <v>0</v>
      </c>
    </row>
    <row r="27" spans="1:7" s="57" customFormat="1" ht="14.4">
      <c r="A27" s="95" t="s">
        <v>595</v>
      </c>
      <c r="B27" s="96" t="s">
        <v>596</v>
      </c>
      <c r="C27" s="128"/>
      <c r="D27" s="613">
        <f>D23-D25</f>
        <v>26.531903241222153</v>
      </c>
      <c r="E27" s="614">
        <f>E23-E25</f>
        <v>-49.928501907556665</v>
      </c>
      <c r="F27" s="57">
        <f t="shared" si="0"/>
        <v>2653190.3241222152</v>
      </c>
      <c r="G27" s="57">
        <f t="shared" si="1"/>
        <v>-4992850.1907556662</v>
      </c>
    </row>
    <row r="28" spans="1:7" s="57" customFormat="1" ht="14.4">
      <c r="A28" s="93"/>
      <c r="C28" s="128"/>
      <c r="D28" s="605"/>
      <c r="E28" s="606"/>
      <c r="F28" s="57">
        <f t="shared" si="0"/>
        <v>0</v>
      </c>
      <c r="G28" s="57">
        <f t="shared" si="1"/>
        <v>0</v>
      </c>
    </row>
    <row r="29" spans="1:7" s="57" customFormat="1" ht="14.4">
      <c r="A29" s="93" t="s">
        <v>597</v>
      </c>
      <c r="B29" s="57" t="s">
        <v>598</v>
      </c>
      <c r="C29" s="128"/>
      <c r="D29" s="605">
        <f>D27</f>
        <v>26.531903241222153</v>
      </c>
      <c r="E29" s="611">
        <f>E27</f>
        <v>-49.928501907556665</v>
      </c>
      <c r="F29" s="57">
        <f t="shared" si="0"/>
        <v>2653190.3241222152</v>
      </c>
      <c r="G29" s="57">
        <f t="shared" si="1"/>
        <v>-4992850.1907556662</v>
      </c>
    </row>
    <row r="30" spans="1:7" s="57" customFormat="1" ht="14.4">
      <c r="A30" s="93" t="s">
        <v>599</v>
      </c>
      <c r="B30" s="57" t="s">
        <v>600</v>
      </c>
      <c r="C30" s="128"/>
      <c r="D30" s="615"/>
      <c r="E30" s="616"/>
      <c r="F30" s="57">
        <f t="shared" si="0"/>
        <v>0</v>
      </c>
      <c r="G30" s="57">
        <f t="shared" si="1"/>
        <v>0</v>
      </c>
    </row>
    <row r="31" spans="1:7" s="57" customFormat="1" ht="14.4">
      <c r="A31" s="93"/>
      <c r="B31" s="57" t="s">
        <v>601</v>
      </c>
      <c r="C31" s="128"/>
      <c r="D31" s="615">
        <f>+'Audit entry'!D148/Deno</f>
        <v>6.547624860717618</v>
      </c>
      <c r="E31" s="606">
        <v>0</v>
      </c>
      <c r="F31" s="57">
        <f t="shared" si="0"/>
        <v>654762.48607176181</v>
      </c>
      <c r="G31" s="57">
        <f t="shared" si="1"/>
        <v>0</v>
      </c>
    </row>
    <row r="32" spans="1:7" s="57" customFormat="1" ht="14.4">
      <c r="A32" s="93"/>
      <c r="B32" s="57" t="s">
        <v>602</v>
      </c>
      <c r="C32" s="128"/>
      <c r="D32" s="605">
        <f>-'Audit entry'!D31</f>
        <v>-0.37521684789198417</v>
      </c>
      <c r="E32" s="611">
        <f>-28240.312/Deno</f>
        <v>-0.28240312000000001</v>
      </c>
      <c r="F32" s="57">
        <f t="shared" si="0"/>
        <v>-37521.684789198414</v>
      </c>
      <c r="G32" s="57">
        <f t="shared" si="1"/>
        <v>-28240.312000000002</v>
      </c>
    </row>
    <row r="33" spans="1:7" s="57" customFormat="1" ht="14.4">
      <c r="A33" s="93"/>
      <c r="B33" s="57" t="s">
        <v>603</v>
      </c>
      <c r="C33" s="128"/>
      <c r="D33" s="607"/>
      <c r="E33" s="608"/>
      <c r="F33" s="57">
        <f t="shared" si="0"/>
        <v>0</v>
      </c>
      <c r="G33" s="57">
        <f t="shared" si="1"/>
        <v>0</v>
      </c>
    </row>
    <row r="34" spans="1:7" s="57" customFormat="1" ht="15" thickBot="1">
      <c r="A34" s="95" t="s">
        <v>604</v>
      </c>
      <c r="B34" s="96" t="s">
        <v>605</v>
      </c>
      <c r="C34" s="128"/>
      <c r="D34" s="609">
        <f>D29-D31+D32+D33</f>
        <v>19.60906153261255</v>
      </c>
      <c r="E34" s="617">
        <f>E29-E31+E32+E33</f>
        <v>-50.210905027556663</v>
      </c>
      <c r="F34" s="57">
        <f t="shared" si="0"/>
        <v>1960906.153261255</v>
      </c>
      <c r="G34" s="57">
        <f t="shared" si="1"/>
        <v>-5021090.5027556662</v>
      </c>
    </row>
    <row r="35" spans="1:7" s="57" customFormat="1" ht="15" thickTop="1">
      <c r="A35" s="93"/>
      <c r="C35" s="128"/>
      <c r="D35" s="607"/>
      <c r="E35" s="608"/>
    </row>
    <row r="36" spans="1:7" s="57" customFormat="1" ht="14.4">
      <c r="A36" s="93" t="s">
        <v>606</v>
      </c>
      <c r="B36" s="57" t="s">
        <v>607</v>
      </c>
      <c r="C36" s="128"/>
      <c r="D36" s="607"/>
      <c r="E36" s="608"/>
    </row>
    <row r="37" spans="1:7" s="57" customFormat="1" ht="14.4">
      <c r="A37" s="93"/>
      <c r="B37" s="551" t="s">
        <v>608</v>
      </c>
      <c r="C37" s="128"/>
      <c r="D37" s="612">
        <f>+(D34/'NOTE 3'!D40)*Deno</f>
        <v>98.045307663062744</v>
      </c>
      <c r="E37" s="611">
        <f>+(E34/'NOTE 3'!D30)*Deno</f>
        <v>-251.07963310109344</v>
      </c>
    </row>
    <row r="38" spans="1:7" s="57" customFormat="1" ht="14.4">
      <c r="A38" s="93"/>
      <c r="B38" s="551" t="s">
        <v>609</v>
      </c>
      <c r="C38" s="128"/>
      <c r="D38" s="612">
        <f>+D37</f>
        <v>98.045307663062744</v>
      </c>
      <c r="E38" s="611">
        <f>+E37</f>
        <v>-251.07963310109344</v>
      </c>
    </row>
    <row r="39" spans="1:7" s="57" customFormat="1" ht="15" thickBot="1">
      <c r="A39" s="147"/>
      <c r="B39" s="315"/>
      <c r="C39" s="148"/>
      <c r="D39" s="618"/>
      <c r="E39" s="619"/>
    </row>
    <row r="40" spans="1:7" s="57" customFormat="1" ht="14.4">
      <c r="A40" s="696" t="str">
        <f>BS!A44</f>
        <v>Significant Accounting Policies in Note 1 &amp; 2</v>
      </c>
      <c r="B40" s="697"/>
      <c r="C40" s="697"/>
      <c r="D40" s="697"/>
      <c r="E40" s="698"/>
    </row>
    <row r="41" spans="1:7" s="57" customFormat="1" ht="14.4">
      <c r="A41" s="93" t="s">
        <v>97</v>
      </c>
      <c r="D41" s="620"/>
      <c r="E41" s="621"/>
    </row>
    <row r="42" spans="1:7" s="57" customFormat="1" ht="14.4">
      <c r="A42" s="93"/>
      <c r="D42" s="620"/>
      <c r="E42" s="621"/>
    </row>
    <row r="43" spans="1:7" s="57" customFormat="1" ht="15.75" customHeight="1">
      <c r="A43" s="731" t="s">
        <v>98</v>
      </c>
      <c r="B43" s="732"/>
      <c r="C43" s="697" t="s">
        <v>99</v>
      </c>
      <c r="D43" s="697"/>
      <c r="E43" s="698"/>
    </row>
    <row r="44" spans="1:7" s="96" customFormat="1" ht="14.4">
      <c r="A44" s="730" t="s">
        <v>100</v>
      </c>
      <c r="B44" s="728"/>
      <c r="C44" s="728" t="str">
        <f>+BS!B48</f>
        <v>CARGO INTERNATIONAL (INDIA) PVT. LTD</v>
      </c>
      <c r="D44" s="728"/>
      <c r="E44" s="729"/>
    </row>
    <row r="45" spans="1:7" s="57" customFormat="1" ht="14.4">
      <c r="A45" s="715" t="s">
        <v>102</v>
      </c>
      <c r="B45" s="716"/>
      <c r="D45" s="620"/>
      <c r="E45" s="621"/>
    </row>
    <row r="46" spans="1:7" s="57" customFormat="1" ht="14.4">
      <c r="A46" s="715" t="s">
        <v>610</v>
      </c>
      <c r="B46" s="716"/>
      <c r="D46" s="620"/>
      <c r="E46" s="621"/>
    </row>
    <row r="47" spans="1:7" s="57" customFormat="1" ht="14.4">
      <c r="A47" s="153"/>
      <c r="B47" s="542"/>
      <c r="D47" s="620"/>
      <c r="E47" s="621"/>
    </row>
    <row r="48" spans="1:7" s="57" customFormat="1" ht="14.4">
      <c r="A48" s="153"/>
      <c r="B48" s="542"/>
      <c r="D48" s="620"/>
      <c r="E48" s="621"/>
    </row>
    <row r="49" spans="1:5" s="57" customFormat="1" ht="14.4">
      <c r="A49" s="93"/>
      <c r="B49" s="85"/>
      <c r="D49" s="620"/>
      <c r="E49" s="621"/>
    </row>
    <row r="50" spans="1:5" s="57" customFormat="1" ht="14.4">
      <c r="A50" s="155" t="s">
        <v>104</v>
      </c>
      <c r="B50" s="145"/>
      <c r="C50" s="96" t="str">
        <f>+BS!B54</f>
        <v>Suresh Padmanabhan</v>
      </c>
      <c r="D50" s="622"/>
      <c r="E50" s="623" t="str">
        <f>+BS!D54</f>
        <v>Vignesh Natarajan</v>
      </c>
    </row>
    <row r="51" spans="1:5" s="57" customFormat="1" ht="14.4">
      <c r="A51" s="736" t="s">
        <v>107</v>
      </c>
      <c r="B51" s="737"/>
      <c r="C51" s="96" t="str">
        <f>+BS!B55</f>
        <v>Director</v>
      </c>
      <c r="D51" s="622"/>
      <c r="E51" s="623" t="str">
        <f>+BS!D55</f>
        <v>Director</v>
      </c>
    </row>
    <row r="52" spans="1:5" s="57" customFormat="1" ht="14.4">
      <c r="A52" s="736" t="s">
        <v>109</v>
      </c>
      <c r="B52" s="737"/>
      <c r="C52" s="96" t="str">
        <f>+BS!B56</f>
        <v>DIN: 08284074</v>
      </c>
      <c r="D52" s="622"/>
      <c r="E52" s="623" t="str">
        <f>+BS!D56</f>
        <v>DIN: 08284068</v>
      </c>
    </row>
    <row r="53" spans="1:5" s="57" customFormat="1" ht="14.4">
      <c r="A53" s="696" t="s">
        <v>112</v>
      </c>
      <c r="B53" s="697"/>
      <c r="C53" s="57" t="str">
        <f>+BS!B57</f>
        <v>Place : Birmingham</v>
      </c>
      <c r="D53" s="620"/>
      <c r="E53" s="606" t="str">
        <f>+BS!D57</f>
        <v>Place : Chennai</v>
      </c>
    </row>
    <row r="54" spans="1:5" s="57" customFormat="1" ht="14.4">
      <c r="A54" s="696" t="str">
        <f>+BS!A58</f>
        <v xml:space="preserve"> Date : </v>
      </c>
      <c r="B54" s="697"/>
      <c r="C54" s="57" t="str">
        <f>+BS!B58</f>
        <v xml:space="preserve">Date: </v>
      </c>
      <c r="D54" s="620"/>
      <c r="E54" s="606" t="str">
        <f>+BS!D58</f>
        <v xml:space="preserve">Date: </v>
      </c>
    </row>
    <row r="55" spans="1:5" ht="14.4">
      <c r="A55" s="696" t="str">
        <f>+BS!A59</f>
        <v xml:space="preserve"> UDIN :  </v>
      </c>
      <c r="B55" s="697"/>
      <c r="E55" s="625"/>
    </row>
    <row r="56" spans="1:5" ht="14.4" thickBot="1">
      <c r="A56" s="256"/>
      <c r="B56" s="257"/>
      <c r="C56" s="552"/>
      <c r="D56" s="626"/>
      <c r="E56" s="627"/>
    </row>
  </sheetData>
  <mergeCells count="19">
    <mergeCell ref="A55:B55"/>
    <mergeCell ref="A51:B51"/>
    <mergeCell ref="A52:B52"/>
    <mergeCell ref="A53:B53"/>
    <mergeCell ref="A54:B54"/>
    <mergeCell ref="A45:B45"/>
    <mergeCell ref="A46:B46"/>
    <mergeCell ref="A1:E1"/>
    <mergeCell ref="A2:E2"/>
    <mergeCell ref="A5:E5"/>
    <mergeCell ref="A6:B7"/>
    <mergeCell ref="C6:C7"/>
    <mergeCell ref="C43:E43"/>
    <mergeCell ref="C44:E44"/>
    <mergeCell ref="A44:B44"/>
    <mergeCell ref="A43:B43"/>
    <mergeCell ref="A3:E3"/>
    <mergeCell ref="A4:E4"/>
    <mergeCell ref="A40:E40"/>
  </mergeCells>
  <phoneticPr fontId="8" type="noConversion"/>
  <printOptions horizontalCentered="1" verticalCentered="1"/>
  <pageMargins left="0.35433070866141736" right="0.35433070866141736" top="0.27559055118110237" bottom="0.27559055118110237" header="0.15748031496062992" footer="0.19685039370078741"/>
  <pageSetup paperSize="9" scale="94"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1"/>
  <sheetViews>
    <sheetView showGridLines="0" view="pageBreakPreview" zoomScaleNormal="100" zoomScaleSheetLayoutView="100" workbookViewId="0">
      <selection activeCell="F33" sqref="F33"/>
    </sheetView>
  </sheetViews>
  <sheetFormatPr defaultColWidth="9.109375" defaultRowHeight="13.8"/>
  <cols>
    <col min="1" max="1" width="55.6640625" style="109" customWidth="1"/>
    <col min="2" max="2" width="8.44140625" style="109" customWidth="1"/>
    <col min="3" max="4" width="20.6640625" style="109" customWidth="1"/>
    <col min="5" max="5" width="17" style="109" bestFit="1" customWidth="1"/>
    <col min="6" max="6" width="15.88671875" style="109" customWidth="1"/>
    <col min="7" max="7" width="9.5546875" style="109" bestFit="1" customWidth="1"/>
    <col min="8" max="16384" width="9.109375" style="109"/>
  </cols>
  <sheetData>
    <row r="1" spans="1:6" ht="18">
      <c r="A1" s="699" t="str">
        <f>+PL!A1</f>
        <v>CARGO INTERNATIONAL (INDIA) PRIVATE LIMITED</v>
      </c>
      <c r="B1" s="700"/>
      <c r="C1" s="700"/>
      <c r="D1" s="701"/>
    </row>
    <row r="2" spans="1:6" ht="15.6">
      <c r="A2" s="702" t="s">
        <v>611</v>
      </c>
      <c r="B2" s="703"/>
      <c r="C2" s="703"/>
      <c r="D2" s="704"/>
    </row>
    <row r="3" spans="1:6">
      <c r="A3" s="738" t="s">
        <v>578</v>
      </c>
      <c r="B3" s="739"/>
      <c r="C3" s="739"/>
      <c r="D3" s="740"/>
    </row>
    <row r="4" spans="1:6" ht="22.5" customHeight="1">
      <c r="A4" s="741" t="str">
        <f>+PL!A4</f>
        <v>Old No.7 / New No.13, First Floor, First Cross Street, Trustpuram, Kodambakkam, Chennai - 600024, India</v>
      </c>
      <c r="B4" s="742"/>
      <c r="C4" s="742"/>
      <c r="D4" s="743"/>
    </row>
    <row r="5" spans="1:6" ht="14.4" thickBot="1">
      <c r="A5" s="744" t="str">
        <f>+"(Unless otherwise specified, all amounts are "&amp;IF('Master data'!A2="Ones","Indian Rupees","in "&amp;'Master data'!A2&amp;" of INR)")</f>
        <v>(Unless otherwise specified, all amounts are in Lakhs of INR)</v>
      </c>
      <c r="B5" s="745"/>
      <c r="C5" s="745"/>
      <c r="D5" s="746"/>
    </row>
    <row r="6" spans="1:6" ht="14.4">
      <c r="A6" s="708" t="s">
        <v>44</v>
      </c>
      <c r="B6" s="114"/>
      <c r="C6" s="572" t="s">
        <v>580</v>
      </c>
      <c r="D6" s="573" t="s">
        <v>580</v>
      </c>
    </row>
    <row r="7" spans="1:6" ht="15" thickBot="1">
      <c r="A7" s="709"/>
      <c r="B7" s="119"/>
      <c r="C7" s="574">
        <v>45747</v>
      </c>
      <c r="D7" s="575">
        <v>45382</v>
      </c>
    </row>
    <row r="8" spans="1:6" ht="14.4">
      <c r="A8" s="122"/>
      <c r="B8" s="376"/>
      <c r="C8" s="668"/>
      <c r="D8" s="669"/>
    </row>
    <row r="9" spans="1:6" ht="14.4">
      <c r="A9" s="95" t="s">
        <v>612</v>
      </c>
      <c r="B9" s="57"/>
      <c r="C9" s="309"/>
      <c r="D9" s="541"/>
    </row>
    <row r="10" spans="1:6" ht="14.4">
      <c r="A10" s="93"/>
      <c r="B10" s="57"/>
      <c r="C10" s="309"/>
      <c r="D10" s="541"/>
    </row>
    <row r="11" spans="1:6" ht="14.4">
      <c r="A11" s="95" t="s">
        <v>613</v>
      </c>
      <c r="B11" s="96"/>
      <c r="C11" s="542">
        <f>+PL!D27</f>
        <v>26.531903241222153</v>
      </c>
      <c r="D11" s="543">
        <f>+PL!E27</f>
        <v>-49.928501907556665</v>
      </c>
      <c r="E11" s="109">
        <f>+C11*100000</f>
        <v>2653190.3241222152</v>
      </c>
      <c r="F11" s="109">
        <f>+D11*100000</f>
        <v>-4992850.1907556662</v>
      </c>
    </row>
    <row r="12" spans="1:6" ht="14.4">
      <c r="A12" s="544" t="s">
        <v>614</v>
      </c>
      <c r="B12" s="670"/>
      <c r="C12" s="545"/>
      <c r="D12" s="541"/>
      <c r="E12" s="109">
        <f t="shared" ref="E12:E43" si="0">+C12*100000</f>
        <v>0</v>
      </c>
      <c r="F12" s="109">
        <f t="shared" ref="F12:F43" si="1">+D12*100000</f>
        <v>0</v>
      </c>
    </row>
    <row r="13" spans="1:6" ht="14.4">
      <c r="A13" s="136" t="s">
        <v>560</v>
      </c>
      <c r="B13" s="157"/>
      <c r="C13" s="546">
        <f>+PL!D19</f>
        <v>2.6989893</v>
      </c>
      <c r="D13" s="423">
        <f>+PL!E19</f>
        <v>3.35320171350791</v>
      </c>
      <c r="E13" s="109">
        <f t="shared" si="0"/>
        <v>269898.93</v>
      </c>
      <c r="F13" s="109">
        <f t="shared" si="1"/>
        <v>335320.171350791</v>
      </c>
    </row>
    <row r="14" spans="1:6" ht="14.4">
      <c r="A14" s="136" t="s">
        <v>615</v>
      </c>
      <c r="B14" s="157"/>
      <c r="C14" s="546">
        <f>+'NOTE 4-8'!B12</f>
        <v>0</v>
      </c>
      <c r="D14" s="423">
        <f>-14902244.9/Deno</f>
        <v>-149.02244899999999</v>
      </c>
      <c r="E14" s="109">
        <f t="shared" si="0"/>
        <v>0</v>
      </c>
      <c r="F14" s="109">
        <f t="shared" si="1"/>
        <v>-14902244.9</v>
      </c>
    </row>
    <row r="15" spans="1:6" ht="14.4">
      <c r="A15" s="136" t="s">
        <v>1156</v>
      </c>
      <c r="B15" s="157"/>
      <c r="C15" s="546">
        <f>+'NOTE 4-8'!B13</f>
        <v>141.06836380000001</v>
      </c>
      <c r="D15" s="423"/>
      <c r="E15" s="109">
        <f t="shared" si="0"/>
        <v>14106836.380000001</v>
      </c>
      <c r="F15" s="109">
        <f t="shared" si="1"/>
        <v>0</v>
      </c>
    </row>
    <row r="16" spans="1:6" ht="14.4">
      <c r="A16" s="136" t="s">
        <v>616</v>
      </c>
      <c r="B16" s="157"/>
      <c r="C16" s="546">
        <f>+PL!D17</f>
        <v>2.664397000000001</v>
      </c>
      <c r="D16" s="423">
        <f>+PL!E17</f>
        <v>1.8794929999999999</v>
      </c>
      <c r="E16" s="109">
        <f t="shared" si="0"/>
        <v>266439.70000000013</v>
      </c>
      <c r="F16" s="109">
        <f t="shared" si="1"/>
        <v>187949.3</v>
      </c>
    </row>
    <row r="17" spans="1:6" ht="15" thickBot="1">
      <c r="A17" s="233" t="s">
        <v>617</v>
      </c>
      <c r="B17" s="157"/>
      <c r="C17" s="101">
        <f>SUM(C11:C16)</f>
        <v>172.96365334122217</v>
      </c>
      <c r="D17" s="102">
        <f>SUM(D11:D16)</f>
        <v>-193.71825619404876</v>
      </c>
      <c r="E17" s="109">
        <f t="shared" si="0"/>
        <v>17296365.334122218</v>
      </c>
      <c r="F17" s="109">
        <f t="shared" si="1"/>
        <v>-19371825.619404875</v>
      </c>
    </row>
    <row r="18" spans="1:6" ht="15" thickTop="1">
      <c r="A18" s="93"/>
      <c r="B18" s="57"/>
      <c r="C18" s="57"/>
      <c r="D18" s="541"/>
      <c r="E18" s="109">
        <f t="shared" si="0"/>
        <v>0</v>
      </c>
      <c r="F18" s="109">
        <f t="shared" si="1"/>
        <v>0</v>
      </c>
    </row>
    <row r="19" spans="1:6" ht="14.4">
      <c r="A19" s="544" t="s">
        <v>618</v>
      </c>
      <c r="B19" s="670"/>
      <c r="C19" s="670"/>
      <c r="D19" s="541"/>
      <c r="E19" s="109">
        <f t="shared" si="0"/>
        <v>0</v>
      </c>
      <c r="F19" s="109">
        <f t="shared" si="1"/>
        <v>0</v>
      </c>
    </row>
    <row r="20" spans="1:6" ht="14.4">
      <c r="A20" s="93" t="s">
        <v>619</v>
      </c>
      <c r="B20" s="57"/>
      <c r="C20" s="85">
        <f>-BS!C39+BS!D39</f>
        <v>22.224139033333088</v>
      </c>
      <c r="D20" s="547">
        <f>11919207.85/Deno</f>
        <v>119.19207849999999</v>
      </c>
      <c r="E20" s="109">
        <f t="shared" si="0"/>
        <v>2222413.9033333086</v>
      </c>
      <c r="F20" s="109">
        <f t="shared" si="1"/>
        <v>11919207.85</v>
      </c>
    </row>
    <row r="21" spans="1:6" ht="14.4">
      <c r="A21" s="93" t="s">
        <v>620</v>
      </c>
      <c r="B21" s="57"/>
      <c r="C21" s="85">
        <f>-BS!C37+BS!D37</f>
        <v>-365.2599148999999</v>
      </c>
      <c r="D21" s="547">
        <f>-2879939.29/Deno</f>
        <v>-28.799392900000001</v>
      </c>
      <c r="E21" s="109">
        <f t="shared" si="0"/>
        <v>-36525991.489999987</v>
      </c>
      <c r="F21" s="109">
        <f t="shared" si="1"/>
        <v>-2879939.29</v>
      </c>
    </row>
    <row r="22" spans="1:6" ht="14.4">
      <c r="A22" s="93" t="s">
        <v>621</v>
      </c>
      <c r="B22" s="57"/>
      <c r="C22" s="85">
        <f>+BS!C23-BS!D23</f>
        <v>358.94501360000004</v>
      </c>
      <c r="D22" s="547">
        <f>12411981.16/Deno</f>
        <v>124.11981160000001</v>
      </c>
      <c r="E22" s="109">
        <f t="shared" si="0"/>
        <v>35894501.360000007</v>
      </c>
      <c r="F22" s="109">
        <f t="shared" si="1"/>
        <v>12411981.16</v>
      </c>
    </row>
    <row r="23" spans="1:6" ht="14.4">
      <c r="A23" s="93"/>
      <c r="B23" s="57"/>
      <c r="C23" s="85"/>
      <c r="D23" s="547"/>
      <c r="E23" s="109">
        <f t="shared" si="0"/>
        <v>0</v>
      </c>
      <c r="F23" s="109">
        <f t="shared" si="1"/>
        <v>0</v>
      </c>
    </row>
    <row r="24" spans="1:6" ht="14.4">
      <c r="A24" s="93" t="s">
        <v>622</v>
      </c>
      <c r="B24" s="57"/>
      <c r="C24" s="85">
        <f>-PL!D31</f>
        <v>-6.547624860717618</v>
      </c>
      <c r="D24" s="547">
        <f>-PL!E31</f>
        <v>0</v>
      </c>
      <c r="E24" s="109">
        <f t="shared" si="0"/>
        <v>-654762.48607176181</v>
      </c>
      <c r="F24" s="109">
        <f t="shared" si="1"/>
        <v>0</v>
      </c>
    </row>
    <row r="25" spans="1:6" ht="14.4">
      <c r="A25" s="93"/>
      <c r="B25" s="57"/>
      <c r="C25" s="545"/>
      <c r="D25" s="541"/>
      <c r="E25" s="109">
        <f t="shared" si="0"/>
        <v>0</v>
      </c>
      <c r="F25" s="109">
        <f t="shared" si="1"/>
        <v>0</v>
      </c>
    </row>
    <row r="26" spans="1:6" ht="15" thickBot="1">
      <c r="A26" s="95" t="s">
        <v>623</v>
      </c>
      <c r="B26" s="96"/>
      <c r="C26" s="101">
        <f>SUM(C17:C24)</f>
        <v>182.32526621383781</v>
      </c>
      <c r="D26" s="102">
        <f>SUM(D17:D24)</f>
        <v>20.794241005951235</v>
      </c>
      <c r="E26" s="109">
        <f t="shared" si="0"/>
        <v>18232526.621383782</v>
      </c>
      <c r="F26" s="109">
        <f t="shared" si="1"/>
        <v>2079424.1005951236</v>
      </c>
    </row>
    <row r="27" spans="1:6" ht="15" thickTop="1">
      <c r="A27" s="93"/>
      <c r="B27" s="57"/>
      <c r="C27" s="545"/>
      <c r="D27" s="541"/>
      <c r="E27" s="109">
        <f t="shared" si="0"/>
        <v>0</v>
      </c>
      <c r="F27" s="109">
        <f t="shared" si="1"/>
        <v>0</v>
      </c>
    </row>
    <row r="28" spans="1:6" ht="14.4">
      <c r="A28" s="95" t="s">
        <v>624</v>
      </c>
      <c r="B28" s="57"/>
      <c r="C28" s="545"/>
      <c r="D28" s="541"/>
      <c r="E28" s="109">
        <f t="shared" si="0"/>
        <v>0</v>
      </c>
      <c r="F28" s="109">
        <f t="shared" si="1"/>
        <v>0</v>
      </c>
    </row>
    <row r="29" spans="1:6" ht="14.4">
      <c r="A29" s="93" t="s">
        <v>625</v>
      </c>
      <c r="B29" s="57"/>
      <c r="C29" s="85">
        <f>-'Note 9'!C20+'Note 9'!D20</f>
        <v>-0.88966110000000009</v>
      </c>
      <c r="D29" s="547">
        <f>-56567.79/Deno</f>
        <v>-0.56567789999999996</v>
      </c>
      <c r="E29" s="109">
        <f t="shared" si="0"/>
        <v>-88966.110000000015</v>
      </c>
      <c r="F29" s="109">
        <f t="shared" si="1"/>
        <v>-56567.789999999994</v>
      </c>
    </row>
    <row r="30" spans="1:6" ht="14.4">
      <c r="A30" s="93" t="s">
        <v>626</v>
      </c>
      <c r="B30" s="57"/>
      <c r="C30" s="85">
        <f>-BS!C33+BS!D33</f>
        <v>-23.011458739282375</v>
      </c>
      <c r="D30" s="547">
        <f>-2434939.76/Deno</f>
        <v>-24.349397599999996</v>
      </c>
      <c r="E30" s="109">
        <f t="shared" si="0"/>
        <v>-2301145.8739282377</v>
      </c>
      <c r="F30" s="109">
        <f t="shared" si="1"/>
        <v>-2434939.7599999998</v>
      </c>
    </row>
    <row r="31" spans="1:6" ht="15" thickBot="1">
      <c r="A31" s="95" t="s">
        <v>627</v>
      </c>
      <c r="B31" s="96"/>
      <c r="C31" s="101">
        <f>SUM(C29:C30)</f>
        <v>-23.901119839282376</v>
      </c>
      <c r="D31" s="102">
        <f>SUM(D29:D30)</f>
        <v>-24.915075499999997</v>
      </c>
      <c r="E31" s="109">
        <f t="shared" si="0"/>
        <v>-2390111.9839282376</v>
      </c>
      <c r="F31" s="109">
        <f t="shared" si="1"/>
        <v>-2491507.5499999998</v>
      </c>
    </row>
    <row r="32" spans="1:6" ht="15" thickTop="1">
      <c r="A32" s="93"/>
      <c r="B32" s="57"/>
      <c r="C32" s="546"/>
      <c r="D32" s="423"/>
      <c r="E32" s="109">
        <f t="shared" si="0"/>
        <v>0</v>
      </c>
      <c r="F32" s="109">
        <f t="shared" si="1"/>
        <v>0</v>
      </c>
    </row>
    <row r="33" spans="1:6" ht="14.4">
      <c r="A33" s="95" t="s">
        <v>628</v>
      </c>
      <c r="B33" s="57"/>
      <c r="C33" s="546"/>
      <c r="D33" s="423"/>
      <c r="E33" s="109">
        <f t="shared" si="0"/>
        <v>0</v>
      </c>
      <c r="F33" s="109">
        <f t="shared" si="1"/>
        <v>0</v>
      </c>
    </row>
    <row r="34" spans="1:6" ht="14.4">
      <c r="A34" s="93" t="s">
        <v>616</v>
      </c>
      <c r="B34" s="57"/>
      <c r="C34" s="85">
        <f>-C16</f>
        <v>-2.664397000000001</v>
      </c>
      <c r="D34" s="547">
        <f>-D16</f>
        <v>-1.8794929999999999</v>
      </c>
      <c r="E34" s="109">
        <f t="shared" si="0"/>
        <v>-266439.70000000013</v>
      </c>
      <c r="F34" s="109">
        <f t="shared" si="1"/>
        <v>-187949.3</v>
      </c>
    </row>
    <row r="35" spans="1:6" ht="14.4">
      <c r="A35" s="93"/>
      <c r="B35" s="57"/>
      <c r="C35" s="546"/>
      <c r="D35" s="423"/>
      <c r="E35" s="109">
        <f t="shared" si="0"/>
        <v>0</v>
      </c>
      <c r="F35" s="109">
        <f t="shared" si="1"/>
        <v>0</v>
      </c>
    </row>
    <row r="36" spans="1:6" ht="15" thickBot="1">
      <c r="A36" s="95" t="s">
        <v>629</v>
      </c>
      <c r="B36" s="96"/>
      <c r="C36" s="101">
        <f>SUM(C34:C35)</f>
        <v>-2.664397000000001</v>
      </c>
      <c r="D36" s="102">
        <f>SUM(D34:D35)</f>
        <v>-1.8794929999999999</v>
      </c>
      <c r="E36" s="109">
        <f t="shared" si="0"/>
        <v>-266439.70000000013</v>
      </c>
      <c r="F36" s="109">
        <f t="shared" si="1"/>
        <v>-187949.3</v>
      </c>
    </row>
    <row r="37" spans="1:6" ht="15" thickTop="1">
      <c r="A37" s="93"/>
      <c r="B37" s="57"/>
      <c r="C37" s="546"/>
      <c r="D37" s="423"/>
      <c r="E37" s="109">
        <f t="shared" si="0"/>
        <v>0</v>
      </c>
      <c r="F37" s="109">
        <f t="shared" si="1"/>
        <v>0</v>
      </c>
    </row>
    <row r="38" spans="1:6" ht="15" thickBot="1">
      <c r="A38" s="95" t="s">
        <v>630</v>
      </c>
      <c r="B38" s="57"/>
      <c r="C38" s="101">
        <f>C26+C31+C36</f>
        <v>155.75974937455541</v>
      </c>
      <c r="D38" s="102">
        <f>D26+D31+D36</f>
        <v>-6.0003274940487614</v>
      </c>
      <c r="E38" s="109">
        <f t="shared" si="0"/>
        <v>15575974.937455541</v>
      </c>
      <c r="F38" s="109">
        <f t="shared" si="1"/>
        <v>-600032.74940487614</v>
      </c>
    </row>
    <row r="39" spans="1:6" ht="15" thickTop="1">
      <c r="A39" s="93"/>
      <c r="B39" s="57"/>
      <c r="C39" s="57"/>
      <c r="D39" s="423"/>
      <c r="E39" s="109">
        <f t="shared" si="0"/>
        <v>0</v>
      </c>
      <c r="F39" s="109">
        <f t="shared" si="1"/>
        <v>0</v>
      </c>
    </row>
    <row r="40" spans="1:6" ht="14.4">
      <c r="A40" s="93" t="s">
        <v>631</v>
      </c>
      <c r="B40" s="57"/>
      <c r="C40" s="85">
        <f>+D41</f>
        <v>61.1757156499107</v>
      </c>
      <c r="D40" s="98">
        <f>6717604.32/Deno</f>
        <v>67.176043200000009</v>
      </c>
      <c r="E40" s="109">
        <f t="shared" si="0"/>
        <v>6117571.56499107</v>
      </c>
      <c r="F40" s="109">
        <f t="shared" si="1"/>
        <v>6717604.3200000012</v>
      </c>
    </row>
    <row r="41" spans="1:6" ht="14.4">
      <c r="A41" s="93" t="s">
        <v>632</v>
      </c>
      <c r="B41" s="57"/>
      <c r="C41" s="85">
        <f>+BS!C38</f>
        <v>216.93546194991202</v>
      </c>
      <c r="D41" s="98">
        <f>+BS!D38</f>
        <v>61.1757156499107</v>
      </c>
      <c r="E41" s="109">
        <f t="shared" si="0"/>
        <v>21693546.194991201</v>
      </c>
      <c r="F41" s="109">
        <f t="shared" si="1"/>
        <v>6117571.56499107</v>
      </c>
    </row>
    <row r="42" spans="1:6" ht="14.4">
      <c r="A42" s="93"/>
      <c r="B42" s="57"/>
      <c r="C42" s="57"/>
      <c r="D42" s="423"/>
      <c r="E42" s="109">
        <f t="shared" si="0"/>
        <v>0</v>
      </c>
      <c r="F42" s="109">
        <f t="shared" si="1"/>
        <v>0</v>
      </c>
    </row>
    <row r="43" spans="1:6" ht="15" thickBot="1">
      <c r="A43" s="95" t="s">
        <v>633</v>
      </c>
      <c r="B43" s="57"/>
      <c r="C43" s="101">
        <f>C41-C40</f>
        <v>155.75974630000132</v>
      </c>
      <c r="D43" s="102">
        <f>D41-D40</f>
        <v>-6.0003275500893096</v>
      </c>
      <c r="E43" s="109">
        <f t="shared" si="0"/>
        <v>15575974.630000133</v>
      </c>
      <c r="F43" s="109">
        <f t="shared" si="1"/>
        <v>-600032.75500893092</v>
      </c>
    </row>
    <row r="44" spans="1:6" ht="15.6" thickTop="1" thickBot="1">
      <c r="A44" s="147"/>
      <c r="B44" s="315"/>
      <c r="C44" s="315"/>
      <c r="D44" s="237"/>
    </row>
    <row r="45" spans="1:6" ht="14.4">
      <c r="A45" s="696" t="s">
        <v>96</v>
      </c>
      <c r="B45" s="697"/>
      <c r="C45" s="697"/>
      <c r="D45" s="698"/>
      <c r="E45" s="109">
        <f>+E43*Deno</f>
        <v>1557597463000.0134</v>
      </c>
      <c r="F45" s="109">
        <f>+F43*Deno</f>
        <v>-60003275500.893089</v>
      </c>
    </row>
    <row r="46" spans="1:6" ht="14.4">
      <c r="A46" s="696" t="s">
        <v>97</v>
      </c>
      <c r="B46" s="697"/>
      <c r="C46" s="697"/>
      <c r="D46" s="698"/>
    </row>
    <row r="47" spans="1:6" ht="14.4">
      <c r="A47" s="93"/>
      <c r="B47" s="128"/>
      <c r="C47" s="128"/>
      <c r="D47" s="98"/>
      <c r="E47" s="85"/>
    </row>
    <row r="48" spans="1:6" ht="14.4">
      <c r="A48" s="151" t="s">
        <v>98</v>
      </c>
      <c r="B48" s="697" t="s">
        <v>99</v>
      </c>
      <c r="C48" s="697"/>
      <c r="D48" s="698"/>
    </row>
    <row r="49" spans="1:4" ht="14.4">
      <c r="A49" s="153" t="s">
        <v>100</v>
      </c>
      <c r="B49" s="728" t="str">
        <f>+PL!C44</f>
        <v>CARGO INTERNATIONAL (INDIA) PVT. LTD</v>
      </c>
      <c r="C49" s="728"/>
      <c r="D49" s="729"/>
    </row>
    <row r="50" spans="1:4" ht="14.4">
      <c r="A50" s="153" t="s">
        <v>102</v>
      </c>
      <c r="B50" s="57"/>
      <c r="C50" s="57"/>
      <c r="D50" s="98"/>
    </row>
    <row r="51" spans="1:4" ht="14.4">
      <c r="A51" s="153" t="s">
        <v>103</v>
      </c>
      <c r="B51" s="57"/>
      <c r="C51" s="57"/>
      <c r="D51" s="98"/>
    </row>
    <row r="52" spans="1:4" ht="14.4">
      <c r="A52" s="153"/>
      <c r="B52" s="57"/>
      <c r="C52" s="57"/>
      <c r="D52" s="98"/>
    </row>
    <row r="53" spans="1:4" ht="14.4">
      <c r="A53" s="153"/>
      <c r="B53" s="57"/>
      <c r="C53" s="57"/>
      <c r="D53" s="98"/>
    </row>
    <row r="54" spans="1:4" ht="14.4">
      <c r="A54" s="154"/>
      <c r="B54" s="57"/>
      <c r="C54" s="57"/>
      <c r="D54" s="98"/>
    </row>
    <row r="55" spans="1:4" ht="14.4">
      <c r="A55" s="155" t="s">
        <v>104</v>
      </c>
      <c r="B55" s="96" t="str">
        <f>+PL!C50</f>
        <v>Suresh Padmanabhan</v>
      </c>
      <c r="C55" s="96"/>
      <c r="D55" s="97" t="str">
        <f>+PL!E50</f>
        <v>Vignesh Natarajan</v>
      </c>
    </row>
    <row r="56" spans="1:4" ht="14.4">
      <c r="A56" s="153" t="s">
        <v>107</v>
      </c>
      <c r="B56" s="96" t="s">
        <v>108</v>
      </c>
      <c r="C56" s="96"/>
      <c r="D56" s="97" t="str">
        <f>+PL!E51</f>
        <v>Director</v>
      </c>
    </row>
    <row r="57" spans="1:4" ht="14.4">
      <c r="A57" s="153" t="s">
        <v>109</v>
      </c>
      <c r="B57" s="96" t="str">
        <f>+PL!C52</f>
        <v>DIN: 08284074</v>
      </c>
      <c r="C57" s="96"/>
      <c r="D57" s="97" t="str">
        <f>+PL!E52</f>
        <v>DIN: 08284068</v>
      </c>
    </row>
    <row r="58" spans="1:4" ht="14.4">
      <c r="A58" s="93" t="s">
        <v>112</v>
      </c>
      <c r="B58" s="57" t="str">
        <f>+PL!C53</f>
        <v>Place : Birmingham</v>
      </c>
      <c r="D58" s="94" t="str">
        <f>+PL!E53</f>
        <v>Place : Chennai</v>
      </c>
    </row>
    <row r="59" spans="1:4" ht="14.4">
      <c r="A59" s="93" t="str">
        <f>+PL!A54</f>
        <v xml:space="preserve"> Date : </v>
      </c>
      <c r="B59" s="57" t="str">
        <f>+PL!C54</f>
        <v xml:space="preserve">Date: </v>
      </c>
      <c r="C59" s="96"/>
      <c r="D59" s="94" t="str">
        <f>+PL!E54</f>
        <v xml:space="preserve">Date: </v>
      </c>
    </row>
    <row r="60" spans="1:4" ht="14.4">
      <c r="A60" s="93" t="str">
        <f>+PL!A55</f>
        <v xml:space="preserve"> UDIN :  </v>
      </c>
      <c r="B60" s="128"/>
      <c r="C60" s="128"/>
      <c r="D60" s="98"/>
    </row>
    <row r="61" spans="1:4" ht="15" thickBot="1">
      <c r="A61" s="147"/>
      <c r="B61" s="148"/>
      <c r="C61" s="148"/>
      <c r="D61" s="548"/>
    </row>
  </sheetData>
  <mergeCells count="10">
    <mergeCell ref="B48:D48"/>
    <mergeCell ref="B49:D49"/>
    <mergeCell ref="A1:D1"/>
    <mergeCell ref="A2:D2"/>
    <mergeCell ref="A3:D3"/>
    <mergeCell ref="A4:D4"/>
    <mergeCell ref="A5:D5"/>
    <mergeCell ref="A6:A7"/>
    <mergeCell ref="A45:D45"/>
    <mergeCell ref="A46:D46"/>
  </mergeCells>
  <printOptions horizontalCentered="1" verticalCentered="1"/>
  <pageMargins left="0.35433070866141736" right="0.35433070866141736" top="0.35433070866141736" bottom="0.35433070866141736" header="0.31496062992125984" footer="0.31496062992125984"/>
  <pageSetup paperSize="9" scale="88" orientation="portrait" r:id="rId1"/>
  <colBreaks count="1" manualBreakCount="1">
    <brk id="4"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42"/>
  <sheetViews>
    <sheetView showGridLines="0" view="pageBreakPreview" topLeftCell="A53" zoomScaleNormal="100" zoomScaleSheetLayoutView="100" workbookViewId="0">
      <selection activeCell="B1" sqref="B1"/>
    </sheetView>
  </sheetViews>
  <sheetFormatPr defaultColWidth="9.109375" defaultRowHeight="13.8"/>
  <cols>
    <col min="1" max="1" width="114.5546875" style="109" customWidth="1"/>
    <col min="2" max="3" width="9.109375" style="109"/>
    <col min="4" max="4" width="12.44140625" style="109" bestFit="1" customWidth="1"/>
    <col min="5" max="16384" width="9.109375" style="109"/>
  </cols>
  <sheetData>
    <row r="1" spans="1:1" ht="18">
      <c r="A1" s="432" t="s">
        <v>58</v>
      </c>
    </row>
    <row r="2" spans="1:1" ht="18" customHeight="1">
      <c r="A2" s="433" t="s">
        <v>634</v>
      </c>
    </row>
    <row r="3" spans="1:1" ht="24" customHeight="1" thickBot="1">
      <c r="A3" s="434" t="s">
        <v>792</v>
      </c>
    </row>
    <row r="4" spans="1:1" ht="14.4">
      <c r="A4" s="435"/>
    </row>
    <row r="5" spans="1:1" ht="14.4">
      <c r="A5" s="436" t="s">
        <v>793</v>
      </c>
    </row>
    <row r="6" spans="1:1" ht="43.2">
      <c r="A6" s="558" t="s">
        <v>794</v>
      </c>
    </row>
    <row r="7" spans="1:1" ht="14.4">
      <c r="A7" s="435"/>
    </row>
    <row r="8" spans="1:1" ht="14.4">
      <c r="A8" s="436" t="s">
        <v>795</v>
      </c>
    </row>
    <row r="9" spans="1:1" ht="14.4">
      <c r="A9" s="436" t="s">
        <v>796</v>
      </c>
    </row>
    <row r="10" spans="1:1" ht="57.6">
      <c r="A10" s="559" t="s">
        <v>797</v>
      </c>
    </row>
    <row r="11" spans="1:1" ht="14.4">
      <c r="A11" s="435"/>
    </row>
    <row r="12" spans="1:1" ht="14.4">
      <c r="A12" s="436" t="s">
        <v>798</v>
      </c>
    </row>
    <row r="13" spans="1:1" ht="43.2">
      <c r="A13" s="558" t="s">
        <v>799</v>
      </c>
    </row>
    <row r="14" spans="1:1" ht="14.4">
      <c r="A14" s="435"/>
    </row>
    <row r="15" spans="1:1" ht="14.4">
      <c r="A15" s="436" t="s">
        <v>800</v>
      </c>
    </row>
    <row r="16" spans="1:1" ht="32.25" customHeight="1">
      <c r="A16" s="435" t="s">
        <v>801</v>
      </c>
    </row>
    <row r="17" spans="1:1" ht="14.4">
      <c r="A17" s="435"/>
    </row>
    <row r="18" spans="1:1" ht="14.4">
      <c r="A18" s="436" t="s">
        <v>802</v>
      </c>
    </row>
    <row r="19" spans="1:1" ht="28.8">
      <c r="A19" s="435" t="s">
        <v>803</v>
      </c>
    </row>
    <row r="20" spans="1:1" ht="14.4">
      <c r="A20" s="435"/>
    </row>
    <row r="21" spans="1:1" ht="14.4">
      <c r="A21" s="436" t="s">
        <v>804</v>
      </c>
    </row>
    <row r="22" spans="1:1" ht="14.4">
      <c r="A22" s="435" t="s">
        <v>805</v>
      </c>
    </row>
    <row r="23" spans="1:1" ht="14.4">
      <c r="A23" s="435"/>
    </row>
    <row r="24" spans="1:1" ht="14.4">
      <c r="A24" s="436" t="s">
        <v>806</v>
      </c>
    </row>
    <row r="25" spans="1:1" ht="43.2">
      <c r="A25" s="558" t="s">
        <v>807</v>
      </c>
    </row>
    <row r="26" spans="1:1" ht="14.4">
      <c r="A26" s="435"/>
    </row>
    <row r="27" spans="1:1" ht="14.4">
      <c r="A27" s="436" t="s">
        <v>808</v>
      </c>
    </row>
    <row r="28" spans="1:1" ht="43.2">
      <c r="A28" s="558" t="s">
        <v>809</v>
      </c>
    </row>
    <row r="29" spans="1:1" ht="28.8">
      <c r="A29" s="435" t="s">
        <v>810</v>
      </c>
    </row>
    <row r="30" spans="1:1" ht="14.4">
      <c r="A30" s="435"/>
    </row>
    <row r="31" spans="1:1" ht="14.4">
      <c r="A31" s="436" t="s">
        <v>811</v>
      </c>
    </row>
    <row r="32" spans="1:1" ht="28.8">
      <c r="A32" s="435" t="s">
        <v>812</v>
      </c>
    </row>
    <row r="33" spans="1:1" ht="57.6">
      <c r="A33" s="558" t="s">
        <v>813</v>
      </c>
    </row>
    <row r="34" spans="1:1" ht="14.4">
      <c r="A34" s="435"/>
    </row>
    <row r="35" spans="1:1" ht="14.4">
      <c r="A35" s="436" t="s">
        <v>814</v>
      </c>
    </row>
    <row r="36" spans="1:1" ht="28.8">
      <c r="A36" s="435" t="s">
        <v>815</v>
      </c>
    </row>
    <row r="37" spans="1:1" ht="10.95" customHeight="1">
      <c r="A37" s="435"/>
    </row>
    <row r="38" spans="1:1" ht="43.2">
      <c r="A38" s="558" t="s">
        <v>816</v>
      </c>
    </row>
    <row r="39" spans="1:1" ht="9.6" customHeight="1">
      <c r="A39" s="435"/>
    </row>
    <row r="40" spans="1:1" ht="15" thickBot="1">
      <c r="A40" s="437" t="s">
        <v>817</v>
      </c>
    </row>
    <row r="41" spans="1:1" ht="14.4">
      <c r="A41" s="390"/>
    </row>
    <row r="42" spans="1:1" ht="14.4">
      <c r="A42" s="390"/>
    </row>
  </sheetData>
  <printOptions horizontalCentered="1"/>
  <pageMargins left="0.70866141732283472" right="0.70866141732283472" top="0.6692913385826772" bottom="0.6692913385826772" header="0.31496062992125984" footer="0.31496062992125984"/>
  <pageSetup paperSize="9" scale="8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96"/>
  <sheetViews>
    <sheetView showGridLines="0" view="pageBreakPreview" topLeftCell="A36" zoomScale="90" zoomScaleNormal="90" zoomScaleSheetLayoutView="90" workbookViewId="0">
      <selection activeCell="F62" sqref="F62"/>
    </sheetView>
  </sheetViews>
  <sheetFormatPr defaultColWidth="9.109375" defaultRowHeight="14.4"/>
  <cols>
    <col min="1" max="1" width="50.6640625" style="57" customWidth="1"/>
    <col min="2" max="2" width="19.6640625" style="57" customWidth="1"/>
    <col min="3" max="5" width="19.6640625" style="431" customWidth="1"/>
    <col min="6" max="6" width="12.44140625" style="109" bestFit="1" customWidth="1"/>
    <col min="7" max="7" width="12.6640625" style="109" bestFit="1" customWidth="1"/>
    <col min="8" max="16384" width="9.109375" style="109"/>
  </cols>
  <sheetData>
    <row r="1" spans="1:7" ht="15" customHeight="1">
      <c r="A1" s="699" t="s">
        <v>58</v>
      </c>
      <c r="B1" s="700"/>
      <c r="C1" s="700"/>
      <c r="D1" s="700"/>
      <c r="E1" s="701"/>
    </row>
    <row r="2" spans="1:7" ht="15" customHeight="1">
      <c r="A2" s="702" t="s">
        <v>634</v>
      </c>
      <c r="B2" s="703"/>
      <c r="C2" s="703"/>
      <c r="D2" s="703"/>
      <c r="E2" s="704"/>
    </row>
    <row r="3" spans="1:7" ht="15" customHeight="1">
      <c r="A3" s="738" t="str">
        <f>+CFS!A4</f>
        <v>Old No.7 / New No.13, First Floor, First Cross Street, Trustpuram, Kodambakkam, Chennai - 600024, India</v>
      </c>
      <c r="B3" s="739"/>
      <c r="C3" s="739"/>
      <c r="D3" s="739"/>
      <c r="E3" s="740"/>
    </row>
    <row r="4" spans="1:7" ht="15" customHeight="1" thickBot="1">
      <c r="A4" s="374"/>
      <c r="B4" s="375"/>
      <c r="C4" s="375"/>
      <c r="D4" s="375"/>
      <c r="E4" s="88" t="str">
        <f>+"(Unless otherwise specified, all amounts are "&amp;IF('Master data'!A2="Ones","Indian Rupees","in "&amp;'Master data'!A2&amp;" of INR)")</f>
        <v>(Unless otherwise specified, all amounts are in Lakhs of INR)</v>
      </c>
    </row>
    <row r="5" spans="1:7">
      <c r="A5" s="761" t="str">
        <f>+'NOTE 4-8'!A5</f>
        <v>Particulars</v>
      </c>
      <c r="B5" s="376"/>
      <c r="C5" s="377"/>
      <c r="D5" s="89" t="s">
        <v>63</v>
      </c>
      <c r="E5" s="90" t="s">
        <v>63</v>
      </c>
    </row>
    <row r="6" spans="1:7" ht="15" thickBot="1">
      <c r="A6" s="762"/>
      <c r="B6" s="315"/>
      <c r="C6" s="576"/>
      <c r="D6" s="91" t="s">
        <v>64</v>
      </c>
      <c r="E6" s="92" t="s">
        <v>65</v>
      </c>
    </row>
    <row r="7" spans="1:7">
      <c r="A7" s="671" t="s">
        <v>818</v>
      </c>
      <c r="B7" s="672"/>
      <c r="C7" s="673"/>
      <c r="D7" s="674"/>
      <c r="E7" s="675"/>
    </row>
    <row r="8" spans="1:7">
      <c r="A8" s="95" t="s">
        <v>819</v>
      </c>
      <c r="B8" s="96"/>
      <c r="C8" s="57"/>
      <c r="D8" s="378"/>
      <c r="E8" s="379"/>
    </row>
    <row r="9" spans="1:7">
      <c r="A9" s="380" t="s">
        <v>215</v>
      </c>
      <c r="B9" s="96"/>
      <c r="C9" s="57"/>
      <c r="D9" s="245">
        <f>5000000/Deno</f>
        <v>50</v>
      </c>
      <c r="E9" s="46">
        <f>5000000/Deno</f>
        <v>50</v>
      </c>
      <c r="F9" s="109">
        <f>+D9*100000</f>
        <v>5000000</v>
      </c>
      <c r="G9" s="109">
        <f>+E9*100000</f>
        <v>5000000</v>
      </c>
    </row>
    <row r="10" spans="1:7">
      <c r="A10" s="381" t="s">
        <v>820</v>
      </c>
      <c r="C10" s="57"/>
      <c r="D10" s="245"/>
      <c r="E10" s="46"/>
      <c r="F10" s="109">
        <f t="shared" ref="F10:F15" si="0">+D10*100000</f>
        <v>0</v>
      </c>
      <c r="G10" s="109">
        <f t="shared" ref="G10:G15" si="1">+E10*100000</f>
        <v>0</v>
      </c>
    </row>
    <row r="11" spans="1:7" ht="15" thickBot="1">
      <c r="A11" s="93"/>
      <c r="C11" s="57"/>
      <c r="D11" s="382">
        <f>D9</f>
        <v>50</v>
      </c>
      <c r="E11" s="383">
        <f>E9</f>
        <v>50</v>
      </c>
      <c r="F11" s="109">
        <f t="shared" si="0"/>
        <v>5000000</v>
      </c>
      <c r="G11" s="109">
        <f t="shared" si="1"/>
        <v>5000000</v>
      </c>
    </row>
    <row r="12" spans="1:7" ht="15" thickTop="1">
      <c r="A12" s="95" t="s">
        <v>821</v>
      </c>
      <c r="B12" s="96"/>
      <c r="C12" s="57"/>
      <c r="D12" s="378"/>
      <c r="E12" s="379"/>
      <c r="F12" s="109">
        <f t="shared" si="0"/>
        <v>0</v>
      </c>
      <c r="G12" s="109">
        <f t="shared" si="1"/>
        <v>0</v>
      </c>
    </row>
    <row r="13" spans="1:7">
      <c r="A13" s="380" t="s">
        <v>215</v>
      </c>
      <c r="B13" s="96"/>
      <c r="C13" s="57"/>
      <c r="D13" s="245">
        <f>200000/Deno</f>
        <v>2</v>
      </c>
      <c r="E13" s="46">
        <f>200000/Deno</f>
        <v>2</v>
      </c>
      <c r="F13" s="109">
        <f t="shared" si="0"/>
        <v>200000</v>
      </c>
      <c r="G13" s="109">
        <f t="shared" si="1"/>
        <v>200000</v>
      </c>
    </row>
    <row r="14" spans="1:7">
      <c r="A14" s="381" t="s">
        <v>822</v>
      </c>
      <c r="C14" s="57"/>
      <c r="D14" s="384"/>
      <c r="E14" s="385"/>
      <c r="F14" s="109">
        <f t="shared" si="0"/>
        <v>0</v>
      </c>
      <c r="G14" s="109">
        <f t="shared" si="1"/>
        <v>0</v>
      </c>
    </row>
    <row r="15" spans="1:7" ht="15" thickBot="1">
      <c r="A15" s="381"/>
      <c r="C15" s="57"/>
      <c r="D15" s="386">
        <f>SUM(D12:D13)</f>
        <v>2</v>
      </c>
      <c r="E15" s="387">
        <f>SUM(E12:E13)</f>
        <v>2</v>
      </c>
      <c r="F15" s="109">
        <f t="shared" si="0"/>
        <v>200000</v>
      </c>
      <c r="G15" s="109">
        <f t="shared" si="1"/>
        <v>200000</v>
      </c>
    </row>
    <row r="16" spans="1:7" ht="15" thickTop="1">
      <c r="A16" s="93"/>
      <c r="C16" s="388"/>
      <c r="D16" s="388"/>
      <c r="E16" s="100"/>
    </row>
    <row r="17" spans="1:7" ht="18.75" customHeight="1">
      <c r="A17" s="389" t="s">
        <v>823</v>
      </c>
      <c r="C17" s="388"/>
      <c r="D17" s="388"/>
      <c r="E17" s="100"/>
    </row>
    <row r="18" spans="1:7" ht="42" customHeight="1">
      <c r="A18" s="750" t="s">
        <v>824</v>
      </c>
      <c r="B18" s="751"/>
      <c r="C18" s="751"/>
      <c r="D18" s="751"/>
      <c r="E18" s="752"/>
    </row>
    <row r="19" spans="1:7">
      <c r="A19" s="93"/>
      <c r="C19" s="388"/>
      <c r="D19" s="388"/>
      <c r="E19" s="100"/>
    </row>
    <row r="20" spans="1:7" ht="15.75" customHeight="1">
      <c r="A20" s="753" t="s">
        <v>825</v>
      </c>
      <c r="B20" s="754"/>
      <c r="C20" s="754"/>
      <c r="D20" s="754"/>
      <c r="E20" s="755"/>
    </row>
    <row r="21" spans="1:7" ht="15.75" customHeight="1">
      <c r="A21" s="753"/>
      <c r="B21" s="754"/>
      <c r="C21" s="754"/>
      <c r="D21" s="754"/>
      <c r="E21" s="755"/>
    </row>
    <row r="22" spans="1:7" ht="15.75" customHeight="1">
      <c r="A22" s="103"/>
      <c r="B22" s="390"/>
      <c r="C22" s="390"/>
      <c r="D22" s="390"/>
      <c r="E22" s="391"/>
    </row>
    <row r="23" spans="1:7">
      <c r="A23" s="389" t="s">
        <v>826</v>
      </c>
      <c r="C23" s="388"/>
      <c r="D23" s="388"/>
      <c r="E23" s="100"/>
    </row>
    <row r="24" spans="1:7">
      <c r="A24" s="756" t="s">
        <v>827</v>
      </c>
      <c r="B24" s="758" t="str">
        <f>+D6</f>
        <v>31st March, 2025</v>
      </c>
      <c r="C24" s="759"/>
      <c r="D24" s="758" t="str">
        <f>+E6</f>
        <v>31st March, 2024</v>
      </c>
      <c r="E24" s="760"/>
    </row>
    <row r="25" spans="1:7">
      <c r="A25" s="757"/>
      <c r="B25" s="392" t="s">
        <v>828</v>
      </c>
      <c r="C25" s="392" t="s">
        <v>829</v>
      </c>
      <c r="D25" s="393" t="s">
        <v>828</v>
      </c>
      <c r="E25" s="394" t="s">
        <v>829</v>
      </c>
    </row>
    <row r="26" spans="1:7">
      <c r="A26" s="93" t="s">
        <v>105</v>
      </c>
      <c r="B26" s="395">
        <v>15998</v>
      </c>
      <c r="C26" s="396">
        <f>+B26/$B$30</f>
        <v>0.79997999799980002</v>
      </c>
      <c r="D26" s="395">
        <v>15998</v>
      </c>
      <c r="E26" s="676">
        <f>+D26/$B$30</f>
        <v>0.79997999799980002</v>
      </c>
      <c r="G26" s="578">
        <f>+D26/20000</f>
        <v>0.79990000000000006</v>
      </c>
    </row>
    <row r="27" spans="1:7">
      <c r="A27" s="93" t="s">
        <v>830</v>
      </c>
      <c r="B27" s="397">
        <v>2000</v>
      </c>
      <c r="C27" s="398">
        <f>+B27/$B$30</f>
        <v>0.1000100010001</v>
      </c>
      <c r="D27" s="397">
        <v>2000</v>
      </c>
      <c r="E27" s="399">
        <f>+D27/$B$30</f>
        <v>0.1000100010001</v>
      </c>
    </row>
    <row r="28" spans="1:7">
      <c r="A28" s="93" t="s">
        <v>831</v>
      </c>
      <c r="B28" s="397">
        <v>2000</v>
      </c>
      <c r="C28" s="398">
        <f>+B28/$B$30</f>
        <v>0.1000100010001</v>
      </c>
      <c r="D28" s="397">
        <v>2000</v>
      </c>
      <c r="E28" s="399">
        <f>+D28/$B$30</f>
        <v>0.1000100010001</v>
      </c>
    </row>
    <row r="29" spans="1:7">
      <c r="A29" s="93"/>
      <c r="B29" s="397"/>
      <c r="C29" s="398"/>
      <c r="D29" s="245"/>
      <c r="E29" s="400"/>
    </row>
    <row r="30" spans="1:7" ht="15" thickBot="1">
      <c r="A30" s="95" t="s">
        <v>86</v>
      </c>
      <c r="B30" s="401">
        <f>SUM(B26:B29)</f>
        <v>19998</v>
      </c>
      <c r="C30" s="402">
        <f>SUM(C26:C29)</f>
        <v>1</v>
      </c>
      <c r="D30" s="401">
        <f>SUM(D26:D29)</f>
        <v>19998</v>
      </c>
      <c r="E30" s="403">
        <f>SUM(E26:E29)</f>
        <v>1</v>
      </c>
    </row>
    <row r="31" spans="1:7" ht="15" thickTop="1">
      <c r="A31" s="404"/>
      <c r="B31" s="405"/>
      <c r="C31" s="406"/>
      <c r="D31" s="407"/>
      <c r="E31" s="408"/>
    </row>
    <row r="32" spans="1:7">
      <c r="A32" s="95"/>
      <c r="B32" s="409"/>
      <c r="C32" s="409"/>
      <c r="D32" s="409"/>
      <c r="E32" s="410"/>
    </row>
    <row r="33" spans="1:5">
      <c r="A33" s="411" t="s">
        <v>832</v>
      </c>
      <c r="B33" s="677"/>
      <c r="C33" s="677"/>
      <c r="D33" s="677"/>
      <c r="E33" s="412"/>
    </row>
    <row r="34" spans="1:5" ht="15" customHeight="1">
      <c r="A34" s="411"/>
      <c r="B34" s="677"/>
      <c r="C34" s="677"/>
      <c r="D34" s="677"/>
      <c r="E34" s="412"/>
    </row>
    <row r="35" spans="1:5" ht="15" customHeight="1">
      <c r="A35" s="756" t="s">
        <v>44</v>
      </c>
      <c r="B35" s="758" t="str">
        <f>+B24</f>
        <v>31st March, 2025</v>
      </c>
      <c r="C35" s="759"/>
      <c r="D35" s="758" t="str">
        <f>+D24</f>
        <v>31st March, 2024</v>
      </c>
      <c r="E35" s="760"/>
    </row>
    <row r="36" spans="1:5" ht="15" customHeight="1">
      <c r="A36" s="757"/>
      <c r="B36" s="392" t="s">
        <v>828</v>
      </c>
      <c r="C36" s="392" t="s">
        <v>680</v>
      </c>
      <c r="D36" s="393" t="s">
        <v>828</v>
      </c>
      <c r="E36" s="394" t="s">
        <v>680</v>
      </c>
    </row>
    <row r="37" spans="1:5" ht="15" customHeight="1">
      <c r="A37" s="413" t="s">
        <v>833</v>
      </c>
      <c r="B37" s="395">
        <v>20000</v>
      </c>
      <c r="C37" s="395">
        <f>+B37*10</f>
        <v>200000</v>
      </c>
      <c r="D37" s="414">
        <v>20000</v>
      </c>
      <c r="E37" s="415">
        <f>+D37*10</f>
        <v>200000</v>
      </c>
    </row>
    <row r="38" spans="1:5" ht="15" customHeight="1">
      <c r="A38" s="416" t="s">
        <v>834</v>
      </c>
      <c r="B38" s="397">
        <v>0</v>
      </c>
      <c r="C38" s="397">
        <v>0</v>
      </c>
      <c r="D38" s="245">
        <v>0</v>
      </c>
      <c r="E38" s="417">
        <f>+D38*10</f>
        <v>0</v>
      </c>
    </row>
    <row r="39" spans="1:5" ht="15" customHeight="1">
      <c r="A39" s="416" t="s">
        <v>835</v>
      </c>
      <c r="B39" s="397">
        <v>0</v>
      </c>
      <c r="C39" s="397">
        <f>+B39*10</f>
        <v>0</v>
      </c>
      <c r="D39" s="245">
        <v>0</v>
      </c>
      <c r="E39" s="417">
        <f>+D39*10</f>
        <v>0</v>
      </c>
    </row>
    <row r="40" spans="1:5" ht="15" customHeight="1" thickBot="1">
      <c r="A40" s="418" t="s">
        <v>836</v>
      </c>
      <c r="B40" s="401">
        <f>SUM(B37:B39)</f>
        <v>20000</v>
      </c>
      <c r="C40" s="401">
        <f>SUM(C37:C39)</f>
        <v>200000</v>
      </c>
      <c r="D40" s="401">
        <f>SUM(D37:D39)</f>
        <v>20000</v>
      </c>
      <c r="E40" s="419">
        <f>SUM(E37:E39)</f>
        <v>200000</v>
      </c>
    </row>
    <row r="41" spans="1:5" ht="15" thickTop="1">
      <c r="A41" s="420"/>
      <c r="B41" s="405"/>
      <c r="C41" s="406"/>
      <c r="D41" s="407"/>
      <c r="E41" s="421"/>
    </row>
    <row r="42" spans="1:5">
      <c r="A42" s="95"/>
      <c r="B42" s="409"/>
      <c r="C42" s="422"/>
      <c r="D42" s="85"/>
      <c r="E42" s="423"/>
    </row>
    <row r="43" spans="1:5">
      <c r="A43" s="95" t="s">
        <v>837</v>
      </c>
      <c r="B43" s="409"/>
      <c r="C43" s="409"/>
      <c r="D43" s="409"/>
      <c r="E43" s="410"/>
    </row>
    <row r="44" spans="1:5">
      <c r="A44" s="747" t="s">
        <v>838</v>
      </c>
      <c r="B44" s="748"/>
      <c r="C44" s="748"/>
      <c r="D44" s="748"/>
      <c r="E44" s="749"/>
    </row>
    <row r="45" spans="1:5" ht="28.8">
      <c r="A45" s="424" t="s">
        <v>839</v>
      </c>
      <c r="B45" s="425" t="s">
        <v>828</v>
      </c>
      <c r="C45" s="425" t="s">
        <v>840</v>
      </c>
      <c r="D45" s="426" t="s">
        <v>841</v>
      </c>
      <c r="E45" s="427" t="s">
        <v>842</v>
      </c>
    </row>
    <row r="46" spans="1:5" ht="15" customHeight="1">
      <c r="A46" s="93" t="s">
        <v>105</v>
      </c>
      <c r="B46" s="395">
        <v>15998</v>
      </c>
      <c r="C46" s="395">
        <f>+B46*10</f>
        <v>159980</v>
      </c>
      <c r="D46" s="396">
        <f>+B46/$B$50</f>
        <v>0.79997999799980002</v>
      </c>
      <c r="E46" s="428">
        <f>+(C55-C46)/C46</f>
        <v>0</v>
      </c>
    </row>
    <row r="47" spans="1:5" ht="15" customHeight="1">
      <c r="A47" s="93" t="s">
        <v>830</v>
      </c>
      <c r="B47" s="397">
        <v>2000</v>
      </c>
      <c r="C47" s="397">
        <f>+B47*10</f>
        <v>20000</v>
      </c>
      <c r="D47" s="398">
        <f>+B47/$B$50</f>
        <v>0.1000100010001</v>
      </c>
      <c r="E47" s="429">
        <f>+(C56-C47)/C47</f>
        <v>0</v>
      </c>
    </row>
    <row r="48" spans="1:5" ht="15" customHeight="1">
      <c r="A48" s="93" t="s">
        <v>831</v>
      </c>
      <c r="B48" s="397">
        <v>2000</v>
      </c>
      <c r="C48" s="397">
        <f>+B48*10</f>
        <v>20000</v>
      </c>
      <c r="D48" s="398">
        <f>+B48/$B$50</f>
        <v>0.1000100010001</v>
      </c>
      <c r="E48" s="429">
        <f>+(C57-C48)/C48</f>
        <v>0</v>
      </c>
    </row>
    <row r="49" spans="1:5" ht="15" customHeight="1">
      <c r="A49" s="93"/>
      <c r="B49" s="397"/>
      <c r="C49" s="397"/>
      <c r="D49" s="398"/>
      <c r="E49" s="150"/>
    </row>
    <row r="50" spans="1:5" ht="15" thickBot="1">
      <c r="A50" s="95" t="s">
        <v>86</v>
      </c>
      <c r="B50" s="401">
        <f>SUM(B46:B48)</f>
        <v>19998</v>
      </c>
      <c r="C50" s="401">
        <f>SUM(C46:C48)</f>
        <v>199980</v>
      </c>
      <c r="D50" s="401">
        <f>SUM(D46:D48)</f>
        <v>1</v>
      </c>
      <c r="E50" s="430"/>
    </row>
    <row r="51" spans="1:5" ht="15" thickTop="1">
      <c r="A51" s="404"/>
      <c r="B51" s="405"/>
      <c r="C51" s="406"/>
      <c r="D51" s="407"/>
      <c r="E51" s="408"/>
    </row>
    <row r="52" spans="1:5">
      <c r="A52" s="93"/>
      <c r="C52" s="57"/>
      <c r="D52" s="57"/>
      <c r="E52" s="94"/>
    </row>
    <row r="53" spans="1:5">
      <c r="A53" s="747" t="s">
        <v>843</v>
      </c>
      <c r="B53" s="748"/>
      <c r="C53" s="748"/>
      <c r="D53" s="748"/>
      <c r="E53" s="749"/>
    </row>
    <row r="54" spans="1:5" ht="28.8">
      <c r="A54" s="424" t="s">
        <v>839</v>
      </c>
      <c r="B54" s="425" t="s">
        <v>828</v>
      </c>
      <c r="C54" s="425" t="s">
        <v>840</v>
      </c>
      <c r="D54" s="426" t="s">
        <v>841</v>
      </c>
      <c r="E54" s="427" t="s">
        <v>844</v>
      </c>
    </row>
    <row r="55" spans="1:5">
      <c r="A55" s="93" t="s">
        <v>105</v>
      </c>
      <c r="B55" s="395">
        <v>15998</v>
      </c>
      <c r="C55" s="395">
        <f>+B55*10</f>
        <v>159980</v>
      </c>
      <c r="D55" s="396">
        <f>+B55/$B$50</f>
        <v>0.79997999799980002</v>
      </c>
      <c r="E55" s="428">
        <v>0</v>
      </c>
    </row>
    <row r="56" spans="1:5">
      <c r="A56" s="93" t="s">
        <v>830</v>
      </c>
      <c r="B56" s="397">
        <v>2000</v>
      </c>
      <c r="C56" s="397">
        <f>+B56*10</f>
        <v>20000</v>
      </c>
      <c r="D56" s="398">
        <f>+B56/$B$59</f>
        <v>0.1000100010001</v>
      </c>
      <c r="E56" s="429">
        <v>0</v>
      </c>
    </row>
    <row r="57" spans="1:5">
      <c r="A57" s="93" t="s">
        <v>831</v>
      </c>
      <c r="B57" s="397">
        <v>2000</v>
      </c>
      <c r="C57" s="397">
        <f>+B57*10</f>
        <v>20000</v>
      </c>
      <c r="D57" s="398">
        <f>+B57/$B$59</f>
        <v>0.1000100010001</v>
      </c>
      <c r="E57" s="429">
        <v>0</v>
      </c>
    </row>
    <row r="58" spans="1:5">
      <c r="A58" s="93"/>
      <c r="B58" s="397"/>
      <c r="C58" s="397"/>
      <c r="D58" s="398"/>
      <c r="E58" s="429"/>
    </row>
    <row r="59" spans="1:5" ht="15" thickBot="1">
      <c r="A59" s="95" t="s">
        <v>86</v>
      </c>
      <c r="B59" s="401">
        <f>SUM(B55:B58)</f>
        <v>19998</v>
      </c>
      <c r="C59" s="401">
        <f>SUM(C55:C58)</f>
        <v>199980</v>
      </c>
      <c r="D59" s="402">
        <f>SUM(D55:D58)</f>
        <v>1</v>
      </c>
      <c r="E59" s="430"/>
    </row>
    <row r="60" spans="1:5" ht="15" thickTop="1">
      <c r="A60" s="404"/>
      <c r="B60" s="405"/>
      <c r="C60" s="406"/>
      <c r="D60" s="407"/>
      <c r="E60" s="408"/>
    </row>
    <row r="61" spans="1:5" ht="15" thickBot="1">
      <c r="A61" s="147"/>
      <c r="B61" s="315"/>
      <c r="C61" s="315"/>
      <c r="D61" s="315"/>
      <c r="E61" s="237"/>
    </row>
    <row r="62" spans="1:5" ht="13.8">
      <c r="A62" s="109"/>
      <c r="B62" s="109"/>
      <c r="C62" s="109"/>
      <c r="D62" s="109"/>
      <c r="E62" s="109"/>
    </row>
    <row r="63" spans="1:5">
      <c r="C63" s="57"/>
      <c r="D63" s="57"/>
      <c r="E63" s="57"/>
    </row>
    <row r="64" spans="1:5">
      <c r="C64" s="57"/>
      <c r="D64" s="57"/>
      <c r="E64" s="57"/>
    </row>
    <row r="65" spans="3:5">
      <c r="C65" s="57"/>
      <c r="D65" s="57"/>
      <c r="E65" s="57"/>
    </row>
    <row r="66" spans="3:5">
      <c r="C66" s="57"/>
      <c r="D66" s="57"/>
      <c r="E66" s="57"/>
    </row>
    <row r="67" spans="3:5">
      <c r="C67" s="57"/>
      <c r="D67" s="57"/>
      <c r="E67" s="57"/>
    </row>
    <row r="68" spans="3:5">
      <c r="C68" s="57"/>
      <c r="D68" s="57"/>
      <c r="E68" s="57"/>
    </row>
    <row r="69" spans="3:5">
      <c r="C69" s="57"/>
      <c r="D69" s="57"/>
      <c r="E69" s="57"/>
    </row>
    <row r="70" spans="3:5">
      <c r="C70" s="57"/>
      <c r="D70" s="57"/>
      <c r="E70" s="57"/>
    </row>
    <row r="71" spans="3:5">
      <c r="C71" s="57"/>
      <c r="D71" s="57"/>
      <c r="E71" s="57"/>
    </row>
    <row r="72" spans="3:5">
      <c r="C72" s="57"/>
      <c r="D72" s="57"/>
      <c r="E72" s="57"/>
    </row>
    <row r="73" spans="3:5">
      <c r="C73" s="57"/>
      <c r="D73" s="57"/>
      <c r="E73" s="57"/>
    </row>
    <row r="74" spans="3:5">
      <c r="C74" s="57"/>
      <c r="D74" s="57"/>
      <c r="E74" s="57"/>
    </row>
    <row r="75" spans="3:5">
      <c r="C75" s="57"/>
      <c r="D75" s="57"/>
      <c r="E75" s="57"/>
    </row>
    <row r="76" spans="3:5">
      <c r="C76" s="57"/>
      <c r="D76" s="57"/>
      <c r="E76" s="57"/>
    </row>
    <row r="77" spans="3:5">
      <c r="C77" s="57"/>
      <c r="D77" s="57"/>
      <c r="E77" s="57"/>
    </row>
    <row r="78" spans="3:5">
      <c r="C78" s="57"/>
      <c r="D78" s="57"/>
      <c r="E78" s="57"/>
    </row>
    <row r="79" spans="3:5">
      <c r="C79" s="57"/>
      <c r="D79" s="57"/>
      <c r="E79" s="57"/>
    </row>
    <row r="80" spans="3:5">
      <c r="C80" s="57"/>
      <c r="D80" s="57"/>
      <c r="E80" s="57"/>
    </row>
    <row r="81" spans="3:5">
      <c r="C81" s="57"/>
      <c r="D81" s="57"/>
      <c r="E81" s="57"/>
    </row>
    <row r="82" spans="3:5">
      <c r="C82" s="57"/>
      <c r="D82" s="57"/>
      <c r="E82" s="57"/>
    </row>
    <row r="83" spans="3:5">
      <c r="C83" s="57"/>
      <c r="D83" s="57"/>
      <c r="E83" s="57"/>
    </row>
    <row r="84" spans="3:5">
      <c r="C84" s="57"/>
      <c r="D84" s="57"/>
      <c r="E84" s="57"/>
    </row>
    <row r="85" spans="3:5">
      <c r="C85" s="57"/>
      <c r="D85" s="57"/>
      <c r="E85" s="57"/>
    </row>
    <row r="86" spans="3:5">
      <c r="C86" s="57"/>
      <c r="D86" s="57"/>
      <c r="E86" s="57"/>
    </row>
    <row r="87" spans="3:5">
      <c r="C87" s="57"/>
      <c r="D87" s="57"/>
      <c r="E87" s="57"/>
    </row>
    <row r="88" spans="3:5">
      <c r="C88" s="57"/>
      <c r="D88" s="57"/>
      <c r="E88" s="57"/>
    </row>
    <row r="89" spans="3:5">
      <c r="C89" s="57"/>
      <c r="D89" s="57"/>
      <c r="E89" s="57"/>
    </row>
    <row r="90" spans="3:5">
      <c r="C90" s="57"/>
      <c r="D90" s="57"/>
      <c r="E90" s="57"/>
    </row>
    <row r="91" spans="3:5">
      <c r="C91" s="57"/>
      <c r="D91" s="57"/>
      <c r="E91" s="57"/>
    </row>
    <row r="92" spans="3:5">
      <c r="C92" s="57"/>
      <c r="D92" s="57"/>
      <c r="E92" s="57"/>
    </row>
    <row r="93" spans="3:5">
      <c r="C93" s="57"/>
      <c r="D93" s="57"/>
      <c r="E93" s="57"/>
    </row>
    <row r="94" spans="3:5">
      <c r="C94" s="57"/>
      <c r="D94" s="57"/>
      <c r="E94" s="57"/>
    </row>
    <row r="95" spans="3:5">
      <c r="C95" s="57"/>
      <c r="D95" s="57"/>
      <c r="E95" s="57"/>
    </row>
    <row r="96" spans="3:5">
      <c r="C96" s="57"/>
      <c r="D96" s="57"/>
      <c r="E96" s="57"/>
    </row>
    <row r="97" spans="3:5">
      <c r="C97" s="57"/>
      <c r="D97" s="57"/>
      <c r="E97" s="57"/>
    </row>
    <row r="98" spans="3:5">
      <c r="C98" s="57"/>
      <c r="D98" s="57"/>
      <c r="E98" s="57"/>
    </row>
    <row r="99" spans="3:5">
      <c r="C99" s="57"/>
      <c r="D99" s="57"/>
      <c r="E99" s="57"/>
    </row>
    <row r="100" spans="3:5">
      <c r="C100" s="57"/>
      <c r="D100" s="57"/>
      <c r="E100" s="57"/>
    </row>
    <row r="101" spans="3:5">
      <c r="C101" s="57"/>
      <c r="D101" s="57"/>
      <c r="E101" s="57"/>
    </row>
    <row r="102" spans="3:5">
      <c r="C102" s="57"/>
      <c r="D102" s="57"/>
      <c r="E102" s="57"/>
    </row>
    <row r="103" spans="3:5">
      <c r="C103" s="57"/>
      <c r="D103" s="57"/>
      <c r="E103" s="57"/>
    </row>
    <row r="104" spans="3:5">
      <c r="C104" s="57"/>
      <c r="D104" s="57"/>
      <c r="E104" s="57"/>
    </row>
    <row r="105" spans="3:5">
      <c r="C105" s="57"/>
      <c r="D105" s="57"/>
      <c r="E105" s="57"/>
    </row>
    <row r="106" spans="3:5">
      <c r="C106" s="57"/>
      <c r="D106" s="57"/>
      <c r="E106" s="57"/>
    </row>
    <row r="107" spans="3:5">
      <c r="C107" s="57"/>
      <c r="D107" s="57"/>
      <c r="E107" s="57"/>
    </row>
    <row r="108" spans="3:5">
      <c r="C108" s="57"/>
      <c r="D108" s="57"/>
      <c r="E108" s="57"/>
    </row>
    <row r="109" spans="3:5">
      <c r="C109" s="57"/>
      <c r="D109" s="57"/>
      <c r="E109" s="57"/>
    </row>
    <row r="110" spans="3:5">
      <c r="C110" s="57"/>
      <c r="D110" s="57"/>
      <c r="E110" s="57"/>
    </row>
    <row r="111" spans="3:5">
      <c r="C111" s="57"/>
      <c r="D111" s="57"/>
      <c r="E111" s="57"/>
    </row>
    <row r="112" spans="3:5">
      <c r="C112" s="57"/>
      <c r="D112" s="57"/>
      <c r="E112" s="57"/>
    </row>
    <row r="113" spans="3:5">
      <c r="C113" s="57"/>
      <c r="D113" s="57"/>
      <c r="E113" s="57"/>
    </row>
    <row r="114" spans="3:5">
      <c r="C114" s="57"/>
      <c r="D114" s="57"/>
      <c r="E114" s="57"/>
    </row>
    <row r="115" spans="3:5">
      <c r="C115" s="57"/>
      <c r="D115" s="57"/>
      <c r="E115" s="57"/>
    </row>
    <row r="116" spans="3:5">
      <c r="C116" s="57"/>
      <c r="D116" s="57"/>
      <c r="E116" s="57"/>
    </row>
    <row r="117" spans="3:5">
      <c r="C117" s="57"/>
      <c r="D117" s="57"/>
      <c r="E117" s="57"/>
    </row>
    <row r="118" spans="3:5">
      <c r="C118" s="57"/>
      <c r="D118" s="57"/>
      <c r="E118" s="57"/>
    </row>
    <row r="119" spans="3:5">
      <c r="C119" s="57"/>
      <c r="D119" s="57"/>
      <c r="E119" s="57"/>
    </row>
    <row r="120" spans="3:5">
      <c r="C120" s="57"/>
      <c r="D120" s="57"/>
      <c r="E120" s="57"/>
    </row>
    <row r="121" spans="3:5">
      <c r="C121" s="57"/>
      <c r="D121" s="57"/>
      <c r="E121" s="57"/>
    </row>
    <row r="122" spans="3:5">
      <c r="C122" s="57"/>
      <c r="D122" s="57"/>
      <c r="E122" s="57"/>
    </row>
    <row r="123" spans="3:5">
      <c r="C123" s="57"/>
      <c r="D123" s="57"/>
      <c r="E123" s="57"/>
    </row>
    <row r="124" spans="3:5">
      <c r="C124" s="57"/>
      <c r="D124" s="57"/>
      <c r="E124" s="57"/>
    </row>
    <row r="125" spans="3:5">
      <c r="C125" s="57"/>
      <c r="D125" s="57"/>
      <c r="E125" s="57"/>
    </row>
    <row r="126" spans="3:5">
      <c r="C126" s="57"/>
      <c r="D126" s="57"/>
      <c r="E126" s="57"/>
    </row>
    <row r="127" spans="3:5">
      <c r="C127" s="57"/>
      <c r="D127" s="57"/>
      <c r="E127" s="57"/>
    </row>
    <row r="128" spans="3:5">
      <c r="C128" s="57"/>
      <c r="D128" s="57"/>
      <c r="E128" s="57"/>
    </row>
    <row r="129" spans="3:5">
      <c r="C129" s="57"/>
      <c r="D129" s="57"/>
      <c r="E129" s="57"/>
    </row>
    <row r="130" spans="3:5">
      <c r="C130" s="57"/>
      <c r="D130" s="57"/>
      <c r="E130" s="57"/>
    </row>
    <row r="131" spans="3:5">
      <c r="C131" s="57"/>
      <c r="D131" s="57"/>
      <c r="E131" s="57"/>
    </row>
    <row r="132" spans="3:5">
      <c r="C132" s="57"/>
      <c r="D132" s="57"/>
      <c r="E132" s="57"/>
    </row>
    <row r="133" spans="3:5">
      <c r="C133" s="57"/>
      <c r="D133" s="57"/>
      <c r="E133" s="57"/>
    </row>
    <row r="134" spans="3:5">
      <c r="C134" s="57"/>
      <c r="D134" s="57"/>
      <c r="E134" s="57"/>
    </row>
    <row r="135" spans="3:5">
      <c r="C135" s="57"/>
      <c r="D135" s="57"/>
      <c r="E135" s="57"/>
    </row>
    <row r="136" spans="3:5">
      <c r="C136" s="57"/>
      <c r="D136" s="57"/>
      <c r="E136" s="57"/>
    </row>
    <row r="137" spans="3:5">
      <c r="C137" s="57"/>
      <c r="D137" s="57"/>
      <c r="E137" s="57"/>
    </row>
    <row r="138" spans="3:5">
      <c r="C138" s="57"/>
      <c r="D138" s="57"/>
      <c r="E138" s="57"/>
    </row>
    <row r="139" spans="3:5">
      <c r="C139" s="57"/>
      <c r="D139" s="57"/>
      <c r="E139" s="57"/>
    </row>
    <row r="140" spans="3:5">
      <c r="C140" s="57"/>
      <c r="D140" s="57"/>
      <c r="E140" s="57"/>
    </row>
    <row r="141" spans="3:5">
      <c r="C141" s="57"/>
      <c r="D141" s="57"/>
      <c r="E141" s="57"/>
    </row>
    <row r="142" spans="3:5">
      <c r="C142" s="57"/>
      <c r="D142" s="57"/>
      <c r="E142" s="57"/>
    </row>
    <row r="143" spans="3:5">
      <c r="C143" s="57"/>
      <c r="D143" s="57"/>
      <c r="E143" s="57"/>
    </row>
    <row r="144" spans="3:5">
      <c r="C144" s="57"/>
      <c r="D144" s="57"/>
      <c r="E144" s="57"/>
    </row>
    <row r="145" spans="3:5">
      <c r="C145" s="57"/>
      <c r="D145" s="57"/>
      <c r="E145" s="57"/>
    </row>
    <row r="146" spans="3:5">
      <c r="C146" s="57"/>
      <c r="D146" s="57"/>
      <c r="E146" s="57"/>
    </row>
    <row r="147" spans="3:5">
      <c r="C147" s="57"/>
      <c r="D147" s="57"/>
      <c r="E147" s="57"/>
    </row>
    <row r="148" spans="3:5">
      <c r="C148" s="57"/>
      <c r="D148" s="57"/>
      <c r="E148" s="57"/>
    </row>
    <row r="149" spans="3:5">
      <c r="C149" s="57"/>
      <c r="D149" s="57"/>
      <c r="E149" s="57"/>
    </row>
    <row r="150" spans="3:5">
      <c r="C150" s="57"/>
      <c r="D150" s="57"/>
      <c r="E150" s="57"/>
    </row>
    <row r="151" spans="3:5">
      <c r="C151" s="57"/>
      <c r="D151" s="57"/>
      <c r="E151" s="57"/>
    </row>
    <row r="152" spans="3:5">
      <c r="C152" s="57"/>
      <c r="D152" s="57"/>
      <c r="E152" s="57"/>
    </row>
    <row r="153" spans="3:5">
      <c r="C153" s="57"/>
      <c r="D153" s="57"/>
      <c r="E153" s="57"/>
    </row>
    <row r="154" spans="3:5">
      <c r="C154" s="57"/>
      <c r="D154" s="57"/>
      <c r="E154" s="57"/>
    </row>
    <row r="155" spans="3:5">
      <c r="C155" s="57"/>
      <c r="D155" s="57"/>
      <c r="E155" s="57"/>
    </row>
    <row r="156" spans="3:5">
      <c r="C156" s="57"/>
      <c r="D156" s="57"/>
      <c r="E156" s="57"/>
    </row>
    <row r="157" spans="3:5">
      <c r="C157" s="57"/>
      <c r="D157" s="57"/>
      <c r="E157" s="57"/>
    </row>
    <row r="158" spans="3:5">
      <c r="C158" s="57"/>
      <c r="D158" s="57"/>
      <c r="E158" s="57"/>
    </row>
    <row r="159" spans="3:5">
      <c r="C159" s="57"/>
      <c r="D159" s="57"/>
      <c r="E159" s="57"/>
    </row>
    <row r="160" spans="3:5">
      <c r="C160" s="57"/>
      <c r="D160" s="57"/>
      <c r="E160" s="57"/>
    </row>
    <row r="161" spans="3:5">
      <c r="C161" s="57"/>
      <c r="D161" s="57"/>
      <c r="E161" s="57"/>
    </row>
    <row r="162" spans="3:5">
      <c r="C162" s="57"/>
      <c r="D162" s="57"/>
      <c r="E162" s="57"/>
    </row>
    <row r="163" spans="3:5">
      <c r="C163" s="57"/>
      <c r="D163" s="57"/>
      <c r="E163" s="57"/>
    </row>
    <row r="164" spans="3:5">
      <c r="C164" s="57"/>
      <c r="D164" s="57"/>
      <c r="E164" s="57"/>
    </row>
    <row r="165" spans="3:5">
      <c r="C165" s="57"/>
      <c r="D165" s="57"/>
      <c r="E165" s="57"/>
    </row>
    <row r="166" spans="3:5">
      <c r="C166" s="57"/>
      <c r="D166" s="57"/>
      <c r="E166" s="57"/>
    </row>
    <row r="167" spans="3:5">
      <c r="C167" s="57"/>
      <c r="D167" s="57"/>
      <c r="E167" s="57"/>
    </row>
    <row r="168" spans="3:5">
      <c r="C168" s="57"/>
      <c r="D168" s="57"/>
      <c r="E168" s="57"/>
    </row>
    <row r="169" spans="3:5">
      <c r="C169" s="57"/>
      <c r="D169" s="57"/>
      <c r="E169" s="57"/>
    </row>
    <row r="170" spans="3:5">
      <c r="C170" s="57"/>
      <c r="D170" s="57"/>
      <c r="E170" s="57"/>
    </row>
    <row r="171" spans="3:5">
      <c r="C171" s="57"/>
      <c r="D171" s="57"/>
      <c r="E171" s="57"/>
    </row>
    <row r="172" spans="3:5">
      <c r="C172" s="57"/>
      <c r="D172" s="57"/>
      <c r="E172" s="57"/>
    </row>
    <row r="173" spans="3:5">
      <c r="C173" s="57"/>
      <c r="D173" s="57"/>
      <c r="E173" s="57"/>
    </row>
    <row r="174" spans="3:5">
      <c r="C174" s="57"/>
      <c r="D174" s="57"/>
      <c r="E174" s="57"/>
    </row>
    <row r="175" spans="3:5">
      <c r="C175" s="57"/>
      <c r="D175" s="57"/>
      <c r="E175" s="57"/>
    </row>
    <row r="176" spans="3:5">
      <c r="C176" s="57"/>
      <c r="D176" s="57"/>
      <c r="E176" s="57"/>
    </row>
    <row r="177" spans="3:5">
      <c r="C177" s="57"/>
      <c r="D177" s="57"/>
      <c r="E177" s="57"/>
    </row>
    <row r="178" spans="3:5">
      <c r="C178" s="57"/>
      <c r="D178" s="57"/>
      <c r="E178" s="57"/>
    </row>
    <row r="179" spans="3:5">
      <c r="C179" s="57"/>
      <c r="D179" s="57"/>
      <c r="E179" s="57"/>
    </row>
    <row r="180" spans="3:5">
      <c r="C180" s="57"/>
      <c r="D180" s="57"/>
      <c r="E180" s="57"/>
    </row>
    <row r="181" spans="3:5">
      <c r="C181" s="57"/>
      <c r="D181" s="57"/>
      <c r="E181" s="57"/>
    </row>
    <row r="182" spans="3:5">
      <c r="C182" s="57"/>
      <c r="D182" s="57"/>
      <c r="E182" s="57"/>
    </row>
    <row r="183" spans="3:5">
      <c r="C183" s="57"/>
      <c r="D183" s="57"/>
      <c r="E183" s="57"/>
    </row>
    <row r="184" spans="3:5">
      <c r="C184" s="57"/>
      <c r="D184" s="57"/>
      <c r="E184" s="57"/>
    </row>
    <row r="185" spans="3:5">
      <c r="C185" s="57"/>
      <c r="D185" s="57"/>
      <c r="E185" s="57"/>
    </row>
    <row r="186" spans="3:5">
      <c r="C186" s="57"/>
      <c r="D186" s="57"/>
      <c r="E186" s="57"/>
    </row>
    <row r="187" spans="3:5">
      <c r="C187" s="57"/>
      <c r="D187" s="57"/>
      <c r="E187" s="57"/>
    </row>
    <row r="188" spans="3:5">
      <c r="C188" s="57"/>
      <c r="D188" s="57"/>
      <c r="E188" s="57"/>
    </row>
    <row r="189" spans="3:5">
      <c r="C189" s="57"/>
      <c r="D189" s="57"/>
      <c r="E189" s="57"/>
    </row>
    <row r="190" spans="3:5">
      <c r="C190" s="57"/>
      <c r="D190" s="57"/>
      <c r="E190" s="57"/>
    </row>
    <row r="191" spans="3:5">
      <c r="C191" s="57"/>
      <c r="D191" s="57"/>
      <c r="E191" s="57"/>
    </row>
    <row r="192" spans="3:5">
      <c r="C192" s="57"/>
      <c r="D192" s="57"/>
      <c r="E192" s="57"/>
    </row>
    <row r="193" spans="3:5">
      <c r="C193" s="57"/>
      <c r="D193" s="57"/>
      <c r="E193" s="57"/>
    </row>
    <row r="194" spans="3:5">
      <c r="C194" s="57"/>
      <c r="D194" s="57"/>
      <c r="E194" s="57"/>
    </row>
    <row r="195" spans="3:5">
      <c r="C195" s="57"/>
      <c r="D195" s="57"/>
      <c r="E195" s="57"/>
    </row>
    <row r="196" spans="3:5">
      <c r="C196" s="57"/>
      <c r="D196" s="57"/>
      <c r="E196" s="57"/>
    </row>
  </sheetData>
  <mergeCells count="14">
    <mergeCell ref="A44:E44"/>
    <mergeCell ref="A53:E53"/>
    <mergeCell ref="A1:E1"/>
    <mergeCell ref="A18:E18"/>
    <mergeCell ref="A20:E21"/>
    <mergeCell ref="A3:E3"/>
    <mergeCell ref="A2:E2"/>
    <mergeCell ref="A24:A25"/>
    <mergeCell ref="B24:C24"/>
    <mergeCell ref="D24:E24"/>
    <mergeCell ref="A35:A36"/>
    <mergeCell ref="B35:C35"/>
    <mergeCell ref="D35:E35"/>
    <mergeCell ref="A5:A6"/>
  </mergeCells>
  <phoneticPr fontId="8" type="noConversion"/>
  <printOptions horizontalCentered="1"/>
  <pageMargins left="0.27559055118110237" right="0.27559055118110237" top="0.19685039370078741" bottom="0.19685039370078741" header="0.15748031496062992" footer="0.19685039370078741"/>
  <pageSetup scale="80" orientation="portrait"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37"/>
  <sheetViews>
    <sheetView showGridLines="0" view="pageBreakPreview" topLeftCell="A23" zoomScaleNormal="90" zoomScaleSheetLayoutView="100" workbookViewId="0">
      <selection activeCell="E10" sqref="E10:F36"/>
    </sheetView>
  </sheetViews>
  <sheetFormatPr defaultColWidth="9.109375" defaultRowHeight="13.8"/>
  <cols>
    <col min="1" max="1" width="55.5546875" style="109" customWidth="1"/>
    <col min="2" max="3" width="20.6640625" style="109" customWidth="1"/>
    <col min="4" max="4" width="13.109375" style="109" hidden="1" customWidth="1"/>
    <col min="5" max="5" width="13.109375" style="109" bestFit="1" customWidth="1"/>
    <col min="6" max="7" width="14" style="109" bestFit="1" customWidth="1"/>
    <col min="8" max="16384" width="9.109375" style="109"/>
  </cols>
  <sheetData>
    <row r="1" spans="1:6" ht="15" customHeight="1">
      <c r="A1" s="699" t="str">
        <f>BS!A1</f>
        <v>CARGO INTERNATIONAL (INDIA) PRIVATE LIMITED</v>
      </c>
      <c r="B1" s="700"/>
      <c r="C1" s="701"/>
    </row>
    <row r="2" spans="1:6" ht="15" customHeight="1" thickBot="1">
      <c r="A2" s="702" t="s">
        <v>634</v>
      </c>
      <c r="B2" s="703"/>
      <c r="C2" s="704"/>
    </row>
    <row r="3" spans="1:6" ht="15" customHeight="1">
      <c r="A3" s="763" t="s">
        <v>845</v>
      </c>
      <c r="B3" s="764"/>
      <c r="C3" s="765"/>
    </row>
    <row r="4" spans="1:6" ht="15" customHeight="1" thickBot="1">
      <c r="A4" s="86"/>
      <c r="B4" s="87"/>
      <c r="C4" s="88" t="str">
        <f>+"(Unless otherwise specified, all amounts are "&amp;IF('Master data'!A2="Ones","Indian Rupees","in "&amp;'Master data'!A2&amp;" of INR)")</f>
        <v>(Unless otherwise specified, all amounts are in Lakhs of INR)</v>
      </c>
    </row>
    <row r="5" spans="1:6" ht="14.4">
      <c r="A5" s="708" t="s">
        <v>44</v>
      </c>
      <c r="B5" s="89" t="s">
        <v>63</v>
      </c>
      <c r="C5" s="90" t="s">
        <v>63</v>
      </c>
    </row>
    <row r="6" spans="1:6" ht="15" thickBot="1">
      <c r="A6" s="709"/>
      <c r="B6" s="91" t="s">
        <v>64</v>
      </c>
      <c r="C6" s="92" t="s">
        <v>65</v>
      </c>
    </row>
    <row r="7" spans="1:6" ht="14.4">
      <c r="A7" s="122"/>
      <c r="B7" s="376"/>
      <c r="C7" s="678"/>
    </row>
    <row r="8" spans="1:6" ht="14.4">
      <c r="A8" s="95" t="s">
        <v>846</v>
      </c>
      <c r="B8" s="96"/>
      <c r="C8" s="97"/>
    </row>
    <row r="9" spans="1:6" ht="14.4">
      <c r="A9" s="95" t="s">
        <v>847</v>
      </c>
      <c r="B9" s="96"/>
      <c r="C9" s="97"/>
      <c r="F9" s="85"/>
    </row>
    <row r="10" spans="1:6" ht="14.4">
      <c r="A10" s="93" t="s">
        <v>848</v>
      </c>
      <c r="B10" s="85">
        <f>+C15</f>
        <v>37.069192956596368</v>
      </c>
      <c r="C10" s="98">
        <f>23630254.6984153/Deno</f>
        <v>236.30254698415303</v>
      </c>
      <c r="E10" s="109">
        <f>+B10*100000</f>
        <v>3706919.2956596366</v>
      </c>
      <c r="F10" s="109">
        <f>+C10*100000</f>
        <v>23630254.698415302</v>
      </c>
    </row>
    <row r="11" spans="1:6" ht="14.4">
      <c r="A11" s="93" t="s">
        <v>849</v>
      </c>
      <c r="B11" s="85">
        <f>PL!D34</f>
        <v>19.60906153261255</v>
      </c>
      <c r="C11" s="98">
        <f>PL!E34</f>
        <v>-50.210905027556663</v>
      </c>
      <c r="E11" s="109">
        <f t="shared" ref="E11:E36" si="0">+B11*100000</f>
        <v>1960906.153261255</v>
      </c>
      <c r="F11" s="109">
        <f t="shared" ref="F11:F36" si="1">+C11*100000</f>
        <v>-5021090.5027556662</v>
      </c>
    </row>
    <row r="12" spans="1:6" ht="14.4">
      <c r="A12" s="93" t="s">
        <v>850</v>
      </c>
      <c r="B12" s="85">
        <v>0</v>
      </c>
      <c r="C12" s="98">
        <f>-14902244.9/Deno</f>
        <v>-149.02244899999999</v>
      </c>
      <c r="E12" s="109">
        <f t="shared" si="0"/>
        <v>0</v>
      </c>
      <c r="F12" s="109">
        <f t="shared" si="1"/>
        <v>-14902244.9</v>
      </c>
    </row>
    <row r="13" spans="1:6" ht="14.4">
      <c r="A13" s="93" t="s">
        <v>1179</v>
      </c>
      <c r="B13" s="85">
        <f>+'Audit entry'!E127/Deno</f>
        <v>141.06836380000001</v>
      </c>
      <c r="C13" s="98"/>
      <c r="E13" s="109">
        <f t="shared" si="0"/>
        <v>14106836.380000001</v>
      </c>
      <c r="F13" s="109">
        <f t="shared" si="1"/>
        <v>0</v>
      </c>
    </row>
    <row r="14" spans="1:6" ht="14.4">
      <c r="A14" s="99" t="s">
        <v>1173</v>
      </c>
      <c r="B14" s="57"/>
      <c r="C14" s="100"/>
      <c r="E14" s="109">
        <f t="shared" si="0"/>
        <v>0</v>
      </c>
      <c r="F14" s="109">
        <f t="shared" si="1"/>
        <v>0</v>
      </c>
    </row>
    <row r="15" spans="1:6" ht="15" thickBot="1">
      <c r="A15" s="93"/>
      <c r="B15" s="101">
        <f>SUM(B10:B14)</f>
        <v>197.74661828920893</v>
      </c>
      <c r="C15" s="102">
        <f>SUM(C10:C14)</f>
        <v>37.069192956596368</v>
      </c>
      <c r="E15" s="109">
        <f t="shared" si="0"/>
        <v>19774661.828920893</v>
      </c>
      <c r="F15" s="109">
        <f t="shared" si="1"/>
        <v>3706919.2956596366</v>
      </c>
    </row>
    <row r="16" spans="1:6" ht="15" thickTop="1">
      <c r="A16" s="93"/>
      <c r="B16" s="57"/>
      <c r="C16" s="94"/>
      <c r="E16" s="109">
        <f t="shared" si="0"/>
        <v>0</v>
      </c>
      <c r="F16" s="109">
        <f t="shared" si="1"/>
        <v>0</v>
      </c>
    </row>
    <row r="17" spans="1:6" ht="14.4">
      <c r="A17" s="95" t="s">
        <v>1151</v>
      </c>
      <c r="B17" s="96"/>
      <c r="C17" s="97"/>
      <c r="E17" s="109">
        <f t="shared" si="0"/>
        <v>0</v>
      </c>
      <c r="F17" s="109">
        <f t="shared" si="1"/>
        <v>0</v>
      </c>
    </row>
    <row r="18" spans="1:6" ht="14.4">
      <c r="A18" s="93" t="s">
        <v>1153</v>
      </c>
      <c r="B18" s="109">
        <f>(SUMIF('Sub-Schedule'!F4:F32,"RPT",'Sub-Schedule'!C4:C32)-SUMIF('Sub-Schedule'!F4:F32,"RPT",'Sub-Schedule'!B4:B32))/(+Deno)</f>
        <v>148.44184840000003</v>
      </c>
      <c r="C18" s="679">
        <f>(SUMIF('Sub-Schedule'!F4:F32,"RPT",'Sub-Schedule'!E4:E32)-SUMIF('Sub-Schedule'!F4:F32,"RPT",'Sub-Schedule'!D4:D32))/(+Deno)</f>
        <v>148.44184840000003</v>
      </c>
      <c r="E18" s="109">
        <f t="shared" si="0"/>
        <v>14844184.840000002</v>
      </c>
      <c r="F18" s="109">
        <f t="shared" si="1"/>
        <v>14844184.840000002</v>
      </c>
    </row>
    <row r="19" spans="1:6" ht="14.4">
      <c r="A19" s="93"/>
      <c r="B19" s="57"/>
      <c r="C19" s="97"/>
      <c r="E19" s="109">
        <f t="shared" si="0"/>
        <v>0</v>
      </c>
      <c r="F19" s="109">
        <f t="shared" si="1"/>
        <v>0</v>
      </c>
    </row>
    <row r="20" spans="1:6" ht="15" thickBot="1">
      <c r="A20" s="93"/>
      <c r="B20" s="101">
        <f>SUM(B18:B19)</f>
        <v>148.44184840000003</v>
      </c>
      <c r="C20" s="102">
        <f>SUM(C18:C19)</f>
        <v>148.44184840000003</v>
      </c>
      <c r="E20" s="109">
        <f t="shared" si="0"/>
        <v>14844184.840000002</v>
      </c>
      <c r="F20" s="109">
        <f t="shared" si="1"/>
        <v>14844184.840000002</v>
      </c>
    </row>
    <row r="21" spans="1:6" ht="15" thickTop="1">
      <c r="A21" s="93"/>
      <c r="B21" s="57"/>
      <c r="C21" s="94"/>
      <c r="E21" s="109">
        <f t="shared" si="0"/>
        <v>0</v>
      </c>
      <c r="F21" s="109">
        <f t="shared" si="1"/>
        <v>0</v>
      </c>
    </row>
    <row r="22" spans="1:6" ht="14.4">
      <c r="A22" s="93"/>
      <c r="B22" s="57"/>
      <c r="C22" s="94"/>
      <c r="E22" s="109">
        <f t="shared" si="0"/>
        <v>0</v>
      </c>
      <c r="F22" s="109">
        <f t="shared" si="1"/>
        <v>0</v>
      </c>
    </row>
    <row r="23" spans="1:6" ht="14.4">
      <c r="A23" s="95" t="s">
        <v>1157</v>
      </c>
      <c r="B23" s="96"/>
      <c r="C23" s="97"/>
      <c r="E23" s="109">
        <f t="shared" si="0"/>
        <v>0</v>
      </c>
      <c r="F23" s="109">
        <f t="shared" si="1"/>
        <v>0</v>
      </c>
    </row>
    <row r="24" spans="1:6" ht="14.4">
      <c r="A24" s="93" t="s">
        <v>247</v>
      </c>
      <c r="B24" s="85">
        <f>(+'Sub Sch - BS'!B12)</f>
        <v>37.309242900000001</v>
      </c>
      <c r="C24" s="98">
        <f>(+'Sub Sch - BS'!C12)</f>
        <v>13.188326</v>
      </c>
      <c r="E24" s="109">
        <f t="shared" si="0"/>
        <v>3730924.29</v>
      </c>
      <c r="F24" s="109">
        <f t="shared" si="1"/>
        <v>1318832.6000000001</v>
      </c>
    </row>
    <row r="25" spans="1:6" ht="14.4">
      <c r="A25" s="93" t="s">
        <v>243</v>
      </c>
      <c r="B25" s="85">
        <f>(SUMIF('TB 24-25'!$Q:$Q,$A25,'TB 24-25'!$P:$P)-SUMIF('TB 24-25'!$Q:$Q,$A25,'TB 24-25'!$O:$O))</f>
        <v>7.9754497999999998</v>
      </c>
      <c r="C25" s="98">
        <f>(SUMIF('TB 24-25'!$Q:$Q,$A25,'TB 24-25'!$F:$F)-SUMIF('TB 24-25'!$Q:$Q,$A25,'TB 24-25'!$E:$E))</f>
        <v>0</v>
      </c>
      <c r="E25" s="109">
        <f t="shared" si="0"/>
        <v>797544.98</v>
      </c>
      <c r="F25" s="109">
        <f t="shared" si="1"/>
        <v>0</v>
      </c>
    </row>
    <row r="26" spans="1:6" ht="14.4">
      <c r="A26" s="103" t="s">
        <v>257</v>
      </c>
      <c r="B26" s="85">
        <f>(+'Sub Sch - BS'!B25)</f>
        <v>44.217258300000012</v>
      </c>
      <c r="C26" s="98">
        <f>(+'Sub Sch - BS'!C25)</f>
        <v>19.811284600000004</v>
      </c>
      <c r="E26" s="109">
        <f t="shared" si="0"/>
        <v>4421725.830000001</v>
      </c>
      <c r="F26" s="109">
        <f t="shared" si="1"/>
        <v>1981128.4600000004</v>
      </c>
    </row>
    <row r="27" spans="1:6" ht="14.4">
      <c r="A27" s="93"/>
      <c r="B27" s="57"/>
      <c r="C27" s="97"/>
      <c r="E27" s="109">
        <f t="shared" si="0"/>
        <v>0</v>
      </c>
      <c r="F27" s="109">
        <f t="shared" si="1"/>
        <v>0</v>
      </c>
    </row>
    <row r="28" spans="1:6" ht="15" thickBot="1">
      <c r="A28" s="93"/>
      <c r="B28" s="101">
        <f>SUM(B24:B27)</f>
        <v>89.50195100000002</v>
      </c>
      <c r="C28" s="102">
        <f>SUM(C24:C27)</f>
        <v>32.999610600000004</v>
      </c>
      <c r="E28" s="109">
        <f t="shared" si="0"/>
        <v>8950195.1000000015</v>
      </c>
      <c r="F28" s="109">
        <f t="shared" si="1"/>
        <v>3299961.0600000005</v>
      </c>
    </row>
    <row r="29" spans="1:6" ht="15" thickTop="1">
      <c r="A29" s="93"/>
      <c r="B29" s="57"/>
      <c r="C29" s="94"/>
      <c r="E29" s="109">
        <f t="shared" si="0"/>
        <v>0</v>
      </c>
      <c r="F29" s="109">
        <f t="shared" si="1"/>
        <v>0</v>
      </c>
    </row>
    <row r="30" spans="1:6" ht="14.4">
      <c r="A30" s="95" t="s">
        <v>1158</v>
      </c>
      <c r="B30" s="96"/>
      <c r="C30" s="97"/>
      <c r="E30" s="109">
        <f t="shared" si="0"/>
        <v>0</v>
      </c>
      <c r="F30" s="109">
        <f t="shared" si="1"/>
        <v>0</v>
      </c>
    </row>
    <row r="31" spans="1:6" ht="14.4">
      <c r="A31" s="93" t="s">
        <v>311</v>
      </c>
      <c r="B31" s="85">
        <f>(SUMIF('TB 24-25'!$Q:$Q,$A31,'TB 24-25'!$P:$P)-SUMIF('TB 24-25'!$Q:$Q,$A31,'TB 24-25'!$O:$O))</f>
        <v>67.520229646929508</v>
      </c>
      <c r="C31" s="98">
        <f>(SUMIF('TB 24-25'!$Q:$Q,$A31,'TB 24-25'!$F:$F)-SUMIF('TB 24-25'!$Q:$Q,$A31,'TB 24-25'!$E:$E))</f>
        <v>67.520229646929508</v>
      </c>
      <c r="E31" s="109">
        <f t="shared" si="0"/>
        <v>6752022.9646929512</v>
      </c>
      <c r="F31" s="109">
        <f t="shared" si="1"/>
        <v>6752022.9646929512</v>
      </c>
    </row>
    <row r="32" spans="1:6" ht="14.4">
      <c r="A32" s="93" t="s">
        <v>301</v>
      </c>
      <c r="B32" s="85">
        <f>(SUMIF('TB 24-25'!$Q:$Q,$A32,'TB 24-25'!$P:$P)-SUMIF('TB 24-25'!$Q:$Q,$A32,'TB 24-25'!$O:$O))</f>
        <v>0</v>
      </c>
      <c r="C32" s="98">
        <f>(SUMIF('TB 24-25'!$Q:$Q,$A32,'TB 24-25'!$F:$F)-SUMIF('TB 24-25'!$Q:$Q,$A32,'TB 24-25'!$E:$E))</f>
        <v>0</v>
      </c>
      <c r="E32" s="109">
        <f t="shared" si="0"/>
        <v>0</v>
      </c>
      <c r="F32" s="109">
        <f t="shared" si="1"/>
        <v>0</v>
      </c>
    </row>
    <row r="33" spans="1:6" ht="14.4">
      <c r="A33" s="104" t="s">
        <v>308</v>
      </c>
      <c r="B33" s="85">
        <f>(SUMIF('TB 24-25'!$Q:$Q,$A33,'TB 24-25'!$P:$P)-SUMIF('TB 24-25'!$Q:$Q,$A33,'TB 24-25'!$O:$O))</f>
        <v>0</v>
      </c>
      <c r="C33" s="98">
        <f>(SUMIF('TB 24-25'!$Q:$Q,$A33,'TB 24-25'!$F:$F)-SUMIF('TB 24-25'!$Q:$Q,$A33,'TB 24-25'!$E:$E))</f>
        <v>141.06836380000001</v>
      </c>
      <c r="D33" s="109" t="s">
        <v>851</v>
      </c>
      <c r="E33" s="109">
        <f t="shared" si="0"/>
        <v>0</v>
      </c>
      <c r="F33" s="109">
        <f t="shared" si="1"/>
        <v>14106836.380000001</v>
      </c>
    </row>
    <row r="34" spans="1:6" ht="14.4">
      <c r="A34" s="104" t="s">
        <v>852</v>
      </c>
      <c r="B34" s="109">
        <f>(SUMIF('Sub-Schedule'!F4:F32,"others",'Sub-Schedule'!C4:C32)-SUMIF('Sub-Schedule'!F4:F32,"others",'Sub-Schedule'!B4:B32))/(+Deno)</f>
        <v>3.285799999999988E-2</v>
      </c>
      <c r="C34" s="98">
        <f>(SUMIF('Sub-Schedule'!F4:F32,"Others",'Sub-Schedule'!E4:E32)-SUMIF('Sub-Schedule'!F4:F32,"Others",'Sub-Schedule'!D4:D32))/(+Deno)</f>
        <v>-3.7687958999999998</v>
      </c>
      <c r="E34" s="109">
        <f t="shared" si="0"/>
        <v>3285.7999999999879</v>
      </c>
      <c r="F34" s="109">
        <f t="shared" si="1"/>
        <v>-376879.58999999997</v>
      </c>
    </row>
    <row r="35" spans="1:6" ht="14.4">
      <c r="A35" s="104"/>
      <c r="B35" s="680"/>
      <c r="C35" s="105"/>
      <c r="E35" s="109">
        <f t="shared" si="0"/>
        <v>0</v>
      </c>
      <c r="F35" s="109">
        <f t="shared" si="1"/>
        <v>0</v>
      </c>
    </row>
    <row r="36" spans="1:6" ht="15" thickBot="1">
      <c r="A36" s="103"/>
      <c r="B36" s="101">
        <f>SUM(B31:B35)</f>
        <v>67.553087646929512</v>
      </c>
      <c r="C36" s="102">
        <f>SUM(C31:C35)</f>
        <v>204.81979754692952</v>
      </c>
      <c r="E36" s="109">
        <f t="shared" si="0"/>
        <v>6755308.764692951</v>
      </c>
      <c r="F36" s="109">
        <f t="shared" si="1"/>
        <v>20481979.754692953</v>
      </c>
    </row>
    <row r="37" spans="1:6" ht="15.6" thickTop="1" thickBot="1">
      <c r="A37" s="106"/>
      <c r="B37" s="107"/>
      <c r="C37" s="108"/>
    </row>
  </sheetData>
  <mergeCells count="4">
    <mergeCell ref="A1:C1"/>
    <mergeCell ref="A2:C2"/>
    <mergeCell ref="A3:C3"/>
    <mergeCell ref="A5:A6"/>
  </mergeCells>
  <printOptions horizontalCentered="1"/>
  <pageMargins left="0.15748031496062992" right="0.19685039370078741" top="0.27559055118110237" bottom="0.31496062992125984" header="0.15748031496062992" footer="0.39370078740157483"/>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35"/>
  <sheetViews>
    <sheetView showGridLines="0" view="pageBreakPreview" topLeftCell="A2" zoomScale="85" zoomScaleNormal="85" zoomScaleSheetLayoutView="85" workbookViewId="0">
      <selection activeCell="I35" sqref="I35"/>
    </sheetView>
  </sheetViews>
  <sheetFormatPr defaultColWidth="25.44140625" defaultRowHeight="13.2"/>
  <cols>
    <col min="1" max="1" width="25" style="63" customWidth="1"/>
    <col min="2" max="13" width="15.6640625" style="63" customWidth="1"/>
    <col min="14" max="14" width="13.44140625" style="63" bestFit="1" customWidth="1"/>
    <col min="15" max="16384" width="25.44140625" style="63"/>
  </cols>
  <sheetData>
    <row r="1" spans="1:13" ht="18">
      <c r="A1" s="641" t="str">
        <f>BS!A1</f>
        <v>CARGO INTERNATIONAL (INDIA) PRIVATE LIMITED</v>
      </c>
      <c r="B1" s="642"/>
      <c r="C1" s="642"/>
      <c r="D1" s="642"/>
      <c r="E1" s="642"/>
      <c r="F1" s="642"/>
      <c r="G1" s="643"/>
      <c r="H1" s="650"/>
      <c r="I1" s="650"/>
      <c r="J1" s="650"/>
      <c r="K1" s="650"/>
      <c r="L1" s="650"/>
      <c r="M1" s="650"/>
    </row>
    <row r="2" spans="1:13" ht="15.6">
      <c r="A2" s="644" t="s">
        <v>634</v>
      </c>
      <c r="B2" s="649"/>
      <c r="C2" s="649"/>
      <c r="D2" s="649"/>
      <c r="E2" s="649"/>
      <c r="F2" s="649"/>
      <c r="G2" s="645"/>
      <c r="H2" s="649"/>
      <c r="I2" s="649"/>
      <c r="J2" s="649"/>
      <c r="K2" s="649"/>
      <c r="L2" s="649"/>
      <c r="M2" s="649"/>
    </row>
    <row r="3" spans="1:13" ht="14.4" thickBot="1">
      <c r="A3" s="646" t="s">
        <v>845</v>
      </c>
      <c r="B3" s="647"/>
      <c r="C3" s="647"/>
      <c r="D3" s="647"/>
      <c r="E3" s="647"/>
      <c r="F3" s="647"/>
      <c r="G3" s="648"/>
      <c r="H3" s="651"/>
      <c r="I3" s="651"/>
      <c r="J3" s="651"/>
      <c r="K3" s="651"/>
      <c r="L3" s="651"/>
      <c r="M3" s="651"/>
    </row>
    <row r="4" spans="1:13">
      <c r="A4" s="652"/>
      <c r="B4" s="653"/>
      <c r="C4" s="653"/>
      <c r="D4" s="653"/>
      <c r="E4" s="653"/>
      <c r="F4" s="654"/>
      <c r="G4" s="655"/>
    </row>
    <row r="5" spans="1:13" ht="14.4">
      <c r="A5" s="233" t="s">
        <v>1159</v>
      </c>
      <c r="B5" s="111"/>
      <c r="C5" s="111"/>
      <c r="D5" s="111"/>
      <c r="E5" s="111"/>
      <c r="G5" s="319"/>
    </row>
    <row r="6" spans="1:13" ht="14.4">
      <c r="A6" s="130" t="s">
        <v>853</v>
      </c>
      <c r="B6" s="111"/>
      <c r="C6" s="111"/>
      <c r="D6" s="111"/>
      <c r="E6" s="111"/>
      <c r="G6" s="319"/>
    </row>
    <row r="7" spans="1:13" ht="14.4" thickBot="1">
      <c r="A7" s="659"/>
      <c r="B7" s="660"/>
      <c r="C7" s="660"/>
      <c r="D7" s="660"/>
      <c r="E7" s="660"/>
      <c r="F7" s="660"/>
      <c r="G7" s="88" t="str">
        <f>+"(Unless otherwise specified, all amounts are "&amp;IF('Master data'!A2="Ones","Indian Rupees","in "&amp;'Master data'!A2&amp;" of INR)")</f>
        <v>(Unless otherwise specified, all amounts are in Lakhs of INR)</v>
      </c>
    </row>
    <row r="8" spans="1:13" ht="15.6">
      <c r="A8" s="766" t="s">
        <v>44</v>
      </c>
      <c r="B8" s="769" t="s">
        <v>854</v>
      </c>
      <c r="C8" s="769"/>
      <c r="D8" s="769"/>
      <c r="E8" s="769"/>
      <c r="F8" s="769"/>
      <c r="G8" s="770"/>
    </row>
    <row r="9" spans="1:13" ht="14.4">
      <c r="A9" s="767"/>
      <c r="B9" s="771" t="s">
        <v>856</v>
      </c>
      <c r="C9" s="771"/>
      <c r="D9" s="771"/>
      <c r="E9" s="771"/>
      <c r="F9" s="771"/>
      <c r="G9" s="772"/>
    </row>
    <row r="10" spans="1:13" ht="28.8">
      <c r="A10" s="768"/>
      <c r="B10" s="363" t="s">
        <v>857</v>
      </c>
      <c r="C10" s="363" t="s">
        <v>858</v>
      </c>
      <c r="D10" s="363" t="s">
        <v>859</v>
      </c>
      <c r="E10" s="363" t="s">
        <v>860</v>
      </c>
      <c r="F10" s="363" t="s">
        <v>861</v>
      </c>
      <c r="G10" s="364" t="s">
        <v>80</v>
      </c>
    </row>
    <row r="11" spans="1:13" ht="14.4">
      <c r="A11" s="362"/>
      <c r="B11" s="365"/>
      <c r="C11" s="365"/>
      <c r="D11" s="365"/>
      <c r="E11" s="365"/>
      <c r="F11" s="365"/>
      <c r="G11" s="366"/>
    </row>
    <row r="12" spans="1:13" ht="14.4">
      <c r="A12" s="585" t="s">
        <v>862</v>
      </c>
      <c r="B12" s="367">
        <f t="shared" ref="B12:F15" si="0">0/(+Deno)</f>
        <v>0</v>
      </c>
      <c r="C12" s="367">
        <f t="shared" si="0"/>
        <v>0</v>
      </c>
      <c r="D12" s="367">
        <f t="shared" si="0"/>
        <v>0</v>
      </c>
      <c r="E12" s="367">
        <f t="shared" si="0"/>
        <v>0</v>
      </c>
      <c r="F12" s="367">
        <f t="shared" si="0"/>
        <v>0</v>
      </c>
      <c r="G12" s="656">
        <v>0</v>
      </c>
    </row>
    <row r="13" spans="1:13" ht="14.4">
      <c r="A13" s="585" t="s">
        <v>863</v>
      </c>
      <c r="B13" s="367">
        <f t="shared" si="0"/>
        <v>0</v>
      </c>
      <c r="C13" s="367">
        <f>87765031.46/Deno</f>
        <v>877.65031459999989</v>
      </c>
      <c r="D13" s="367">
        <f>1246926.2/(+Deno)</f>
        <v>12.469261999999999</v>
      </c>
      <c r="E13" s="367">
        <f>431714.91/(+Deno)</f>
        <v>4.3171491</v>
      </c>
      <c r="F13" s="367">
        <f>984680.99/(+Deno)</f>
        <v>9.8468099000000002</v>
      </c>
      <c r="G13" s="656">
        <f>+SUM(B13:F13)</f>
        <v>904.28353559999994</v>
      </c>
    </row>
    <row r="14" spans="1:13" ht="14.4">
      <c r="A14" s="585" t="s">
        <v>864</v>
      </c>
      <c r="B14" s="367">
        <f t="shared" si="0"/>
        <v>0</v>
      </c>
      <c r="C14" s="367">
        <f t="shared" si="0"/>
        <v>0</v>
      </c>
      <c r="D14" s="367">
        <f t="shared" si="0"/>
        <v>0</v>
      </c>
      <c r="E14" s="367">
        <f t="shared" si="0"/>
        <v>0</v>
      </c>
      <c r="F14" s="367">
        <f t="shared" si="0"/>
        <v>0</v>
      </c>
      <c r="G14" s="656">
        <v>0</v>
      </c>
    </row>
    <row r="15" spans="1:13" ht="14.4">
      <c r="A15" s="585" t="s">
        <v>865</v>
      </c>
      <c r="B15" s="367">
        <f t="shared" si="0"/>
        <v>0</v>
      </c>
      <c r="C15" s="367">
        <f t="shared" si="0"/>
        <v>0</v>
      </c>
      <c r="D15" s="367">
        <f t="shared" si="0"/>
        <v>0</v>
      </c>
      <c r="E15" s="367">
        <f t="shared" si="0"/>
        <v>0</v>
      </c>
      <c r="F15" s="367">
        <f t="shared" si="0"/>
        <v>0</v>
      </c>
      <c r="G15" s="656">
        <v>0</v>
      </c>
    </row>
    <row r="16" spans="1:13" ht="14.4">
      <c r="A16" s="585"/>
      <c r="B16" s="586"/>
      <c r="C16" s="586"/>
      <c r="D16" s="586"/>
      <c r="E16" s="586"/>
      <c r="F16" s="586"/>
      <c r="G16" s="587"/>
    </row>
    <row r="17" spans="1:13" ht="15" thickBot="1">
      <c r="A17" s="368" t="s">
        <v>80</v>
      </c>
      <c r="B17" s="369">
        <f t="shared" ref="B17:G17" si="1">SUM(B12:B16)</f>
        <v>0</v>
      </c>
      <c r="C17" s="369">
        <f t="shared" si="1"/>
        <v>877.65031459999989</v>
      </c>
      <c r="D17" s="369">
        <f t="shared" si="1"/>
        <v>12.469261999999999</v>
      </c>
      <c r="E17" s="369">
        <f t="shared" si="1"/>
        <v>4.3171491</v>
      </c>
      <c r="F17" s="369">
        <f t="shared" si="1"/>
        <v>9.8468099000000002</v>
      </c>
      <c r="G17" s="370">
        <f t="shared" si="1"/>
        <v>904.28353559999994</v>
      </c>
      <c r="H17" s="63">
        <f>+C17*100000</f>
        <v>87765031.459999993</v>
      </c>
      <c r="I17" s="63">
        <f t="shared" ref="I17:L17" si="2">+D17*100000</f>
        <v>1246926.2</v>
      </c>
      <c r="J17" s="63">
        <f t="shared" si="2"/>
        <v>431714.91</v>
      </c>
      <c r="K17" s="63">
        <f t="shared" si="2"/>
        <v>984680.99</v>
      </c>
      <c r="L17" s="63">
        <f t="shared" si="2"/>
        <v>90428353.559999987</v>
      </c>
    </row>
    <row r="18" spans="1:13" ht="15.6" thickTop="1" thickBot="1">
      <c r="A18" s="371"/>
      <c r="B18" s="372"/>
      <c r="C18" s="372"/>
      <c r="D18" s="372"/>
      <c r="E18" s="372"/>
      <c r="F18" s="372"/>
      <c r="G18" s="373"/>
    </row>
    <row r="19" spans="1:13" ht="15" thickBot="1">
      <c r="A19" s="657"/>
      <c r="B19" s="640"/>
      <c r="C19" s="640"/>
      <c r="D19" s="640"/>
      <c r="E19" s="640"/>
      <c r="F19" s="640"/>
      <c r="G19" s="658"/>
      <c r="H19" s="640"/>
      <c r="I19" s="640"/>
      <c r="J19" s="640"/>
      <c r="K19" s="640"/>
      <c r="L19" s="640"/>
      <c r="M19" s="640"/>
    </row>
    <row r="20" spans="1:13" ht="15.6">
      <c r="A20" s="766" t="s">
        <v>44</v>
      </c>
      <c r="B20" s="769" t="s">
        <v>855</v>
      </c>
      <c r="C20" s="769"/>
      <c r="D20" s="769"/>
      <c r="E20" s="769"/>
      <c r="F20" s="769"/>
      <c r="G20" s="770"/>
      <c r="H20" s="640"/>
      <c r="I20" s="640"/>
      <c r="J20" s="640"/>
      <c r="K20" s="640"/>
      <c r="L20" s="640"/>
      <c r="M20" s="640"/>
    </row>
    <row r="21" spans="1:13" ht="14.4">
      <c r="A21" s="767"/>
      <c r="B21" s="771" t="s">
        <v>856</v>
      </c>
      <c r="C21" s="771"/>
      <c r="D21" s="771"/>
      <c r="E21" s="771"/>
      <c r="F21" s="771"/>
      <c r="G21" s="772"/>
      <c r="H21" s="640"/>
      <c r="I21" s="640"/>
      <c r="J21" s="640"/>
      <c r="K21" s="640"/>
      <c r="L21" s="640"/>
      <c r="M21" s="640"/>
    </row>
    <row r="22" spans="1:13" ht="28.8">
      <c r="A22" s="768"/>
      <c r="B22" s="363" t="s">
        <v>857</v>
      </c>
      <c r="C22" s="363" t="s">
        <v>858</v>
      </c>
      <c r="D22" s="363" t="s">
        <v>859</v>
      </c>
      <c r="E22" s="363" t="s">
        <v>860</v>
      </c>
      <c r="F22" s="363" t="s">
        <v>861</v>
      </c>
      <c r="G22" s="364" t="s">
        <v>80</v>
      </c>
      <c r="H22" s="640"/>
      <c r="I22" s="640"/>
      <c r="J22" s="640"/>
      <c r="K22" s="640"/>
      <c r="L22" s="640"/>
      <c r="M22" s="640"/>
    </row>
    <row r="23" spans="1:13" ht="14.4">
      <c r="A23" s="362"/>
      <c r="B23" s="365"/>
      <c r="C23" s="365"/>
      <c r="D23" s="365"/>
      <c r="E23" s="365"/>
      <c r="F23" s="365"/>
      <c r="G23" s="366"/>
      <c r="H23" s="640"/>
      <c r="I23" s="640"/>
      <c r="J23" s="640"/>
      <c r="K23" s="640"/>
      <c r="L23" s="640"/>
      <c r="M23" s="640"/>
    </row>
    <row r="24" spans="1:13" ht="14.4">
      <c r="A24" s="585" t="s">
        <v>862</v>
      </c>
      <c r="B24" s="367">
        <f>0/(+Deno)</f>
        <v>0</v>
      </c>
      <c r="C24" s="367">
        <f>0/(+Deno)</f>
        <v>0</v>
      </c>
      <c r="D24" s="367">
        <f>0/(+Deno)</f>
        <v>0</v>
      </c>
      <c r="E24" s="367">
        <f>0/(+Deno)</f>
        <v>0</v>
      </c>
      <c r="F24" s="367">
        <f>0/(+Deno)</f>
        <v>0</v>
      </c>
      <c r="G24" s="656">
        <f>+SUM(B24:F24)</f>
        <v>0</v>
      </c>
      <c r="H24" s="640"/>
      <c r="I24" s="640"/>
      <c r="J24" s="640"/>
      <c r="K24" s="640"/>
      <c r="L24" s="640"/>
      <c r="M24" s="640"/>
    </row>
    <row r="25" spans="1:13" ht="14.4">
      <c r="A25" s="585" t="s">
        <v>863</v>
      </c>
      <c r="B25" s="367">
        <v>0</v>
      </c>
      <c r="C25" s="367">
        <f>26149952.35/Deno</f>
        <v>261.49952350000001</v>
      </c>
      <c r="D25" s="367">
        <f>5125281.95/Deno</f>
        <v>51.252819500000001</v>
      </c>
      <c r="E25" s="367">
        <f>5986824.57/Deno</f>
        <v>59.868245700000003</v>
      </c>
      <c r="F25" s="367">
        <f>9195356.38/Deno</f>
        <v>91.953563800000012</v>
      </c>
      <c r="G25" s="656">
        <f>+SUM(B25:F25)</f>
        <v>464.57415249999997</v>
      </c>
      <c r="H25" s="640"/>
      <c r="I25" s="640"/>
      <c r="J25" s="640"/>
      <c r="K25" s="640"/>
      <c r="L25" s="640"/>
      <c r="M25" s="640"/>
    </row>
    <row r="26" spans="1:13" ht="14.4">
      <c r="A26" s="585" t="s">
        <v>864</v>
      </c>
      <c r="B26" s="367">
        <f t="shared" ref="B26:F27" si="3">0/(+Deno)</f>
        <v>0</v>
      </c>
      <c r="C26" s="367">
        <f t="shared" si="3"/>
        <v>0</v>
      </c>
      <c r="D26" s="367">
        <f t="shared" si="3"/>
        <v>0</v>
      </c>
      <c r="E26" s="367">
        <f t="shared" si="3"/>
        <v>0</v>
      </c>
      <c r="F26" s="367">
        <f t="shared" si="3"/>
        <v>0</v>
      </c>
      <c r="G26" s="656">
        <f>+SUM(B26:F26)</f>
        <v>0</v>
      </c>
      <c r="H26" s="640"/>
      <c r="I26" s="640"/>
      <c r="J26" s="640"/>
      <c r="K26" s="640"/>
      <c r="L26" s="640"/>
      <c r="M26" s="640"/>
    </row>
    <row r="27" spans="1:13" ht="14.4">
      <c r="A27" s="585" t="s">
        <v>865</v>
      </c>
      <c r="B27" s="367">
        <f t="shared" si="3"/>
        <v>0</v>
      </c>
      <c r="C27" s="367">
        <f t="shared" si="3"/>
        <v>0</v>
      </c>
      <c r="D27" s="367">
        <f t="shared" si="3"/>
        <v>0</v>
      </c>
      <c r="E27" s="367">
        <f t="shared" si="3"/>
        <v>0</v>
      </c>
      <c r="F27" s="367">
        <f t="shared" si="3"/>
        <v>0</v>
      </c>
      <c r="G27" s="656">
        <f>+SUM(B27:F27)</f>
        <v>0</v>
      </c>
      <c r="H27" s="640"/>
      <c r="I27" s="640"/>
      <c r="J27" s="640"/>
      <c r="K27" s="640"/>
      <c r="L27" s="640"/>
      <c r="M27" s="640"/>
    </row>
    <row r="28" spans="1:13" ht="14.4">
      <c r="A28" s="585"/>
      <c r="B28" s="586"/>
      <c r="C28" s="586"/>
      <c r="D28" s="586"/>
      <c r="E28" s="586"/>
      <c r="F28" s="586"/>
      <c r="G28" s="587"/>
      <c r="H28" s="640"/>
      <c r="I28" s="640"/>
      <c r="J28" s="640"/>
      <c r="K28" s="640"/>
      <c r="L28" s="640"/>
      <c r="M28" s="640"/>
    </row>
    <row r="29" spans="1:13" ht="15" thickBot="1">
      <c r="A29" s="368" t="s">
        <v>80</v>
      </c>
      <c r="B29" s="369">
        <f t="shared" ref="B29:G29" si="4">SUM(B24:B28)</f>
        <v>0</v>
      </c>
      <c r="C29" s="369">
        <f t="shared" si="4"/>
        <v>261.49952350000001</v>
      </c>
      <c r="D29" s="369">
        <f t="shared" si="4"/>
        <v>51.252819500000001</v>
      </c>
      <c r="E29" s="369">
        <f t="shared" si="4"/>
        <v>59.868245700000003</v>
      </c>
      <c r="F29" s="369">
        <f t="shared" si="4"/>
        <v>91.953563800000012</v>
      </c>
      <c r="G29" s="370">
        <f t="shared" si="4"/>
        <v>464.57415249999997</v>
      </c>
      <c r="H29" s="63">
        <f>+C29*100000</f>
        <v>26149952.350000001</v>
      </c>
      <c r="I29" s="63">
        <f t="shared" ref="I29" si="5">+D29*100000</f>
        <v>5125281.95</v>
      </c>
      <c r="J29" s="63">
        <f t="shared" ref="J29" si="6">+E29*100000</f>
        <v>5986824.5700000003</v>
      </c>
      <c r="K29" s="63">
        <f t="shared" ref="K29" si="7">+F29*100000</f>
        <v>9195356.3800000008</v>
      </c>
      <c r="L29" s="63">
        <f t="shared" ref="L29" si="8">+G29*100000</f>
        <v>46457415.25</v>
      </c>
      <c r="M29" s="640"/>
    </row>
    <row r="30" spans="1:13" ht="15.6" thickTop="1" thickBot="1">
      <c r="A30" s="371"/>
      <c r="B30" s="372"/>
      <c r="C30" s="372"/>
      <c r="D30" s="372"/>
      <c r="E30" s="372"/>
      <c r="F30" s="372"/>
      <c r="G30" s="373"/>
      <c r="H30" s="640"/>
      <c r="I30" s="640"/>
      <c r="J30" s="640"/>
      <c r="K30" s="640"/>
      <c r="L30" s="640"/>
      <c r="M30" s="640"/>
    </row>
    <row r="31" spans="1:13" ht="14.4">
      <c r="A31" s="640"/>
      <c r="B31" s="640"/>
      <c r="C31" s="640"/>
      <c r="D31" s="640"/>
      <c r="E31" s="640"/>
      <c r="F31" s="640"/>
      <c r="G31" s="640"/>
      <c r="H31" s="640"/>
      <c r="I31" s="640"/>
      <c r="J31" s="640"/>
      <c r="K31" s="640"/>
      <c r="L31" s="640"/>
      <c r="M31" s="640"/>
    </row>
    <row r="33" spans="2:3">
      <c r="B33" s="633" t="s">
        <v>1107</v>
      </c>
    </row>
    <row r="35" spans="2:3">
      <c r="C35" s="63">
        <f>+Deno</f>
        <v>100000</v>
      </c>
    </row>
  </sheetData>
  <mergeCells count="6">
    <mergeCell ref="A8:A10"/>
    <mergeCell ref="B8:G8"/>
    <mergeCell ref="B20:G20"/>
    <mergeCell ref="B9:G9"/>
    <mergeCell ref="B21:G21"/>
    <mergeCell ref="A20:A22"/>
  </mergeCells>
  <pageMargins left="0.70866141732283472" right="0.70866141732283472" top="0.74803149606299213" bottom="0.74803149606299213" header="0.31496062992125984" footer="0.31496062992125984"/>
  <pageSetup scale="7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Q28"/>
  <sheetViews>
    <sheetView showGridLines="0" view="pageBreakPreview" topLeftCell="A13" zoomScale="111" zoomScaleNormal="93" zoomScaleSheetLayoutView="85" workbookViewId="0">
      <selection activeCell="B26" sqref="B26:K26"/>
    </sheetView>
  </sheetViews>
  <sheetFormatPr defaultColWidth="9.109375" defaultRowHeight="14.4"/>
  <cols>
    <col min="1" max="1" width="25.6640625" style="332" customWidth="1"/>
    <col min="2" max="11" width="13.6640625" style="332" customWidth="1"/>
    <col min="12" max="12" width="12.44140625" style="332" bestFit="1" customWidth="1"/>
    <col min="13" max="15" width="10" style="330" customWidth="1"/>
    <col min="16" max="16" width="10" style="330" bestFit="1" customWidth="1"/>
    <col min="17" max="17" width="9.88671875" style="330" bestFit="1" customWidth="1"/>
    <col min="18" max="18" width="13.33203125" style="330" bestFit="1" customWidth="1"/>
    <col min="19" max="19" width="7" style="330" customWidth="1"/>
    <col min="20" max="20" width="10.33203125" style="330" bestFit="1" customWidth="1"/>
    <col min="21" max="21" width="10.109375" style="330" bestFit="1" customWidth="1"/>
    <col min="22" max="16384" width="9.109375" style="330"/>
  </cols>
  <sheetData>
    <row r="1" spans="1:16" ht="18">
      <c r="A1" s="699" t="s">
        <v>58</v>
      </c>
      <c r="B1" s="700"/>
      <c r="C1" s="700"/>
      <c r="D1" s="700"/>
      <c r="E1" s="700"/>
      <c r="F1" s="700"/>
      <c r="G1" s="700"/>
      <c r="H1" s="700"/>
      <c r="I1" s="700"/>
      <c r="J1" s="700"/>
      <c r="K1" s="701"/>
      <c r="L1" s="328"/>
      <c r="M1" s="329"/>
      <c r="N1" s="329"/>
      <c r="O1" s="329"/>
    </row>
    <row r="2" spans="1:16">
      <c r="A2" s="780" t="str">
        <f>+'NOTE 4-8'!A2:C2</f>
        <v>NOTES TO THE FINANCIAL STATEMENTS FOR THE YEAR ENDED 31st MARCH, 2025</v>
      </c>
      <c r="B2" s="781"/>
      <c r="C2" s="781"/>
      <c r="D2" s="781"/>
      <c r="E2" s="781"/>
      <c r="F2" s="781"/>
      <c r="G2" s="781"/>
      <c r="H2" s="781"/>
      <c r="I2" s="781"/>
      <c r="J2" s="781"/>
      <c r="K2" s="782"/>
      <c r="L2" s="328"/>
      <c r="M2" s="329"/>
      <c r="N2" s="329"/>
      <c r="O2" s="329"/>
    </row>
    <row r="3" spans="1:16">
      <c r="A3" s="783" t="str">
        <f>+'NOTE 4-8'!A3:C3</f>
        <v>CAPITAL TOWERS, NO.G-3/1, G-3/2 &amp; G-2 ,DOOR NO.180 KODAMBAKKAM HIGH ROAD, NUNGAMBAKKAM, CHENNAI - 600034</v>
      </c>
      <c r="B3" s="784"/>
      <c r="C3" s="784"/>
      <c r="D3" s="784"/>
      <c r="E3" s="784"/>
      <c r="F3" s="784"/>
      <c r="G3" s="784"/>
      <c r="H3" s="784"/>
      <c r="I3" s="784"/>
      <c r="J3" s="784"/>
      <c r="K3" s="785"/>
      <c r="L3" s="328"/>
      <c r="M3" s="329"/>
      <c r="N3" s="329"/>
      <c r="O3" s="329"/>
    </row>
    <row r="4" spans="1:16" ht="6.75" customHeight="1">
      <c r="A4" s="331"/>
      <c r="B4" s="560"/>
      <c r="C4" s="328"/>
      <c r="D4" s="328"/>
      <c r="E4" s="328"/>
      <c r="F4" s="328"/>
      <c r="G4" s="328"/>
      <c r="H4" s="328"/>
      <c r="I4" s="328"/>
      <c r="K4" s="333"/>
      <c r="L4" s="328"/>
      <c r="M4" s="329"/>
      <c r="N4" s="329"/>
      <c r="O4" s="329"/>
    </row>
    <row r="5" spans="1:16">
      <c r="A5" s="334" t="s">
        <v>1160</v>
      </c>
      <c r="B5" s="561"/>
      <c r="C5" s="335"/>
      <c r="D5" s="335"/>
      <c r="E5" s="335"/>
      <c r="F5" s="335"/>
      <c r="G5" s="335"/>
      <c r="H5" s="335"/>
      <c r="I5" s="335"/>
      <c r="K5" s="336"/>
      <c r="L5" s="335"/>
      <c r="M5" s="337"/>
      <c r="N5" s="337"/>
      <c r="O5" s="337"/>
    </row>
    <row r="6" spans="1:16" ht="15" thickBot="1">
      <c r="A6" s="338"/>
      <c r="B6" s="339"/>
      <c r="C6" s="339"/>
      <c r="D6" s="339"/>
      <c r="E6" s="339"/>
      <c r="F6" s="339"/>
      <c r="G6" s="339"/>
      <c r="H6" s="339"/>
      <c r="I6" s="339"/>
      <c r="J6" s="339"/>
      <c r="K6" s="88" t="str">
        <f>+"(Unless otherwise specified, all amounts are "&amp;IF('Master data'!A2="Ones","Indian Rupees","in "&amp;'Master data'!A2&amp;" of INR)")</f>
        <v>(Unless otherwise specified, all amounts are in Lakhs of INR)</v>
      </c>
      <c r="L6" s="340"/>
      <c r="M6" s="341"/>
      <c r="N6" s="341"/>
      <c r="O6" s="341"/>
      <c r="P6" s="341"/>
    </row>
    <row r="7" spans="1:16">
      <c r="A7" s="786" t="s">
        <v>874</v>
      </c>
      <c r="B7" s="789" t="s">
        <v>875</v>
      </c>
      <c r="C7" s="790"/>
      <c r="D7" s="790"/>
      <c r="E7" s="791"/>
      <c r="F7" s="789" t="s">
        <v>560</v>
      </c>
      <c r="G7" s="790"/>
      <c r="H7" s="790"/>
      <c r="I7" s="791"/>
      <c r="J7" s="789" t="s">
        <v>876</v>
      </c>
      <c r="K7" s="792"/>
      <c r="L7" s="340"/>
      <c r="M7" s="341"/>
      <c r="N7" s="341"/>
      <c r="O7" s="341"/>
      <c r="P7" s="341"/>
    </row>
    <row r="8" spans="1:16">
      <c r="A8" s="787"/>
      <c r="B8" s="773" t="s">
        <v>877</v>
      </c>
      <c r="C8" s="775" t="s">
        <v>878</v>
      </c>
      <c r="D8" s="775" t="s">
        <v>879</v>
      </c>
      <c r="E8" s="776" t="s">
        <v>880</v>
      </c>
      <c r="F8" s="773" t="str">
        <f>+B8</f>
        <v>As on 
01.04.2024</v>
      </c>
      <c r="G8" s="773" t="s">
        <v>881</v>
      </c>
      <c r="H8" s="775" t="s">
        <v>879</v>
      </c>
      <c r="I8" s="773" t="str">
        <f>+E8</f>
        <v>As on 
31.03.2025</v>
      </c>
      <c r="J8" s="776" t="str">
        <f>+I8</f>
        <v>As on 
31.03.2025</v>
      </c>
      <c r="K8" s="778" t="str">
        <f>+B8</f>
        <v>As on 
01.04.2024</v>
      </c>
      <c r="L8" s="340"/>
      <c r="M8" s="341"/>
      <c r="N8" s="341"/>
      <c r="O8" s="341"/>
      <c r="P8" s="341"/>
    </row>
    <row r="9" spans="1:16" ht="15" thickBot="1">
      <c r="A9" s="788"/>
      <c r="B9" s="793"/>
      <c r="C9" s="774"/>
      <c r="D9" s="774"/>
      <c r="E9" s="777"/>
      <c r="F9" s="793"/>
      <c r="G9" s="774"/>
      <c r="H9" s="774"/>
      <c r="I9" s="774"/>
      <c r="J9" s="777"/>
      <c r="K9" s="779"/>
      <c r="L9" s="340"/>
      <c r="M9" s="341"/>
      <c r="N9" s="341"/>
      <c r="O9" s="341"/>
      <c r="P9" s="341"/>
    </row>
    <row r="10" spans="1:16">
      <c r="A10" s="342"/>
      <c r="B10" s="343"/>
      <c r="C10" s="343"/>
      <c r="D10" s="343"/>
      <c r="E10" s="344"/>
      <c r="F10" s="343"/>
      <c r="G10" s="343"/>
      <c r="H10" s="343"/>
      <c r="I10" s="343"/>
      <c r="J10" s="344"/>
      <c r="K10" s="345"/>
      <c r="L10" s="340"/>
      <c r="M10" s="341"/>
      <c r="N10" s="341"/>
      <c r="O10" s="341"/>
      <c r="P10" s="341"/>
    </row>
    <row r="11" spans="1:16">
      <c r="A11" s="346" t="s">
        <v>882</v>
      </c>
      <c r="B11" s="347"/>
      <c r="C11" s="347"/>
      <c r="D11" s="347"/>
      <c r="E11" s="348"/>
      <c r="F11" s="347"/>
      <c r="G11" s="347"/>
      <c r="H11" s="347"/>
      <c r="I11" s="347"/>
      <c r="J11" s="348"/>
      <c r="K11" s="349"/>
      <c r="L11" s="340"/>
      <c r="N11" s="341"/>
      <c r="O11" s="341"/>
      <c r="P11" s="341"/>
    </row>
    <row r="12" spans="1:16">
      <c r="A12" s="562" t="s">
        <v>883</v>
      </c>
      <c r="B12" s="347">
        <f>0/(Deno)</f>
        <v>0</v>
      </c>
      <c r="C12" s="347">
        <v>0</v>
      </c>
      <c r="D12" s="347">
        <f t="shared" ref="D12:D18" si="0">(0/(+Deno))/(Deno)</f>
        <v>0</v>
      </c>
      <c r="E12" s="350">
        <f t="shared" ref="E12:E18" si="1">B12+C12-D12</f>
        <v>0</v>
      </c>
      <c r="F12" s="347">
        <f>0/(Deno)</f>
        <v>0</v>
      </c>
      <c r="G12" s="347">
        <v>0</v>
      </c>
      <c r="H12" s="347">
        <f t="shared" ref="H12:H18" si="2">(0/(+Deno))/(Deno)</f>
        <v>0</v>
      </c>
      <c r="I12" s="350">
        <f t="shared" ref="I12:I18" si="3">F12+G12-H12</f>
        <v>0</v>
      </c>
      <c r="J12" s="350">
        <f t="shared" ref="J12:J18" si="4">+E12-I12</f>
        <v>0</v>
      </c>
      <c r="K12" s="563">
        <f t="shared" ref="K12:K18" si="5">+B12-F12</f>
        <v>0</v>
      </c>
      <c r="L12" s="340"/>
      <c r="N12" s="341"/>
      <c r="O12" s="341"/>
      <c r="P12" s="341"/>
    </row>
    <row r="13" spans="1:16">
      <c r="A13" s="564" t="s">
        <v>884</v>
      </c>
      <c r="B13" s="347">
        <f>4191829.7/(Deno)</f>
        <v>41.918297000000003</v>
      </c>
      <c r="C13" s="347">
        <v>0</v>
      </c>
      <c r="D13" s="347">
        <f t="shared" si="0"/>
        <v>0</v>
      </c>
      <c r="E13" s="350">
        <f t="shared" si="1"/>
        <v>41.918297000000003</v>
      </c>
      <c r="F13" s="347">
        <f>3674004.05087299/(Deno)</f>
        <v>36.740040508729898</v>
      </c>
      <c r="G13" s="347">
        <f>136364.39/Deno</f>
        <v>1.3636439000000002</v>
      </c>
      <c r="H13" s="347">
        <f t="shared" si="2"/>
        <v>0</v>
      </c>
      <c r="I13" s="350">
        <f t="shared" si="3"/>
        <v>38.103684408729897</v>
      </c>
      <c r="J13" s="350">
        <f t="shared" si="4"/>
        <v>3.8146125912701052</v>
      </c>
      <c r="K13" s="563">
        <f t="shared" si="5"/>
        <v>5.1782564912701048</v>
      </c>
      <c r="L13" s="340"/>
      <c r="N13" s="341"/>
      <c r="O13" s="341"/>
      <c r="P13" s="341"/>
    </row>
    <row r="14" spans="1:16">
      <c r="A14" s="562" t="s">
        <v>885</v>
      </c>
      <c r="B14" s="347">
        <f>1847560.05/(Deno)</f>
        <v>18.475600499999999</v>
      </c>
      <c r="C14" s="347">
        <f>32966.11/Deno</f>
        <v>0.32966109999999998</v>
      </c>
      <c r="D14" s="347">
        <f t="shared" si="0"/>
        <v>0</v>
      </c>
      <c r="E14" s="350">
        <f t="shared" si="1"/>
        <v>18.805261599999998</v>
      </c>
      <c r="F14" s="347">
        <f>1707661.14066679/(Deno)</f>
        <v>17.076611406667901</v>
      </c>
      <c r="G14" s="347">
        <f>49176.93/Deno</f>
        <v>0.49176930000000002</v>
      </c>
      <c r="H14" s="347">
        <f t="shared" si="2"/>
        <v>0</v>
      </c>
      <c r="I14" s="350">
        <f t="shared" si="3"/>
        <v>17.568380706667902</v>
      </c>
      <c r="J14" s="350">
        <f t="shared" si="4"/>
        <v>1.2368808933320956</v>
      </c>
      <c r="K14" s="563">
        <f t="shared" si="5"/>
        <v>1.3989890933320979</v>
      </c>
      <c r="L14" s="340"/>
      <c r="N14" s="341"/>
      <c r="O14" s="341"/>
      <c r="P14" s="341"/>
    </row>
    <row r="15" spans="1:16">
      <c r="A15" s="562" t="s">
        <v>886</v>
      </c>
      <c r="B15" s="347">
        <f>381194/(Deno)</f>
        <v>3.8119399999999999</v>
      </c>
      <c r="C15" s="347">
        <v>0</v>
      </c>
      <c r="D15" s="347">
        <f t="shared" si="0"/>
        <v>0</v>
      </c>
      <c r="E15" s="350">
        <f t="shared" si="1"/>
        <v>3.8119399999999999</v>
      </c>
      <c r="F15" s="347">
        <f>362133/(Deno)</f>
        <v>3.6213299999999999</v>
      </c>
      <c r="G15" s="347">
        <f>0/Deno</f>
        <v>0</v>
      </c>
      <c r="H15" s="347">
        <f t="shared" si="2"/>
        <v>0</v>
      </c>
      <c r="I15" s="350">
        <f t="shared" si="3"/>
        <v>3.6213299999999999</v>
      </c>
      <c r="J15" s="350">
        <f t="shared" si="4"/>
        <v>0.19060999999999995</v>
      </c>
      <c r="K15" s="563">
        <f t="shared" si="5"/>
        <v>0.19060999999999995</v>
      </c>
      <c r="L15" s="340"/>
      <c r="N15" s="341"/>
      <c r="O15" s="341"/>
      <c r="P15" s="341"/>
    </row>
    <row r="16" spans="1:16">
      <c r="A16" s="562" t="s">
        <v>887</v>
      </c>
      <c r="B16" s="347">
        <f>1288569.39/(Deno)</f>
        <v>12.8856939</v>
      </c>
      <c r="C16" s="347">
        <v>0</v>
      </c>
      <c r="D16" s="347">
        <f t="shared" si="0"/>
        <v>0</v>
      </c>
      <c r="E16" s="350">
        <f t="shared" si="1"/>
        <v>12.8856939</v>
      </c>
      <c r="F16" s="347">
        <f>1163486.96885793/(Deno)</f>
        <v>11.6348696885793</v>
      </c>
      <c r="G16" s="347">
        <f>31560.56/Deno</f>
        <v>0.31560559999999999</v>
      </c>
      <c r="H16" s="347">
        <f t="shared" si="2"/>
        <v>0</v>
      </c>
      <c r="I16" s="350">
        <f t="shared" si="3"/>
        <v>11.9504752885793</v>
      </c>
      <c r="J16" s="350">
        <f t="shared" si="4"/>
        <v>0.93521861142069973</v>
      </c>
      <c r="K16" s="563">
        <f t="shared" si="5"/>
        <v>1.2508242114206993</v>
      </c>
      <c r="L16" s="340"/>
      <c r="N16" s="341"/>
      <c r="O16" s="341"/>
      <c r="P16" s="341"/>
    </row>
    <row r="17" spans="1:17">
      <c r="A17" s="562" t="s">
        <v>888</v>
      </c>
      <c r="B17" s="347">
        <f>664330.5/(Deno)</f>
        <v>6.6433049999999998</v>
      </c>
      <c r="C17" s="347">
        <f>56000/Deno</f>
        <v>0.56000000000000005</v>
      </c>
      <c r="D17" s="347">
        <f t="shared" si="0"/>
        <v>0</v>
      </c>
      <c r="E17" s="350">
        <f t="shared" si="1"/>
        <v>7.2033050000000003</v>
      </c>
      <c r="F17" s="347">
        <f>627140.285150916/(Deno)</f>
        <v>6.2714028515091593</v>
      </c>
      <c r="G17" s="347">
        <f>22733.66/Deno</f>
        <v>0.2273366</v>
      </c>
      <c r="H17" s="347">
        <f t="shared" si="2"/>
        <v>0</v>
      </c>
      <c r="I17" s="350">
        <f t="shared" si="3"/>
        <v>6.4987394515091594</v>
      </c>
      <c r="J17" s="350">
        <f t="shared" si="4"/>
        <v>0.70456554849084085</v>
      </c>
      <c r="K17" s="563">
        <f t="shared" si="5"/>
        <v>0.37190214849084047</v>
      </c>
      <c r="L17" s="340"/>
      <c r="N17" s="341"/>
      <c r="O17" s="341"/>
      <c r="P17" s="341"/>
    </row>
    <row r="18" spans="1:17">
      <c r="A18" s="565" t="s">
        <v>889</v>
      </c>
      <c r="B18" s="583">
        <f>571389.5/(Deno)</f>
        <v>5.7138949999999999</v>
      </c>
      <c r="C18" s="347">
        <v>0</v>
      </c>
      <c r="D18" s="347">
        <f t="shared" si="0"/>
        <v>0</v>
      </c>
      <c r="E18" s="350">
        <f t="shared" si="1"/>
        <v>5.7138949999999999</v>
      </c>
      <c r="F18" s="347">
        <f>496305.623742537/(Deno)</f>
        <v>4.9630562374253699</v>
      </c>
      <c r="G18" s="347">
        <f>30063.39/Deno</f>
        <v>0.30063390000000001</v>
      </c>
      <c r="H18" s="347">
        <f t="shared" si="2"/>
        <v>0</v>
      </c>
      <c r="I18" s="350">
        <f t="shared" si="3"/>
        <v>5.2636901374253702</v>
      </c>
      <c r="J18" s="350">
        <f t="shared" si="4"/>
        <v>0.45020486257462977</v>
      </c>
      <c r="K18" s="563">
        <f t="shared" si="5"/>
        <v>0.75083876257463</v>
      </c>
      <c r="L18" s="340"/>
      <c r="N18" s="341"/>
      <c r="O18" s="341"/>
      <c r="P18" s="341"/>
    </row>
    <row r="19" spans="1:17">
      <c r="A19" s="565"/>
      <c r="B19" s="351"/>
      <c r="C19" s="350"/>
      <c r="D19" s="352"/>
      <c r="E19" s="350"/>
      <c r="F19" s="352"/>
      <c r="G19" s="350"/>
      <c r="H19" s="350"/>
      <c r="I19" s="352"/>
      <c r="J19" s="350"/>
      <c r="K19" s="566"/>
      <c r="L19" s="340"/>
      <c r="N19" s="341"/>
      <c r="O19" s="341"/>
      <c r="P19" s="341"/>
    </row>
    <row r="20" spans="1:17" ht="15" thickBot="1">
      <c r="A20" s="353" t="s">
        <v>86</v>
      </c>
      <c r="B20" s="354">
        <f t="shared" ref="B20:J20" si="6">SUM(B12:B18)</f>
        <v>89.4487314</v>
      </c>
      <c r="C20" s="354">
        <f t="shared" si="6"/>
        <v>0.88966110000000009</v>
      </c>
      <c r="D20" s="354">
        <f t="shared" si="6"/>
        <v>0</v>
      </c>
      <c r="E20" s="354">
        <f t="shared" si="6"/>
        <v>90.338392500000012</v>
      </c>
      <c r="F20" s="354">
        <f t="shared" si="6"/>
        <v>80.307310692911642</v>
      </c>
      <c r="G20" s="354">
        <f>SUM(G12:G18)</f>
        <v>2.6989893</v>
      </c>
      <c r="H20" s="354">
        <f t="shared" si="6"/>
        <v>0</v>
      </c>
      <c r="I20" s="354">
        <f t="shared" si="6"/>
        <v>83.006299992911622</v>
      </c>
      <c r="J20" s="354">
        <f t="shared" si="6"/>
        <v>7.3320925070883707</v>
      </c>
      <c r="K20" s="355">
        <f>SUM(K12:K18)</f>
        <v>9.141420707088372</v>
      </c>
      <c r="L20" s="340"/>
      <c r="N20" s="341"/>
      <c r="O20" s="341"/>
      <c r="P20" s="341"/>
    </row>
    <row r="21" spans="1:17" ht="15" thickTop="1">
      <c r="A21" s="356"/>
      <c r="B21" s="43"/>
      <c r="C21" s="43"/>
      <c r="D21" s="43"/>
      <c r="E21" s="43"/>
      <c r="F21" s="43"/>
      <c r="G21" s="43"/>
      <c r="H21" s="43"/>
      <c r="I21" s="43"/>
      <c r="J21" s="43"/>
      <c r="K21" s="44"/>
      <c r="L21" s="340"/>
      <c r="N21" s="341"/>
      <c r="O21" s="341"/>
      <c r="P21" s="341"/>
    </row>
    <row r="22" spans="1:17" ht="15" thickBot="1">
      <c r="A22" s="353" t="s">
        <v>890</v>
      </c>
      <c r="B22" s="354">
        <f>8888305.35/(Deno)</f>
        <v>88.883053500000003</v>
      </c>
      <c r="C22" s="354">
        <f>56567.79/(Deno)</f>
        <v>0.56567789999999996</v>
      </c>
      <c r="D22" s="354">
        <f>0/(Deno)</f>
        <v>0</v>
      </c>
      <c r="E22" s="354">
        <f>8944873.14/(Deno)</f>
        <v>89.4487314</v>
      </c>
      <c r="F22" s="354">
        <f>7695410.89794036/(Deno)</f>
        <v>76.9541089794036</v>
      </c>
      <c r="G22" s="354">
        <f>335320.171350791/(Deno)</f>
        <v>3.35320171350791</v>
      </c>
      <c r="H22" s="354">
        <f>0/(Deno)</f>
        <v>0</v>
      </c>
      <c r="I22" s="354">
        <f>8030731.06929115/(Deno)</f>
        <v>80.3073106929115</v>
      </c>
      <c r="J22" s="354">
        <f>914142.07070885/(Deno)</f>
        <v>9.1414207070884999</v>
      </c>
      <c r="K22" s="355">
        <f>1192894.45205964/(Deno)</f>
        <v>11.928944520596401</v>
      </c>
      <c r="L22" s="340"/>
      <c r="N22" s="341"/>
      <c r="O22" s="341"/>
      <c r="P22" s="341"/>
    </row>
    <row r="23" spans="1:17" ht="15.6" thickTop="1" thickBot="1">
      <c r="A23" s="357"/>
      <c r="B23" s="358"/>
      <c r="C23" s="358"/>
      <c r="D23" s="358" t="s">
        <v>130</v>
      </c>
      <c r="E23" s="358" t="s">
        <v>130</v>
      </c>
      <c r="F23" s="358"/>
      <c r="G23" s="358"/>
      <c r="H23" s="358"/>
      <c r="I23" s="358"/>
      <c r="J23" s="358"/>
      <c r="K23" s="359"/>
      <c r="L23" s="340"/>
      <c r="N23" s="341"/>
    </row>
    <row r="24" spans="1:17">
      <c r="A24" s="360"/>
      <c r="B24" s="332" t="s">
        <v>130</v>
      </c>
      <c r="D24" s="332" t="s">
        <v>130</v>
      </c>
      <c r="L24" s="340"/>
      <c r="N24" s="341"/>
    </row>
    <row r="25" spans="1:17">
      <c r="A25" s="360"/>
      <c r="B25" s="332" t="s">
        <v>130</v>
      </c>
      <c r="I25" s="332" t="s">
        <v>130</v>
      </c>
      <c r="L25" s="340"/>
      <c r="N25" s="341"/>
    </row>
    <row r="26" spans="1:17">
      <c r="B26" s="332">
        <f>+B20*100000</f>
        <v>8944873.1400000006</v>
      </c>
      <c r="C26" s="332">
        <f t="shared" ref="C26:K26" si="7">+C20*100000</f>
        <v>88966.110000000015</v>
      </c>
      <c r="D26" s="332">
        <f t="shared" si="7"/>
        <v>0</v>
      </c>
      <c r="E26" s="332">
        <f t="shared" si="7"/>
        <v>9033839.2500000019</v>
      </c>
      <c r="F26" s="332">
        <f t="shared" si="7"/>
        <v>8030731.0692911642</v>
      </c>
      <c r="G26" s="332">
        <f t="shared" si="7"/>
        <v>269898.93</v>
      </c>
      <c r="H26" s="332">
        <f t="shared" si="7"/>
        <v>0</v>
      </c>
      <c r="I26" s="332">
        <f t="shared" si="7"/>
        <v>8300629.999291162</v>
      </c>
      <c r="J26" s="332">
        <f t="shared" si="7"/>
        <v>733209.25070883706</v>
      </c>
      <c r="K26" s="332">
        <f t="shared" si="7"/>
        <v>914142.07070883724</v>
      </c>
      <c r="P26" s="330" t="s">
        <v>130</v>
      </c>
      <c r="Q26" s="361" t="s">
        <v>130</v>
      </c>
    </row>
    <row r="27" spans="1:17">
      <c r="B27" s="332" t="s">
        <v>130</v>
      </c>
      <c r="I27" s="332" t="s">
        <v>130</v>
      </c>
      <c r="P27" s="330" t="s">
        <v>130</v>
      </c>
    </row>
    <row r="28" spans="1:17">
      <c r="C28" s="332" t="s">
        <v>130</v>
      </c>
      <c r="E28" s="332" t="s">
        <v>130</v>
      </c>
    </row>
  </sheetData>
  <mergeCells count="17">
    <mergeCell ref="A1:K1"/>
    <mergeCell ref="A2:K2"/>
    <mergeCell ref="A3:K3"/>
    <mergeCell ref="A7:A9"/>
    <mergeCell ref="B7:E7"/>
    <mergeCell ref="F7:I7"/>
    <mergeCell ref="J7:K7"/>
    <mergeCell ref="B8:B9"/>
    <mergeCell ref="C8:C9"/>
    <mergeCell ref="D8:D9"/>
    <mergeCell ref="E8:E9"/>
    <mergeCell ref="F8:F9"/>
    <mergeCell ref="G8:G9"/>
    <mergeCell ref="H8:H9"/>
    <mergeCell ref="I8:I9"/>
    <mergeCell ref="J8:J9"/>
    <mergeCell ref="K8:K9"/>
  </mergeCells>
  <pageMargins left="0.70866141732283472" right="0.70866141732283472" top="0.74803149606299213" bottom="0.74803149606299213" header="0.31496062992125984" footer="0.31496062992125984"/>
  <pageSetup scale="76"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31"/>
  <sheetViews>
    <sheetView showGridLines="0" view="pageBreakPreview" topLeftCell="A7" zoomScale="76" zoomScaleNormal="100" zoomScaleSheetLayoutView="100" workbookViewId="0">
      <selection activeCell="H30" sqref="H30:L30"/>
    </sheetView>
  </sheetViews>
  <sheetFormatPr defaultColWidth="9.109375" defaultRowHeight="13.2"/>
  <cols>
    <col min="1" max="1" width="43.109375" style="63" bestFit="1" customWidth="1"/>
    <col min="2" max="13" width="16.88671875" style="63" customWidth="1"/>
    <col min="14" max="14" width="15.6640625" style="63" bestFit="1" customWidth="1"/>
    <col min="15" max="16384" width="9.109375" style="63"/>
  </cols>
  <sheetData>
    <row r="1" spans="1:13" ht="18">
      <c r="A1" s="641" t="str">
        <f>BS!A1</f>
        <v>CARGO INTERNATIONAL (INDIA) PRIVATE LIMITED</v>
      </c>
      <c r="B1" s="642"/>
      <c r="C1" s="642"/>
      <c r="D1" s="642"/>
      <c r="E1" s="642"/>
      <c r="F1" s="642"/>
      <c r="G1" s="643"/>
      <c r="H1" s="650"/>
      <c r="I1" s="650"/>
      <c r="J1" s="650"/>
      <c r="K1" s="650"/>
      <c r="L1" s="650"/>
      <c r="M1" s="650"/>
    </row>
    <row r="2" spans="1:13" ht="15.6">
      <c r="A2" s="644" t="s">
        <v>634</v>
      </c>
      <c r="B2" s="649"/>
      <c r="C2" s="649"/>
      <c r="D2" s="649"/>
      <c r="E2" s="649"/>
      <c r="F2" s="649"/>
      <c r="G2" s="645"/>
      <c r="H2" s="649"/>
      <c r="I2" s="649"/>
      <c r="J2" s="649"/>
      <c r="K2" s="649"/>
      <c r="L2" s="649"/>
      <c r="M2" s="649"/>
    </row>
    <row r="3" spans="1:13" ht="14.4" thickBot="1">
      <c r="A3" s="646" t="s">
        <v>845</v>
      </c>
      <c r="B3" s="647"/>
      <c r="C3" s="647"/>
      <c r="D3" s="647"/>
      <c r="E3" s="647"/>
      <c r="F3" s="647"/>
      <c r="G3" s="648"/>
      <c r="H3" s="651"/>
      <c r="I3" s="651"/>
      <c r="J3" s="651"/>
      <c r="K3" s="651"/>
      <c r="L3" s="651"/>
      <c r="M3" s="651"/>
    </row>
    <row r="4" spans="1:13" ht="9.75" customHeight="1">
      <c r="A4" s="318"/>
      <c r="G4" s="319"/>
      <c r="M4" s="319"/>
    </row>
    <row r="5" spans="1:13" ht="14.4">
      <c r="A5" s="233" t="s">
        <v>1161</v>
      </c>
      <c r="G5" s="319"/>
      <c r="M5" s="319"/>
    </row>
    <row r="6" spans="1:13" ht="14.4">
      <c r="A6" s="130" t="s">
        <v>891</v>
      </c>
      <c r="G6" s="319"/>
      <c r="M6" s="319"/>
    </row>
    <row r="7" spans="1:13" ht="9" customHeight="1">
      <c r="A7" s="320"/>
      <c r="G7" s="319"/>
      <c r="M7" s="319"/>
    </row>
    <row r="8" spans="1:13" ht="14.4" thickBot="1">
      <c r="A8" s="318"/>
      <c r="G8" s="88" t="str">
        <f>+"(Unless otherwise specified, all amounts are "&amp;IF('Master data'!A2="Ones","Indian Rupees","in "&amp;'Master data'!A2&amp;" of INR)")</f>
        <v>(Unless otherwise specified, all amounts are in Lakhs of INR)</v>
      </c>
    </row>
    <row r="9" spans="1:13" ht="16.2" thickBot="1">
      <c r="A9" s="794" t="s">
        <v>44</v>
      </c>
      <c r="B9" s="797" t="s">
        <v>854</v>
      </c>
      <c r="C9" s="798"/>
      <c r="D9" s="798"/>
      <c r="E9" s="798"/>
      <c r="F9" s="798"/>
      <c r="G9" s="799"/>
    </row>
    <row r="10" spans="1:13" ht="15" thickBot="1">
      <c r="A10" s="795"/>
      <c r="B10" s="800" t="s">
        <v>856</v>
      </c>
      <c r="C10" s="801"/>
      <c r="D10" s="801"/>
      <c r="E10" s="801"/>
      <c r="F10" s="801"/>
      <c r="G10" s="802"/>
    </row>
    <row r="11" spans="1:13" ht="33" customHeight="1" thickBot="1">
      <c r="A11" s="796"/>
      <c r="B11" s="322" t="s">
        <v>857</v>
      </c>
      <c r="C11" s="322" t="s">
        <v>858</v>
      </c>
      <c r="D11" s="322" t="s">
        <v>859</v>
      </c>
      <c r="E11" s="322" t="s">
        <v>860</v>
      </c>
      <c r="F11" s="322" t="s">
        <v>861</v>
      </c>
      <c r="G11" s="322" t="s">
        <v>80</v>
      </c>
    </row>
    <row r="12" spans="1:13" ht="14.4">
      <c r="A12" s="321"/>
      <c r="B12" s="323"/>
      <c r="C12" s="323"/>
      <c r="D12" s="323"/>
      <c r="E12" s="323"/>
      <c r="F12" s="323"/>
      <c r="G12" s="323"/>
    </row>
    <row r="13" spans="1:13" ht="20.399999999999999" customHeight="1">
      <c r="A13" s="588" t="s">
        <v>892</v>
      </c>
      <c r="B13" s="584">
        <v>0</v>
      </c>
      <c r="C13" s="584">
        <f>61414470.29/(+Deno)</f>
        <v>614.14470289999997</v>
      </c>
      <c r="D13" s="584">
        <f>149040.24/(+Deno)</f>
        <v>1.4904024</v>
      </c>
      <c r="E13" s="584">
        <f>19056.25/(+Deno)</f>
        <v>0.1905625</v>
      </c>
      <c r="F13" s="584">
        <f>28323028.71/Deno</f>
        <v>283.2302871</v>
      </c>
      <c r="G13" s="324">
        <f>SUM(B13:F13)</f>
        <v>899.05595489999996</v>
      </c>
    </row>
    <row r="14" spans="1:13" ht="20.399999999999999" customHeight="1">
      <c r="A14" s="588" t="s">
        <v>893</v>
      </c>
      <c r="B14" s="584">
        <v>0</v>
      </c>
      <c r="C14" s="584">
        <v>0</v>
      </c>
      <c r="D14" s="584">
        <v>0</v>
      </c>
      <c r="E14" s="584">
        <v>0</v>
      </c>
      <c r="F14" s="584">
        <v>0</v>
      </c>
      <c r="G14" s="324">
        <f t="shared" ref="G14:G16" si="0">SUM(B14:F14)</f>
        <v>0</v>
      </c>
    </row>
    <row r="15" spans="1:13" ht="20.399999999999999" customHeight="1">
      <c r="A15" s="588" t="s">
        <v>894</v>
      </c>
      <c r="B15" s="584">
        <v>0</v>
      </c>
      <c r="C15" s="584">
        <v>0</v>
      </c>
      <c r="D15" s="584">
        <v>0</v>
      </c>
      <c r="E15" s="584">
        <v>0</v>
      </c>
      <c r="F15" s="584">
        <v>0</v>
      </c>
      <c r="G15" s="324">
        <f t="shared" si="0"/>
        <v>0</v>
      </c>
    </row>
    <row r="16" spans="1:13" ht="20.399999999999999" customHeight="1">
      <c r="A16" s="588" t="s">
        <v>895</v>
      </c>
      <c r="B16" s="584">
        <v>0</v>
      </c>
      <c r="C16" s="584">
        <v>0</v>
      </c>
      <c r="D16" s="584">
        <v>0</v>
      </c>
      <c r="E16" s="584">
        <v>0</v>
      </c>
      <c r="F16" s="584">
        <v>0</v>
      </c>
      <c r="G16" s="324">
        <f t="shared" si="0"/>
        <v>0</v>
      </c>
    </row>
    <row r="17" spans="1:12" ht="20.399999999999999" customHeight="1">
      <c r="A17" s="589"/>
      <c r="B17" s="590"/>
      <c r="C17" s="590"/>
      <c r="D17" s="590"/>
      <c r="E17" s="590"/>
      <c r="F17" s="590"/>
      <c r="G17" s="590"/>
    </row>
    <row r="18" spans="1:12" ht="20.399999999999999" customHeight="1" thickBot="1">
      <c r="A18" s="325" t="s">
        <v>80</v>
      </c>
      <c r="B18" s="231">
        <f t="shared" ref="B18:G18" si="1">SUM(B13:B17)</f>
        <v>0</v>
      </c>
      <c r="C18" s="231">
        <f t="shared" si="1"/>
        <v>614.14470289999997</v>
      </c>
      <c r="D18" s="231">
        <f t="shared" si="1"/>
        <v>1.4904024</v>
      </c>
      <c r="E18" s="231">
        <f t="shared" si="1"/>
        <v>0.1905625</v>
      </c>
      <c r="F18" s="231">
        <f t="shared" si="1"/>
        <v>283.2302871</v>
      </c>
      <c r="G18" s="231">
        <f t="shared" si="1"/>
        <v>899.05595489999996</v>
      </c>
      <c r="H18" s="63">
        <f>+C18*100000</f>
        <v>61414470.289999999</v>
      </c>
      <c r="I18" s="63">
        <f t="shared" ref="I18:L18" si="2">+D18*100000</f>
        <v>149040.24</v>
      </c>
      <c r="J18" s="63">
        <f t="shared" si="2"/>
        <v>19056.25</v>
      </c>
      <c r="K18" s="63">
        <f t="shared" si="2"/>
        <v>28323028.710000001</v>
      </c>
      <c r="L18" s="63">
        <f t="shared" si="2"/>
        <v>89905595.489999995</v>
      </c>
    </row>
    <row r="19" spans="1:12" ht="20.399999999999999" customHeight="1" thickTop="1" thickBot="1">
      <c r="A19" s="326"/>
      <c r="B19" s="327"/>
      <c r="C19" s="327"/>
      <c r="D19" s="327"/>
      <c r="E19" s="327"/>
      <c r="F19" s="327"/>
      <c r="G19" s="327"/>
    </row>
    <row r="20" spans="1:12" ht="20.399999999999999" customHeight="1" thickBot="1">
      <c r="A20" s="318"/>
      <c r="G20" s="319"/>
    </row>
    <row r="21" spans="1:12" ht="20.399999999999999" customHeight="1" thickBot="1">
      <c r="A21" s="794" t="s">
        <v>44</v>
      </c>
      <c r="B21" s="797" t="s">
        <v>855</v>
      </c>
      <c r="C21" s="798"/>
      <c r="D21" s="798"/>
      <c r="E21" s="798"/>
      <c r="F21" s="798"/>
      <c r="G21" s="799"/>
    </row>
    <row r="22" spans="1:12" ht="20.399999999999999" customHeight="1" thickBot="1">
      <c r="A22" s="795"/>
      <c r="B22" s="800" t="s">
        <v>856</v>
      </c>
      <c r="C22" s="801"/>
      <c r="D22" s="801"/>
      <c r="E22" s="801"/>
      <c r="F22" s="801"/>
      <c r="G22" s="802"/>
    </row>
    <row r="23" spans="1:12" ht="20.399999999999999" customHeight="1" thickBot="1">
      <c r="A23" s="796"/>
      <c r="B23" s="322" t="s">
        <v>857</v>
      </c>
      <c r="C23" s="322" t="s">
        <v>858</v>
      </c>
      <c r="D23" s="322" t="s">
        <v>859</v>
      </c>
      <c r="E23" s="322" t="s">
        <v>860</v>
      </c>
      <c r="F23" s="322" t="s">
        <v>861</v>
      </c>
      <c r="G23" s="322" t="s">
        <v>80</v>
      </c>
    </row>
    <row r="24" spans="1:12" ht="20.399999999999999" customHeight="1">
      <c r="A24" s="321"/>
      <c r="B24" s="323"/>
      <c r="C24" s="323"/>
      <c r="D24" s="323"/>
      <c r="E24" s="323"/>
      <c r="F24" s="323"/>
      <c r="G24" s="323"/>
    </row>
    <row r="25" spans="1:12" ht="20.399999999999999" customHeight="1">
      <c r="A25" s="588" t="s">
        <v>892</v>
      </c>
      <c r="B25" s="324">
        <v>0</v>
      </c>
      <c r="C25" s="324">
        <f>26658528.09/Deno</f>
        <v>266.58528089999999</v>
      </c>
      <c r="D25" s="324">
        <f>729673.35/Deno</f>
        <v>7.2967335000000002</v>
      </c>
      <c r="E25" s="324">
        <f>92044.95/Deno</f>
        <v>0.92044949999999992</v>
      </c>
      <c r="F25" s="324">
        <f>25087064.29/Deno</f>
        <v>250.87064289999998</v>
      </c>
      <c r="G25" s="324">
        <f>SUM(B25:F25)</f>
        <v>525.67310680000003</v>
      </c>
    </row>
    <row r="26" spans="1:12" ht="20.399999999999999" customHeight="1">
      <c r="A26" s="588" t="s">
        <v>893</v>
      </c>
      <c r="B26" s="324">
        <f t="shared" ref="B26:F28" si="3">0/(+Deno)</f>
        <v>0</v>
      </c>
      <c r="C26" s="324">
        <f t="shared" si="3"/>
        <v>0</v>
      </c>
      <c r="D26" s="324">
        <f t="shared" si="3"/>
        <v>0</v>
      </c>
      <c r="E26" s="324">
        <f t="shared" si="3"/>
        <v>0</v>
      </c>
      <c r="F26" s="324">
        <f t="shared" si="3"/>
        <v>0</v>
      </c>
      <c r="G26" s="324">
        <f t="shared" ref="G26:G28" si="4">SUM(B26:F26)</f>
        <v>0</v>
      </c>
    </row>
    <row r="27" spans="1:12" ht="20.399999999999999" customHeight="1">
      <c r="A27" s="588" t="s">
        <v>894</v>
      </c>
      <c r="B27" s="324">
        <f t="shared" si="3"/>
        <v>0</v>
      </c>
      <c r="C27" s="324">
        <f t="shared" si="3"/>
        <v>0</v>
      </c>
      <c r="D27" s="324">
        <f t="shared" si="3"/>
        <v>0</v>
      </c>
      <c r="E27" s="324">
        <f>812293.32/Deno</f>
        <v>8.1229332000000003</v>
      </c>
      <c r="F27" s="324">
        <f t="shared" si="3"/>
        <v>0</v>
      </c>
      <c r="G27" s="324">
        <f t="shared" si="4"/>
        <v>8.1229332000000003</v>
      </c>
    </row>
    <row r="28" spans="1:12" ht="20.399999999999999" customHeight="1">
      <c r="A28" s="588" t="s">
        <v>895</v>
      </c>
      <c r="B28" s="324">
        <f t="shared" si="3"/>
        <v>0</v>
      </c>
      <c r="C28" s="324">
        <f t="shared" si="3"/>
        <v>0</v>
      </c>
      <c r="D28" s="324">
        <f t="shared" si="3"/>
        <v>0</v>
      </c>
      <c r="E28" s="324">
        <f t="shared" si="3"/>
        <v>0</v>
      </c>
      <c r="F28" s="324">
        <f t="shared" si="3"/>
        <v>0</v>
      </c>
      <c r="G28" s="324">
        <f t="shared" si="4"/>
        <v>0</v>
      </c>
    </row>
    <row r="29" spans="1:12" ht="20.399999999999999" customHeight="1">
      <c r="A29" s="589"/>
      <c r="B29" s="590"/>
      <c r="C29" s="590"/>
      <c r="D29" s="590"/>
      <c r="E29" s="590"/>
      <c r="F29" s="590"/>
      <c r="G29" s="590"/>
    </row>
    <row r="30" spans="1:12" ht="20.399999999999999" customHeight="1" thickBot="1">
      <c r="A30" s="325" t="s">
        <v>80</v>
      </c>
      <c r="B30" s="231">
        <f t="shared" ref="B30:G30" si="5">SUM(B25:B29)</f>
        <v>0</v>
      </c>
      <c r="C30" s="231">
        <f t="shared" si="5"/>
        <v>266.58528089999999</v>
      </c>
      <c r="D30" s="231">
        <f t="shared" si="5"/>
        <v>7.2967335000000002</v>
      </c>
      <c r="E30" s="231">
        <f t="shared" si="5"/>
        <v>9.0433827000000004</v>
      </c>
      <c r="F30" s="231">
        <f t="shared" si="5"/>
        <v>250.87064289999998</v>
      </c>
      <c r="G30" s="231">
        <f t="shared" si="5"/>
        <v>533.79604000000006</v>
      </c>
      <c r="H30" s="63">
        <f>+C30*100000</f>
        <v>26658528.09</v>
      </c>
      <c r="I30" s="63">
        <f t="shared" ref="I30" si="6">+D30*100000</f>
        <v>729673.35</v>
      </c>
      <c r="J30" s="63">
        <f t="shared" ref="J30" si="7">+E30*100000</f>
        <v>904338.27</v>
      </c>
      <c r="K30" s="63">
        <f t="shared" ref="K30" si="8">+F30*100000</f>
        <v>25087064.289999999</v>
      </c>
      <c r="L30" s="63">
        <f t="shared" ref="L30" si="9">+G30*100000</f>
        <v>53379604.000000007</v>
      </c>
    </row>
    <row r="31" spans="1:12" ht="20.399999999999999" customHeight="1" thickTop="1" thickBot="1">
      <c r="A31" s="326"/>
      <c r="B31" s="327"/>
      <c r="C31" s="327"/>
      <c r="D31" s="327"/>
      <c r="E31" s="327"/>
      <c r="F31" s="327"/>
      <c r="G31" s="327"/>
    </row>
  </sheetData>
  <mergeCells count="6">
    <mergeCell ref="A9:A11"/>
    <mergeCell ref="B9:G9"/>
    <mergeCell ref="B21:G21"/>
    <mergeCell ref="B10:G10"/>
    <mergeCell ref="B22:G22"/>
    <mergeCell ref="A21:A23"/>
  </mergeCells>
  <pageMargins left="0.70866141732283472" right="0.70866141732283472" top="0.74803149606299213" bottom="0.74803149606299213" header="0.31496062992125984" footer="0.31496062992125984"/>
  <pageSetup scale="63"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E62"/>
  <sheetViews>
    <sheetView showGridLines="0" view="pageBreakPreview" zoomScaleNormal="93" zoomScaleSheetLayoutView="100" workbookViewId="0">
      <selection activeCell="H28" sqref="H28"/>
    </sheetView>
  </sheetViews>
  <sheetFormatPr defaultColWidth="9.109375" defaultRowHeight="13.8"/>
  <cols>
    <col min="1" max="1" width="61.6640625" style="109" customWidth="1"/>
    <col min="2" max="3" width="20.6640625" style="109" customWidth="1"/>
    <col min="4" max="4" width="14" style="109" bestFit="1" customWidth="1"/>
    <col min="5" max="5" width="12.33203125" style="109" bestFit="1" customWidth="1"/>
    <col min="6" max="16384" width="9.109375" style="109"/>
  </cols>
  <sheetData>
    <row r="1" spans="1:5" ht="15" customHeight="1">
      <c r="A1" s="699" t="str">
        <f>BS!A1</f>
        <v>CARGO INTERNATIONAL (INDIA) PRIVATE LIMITED</v>
      </c>
      <c r="B1" s="700"/>
      <c r="C1" s="701"/>
    </row>
    <row r="2" spans="1:5" ht="15" customHeight="1">
      <c r="A2" s="702" t="s">
        <v>634</v>
      </c>
      <c r="B2" s="703"/>
      <c r="C2" s="704"/>
    </row>
    <row r="3" spans="1:5" ht="15" customHeight="1">
      <c r="A3" s="712" t="s">
        <v>845</v>
      </c>
      <c r="B3" s="713"/>
      <c r="C3" s="714"/>
    </row>
    <row r="4" spans="1:5" ht="15" customHeight="1" thickBot="1">
      <c r="A4" s="316"/>
      <c r="B4" s="317"/>
      <c r="C4" s="88" t="str">
        <f>+"(Unless otherwise specified, all amounts are "&amp;IF('Master data'!A2="Ones","Indian Rupees","in "&amp;'Master data'!A2&amp;" of INR)")</f>
        <v>(Unless otherwise specified, all amounts are in Lakhs of INR)</v>
      </c>
    </row>
    <row r="5" spans="1:5" ht="14.4">
      <c r="A5" s="708" t="s">
        <v>44</v>
      </c>
      <c r="B5" s="89" t="s">
        <v>63</v>
      </c>
      <c r="C5" s="90" t="s">
        <v>63</v>
      </c>
    </row>
    <row r="6" spans="1:5" ht="15" thickBot="1">
      <c r="A6" s="709"/>
      <c r="B6" s="91" t="s">
        <v>64</v>
      </c>
      <c r="C6" s="92" t="s">
        <v>65</v>
      </c>
    </row>
    <row r="7" spans="1:5" ht="14.4">
      <c r="A7" s="122"/>
      <c r="B7" s="668"/>
      <c r="C7" s="681"/>
    </row>
    <row r="8" spans="1:5" ht="14.4">
      <c r="A8" s="95" t="s">
        <v>1162</v>
      </c>
      <c r="B8" s="567"/>
      <c r="C8" s="98"/>
    </row>
    <row r="9" spans="1:5" ht="14.4">
      <c r="A9" s="93" t="s">
        <v>183</v>
      </c>
      <c r="B9" s="85">
        <f>(SUMIF('TB 24-25'!$Q:$Q,$A9,'TB 24-25'!$O:$O)-SUMIF('TB 24-25'!$Q:$Q,$A9,'TB 24-25'!$P:$P))</f>
        <v>16.696579999999997</v>
      </c>
      <c r="C9" s="98">
        <f>(SUMIF('TB 24-25'!$Q:$Q,$A9,'TB 24-25'!$E:$E)-SUMIF('TB 24-25'!$Q:$Q,$A9,'TB 24-25'!$F:$F))</f>
        <v>19.696579999999997</v>
      </c>
      <c r="D9" s="109">
        <f>+B9*100000</f>
        <v>1669657.9999999998</v>
      </c>
      <c r="E9" s="109">
        <f>+C9*100000</f>
        <v>1969657.9999999998</v>
      </c>
    </row>
    <row r="10" spans="1:5" ht="14.4">
      <c r="A10" s="93" t="s">
        <v>204</v>
      </c>
      <c r="B10" s="85">
        <f>(SUMIF('TB 24-25'!$Q:$Q,$A10,'TB 24-25'!$O:$O)-SUMIF('TB 24-25'!$Q:$Q,$A10,'TB 24-25'!$P:$P))</f>
        <v>211.1421970559494</v>
      </c>
      <c r="C10" s="98">
        <f>(SUMIF('TB 24-25'!$Q:$Q,$A10,'TB 24-25'!$E:$E)-SUMIF('TB 24-25'!$Q:$Q,$A10,'TB 24-25'!$F:$F))</f>
        <v>185.13073831666699</v>
      </c>
      <c r="D10" s="109">
        <f t="shared" ref="D10:D31" si="0">+B10*100000</f>
        <v>21114219.705594938</v>
      </c>
      <c r="E10" s="109">
        <f t="shared" ref="E10:E31" si="1">+C10*100000</f>
        <v>18513073.831666701</v>
      </c>
    </row>
    <row r="11" spans="1:5" ht="14.4">
      <c r="A11" s="93"/>
      <c r="B11" s="57"/>
      <c r="C11" s="94"/>
      <c r="D11" s="109">
        <f t="shared" si="0"/>
        <v>0</v>
      </c>
      <c r="E11" s="109">
        <f t="shared" si="1"/>
        <v>0</v>
      </c>
    </row>
    <row r="12" spans="1:5" ht="15" thickBot="1">
      <c r="A12" s="93"/>
      <c r="B12" s="101">
        <f>SUM(B9:B11)</f>
        <v>227.83877705594938</v>
      </c>
      <c r="C12" s="102">
        <f>SUM(C9:C11)</f>
        <v>204.827318316667</v>
      </c>
      <c r="D12" s="109">
        <f t="shared" si="0"/>
        <v>22783877.705594938</v>
      </c>
      <c r="E12" s="109">
        <f t="shared" si="1"/>
        <v>20482731.831666701</v>
      </c>
    </row>
    <row r="13" spans="1:5" ht="15" thickTop="1">
      <c r="A13" s="95"/>
      <c r="B13" s="96"/>
      <c r="C13" s="97"/>
      <c r="D13" s="109">
        <f t="shared" si="0"/>
        <v>0</v>
      </c>
      <c r="E13" s="109">
        <f t="shared" si="1"/>
        <v>0</v>
      </c>
    </row>
    <row r="14" spans="1:5" ht="14.4">
      <c r="A14" s="95" t="s">
        <v>1163</v>
      </c>
      <c r="B14" s="96"/>
      <c r="C14" s="97"/>
      <c r="D14" s="109">
        <f t="shared" si="0"/>
        <v>0</v>
      </c>
      <c r="E14" s="109">
        <f t="shared" si="1"/>
        <v>0</v>
      </c>
    </row>
    <row r="15" spans="1:5" ht="14.4">
      <c r="A15" s="93" t="s">
        <v>119</v>
      </c>
      <c r="B15" s="85">
        <f>+C18</f>
        <v>6.3495769800000001</v>
      </c>
      <c r="C15" s="98">
        <f>663198.01/Deno</f>
        <v>6.6319800999999998</v>
      </c>
      <c r="D15" s="109">
        <f t="shared" si="0"/>
        <v>634957.69799999997</v>
      </c>
      <c r="E15" s="109">
        <f t="shared" si="1"/>
        <v>663198.01</v>
      </c>
    </row>
    <row r="16" spans="1:5" ht="14.4">
      <c r="A16" s="93" t="s">
        <v>923</v>
      </c>
      <c r="B16" s="85">
        <f>PL!D32</f>
        <v>-0.37521684789198417</v>
      </c>
      <c r="C16" s="98">
        <f>PL!E32</f>
        <v>-0.28240312000000001</v>
      </c>
      <c r="D16" s="109">
        <f t="shared" si="0"/>
        <v>-37521.684789198414</v>
      </c>
      <c r="E16" s="109">
        <f t="shared" si="1"/>
        <v>-28240.312000000002</v>
      </c>
    </row>
    <row r="17" spans="1:5" ht="14.4">
      <c r="A17" s="93"/>
      <c r="B17" s="57"/>
      <c r="C17" s="134"/>
      <c r="D17" s="109">
        <f t="shared" si="0"/>
        <v>0</v>
      </c>
      <c r="E17" s="109">
        <f t="shared" si="1"/>
        <v>0</v>
      </c>
    </row>
    <row r="18" spans="1:5" ht="15" thickBot="1">
      <c r="A18" s="99" t="s">
        <v>924</v>
      </c>
      <c r="B18" s="101">
        <f>SUM(B15:B17)</f>
        <v>5.974360132108016</v>
      </c>
      <c r="C18" s="102">
        <f>SUM(C15:C17)</f>
        <v>6.3495769800000001</v>
      </c>
      <c r="D18" s="109">
        <f t="shared" si="0"/>
        <v>597436.01321080164</v>
      </c>
      <c r="E18" s="109">
        <f t="shared" si="1"/>
        <v>634957.69799999997</v>
      </c>
    </row>
    <row r="19" spans="1:5" ht="15" thickTop="1">
      <c r="A19" s="95"/>
      <c r="B19" s="96"/>
      <c r="C19" s="97"/>
      <c r="D19" s="109">
        <f t="shared" si="0"/>
        <v>0</v>
      </c>
      <c r="E19" s="109">
        <f t="shared" si="1"/>
        <v>0</v>
      </c>
    </row>
    <row r="20" spans="1:5" ht="14.4">
      <c r="A20" s="95" t="s">
        <v>1164</v>
      </c>
      <c r="B20" s="96"/>
      <c r="C20" s="97"/>
      <c r="D20" s="109">
        <f t="shared" si="0"/>
        <v>0</v>
      </c>
      <c r="E20" s="109">
        <f t="shared" si="1"/>
        <v>0</v>
      </c>
    </row>
    <row r="21" spans="1:5" ht="14.4">
      <c r="A21" s="93" t="s">
        <v>925</v>
      </c>
      <c r="B21" s="85">
        <f>(+'Sub Sch - BS'!B38)</f>
        <v>216.77244554991202</v>
      </c>
      <c r="C21" s="98">
        <f>(+'Sub Sch - BS'!C38)</f>
        <v>56.865406549910702</v>
      </c>
      <c r="D21" s="109">
        <f t="shared" si="0"/>
        <v>21677244.554991201</v>
      </c>
      <c r="E21" s="109">
        <f t="shared" si="1"/>
        <v>5686540.6549910698</v>
      </c>
    </row>
    <row r="22" spans="1:5" ht="14.4">
      <c r="A22" s="93" t="s">
        <v>926</v>
      </c>
      <c r="B22" s="85">
        <f>(+'Sub Sch - BS'!B32)</f>
        <v>0.16299650000000024</v>
      </c>
      <c r="C22" s="98">
        <f>(+'Sub Sch - BS'!C32)</f>
        <v>4.3102891999999997</v>
      </c>
      <c r="D22" s="109">
        <f t="shared" si="0"/>
        <v>16299.650000000023</v>
      </c>
      <c r="E22" s="109">
        <f t="shared" si="1"/>
        <v>431028.92</v>
      </c>
    </row>
    <row r="23" spans="1:5" ht="14.4">
      <c r="A23" s="93"/>
      <c r="B23" s="57"/>
      <c r="C23" s="94"/>
      <c r="D23" s="109">
        <f t="shared" si="0"/>
        <v>0</v>
      </c>
      <c r="E23" s="109">
        <f t="shared" si="1"/>
        <v>0</v>
      </c>
    </row>
    <row r="24" spans="1:5" ht="15" thickBot="1">
      <c r="A24" s="93"/>
      <c r="B24" s="101">
        <f>SUM(B21:B23)</f>
        <v>216.93544204991201</v>
      </c>
      <c r="C24" s="102">
        <f>SUM(C21:C23)</f>
        <v>61.175695749910702</v>
      </c>
      <c r="D24" s="109">
        <f t="shared" si="0"/>
        <v>21693544.204991203</v>
      </c>
      <c r="E24" s="109">
        <f t="shared" si="1"/>
        <v>6117569.5749910697</v>
      </c>
    </row>
    <row r="25" spans="1:5" ht="15" thickTop="1">
      <c r="A25" s="93"/>
      <c r="B25" s="57"/>
      <c r="C25" s="94"/>
      <c r="D25" s="109">
        <f t="shared" si="0"/>
        <v>0</v>
      </c>
      <c r="E25" s="109">
        <f t="shared" si="1"/>
        <v>0</v>
      </c>
    </row>
    <row r="26" spans="1:5" ht="14.4">
      <c r="A26" s="95" t="s">
        <v>1165</v>
      </c>
      <c r="B26" s="96"/>
      <c r="C26" s="97"/>
      <c r="D26" s="109">
        <f t="shared" si="0"/>
        <v>0</v>
      </c>
      <c r="E26" s="109">
        <f t="shared" si="1"/>
        <v>0</v>
      </c>
    </row>
    <row r="27" spans="1:5" ht="14.4">
      <c r="A27" s="103" t="s">
        <v>190</v>
      </c>
      <c r="B27" s="85">
        <f>(+'Sub Sch - BS'!B44)</f>
        <v>50.650700200000244</v>
      </c>
      <c r="C27" s="98">
        <f>(+'Sub Sch - BS'!C44)</f>
        <v>72.837829999999997</v>
      </c>
      <c r="D27" s="109">
        <f t="shared" si="0"/>
        <v>5065070.0200000247</v>
      </c>
      <c r="E27" s="109">
        <f t="shared" si="1"/>
        <v>7283783</v>
      </c>
    </row>
    <row r="28" spans="1:5" ht="14.4">
      <c r="A28" s="93" t="s">
        <v>172</v>
      </c>
      <c r="B28" s="85">
        <f>(SUMIF('TB 24-25'!$Q:$Q,$A28,'TB 24-25'!$O:$O)-SUMIF('TB 24-25'!$Q:$Q,$A28,'TB 24-25'!$P:$P))</f>
        <v>1.3078822666666667</v>
      </c>
      <c r="C28" s="98">
        <f>(SUMIF('TB 24-25'!$Q:$Q,$A28,'TB 24-25'!$E:$E)-SUMIF('TB 24-25'!$Q:$Q,$A28,'TB 24-25'!$F:$F))</f>
        <v>1.2206625</v>
      </c>
      <c r="D28" s="109">
        <f t="shared" si="0"/>
        <v>130788.22666666667</v>
      </c>
      <c r="E28" s="109">
        <f t="shared" si="1"/>
        <v>122066.25</v>
      </c>
    </row>
    <row r="29" spans="1:5" ht="14.4">
      <c r="A29" s="93" t="s">
        <v>177</v>
      </c>
      <c r="B29" s="85">
        <f>(SUMIF('TB 24-25'!$Q:$Q,$A29,'TB 24-25'!$O:$O)-SUMIF('TB 24-25'!$Q:$Q,$A29,'TB 24-25'!$P:$P))</f>
        <v>0.43181739999999991</v>
      </c>
      <c r="C29" s="98">
        <f>(SUMIF('TB 24-25'!$Q:$Q,$A29,'TB 24-25'!$E:$E)-SUMIF('TB 24-25'!$Q:$Q,$A29,'TB 24-25'!$F:$F))</f>
        <v>0.55604640000000005</v>
      </c>
      <c r="D29" s="109">
        <f t="shared" si="0"/>
        <v>43181.739999999991</v>
      </c>
      <c r="E29" s="109">
        <f t="shared" si="1"/>
        <v>55604.640000000007</v>
      </c>
    </row>
    <row r="30" spans="1:5" ht="14.4">
      <c r="A30" s="93"/>
      <c r="B30" s="57"/>
      <c r="C30" s="94"/>
      <c r="D30" s="109">
        <f t="shared" si="0"/>
        <v>0</v>
      </c>
      <c r="E30" s="109">
        <f t="shared" si="1"/>
        <v>0</v>
      </c>
    </row>
    <row r="31" spans="1:5" ht="15" thickBot="1">
      <c r="A31" s="93"/>
      <c r="B31" s="101">
        <f>SUM(B27:B30)</f>
        <v>52.390399866666911</v>
      </c>
      <c r="C31" s="102">
        <f>SUM(C27:C30)</f>
        <v>74.614538899999999</v>
      </c>
      <c r="D31" s="109">
        <f t="shared" si="0"/>
        <v>5239039.9866666915</v>
      </c>
      <c r="E31" s="109">
        <f t="shared" si="1"/>
        <v>7461453.8899999997</v>
      </c>
    </row>
    <row r="32" spans="1:5" ht="15.6" thickTop="1" thickBot="1">
      <c r="A32" s="147"/>
      <c r="B32" s="315"/>
      <c r="C32" s="237"/>
      <c r="D32" s="63"/>
    </row>
    <row r="33" spans="4:4">
      <c r="D33" s="63"/>
    </row>
    <row r="34" spans="4:4">
      <c r="D34" s="63"/>
    </row>
    <row r="35" spans="4:4">
      <c r="D35" s="63"/>
    </row>
    <row r="36" spans="4:4">
      <c r="D36" s="63"/>
    </row>
    <row r="37" spans="4:4">
      <c r="D37" s="63"/>
    </row>
    <row r="38" spans="4:4">
      <c r="D38" s="63"/>
    </row>
    <row r="39" spans="4:4">
      <c r="D39" s="63"/>
    </row>
    <row r="40" spans="4:4">
      <c r="D40" s="63"/>
    </row>
    <row r="41" spans="4:4">
      <c r="D41" s="63"/>
    </row>
    <row r="42" spans="4:4">
      <c r="D42" s="63"/>
    </row>
    <row r="43" spans="4:4">
      <c r="D43" s="63"/>
    </row>
    <row r="44" spans="4:4">
      <c r="D44" s="63"/>
    </row>
    <row r="45" spans="4:4">
      <c r="D45" s="63"/>
    </row>
    <row r="46" spans="4:4">
      <c r="D46" s="63"/>
    </row>
    <row r="47" spans="4:4">
      <c r="D47" s="63"/>
    </row>
    <row r="48" spans="4:4">
      <c r="D48" s="63"/>
    </row>
    <row r="49" spans="4:4">
      <c r="D49" s="63"/>
    </row>
    <row r="50" spans="4:4">
      <c r="D50" s="63"/>
    </row>
    <row r="51" spans="4:4">
      <c r="D51" s="63"/>
    </row>
    <row r="52" spans="4:4">
      <c r="D52" s="63"/>
    </row>
    <row r="53" spans="4:4">
      <c r="D53" s="63"/>
    </row>
    <row r="54" spans="4:4">
      <c r="D54" s="63"/>
    </row>
    <row r="55" spans="4:4">
      <c r="D55" s="63"/>
    </row>
    <row r="56" spans="4:4">
      <c r="D56" s="63"/>
    </row>
    <row r="57" spans="4:4">
      <c r="D57" s="63"/>
    </row>
    <row r="58" spans="4:4">
      <c r="D58" s="63"/>
    </row>
    <row r="59" spans="4:4">
      <c r="D59" s="63"/>
    </row>
    <row r="60" spans="4:4">
      <c r="D60" s="63"/>
    </row>
    <row r="61" spans="4:4">
      <c r="D61" s="63"/>
    </row>
    <row r="62" spans="4:4">
      <c r="D62" s="63"/>
    </row>
  </sheetData>
  <mergeCells count="4">
    <mergeCell ref="A1:C1"/>
    <mergeCell ref="A2:C2"/>
    <mergeCell ref="A3:C3"/>
    <mergeCell ref="A5:A6"/>
  </mergeCells>
  <printOptions horizontalCentered="1"/>
  <pageMargins left="0.15748031496062992" right="0.19685039370078741" top="0.27559055118110237" bottom="0.31496062992125984" header="0.15748031496062992" footer="0.39370078740157483"/>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94"/>
  <sheetViews>
    <sheetView showGridLines="0" view="pageBreakPreview" zoomScaleNormal="100" zoomScaleSheetLayoutView="100" workbookViewId="0">
      <selection activeCell="G50" sqref="G50"/>
    </sheetView>
  </sheetViews>
  <sheetFormatPr defaultColWidth="9.109375" defaultRowHeight="13.8"/>
  <cols>
    <col min="1" max="1" width="61.6640625" style="109" customWidth="1"/>
    <col min="2" max="3" width="20.6640625" style="109" customWidth="1"/>
    <col min="4" max="5" width="15" style="109" bestFit="1" customWidth="1"/>
    <col min="6" max="6" width="13.44140625" style="109" bestFit="1" customWidth="1"/>
    <col min="7" max="7" width="12.6640625" style="109" bestFit="1" customWidth="1"/>
    <col min="8" max="8" width="10" style="109" bestFit="1" customWidth="1"/>
    <col min="9" max="16384" width="9.109375" style="109"/>
  </cols>
  <sheetData>
    <row r="1" spans="1:6" ht="18">
      <c r="A1" s="699" t="s">
        <v>58</v>
      </c>
      <c r="B1" s="700"/>
      <c r="C1" s="701"/>
    </row>
    <row r="2" spans="1:6" ht="15.6">
      <c r="A2" s="702" t="str">
        <f>+'NOTE 3'!A2:E2</f>
        <v>NOTES TO THE FINANCIAL STATEMENTS FOR THE YEAR ENDED 31st MARCH, 2025</v>
      </c>
      <c r="B2" s="703"/>
      <c r="C2" s="704"/>
    </row>
    <row r="3" spans="1:6" ht="16.5" customHeight="1">
      <c r="A3" s="712"/>
      <c r="B3" s="713"/>
      <c r="C3" s="714"/>
    </row>
    <row r="4" spans="1:6" ht="16.5" customHeight="1" thickBot="1">
      <c r="A4" s="306"/>
      <c r="B4" s="111"/>
      <c r="C4" s="88" t="str">
        <f>+"(Unless otherwise specified, all amounts are "&amp;IF('Master data'!A2="Ones","Indian Rupees","in "&amp;'Master data'!A2&amp;" of INR)")</f>
        <v>(Unless otherwise specified, all amounts are in Lakhs of INR)</v>
      </c>
    </row>
    <row r="5" spans="1:6" ht="14.4">
      <c r="A5" s="113" t="s">
        <v>44</v>
      </c>
      <c r="B5" s="307" t="s">
        <v>580</v>
      </c>
      <c r="C5" s="308" t="s">
        <v>580</v>
      </c>
    </row>
    <row r="6" spans="1:6" ht="15" thickBot="1">
      <c r="A6" s="118"/>
      <c r="B6" s="568">
        <v>45747</v>
      </c>
      <c r="C6" s="637">
        <v>45382</v>
      </c>
      <c r="F6" s="85">
        <f>10^5</f>
        <v>100000</v>
      </c>
    </row>
    <row r="7" spans="1:6" ht="14.4">
      <c r="A7" s="93"/>
      <c r="B7" s="309"/>
      <c r="C7" s="310"/>
    </row>
    <row r="8" spans="1:6" ht="14.4">
      <c r="A8" s="233" t="s">
        <v>1166</v>
      </c>
      <c r="B8" s="311"/>
      <c r="C8" s="312"/>
    </row>
    <row r="9" spans="1:6" ht="14.4">
      <c r="A9" s="93" t="s">
        <v>322</v>
      </c>
      <c r="B9" s="85">
        <f>(SUMIF('TB 24-25'!$Q:$Q,'NOTE 15-20'!$A9,'TB 24-25'!$P:$P)-SUMIF('TB 24-25'!$Q:$Q,'NOTE 15-20'!$A9,'TB 24-25'!$O:$O))</f>
        <v>1414.428007399998</v>
      </c>
      <c r="C9" s="98">
        <f>(SUMIF('TB 24-25'!$Q:$Q,'NOTE 15-20'!$A9,'TB 24-25'!$F:$F)-SUMIF('TB 24-25'!$Q:$Q,'NOTE 15-20'!$A9,'TB 24-25'!$E:$E))</f>
        <v>552.11691350000001</v>
      </c>
      <c r="D9" s="109">
        <f>+B9*100000</f>
        <v>141442800.7399998</v>
      </c>
      <c r="E9" s="109">
        <f>+C9*100000</f>
        <v>55211691.350000001</v>
      </c>
    </row>
    <row r="10" spans="1:6" ht="14.4">
      <c r="A10" s="93" t="s">
        <v>331</v>
      </c>
      <c r="B10" s="85">
        <f>(SUMIF('TB 24-25'!$Q:$Q,'NOTE 15-20'!$A10,'TB 24-25'!$P:$P)-SUMIF('TB 24-25'!$Q:$Q,'NOTE 15-20'!$A10,'TB 24-25'!$O:$O))</f>
        <v>273.74244469999979</v>
      </c>
      <c r="C10" s="98">
        <f>(SUMIF('TB 24-25'!$Q:$Q,'NOTE 15-20'!$A10,'TB 24-25'!$F:$F)-SUMIF('TB 24-25'!$Q:$Q,'NOTE 15-20'!$A10,'TB 24-25'!$E:$E))</f>
        <v>120.00800530000001</v>
      </c>
      <c r="D10" s="109">
        <f t="shared" ref="D10:D57" si="0">+B10*100000</f>
        <v>27374244.46999998</v>
      </c>
      <c r="E10" s="109">
        <f t="shared" ref="E10:E57" si="1">+C10*100000</f>
        <v>12000800.530000001</v>
      </c>
    </row>
    <row r="11" spans="1:6" ht="14.4">
      <c r="A11" s="93" t="s">
        <v>336</v>
      </c>
      <c r="B11" s="85">
        <f>(SUMIF('TB 24-25'!$Q:$Q,'NOTE 15-20'!$A11,'TB 24-25'!$P:$P)-SUMIF('TB 24-25'!$Q:$Q,'NOTE 15-20'!$A11,'TB 24-25'!$O:$O))</f>
        <v>722.99417409999933</v>
      </c>
      <c r="C11" s="98">
        <f>(SUMIF('TB 24-25'!$Q:$Q,'NOTE 15-20'!$A11,'TB 24-25'!$F:$F)-SUMIF('TB 24-25'!$Q:$Q,'NOTE 15-20'!$A11,'TB 24-25'!$E:$E))</f>
        <v>711.08395349999989</v>
      </c>
      <c r="D11" s="109">
        <f t="shared" si="0"/>
        <v>72299417.409999937</v>
      </c>
      <c r="E11" s="109">
        <f t="shared" si="1"/>
        <v>71108395.349999994</v>
      </c>
    </row>
    <row r="12" spans="1:6" ht="14.4">
      <c r="A12" s="93" t="s">
        <v>339</v>
      </c>
      <c r="B12" s="85">
        <f>(SUMIF('TB 24-25'!$Q:$Q,'NOTE 15-20'!$A12,'TB 24-25'!$P:$P)-SUMIF('TB 24-25'!$Q:$Q,'NOTE 15-20'!$A12,'TB 24-25'!$O:$O))</f>
        <v>99.40420320000004</v>
      </c>
      <c r="C12" s="98">
        <f>(SUMIF('TB 24-25'!$Q:$Q,'NOTE 15-20'!$A12,'TB 24-25'!$F:$F)-SUMIF('TB 24-25'!$Q:$Q,'NOTE 15-20'!$A12,'TB 24-25'!$E:$E))</f>
        <v>101.5579602</v>
      </c>
      <c r="D12" s="109">
        <f t="shared" si="0"/>
        <v>9940420.320000004</v>
      </c>
      <c r="E12" s="109">
        <f t="shared" si="1"/>
        <v>10155796.02</v>
      </c>
    </row>
    <row r="13" spans="1:6" ht="14.4">
      <c r="A13" s="93"/>
      <c r="B13" s="57"/>
      <c r="C13" s="94"/>
      <c r="D13" s="109">
        <f t="shared" si="0"/>
        <v>0</v>
      </c>
      <c r="E13" s="109">
        <f t="shared" si="1"/>
        <v>0</v>
      </c>
    </row>
    <row r="14" spans="1:6" ht="15" thickBot="1">
      <c r="A14" s="93"/>
      <c r="B14" s="101">
        <f>SUM(B9:B13)</f>
        <v>2510.5688293999974</v>
      </c>
      <c r="C14" s="102">
        <f>SUM(C9:C13)</f>
        <v>1484.7668325</v>
      </c>
      <c r="D14" s="109">
        <f t="shared" si="0"/>
        <v>251056882.93999973</v>
      </c>
      <c r="E14" s="109">
        <f t="shared" si="1"/>
        <v>148476683.25</v>
      </c>
    </row>
    <row r="15" spans="1:6" ht="15" thickTop="1">
      <c r="A15" s="93"/>
      <c r="B15" s="57"/>
      <c r="C15" s="94"/>
      <c r="D15" s="109">
        <f t="shared" si="0"/>
        <v>0</v>
      </c>
      <c r="E15" s="109">
        <f t="shared" si="1"/>
        <v>0</v>
      </c>
    </row>
    <row r="16" spans="1:6" ht="14.4">
      <c r="A16" s="95" t="s">
        <v>1167</v>
      </c>
      <c r="B16" s="96"/>
      <c r="C16" s="97"/>
      <c r="D16" s="109">
        <f t="shared" si="0"/>
        <v>0</v>
      </c>
      <c r="E16" s="109">
        <f t="shared" si="1"/>
        <v>0</v>
      </c>
    </row>
    <row r="17" spans="1:5" ht="14.4">
      <c r="A17" s="93" t="s">
        <v>927</v>
      </c>
      <c r="B17" s="85">
        <f>(SUMIF('TB 24-25'!$Q:$Q,'NOTE 15-20'!$A17,'TB 24-25'!$P:$P)-SUMIF('TB 24-25'!$Q:$Q,'NOTE 15-20'!$A17,'TB 24-25'!$O:$O))</f>
        <v>62.736728499999998</v>
      </c>
      <c r="C17" s="98">
        <f>(SUMIF('TB 24-25'!$Q:$Q,'NOTE 15-20'!$A17,'TB 24-25'!$F:$F)-SUMIF('TB 24-25'!$Q:$Q,'NOTE 15-20'!$A17,'TB 24-25'!$E:$E))</f>
        <v>46.561970099999996</v>
      </c>
      <c r="D17" s="109">
        <f t="shared" si="0"/>
        <v>6273672.8499999996</v>
      </c>
      <c r="E17" s="109">
        <f t="shared" si="1"/>
        <v>4656197.01</v>
      </c>
    </row>
    <row r="18" spans="1:5" ht="14.4">
      <c r="A18" s="93" t="s">
        <v>343</v>
      </c>
      <c r="B18" s="85">
        <f>(SUMIF('TB 24-25'!$Q:$Q,'NOTE 15-20'!$A18,'TB 24-25'!$P:$P)-SUMIF('TB 24-25'!$Q:$Q,'NOTE 15-20'!$A18,'TB 24-25'!$O:$O))</f>
        <v>1.397E-2</v>
      </c>
      <c r="C18" s="98">
        <f>(SUMIF('TB 24-25'!$Q:$Q,'NOTE 15-20'!$A18,'TB 24-25'!$F:$F)-SUMIF('TB 24-25'!$Q:$Q,'NOTE 15-20'!$A18,'TB 24-25'!$E:$E))</f>
        <v>0</v>
      </c>
      <c r="D18" s="109">
        <f t="shared" si="0"/>
        <v>1397</v>
      </c>
      <c r="E18" s="109">
        <f t="shared" si="1"/>
        <v>0</v>
      </c>
    </row>
    <row r="19" spans="1:5" ht="14.4">
      <c r="A19" s="95"/>
      <c r="B19" s="96"/>
      <c r="C19" s="97"/>
      <c r="D19" s="109">
        <f t="shared" si="0"/>
        <v>0</v>
      </c>
      <c r="E19" s="109">
        <f t="shared" si="1"/>
        <v>0</v>
      </c>
    </row>
    <row r="20" spans="1:5" ht="15" thickBot="1">
      <c r="A20" s="93"/>
      <c r="B20" s="101">
        <f>SUM(B17:B19)</f>
        <v>62.750698499999999</v>
      </c>
      <c r="C20" s="102">
        <f>SUM(C17:C19)</f>
        <v>46.561970099999996</v>
      </c>
      <c r="D20" s="109">
        <f t="shared" si="0"/>
        <v>6275069.8499999996</v>
      </c>
      <c r="E20" s="109">
        <f t="shared" si="1"/>
        <v>4656197.01</v>
      </c>
    </row>
    <row r="21" spans="1:5" ht="15" thickTop="1">
      <c r="A21" s="93"/>
      <c r="B21" s="57"/>
      <c r="C21" s="94"/>
      <c r="D21" s="109">
        <f t="shared" si="0"/>
        <v>0</v>
      </c>
      <c r="E21" s="109">
        <f t="shared" si="1"/>
        <v>0</v>
      </c>
    </row>
    <row r="22" spans="1:5" ht="14.4">
      <c r="A22" s="95" t="s">
        <v>1168</v>
      </c>
      <c r="B22" s="96"/>
      <c r="C22" s="97"/>
      <c r="D22" s="109">
        <f t="shared" si="0"/>
        <v>0</v>
      </c>
      <c r="E22" s="109">
        <f t="shared" si="1"/>
        <v>0</v>
      </c>
    </row>
    <row r="23" spans="1:5" ht="14.4">
      <c r="A23" s="93" t="s">
        <v>372</v>
      </c>
      <c r="B23" s="85">
        <f>(SUMIF('TB 24-25'!$Q:$Q,'NOTE 15-20'!$A23,'TB 24-25'!$O:$O)-SUMIF('TB 24-25'!$Q:$Q,'NOTE 15-20'!$A23,'TB 24-25'!$P:$P))</f>
        <v>1176.0631151999996</v>
      </c>
      <c r="C23" s="98">
        <f>(SUMIF('TB 24-25'!$Q:$Q,'NOTE 15-20'!$A23,'TB 24-25'!$E:$E)-SUMIF('TB 24-25'!$Q:$Q,'NOTE 15-20'!$A23,'TB 24-25'!$F:$F))</f>
        <v>418.9762652</v>
      </c>
      <c r="D23" s="109">
        <f t="shared" si="0"/>
        <v>117606311.51999997</v>
      </c>
      <c r="E23" s="109">
        <f t="shared" si="1"/>
        <v>41897626.520000003</v>
      </c>
    </row>
    <row r="24" spans="1:5" ht="14.4">
      <c r="A24" s="93" t="s">
        <v>382</v>
      </c>
      <c r="B24" s="85">
        <f>(SUMIF('TB 24-25'!$Q:$Q,'NOTE 15-20'!$A24,'TB 24-25'!$O:$O)-SUMIF('TB 24-25'!$Q:$Q,'NOTE 15-20'!$A24,'TB 24-25'!$P:$P))</f>
        <v>240.8773784</v>
      </c>
      <c r="C24" s="98">
        <f>(SUMIF('TB 24-25'!$Q:$Q,'NOTE 15-20'!$A24,'TB 24-25'!$E:$E)-SUMIF('TB 24-25'!$Q:$Q,'NOTE 15-20'!$A24,'TB 24-25'!$F:$F))</f>
        <v>125.6919082</v>
      </c>
      <c r="D24" s="109">
        <f t="shared" si="0"/>
        <v>24087737.84</v>
      </c>
      <c r="E24" s="109">
        <f t="shared" si="1"/>
        <v>12569190.82</v>
      </c>
    </row>
    <row r="25" spans="1:5" ht="14.4">
      <c r="A25" s="93" t="s">
        <v>386</v>
      </c>
      <c r="B25" s="85">
        <f>(SUMIF('TB 24-25'!$Q:$Q,'NOTE 15-20'!$A25,'TB 24-25'!$O:$O)-SUMIF('TB 24-25'!$Q:$Q,'NOTE 15-20'!$A25,'TB 24-25'!$P:$P))</f>
        <v>656.18240920000028</v>
      </c>
      <c r="C25" s="98">
        <f>(SUMIF('TB 24-25'!$Q:$Q,'NOTE 15-20'!$A25,'TB 24-25'!$E:$E)-SUMIF('TB 24-25'!$Q:$Q,'NOTE 15-20'!$A25,'TB 24-25'!$F:$F))</f>
        <v>593.05508260000101</v>
      </c>
      <c r="D25" s="109">
        <f t="shared" si="0"/>
        <v>65618240.920000032</v>
      </c>
      <c r="E25" s="109">
        <f t="shared" si="1"/>
        <v>59305508.260000102</v>
      </c>
    </row>
    <row r="26" spans="1:5" ht="14.4">
      <c r="A26" s="93" t="s">
        <v>389</v>
      </c>
      <c r="B26" s="85">
        <f>(SUMIF('TB 24-25'!$Q:$Q,'NOTE 15-20'!$A26,'TB 24-25'!$O:$O)-SUMIF('TB 24-25'!$Q:$Q,'NOTE 15-20'!$A26,'TB 24-25'!$P:$P))</f>
        <v>80.544630599999962</v>
      </c>
      <c r="C26" s="98">
        <f>(SUMIF('TB 24-25'!$Q:$Q,'NOTE 15-20'!$A26,'TB 24-25'!$E:$E)-SUMIF('TB 24-25'!$Q:$Q,'NOTE 15-20'!$A26,'TB 24-25'!$F:$F))</f>
        <v>79.013997199999906</v>
      </c>
      <c r="D26" s="109">
        <f t="shared" si="0"/>
        <v>8054463.0599999959</v>
      </c>
      <c r="E26" s="109">
        <f t="shared" si="1"/>
        <v>7901399.7199999904</v>
      </c>
    </row>
    <row r="27" spans="1:5" ht="14.4">
      <c r="A27" s="93"/>
      <c r="B27" s="57"/>
      <c r="C27" s="94"/>
      <c r="D27" s="109">
        <f t="shared" si="0"/>
        <v>0</v>
      </c>
      <c r="E27" s="109">
        <f t="shared" si="1"/>
        <v>0</v>
      </c>
    </row>
    <row r="28" spans="1:5" ht="15" thickBot="1">
      <c r="A28" s="93"/>
      <c r="B28" s="101">
        <f>SUM(B23:B27)</f>
        <v>2153.6675333999997</v>
      </c>
      <c r="C28" s="102">
        <f>SUM(C23:C27)</f>
        <v>1216.7372532000011</v>
      </c>
      <c r="D28" s="109">
        <f t="shared" si="0"/>
        <v>215366753.33999997</v>
      </c>
      <c r="E28" s="109">
        <f t="shared" si="1"/>
        <v>121673725.32000011</v>
      </c>
    </row>
    <row r="29" spans="1:5" ht="15" thickTop="1">
      <c r="A29" s="93"/>
      <c r="B29" s="57"/>
      <c r="C29" s="94"/>
      <c r="D29" s="109">
        <f t="shared" si="0"/>
        <v>0</v>
      </c>
      <c r="E29" s="109">
        <f t="shared" si="1"/>
        <v>0</v>
      </c>
    </row>
    <row r="30" spans="1:5" ht="14.4">
      <c r="A30" s="95" t="s">
        <v>1169</v>
      </c>
      <c r="B30" s="96"/>
      <c r="C30" s="97"/>
      <c r="D30" s="109">
        <f t="shared" si="0"/>
        <v>0</v>
      </c>
      <c r="E30" s="109">
        <f t="shared" si="1"/>
        <v>0</v>
      </c>
    </row>
    <row r="31" spans="1:5" ht="14.4">
      <c r="A31" s="93" t="s">
        <v>393</v>
      </c>
      <c r="B31" s="85">
        <f>(SUMIF('TB 24-25'!$Q:$Q,'NOTE 15-20'!$A31,'TB 24-25'!$O:$O)-SUMIF('TB 24-25'!$Q:$Q,'NOTE 15-20'!$A31,'TB 24-25'!$P:$P))+32685/Deno</f>
        <v>225.38028000000003</v>
      </c>
      <c r="C31" s="98">
        <f>(SUMIF('TB 24-25'!$Q:$Q,'NOTE 15-20'!$A31,'TB 24-25'!$E:$E)-SUMIF('TB 24-25'!$Q:$Q,'NOTE 15-20'!$A31,'TB 24-25'!$F:$F))+36369/Deno</f>
        <v>214.75304</v>
      </c>
      <c r="D31" s="109">
        <f t="shared" si="0"/>
        <v>22538028.000000004</v>
      </c>
      <c r="E31" s="109">
        <f t="shared" si="1"/>
        <v>21475304</v>
      </c>
    </row>
    <row r="32" spans="1:5" ht="14.4">
      <c r="A32" s="93" t="s">
        <v>413</v>
      </c>
      <c r="B32" s="85">
        <f>(SUMIF('TB 24-25'!$Q:$Q,'NOTE 15-20'!$A32,'TB 24-25'!$O:$O)-SUMIF('TB 24-25'!$Q:$Q,'NOTE 15-20'!$A32,'TB 24-25'!$P:$P))</f>
        <v>5.0950300000000004</v>
      </c>
      <c r="C32" s="98">
        <f>(SUMIF('TB 24-25'!$Q:$Q,'NOTE 15-20'!$A32,'TB 24-25'!$E:$E)-SUMIF('TB 24-25'!$Q:$Q,'NOTE 15-20'!$A32,'TB 24-25'!$F:$F))</f>
        <v>5.8749599999999997</v>
      </c>
      <c r="D32" s="109">
        <f t="shared" si="0"/>
        <v>509503.00000000006</v>
      </c>
      <c r="E32" s="109">
        <f t="shared" si="1"/>
        <v>587496</v>
      </c>
    </row>
    <row r="33" spans="1:5" ht="14.4">
      <c r="A33" s="93"/>
      <c r="B33" s="57"/>
      <c r="C33" s="94"/>
      <c r="D33" s="109">
        <f t="shared" si="0"/>
        <v>0</v>
      </c>
      <c r="E33" s="109">
        <f t="shared" si="1"/>
        <v>0</v>
      </c>
    </row>
    <row r="34" spans="1:5" ht="15" thickBot="1">
      <c r="A34" s="93"/>
      <c r="B34" s="101">
        <f>SUM(B31:B33)</f>
        <v>230.47531000000004</v>
      </c>
      <c r="C34" s="102">
        <f>SUM(C31:C33)</f>
        <v>220.62799999999999</v>
      </c>
      <c r="D34" s="109">
        <f t="shared" si="0"/>
        <v>23047531.000000004</v>
      </c>
      <c r="E34" s="109">
        <f t="shared" si="1"/>
        <v>22062800</v>
      </c>
    </row>
    <row r="35" spans="1:5" ht="15.6" thickTop="1" thickBot="1">
      <c r="A35" s="147"/>
      <c r="B35" s="313"/>
      <c r="C35" s="314"/>
      <c r="D35" s="109">
        <f t="shared" si="0"/>
        <v>0</v>
      </c>
      <c r="E35" s="109">
        <f t="shared" si="1"/>
        <v>0</v>
      </c>
    </row>
    <row r="36" spans="1:5" ht="14.4">
      <c r="A36" s="93"/>
      <c r="B36" s="57"/>
      <c r="C36" s="94"/>
      <c r="D36" s="109">
        <f t="shared" si="0"/>
        <v>0</v>
      </c>
      <c r="E36" s="109">
        <f t="shared" si="1"/>
        <v>0</v>
      </c>
    </row>
    <row r="37" spans="1:5" ht="14.4">
      <c r="A37" s="95" t="s">
        <v>1170</v>
      </c>
      <c r="B37" s="96"/>
      <c r="C37" s="97"/>
      <c r="D37" s="109">
        <f t="shared" si="0"/>
        <v>0</v>
      </c>
      <c r="E37" s="109">
        <f t="shared" si="1"/>
        <v>0</v>
      </c>
    </row>
    <row r="38" spans="1:5" ht="14.4">
      <c r="A38" s="93" t="s">
        <v>547</v>
      </c>
      <c r="B38" s="85">
        <f>(SUMIF('TB 24-25'!$Q:$Q,'NOTE 15-20'!$A38,'TB 24-25'!$O:$O)-SUMIF('TB 24-25'!$Q:$Q,'NOTE 15-20'!$A38,'TB 24-25'!$P:$P))</f>
        <v>2.655602200000001</v>
      </c>
      <c r="C38" s="98">
        <f>(SUMIF('TB 24-25'!$Q:$Q,'NOTE 15-20'!$A38,'TB 24-25'!$E:$E)-SUMIF('TB 24-25'!$Q:$Q,'NOTE 15-20'!$A38,'TB 24-25'!$F:$F))</f>
        <v>1.8794929999999999</v>
      </c>
      <c r="D38" s="109">
        <f t="shared" si="0"/>
        <v>265560.22000000009</v>
      </c>
      <c r="E38" s="109">
        <f t="shared" si="1"/>
        <v>187949.3</v>
      </c>
    </row>
    <row r="39" spans="1:5" ht="14.4">
      <c r="A39" s="93" t="s">
        <v>542</v>
      </c>
      <c r="B39" s="85">
        <f>(SUMIF('TB 24-25'!$Q:$Q,'NOTE 15-20'!$A39,'TB 24-25'!$O:$O)-SUMIF('TB 24-25'!$Q:$Q,'NOTE 15-20'!$A39,'TB 24-25'!$P:$P))</f>
        <v>8.7948000000000002E-3</v>
      </c>
      <c r="C39" s="98">
        <f>(SUMIF('TB 24-25'!$Q:$Q,'NOTE 15-20'!$A39,'TB 24-25'!$E:$E)-SUMIF('TB 24-25'!$Q:$Q,'NOTE 15-20'!$A39,'TB 24-25'!$F:$F))</f>
        <v>0</v>
      </c>
      <c r="D39" s="109">
        <f t="shared" si="0"/>
        <v>879.48</v>
      </c>
      <c r="E39" s="109">
        <f t="shared" si="1"/>
        <v>0</v>
      </c>
    </row>
    <row r="40" spans="1:5" ht="14.4">
      <c r="A40" s="93"/>
      <c r="B40" s="57"/>
      <c r="C40" s="94"/>
      <c r="D40" s="109">
        <f t="shared" si="0"/>
        <v>0</v>
      </c>
      <c r="E40" s="109">
        <f t="shared" si="1"/>
        <v>0</v>
      </c>
    </row>
    <row r="41" spans="1:5" ht="15" thickBot="1">
      <c r="A41" s="93"/>
      <c r="B41" s="101">
        <f>SUM(B38:B40)</f>
        <v>2.664397000000001</v>
      </c>
      <c r="C41" s="102">
        <f>SUM(C38:C40)</f>
        <v>1.8794929999999999</v>
      </c>
      <c r="D41" s="109">
        <f t="shared" si="0"/>
        <v>266439.70000000013</v>
      </c>
      <c r="E41" s="109">
        <f t="shared" si="1"/>
        <v>187949.3</v>
      </c>
    </row>
    <row r="42" spans="1:5" ht="15" thickTop="1">
      <c r="A42" s="93"/>
      <c r="B42" s="57"/>
      <c r="C42" s="94"/>
      <c r="D42" s="109">
        <f t="shared" si="0"/>
        <v>0</v>
      </c>
      <c r="E42" s="109">
        <f t="shared" si="1"/>
        <v>0</v>
      </c>
    </row>
    <row r="43" spans="1:5" ht="14.4">
      <c r="A43" s="95" t="s">
        <v>1171</v>
      </c>
      <c r="B43" s="96"/>
      <c r="C43" s="97"/>
      <c r="D43" s="109">
        <f t="shared" si="0"/>
        <v>0</v>
      </c>
      <c r="E43" s="109">
        <f t="shared" si="1"/>
        <v>0</v>
      </c>
    </row>
    <row r="44" spans="1:5" ht="14.4">
      <c r="A44" s="93" t="s">
        <v>507</v>
      </c>
      <c r="B44" s="85">
        <f>(SUMIF('TB 24-25'!$Q:$Q,'NOTE 15-20'!$A44,'TB 24-25'!$O:$O)-SUMIF('TB 24-25'!$Q:$Q,'NOTE 15-20'!$A44,'TB 24-25'!$P:$P))</f>
        <v>2.25</v>
      </c>
      <c r="C44" s="98">
        <f>(SUMIF('TB 24-25'!$Q:$Q,'NOTE 15-20'!$A44,'TB 24-25'!$E:$E)-SUMIF('TB 24-25'!$Q:$Q,'NOTE 15-20'!$A44,'TB 24-25'!$F:$F))</f>
        <v>2.25</v>
      </c>
      <c r="D44" s="109">
        <f t="shared" si="0"/>
        <v>225000</v>
      </c>
      <c r="E44" s="109">
        <f t="shared" si="1"/>
        <v>225000</v>
      </c>
    </row>
    <row r="45" spans="1:5" ht="14.4">
      <c r="A45" s="93" t="s">
        <v>569</v>
      </c>
      <c r="B45" s="85">
        <f>(SUMIF('TB 24-25'!$Q:$Q,'NOTE 15-20'!$A45,'TB 24-25'!$O:$O)-SUMIF('TB 24-25'!$Q:$Q,'NOTE 15-20'!$A45,'TB 24-25'!$P:$P))</f>
        <v>30.973871700000007</v>
      </c>
      <c r="C45" s="98">
        <f>(SUMIF('TB 24-25'!$Q:$Q,'NOTE 15-20'!$A45,'TB 24-25'!$E:$E)-SUMIF('TB 24-25'!$Q:$Q,'NOTE 15-20'!$A45,'TB 24-25'!$F:$F))</f>
        <v>0.34200000000000003</v>
      </c>
      <c r="D45" s="109">
        <f t="shared" si="0"/>
        <v>3097387.1700000009</v>
      </c>
      <c r="E45" s="109">
        <f t="shared" si="1"/>
        <v>34200</v>
      </c>
    </row>
    <row r="46" spans="1:5" ht="14.4">
      <c r="A46" s="93" t="s">
        <v>497</v>
      </c>
      <c r="B46" s="85">
        <f>(+'Sub Sch - p&amp;l'!B12)</f>
        <v>16.3332105</v>
      </c>
      <c r="C46" s="98">
        <f>(+'Sub Sch - p&amp;l'!C12)</f>
        <v>5.7339029999999998</v>
      </c>
      <c r="D46" s="109">
        <f t="shared" si="0"/>
        <v>1633321.05</v>
      </c>
      <c r="E46" s="109">
        <f t="shared" si="1"/>
        <v>573390.29999999993</v>
      </c>
    </row>
    <row r="47" spans="1:5" ht="14.4">
      <c r="A47" s="93" t="s">
        <v>421</v>
      </c>
      <c r="B47" s="85">
        <f>(+'Sub Sch - p&amp;l'!B20)</f>
        <v>10.6044032</v>
      </c>
      <c r="C47" s="98">
        <f>(+'Sub Sch - p&amp;l'!C20)</f>
        <v>9.134541200000001</v>
      </c>
      <c r="D47" s="109">
        <f t="shared" si="0"/>
        <v>1060440.32</v>
      </c>
      <c r="E47" s="109">
        <f t="shared" si="1"/>
        <v>913454.12000000011</v>
      </c>
    </row>
    <row r="48" spans="1:5" ht="14.4">
      <c r="A48" s="93" t="s">
        <v>352</v>
      </c>
      <c r="B48" s="85">
        <f>(SUMIF('TB 24-25'!$Q:$Q,'NOTE 15-20'!$A48,'TB 24-25'!$O:$O)-SUMIF('TB 24-25'!$Q:$Q,'NOTE 15-20'!$A48,'TB 24-25'!$P:$P))</f>
        <v>-0.33920907455784377</v>
      </c>
      <c r="C48" s="98">
        <f>(SUMIF('TB 24-25'!$Q:$Q,'NOTE 15-20'!$A48,'TB 24-25'!$E:$E)-SUMIF('TB 24-25'!$Q:$Q,'NOTE 15-20'!$A48,'TB 24-25'!$F:$F))</f>
        <v>3.5844668440480394</v>
      </c>
      <c r="D48" s="109">
        <f t="shared" si="0"/>
        <v>-33920.907455784378</v>
      </c>
      <c r="E48" s="109">
        <f t="shared" si="1"/>
        <v>358446.68440480396</v>
      </c>
    </row>
    <row r="49" spans="1:5" ht="14.4">
      <c r="A49" s="93" t="s">
        <v>555</v>
      </c>
      <c r="B49" s="85">
        <f>(SUMIF('TB 24-25'!$Q:$Q,'NOTE 15-20'!$A49,'TB 24-25'!$O:$O)-SUMIF('TB 24-25'!$Q:$Q,'NOTE 15-20'!$A49,'TB 24-25'!$P:$P))</f>
        <v>3.865907033333333</v>
      </c>
      <c r="C49" s="98">
        <f>(SUMIF('TB 24-25'!$Q:$Q,'NOTE 15-20'!$A49,'TB 24-25'!$E:$E)-SUMIF('TB 24-25'!$Q:$Q,'NOTE 15-20'!$A49,'TB 24-25'!$F:$F))</f>
        <v>3.4406091499999998</v>
      </c>
      <c r="D49" s="109">
        <f t="shared" si="0"/>
        <v>386590.70333333331</v>
      </c>
      <c r="E49" s="109">
        <f t="shared" si="1"/>
        <v>344060.91499999998</v>
      </c>
    </row>
    <row r="50" spans="1:5" ht="14.4">
      <c r="A50" s="93" t="s">
        <v>360</v>
      </c>
      <c r="B50" s="85">
        <f>(+'Sub Sch - p&amp;l'!B35)</f>
        <v>19.349467300000004</v>
      </c>
      <c r="C50" s="98">
        <f>(+'Sub Sch - p&amp;l'!C35)</f>
        <v>35.382688700000003</v>
      </c>
      <c r="D50" s="109">
        <f t="shared" si="0"/>
        <v>1934946.7300000004</v>
      </c>
      <c r="E50" s="109">
        <f t="shared" si="1"/>
        <v>3538268.87</v>
      </c>
    </row>
    <row r="51" spans="1:5" ht="14.4">
      <c r="A51" s="93" t="s">
        <v>482</v>
      </c>
      <c r="B51" s="85">
        <f>(+'Sub Sch - p&amp;l'!B43)</f>
        <v>19.999708900000002</v>
      </c>
      <c r="C51" s="98">
        <f>(+'Sub Sch - p&amp;l'!C43)</f>
        <v>18.392400000000002</v>
      </c>
      <c r="D51" s="109">
        <f t="shared" si="0"/>
        <v>1999970.8900000001</v>
      </c>
      <c r="E51" s="109">
        <f t="shared" si="1"/>
        <v>1839240.0000000002</v>
      </c>
    </row>
    <row r="52" spans="1:5" ht="14.4">
      <c r="A52" s="93" t="s">
        <v>1177</v>
      </c>
      <c r="B52" s="85">
        <f>(SUMIF('TB 24-25'!$Q:$Q,'NOTE 15-20'!$A52,'TB 24-25'!$O:$O)-SUMIF('TB 24-25'!$Q:$Q,'NOTE 15-20'!$A52,'TB 24-25'!$P:$P))</f>
        <v>3.6121699999999999</v>
      </c>
      <c r="C52" s="98">
        <f>(SUMIF('TB 24-25'!$Q:$Q,'NOTE 15-20'!$A52,'TB 24-25'!$E:$E)-SUMIF('TB 24-25'!$Q:$Q,'NOTE 15-20'!$A52,'TB 24-25'!$F:$F))</f>
        <v>16.042250000000003</v>
      </c>
      <c r="D52" s="109">
        <f t="shared" si="0"/>
        <v>361217</v>
      </c>
      <c r="E52" s="109">
        <f t="shared" si="1"/>
        <v>1604225.0000000002</v>
      </c>
    </row>
    <row r="53" spans="1:5" ht="14.4">
      <c r="A53" s="93" t="s">
        <v>435</v>
      </c>
      <c r="B53" s="85">
        <f>(+'Sub Sch - p&amp;l'!B51)</f>
        <v>21.350649999999998</v>
      </c>
      <c r="C53" s="98">
        <f>(+'Sub Sch - p&amp;l'!C51)</f>
        <v>25.26275</v>
      </c>
      <c r="D53" s="109">
        <f t="shared" si="0"/>
        <v>2135065</v>
      </c>
      <c r="E53" s="109">
        <f t="shared" si="1"/>
        <v>2526275</v>
      </c>
    </row>
    <row r="54" spans="1:5" ht="14.4">
      <c r="A54" s="93" t="s">
        <v>470</v>
      </c>
      <c r="B54" s="85">
        <f>(+'Sub Sch - p&amp;l'!B60)</f>
        <v>6.0953795</v>
      </c>
      <c r="C54" s="98">
        <f>(+'Sub Sch - p&amp;l'!C60)</f>
        <v>3.3584586000000001</v>
      </c>
      <c r="D54" s="109">
        <f t="shared" si="0"/>
        <v>609537.94999999995</v>
      </c>
      <c r="E54" s="109">
        <f t="shared" si="1"/>
        <v>335845.86</v>
      </c>
    </row>
    <row r="55" spans="1:5" ht="14.4">
      <c r="A55" s="93" t="s">
        <v>454</v>
      </c>
      <c r="B55" s="85">
        <f>(+'Sub Sch - p&amp;l'!B67)</f>
        <v>23.185835899999997</v>
      </c>
      <c r="C55" s="98">
        <f>(+'Sub Sch - p&amp;l'!C67)</f>
        <v>15.735289099999999</v>
      </c>
      <c r="D55" s="109">
        <f t="shared" si="0"/>
        <v>2318583.59</v>
      </c>
      <c r="E55" s="109">
        <f t="shared" si="1"/>
        <v>1573528.91</v>
      </c>
    </row>
    <row r="56" spans="1:5" ht="14.4">
      <c r="A56" s="93"/>
      <c r="B56" s="57"/>
      <c r="C56" s="94"/>
      <c r="D56" s="109">
        <f t="shared" si="0"/>
        <v>0</v>
      </c>
      <c r="E56" s="109">
        <f t="shared" si="1"/>
        <v>0</v>
      </c>
    </row>
    <row r="57" spans="1:5" ht="15" thickBot="1">
      <c r="A57" s="93"/>
      <c r="B57" s="101">
        <f>SUM(B44:B56)</f>
        <v>157.28139495877551</v>
      </c>
      <c r="C57" s="102">
        <f>SUM(C44:C56)</f>
        <v>138.65935659404806</v>
      </c>
      <c r="D57" s="109">
        <f t="shared" si="0"/>
        <v>15728139.495877551</v>
      </c>
      <c r="E57" s="109">
        <f t="shared" si="1"/>
        <v>13865935.659404807</v>
      </c>
    </row>
    <row r="58" spans="1:5" ht="15" thickTop="1">
      <c r="A58" s="93"/>
      <c r="B58" s="57"/>
      <c r="C58" s="94"/>
      <c r="D58" s="63"/>
    </row>
    <row r="59" spans="1:5" ht="14.4" hidden="1">
      <c r="A59" s="95" t="s">
        <v>928</v>
      </c>
      <c r="B59" s="96"/>
      <c r="C59" s="97"/>
      <c r="D59" s="63"/>
    </row>
    <row r="60" spans="1:5" ht="14.4" hidden="1">
      <c r="A60" s="93" t="s">
        <v>508</v>
      </c>
      <c r="B60" s="85">
        <f>(+'TB 24-25'!M286)/Deno</f>
        <v>1</v>
      </c>
      <c r="C60" s="98">
        <f>125000/Deno</f>
        <v>1.25</v>
      </c>
      <c r="D60" s="63"/>
    </row>
    <row r="61" spans="1:5" ht="14.4" hidden="1">
      <c r="A61" s="93" t="s">
        <v>929</v>
      </c>
      <c r="B61" s="85">
        <f>(+'TB 24-25'!M287)/Deno</f>
        <v>1.25</v>
      </c>
      <c r="C61" s="98">
        <f>100000/Deno</f>
        <v>1</v>
      </c>
      <c r="D61" s="63"/>
    </row>
    <row r="62" spans="1:5" ht="14.4" hidden="1">
      <c r="A62" s="93"/>
      <c r="B62" s="57"/>
      <c r="C62" s="94"/>
      <c r="D62" s="63"/>
    </row>
    <row r="63" spans="1:5" ht="15" hidden="1" thickBot="1">
      <c r="A63" s="93"/>
      <c r="B63" s="101">
        <f>SUM(B60:B62)</f>
        <v>2.25</v>
      </c>
      <c r="C63" s="102">
        <f>SUM(C60:C62)</f>
        <v>2.25</v>
      </c>
      <c r="D63" s="63"/>
    </row>
    <row r="64" spans="1:5" ht="15" thickBot="1">
      <c r="A64" s="147"/>
      <c r="B64" s="315"/>
      <c r="C64" s="237"/>
      <c r="D64" s="63"/>
    </row>
    <row r="65" spans="1:4">
      <c r="D65" s="63"/>
    </row>
    <row r="66" spans="1:4">
      <c r="A66" s="288"/>
      <c r="B66" s="288"/>
      <c r="C66" s="288"/>
      <c r="D66" s="63"/>
    </row>
    <row r="67" spans="1:4">
      <c r="D67" s="63"/>
    </row>
    <row r="68" spans="1:4">
      <c r="D68" s="63"/>
    </row>
    <row r="69" spans="1:4">
      <c r="D69" s="63"/>
    </row>
    <row r="70" spans="1:4">
      <c r="D70" s="63"/>
    </row>
    <row r="71" spans="1:4">
      <c r="D71" s="63"/>
    </row>
    <row r="72" spans="1:4">
      <c r="D72" s="63"/>
    </row>
    <row r="73" spans="1:4">
      <c r="D73" s="63"/>
    </row>
    <row r="74" spans="1:4">
      <c r="D74" s="63"/>
    </row>
    <row r="75" spans="1:4">
      <c r="D75" s="63"/>
    </row>
    <row r="76" spans="1:4">
      <c r="D76" s="63"/>
    </row>
    <row r="77" spans="1:4">
      <c r="D77" s="63"/>
    </row>
    <row r="78" spans="1:4">
      <c r="D78" s="63"/>
    </row>
    <row r="79" spans="1:4">
      <c r="D79" s="63"/>
    </row>
    <row r="80" spans="1:4">
      <c r="D80" s="63"/>
    </row>
    <row r="81" spans="4:4">
      <c r="D81" s="63"/>
    </row>
    <row r="82" spans="4:4">
      <c r="D82" s="63"/>
    </row>
    <row r="83" spans="4:4">
      <c r="D83" s="63"/>
    </row>
    <row r="84" spans="4:4">
      <c r="D84" s="63"/>
    </row>
    <row r="85" spans="4:4">
      <c r="D85" s="63"/>
    </row>
    <row r="86" spans="4:4">
      <c r="D86" s="63"/>
    </row>
    <row r="87" spans="4:4">
      <c r="D87" s="63"/>
    </row>
    <row r="88" spans="4:4">
      <c r="D88" s="63"/>
    </row>
    <row r="89" spans="4:4">
      <c r="D89" s="63"/>
    </row>
    <row r="90" spans="4:4">
      <c r="D90" s="63"/>
    </row>
    <row r="91" spans="4:4">
      <c r="D91" s="63"/>
    </row>
    <row r="92" spans="4:4">
      <c r="D92" s="63"/>
    </row>
    <row r="93" spans="4:4">
      <c r="D93" s="63"/>
    </row>
    <row r="94" spans="4:4">
      <c r="D94" s="63"/>
    </row>
  </sheetData>
  <sortState xmlns:xlrd2="http://schemas.microsoft.com/office/spreadsheetml/2017/richdata2" ref="D125:D137">
    <sortCondition ref="D137"/>
  </sortState>
  <mergeCells count="3">
    <mergeCell ref="A1:C1"/>
    <mergeCell ref="A2:C2"/>
    <mergeCell ref="A3:C3"/>
  </mergeCells>
  <phoneticPr fontId="8" type="noConversion"/>
  <printOptions horizontalCentered="1"/>
  <pageMargins left="0.15748031496062992" right="0.19685039370078741" top="0.27559055118110237" bottom="0.31496062992125984" header="0.15748031496062992" footer="0.39370078740157483"/>
  <pageSetup orientation="portrait" r:id="rId1"/>
  <headerFooter alignWithMargins="0"/>
  <rowBreaks count="1" manualBreakCount="1">
    <brk id="35" max="4"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4C87-123D-47C5-9B54-C4DE2FF89062}">
  <dimension ref="A1:E100"/>
  <sheetViews>
    <sheetView showGridLines="0" view="pageBreakPreview" topLeftCell="A6" zoomScale="103" zoomScaleNormal="50" zoomScaleSheetLayoutView="103" workbookViewId="0">
      <selection activeCell="I81" sqref="I81"/>
    </sheetView>
  </sheetViews>
  <sheetFormatPr defaultColWidth="9.109375" defaultRowHeight="13.8"/>
  <cols>
    <col min="1" max="1" width="52" style="161" customWidth="1"/>
    <col min="2" max="5" width="18.109375" style="161" customWidth="1"/>
    <col min="6" max="6" width="9.109375" style="161"/>
    <col min="7" max="7" width="10" style="161" bestFit="1" customWidth="1"/>
    <col min="8" max="8" width="12.6640625" style="161" bestFit="1" customWidth="1"/>
    <col min="9" max="9" width="18.109375" style="161" bestFit="1" customWidth="1"/>
    <col min="10" max="16384" width="9.109375" style="161"/>
  </cols>
  <sheetData>
    <row r="1" spans="1:5" ht="19.5" customHeight="1">
      <c r="A1" s="839" t="s">
        <v>58</v>
      </c>
      <c r="B1" s="840"/>
      <c r="C1" s="840"/>
      <c r="D1" s="840"/>
      <c r="E1" s="841"/>
    </row>
    <row r="2" spans="1:5" ht="16.5" customHeight="1">
      <c r="A2" s="842" t="s">
        <v>634</v>
      </c>
      <c r="B2" s="843"/>
      <c r="C2" s="843"/>
      <c r="D2" s="843"/>
      <c r="E2" s="844"/>
    </row>
    <row r="3" spans="1:5" ht="14.25" customHeight="1">
      <c r="A3" s="845" t="s">
        <v>578</v>
      </c>
      <c r="B3" s="846"/>
      <c r="C3" s="846"/>
      <c r="D3" s="846"/>
      <c r="E3" s="847"/>
    </row>
    <row r="4" spans="1:5" ht="15" customHeight="1" thickBot="1">
      <c r="A4" s="848" t="s">
        <v>61</v>
      </c>
      <c r="B4" s="849"/>
      <c r="C4" s="849"/>
      <c r="D4" s="849"/>
      <c r="E4" s="850"/>
    </row>
    <row r="5" spans="1:5" ht="14.4">
      <c r="A5" s="851"/>
      <c r="B5" s="852"/>
      <c r="C5" s="439"/>
      <c r="D5" s="440"/>
      <c r="E5" s="441"/>
    </row>
    <row r="6" spans="1:5" ht="14.4">
      <c r="A6" s="442" t="s">
        <v>1172</v>
      </c>
      <c r="B6" s="443"/>
      <c r="C6" s="444"/>
      <c r="D6" s="445"/>
      <c r="E6" s="177"/>
    </row>
    <row r="7" spans="1:5" ht="14.4">
      <c r="A7" s="481" t="s">
        <v>635</v>
      </c>
      <c r="B7" s="447"/>
      <c r="C7" s="447"/>
      <c r="D7" s="445"/>
      <c r="E7" s="177"/>
    </row>
    <row r="8" spans="1:5" ht="15.75" customHeight="1">
      <c r="A8" s="831" t="s">
        <v>636</v>
      </c>
      <c r="B8" s="832"/>
      <c r="C8" s="832"/>
      <c r="D8" s="832"/>
      <c r="E8" s="833"/>
    </row>
    <row r="9" spans="1:5" ht="8.25" customHeight="1">
      <c r="A9" s="483"/>
      <c r="B9" s="484"/>
      <c r="C9" s="165"/>
      <c r="D9" s="484"/>
      <c r="E9" s="177"/>
    </row>
    <row r="10" spans="1:5" ht="14.4">
      <c r="A10" s="481" t="s">
        <v>637</v>
      </c>
      <c r="B10" s="447"/>
      <c r="C10" s="638" t="s">
        <v>1143</v>
      </c>
      <c r="D10" s="445"/>
      <c r="E10" s="177"/>
    </row>
    <row r="11" spans="1:5" ht="14.4">
      <c r="A11" s="485" t="s">
        <v>44</v>
      </c>
      <c r="B11" s="486" t="s">
        <v>638</v>
      </c>
      <c r="C11" s="487" t="s">
        <v>639</v>
      </c>
      <c r="E11" s="177"/>
    </row>
    <row r="12" spans="1:5" ht="14.4">
      <c r="A12" s="488" t="s">
        <v>640</v>
      </c>
      <c r="B12" s="489">
        <f>+PL!D34*Deno</f>
        <v>1960906.153261255</v>
      </c>
      <c r="C12" s="489">
        <f>+PL!E34*Deno</f>
        <v>-5021090.5027556662</v>
      </c>
      <c r="E12" s="177"/>
    </row>
    <row r="13" spans="1:5" ht="14.4">
      <c r="A13" s="488" t="s">
        <v>641</v>
      </c>
      <c r="B13" s="490">
        <v>20000</v>
      </c>
      <c r="C13" s="491">
        <v>20000</v>
      </c>
      <c r="E13" s="177"/>
    </row>
    <row r="14" spans="1:5" ht="14.4">
      <c r="A14" s="488" t="s">
        <v>642</v>
      </c>
      <c r="B14" s="490">
        <f>B12/B13</f>
        <v>98.045307663062744</v>
      </c>
      <c r="C14" s="491">
        <f>C12/C13</f>
        <v>-251.05452513778332</v>
      </c>
      <c r="E14" s="177"/>
    </row>
    <row r="15" spans="1:5" ht="14.4">
      <c r="A15" s="488" t="s">
        <v>643</v>
      </c>
      <c r="B15" s="490">
        <f>B12</f>
        <v>1960906.153261255</v>
      </c>
      <c r="C15" s="491">
        <f>C12</f>
        <v>-5021090.5027556662</v>
      </c>
      <c r="E15" s="177"/>
    </row>
    <row r="16" spans="1:5" ht="14.4">
      <c r="A16" s="488" t="s">
        <v>644</v>
      </c>
      <c r="B16" s="490">
        <v>20000</v>
      </c>
      <c r="C16" s="491">
        <v>20000</v>
      </c>
      <c r="E16" s="177"/>
    </row>
    <row r="17" spans="1:5" ht="14.4">
      <c r="A17" s="488" t="s">
        <v>645</v>
      </c>
      <c r="B17" s="490">
        <f>B15/B16</f>
        <v>98.045307663062744</v>
      </c>
      <c r="C17" s="491">
        <f>C15/C16</f>
        <v>-251.05452513778332</v>
      </c>
      <c r="E17" s="177"/>
    </row>
    <row r="18" spans="1:5" ht="14.4">
      <c r="A18" s="446"/>
      <c r="B18" s="447"/>
      <c r="C18" s="447"/>
      <c r="D18" s="445"/>
      <c r="E18" s="177"/>
    </row>
    <row r="19" spans="1:5" ht="14.4">
      <c r="A19" s="492" t="s">
        <v>646</v>
      </c>
      <c r="B19" s="445"/>
      <c r="C19" s="445"/>
      <c r="D19" s="445"/>
      <c r="E19" s="177"/>
    </row>
    <row r="20" spans="1:5" ht="14.4">
      <c r="A20" s="485" t="s">
        <v>44</v>
      </c>
      <c r="B20" s="486" t="s">
        <v>638</v>
      </c>
      <c r="C20" s="487" t="s">
        <v>639</v>
      </c>
      <c r="D20" s="445"/>
      <c r="E20" s="177"/>
    </row>
    <row r="21" spans="1:5" ht="14.4">
      <c r="A21" s="639" t="s">
        <v>647</v>
      </c>
      <c r="B21" s="493" t="str">
        <f>+"Rs. "&amp;42171960.92/Deno</f>
        <v>Rs. 421.7196092</v>
      </c>
      <c r="C21" s="493" t="str">
        <f>+"Rs. "&amp;44486684.12/Deno</f>
        <v>Rs. 444.8668412</v>
      </c>
      <c r="D21" s="445"/>
      <c r="E21" s="177"/>
    </row>
    <row r="22" spans="1:5" ht="14.4">
      <c r="A22" s="446"/>
      <c r="B22" s="445"/>
      <c r="C22" s="447"/>
      <c r="D22" s="445"/>
      <c r="E22" s="177"/>
    </row>
    <row r="23" spans="1:5" ht="14.4">
      <c r="A23" s="492" t="s">
        <v>648</v>
      </c>
      <c r="B23" s="445"/>
      <c r="C23" s="445"/>
      <c r="D23" s="445"/>
      <c r="E23" s="494"/>
    </row>
    <row r="24" spans="1:5" ht="14.4">
      <c r="A24" s="485" t="s">
        <v>44</v>
      </c>
      <c r="B24" s="486" t="s">
        <v>638</v>
      </c>
      <c r="C24" s="487" t="s">
        <v>639</v>
      </c>
      <c r="D24" s="445"/>
      <c r="E24" s="494"/>
    </row>
    <row r="25" spans="1:5" ht="14.4">
      <c r="A25" s="488" t="s">
        <v>1142</v>
      </c>
      <c r="B25" s="493" t="str">
        <f>+"Rs. "&amp;71090808.79/Deno</f>
        <v>Rs. 710.9080879</v>
      </c>
      <c r="C25" s="582" t="str">
        <f>+"Rs. "&amp;50032407.77/Deno</f>
        <v>Rs. 500.3240777</v>
      </c>
      <c r="D25" s="445"/>
      <c r="E25" s="494"/>
    </row>
    <row r="26" spans="1:5" ht="14.4">
      <c r="A26" s="446"/>
      <c r="B26" s="447"/>
      <c r="C26" s="447"/>
      <c r="D26" s="445"/>
      <c r="E26" s="177"/>
    </row>
    <row r="27" spans="1:5" ht="14.4">
      <c r="A27" s="442" t="s">
        <v>649</v>
      </c>
      <c r="B27" s="447"/>
      <c r="C27" s="447"/>
      <c r="D27" s="445"/>
      <c r="E27" s="177"/>
    </row>
    <row r="28" spans="1:5" ht="14.4">
      <c r="A28" s="481" t="s">
        <v>650</v>
      </c>
      <c r="B28" s="495"/>
      <c r="C28" s="495"/>
      <c r="D28" s="445"/>
      <c r="E28" s="177"/>
    </row>
    <row r="29" spans="1:5" ht="14.4">
      <c r="A29" s="481" t="s">
        <v>651</v>
      </c>
      <c r="B29" s="496"/>
      <c r="C29" s="496"/>
      <c r="D29" s="445"/>
      <c r="E29" s="177"/>
    </row>
    <row r="30" spans="1:5" ht="14.4">
      <c r="A30" s="497" t="s">
        <v>652</v>
      </c>
      <c r="B30" s="496"/>
      <c r="C30" s="496"/>
      <c r="D30" s="445"/>
      <c r="E30" s="177"/>
    </row>
    <row r="31" spans="1:5" ht="14.4">
      <c r="A31" s="497" t="s">
        <v>653</v>
      </c>
      <c r="B31" s="496"/>
      <c r="C31" s="496"/>
      <c r="D31" s="445"/>
      <c r="E31" s="177"/>
    </row>
    <row r="32" spans="1:5" ht="14.4">
      <c r="A32" s="446"/>
      <c r="B32" s="496"/>
      <c r="C32" s="496"/>
      <c r="D32" s="445"/>
      <c r="E32" s="177"/>
    </row>
    <row r="33" spans="1:5" ht="14.4">
      <c r="A33" s="481" t="s">
        <v>654</v>
      </c>
      <c r="B33" s="496"/>
      <c r="C33" s="496"/>
      <c r="D33" s="445"/>
      <c r="E33" s="177"/>
    </row>
    <row r="34" spans="1:5" ht="14.4">
      <c r="A34" s="498" t="s">
        <v>655</v>
      </c>
      <c r="B34" s="834"/>
      <c r="C34" s="834"/>
      <c r="D34" s="445"/>
      <c r="E34" s="177"/>
    </row>
    <row r="35" spans="1:5" ht="14.4">
      <c r="A35" s="498" t="s">
        <v>656</v>
      </c>
      <c r="B35" s="835"/>
      <c r="C35" s="835"/>
      <c r="D35" s="445"/>
      <c r="E35" s="177"/>
    </row>
    <row r="36" spans="1:5" ht="14.4">
      <c r="A36" s="498" t="s">
        <v>657</v>
      </c>
      <c r="B36" s="835"/>
      <c r="C36" s="835"/>
      <c r="D36" s="445"/>
      <c r="E36" s="177"/>
    </row>
    <row r="37" spans="1:5" ht="14.4">
      <c r="A37" s="500"/>
      <c r="B37" s="499"/>
      <c r="C37" s="499"/>
      <c r="D37" s="445"/>
      <c r="E37" s="177"/>
    </row>
    <row r="38" spans="1:5" ht="14.4">
      <c r="A38" s="501" t="s">
        <v>658</v>
      </c>
      <c r="B38" s="499"/>
      <c r="C38" s="499"/>
      <c r="D38" s="445"/>
      <c r="E38" s="177"/>
    </row>
    <row r="39" spans="1:5" ht="44.25" customHeight="1">
      <c r="A39" s="836" t="s">
        <v>659</v>
      </c>
      <c r="B39" s="837" t="s">
        <v>660</v>
      </c>
      <c r="C39" s="837" t="s">
        <v>661</v>
      </c>
      <c r="D39" s="837"/>
      <c r="E39" s="838" t="s">
        <v>662</v>
      </c>
    </row>
    <row r="40" spans="1:5" ht="14.4">
      <c r="A40" s="836"/>
      <c r="B40" s="837"/>
      <c r="C40" s="502" t="s">
        <v>663</v>
      </c>
      <c r="D40" s="502" t="s">
        <v>664</v>
      </c>
      <c r="E40" s="838"/>
    </row>
    <row r="41" spans="1:5" ht="14.4">
      <c r="A41" s="488" t="s">
        <v>655</v>
      </c>
      <c r="B41" s="452"/>
      <c r="C41" s="491"/>
      <c r="D41" s="452"/>
      <c r="E41" s="503"/>
    </row>
    <row r="42" spans="1:5" ht="14.4">
      <c r="A42" s="504" t="s">
        <v>665</v>
      </c>
      <c r="B42" s="505">
        <v>-106848.22</v>
      </c>
      <c r="C42" s="505">
        <v>0</v>
      </c>
      <c r="D42" s="505">
        <v>822420.91999999993</v>
      </c>
      <c r="E42" s="506">
        <f>+B42-D42</f>
        <v>-929269.1399999999</v>
      </c>
    </row>
    <row r="43" spans="1:5" ht="14.4">
      <c r="A43" s="504" t="s">
        <v>666</v>
      </c>
      <c r="B43" s="505">
        <v>-589181.46999999951</v>
      </c>
      <c r="C43" s="507">
        <v>436105.24000000005</v>
      </c>
      <c r="D43" s="505">
        <v>0</v>
      </c>
      <c r="E43" s="506">
        <f>+B43+C43-D43</f>
        <v>-153076.22999999946</v>
      </c>
    </row>
    <row r="44" spans="1:5" ht="14.4">
      <c r="A44" s="488" t="s">
        <v>656</v>
      </c>
      <c r="B44" s="452"/>
      <c r="C44" s="508"/>
      <c r="D44" s="505"/>
      <c r="E44" s="509"/>
    </row>
    <row r="45" spans="1:5" ht="14.4">
      <c r="A45" s="504" t="s">
        <v>665</v>
      </c>
      <c r="B45" s="505">
        <v>-1029992.7227819997</v>
      </c>
      <c r="C45" s="505">
        <v>65217.568189999831</v>
      </c>
      <c r="D45" s="505">
        <v>33195207.619999982</v>
      </c>
      <c r="E45" s="506">
        <f>+B45+C45-D45</f>
        <v>-34159982.774591982</v>
      </c>
    </row>
    <row r="46" spans="1:5" ht="14.4">
      <c r="A46" s="504" t="s">
        <v>666</v>
      </c>
      <c r="B46" s="505">
        <v>-117479.42194899992</v>
      </c>
      <c r="C46" s="507">
        <v>579932.95079999999</v>
      </c>
      <c r="D46" s="505">
        <v>0</v>
      </c>
      <c r="E46" s="506">
        <f>+B46+C46-D46</f>
        <v>462453.52885100007</v>
      </c>
    </row>
    <row r="47" spans="1:5" ht="14.4">
      <c r="A47" s="488" t="s">
        <v>657</v>
      </c>
      <c r="B47" s="452"/>
      <c r="C47" s="510"/>
      <c r="D47" s="505"/>
      <c r="E47" s="511"/>
    </row>
    <row r="48" spans="1:5" ht="14.4">
      <c r="A48" s="504" t="s">
        <v>666</v>
      </c>
      <c r="B48" s="505">
        <v>26639513.539999999</v>
      </c>
      <c r="C48" s="507">
        <f>8031445.53+4081269.3</f>
        <v>12112714.83</v>
      </c>
      <c r="D48" s="505">
        <v>12675242.539999999</v>
      </c>
      <c r="E48" s="506">
        <f>+B48+C48-D48</f>
        <v>26076985.829999998</v>
      </c>
    </row>
    <row r="49" spans="1:5" ht="14.4">
      <c r="A49" s="504" t="s">
        <v>665</v>
      </c>
      <c r="B49" s="505">
        <v>-26074600</v>
      </c>
      <c r="C49" s="507">
        <v>0</v>
      </c>
      <c r="D49" s="505">
        <v>135504.66999999998</v>
      </c>
      <c r="E49" s="506">
        <f>+B49+C49-D49</f>
        <v>-26210104.670000002</v>
      </c>
    </row>
    <row r="50" spans="1:5" ht="14.4">
      <c r="A50" s="504" t="s">
        <v>667</v>
      </c>
      <c r="B50" s="505">
        <f>+'Sub-Schedule'!B9-'Sub-Schedule'!C9</f>
        <v>214646.99</v>
      </c>
      <c r="C50" s="507">
        <v>0</v>
      </c>
      <c r="D50" s="505">
        <v>0</v>
      </c>
      <c r="E50" s="512">
        <f>+'Sub-Schedule'!D9-'Sub-Schedule'!E9</f>
        <v>214646.99</v>
      </c>
    </row>
    <row r="51" spans="1:5" ht="14.4">
      <c r="A51" s="504" t="s">
        <v>668</v>
      </c>
      <c r="B51" s="505">
        <f>+SUM('Sub-Schedule'!B5:B6)-SUM('Sub-Schedule'!C5:C6)</f>
        <v>-15934801.830000002</v>
      </c>
      <c r="C51" s="513">
        <v>0</v>
      </c>
      <c r="D51" s="505">
        <v>0</v>
      </c>
      <c r="E51" s="512">
        <f>+SUM('Sub-Schedule'!D5:D6)-SUM('Sub-Schedule'!E5:E6)</f>
        <v>-15934801.830000002</v>
      </c>
    </row>
    <row r="52" spans="1:5" ht="10.5" customHeight="1">
      <c r="A52" s="500"/>
      <c r="B52" s="499"/>
      <c r="C52" s="499"/>
      <c r="D52" s="445"/>
      <c r="E52" s="177"/>
    </row>
    <row r="53" spans="1:5" ht="14.4">
      <c r="A53" s="492" t="s">
        <v>669</v>
      </c>
      <c r="B53" s="496"/>
      <c r="C53" s="445"/>
      <c r="D53" s="445"/>
      <c r="E53" s="177"/>
    </row>
    <row r="54" spans="1:5" ht="15" customHeight="1">
      <c r="A54" s="514" t="s">
        <v>105</v>
      </c>
      <c r="B54" s="496"/>
      <c r="C54" s="496"/>
      <c r="D54" s="445"/>
      <c r="E54" s="177"/>
    </row>
    <row r="55" spans="1:5" ht="15" customHeight="1">
      <c r="A55" s="514"/>
      <c r="B55" s="496"/>
      <c r="C55" s="496"/>
      <c r="D55" s="445"/>
      <c r="E55" s="177"/>
    </row>
    <row r="56" spans="1:5" ht="15" customHeight="1">
      <c r="A56" s="492" t="s">
        <v>670</v>
      </c>
      <c r="B56" s="496"/>
      <c r="C56" s="496"/>
      <c r="D56" s="445"/>
      <c r="E56" s="177"/>
    </row>
    <row r="57" spans="1:5" ht="15" customHeight="1">
      <c r="A57" s="556" t="s">
        <v>671</v>
      </c>
      <c r="B57" s="557" t="s">
        <v>672</v>
      </c>
      <c r="C57" s="496"/>
      <c r="D57" s="445"/>
      <c r="E57" s="177"/>
    </row>
    <row r="58" spans="1:5" ht="15" customHeight="1">
      <c r="A58" s="515" t="s">
        <v>106</v>
      </c>
      <c r="B58" s="516">
        <v>1800000</v>
      </c>
      <c r="C58" s="496"/>
      <c r="D58" s="445"/>
      <c r="E58" s="177"/>
    </row>
    <row r="59" spans="1:5" ht="15" customHeight="1">
      <c r="A59" s="442"/>
      <c r="B59" s="443"/>
      <c r="C59" s="443"/>
      <c r="D59" s="445"/>
      <c r="E59" s="177"/>
    </row>
    <row r="60" spans="1:5" ht="12.75" customHeight="1">
      <c r="A60" s="442" t="s">
        <v>673</v>
      </c>
      <c r="B60" s="443"/>
      <c r="C60" s="443"/>
      <c r="D60" s="445"/>
      <c r="E60" s="177"/>
    </row>
    <row r="61" spans="1:5" ht="29.25" customHeight="1">
      <c r="A61" s="819" t="s">
        <v>674</v>
      </c>
      <c r="B61" s="820"/>
      <c r="C61" s="820"/>
      <c r="D61" s="820"/>
      <c r="E61" s="821"/>
    </row>
    <row r="62" spans="1:5" ht="35.25" customHeight="1">
      <c r="A62" s="819" t="s">
        <v>675</v>
      </c>
      <c r="B62" s="820"/>
      <c r="C62" s="820"/>
      <c r="D62" s="820"/>
      <c r="E62" s="821"/>
    </row>
    <row r="63" spans="1:5" ht="38.4" customHeight="1">
      <c r="A63" s="828" t="s">
        <v>676</v>
      </c>
      <c r="B63" s="829"/>
      <c r="C63" s="829"/>
      <c r="D63" s="829"/>
      <c r="E63" s="830"/>
    </row>
    <row r="64" spans="1:5" ht="21" customHeight="1">
      <c r="A64" s="518" t="s">
        <v>677</v>
      </c>
      <c r="B64" s="445"/>
      <c r="C64" s="445"/>
      <c r="D64" s="445"/>
      <c r="E64" s="177"/>
    </row>
    <row r="65" spans="1:5" ht="22.5" customHeight="1" thickBot="1">
      <c r="A65" s="822" t="s">
        <v>678</v>
      </c>
      <c r="B65" s="823"/>
      <c r="C65" s="823"/>
      <c r="D65" s="823"/>
      <c r="E65" s="824"/>
    </row>
    <row r="66" spans="1:5" ht="40.5" customHeight="1" thickBot="1">
      <c r="A66" s="825" t="s">
        <v>679</v>
      </c>
      <c r="B66" s="826"/>
      <c r="C66" s="826"/>
      <c r="D66" s="826"/>
      <c r="E66" s="827"/>
    </row>
    <row r="67" spans="1:5" ht="14.4">
      <c r="A67" s="521" t="s">
        <v>44</v>
      </c>
      <c r="B67" s="522" t="s">
        <v>680</v>
      </c>
      <c r="C67" s="814" t="s">
        <v>47</v>
      </c>
      <c r="D67" s="814"/>
      <c r="E67" s="815"/>
    </row>
    <row r="68" spans="1:5" ht="33" customHeight="1">
      <c r="A68" s="523" t="s">
        <v>1144</v>
      </c>
      <c r="B68" s="524">
        <v>14110730.380000001</v>
      </c>
      <c r="C68" s="803" t="s">
        <v>1145</v>
      </c>
      <c r="D68" s="804"/>
      <c r="E68" s="805"/>
    </row>
    <row r="69" spans="1:5" ht="33" customHeight="1">
      <c r="A69" s="523" t="s">
        <v>681</v>
      </c>
      <c r="B69" s="524">
        <v>-14902244.9</v>
      </c>
      <c r="C69" s="816" t="s">
        <v>682</v>
      </c>
      <c r="D69" s="817"/>
      <c r="E69" s="818"/>
    </row>
    <row r="70" spans="1:5" ht="33" customHeight="1">
      <c r="A70" s="523" t="s">
        <v>683</v>
      </c>
      <c r="B70" s="524">
        <v>-5959480</v>
      </c>
      <c r="C70" s="816" t="s">
        <v>684</v>
      </c>
      <c r="D70" s="817"/>
      <c r="E70" s="818"/>
    </row>
    <row r="71" spans="1:5" ht="33" customHeight="1">
      <c r="A71" s="523" t="s">
        <v>685</v>
      </c>
      <c r="B71" s="524">
        <v>-228009</v>
      </c>
      <c r="C71" s="803" t="s">
        <v>686</v>
      </c>
      <c r="D71" s="804"/>
      <c r="E71" s="805"/>
    </row>
    <row r="72" spans="1:5" ht="33" customHeight="1">
      <c r="A72" s="523" t="s">
        <v>687</v>
      </c>
      <c r="B72" s="524">
        <v>-287114</v>
      </c>
      <c r="C72" s="803" t="s">
        <v>686</v>
      </c>
      <c r="D72" s="804"/>
      <c r="E72" s="805"/>
    </row>
    <row r="73" spans="1:5" ht="33" customHeight="1">
      <c r="A73" s="523" t="s">
        <v>688</v>
      </c>
      <c r="B73" s="524">
        <v>424989</v>
      </c>
      <c r="C73" s="803" t="s">
        <v>686</v>
      </c>
      <c r="D73" s="804"/>
      <c r="E73" s="805"/>
    </row>
    <row r="74" spans="1:5" ht="33" customHeight="1">
      <c r="A74" s="523" t="s">
        <v>689</v>
      </c>
      <c r="B74" s="524">
        <v>195027</v>
      </c>
      <c r="C74" s="803" t="s">
        <v>686</v>
      </c>
      <c r="D74" s="804"/>
      <c r="E74" s="805"/>
    </row>
    <row r="75" spans="1:5" ht="33" customHeight="1" thickBot="1">
      <c r="A75" s="525" t="s">
        <v>690</v>
      </c>
      <c r="B75" s="526">
        <v>-488812</v>
      </c>
      <c r="C75" s="806" t="s">
        <v>686</v>
      </c>
      <c r="D75" s="807"/>
      <c r="E75" s="808"/>
    </row>
    <row r="76" spans="1:5" ht="33" customHeight="1">
      <c r="A76" s="809" t="s">
        <v>691</v>
      </c>
      <c r="B76" s="810"/>
      <c r="C76" s="810"/>
      <c r="D76" s="810"/>
      <c r="E76" s="811"/>
    </row>
    <row r="77" spans="1:5" ht="73.5" customHeight="1">
      <c r="A77" s="809" t="s">
        <v>692</v>
      </c>
      <c r="B77" s="810"/>
      <c r="C77" s="810"/>
      <c r="D77" s="810"/>
      <c r="E77" s="811"/>
    </row>
    <row r="78" spans="1:5" ht="103.2" customHeight="1">
      <c r="A78" s="812" t="s">
        <v>1174</v>
      </c>
      <c r="B78" s="812"/>
      <c r="C78" s="812"/>
      <c r="D78" s="812"/>
      <c r="E78" s="813"/>
    </row>
    <row r="79" spans="1:5" ht="63.75" customHeight="1">
      <c r="A79" s="809" t="s">
        <v>693</v>
      </c>
      <c r="B79" s="810"/>
      <c r="C79" s="810"/>
      <c r="D79" s="810"/>
      <c r="E79" s="811"/>
    </row>
    <row r="80" spans="1:5" ht="14.4">
      <c r="A80" s="528" t="s">
        <v>694</v>
      </c>
      <c r="B80" s="555" t="s">
        <v>680</v>
      </c>
      <c r="C80" s="517"/>
      <c r="D80" s="517"/>
      <c r="E80" s="177"/>
    </row>
    <row r="81" spans="1:5" ht="14.4">
      <c r="A81" s="523" t="s">
        <v>695</v>
      </c>
      <c r="B81" s="554">
        <v>3587968</v>
      </c>
      <c r="C81" s="517"/>
      <c r="D81" s="517"/>
      <c r="E81" s="177"/>
    </row>
    <row r="82" spans="1:5" ht="15" customHeight="1">
      <c r="A82" s="523" t="s">
        <v>696</v>
      </c>
      <c r="B82" s="554">
        <v>1278000</v>
      </c>
      <c r="C82" s="517"/>
      <c r="D82" s="517"/>
      <c r="E82" s="177"/>
    </row>
    <row r="83" spans="1:5" ht="15" customHeight="1">
      <c r="A83" s="523" t="s">
        <v>697</v>
      </c>
      <c r="B83" s="554">
        <v>277200</v>
      </c>
      <c r="C83" s="517"/>
      <c r="D83" s="517"/>
      <c r="E83" s="177"/>
    </row>
    <row r="84" spans="1:5" ht="15" customHeight="1">
      <c r="A84" s="523" t="s">
        <v>698</v>
      </c>
      <c r="B84" s="554">
        <v>145000</v>
      </c>
      <c r="C84" s="517"/>
      <c r="D84" s="517"/>
      <c r="E84" s="177"/>
    </row>
    <row r="85" spans="1:5" ht="14.4">
      <c r="A85" s="523" t="s">
        <v>699</v>
      </c>
      <c r="B85" s="554">
        <v>40000</v>
      </c>
      <c r="C85" s="517"/>
      <c r="D85" s="517"/>
      <c r="E85" s="177"/>
    </row>
    <row r="86" spans="1:5" ht="15" thickBot="1">
      <c r="A86" s="519"/>
      <c r="B86" s="529"/>
      <c r="C86" s="520"/>
      <c r="D86" s="520"/>
      <c r="E86" s="177"/>
    </row>
    <row r="87" spans="1:5" ht="14.4">
      <c r="A87" s="530"/>
      <c r="B87" s="531"/>
      <c r="C87" s="531"/>
      <c r="D87" s="531"/>
      <c r="E87" s="532"/>
    </row>
    <row r="88" spans="1:5" ht="14.4">
      <c r="A88" s="481" t="s">
        <v>700</v>
      </c>
      <c r="B88" s="444"/>
      <c r="C88" s="482" t="str">
        <f>+CFS!B48</f>
        <v xml:space="preserve">For and on behalf of </v>
      </c>
      <c r="E88" s="494"/>
    </row>
    <row r="89" spans="1:5" ht="14.4">
      <c r="A89" s="481" t="s">
        <v>701</v>
      </c>
      <c r="B89" s="444"/>
      <c r="C89" s="443" t="str">
        <f>+CFS!B49</f>
        <v>CARGO INTERNATIONAL (INDIA) PVT. LTD</v>
      </c>
      <c r="E89" s="533"/>
    </row>
    <row r="90" spans="1:5" ht="14.4">
      <c r="A90" s="481" t="s">
        <v>702</v>
      </c>
      <c r="B90" s="444"/>
      <c r="C90" s="534"/>
      <c r="D90" s="535"/>
      <c r="E90" s="536"/>
    </row>
    <row r="91" spans="1:5" ht="15.6" customHeight="1">
      <c r="A91" s="446"/>
      <c r="B91" s="447"/>
      <c r="C91" s="527"/>
      <c r="D91" s="535"/>
      <c r="E91" s="536"/>
    </row>
    <row r="92" spans="1:5" ht="15.6" customHeight="1">
      <c r="A92" s="446"/>
      <c r="B92" s="447"/>
      <c r="C92" s="537"/>
      <c r="D92" s="535"/>
      <c r="E92" s="536"/>
    </row>
    <row r="93" spans="1:5" ht="15.6" customHeight="1">
      <c r="A93" s="446"/>
      <c r="B93" s="447"/>
      <c r="C93" s="527"/>
      <c r="D93" s="535"/>
      <c r="E93" s="536"/>
    </row>
    <row r="94" spans="1:5" ht="15.6" customHeight="1">
      <c r="A94" s="481" t="str">
        <f>+CFS!A55</f>
        <v>K M Sethu</v>
      </c>
      <c r="B94" s="444"/>
      <c r="C94" s="538" t="str">
        <f>+CFS!B55</f>
        <v>Suresh Padmanabhan</v>
      </c>
      <c r="D94" s="538"/>
      <c r="E94" s="533" t="s">
        <v>106</v>
      </c>
    </row>
    <row r="95" spans="1:5" ht="15.6" customHeight="1">
      <c r="A95" s="481" t="str">
        <f>+CFS!A56</f>
        <v>Partner</v>
      </c>
      <c r="B95" s="444"/>
      <c r="C95" s="538" t="str">
        <f>+CFS!B56</f>
        <v>Director</v>
      </c>
      <c r="D95" s="538"/>
      <c r="E95" s="533" t="s">
        <v>108</v>
      </c>
    </row>
    <row r="96" spans="1:5" ht="15.6" customHeight="1">
      <c r="A96" s="481" t="str">
        <f>+CFS!A57</f>
        <v>M.No.231703</v>
      </c>
      <c r="B96" s="444"/>
      <c r="C96" s="538" t="str">
        <f>+CFS!B57</f>
        <v>DIN: 08284074</v>
      </c>
      <c r="D96" s="538"/>
      <c r="E96" s="533" t="s">
        <v>111</v>
      </c>
    </row>
    <row r="97" spans="1:5" ht="14.4">
      <c r="A97" s="481" t="str">
        <f>+CFS!A58</f>
        <v xml:space="preserve"> Place : Chennai</v>
      </c>
      <c r="B97" s="444"/>
      <c r="C97" s="445" t="str">
        <f>+CFS!B58</f>
        <v>Place : Birmingham</v>
      </c>
      <c r="E97" s="494" t="str">
        <f>+CFS!D58</f>
        <v>Place : Chennai</v>
      </c>
    </row>
    <row r="98" spans="1:5" ht="14.4">
      <c r="A98" s="481" t="str">
        <f>+CFS!A59</f>
        <v xml:space="preserve"> Date : </v>
      </c>
      <c r="B98" s="496"/>
      <c r="C98" s="445" t="str">
        <f>+CFS!B59</f>
        <v xml:space="preserve">Date: </v>
      </c>
      <c r="D98" s="445"/>
      <c r="E98" s="494" t="str">
        <f>+CFS!D59</f>
        <v xml:space="preserve">Date: </v>
      </c>
    </row>
    <row r="99" spans="1:5" ht="14.4">
      <c r="A99" s="446" t="str">
        <f>+CFS!A60</f>
        <v xml:space="preserve"> UDIN :  </v>
      </c>
      <c r="B99" s="496"/>
      <c r="C99" s="496"/>
      <c r="D99" s="445"/>
      <c r="E99" s="177"/>
    </row>
    <row r="100" spans="1:5" ht="15" thickBot="1">
      <c r="A100" s="539"/>
      <c r="B100" s="540"/>
      <c r="C100" s="540"/>
      <c r="D100" s="540"/>
      <c r="E100" s="480"/>
    </row>
  </sheetData>
  <mergeCells count="31">
    <mergeCell ref="A1:E1"/>
    <mergeCell ref="A2:E2"/>
    <mergeCell ref="A3:E3"/>
    <mergeCell ref="A4:E4"/>
    <mergeCell ref="A5:B5"/>
    <mergeCell ref="A8:E8"/>
    <mergeCell ref="B34:C34"/>
    <mergeCell ref="B35:C35"/>
    <mergeCell ref="B36:C36"/>
    <mergeCell ref="A39:A40"/>
    <mergeCell ref="B39:B40"/>
    <mergeCell ref="C39:D39"/>
    <mergeCell ref="E39:E40"/>
    <mergeCell ref="A61:E61"/>
    <mergeCell ref="A62:E62"/>
    <mergeCell ref="A65:E65"/>
    <mergeCell ref="A66:E66"/>
    <mergeCell ref="A63:E63"/>
    <mergeCell ref="C67:E67"/>
    <mergeCell ref="C71:E71"/>
    <mergeCell ref="C72:E72"/>
    <mergeCell ref="C73:E73"/>
    <mergeCell ref="C68:E68"/>
    <mergeCell ref="C70:E70"/>
    <mergeCell ref="C69:E69"/>
    <mergeCell ref="C74:E74"/>
    <mergeCell ref="C75:E75"/>
    <mergeCell ref="A77:E77"/>
    <mergeCell ref="A79:E79"/>
    <mergeCell ref="A76:E76"/>
    <mergeCell ref="A78:E78"/>
  </mergeCells>
  <printOptions horizontalCentered="1"/>
  <pageMargins left="0.35433070866141736" right="0.31496062992125984" top="0.35433070866141736" bottom="0.35433070866141736" header="0.31496062992125984" footer="0.31496062992125984"/>
  <pageSetup paperSize="9" scale="75" fitToHeight="2" pageOrder="overThenDown" orientation="portrait" r:id="rId1"/>
  <rowBreaks count="1" manualBreakCount="1">
    <brk id="6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09912-E6C2-40EA-B813-4531BF8E5A25}">
  <dimension ref="A1:W87"/>
  <sheetViews>
    <sheetView showGridLines="0" tabSelected="1" view="pageBreakPreview" zoomScale="67" zoomScaleNormal="50" zoomScaleSheetLayoutView="85" workbookViewId="0">
      <selection activeCell="G67" sqref="G67"/>
    </sheetView>
  </sheetViews>
  <sheetFormatPr defaultColWidth="9.109375" defaultRowHeight="13.8"/>
  <cols>
    <col min="1" max="1" width="52" style="161" customWidth="1"/>
    <col min="2" max="2" width="16.5546875" style="161" bestFit="1" customWidth="1"/>
    <col min="3" max="4" width="13.44140625" style="161" customWidth="1"/>
    <col min="5" max="5" width="54.44140625" style="161" customWidth="1"/>
    <col min="6" max="8" width="9.109375" style="161"/>
    <col min="9" max="9" width="5.88671875" style="161" customWidth="1"/>
    <col min="10" max="10" width="29.5546875" style="161" bestFit="1" customWidth="1"/>
    <col min="11" max="11" width="35.5546875" style="161" bestFit="1" customWidth="1"/>
    <col min="12" max="12" width="16.109375" style="438" customWidth="1"/>
    <col min="13" max="13" width="15.109375" style="438" customWidth="1"/>
    <col min="14" max="14" width="16.44140625" style="438" customWidth="1"/>
    <col min="15" max="15" width="9.109375" style="161"/>
    <col min="16" max="16" width="13.6640625" style="161" bestFit="1" customWidth="1"/>
    <col min="17" max="17" width="12.109375" style="161" bestFit="1" customWidth="1"/>
    <col min="18" max="18" width="14.6640625" style="161" bestFit="1" customWidth="1"/>
    <col min="19" max="19" width="15.44140625" style="161" bestFit="1" customWidth="1"/>
    <col min="20" max="21" width="9.109375" style="161"/>
    <col min="22" max="22" width="15.44140625" style="161" bestFit="1" customWidth="1"/>
    <col min="23" max="23" width="16.5546875" style="161" bestFit="1" customWidth="1"/>
    <col min="24" max="16384" width="9.109375" style="161"/>
  </cols>
  <sheetData>
    <row r="1" spans="1:23" ht="19.5" customHeight="1">
      <c r="A1" s="839" t="s">
        <v>58</v>
      </c>
      <c r="B1" s="840"/>
      <c r="C1" s="840"/>
      <c r="D1" s="840"/>
      <c r="E1" s="841"/>
    </row>
    <row r="2" spans="1:23" ht="16.5" customHeight="1">
      <c r="A2" s="842" t="s">
        <v>634</v>
      </c>
      <c r="B2" s="843"/>
      <c r="C2" s="843"/>
      <c r="D2" s="843"/>
      <c r="E2" s="844"/>
    </row>
    <row r="3" spans="1:23" ht="14.25" customHeight="1">
      <c r="A3" s="845" t="s">
        <v>578</v>
      </c>
      <c r="B3" s="846"/>
      <c r="C3" s="846"/>
      <c r="D3" s="846"/>
      <c r="E3" s="847"/>
    </row>
    <row r="4" spans="1:23" ht="15" customHeight="1" thickBot="1">
      <c r="A4" s="848" t="s">
        <v>61</v>
      </c>
      <c r="B4" s="849"/>
      <c r="C4" s="849"/>
      <c r="D4" s="849"/>
      <c r="E4" s="850"/>
      <c r="I4" s="161" t="s">
        <v>61</v>
      </c>
    </row>
    <row r="5" spans="1:23" ht="14.4">
      <c r="A5" s="851"/>
      <c r="B5" s="852"/>
      <c r="C5" s="439"/>
      <c r="D5" s="440"/>
      <c r="E5" s="441"/>
    </row>
    <row r="6" spans="1:23" ht="14.4">
      <c r="A6" s="442" t="s">
        <v>1172</v>
      </c>
      <c r="B6" s="443"/>
      <c r="C6" s="444"/>
      <c r="D6" s="445"/>
      <c r="E6" s="177"/>
    </row>
    <row r="7" spans="1:23" ht="14.4">
      <c r="A7" s="446"/>
      <c r="B7" s="447"/>
      <c r="C7" s="447"/>
      <c r="D7" s="445"/>
      <c r="E7" s="177"/>
    </row>
    <row r="8" spans="1:23" ht="14.4">
      <c r="A8" s="442" t="s">
        <v>703</v>
      </c>
      <c r="B8" s="447"/>
      <c r="C8" s="447"/>
      <c r="D8" s="445"/>
      <c r="E8" s="177"/>
    </row>
    <row r="9" spans="1:23" ht="34.200000000000003" customHeight="1">
      <c r="A9" s="448" t="s">
        <v>44</v>
      </c>
      <c r="B9" s="449" t="str">
        <f>+'Add Notes'!B11</f>
        <v>2024 - 25</v>
      </c>
      <c r="C9" s="449" t="str">
        <f>+'Add Notes'!C11</f>
        <v>2023 - 24</v>
      </c>
      <c r="D9" s="450" t="s">
        <v>77</v>
      </c>
      <c r="E9" s="451" t="s">
        <v>704</v>
      </c>
      <c r="I9" s="452"/>
      <c r="J9" s="453" t="s">
        <v>705</v>
      </c>
      <c r="K9" s="452"/>
      <c r="L9" s="454"/>
      <c r="M9" s="454"/>
      <c r="N9" s="454"/>
    </row>
    <row r="10" spans="1:23" ht="24.6" customHeight="1">
      <c r="A10" s="455" t="s">
        <v>706</v>
      </c>
      <c r="B10" s="456">
        <f>+L11/L12</f>
        <v>1.1008568284118023</v>
      </c>
      <c r="C10" s="456">
        <f>+M11/M12</f>
        <v>0.95329218840388841</v>
      </c>
      <c r="D10" s="457">
        <f>IFERROR(+((B10-C10)/C10),"NA")</f>
        <v>0.1547947647142516</v>
      </c>
      <c r="E10" s="458"/>
      <c r="I10" s="452"/>
      <c r="J10" s="452"/>
      <c r="K10" s="452"/>
      <c r="L10" s="459" t="s">
        <v>1111</v>
      </c>
      <c r="M10" s="459" t="s">
        <v>707</v>
      </c>
      <c r="N10" s="459" t="s">
        <v>708</v>
      </c>
      <c r="V10" s="161" t="s">
        <v>708</v>
      </c>
    </row>
    <row r="11" spans="1:23" ht="24.6" customHeight="1">
      <c r="A11" s="455" t="s">
        <v>709</v>
      </c>
      <c r="B11" s="456">
        <f>+L14/L15</f>
        <v>0</v>
      </c>
      <c r="C11" s="456">
        <f>+M14/M15</f>
        <v>0</v>
      </c>
      <c r="D11" s="457" t="str">
        <f t="shared" ref="D11:D20" si="0">IFERROR(+((B11-C11)/C11),"NA")</f>
        <v>NA</v>
      </c>
      <c r="E11" s="460"/>
      <c r="I11" s="461">
        <v>1</v>
      </c>
      <c r="J11" s="461" t="s">
        <v>710</v>
      </c>
      <c r="K11" s="452" t="s">
        <v>711</v>
      </c>
      <c r="L11" s="454">
        <f>+BS!C40</f>
        <v>1168.3818167165789</v>
      </c>
      <c r="M11" s="454">
        <f>+BS!D40</f>
        <v>669.58629454991069</v>
      </c>
      <c r="N11" s="454">
        <v>76597930.775485098</v>
      </c>
      <c r="Q11" s="452">
        <f>10^5</f>
        <v>100000</v>
      </c>
      <c r="S11" s="161">
        <v>-14447446.720000001</v>
      </c>
      <c r="V11" s="161">
        <v>76597928.785485104</v>
      </c>
      <c r="W11" s="161">
        <f>+M11-V11</f>
        <v>-76597259.199190557</v>
      </c>
    </row>
    <row r="12" spans="1:23" ht="24.6" customHeight="1">
      <c r="A12" s="455" t="s">
        <v>712</v>
      </c>
      <c r="B12" s="462">
        <v>0</v>
      </c>
      <c r="C12" s="462">
        <v>0</v>
      </c>
      <c r="D12" s="457" t="str">
        <f t="shared" si="0"/>
        <v>NA</v>
      </c>
      <c r="E12" s="460"/>
      <c r="I12" s="452"/>
      <c r="J12" s="452" t="str">
        <f>+"CA/CL"</f>
        <v>CA/CL</v>
      </c>
      <c r="K12" s="452" t="s">
        <v>713</v>
      </c>
      <c r="L12" s="454">
        <f>+BS!C23</f>
        <v>1061.3385742469295</v>
      </c>
      <c r="M12" s="454">
        <f>+BS!D23</f>
        <v>702.39356064692947</v>
      </c>
      <c r="N12" s="454">
        <v>72671561.235730961</v>
      </c>
      <c r="Q12" s="161">
        <f>+N11-N12</f>
        <v>3926369.5397541374</v>
      </c>
      <c r="V12" s="161">
        <v>72671561.235730961</v>
      </c>
      <c r="W12" s="161">
        <f>+M12-V12</f>
        <v>-72670858.842170313</v>
      </c>
    </row>
    <row r="13" spans="1:23" ht="57" customHeight="1">
      <c r="A13" s="455" t="s">
        <v>714</v>
      </c>
      <c r="B13" s="456">
        <f>+L17/L18</f>
        <v>0.16421912293260671</v>
      </c>
      <c r="C13" s="456">
        <f>+M17/M18</f>
        <v>-4.2140399541197964E-6</v>
      </c>
      <c r="D13" s="457">
        <f t="shared" si="0"/>
        <v>-38970.522054972498</v>
      </c>
      <c r="E13" s="460" t="s">
        <v>715</v>
      </c>
      <c r="I13" s="452"/>
      <c r="J13" s="452"/>
      <c r="K13" s="452"/>
      <c r="L13" s="454"/>
      <c r="M13" s="454"/>
      <c r="N13" s="454"/>
      <c r="W13" s="161">
        <f>+M13-V13</f>
        <v>0</v>
      </c>
    </row>
    <row r="14" spans="1:23" ht="24.6" customHeight="1">
      <c r="A14" s="455" t="s">
        <v>716</v>
      </c>
      <c r="B14" s="462">
        <v>0</v>
      </c>
      <c r="C14" s="462">
        <v>0</v>
      </c>
      <c r="D14" s="457" t="str">
        <f t="shared" si="0"/>
        <v>NA</v>
      </c>
      <c r="E14" s="460"/>
      <c r="I14" s="461">
        <v>2</v>
      </c>
      <c r="J14" s="461" t="s">
        <v>709</v>
      </c>
      <c r="K14" s="452" t="s">
        <v>717</v>
      </c>
      <c r="L14" s="454">
        <f>0*(10^5)</f>
        <v>0</v>
      </c>
      <c r="M14" s="454">
        <f>0*(10^5)</f>
        <v>0</v>
      </c>
      <c r="N14" s="454">
        <v>0</v>
      </c>
      <c r="V14" s="161">
        <v>0</v>
      </c>
      <c r="W14" s="161">
        <f>+M14-V14</f>
        <v>0</v>
      </c>
    </row>
    <row r="15" spans="1:23" ht="48.75" customHeight="1">
      <c r="A15" s="455" t="s">
        <v>718</v>
      </c>
      <c r="B15" s="462">
        <f>+L25/L26</f>
        <v>3.5042961008337947</v>
      </c>
      <c r="C15" s="462">
        <f>+M25/M26</f>
        <v>1.4859064783697268E-5</v>
      </c>
      <c r="D15" s="457">
        <f t="shared" si="0"/>
        <v>235834.57591582474</v>
      </c>
      <c r="E15" s="460" t="s">
        <v>719</v>
      </c>
      <c r="I15" s="452"/>
      <c r="J15" s="452" t="s">
        <v>720</v>
      </c>
      <c r="K15" s="452" t="s">
        <v>721</v>
      </c>
      <c r="L15" s="454">
        <f>(+BS!C13)</f>
        <v>199.74661828920893</v>
      </c>
      <c r="M15" s="454">
        <f>(+BS!D13)</f>
        <v>39.069192956596368</v>
      </c>
      <c r="N15" s="454">
        <v>23830254.698415339</v>
      </c>
      <c r="V15" s="161">
        <v>23830254.698415384</v>
      </c>
      <c r="W15" s="161">
        <f>+M15-V15</f>
        <v>-23830215.629222427</v>
      </c>
    </row>
    <row r="16" spans="1:23" ht="30" customHeight="1">
      <c r="A16" s="455" t="s">
        <v>722</v>
      </c>
      <c r="B16" s="462">
        <f>+L29/L30</f>
        <v>3.1466638966528806</v>
      </c>
      <c r="C16" s="462">
        <f>+M29/M30</f>
        <v>1.4157268893757556E-5</v>
      </c>
      <c r="D16" s="457">
        <f t="shared" si="0"/>
        <v>222263.89588259193</v>
      </c>
      <c r="E16" s="460" t="s">
        <v>723</v>
      </c>
      <c r="I16" s="452"/>
      <c r="J16" s="452"/>
      <c r="K16" s="452"/>
      <c r="L16" s="454"/>
      <c r="M16" s="454"/>
      <c r="N16" s="454"/>
      <c r="W16" s="161">
        <f t="shared" ref="W16:W49" si="1">+M16-V16</f>
        <v>0</v>
      </c>
    </row>
    <row r="17" spans="1:23" ht="37.799999999999997" customHeight="1">
      <c r="A17" s="455" t="s">
        <v>724</v>
      </c>
      <c r="B17" s="462">
        <f>+L33/L34</f>
        <v>67.637524339899343</v>
      </c>
      <c r="C17" s="462">
        <f>+M33/M34</f>
        <v>7.5631151053064832E-4</v>
      </c>
      <c r="D17" s="457">
        <f>IFERROR(+((B17-C17)/C17),"NA")</f>
        <v>89429.774751058663</v>
      </c>
      <c r="E17" s="460" t="s">
        <v>725</v>
      </c>
      <c r="I17" s="461">
        <v>3</v>
      </c>
      <c r="J17" s="461" t="s">
        <v>726</v>
      </c>
      <c r="K17" s="463" t="s">
        <v>727</v>
      </c>
      <c r="L17" s="454">
        <f>(+PL!D34)</f>
        <v>19.60906153261255</v>
      </c>
      <c r="M17" s="454">
        <f>(+PL!E34)</f>
        <v>-50.210905027556663</v>
      </c>
      <c r="N17" s="454">
        <v>5357583.0964880399</v>
      </c>
      <c r="P17" s="161">
        <f>(+M17-L17)/M17</f>
        <v>1.3905339193119648</v>
      </c>
      <c r="V17" s="161">
        <v>5357583.0964881144</v>
      </c>
      <c r="W17" s="161">
        <f t="shared" si="1"/>
        <v>-5357633.307393142</v>
      </c>
    </row>
    <row r="18" spans="1:23" ht="30" customHeight="1">
      <c r="A18" s="455" t="s">
        <v>728</v>
      </c>
      <c r="B18" s="456">
        <f>+L37/L38</f>
        <v>7.8106050322065594E-3</v>
      </c>
      <c r="C18" s="456">
        <f>+M37/M38</f>
        <v>-3.3817367096632439E-2</v>
      </c>
      <c r="D18" s="457">
        <f t="shared" si="0"/>
        <v>-1.2309643151664622</v>
      </c>
      <c r="E18" s="460" t="s">
        <v>729</v>
      </c>
      <c r="I18" s="461"/>
      <c r="J18" s="463"/>
      <c r="K18" s="463" t="s">
        <v>730</v>
      </c>
      <c r="L18" s="454">
        <f>+(L15+M15)/2</f>
        <v>119.40790562290265</v>
      </c>
      <c r="M18" s="454">
        <f>+(M15+N15)/2</f>
        <v>11915146.883804148</v>
      </c>
      <c r="N18" s="454">
        <v>21151463.150171317</v>
      </c>
      <c r="V18" s="161">
        <v>21151463.150171325</v>
      </c>
      <c r="W18" s="161">
        <f t="shared" si="1"/>
        <v>-9236316.2663671765</v>
      </c>
    </row>
    <row r="19" spans="1:23" ht="30" customHeight="1">
      <c r="A19" s="455" t="s">
        <v>731</v>
      </c>
      <c r="B19" s="456">
        <f>+L41/L42</f>
        <v>1.0250232978163583</v>
      </c>
      <c r="C19" s="456">
        <f>+M41/M42</f>
        <v>1.4294068506005924</v>
      </c>
      <c r="D19" s="457">
        <f t="shared" si="0"/>
        <v>-0.2829030465429242</v>
      </c>
      <c r="E19" s="460" t="s">
        <v>732</v>
      </c>
      <c r="I19" s="461"/>
      <c r="J19" s="463"/>
      <c r="K19" s="463"/>
      <c r="L19" s="454"/>
      <c r="M19" s="454"/>
      <c r="N19" s="454"/>
      <c r="W19" s="161">
        <f t="shared" si="1"/>
        <v>0</v>
      </c>
    </row>
    <row r="20" spans="1:23" ht="30" customHeight="1">
      <c r="A20" s="455" t="s">
        <v>733</v>
      </c>
      <c r="B20" s="456">
        <f>+L48/L49</f>
        <v>9.8169679669975696E-2</v>
      </c>
      <c r="C20" s="456">
        <f>+M48/M49</f>
        <v>-1.285178966541185</v>
      </c>
      <c r="D20" s="457">
        <f t="shared" si="0"/>
        <v>-1.0763859993244216</v>
      </c>
      <c r="E20" s="460" t="s">
        <v>729</v>
      </c>
      <c r="I20" s="461">
        <v>4</v>
      </c>
      <c r="J20" s="461" t="s">
        <v>734</v>
      </c>
      <c r="K20" s="463"/>
      <c r="L20" s="454"/>
      <c r="M20" s="454"/>
      <c r="N20" s="454"/>
      <c r="W20" s="161">
        <f t="shared" si="1"/>
        <v>0</v>
      </c>
    </row>
    <row r="21" spans="1:23" ht="18.600000000000001" customHeight="1" thickBot="1">
      <c r="A21" s="464"/>
      <c r="B21" s="465"/>
      <c r="C21" s="465"/>
      <c r="D21" s="466"/>
      <c r="E21" s="467"/>
      <c r="I21" s="461"/>
      <c r="J21" s="463"/>
      <c r="K21" s="463" t="s">
        <v>735</v>
      </c>
      <c r="L21" s="454">
        <v>0</v>
      </c>
      <c r="M21" s="454">
        <v>0</v>
      </c>
      <c r="N21" s="454">
        <v>0</v>
      </c>
      <c r="V21" s="161">
        <v>0</v>
      </c>
      <c r="W21" s="161">
        <f t="shared" si="1"/>
        <v>0</v>
      </c>
    </row>
    <row r="22" spans="1:23" ht="14.4">
      <c r="A22" s="468"/>
      <c r="B22" s="469"/>
      <c r="C22" s="469"/>
      <c r="D22" s="470"/>
      <c r="E22" s="471"/>
      <c r="I22" s="461"/>
      <c r="J22" s="463"/>
      <c r="K22" s="463" t="s">
        <v>736</v>
      </c>
      <c r="L22" s="454">
        <v>0</v>
      </c>
      <c r="M22" s="454">
        <v>0</v>
      </c>
      <c r="N22" s="454">
        <v>0</v>
      </c>
      <c r="V22" s="161">
        <v>0</v>
      </c>
      <c r="W22" s="161">
        <f t="shared" si="1"/>
        <v>0</v>
      </c>
    </row>
    <row r="23" spans="1:23" ht="14.4">
      <c r="A23" s="442" t="s">
        <v>737</v>
      </c>
      <c r="B23" s="443"/>
      <c r="C23" s="443"/>
      <c r="D23" s="443"/>
      <c r="E23" s="472"/>
      <c r="I23" s="461"/>
      <c r="J23" s="463"/>
      <c r="K23" s="463"/>
      <c r="L23" s="454"/>
      <c r="M23" s="454"/>
      <c r="N23" s="454"/>
      <c r="W23" s="161">
        <f t="shared" si="1"/>
        <v>0</v>
      </c>
    </row>
    <row r="24" spans="1:23">
      <c r="A24" s="473"/>
      <c r="E24" s="177"/>
      <c r="I24" s="461">
        <v>5</v>
      </c>
      <c r="J24" s="461" t="s">
        <v>738</v>
      </c>
      <c r="K24" s="463"/>
      <c r="L24" s="454"/>
      <c r="M24" s="454"/>
      <c r="N24" s="454"/>
      <c r="W24" s="161">
        <f t="shared" si="1"/>
        <v>0</v>
      </c>
    </row>
    <row r="25" spans="1:23" ht="14.4">
      <c r="A25" s="95" t="s">
        <v>739</v>
      </c>
      <c r="E25" s="177"/>
      <c r="I25" s="461"/>
      <c r="J25" s="463"/>
      <c r="K25" s="463" t="s">
        <v>740</v>
      </c>
      <c r="L25" s="454">
        <f>(+PL!D9)</f>
        <v>2510.5688293999974</v>
      </c>
      <c r="M25" s="454">
        <f>(+PL!E9)</f>
        <v>1484.7668325</v>
      </c>
      <c r="N25" s="454">
        <v>199846072.18000001</v>
      </c>
      <c r="P25" s="161">
        <f>+(M25-L25)/M25</f>
        <v>-0.69088423478101735</v>
      </c>
      <c r="V25" s="161">
        <v>199846072.18000016</v>
      </c>
      <c r="W25" s="161">
        <f t="shared" si="1"/>
        <v>-199844587.41316766</v>
      </c>
    </row>
    <row r="26" spans="1:23" ht="14.4">
      <c r="A26" s="93" t="s">
        <v>741</v>
      </c>
      <c r="E26" s="177"/>
      <c r="I26" s="461"/>
      <c r="J26" s="463"/>
      <c r="K26" s="463" t="s">
        <v>742</v>
      </c>
      <c r="L26" s="454">
        <f>(+(BS!C37+BS!D37)/2)</f>
        <v>716.42599745000007</v>
      </c>
      <c r="M26" s="454">
        <f>+(BS!D37+N25)/2</f>
        <v>99923302.988020003</v>
      </c>
      <c r="N26" s="454">
        <v>55706979.353835493</v>
      </c>
      <c r="V26" s="161">
        <v>55706979.353835501</v>
      </c>
      <c r="W26" s="161">
        <f t="shared" si="1"/>
        <v>44216323.634184502</v>
      </c>
    </row>
    <row r="27" spans="1:23">
      <c r="A27" s="473"/>
      <c r="E27" s="177"/>
      <c r="I27" s="461"/>
      <c r="J27" s="463"/>
      <c r="K27" s="463"/>
      <c r="L27" s="454"/>
      <c r="M27" s="454"/>
      <c r="N27" s="454"/>
      <c r="W27" s="161">
        <f t="shared" si="1"/>
        <v>0</v>
      </c>
    </row>
    <row r="28" spans="1:23" ht="14.4">
      <c r="A28" s="95" t="s">
        <v>743</v>
      </c>
      <c r="E28" s="177"/>
      <c r="I28" s="461">
        <v>6</v>
      </c>
      <c r="J28" s="461" t="s">
        <v>744</v>
      </c>
      <c r="K28" s="463"/>
      <c r="L28" s="454"/>
      <c r="M28" s="454"/>
      <c r="N28" s="454"/>
      <c r="W28" s="161">
        <f t="shared" si="1"/>
        <v>0</v>
      </c>
    </row>
    <row r="29" spans="1:23" ht="14.4">
      <c r="A29" s="95" t="s">
        <v>745</v>
      </c>
      <c r="E29" s="177"/>
      <c r="I29" s="461"/>
      <c r="J29" s="463"/>
      <c r="K29" s="463" t="s">
        <v>746</v>
      </c>
      <c r="L29" s="454">
        <f>(+PL!D15)</f>
        <v>2153.6675333999997</v>
      </c>
      <c r="M29" s="454">
        <f>(+PL!E15)</f>
        <v>1216.7372532000011</v>
      </c>
      <c r="N29" s="454">
        <v>171888232.6499998</v>
      </c>
      <c r="V29" s="161">
        <v>171888232.64999986</v>
      </c>
      <c r="W29" s="161">
        <f t="shared" si="1"/>
        <v>-171887015.91274667</v>
      </c>
    </row>
    <row r="30" spans="1:23" ht="14.4">
      <c r="A30" s="95" t="s">
        <v>747</v>
      </c>
      <c r="E30" s="177"/>
      <c r="I30" s="461"/>
      <c r="J30" s="463"/>
      <c r="K30" s="463" t="s">
        <v>748</v>
      </c>
      <c r="L30" s="454">
        <f>(+(BS!C20+BS!D20)/2)</f>
        <v>684.42884404999995</v>
      </c>
      <c r="M30" s="454">
        <f>+((BS!D20)+N29)/2</f>
        <v>85944348.612076148</v>
      </c>
      <c r="N30" s="454">
        <v>38755425.110519007</v>
      </c>
      <c r="V30" s="161">
        <v>38755425.110519014</v>
      </c>
      <c r="W30" s="161">
        <f t="shared" si="1"/>
        <v>47188923.501557134</v>
      </c>
    </row>
    <row r="31" spans="1:23" ht="14.4">
      <c r="A31" s="93" t="s">
        <v>749</v>
      </c>
      <c r="E31" s="177"/>
      <c r="I31" s="461"/>
      <c r="J31" s="463"/>
      <c r="K31" s="463"/>
      <c r="L31" s="454"/>
      <c r="M31" s="454"/>
      <c r="N31" s="454"/>
      <c r="W31" s="161">
        <f t="shared" si="1"/>
        <v>0</v>
      </c>
    </row>
    <row r="32" spans="1:23">
      <c r="A32" s="473"/>
      <c r="E32" s="177"/>
      <c r="I32" s="461">
        <v>7</v>
      </c>
      <c r="J32" s="461" t="s">
        <v>750</v>
      </c>
      <c r="K32" s="463"/>
      <c r="L32" s="454"/>
      <c r="M32" s="454"/>
      <c r="N32" s="454"/>
      <c r="W32" s="161">
        <f t="shared" si="1"/>
        <v>0</v>
      </c>
    </row>
    <row r="33" spans="1:23" ht="14.4">
      <c r="A33" s="95" t="s">
        <v>751</v>
      </c>
      <c r="E33" s="177"/>
      <c r="I33" s="461"/>
      <c r="J33" s="463"/>
      <c r="K33" s="463" t="s">
        <v>752</v>
      </c>
      <c r="L33" s="454">
        <f>+L25</f>
        <v>2510.5688293999974</v>
      </c>
      <c r="M33" s="454">
        <f>+M25</f>
        <v>1484.7668325</v>
      </c>
      <c r="N33" s="454">
        <v>199846072.18000001</v>
      </c>
      <c r="V33" s="161">
        <v>199846072.18000016</v>
      </c>
      <c r="W33" s="161">
        <f t="shared" si="1"/>
        <v>-199844587.41316766</v>
      </c>
    </row>
    <row r="34" spans="1:23" ht="29.4" customHeight="1">
      <c r="A34" s="95" t="s">
        <v>753</v>
      </c>
      <c r="E34" s="177"/>
      <c r="I34" s="461"/>
      <c r="J34" s="463"/>
      <c r="K34" s="463" t="s">
        <v>754</v>
      </c>
      <c r="L34" s="454">
        <f>+((L11-L12)+(M11-M12))/2</f>
        <v>37.117988186315301</v>
      </c>
      <c r="M34" s="454">
        <f>+((M11-M12)+(N11-N12))/2</f>
        <v>1963168.3662440202</v>
      </c>
      <c r="N34" s="454">
        <v>1064785.5258139148</v>
      </c>
      <c r="V34" s="161">
        <v>1064784.5308139399</v>
      </c>
      <c r="W34" s="161">
        <f t="shared" si="1"/>
        <v>898383.8354300803</v>
      </c>
    </row>
    <row r="35" spans="1:23" ht="14.4">
      <c r="A35" s="95" t="s">
        <v>755</v>
      </c>
      <c r="E35" s="177"/>
      <c r="I35" s="461"/>
      <c r="J35" s="463"/>
      <c r="K35" s="463"/>
      <c r="L35" s="454"/>
      <c r="M35" s="454"/>
      <c r="N35" s="454"/>
      <c r="W35" s="161">
        <f t="shared" si="1"/>
        <v>0</v>
      </c>
    </row>
    <row r="36" spans="1:23" ht="14.4">
      <c r="A36" s="95" t="s">
        <v>756</v>
      </c>
      <c r="E36" s="177"/>
      <c r="I36" s="461">
        <v>8</v>
      </c>
      <c r="J36" s="461" t="s">
        <v>757</v>
      </c>
      <c r="K36" s="463"/>
      <c r="L36" s="454"/>
      <c r="M36" s="454"/>
      <c r="N36" s="454"/>
      <c r="W36" s="161">
        <f t="shared" si="1"/>
        <v>0</v>
      </c>
    </row>
    <row r="37" spans="1:23" ht="14.4">
      <c r="A37" s="93" t="s">
        <v>758</v>
      </c>
      <c r="E37" s="177"/>
      <c r="I37" s="461"/>
      <c r="J37" s="463"/>
      <c r="K37" s="463" t="s">
        <v>728</v>
      </c>
      <c r="L37" s="454">
        <f>(+PL!D34)</f>
        <v>19.60906153261255</v>
      </c>
      <c r="M37" s="454">
        <f>(+PL!E34)</f>
        <v>-50.210905027556663</v>
      </c>
      <c r="N37" s="454">
        <v>5357583.0964880399</v>
      </c>
      <c r="V37" s="161">
        <v>5357583.0964881144</v>
      </c>
      <c r="W37" s="161">
        <f t="shared" si="1"/>
        <v>-5357633.307393142</v>
      </c>
    </row>
    <row r="38" spans="1:23">
      <c r="A38" s="474"/>
      <c r="E38" s="177"/>
      <c r="I38" s="461"/>
      <c r="J38" s="463"/>
      <c r="K38" s="463" t="s">
        <v>752</v>
      </c>
      <c r="L38" s="454">
        <f>+L25</f>
        <v>2510.5688293999974</v>
      </c>
      <c r="M38" s="454">
        <f>+M25</f>
        <v>1484.7668325</v>
      </c>
      <c r="N38" s="454">
        <v>199846072.18000001</v>
      </c>
      <c r="V38" s="161">
        <v>199846072.18000016</v>
      </c>
      <c r="W38" s="161">
        <f t="shared" si="1"/>
        <v>-199844587.41316766</v>
      </c>
    </row>
    <row r="39" spans="1:23" ht="14.4">
      <c r="A39" s="95" t="s">
        <v>759</v>
      </c>
      <c r="E39" s="177"/>
      <c r="I39" s="461"/>
      <c r="J39" s="463"/>
      <c r="K39" s="463"/>
      <c r="L39" s="454"/>
      <c r="M39" s="454"/>
      <c r="N39" s="454"/>
      <c r="W39" s="161">
        <f t="shared" si="1"/>
        <v>0</v>
      </c>
    </row>
    <row r="40" spans="1:23" ht="14.4">
      <c r="A40" s="103" t="s">
        <v>760</v>
      </c>
      <c r="E40" s="177"/>
      <c r="I40" s="461">
        <v>9</v>
      </c>
      <c r="J40" s="461" t="s">
        <v>761</v>
      </c>
      <c r="K40" s="463"/>
      <c r="L40" s="454"/>
      <c r="M40" s="454"/>
      <c r="N40" s="454"/>
      <c r="W40" s="161">
        <f t="shared" si="1"/>
        <v>0</v>
      </c>
    </row>
    <row r="41" spans="1:23" ht="14.4">
      <c r="A41" s="93" t="s">
        <v>762</v>
      </c>
      <c r="E41" s="177"/>
      <c r="I41" s="461"/>
      <c r="J41" s="463"/>
      <c r="K41" s="463" t="s">
        <v>763</v>
      </c>
      <c r="L41" s="454">
        <f>+(PL!D9-PL!D15)</f>
        <v>356.90129599999773</v>
      </c>
      <c r="M41" s="454">
        <f>+(PL!E9-PL!E15)</f>
        <v>268.02957929999889</v>
      </c>
      <c r="N41" s="454">
        <v>27957839.53000021</v>
      </c>
      <c r="V41" s="161">
        <v>27957839.530000318</v>
      </c>
      <c r="W41" s="161">
        <f t="shared" si="1"/>
        <v>-27957571.500421017</v>
      </c>
    </row>
    <row r="42" spans="1:23">
      <c r="A42" s="473"/>
      <c r="E42" s="177"/>
      <c r="I42" s="461"/>
      <c r="J42" s="463"/>
      <c r="K42" s="463" t="s">
        <v>764</v>
      </c>
      <c r="L42" s="454">
        <f>(+BS!C42-BS!C23)</f>
        <v>348.18847216479526</v>
      </c>
      <c r="M42" s="454">
        <f>(+BS!D42-BS!D23)</f>
        <v>187.51104990673662</v>
      </c>
      <c r="N42" s="454">
        <v>23830254.077295497</v>
      </c>
      <c r="V42" s="161">
        <v>23830252.087295469</v>
      </c>
      <c r="W42" s="161">
        <f t="shared" si="1"/>
        <v>-23830064.576245561</v>
      </c>
    </row>
    <row r="43" spans="1:23" ht="14.4">
      <c r="A43" s="95" t="s">
        <v>765</v>
      </c>
      <c r="E43" s="177"/>
      <c r="I43" s="461"/>
      <c r="J43" s="463"/>
      <c r="K43" s="463"/>
      <c r="L43" s="454"/>
      <c r="M43" s="454"/>
      <c r="N43" s="454"/>
      <c r="W43" s="161">
        <f t="shared" si="1"/>
        <v>0</v>
      </c>
    </row>
    <row r="44" spans="1:23" ht="14.4">
      <c r="A44" s="93" t="s">
        <v>766</v>
      </c>
      <c r="E44" s="177"/>
      <c r="I44" s="461"/>
      <c r="J44" s="463" t="s">
        <v>763</v>
      </c>
      <c r="K44" s="463" t="s">
        <v>767</v>
      </c>
      <c r="L44" s="454"/>
      <c r="M44" s="454"/>
      <c r="N44" s="454"/>
      <c r="W44" s="161">
        <f t="shared" si="1"/>
        <v>0</v>
      </c>
    </row>
    <row r="45" spans="1:23">
      <c r="A45" s="473"/>
      <c r="E45" s="177"/>
      <c r="I45" s="461"/>
      <c r="J45" s="463" t="s">
        <v>768</v>
      </c>
      <c r="K45" s="463" t="s">
        <v>769</v>
      </c>
      <c r="L45" s="454"/>
      <c r="M45" s="454"/>
      <c r="N45" s="454"/>
      <c r="W45" s="161">
        <f t="shared" si="1"/>
        <v>0</v>
      </c>
    </row>
    <row r="46" spans="1:23" ht="10.5" customHeight="1">
      <c r="A46" s="95" t="s">
        <v>770</v>
      </c>
      <c r="E46" s="177"/>
      <c r="I46" s="461"/>
      <c r="J46" s="463"/>
      <c r="K46" s="463"/>
      <c r="L46" s="454"/>
      <c r="M46" s="454"/>
      <c r="N46" s="454"/>
      <c r="W46" s="161">
        <f t="shared" si="1"/>
        <v>0</v>
      </c>
    </row>
    <row r="47" spans="1:23" ht="14.4">
      <c r="A47" s="95" t="s">
        <v>771</v>
      </c>
      <c r="E47" s="177"/>
      <c r="I47" s="461">
        <v>10</v>
      </c>
      <c r="J47" s="475" t="s">
        <v>733</v>
      </c>
      <c r="K47" s="463"/>
      <c r="L47" s="454"/>
      <c r="M47" s="454"/>
      <c r="N47" s="454"/>
      <c r="W47" s="161">
        <f t="shared" si="1"/>
        <v>0</v>
      </c>
    </row>
    <row r="48" spans="1:23" ht="15" customHeight="1">
      <c r="A48" s="93" t="s">
        <v>772</v>
      </c>
      <c r="E48" s="177"/>
      <c r="I48" s="461"/>
      <c r="J48" s="463"/>
      <c r="K48" s="463" t="s">
        <v>728</v>
      </c>
      <c r="L48" s="454">
        <f>(+PL!D34)</f>
        <v>19.60906153261255</v>
      </c>
      <c r="M48" s="454">
        <f>(+PL!E34)</f>
        <v>-50.210905027556663</v>
      </c>
      <c r="N48" s="454">
        <v>5357583.0964880399</v>
      </c>
      <c r="V48" s="161">
        <v>5357583.0964881144</v>
      </c>
      <c r="W48" s="161">
        <f t="shared" si="1"/>
        <v>-5357633.307393142</v>
      </c>
    </row>
    <row r="49" spans="1:23" ht="15" customHeight="1">
      <c r="A49" s="473"/>
      <c r="E49" s="177"/>
      <c r="I49" s="461"/>
      <c r="J49" s="463"/>
      <c r="K49" s="463" t="s">
        <v>773</v>
      </c>
      <c r="L49" s="454">
        <f>(+BS!C13)</f>
        <v>199.74661828920893</v>
      </c>
      <c r="M49" s="454">
        <f>(+BS!D13)</f>
        <v>39.069192956596368</v>
      </c>
      <c r="N49" s="454">
        <v>23830254.698415339</v>
      </c>
      <c r="V49" s="161">
        <v>23830254.698415384</v>
      </c>
      <c r="W49" s="161">
        <f t="shared" si="1"/>
        <v>-23830215.629222427</v>
      </c>
    </row>
    <row r="50" spans="1:23" ht="12.75" customHeight="1">
      <c r="A50" s="95" t="s">
        <v>774</v>
      </c>
      <c r="E50" s="177"/>
      <c r="I50" s="476"/>
    </row>
    <row r="51" spans="1:23" ht="23.25" customHeight="1">
      <c r="A51" s="93" t="s">
        <v>775</v>
      </c>
      <c r="E51" s="177"/>
    </row>
    <row r="52" spans="1:23" ht="12.75" customHeight="1">
      <c r="A52" s="474"/>
      <c r="E52" s="177"/>
    </row>
    <row r="53" spans="1:23" ht="12.75" customHeight="1">
      <c r="A53" s="95" t="s">
        <v>776</v>
      </c>
      <c r="E53" s="177"/>
    </row>
    <row r="54" spans="1:23" ht="16.5" customHeight="1">
      <c r="A54" s="93" t="s">
        <v>777</v>
      </c>
      <c r="E54" s="177"/>
    </row>
    <row r="55" spans="1:23" ht="24" customHeight="1">
      <c r="A55" s="95" t="s">
        <v>778</v>
      </c>
      <c r="E55" s="177"/>
    </row>
    <row r="56" spans="1:23" ht="14.4" customHeight="1">
      <c r="A56" s="93" t="s">
        <v>779</v>
      </c>
      <c r="E56" s="177"/>
    </row>
    <row r="57" spans="1:23" ht="14.4">
      <c r="A57" s="93" t="s">
        <v>780</v>
      </c>
      <c r="E57" s="177"/>
    </row>
    <row r="58" spans="1:23">
      <c r="A58" s="474"/>
      <c r="E58" s="177"/>
    </row>
    <row r="59" spans="1:23" ht="14.4">
      <c r="A59" s="95" t="s">
        <v>781</v>
      </c>
      <c r="E59" s="177"/>
    </row>
    <row r="60" spans="1:23" ht="14.4">
      <c r="A60" s="93" t="s">
        <v>782</v>
      </c>
      <c r="E60" s="177"/>
    </row>
    <row r="61" spans="1:23">
      <c r="A61" s="477"/>
      <c r="E61" s="177"/>
    </row>
    <row r="62" spans="1:23" ht="14.4">
      <c r="A62" s="95" t="s">
        <v>783</v>
      </c>
      <c r="E62" s="177"/>
    </row>
    <row r="63" spans="1:23" ht="14.4">
      <c r="A63" s="93" t="s">
        <v>784</v>
      </c>
      <c r="E63" s="177"/>
    </row>
    <row r="64" spans="1:23" ht="14.4">
      <c r="A64" s="93" t="s">
        <v>785</v>
      </c>
      <c r="E64" s="177"/>
    </row>
    <row r="65" spans="1:5" ht="24" customHeight="1">
      <c r="A65" s="95" t="s">
        <v>786</v>
      </c>
      <c r="E65" s="177"/>
    </row>
    <row r="66" spans="1:5" ht="19.5" customHeight="1">
      <c r="A66" s="93" t="s">
        <v>787</v>
      </c>
      <c r="E66" s="177"/>
    </row>
    <row r="67" spans="1:5" ht="16.5" customHeight="1">
      <c r="A67" s="95" t="s">
        <v>788</v>
      </c>
      <c r="E67" s="177"/>
    </row>
    <row r="68" spans="1:5" ht="14.4">
      <c r="A68" s="93" t="s">
        <v>789</v>
      </c>
      <c r="E68" s="177"/>
    </row>
    <row r="69" spans="1:5">
      <c r="A69" s="477"/>
      <c r="E69" s="177"/>
    </row>
    <row r="70" spans="1:5" ht="14.4">
      <c r="A70" s="95" t="s">
        <v>790</v>
      </c>
      <c r="E70" s="177"/>
    </row>
    <row r="71" spans="1:5" ht="14.4">
      <c r="A71" s="93" t="s">
        <v>791</v>
      </c>
      <c r="E71" s="177"/>
    </row>
    <row r="72" spans="1:5" ht="14.4" thickBot="1">
      <c r="A72" s="478"/>
      <c r="B72" s="479"/>
      <c r="C72" s="479"/>
      <c r="D72" s="479"/>
      <c r="E72" s="480"/>
    </row>
    <row r="73" spans="1:5" ht="15" customHeight="1"/>
    <row r="74" spans="1:5" ht="15" customHeight="1"/>
    <row r="75" spans="1:5" ht="15" customHeight="1"/>
    <row r="82" ht="15.6" customHeight="1"/>
    <row r="83" ht="15.6" customHeight="1"/>
    <row r="84" ht="15.6" customHeight="1"/>
    <row r="85" ht="15.6" customHeight="1"/>
    <row r="86" ht="15.6" customHeight="1"/>
    <row r="87" ht="15.6" customHeight="1"/>
  </sheetData>
  <mergeCells count="5">
    <mergeCell ref="A1:E1"/>
    <mergeCell ref="A2:E2"/>
    <mergeCell ref="A3:E3"/>
    <mergeCell ref="A4:E4"/>
    <mergeCell ref="A5:B5"/>
  </mergeCells>
  <printOptions horizontalCentered="1"/>
  <pageMargins left="0.35433070866141736" right="0.35433070866141736" top="0.35433070866141736" bottom="0.35433070866141736" header="0.31496062992125984" footer="0.31496062992125984"/>
  <pageSetup paperSize="9" scale="61" fitToWidth="2" fitToHeight="2" orientation="portrait" horizont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45"/>
  <sheetViews>
    <sheetView showGridLines="0" view="pageBreakPreview" topLeftCell="A10" zoomScale="90" zoomScaleNormal="90" zoomScaleSheetLayoutView="90" workbookViewId="0">
      <selection activeCell="B15" sqref="B15"/>
    </sheetView>
  </sheetViews>
  <sheetFormatPr defaultColWidth="9.109375" defaultRowHeight="13.8"/>
  <cols>
    <col min="1" max="1" width="65.6640625" style="109" bestFit="1" customWidth="1"/>
    <col min="2" max="3" width="18.6640625" style="109" customWidth="1"/>
    <col min="4" max="4" width="10.33203125" style="109" bestFit="1" customWidth="1"/>
    <col min="5" max="5" width="16" style="109" bestFit="1" customWidth="1"/>
    <col min="6" max="6" width="12.44140625" style="109" bestFit="1" customWidth="1"/>
    <col min="7" max="7" width="9.109375" style="109"/>
    <col min="8" max="8" width="12.44140625" style="109" bestFit="1" customWidth="1"/>
    <col min="9" max="16384" width="9.109375" style="109"/>
  </cols>
  <sheetData>
    <row r="1" spans="1:6" ht="18">
      <c r="A1" s="853" t="s">
        <v>930</v>
      </c>
      <c r="B1" s="854"/>
      <c r="C1" s="855"/>
    </row>
    <row r="2" spans="1:6" ht="16.2" thickBot="1">
      <c r="A2" s="856" t="s">
        <v>931</v>
      </c>
      <c r="B2" s="857"/>
      <c r="C2" s="858"/>
    </row>
    <row r="3" spans="1:6" ht="15" customHeight="1">
      <c r="A3" s="708" t="s">
        <v>44</v>
      </c>
      <c r="B3" s="289" t="str">
        <f>+'NOTE 4-8'!B5</f>
        <v>As on</v>
      </c>
      <c r="C3" s="289" t="str">
        <f>+'NOTE 4-8'!C5</f>
        <v>As on</v>
      </c>
    </row>
    <row r="4" spans="1:6" ht="13.5" customHeight="1" thickBot="1">
      <c r="A4" s="709"/>
      <c r="B4" s="290" t="s">
        <v>65</v>
      </c>
      <c r="C4" s="290" t="s">
        <v>932</v>
      </c>
    </row>
    <row r="5" spans="1:6" ht="14.4">
      <c r="A5" s="93"/>
      <c r="B5" s="93"/>
      <c r="C5" s="291"/>
    </row>
    <row r="6" spans="1:6" ht="14.4">
      <c r="A6" s="284" t="s">
        <v>933</v>
      </c>
      <c r="B6" s="52"/>
      <c r="C6" s="50"/>
    </row>
    <row r="7" spans="1:6" ht="14.4">
      <c r="A7" s="93" t="s">
        <v>246</v>
      </c>
      <c r="B7" s="292">
        <f>SUMIF('TB 24-25'!$Q:$Q,$A7,'TB 24-25'!$P:$P)-SUMIF('TB 24-25'!$Q:$Q,$A7,'TB 24-25'!$O:$O)</f>
        <v>7.25</v>
      </c>
      <c r="C7" s="47">
        <f>SUMIF('TB 24-25'!$Q:$Q,$A7,'TB 24-25'!$F:$F)-SUMIF('TB 24-25'!$Q:$Q,$A7,'TB 24-25'!$E:$E)</f>
        <v>7.25</v>
      </c>
      <c r="E7" s="109" t="s">
        <v>246</v>
      </c>
    </row>
    <row r="8" spans="1:6" ht="14.4">
      <c r="A8" s="93" t="s">
        <v>248</v>
      </c>
      <c r="B8" s="292">
        <f>SUMIF('TB 24-25'!$Q:$Q,$A8,'TB 24-25'!$P:$P)-SUMIF('TB 24-25'!$Q:$Q,$A8,'TB 24-25'!$O:$O)</f>
        <v>0.9</v>
      </c>
      <c r="C8" s="47">
        <f>SUMIF('TB 24-25'!$Q:$Q,$A8,'TB 24-25'!$F:$F)-SUMIF('TB 24-25'!$Q:$Q,$A8,'TB 24-25'!$E:$E)</f>
        <v>0.9</v>
      </c>
      <c r="E8" s="109" t="s">
        <v>1100</v>
      </c>
      <c r="F8" s="109">
        <f>125000*4</f>
        <v>500000</v>
      </c>
    </row>
    <row r="9" spans="1:6" ht="14.4">
      <c r="A9" s="93" t="s">
        <v>251</v>
      </c>
      <c r="B9" s="47">
        <f>SUMIF('TB 24-25'!$Q:$Q,$A9,'TB 24-25'!$P:$P)-SUMIF('TB 24-25'!$Q:$Q,$A9,'TB 24-25'!$O:$O)</f>
        <v>9.0385405999999957</v>
      </c>
      <c r="C9" s="47">
        <f>SUMIF('TB 24-25'!$Q:$Q,$A9,'TB 24-25'!$F:$F)-SUMIF('TB 24-25'!$Q:$Q,$A9,'TB 24-25'!$E:$E)</f>
        <v>1.9888337</v>
      </c>
      <c r="E9" s="109" t="s">
        <v>1101</v>
      </c>
      <c r="F9" s="109">
        <v>225000</v>
      </c>
    </row>
    <row r="10" spans="1:6" ht="14.4">
      <c r="A10" s="93" t="s">
        <v>304</v>
      </c>
      <c r="B10" s="292">
        <f>SUMIF('TB 24-25'!$Q:$Q,$A10,'TB 24-25'!$P:$P)-SUMIF('TB 24-25'!$Q:$Q,$A10,'TB 24-25'!$O:$O)</f>
        <v>20.120702300000005</v>
      </c>
      <c r="C10" s="47">
        <f>SUMIF('TB 24-25'!$Q:$Q,$A10,'TB 24-25'!$F:$F)-SUMIF('TB 24-25'!$Q:$Q,$A10,'TB 24-25'!$E:$E)</f>
        <v>3.0494922999999998</v>
      </c>
    </row>
    <row r="11" spans="1:6" ht="14.4">
      <c r="A11" s="93"/>
      <c r="B11" s="292"/>
      <c r="C11" s="293"/>
    </row>
    <row r="12" spans="1:6" ht="15" thickBot="1">
      <c r="A12" s="93"/>
      <c r="B12" s="294">
        <f>SUM(B7:B11)</f>
        <v>37.309242900000001</v>
      </c>
      <c r="C12" s="294">
        <f>SUM(C7:C11)</f>
        <v>13.188326</v>
      </c>
    </row>
    <row r="13" spans="1:6" ht="15" thickTop="1">
      <c r="A13" s="93"/>
      <c r="B13" s="292"/>
      <c r="C13" s="293"/>
    </row>
    <row r="14" spans="1:6" ht="14.4">
      <c r="A14" s="95" t="s">
        <v>934</v>
      </c>
      <c r="B14" s="295"/>
      <c r="C14" s="296"/>
    </row>
    <row r="15" spans="1:6" ht="14.4">
      <c r="A15" s="93" t="s">
        <v>290</v>
      </c>
      <c r="B15" s="47">
        <f>SUMIF('TB 24-25'!$Q:$Q,$A15,'TB 24-25'!$P:$P)-SUMIF('TB 24-25'!$Q:$Q,$A15,'TB 24-25'!$O:$O)</f>
        <v>38.532780000000002</v>
      </c>
      <c r="C15" s="47">
        <f>SUMIF('TB 24-25'!$Q:$Q,$A15,'TB 24-25'!$F:$F)-SUMIF('TB 24-25'!$Q:$Q,$A15,'TB 24-25'!$E:$E)</f>
        <v>15.446340000000003</v>
      </c>
    </row>
    <row r="16" spans="1:6" ht="14.4">
      <c r="A16" s="93" t="s">
        <v>273</v>
      </c>
      <c r="B16" s="47">
        <f>SUMIF('TB 24-25'!$Q:$Q,$A16,'TB 24-25'!$P:$P)-SUMIF('TB 24-25'!$Q:$Q,$A16,'TB 24-25'!$O:$O)</f>
        <v>0.86048770000000008</v>
      </c>
      <c r="C16" s="47">
        <f>SUMIF('TB 24-25'!$Q:$Q,$A16,'TB 24-25'!$F:$F)-SUMIF('TB 24-25'!$Q:$Q,$A16,'TB 24-25'!$E:$E)</f>
        <v>0.86048770000000008</v>
      </c>
      <c r="E16" s="109" t="s">
        <v>935</v>
      </c>
      <c r="F16" s="109" t="s">
        <v>936</v>
      </c>
    </row>
    <row r="17" spans="1:6" ht="14.4">
      <c r="A17" s="93" t="s">
        <v>268</v>
      </c>
      <c r="B17" s="47">
        <f>SUMIF('TB 24-25'!$Q:$Q,$A17,'TB 24-25'!$P:$P)-SUMIF('TB 24-25'!$Q:$Q,$A17,'TB 24-25'!$O:$O)</f>
        <v>1.38835</v>
      </c>
      <c r="C17" s="47">
        <f>SUMIF('TB 24-25'!$Q:$Q,$A17,'TB 24-25'!$F:$F)-SUMIF('TB 24-25'!$Q:$Q,$A17,'TB 24-25'!$E:$E)</f>
        <v>0.89539000000000002</v>
      </c>
      <c r="F17" s="109" t="s">
        <v>937</v>
      </c>
    </row>
    <row r="18" spans="1:6" ht="14.4">
      <c r="A18" s="93" t="s">
        <v>266</v>
      </c>
      <c r="B18" s="47">
        <f>SUMIF('TB 24-25'!$Q:$Q,$A18,'TB 24-25'!$P:$P)-SUMIF('TB 24-25'!$Q:$Q,$A18,'TB 24-25'!$O:$O)</f>
        <v>0.39933370000000118</v>
      </c>
      <c r="C18" s="47">
        <f>SUMIF('TB 24-25'!$Q:$Q,$A18,'TB 24-25'!$F:$F)-SUMIF('TB 24-25'!$Q:$Q,$A18,'TB 24-25'!$E:$E)-409/Deno</f>
        <v>0.34616000000000102</v>
      </c>
    </row>
    <row r="19" spans="1:6" ht="14.4">
      <c r="A19" s="93" t="s">
        <v>279</v>
      </c>
      <c r="B19" s="47">
        <f>SUMIF('TB 24-25'!$Q:$Q,$A19,'TB 24-25'!$P:$P)-SUMIF('TB 24-25'!$Q:$Q,$A19,'TB 24-25'!$O:$O)</f>
        <v>0</v>
      </c>
      <c r="C19" s="47">
        <f>SUMIF('TB 24-25'!$Q:$Q,$A19,'TB 24-25'!$F:$F)-SUMIF('TB 24-25'!$Q:$Q,$A19,'TB 24-25'!$E:$E)</f>
        <v>0</v>
      </c>
    </row>
    <row r="20" spans="1:6" ht="14.4">
      <c r="A20" s="93" t="s">
        <v>270</v>
      </c>
      <c r="B20" s="47">
        <f>SUMIF('TB 24-25'!$Q:$Q,$A20,'TB 24-25'!$P:$P)-SUMIF('TB 24-25'!$Q:$Q,$A20,'TB 24-25'!$O:$O)</f>
        <v>-0.53527269999999971</v>
      </c>
      <c r="C20" s="47">
        <f>SUMIF('TB 24-25'!$Q:$Q,$A20,'TB 24-25'!$F:$F)-SUMIF('TB 24-25'!$Q:$Q,$A20,'TB 24-25'!$E:$E)</f>
        <v>-0.53527269999999971</v>
      </c>
      <c r="E20" s="109" t="s">
        <v>935</v>
      </c>
    </row>
    <row r="21" spans="1:6" ht="14.4">
      <c r="A21" s="93" t="s">
        <v>256</v>
      </c>
      <c r="B21" s="47">
        <f>SUMIF('TB 24-25'!$Q:$Q,$A21,'TB 24-25'!$P:$P)-SUMIF('TB 24-25'!$Q:$Q,$A21,'TB 24-25'!$O:$O)</f>
        <v>3.6938995999999999</v>
      </c>
      <c r="C21" s="47">
        <f>SUMIF('TB 24-25'!$Q:$Q,$A21,'TB 24-25'!$F:$F)-SUMIF('TB 24-25'!$Q:$Q,$A21,'TB 24-25'!$E:$E)</f>
        <v>2.7981796000000001</v>
      </c>
    </row>
    <row r="22" spans="1:6" ht="14.4">
      <c r="A22" s="597" t="s">
        <v>936</v>
      </c>
      <c r="B22" s="598">
        <f>SUMIF('TB 24-25'!$Q:$Q,$A22,'TB 24-25'!$P:$P)-SUMIF('TB 24-25'!$Q:$Q,$A22,'TB 24-25'!$O:$O)</f>
        <v>-8.5769999999999999E-2</v>
      </c>
      <c r="C22" s="598"/>
      <c r="E22" s="109" t="s">
        <v>938</v>
      </c>
    </row>
    <row r="23" spans="1:6" ht="14.4">
      <c r="A23" s="597" t="s">
        <v>937</v>
      </c>
      <c r="B23" s="598">
        <f>SUMIF('TB 24-25'!$Q:$Q,$A23,'TB 24-25'!$P:$P)-SUMIF('TB 24-25'!$Q:$Q,$A23,'TB 24-25'!$O:$O)</f>
        <v>-3.6550000000000291E-2</v>
      </c>
      <c r="C23" s="598"/>
    </row>
    <row r="24" spans="1:6" ht="14.4">
      <c r="A24" s="297"/>
      <c r="B24" s="292"/>
      <c r="C24" s="293"/>
    </row>
    <row r="25" spans="1:6" ht="15" thickBot="1">
      <c r="A25" s="93"/>
      <c r="B25" s="294">
        <f>SUM(B15:B24)</f>
        <v>44.217258300000012</v>
      </c>
      <c r="C25" s="294">
        <f>SUM(C15:C24)</f>
        <v>19.811284600000004</v>
      </c>
    </row>
    <row r="26" spans="1:6" ht="15" thickTop="1">
      <c r="A26" s="93"/>
      <c r="B26" s="292"/>
      <c r="C26" s="293"/>
    </row>
    <row r="27" spans="1:6" ht="14.4">
      <c r="A27" s="95" t="s">
        <v>939</v>
      </c>
      <c r="B27" s="295"/>
      <c r="C27" s="296"/>
    </row>
    <row r="28" spans="1:6" ht="14.4">
      <c r="A28" s="298" t="s">
        <v>148</v>
      </c>
      <c r="B28" s="299"/>
      <c r="C28" s="300"/>
    </row>
    <row r="29" spans="1:6" ht="14.4">
      <c r="A29" s="301" t="s">
        <v>148</v>
      </c>
      <c r="B29" s="47">
        <f>SUMIF('TB 24-25'!$Q:$Q,$A29,'TB 24-25'!$O:$O)-SUMIF('TB 24-25'!$Q:$Q,$A29,'TB 24-25'!$P:$P)</f>
        <v>0</v>
      </c>
      <c r="C29" s="47">
        <f>SUMIF('TB 24-25'!$Q:$Q,$A29,'TB 24-25'!$E:$E)-SUMIF('TB 24-25'!$Q:$Q,$A29,'TB 24-25'!$F:$F)</f>
        <v>4.2197903999999999</v>
      </c>
    </row>
    <row r="30" spans="1:6" ht="14.4">
      <c r="A30" s="301" t="s">
        <v>154</v>
      </c>
      <c r="B30" s="47">
        <f>SUMIF('TB 24-25'!$Q:$Q,$A30,'TB 24-25'!$O:$O)-SUMIF('TB 24-25'!$Q:$Q,$A30,'TB 24-25'!$P:$P)</f>
        <v>0.16299650000000024</v>
      </c>
      <c r="C30" s="47">
        <f>SUMIF('TB 24-25'!$Q:$Q,$A30,'TB 24-25'!$E:$E)-SUMIF('TB 24-25'!$Q:$Q,$A30,'TB 24-25'!$F:$F)</f>
        <v>9.049879999999999E-2</v>
      </c>
    </row>
    <row r="31" spans="1:6" ht="14.4">
      <c r="A31" s="301"/>
      <c r="B31" s="302"/>
      <c r="C31" s="303"/>
    </row>
    <row r="32" spans="1:6" ht="15" thickBot="1">
      <c r="A32" s="93"/>
      <c r="B32" s="294">
        <f>SUM(B29:B31)</f>
        <v>0.16299650000000024</v>
      </c>
      <c r="C32" s="294">
        <f>SUM(C29:C31)</f>
        <v>4.3102891999999997</v>
      </c>
    </row>
    <row r="33" spans="1:3" ht="15" thickTop="1">
      <c r="A33" s="93"/>
      <c r="B33" s="292"/>
      <c r="C33" s="293"/>
    </row>
    <row r="34" spans="1:3" ht="14.4">
      <c r="A34" s="298" t="s">
        <v>940</v>
      </c>
      <c r="B34" s="299"/>
      <c r="C34" s="300"/>
    </row>
    <row r="35" spans="1:3" ht="14.4">
      <c r="A35" s="301" t="s">
        <v>157</v>
      </c>
      <c r="B35" s="47">
        <f>SUMIF('TB 24-25'!$Q:$Q,$A35,'TB 24-25'!$O:$O)-SUMIF('TB 24-25'!$Q:$Q,$A35,'TB 24-25'!$P:$P)</f>
        <v>2.4111149499096025</v>
      </c>
      <c r="C35" s="47">
        <f>SUMIF('TB 24-25'!$Q:$Q,$A35,'TB 24-25'!$E:$E)-SUMIF('TB 24-25'!$Q:$Q,$A35,'TB 24-25'!$F:$F)</f>
        <v>14.949515549909901</v>
      </c>
    </row>
    <row r="36" spans="1:3" ht="14.4">
      <c r="A36" s="301" t="s">
        <v>151</v>
      </c>
      <c r="B36" s="47">
        <f>SUMIF('TB 24-25'!$Q:$Q,$A36,'TB 24-25'!$O:$O)-SUMIF('TB 24-25'!$Q:$Q,$A36,'TB 24-25'!$P:$P)</f>
        <v>214.36133060000242</v>
      </c>
      <c r="C36" s="47">
        <f>SUMIF('TB 24-25'!$Q:$Q,$A36,'TB 24-25'!$E:$E)-SUMIF('TB 24-25'!$Q:$Q,$A36,'TB 24-25'!$F:$F)</f>
        <v>41.915891000000805</v>
      </c>
    </row>
    <row r="37" spans="1:3" ht="14.4">
      <c r="A37" s="301"/>
      <c r="B37" s="302"/>
      <c r="C37" s="303"/>
    </row>
    <row r="38" spans="1:3" ht="15" thickBot="1">
      <c r="A38" s="93"/>
      <c r="B38" s="294">
        <f>SUM(B35:B37)</f>
        <v>216.77244554991202</v>
      </c>
      <c r="C38" s="294">
        <f>SUM(C35:C37)</f>
        <v>56.865406549910702</v>
      </c>
    </row>
    <row r="39" spans="1:3" ht="15" thickTop="1">
      <c r="A39" s="93"/>
      <c r="B39" s="292"/>
      <c r="C39" s="293"/>
    </row>
    <row r="40" spans="1:3" ht="14.4">
      <c r="A40" s="95" t="s">
        <v>941</v>
      </c>
      <c r="B40" s="295"/>
      <c r="C40" s="296"/>
    </row>
    <row r="41" spans="1:3" ht="14.4">
      <c r="A41" s="93" t="s">
        <v>189</v>
      </c>
      <c r="B41" s="47">
        <f>SUMIF('TB 24-25'!$Q:$Q,$A41,'TB 24-25'!$O:$O)-SUMIF('TB 24-25'!$Q:$Q,$A41,'TB 24-25'!$P:$P)</f>
        <v>321.01309610000015</v>
      </c>
      <c r="C41" s="47">
        <f>SUMIF('TB 24-25'!$Q:$Q,$A41,'TB 24-25'!$E:$E)-SUMIF('TB 24-25'!$Q:$Q,$A41,'TB 24-25'!$F:$F)</f>
        <v>72.837829999999997</v>
      </c>
    </row>
    <row r="42" spans="1:3" ht="14.4">
      <c r="A42" s="93" t="s">
        <v>275</v>
      </c>
      <c r="B42" s="47">
        <f>SUMIF('TB 24-25'!$Q:$Q,$A42,'TB 24-25'!$O:$O)-SUMIF('TB 24-25'!$Q:$Q,$A42,'TB 24-25'!$P:$P)</f>
        <v>-270.36239589999991</v>
      </c>
      <c r="C42" s="47">
        <f>SUMIF('TB 24-25'!$Q:$Q,$A42,'TB 24-25'!$E:$E)-SUMIF('TB 24-25'!$Q:$Q,$A42,'TB 24-25'!$F:$F)</f>
        <v>0</v>
      </c>
    </row>
    <row r="43" spans="1:3" ht="14.4">
      <c r="A43" s="93"/>
      <c r="B43" s="292"/>
      <c r="C43" s="293"/>
    </row>
    <row r="44" spans="1:3" ht="15" thickBot="1">
      <c r="A44" s="93"/>
      <c r="B44" s="294">
        <f>SUM(B41:B43)</f>
        <v>50.650700200000244</v>
      </c>
      <c r="C44" s="294">
        <f>SUM(C41:C43)</f>
        <v>72.837829999999997</v>
      </c>
    </row>
    <row r="45" spans="1:3" ht="15.6" thickTop="1" thickBot="1">
      <c r="A45" s="147"/>
      <c r="B45" s="304"/>
      <c r="C45" s="305"/>
    </row>
  </sheetData>
  <sortState xmlns:xlrd2="http://schemas.microsoft.com/office/spreadsheetml/2017/richdata2" ref="C14:C20">
    <sortCondition ref="C14:C20"/>
  </sortState>
  <mergeCells count="3">
    <mergeCell ref="A1:C1"/>
    <mergeCell ref="A2:C2"/>
    <mergeCell ref="A3:A4"/>
  </mergeCells>
  <pageMargins left="0.7" right="0.7" top="0.75" bottom="0.75" header="0.3" footer="0.3"/>
  <pageSetup paperSize="9" scale="86" orientation="portrait" horizontalDpi="4294967294"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399"/>
  <sheetViews>
    <sheetView showGridLines="0" view="pageBreakPreview" topLeftCell="A17" zoomScale="85" zoomScaleNormal="90" zoomScaleSheetLayoutView="85" workbookViewId="0">
      <selection activeCell="B46" sqref="B46"/>
    </sheetView>
  </sheetViews>
  <sheetFormatPr defaultColWidth="9.109375" defaultRowHeight="13.8"/>
  <cols>
    <col min="1" max="1" width="55" style="109" customWidth="1"/>
    <col min="2" max="2" width="20.109375" style="109" customWidth="1"/>
    <col min="3" max="3" width="19.109375" style="109" customWidth="1"/>
    <col min="4" max="4" width="9.109375" style="109"/>
    <col min="5" max="6" width="10.33203125" style="109" bestFit="1" customWidth="1"/>
    <col min="7" max="16384" width="9.109375" style="109"/>
  </cols>
  <sheetData>
    <row r="1" spans="1:6" ht="18">
      <c r="A1" s="853" t="s">
        <v>930</v>
      </c>
      <c r="B1" s="854"/>
      <c r="C1" s="855"/>
    </row>
    <row r="2" spans="1:6" ht="16.2" thickBot="1">
      <c r="A2" s="856" t="s">
        <v>931</v>
      </c>
      <c r="B2" s="857"/>
      <c r="C2" s="858"/>
    </row>
    <row r="3" spans="1:6" ht="14.4">
      <c r="A3" s="708" t="s">
        <v>44</v>
      </c>
      <c r="B3" s="280" t="str">
        <f>+'NOTE 15-20'!B5</f>
        <v>For Year Ended</v>
      </c>
      <c r="C3" s="280" t="str">
        <f>+'NOTE 15-20'!C5</f>
        <v>For Year Ended</v>
      </c>
    </row>
    <row r="4" spans="1:6" ht="15" thickBot="1">
      <c r="A4" s="709"/>
      <c r="B4" s="281">
        <v>45382</v>
      </c>
      <c r="C4" s="281">
        <v>45016</v>
      </c>
    </row>
    <row r="5" spans="1:6" ht="14.4">
      <c r="A5" s="282"/>
      <c r="B5" s="282"/>
      <c r="C5" s="283"/>
    </row>
    <row r="6" spans="1:6" ht="14.4">
      <c r="A6" s="284" t="s">
        <v>942</v>
      </c>
      <c r="B6" s="284"/>
      <c r="C6" s="50"/>
    </row>
    <row r="7" spans="1:6" ht="14.4">
      <c r="A7" s="104" t="s">
        <v>496</v>
      </c>
      <c r="B7" s="48">
        <f>SUMIF('TB 24-25'!Q:Q,'Sub Sch - p&amp;l'!A7,'TB 24-25'!O:O)-SUMIF('TB 24-25'!Q:Q,'Sub Sch - p&amp;l'!A7,'TB 24-25'!P:P)</f>
        <v>1.9199999999999998E-2</v>
      </c>
      <c r="C7" s="49">
        <f>SUMIF('TB 24-25'!Q:Q,'Sub Sch - p&amp;l'!A7,'TB 24-25'!E:E)-SUMIF('TB 24-25'!Q:Q,'Sub Sch - p&amp;l'!A7,'TB 24-25'!F:F)</f>
        <v>1.9199999999999998E-2</v>
      </c>
    </row>
    <row r="8" spans="1:6" ht="14.4">
      <c r="A8" s="104" t="s">
        <v>504</v>
      </c>
      <c r="B8" s="48">
        <f>SUMIF('TB 24-25'!Q:Q,'Sub Sch - p&amp;l'!A8,'TB 24-25'!O:O)-SUMIF('TB 24-25'!Q:Q,'Sub Sch - p&amp;l'!A8,'TB 24-25'!P:P)</f>
        <v>12.101960400000001</v>
      </c>
      <c r="C8" s="49">
        <f>SUMIF('TB 24-25'!Q:Q,'Sub Sch - p&amp;l'!A8,'TB 24-25'!E:E)-SUMIF('TB 24-25'!Q:Q,'Sub Sch - p&amp;l'!A8,'TB 24-25'!F:F)</f>
        <v>1.9155899999999999</v>
      </c>
      <c r="D8" s="285">
        <f>+(C8-B8)/C8</f>
        <v>-5.3176151472914359</v>
      </c>
    </row>
    <row r="9" spans="1:6" ht="14.4">
      <c r="A9" s="104" t="s">
        <v>499</v>
      </c>
      <c r="B9" s="48">
        <f>SUMIF('TB 24-25'!Q:Q,'Sub Sch - p&amp;l'!A9,'TB 24-25'!O:O)-SUMIF('TB 24-25'!Q:Q,'Sub Sch - p&amp;l'!A9,'TB 24-25'!P:P)</f>
        <v>1.2770291</v>
      </c>
      <c r="C9" s="49">
        <f>SUMIF('TB 24-25'!Q:Q,'Sub Sch - p&amp;l'!A9,'TB 24-25'!E:E)-SUMIF('TB 24-25'!Q:Q,'Sub Sch - p&amp;l'!A9,'TB 24-25'!F:F)</f>
        <v>2.0027849999999998</v>
      </c>
      <c r="E9" s="109">
        <f>84.765*999</f>
        <v>84680.235000000001</v>
      </c>
      <c r="F9" s="109">
        <f>B9-E9</f>
        <v>-84678.957970899995</v>
      </c>
    </row>
    <row r="10" spans="1:6" ht="14.4">
      <c r="A10" s="104" t="s">
        <v>501</v>
      </c>
      <c r="B10" s="48">
        <f>SUMIF('TB 24-25'!Q:Q,'Sub Sch - p&amp;l'!A10,'TB 24-25'!O:O)-SUMIF('TB 24-25'!Q:Q,'Sub Sch - p&amp;l'!A10,'TB 24-25'!P:P)</f>
        <v>2.9350210000000008</v>
      </c>
      <c r="C10" s="49">
        <f>SUMIF('TB 24-25'!Q:Q,'Sub Sch - p&amp;l'!A10,'TB 24-25'!E:E)-SUMIF('TB 24-25'!Q:Q,'Sub Sch - p&amp;l'!A10,'TB 24-25'!F:F)</f>
        <v>1.7963279999999999</v>
      </c>
      <c r="D10" s="285">
        <f>+(C10-B10)/C10</f>
        <v>-0.63390037899537333</v>
      </c>
    </row>
    <row r="11" spans="1:6" ht="14.4">
      <c r="A11" s="284"/>
      <c r="B11" s="48"/>
      <c r="C11" s="50"/>
    </row>
    <row r="12" spans="1:6" ht="15" thickBot="1">
      <c r="A12" s="284"/>
      <c r="B12" s="51">
        <f>SUM(B7:B11)</f>
        <v>16.3332105</v>
      </c>
      <c r="C12" s="51">
        <f>SUM(C7:C11)</f>
        <v>5.7339029999999998</v>
      </c>
    </row>
    <row r="13" spans="1:6" ht="15" thickTop="1">
      <c r="A13" s="284"/>
      <c r="B13" s="52"/>
      <c r="C13" s="50"/>
    </row>
    <row r="14" spans="1:6" ht="14.4">
      <c r="A14" s="284" t="s">
        <v>943</v>
      </c>
      <c r="B14" s="52"/>
      <c r="C14" s="50"/>
    </row>
    <row r="15" spans="1:6" ht="14.4">
      <c r="A15" s="104" t="s">
        <v>428</v>
      </c>
      <c r="B15" s="48">
        <f>SUMIF('TB 24-25'!Q:Q,'Sub Sch - p&amp;l'!A15,'TB 24-25'!O:O)-SUMIF('TB 24-25'!Q:Q,'Sub Sch - p&amp;l'!A15,'TB 24-25'!P:P)</f>
        <v>0.32274290000000005</v>
      </c>
      <c r="C15" s="49">
        <f>SUMIF('TB 24-25'!Q:Q,'Sub Sch - p&amp;l'!A15,'TB 24-25'!E:E)-SUMIF('TB 24-25'!Q:Q,'Sub Sch - p&amp;l'!A15,'TB 24-25'!F:F)</f>
        <v>0.34177690000000005</v>
      </c>
      <c r="D15" s="285">
        <f>+(C15-B15)/C15</f>
        <v>5.5691300377526953E-2</v>
      </c>
    </row>
    <row r="16" spans="1:6" ht="14.4">
      <c r="A16" s="104" t="s">
        <v>425</v>
      </c>
      <c r="B16" s="48">
        <f>SUMIF('TB 24-25'!Q:Q,'Sub Sch - p&amp;l'!A16,'TB 24-25'!O:O)-SUMIF('TB 24-25'!Q:Q,'Sub Sch - p&amp;l'!A16,'TB 24-25'!P:P)</f>
        <v>9.2246670000000002</v>
      </c>
      <c r="C16" s="49">
        <f>SUMIF('TB 24-25'!Q:Q,'Sub Sch - p&amp;l'!A16,'TB 24-25'!E:E)-SUMIF('TB 24-25'!Q:Q,'Sub Sch - p&amp;l'!A16,'TB 24-25'!F:F)</f>
        <v>7.4842797000000001</v>
      </c>
      <c r="D16" s="285">
        <f>+(C16-B16)/C16</f>
        <v>-0.23253905115277829</v>
      </c>
    </row>
    <row r="17" spans="1:7" ht="14.4">
      <c r="A17" s="104" t="s">
        <v>423</v>
      </c>
      <c r="B17" s="48">
        <f>SUMIF('TB 24-25'!Q:Q,'Sub Sch - p&amp;l'!A17,'TB 24-25'!O:O)-SUMIF('TB 24-25'!Q:Q,'Sub Sch - p&amp;l'!A17,'TB 24-25'!P:P)</f>
        <v>0.88380760000000014</v>
      </c>
      <c r="C17" s="49">
        <f>SUMIF('TB 24-25'!Q:Q,'Sub Sch - p&amp;l'!A17,'TB 24-25'!E:E)-SUMIF('TB 24-25'!Q:Q,'Sub Sch - p&amp;l'!A17,'TB 24-25'!F:F)</f>
        <v>1.1184246</v>
      </c>
      <c r="D17" s="285">
        <f>+(C17-B17)/C17</f>
        <v>0.20977453464453469</v>
      </c>
    </row>
    <row r="18" spans="1:7" ht="14.4">
      <c r="A18" s="104" t="s">
        <v>420</v>
      </c>
      <c r="B18" s="48">
        <f>SUMIF('TB 24-25'!Q:Q,'Sub Sch - p&amp;l'!A18,'TB 24-25'!O:O)-SUMIF('TB 24-25'!Q:Q,'Sub Sch - p&amp;l'!A18,'TB 24-25'!P:P)</f>
        <v>0.1731857</v>
      </c>
      <c r="C18" s="49">
        <f>SUMIF('TB 24-25'!Q:Q,'Sub Sch - p&amp;l'!A18,'TB 24-25'!E:E)-SUMIF('TB 24-25'!Q:Q,'Sub Sch - p&amp;l'!A18,'TB 24-25'!F:F)</f>
        <v>0.19006000000000001</v>
      </c>
      <c r="D18" s="285">
        <f>+(C18-B18)/C18</f>
        <v>8.8784068188992996E-2</v>
      </c>
      <c r="G18" s="63"/>
    </row>
    <row r="19" spans="1:7" ht="14.4">
      <c r="A19" s="284"/>
      <c r="B19" s="52"/>
      <c r="C19" s="49">
        <f>SUMIF('TB 24-25'!Q:Q,'Sub Sch - p&amp;l'!A19,'TB 24-25'!E:E)-SUMIF('TB 24-25'!Q:Q,'Sub Sch - p&amp;l'!A19,'TB 24-25'!F:F)</f>
        <v>0</v>
      </c>
      <c r="D19" s="63"/>
      <c r="G19" s="63"/>
    </row>
    <row r="20" spans="1:7" ht="15" thickBot="1">
      <c r="A20" s="284"/>
      <c r="B20" s="51">
        <f>SUM(B15:B19)</f>
        <v>10.6044032</v>
      </c>
      <c r="C20" s="51">
        <f>SUM(C15:C19)</f>
        <v>9.134541200000001</v>
      </c>
      <c r="D20" s="63"/>
    </row>
    <row r="21" spans="1:7" ht="15" thickTop="1">
      <c r="A21" s="284"/>
      <c r="B21" s="52"/>
      <c r="C21" s="50"/>
      <c r="D21" s="63"/>
    </row>
    <row r="22" spans="1:7" ht="14.4">
      <c r="A22" s="284" t="s">
        <v>944</v>
      </c>
      <c r="B22" s="52"/>
      <c r="C22" s="50"/>
      <c r="D22" s="63"/>
    </row>
    <row r="23" spans="1:7" ht="14.4">
      <c r="A23" s="104" t="s">
        <v>524</v>
      </c>
      <c r="B23" s="48">
        <f>SUMIF('TB 24-25'!Q:Q,'Sub Sch - p&amp;l'!A23,'TB 24-25'!O:O)-SUMIF('TB 24-25'!Q:Q,'Sub Sch - p&amp;l'!A23,'TB 24-25'!P:P)</f>
        <v>4.6166680000000007</v>
      </c>
      <c r="C23" s="49">
        <f>SUMIF('TB 24-25'!Q:Q,'Sub Sch - p&amp;l'!A23,'TB 24-25'!E:E)-SUMIF('TB 24-25'!Q:Q,'Sub Sch - p&amp;l'!A23,'TB 24-25'!F:F)</f>
        <v>3.1053784000000002</v>
      </c>
      <c r="D23" s="285">
        <f>+(C23-B23)/C23</f>
        <v>-0.48666842018351142</v>
      </c>
    </row>
    <row r="24" spans="1:7" ht="14.4">
      <c r="A24" s="104" t="s">
        <v>575</v>
      </c>
      <c r="B24" s="48">
        <f>SUMIF('TB 24-25'!Q:Q,'Sub Sch - p&amp;l'!A24,'TB 24-25'!O:O)-SUMIF('TB 24-25'!Q:Q,'Sub Sch - p&amp;l'!A24,'TB 24-25'!P:P)</f>
        <v>0</v>
      </c>
      <c r="C24" s="49">
        <f>SUMIF('TB 24-25'!Q:Q,'Sub Sch - p&amp;l'!A24,'TB 24-25'!E:E)-SUMIF('TB 24-25'!Q:Q,'Sub Sch - p&amp;l'!A24,'TB 24-25'!F:F)</f>
        <v>0</v>
      </c>
      <c r="D24" s="285"/>
    </row>
    <row r="25" spans="1:7" ht="14.4">
      <c r="A25" s="104" t="s">
        <v>536</v>
      </c>
      <c r="B25" s="48">
        <f>SUMIF('TB 24-25'!Q:Q,'Sub Sch - p&amp;l'!A25,'TB 24-25'!O:O)-SUMIF('TB 24-25'!Q:Q,'Sub Sch - p&amp;l'!A25,'TB 24-25'!P:P)</f>
        <v>0</v>
      </c>
      <c r="C25" s="49">
        <f>SUMIF('TB 24-25'!Q:Q,'Sub Sch - p&amp;l'!A25,'TB 24-25'!E:E)-SUMIF('TB 24-25'!Q:Q,'Sub Sch - p&amp;l'!A25,'TB 24-25'!F:F)</f>
        <v>0</v>
      </c>
      <c r="D25" s="285" t="e">
        <f t="shared" ref="D25:D33" si="0">+(C25-B25)/C25</f>
        <v>#DIV/0!</v>
      </c>
    </row>
    <row r="26" spans="1:7" ht="14.4">
      <c r="A26" s="104" t="s">
        <v>520</v>
      </c>
      <c r="B26" s="48">
        <f>SUMIF('TB 24-25'!Q:Q,'Sub Sch - p&amp;l'!A26,'TB 24-25'!O:O)-SUMIF('TB 24-25'!Q:Q,'Sub Sch - p&amp;l'!A26,'TB 24-25'!P:P)</f>
        <v>1.44763</v>
      </c>
      <c r="C26" s="49">
        <f>SUMIF('TB 24-25'!Q:Q,'Sub Sch - p&amp;l'!A26,'TB 24-25'!E:E)-SUMIF('TB 24-25'!Q:Q,'Sub Sch - p&amp;l'!A26,'TB 24-25'!F:F)</f>
        <v>9.2549999999999993E-2</v>
      </c>
      <c r="D26" s="285">
        <f t="shared" si="0"/>
        <v>-14.641599135602378</v>
      </c>
    </row>
    <row r="27" spans="1:7" ht="14.4">
      <c r="A27" s="104" t="s">
        <v>511</v>
      </c>
      <c r="B27" s="48">
        <f>SUMIF('TB 24-25'!Q:Q,'Sub Sch - p&amp;l'!A27,'TB 24-25'!O:O)-SUMIF('TB 24-25'!Q:Q,'Sub Sch - p&amp;l'!A27,'TB 24-25'!P:P)</f>
        <v>1.7400625999999999</v>
      </c>
      <c r="C27" s="49">
        <f>SUMIF('TB 24-25'!Q:Q,'Sub Sch - p&amp;l'!A27,'TB 24-25'!E:E)-SUMIF('TB 24-25'!Q:Q,'Sub Sch - p&amp;l'!A27,'TB 24-25'!F:F)</f>
        <v>21.677290000000003</v>
      </c>
      <c r="D27" s="285">
        <f t="shared" si="0"/>
        <v>0.91972877606010728</v>
      </c>
      <c r="F27" s="109" t="s">
        <v>945</v>
      </c>
    </row>
    <row r="28" spans="1:7" ht="14.4">
      <c r="A28" s="104" t="s">
        <v>513</v>
      </c>
      <c r="B28" s="48">
        <f>SUMIF('TB 24-25'!Q:Q,'Sub Sch - p&amp;l'!A28,'TB 24-25'!O:O)-SUMIF('TB 24-25'!Q:Q,'Sub Sch - p&amp;l'!A28,'TB 24-25'!P:P)</f>
        <v>1.055016</v>
      </c>
      <c r="C28" s="49">
        <f>SUMIF('TB 24-25'!Q:Q,'Sub Sch - p&amp;l'!A28,'TB 24-25'!E:E)-SUMIF('TB 24-25'!Q:Q,'Sub Sch - p&amp;l'!A28,'TB 24-25'!F:F)</f>
        <v>0.83659749999999999</v>
      </c>
      <c r="D28" s="285">
        <f t="shared" si="0"/>
        <v>-0.2610795513971772</v>
      </c>
    </row>
    <row r="29" spans="1:7" ht="14.4">
      <c r="A29" s="104" t="s">
        <v>528</v>
      </c>
      <c r="B29" s="48">
        <f>SUMIF('TB 24-25'!Q:Q,'Sub Sch - p&amp;l'!A29,'TB 24-25'!O:O)-SUMIF('TB 24-25'!Q:Q,'Sub Sch - p&amp;l'!A29,'TB 24-25'!P:P)</f>
        <v>0</v>
      </c>
      <c r="C29" s="49">
        <f>SUMIF('TB 24-25'!Q:Q,'Sub Sch - p&amp;l'!A29,'TB 24-25'!E:E)-SUMIF('TB 24-25'!Q:Q,'Sub Sch - p&amp;l'!A29,'TB 24-25'!F:F)</f>
        <v>0.14499999999999999</v>
      </c>
      <c r="D29" s="285">
        <f t="shared" si="0"/>
        <v>1</v>
      </c>
      <c r="F29" s="109" t="s">
        <v>946</v>
      </c>
    </row>
    <row r="30" spans="1:7" ht="14.4">
      <c r="A30" s="104" t="s">
        <v>515</v>
      </c>
      <c r="B30" s="48">
        <f>SUMIF('TB 24-25'!Q:Q,'Sub Sch - p&amp;l'!A30,'TB 24-25'!O:O)-SUMIF('TB 24-25'!Q:Q,'Sub Sch - p&amp;l'!A30,'TB 24-25'!P:P)</f>
        <v>7.6455954000000004</v>
      </c>
      <c r="C30" s="49">
        <f>SUMIF('TB 24-25'!Q:Q,'Sub Sch - p&amp;l'!A30,'TB 24-25'!E:E)-SUMIF('TB 24-25'!Q:Q,'Sub Sch - p&amp;l'!A30,'TB 24-25'!F:F)</f>
        <v>6.6989031000000008</v>
      </c>
      <c r="D30" s="285">
        <f t="shared" si="0"/>
        <v>-0.1413204946941238</v>
      </c>
    </row>
    <row r="31" spans="1:7" ht="14.4">
      <c r="A31" s="104" t="s">
        <v>518</v>
      </c>
      <c r="B31" s="48">
        <f>SUMIF('TB 24-25'!Q:Q,'Sub Sch - p&amp;l'!A31,'TB 24-25'!O:O)-SUMIF('TB 24-25'!Q:Q,'Sub Sch - p&amp;l'!A31,'TB 24-25'!P:P)</f>
        <v>2.5062177000000001</v>
      </c>
      <c r="C31" s="49">
        <f>SUMIF('TB 24-25'!Q:Q,'Sub Sch - p&amp;l'!A31,'TB 24-25'!E:E)-SUMIF('TB 24-25'!Q:Q,'Sub Sch - p&amp;l'!A31,'TB 24-25'!F:F)</f>
        <v>2.8265646000000002</v>
      </c>
      <c r="D31" s="285">
        <f t="shared" si="0"/>
        <v>0.1133343635592125</v>
      </c>
    </row>
    <row r="32" spans="1:7" ht="14.4">
      <c r="A32" s="104" t="s">
        <v>531</v>
      </c>
      <c r="B32" s="48">
        <f>SUMIF('TB 24-25'!Q:Q,'Sub Sch - p&amp;l'!A32,'TB 24-25'!O:O)-SUMIF('TB 24-25'!Q:Q,'Sub Sch - p&amp;l'!A32,'TB 24-25'!P:P)</f>
        <v>0.33</v>
      </c>
      <c r="C32" s="49">
        <f>SUMIF('TB 24-25'!Q:Q,'Sub Sch - p&amp;l'!A32,'TB 24-25'!E:E)-SUMIF('TB 24-25'!Q:Q,'Sub Sch - p&amp;l'!A32,'TB 24-25'!F:F)</f>
        <v>0</v>
      </c>
      <c r="D32" s="285" t="e">
        <f t="shared" si="0"/>
        <v>#DIV/0!</v>
      </c>
    </row>
    <row r="33" spans="1:4" ht="14.4">
      <c r="A33" s="104" t="s">
        <v>359</v>
      </c>
      <c r="B33" s="48">
        <f>SUMIF('TB 24-25'!Q:Q,'Sub Sch - p&amp;l'!A33,'TB 24-25'!O:O)-SUMIF('TB 24-25'!Q:Q,'Sub Sch - p&amp;l'!A33,'TB 24-25'!P:P)</f>
        <v>8.2776000000024177E-3</v>
      </c>
      <c r="C33" s="47">
        <f>SUMIF('TB 24-25'!Q:Q,'Sub Sch - p&amp;l'!A33,'TB 24-25'!E:E)-SUMIF('TB 24-25'!Q:Q,'Sub Sch - p&amp;l'!A33,'TB 24-25'!F:F)</f>
        <v>4.0509999999999998E-4</v>
      </c>
      <c r="D33" s="285">
        <f t="shared" si="0"/>
        <v>-19.433473216495724</v>
      </c>
    </row>
    <row r="34" spans="1:4" ht="14.4">
      <c r="A34" s="104"/>
      <c r="B34" s="48"/>
      <c r="C34" s="53"/>
      <c r="D34" s="63"/>
    </row>
    <row r="35" spans="1:4" ht="15" thickBot="1">
      <c r="A35" s="104"/>
      <c r="B35" s="51">
        <f>SUM(B23:B34)</f>
        <v>19.349467300000004</v>
      </c>
      <c r="C35" s="51">
        <f>SUM(C23:C34)</f>
        <v>35.382688700000003</v>
      </c>
      <c r="D35" s="63"/>
    </row>
    <row r="36" spans="1:4" ht="15" thickTop="1">
      <c r="A36" s="104"/>
      <c r="B36" s="48"/>
      <c r="C36" s="53"/>
      <c r="D36" s="63"/>
    </row>
    <row r="37" spans="1:4" ht="14.4">
      <c r="A37" s="284" t="s">
        <v>947</v>
      </c>
      <c r="B37" s="52"/>
      <c r="C37" s="50"/>
      <c r="D37" s="63"/>
    </row>
    <row r="38" spans="1:4" ht="14.4">
      <c r="A38" s="104" t="s">
        <v>489</v>
      </c>
      <c r="B38" s="48">
        <f>SUMIF('TB 24-25'!Q:Q,'Sub Sch - p&amp;l'!A38,'TB 24-25'!O:O)-SUMIF('TB 24-25'!Q:Q,'Sub Sch - p&amp;l'!A38,'TB 24-25'!P:P)</f>
        <v>0</v>
      </c>
      <c r="C38" s="49">
        <f>SUMIF('TB 24-25'!Q:Q,'Sub Sch - p&amp;l'!A38,'TB 24-25'!E:E)-SUMIF('TB 24-25'!Q:Q,'Sub Sch - p&amp;l'!A38,'TB 24-25'!F:F)</f>
        <v>0.9</v>
      </c>
      <c r="D38" s="63"/>
    </row>
    <row r="39" spans="1:4" ht="14.4">
      <c r="A39" s="104" t="s">
        <v>481</v>
      </c>
      <c r="B39" s="48">
        <f>SUMIF('TB 24-25'!Q:Q,'Sub Sch - p&amp;l'!A39,'TB 24-25'!O:O)-SUMIF('TB 24-25'!Q:Q,'Sub Sch - p&amp;l'!A39,'TB 24-25'!P:P)</f>
        <v>14.316000000000001</v>
      </c>
      <c r="C39" s="49">
        <f>SUMIF('TB 24-25'!Q:Q,'Sub Sch - p&amp;l'!A39,'TB 24-25'!E:E)-SUMIF('TB 24-25'!Q:Q,'Sub Sch - p&amp;l'!A39,'TB 24-25'!F:F)</f>
        <v>9.2370000000000001</v>
      </c>
      <c r="D39" s="63">
        <f>+(B39-C39)/C39</f>
        <v>0.5498538486521598</v>
      </c>
    </row>
    <row r="40" spans="1:4" ht="14.4">
      <c r="A40" s="104" t="s">
        <v>486</v>
      </c>
      <c r="B40" s="48">
        <f>SUMIF('TB 24-25'!Q:Q,'Sub Sch - p&amp;l'!A40,'TB 24-25'!O:O)-SUMIF('TB 24-25'!Q:Q,'Sub Sch - p&amp;l'!A40,'TB 24-25'!P:P)</f>
        <v>0.3</v>
      </c>
      <c r="C40" s="49">
        <f>SUMIF('TB 24-25'!Q:Q,'Sub Sch - p&amp;l'!A40,'TB 24-25'!E:E)-SUMIF('TB 24-25'!Q:Q,'Sub Sch - p&amp;l'!A40,'TB 24-25'!F:F)</f>
        <v>0</v>
      </c>
      <c r="D40" s="63"/>
    </row>
    <row r="41" spans="1:4" ht="14.4">
      <c r="A41" s="104" t="s">
        <v>1178</v>
      </c>
      <c r="B41" s="48">
        <f>SUMIF('TB 24-25'!Q:Q,'Sub Sch - p&amp;l'!A41,'TB 24-25'!O:O)-SUMIF('TB 24-25'!Q:Q,'Sub Sch - p&amp;l'!A41,'TB 24-25'!P:P)</f>
        <v>5.3837089000000002</v>
      </c>
      <c r="C41" s="49">
        <f>SUMIF('TB 24-25'!Q:Q,'Sub Sch - p&amp;l'!A41,'TB 24-25'!E:E)-SUMIF('TB 24-25'!Q:Q,'Sub Sch - p&amp;l'!A41,'TB 24-25'!F:F)</f>
        <v>8.2553999999999998</v>
      </c>
      <c r="D41" s="63"/>
    </row>
    <row r="42" spans="1:4" ht="14.4">
      <c r="A42" s="284"/>
      <c r="B42" s="52"/>
      <c r="C42" s="50"/>
      <c r="D42" s="63"/>
    </row>
    <row r="43" spans="1:4" ht="15" thickBot="1">
      <c r="A43" s="284"/>
      <c r="B43" s="51">
        <f>SUM(B38:B42)</f>
        <v>19.999708900000002</v>
      </c>
      <c r="C43" s="51">
        <f>SUM(C38:C42)</f>
        <v>18.392400000000002</v>
      </c>
      <c r="D43" s="63"/>
    </row>
    <row r="44" spans="1:4" ht="15.6" thickTop="1" thickBot="1">
      <c r="A44" s="56"/>
      <c r="B44" s="54"/>
      <c r="C44" s="55"/>
      <c r="D44" s="63"/>
    </row>
    <row r="45" spans="1:4" ht="14.4">
      <c r="A45" s="284"/>
      <c r="B45" s="52"/>
      <c r="C45" s="50"/>
      <c r="D45" s="63"/>
    </row>
    <row r="46" spans="1:4" ht="14.4">
      <c r="A46" s="284" t="s">
        <v>948</v>
      </c>
      <c r="B46" s="52"/>
      <c r="C46" s="50"/>
      <c r="D46" s="63"/>
    </row>
    <row r="47" spans="1:4" ht="14.4">
      <c r="A47" s="104" t="s">
        <v>434</v>
      </c>
      <c r="B47" s="48">
        <f>SUMIF('TB 24-25'!Q:Q,'Sub Sch - p&amp;l'!A47,'TB 24-25'!O:O)-SUMIF('TB 24-25'!Q:Q,'Sub Sch - p&amp;l'!A47,'TB 24-25'!P:P)</f>
        <v>18.760649999999998</v>
      </c>
      <c r="C47" s="49">
        <f>SUMIF('TB 24-25'!Q:Q,'Sub Sch - p&amp;l'!A47,'TB 24-25'!E:E)-SUMIF('TB 24-25'!Q:Q,'Sub Sch - p&amp;l'!A47,'TB 24-25'!F:F)</f>
        <v>23.732749999999999</v>
      </c>
      <c r="D47" s="63">
        <f>+(C47-B47)/C47</f>
        <v>0.20950374482518888</v>
      </c>
    </row>
    <row r="48" spans="1:4" ht="14.4">
      <c r="A48" s="104" t="s">
        <v>444</v>
      </c>
      <c r="B48" s="48">
        <f>SUMIF('TB 24-25'!Q:Q,'Sub Sch - p&amp;l'!A48,'TB 24-25'!O:O)-SUMIF('TB 24-25'!Q:Q,'Sub Sch - p&amp;l'!A48,'TB 24-25'!P:P)</f>
        <v>0.48</v>
      </c>
      <c r="C48" s="49">
        <f>SUMIF('TB 24-25'!Q:Q,'Sub Sch - p&amp;l'!A48,'TB 24-25'!E:E)-SUMIF('TB 24-25'!Q:Q,'Sub Sch - p&amp;l'!A48,'TB 24-25'!F:F)</f>
        <v>0.48</v>
      </c>
      <c r="D48" s="63"/>
    </row>
    <row r="49" spans="1:4" ht="14.4">
      <c r="A49" s="104" t="s">
        <v>449</v>
      </c>
      <c r="B49" s="48">
        <f>SUMIF('TB 24-25'!Q:Q,'Sub Sch - p&amp;l'!A49,'TB 24-25'!O:O)-SUMIF('TB 24-25'!Q:Q,'Sub Sch - p&amp;l'!A49,'TB 24-25'!P:P)</f>
        <v>2.11</v>
      </c>
      <c r="C49" s="49">
        <f>SUMIF('TB 24-25'!Q:Q,'Sub Sch - p&amp;l'!A49,'TB 24-25'!E:E)-SUMIF('TB 24-25'!Q:Q,'Sub Sch - p&amp;l'!A49,'TB 24-25'!F:F)</f>
        <v>1.05</v>
      </c>
      <c r="D49" s="63"/>
    </row>
    <row r="50" spans="1:4" ht="14.4">
      <c r="A50" s="284"/>
      <c r="B50" s="52"/>
      <c r="C50" s="50"/>
      <c r="D50" s="63"/>
    </row>
    <row r="51" spans="1:4" ht="15" thickBot="1">
      <c r="A51" s="284"/>
      <c r="B51" s="51">
        <f>SUM(B47:B50)</f>
        <v>21.350649999999998</v>
      </c>
      <c r="C51" s="51">
        <f>SUM(C47:C50)</f>
        <v>25.26275</v>
      </c>
      <c r="D51" s="63"/>
    </row>
    <row r="52" spans="1:4" ht="15" thickTop="1">
      <c r="A52" s="284"/>
      <c r="B52" s="52"/>
      <c r="C52" s="50"/>
      <c r="D52" s="63"/>
    </row>
    <row r="53" spans="1:4" ht="14.4">
      <c r="A53" s="284" t="s">
        <v>949</v>
      </c>
      <c r="B53" s="52"/>
      <c r="C53" s="50"/>
    </row>
    <row r="54" spans="1:4" ht="14.4">
      <c r="A54" s="104" t="s">
        <v>474</v>
      </c>
      <c r="B54" s="48">
        <f>SUMIF('TB 24-25'!Q:Q,'Sub Sch - p&amp;l'!A54,'TB 24-25'!O:O)-SUMIF('TB 24-25'!Q:Q,'Sub Sch - p&amp;l'!A54,'TB 24-25'!P:P)</f>
        <v>0.78132200000000007</v>
      </c>
      <c r="C54" s="49">
        <f>SUMIF('TB 24-25'!Q:Q,'Sub Sch - p&amp;l'!A54,'TB 24-25'!E:E)-SUMIF('TB 24-25'!Q:Q,'Sub Sch - p&amp;l'!A54,'TB 24-25'!F:F)</f>
        <v>0.31377379999999999</v>
      </c>
    </row>
    <row r="55" spans="1:4" ht="14.4">
      <c r="A55" s="104" t="s">
        <v>476</v>
      </c>
      <c r="B55" s="48">
        <f>SUMIF('TB 24-25'!Q:Q,'Sub Sch - p&amp;l'!A55,'TB 24-25'!O:O)-SUMIF('TB 24-25'!Q:Q,'Sub Sch - p&amp;l'!A55,'TB 24-25'!P:P)</f>
        <v>0.34008470000000002</v>
      </c>
      <c r="C55" s="49">
        <f>SUMIF('TB 24-25'!Q:Q,'Sub Sch - p&amp;l'!A55,'TB 24-25'!E:E)-SUMIF('TB 24-25'!Q:Q,'Sub Sch - p&amp;l'!A55,'TB 24-25'!F:F)</f>
        <v>4.6084799999999995E-2</v>
      </c>
    </row>
    <row r="56" spans="1:4" ht="14.4">
      <c r="A56" s="104" t="s">
        <v>469</v>
      </c>
      <c r="B56" s="48">
        <f>SUMIF('TB 24-25'!Q:Q,'Sub Sch - p&amp;l'!A56,'TB 24-25'!O:O)-SUMIF('TB 24-25'!Q:Q,'Sub Sch - p&amp;l'!A56,'TB 24-25'!P:P)</f>
        <v>4.7215228000000007</v>
      </c>
      <c r="C56" s="49">
        <f>SUMIF('TB 24-25'!Q:Q,'Sub Sch - p&amp;l'!A56,'TB 24-25'!E:E)-SUMIF('TB 24-25'!Q:Q,'Sub Sch - p&amp;l'!A56,'TB 24-25'!F:F)</f>
        <v>2.7589000000000001</v>
      </c>
    </row>
    <row r="57" spans="1:4" ht="14.4">
      <c r="A57" s="104" t="s">
        <v>472</v>
      </c>
      <c r="B57" s="48">
        <f>SUMIF('TB 24-25'!Q:Q,'Sub Sch - p&amp;l'!A57,'TB 24-25'!O:O)-SUMIF('TB 24-25'!Q:Q,'Sub Sch - p&amp;l'!A57,'TB 24-25'!P:P)</f>
        <v>0.25245000000000001</v>
      </c>
      <c r="C57" s="49">
        <f>SUMIF('TB 24-25'!Q:Q,'Sub Sch - p&amp;l'!A57,'TB 24-25'!E:E)-SUMIF('TB 24-25'!Q:Q,'Sub Sch - p&amp;l'!A57,'TB 24-25'!F:F)</f>
        <v>0.2397</v>
      </c>
    </row>
    <row r="58" spans="1:4" ht="14.4">
      <c r="A58" s="104" t="s">
        <v>478</v>
      </c>
      <c r="B58" s="48">
        <f>SUMIF('TB 24-25'!Q:Q,'Sub Sch - p&amp;l'!A58,'TB 24-25'!O:O)-SUMIF('TB 24-25'!Q:Q,'Sub Sch - p&amp;l'!A58,'TB 24-25'!P:P)</f>
        <v>0</v>
      </c>
      <c r="C58" s="49">
        <f>SUMIF('TB 24-25'!Q:Q,'Sub Sch - p&amp;l'!A58,'TB 24-25'!E:E)-SUMIF('TB 24-25'!Q:Q,'Sub Sch - p&amp;l'!A58,'TB 24-25'!F:F)</f>
        <v>0</v>
      </c>
    </row>
    <row r="59" spans="1:4" ht="14.4">
      <c r="A59" s="284"/>
      <c r="B59" s="52"/>
      <c r="C59" s="50"/>
    </row>
    <row r="60" spans="1:4" ht="15" thickBot="1">
      <c r="A60" s="284"/>
      <c r="B60" s="51">
        <f>SUM(B54:B59)</f>
        <v>6.0953795</v>
      </c>
      <c r="C60" s="51">
        <f>SUM(C54:C59)</f>
        <v>3.3584586000000001</v>
      </c>
    </row>
    <row r="61" spans="1:4" ht="15" thickTop="1">
      <c r="A61" s="284"/>
      <c r="B61" s="52"/>
      <c r="C61" s="50"/>
    </row>
    <row r="62" spans="1:4" ht="14.4">
      <c r="A62" s="284" t="s">
        <v>950</v>
      </c>
      <c r="B62" s="52"/>
      <c r="C62" s="50"/>
    </row>
    <row r="63" spans="1:4" ht="14.4">
      <c r="A63" s="104" t="s">
        <v>459</v>
      </c>
      <c r="B63" s="48">
        <f>SUMIF('TB 24-25'!Q:Q,'Sub Sch - p&amp;l'!A63,'TB 24-25'!O:O)-SUMIF('TB 24-25'!Q:Q,'Sub Sch - p&amp;l'!A63,'TB 24-25'!P:P)</f>
        <v>21.029521299999999</v>
      </c>
      <c r="C63" s="49">
        <f>SUMIF('TB 24-25'!Q:Q,'Sub Sch - p&amp;l'!A63,'TB 24-25'!E:E)-SUMIF('TB 24-25'!Q:Q,'Sub Sch - p&amp;l'!A63,'TB 24-25'!F:F)</f>
        <v>13.1285562</v>
      </c>
    </row>
    <row r="64" spans="1:4" ht="14.4">
      <c r="A64" s="104" t="s">
        <v>453</v>
      </c>
      <c r="B64" s="48">
        <f>SUMIF('TB 24-25'!Q:Q,'Sub Sch - p&amp;l'!A64,'TB 24-25'!O:O)-SUMIF('TB 24-25'!Q:Q,'Sub Sch - p&amp;l'!A64,'TB 24-25'!P:P)</f>
        <v>4.8000000000000001E-2</v>
      </c>
      <c r="C64" s="49">
        <f>SUMIF('TB 24-25'!Q:Q,'Sub Sch - p&amp;l'!A64,'TB 24-25'!E:E)-SUMIF('TB 24-25'!Q:Q,'Sub Sch - p&amp;l'!A64,'TB 24-25'!F:F)</f>
        <v>3.3000000000000002E-2</v>
      </c>
    </row>
    <row r="65" spans="1:4" ht="14.4">
      <c r="A65" s="104" t="s">
        <v>457</v>
      </c>
      <c r="B65" s="48">
        <f>SUMIF('TB 24-25'!Q:Q,'Sub Sch - p&amp;l'!A65,'TB 24-25'!O:O)-SUMIF('TB 24-25'!Q:Q,'Sub Sch - p&amp;l'!A65,'TB 24-25'!P:P)</f>
        <v>2.1083145999999999</v>
      </c>
      <c r="C65" s="49">
        <f>SUMIF('TB 24-25'!Q:Q,'Sub Sch - p&amp;l'!A65,'TB 24-25'!E:E)-SUMIF('TB 24-25'!Q:Q,'Sub Sch - p&amp;l'!A65,'TB 24-25'!F:F)</f>
        <v>2.5737329</v>
      </c>
      <c r="D65" s="63"/>
    </row>
    <row r="66" spans="1:4" ht="14.4">
      <c r="A66" s="284"/>
      <c r="B66" s="52"/>
      <c r="C66" s="50"/>
      <c r="D66" s="63"/>
    </row>
    <row r="67" spans="1:4" ht="15" thickBot="1">
      <c r="A67" s="284"/>
      <c r="B67" s="51">
        <f>SUM(B63:B66)</f>
        <v>23.185835899999997</v>
      </c>
      <c r="C67" s="51">
        <f>SUM(C63:C66)</f>
        <v>15.735289099999999</v>
      </c>
      <c r="D67" s="63"/>
    </row>
    <row r="68" spans="1:4" ht="15.6" thickTop="1" thickBot="1">
      <c r="A68" s="56"/>
      <c r="B68" s="56"/>
      <c r="C68" s="55"/>
    </row>
    <row r="70" spans="1:4">
      <c r="A70" s="152"/>
      <c r="B70" s="152"/>
      <c r="C70" s="152"/>
    </row>
    <row r="71" spans="1:4">
      <c r="A71" s="152"/>
      <c r="B71" s="152"/>
      <c r="C71" s="152"/>
    </row>
    <row r="147" spans="1:3">
      <c r="A147" s="286"/>
      <c r="B147" s="286"/>
      <c r="C147" s="286"/>
    </row>
    <row r="194" spans="1:3">
      <c r="A194" s="152"/>
      <c r="B194" s="152"/>
      <c r="C194" s="152"/>
    </row>
    <row r="220" spans="1:3">
      <c r="A220" s="152"/>
      <c r="B220" s="152"/>
      <c r="C220" s="152"/>
    </row>
    <row r="221" spans="1:3">
      <c r="A221" s="152"/>
      <c r="B221" s="152"/>
      <c r="C221" s="152"/>
    </row>
    <row r="222" spans="1:3">
      <c r="A222" s="152"/>
      <c r="B222" s="152"/>
      <c r="C222" s="152"/>
    </row>
    <row r="239" spans="1:3">
      <c r="A239" s="152"/>
      <c r="B239" s="152"/>
      <c r="C239" s="152"/>
    </row>
    <row r="245" spans="1:3">
      <c r="A245" s="287"/>
      <c r="B245" s="287"/>
      <c r="C245" s="287"/>
    </row>
    <row r="249" spans="1:3">
      <c r="A249" s="152"/>
      <c r="B249" s="152"/>
      <c r="C249" s="152"/>
    </row>
    <row r="250" spans="1:3">
      <c r="A250" s="152"/>
      <c r="B250" s="152"/>
      <c r="C250" s="152"/>
    </row>
    <row r="251" spans="1:3">
      <c r="A251" s="152"/>
      <c r="B251" s="152"/>
      <c r="C251" s="152"/>
    </row>
    <row r="252" spans="1:3">
      <c r="A252" s="152"/>
      <c r="B252" s="152"/>
      <c r="C252" s="152"/>
    </row>
    <row r="328" spans="1:3">
      <c r="A328" s="152"/>
      <c r="B328" s="152"/>
      <c r="C328" s="152"/>
    </row>
    <row r="347" spans="1:3">
      <c r="A347" s="152"/>
      <c r="B347" s="152"/>
      <c r="C347" s="152"/>
    </row>
    <row r="352" spans="1:3">
      <c r="A352" s="288"/>
      <c r="B352" s="288"/>
      <c r="C352" s="288"/>
    </row>
    <row r="356" spans="1:3">
      <c r="A356" s="288"/>
      <c r="B356" s="288"/>
      <c r="C356" s="288"/>
    </row>
    <row r="362" spans="1:3">
      <c r="A362" s="152"/>
      <c r="B362" s="152"/>
      <c r="C362" s="152"/>
    </row>
    <row r="367" spans="1:3">
      <c r="A367" s="152"/>
      <c r="B367" s="152"/>
      <c r="C367" s="152"/>
    </row>
    <row r="372" spans="1:3">
      <c r="A372" s="152"/>
      <c r="B372" s="152"/>
      <c r="C372" s="152"/>
    </row>
    <row r="379" spans="1:3">
      <c r="A379" s="152"/>
      <c r="B379" s="152"/>
      <c r="C379" s="152"/>
    </row>
    <row r="383" spans="1:3">
      <c r="A383" s="152"/>
      <c r="B383" s="152"/>
      <c r="C383" s="152"/>
    </row>
    <row r="384" spans="1:3">
      <c r="A384" s="152"/>
      <c r="B384" s="152"/>
      <c r="C384" s="152"/>
    </row>
    <row r="389" spans="1:3">
      <c r="A389" s="152"/>
      <c r="B389" s="152"/>
      <c r="C389" s="152"/>
    </row>
    <row r="394" spans="1:3">
      <c r="A394" s="152"/>
      <c r="B394" s="152"/>
      <c r="C394" s="152"/>
    </row>
    <row r="399" spans="1:3">
      <c r="A399" s="152"/>
      <c r="B399" s="152"/>
      <c r="C399" s="152"/>
    </row>
  </sheetData>
  <sortState xmlns:xlrd2="http://schemas.microsoft.com/office/spreadsheetml/2017/richdata2" ref="D60:D67">
    <sortCondition ref="D60"/>
  </sortState>
  <mergeCells count="3">
    <mergeCell ref="A1:C1"/>
    <mergeCell ref="A2:C2"/>
    <mergeCell ref="A3:A4"/>
  </mergeCells>
  <phoneticPr fontId="8" type="noConversion"/>
  <pageMargins left="0.70866141732283472" right="0.70866141732283472" top="0.74803149606299213" bottom="0.74803149606299213" header="0.31496062992125984" footer="0.31496062992125984"/>
  <pageSetup paperSize="9" scale="91" orientation="portrait" verticalDpi="300" r:id="rId1"/>
  <rowBreaks count="1" manualBreakCount="1">
    <brk id="44" max="2"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4"/>
  <sheetViews>
    <sheetView view="pageBreakPreview" zoomScale="94" zoomScaleNormal="100" zoomScaleSheetLayoutView="87" workbookViewId="0">
      <selection activeCell="F14" sqref="F14"/>
    </sheetView>
  </sheetViews>
  <sheetFormatPr defaultColWidth="9.109375" defaultRowHeight="13.2"/>
  <cols>
    <col min="1" max="1" width="53.44140625" style="63" bestFit="1" customWidth="1"/>
    <col min="2" max="3" width="16.6640625" style="63" customWidth="1"/>
    <col min="4" max="4" width="13.6640625" style="63" bestFit="1" customWidth="1"/>
    <col min="5" max="5" width="25" style="63" customWidth="1"/>
    <col min="6" max="6" width="13.6640625" style="63" bestFit="1" customWidth="1"/>
    <col min="7" max="7" width="19.6640625" style="63" customWidth="1"/>
    <col min="8" max="8" width="10.33203125" style="63" bestFit="1" customWidth="1"/>
    <col min="9" max="9" width="10.6640625" style="63" bestFit="1" customWidth="1"/>
    <col min="10" max="10" width="13.5546875" style="63" bestFit="1" customWidth="1"/>
    <col min="11" max="11" width="14.44140625" style="63" bestFit="1" customWidth="1"/>
    <col min="12" max="12" width="12.6640625" style="63" bestFit="1" customWidth="1"/>
    <col min="13" max="13" width="13" style="63" bestFit="1" customWidth="1"/>
    <col min="14" max="14" width="12.6640625" style="63" bestFit="1" customWidth="1"/>
    <col min="15" max="15" width="14.44140625" style="63" bestFit="1" customWidth="1"/>
    <col min="16" max="16" width="10.33203125" style="63" bestFit="1" customWidth="1"/>
    <col min="17" max="17" width="10.6640625" style="63" bestFit="1" customWidth="1"/>
    <col min="18" max="18" width="12.6640625" style="63" bestFit="1" customWidth="1"/>
    <col min="19" max="19" width="14.44140625" style="63" bestFit="1" customWidth="1"/>
    <col min="20" max="20" width="10.33203125" style="63" bestFit="1" customWidth="1"/>
    <col min="21" max="21" width="10.6640625" style="63" bestFit="1" customWidth="1"/>
    <col min="22" max="22" width="12.6640625" style="63" bestFit="1" customWidth="1"/>
    <col min="23" max="23" width="14.44140625" style="63" bestFit="1" customWidth="1"/>
    <col min="24" max="16384" width="9.109375" style="63"/>
  </cols>
  <sheetData>
    <row r="1" spans="1:7" ht="14.4" thickBot="1">
      <c r="A1" s="260" t="s">
        <v>951</v>
      </c>
      <c r="B1" s="859" t="s">
        <v>952</v>
      </c>
      <c r="C1" s="860"/>
      <c r="D1" s="859" t="s">
        <v>953</v>
      </c>
      <c r="E1" s="860"/>
    </row>
    <row r="2" spans="1:7" ht="13.8" thickBot="1">
      <c r="A2" s="261" t="s">
        <v>44</v>
      </c>
      <c r="B2" s="262" t="s">
        <v>663</v>
      </c>
      <c r="C2" s="263" t="s">
        <v>664</v>
      </c>
      <c r="D2" s="262" t="s">
        <v>663</v>
      </c>
      <c r="E2" s="263" t="s">
        <v>664</v>
      </c>
    </row>
    <row r="3" spans="1:7" ht="14.4">
      <c r="A3" s="264" t="s">
        <v>954</v>
      </c>
      <c r="B3" s="592"/>
      <c r="C3" s="592"/>
      <c r="D3" s="265"/>
      <c r="E3" s="265"/>
    </row>
    <row r="4" spans="1:7">
      <c r="A4" s="259" t="s">
        <v>868</v>
      </c>
      <c r="B4" s="266">
        <v>0</v>
      </c>
      <c r="C4" s="266">
        <v>1750</v>
      </c>
      <c r="D4" s="266">
        <v>0</v>
      </c>
      <c r="E4" s="266">
        <v>1750</v>
      </c>
      <c r="F4" s="63" t="s">
        <v>867</v>
      </c>
      <c r="G4" s="63" t="s">
        <v>1154</v>
      </c>
    </row>
    <row r="5" spans="1:7">
      <c r="A5" s="259" t="s">
        <v>955</v>
      </c>
      <c r="B5" s="266">
        <v>0</v>
      </c>
      <c r="C5" s="266">
        <v>10067830.550000001</v>
      </c>
      <c r="D5" s="266">
        <v>0</v>
      </c>
      <c r="E5" s="266">
        <v>10067830.550000001</v>
      </c>
      <c r="F5" s="63" t="s">
        <v>867</v>
      </c>
      <c r="G5" s="63" t="s">
        <v>1154</v>
      </c>
    </row>
    <row r="6" spans="1:7">
      <c r="A6" s="259" t="s">
        <v>866</v>
      </c>
      <c r="B6" s="266">
        <v>0</v>
      </c>
      <c r="C6" s="266">
        <v>5866971.2800000003</v>
      </c>
      <c r="D6" s="266">
        <v>0</v>
      </c>
      <c r="E6" s="266">
        <v>5866971.2800000003</v>
      </c>
      <c r="F6" s="63" t="s">
        <v>867</v>
      </c>
      <c r="G6" s="63" t="s">
        <v>1154</v>
      </c>
    </row>
    <row r="7" spans="1:7">
      <c r="A7" s="259" t="s">
        <v>868</v>
      </c>
      <c r="B7" s="266">
        <v>0</v>
      </c>
      <c r="C7" s="266">
        <v>110628</v>
      </c>
      <c r="D7" s="266">
        <v>0</v>
      </c>
      <c r="E7" s="266">
        <v>110628</v>
      </c>
      <c r="F7" s="63" t="s">
        <v>867</v>
      </c>
      <c r="G7" s="63" t="s">
        <v>1154</v>
      </c>
    </row>
    <row r="8" spans="1:7" ht="14.4">
      <c r="A8" s="264" t="s">
        <v>956</v>
      </c>
      <c r="B8" s="594"/>
      <c r="C8" s="594"/>
      <c r="D8" s="266"/>
      <c r="E8" s="266"/>
    </row>
    <row r="9" spans="1:7" ht="14.4">
      <c r="A9" s="591" t="s">
        <v>866</v>
      </c>
      <c r="B9" s="595">
        <v>214646.99</v>
      </c>
      <c r="C9" s="595">
        <v>0</v>
      </c>
      <c r="D9" s="266">
        <v>214646.99</v>
      </c>
      <c r="E9" s="266">
        <v>0</v>
      </c>
      <c r="F9" s="267" t="s">
        <v>867</v>
      </c>
      <c r="G9" s="63" t="s">
        <v>1154</v>
      </c>
    </row>
    <row r="10" spans="1:7">
      <c r="A10" s="259" t="s">
        <v>870</v>
      </c>
      <c r="B10" s="593">
        <v>0.29999999998835847</v>
      </c>
      <c r="C10" s="593">
        <v>0</v>
      </c>
      <c r="D10" s="266">
        <v>0.29999999998835847</v>
      </c>
      <c r="E10" s="266">
        <v>0</v>
      </c>
      <c r="F10" s="63" t="s">
        <v>863</v>
      </c>
      <c r="G10" s="63" t="s">
        <v>1155</v>
      </c>
    </row>
    <row r="11" spans="1:7">
      <c r="A11" s="259" t="s">
        <v>871</v>
      </c>
      <c r="B11" s="593">
        <v>198625.57</v>
      </c>
      <c r="C11" s="593">
        <v>0</v>
      </c>
      <c r="D11" s="266">
        <v>198625.57</v>
      </c>
      <c r="E11" s="266">
        <v>0</v>
      </c>
      <c r="F11" s="63" t="s">
        <v>863</v>
      </c>
      <c r="G11" s="63" t="s">
        <v>1155</v>
      </c>
    </row>
    <row r="12" spans="1:7">
      <c r="A12" s="259" t="s">
        <v>872</v>
      </c>
      <c r="B12" s="593">
        <v>193519.1</v>
      </c>
      <c r="C12" s="593">
        <v>0</v>
      </c>
      <c r="D12" s="266">
        <v>193519.1</v>
      </c>
      <c r="E12" s="266">
        <v>0</v>
      </c>
      <c r="F12" s="63" t="s">
        <v>863</v>
      </c>
      <c r="G12" s="63" t="s">
        <v>1155</v>
      </c>
    </row>
    <row r="13" spans="1:7">
      <c r="A13" s="259" t="s">
        <v>957</v>
      </c>
      <c r="B13" s="593">
        <v>31739.96</v>
      </c>
      <c r="C13" s="593">
        <v>0</v>
      </c>
      <c r="D13" s="266">
        <v>31739.96</v>
      </c>
      <c r="E13" s="266">
        <v>0</v>
      </c>
      <c r="F13" s="63" t="s">
        <v>863</v>
      </c>
      <c r="G13" s="63" t="s">
        <v>1155</v>
      </c>
    </row>
    <row r="14" spans="1:7">
      <c r="A14" s="259" t="s">
        <v>868</v>
      </c>
      <c r="B14" s="593">
        <v>988348</v>
      </c>
      <c r="C14" s="593">
        <v>0</v>
      </c>
      <c r="D14" s="266">
        <v>988348</v>
      </c>
      <c r="E14" s="266">
        <v>0</v>
      </c>
      <c r="F14" s="63" t="s">
        <v>867</v>
      </c>
      <c r="G14" s="63" t="s">
        <v>1154</v>
      </c>
    </row>
    <row r="15" spans="1:7">
      <c r="A15" s="259" t="s">
        <v>896</v>
      </c>
      <c r="B15" s="593">
        <v>0.18000000000006366</v>
      </c>
      <c r="C15" s="593">
        <v>0</v>
      </c>
      <c r="D15" s="266">
        <v>0</v>
      </c>
      <c r="E15" s="266">
        <v>1506.35</v>
      </c>
      <c r="F15" s="63" t="s">
        <v>863</v>
      </c>
      <c r="G15" s="63" t="s">
        <v>1155</v>
      </c>
    </row>
    <row r="16" spans="1:7">
      <c r="A16" s="259" t="s">
        <v>958</v>
      </c>
      <c r="B16" s="593">
        <v>0</v>
      </c>
      <c r="C16" s="593">
        <v>9732</v>
      </c>
      <c r="D16" s="266">
        <v>0</v>
      </c>
      <c r="E16" s="266">
        <v>9732</v>
      </c>
      <c r="F16" s="63" t="s">
        <v>863</v>
      </c>
      <c r="G16" s="63" t="s">
        <v>1155</v>
      </c>
    </row>
    <row r="17" spans="1:7">
      <c r="A17" s="259" t="s">
        <v>959</v>
      </c>
      <c r="B17" s="593">
        <v>0</v>
      </c>
      <c r="C17" s="593">
        <v>19072</v>
      </c>
      <c r="D17" s="266">
        <v>0</v>
      </c>
      <c r="E17" s="266">
        <v>19072</v>
      </c>
      <c r="F17" s="63" t="s">
        <v>863</v>
      </c>
      <c r="G17" s="63" t="s">
        <v>1155</v>
      </c>
    </row>
    <row r="18" spans="1:7">
      <c r="A18" s="259" t="s">
        <v>960</v>
      </c>
      <c r="B18" s="593">
        <v>0</v>
      </c>
      <c r="C18" s="593">
        <v>33</v>
      </c>
      <c r="D18" s="266">
        <v>0</v>
      </c>
      <c r="E18" s="268">
        <v>33</v>
      </c>
      <c r="F18" s="63" t="s">
        <v>863</v>
      </c>
      <c r="G18" s="63" t="s">
        <v>1155</v>
      </c>
    </row>
    <row r="19" spans="1:7">
      <c r="A19" s="259" t="s">
        <v>961</v>
      </c>
      <c r="B19" s="593">
        <v>0</v>
      </c>
      <c r="C19" s="593">
        <v>5220</v>
      </c>
      <c r="D19" s="266">
        <v>0</v>
      </c>
      <c r="E19" s="268">
        <v>5220</v>
      </c>
      <c r="F19" s="63" t="s">
        <v>863</v>
      </c>
      <c r="G19" s="63" t="s">
        <v>1155</v>
      </c>
    </row>
    <row r="20" spans="1:7">
      <c r="A20" s="259" t="s">
        <v>873</v>
      </c>
      <c r="B20" s="593">
        <v>0</v>
      </c>
      <c r="C20" s="593">
        <v>270</v>
      </c>
      <c r="D20" s="266">
        <v>0</v>
      </c>
      <c r="E20" s="268">
        <v>270</v>
      </c>
      <c r="F20" s="63" t="s">
        <v>863</v>
      </c>
      <c r="G20" s="63" t="s">
        <v>1155</v>
      </c>
    </row>
    <row r="21" spans="1:7">
      <c r="A21" s="259" t="s">
        <v>919</v>
      </c>
      <c r="B21" s="593">
        <v>0</v>
      </c>
      <c r="C21" s="593">
        <v>5258.89</v>
      </c>
      <c r="D21" s="266">
        <v>0</v>
      </c>
      <c r="E21" s="268">
        <v>5436.01</v>
      </c>
      <c r="F21" s="63" t="s">
        <v>863</v>
      </c>
      <c r="G21" s="63" t="s">
        <v>1155</v>
      </c>
    </row>
    <row r="22" spans="1:7">
      <c r="A22" s="259" t="s">
        <v>921</v>
      </c>
      <c r="B22" s="593">
        <v>0</v>
      </c>
      <c r="C22" s="593">
        <v>5735.98</v>
      </c>
      <c r="D22" s="266">
        <v>0</v>
      </c>
      <c r="E22" s="268">
        <v>5735.98</v>
      </c>
      <c r="F22" s="63" t="s">
        <v>863</v>
      </c>
      <c r="G22" s="63" t="s">
        <v>1155</v>
      </c>
    </row>
    <row r="23" spans="1:7">
      <c r="A23" s="593" t="s">
        <v>869</v>
      </c>
      <c r="B23" s="630">
        <v>0</v>
      </c>
      <c r="C23" s="630">
        <v>4862</v>
      </c>
      <c r="D23" s="266">
        <v>0</v>
      </c>
      <c r="E23" s="268">
        <v>0</v>
      </c>
      <c r="F23" s="63" t="s">
        <v>863</v>
      </c>
      <c r="G23" s="63" t="s">
        <v>1155</v>
      </c>
    </row>
    <row r="24" spans="1:7">
      <c r="A24" s="593" t="s">
        <v>916</v>
      </c>
      <c r="B24" s="630">
        <v>0</v>
      </c>
      <c r="C24" s="630">
        <v>6748.09</v>
      </c>
      <c r="D24" s="266">
        <v>0</v>
      </c>
      <c r="E24" s="268">
        <v>0</v>
      </c>
      <c r="F24" s="63" t="s">
        <v>863</v>
      </c>
      <c r="G24" s="63" t="s">
        <v>1155</v>
      </c>
    </row>
    <row r="25" spans="1:7">
      <c r="A25" s="593" t="s">
        <v>1093</v>
      </c>
      <c r="B25" s="630">
        <v>0</v>
      </c>
      <c r="C25" s="630">
        <v>5</v>
      </c>
      <c r="D25" s="266">
        <v>0</v>
      </c>
      <c r="E25" s="268">
        <v>0</v>
      </c>
      <c r="F25" s="63" t="s">
        <v>863</v>
      </c>
      <c r="G25" s="63" t="s">
        <v>1155</v>
      </c>
    </row>
    <row r="26" spans="1:7">
      <c r="A26" s="593" t="s">
        <v>912</v>
      </c>
      <c r="B26" s="630">
        <v>0</v>
      </c>
      <c r="C26" s="630">
        <v>82729.81</v>
      </c>
      <c r="D26" s="266">
        <v>0</v>
      </c>
      <c r="E26" s="268">
        <v>0</v>
      </c>
      <c r="F26" s="63" t="s">
        <v>863</v>
      </c>
      <c r="G26" s="63" t="s">
        <v>1155</v>
      </c>
    </row>
    <row r="27" spans="1:7">
      <c r="A27" s="593" t="s">
        <v>12</v>
      </c>
      <c r="B27" s="630">
        <v>0</v>
      </c>
      <c r="C27" s="630">
        <v>130159.9</v>
      </c>
      <c r="D27" s="266">
        <v>0</v>
      </c>
      <c r="E27" s="268">
        <v>0</v>
      </c>
      <c r="F27" s="63" t="s">
        <v>863</v>
      </c>
      <c r="G27" s="63" t="s">
        <v>1155</v>
      </c>
    </row>
    <row r="28" spans="1:7">
      <c r="A28" s="593" t="s">
        <v>1094</v>
      </c>
      <c r="B28" s="630">
        <v>0</v>
      </c>
      <c r="C28" s="630">
        <v>808.23</v>
      </c>
      <c r="D28" s="266">
        <v>0</v>
      </c>
      <c r="E28" s="268">
        <v>0</v>
      </c>
      <c r="F28" s="63" t="s">
        <v>863</v>
      </c>
      <c r="G28" s="63" t="s">
        <v>1155</v>
      </c>
    </row>
    <row r="29" spans="1:7">
      <c r="A29" s="593" t="s">
        <v>1095</v>
      </c>
      <c r="B29" s="630">
        <v>0</v>
      </c>
      <c r="C29" s="630">
        <v>43436.380000000005</v>
      </c>
      <c r="D29" s="266">
        <v>0</v>
      </c>
      <c r="E29" s="268">
        <v>0</v>
      </c>
      <c r="F29" s="63" t="s">
        <v>863</v>
      </c>
      <c r="G29" s="63" t="s">
        <v>1155</v>
      </c>
    </row>
    <row r="30" spans="1:7">
      <c r="A30" s="593" t="s">
        <v>1096</v>
      </c>
      <c r="B30" s="630">
        <v>0</v>
      </c>
      <c r="C30" s="630">
        <v>111699.63</v>
      </c>
      <c r="D30" s="266">
        <v>0</v>
      </c>
      <c r="E30" s="268">
        <v>0</v>
      </c>
      <c r="F30" s="63" t="s">
        <v>863</v>
      </c>
      <c r="G30" s="63" t="s">
        <v>1155</v>
      </c>
    </row>
    <row r="31" spans="1:7">
      <c r="A31" s="593" t="s">
        <v>1097</v>
      </c>
      <c r="B31" s="630">
        <v>0</v>
      </c>
      <c r="C31" s="630">
        <v>1636</v>
      </c>
      <c r="D31" s="266">
        <v>0</v>
      </c>
      <c r="E31" s="268">
        <v>0</v>
      </c>
      <c r="F31" s="63" t="s">
        <v>863</v>
      </c>
      <c r="G31" s="63" t="s">
        <v>1155</v>
      </c>
    </row>
    <row r="32" spans="1:7">
      <c r="A32" s="593" t="s">
        <v>1098</v>
      </c>
      <c r="B32" s="630">
        <v>236</v>
      </c>
      <c r="C32" s="630">
        <v>0</v>
      </c>
      <c r="D32" s="266">
        <v>0</v>
      </c>
      <c r="E32" s="268">
        <v>0</v>
      </c>
      <c r="F32" s="63" t="s">
        <v>863</v>
      </c>
      <c r="G32" s="63" t="s">
        <v>1155</v>
      </c>
    </row>
    <row r="33" spans="1:7">
      <c r="A33" s="269"/>
      <c r="B33" s="270"/>
      <c r="C33" s="270"/>
      <c r="D33" s="270"/>
      <c r="E33" s="270"/>
    </row>
    <row r="34" spans="1:7" ht="13.8" thickBot="1">
      <c r="A34" s="271" t="s">
        <v>80</v>
      </c>
      <c r="B34" s="272">
        <f>SUBTOTAL(9,B4:B33)</f>
        <v>1627116.0999999999</v>
      </c>
      <c r="C34" s="272">
        <f>SUBTOTAL(9,C4:C33)</f>
        <v>16474586.740000006</v>
      </c>
      <c r="D34" s="272">
        <f>SUBTOTAL(9,D4:D33)</f>
        <v>1626879.92</v>
      </c>
      <c r="E34" s="272">
        <f>SUBTOTAL(9,E4:E33)</f>
        <v>16094185.170000002</v>
      </c>
    </row>
    <row r="35" spans="1:7" ht="14.4" thickTop="1" thickBot="1">
      <c r="A35" s="273"/>
      <c r="B35" s="274"/>
      <c r="C35" s="275">
        <f>+B34-C34</f>
        <v>-14847470.640000006</v>
      </c>
      <c r="D35" s="274"/>
      <c r="E35" s="275">
        <f>+D34-E34</f>
        <v>-14467305.250000002</v>
      </c>
    </row>
    <row r="36" spans="1:7" ht="13.8" thickTop="1"/>
    <row r="38" spans="1:7" ht="14.4">
      <c r="B38" s="276"/>
      <c r="C38" s="276">
        <f>+C39-B39</f>
        <v>0</v>
      </c>
      <c r="D38" s="276"/>
      <c r="E38" s="276">
        <f>+E39-D39</f>
        <v>0</v>
      </c>
      <c r="F38" s="276"/>
      <c r="G38" s="276">
        <f>+G39-F39</f>
        <v>0</v>
      </c>
    </row>
    <row r="39" spans="1:7" ht="14.4">
      <c r="B39" s="276">
        <f t="shared" ref="B39:G39" si="0">+_xlfn.AGGREGATE(9,0,B42:B42)</f>
        <v>0</v>
      </c>
      <c r="C39" s="276">
        <f t="shared" si="0"/>
        <v>0</v>
      </c>
      <c r="D39" s="276">
        <f t="shared" si="0"/>
        <v>0</v>
      </c>
      <c r="E39" s="276">
        <f t="shared" si="0"/>
        <v>0</v>
      </c>
      <c r="F39" s="276">
        <f t="shared" si="0"/>
        <v>0</v>
      </c>
      <c r="G39" s="276">
        <f t="shared" si="0"/>
        <v>0</v>
      </c>
    </row>
    <row r="40" spans="1:7" ht="27.6" customHeight="1">
      <c r="A40" s="277" t="s">
        <v>84</v>
      </c>
      <c r="B40" s="864" t="s">
        <v>953</v>
      </c>
      <c r="C40" s="865"/>
      <c r="D40" s="861" t="s">
        <v>962</v>
      </c>
      <c r="E40" s="862"/>
      <c r="F40" s="863" t="s">
        <v>952</v>
      </c>
      <c r="G40" s="863"/>
    </row>
    <row r="41" spans="1:7" ht="14.4">
      <c r="A41" s="264" t="s">
        <v>44</v>
      </c>
      <c r="B41" s="278" t="s">
        <v>663</v>
      </c>
      <c r="C41" s="278" t="s">
        <v>664</v>
      </c>
      <c r="D41" s="278" t="s">
        <v>663</v>
      </c>
      <c r="E41" s="278" t="s">
        <v>664</v>
      </c>
      <c r="F41" s="278" t="s">
        <v>663</v>
      </c>
      <c r="G41" s="278" t="s">
        <v>664</v>
      </c>
    </row>
    <row r="42" spans="1:7" ht="14.4">
      <c r="A42" s="279" t="s">
        <v>963</v>
      </c>
      <c r="B42" s="259"/>
      <c r="C42" s="259"/>
      <c r="D42" s="259"/>
      <c r="E42" s="259"/>
      <c r="F42" s="259"/>
      <c r="G42" s="259"/>
    </row>
    <row r="44" spans="1:7">
      <c r="A44" s="633" t="s">
        <v>1141</v>
      </c>
    </row>
  </sheetData>
  <autoFilter ref="A2:G35" xr:uid="{00000000-0001-0000-0F00-000000000000}"/>
  <mergeCells count="5">
    <mergeCell ref="B1:C1"/>
    <mergeCell ref="D40:E40"/>
    <mergeCell ref="F40:G40"/>
    <mergeCell ref="D1:E1"/>
    <mergeCell ref="B40:C40"/>
  </mergeCells>
  <pageMargins left="0.7" right="0.7" top="0.75" bottom="0.75" header="0.3" footer="0.3"/>
  <pageSetup scale="42"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6"/>
  <sheetViews>
    <sheetView showGridLines="0" topLeftCell="A7" workbookViewId="0">
      <selection activeCell="B1" sqref="B1"/>
    </sheetView>
  </sheetViews>
  <sheetFormatPr defaultColWidth="9.109375" defaultRowHeight="13.8"/>
  <cols>
    <col min="1" max="1" width="24.33203125" style="109" bestFit="1" customWidth="1"/>
    <col min="2" max="2" width="15.6640625" style="109" customWidth="1"/>
    <col min="3" max="8" width="14" style="109" customWidth="1"/>
    <col min="9" max="9" width="16.109375" style="109" customWidth="1"/>
    <col min="10" max="11" width="9.109375" style="109"/>
    <col min="12" max="12" width="24.88671875" style="109" bestFit="1" customWidth="1"/>
    <col min="13" max="16384" width="9.109375" style="109"/>
  </cols>
  <sheetData>
    <row r="1" spans="1:9" ht="14.4" thickBot="1"/>
    <row r="2" spans="1:9" ht="18">
      <c r="A2" s="866" t="s">
        <v>58</v>
      </c>
      <c r="B2" s="867"/>
      <c r="C2" s="867"/>
      <c r="D2" s="867"/>
      <c r="E2" s="867"/>
      <c r="F2" s="867"/>
      <c r="G2" s="867"/>
      <c r="H2" s="867"/>
      <c r="I2" s="868"/>
    </row>
    <row r="3" spans="1:9" ht="14.4">
      <c r="A3" s="869" t="s">
        <v>964</v>
      </c>
      <c r="B3" s="870"/>
      <c r="C3" s="870"/>
      <c r="D3" s="870"/>
      <c r="E3" s="870"/>
      <c r="F3" s="870"/>
      <c r="G3" s="870"/>
      <c r="H3" s="870"/>
      <c r="I3" s="871"/>
    </row>
    <row r="4" spans="1:9" ht="15" thickBot="1">
      <c r="A4" s="235"/>
      <c r="B4" s="236"/>
      <c r="C4" s="236"/>
      <c r="D4" s="236"/>
      <c r="E4" s="236"/>
      <c r="F4" s="236"/>
      <c r="G4" s="236"/>
      <c r="H4" s="236"/>
      <c r="I4" s="237"/>
    </row>
    <row r="5" spans="1:9" ht="14.4">
      <c r="A5" s="878" t="s">
        <v>965</v>
      </c>
      <c r="B5" s="880" t="s">
        <v>970</v>
      </c>
      <c r="C5" s="882" t="s">
        <v>966</v>
      </c>
      <c r="D5" s="883"/>
      <c r="E5" s="874" t="s">
        <v>967</v>
      </c>
      <c r="F5" s="880" t="s">
        <v>880</v>
      </c>
      <c r="G5" s="872" t="s">
        <v>968</v>
      </c>
      <c r="H5" s="874" t="s">
        <v>969</v>
      </c>
      <c r="I5" s="876" t="s">
        <v>1108</v>
      </c>
    </row>
    <row r="6" spans="1:9" ht="14.4">
      <c r="A6" s="879"/>
      <c r="B6" s="881"/>
      <c r="C6" s="238" t="s">
        <v>971</v>
      </c>
      <c r="D6" s="239" t="s">
        <v>972</v>
      </c>
      <c r="E6" s="875"/>
      <c r="F6" s="881"/>
      <c r="G6" s="873"/>
      <c r="H6" s="875"/>
      <c r="I6" s="877"/>
    </row>
    <row r="7" spans="1:9" ht="14.4">
      <c r="A7" s="240"/>
      <c r="B7" s="241"/>
      <c r="C7" s="242"/>
      <c r="D7" s="241"/>
      <c r="E7" s="241"/>
      <c r="F7" s="241"/>
      <c r="G7" s="242"/>
      <c r="H7" s="241"/>
      <c r="I7" s="243"/>
    </row>
    <row r="8" spans="1:9" ht="14.4">
      <c r="A8" s="244" t="s">
        <v>973</v>
      </c>
      <c r="B8" s="245">
        <v>131272</v>
      </c>
      <c r="C8" s="45">
        <v>0</v>
      </c>
      <c r="D8" s="45">
        <v>0</v>
      </c>
      <c r="E8" s="246">
        <v>0</v>
      </c>
      <c r="F8" s="246">
        <f>B8+C8+D8-E8</f>
        <v>131272</v>
      </c>
      <c r="G8" s="247">
        <v>0.15</v>
      </c>
      <c r="H8" s="247">
        <f>ROUND(((B8+C8)*G8)+(D8*G8/2),0)</f>
        <v>19691</v>
      </c>
      <c r="I8" s="184">
        <f>F8-H8</f>
        <v>111581</v>
      </c>
    </row>
    <row r="9" spans="1:9" ht="14.4">
      <c r="A9" s="244"/>
      <c r="B9" s="245"/>
      <c r="C9" s="45"/>
      <c r="D9" s="246"/>
      <c r="E9" s="246"/>
      <c r="F9" s="246"/>
      <c r="G9" s="247"/>
      <c r="H9" s="247"/>
      <c r="I9" s="184"/>
    </row>
    <row r="10" spans="1:9" ht="14.4">
      <c r="A10" s="244" t="s">
        <v>885</v>
      </c>
      <c r="B10" s="248">
        <v>106903.59</v>
      </c>
      <c r="C10" s="45">
        <v>32966.11</v>
      </c>
      <c r="D10" s="45">
        <v>0</v>
      </c>
      <c r="E10" s="45">
        <v>0</v>
      </c>
      <c r="F10" s="246">
        <f>B10+C10+D10-E10</f>
        <v>139869.70000000001</v>
      </c>
      <c r="G10" s="247">
        <v>0.4</v>
      </c>
      <c r="H10" s="247">
        <f>ROUND(((B10+C10)*G10)+(D10*G10/2),0)</f>
        <v>55948</v>
      </c>
      <c r="I10" s="184">
        <f>F10-H10</f>
        <v>83921.700000000012</v>
      </c>
    </row>
    <row r="11" spans="1:9" ht="14.4">
      <c r="A11" s="244"/>
      <c r="B11" s="245"/>
      <c r="C11" s="45"/>
      <c r="D11" s="246"/>
      <c r="E11" s="246"/>
      <c r="F11" s="246"/>
      <c r="G11" s="247"/>
      <c r="H11" s="247"/>
      <c r="I11" s="184"/>
    </row>
    <row r="12" spans="1:9" ht="14.4">
      <c r="A12" s="244" t="s">
        <v>974</v>
      </c>
      <c r="B12" s="634">
        <v>529371.39</v>
      </c>
      <c r="C12" s="45">
        <v>0</v>
      </c>
      <c r="D12" s="45">
        <v>0</v>
      </c>
      <c r="E12" s="246">
        <v>0</v>
      </c>
      <c r="F12" s="246">
        <f>B12+C12+D12-E12</f>
        <v>529371.39</v>
      </c>
      <c r="G12" s="247">
        <v>0.1</v>
      </c>
      <c r="H12" s="247">
        <f>ROUND(((B12+C12)*G12)+(D12*G12/2),0)</f>
        <v>52937</v>
      </c>
      <c r="I12" s="184">
        <f>F12-H12</f>
        <v>476434.39</v>
      </c>
    </row>
    <row r="13" spans="1:9" ht="14.4">
      <c r="A13" s="244"/>
      <c r="B13" s="245"/>
      <c r="C13" s="45"/>
      <c r="D13" s="246"/>
      <c r="E13" s="246"/>
      <c r="F13" s="246"/>
      <c r="G13" s="247"/>
      <c r="H13" s="247"/>
      <c r="I13" s="184"/>
    </row>
    <row r="14" spans="1:9" ht="14.4">
      <c r="A14" s="244" t="s">
        <v>883</v>
      </c>
      <c r="B14" s="245">
        <v>0</v>
      </c>
      <c r="C14" s="45">
        <v>0</v>
      </c>
      <c r="D14" s="45">
        <v>0</v>
      </c>
      <c r="E14" s="246">
        <v>0</v>
      </c>
      <c r="F14" s="246">
        <f>B14+C14+D14-E14</f>
        <v>0</v>
      </c>
      <c r="G14" s="247">
        <v>0.15</v>
      </c>
      <c r="H14" s="247">
        <v>0</v>
      </c>
      <c r="I14" s="184">
        <f>F14-H14</f>
        <v>0</v>
      </c>
    </row>
    <row r="15" spans="1:9" ht="14.4">
      <c r="A15" s="244"/>
      <c r="B15" s="245"/>
      <c r="C15" s="45"/>
      <c r="D15" s="246"/>
      <c r="E15" s="246"/>
      <c r="F15" s="246"/>
      <c r="G15" s="247"/>
      <c r="H15" s="247"/>
      <c r="I15" s="184"/>
    </row>
    <row r="16" spans="1:9" ht="14.4">
      <c r="A16" s="244" t="s">
        <v>975</v>
      </c>
      <c r="B16" s="634">
        <v>1931015</v>
      </c>
      <c r="C16" s="45">
        <v>0</v>
      </c>
      <c r="D16" s="45">
        <v>0</v>
      </c>
      <c r="E16" s="246">
        <v>0</v>
      </c>
      <c r="F16" s="246">
        <f>B16+C16+D16-E16</f>
        <v>1931015</v>
      </c>
      <c r="G16" s="247">
        <v>0.1</v>
      </c>
      <c r="H16" s="247">
        <f>ROUND(((B16+C16)*G16)+(D16*G16/2),0)</f>
        <v>193102</v>
      </c>
      <c r="I16" s="184">
        <f>F16-H16</f>
        <v>1737913</v>
      </c>
    </row>
    <row r="17" spans="1:9" ht="14.4">
      <c r="A17" s="244"/>
      <c r="B17" s="245"/>
      <c r="C17" s="45"/>
      <c r="D17" s="246"/>
      <c r="E17" s="246"/>
      <c r="F17" s="246"/>
      <c r="G17" s="247"/>
      <c r="H17" s="247"/>
      <c r="I17" s="184"/>
    </row>
    <row r="18" spans="1:9" ht="14.4">
      <c r="A18" s="244" t="s">
        <v>888</v>
      </c>
      <c r="B18" s="245">
        <v>196279</v>
      </c>
      <c r="C18" s="45">
        <v>56000</v>
      </c>
      <c r="D18" s="45">
        <v>0</v>
      </c>
      <c r="E18" s="246">
        <v>0</v>
      </c>
      <c r="F18" s="246">
        <f>B18+C18+D18-E18</f>
        <v>252279</v>
      </c>
      <c r="G18" s="249">
        <v>0.15</v>
      </c>
      <c r="H18" s="247">
        <f>ROUND(((B18+C18)*G18)+(D18*G18/2),0)</f>
        <v>37842</v>
      </c>
      <c r="I18" s="184">
        <f>F18-H18</f>
        <v>214437</v>
      </c>
    </row>
    <row r="19" spans="1:9" ht="14.4">
      <c r="A19" s="244"/>
      <c r="B19" s="245"/>
      <c r="C19" s="45"/>
      <c r="D19" s="246"/>
      <c r="E19" s="246"/>
      <c r="F19" s="246"/>
      <c r="G19" s="249"/>
      <c r="H19" s="247"/>
      <c r="I19" s="184"/>
    </row>
    <row r="20" spans="1:9" ht="14.4">
      <c r="A20" s="244" t="s">
        <v>976</v>
      </c>
      <c r="B20" s="245">
        <v>301679.59999999998</v>
      </c>
      <c r="C20" s="45">
        <v>0</v>
      </c>
      <c r="D20" s="45">
        <v>0</v>
      </c>
      <c r="E20" s="246">
        <v>0</v>
      </c>
      <c r="F20" s="246">
        <f>B20+C20+D20-E20</f>
        <v>301679.59999999998</v>
      </c>
      <c r="G20" s="249">
        <v>0.15</v>
      </c>
      <c r="H20" s="247">
        <f>ROUND(((B20+C20)*G20)+(D20*G20/2),0)</f>
        <v>45252</v>
      </c>
      <c r="I20" s="184">
        <f>F20-H20</f>
        <v>256427.59999999998</v>
      </c>
    </row>
    <row r="21" spans="1:9" ht="14.4">
      <c r="A21" s="244"/>
      <c r="B21" s="250"/>
      <c r="C21" s="251"/>
      <c r="D21" s="252"/>
      <c r="E21" s="252"/>
      <c r="F21" s="252"/>
      <c r="G21" s="249"/>
      <c r="H21" s="247"/>
      <c r="I21" s="184"/>
    </row>
    <row r="22" spans="1:9" ht="15" thickBot="1">
      <c r="A22" s="253" t="s">
        <v>80</v>
      </c>
      <c r="B22" s="254">
        <f t="shared" ref="B22:I22" si="0">SUM(B8:B21)</f>
        <v>3196520.58</v>
      </c>
      <c r="C22" s="254">
        <f t="shared" si="0"/>
        <v>88966.11</v>
      </c>
      <c r="D22" s="254">
        <f t="shared" si="0"/>
        <v>0</v>
      </c>
      <c r="E22" s="254">
        <f t="shared" si="0"/>
        <v>0</v>
      </c>
      <c r="F22" s="254">
        <f t="shared" si="0"/>
        <v>3285486.69</v>
      </c>
      <c r="G22" s="254">
        <f t="shared" si="0"/>
        <v>1.2</v>
      </c>
      <c r="H22" s="254">
        <f t="shared" si="0"/>
        <v>404772</v>
      </c>
      <c r="I22" s="255">
        <f t="shared" si="0"/>
        <v>2880714.69</v>
      </c>
    </row>
    <row r="23" spans="1:9" ht="15" thickTop="1" thickBot="1">
      <c r="A23" s="256"/>
      <c r="B23" s="257"/>
      <c r="C23" s="257"/>
      <c r="D23" s="257"/>
      <c r="E23" s="257"/>
      <c r="F23" s="257"/>
      <c r="G23" s="257"/>
      <c r="H23" s="257"/>
      <c r="I23" s="258"/>
    </row>
    <row r="24" spans="1:9">
      <c r="A24" s="109" t="s">
        <v>977</v>
      </c>
      <c r="C24" s="141">
        <f>+C22+D22</f>
        <v>88966.11</v>
      </c>
      <c r="D24" s="141"/>
      <c r="E24" s="141">
        <f>+E22</f>
        <v>0</v>
      </c>
    </row>
    <row r="25" spans="1:9">
      <c r="A25" s="109" t="s">
        <v>978</v>
      </c>
      <c r="C25" s="141">
        <f>+'Note 9'!C20</f>
        <v>0.88966110000000009</v>
      </c>
      <c r="D25" s="141"/>
      <c r="E25" s="141">
        <f>+'Note 9'!D20</f>
        <v>0</v>
      </c>
    </row>
    <row r="26" spans="1:9">
      <c r="C26" s="141">
        <f>+C24-C25</f>
        <v>88965.220338900006</v>
      </c>
      <c r="E26" s="109">
        <f>+E24-E25</f>
        <v>0</v>
      </c>
    </row>
  </sheetData>
  <mergeCells count="10">
    <mergeCell ref="A2:I2"/>
    <mergeCell ref="A3:I3"/>
    <mergeCell ref="G5:G6"/>
    <mergeCell ref="H5:H6"/>
    <mergeCell ref="I5:I6"/>
    <mergeCell ref="A5:A6"/>
    <mergeCell ref="B5:B6"/>
    <mergeCell ref="C5:D5"/>
    <mergeCell ref="E5:E6"/>
    <mergeCell ref="F5:F6"/>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I24"/>
  <sheetViews>
    <sheetView topLeftCell="E1" workbookViewId="0">
      <selection activeCell="H23" sqref="H23"/>
    </sheetView>
  </sheetViews>
  <sheetFormatPr defaultColWidth="9.109375" defaultRowHeight="13.8"/>
  <cols>
    <col min="1" max="1" width="46" style="109" hidden="1" customWidth="1"/>
    <col min="2" max="2" width="20.44140625" style="141" hidden="1" customWidth="1"/>
    <col min="3" max="3" width="21.109375" style="141" hidden="1" customWidth="1"/>
    <col min="4" max="4" width="8.5546875" style="109" hidden="1" customWidth="1"/>
    <col min="5" max="5" width="9.109375" style="109"/>
    <col min="6" max="6" width="46" style="109" bestFit="1" customWidth="1"/>
    <col min="7" max="7" width="20.5546875" style="109" bestFit="1" customWidth="1"/>
    <col min="8" max="8" width="21.33203125" style="109" bestFit="1" customWidth="1"/>
    <col min="9" max="9" width="9.77734375" style="109" bestFit="1" customWidth="1"/>
    <col min="10" max="11" width="9.109375" style="109"/>
    <col min="12" max="12" width="11.44140625" style="109" bestFit="1" customWidth="1"/>
    <col min="13" max="16384" width="9.109375" style="109"/>
  </cols>
  <sheetData>
    <row r="2" spans="1:9">
      <c r="A2" s="152" t="str">
        <f>+'IT Dep'!A2:I2</f>
        <v>CARGO INTERNATIONAL (INDIA) PRIVATE LIMITED</v>
      </c>
      <c r="F2" s="152" t="str">
        <f>+A2</f>
        <v>CARGO INTERNATIONAL (INDIA) PRIVATE LIMITED</v>
      </c>
    </row>
    <row r="3" spans="1:9">
      <c r="A3" s="152" t="s">
        <v>979</v>
      </c>
      <c r="F3" s="152" t="str">
        <f>+A3</f>
        <v>Schedule for Deffered Tax Calculation</v>
      </c>
    </row>
    <row r="4" spans="1:9">
      <c r="A4" s="152" t="s">
        <v>980</v>
      </c>
      <c r="F4" s="152" t="s">
        <v>981</v>
      </c>
    </row>
    <row r="6" spans="1:9" ht="14.4" thickBot="1"/>
    <row r="7" spans="1:9" ht="14.4">
      <c r="F7" s="219" t="s">
        <v>44</v>
      </c>
      <c r="G7" s="220" t="s">
        <v>982</v>
      </c>
      <c r="H7" s="220" t="s">
        <v>983</v>
      </c>
      <c r="I7" s="219" t="s">
        <v>984</v>
      </c>
    </row>
    <row r="8" spans="1:9" ht="14.4" thickBot="1">
      <c r="F8" s="221"/>
      <c r="G8" s="222"/>
      <c r="H8" s="222"/>
      <c r="I8" s="221"/>
    </row>
    <row r="9" spans="1:9">
      <c r="F9" s="223" t="s">
        <v>1109</v>
      </c>
      <c r="G9" s="224"/>
      <c r="H9" s="224">
        <f>634957.698/Deno</f>
        <v>6.3495769800000001</v>
      </c>
      <c r="I9" s="223" t="s">
        <v>985</v>
      </c>
    </row>
    <row r="10" spans="1:9">
      <c r="F10" s="223"/>
      <c r="G10" s="224"/>
      <c r="H10" s="224"/>
      <c r="I10" s="223"/>
    </row>
    <row r="11" spans="1:9" ht="14.4">
      <c r="F11" s="225" t="s">
        <v>986</v>
      </c>
      <c r="G11" s="224"/>
      <c r="H11" s="224"/>
      <c r="I11" s="223"/>
    </row>
    <row r="12" spans="1:9">
      <c r="F12" s="223" t="s">
        <v>987</v>
      </c>
      <c r="G12" s="224">
        <f>+'IT Dep'!I22/Deno</f>
        <v>28.807146899999999</v>
      </c>
      <c r="H12" s="224"/>
      <c r="I12" s="223"/>
    </row>
    <row r="13" spans="1:9">
      <c r="F13" s="223" t="s">
        <v>988</v>
      </c>
      <c r="G13" s="224">
        <f>+'Note 9'!J20</f>
        <v>7.3320925070883707</v>
      </c>
      <c r="H13" s="224">
        <f>(G12-G13)*27.82%</f>
        <v>5.974360132108016</v>
      </c>
      <c r="I13" s="223" t="s">
        <v>985</v>
      </c>
    </row>
    <row r="14" spans="1:9">
      <c r="F14" s="223"/>
      <c r="G14" s="224"/>
      <c r="H14" s="224"/>
      <c r="I14" s="223"/>
    </row>
    <row r="15" spans="1:9">
      <c r="F15" s="223"/>
      <c r="G15" s="224"/>
      <c r="H15" s="224"/>
      <c r="I15" s="223"/>
    </row>
    <row r="16" spans="1:9" ht="14.4">
      <c r="F16" s="225" t="s">
        <v>989</v>
      </c>
      <c r="G16" s="224"/>
      <c r="H16" s="224"/>
      <c r="I16" s="223"/>
    </row>
    <row r="17" spans="6:9">
      <c r="F17" s="226" t="s">
        <v>990</v>
      </c>
      <c r="G17" s="227">
        <v>0</v>
      </c>
      <c r="H17" s="227"/>
      <c r="I17" s="223"/>
    </row>
    <row r="18" spans="6:9">
      <c r="F18" s="228" t="s">
        <v>991</v>
      </c>
      <c r="G18" s="227">
        <v>0</v>
      </c>
      <c r="H18" s="227">
        <f>(G17-G18)*27.82%</f>
        <v>0</v>
      </c>
      <c r="I18" s="223"/>
    </row>
    <row r="19" spans="6:9">
      <c r="F19" s="223"/>
      <c r="G19" s="224"/>
      <c r="H19" s="224"/>
      <c r="I19" s="223" t="s">
        <v>985</v>
      </c>
    </row>
    <row r="20" spans="6:9">
      <c r="F20" s="223"/>
      <c r="G20" s="224"/>
      <c r="H20" s="224"/>
      <c r="I20" s="223"/>
    </row>
    <row r="21" spans="6:9" ht="15" thickBot="1">
      <c r="F21" s="229" t="s">
        <v>1110</v>
      </c>
      <c r="G21" s="230"/>
      <c r="H21" s="231">
        <f>+H13+H18</f>
        <v>5.974360132108016</v>
      </c>
      <c r="I21" s="223"/>
    </row>
    <row r="22" spans="6:9" ht="14.4" thickTop="1">
      <c r="F22" s="223"/>
      <c r="G22" s="224"/>
      <c r="H22" s="224"/>
      <c r="I22" s="223"/>
    </row>
    <row r="23" spans="6:9">
      <c r="F23" s="223" t="s">
        <v>992</v>
      </c>
      <c r="G23" s="224"/>
      <c r="H23" s="232">
        <f>+H21-H9</f>
        <v>-0.37521684789198417</v>
      </c>
      <c r="I23" s="223" t="s">
        <v>993</v>
      </c>
    </row>
    <row r="24" spans="6:9" ht="14.4" thickBot="1">
      <c r="F24" s="221"/>
      <c r="G24" s="222"/>
      <c r="H24" s="222"/>
      <c r="I24" s="221"/>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BDFF6-6AAC-4512-87A1-E35BA827EACB}">
  <dimension ref="A1:L89"/>
  <sheetViews>
    <sheetView view="pageBreakPreview" topLeftCell="A20" zoomScaleNormal="100" zoomScaleSheetLayoutView="100" workbookViewId="0">
      <selection activeCell="K32" sqref="K32"/>
    </sheetView>
  </sheetViews>
  <sheetFormatPr defaultColWidth="9.109375" defaultRowHeight="13.8"/>
  <cols>
    <col min="1" max="1" width="9" style="161" customWidth="1"/>
    <col min="2" max="2" width="48" style="161" customWidth="1"/>
    <col min="3" max="3" width="13.33203125" style="161" bestFit="1" customWidth="1"/>
    <col min="4" max="4" width="13.5546875" style="161" customWidth="1"/>
    <col min="5" max="5" width="16.5546875" style="161" customWidth="1"/>
    <col min="6" max="6" width="13.6640625" style="161" customWidth="1"/>
    <col min="7" max="7" width="11.6640625" style="161" bestFit="1" customWidth="1"/>
    <col min="8" max="8" width="19.44140625" style="161" bestFit="1" customWidth="1"/>
    <col min="9" max="9" width="13.44140625" style="161" bestFit="1" customWidth="1"/>
    <col min="10" max="10" width="11.109375" style="161" bestFit="1" customWidth="1"/>
    <col min="11" max="11" width="13.44140625" style="161" bestFit="1" customWidth="1"/>
    <col min="12" max="12" width="12" style="161" bestFit="1" customWidth="1"/>
    <col min="13" max="16384" width="9.109375" style="161"/>
  </cols>
  <sheetData>
    <row r="1" spans="1:5" ht="18">
      <c r="A1" s="888" t="str">
        <f>+BS!A1</f>
        <v>CARGO INTERNATIONAL (INDIA) PRIVATE LIMITED</v>
      </c>
      <c r="B1" s="889"/>
      <c r="C1" s="889"/>
      <c r="D1" s="889"/>
      <c r="E1" s="890"/>
    </row>
    <row r="2" spans="1:5" ht="18.75" customHeight="1" thickBot="1">
      <c r="A2" s="891" t="str">
        <f>+BS!A4</f>
        <v>Old No.7 / New No.13, First Floor, First Cross Street, Trustpuram, Kodambakkam, Chennai - 600024, India</v>
      </c>
      <c r="B2" s="892"/>
      <c r="C2" s="892"/>
      <c r="D2" s="892"/>
      <c r="E2" s="893"/>
    </row>
    <row r="3" spans="1:5" ht="14.4">
      <c r="A3" s="162"/>
      <c r="B3" s="163"/>
      <c r="C3" s="163"/>
      <c r="D3" s="163"/>
      <c r="E3" s="164"/>
    </row>
    <row r="4" spans="1:5" ht="14.4">
      <c r="A4" s="162" t="s">
        <v>994</v>
      </c>
      <c r="B4" s="682">
        <v>40430</v>
      </c>
      <c r="C4" s="165"/>
      <c r="D4" s="163" t="s">
        <v>995</v>
      </c>
      <c r="E4" s="166" t="s">
        <v>638</v>
      </c>
    </row>
    <row r="5" spans="1:5" ht="14.4">
      <c r="A5" s="162" t="s">
        <v>996</v>
      </c>
      <c r="B5" s="165" t="s">
        <v>997</v>
      </c>
      <c r="C5" s="165"/>
      <c r="D5" s="163" t="s">
        <v>998</v>
      </c>
      <c r="E5" s="166" t="s">
        <v>639</v>
      </c>
    </row>
    <row r="6" spans="1:5" ht="14.4">
      <c r="A6" s="162" t="s">
        <v>999</v>
      </c>
      <c r="B6" s="683">
        <v>9600100917</v>
      </c>
      <c r="C6" s="165"/>
      <c r="D6" s="163" t="s">
        <v>1000</v>
      </c>
      <c r="E6" s="166" t="s">
        <v>1001</v>
      </c>
    </row>
    <row r="7" spans="1:5" ht="15" thickBot="1">
      <c r="A7" s="162"/>
      <c r="B7" s="165"/>
      <c r="C7" s="165"/>
      <c r="D7" s="165"/>
      <c r="E7" s="166"/>
    </row>
    <row r="8" spans="1:5" ht="18.600000000000001" thickBot="1">
      <c r="A8" s="894" t="s">
        <v>1002</v>
      </c>
      <c r="B8" s="895"/>
      <c r="C8" s="895"/>
      <c r="D8" s="895"/>
      <c r="E8" s="896"/>
    </row>
    <row r="9" spans="1:5" ht="14.4">
      <c r="A9" s="167"/>
      <c r="B9" s="168"/>
      <c r="C9" s="168"/>
      <c r="D9" s="168"/>
      <c r="E9" s="169"/>
    </row>
    <row r="10" spans="1:5" ht="14.4">
      <c r="A10" s="162" t="s">
        <v>1003</v>
      </c>
      <c r="B10" s="165"/>
      <c r="C10" s="165"/>
      <c r="D10" s="165"/>
      <c r="E10" s="166"/>
    </row>
    <row r="11" spans="1:5" ht="14.4">
      <c r="A11" s="170"/>
      <c r="B11" s="165"/>
      <c r="C11" s="165"/>
      <c r="D11" s="171"/>
      <c r="E11" s="172"/>
    </row>
    <row r="12" spans="1:5" ht="14.4">
      <c r="A12" s="170"/>
      <c r="B12" s="163" t="s">
        <v>1004</v>
      </c>
      <c r="C12" s="165"/>
      <c r="D12" s="171"/>
      <c r="E12" s="172">
        <f>+PL!D29*Deno</f>
        <v>2653190.3241222152</v>
      </c>
    </row>
    <row r="13" spans="1:5" ht="14.4">
      <c r="A13" s="170"/>
      <c r="B13" s="165"/>
      <c r="C13" s="165"/>
      <c r="D13" s="171"/>
      <c r="E13" s="172"/>
    </row>
    <row r="14" spans="1:5" ht="14.4">
      <c r="A14" s="173" t="s">
        <v>1005</v>
      </c>
      <c r="B14" s="165" t="s">
        <v>1006</v>
      </c>
      <c r="C14" s="165"/>
      <c r="D14" s="171"/>
      <c r="E14" s="172"/>
    </row>
    <row r="15" spans="1:5" ht="14.4">
      <c r="A15" s="173"/>
      <c r="B15" s="165" t="s">
        <v>1007</v>
      </c>
      <c r="C15" s="165"/>
      <c r="D15" s="171">
        <f>+'Note 9'!G20*Deno</f>
        <v>269898.93</v>
      </c>
      <c r="E15" s="172"/>
    </row>
    <row r="16" spans="1:5" ht="14.4">
      <c r="A16" s="173"/>
      <c r="B16" s="165" t="s">
        <v>1008</v>
      </c>
      <c r="C16" s="165"/>
      <c r="D16" s="171"/>
      <c r="E16" s="172"/>
    </row>
    <row r="17" spans="1:5" ht="14.4">
      <c r="A17" s="173"/>
      <c r="B17" s="165" t="s">
        <v>1009</v>
      </c>
      <c r="C17" s="165"/>
      <c r="D17" s="171"/>
      <c r="E17" s="172"/>
    </row>
    <row r="18" spans="1:5" ht="14.4">
      <c r="A18" s="173"/>
      <c r="B18" s="165" t="s">
        <v>1010</v>
      </c>
      <c r="D18" s="171"/>
      <c r="E18" s="172"/>
    </row>
    <row r="19" spans="1:5" ht="14.4">
      <c r="A19" s="173"/>
      <c r="B19" s="165" t="s">
        <v>1011</v>
      </c>
      <c r="D19" s="171"/>
      <c r="E19" s="172"/>
    </row>
    <row r="20" spans="1:5" ht="14.4">
      <c r="A20" s="173"/>
      <c r="B20" s="174" t="s">
        <v>1012</v>
      </c>
      <c r="D20" s="171">
        <v>0</v>
      </c>
      <c r="E20" s="172"/>
    </row>
    <row r="21" spans="1:5" ht="14.4">
      <c r="A21" s="173"/>
      <c r="B21" s="174" t="s">
        <v>1013</v>
      </c>
      <c r="D21" s="171">
        <v>0</v>
      </c>
      <c r="E21" s="172"/>
    </row>
    <row r="22" spans="1:5" ht="14.4">
      <c r="A22" s="170"/>
      <c r="B22" s="165"/>
      <c r="D22" s="175">
        <v>0</v>
      </c>
      <c r="E22" s="176">
        <f>+SUM(D15:D22)</f>
        <v>269898.93</v>
      </c>
    </row>
    <row r="23" spans="1:5" ht="14.4">
      <c r="A23" s="170"/>
      <c r="B23" s="165"/>
      <c r="C23" s="165"/>
      <c r="D23" s="171"/>
      <c r="E23" s="172"/>
    </row>
    <row r="24" spans="1:5" ht="14.4">
      <c r="A24" s="170"/>
      <c r="B24" s="165"/>
      <c r="C24" s="165"/>
      <c r="D24" s="171"/>
      <c r="E24" s="172">
        <f>+SUM(E12:E22)</f>
        <v>2923089.2541222153</v>
      </c>
    </row>
    <row r="25" spans="1:5" ht="14.4">
      <c r="A25" s="170"/>
      <c r="B25" s="165"/>
      <c r="C25" s="165"/>
      <c r="D25" s="171"/>
      <c r="E25" s="177"/>
    </row>
    <row r="26" spans="1:5" ht="14.4">
      <c r="A26" s="173" t="s">
        <v>1014</v>
      </c>
      <c r="B26" s="165" t="s">
        <v>1015</v>
      </c>
      <c r="C26" s="165"/>
      <c r="D26" s="171"/>
      <c r="E26" s="172"/>
    </row>
    <row r="27" spans="1:5" ht="14.4">
      <c r="A27" s="178"/>
      <c r="B27" s="165" t="s">
        <v>1016</v>
      </c>
      <c r="C27" s="165"/>
      <c r="D27" s="175">
        <f>+'IT Dep'!H22</f>
        <v>404772</v>
      </c>
      <c r="E27" s="176">
        <f>-SUM(D26:D27)</f>
        <v>-404772</v>
      </c>
    </row>
    <row r="28" spans="1:5" ht="14.4">
      <c r="A28" s="173"/>
      <c r="B28" s="165"/>
      <c r="C28" s="165"/>
      <c r="D28" s="171"/>
      <c r="E28" s="177"/>
    </row>
    <row r="29" spans="1:5" ht="14.4">
      <c r="A29" s="170"/>
      <c r="B29" s="165" t="s">
        <v>1017</v>
      </c>
      <c r="C29" s="165"/>
      <c r="D29" s="171"/>
      <c r="E29" s="172">
        <f>SUM(E24:E27)</f>
        <v>2518317.2541222153</v>
      </c>
    </row>
    <row r="30" spans="1:5" ht="14.4">
      <c r="A30" s="170"/>
      <c r="B30" s="165"/>
      <c r="C30" s="165"/>
      <c r="D30" s="171"/>
      <c r="E30" s="172"/>
    </row>
    <row r="31" spans="1:5" ht="14.4">
      <c r="A31" s="173" t="s">
        <v>1014</v>
      </c>
      <c r="B31" s="165" t="s">
        <v>1018</v>
      </c>
      <c r="C31" s="165"/>
      <c r="D31" s="171"/>
      <c r="E31" s="172">
        <v>0</v>
      </c>
    </row>
    <row r="32" spans="1:5" ht="14.4">
      <c r="A32" s="170"/>
      <c r="B32" s="165" t="s">
        <v>1019</v>
      </c>
      <c r="C32" s="165"/>
      <c r="D32" s="171"/>
      <c r="E32" s="172"/>
    </row>
    <row r="33" spans="1:12" ht="14.4">
      <c r="A33" s="170"/>
      <c r="B33" s="165"/>
      <c r="C33" s="165"/>
      <c r="D33" s="171"/>
      <c r="E33" s="172"/>
    </row>
    <row r="34" spans="1:12" ht="14.4">
      <c r="A34" s="162" t="s">
        <v>1020</v>
      </c>
      <c r="B34" s="163"/>
      <c r="C34" s="165"/>
      <c r="D34" s="171"/>
      <c r="E34" s="179">
        <f>E29-E31</f>
        <v>2518317.2541222153</v>
      </c>
    </row>
    <row r="35" spans="1:12" ht="14.4">
      <c r="A35" s="170"/>
      <c r="B35" s="165"/>
      <c r="C35" s="165"/>
      <c r="D35" s="171"/>
      <c r="E35" s="172"/>
    </row>
    <row r="36" spans="1:12" ht="14.4">
      <c r="A36" s="170"/>
      <c r="B36" s="165" t="s">
        <v>1021</v>
      </c>
      <c r="C36" s="165"/>
      <c r="D36" s="171" t="s">
        <v>1022</v>
      </c>
      <c r="E36" s="172">
        <f>E34*25%</f>
        <v>629579.31353055383</v>
      </c>
    </row>
    <row r="37" spans="1:12" ht="14.4">
      <c r="A37" s="170"/>
      <c r="B37" s="165"/>
      <c r="C37" s="165"/>
      <c r="D37" s="171"/>
      <c r="E37" s="172"/>
    </row>
    <row r="38" spans="1:12" ht="14.4">
      <c r="A38" s="170"/>
      <c r="B38" s="165" t="s">
        <v>1023</v>
      </c>
      <c r="C38" s="165"/>
      <c r="D38" s="171" t="s">
        <v>1024</v>
      </c>
      <c r="E38" s="180">
        <f>+D89</f>
        <v>413898</v>
      </c>
      <c r="G38" s="181" t="s">
        <v>1025</v>
      </c>
      <c r="H38" s="182"/>
      <c r="I38" s="183"/>
      <c r="J38" s="183"/>
      <c r="K38" s="182"/>
      <c r="L38" s="182"/>
    </row>
    <row r="39" spans="1:12" ht="15" thickBot="1">
      <c r="A39" s="170"/>
      <c r="B39" s="165"/>
      <c r="C39" s="165"/>
      <c r="D39" s="171"/>
      <c r="E39" s="172"/>
      <c r="G39" s="182"/>
      <c r="H39" s="182"/>
      <c r="I39" s="577">
        <v>45382</v>
      </c>
      <c r="J39" s="183"/>
      <c r="K39" s="182"/>
      <c r="L39" s="182"/>
    </row>
    <row r="40" spans="1:12" ht="14.4">
      <c r="A40" s="170"/>
      <c r="B40" s="163" t="s">
        <v>1026</v>
      </c>
      <c r="C40" s="165"/>
      <c r="D40" s="171" t="s">
        <v>1027</v>
      </c>
      <c r="E40" s="184">
        <f>+MAX(E36,E38)</f>
        <v>629579.31353055383</v>
      </c>
      <c r="G40" s="182"/>
      <c r="H40" s="185" t="s">
        <v>1028</v>
      </c>
      <c r="I40" s="186"/>
      <c r="J40" s="183"/>
      <c r="K40" s="182"/>
      <c r="L40" s="182"/>
    </row>
    <row r="41" spans="1:12" ht="14.4">
      <c r="A41" s="173" t="s">
        <v>1005</v>
      </c>
      <c r="B41" s="165" t="s">
        <v>1029</v>
      </c>
      <c r="C41" s="165"/>
      <c r="D41" s="171"/>
      <c r="E41" s="187">
        <f>IF(E29&gt;10000000,E40*7%,0)</f>
        <v>0</v>
      </c>
      <c r="G41" s="182">
        <v>55402.979590688745</v>
      </c>
      <c r="H41" s="188" t="s">
        <v>1030</v>
      </c>
      <c r="I41" s="189">
        <f>+E44</f>
        <v>654762.48607177602</v>
      </c>
      <c r="J41" s="183"/>
      <c r="K41" s="182"/>
      <c r="L41" s="182"/>
    </row>
    <row r="42" spans="1:12" ht="14.4">
      <c r="A42" s="173"/>
      <c r="B42" s="165"/>
      <c r="C42" s="165"/>
      <c r="D42" s="171"/>
      <c r="E42" s="172">
        <f>SUM(E40:E41)</f>
        <v>629579.31353055383</v>
      </c>
      <c r="G42" s="182">
        <v>609432.77549757611</v>
      </c>
      <c r="H42" s="188" t="s">
        <v>1031</v>
      </c>
      <c r="I42" s="190">
        <f>+C47</f>
        <v>3660953.0300000003</v>
      </c>
      <c r="J42" s="183"/>
      <c r="K42" s="182"/>
      <c r="L42" s="182"/>
    </row>
    <row r="43" spans="1:12" ht="14.4">
      <c r="A43" s="173" t="s">
        <v>1005</v>
      </c>
      <c r="B43" s="165" t="s">
        <v>1032</v>
      </c>
      <c r="C43" s="165"/>
      <c r="D43" s="171"/>
      <c r="E43" s="172">
        <f>E42*4%</f>
        <v>25183.172541222153</v>
      </c>
      <c r="G43" s="182">
        <v>633810.08651747915</v>
      </c>
      <c r="H43" s="188"/>
      <c r="I43" s="189">
        <f>+I41-I42</f>
        <v>-3006190.5439282241</v>
      </c>
      <c r="J43" s="183"/>
      <c r="K43" s="182"/>
      <c r="L43" s="182"/>
    </row>
    <row r="44" spans="1:12" ht="14.4">
      <c r="A44" s="170"/>
      <c r="B44" s="165"/>
      <c r="C44" s="165"/>
      <c r="D44" s="171"/>
      <c r="E44" s="191">
        <f>SUM(E42:E43)</f>
        <v>654762.48607177602</v>
      </c>
      <c r="G44" s="182">
        <v>654762.48607177602</v>
      </c>
      <c r="H44" s="188" t="s">
        <v>1033</v>
      </c>
      <c r="I44" s="189">
        <f>+I43*90%</f>
        <v>-2705571.4895354016</v>
      </c>
      <c r="J44" s="183"/>
      <c r="K44" s="182"/>
      <c r="L44" s="182"/>
    </row>
    <row r="45" spans="1:12" ht="14.4">
      <c r="A45" s="170"/>
      <c r="B45" s="165"/>
      <c r="C45" s="165"/>
      <c r="D45" s="171"/>
      <c r="E45" s="172"/>
      <c r="G45" s="182">
        <f>G43-G44</f>
        <v>-20952.399554296862</v>
      </c>
      <c r="H45" s="188" t="s">
        <v>1034</v>
      </c>
      <c r="I45" s="189">
        <f>+F29</f>
        <v>0</v>
      </c>
      <c r="J45" s="183"/>
      <c r="K45" s="182"/>
      <c r="L45" s="182"/>
    </row>
    <row r="46" spans="1:12" ht="14.4">
      <c r="A46" s="173" t="s">
        <v>1035</v>
      </c>
      <c r="B46" s="165" t="s">
        <v>1036</v>
      </c>
      <c r="C46" s="192">
        <v>0</v>
      </c>
      <c r="D46" s="171"/>
      <c r="E46" s="172"/>
      <c r="G46" s="182"/>
      <c r="H46" s="188" t="s">
        <v>1037</v>
      </c>
      <c r="I46" s="189">
        <f>I43-I45</f>
        <v>-3006190.5439282241</v>
      </c>
      <c r="J46" s="183"/>
      <c r="K46" s="182"/>
      <c r="L46" s="182"/>
    </row>
    <row r="47" spans="1:12" ht="15" thickBot="1">
      <c r="A47" s="170"/>
      <c r="B47" s="165" t="s">
        <v>1038</v>
      </c>
      <c r="C47" s="193">
        <v>3660953.0300000003</v>
      </c>
      <c r="D47" s="171"/>
      <c r="E47" s="176">
        <f>SUM(C46:C47)</f>
        <v>3660953.0300000003</v>
      </c>
      <c r="F47" s="569" t="s">
        <v>1137</v>
      </c>
      <c r="G47" s="182"/>
      <c r="H47" s="194" t="s">
        <v>1039</v>
      </c>
      <c r="I47" s="195">
        <f ca="1">I46*1%*(ROUND(((EOMONTH(TODAY(),0)-I39)/365)*12,0))</f>
        <v>-601238.10878564487</v>
      </c>
      <c r="J47" s="183"/>
      <c r="K47" s="182"/>
      <c r="L47" s="182"/>
    </row>
    <row r="48" spans="1:12" ht="15" thickBot="1">
      <c r="A48" s="170"/>
      <c r="C48" s="165"/>
      <c r="D48" s="171"/>
      <c r="E48" s="196">
        <f>E44-E47</f>
        <v>-3006190.5439282241</v>
      </c>
      <c r="G48" s="182"/>
      <c r="H48" s="182"/>
      <c r="I48" s="183"/>
      <c r="J48" s="183"/>
      <c r="K48" s="182"/>
      <c r="L48" s="182"/>
    </row>
    <row r="49" spans="1:12" ht="15.6" thickTop="1" thickBot="1">
      <c r="A49" s="170"/>
      <c r="B49" s="163"/>
      <c r="C49" s="165"/>
      <c r="D49" s="171"/>
      <c r="E49" s="172"/>
      <c r="G49" s="182"/>
      <c r="H49" s="182"/>
      <c r="I49" s="183"/>
      <c r="J49" s="183"/>
      <c r="K49" s="182"/>
      <c r="L49" s="182"/>
    </row>
    <row r="50" spans="1:12" ht="14.4">
      <c r="A50" s="173" t="s">
        <v>1005</v>
      </c>
      <c r="B50" s="165" t="s">
        <v>1040</v>
      </c>
      <c r="C50" s="171">
        <v>0</v>
      </c>
      <c r="D50" s="165"/>
      <c r="E50" s="172"/>
      <c r="G50" s="182"/>
      <c r="H50" s="185" t="s">
        <v>1041</v>
      </c>
      <c r="I50" s="197"/>
      <c r="J50" s="198" t="s">
        <v>1042</v>
      </c>
      <c r="K50" s="198" t="s">
        <v>1037</v>
      </c>
      <c r="L50" s="186" t="s">
        <v>1039</v>
      </c>
    </row>
    <row r="51" spans="1:12" ht="14.4">
      <c r="A51" s="170"/>
      <c r="B51" s="165" t="s">
        <v>1043</v>
      </c>
      <c r="C51" s="171">
        <f>+IF(E48&lt;0,0,I47)</f>
        <v>0</v>
      </c>
      <c r="D51" s="165"/>
      <c r="E51" s="172"/>
      <c r="G51" s="182"/>
      <c r="H51" s="188" t="s">
        <v>1030</v>
      </c>
      <c r="I51" s="182">
        <f>+E44-C47</f>
        <v>-3006190.5439282241</v>
      </c>
      <c r="J51" s="183">
        <v>0</v>
      </c>
      <c r="K51" s="183">
        <v>0</v>
      </c>
      <c r="L51" s="189"/>
    </row>
    <row r="52" spans="1:12" ht="14.4">
      <c r="A52" s="170"/>
      <c r="B52" s="165" t="s">
        <v>1044</v>
      </c>
      <c r="C52" s="175">
        <f>+IF(E48&lt;0,0,L56)</f>
        <v>0</v>
      </c>
      <c r="D52" s="165"/>
      <c r="E52" s="176">
        <f>+SUM(C50:C52)</f>
        <v>0</v>
      </c>
      <c r="G52" s="182"/>
      <c r="H52" s="188" t="s">
        <v>1045</v>
      </c>
      <c r="I52" s="182">
        <f>+ROUND(I51*15%,0)</f>
        <v>-450929</v>
      </c>
      <c r="J52" s="183">
        <v>0</v>
      </c>
      <c r="K52" s="183">
        <f>+I52-J52</f>
        <v>-450929</v>
      </c>
      <c r="L52" s="189">
        <f>+ROUND(K52*1%*3,0)</f>
        <v>-13528</v>
      </c>
    </row>
    <row r="53" spans="1:12" ht="14.4">
      <c r="A53" s="170"/>
      <c r="B53" s="163"/>
      <c r="C53" s="165"/>
      <c r="D53" s="171"/>
      <c r="E53" s="177"/>
      <c r="G53" s="182"/>
      <c r="H53" s="188" t="s">
        <v>1046</v>
      </c>
      <c r="I53" s="182">
        <f>+ROUND(I51*45%,0)</f>
        <v>-1352786</v>
      </c>
      <c r="J53" s="183">
        <v>0</v>
      </c>
      <c r="K53" s="183">
        <f>+I53-J53</f>
        <v>-1352786</v>
      </c>
      <c r="L53" s="189">
        <f>+ROUND(K53*1%*3,0)</f>
        <v>-40584</v>
      </c>
    </row>
    <row r="54" spans="1:12" ht="15" thickBot="1">
      <c r="A54" s="170"/>
      <c r="B54" s="163" t="s">
        <v>1047</v>
      </c>
      <c r="C54" s="165"/>
      <c r="D54" s="171"/>
      <c r="E54" s="199">
        <f>ROUND(E48+E52,-1)</f>
        <v>-3006190</v>
      </c>
      <c r="G54" s="182"/>
      <c r="H54" s="188" t="s">
        <v>1048</v>
      </c>
      <c r="I54" s="182">
        <f>+ROUND(I51*75%,0)</f>
        <v>-2254643</v>
      </c>
      <c r="J54" s="183">
        <v>0</v>
      </c>
      <c r="K54" s="183">
        <f>+I54-J54</f>
        <v>-2254643</v>
      </c>
      <c r="L54" s="189">
        <f>+ROUND(K54*1%*3,0)</f>
        <v>-67639</v>
      </c>
    </row>
    <row r="55" spans="1:12" ht="15.6" thickTop="1" thickBot="1">
      <c r="A55" s="200"/>
      <c r="B55" s="201"/>
      <c r="C55" s="201"/>
      <c r="D55" s="201"/>
      <c r="E55" s="202"/>
      <c r="G55" s="182"/>
      <c r="H55" s="188" t="s">
        <v>1049</v>
      </c>
      <c r="I55" s="182">
        <f>+I51</f>
        <v>-3006190.5439282241</v>
      </c>
      <c r="J55" s="183">
        <f>+F29</f>
        <v>0</v>
      </c>
      <c r="K55" s="183">
        <f>+I55-J55</f>
        <v>-3006190.5439282241</v>
      </c>
      <c r="L55" s="189">
        <f>+ROUND(K55*1%*1,0)</f>
        <v>-30062</v>
      </c>
    </row>
    <row r="56" spans="1:12" ht="14.4" thickBot="1">
      <c r="G56" s="182"/>
      <c r="H56" s="194" t="s">
        <v>1050</v>
      </c>
      <c r="I56" s="203"/>
      <c r="J56" s="204"/>
      <c r="K56" s="204"/>
      <c r="L56" s="195">
        <f>ROUND(SUM(L52:L55),0)</f>
        <v>-151813</v>
      </c>
    </row>
    <row r="57" spans="1:12" ht="14.4" thickBot="1"/>
    <row r="58" spans="1:12" ht="15" thickBot="1">
      <c r="A58" s="897" t="s">
        <v>1051</v>
      </c>
      <c r="B58" s="898"/>
      <c r="C58" s="899" t="s">
        <v>672</v>
      </c>
      <c r="D58" s="900"/>
    </row>
    <row r="59" spans="1:12" ht="14.4">
      <c r="A59" s="205"/>
      <c r="B59" s="206"/>
      <c r="C59" s="207"/>
      <c r="D59" s="208"/>
    </row>
    <row r="60" spans="1:12" ht="14.4">
      <c r="A60" s="884" t="s">
        <v>1052</v>
      </c>
      <c r="B60" s="885"/>
      <c r="C60" s="209"/>
      <c r="D60" s="208">
        <f>+E12</f>
        <v>2653190.3241222152</v>
      </c>
    </row>
    <row r="61" spans="1:12" ht="14.4">
      <c r="A61" s="884"/>
      <c r="B61" s="885"/>
      <c r="C61" s="209"/>
      <c r="D61" s="208"/>
    </row>
    <row r="62" spans="1:12" ht="14.4">
      <c r="A62" s="210" t="s">
        <v>1053</v>
      </c>
      <c r="B62" s="206"/>
      <c r="C62" s="209"/>
      <c r="D62" s="208"/>
    </row>
    <row r="63" spans="1:12" ht="14.4">
      <c r="A63" s="211" t="s">
        <v>1054</v>
      </c>
      <c r="B63" s="206" t="s">
        <v>1055</v>
      </c>
      <c r="C63" s="209">
        <v>0</v>
      </c>
      <c r="D63" s="208"/>
    </row>
    <row r="64" spans="1:12" ht="14.4">
      <c r="A64" s="211" t="s">
        <v>1056</v>
      </c>
      <c r="B64" s="206" t="s">
        <v>1057</v>
      </c>
      <c r="C64" s="209">
        <v>0</v>
      </c>
      <c r="D64" s="208"/>
    </row>
    <row r="65" spans="1:4" ht="14.4">
      <c r="A65" s="211" t="s">
        <v>1058</v>
      </c>
      <c r="B65" s="206" t="s">
        <v>1059</v>
      </c>
      <c r="C65" s="209">
        <v>0</v>
      </c>
      <c r="D65" s="208"/>
    </row>
    <row r="66" spans="1:4" ht="14.4">
      <c r="A66" s="211" t="s">
        <v>1060</v>
      </c>
      <c r="B66" s="206" t="s">
        <v>1061</v>
      </c>
      <c r="C66" s="209">
        <v>0</v>
      </c>
      <c r="D66" s="208"/>
    </row>
    <row r="67" spans="1:4" ht="14.4">
      <c r="A67" s="211" t="s">
        <v>1062</v>
      </c>
      <c r="B67" s="206" t="s">
        <v>1063</v>
      </c>
      <c r="C67" s="209">
        <v>0</v>
      </c>
      <c r="D67" s="208"/>
    </row>
    <row r="68" spans="1:4" ht="14.4">
      <c r="A68" s="211" t="s">
        <v>1064</v>
      </c>
      <c r="B68" s="206" t="s">
        <v>1065</v>
      </c>
      <c r="C68" s="209">
        <v>0</v>
      </c>
      <c r="D68" s="208"/>
    </row>
    <row r="69" spans="1:4" ht="14.4">
      <c r="A69" s="211"/>
      <c r="B69" s="206" t="s">
        <v>1066</v>
      </c>
      <c r="C69" s="209">
        <v>0</v>
      </c>
      <c r="D69" s="208"/>
    </row>
    <row r="70" spans="1:4" ht="14.4">
      <c r="A70" s="211" t="s">
        <v>1067</v>
      </c>
      <c r="B70" s="206" t="s">
        <v>1068</v>
      </c>
      <c r="C70" s="209">
        <f>+'Note 9'!G20*10^5</f>
        <v>269898.93</v>
      </c>
      <c r="D70" s="208"/>
    </row>
    <row r="71" spans="1:4" ht="14.4">
      <c r="A71" s="211" t="s">
        <v>1069</v>
      </c>
      <c r="B71" s="206" t="s">
        <v>1070</v>
      </c>
      <c r="C71" s="209">
        <v>0</v>
      </c>
      <c r="D71" s="208"/>
    </row>
    <row r="72" spans="1:4" ht="14.4">
      <c r="A72" s="211" t="s">
        <v>1071</v>
      </c>
      <c r="B72" s="206" t="s">
        <v>1072</v>
      </c>
      <c r="C72" s="209">
        <v>0</v>
      </c>
      <c r="D72" s="208"/>
    </row>
    <row r="73" spans="1:4" ht="14.4">
      <c r="A73" s="211" t="s">
        <v>1073</v>
      </c>
      <c r="B73" s="206" t="s">
        <v>1074</v>
      </c>
      <c r="C73" s="212">
        <v>0</v>
      </c>
      <c r="D73" s="208"/>
    </row>
    <row r="74" spans="1:4" ht="14.4">
      <c r="A74" s="205"/>
      <c r="B74" s="206"/>
      <c r="C74" s="209"/>
      <c r="D74" s="208">
        <f>SUM(C63:C73)</f>
        <v>269898.93</v>
      </c>
    </row>
    <row r="75" spans="1:4" ht="14.4">
      <c r="A75" s="210" t="s">
        <v>1075</v>
      </c>
      <c r="B75" s="206"/>
      <c r="C75" s="209"/>
      <c r="D75" s="208"/>
    </row>
    <row r="76" spans="1:4" ht="14.4">
      <c r="A76" s="211" t="s">
        <v>1054</v>
      </c>
      <c r="B76" s="206" t="s">
        <v>1076</v>
      </c>
      <c r="C76" s="209">
        <v>0</v>
      </c>
      <c r="D76" s="208"/>
    </row>
    <row r="77" spans="1:4" ht="14.4">
      <c r="A77" s="211" t="s">
        <v>1056</v>
      </c>
      <c r="B77" s="206" t="s">
        <v>1077</v>
      </c>
      <c r="C77" s="209">
        <v>0</v>
      </c>
      <c r="D77" s="208"/>
    </row>
    <row r="78" spans="1:4" ht="14.4">
      <c r="A78" s="211" t="s">
        <v>1058</v>
      </c>
      <c r="B78" s="206" t="s">
        <v>1078</v>
      </c>
      <c r="C78" s="209">
        <f>+C70</f>
        <v>269898.93</v>
      </c>
      <c r="D78" s="208"/>
    </row>
    <row r="79" spans="1:4" ht="14.4">
      <c r="A79" s="211" t="s">
        <v>1060</v>
      </c>
      <c r="B79" s="206" t="s">
        <v>1079</v>
      </c>
      <c r="C79" s="209">
        <v>0</v>
      </c>
      <c r="D79" s="208"/>
    </row>
    <row r="80" spans="1:4" ht="14.4">
      <c r="A80" s="211" t="s">
        <v>1062</v>
      </c>
      <c r="B80" s="206" t="s">
        <v>1080</v>
      </c>
      <c r="C80" s="209">
        <v>0</v>
      </c>
      <c r="D80" s="208"/>
    </row>
    <row r="81" spans="1:4" ht="14.4">
      <c r="A81" s="211" t="s">
        <v>1064</v>
      </c>
      <c r="B81" s="206" t="s">
        <v>1081</v>
      </c>
      <c r="C81" s="209">
        <v>0</v>
      </c>
      <c r="D81" s="208"/>
    </row>
    <row r="82" spans="1:4" ht="14.4">
      <c r="A82" s="211" t="s">
        <v>1067</v>
      </c>
      <c r="B82" s="206" t="s">
        <v>1082</v>
      </c>
      <c r="C82" s="209">
        <v>0</v>
      </c>
      <c r="D82" s="208"/>
    </row>
    <row r="83" spans="1:4" ht="14.4">
      <c r="A83" s="211" t="s">
        <v>1069</v>
      </c>
      <c r="B83" s="206" t="s">
        <v>1083</v>
      </c>
      <c r="C83" s="209">
        <v>0</v>
      </c>
      <c r="D83" s="208"/>
    </row>
    <row r="84" spans="1:4" ht="14.4">
      <c r="A84" s="211" t="s">
        <v>1071</v>
      </c>
      <c r="B84" s="206" t="s">
        <v>1074</v>
      </c>
      <c r="C84" s="212">
        <v>0</v>
      </c>
      <c r="D84" s="208"/>
    </row>
    <row r="85" spans="1:4" ht="14.4">
      <c r="A85" s="211"/>
      <c r="B85" s="206"/>
      <c r="C85" s="209"/>
      <c r="D85" s="208">
        <f>SUM(C76:C84)</f>
        <v>269898.93</v>
      </c>
    </row>
    <row r="86" spans="1:4" ht="14.4">
      <c r="A86" s="211"/>
      <c r="B86" s="206"/>
      <c r="C86" s="209"/>
      <c r="D86" s="208"/>
    </row>
    <row r="87" spans="1:4" ht="15" thickBot="1">
      <c r="A87" s="205"/>
      <c r="B87" s="206"/>
      <c r="C87" s="213"/>
      <c r="D87" s="208"/>
    </row>
    <row r="88" spans="1:4" ht="15" thickBot="1">
      <c r="A88" s="214"/>
      <c r="B88" s="215" t="s">
        <v>1084</v>
      </c>
      <c r="C88" s="886">
        <f>D60+D74-D85</f>
        <v>2653190.3241222152</v>
      </c>
      <c r="D88" s="887"/>
    </row>
    <row r="89" spans="1:4" ht="15" thickBot="1">
      <c r="A89" s="214"/>
      <c r="B89" s="218" t="s">
        <v>1085</v>
      </c>
      <c r="C89" s="216"/>
      <c r="D89" s="217">
        <f>ROUND(IF(C88&gt;0,15.6%*C88,0),0)</f>
        <v>413898</v>
      </c>
    </row>
  </sheetData>
  <mergeCells count="8">
    <mergeCell ref="A61:B61"/>
    <mergeCell ref="C88:D88"/>
    <mergeCell ref="A1:E1"/>
    <mergeCell ref="A2:E2"/>
    <mergeCell ref="A8:E8"/>
    <mergeCell ref="A58:B58"/>
    <mergeCell ref="C58:D58"/>
    <mergeCell ref="A60:B60"/>
  </mergeCells>
  <pageMargins left="0.7" right="0.7" top="0.75" bottom="0.75" header="0.3" footer="0.3"/>
  <pageSetup scale="88" orientation="portrait" r:id="rId1"/>
  <rowBreaks count="1" manualBreakCount="1">
    <brk id="55" max="4"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A825404C70FD49A60A9411BA46033C" ma:contentTypeVersion="3" ma:contentTypeDescription="Create a new document." ma:contentTypeScope="" ma:versionID="ba19dd26e5751bf5fd8c4874fe1072cb">
  <xsd:schema xmlns:xsd="http://www.w3.org/2001/XMLSchema" xmlns:xs="http://www.w3.org/2001/XMLSchema" xmlns:p="http://schemas.microsoft.com/office/2006/metadata/properties" xmlns:ns2="09d866f4-5ab3-4e8c-8199-ee859035f61c" targetNamespace="http://schemas.microsoft.com/office/2006/metadata/properties" ma:root="true" ma:fieldsID="7bcf28c2d43dbe0a2bd8f6d5dedcc5f5" ns2:_="">
    <xsd:import namespace="09d866f4-5ab3-4e8c-8199-ee859035f61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d866f4-5ab3-4e8c-8199-ee859035f6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31AEC7-66D9-45E4-8AA1-6F2BFD161F7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04575F8-ED32-490A-8AED-9DF69CA05273}">
  <ds:schemaRefs>
    <ds:schemaRef ds:uri="http://schemas.microsoft.com/sharepoint/v3/contenttype/forms"/>
  </ds:schemaRefs>
</ds:datastoreItem>
</file>

<file path=customXml/itemProps3.xml><?xml version="1.0" encoding="utf-8"?>
<ds:datastoreItem xmlns:ds="http://schemas.openxmlformats.org/officeDocument/2006/customXml" ds:itemID="{33A881EE-2171-4F02-B092-8E57578D97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d866f4-5ab3-4e8c-8199-ee859035f6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24</vt:i4>
      </vt:variant>
    </vt:vector>
  </HeadingPairs>
  <TitlesOfParts>
    <vt:vector size="47" baseType="lpstr">
      <vt:lpstr>Master data</vt:lpstr>
      <vt:lpstr>Sheet1</vt:lpstr>
      <vt:lpstr>Audit entry</vt:lpstr>
      <vt:lpstr>TB 24-25</vt:lpstr>
      <vt:lpstr>BS</vt:lpstr>
      <vt:lpstr>PL</vt:lpstr>
      <vt:lpstr>CFS</vt:lpstr>
      <vt:lpstr>Note 1-2</vt:lpstr>
      <vt:lpstr>NOTE 3</vt:lpstr>
      <vt:lpstr>NOTE 4-8</vt:lpstr>
      <vt:lpstr>NOTE 6</vt:lpstr>
      <vt:lpstr>Note 9</vt:lpstr>
      <vt:lpstr>NOTE 12</vt:lpstr>
      <vt:lpstr>NOTE 10-14</vt:lpstr>
      <vt:lpstr>NOTE 15-20</vt:lpstr>
      <vt:lpstr>Add Notes</vt:lpstr>
      <vt:lpstr>Add Notes (2)</vt:lpstr>
      <vt:lpstr>Sub Sch - BS</vt:lpstr>
      <vt:lpstr>Sub Sch - p&amp;l</vt:lpstr>
      <vt:lpstr>Sub-Schedule</vt:lpstr>
      <vt:lpstr>IT Dep</vt:lpstr>
      <vt:lpstr>Deffered Tax</vt:lpstr>
      <vt:lpstr>Statement of Income</vt:lpstr>
      <vt:lpstr>Deno</vt:lpstr>
      <vt:lpstr>'Add Notes (2)'!Print_Area</vt:lpstr>
      <vt:lpstr>BS!Print_Area</vt:lpstr>
      <vt:lpstr>CFS!Print_Area</vt:lpstr>
      <vt:lpstr>'NOTE 10-14'!Print_Area</vt:lpstr>
      <vt:lpstr>'NOTE 12'!Print_Area</vt:lpstr>
      <vt:lpstr>'Note 1-2'!Print_Area</vt:lpstr>
      <vt:lpstr>'NOTE 15-20'!Print_Area</vt:lpstr>
      <vt:lpstr>'NOTE 3'!Print_Area</vt:lpstr>
      <vt:lpstr>'NOTE 4-8'!Print_Area</vt:lpstr>
      <vt:lpstr>'NOTE 6'!Print_Area</vt:lpstr>
      <vt:lpstr>'Note 9'!Print_Area</vt:lpstr>
      <vt:lpstr>PL!Print_Area</vt:lpstr>
      <vt:lpstr>'Statement of Income'!Print_Area</vt:lpstr>
      <vt:lpstr>'Sub Sch - BS'!Print_Area</vt:lpstr>
      <vt:lpstr>'Sub Sch - p&amp;l'!Print_Area</vt:lpstr>
      <vt:lpstr>'Sub-Schedule'!Print_Area</vt:lpstr>
      <vt:lpstr>'Add Notes'!Print_Titles</vt:lpstr>
      <vt:lpstr>'Add Notes (2)'!Print_Titles</vt:lpstr>
      <vt:lpstr>'NOTE 10-14'!Print_Titles</vt:lpstr>
      <vt:lpstr>'Note 1-2'!Print_Titles</vt:lpstr>
      <vt:lpstr>'NOTE 15-20'!Print_Titles</vt:lpstr>
      <vt:lpstr>'NOTE 4-8'!Print_Titles</vt:lpstr>
      <vt:lpstr>'Sub Sch - p&amp;l'!Print_Titles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VIHA</dc:creator>
  <cp:keywords/>
  <dc:description/>
  <cp:lastModifiedBy>Akshayam</cp:lastModifiedBy>
  <cp:revision/>
  <cp:lastPrinted>2025-10-31T14:56:23Z</cp:lastPrinted>
  <dcterms:created xsi:type="dcterms:W3CDTF">2012-08-10T13:13:48Z</dcterms:created>
  <dcterms:modified xsi:type="dcterms:W3CDTF">2025-11-25T08:51:00Z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0x01010016A825404C70FD49A60A9411BA46033C</vt:lpwstr>
  </property>
</Properties>
</file>