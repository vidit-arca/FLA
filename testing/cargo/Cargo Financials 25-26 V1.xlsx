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https://ksaca1.sharepoint.com/sites/ksatambaram/Shared Documents/My doc Company/Cargo International/25-26/"/>
    </mc:Choice>
  </mc:AlternateContent>
  <xr:revisionPtr revIDLastSave="810" documentId="13_ncr:1_{FE845D55-6C8B-4B9A-B924-B4E920F68A15}" xr6:coauthVersionLast="47" xr6:coauthVersionMax="47" xr10:uidLastSave="{FF4A7128-669D-4509-B23F-750B3386FB48}"/>
  <bookViews>
    <workbookView xWindow="-108" yWindow="-108" windowWidth="23256" windowHeight="12456" tabRatio="863" firstSheet="2" activeTab="4" xr2:uid="{00000000-000D-0000-FFFF-FFFF00000000}"/>
  </bookViews>
  <sheets>
    <sheet name="Master data" sheetId="60" r:id="rId1"/>
    <sheet name="Sheet1" sheetId="62" state="hidden" r:id="rId2"/>
    <sheet name="Audit entry" sheetId="48" r:id="rId3"/>
    <sheet name="TB 25-26" sheetId="44" r:id="rId4"/>
    <sheet name="BS" sheetId="8" r:id="rId5"/>
    <sheet name="PL" sheetId="9" r:id="rId6"/>
    <sheet name="Sub-Schedule" sheetId="54" state="hidden" r:id="rId7"/>
    <sheet name="CFS" sheetId="43" state="hidden" r:id="rId8"/>
    <sheet name="NOTE 3" sheetId="10" r:id="rId9"/>
    <sheet name="Note 1-2" sheetId="49" r:id="rId10"/>
    <sheet name="NOTE 4-8" sheetId="45" r:id="rId11"/>
    <sheet name="NOTE 6" sheetId="52" r:id="rId12"/>
    <sheet name="NOTE 12" sheetId="53" r:id="rId13"/>
    <sheet name="Note 9" sheetId="28" r:id="rId14"/>
    <sheet name="NOTE 10-14" sheetId="47" r:id="rId15"/>
    <sheet name="NOTE 15-20" sheetId="11" r:id="rId16"/>
    <sheet name="Add Notes" sheetId="56" state="hidden" r:id="rId17"/>
    <sheet name="Add Notes (2)" sheetId="57" state="hidden" r:id="rId18"/>
    <sheet name="Sub Sch - BS" sheetId="40" r:id="rId19"/>
    <sheet name="Sub Sch - p&amp;l" sheetId="13" r:id="rId20"/>
    <sheet name="IT Dep" sheetId="30" state="hidden" r:id="rId21"/>
    <sheet name="Deffered Tax" sheetId="34" state="hidden" r:id="rId22"/>
    <sheet name="Statement of Income" sheetId="59" state="hidden" r:id="rId23"/>
  </sheets>
  <definedNames>
    <definedName name="__123Graph_A" localSheetId="16" hidden="1">#REF!</definedName>
    <definedName name="__123Graph_A" localSheetId="17" hidden="1">#REF!</definedName>
    <definedName name="__123Graph_A" localSheetId="14" hidden="1">#REF!</definedName>
    <definedName name="__123Graph_A" localSheetId="10" hidden="1">#REF!</definedName>
    <definedName name="__123Graph_A" hidden="1">#REF!</definedName>
    <definedName name="__123Graph_B" localSheetId="16" hidden="1">#REF!</definedName>
    <definedName name="__123Graph_B" localSheetId="17" hidden="1">#REF!</definedName>
    <definedName name="__123Graph_B" localSheetId="14" hidden="1">#REF!</definedName>
    <definedName name="__123Graph_B" localSheetId="10" hidden="1">#REF!</definedName>
    <definedName name="__123Graph_B" hidden="1">#REF!</definedName>
    <definedName name="__123Graph_X" localSheetId="16" hidden="1">#REF!</definedName>
    <definedName name="__123Graph_X" localSheetId="17" hidden="1">#REF!</definedName>
    <definedName name="__123Graph_X" localSheetId="14" hidden="1">#REF!</definedName>
    <definedName name="__123Graph_X" localSheetId="10" hidden="1">#REF!</definedName>
    <definedName name="__123Graph_X" hidden="1">#REF!</definedName>
    <definedName name="_ch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h1" localSheetId="17"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h1" localSheetId="9"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h1" localSheetId="2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h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xlnm._FilterDatabase" localSheetId="14" hidden="1">'NOTE 10-14'!#REF!</definedName>
    <definedName name="_xlnm._FilterDatabase" localSheetId="15" hidden="1">'NOTE 15-20'!$A$44:$C$56</definedName>
    <definedName name="_xlnm._FilterDatabase" localSheetId="10" hidden="1">'NOTE 4-8'!#REF!</definedName>
    <definedName name="_xlnm._FilterDatabase" localSheetId="6" hidden="1">'Sub-Schedule'!$A$2:$G$35</definedName>
    <definedName name="_xlnm._FilterDatabase" localSheetId="3" hidden="1">'TB 25-26'!$A$5:$XEI$343</definedName>
    <definedName name="_grt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1" localSheetId="17"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1" localSheetId="9"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1" localSheetId="2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localSheetId="17"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localSheetId="9"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localSheetId="2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Order1" hidden="1">255</definedName>
    <definedName name="_wrn1" localSheetId="16" hidden="1">{"EE4 Budget months only in USD",#N/A,TRUE,"Profit and Loss";"EE4 Budget months only in USD",#N/A,TRUE,"Firm capex";"EE4 Budget months only in USD",#N/A,TRUE,"Cashflow";"EE4 Budget months only in USD",#N/A,TRUE,"Balance Sheet"}</definedName>
    <definedName name="_wrn1" localSheetId="17" hidden="1">{"EE4 Budget months only in USD",#N/A,TRUE,"Profit and Loss";"EE4 Budget months only in USD",#N/A,TRUE,"Firm capex";"EE4 Budget months only in USD",#N/A,TRUE,"Cashflow";"EE4 Budget months only in USD",#N/A,TRUE,"Balance Sheet"}</definedName>
    <definedName name="_wrn1" localSheetId="9" hidden="1">{"EE4 Budget months only in USD",#N/A,TRUE,"Profit and Loss";"EE4 Budget months only in USD",#N/A,TRUE,"Firm capex";"EE4 Budget months only in USD",#N/A,TRUE,"Cashflow";"EE4 Budget months only in USD",#N/A,TRUE,"Balance Sheet"}</definedName>
    <definedName name="_wrn1" localSheetId="22" hidden="1">{"EE4 Budget months only in USD",#N/A,TRUE,"Profit and Loss";"EE4 Budget months only in USD",#N/A,TRUE,"Firm capex";"EE4 Budget months only in USD",#N/A,TRUE,"Cashflow";"EE4 Budget months only in USD",#N/A,TRUE,"Balance Sheet"}</definedName>
    <definedName name="_wrn1" hidden="1">{"EE4 Budget months only in USD",#N/A,TRUE,"Profit and Loss";"EE4 Budget months only in USD",#N/A,TRUE,"Firm capex";"EE4 Budget months only in USD",#N/A,TRUE,"Cashflow";"EE4 Budget months only in USD",#N/A,TRUE,"Balance Sheet"}</definedName>
    <definedName name="aaa"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aaa" localSheetId="17"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aaa" localSheetId="9"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aaa" localSheetId="2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aaa"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abcdefghijk"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cdefghijk" localSheetId="17"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cdefghijk" localSheetId="9"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cdefghijk" localSheetId="22"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cdefghijk"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F" localSheetId="16" hidden="1">{"EE4 Budget months only in USD",#N/A,TRUE,"Profit and Loss";"EE4 Budget months only in USD",#N/A,TRUE,"Firm capex";"EE4 Budget months only in USD",#N/A,TRUE,"Cashflow";"EE4 Budget months only in USD",#N/A,TRUE,"Balance Sheet"}</definedName>
    <definedName name="AF" localSheetId="17" hidden="1">{"EE4 Budget months only in USD",#N/A,TRUE,"Profit and Loss";"EE4 Budget months only in USD",#N/A,TRUE,"Firm capex";"EE4 Budget months only in USD",#N/A,TRUE,"Cashflow";"EE4 Budget months only in USD",#N/A,TRUE,"Balance Sheet"}</definedName>
    <definedName name="AF" localSheetId="9" hidden="1">{"EE4 Budget months only in USD",#N/A,TRUE,"Profit and Loss";"EE4 Budget months only in USD",#N/A,TRUE,"Firm capex";"EE4 Budget months only in USD",#N/A,TRUE,"Cashflow";"EE4 Budget months only in USD",#N/A,TRUE,"Balance Sheet"}</definedName>
    <definedName name="AF" localSheetId="22" hidden="1">{"EE4 Budget months only in USD",#N/A,TRUE,"Profit and Loss";"EE4 Budget months only in USD",#N/A,TRUE,"Firm capex";"EE4 Budget months only in USD",#N/A,TRUE,"Cashflow";"EE4 Budget months only in USD",#N/A,TRUE,"Balance Sheet"}</definedName>
    <definedName name="AF" hidden="1">{"EE4 Budget months only in USD",#N/A,TRUE,"Profit and Loss";"EE4 Budget months only in USD",#N/A,TRUE,"Firm capex";"EE4 Budget months only in USD",#N/A,TRUE,"Cashflow";"EE4 Budget months only in USD",#N/A,TRUE,"Balance Sheet"}</definedName>
    <definedName name="AFWER" localSheetId="16" hidden="1">{"EE4 Budget years USD",#N/A,TRUE,"Profit and Loss";"EE4 Budget years USD",#N/A,TRUE,"Firm capex";"EE4 Budget years USD",#N/A,TRUE,"Cashflow";"EE4 Budget years USD",#N/A,TRUE,"Balance Sheet"}</definedName>
    <definedName name="AFWER" localSheetId="17" hidden="1">{"EE4 Budget years USD",#N/A,TRUE,"Profit and Loss";"EE4 Budget years USD",#N/A,TRUE,"Firm capex";"EE4 Budget years USD",#N/A,TRUE,"Cashflow";"EE4 Budget years USD",#N/A,TRUE,"Balance Sheet"}</definedName>
    <definedName name="AFWER" localSheetId="9" hidden="1">{"EE4 Budget years USD",#N/A,TRUE,"Profit and Loss";"EE4 Budget years USD",#N/A,TRUE,"Firm capex";"EE4 Budget years USD",#N/A,TRUE,"Cashflow";"EE4 Budget years USD",#N/A,TRUE,"Balance Sheet"}</definedName>
    <definedName name="AFWER" localSheetId="22" hidden="1">{"EE4 Budget years USD",#N/A,TRUE,"Profit and Loss";"EE4 Budget years USD",#N/A,TRUE,"Firm capex";"EE4 Budget years USD",#N/A,TRUE,"Cashflow";"EE4 Budget years USD",#N/A,TRUE,"Balance Sheet"}</definedName>
    <definedName name="AFWER" hidden="1">{"EE4 Budget years USD",#N/A,TRUE,"Profit and Loss";"EE4 Budget years USD",#N/A,TRUE,"Firm capex";"EE4 Budget years USD",#N/A,TRUE,"Cashflow";"EE4 Budget years USD",#N/A,TRUE,"Balance Sheet"}</definedName>
    <definedName name="anand" localSheetId="16"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anand" localSheetId="17"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anand" localSheetId="9"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anand" localSheetId="22"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anand"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AS2DocOpenMode" hidden="1">"AS2DocumentEdit"</definedName>
    <definedName name="asdgkyudf" localSheetId="16" hidden="1">{"EE4 Budget years USD",#N/A,TRUE,"Profit and Loss";"EE4 Budget years USD",#N/A,TRUE,"Firm capex";"EE4 Budget years USD",#N/A,TRUE,"Cashflow";"EE4 Budget years USD",#N/A,TRUE,"Balance Sheet"}</definedName>
    <definedName name="asdgkyudf" localSheetId="17" hidden="1">{"EE4 Budget years USD",#N/A,TRUE,"Profit and Loss";"EE4 Budget years USD",#N/A,TRUE,"Firm capex";"EE4 Budget years USD",#N/A,TRUE,"Cashflow";"EE4 Budget years USD",#N/A,TRUE,"Balance Sheet"}</definedName>
    <definedName name="asdgkyudf" localSheetId="9" hidden="1">{"EE4 Budget years USD",#N/A,TRUE,"Profit and Loss";"EE4 Budget years USD",#N/A,TRUE,"Firm capex";"EE4 Budget years USD",#N/A,TRUE,"Cashflow";"EE4 Budget years USD",#N/A,TRUE,"Balance Sheet"}</definedName>
    <definedName name="asdgkyudf" localSheetId="22" hidden="1">{"EE4 Budget years USD",#N/A,TRUE,"Profit and Loss";"EE4 Budget years USD",#N/A,TRUE,"Firm capex";"EE4 Budget years USD",#N/A,TRUE,"Cashflow";"EE4 Budget years USD",#N/A,TRUE,"Balance Sheet"}</definedName>
    <definedName name="asdgkyudf" hidden="1">{"EE4 Budget years USD",#N/A,TRUE,"Profit and Loss";"EE4 Budget years USD",#N/A,TRUE,"Firm capex";"EE4 Budget years USD",#N/A,TRUE,"Cashflow";"EE4 Budget years USD",#N/A,TRUE,"Balance Sheet"}</definedName>
    <definedName name="asf." localSheetId="16" hidden="1">{"'All AERs-2000-2001'!$A$5:$K$39"}</definedName>
    <definedName name="asf." localSheetId="17" hidden="1">{"'All AERs-2000-2001'!$A$5:$K$39"}</definedName>
    <definedName name="asf." localSheetId="9" hidden="1">{"'All AERs-2000-2001'!$A$5:$K$39"}</definedName>
    <definedName name="asf." localSheetId="22" hidden="1">{"'All AERs-2000-2001'!$A$5:$K$39"}</definedName>
    <definedName name="asf." hidden="1">{"'All AERs-2000-2001'!$A$5:$K$39"}</definedName>
    <definedName name="ASFKJDG" localSheetId="16"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JDG" localSheetId="17"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JDG" localSheetId="9"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JDG" localSheetId="22"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JDG"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lh" localSheetId="16" hidden="1">{"PLC Company Budget years",#N/A,TRUE,"Profit and Loss";"PLC Company Budget years",#N/A,TRUE,"Firm capex";"PLC Company Budget years",#N/A,TRUE,"Gross profit analysis";"PLC Company Budget years",#N/A,TRUE,"Cashflow";"PLC Company Budget years",#N/A,TRUE,"Balance Sheet"}</definedName>
    <definedName name="asfklh" localSheetId="17" hidden="1">{"PLC Company Budget years",#N/A,TRUE,"Profit and Loss";"PLC Company Budget years",#N/A,TRUE,"Firm capex";"PLC Company Budget years",#N/A,TRUE,"Gross profit analysis";"PLC Company Budget years",#N/A,TRUE,"Cashflow";"PLC Company Budget years",#N/A,TRUE,"Balance Sheet"}</definedName>
    <definedName name="asfklh" localSheetId="9" hidden="1">{"PLC Company Budget years",#N/A,TRUE,"Profit and Loss";"PLC Company Budget years",#N/A,TRUE,"Firm capex";"PLC Company Budget years",#N/A,TRUE,"Gross profit analysis";"PLC Company Budget years",#N/A,TRUE,"Cashflow";"PLC Company Budget years",#N/A,TRUE,"Balance Sheet"}</definedName>
    <definedName name="asfklh" localSheetId="22" hidden="1">{"PLC Company Budget years",#N/A,TRUE,"Profit and Loss";"PLC Company Budget years",#N/A,TRUE,"Firm capex";"PLC Company Budget years",#N/A,TRUE,"Gross profit analysis";"PLC Company Budget years",#N/A,TRUE,"Cashflow";"PLC Company Budget years",#N/A,TRUE,"Balance Sheet"}</definedName>
    <definedName name="asfklh" hidden="1">{"PLC Company Budget years",#N/A,TRUE,"Profit and Loss";"PLC Company Budget years",#N/A,TRUE,"Firm capex";"PLC Company Budget years",#N/A,TRUE,"Gross profit analysis";"PLC Company Budget years",#N/A,TRUE,"Cashflow";"PLC Company Budget years",#N/A,TRUE,"Balance Sheet"}</definedName>
    <definedName name="bbb" localSheetId="16" hidden="1">{"HSSH Budget years sterling",#N/A,TRUE,"Profit and Loss";"HSSH Budget years sterling",#N/A,TRUE,"Firm capex";"HSSH Budget years sterling",#N/A,TRUE,"Gross profit analysis";"HSSH Budget years sterling",#N/A,TRUE,"Cashflow";"HSSH Budget years sterling",#N/A,TRUE,"Balance Sheet"}</definedName>
    <definedName name="bbb" localSheetId="17" hidden="1">{"HSSH Budget years sterling",#N/A,TRUE,"Profit and Loss";"HSSH Budget years sterling",#N/A,TRUE,"Firm capex";"HSSH Budget years sterling",#N/A,TRUE,"Gross profit analysis";"HSSH Budget years sterling",#N/A,TRUE,"Cashflow";"HSSH Budget years sterling",#N/A,TRUE,"Balance Sheet"}</definedName>
    <definedName name="bbb" localSheetId="9" hidden="1">{"HSSH Budget years sterling",#N/A,TRUE,"Profit and Loss";"HSSH Budget years sterling",#N/A,TRUE,"Firm capex";"HSSH Budget years sterling",#N/A,TRUE,"Gross profit analysis";"HSSH Budget years sterling",#N/A,TRUE,"Cashflow";"HSSH Budget years sterling",#N/A,TRUE,"Balance Sheet"}</definedName>
    <definedName name="bbb" localSheetId="22" hidden="1">{"HSSH Budget years sterling",#N/A,TRUE,"Profit and Loss";"HSSH Budget years sterling",#N/A,TRUE,"Firm capex";"HSSH Budget years sterling",#N/A,TRUE,"Gross profit analysis";"HSSH Budget years sterling",#N/A,TRUE,"Cashflow";"HSSH Budget years sterling",#N/A,TRUE,"Balance Sheet"}</definedName>
    <definedName name="bbb" hidden="1">{"HSSH Budget years sterling",#N/A,TRUE,"Profit and Loss";"HSSH Budget years sterling",#N/A,TRUE,"Firm capex";"HSSH Budget years sterling",#N/A,TRUE,"Gross profit analysis";"HSSH Budget years sterling",#N/A,TRUE,"Cashflow";"HSSH Budget years sterling",#N/A,TRUE,"Balance Sheet"}</definedName>
    <definedName name="budget" localSheetId="16" hidden="1">{"Group Budget months only",#N/A,TRUE,"Profit and Loss";"Group Budget months only",#N/A,TRUE,"Firm capex";"Group Budget months only",#N/A,TRUE,"Gross profit analysis";"Group Budget months only",#N/A,TRUE,"Cashflow";"Group Budget months only",#N/A,TRUE,"Balance Sheet"}</definedName>
    <definedName name="budget" localSheetId="17" hidden="1">{"Group Budget months only",#N/A,TRUE,"Profit and Loss";"Group Budget months only",#N/A,TRUE,"Firm capex";"Group Budget months only",#N/A,TRUE,"Gross profit analysis";"Group Budget months only",#N/A,TRUE,"Cashflow";"Group Budget months only",#N/A,TRUE,"Balance Sheet"}</definedName>
    <definedName name="budget" localSheetId="9" hidden="1">{"Group Budget months only",#N/A,TRUE,"Profit and Loss";"Group Budget months only",#N/A,TRUE,"Firm capex";"Group Budget months only",#N/A,TRUE,"Gross profit analysis";"Group Budget months only",#N/A,TRUE,"Cashflow";"Group Budget months only",#N/A,TRUE,"Balance Sheet"}</definedName>
    <definedName name="budget" localSheetId="22" hidden="1">{"Group Budget months only",#N/A,TRUE,"Profit and Loss";"Group Budget months only",#N/A,TRUE,"Firm capex";"Group Budget months only",#N/A,TRUE,"Gross profit analysis";"Group Budget months only",#N/A,TRUE,"Cashflow";"Group Budget months only",#N/A,TRUE,"Balance Sheet"}</definedName>
    <definedName name="budget" hidden="1">{"Group Budget months only",#N/A,TRUE,"Profit and Loss";"Group Budget months only",#N/A,TRUE,"Firm capex";"Group Budget months only",#N/A,TRUE,"Gross profit analysis";"Group Budget months only",#N/A,TRUE,"Cashflow";"Group Budget months only",#N/A,TRUE,"Balance Sheet"}</definedName>
    <definedName name="ccc" localSheetId="16" hidden="1">{"CEA Group budget months USD",#N/A,TRUE,"Profit and Loss";"CEA Group budget months USD",#N/A,TRUE,"Firm capex";"CEA Group budget months USD",#N/A,TRUE,"Gross profit analysis";"CEA Group budget months USD",#N/A,TRUE,"Cashflow";"CEA Group budget months USD",#N/A,TRUE,"Balance Sheet"}</definedName>
    <definedName name="ccc" localSheetId="17" hidden="1">{"CEA Group budget months USD",#N/A,TRUE,"Profit and Loss";"CEA Group budget months USD",#N/A,TRUE,"Firm capex";"CEA Group budget months USD",#N/A,TRUE,"Gross profit analysis";"CEA Group budget months USD",#N/A,TRUE,"Cashflow";"CEA Group budget months USD",#N/A,TRUE,"Balance Sheet"}</definedName>
    <definedName name="ccc" localSheetId="9" hidden="1">{"CEA Group budget months USD",#N/A,TRUE,"Profit and Loss";"CEA Group budget months USD",#N/A,TRUE,"Firm capex";"CEA Group budget months USD",#N/A,TRUE,"Gross profit analysis";"CEA Group budget months USD",#N/A,TRUE,"Cashflow";"CEA Group budget months USD",#N/A,TRUE,"Balance Sheet"}</definedName>
    <definedName name="ccc" localSheetId="22" hidden="1">{"CEA Group budget months USD",#N/A,TRUE,"Profit and Loss";"CEA Group budget months USD",#N/A,TRUE,"Firm capex";"CEA Group budget months USD",#N/A,TRUE,"Gross profit analysis";"CEA Group budget months USD",#N/A,TRUE,"Cashflow";"CEA Group budget months USD",#N/A,TRUE,"Balance Sheet"}</definedName>
    <definedName name="ccc" hidden="1">{"CEA Group budget months USD",#N/A,TRUE,"Profit and Loss";"CEA Group budget months USD",#N/A,TRUE,"Firm capex";"CEA Group budget months USD",#N/A,TRUE,"Gross profit analysis";"CEA Group budget months USD",#N/A,TRUE,"Cashflow";"CEA Group budget months USD",#N/A,TRUE,"Balance Sheet"}</definedName>
    <definedName name="cem" localSheetId="16" hidden="1">{"PLC Company Budget years",#N/A,TRUE,"Profit and Loss";"PLC Company Budget years",#N/A,TRUE,"Firm capex";"PLC Company Budget years",#N/A,TRUE,"Gross profit analysis";"PLC Company Budget years",#N/A,TRUE,"Cashflow";"PLC Company Budget years",#N/A,TRUE,"Balance Sheet"}</definedName>
    <definedName name="cem" localSheetId="17" hidden="1">{"PLC Company Budget years",#N/A,TRUE,"Profit and Loss";"PLC Company Budget years",#N/A,TRUE,"Firm capex";"PLC Company Budget years",#N/A,TRUE,"Gross profit analysis";"PLC Company Budget years",#N/A,TRUE,"Cashflow";"PLC Company Budget years",#N/A,TRUE,"Balance Sheet"}</definedName>
    <definedName name="cem" localSheetId="9" hidden="1">{"PLC Company Budget years",#N/A,TRUE,"Profit and Loss";"PLC Company Budget years",#N/A,TRUE,"Firm capex";"PLC Company Budget years",#N/A,TRUE,"Gross profit analysis";"PLC Company Budget years",#N/A,TRUE,"Cashflow";"PLC Company Budget years",#N/A,TRUE,"Balance Sheet"}</definedName>
    <definedName name="cem" localSheetId="22" hidden="1">{"PLC Company Budget years",#N/A,TRUE,"Profit and Loss";"PLC Company Budget years",#N/A,TRUE,"Firm capex";"PLC Company Budget years",#N/A,TRUE,"Gross profit analysis";"PLC Company Budget years",#N/A,TRUE,"Cashflow";"PLC Company Budget years",#N/A,TRUE,"Balance Sheet"}</definedName>
    <definedName name="cem" hidden="1">{"PLC Company Budget years",#N/A,TRUE,"Profit and Loss";"PLC Company Budget years",#N/A,TRUE,"Firm capex";"PLC Company Budget years",#N/A,TRUE,"Gross profit analysis";"PLC Company Budget years",#N/A,TRUE,"Cashflow";"PLC Company Budget years",#N/A,TRUE,"Balance Sheet"}</definedName>
    <definedName name="cement" localSheetId="16" hidden="1">{"PLC Company Budget years",#N/A,TRUE,"Profit and Loss";"PLC Company Budget years",#N/A,TRUE,"Firm capex";"PLC Company Budget years",#N/A,TRUE,"Gross profit analysis";"PLC Company Budget years",#N/A,TRUE,"Cashflow";"PLC Company Budget years",#N/A,TRUE,"Balance Sheet"}</definedName>
    <definedName name="cement" localSheetId="17" hidden="1">{"PLC Company Budget years",#N/A,TRUE,"Profit and Loss";"PLC Company Budget years",#N/A,TRUE,"Firm capex";"PLC Company Budget years",#N/A,TRUE,"Gross profit analysis";"PLC Company Budget years",#N/A,TRUE,"Cashflow";"PLC Company Budget years",#N/A,TRUE,"Balance Sheet"}</definedName>
    <definedName name="cement" localSheetId="9" hidden="1">{"PLC Company Budget years",#N/A,TRUE,"Profit and Loss";"PLC Company Budget years",#N/A,TRUE,"Firm capex";"PLC Company Budget years",#N/A,TRUE,"Gross profit analysis";"PLC Company Budget years",#N/A,TRUE,"Cashflow";"PLC Company Budget years",#N/A,TRUE,"Balance Sheet"}</definedName>
    <definedName name="cement" localSheetId="22" hidden="1">{"PLC Company Budget years",#N/A,TRUE,"Profit and Loss";"PLC Company Budget years",#N/A,TRUE,"Firm capex";"PLC Company Budget years",#N/A,TRUE,"Gross profit analysis";"PLC Company Budget years",#N/A,TRUE,"Cashflow";"PLC Company Budget years",#N/A,TRUE,"Balance Sheet"}</definedName>
    <definedName name="cement" hidden="1">{"PLC Company Budget years",#N/A,TRUE,"Profit and Loss";"PLC Company Budget years",#N/A,TRUE,"Firm capex";"PLC Company Budget years",#N/A,TRUE,"Gross profit analysis";"PLC Company Budget years",#N/A,TRUE,"Cashflow";"PLC Company Budget years",#N/A,TRUE,"Balance Sheet"}</definedName>
    <definedName name="ch"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 localSheetId="17"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 localSheetId="9"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 localSheetId="2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MH" localSheetId="16"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 localSheetId="17"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 localSheetId="9"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 localSheetId="22"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t." localSheetId="16" hidden="1">{"PLC Company Budget years",#N/A,TRUE,"Profit and Loss";"PLC Company Budget years",#N/A,TRUE,"Firm capex";"PLC Company Budget years",#N/A,TRUE,"Gross profit analysis";"PLC Company Budget years",#N/A,TRUE,"Cashflow";"PLC Company Budget years",#N/A,TRUE,"Balance Sheet"}</definedName>
    <definedName name="cmt." localSheetId="17" hidden="1">{"PLC Company Budget years",#N/A,TRUE,"Profit and Loss";"PLC Company Budget years",#N/A,TRUE,"Firm capex";"PLC Company Budget years",#N/A,TRUE,"Gross profit analysis";"PLC Company Budget years",#N/A,TRUE,"Cashflow";"PLC Company Budget years",#N/A,TRUE,"Balance Sheet"}</definedName>
    <definedName name="cmt." localSheetId="9" hidden="1">{"PLC Company Budget years",#N/A,TRUE,"Profit and Loss";"PLC Company Budget years",#N/A,TRUE,"Firm capex";"PLC Company Budget years",#N/A,TRUE,"Gross profit analysis";"PLC Company Budget years",#N/A,TRUE,"Cashflow";"PLC Company Budget years",#N/A,TRUE,"Balance Sheet"}</definedName>
    <definedName name="cmt." localSheetId="22" hidden="1">{"PLC Company Budget years",#N/A,TRUE,"Profit and Loss";"PLC Company Budget years",#N/A,TRUE,"Firm capex";"PLC Company Budget years",#N/A,TRUE,"Gross profit analysis";"PLC Company Budget years",#N/A,TRUE,"Cashflow";"PLC Company Budget years",#N/A,TRUE,"Balance Sheet"}</definedName>
    <definedName name="cmt." hidden="1">{"PLC Company Budget years",#N/A,TRUE,"Profit and Loss";"PLC Company Budget years",#N/A,TRUE,"Firm capex";"PLC Company Budget years",#N/A,TRUE,"Gross profit analysis";"PLC Company Budget years",#N/A,TRUE,"Cashflow";"PLC Company Budget years",#N/A,TRUE,"Balance Sheet"}</definedName>
    <definedName name="Consumables1" localSheetId="16" hidden="1">{"HSSH Budget years sterling",#N/A,TRUE,"Profit and Loss";"HSSH Budget years sterling",#N/A,TRUE,"Firm capex";"HSSH Budget years sterling",#N/A,TRUE,"Gross profit analysis";"HSSH Budget years sterling",#N/A,TRUE,"Cashflow";"HSSH Budget years sterling",#N/A,TRUE,"Balance Sheet"}</definedName>
    <definedName name="Consumables1" localSheetId="17" hidden="1">{"HSSH Budget years sterling",#N/A,TRUE,"Profit and Loss";"HSSH Budget years sterling",#N/A,TRUE,"Firm capex";"HSSH Budget years sterling",#N/A,TRUE,"Gross profit analysis";"HSSH Budget years sterling",#N/A,TRUE,"Cashflow";"HSSH Budget years sterling",#N/A,TRUE,"Balance Sheet"}</definedName>
    <definedName name="Consumables1" localSheetId="9" hidden="1">{"HSSH Budget years sterling",#N/A,TRUE,"Profit and Loss";"HSSH Budget years sterling",#N/A,TRUE,"Firm capex";"HSSH Budget years sterling",#N/A,TRUE,"Gross profit analysis";"HSSH Budget years sterling",#N/A,TRUE,"Cashflow";"HSSH Budget years sterling",#N/A,TRUE,"Balance Sheet"}</definedName>
    <definedName name="Consumables1" localSheetId="22" hidden="1">{"HSSH Budget years sterling",#N/A,TRUE,"Profit and Loss";"HSSH Budget years sterling",#N/A,TRUE,"Firm capex";"HSSH Budget years sterling",#N/A,TRUE,"Gross profit analysis";"HSSH Budget years sterling",#N/A,TRUE,"Cashflow";"HSSH Budget years sterling",#N/A,TRUE,"Balance Sheet"}</definedName>
    <definedName name="Consumables1" hidden="1">{"HSSH Budget years sterling",#N/A,TRUE,"Profit and Loss";"HSSH Budget years sterling",#N/A,TRUE,"Firm capex";"HSSH Budget years sterling",#N/A,TRUE,"Gross profit analysis";"HSSH Budget years sterling",#N/A,TRUE,"Cashflow";"HSSH Budget years sterling",#N/A,TRUE,"Balance Sheet"}</definedName>
    <definedName name="D"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 localSheetId="17"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 localSheetId="9"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 localSheetId="22"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 localSheetId="17"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 localSheetId="9"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 localSheetId="22"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ef" localSheetId="16" hidden="1">{"HSSH Budget years sterling",#N/A,TRUE,"Profit and Loss";"HSSH Budget years sterling",#N/A,TRUE,"Firm capex";"HSSH Budget years sterling",#N/A,TRUE,"Gross profit analysis";"HSSH Budget years sterling",#N/A,TRUE,"Cashflow";"HSSH Budget years sterling",#N/A,TRUE,"Balance Sheet"}</definedName>
    <definedName name="Def" localSheetId="17" hidden="1">{"HSSH Budget years sterling",#N/A,TRUE,"Profit and Loss";"HSSH Budget years sterling",#N/A,TRUE,"Firm capex";"HSSH Budget years sterling",#N/A,TRUE,"Gross profit analysis";"HSSH Budget years sterling",#N/A,TRUE,"Cashflow";"HSSH Budget years sterling",#N/A,TRUE,"Balance Sheet"}</definedName>
    <definedName name="Def" localSheetId="9" hidden="1">{"HSSH Budget years sterling",#N/A,TRUE,"Profit and Loss";"HSSH Budget years sterling",#N/A,TRUE,"Firm capex";"HSSH Budget years sterling",#N/A,TRUE,"Gross profit analysis";"HSSH Budget years sterling",#N/A,TRUE,"Cashflow";"HSSH Budget years sterling",#N/A,TRUE,"Balance Sheet"}</definedName>
    <definedName name="Def" localSheetId="22" hidden="1">{"HSSH Budget years sterling",#N/A,TRUE,"Profit and Loss";"HSSH Budget years sterling",#N/A,TRUE,"Firm capex";"HSSH Budget years sterling",#N/A,TRUE,"Gross profit analysis";"HSSH Budget years sterling",#N/A,TRUE,"Cashflow";"HSSH Budget years sterling",#N/A,TRUE,"Balance Sheet"}</definedName>
    <definedName name="Def" hidden="1">{"HSSH Budget years sterling",#N/A,TRUE,"Profit and Loss";"HSSH Budget years sterling",#N/A,TRUE,"Firm capex";"HSSH Budget years sterling",#N/A,TRUE,"Gross profit analysis";"HSSH Budget years sterling",#N/A,TRUE,"Cashflow";"HSSH Budget years sterling",#N/A,TRUE,"Balance Sheet"}</definedName>
    <definedName name="Deno">'Master data'!$B$2</definedName>
    <definedName name="DFH" localSheetId="16" hidden="1">{"EE4 Budget years USD",#N/A,TRUE,"Profit and Loss";"EE4 Budget years USD",#N/A,TRUE,"Firm capex";"EE4 Budget years USD",#N/A,TRUE,"Cashflow";"EE4 Budget years USD",#N/A,TRUE,"Balance Sheet"}</definedName>
    <definedName name="DFH" localSheetId="17" hidden="1">{"EE4 Budget years USD",#N/A,TRUE,"Profit and Loss";"EE4 Budget years USD",#N/A,TRUE,"Firm capex";"EE4 Budget years USD",#N/A,TRUE,"Cashflow";"EE4 Budget years USD",#N/A,TRUE,"Balance Sheet"}</definedName>
    <definedName name="DFH" localSheetId="9" hidden="1">{"EE4 Budget years USD",#N/A,TRUE,"Profit and Loss";"EE4 Budget years USD",#N/A,TRUE,"Firm capex";"EE4 Budget years USD",#N/A,TRUE,"Cashflow";"EE4 Budget years USD",#N/A,TRUE,"Balance Sheet"}</definedName>
    <definedName name="DFH" localSheetId="22" hidden="1">{"EE4 Budget years USD",#N/A,TRUE,"Profit and Loss";"EE4 Budget years USD",#N/A,TRUE,"Firm capex";"EE4 Budget years USD",#N/A,TRUE,"Cashflow";"EE4 Budget years USD",#N/A,TRUE,"Balance Sheet"}</definedName>
    <definedName name="DFH" hidden="1">{"EE4 Budget years USD",#N/A,TRUE,"Profit and Loss";"EE4 Budget years USD",#N/A,TRUE,"Firm capex";"EE4 Budget years USD",#N/A,TRUE,"Cashflow";"EE4 Budget years USD",#N/A,TRUE,"Balance Sheet"}</definedName>
    <definedName name="DG" localSheetId="16" hidden="1">{"EE4 Budget months only in USD",#N/A,TRUE,"Profit and Loss";"EE4 Budget months only in USD",#N/A,TRUE,"Firm capex";"EE4 Budget months only in USD",#N/A,TRUE,"Cashflow";"EE4 Budget months only in USD",#N/A,TRUE,"Balance Sheet"}</definedName>
    <definedName name="DG" localSheetId="17" hidden="1">{"EE4 Budget months only in USD",#N/A,TRUE,"Profit and Loss";"EE4 Budget months only in USD",#N/A,TRUE,"Firm capex";"EE4 Budget months only in USD",#N/A,TRUE,"Cashflow";"EE4 Budget months only in USD",#N/A,TRUE,"Balance Sheet"}</definedName>
    <definedName name="DG" localSheetId="9" hidden="1">{"EE4 Budget months only in USD",#N/A,TRUE,"Profit and Loss";"EE4 Budget months only in USD",#N/A,TRUE,"Firm capex";"EE4 Budget months only in USD",#N/A,TRUE,"Cashflow";"EE4 Budget months only in USD",#N/A,TRUE,"Balance Sheet"}</definedName>
    <definedName name="DG" localSheetId="22" hidden="1">{"EE4 Budget months only in USD",#N/A,TRUE,"Profit and Loss";"EE4 Budget months only in USD",#N/A,TRUE,"Firm capex";"EE4 Budget months only in USD",#N/A,TRUE,"Cashflow";"EE4 Budget months only in USD",#N/A,TRUE,"Balance Sheet"}</definedName>
    <definedName name="DG" hidden="1">{"EE4 Budget months only in USD",#N/A,TRUE,"Profit and Loss";"EE4 Budget months only in USD",#N/A,TRUE,"Firm capex";"EE4 Budget months only in USD",#N/A,TRUE,"Cashflow";"EE4 Budget months only in USD",#N/A,TRUE,"Balance Sheet"}</definedName>
    <definedName name="dgfkh" localSheetId="16"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fkh" localSheetId="17"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fkh" localSheetId="9"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fkh" localSheetId="22"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fkh"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 localSheetId="17"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 localSheetId="9"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 localSheetId="2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ee" localSheetId="16" hidden="1">{"HSSH Budget years sterling",#N/A,TRUE,"Profit and Loss";"HSSH Budget years sterling",#N/A,TRUE,"Firm capex";"HSSH Budget years sterling",#N/A,TRUE,"Gross profit analysis";"HSSH Budget years sterling",#N/A,TRUE,"Cashflow";"HSSH Budget years sterling",#N/A,TRUE,"Balance Sheet"}</definedName>
    <definedName name="eee" localSheetId="17" hidden="1">{"HSSH Budget years sterling",#N/A,TRUE,"Profit and Loss";"HSSH Budget years sterling",#N/A,TRUE,"Firm capex";"HSSH Budget years sterling",#N/A,TRUE,"Gross profit analysis";"HSSH Budget years sterling",#N/A,TRUE,"Cashflow";"HSSH Budget years sterling",#N/A,TRUE,"Balance Sheet"}</definedName>
    <definedName name="eee" localSheetId="9" hidden="1">{"HSSH Budget years sterling",#N/A,TRUE,"Profit and Loss";"HSSH Budget years sterling",#N/A,TRUE,"Firm capex";"HSSH Budget years sterling",#N/A,TRUE,"Gross profit analysis";"HSSH Budget years sterling",#N/A,TRUE,"Cashflow";"HSSH Budget years sterling",#N/A,TRUE,"Balance Sheet"}</definedName>
    <definedName name="eee" localSheetId="22" hidden="1">{"HSSH Budget years sterling",#N/A,TRUE,"Profit and Loss";"HSSH Budget years sterling",#N/A,TRUE,"Firm capex";"HSSH Budget years sterling",#N/A,TRUE,"Gross profit analysis";"HSSH Budget years sterling",#N/A,TRUE,"Cashflow";"HSSH Budget years sterling",#N/A,TRUE,"Balance Sheet"}</definedName>
    <definedName name="eee" hidden="1">{"HSSH Budget years sterling",#N/A,TRUE,"Profit and Loss";"HSSH Budget years sterling",#N/A,TRUE,"Firm capex";"HSSH Budget years sterling",#N/A,TRUE,"Gross profit analysis";"HSSH Budget years sterling",#N/A,TRUE,"Cashflow";"HSSH Budget years sterling",#N/A,TRUE,"Balance Sheet"}</definedName>
    <definedName name="efedd" localSheetId="16"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edd" localSheetId="17"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edd" localSheetId="9"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edd" localSheetId="22"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edd"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n"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n" localSheetId="17"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n" localSheetId="9"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n" localSheetId="2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n"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rt" localSheetId="16" hidden="1">{"CEA Group Budget years USD",#N/A,TRUE,"Profit and Loss";"CEA Group Budget years USD",#N/A,TRUE,"Firm capex";"CEA Group Budget years USD",#N/A,TRUE,"Gross profit analysis";"CEA Group Budget years USD",#N/A,TRUE,"Cashflow";"CEA Group Budget years USD",#N/A,TRUE,"Balance Sheet"}</definedName>
    <definedName name="ert" localSheetId="17" hidden="1">{"CEA Group Budget years USD",#N/A,TRUE,"Profit and Loss";"CEA Group Budget years USD",#N/A,TRUE,"Firm capex";"CEA Group Budget years USD",#N/A,TRUE,"Gross profit analysis";"CEA Group Budget years USD",#N/A,TRUE,"Cashflow";"CEA Group Budget years USD",#N/A,TRUE,"Balance Sheet"}</definedName>
    <definedName name="ert" localSheetId="9" hidden="1">{"CEA Group Budget years USD",#N/A,TRUE,"Profit and Loss";"CEA Group Budget years USD",#N/A,TRUE,"Firm capex";"CEA Group Budget years USD",#N/A,TRUE,"Gross profit analysis";"CEA Group Budget years USD",#N/A,TRUE,"Cashflow";"CEA Group Budget years USD",#N/A,TRUE,"Balance Sheet"}</definedName>
    <definedName name="ert" localSheetId="22" hidden="1">{"CEA Group Budget years USD",#N/A,TRUE,"Profit and Loss";"CEA Group Budget years USD",#N/A,TRUE,"Firm capex";"CEA Group Budget years USD",#N/A,TRUE,"Gross profit analysis";"CEA Group Budget years USD",#N/A,TRUE,"Cashflow";"CEA Group Budget years USD",#N/A,TRUE,"Balance Sheet"}</definedName>
    <definedName name="ert" hidden="1">{"CEA Group Budget years USD",#N/A,TRUE,"Profit and Loss";"CEA Group Budget years USD",#N/A,TRUE,"Firm capex";"CEA Group Budget years USD",#N/A,TRUE,"Gross profit analysis";"CEA Group Budget years USD",#N/A,TRUE,"Cashflow";"CEA Group Budget years USD",#N/A,TRUE,"Balance Sheet"}</definedName>
    <definedName name="ewd" localSheetId="16" hidden="1">{"CEI Budget years sterling",#N/A,TRUE,"Profit and Loss";"CEI Budget years sterling",#N/A,TRUE,"Firm capex";"CEI Budget years sterling",#N/A,TRUE,"Gross profit analysis";"CEI Budget years sterling",#N/A,TRUE,"Cashflow";"CEI Budget years sterling",#N/A,TRUE,"Balance Sheet"}</definedName>
    <definedName name="ewd" localSheetId="17" hidden="1">{"CEI Budget years sterling",#N/A,TRUE,"Profit and Loss";"CEI Budget years sterling",#N/A,TRUE,"Firm capex";"CEI Budget years sterling",#N/A,TRUE,"Gross profit analysis";"CEI Budget years sterling",#N/A,TRUE,"Cashflow";"CEI Budget years sterling",#N/A,TRUE,"Balance Sheet"}</definedName>
    <definedName name="ewd" localSheetId="9" hidden="1">{"CEI Budget years sterling",#N/A,TRUE,"Profit and Loss";"CEI Budget years sterling",#N/A,TRUE,"Firm capex";"CEI Budget years sterling",#N/A,TRUE,"Gross profit analysis";"CEI Budget years sterling",#N/A,TRUE,"Cashflow";"CEI Budget years sterling",#N/A,TRUE,"Balance Sheet"}</definedName>
    <definedName name="ewd" localSheetId="22" hidden="1">{"CEI Budget years sterling",#N/A,TRUE,"Profit and Loss";"CEI Budget years sterling",#N/A,TRUE,"Firm capex";"CEI Budget years sterling",#N/A,TRUE,"Gross profit analysis";"CEI Budget years sterling",#N/A,TRUE,"Cashflow";"CEI Budget years sterling",#N/A,TRUE,"Balance Sheet"}</definedName>
    <definedName name="ewd" hidden="1">{"CEI Budget years sterling",#N/A,TRUE,"Profit and Loss";"CEI Budget years sterling",#N/A,TRUE,"Firm capex";"CEI Budget years sterling",#N/A,TRUE,"Gross profit analysis";"CEI Budget years sterling",#N/A,TRUE,"Cashflow";"CEI Budget years sterling",#N/A,TRUE,"Balance Sheet"}</definedName>
    <definedName name="F" localSheetId="16" hidden="1">{"CEGH sub group months USD",#N/A,TRUE,"Profit and Loss";"CEGH sub group months USD",#N/A,TRUE,"Firm capex";"CEGH sub group months USD",#N/A,TRUE,"Cashflow";"CEGH sub group months USD",#N/A,TRUE,"Balance Sheet"}</definedName>
    <definedName name="F" localSheetId="17" hidden="1">{"CEGH sub group months USD",#N/A,TRUE,"Profit and Loss";"CEGH sub group months USD",#N/A,TRUE,"Firm capex";"CEGH sub group months USD",#N/A,TRUE,"Cashflow";"CEGH sub group months USD",#N/A,TRUE,"Balance Sheet"}</definedName>
    <definedName name="F" localSheetId="9" hidden="1">{"CEGH sub group months USD",#N/A,TRUE,"Profit and Loss";"CEGH sub group months USD",#N/A,TRUE,"Firm capex";"CEGH sub group months USD",#N/A,TRUE,"Cashflow";"CEGH sub group months USD",#N/A,TRUE,"Balance Sheet"}</definedName>
    <definedName name="F" localSheetId="22" hidden="1">{"CEGH sub group months USD",#N/A,TRUE,"Profit and Loss";"CEGH sub group months USD",#N/A,TRUE,"Firm capex";"CEGH sub group months USD",#N/A,TRUE,"Cashflow";"CEGH sub group months USD",#N/A,TRUE,"Balance Sheet"}</definedName>
    <definedName name="F" hidden="1">{"CEGH sub group months USD",#N/A,TRUE,"Profit and Loss";"CEGH sub group months USD",#N/A,TRUE,"Firm capex";"CEGH sub group months USD",#N/A,TRUE,"Cashflow";"CEGH sub group months USD",#N/A,TRUE,"Balance Sheet"}</definedName>
    <definedName name="fff" localSheetId="16" hidden="1">{"EE4 Budget years USD",#N/A,TRUE,"Profit and Loss";"EE4 Budget years USD",#N/A,TRUE,"Firm capex";"EE4 Budget years USD",#N/A,TRUE,"Cashflow";"EE4 Budget years USD",#N/A,TRUE,"Balance Sheet"}</definedName>
    <definedName name="fff" localSheetId="17" hidden="1">{"EE4 Budget years USD",#N/A,TRUE,"Profit and Loss";"EE4 Budget years USD",#N/A,TRUE,"Firm capex";"EE4 Budget years USD",#N/A,TRUE,"Cashflow";"EE4 Budget years USD",#N/A,TRUE,"Balance Sheet"}</definedName>
    <definedName name="fff" localSheetId="9" hidden="1">{"EE4 Budget years USD",#N/A,TRUE,"Profit and Loss";"EE4 Budget years USD",#N/A,TRUE,"Firm capex";"EE4 Budget years USD",#N/A,TRUE,"Cashflow";"EE4 Budget years USD",#N/A,TRUE,"Balance Sheet"}</definedName>
    <definedName name="fff" localSheetId="22" hidden="1">{"EE4 Budget years USD",#N/A,TRUE,"Profit and Loss";"EE4 Budget years USD",#N/A,TRUE,"Firm capex";"EE4 Budget years USD",#N/A,TRUE,"Cashflow";"EE4 Budget years USD",#N/A,TRUE,"Balance Sheet"}</definedName>
    <definedName name="fff" hidden="1">{"EE4 Budget years USD",#N/A,TRUE,"Profit and Loss";"EE4 Budget years USD",#N/A,TRUE,"Firm capex";"EE4 Budget years USD",#N/A,TRUE,"Cashflow";"EE4 Budget years USD",#N/A,TRUE,"Balance Sheet"}</definedName>
    <definedName name="FH" localSheetId="16" hidden="1">{"Group Budget years only",#N/A,TRUE,"Profit and Loss";"Group Budget years only",#N/A,TRUE,"Firm capex";"Group Budget years only",#N/A,TRUE,"Gross profit analysis";"Group Budget years only",#N/A,TRUE,"Cashflow";"Group Budget years only",#N/A,TRUE,"Balance Sheet"}</definedName>
    <definedName name="FH" localSheetId="17" hidden="1">{"Group Budget years only",#N/A,TRUE,"Profit and Loss";"Group Budget years only",#N/A,TRUE,"Firm capex";"Group Budget years only",#N/A,TRUE,"Gross profit analysis";"Group Budget years only",#N/A,TRUE,"Cashflow";"Group Budget years only",#N/A,TRUE,"Balance Sheet"}</definedName>
    <definedName name="FH" localSheetId="9" hidden="1">{"Group Budget years only",#N/A,TRUE,"Profit and Loss";"Group Budget years only",#N/A,TRUE,"Firm capex";"Group Budget years only",#N/A,TRUE,"Gross profit analysis";"Group Budget years only",#N/A,TRUE,"Cashflow";"Group Budget years only",#N/A,TRUE,"Balance Sheet"}</definedName>
    <definedName name="FH" localSheetId="22" hidden="1">{"Group Budget years only",#N/A,TRUE,"Profit and Loss";"Group Budget years only",#N/A,TRUE,"Firm capex";"Group Budget years only",#N/A,TRUE,"Gross profit analysis";"Group Budget years only",#N/A,TRUE,"Cashflow";"Group Budget years only",#N/A,TRUE,"Balance Sheet"}</definedName>
    <definedName name="FH" hidden="1">{"Group Budget years only",#N/A,TRUE,"Profit and Loss";"Group Budget years only",#N/A,TRUE,"Firm capex";"Group Budget years only",#N/A,TRUE,"Gross profit analysis";"Group Budget years only",#N/A,TRUE,"Cashflow";"Group Budget years only",#N/A,TRUE,"Balance Sheet"}</definedName>
    <definedName name="from" localSheetId="16" hidden="1">{"HSSH Budget years sterling",#N/A,TRUE,"Profit and Loss";"HSSH Budget years sterling",#N/A,TRUE,"Firm capex";"HSSH Budget years sterling",#N/A,TRUE,"Gross profit analysis";"HSSH Budget years sterling",#N/A,TRUE,"Cashflow";"HSSH Budget years sterling",#N/A,TRUE,"Balance Sheet"}</definedName>
    <definedName name="from" localSheetId="17" hidden="1">{"HSSH Budget years sterling",#N/A,TRUE,"Profit and Loss";"HSSH Budget years sterling",#N/A,TRUE,"Firm capex";"HSSH Budget years sterling",#N/A,TRUE,"Gross profit analysis";"HSSH Budget years sterling",#N/A,TRUE,"Cashflow";"HSSH Budget years sterling",#N/A,TRUE,"Balance Sheet"}</definedName>
    <definedName name="from" localSheetId="9" hidden="1">{"HSSH Budget years sterling",#N/A,TRUE,"Profit and Loss";"HSSH Budget years sterling",#N/A,TRUE,"Firm capex";"HSSH Budget years sterling",#N/A,TRUE,"Gross profit analysis";"HSSH Budget years sterling",#N/A,TRUE,"Cashflow";"HSSH Budget years sterling",#N/A,TRUE,"Balance Sheet"}</definedName>
    <definedName name="from" localSheetId="22" hidden="1">{"HSSH Budget years sterling",#N/A,TRUE,"Profit and Loss";"HSSH Budget years sterling",#N/A,TRUE,"Firm capex";"HSSH Budget years sterling",#N/A,TRUE,"Gross profit analysis";"HSSH Budget years sterling",#N/A,TRUE,"Cashflow";"HSSH Budget years sterling",#N/A,TRUE,"Balance Sheet"}</definedName>
    <definedName name="from" hidden="1">{"HSSH Budget years sterling",#N/A,TRUE,"Profit and Loss";"HSSH Budget years sterling",#N/A,TRUE,"Firm capex";"HSSH Budget years sterling",#N/A,TRUE,"Gross profit analysis";"HSSH Budget years sterling",#N/A,TRUE,"Cashflow";"HSSH Budget years sterling",#N/A,TRUE,"Balance Sheet"}</definedName>
    <definedName name="FWER" localSheetId="16" hidden="1">{"EE4 Budget years sterling",#N/A,TRUE,"Profit and Loss";"EE4 Budget years sterling",#N/A,TRUE,"Firm capex";"EE4 Budget years sterling",#N/A,TRUE,"Cashflow";"EE4 Budget years sterling",#N/A,TRUE,"Balance Sheet"}</definedName>
    <definedName name="FWER" localSheetId="17" hidden="1">{"EE4 Budget years sterling",#N/A,TRUE,"Profit and Loss";"EE4 Budget years sterling",#N/A,TRUE,"Firm capex";"EE4 Budget years sterling",#N/A,TRUE,"Cashflow";"EE4 Budget years sterling",#N/A,TRUE,"Balance Sheet"}</definedName>
    <definedName name="FWER" localSheetId="9" hidden="1">{"EE4 Budget years sterling",#N/A,TRUE,"Profit and Loss";"EE4 Budget years sterling",#N/A,TRUE,"Firm capex";"EE4 Budget years sterling",#N/A,TRUE,"Cashflow";"EE4 Budget years sterling",#N/A,TRUE,"Balance Sheet"}</definedName>
    <definedName name="FWER" localSheetId="22" hidden="1">{"EE4 Budget years sterling",#N/A,TRUE,"Profit and Loss";"EE4 Budget years sterling",#N/A,TRUE,"Firm capex";"EE4 Budget years sterling",#N/A,TRUE,"Cashflow";"EE4 Budget years sterling",#N/A,TRUE,"Balance Sheet"}</definedName>
    <definedName name="FWER" hidden="1">{"EE4 Budget years sterling",#N/A,TRUE,"Profit and Loss";"EE4 Budget years sterling",#N/A,TRUE,"Firm capex";"EE4 Budget years sterling",#N/A,TRUE,"Cashflow";"EE4 Budget years sterling",#N/A,TRUE,"Balance Sheet"}</definedName>
    <definedName name="ghi"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i" localSheetId="17"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i" localSheetId="9"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i" localSheetId="2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i"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rt" localSheetId="16" hidden="1">{"PLC Company Budget years",#N/A,TRUE,"Profit and Loss";"PLC Company Budget years",#N/A,TRUE,"Firm capex";"PLC Company Budget years",#N/A,TRUE,"Gross profit analysis";"PLC Company Budget years",#N/A,TRUE,"Cashflow";"PLC Company Budget years",#N/A,TRUE,"Balance Sheet"}</definedName>
    <definedName name="grt" localSheetId="17" hidden="1">{"PLC Company Budget years",#N/A,TRUE,"Profit and Loss";"PLC Company Budget years",#N/A,TRUE,"Firm capex";"PLC Company Budget years",#N/A,TRUE,"Gross profit analysis";"PLC Company Budget years",#N/A,TRUE,"Cashflow";"PLC Company Budget years",#N/A,TRUE,"Balance Sheet"}</definedName>
    <definedName name="grt" localSheetId="9" hidden="1">{"PLC Company Budget years",#N/A,TRUE,"Profit and Loss";"PLC Company Budget years",#N/A,TRUE,"Firm capex";"PLC Company Budget years",#N/A,TRUE,"Gross profit analysis";"PLC Company Budget years",#N/A,TRUE,"Cashflow";"PLC Company Budget years",#N/A,TRUE,"Balance Sheet"}</definedName>
    <definedName name="grt" localSheetId="22" hidden="1">{"PLC Company Budget years",#N/A,TRUE,"Profit and Loss";"PLC Company Budget years",#N/A,TRUE,"Firm capex";"PLC Company Budget years",#N/A,TRUE,"Gross profit analysis";"PLC Company Budget years",#N/A,TRUE,"Cashflow";"PLC Company Budget years",#N/A,TRUE,"Balance Sheet"}</definedName>
    <definedName name="grt" hidden="1">{"PLC Company Budget years",#N/A,TRUE,"Profit and Loss";"PLC Company Budget years",#N/A,TRUE,"Firm capex";"PLC Company Budget years",#N/A,TRUE,"Gross profit analysis";"PLC Company Budget years",#N/A,TRUE,"Cashflow";"PLC Company Budget years",#N/A,TRUE,"Balance Sheet"}</definedName>
    <definedName name="HDFHDFHRH" localSheetId="16"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FHDFHRH" localSheetId="17"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FHDFHRH" localSheetId="9"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FHDFHRH" localSheetId="22"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FHDFHRH"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TML_CodePage" hidden="1">1252</definedName>
    <definedName name="HTML_Control" localSheetId="16" hidden="1">{"'All AERs-2000-2001'!$A$5:$K$39"}</definedName>
    <definedName name="HTML_Control" localSheetId="17" hidden="1">{"'All AERs-2000-2001'!$A$5:$K$39"}</definedName>
    <definedName name="HTML_Control" localSheetId="9" hidden="1">{"'All AERs-2000-2001'!$A$5:$K$39"}</definedName>
    <definedName name="HTML_Control" localSheetId="22" hidden="1">{"'All AERs-2000-2001'!$A$5:$K$39"}</definedName>
    <definedName name="HTML_Control" hidden="1">{"'All AERs-2000-2001'!$A$5:$K$39"}</definedName>
    <definedName name="HTML_Description" hidden="1">"AER's Issued for the Budget Year 2000-01"</definedName>
    <definedName name="HTML_Email" hidden="1">""</definedName>
    <definedName name="HTML_Header" hidden="1">"Ravva Oil &amp; Gas Field Development - Joint Venture"</definedName>
    <definedName name="HTML_LastUpdate" hidden="1">"29-Aug-00"</definedName>
    <definedName name="HTML_LineAfter" hidden="1">FALSE</definedName>
    <definedName name="HTML_LineBefore" hidden="1">TRUE</definedName>
    <definedName name="HTML_Name" hidden="1">"Sivakumar"</definedName>
    <definedName name="HTML_OBDlg2" hidden="1">TRUE</definedName>
    <definedName name="HTML_OBDlg4" hidden="1">TRUE</definedName>
    <definedName name="HTML_OS" hidden="1">0</definedName>
    <definedName name="HTML_PathFile" hidden="1">"C:\aershtml\RVAER2000-01.htm"</definedName>
    <definedName name="HTML_Title" hidden="1">"Ravva 2000-01 AERS"</definedName>
    <definedName name="hy"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hy" localSheetId="17"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hy" localSheetId="9"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hy" localSheetId="2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hy"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 localSheetId="16" hidden="1">{"PLC Company Budget years",#N/A,TRUE,"Profit and Loss";"PLC Company Budget years",#N/A,TRUE,"Firm capex";"PLC Company Budget years",#N/A,TRUE,"Gross profit analysis";"PLC Company Budget years",#N/A,TRUE,"Cashflow";"PLC Company Budget years",#N/A,TRUE,"Balance Sheet"}</definedName>
    <definedName name="j" localSheetId="17" hidden="1">{"PLC Company Budget years",#N/A,TRUE,"Profit and Loss";"PLC Company Budget years",#N/A,TRUE,"Firm capex";"PLC Company Budget years",#N/A,TRUE,"Gross profit analysis";"PLC Company Budget years",#N/A,TRUE,"Cashflow";"PLC Company Budget years",#N/A,TRUE,"Balance Sheet"}</definedName>
    <definedName name="j" localSheetId="9" hidden="1">{"PLC Company Budget years",#N/A,TRUE,"Profit and Loss";"PLC Company Budget years",#N/A,TRUE,"Firm capex";"PLC Company Budget years",#N/A,TRUE,"Gross profit analysis";"PLC Company Budget years",#N/A,TRUE,"Cashflow";"PLC Company Budget years",#N/A,TRUE,"Balance Sheet"}</definedName>
    <definedName name="j" localSheetId="22" hidden="1">{"PLC Company Budget years",#N/A,TRUE,"Profit and Loss";"PLC Company Budget years",#N/A,TRUE,"Firm capex";"PLC Company Budget years",#N/A,TRUE,"Gross profit analysis";"PLC Company Budget years",#N/A,TRUE,"Cashflow";"PLC Company Budget years",#N/A,TRUE,"Balance Sheet"}</definedName>
    <definedName name="j" hidden="1">{"PLC Company Budget years",#N/A,TRUE,"Profit and Loss";"PLC Company Budget years",#N/A,TRUE,"Firm capex";"PLC Company Budget years",#N/A,TRUE,"Gross profit analysis";"PLC Company Budget years",#N/A,TRUE,"Cashflow";"PLC Company Budget years",#N/A,TRUE,"Balance Sheet"}</definedName>
    <definedName name="jam"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am" localSheetId="17"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am" localSheetId="9"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am" localSheetId="2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am"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hg" localSheetId="16"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jhg" localSheetId="17"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jhg" localSheetId="9"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jhg" localSheetId="22"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jhg"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kkkl" localSheetId="16" hidden="1">{"Group Budget months only",#N/A,TRUE,"Profit and Loss";"Group Budget months only",#N/A,TRUE,"Firm capex";"Group Budget months only",#N/A,TRUE,"Gross profit analysis";"Group Budget months only",#N/A,TRUE,"Cashflow";"Group Budget months only",#N/A,TRUE,"Balance Sheet"}</definedName>
    <definedName name="kkkl" localSheetId="17" hidden="1">{"Group Budget months only",#N/A,TRUE,"Profit and Loss";"Group Budget months only",#N/A,TRUE,"Firm capex";"Group Budget months only",#N/A,TRUE,"Gross profit analysis";"Group Budget months only",#N/A,TRUE,"Cashflow";"Group Budget months only",#N/A,TRUE,"Balance Sheet"}</definedName>
    <definedName name="kkkl" localSheetId="9" hidden="1">{"Group Budget months only",#N/A,TRUE,"Profit and Loss";"Group Budget months only",#N/A,TRUE,"Firm capex";"Group Budget months only",#N/A,TRUE,"Gross profit analysis";"Group Budget months only",#N/A,TRUE,"Cashflow";"Group Budget months only",#N/A,TRUE,"Balance Sheet"}</definedName>
    <definedName name="kkkl" localSheetId="22" hidden="1">{"Group Budget months only",#N/A,TRUE,"Profit and Loss";"Group Budget months only",#N/A,TRUE,"Firm capex";"Group Budget months only",#N/A,TRUE,"Gross profit analysis";"Group Budget months only",#N/A,TRUE,"Cashflow";"Group Budget months only",#N/A,TRUE,"Balance Sheet"}</definedName>
    <definedName name="kkkl" hidden="1">{"Group Budget months only",#N/A,TRUE,"Profit and Loss";"Group Budget months only",#N/A,TRUE,"Firm capex";"Group Budget months only",#N/A,TRUE,"Gross profit analysis";"Group Budget months only",#N/A,TRUE,"Cashflow";"Group Budget months only",#N/A,TRUE,"Balance Sheet"}</definedName>
    <definedName name="LMNOPQ"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 localSheetId="17"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 localSheetId="9"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 localSheetId="22"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localSheetId="17"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localSheetId="9"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localSheetId="22"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pex"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opex" localSheetId="17"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opex" localSheetId="9"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opex" localSheetId="2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opex"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Other"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ther" localSheetId="17"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ther" localSheetId="9"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ther" localSheetId="22"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ther"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_xlnm.Print_Area" localSheetId="17">'Add Notes (2)'!$A$1:$E$72</definedName>
    <definedName name="_xlnm.Print_Area" localSheetId="4">BS!$A$1:$D$60</definedName>
    <definedName name="_xlnm.Print_Area" localSheetId="7">CFS!$A$1:$D$61</definedName>
    <definedName name="_xlnm.Print_Area" localSheetId="14">'NOTE 10-14'!$A$1:$C$32</definedName>
    <definedName name="_xlnm.Print_Area" localSheetId="12">'NOTE 12'!$A$1:$G$31</definedName>
    <definedName name="_xlnm.Print_Area" localSheetId="9">'Note 1-2'!$A$1:$A$40</definedName>
    <definedName name="_xlnm.Print_Area" localSheetId="15">'NOTE 15-20'!$A$1:$C$64</definedName>
    <definedName name="_xlnm.Print_Area" localSheetId="8">'NOTE 3'!$A$1:$E$61</definedName>
    <definedName name="_xlnm.Print_Area" localSheetId="10">'NOTE 4-8'!$A$1:$C$37</definedName>
    <definedName name="_xlnm.Print_Area" localSheetId="11">'NOTE 6'!$A$1:$G$30</definedName>
    <definedName name="_xlnm.Print_Area" localSheetId="13">'Note 9'!$A$1:$K$23</definedName>
    <definedName name="_xlnm.Print_Area" localSheetId="5">PL!$A$1:$E$56</definedName>
    <definedName name="_xlnm.Print_Area" localSheetId="22">'Statement of Income'!$A$1:$E$89</definedName>
    <definedName name="_xlnm.Print_Area" localSheetId="18">'Sub Sch - BS'!$A$1:$C$45</definedName>
    <definedName name="_xlnm.Print_Area" localSheetId="19">'Sub Sch - p&amp;l'!$A$1:$C$70</definedName>
    <definedName name="_xlnm.Print_Area" localSheetId="6">'Sub-Schedule'!$A$1:$G$47</definedName>
    <definedName name="_xlnm.Print_Titles" localSheetId="16">'Add Notes'!$1:$4</definedName>
    <definedName name="_xlnm.Print_Titles" localSheetId="17">'Add Notes (2)'!$1:$4</definedName>
    <definedName name="_xlnm.Print_Titles" localSheetId="14">'NOTE 10-14'!$1:$6</definedName>
    <definedName name="_xlnm.Print_Titles" localSheetId="9">'Note 1-2'!$1:$3</definedName>
    <definedName name="_xlnm.Print_Titles" localSheetId="15">'NOTE 15-20'!$1:$6</definedName>
    <definedName name="_xlnm.Print_Titles" localSheetId="10">'NOTE 4-8'!$1:$6</definedName>
    <definedName name="_xlnm.Print_Titles" localSheetId="19">'Sub Sch - p&amp;l'!$1:$4</definedName>
    <definedName name="RAJ" localSheetId="16" hidden="1">{"CEGH Budget years USD",#N/A,TRUE,"Profit and Loss";"CEGH Budget years USD",#N/A,TRUE,"Firm capex";"CEGH Budget years USD",#N/A,TRUE,"Gross profit analysis";"CEGH Budget years USD",#N/A,TRUE,"Cashflow";"CEGH Budget years USD",#N/A,TRUE,"Balance Sheet"}</definedName>
    <definedName name="RAJ" localSheetId="17" hidden="1">{"CEGH Budget years USD",#N/A,TRUE,"Profit and Loss";"CEGH Budget years USD",#N/A,TRUE,"Firm capex";"CEGH Budget years USD",#N/A,TRUE,"Gross profit analysis";"CEGH Budget years USD",#N/A,TRUE,"Cashflow";"CEGH Budget years USD",#N/A,TRUE,"Balance Sheet"}</definedName>
    <definedName name="RAJ" localSheetId="9" hidden="1">{"CEGH Budget years USD",#N/A,TRUE,"Profit and Loss";"CEGH Budget years USD",#N/A,TRUE,"Firm capex";"CEGH Budget years USD",#N/A,TRUE,"Gross profit analysis";"CEGH Budget years USD",#N/A,TRUE,"Cashflow";"CEGH Budget years USD",#N/A,TRUE,"Balance Sheet"}</definedName>
    <definedName name="RAJ" localSheetId="22" hidden="1">{"CEGH Budget years USD",#N/A,TRUE,"Profit and Loss";"CEGH Budget years USD",#N/A,TRUE,"Firm capex";"CEGH Budget years USD",#N/A,TRUE,"Gross profit analysis";"CEGH Budget years USD",#N/A,TRUE,"Cashflow";"CEGH Budget years USD",#N/A,TRUE,"Balance Sheet"}</definedName>
    <definedName name="RAJ" hidden="1">{"CEGH Budget years USD",#N/A,TRUE,"Profit and Loss";"CEGH Budget years USD",#N/A,TRUE,"Firm capex";"CEGH Budget years USD",#N/A,TRUE,"Gross profit analysis";"CEGH Budget years USD",#N/A,TRUE,"Cashflow";"CEGH Budget years USD",#N/A,TRUE,"Balance Sheet"}</definedName>
    <definedName name="Raja" localSheetId="16" hidden="1">{"HSSH Budget years sterling",#N/A,TRUE,"Profit and Loss";"HSSH Budget years sterling",#N/A,TRUE,"Firm capex";"HSSH Budget years sterling",#N/A,TRUE,"Gross profit analysis";"HSSH Budget years sterling",#N/A,TRUE,"Cashflow";"HSSH Budget years sterling",#N/A,TRUE,"Balance Sheet"}</definedName>
    <definedName name="Raja" localSheetId="17" hidden="1">{"HSSH Budget years sterling",#N/A,TRUE,"Profit and Loss";"HSSH Budget years sterling",#N/A,TRUE,"Firm capex";"HSSH Budget years sterling",#N/A,TRUE,"Gross profit analysis";"HSSH Budget years sterling",#N/A,TRUE,"Cashflow";"HSSH Budget years sterling",#N/A,TRUE,"Balance Sheet"}</definedName>
    <definedName name="Raja" localSheetId="9" hidden="1">{"HSSH Budget years sterling",#N/A,TRUE,"Profit and Loss";"HSSH Budget years sterling",#N/A,TRUE,"Firm capex";"HSSH Budget years sterling",#N/A,TRUE,"Gross profit analysis";"HSSH Budget years sterling",#N/A,TRUE,"Cashflow";"HSSH Budget years sterling",#N/A,TRUE,"Balance Sheet"}</definedName>
    <definedName name="Raja" localSheetId="22" hidden="1">{"HSSH Budget years sterling",#N/A,TRUE,"Profit and Loss";"HSSH Budget years sterling",#N/A,TRUE,"Firm capex";"HSSH Budget years sterling",#N/A,TRUE,"Gross profit analysis";"HSSH Budget years sterling",#N/A,TRUE,"Cashflow";"HSSH Budget years sterling",#N/A,TRUE,"Balance Sheet"}</definedName>
    <definedName name="Raja" hidden="1">{"HSSH Budget years sterling",#N/A,TRUE,"Profit and Loss";"HSSH Budget years sterling",#N/A,TRUE,"Firm capex";"HSSH Budget years sterling",#N/A,TRUE,"Gross profit analysis";"HSSH Budget years sterling",#N/A,TRUE,"Cashflow";"HSSH Budget years sterling",#N/A,TRUE,"Balance Sheet"}</definedName>
    <definedName name="Rajasthan" localSheetId="16" hidden="1">{"CEI Budget years sterling",#N/A,TRUE,"Profit and Loss";"CEI Budget years sterling",#N/A,TRUE,"Firm capex";"CEI Budget years sterling",#N/A,TRUE,"Gross profit analysis";"CEI Budget years sterling",#N/A,TRUE,"Cashflow";"CEI Budget years sterling",#N/A,TRUE,"Balance Sheet"}</definedName>
    <definedName name="Rajasthan" localSheetId="17" hidden="1">{"CEI Budget years sterling",#N/A,TRUE,"Profit and Loss";"CEI Budget years sterling",#N/A,TRUE,"Firm capex";"CEI Budget years sterling",#N/A,TRUE,"Gross profit analysis";"CEI Budget years sterling",#N/A,TRUE,"Cashflow";"CEI Budget years sterling",#N/A,TRUE,"Balance Sheet"}</definedName>
    <definedName name="Rajasthan" localSheetId="9" hidden="1">{"CEI Budget years sterling",#N/A,TRUE,"Profit and Loss";"CEI Budget years sterling",#N/A,TRUE,"Firm capex";"CEI Budget years sterling",#N/A,TRUE,"Gross profit analysis";"CEI Budget years sterling",#N/A,TRUE,"Cashflow";"CEI Budget years sterling",#N/A,TRUE,"Balance Sheet"}</definedName>
    <definedName name="Rajasthan" localSheetId="22" hidden="1">{"CEI Budget years sterling",#N/A,TRUE,"Profit and Loss";"CEI Budget years sterling",#N/A,TRUE,"Firm capex";"CEI Budget years sterling",#N/A,TRUE,"Gross profit analysis";"CEI Budget years sterling",#N/A,TRUE,"Cashflow";"CEI Budget years sterling",#N/A,TRUE,"Balance Sheet"}</definedName>
    <definedName name="Rajasthan" hidden="1">{"CEI Budget years sterling",#N/A,TRUE,"Profit and Loss";"CEI Budget years sterling",#N/A,TRUE,"Firm capex";"CEI Budget years sterling",#N/A,TRUE,"Gross profit analysis";"CEI Budget years sterling",#N/A,TRUE,"Cashflow";"CEI Budget years sterling",#N/A,TRUE,"Balance Sheet"}</definedName>
    <definedName name="rst" localSheetId="16"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st" localSheetId="17"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st" localSheetId="9"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st" localSheetId="22"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st"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SB" localSheetId="16" hidden="1">{"PLC Company Budget years",#N/A,TRUE,"Profit and Loss";"PLC Company Budget years",#N/A,TRUE,"Firm capex";"PLC Company Budget years",#N/A,TRUE,"Gross profit analysis";"PLC Company Budget years",#N/A,TRUE,"Cashflow";"PLC Company Budget years",#N/A,TRUE,"Balance Sheet"}</definedName>
    <definedName name="SB" localSheetId="17" hidden="1">{"PLC Company Budget years",#N/A,TRUE,"Profit and Loss";"PLC Company Budget years",#N/A,TRUE,"Firm capex";"PLC Company Budget years",#N/A,TRUE,"Gross profit analysis";"PLC Company Budget years",#N/A,TRUE,"Cashflow";"PLC Company Budget years",#N/A,TRUE,"Balance Sheet"}</definedName>
    <definedName name="SB" localSheetId="9" hidden="1">{"PLC Company Budget years",#N/A,TRUE,"Profit and Loss";"PLC Company Budget years",#N/A,TRUE,"Firm capex";"PLC Company Budget years",#N/A,TRUE,"Gross profit analysis";"PLC Company Budget years",#N/A,TRUE,"Cashflow";"PLC Company Budget years",#N/A,TRUE,"Balance Sheet"}</definedName>
    <definedName name="SB" localSheetId="22" hidden="1">{"PLC Company Budget years",#N/A,TRUE,"Profit and Loss";"PLC Company Budget years",#N/A,TRUE,"Firm capex";"PLC Company Budget years",#N/A,TRUE,"Gross profit analysis";"PLC Company Budget years",#N/A,TRUE,"Cashflow";"PLC Company Budget years",#N/A,TRUE,"Balance Sheet"}</definedName>
    <definedName name="SB" hidden="1">{"PLC Company Budget years",#N/A,TRUE,"Profit and Loss";"PLC Company Budget years",#N/A,TRUE,"Firm capex";"PLC Company Budget years",#N/A,TRUE,"Gross profit analysis";"PLC Company Budget years",#N/A,TRUE,"Cashflow";"PLC Company Budget years",#N/A,TRUE,"Balance Sheet"}</definedName>
    <definedName name="SDFSADFG" localSheetId="16" hidden="1">{"Group Budget months only",#N/A,TRUE,"Profit and Loss";"Group Budget months only",#N/A,TRUE,"Firm capex";"Group Budget months only",#N/A,TRUE,"Gross profit analysis";"Group Budget months only",#N/A,TRUE,"Cashflow";"Group Budget months only",#N/A,TRUE,"Balance Sheet"}</definedName>
    <definedName name="SDFSADFG" localSheetId="17" hidden="1">{"Group Budget months only",#N/A,TRUE,"Profit and Loss";"Group Budget months only",#N/A,TRUE,"Firm capex";"Group Budget months only",#N/A,TRUE,"Gross profit analysis";"Group Budget months only",#N/A,TRUE,"Cashflow";"Group Budget months only",#N/A,TRUE,"Balance Sheet"}</definedName>
    <definedName name="SDFSADFG" localSheetId="9" hidden="1">{"Group Budget months only",#N/A,TRUE,"Profit and Loss";"Group Budget months only",#N/A,TRUE,"Firm capex";"Group Budget months only",#N/A,TRUE,"Gross profit analysis";"Group Budget months only",#N/A,TRUE,"Cashflow";"Group Budget months only",#N/A,TRUE,"Balance Sheet"}</definedName>
    <definedName name="SDFSADFG" localSheetId="22" hidden="1">{"Group Budget months only",#N/A,TRUE,"Profit and Loss";"Group Budget months only",#N/A,TRUE,"Firm capex";"Group Budget months only",#N/A,TRUE,"Gross profit analysis";"Group Budget months only",#N/A,TRUE,"Cashflow";"Group Budget months only",#N/A,TRUE,"Balance Sheet"}</definedName>
    <definedName name="SDFSADFG" hidden="1">{"Group Budget months only",#N/A,TRUE,"Profit and Loss";"Group Budget months only",#N/A,TRUE,"Firm capex";"Group Budget months only",#N/A,TRUE,"Gross profit analysis";"Group Budget months only",#N/A,TRUE,"Cashflow";"Group Budget months only",#N/A,TRUE,"Balance Sheet"}</definedName>
    <definedName name="sdg" localSheetId="16" hidden="1">{"'All AERs-2000-2001'!$A$5:$K$39"}</definedName>
    <definedName name="sdg" localSheetId="17" hidden="1">{"'All AERs-2000-2001'!$A$5:$K$39"}</definedName>
    <definedName name="sdg" localSheetId="9" hidden="1">{"'All AERs-2000-2001'!$A$5:$K$39"}</definedName>
    <definedName name="sdg" localSheetId="22" hidden="1">{"'All AERs-2000-2001'!$A$5:$K$39"}</definedName>
    <definedName name="sdg" hidden="1">{"'All AERs-2000-2001'!$A$5:$K$39"}</definedName>
    <definedName name="sdgm"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m" localSheetId="17"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m" localSheetId="9"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m" localSheetId="22"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m"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LFKJ" localSheetId="16"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LFKJ" localSheetId="17"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LFKJ" localSheetId="9"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LFKJ" localSheetId="22"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LFKJ"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EABKL" localSheetId="16" hidden="1">{"CEGH sub-group budget years sterling",#N/A,TRUE,"Profit and Loss";"CEGH sub-group budget years sterling",#N/A,TRUE,"Firm capex";"CEGH sub-group budget years sterling",#N/A,TRUE,"Cashflow";"CEGH sub-group budget years sterling",#N/A,TRUE,"Balance Sheet"}</definedName>
    <definedName name="SEABKL" localSheetId="17" hidden="1">{"CEGH sub-group budget years sterling",#N/A,TRUE,"Profit and Loss";"CEGH sub-group budget years sterling",#N/A,TRUE,"Firm capex";"CEGH sub-group budget years sterling",#N/A,TRUE,"Cashflow";"CEGH sub-group budget years sterling",#N/A,TRUE,"Balance Sheet"}</definedName>
    <definedName name="SEABKL" localSheetId="9" hidden="1">{"CEGH sub-group budget years sterling",#N/A,TRUE,"Profit and Loss";"CEGH sub-group budget years sterling",#N/A,TRUE,"Firm capex";"CEGH sub-group budget years sterling",#N/A,TRUE,"Cashflow";"CEGH sub-group budget years sterling",#N/A,TRUE,"Balance Sheet"}</definedName>
    <definedName name="SEABKL" localSheetId="22" hidden="1">{"CEGH sub-group budget years sterling",#N/A,TRUE,"Profit and Loss";"CEGH sub-group budget years sterling",#N/A,TRUE,"Firm capex";"CEGH sub-group budget years sterling",#N/A,TRUE,"Cashflow";"CEGH sub-group budget years sterling",#N/A,TRUE,"Balance Sheet"}</definedName>
    <definedName name="SEABKL" hidden="1">{"CEGH sub-group budget years sterling",#N/A,TRUE,"Profit and Loss";"CEGH sub-group budget years sterling",#N/A,TRUE,"Firm capex";"CEGH sub-group budget years sterling",#N/A,TRUE,"Cashflow";"CEGH sub-group budget years sterling",#N/A,TRUE,"Balance Sheet"}</definedName>
    <definedName name="SFLH" localSheetId="16" hidden="1">{"CEA Group Budget years USD",#N/A,TRUE,"Profit and Loss";"CEA Group Budget years USD",#N/A,TRUE,"Firm capex";"CEA Group Budget years USD",#N/A,TRUE,"Gross profit analysis";"CEA Group Budget years USD",#N/A,TRUE,"Cashflow";"CEA Group Budget years USD",#N/A,TRUE,"Balance Sheet"}</definedName>
    <definedName name="SFLH" localSheetId="17" hidden="1">{"CEA Group Budget years USD",#N/A,TRUE,"Profit and Loss";"CEA Group Budget years USD",#N/A,TRUE,"Firm capex";"CEA Group Budget years USD",#N/A,TRUE,"Gross profit analysis";"CEA Group Budget years USD",#N/A,TRUE,"Cashflow";"CEA Group Budget years USD",#N/A,TRUE,"Balance Sheet"}</definedName>
    <definedName name="SFLH" localSheetId="9" hidden="1">{"CEA Group Budget years USD",#N/A,TRUE,"Profit and Loss";"CEA Group Budget years USD",#N/A,TRUE,"Firm capex";"CEA Group Budget years USD",#N/A,TRUE,"Gross profit analysis";"CEA Group Budget years USD",#N/A,TRUE,"Cashflow";"CEA Group Budget years USD",#N/A,TRUE,"Balance Sheet"}</definedName>
    <definedName name="SFLH" localSheetId="22" hidden="1">{"CEA Group Budget years USD",#N/A,TRUE,"Profit and Loss";"CEA Group Budget years USD",#N/A,TRUE,"Firm capex";"CEA Group Budget years USD",#N/A,TRUE,"Gross profit analysis";"CEA Group Budget years USD",#N/A,TRUE,"Cashflow";"CEA Group Budget years USD",#N/A,TRUE,"Balance Sheet"}</definedName>
    <definedName name="SFLH" hidden="1">{"CEA Group Budget years USD",#N/A,TRUE,"Profit and Loss";"CEA Group Budget years USD",#N/A,TRUE,"Firm capex";"CEA Group Budget years USD",#N/A,TRUE,"Gross profit analysis";"CEA Group Budget years USD",#N/A,TRUE,"Cashflow";"CEA Group Budget years USD",#N/A,TRUE,"Balance Sheet"}</definedName>
    <definedName name="SG" localSheetId="16" hidden="1">{"EE4 Budget months only sterling",#N/A,TRUE,"Profit and Loss";"EE4 Budget months only sterling",#N/A,TRUE,"Firm capex";"EE4 Budget months only sterling",#N/A,TRUE,"Cashflow";"EE4 Budget months only sterling",#N/A,TRUE,"Balance Sheet"}</definedName>
    <definedName name="SG" localSheetId="17" hidden="1">{"EE4 Budget months only sterling",#N/A,TRUE,"Profit and Loss";"EE4 Budget months only sterling",#N/A,TRUE,"Firm capex";"EE4 Budget months only sterling",#N/A,TRUE,"Cashflow";"EE4 Budget months only sterling",#N/A,TRUE,"Balance Sheet"}</definedName>
    <definedName name="SG" localSheetId="9" hidden="1">{"EE4 Budget months only sterling",#N/A,TRUE,"Profit and Loss";"EE4 Budget months only sterling",#N/A,TRUE,"Firm capex";"EE4 Budget months only sterling",#N/A,TRUE,"Cashflow";"EE4 Budget months only sterling",#N/A,TRUE,"Balance Sheet"}</definedName>
    <definedName name="SG" localSheetId="22" hidden="1">{"EE4 Budget months only sterling",#N/A,TRUE,"Profit and Loss";"EE4 Budget months only sterling",#N/A,TRUE,"Firm capex";"EE4 Budget months only sterling",#N/A,TRUE,"Cashflow";"EE4 Budget months only sterling",#N/A,TRUE,"Balance Sheet"}</definedName>
    <definedName name="SG" hidden="1">{"EE4 Budget months only sterling",#N/A,TRUE,"Profit and Loss";"EE4 Budget months only sterling",#N/A,TRUE,"Firm capex";"EE4 Budget months only sterling",#N/A,TRUE,"Cashflow";"EE4 Budget months only sterling",#N/A,TRUE,"Balance Sheet"}</definedName>
    <definedName name="sujay" localSheetId="16" hidden="1">{"CEI Budget years sterling",#N/A,TRUE,"Profit and Loss";"CEI Budget years sterling",#N/A,TRUE,"Firm capex";"CEI Budget years sterling",#N/A,TRUE,"Gross profit analysis";"CEI Budget years sterling",#N/A,TRUE,"Cashflow";"CEI Budget years sterling",#N/A,TRUE,"Balance Sheet"}</definedName>
    <definedName name="sujay" localSheetId="17" hidden="1">{"CEI Budget years sterling",#N/A,TRUE,"Profit and Loss";"CEI Budget years sterling",#N/A,TRUE,"Firm capex";"CEI Budget years sterling",#N/A,TRUE,"Gross profit analysis";"CEI Budget years sterling",#N/A,TRUE,"Cashflow";"CEI Budget years sterling",#N/A,TRUE,"Balance Sheet"}</definedName>
    <definedName name="sujay" localSheetId="9" hidden="1">{"CEI Budget years sterling",#N/A,TRUE,"Profit and Loss";"CEI Budget years sterling",#N/A,TRUE,"Firm capex";"CEI Budget years sterling",#N/A,TRUE,"Gross profit analysis";"CEI Budget years sterling",#N/A,TRUE,"Cashflow";"CEI Budget years sterling",#N/A,TRUE,"Balance Sheet"}</definedName>
    <definedName name="sujay" localSheetId="22" hidden="1">{"CEI Budget years sterling",#N/A,TRUE,"Profit and Loss";"CEI Budget years sterling",#N/A,TRUE,"Firm capex";"CEI Budget years sterling",#N/A,TRUE,"Gross profit analysis";"CEI Budget years sterling",#N/A,TRUE,"Cashflow";"CEI Budget years sterling",#N/A,TRUE,"Balance Sheet"}</definedName>
    <definedName name="sujay" hidden="1">{"CEI Budget years sterling",#N/A,TRUE,"Profit and Loss";"CEI Budget years sterling",#N/A,TRUE,"Firm capex";"CEI Budget years sterling",#N/A,TRUE,"Gross profit analysis";"CEI Budget years sterling",#N/A,TRUE,"Cashflow";"CEI Budget years sterling",#N/A,TRUE,"Balance Sheet"}</definedName>
    <definedName name="TEST" localSheetId="16" hidden="1">{"'All AERs-2000-2001'!$A$5:$K$39"}</definedName>
    <definedName name="TEST" localSheetId="17" hidden="1">{"'All AERs-2000-2001'!$A$5:$K$39"}</definedName>
    <definedName name="TEST" localSheetId="9" hidden="1">{"'All AERs-2000-2001'!$A$5:$K$39"}</definedName>
    <definedName name="TEST" localSheetId="22" hidden="1">{"'All AERs-2000-2001'!$A$5:$K$39"}</definedName>
    <definedName name="TEST" hidden="1">{"'All AERs-2000-2001'!$A$5:$K$39"}</definedName>
    <definedName name="trtyy" localSheetId="16" hidden="1">{"CEA Group Budget years USD",#N/A,TRUE,"Profit and Loss";"CEA Group Budget years USD",#N/A,TRUE,"Firm capex";"CEA Group Budget years USD",#N/A,TRUE,"Gross profit analysis";"CEA Group Budget years USD",#N/A,TRUE,"Cashflow";"CEA Group Budget years USD",#N/A,TRUE,"Balance Sheet"}</definedName>
    <definedName name="trtyy" localSheetId="17" hidden="1">{"CEA Group Budget years USD",#N/A,TRUE,"Profit and Loss";"CEA Group Budget years USD",#N/A,TRUE,"Firm capex";"CEA Group Budget years USD",#N/A,TRUE,"Gross profit analysis";"CEA Group Budget years USD",#N/A,TRUE,"Cashflow";"CEA Group Budget years USD",#N/A,TRUE,"Balance Sheet"}</definedName>
    <definedName name="trtyy" localSheetId="9" hidden="1">{"CEA Group Budget years USD",#N/A,TRUE,"Profit and Loss";"CEA Group Budget years USD",#N/A,TRUE,"Firm capex";"CEA Group Budget years USD",#N/A,TRUE,"Gross profit analysis";"CEA Group Budget years USD",#N/A,TRUE,"Cashflow";"CEA Group Budget years USD",#N/A,TRUE,"Balance Sheet"}</definedName>
    <definedName name="trtyy" localSheetId="22" hidden="1">{"CEA Group Budget years USD",#N/A,TRUE,"Profit and Loss";"CEA Group Budget years USD",#N/A,TRUE,"Firm capex";"CEA Group Budget years USD",#N/A,TRUE,"Gross profit analysis";"CEA Group Budget years USD",#N/A,TRUE,"Cashflow";"CEA Group Budget years USD",#N/A,TRUE,"Balance Sheet"}</definedName>
    <definedName name="trtyy" hidden="1">{"CEA Group Budget years USD",#N/A,TRUE,"Profit and Loss";"CEA Group Budget years USD",#N/A,TRUE,"Firm capex";"CEA Group Budget years USD",#N/A,TRUE,"Gross profit analysis";"CEA Group Budget years USD",#N/A,TRUE,"Cashflow";"CEA Group Budget years USD",#N/A,TRUE,"Balance Sheet"}</definedName>
    <definedName name="tyr" localSheetId="16" hidden="1">{"HSSH Budget years sterling",#N/A,TRUE,"Profit and Loss";"HSSH Budget years sterling",#N/A,TRUE,"Firm capex";"HSSH Budget years sterling",#N/A,TRUE,"Gross profit analysis";"HSSH Budget years sterling",#N/A,TRUE,"Cashflow";"HSSH Budget years sterling",#N/A,TRUE,"Balance Sheet"}</definedName>
    <definedName name="tyr" localSheetId="17" hidden="1">{"HSSH Budget years sterling",#N/A,TRUE,"Profit and Loss";"HSSH Budget years sterling",#N/A,TRUE,"Firm capex";"HSSH Budget years sterling",#N/A,TRUE,"Gross profit analysis";"HSSH Budget years sterling",#N/A,TRUE,"Cashflow";"HSSH Budget years sterling",#N/A,TRUE,"Balance Sheet"}</definedName>
    <definedName name="tyr" localSheetId="9" hidden="1">{"HSSH Budget years sterling",#N/A,TRUE,"Profit and Loss";"HSSH Budget years sterling",#N/A,TRUE,"Firm capex";"HSSH Budget years sterling",#N/A,TRUE,"Gross profit analysis";"HSSH Budget years sterling",#N/A,TRUE,"Cashflow";"HSSH Budget years sterling",#N/A,TRUE,"Balance Sheet"}</definedName>
    <definedName name="tyr" localSheetId="22" hidden="1">{"HSSH Budget years sterling",#N/A,TRUE,"Profit and Loss";"HSSH Budget years sterling",#N/A,TRUE,"Firm capex";"HSSH Budget years sterling",#N/A,TRUE,"Gross profit analysis";"HSSH Budget years sterling",#N/A,TRUE,"Cashflow";"HSSH Budget years sterling",#N/A,TRUE,"Balance Sheet"}</definedName>
    <definedName name="tyr" hidden="1">{"HSSH Budget years sterling",#N/A,TRUE,"Profit and Loss";"HSSH Budget years sterling",#N/A,TRUE,"Firm capex";"HSSH Budget years sterling",#N/A,TRUE,"Gross profit analysis";"HSSH Budget years sterling",#N/A,TRUE,"Cashflow";"HSSH Budget years sterling",#N/A,TRUE,"Balance Sheet"}</definedName>
    <definedName name="tyuipoiuop" localSheetId="16" hidden="1">{"EE4 Budget years USD",#N/A,TRUE,"Profit and Loss";"EE4 Budget years USD",#N/A,TRUE,"Firm capex";"EE4 Budget years USD",#N/A,TRUE,"Cashflow";"EE4 Budget years USD",#N/A,TRUE,"Balance Sheet"}</definedName>
    <definedName name="tyuipoiuop" localSheetId="17" hidden="1">{"EE4 Budget years USD",#N/A,TRUE,"Profit and Loss";"EE4 Budget years USD",#N/A,TRUE,"Firm capex";"EE4 Budget years USD",#N/A,TRUE,"Cashflow";"EE4 Budget years USD",#N/A,TRUE,"Balance Sheet"}</definedName>
    <definedName name="tyuipoiuop" localSheetId="9" hidden="1">{"EE4 Budget years USD",#N/A,TRUE,"Profit and Loss";"EE4 Budget years USD",#N/A,TRUE,"Firm capex";"EE4 Budget years USD",#N/A,TRUE,"Cashflow";"EE4 Budget years USD",#N/A,TRUE,"Balance Sheet"}</definedName>
    <definedName name="tyuipoiuop" localSheetId="22" hidden="1">{"EE4 Budget years USD",#N/A,TRUE,"Profit and Loss";"EE4 Budget years USD",#N/A,TRUE,"Firm capex";"EE4 Budget years USD",#N/A,TRUE,"Cashflow";"EE4 Budget years USD",#N/A,TRUE,"Balance Sheet"}</definedName>
    <definedName name="tyuipoiuop" hidden="1">{"EE4 Budget years USD",#N/A,TRUE,"Profit and Loss";"EE4 Budget years USD",#N/A,TRUE,"Firm capex";"EE4 Budget years USD",#N/A,TRUE,"Cashflow";"EE4 Budget years USD",#N/A,TRUE,"Balance Sheet"}</definedName>
    <definedName name="uuu" localSheetId="16" hidden="1">{"EE4 Budget years USD",#N/A,TRUE,"Profit and Loss";"EE4 Budget years USD",#N/A,TRUE,"Firm capex";"EE4 Budget years USD",#N/A,TRUE,"Cashflow";"EE4 Budget years USD",#N/A,TRUE,"Balance Sheet"}</definedName>
    <definedName name="uuu" localSheetId="17" hidden="1">{"EE4 Budget years USD",#N/A,TRUE,"Profit and Loss";"EE4 Budget years USD",#N/A,TRUE,"Firm capex";"EE4 Budget years USD",#N/A,TRUE,"Cashflow";"EE4 Budget years USD",#N/A,TRUE,"Balance Sheet"}</definedName>
    <definedName name="uuu" localSheetId="9" hidden="1">{"EE4 Budget years USD",#N/A,TRUE,"Profit and Loss";"EE4 Budget years USD",#N/A,TRUE,"Firm capex";"EE4 Budget years USD",#N/A,TRUE,"Cashflow";"EE4 Budget years USD",#N/A,TRUE,"Balance Sheet"}</definedName>
    <definedName name="uuu" localSheetId="22" hidden="1">{"EE4 Budget years USD",#N/A,TRUE,"Profit and Loss";"EE4 Budget years USD",#N/A,TRUE,"Firm capex";"EE4 Budget years USD",#N/A,TRUE,"Cashflow";"EE4 Budget years USD",#N/A,TRUE,"Balance Sheet"}</definedName>
    <definedName name="uuu" hidden="1">{"EE4 Budget years USD",#N/A,TRUE,"Profit and Loss";"EE4 Budget years USD",#N/A,TRUE,"Firm capex";"EE4 Budget years USD",#N/A,TRUE,"Cashflow";"EE4 Budget years USD",#N/A,TRUE,"Balance Sheet"}</definedName>
    <definedName name="weatherford" localSheetId="16" hidden="1">{"CEA Group budget months USD",#N/A,TRUE,"Profit and Loss";"CEA Group budget months USD",#N/A,TRUE,"Firm capex";"CEA Group budget months USD",#N/A,TRUE,"Gross profit analysis";"CEA Group budget months USD",#N/A,TRUE,"Cashflow";"CEA Group budget months USD",#N/A,TRUE,"Balance Sheet"}</definedName>
    <definedName name="weatherford" localSheetId="17" hidden="1">{"CEA Group budget months USD",#N/A,TRUE,"Profit and Loss";"CEA Group budget months USD",#N/A,TRUE,"Firm capex";"CEA Group budget months USD",#N/A,TRUE,"Gross profit analysis";"CEA Group budget months USD",#N/A,TRUE,"Cashflow";"CEA Group budget months USD",#N/A,TRUE,"Balance Sheet"}</definedName>
    <definedName name="weatherford" localSheetId="9" hidden="1">{"CEA Group budget months USD",#N/A,TRUE,"Profit and Loss";"CEA Group budget months USD",#N/A,TRUE,"Firm capex";"CEA Group budget months USD",#N/A,TRUE,"Gross profit analysis";"CEA Group budget months USD",#N/A,TRUE,"Cashflow";"CEA Group budget months USD",#N/A,TRUE,"Balance Sheet"}</definedName>
    <definedName name="weatherford" localSheetId="22" hidden="1">{"CEA Group budget months USD",#N/A,TRUE,"Profit and Loss";"CEA Group budget months USD",#N/A,TRUE,"Firm capex";"CEA Group budget months USD",#N/A,TRUE,"Gross profit analysis";"CEA Group budget months USD",#N/A,TRUE,"Cashflow";"CEA Group budget months USD",#N/A,TRUE,"Balance Sheet"}</definedName>
    <definedName name="weatherford" hidden="1">{"CEA Group budget months USD",#N/A,TRUE,"Profit and Loss";"CEA Group budget months USD",#N/A,TRUE,"Firm capex";"CEA Group budget months USD",#N/A,TRUE,"Gross profit analysis";"CEA Group budget months USD",#N/A,TRUE,"Cashflow";"CEA Group budget months USD",#N/A,TRUE,"Balance Sheet"}</definedName>
    <definedName name="wegnb" localSheetId="16" hidden="1">{"CEA Group budget months USD",#N/A,TRUE,"Profit and Loss";"CEA Group budget months USD",#N/A,TRUE,"Firm capex";"CEA Group budget months USD",#N/A,TRUE,"Gross profit analysis";"CEA Group budget months USD",#N/A,TRUE,"Cashflow";"CEA Group budget months USD",#N/A,TRUE,"Balance Sheet"}</definedName>
    <definedName name="wegnb" localSheetId="17" hidden="1">{"CEA Group budget months USD",#N/A,TRUE,"Profit and Loss";"CEA Group budget months USD",#N/A,TRUE,"Firm capex";"CEA Group budget months USD",#N/A,TRUE,"Gross profit analysis";"CEA Group budget months USD",#N/A,TRUE,"Cashflow";"CEA Group budget months USD",#N/A,TRUE,"Balance Sheet"}</definedName>
    <definedName name="wegnb" localSheetId="9" hidden="1">{"CEA Group budget months USD",#N/A,TRUE,"Profit and Loss";"CEA Group budget months USD",#N/A,TRUE,"Firm capex";"CEA Group budget months USD",#N/A,TRUE,"Gross profit analysis";"CEA Group budget months USD",#N/A,TRUE,"Cashflow";"CEA Group budget months USD",#N/A,TRUE,"Balance Sheet"}</definedName>
    <definedName name="wegnb" localSheetId="22" hidden="1">{"CEA Group budget months USD",#N/A,TRUE,"Profit and Loss";"CEA Group budget months USD",#N/A,TRUE,"Firm capex";"CEA Group budget months USD",#N/A,TRUE,"Gross profit analysis";"CEA Group budget months USD",#N/A,TRUE,"Cashflow";"CEA Group budget months USD",#N/A,TRUE,"Balance Sheet"}</definedName>
    <definedName name="wegnb" hidden="1">{"CEA Group budget months USD",#N/A,TRUE,"Profit and Loss";"CEA Group budget months USD",#N/A,TRUE,"Firm capex";"CEA Group budget months USD",#N/A,TRUE,"Gross profit analysis";"CEA Group budget months USD",#N/A,TRUE,"Cashflow";"CEA Group budget months USD",#N/A,TRUE,"Balance Sheet"}</definedName>
    <definedName name="WR" localSheetId="16" hidden="1">{"CEGH sub-group budget months only sterling",#N/A,TRUE,"Profit and Loss";"CEGH sub-group budget months only sterling",#N/A,TRUE,"Firm capex";"CEGH sub-group budget months only sterling",#N/A,TRUE,"Cashflow";"CEGH sub-group budget months only sterling",#N/A,TRUE,"Balance Sheet"}</definedName>
    <definedName name="WR" localSheetId="17" hidden="1">{"CEGH sub-group budget months only sterling",#N/A,TRUE,"Profit and Loss";"CEGH sub-group budget months only sterling",#N/A,TRUE,"Firm capex";"CEGH sub-group budget months only sterling",#N/A,TRUE,"Cashflow";"CEGH sub-group budget months only sterling",#N/A,TRUE,"Balance Sheet"}</definedName>
    <definedName name="WR" localSheetId="9" hidden="1">{"CEGH sub-group budget months only sterling",#N/A,TRUE,"Profit and Loss";"CEGH sub-group budget months only sterling",#N/A,TRUE,"Firm capex";"CEGH sub-group budget months only sterling",#N/A,TRUE,"Cashflow";"CEGH sub-group budget months only sterling",#N/A,TRUE,"Balance Sheet"}</definedName>
    <definedName name="WR" localSheetId="22" hidden="1">{"CEGH sub-group budget months only sterling",#N/A,TRUE,"Profit and Loss";"CEGH sub-group budget months only sterling",#N/A,TRUE,"Firm capex";"CEGH sub-group budget months only sterling",#N/A,TRUE,"Cashflow";"CEGH sub-group budget months only sterling",#N/A,TRUE,"Balance Sheet"}</definedName>
    <definedName name="WR" hidden="1">{"CEGH sub-group budget months only sterling",#N/A,TRUE,"Profit and Loss";"CEGH sub-group budget months only sterling",#N/A,TRUE,"Firm capex";"CEGH sub-group budget months only sterling",#N/A,TRUE,"Cashflow";"CEGH sub-group budget months only sterling",#N/A,TRUE,"Balance Sheet"}</definedName>
    <definedName name="wrn.CEA._.Budget._.months._.sterling."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months._.sterling." localSheetId="17"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months._.sterling." localSheetId="9"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months._.sterling." localSheetId="2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months._.sterling."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years._.sterling." localSheetId="16"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sterling." localSheetId="17"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sterling." localSheetId="9"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sterling." localSheetId="22"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sterling."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USD." localSheetId="16" hidden="1">{"CEA Group Budget years USD",#N/A,TRUE,"Profit and Loss";"CEA Group Budget years USD",#N/A,TRUE,"Firm capex";"CEA Group Budget years USD",#N/A,TRUE,"Gross profit analysis";"CEA Group Budget years USD",#N/A,TRUE,"Cashflow";"CEA Group Budget years USD",#N/A,TRUE,"Balance Sheet"}</definedName>
    <definedName name="wrn.CEA._.Budget._.years._.USD." localSheetId="17" hidden="1">{"CEA Group Budget years USD",#N/A,TRUE,"Profit and Loss";"CEA Group Budget years USD",#N/A,TRUE,"Firm capex";"CEA Group Budget years USD",#N/A,TRUE,"Gross profit analysis";"CEA Group Budget years USD",#N/A,TRUE,"Cashflow";"CEA Group Budget years USD",#N/A,TRUE,"Balance Sheet"}</definedName>
    <definedName name="wrn.CEA._.Budget._.years._.USD." localSheetId="9" hidden="1">{"CEA Group Budget years USD",#N/A,TRUE,"Profit and Loss";"CEA Group Budget years USD",#N/A,TRUE,"Firm capex";"CEA Group Budget years USD",#N/A,TRUE,"Gross profit analysis";"CEA Group Budget years USD",#N/A,TRUE,"Cashflow";"CEA Group Budget years USD",#N/A,TRUE,"Balance Sheet"}</definedName>
    <definedName name="wrn.CEA._.Budget._.years._.USD." localSheetId="22" hidden="1">{"CEA Group Budget years USD",#N/A,TRUE,"Profit and Loss";"CEA Group Budget years USD",#N/A,TRUE,"Firm capex";"CEA Group Budget years USD",#N/A,TRUE,"Gross profit analysis";"CEA Group Budget years USD",#N/A,TRUE,"Cashflow";"CEA Group Budget years USD",#N/A,TRUE,"Balance Sheet"}</definedName>
    <definedName name="wrn.CEA._.Budget._.years._.USD." hidden="1">{"CEA Group Budget years USD",#N/A,TRUE,"Profit and Loss";"CEA Group Budget years USD",#N/A,TRUE,"Firm capex";"CEA Group Budget years USD",#N/A,TRUE,"Gross profit analysis";"CEA Group Budget years USD",#N/A,TRUE,"Cashflow";"CEA Group Budget years USD",#N/A,TRUE,"Balance Sheet"}</definedName>
    <definedName name="wrn.CEA._.Group._.budget._.months._.USD." localSheetId="16" hidden="1">{"CEA Group budget months USD",#N/A,TRUE,"Profit and Loss";"CEA Group budget months USD",#N/A,TRUE,"Firm capex";"CEA Group budget months USD",#N/A,TRUE,"Gross profit analysis";"CEA Group budget months USD",#N/A,TRUE,"Cashflow";"CEA Group budget months USD",#N/A,TRUE,"Balance Sheet"}</definedName>
    <definedName name="wrn.CEA._.Group._.budget._.months._.USD." localSheetId="17" hidden="1">{"CEA Group budget months USD",#N/A,TRUE,"Profit and Loss";"CEA Group budget months USD",#N/A,TRUE,"Firm capex";"CEA Group budget months USD",#N/A,TRUE,"Gross profit analysis";"CEA Group budget months USD",#N/A,TRUE,"Cashflow";"CEA Group budget months USD",#N/A,TRUE,"Balance Sheet"}</definedName>
    <definedName name="wrn.CEA._.Group._.budget._.months._.USD." localSheetId="9" hidden="1">{"CEA Group budget months USD",#N/A,TRUE,"Profit and Loss";"CEA Group budget months USD",#N/A,TRUE,"Firm capex";"CEA Group budget months USD",#N/A,TRUE,"Gross profit analysis";"CEA Group budget months USD",#N/A,TRUE,"Cashflow";"CEA Group budget months USD",#N/A,TRUE,"Balance Sheet"}</definedName>
    <definedName name="wrn.CEA._.Group._.budget._.months._.USD." localSheetId="22" hidden="1">{"CEA Group budget months USD",#N/A,TRUE,"Profit and Loss";"CEA Group budget months USD",#N/A,TRUE,"Firm capex";"CEA Group budget months USD",#N/A,TRUE,"Gross profit analysis";"CEA Group budget months USD",#N/A,TRUE,"Cashflow";"CEA Group budget months USD",#N/A,TRUE,"Balance Sheet"}</definedName>
    <definedName name="wrn.CEA._.Group._.budget._.months._.USD." hidden="1">{"CEA Group budget months USD",#N/A,TRUE,"Profit and Loss";"CEA Group budget months USD",#N/A,TRUE,"Firm capex";"CEA Group budget months USD",#N/A,TRUE,"Gross profit analysis";"CEA Group budget months USD",#N/A,TRUE,"Cashflow";"CEA Group budget months USD",#N/A,TRUE,"Balance Sheet"}</definedName>
    <definedName name="wrn.CEGH._.Budget._.months._.sterling." localSheetId="16"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sterling." localSheetId="17"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sterling." localSheetId="9"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sterling." localSheetId="22"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sterling."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USD." localSheetId="16"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months._.USD." localSheetId="17"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months._.USD." localSheetId="9"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months._.USD." localSheetId="22"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months._.USD."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years._.sterling."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sterling." localSheetId="17"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sterling." localSheetId="9"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sterling." localSheetId="22"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sterling."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USD." localSheetId="16" hidden="1">{"CEGH Budget years USD",#N/A,TRUE,"Profit and Loss";"CEGH Budget years USD",#N/A,TRUE,"Firm capex";"CEGH Budget years USD",#N/A,TRUE,"Gross profit analysis";"CEGH Budget years USD",#N/A,TRUE,"Cashflow";"CEGH Budget years USD",#N/A,TRUE,"Balance Sheet"}</definedName>
    <definedName name="wrn.CEGh._.Budget._.years._.USD." localSheetId="17" hidden="1">{"CEGH Budget years USD",#N/A,TRUE,"Profit and Loss";"CEGH Budget years USD",#N/A,TRUE,"Firm capex";"CEGH Budget years USD",#N/A,TRUE,"Gross profit analysis";"CEGH Budget years USD",#N/A,TRUE,"Cashflow";"CEGH Budget years USD",#N/A,TRUE,"Balance Sheet"}</definedName>
    <definedName name="wrn.CEGh._.Budget._.years._.USD." localSheetId="9" hidden="1">{"CEGH Budget years USD",#N/A,TRUE,"Profit and Loss";"CEGH Budget years USD",#N/A,TRUE,"Firm capex";"CEGH Budget years USD",#N/A,TRUE,"Gross profit analysis";"CEGH Budget years USD",#N/A,TRUE,"Cashflow";"CEGH Budget years USD",#N/A,TRUE,"Balance Sheet"}</definedName>
    <definedName name="wrn.CEGh._.Budget._.years._.USD." localSheetId="22" hidden="1">{"CEGH Budget years USD",#N/A,TRUE,"Profit and Loss";"CEGH Budget years USD",#N/A,TRUE,"Firm capex";"CEGH Budget years USD",#N/A,TRUE,"Gross profit analysis";"CEGH Budget years USD",#N/A,TRUE,"Cashflow";"CEGH Budget years USD",#N/A,TRUE,"Balance Sheet"}</definedName>
    <definedName name="wrn.CEGh._.Budget._.years._.USD." hidden="1">{"CEGH Budget years USD",#N/A,TRUE,"Profit and Loss";"CEGH Budget years USD",#N/A,TRUE,"Firm capex";"CEGH Budget years USD",#N/A,TRUE,"Gross profit analysis";"CEGH Budget years USD",#N/A,TRUE,"Cashflow";"CEGH Budget years USD",#N/A,TRUE,"Balance Sheet"}</definedName>
    <definedName name="wrn.CEGH._.sub._.group._.months._.sterling." localSheetId="16"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sterling." localSheetId="17"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sterling." localSheetId="9"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sterling." localSheetId="22"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sterling."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USD." localSheetId="16" hidden="1">{"CEGH sub group months USD",#N/A,TRUE,"Profit and Loss";"CEGH sub group months USD",#N/A,TRUE,"Firm capex";"CEGH sub group months USD",#N/A,TRUE,"Cashflow";"CEGH sub group months USD",#N/A,TRUE,"Balance Sheet"}</definedName>
    <definedName name="wrn.CEGH._.sub._.group._.months._.USD." localSheetId="17" hidden="1">{"CEGH sub group months USD",#N/A,TRUE,"Profit and Loss";"CEGH sub group months USD",#N/A,TRUE,"Firm capex";"CEGH sub group months USD",#N/A,TRUE,"Cashflow";"CEGH sub group months USD",#N/A,TRUE,"Balance Sheet"}</definedName>
    <definedName name="wrn.CEGH._.sub._.group._.months._.USD." localSheetId="9" hidden="1">{"CEGH sub group months USD",#N/A,TRUE,"Profit and Loss";"CEGH sub group months USD",#N/A,TRUE,"Firm capex";"CEGH sub group months USD",#N/A,TRUE,"Cashflow";"CEGH sub group months USD",#N/A,TRUE,"Balance Sheet"}</definedName>
    <definedName name="wrn.CEGH._.sub._.group._.months._.USD." localSheetId="22" hidden="1">{"CEGH sub group months USD",#N/A,TRUE,"Profit and Loss";"CEGH sub group months USD",#N/A,TRUE,"Firm capex";"CEGH sub group months USD",#N/A,TRUE,"Cashflow";"CEGH sub group months USD",#N/A,TRUE,"Balance Sheet"}</definedName>
    <definedName name="wrn.CEGH._.sub._.group._.months._.USD." hidden="1">{"CEGH sub group months USD",#N/A,TRUE,"Profit and Loss";"CEGH sub group months USD",#N/A,TRUE,"Firm capex";"CEGH sub group months USD",#N/A,TRUE,"Cashflow";"CEGH sub group months USD",#N/A,TRUE,"Balance Sheet"}</definedName>
    <definedName name="wrn.CEGH._.sub._.group._.years._.sterling." localSheetId="16" hidden="1">{"CEGH sub-group budget years sterling",#N/A,TRUE,"Profit and Loss";"CEGH sub-group budget years sterling",#N/A,TRUE,"Firm capex";"CEGH sub-group budget years sterling",#N/A,TRUE,"Cashflow";"CEGH sub-group budget years sterling",#N/A,TRUE,"Balance Sheet"}</definedName>
    <definedName name="wrn.CEGH._.sub._.group._.years._.sterling." localSheetId="17" hidden="1">{"CEGH sub-group budget years sterling",#N/A,TRUE,"Profit and Loss";"CEGH sub-group budget years sterling",#N/A,TRUE,"Firm capex";"CEGH sub-group budget years sterling",#N/A,TRUE,"Cashflow";"CEGH sub-group budget years sterling",#N/A,TRUE,"Balance Sheet"}</definedName>
    <definedName name="wrn.CEGH._.sub._.group._.years._.sterling." localSheetId="9" hidden="1">{"CEGH sub-group budget years sterling",#N/A,TRUE,"Profit and Loss";"CEGH sub-group budget years sterling",#N/A,TRUE,"Firm capex";"CEGH sub-group budget years sterling",#N/A,TRUE,"Cashflow";"CEGH sub-group budget years sterling",#N/A,TRUE,"Balance Sheet"}</definedName>
    <definedName name="wrn.CEGH._.sub._.group._.years._.sterling." localSheetId="22" hidden="1">{"CEGH sub-group budget years sterling",#N/A,TRUE,"Profit and Loss";"CEGH sub-group budget years sterling",#N/A,TRUE,"Firm capex";"CEGH sub-group budget years sterling",#N/A,TRUE,"Cashflow";"CEGH sub-group budget years sterling",#N/A,TRUE,"Balance Sheet"}</definedName>
    <definedName name="wrn.CEGH._.sub._.group._.years._.sterling." hidden="1">{"CEGH sub-group budget years sterling",#N/A,TRUE,"Profit and Loss";"CEGH sub-group budget years sterling",#N/A,TRUE,"Firm capex";"CEGH sub-group budget years sterling",#N/A,TRUE,"Cashflow";"CEGH sub-group budget years sterling",#N/A,TRUE,"Balance Sheet"}</definedName>
    <definedName name="wrn.CEGH._.sub._.group._.years._.USD." localSheetId="16" hidden="1">{"CEGH sub-group years USD",#N/A,TRUE,"Profit and Loss";"CEGH sub-group years USD",#N/A,TRUE,"Firm capex";"CEGH sub-group years USD",#N/A,TRUE,"Cashflow";"CEGH sub-group years USD",#N/A,TRUE,"Balance Sheet"}</definedName>
    <definedName name="wrn.CEGH._.sub._.group._.years._.USD." localSheetId="17" hidden="1">{"CEGH sub-group years USD",#N/A,TRUE,"Profit and Loss";"CEGH sub-group years USD",#N/A,TRUE,"Firm capex";"CEGH sub-group years USD",#N/A,TRUE,"Cashflow";"CEGH sub-group years USD",#N/A,TRUE,"Balance Sheet"}</definedName>
    <definedName name="wrn.CEGH._.sub._.group._.years._.USD." localSheetId="9" hidden="1">{"CEGH sub-group years USD",#N/A,TRUE,"Profit and Loss";"CEGH sub-group years USD",#N/A,TRUE,"Firm capex";"CEGH sub-group years USD",#N/A,TRUE,"Cashflow";"CEGH sub-group years USD",#N/A,TRUE,"Balance Sheet"}</definedName>
    <definedName name="wrn.CEGH._.sub._.group._.years._.USD." localSheetId="22" hidden="1">{"CEGH sub-group years USD",#N/A,TRUE,"Profit and Loss";"CEGH sub-group years USD",#N/A,TRUE,"Firm capex";"CEGH sub-group years USD",#N/A,TRUE,"Cashflow";"CEGH sub-group years USD",#N/A,TRUE,"Balance Sheet"}</definedName>
    <definedName name="wrn.CEGH._.sub._.group._.years._.USD." hidden="1">{"CEGH sub-group years USD",#N/A,TRUE,"Profit and Loss";"CEGH sub-group years USD",#N/A,TRUE,"Firm capex";"CEGH sub-group years USD",#N/A,TRUE,"Cashflow";"CEGH sub-group years USD",#N/A,TRUE,"Balance Sheet"}</definedName>
    <definedName name="wrn.CEI._.Budget._.months._.sterling." localSheetId="16"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sterling." localSheetId="17"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sterling." localSheetId="9"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sterling." localSheetId="22"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sterling."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USD." localSheetId="16" hidden="1">{"CEI budget months USD",#N/A,TRUE,"Profit and Loss";"CEI budget months USD",#N/A,TRUE,"Firm capex";"CEI budget months USD",#N/A,TRUE,"Gross profit analysis";"CEI budget months USD",#N/A,TRUE,"Cashflow";"CEI budget months USD",#N/A,TRUE,"Balance Sheet"}</definedName>
    <definedName name="wrn.CEI._.Budget._.months._.USD." localSheetId="17" hidden="1">{"CEI budget months USD",#N/A,TRUE,"Profit and Loss";"CEI budget months USD",#N/A,TRUE,"Firm capex";"CEI budget months USD",#N/A,TRUE,"Gross profit analysis";"CEI budget months USD",#N/A,TRUE,"Cashflow";"CEI budget months USD",#N/A,TRUE,"Balance Sheet"}</definedName>
    <definedName name="wrn.CEI._.Budget._.months._.USD." localSheetId="9" hidden="1">{"CEI budget months USD",#N/A,TRUE,"Profit and Loss";"CEI budget months USD",#N/A,TRUE,"Firm capex";"CEI budget months USD",#N/A,TRUE,"Gross profit analysis";"CEI budget months USD",#N/A,TRUE,"Cashflow";"CEI budget months USD",#N/A,TRUE,"Balance Sheet"}</definedName>
    <definedName name="wrn.CEI._.Budget._.months._.USD." localSheetId="22" hidden="1">{"CEI budget months USD",#N/A,TRUE,"Profit and Loss";"CEI budget months USD",#N/A,TRUE,"Firm capex";"CEI budget months USD",#N/A,TRUE,"Gross profit analysis";"CEI budget months USD",#N/A,TRUE,"Cashflow";"CEI budget months USD",#N/A,TRUE,"Balance Sheet"}</definedName>
    <definedName name="wrn.CEI._.Budget._.months._.USD." hidden="1">{"CEI budget months USD",#N/A,TRUE,"Profit and Loss";"CEI budget months USD",#N/A,TRUE,"Firm capex";"CEI budget months USD",#N/A,TRUE,"Gross profit analysis";"CEI budget months USD",#N/A,TRUE,"Cashflow";"CEI budget months USD",#N/A,TRUE,"Balance Sheet"}</definedName>
    <definedName name="wrn.CEI._.Budget._.years._.sterling." localSheetId="16" hidden="1">{"CEI Budget years sterling",#N/A,TRUE,"Profit and Loss";"CEI Budget years sterling",#N/A,TRUE,"Firm capex";"CEI Budget years sterling",#N/A,TRUE,"Gross profit analysis";"CEI Budget years sterling",#N/A,TRUE,"Cashflow";"CEI Budget years sterling",#N/A,TRUE,"Balance Sheet"}</definedName>
    <definedName name="wrn.CEI._.Budget._.years._.sterling." localSheetId="17" hidden="1">{"CEI Budget years sterling",#N/A,TRUE,"Profit and Loss";"CEI Budget years sterling",#N/A,TRUE,"Firm capex";"CEI Budget years sterling",#N/A,TRUE,"Gross profit analysis";"CEI Budget years sterling",#N/A,TRUE,"Cashflow";"CEI Budget years sterling",#N/A,TRUE,"Balance Sheet"}</definedName>
    <definedName name="wrn.CEI._.Budget._.years._.sterling." localSheetId="9" hidden="1">{"CEI Budget years sterling",#N/A,TRUE,"Profit and Loss";"CEI Budget years sterling",#N/A,TRUE,"Firm capex";"CEI Budget years sterling",#N/A,TRUE,"Gross profit analysis";"CEI Budget years sterling",#N/A,TRUE,"Cashflow";"CEI Budget years sterling",#N/A,TRUE,"Balance Sheet"}</definedName>
    <definedName name="wrn.CEI._.Budget._.years._.sterling." localSheetId="22" hidden="1">{"CEI Budget years sterling",#N/A,TRUE,"Profit and Loss";"CEI Budget years sterling",#N/A,TRUE,"Firm capex";"CEI Budget years sterling",#N/A,TRUE,"Gross profit analysis";"CEI Budget years sterling",#N/A,TRUE,"Cashflow";"CEI Budget years sterling",#N/A,TRUE,"Balance Sheet"}</definedName>
    <definedName name="wrn.CEI._.Budget._.years._.sterling." hidden="1">{"CEI Budget years sterling",#N/A,TRUE,"Profit and Loss";"CEI Budget years sterling",#N/A,TRUE,"Firm capex";"CEI Budget years sterling",#N/A,TRUE,"Gross profit analysis";"CEI Budget years sterling",#N/A,TRUE,"Cashflow";"CEI Budget years sterling",#N/A,TRUE,"Balance Sheet"}</definedName>
    <definedName name="wrn.CEI._.Budget._.years._.USD." localSheetId="16" hidden="1">{"CEI Budget years USD",#N/A,TRUE,"Profit and Loss";"CEI Budget years USD",#N/A,TRUE,"Firm capex";"CEI Budget years USD",#N/A,TRUE,"Gross profit analysis";"CEI Budget years USD",#N/A,TRUE,"Cashflow";"CEI Budget years USD",#N/A,TRUE,"Balance Sheet"}</definedName>
    <definedName name="wrn.CEI._.Budget._.years._.USD." localSheetId="17" hidden="1">{"CEI Budget years USD",#N/A,TRUE,"Profit and Loss";"CEI Budget years USD",#N/A,TRUE,"Firm capex";"CEI Budget years USD",#N/A,TRUE,"Gross profit analysis";"CEI Budget years USD",#N/A,TRUE,"Cashflow";"CEI Budget years USD",#N/A,TRUE,"Balance Sheet"}</definedName>
    <definedName name="wrn.CEI._.Budget._.years._.USD." localSheetId="9" hidden="1">{"CEI Budget years USD",#N/A,TRUE,"Profit and Loss";"CEI Budget years USD",#N/A,TRUE,"Firm capex";"CEI Budget years USD",#N/A,TRUE,"Gross profit analysis";"CEI Budget years USD",#N/A,TRUE,"Cashflow";"CEI Budget years USD",#N/A,TRUE,"Balance Sheet"}</definedName>
    <definedName name="wrn.CEI._.Budget._.years._.USD." localSheetId="22" hidden="1">{"CEI Budget years USD",#N/A,TRUE,"Profit and Loss";"CEI Budget years USD",#N/A,TRUE,"Firm capex";"CEI Budget years USD",#N/A,TRUE,"Gross profit analysis";"CEI Budget years USD",#N/A,TRUE,"Cashflow";"CEI Budget years USD",#N/A,TRUE,"Balance Sheet"}</definedName>
    <definedName name="wrn.CEI._.Budget._.years._.USD." hidden="1">{"CEI Budget years USD",#N/A,TRUE,"Profit and Loss";"CEI Budget years USD",#N/A,TRUE,"Firm capex";"CEI Budget years USD",#N/A,TRUE,"Gross profit analysis";"CEI Budget years USD",#N/A,TRUE,"Cashflow";"CEI Budget years USD",#N/A,TRUE,"Balance Sheet"}</definedName>
    <definedName name="wrn.EE4._.Budget._.months._.sterling." localSheetId="16" hidden="1">{"EE4 Budget months only sterling",#N/A,TRUE,"Profit and Loss";"EE4 Budget months only sterling",#N/A,TRUE,"Firm capex";"EE4 Budget months only sterling",#N/A,TRUE,"Cashflow";"EE4 Budget months only sterling",#N/A,TRUE,"Balance Sheet"}</definedName>
    <definedName name="wrn.EE4._.Budget._.months._.sterling." localSheetId="17" hidden="1">{"EE4 Budget months only sterling",#N/A,TRUE,"Profit and Loss";"EE4 Budget months only sterling",#N/A,TRUE,"Firm capex";"EE4 Budget months only sterling",#N/A,TRUE,"Cashflow";"EE4 Budget months only sterling",#N/A,TRUE,"Balance Sheet"}</definedName>
    <definedName name="wrn.EE4._.Budget._.months._.sterling." localSheetId="9" hidden="1">{"EE4 Budget months only sterling",#N/A,TRUE,"Profit and Loss";"EE4 Budget months only sterling",#N/A,TRUE,"Firm capex";"EE4 Budget months only sterling",#N/A,TRUE,"Cashflow";"EE4 Budget months only sterling",#N/A,TRUE,"Balance Sheet"}</definedName>
    <definedName name="wrn.EE4._.Budget._.months._.sterling." localSheetId="22" hidden="1">{"EE4 Budget months only sterling",#N/A,TRUE,"Profit and Loss";"EE4 Budget months only sterling",#N/A,TRUE,"Firm capex";"EE4 Budget months only sterling",#N/A,TRUE,"Cashflow";"EE4 Budget months only sterling",#N/A,TRUE,"Balance Sheet"}</definedName>
    <definedName name="wrn.EE4._.Budget._.months._.sterling." hidden="1">{"EE4 Budget months only sterling",#N/A,TRUE,"Profit and Loss";"EE4 Budget months only sterling",#N/A,TRUE,"Firm capex";"EE4 Budget months only sterling",#N/A,TRUE,"Cashflow";"EE4 Budget months only sterling",#N/A,TRUE,"Balance Sheet"}</definedName>
    <definedName name="wrn.EE4._.Budget._.months._.USD." localSheetId="16" hidden="1">{"EE4 Budget months only in USD",#N/A,TRUE,"Profit and Loss";"EE4 Budget months only in USD",#N/A,TRUE,"Firm capex";"EE4 Budget months only in USD",#N/A,TRUE,"Cashflow";"EE4 Budget months only in USD",#N/A,TRUE,"Balance Sheet"}</definedName>
    <definedName name="wrn.EE4._.Budget._.months._.USD." localSheetId="17" hidden="1">{"EE4 Budget months only in USD",#N/A,TRUE,"Profit and Loss";"EE4 Budget months only in USD",#N/A,TRUE,"Firm capex";"EE4 Budget months only in USD",#N/A,TRUE,"Cashflow";"EE4 Budget months only in USD",#N/A,TRUE,"Balance Sheet"}</definedName>
    <definedName name="wrn.EE4._.Budget._.months._.USD." localSheetId="9" hidden="1">{"EE4 Budget months only in USD",#N/A,TRUE,"Profit and Loss";"EE4 Budget months only in USD",#N/A,TRUE,"Firm capex";"EE4 Budget months only in USD",#N/A,TRUE,"Cashflow";"EE4 Budget months only in USD",#N/A,TRUE,"Balance Sheet"}</definedName>
    <definedName name="wrn.EE4._.Budget._.months._.USD." localSheetId="22" hidden="1">{"EE4 Budget months only in USD",#N/A,TRUE,"Profit and Loss";"EE4 Budget months only in USD",#N/A,TRUE,"Firm capex";"EE4 Budget months only in USD",#N/A,TRUE,"Cashflow";"EE4 Budget months only in USD",#N/A,TRUE,"Balance Sheet"}</definedName>
    <definedName name="wrn.EE4._.Budget._.months._.USD." hidden="1">{"EE4 Budget months only in USD",#N/A,TRUE,"Profit and Loss";"EE4 Budget months only in USD",#N/A,TRUE,"Firm capex";"EE4 Budget months only in USD",#N/A,TRUE,"Cashflow";"EE4 Budget months only in USD",#N/A,TRUE,"Balance Sheet"}</definedName>
    <definedName name="wrn.EE4._.budget._.years._.sterling." localSheetId="16" hidden="1">{"EE4 Budget years sterling",#N/A,TRUE,"Profit and Loss";"EE4 Budget years sterling",#N/A,TRUE,"Firm capex";"EE4 Budget years sterling",#N/A,TRUE,"Cashflow";"EE4 Budget years sterling",#N/A,TRUE,"Balance Sheet"}</definedName>
    <definedName name="wrn.EE4._.budget._.years._.sterling." localSheetId="17" hidden="1">{"EE4 Budget years sterling",#N/A,TRUE,"Profit and Loss";"EE4 Budget years sterling",#N/A,TRUE,"Firm capex";"EE4 Budget years sterling",#N/A,TRUE,"Cashflow";"EE4 Budget years sterling",#N/A,TRUE,"Balance Sheet"}</definedName>
    <definedName name="wrn.EE4._.budget._.years._.sterling." localSheetId="9" hidden="1">{"EE4 Budget years sterling",#N/A,TRUE,"Profit and Loss";"EE4 Budget years sterling",#N/A,TRUE,"Firm capex";"EE4 Budget years sterling",#N/A,TRUE,"Cashflow";"EE4 Budget years sterling",#N/A,TRUE,"Balance Sheet"}</definedName>
    <definedName name="wrn.EE4._.budget._.years._.sterling." localSheetId="22" hidden="1">{"EE4 Budget years sterling",#N/A,TRUE,"Profit and Loss";"EE4 Budget years sterling",#N/A,TRUE,"Firm capex";"EE4 Budget years sterling",#N/A,TRUE,"Cashflow";"EE4 Budget years sterling",#N/A,TRUE,"Balance Sheet"}</definedName>
    <definedName name="wrn.EE4._.budget._.years._.sterling." hidden="1">{"EE4 Budget years sterling",#N/A,TRUE,"Profit and Loss";"EE4 Budget years sterling",#N/A,TRUE,"Firm capex";"EE4 Budget years sterling",#N/A,TRUE,"Cashflow";"EE4 Budget years sterling",#N/A,TRUE,"Balance Sheet"}</definedName>
    <definedName name="wrn.EE4._.Budget._.years._.USD." localSheetId="16" hidden="1">{"EE4 Budget years USD",#N/A,TRUE,"Profit and Loss";"EE4 Budget years USD",#N/A,TRUE,"Firm capex";"EE4 Budget years USD",#N/A,TRUE,"Cashflow";"EE4 Budget years USD",#N/A,TRUE,"Balance Sheet"}</definedName>
    <definedName name="wrn.EE4._.Budget._.years._.USD." localSheetId="17" hidden="1">{"EE4 Budget years USD",#N/A,TRUE,"Profit and Loss";"EE4 Budget years USD",#N/A,TRUE,"Firm capex";"EE4 Budget years USD",#N/A,TRUE,"Cashflow";"EE4 Budget years USD",#N/A,TRUE,"Balance Sheet"}</definedName>
    <definedName name="wrn.EE4._.Budget._.years._.USD." localSheetId="9" hidden="1">{"EE4 Budget years USD",#N/A,TRUE,"Profit and Loss";"EE4 Budget years USD",#N/A,TRUE,"Firm capex";"EE4 Budget years USD",#N/A,TRUE,"Cashflow";"EE4 Budget years USD",#N/A,TRUE,"Balance Sheet"}</definedName>
    <definedName name="wrn.EE4._.Budget._.years._.USD." localSheetId="22" hidden="1">{"EE4 Budget years USD",#N/A,TRUE,"Profit and Loss";"EE4 Budget years USD",#N/A,TRUE,"Firm capex";"EE4 Budget years USD",#N/A,TRUE,"Cashflow";"EE4 Budget years USD",#N/A,TRUE,"Balance Sheet"}</definedName>
    <definedName name="wrn.EE4._.Budget._.years._.USD." hidden="1">{"EE4 Budget years USD",#N/A,TRUE,"Profit and Loss";"EE4 Budget years USD",#N/A,TRUE,"Firm capex";"EE4 Budget years USD",#N/A,TRUE,"Cashflow";"EE4 Budget years USD",#N/A,TRUE,"Balance Sheet"}</definedName>
    <definedName name="wrn.Group._.budget._.months._.only." localSheetId="16" hidden="1">{"Group Budget months only",#N/A,TRUE,"Profit and Loss";"Group Budget months only",#N/A,TRUE,"Firm capex";"Group Budget months only",#N/A,TRUE,"Gross profit analysis";"Group Budget months only",#N/A,TRUE,"Cashflow";"Group Budget months only",#N/A,TRUE,"Balance Sheet"}</definedName>
    <definedName name="wrn.Group._.budget._.months._.only." localSheetId="17" hidden="1">{"Group Budget months only",#N/A,TRUE,"Profit and Loss";"Group Budget months only",#N/A,TRUE,"Firm capex";"Group Budget months only",#N/A,TRUE,"Gross profit analysis";"Group Budget months only",#N/A,TRUE,"Cashflow";"Group Budget months only",#N/A,TRUE,"Balance Sheet"}</definedName>
    <definedName name="wrn.Group._.budget._.months._.only." localSheetId="9" hidden="1">{"Group Budget months only",#N/A,TRUE,"Profit and Loss";"Group Budget months only",#N/A,TRUE,"Firm capex";"Group Budget months only",#N/A,TRUE,"Gross profit analysis";"Group Budget months only",#N/A,TRUE,"Cashflow";"Group Budget months only",#N/A,TRUE,"Balance Sheet"}</definedName>
    <definedName name="wrn.Group._.budget._.months._.only." localSheetId="22" hidden="1">{"Group Budget months only",#N/A,TRUE,"Profit and Loss";"Group Budget months only",#N/A,TRUE,"Firm capex";"Group Budget months only",#N/A,TRUE,"Gross profit analysis";"Group Budget months only",#N/A,TRUE,"Cashflow";"Group Budget months only",#N/A,TRUE,"Balance Sheet"}</definedName>
    <definedName name="wrn.Group._.budget._.months._.only." hidden="1">{"Group Budget months only",#N/A,TRUE,"Profit and Loss";"Group Budget months only",#N/A,TRUE,"Firm capex";"Group Budget months only",#N/A,TRUE,"Gross profit analysis";"Group Budget months only",#N/A,TRUE,"Cashflow";"Group Budget months only",#N/A,TRUE,"Balance Sheet"}</definedName>
    <definedName name="wrn.Group._.budget._.years._.only." localSheetId="16" hidden="1">{"Group Budget years only",#N/A,TRUE,"Profit and Loss";"Group Budget years only",#N/A,TRUE,"Firm capex";"Group Budget years only",#N/A,TRUE,"Gross profit analysis";"Group Budget years only",#N/A,TRUE,"Cashflow";"Group Budget years only",#N/A,TRUE,"Balance Sheet"}</definedName>
    <definedName name="wrn.Group._.budget._.years._.only." localSheetId="17" hidden="1">{"Group Budget years only",#N/A,TRUE,"Profit and Loss";"Group Budget years only",#N/A,TRUE,"Firm capex";"Group Budget years only",#N/A,TRUE,"Gross profit analysis";"Group Budget years only",#N/A,TRUE,"Cashflow";"Group Budget years only",#N/A,TRUE,"Balance Sheet"}</definedName>
    <definedName name="wrn.Group._.budget._.years._.only." localSheetId="9" hidden="1">{"Group Budget years only",#N/A,TRUE,"Profit and Loss";"Group Budget years only",#N/A,TRUE,"Firm capex";"Group Budget years only",#N/A,TRUE,"Gross profit analysis";"Group Budget years only",#N/A,TRUE,"Cashflow";"Group Budget years only",#N/A,TRUE,"Balance Sheet"}</definedName>
    <definedName name="wrn.Group._.budget._.years._.only." localSheetId="22" hidden="1">{"Group Budget years only",#N/A,TRUE,"Profit and Loss";"Group Budget years only",#N/A,TRUE,"Firm capex";"Group Budget years only",#N/A,TRUE,"Gross profit analysis";"Group Budget years only",#N/A,TRUE,"Cashflow";"Group Budget years only",#N/A,TRUE,"Balance Sheet"}</definedName>
    <definedName name="wrn.Group._.budget._.years._.only." hidden="1">{"Group Budget years only",#N/A,TRUE,"Profit and Loss";"Group Budget years only",#N/A,TRUE,"Firm capex";"Group Budget years only",#N/A,TRUE,"Gross profit analysis";"Group Budget years only",#N/A,TRUE,"Cashflow";"Group Budget years only",#N/A,TRUE,"Balance Sheet"}</definedName>
    <definedName name="wrn.HSSH._.budget._.months._.NLG." localSheetId="16"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NLG." localSheetId="17"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NLG." localSheetId="9"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NLG." localSheetId="22"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NLG."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sterling." localSheetId="16"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months._.sterling." localSheetId="17"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months._.sterling." localSheetId="9"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months._.sterling." localSheetId="22"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months._.sterling."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years._.NLG." localSheetId="16" hidden="1">{"HSSH Budget years NLG",#N/A,TRUE,"Profit and Loss";"HSSH Budget years NLG",#N/A,TRUE,"Firm capex";"HSSH Budget years NLG",#N/A,TRUE,"Gross profit analysis";"HSSH Budget years NLG",#N/A,TRUE,"Cashflow";"HSSH Budget years NLG",#N/A,TRUE,"Balance Sheet"}</definedName>
    <definedName name="wrn.HSSH._.budget._.years._.NLG." localSheetId="17" hidden="1">{"HSSH Budget years NLG",#N/A,TRUE,"Profit and Loss";"HSSH Budget years NLG",#N/A,TRUE,"Firm capex";"HSSH Budget years NLG",#N/A,TRUE,"Gross profit analysis";"HSSH Budget years NLG",#N/A,TRUE,"Cashflow";"HSSH Budget years NLG",#N/A,TRUE,"Balance Sheet"}</definedName>
    <definedName name="wrn.HSSH._.budget._.years._.NLG." localSheetId="9" hidden="1">{"HSSH Budget years NLG",#N/A,TRUE,"Profit and Loss";"HSSH Budget years NLG",#N/A,TRUE,"Firm capex";"HSSH Budget years NLG",#N/A,TRUE,"Gross profit analysis";"HSSH Budget years NLG",#N/A,TRUE,"Cashflow";"HSSH Budget years NLG",#N/A,TRUE,"Balance Sheet"}</definedName>
    <definedName name="wrn.HSSH._.budget._.years._.NLG." localSheetId="22" hidden="1">{"HSSH Budget years NLG",#N/A,TRUE,"Profit and Loss";"HSSH Budget years NLG",#N/A,TRUE,"Firm capex";"HSSH Budget years NLG",#N/A,TRUE,"Gross profit analysis";"HSSH Budget years NLG",#N/A,TRUE,"Cashflow";"HSSH Budget years NLG",#N/A,TRUE,"Balance Sheet"}</definedName>
    <definedName name="wrn.HSSH._.budget._.years._.NLG." hidden="1">{"HSSH Budget years NLG",#N/A,TRUE,"Profit and Loss";"HSSH Budget years NLG",#N/A,TRUE,"Firm capex";"HSSH Budget years NLG",#N/A,TRUE,"Gross profit analysis";"HSSH Budget years NLG",#N/A,TRUE,"Cashflow";"HSSH Budget years NLG",#N/A,TRUE,"Balance Sheet"}</definedName>
    <definedName name="wrn.HSSH._.Budget._.years._.sterling." localSheetId="16" hidden="1">{"HSSH Budget years sterling",#N/A,TRUE,"Profit and Loss";"HSSH Budget years sterling",#N/A,TRUE,"Firm capex";"HSSH Budget years sterling",#N/A,TRUE,"Gross profit analysis";"HSSH Budget years sterling",#N/A,TRUE,"Cashflow";"HSSH Budget years sterling",#N/A,TRUE,"Balance Sheet"}</definedName>
    <definedName name="wrn.HSSH._.Budget._.years._.sterling." localSheetId="17" hidden="1">{"HSSH Budget years sterling",#N/A,TRUE,"Profit and Loss";"HSSH Budget years sterling",#N/A,TRUE,"Firm capex";"HSSH Budget years sterling",#N/A,TRUE,"Gross profit analysis";"HSSH Budget years sterling",#N/A,TRUE,"Cashflow";"HSSH Budget years sterling",#N/A,TRUE,"Balance Sheet"}</definedName>
    <definedName name="wrn.HSSH._.Budget._.years._.sterling." localSheetId="9" hidden="1">{"HSSH Budget years sterling",#N/A,TRUE,"Profit and Loss";"HSSH Budget years sterling",#N/A,TRUE,"Firm capex";"HSSH Budget years sterling",#N/A,TRUE,"Gross profit analysis";"HSSH Budget years sterling",#N/A,TRUE,"Cashflow";"HSSH Budget years sterling",#N/A,TRUE,"Balance Sheet"}</definedName>
    <definedName name="wrn.HSSH._.Budget._.years._.sterling." localSheetId="22" hidden="1">{"HSSH Budget years sterling",#N/A,TRUE,"Profit and Loss";"HSSH Budget years sterling",#N/A,TRUE,"Firm capex";"HSSH Budget years sterling",#N/A,TRUE,"Gross profit analysis";"HSSH Budget years sterling",#N/A,TRUE,"Cashflow";"HSSH Budget years sterling",#N/A,TRUE,"Balance Sheet"}</definedName>
    <definedName name="wrn.HSSH._.Budget._.years._.sterling." hidden="1">{"HSSH Budget years sterling",#N/A,TRUE,"Profit and Loss";"HSSH Budget years sterling",#N/A,TRUE,"Firm capex";"HSSH Budget years sterling",#N/A,TRUE,"Gross profit analysis";"HSSH Budget years sterling",#N/A,TRUE,"Cashflow";"HSSH Budget years sterling",#N/A,TRUE,"Balance Sheet"}</definedName>
    <definedName name="wrn.imprim." localSheetId="16"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17"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9"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22"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OBM." localSheetId="16" hidden="1">{#N/A,#N/A,FALSE,"Oil-Based Mud"}</definedName>
    <definedName name="wrn.OBM." localSheetId="17" hidden="1">{#N/A,#N/A,FALSE,"Oil-Based Mud"}</definedName>
    <definedName name="wrn.OBM." localSheetId="9" hidden="1">{#N/A,#N/A,FALSE,"Oil-Based Mud"}</definedName>
    <definedName name="wrn.OBM." localSheetId="22" hidden="1">{#N/A,#N/A,FALSE,"Oil-Based Mud"}</definedName>
    <definedName name="wrn.OBM." hidden="1">{#N/A,#N/A,FALSE,"Oil-Based Mud"}</definedName>
    <definedName name="wrn.PLC._.Co.._.budget._.months." localSheetId="16"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_.budget._.months." localSheetId="17"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_.budget._.months." localSheetId="9"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_.budget._.months." localSheetId="22"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_.budget._.months."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mpany._.budget._.years." localSheetId="16" hidden="1">{"PLC Company Budget years",#N/A,TRUE,"Profit and Loss";"PLC Company Budget years",#N/A,TRUE,"Firm capex";"PLC Company Budget years",#N/A,TRUE,"Gross profit analysis";"PLC Company Budget years",#N/A,TRUE,"Cashflow";"PLC Company Budget years",#N/A,TRUE,"Balance Sheet"}</definedName>
    <definedName name="wrn.PLC._.Company._.budget._.years." localSheetId="17" hidden="1">{"PLC Company Budget years",#N/A,TRUE,"Profit and Loss";"PLC Company Budget years",#N/A,TRUE,"Firm capex";"PLC Company Budget years",#N/A,TRUE,"Gross profit analysis";"PLC Company Budget years",#N/A,TRUE,"Cashflow";"PLC Company Budget years",#N/A,TRUE,"Balance Sheet"}</definedName>
    <definedName name="wrn.PLC._.Company._.budget._.years." localSheetId="9" hidden="1">{"PLC Company Budget years",#N/A,TRUE,"Profit and Loss";"PLC Company Budget years",#N/A,TRUE,"Firm capex";"PLC Company Budget years",#N/A,TRUE,"Gross profit analysis";"PLC Company Budget years",#N/A,TRUE,"Cashflow";"PLC Company Budget years",#N/A,TRUE,"Balance Sheet"}</definedName>
    <definedName name="wrn.PLC._.Company._.budget._.years." localSheetId="22" hidden="1">{"PLC Company Budget years",#N/A,TRUE,"Profit and Loss";"PLC Company Budget years",#N/A,TRUE,"Firm capex";"PLC Company Budget years",#N/A,TRUE,"Gross profit analysis";"PLC Company Budget years",#N/A,TRUE,"Cashflow";"PLC Company Budget years",#N/A,TRUE,"Balance Sheet"}</definedName>
    <definedName name="wrn.PLC._.Company._.budget._.years." hidden="1">{"PLC Company Budget years",#N/A,TRUE,"Profit and Loss";"PLC Company Budget years",#N/A,TRUE,"Firm capex";"PLC Company Budget years",#N/A,TRUE,"Gross profit analysis";"PLC Company Budget years",#N/A,TRUE,"Cashflow";"PLC Company Budget years",#N/A,TRUE,"Balance Sheet"}</definedName>
    <definedName name="YEARS" localSheetId="16" hidden="1">{"HSSH Budget years sterling",#N/A,TRUE,"Profit and Loss";"HSSH Budget years sterling",#N/A,TRUE,"Firm capex";"HSSH Budget years sterling",#N/A,TRUE,"Gross profit analysis";"HSSH Budget years sterling",#N/A,TRUE,"Cashflow";"HSSH Budget years sterling",#N/A,TRUE,"Balance Sheet"}</definedName>
    <definedName name="YEARS" localSheetId="17" hidden="1">{"HSSH Budget years sterling",#N/A,TRUE,"Profit and Loss";"HSSH Budget years sterling",#N/A,TRUE,"Firm capex";"HSSH Budget years sterling",#N/A,TRUE,"Gross profit analysis";"HSSH Budget years sterling",#N/A,TRUE,"Cashflow";"HSSH Budget years sterling",#N/A,TRUE,"Balance Sheet"}</definedName>
    <definedName name="YEARS" localSheetId="9" hidden="1">{"HSSH Budget years sterling",#N/A,TRUE,"Profit and Loss";"HSSH Budget years sterling",#N/A,TRUE,"Firm capex";"HSSH Budget years sterling",#N/A,TRUE,"Gross profit analysis";"HSSH Budget years sterling",#N/A,TRUE,"Cashflow";"HSSH Budget years sterling",#N/A,TRUE,"Balance Sheet"}</definedName>
    <definedName name="YEARS" localSheetId="22" hidden="1">{"HSSH Budget years sterling",#N/A,TRUE,"Profit and Loss";"HSSH Budget years sterling",#N/A,TRUE,"Firm capex";"HSSH Budget years sterling",#N/A,TRUE,"Gross profit analysis";"HSSH Budget years sterling",#N/A,TRUE,"Cashflow";"HSSH Budget years sterling",#N/A,TRUE,"Balance Sheet"}</definedName>
    <definedName name="YEARS" hidden="1">{"HSSH Budget years sterling",#N/A,TRUE,"Profit and Loss";"HSSH Budget years sterling",#N/A,TRUE,"Firm capex";"HSSH Budget years sterling",#N/A,TRUE,"Gross profit analysis";"HSSH Budget years sterling",#N/A,TRUE,"Cashflow";"HSSH Budget years sterling",#N/A,TRUE,"Balance Sheet"}</definedName>
    <definedName name="Z" localSheetId="16"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Z" localSheetId="17"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Z" localSheetId="9"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Z" localSheetId="22"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Z"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 i="53" l="1"/>
  <c r="I13" i="52" l="1"/>
  <c r="E245" i="48"/>
  <c r="E240" i="48"/>
  <c r="M20" i="44" l="1"/>
  <c r="D236" i="48"/>
  <c r="E218" i="48"/>
  <c r="N20" i="44"/>
  <c r="D213" i="48"/>
  <c r="E206" i="48"/>
  <c r="N88" i="44" s="1"/>
  <c r="N91" i="44"/>
  <c r="M91" i="44"/>
  <c r="M88" i="44"/>
  <c r="D202" i="48"/>
  <c r="E94" i="48"/>
  <c r="E44" i="48"/>
  <c r="N21" i="44" s="1"/>
  <c r="D39" i="48" l="1"/>
  <c r="E27" i="48" l="1"/>
  <c r="E26" i="48"/>
  <c r="E25" i="48"/>
  <c r="E24" i="48"/>
  <c r="E23" i="48"/>
  <c r="H343" i="44"/>
  <c r="G343" i="44"/>
  <c r="H341" i="44"/>
  <c r="G341" i="44"/>
  <c r="H340" i="44"/>
  <c r="G340" i="44"/>
  <c r="H338" i="44"/>
  <c r="G338" i="44"/>
  <c r="H337" i="44"/>
  <c r="G337" i="44"/>
  <c r="H334" i="44"/>
  <c r="G334" i="44"/>
  <c r="H333" i="44"/>
  <c r="G333" i="44"/>
  <c r="H325" i="44"/>
  <c r="G325" i="44"/>
  <c r="H324" i="44"/>
  <c r="G324" i="44"/>
  <c r="H320" i="44"/>
  <c r="G320" i="44"/>
  <c r="H319" i="44"/>
  <c r="G319" i="44"/>
  <c r="H318" i="44"/>
  <c r="G318" i="44"/>
  <c r="H314" i="44"/>
  <c r="G314" i="44"/>
  <c r="H310" i="44"/>
  <c r="G310" i="44"/>
  <c r="H309" i="44"/>
  <c r="G309" i="44"/>
  <c r="H290" i="44"/>
  <c r="G290" i="44"/>
  <c r="H287" i="44"/>
  <c r="G287" i="44"/>
  <c r="H281" i="44"/>
  <c r="G281" i="44"/>
  <c r="H271" i="44"/>
  <c r="G271" i="44"/>
  <c r="H265" i="44"/>
  <c r="G265" i="44"/>
  <c r="H254" i="44"/>
  <c r="G254" i="44"/>
  <c r="H253" i="44"/>
  <c r="G253" i="44"/>
  <c r="H242" i="44"/>
  <c r="G242" i="44"/>
  <c r="H232" i="44"/>
  <c r="G232" i="44"/>
  <c r="H231" i="44"/>
  <c r="G231" i="44"/>
  <c r="H225" i="44"/>
  <c r="G225" i="44"/>
  <c r="H222" i="44"/>
  <c r="G222" i="44"/>
  <c r="H207" i="44"/>
  <c r="G207" i="44"/>
  <c r="H206" i="44"/>
  <c r="G206" i="44"/>
  <c r="H204" i="44"/>
  <c r="G204" i="44"/>
  <c r="H202" i="44"/>
  <c r="G202" i="44"/>
  <c r="H199" i="44"/>
  <c r="G199" i="44"/>
  <c r="H191" i="44"/>
  <c r="G191" i="44"/>
  <c r="H190" i="44"/>
  <c r="G190" i="44"/>
  <c r="H189" i="44"/>
  <c r="G189" i="44"/>
  <c r="H181" i="44"/>
  <c r="G181" i="44"/>
  <c r="H178" i="44"/>
  <c r="G178" i="44"/>
  <c r="H177" i="44"/>
  <c r="G177" i="44"/>
  <c r="H176" i="44"/>
  <c r="G176" i="44"/>
  <c r="H174" i="44"/>
  <c r="G174" i="44"/>
  <c r="H172" i="44"/>
  <c r="G172" i="44"/>
  <c r="H169" i="44"/>
  <c r="G169" i="44"/>
  <c r="H168" i="44"/>
  <c r="G168" i="44"/>
  <c r="H166" i="44"/>
  <c r="G166" i="44"/>
  <c r="H164" i="44"/>
  <c r="G164" i="44"/>
  <c r="H160" i="44"/>
  <c r="G160" i="44"/>
  <c r="H153" i="44"/>
  <c r="G153" i="44"/>
  <c r="H152" i="44"/>
  <c r="G152" i="44"/>
  <c r="H151" i="44"/>
  <c r="G151" i="44"/>
  <c r="H150" i="44"/>
  <c r="G150" i="44"/>
  <c r="H149" i="44"/>
  <c r="G149" i="44"/>
  <c r="H148" i="44"/>
  <c r="G148" i="44"/>
  <c r="H147" i="44"/>
  <c r="G147" i="44"/>
  <c r="H146" i="44"/>
  <c r="G146" i="44"/>
  <c r="H145" i="44"/>
  <c r="G145" i="44"/>
  <c r="H144" i="44"/>
  <c r="G144" i="44"/>
  <c r="H143" i="44"/>
  <c r="G143" i="44"/>
  <c r="H142" i="44"/>
  <c r="G142" i="44"/>
  <c r="H141" i="44"/>
  <c r="G141" i="44"/>
  <c r="H140" i="44"/>
  <c r="G140" i="44"/>
  <c r="H139" i="44"/>
  <c r="G139" i="44"/>
  <c r="H138" i="44"/>
  <c r="G138" i="44"/>
  <c r="H137" i="44"/>
  <c r="G137" i="44"/>
  <c r="H136" i="44"/>
  <c r="G136" i="44"/>
  <c r="H135" i="44"/>
  <c r="G135" i="44"/>
  <c r="H134" i="44"/>
  <c r="G134" i="44"/>
  <c r="H133" i="44"/>
  <c r="G133" i="44"/>
  <c r="H132" i="44"/>
  <c r="G132" i="44"/>
  <c r="H131" i="44"/>
  <c r="G131" i="44"/>
  <c r="H130" i="44"/>
  <c r="G130" i="44"/>
  <c r="H129" i="44"/>
  <c r="G129" i="44"/>
  <c r="H128" i="44"/>
  <c r="G128" i="44"/>
  <c r="H127" i="44"/>
  <c r="G127" i="44"/>
  <c r="H126" i="44"/>
  <c r="G126" i="44"/>
  <c r="H125" i="44"/>
  <c r="G125" i="44"/>
  <c r="H124" i="44"/>
  <c r="G124" i="44"/>
  <c r="H123" i="44"/>
  <c r="G123" i="44"/>
  <c r="H122" i="44"/>
  <c r="G122" i="44"/>
  <c r="H121" i="44"/>
  <c r="G121" i="44"/>
  <c r="H120" i="44"/>
  <c r="G120" i="44"/>
  <c r="H119" i="44"/>
  <c r="G119" i="44"/>
  <c r="H118" i="44"/>
  <c r="G118" i="44"/>
  <c r="H117" i="44"/>
  <c r="G117" i="44"/>
  <c r="H116" i="44"/>
  <c r="G116" i="44"/>
  <c r="H115" i="44"/>
  <c r="G115" i="44"/>
  <c r="H114" i="44"/>
  <c r="G114" i="44"/>
  <c r="H113" i="44"/>
  <c r="G113" i="44"/>
  <c r="H112" i="44"/>
  <c r="G112" i="44"/>
  <c r="H111" i="44"/>
  <c r="G111" i="44"/>
  <c r="H110" i="44"/>
  <c r="G110" i="44"/>
  <c r="H109" i="44"/>
  <c r="G109" i="44"/>
  <c r="H108" i="44"/>
  <c r="G108" i="44"/>
  <c r="H107" i="44"/>
  <c r="G107" i="44"/>
  <c r="H106" i="44"/>
  <c r="G106" i="44"/>
  <c r="H105" i="44"/>
  <c r="G105" i="44"/>
  <c r="H104" i="44"/>
  <c r="G104" i="44"/>
  <c r="H103" i="44"/>
  <c r="G103" i="44"/>
  <c r="H102" i="44"/>
  <c r="G102" i="44"/>
  <c r="H101" i="44"/>
  <c r="G101" i="44"/>
  <c r="H100" i="44"/>
  <c r="G100" i="44"/>
  <c r="H99" i="44"/>
  <c r="G99" i="44"/>
  <c r="H98" i="44"/>
  <c r="G98" i="44"/>
  <c r="H97" i="44"/>
  <c r="G97" i="44"/>
  <c r="H96" i="44"/>
  <c r="G96" i="44"/>
  <c r="H95" i="44"/>
  <c r="G95" i="44"/>
  <c r="H94" i="44"/>
  <c r="G94" i="44"/>
  <c r="H93" i="44"/>
  <c r="G93" i="44"/>
  <c r="H92" i="44"/>
  <c r="G92" i="44"/>
  <c r="H91" i="44"/>
  <c r="G91" i="44"/>
  <c r="H90" i="44"/>
  <c r="G90" i="44"/>
  <c r="H89" i="44"/>
  <c r="G89" i="44"/>
  <c r="H88" i="44"/>
  <c r="G88" i="44"/>
  <c r="H87" i="44"/>
  <c r="G87" i="44"/>
  <c r="H86" i="44"/>
  <c r="G86" i="44"/>
  <c r="H85" i="44"/>
  <c r="G85" i="44"/>
  <c r="H84" i="44"/>
  <c r="G84" i="44"/>
  <c r="H83" i="44"/>
  <c r="G83" i="44"/>
  <c r="H82" i="44"/>
  <c r="G82" i="44"/>
  <c r="H81" i="44"/>
  <c r="G81" i="44"/>
  <c r="H80" i="44"/>
  <c r="G80" i="44"/>
  <c r="H79" i="44"/>
  <c r="G79" i="44"/>
  <c r="H78" i="44"/>
  <c r="G78" i="44"/>
  <c r="H77" i="44"/>
  <c r="G77" i="44"/>
  <c r="G76" i="44"/>
  <c r="H75" i="44"/>
  <c r="G75" i="44"/>
  <c r="H74" i="44"/>
  <c r="G74" i="44"/>
  <c r="H73" i="44"/>
  <c r="G73" i="44"/>
  <c r="H72" i="44"/>
  <c r="G72" i="44"/>
  <c r="H71" i="44"/>
  <c r="G71" i="44"/>
  <c r="H70" i="44"/>
  <c r="G70" i="44"/>
  <c r="H69" i="44"/>
  <c r="G69" i="44"/>
  <c r="H68" i="44"/>
  <c r="G68" i="44"/>
  <c r="H67" i="44"/>
  <c r="G67" i="44"/>
  <c r="H66" i="44"/>
  <c r="G66" i="44"/>
  <c r="H65" i="44"/>
  <c r="G65" i="44"/>
  <c r="H64" i="44"/>
  <c r="G64" i="44"/>
  <c r="H63" i="44"/>
  <c r="G63" i="44"/>
  <c r="H62" i="44"/>
  <c r="G62" i="44"/>
  <c r="H61" i="44"/>
  <c r="G61" i="44"/>
  <c r="H60" i="44"/>
  <c r="G60" i="44"/>
  <c r="H59" i="44"/>
  <c r="G59" i="44"/>
  <c r="H58" i="44"/>
  <c r="G58" i="44"/>
  <c r="H57" i="44"/>
  <c r="G57" i="44"/>
  <c r="H56" i="44"/>
  <c r="G56" i="44"/>
  <c r="H55" i="44"/>
  <c r="G55" i="44"/>
  <c r="H54" i="44"/>
  <c r="G54" i="44"/>
  <c r="H53" i="44"/>
  <c r="G53" i="44"/>
  <c r="H52" i="44"/>
  <c r="G52" i="44"/>
  <c r="H51" i="44"/>
  <c r="G51" i="44"/>
  <c r="H50" i="44"/>
  <c r="G50" i="44"/>
  <c r="H49" i="44"/>
  <c r="G49" i="44"/>
  <c r="H48" i="44"/>
  <c r="G48" i="44"/>
  <c r="H47" i="44"/>
  <c r="G47" i="44"/>
  <c r="H46" i="44"/>
  <c r="G46" i="44"/>
  <c r="H45" i="44"/>
  <c r="G45" i="44"/>
  <c r="H44" i="44"/>
  <c r="G44" i="44"/>
  <c r="H43" i="44"/>
  <c r="G43" i="44"/>
  <c r="H42" i="44"/>
  <c r="G42" i="44"/>
  <c r="H41" i="44"/>
  <c r="G41" i="44"/>
  <c r="H40" i="44"/>
  <c r="G40" i="44"/>
  <c r="H39" i="44"/>
  <c r="G39" i="44"/>
  <c r="H38" i="44"/>
  <c r="G38" i="44"/>
  <c r="H37" i="44"/>
  <c r="G37" i="44"/>
  <c r="H36" i="44"/>
  <c r="G36" i="44"/>
  <c r="H35" i="44"/>
  <c r="G35" i="44"/>
  <c r="H34" i="44"/>
  <c r="G34" i="44"/>
  <c r="H33" i="44"/>
  <c r="G33" i="44"/>
  <c r="H32" i="44"/>
  <c r="G32" i="44"/>
  <c r="H31" i="44"/>
  <c r="G31" i="44"/>
  <c r="H30" i="44"/>
  <c r="G30" i="44"/>
  <c r="H29" i="44"/>
  <c r="G29" i="44"/>
  <c r="H28" i="44"/>
  <c r="G28" i="44"/>
  <c r="H27" i="44"/>
  <c r="G27" i="44"/>
  <c r="H26" i="44"/>
  <c r="G26" i="44"/>
  <c r="H25" i="44"/>
  <c r="G25" i="44"/>
  <c r="H24" i="44"/>
  <c r="G24" i="44"/>
  <c r="H23" i="44"/>
  <c r="G23" i="44"/>
  <c r="H22" i="44"/>
  <c r="G22" i="44"/>
  <c r="H21" i="44"/>
  <c r="G21" i="44"/>
  <c r="H20" i="44"/>
  <c r="G20" i="44"/>
  <c r="H19" i="44"/>
  <c r="G19" i="44"/>
  <c r="H18" i="44"/>
  <c r="G18" i="44"/>
  <c r="H17" i="44"/>
  <c r="G17" i="44"/>
  <c r="H16" i="44"/>
  <c r="G16" i="44"/>
  <c r="H15" i="44"/>
  <c r="G15" i="44"/>
  <c r="H14" i="44"/>
  <c r="G14" i="44"/>
  <c r="H13" i="44"/>
  <c r="G13" i="44"/>
  <c r="H12" i="44"/>
  <c r="G12" i="44"/>
  <c r="H11" i="44"/>
  <c r="G11" i="44"/>
  <c r="H10" i="44"/>
  <c r="G10" i="44"/>
  <c r="H9" i="44"/>
  <c r="G9" i="44"/>
  <c r="E2" i="44" l="1"/>
  <c r="F2" i="44" l="1"/>
  <c r="F1" i="44" s="1"/>
  <c r="K240" i="44" l="1"/>
  <c r="L240" i="44"/>
  <c r="M240" i="44"/>
  <c r="N240" i="44"/>
  <c r="O6" i="48"/>
  <c r="G9" i="10"/>
  <c r="E15" i="48"/>
  <c r="M9" i="44"/>
  <c r="K11" i="48"/>
  <c r="K12" i="48" s="1"/>
  <c r="D10" i="48" s="1"/>
  <c r="E11" i="48" s="1"/>
  <c r="M48" i="44" l="1"/>
  <c r="N293" i="44"/>
  <c r="M10" i="44"/>
  <c r="N10" i="44"/>
  <c r="M11" i="44"/>
  <c r="N11" i="44"/>
  <c r="M12" i="44"/>
  <c r="N12" i="44"/>
  <c r="M13" i="44"/>
  <c r="N13" i="44"/>
  <c r="M14" i="44"/>
  <c r="N14" i="44"/>
  <c r="M15" i="44"/>
  <c r="M16" i="44"/>
  <c r="N16" i="44"/>
  <c r="M17" i="44"/>
  <c r="N17" i="44"/>
  <c r="M18" i="44"/>
  <c r="N18" i="44"/>
  <c r="M19" i="44"/>
  <c r="N19" i="44"/>
  <c r="M21" i="44"/>
  <c r="M22" i="44"/>
  <c r="N22" i="44"/>
  <c r="M23" i="44"/>
  <c r="N23" i="44"/>
  <c r="M24" i="44"/>
  <c r="N24" i="44"/>
  <c r="M25" i="44"/>
  <c r="N25" i="44"/>
  <c r="M26" i="44"/>
  <c r="N26" i="44"/>
  <c r="M27" i="44"/>
  <c r="N27" i="44"/>
  <c r="M28" i="44"/>
  <c r="N28" i="44"/>
  <c r="M29" i="44"/>
  <c r="N29" i="44"/>
  <c r="M30" i="44"/>
  <c r="N30" i="44"/>
  <c r="M31" i="44"/>
  <c r="N31" i="44"/>
  <c r="M32" i="44"/>
  <c r="N32" i="44"/>
  <c r="M33" i="44"/>
  <c r="N33" i="44"/>
  <c r="M34" i="44"/>
  <c r="N34" i="44"/>
  <c r="M35" i="44"/>
  <c r="N35" i="44"/>
  <c r="M36" i="44"/>
  <c r="N36" i="44"/>
  <c r="M37" i="44"/>
  <c r="N37" i="44"/>
  <c r="M38" i="44"/>
  <c r="N38" i="44"/>
  <c r="M39" i="44"/>
  <c r="N39" i="44"/>
  <c r="M40" i="44"/>
  <c r="N40" i="44"/>
  <c r="N41" i="44"/>
  <c r="M42" i="44"/>
  <c r="N42" i="44"/>
  <c r="M43" i="44"/>
  <c r="N43" i="44"/>
  <c r="M44" i="44"/>
  <c r="N44" i="44"/>
  <c r="M45" i="44"/>
  <c r="N45" i="44"/>
  <c r="M46" i="44"/>
  <c r="N46" i="44"/>
  <c r="M47" i="44"/>
  <c r="N47" i="44"/>
  <c r="N48" i="44"/>
  <c r="M49" i="44"/>
  <c r="N49" i="44"/>
  <c r="M50" i="44"/>
  <c r="N50" i="44"/>
  <c r="M51" i="44"/>
  <c r="N51" i="44"/>
  <c r="M52" i="44"/>
  <c r="N52" i="44"/>
  <c r="M53" i="44"/>
  <c r="N53" i="44"/>
  <c r="M54" i="44"/>
  <c r="N54" i="44"/>
  <c r="M55" i="44"/>
  <c r="N55" i="44"/>
  <c r="M56" i="44"/>
  <c r="N56" i="44"/>
  <c r="M57" i="44"/>
  <c r="N57" i="44"/>
  <c r="M58" i="44"/>
  <c r="N58" i="44"/>
  <c r="M59" i="44"/>
  <c r="N59" i="44"/>
  <c r="M60" i="44"/>
  <c r="N60" i="44"/>
  <c r="M61" i="44"/>
  <c r="N61" i="44"/>
  <c r="M62" i="44"/>
  <c r="N62" i="44"/>
  <c r="M63" i="44"/>
  <c r="N63" i="44"/>
  <c r="M64" i="44"/>
  <c r="N64" i="44"/>
  <c r="M65" i="44"/>
  <c r="N65" i="44"/>
  <c r="M66" i="44"/>
  <c r="N66" i="44"/>
  <c r="M67" i="44"/>
  <c r="N67" i="44"/>
  <c r="M68" i="44"/>
  <c r="N68" i="44"/>
  <c r="M69" i="44"/>
  <c r="N69" i="44"/>
  <c r="M70" i="44"/>
  <c r="N70" i="44"/>
  <c r="M71" i="44"/>
  <c r="N71" i="44"/>
  <c r="M72" i="44"/>
  <c r="N72" i="44"/>
  <c r="M73" i="44"/>
  <c r="N73" i="44"/>
  <c r="M74" i="44"/>
  <c r="N74" i="44"/>
  <c r="M75" i="44"/>
  <c r="N75" i="44"/>
  <c r="M76" i="44"/>
  <c r="N76" i="44"/>
  <c r="M77" i="44"/>
  <c r="N77" i="44"/>
  <c r="M78" i="44"/>
  <c r="N78" i="44"/>
  <c r="M79" i="44"/>
  <c r="N79" i="44"/>
  <c r="M80" i="44"/>
  <c r="N80" i="44"/>
  <c r="M81" i="44"/>
  <c r="N81" i="44"/>
  <c r="M82" i="44"/>
  <c r="N82" i="44"/>
  <c r="M83" i="44"/>
  <c r="N83" i="44"/>
  <c r="M84" i="44"/>
  <c r="N84" i="44"/>
  <c r="M85" i="44"/>
  <c r="N85" i="44"/>
  <c r="M86" i="44"/>
  <c r="N86" i="44"/>
  <c r="M87" i="44"/>
  <c r="N87" i="44"/>
  <c r="M89" i="44"/>
  <c r="N89" i="44"/>
  <c r="M90" i="44"/>
  <c r="N90" i="44"/>
  <c r="M92" i="44"/>
  <c r="N92" i="44"/>
  <c r="M93" i="44"/>
  <c r="N93" i="44"/>
  <c r="M94" i="44"/>
  <c r="N94" i="44"/>
  <c r="M95" i="44"/>
  <c r="N95" i="44"/>
  <c r="M96" i="44"/>
  <c r="N96" i="44"/>
  <c r="M97" i="44"/>
  <c r="N97" i="44"/>
  <c r="M98" i="44"/>
  <c r="N98" i="44"/>
  <c r="M99" i="44"/>
  <c r="N99" i="44"/>
  <c r="M100" i="44"/>
  <c r="N100" i="44"/>
  <c r="M101" i="44"/>
  <c r="N101" i="44"/>
  <c r="M102" i="44"/>
  <c r="N102" i="44"/>
  <c r="M103" i="44"/>
  <c r="N103" i="44"/>
  <c r="M104" i="44"/>
  <c r="N104" i="44"/>
  <c r="M105" i="44"/>
  <c r="N105" i="44"/>
  <c r="M106" i="44"/>
  <c r="N106" i="44"/>
  <c r="M107" i="44"/>
  <c r="N107" i="44"/>
  <c r="M108" i="44"/>
  <c r="N108" i="44"/>
  <c r="M109" i="44"/>
  <c r="N109" i="44"/>
  <c r="M110" i="44"/>
  <c r="N110" i="44"/>
  <c r="M111" i="44"/>
  <c r="N111" i="44"/>
  <c r="M112" i="44"/>
  <c r="N112" i="44"/>
  <c r="M113" i="44"/>
  <c r="N113" i="44"/>
  <c r="M114" i="44"/>
  <c r="N114" i="44"/>
  <c r="M115" i="44"/>
  <c r="N115" i="44"/>
  <c r="M116" i="44"/>
  <c r="N116" i="44"/>
  <c r="M117" i="44"/>
  <c r="N117" i="44"/>
  <c r="M118" i="44"/>
  <c r="N118" i="44"/>
  <c r="M119" i="44"/>
  <c r="N119" i="44"/>
  <c r="M120" i="44"/>
  <c r="N120" i="44"/>
  <c r="M121" i="44"/>
  <c r="N121" i="44"/>
  <c r="M122" i="44"/>
  <c r="N122" i="44"/>
  <c r="M123" i="44"/>
  <c r="N123" i="44"/>
  <c r="M124" i="44"/>
  <c r="N124" i="44"/>
  <c r="M125" i="44"/>
  <c r="N125" i="44"/>
  <c r="M126" i="44"/>
  <c r="N126" i="44"/>
  <c r="M127" i="44"/>
  <c r="N127" i="44"/>
  <c r="M128" i="44"/>
  <c r="N128" i="44"/>
  <c r="M129" i="44"/>
  <c r="N129" i="44"/>
  <c r="M130" i="44"/>
  <c r="N130" i="44"/>
  <c r="M131" i="44"/>
  <c r="N131" i="44"/>
  <c r="M132" i="44"/>
  <c r="N132" i="44"/>
  <c r="M133" i="44"/>
  <c r="N133" i="44"/>
  <c r="M134" i="44"/>
  <c r="N134" i="44"/>
  <c r="M135" i="44"/>
  <c r="N135" i="44"/>
  <c r="M136" i="44"/>
  <c r="N136" i="44"/>
  <c r="M137" i="44"/>
  <c r="N137" i="44"/>
  <c r="M138" i="44"/>
  <c r="N138" i="44"/>
  <c r="M139" i="44"/>
  <c r="N139" i="44"/>
  <c r="M140" i="44"/>
  <c r="N140" i="44"/>
  <c r="M141" i="44"/>
  <c r="N141" i="44"/>
  <c r="M142" i="44"/>
  <c r="N142" i="44"/>
  <c r="M143" i="44"/>
  <c r="N143" i="44"/>
  <c r="M144" i="44"/>
  <c r="N144" i="44"/>
  <c r="M145" i="44"/>
  <c r="N145" i="44"/>
  <c r="M146" i="44"/>
  <c r="N146" i="44"/>
  <c r="M147" i="44"/>
  <c r="N147" i="44"/>
  <c r="M148" i="44"/>
  <c r="N148" i="44"/>
  <c r="M149" i="44"/>
  <c r="N149" i="44"/>
  <c r="M150" i="44"/>
  <c r="N150" i="44"/>
  <c r="M151" i="44"/>
  <c r="N151" i="44"/>
  <c r="M152" i="44"/>
  <c r="N152" i="44"/>
  <c r="M153" i="44"/>
  <c r="N153" i="44"/>
  <c r="M154" i="44"/>
  <c r="N154" i="44"/>
  <c r="M155" i="44"/>
  <c r="N155" i="44"/>
  <c r="M156" i="44"/>
  <c r="N156" i="44"/>
  <c r="M157" i="44"/>
  <c r="N157" i="44"/>
  <c r="M158" i="44"/>
  <c r="N158" i="44"/>
  <c r="M159" i="44"/>
  <c r="N159" i="44"/>
  <c r="M160" i="44"/>
  <c r="N160" i="44"/>
  <c r="M161" i="44"/>
  <c r="N161" i="44"/>
  <c r="M162" i="44"/>
  <c r="N162" i="44"/>
  <c r="M163" i="44"/>
  <c r="N163" i="44"/>
  <c r="M164" i="44"/>
  <c r="N164" i="44"/>
  <c r="M165" i="44"/>
  <c r="N165" i="44"/>
  <c r="M166" i="44"/>
  <c r="N166" i="44"/>
  <c r="M167" i="44"/>
  <c r="N167" i="44"/>
  <c r="M168" i="44"/>
  <c r="N168" i="44"/>
  <c r="M169" i="44"/>
  <c r="N169" i="44"/>
  <c r="M170" i="44"/>
  <c r="N170" i="44"/>
  <c r="M171" i="44"/>
  <c r="N171" i="44"/>
  <c r="M172" i="44"/>
  <c r="N172" i="44"/>
  <c r="M173" i="44"/>
  <c r="N173" i="44"/>
  <c r="M174" i="44"/>
  <c r="N174" i="44"/>
  <c r="M175" i="44"/>
  <c r="N175" i="44"/>
  <c r="M176" i="44"/>
  <c r="N176" i="44"/>
  <c r="M177" i="44"/>
  <c r="N177" i="44"/>
  <c r="M178" i="44"/>
  <c r="N178" i="44"/>
  <c r="M179" i="44"/>
  <c r="N179" i="44"/>
  <c r="M180" i="44"/>
  <c r="N180" i="44"/>
  <c r="M181" i="44"/>
  <c r="N181" i="44"/>
  <c r="M182" i="44"/>
  <c r="N182" i="44"/>
  <c r="M183" i="44"/>
  <c r="N183" i="44"/>
  <c r="M184" i="44"/>
  <c r="N184" i="44"/>
  <c r="M185" i="44"/>
  <c r="N185" i="44"/>
  <c r="M186" i="44"/>
  <c r="N186" i="44"/>
  <c r="M187" i="44"/>
  <c r="N187" i="44"/>
  <c r="M188" i="44"/>
  <c r="N188" i="44"/>
  <c r="M189" i="44"/>
  <c r="N189" i="44"/>
  <c r="M190" i="44"/>
  <c r="N190" i="44"/>
  <c r="M191" i="44"/>
  <c r="N191" i="44"/>
  <c r="M192" i="44"/>
  <c r="N192" i="44"/>
  <c r="M193" i="44"/>
  <c r="N193" i="44"/>
  <c r="M194" i="44"/>
  <c r="N194" i="44"/>
  <c r="M195" i="44"/>
  <c r="N195" i="44"/>
  <c r="M196" i="44"/>
  <c r="N196" i="44"/>
  <c r="M197" i="44"/>
  <c r="N197" i="44"/>
  <c r="M198" i="44"/>
  <c r="N198" i="44"/>
  <c r="M199" i="44"/>
  <c r="N199" i="44"/>
  <c r="M200" i="44"/>
  <c r="N200" i="44"/>
  <c r="M201" i="44"/>
  <c r="N201" i="44"/>
  <c r="M202" i="44"/>
  <c r="N202" i="44"/>
  <c r="M203" i="44"/>
  <c r="N203" i="44"/>
  <c r="M204" i="44"/>
  <c r="N204" i="44"/>
  <c r="M205" i="44"/>
  <c r="N205" i="44"/>
  <c r="M206" i="44"/>
  <c r="N206" i="44"/>
  <c r="M207" i="44"/>
  <c r="N207" i="44"/>
  <c r="M208" i="44"/>
  <c r="N208" i="44"/>
  <c r="M209" i="44"/>
  <c r="N209" i="44"/>
  <c r="M210" i="44"/>
  <c r="N210" i="44"/>
  <c r="M211" i="44"/>
  <c r="N211" i="44"/>
  <c r="M212" i="44"/>
  <c r="N212" i="44"/>
  <c r="M213" i="44"/>
  <c r="N213" i="44"/>
  <c r="M214" i="44"/>
  <c r="N214" i="44"/>
  <c r="M215" i="44"/>
  <c r="N215" i="44"/>
  <c r="M216" i="44"/>
  <c r="N216" i="44"/>
  <c r="M217" i="44"/>
  <c r="N217" i="44"/>
  <c r="M218" i="44"/>
  <c r="N218" i="44"/>
  <c r="M219" i="44"/>
  <c r="N219" i="44"/>
  <c r="M220" i="44"/>
  <c r="N220" i="44"/>
  <c r="M221" i="44"/>
  <c r="N221" i="44"/>
  <c r="M222" i="44"/>
  <c r="N222" i="44"/>
  <c r="M223" i="44"/>
  <c r="N223" i="44"/>
  <c r="M224" i="44"/>
  <c r="N224" i="44"/>
  <c r="M225" i="44"/>
  <c r="N225" i="44"/>
  <c r="M226" i="44"/>
  <c r="N226" i="44"/>
  <c r="M227" i="44"/>
  <c r="N227" i="44"/>
  <c r="M228" i="44"/>
  <c r="N228" i="44"/>
  <c r="M229" i="44"/>
  <c r="N229" i="44"/>
  <c r="M230" i="44"/>
  <c r="N230" i="44"/>
  <c r="M231" i="44"/>
  <c r="N231" i="44"/>
  <c r="M232" i="44"/>
  <c r="N232" i="44"/>
  <c r="M233" i="44"/>
  <c r="N233" i="44"/>
  <c r="M234" i="44"/>
  <c r="N234" i="44"/>
  <c r="M235" i="44"/>
  <c r="N235" i="44"/>
  <c r="M236" i="44"/>
  <c r="N236" i="44"/>
  <c r="M237" i="44"/>
  <c r="N237" i="44"/>
  <c r="M238" i="44"/>
  <c r="N238" i="44"/>
  <c r="M239" i="44"/>
  <c r="N239" i="44"/>
  <c r="M241" i="44"/>
  <c r="N241" i="44"/>
  <c r="M242" i="44"/>
  <c r="N242" i="44"/>
  <c r="M243" i="44"/>
  <c r="N243" i="44"/>
  <c r="M244" i="44"/>
  <c r="N244" i="44"/>
  <c r="M245" i="44"/>
  <c r="N245" i="44"/>
  <c r="M246" i="44"/>
  <c r="N246" i="44"/>
  <c r="M247" i="44"/>
  <c r="N247" i="44"/>
  <c r="M248" i="44"/>
  <c r="N248" i="44"/>
  <c r="M249" i="44"/>
  <c r="N249" i="44"/>
  <c r="M250" i="44"/>
  <c r="N250" i="44"/>
  <c r="M251" i="44"/>
  <c r="N251" i="44"/>
  <c r="M252" i="44"/>
  <c r="N252" i="44"/>
  <c r="M253" i="44"/>
  <c r="N253" i="44"/>
  <c r="M254" i="44"/>
  <c r="N254" i="44"/>
  <c r="M255" i="44"/>
  <c r="N255" i="44"/>
  <c r="M256" i="44"/>
  <c r="N256" i="44"/>
  <c r="M257" i="44"/>
  <c r="N257" i="44"/>
  <c r="M258" i="44"/>
  <c r="N258" i="44"/>
  <c r="M259" i="44"/>
  <c r="N259" i="44"/>
  <c r="M260" i="44"/>
  <c r="N260" i="44"/>
  <c r="M261" i="44"/>
  <c r="N261" i="44"/>
  <c r="M262" i="44"/>
  <c r="N262" i="44"/>
  <c r="M263" i="44"/>
  <c r="N263" i="44"/>
  <c r="M264" i="44"/>
  <c r="N264" i="44"/>
  <c r="M265" i="44"/>
  <c r="N265" i="44"/>
  <c r="M266" i="44"/>
  <c r="N266" i="44"/>
  <c r="M267" i="44"/>
  <c r="N267" i="44"/>
  <c r="M268" i="44"/>
  <c r="N268" i="44"/>
  <c r="M269" i="44"/>
  <c r="N269" i="44"/>
  <c r="M270" i="44"/>
  <c r="N270" i="44"/>
  <c r="M271" i="44"/>
  <c r="N271" i="44"/>
  <c r="M272" i="44"/>
  <c r="N272" i="44"/>
  <c r="M273" i="44"/>
  <c r="N273" i="44"/>
  <c r="M274" i="44"/>
  <c r="N274" i="44"/>
  <c r="M275" i="44"/>
  <c r="N275" i="44"/>
  <c r="M276" i="44"/>
  <c r="N276" i="44"/>
  <c r="M277" i="44"/>
  <c r="N277" i="44"/>
  <c r="M278" i="44"/>
  <c r="N278" i="44"/>
  <c r="M279" i="44"/>
  <c r="N279" i="44"/>
  <c r="M280" i="44"/>
  <c r="N280" i="44"/>
  <c r="M281" i="44"/>
  <c r="N281" i="44"/>
  <c r="M282" i="44"/>
  <c r="N282" i="44"/>
  <c r="M283" i="44"/>
  <c r="N283" i="44"/>
  <c r="M284" i="44"/>
  <c r="N284" i="44"/>
  <c r="M285" i="44"/>
  <c r="N285" i="44"/>
  <c r="M286" i="44"/>
  <c r="N286" i="44"/>
  <c r="M287" i="44"/>
  <c r="N287" i="44"/>
  <c r="M288" i="44"/>
  <c r="N288" i="44"/>
  <c r="M289" i="44"/>
  <c r="N289" i="44"/>
  <c r="M290" i="44"/>
  <c r="N290" i="44"/>
  <c r="M291" i="44"/>
  <c r="N291" i="44"/>
  <c r="M292" i="44"/>
  <c r="N292" i="44"/>
  <c r="M293" i="44"/>
  <c r="M294" i="44"/>
  <c r="N294" i="44"/>
  <c r="M295" i="44"/>
  <c r="N295" i="44"/>
  <c r="M296" i="44"/>
  <c r="N296" i="44"/>
  <c r="M297" i="44"/>
  <c r="N297" i="44"/>
  <c r="M298" i="44"/>
  <c r="N298" i="44"/>
  <c r="M299" i="44"/>
  <c r="N299" i="44"/>
  <c r="M300" i="44"/>
  <c r="N300" i="44"/>
  <c r="M301" i="44"/>
  <c r="N301" i="44"/>
  <c r="M302" i="44"/>
  <c r="N302" i="44"/>
  <c r="M303" i="44"/>
  <c r="N303" i="44"/>
  <c r="M304" i="44"/>
  <c r="N304" i="44"/>
  <c r="M305" i="44"/>
  <c r="N305" i="44"/>
  <c r="M306" i="44"/>
  <c r="N306" i="44"/>
  <c r="M307" i="44"/>
  <c r="N307" i="44"/>
  <c r="M308" i="44"/>
  <c r="N308" i="44"/>
  <c r="M309" i="44"/>
  <c r="N309" i="44"/>
  <c r="M310" i="44"/>
  <c r="N310" i="44"/>
  <c r="M311" i="44"/>
  <c r="N311" i="44"/>
  <c r="M312" i="44"/>
  <c r="N312" i="44"/>
  <c r="M313" i="44"/>
  <c r="N313" i="44"/>
  <c r="M314" i="44"/>
  <c r="N314" i="44"/>
  <c r="M315" i="44"/>
  <c r="N315" i="44"/>
  <c r="M316" i="44"/>
  <c r="N316" i="44"/>
  <c r="M317" i="44"/>
  <c r="N317" i="44"/>
  <c r="M318" i="44"/>
  <c r="N318" i="44"/>
  <c r="M319" i="44"/>
  <c r="N319" i="44"/>
  <c r="M320" i="44"/>
  <c r="N320" i="44"/>
  <c r="M321" i="44"/>
  <c r="N321" i="44"/>
  <c r="M322" i="44"/>
  <c r="M323" i="44"/>
  <c r="N323" i="44"/>
  <c r="M324" i="44"/>
  <c r="N324" i="44"/>
  <c r="M325" i="44"/>
  <c r="N325" i="44"/>
  <c r="M326" i="44"/>
  <c r="N326" i="44"/>
  <c r="M327" i="44"/>
  <c r="N327" i="44"/>
  <c r="M328" i="44"/>
  <c r="N328" i="44"/>
  <c r="M329" i="44"/>
  <c r="N329" i="44"/>
  <c r="M330" i="44"/>
  <c r="N330" i="44"/>
  <c r="M331" i="44"/>
  <c r="N331" i="44"/>
  <c r="M332" i="44"/>
  <c r="N332" i="44"/>
  <c r="M333" i="44"/>
  <c r="N333" i="44"/>
  <c r="M334" i="44"/>
  <c r="N334" i="44"/>
  <c r="M335" i="44"/>
  <c r="N335" i="44"/>
  <c r="M336" i="44"/>
  <c r="N336" i="44"/>
  <c r="M337" i="44"/>
  <c r="N337" i="44"/>
  <c r="M338" i="44"/>
  <c r="N338" i="44"/>
  <c r="M339" i="44"/>
  <c r="N339" i="44"/>
  <c r="M340" i="44"/>
  <c r="N340" i="44"/>
  <c r="M341" i="44"/>
  <c r="N341" i="44"/>
  <c r="M342" i="44"/>
  <c r="N342" i="44"/>
  <c r="M343" i="44"/>
  <c r="N343" i="44"/>
  <c r="N9" i="44"/>
  <c r="K8" i="48" l="1"/>
  <c r="D6" i="48" s="1"/>
  <c r="E7" i="48" s="1"/>
  <c r="E3" i="48" l="1"/>
  <c r="D3" i="48"/>
  <c r="M41" i="44"/>
  <c r="N322" i="44" l="1"/>
  <c r="K47" i="44"/>
  <c r="L47" i="44"/>
  <c r="K8" i="28"/>
  <c r="I8" i="28"/>
  <c r="J8" i="28" s="1"/>
  <c r="F8" i="28"/>
  <c r="A2" i="28" l="1"/>
  <c r="E7" i="9"/>
  <c r="D7" i="43" s="1"/>
  <c r="E6" i="10" s="1"/>
  <c r="D7" i="9"/>
  <c r="C7" i="43" s="1"/>
  <c r="D6" i="10" s="1"/>
  <c r="M345" i="44"/>
  <c r="N345" i="44"/>
  <c r="J345" i="44"/>
  <c r="I345" i="44"/>
  <c r="G345" i="44"/>
  <c r="I2" i="44"/>
  <c r="H2" i="44"/>
  <c r="G45" i="59"/>
  <c r="O5" i="48"/>
  <c r="N130" i="48"/>
  <c r="O130" i="48"/>
  <c r="N132" i="48"/>
  <c r="N136" i="48" s="1"/>
  <c r="Q133" i="48"/>
  <c r="R133" i="48" s="1"/>
  <c r="B6" i="45" l="1"/>
  <c r="B6" i="47" s="1"/>
  <c r="B6" i="11" s="1"/>
  <c r="B24" i="10"/>
  <c r="C6" i="45"/>
  <c r="C6" i="47" s="1"/>
  <c r="C6" i="11" s="1"/>
  <c r="D24" i="10"/>
  <c r="C48" i="56" l="1"/>
  <c r="E48" i="56" s="1"/>
  <c r="E46" i="56"/>
  <c r="E43" i="56"/>
  <c r="B50" i="56"/>
  <c r="E50" i="56" l="1"/>
  <c r="B51" i="56"/>
  <c r="E51" i="56"/>
  <c r="E49" i="56"/>
  <c r="E45" i="56"/>
  <c r="E42" i="56"/>
  <c r="F8" i="40" l="1"/>
  <c r="K90" i="44" l="1"/>
  <c r="B34" i="54" l="1"/>
  <c r="D34" i="54"/>
  <c r="E34" i="54"/>
  <c r="B39" i="54"/>
  <c r="C39" i="54"/>
  <c r="C38" i="54" s="1"/>
  <c r="D39" i="54"/>
  <c r="E39" i="54"/>
  <c r="E38" i="54" l="1"/>
  <c r="D9" i="13" l="1"/>
  <c r="G14" i="53"/>
  <c r="G15" i="53"/>
  <c r="G16" i="53"/>
  <c r="K10" i="44"/>
  <c r="L10" i="44"/>
  <c r="K11" i="44"/>
  <c r="L11" i="44"/>
  <c r="K12" i="44"/>
  <c r="L12" i="44"/>
  <c r="K13" i="44"/>
  <c r="L13" i="44"/>
  <c r="K14" i="44"/>
  <c r="L14" i="44"/>
  <c r="K15" i="44"/>
  <c r="L15" i="44"/>
  <c r="K16" i="44"/>
  <c r="L16" i="44"/>
  <c r="K17" i="44"/>
  <c r="L17" i="44"/>
  <c r="K18" i="44"/>
  <c r="L18" i="44"/>
  <c r="K19" i="44"/>
  <c r="L19" i="44"/>
  <c r="K20" i="44"/>
  <c r="L20" i="44"/>
  <c r="K21" i="44"/>
  <c r="L21" i="44"/>
  <c r="K22" i="44"/>
  <c r="L22" i="44"/>
  <c r="K23" i="44"/>
  <c r="L23" i="44"/>
  <c r="K24" i="44"/>
  <c r="L24" i="44"/>
  <c r="K25" i="44"/>
  <c r="L25" i="44"/>
  <c r="K26" i="44"/>
  <c r="L26" i="44"/>
  <c r="K27" i="44"/>
  <c r="L27" i="44"/>
  <c r="K28" i="44"/>
  <c r="L28" i="44"/>
  <c r="K29" i="44"/>
  <c r="L29" i="44"/>
  <c r="K30" i="44"/>
  <c r="L30" i="44"/>
  <c r="K31" i="44"/>
  <c r="L31" i="44"/>
  <c r="K32" i="44"/>
  <c r="L32" i="44"/>
  <c r="K33" i="44"/>
  <c r="L33" i="44"/>
  <c r="K34" i="44"/>
  <c r="L34" i="44"/>
  <c r="K35" i="44"/>
  <c r="L35" i="44"/>
  <c r="K36" i="44"/>
  <c r="L36" i="44"/>
  <c r="K37" i="44"/>
  <c r="L37" i="44"/>
  <c r="K38" i="44"/>
  <c r="L38" i="44"/>
  <c r="K39" i="44"/>
  <c r="L39" i="44"/>
  <c r="K40" i="44"/>
  <c r="L40" i="44"/>
  <c r="K41" i="44"/>
  <c r="L41" i="44"/>
  <c r="K42" i="44"/>
  <c r="L42" i="44"/>
  <c r="K43" i="44"/>
  <c r="L43" i="44"/>
  <c r="K44" i="44"/>
  <c r="L44" i="44"/>
  <c r="K45" i="44"/>
  <c r="L45" i="44"/>
  <c r="K46" i="44"/>
  <c r="L46" i="44"/>
  <c r="K48" i="44"/>
  <c r="L48" i="44"/>
  <c r="K49" i="44"/>
  <c r="L49" i="44"/>
  <c r="K50" i="44"/>
  <c r="L50" i="44"/>
  <c r="K51" i="44"/>
  <c r="L51" i="44"/>
  <c r="K52" i="44"/>
  <c r="L52" i="44"/>
  <c r="K53" i="44"/>
  <c r="L53" i="44"/>
  <c r="K54" i="44"/>
  <c r="L54" i="44"/>
  <c r="K55" i="44"/>
  <c r="L55" i="44"/>
  <c r="K56" i="44"/>
  <c r="L56" i="44"/>
  <c r="K57" i="44"/>
  <c r="L57" i="44"/>
  <c r="K58" i="44"/>
  <c r="L58" i="44"/>
  <c r="K59" i="44"/>
  <c r="L59" i="44"/>
  <c r="K60" i="44"/>
  <c r="L60" i="44"/>
  <c r="K61" i="44"/>
  <c r="L61" i="44"/>
  <c r="K62" i="44"/>
  <c r="L62" i="44"/>
  <c r="K63" i="44"/>
  <c r="L63" i="44"/>
  <c r="K64" i="44"/>
  <c r="L64" i="44"/>
  <c r="K65" i="44"/>
  <c r="L65" i="44"/>
  <c r="K66" i="44"/>
  <c r="L66" i="44"/>
  <c r="K67" i="44"/>
  <c r="L67" i="44"/>
  <c r="K68" i="44"/>
  <c r="L68" i="44"/>
  <c r="K69" i="44"/>
  <c r="L69" i="44"/>
  <c r="K70" i="44"/>
  <c r="L70" i="44"/>
  <c r="K71" i="44"/>
  <c r="L71" i="44"/>
  <c r="K72" i="44"/>
  <c r="L72" i="44"/>
  <c r="K73" i="44"/>
  <c r="L73" i="44"/>
  <c r="K74" i="44"/>
  <c r="L74" i="44"/>
  <c r="K75" i="44"/>
  <c r="L75" i="44"/>
  <c r="K76" i="44"/>
  <c r="L76" i="44"/>
  <c r="K77" i="44"/>
  <c r="L77" i="44"/>
  <c r="K78" i="44"/>
  <c r="L78" i="44"/>
  <c r="K79" i="44"/>
  <c r="L79" i="44"/>
  <c r="K80" i="44"/>
  <c r="L80" i="44"/>
  <c r="K81" i="44"/>
  <c r="L81" i="44"/>
  <c r="K82" i="44"/>
  <c r="L82" i="44"/>
  <c r="K83" i="44"/>
  <c r="L83" i="44"/>
  <c r="K84" i="44"/>
  <c r="L84" i="44"/>
  <c r="K85" i="44"/>
  <c r="L85" i="44"/>
  <c r="K86" i="44"/>
  <c r="L86" i="44"/>
  <c r="K87" i="44"/>
  <c r="L87" i="44"/>
  <c r="K88" i="44"/>
  <c r="L88" i="44"/>
  <c r="K89" i="44"/>
  <c r="L89" i="44"/>
  <c r="L90" i="44"/>
  <c r="K91" i="44"/>
  <c r="L91" i="44"/>
  <c r="K92" i="44"/>
  <c r="L92" i="44"/>
  <c r="K93" i="44"/>
  <c r="L93" i="44"/>
  <c r="K94" i="44"/>
  <c r="L94" i="44"/>
  <c r="K95" i="44"/>
  <c r="L95" i="44"/>
  <c r="K96" i="44"/>
  <c r="L96" i="44"/>
  <c r="K97" i="44"/>
  <c r="L97" i="44"/>
  <c r="K98" i="44"/>
  <c r="L98" i="44"/>
  <c r="K99" i="44"/>
  <c r="L99" i="44"/>
  <c r="K100" i="44"/>
  <c r="L100" i="44"/>
  <c r="K101" i="44"/>
  <c r="L101" i="44"/>
  <c r="K102" i="44"/>
  <c r="L102" i="44"/>
  <c r="K103" i="44"/>
  <c r="L103" i="44"/>
  <c r="K104" i="44"/>
  <c r="L104" i="44"/>
  <c r="K105" i="44"/>
  <c r="L105" i="44"/>
  <c r="K106" i="44"/>
  <c r="L106" i="44"/>
  <c r="K107" i="44"/>
  <c r="L107" i="44"/>
  <c r="K108" i="44"/>
  <c r="L108" i="44"/>
  <c r="K109" i="44"/>
  <c r="L109" i="44"/>
  <c r="K110" i="44"/>
  <c r="L110" i="44"/>
  <c r="K111" i="44"/>
  <c r="L111" i="44"/>
  <c r="K112" i="44"/>
  <c r="L112" i="44"/>
  <c r="K113" i="44"/>
  <c r="L113" i="44"/>
  <c r="K114" i="44"/>
  <c r="L114" i="44"/>
  <c r="K115" i="44"/>
  <c r="L115" i="44"/>
  <c r="K116" i="44"/>
  <c r="L116" i="44"/>
  <c r="K117" i="44"/>
  <c r="L117" i="44"/>
  <c r="K118" i="44"/>
  <c r="L118" i="44"/>
  <c r="K119" i="44"/>
  <c r="L119" i="44"/>
  <c r="K120" i="44"/>
  <c r="L120" i="44"/>
  <c r="K121" i="44"/>
  <c r="L121" i="44"/>
  <c r="K122" i="44"/>
  <c r="L122" i="44"/>
  <c r="K123" i="44"/>
  <c r="L123" i="44"/>
  <c r="K124" i="44"/>
  <c r="L124" i="44"/>
  <c r="K125" i="44"/>
  <c r="L125" i="44"/>
  <c r="K126" i="44"/>
  <c r="L126" i="44"/>
  <c r="K127" i="44"/>
  <c r="L127" i="44"/>
  <c r="K128" i="44"/>
  <c r="L128" i="44"/>
  <c r="K129" i="44"/>
  <c r="L129" i="44"/>
  <c r="K130" i="44"/>
  <c r="L130" i="44"/>
  <c r="K131" i="44"/>
  <c r="L131" i="44"/>
  <c r="K132" i="44"/>
  <c r="L132" i="44"/>
  <c r="K133" i="44"/>
  <c r="L133" i="44"/>
  <c r="K134" i="44"/>
  <c r="L134" i="44"/>
  <c r="K135" i="44"/>
  <c r="L135" i="44"/>
  <c r="K136" i="44"/>
  <c r="L136" i="44"/>
  <c r="K137" i="44"/>
  <c r="L137" i="44"/>
  <c r="K138" i="44"/>
  <c r="L138" i="44"/>
  <c r="K139" i="44"/>
  <c r="L139" i="44"/>
  <c r="K140" i="44"/>
  <c r="L140" i="44"/>
  <c r="K141" i="44"/>
  <c r="L141" i="44"/>
  <c r="K142" i="44"/>
  <c r="L142" i="44"/>
  <c r="K143" i="44"/>
  <c r="L143" i="44"/>
  <c r="K144" i="44"/>
  <c r="L144" i="44"/>
  <c r="K145" i="44"/>
  <c r="L145" i="44"/>
  <c r="K146" i="44"/>
  <c r="L146" i="44"/>
  <c r="K147" i="44"/>
  <c r="L147" i="44"/>
  <c r="K148" i="44"/>
  <c r="L148" i="44"/>
  <c r="K149" i="44"/>
  <c r="L149" i="44"/>
  <c r="K150" i="44"/>
  <c r="L150" i="44"/>
  <c r="K151" i="44"/>
  <c r="L151" i="44"/>
  <c r="K152" i="44"/>
  <c r="L152" i="44"/>
  <c r="K153" i="44"/>
  <c r="L153" i="44"/>
  <c r="K154" i="44"/>
  <c r="L154" i="44"/>
  <c r="K155" i="44"/>
  <c r="L155" i="44"/>
  <c r="K156" i="44"/>
  <c r="L156" i="44"/>
  <c r="K157" i="44"/>
  <c r="L157" i="44"/>
  <c r="K158" i="44"/>
  <c r="L158" i="44"/>
  <c r="K159" i="44"/>
  <c r="L159" i="44"/>
  <c r="K160" i="44"/>
  <c r="L160" i="44"/>
  <c r="K161" i="44"/>
  <c r="L161" i="44"/>
  <c r="K162" i="44"/>
  <c r="L162" i="44"/>
  <c r="K163" i="44"/>
  <c r="L163" i="44"/>
  <c r="K164" i="44"/>
  <c r="L164" i="44"/>
  <c r="K165" i="44"/>
  <c r="L165" i="44"/>
  <c r="K166" i="44"/>
  <c r="L166" i="44"/>
  <c r="K167" i="44"/>
  <c r="L167" i="44"/>
  <c r="K168" i="44"/>
  <c r="L168" i="44"/>
  <c r="K169" i="44"/>
  <c r="L169" i="44"/>
  <c r="K170" i="44"/>
  <c r="L170" i="44"/>
  <c r="K171" i="44"/>
  <c r="L171" i="44"/>
  <c r="K172" i="44"/>
  <c r="L172" i="44"/>
  <c r="K173" i="44"/>
  <c r="L173" i="44"/>
  <c r="K174" i="44"/>
  <c r="L174" i="44"/>
  <c r="K175" i="44"/>
  <c r="L175" i="44"/>
  <c r="K176" i="44"/>
  <c r="L176" i="44"/>
  <c r="K177" i="44"/>
  <c r="L177" i="44"/>
  <c r="K178" i="44"/>
  <c r="L178" i="44"/>
  <c r="K179" i="44"/>
  <c r="L179" i="44"/>
  <c r="K180" i="44"/>
  <c r="L180" i="44"/>
  <c r="K181" i="44"/>
  <c r="L181" i="44"/>
  <c r="K182" i="44"/>
  <c r="L182" i="44"/>
  <c r="K183" i="44"/>
  <c r="L183" i="44"/>
  <c r="K184" i="44"/>
  <c r="L184" i="44"/>
  <c r="K185" i="44"/>
  <c r="L185" i="44"/>
  <c r="K186" i="44"/>
  <c r="L186" i="44"/>
  <c r="K187" i="44"/>
  <c r="L187" i="44"/>
  <c r="K188" i="44"/>
  <c r="L188" i="44"/>
  <c r="K189" i="44"/>
  <c r="L189" i="44"/>
  <c r="K190" i="44"/>
  <c r="L190" i="44"/>
  <c r="K191" i="44"/>
  <c r="L191" i="44"/>
  <c r="K192" i="44"/>
  <c r="L192" i="44"/>
  <c r="K193" i="44"/>
  <c r="L193" i="44"/>
  <c r="K194" i="44"/>
  <c r="L194" i="44"/>
  <c r="K195" i="44"/>
  <c r="L195" i="44"/>
  <c r="K196" i="44"/>
  <c r="L196" i="44"/>
  <c r="K197" i="44"/>
  <c r="L197" i="44"/>
  <c r="K198" i="44"/>
  <c r="L198" i="44"/>
  <c r="K199" i="44"/>
  <c r="L199" i="44"/>
  <c r="K200" i="44"/>
  <c r="L200" i="44"/>
  <c r="K201" i="44"/>
  <c r="L201" i="44"/>
  <c r="K202" i="44"/>
  <c r="L202" i="44"/>
  <c r="K203" i="44"/>
  <c r="L203" i="44"/>
  <c r="K204" i="44"/>
  <c r="L204" i="44"/>
  <c r="K205" i="44"/>
  <c r="L205" i="44"/>
  <c r="K206" i="44"/>
  <c r="L206" i="44"/>
  <c r="K207" i="44"/>
  <c r="L207" i="44"/>
  <c r="K208" i="44"/>
  <c r="L208" i="44"/>
  <c r="K209" i="44"/>
  <c r="L209" i="44"/>
  <c r="K210" i="44"/>
  <c r="L210" i="44"/>
  <c r="K211" i="44"/>
  <c r="L211" i="44"/>
  <c r="K212" i="44"/>
  <c r="L212" i="44"/>
  <c r="K213" i="44"/>
  <c r="L213" i="44"/>
  <c r="K214" i="44"/>
  <c r="L214" i="44"/>
  <c r="K215" i="44"/>
  <c r="L215" i="44"/>
  <c r="K216" i="44"/>
  <c r="L216" i="44"/>
  <c r="K217" i="44"/>
  <c r="L217" i="44"/>
  <c r="K218" i="44"/>
  <c r="L218" i="44"/>
  <c r="K219" i="44"/>
  <c r="L219" i="44"/>
  <c r="K220" i="44"/>
  <c r="L220" i="44"/>
  <c r="K221" i="44"/>
  <c r="L221" i="44"/>
  <c r="K222" i="44"/>
  <c r="L222" i="44"/>
  <c r="K223" i="44"/>
  <c r="L223" i="44"/>
  <c r="K224" i="44"/>
  <c r="L224" i="44"/>
  <c r="K225" i="44"/>
  <c r="L225" i="44"/>
  <c r="K226" i="44"/>
  <c r="L226" i="44"/>
  <c r="K227" i="44"/>
  <c r="L227" i="44"/>
  <c r="K228" i="44"/>
  <c r="L228" i="44"/>
  <c r="K229" i="44"/>
  <c r="L229" i="44"/>
  <c r="K230" i="44"/>
  <c r="L230" i="44"/>
  <c r="K231" i="44"/>
  <c r="L231" i="44"/>
  <c r="K232" i="44"/>
  <c r="L232" i="44"/>
  <c r="K233" i="44"/>
  <c r="L233" i="44"/>
  <c r="K234" i="44"/>
  <c r="L234" i="44"/>
  <c r="K235" i="44"/>
  <c r="L235" i="44"/>
  <c r="K236" i="44"/>
  <c r="L236" i="44"/>
  <c r="K237" i="44"/>
  <c r="L237" i="44"/>
  <c r="K238" i="44"/>
  <c r="L238" i="44"/>
  <c r="K239" i="44"/>
  <c r="L239" i="44"/>
  <c r="K241" i="44"/>
  <c r="L241" i="44"/>
  <c r="K242" i="44"/>
  <c r="L242" i="44"/>
  <c r="K243" i="44"/>
  <c r="L243" i="44"/>
  <c r="K244" i="44"/>
  <c r="L244" i="44"/>
  <c r="K245" i="44"/>
  <c r="L245" i="44"/>
  <c r="K246" i="44"/>
  <c r="L246" i="44"/>
  <c r="K247" i="44"/>
  <c r="L247" i="44"/>
  <c r="K248" i="44"/>
  <c r="L248" i="44"/>
  <c r="K249" i="44"/>
  <c r="L249" i="44"/>
  <c r="K250" i="44"/>
  <c r="L250" i="44"/>
  <c r="K251" i="44"/>
  <c r="L251" i="44"/>
  <c r="K252" i="44"/>
  <c r="L252" i="44"/>
  <c r="K253" i="44"/>
  <c r="L253" i="44"/>
  <c r="K254" i="44"/>
  <c r="L254" i="44"/>
  <c r="K255" i="44"/>
  <c r="L255" i="44"/>
  <c r="K256" i="44"/>
  <c r="L256" i="44"/>
  <c r="K257" i="44"/>
  <c r="L257" i="44"/>
  <c r="K258" i="44"/>
  <c r="L258" i="44"/>
  <c r="K259" i="44"/>
  <c r="L259" i="44"/>
  <c r="K260" i="44"/>
  <c r="L260" i="44"/>
  <c r="K261" i="44"/>
  <c r="L261" i="44"/>
  <c r="K262" i="44"/>
  <c r="L262" i="44"/>
  <c r="K263" i="44"/>
  <c r="L263" i="44"/>
  <c r="K264" i="44"/>
  <c r="L264" i="44"/>
  <c r="K265" i="44"/>
  <c r="L265" i="44"/>
  <c r="K266" i="44"/>
  <c r="L266" i="44"/>
  <c r="K267" i="44"/>
  <c r="L267" i="44"/>
  <c r="K268" i="44"/>
  <c r="L268" i="44"/>
  <c r="K269" i="44"/>
  <c r="L269" i="44"/>
  <c r="K270" i="44"/>
  <c r="L270" i="44"/>
  <c r="K271" i="44"/>
  <c r="L271" i="44"/>
  <c r="K272" i="44"/>
  <c r="L272" i="44"/>
  <c r="K273" i="44"/>
  <c r="L273" i="44"/>
  <c r="K274" i="44"/>
  <c r="L274" i="44"/>
  <c r="K275" i="44"/>
  <c r="L275" i="44"/>
  <c r="K276" i="44"/>
  <c r="L276" i="44"/>
  <c r="K277" i="44"/>
  <c r="L277" i="44"/>
  <c r="K278" i="44"/>
  <c r="L278" i="44"/>
  <c r="K279" i="44"/>
  <c r="L279" i="44"/>
  <c r="K280" i="44"/>
  <c r="L280" i="44"/>
  <c r="K281" i="44"/>
  <c r="L281" i="44"/>
  <c r="K282" i="44"/>
  <c r="L282" i="44"/>
  <c r="K283" i="44"/>
  <c r="L283" i="44"/>
  <c r="K284" i="44"/>
  <c r="L284" i="44"/>
  <c r="K285" i="44"/>
  <c r="L285" i="44"/>
  <c r="K286" i="44"/>
  <c r="L286" i="44"/>
  <c r="K287" i="44"/>
  <c r="L287" i="44"/>
  <c r="K288" i="44"/>
  <c r="L288" i="44"/>
  <c r="K289" i="44"/>
  <c r="L289" i="44"/>
  <c r="K290" i="44"/>
  <c r="L290" i="44"/>
  <c r="K291" i="44"/>
  <c r="L291" i="44"/>
  <c r="K292" i="44"/>
  <c r="L292" i="44"/>
  <c r="K293" i="44"/>
  <c r="L293" i="44"/>
  <c r="K294" i="44"/>
  <c r="L294" i="44"/>
  <c r="K295" i="44"/>
  <c r="L295" i="44"/>
  <c r="K296" i="44"/>
  <c r="L296" i="44"/>
  <c r="K297" i="44"/>
  <c r="L297" i="44"/>
  <c r="K298" i="44"/>
  <c r="L298" i="44"/>
  <c r="K299" i="44"/>
  <c r="L299" i="44"/>
  <c r="K300" i="44"/>
  <c r="L300" i="44"/>
  <c r="K301" i="44"/>
  <c r="L301" i="44"/>
  <c r="K302" i="44"/>
  <c r="L302" i="44"/>
  <c r="K303" i="44"/>
  <c r="L303" i="44"/>
  <c r="K304" i="44"/>
  <c r="L304" i="44"/>
  <c r="K305" i="44"/>
  <c r="L305" i="44"/>
  <c r="K306" i="44"/>
  <c r="L306" i="44"/>
  <c r="K307" i="44"/>
  <c r="L307" i="44"/>
  <c r="K308" i="44"/>
  <c r="L308" i="44"/>
  <c r="K309" i="44"/>
  <c r="L309" i="44"/>
  <c r="K310" i="44"/>
  <c r="L310" i="44"/>
  <c r="K311" i="44"/>
  <c r="L311" i="44"/>
  <c r="K312" i="44"/>
  <c r="L312" i="44"/>
  <c r="K313" i="44"/>
  <c r="L313" i="44"/>
  <c r="K314" i="44"/>
  <c r="L314" i="44"/>
  <c r="K315" i="44"/>
  <c r="L315" i="44"/>
  <c r="K316" i="44"/>
  <c r="L316" i="44"/>
  <c r="K317" i="44"/>
  <c r="L317" i="44"/>
  <c r="K318" i="44"/>
  <c r="L318" i="44"/>
  <c r="K319" i="44"/>
  <c r="L319" i="44"/>
  <c r="K320" i="44"/>
  <c r="L320" i="44"/>
  <c r="K321" i="44"/>
  <c r="L321" i="44"/>
  <c r="K322" i="44"/>
  <c r="L322" i="44"/>
  <c r="K323" i="44"/>
  <c r="L323" i="44"/>
  <c r="K324" i="44"/>
  <c r="L324" i="44"/>
  <c r="K325" i="44"/>
  <c r="L325" i="44"/>
  <c r="K326" i="44"/>
  <c r="L326" i="44"/>
  <c r="K327" i="44"/>
  <c r="L327" i="44"/>
  <c r="K328" i="44"/>
  <c r="L328" i="44"/>
  <c r="K329" i="44"/>
  <c r="L329" i="44"/>
  <c r="K330" i="44"/>
  <c r="L330" i="44"/>
  <c r="K331" i="44"/>
  <c r="L331" i="44"/>
  <c r="K332" i="44"/>
  <c r="L332" i="44"/>
  <c r="K333" i="44"/>
  <c r="L333" i="44"/>
  <c r="K334" i="44"/>
  <c r="L334" i="44"/>
  <c r="K335" i="44"/>
  <c r="L335" i="44"/>
  <c r="K336" i="44"/>
  <c r="L336" i="44"/>
  <c r="K337" i="44"/>
  <c r="L337" i="44"/>
  <c r="K338" i="44"/>
  <c r="L338" i="44"/>
  <c r="K339" i="44"/>
  <c r="L339" i="44"/>
  <c r="K340" i="44"/>
  <c r="L340" i="44"/>
  <c r="K341" i="44"/>
  <c r="L341" i="44"/>
  <c r="K342" i="44"/>
  <c r="L342" i="44"/>
  <c r="K343" i="44"/>
  <c r="L343" i="44"/>
  <c r="G26" i="10" l="1"/>
  <c r="A5" i="10"/>
  <c r="W16" i="57" l="1"/>
  <c r="W19" i="57"/>
  <c r="W20" i="57"/>
  <c r="W21" i="57"/>
  <c r="W22" i="57"/>
  <c r="W23" i="57"/>
  <c r="W24" i="57"/>
  <c r="W27" i="57"/>
  <c r="W28" i="57"/>
  <c r="W31" i="57"/>
  <c r="W32" i="57"/>
  <c r="W35" i="57"/>
  <c r="W36" i="57"/>
  <c r="W39" i="57"/>
  <c r="W40" i="57"/>
  <c r="W43" i="57"/>
  <c r="W44" i="57"/>
  <c r="W45" i="57"/>
  <c r="W46" i="57"/>
  <c r="W47" i="57"/>
  <c r="W13" i="57"/>
  <c r="D30" i="10" l="1"/>
  <c r="B30" i="10"/>
  <c r="E26" i="10" s="1"/>
  <c r="G8" i="53" l="1"/>
  <c r="C4" i="11"/>
  <c r="C4" i="47"/>
  <c r="K6" i="28"/>
  <c r="G7" i="52"/>
  <c r="C4" i="45"/>
  <c r="E4" i="10"/>
  <c r="A5" i="43"/>
  <c r="A5" i="9"/>
  <c r="A5" i="8"/>
  <c r="C19" i="8" l="1"/>
  <c r="B2" i="60" l="1"/>
  <c r="H8" i="30"/>
  <c r="P240" i="44" l="1"/>
  <c r="O240" i="44"/>
  <c r="D29" i="43"/>
  <c r="G13" i="28"/>
  <c r="G18" i="28"/>
  <c r="G16" i="28"/>
  <c r="G17" i="28"/>
  <c r="G14" i="28"/>
  <c r="O41" i="44"/>
  <c r="H9" i="34"/>
  <c r="C18" i="28"/>
  <c r="C17" i="28"/>
  <c r="C16" i="28"/>
  <c r="C14" i="28"/>
  <c r="C34" i="45"/>
  <c r="B34" i="45"/>
  <c r="D30" i="43"/>
  <c r="D20" i="43"/>
  <c r="D21" i="43"/>
  <c r="D22" i="43"/>
  <c r="D40" i="43"/>
  <c r="F18" i="28"/>
  <c r="F14" i="28"/>
  <c r="B17" i="28"/>
  <c r="B13" i="28"/>
  <c r="B18" i="28"/>
  <c r="F17" i="28"/>
  <c r="F13" i="28"/>
  <c r="B16" i="28"/>
  <c r="B12" i="28"/>
  <c r="B14" i="28"/>
  <c r="F16" i="28"/>
  <c r="F12" i="28"/>
  <c r="B15" i="28"/>
  <c r="F15" i="28"/>
  <c r="F25" i="53"/>
  <c r="D25" i="53"/>
  <c r="B13" i="45"/>
  <c r="C15" i="43" s="1"/>
  <c r="E25" i="53"/>
  <c r="C25" i="53"/>
  <c r="E25" i="52"/>
  <c r="C10" i="45"/>
  <c r="I22" i="28"/>
  <c r="C22" i="28"/>
  <c r="E31" i="9"/>
  <c r="D24" i="43" s="1"/>
  <c r="D25" i="52"/>
  <c r="F25" i="52"/>
  <c r="C13" i="45"/>
  <c r="D15" i="43" s="1"/>
  <c r="E22" i="28"/>
  <c r="G22" i="28"/>
  <c r="E19" i="9" s="1"/>
  <c r="B22" i="28"/>
  <c r="F22" i="28"/>
  <c r="C15" i="47"/>
  <c r="J22" i="28"/>
  <c r="E32" i="9"/>
  <c r="C25" i="52"/>
  <c r="K22" i="28"/>
  <c r="P47" i="44"/>
  <c r="O47" i="44"/>
  <c r="C18" i="45"/>
  <c r="C20" i="45" s="1"/>
  <c r="D15" i="8" s="1"/>
  <c r="B21" i="56"/>
  <c r="B25" i="56"/>
  <c r="C35" i="52"/>
  <c r="H18" i="28"/>
  <c r="D17" i="28"/>
  <c r="F14" i="52"/>
  <c r="C21" i="56"/>
  <c r="H15" i="28"/>
  <c r="D14" i="28"/>
  <c r="B15" i="52"/>
  <c r="C25" i="56"/>
  <c r="H14" i="28"/>
  <c r="D24" i="52"/>
  <c r="D14" i="52"/>
  <c r="H17" i="28"/>
  <c r="E24" i="52"/>
  <c r="E14" i="52"/>
  <c r="D13" i="28"/>
  <c r="F24" i="52"/>
  <c r="C15" i="52"/>
  <c r="D12" i="28"/>
  <c r="F15" i="52"/>
  <c r="H13" i="28"/>
  <c r="D16" i="28"/>
  <c r="B13" i="52"/>
  <c r="D15" i="52"/>
  <c r="H16" i="28"/>
  <c r="H12" i="28"/>
  <c r="E15" i="52"/>
  <c r="C14" i="52"/>
  <c r="B14" i="52"/>
  <c r="D18" i="28"/>
  <c r="D15" i="28"/>
  <c r="C24" i="52"/>
  <c r="B24" i="52"/>
  <c r="P39" i="44"/>
  <c r="P210" i="44"/>
  <c r="P110" i="44"/>
  <c r="P13" i="44"/>
  <c r="P266" i="44"/>
  <c r="O79" i="44"/>
  <c r="O338" i="44"/>
  <c r="O302" i="44"/>
  <c r="O69" i="44"/>
  <c r="O261" i="44"/>
  <c r="O192" i="44"/>
  <c r="O70" i="44"/>
  <c r="O340" i="44"/>
  <c r="P51" i="44"/>
  <c r="O284" i="44"/>
  <c r="O164" i="44"/>
  <c r="O295" i="44"/>
  <c r="P178" i="44"/>
  <c r="O16" i="44"/>
  <c r="P90" i="44"/>
  <c r="O285" i="44"/>
  <c r="P38" i="44"/>
  <c r="O287" i="44"/>
  <c r="O208" i="44"/>
  <c r="O77" i="44"/>
  <c r="O80" i="44"/>
  <c r="O322" i="44"/>
  <c r="O343" i="44"/>
  <c r="O293" i="44"/>
  <c r="O183" i="44"/>
  <c r="O45" i="44"/>
  <c r="O159" i="44"/>
  <c r="P324" i="44"/>
  <c r="O316" i="44"/>
  <c r="P150" i="44"/>
  <c r="P52" i="44"/>
  <c r="O323" i="44"/>
  <c r="O224" i="44"/>
  <c r="P122" i="44"/>
  <c r="O35" i="44"/>
  <c r="O186" i="44"/>
  <c r="O84" i="44"/>
  <c r="O18" i="44"/>
  <c r="O156" i="44"/>
  <c r="P53" i="44"/>
  <c r="P166" i="44"/>
  <c r="O120" i="44"/>
  <c r="P42" i="44"/>
  <c r="O321" i="44"/>
  <c r="O260" i="44"/>
  <c r="O173" i="44"/>
  <c r="O286" i="44"/>
  <c r="P231" i="44"/>
  <c r="O193" i="44"/>
  <c r="P140" i="44"/>
  <c r="P285" i="44"/>
  <c r="P221" i="44"/>
  <c r="P149" i="44"/>
  <c r="P331" i="44"/>
  <c r="P315" i="44"/>
  <c r="P299" i="44"/>
  <c r="O263" i="44"/>
  <c r="P224" i="44"/>
  <c r="P173" i="44"/>
  <c r="P57" i="44"/>
  <c r="O250" i="44"/>
  <c r="P204" i="44"/>
  <c r="O148" i="44"/>
  <c r="P119" i="44"/>
  <c r="P265" i="44"/>
  <c r="P232" i="44"/>
  <c r="P200" i="44"/>
  <c r="P141" i="44"/>
  <c r="O150" i="44"/>
  <c r="P112" i="44"/>
  <c r="P72" i="44"/>
  <c r="O179" i="44"/>
  <c r="O115" i="44"/>
  <c r="P40" i="44"/>
  <c r="P63" i="44"/>
  <c r="O130" i="44"/>
  <c r="O108" i="44"/>
  <c r="O36" i="44"/>
  <c r="P313" i="44"/>
  <c r="O214" i="44"/>
  <c r="P280" i="44"/>
  <c r="O201" i="44"/>
  <c r="O105" i="44"/>
  <c r="O262" i="44"/>
  <c r="O197" i="44"/>
  <c r="O142" i="44"/>
  <c r="P64" i="44"/>
  <c r="O107" i="44"/>
  <c r="P55" i="44"/>
  <c r="P60" i="44"/>
  <c r="P19" i="44"/>
  <c r="P162" i="44"/>
  <c r="P66" i="44"/>
  <c r="P262" i="44"/>
  <c r="O71" i="44"/>
  <c r="P336" i="44"/>
  <c r="O177" i="44"/>
  <c r="O341" i="44"/>
  <c r="O257" i="44"/>
  <c r="O104" i="44"/>
  <c r="O66" i="44"/>
  <c r="P171" i="44"/>
  <c r="O320" i="44"/>
  <c r="O280" i="44"/>
  <c r="O53" i="44"/>
  <c r="O279" i="44"/>
  <c r="P139" i="44"/>
  <c r="O12" i="44"/>
  <c r="P78" i="44"/>
  <c r="O212" i="44"/>
  <c r="P22" i="44"/>
  <c r="O283" i="44"/>
  <c r="O157" i="44"/>
  <c r="O59" i="44"/>
  <c r="O62" i="44"/>
  <c r="O243" i="44"/>
  <c r="O336" i="44"/>
  <c r="P281" i="44"/>
  <c r="O175" i="44"/>
  <c r="P342" i="44"/>
  <c r="P151" i="44"/>
  <c r="P306" i="44"/>
  <c r="P302" i="44"/>
  <c r="O128" i="44"/>
  <c r="P48" i="44"/>
  <c r="O315" i="44"/>
  <c r="O205" i="44"/>
  <c r="P118" i="44"/>
  <c r="O19" i="44"/>
  <c r="P125" i="44"/>
  <c r="P77" i="44"/>
  <c r="O15" i="44"/>
  <c r="O136" i="44"/>
  <c r="P46" i="44"/>
  <c r="P23" i="44"/>
  <c r="P108" i="44"/>
  <c r="O313" i="44"/>
  <c r="O256" i="44"/>
  <c r="P169" i="44"/>
  <c r="O274" i="44"/>
  <c r="P228" i="44"/>
  <c r="P183" i="44"/>
  <c r="P121" i="44"/>
  <c r="P276" i="44"/>
  <c r="P218" i="44"/>
  <c r="P127" i="44"/>
  <c r="P329" i="44"/>
  <c r="P297" i="44"/>
  <c r="P260" i="44"/>
  <c r="O152" i="44"/>
  <c r="P239" i="44"/>
  <c r="O113" i="44"/>
  <c r="O229" i="44"/>
  <c r="O132" i="44"/>
  <c r="O110" i="44"/>
  <c r="O171" i="44"/>
  <c r="P24" i="44"/>
  <c r="O122" i="44"/>
  <c r="O100" i="44"/>
  <c r="P15" i="44"/>
  <c r="P154" i="44"/>
  <c r="P41" i="44"/>
  <c r="P304" i="44"/>
  <c r="P250" i="44"/>
  <c r="O14" i="44"/>
  <c r="P288" i="44"/>
  <c r="O149" i="44"/>
  <c r="O317" i="44"/>
  <c r="O253" i="44"/>
  <c r="P312" i="44"/>
  <c r="O326" i="44"/>
  <c r="P159" i="44"/>
  <c r="O334" i="44"/>
  <c r="O276" i="44"/>
  <c r="O44" i="44"/>
  <c r="O275" i="44"/>
  <c r="P91" i="44"/>
  <c r="P332" i="44"/>
  <c r="O63" i="44"/>
  <c r="P161" i="44"/>
  <c r="O300" i="44"/>
  <c r="P259" i="44"/>
  <c r="P153" i="44"/>
  <c r="O32" i="44"/>
  <c r="O55" i="44"/>
  <c r="O234" i="44"/>
  <c r="P328" i="44"/>
  <c r="O270" i="44"/>
  <c r="O133" i="44"/>
  <c r="O314" i="44"/>
  <c r="O140" i="44"/>
  <c r="O228" i="44"/>
  <c r="P201" i="44"/>
  <c r="O112" i="44"/>
  <c r="P43" i="44"/>
  <c r="O307" i="44"/>
  <c r="O194" i="44"/>
  <c r="O111" i="44"/>
  <c r="P330" i="44"/>
  <c r="O277" i="44"/>
  <c r="O64" i="44"/>
  <c r="P292" i="44"/>
  <c r="P124" i="44"/>
  <c r="P30" i="44"/>
  <c r="O268" i="44"/>
  <c r="O101" i="44"/>
  <c r="O33" i="44"/>
  <c r="O305" i="44"/>
  <c r="O241" i="44"/>
  <c r="P165" i="44"/>
  <c r="P264" i="44"/>
  <c r="O225" i="44"/>
  <c r="O180" i="44"/>
  <c r="O65" i="44"/>
  <c r="P270" i="44"/>
  <c r="P205" i="44"/>
  <c r="P343" i="44"/>
  <c r="P327" i="44"/>
  <c r="P311" i="44"/>
  <c r="P295" i="44"/>
  <c r="P257" i="44"/>
  <c r="P211" i="44"/>
  <c r="P152" i="44"/>
  <c r="O278" i="44"/>
  <c r="P236" i="44"/>
  <c r="P191" i="44"/>
  <c r="P113" i="44"/>
  <c r="P105" i="44"/>
  <c r="O255" i="44"/>
  <c r="O222" i="44"/>
  <c r="O190" i="44"/>
  <c r="O129" i="44"/>
  <c r="P136" i="44"/>
  <c r="P104" i="44"/>
  <c r="P56" i="44"/>
  <c r="O163" i="44"/>
  <c r="O99" i="44"/>
  <c r="P111" i="44"/>
  <c r="O178" i="44"/>
  <c r="O114" i="44"/>
  <c r="O46" i="44"/>
  <c r="O92" i="44"/>
  <c r="P11" i="44"/>
  <c r="P146" i="44"/>
  <c r="P37" i="44"/>
  <c r="P298" i="44"/>
  <c r="P246" i="44"/>
  <c r="O10" i="44"/>
  <c r="O324" i="44"/>
  <c r="O145" i="44"/>
  <c r="O301" i="44"/>
  <c r="O245" i="44"/>
  <c r="O308" i="44"/>
  <c r="O204" i="44"/>
  <c r="P155" i="44"/>
  <c r="P322" i="44"/>
  <c r="O272" i="44"/>
  <c r="O25" i="44"/>
  <c r="O267" i="44"/>
  <c r="P75" i="44"/>
  <c r="P320" i="44"/>
  <c r="O39" i="44"/>
  <c r="P62" i="44"/>
  <c r="O330" i="44"/>
  <c r="P255" i="44"/>
  <c r="P138" i="44"/>
  <c r="O28" i="44"/>
  <c r="P35" i="44"/>
  <c r="O226" i="44"/>
  <c r="O325" i="44"/>
  <c r="O254" i="44"/>
  <c r="P129" i="44"/>
  <c r="P310" i="44"/>
  <c r="P132" i="44"/>
  <c r="P209" i="44"/>
  <c r="P197" i="44"/>
  <c r="P92" i="44"/>
  <c r="O40" i="44"/>
  <c r="O299" i="44"/>
  <c r="O172" i="44"/>
  <c r="O96" i="44"/>
  <c r="P258" i="44"/>
  <c r="O189" i="44"/>
  <c r="O54" i="44"/>
  <c r="P283" i="44"/>
  <c r="O121" i="44"/>
  <c r="P14" i="44"/>
  <c r="O264" i="44"/>
  <c r="P93" i="44"/>
  <c r="P26" i="44"/>
  <c r="O297" i="44"/>
  <c r="O221" i="44"/>
  <c r="P158" i="44"/>
  <c r="P261" i="44"/>
  <c r="P215" i="44"/>
  <c r="O168" i="44"/>
  <c r="P65" i="44"/>
  <c r="P267" i="44"/>
  <c r="P202" i="44"/>
  <c r="P341" i="44"/>
  <c r="P325" i="44"/>
  <c r="P309" i="44"/>
  <c r="P293" i="44"/>
  <c r="O247" i="44"/>
  <c r="P208" i="44"/>
  <c r="O81" i="44"/>
  <c r="P272" i="44"/>
  <c r="O233" i="44"/>
  <c r="P188" i="44"/>
  <c r="P284" i="44"/>
  <c r="O73" i="44"/>
  <c r="P252" i="44"/>
  <c r="P219" i="44"/>
  <c r="P187" i="44"/>
  <c r="O97" i="44"/>
  <c r="O134" i="44"/>
  <c r="O102" i="44"/>
  <c r="P44" i="44"/>
  <c r="O155" i="44"/>
  <c r="O91" i="44"/>
  <c r="P103" i="44"/>
  <c r="O170" i="44"/>
  <c r="O106" i="44"/>
  <c r="P36" i="44"/>
  <c r="O42" i="44"/>
  <c r="P238" i="44"/>
  <c r="P142" i="44"/>
  <c r="P33" i="44"/>
  <c r="P286" i="44"/>
  <c r="P233" i="44"/>
  <c r="P300" i="44"/>
  <c r="P148" i="44"/>
  <c r="O137" i="44"/>
  <c r="O281" i="44"/>
  <c r="O236" i="44"/>
  <c r="O327" i="44"/>
  <c r="O196" i="44"/>
  <c r="P147" i="44"/>
  <c r="P318" i="44"/>
  <c r="O252" i="44"/>
  <c r="P340" i="44"/>
  <c r="O210" i="44"/>
  <c r="P67" i="44"/>
  <c r="P316" i="44"/>
  <c r="O27" i="44"/>
  <c r="P58" i="44"/>
  <c r="P326" i="44"/>
  <c r="P247" i="44"/>
  <c r="O127" i="44"/>
  <c r="O21" i="44"/>
  <c r="P31" i="44"/>
  <c r="O211" i="44"/>
  <c r="O318" i="44"/>
  <c r="P206" i="44"/>
  <c r="P117" i="44"/>
  <c r="O292" i="44"/>
  <c r="P101" i="44"/>
  <c r="O202" i="44"/>
  <c r="P193" i="44"/>
  <c r="P85" i="44"/>
  <c r="O37" i="44"/>
  <c r="O291" i="44"/>
  <c r="O161" i="44"/>
  <c r="O85" i="44"/>
  <c r="O251" i="44"/>
  <c r="O143" i="44"/>
  <c r="O51" i="44"/>
  <c r="P242" i="44"/>
  <c r="O117" i="44"/>
  <c r="P279" i="44"/>
  <c r="O249" i="44"/>
  <c r="O20" i="44"/>
  <c r="O289" i="44"/>
  <c r="P217" i="44"/>
  <c r="P134" i="44"/>
  <c r="O258" i="44"/>
  <c r="P212" i="44"/>
  <c r="P168" i="44"/>
  <c r="O89" i="44"/>
  <c r="P254" i="44"/>
  <c r="P189" i="44"/>
  <c r="P339" i="44"/>
  <c r="P323" i="44"/>
  <c r="P307" i="44"/>
  <c r="P291" i="44"/>
  <c r="P244" i="44"/>
  <c r="O198" i="44"/>
  <c r="P81" i="44"/>
  <c r="P269" i="44"/>
  <c r="P223" i="44"/>
  <c r="O185" i="44"/>
  <c r="P277" i="44"/>
  <c r="P73" i="44"/>
  <c r="P249" i="44"/>
  <c r="P216" i="44"/>
  <c r="P184" i="44"/>
  <c r="P97" i="44"/>
  <c r="P128" i="44"/>
  <c r="P96" i="44"/>
  <c r="O38" i="44"/>
  <c r="O147" i="44"/>
  <c r="O83" i="44"/>
  <c r="P95" i="44"/>
  <c r="O162" i="44"/>
  <c r="O98" i="44"/>
  <c r="O30" i="44"/>
  <c r="P32" i="44"/>
  <c r="P130" i="44"/>
  <c r="P114" i="44"/>
  <c r="P225" i="44"/>
  <c r="O303" i="44"/>
  <c r="O220" i="44"/>
  <c r="P131" i="44"/>
  <c r="P179" i="44"/>
  <c r="O52" i="44"/>
  <c r="P54" i="44"/>
  <c r="O223" i="44"/>
  <c r="O24" i="44"/>
  <c r="O199" i="44"/>
  <c r="P163" i="44"/>
  <c r="P181" i="44"/>
  <c r="O259" i="44"/>
  <c r="P61" i="44"/>
  <c r="O34" i="44"/>
  <c r="P229" i="44"/>
  <c r="O50" i="44"/>
  <c r="P198" i="44"/>
  <c r="O209" i="44"/>
  <c r="P49" i="44"/>
  <c r="P335" i="44"/>
  <c r="P289" i="44"/>
  <c r="O182" i="44"/>
  <c r="O217" i="44"/>
  <c r="O282" i="44"/>
  <c r="P203" i="44"/>
  <c r="P120" i="44"/>
  <c r="O139" i="44"/>
  <c r="P71" i="44"/>
  <c r="O124" i="44"/>
  <c r="O31" i="44"/>
  <c r="O17" i="44"/>
  <c r="P199" i="44"/>
  <c r="P251" i="44"/>
  <c r="P333" i="44"/>
  <c r="O176" i="44"/>
  <c r="P207" i="44"/>
  <c r="O271" i="44"/>
  <c r="O181" i="44"/>
  <c r="O131" i="44"/>
  <c r="O154" i="44"/>
  <c r="O116" i="44"/>
  <c r="P237" i="44"/>
  <c r="P176" i="44"/>
  <c r="O169" i="44"/>
  <c r="O123" i="44"/>
  <c r="O26" i="44"/>
  <c r="P241" i="44"/>
  <c r="O246" i="44"/>
  <c r="O138" i="44"/>
  <c r="O23" i="44"/>
  <c r="O160" i="44"/>
  <c r="P214" i="44"/>
  <c r="O103" i="44"/>
  <c r="O82" i="44"/>
  <c r="P245" i="44"/>
  <c r="P253" i="44"/>
  <c r="P87" i="44"/>
  <c r="O72" i="44"/>
  <c r="O215" i="44"/>
  <c r="P296" i="44"/>
  <c r="P94" i="44"/>
  <c r="O49" i="44"/>
  <c r="P135" i="44"/>
  <c r="P20" i="44"/>
  <c r="P29" i="44"/>
  <c r="P107" i="44"/>
  <c r="O125" i="44"/>
  <c r="O200" i="44"/>
  <c r="P115" i="44"/>
  <c r="O333" i="44"/>
  <c r="O43" i="44"/>
  <c r="P50" i="44"/>
  <c r="P123" i="44"/>
  <c r="O329" i="44"/>
  <c r="O195" i="44"/>
  <c r="P82" i="44"/>
  <c r="P177" i="44"/>
  <c r="O244" i="44"/>
  <c r="P243" i="44"/>
  <c r="P180" i="44"/>
  <c r="O191" i="44"/>
  <c r="P287" i="44"/>
  <c r="O118" i="44"/>
  <c r="P268" i="44"/>
  <c r="O146" i="44"/>
  <c r="O165" i="44"/>
  <c r="P156" i="44"/>
  <c r="P16" i="44"/>
  <c r="P222" i="44"/>
  <c r="P190" i="44"/>
  <c r="O311" i="44"/>
  <c r="P25" i="44"/>
  <c r="P109" i="44"/>
  <c r="P248" i="44"/>
  <c r="P227" i="44"/>
  <c r="P28" i="44"/>
  <c r="O265" i="44"/>
  <c r="O11" i="44"/>
  <c r="P334" i="44"/>
  <c r="P69" i="44"/>
  <c r="P303" i="44"/>
  <c r="O22" i="44"/>
  <c r="O312" i="44"/>
  <c r="P308" i="44"/>
  <c r="P185" i="44"/>
  <c r="O56" i="44"/>
  <c r="P301" i="44"/>
  <c r="P12" i="44"/>
  <c r="P99" i="44"/>
  <c r="P21" i="44"/>
  <c r="O87" i="44"/>
  <c r="O109" i="44"/>
  <c r="O319" i="44"/>
  <c r="P59" i="44"/>
  <c r="C4" i="54" s="1"/>
  <c r="C34" i="54" s="1"/>
  <c r="C35" i="54" s="1"/>
  <c r="O310" i="44"/>
  <c r="O309" i="44"/>
  <c r="P45" i="44"/>
  <c r="O119" i="44"/>
  <c r="O207" i="44"/>
  <c r="O187" i="44"/>
  <c r="O78" i="44"/>
  <c r="O239" i="44"/>
  <c r="O231" i="44"/>
  <c r="P226" i="44"/>
  <c r="P170" i="44"/>
  <c r="P10" i="44"/>
  <c r="P100" i="44"/>
  <c r="P196" i="44"/>
  <c r="P321" i="44"/>
  <c r="P273" i="44"/>
  <c r="P175" i="44"/>
  <c r="O94" i="44"/>
  <c r="P319" i="44"/>
  <c r="P172" i="44"/>
  <c r="P88" i="44"/>
  <c r="O90" i="44"/>
  <c r="P282" i="44"/>
  <c r="O288" i="44"/>
  <c r="P145" i="44"/>
  <c r="O29" i="44"/>
  <c r="O135" i="44"/>
  <c r="P167" i="44"/>
  <c r="P256" i="44"/>
  <c r="P18" i="44"/>
  <c r="P278" i="44"/>
  <c r="P182" i="44"/>
  <c r="O237" i="44"/>
  <c r="P98" i="44"/>
  <c r="P164" i="44"/>
  <c r="O213" i="44"/>
  <c r="P274" i="44"/>
  <c r="O60" i="44"/>
  <c r="P174" i="44"/>
  <c r="P213" i="44"/>
  <c r="P220" i="44"/>
  <c r="P79" i="44"/>
  <c r="P116" i="44"/>
  <c r="P17" i="44"/>
  <c r="O332" i="44"/>
  <c r="O93" i="44"/>
  <c r="O86" i="44"/>
  <c r="P314" i="44"/>
  <c r="O306" i="44"/>
  <c r="O294" i="44"/>
  <c r="O298" i="44"/>
  <c r="O88" i="44"/>
  <c r="O141" i="44"/>
  <c r="P86" i="44"/>
  <c r="P338" i="44"/>
  <c r="P70" i="44"/>
  <c r="O151" i="44"/>
  <c r="O216" i="44"/>
  <c r="O219" i="44"/>
  <c r="O218" i="44"/>
  <c r="O337" i="44"/>
  <c r="O144" i="44"/>
  <c r="P234" i="44"/>
  <c r="O57" i="44"/>
  <c r="O75" i="44"/>
  <c r="O342" i="44"/>
  <c r="O188" i="44"/>
  <c r="P290" i="44"/>
  <c r="O58" i="44"/>
  <c r="P102" i="44"/>
  <c r="P271" i="44"/>
  <c r="P305" i="44"/>
  <c r="O166" i="44"/>
  <c r="O328" i="44"/>
  <c r="O248" i="44"/>
  <c r="O304" i="44"/>
  <c r="O95" i="44"/>
  <c r="P89" i="44"/>
  <c r="P347" i="44" s="1"/>
  <c r="P160" i="44"/>
  <c r="P126" i="44"/>
  <c r="O227" i="44"/>
  <c r="O48" i="44"/>
  <c r="P337" i="44"/>
  <c r="O206" i="44"/>
  <c r="P230" i="44"/>
  <c r="O335" i="44"/>
  <c r="O273" i="44"/>
  <c r="O74" i="44"/>
  <c r="O296" i="44"/>
  <c r="P194" i="44"/>
  <c r="O290" i="44"/>
  <c r="P294" i="44"/>
  <c r="O13" i="44"/>
  <c r="P83" i="44"/>
  <c r="O61" i="44"/>
  <c r="P74" i="44"/>
  <c r="O67" i="44"/>
  <c r="P137" i="44"/>
  <c r="P106" i="44"/>
  <c r="O167" i="44"/>
  <c r="O203" i="44"/>
  <c r="P275" i="44"/>
  <c r="P144" i="44"/>
  <c r="O153" i="44"/>
  <c r="P186" i="44"/>
  <c r="P317" i="44"/>
  <c r="O230" i="44"/>
  <c r="O266" i="44"/>
  <c r="P157" i="44"/>
  <c r="O238" i="44"/>
  <c r="O174" i="44"/>
  <c r="P80" i="44"/>
  <c r="P34" i="44"/>
  <c r="O269" i="44"/>
  <c r="P133" i="44"/>
  <c r="P143" i="44"/>
  <c r="P235" i="44"/>
  <c r="P84" i="44"/>
  <c r="O184" i="44"/>
  <c r="O235" i="44"/>
  <c r="O339" i="44"/>
  <c r="P263" i="44"/>
  <c r="P195" i="44"/>
  <c r="O158" i="44"/>
  <c r="O232" i="44"/>
  <c r="P27" i="44"/>
  <c r="O242" i="44"/>
  <c r="P192" i="44"/>
  <c r="O126" i="44"/>
  <c r="O331" i="44"/>
  <c r="B61" i="11"/>
  <c r="B60" i="11"/>
  <c r="C60" i="11"/>
  <c r="C61" i="11"/>
  <c r="D27" i="53"/>
  <c r="B27" i="52"/>
  <c r="D26" i="52"/>
  <c r="D27" i="52"/>
  <c r="C27" i="52"/>
  <c r="F28" i="53"/>
  <c r="C27" i="53"/>
  <c r="F26" i="52"/>
  <c r="E12" i="52"/>
  <c r="B26" i="53"/>
  <c r="E28" i="53"/>
  <c r="B27" i="53"/>
  <c r="E26" i="52"/>
  <c r="F12" i="52"/>
  <c r="C12" i="52"/>
  <c r="F27" i="53"/>
  <c r="D28" i="53"/>
  <c r="F26" i="53"/>
  <c r="C28" i="53"/>
  <c r="E26" i="53"/>
  <c r="F27" i="52"/>
  <c r="C26" i="52"/>
  <c r="D12" i="52"/>
  <c r="B28" i="53"/>
  <c r="D26" i="53"/>
  <c r="E27" i="52"/>
  <c r="B26" i="52"/>
  <c r="C26" i="53"/>
  <c r="B12" i="52"/>
  <c r="D13" i="10"/>
  <c r="E13" i="10"/>
  <c r="E15" i="10" s="1"/>
  <c r="E9" i="10"/>
  <c r="D9" i="10"/>
  <c r="C2" i="60"/>
  <c r="B18" i="45" l="1"/>
  <c r="B20" i="45" s="1"/>
  <c r="C15" i="8" s="1"/>
  <c r="C16" i="8" s="1"/>
  <c r="G13" i="52"/>
  <c r="C18" i="53"/>
  <c r="C43" i="13"/>
  <c r="D16" i="8"/>
  <c r="C20" i="28"/>
  <c r="K12" i="28"/>
  <c r="C11" i="13"/>
  <c r="B11" i="13"/>
  <c r="C31" i="11"/>
  <c r="B35" i="13"/>
  <c r="C18" i="40"/>
  <c r="C23" i="40"/>
  <c r="C22" i="40"/>
  <c r="B25" i="45"/>
  <c r="G25" i="52"/>
  <c r="B31" i="11"/>
  <c r="B43" i="13"/>
  <c r="B33" i="45"/>
  <c r="B32" i="45"/>
  <c r="C33" i="45"/>
  <c r="C25" i="13"/>
  <c r="C32" i="45"/>
  <c r="B18" i="40"/>
  <c r="G26" i="53"/>
  <c r="C18" i="11"/>
  <c r="B44" i="11"/>
  <c r="B18" i="11"/>
  <c r="B23" i="40"/>
  <c r="U224" i="44"/>
  <c r="F345" i="44"/>
  <c r="B22" i="40"/>
  <c r="G28" i="53"/>
  <c r="E345" i="44"/>
  <c r="G24" i="52"/>
  <c r="D19" i="8" s="1"/>
  <c r="G25" i="53"/>
  <c r="G27" i="53"/>
  <c r="C14" i="43"/>
  <c r="B30" i="53"/>
  <c r="I17" i="28"/>
  <c r="G27" i="52"/>
  <c r="G26" i="52"/>
  <c r="I12" i="28"/>
  <c r="F18" i="53"/>
  <c r="D18" i="53"/>
  <c r="E18" i="53"/>
  <c r="B18" i="53"/>
  <c r="I13" i="28"/>
  <c r="E17" i="28"/>
  <c r="K17" i="28"/>
  <c r="I16" i="28"/>
  <c r="I15" i="28"/>
  <c r="E14" i="28"/>
  <c r="K14" i="28"/>
  <c r="E18" i="28"/>
  <c r="K18" i="28"/>
  <c r="E12" i="28"/>
  <c r="E13" i="28"/>
  <c r="K13" i="28"/>
  <c r="I18" i="28"/>
  <c r="I14" i="28"/>
  <c r="E16" i="28"/>
  <c r="K16" i="28"/>
  <c r="E15" i="28"/>
  <c r="K15" i="28"/>
  <c r="G13" i="53" l="1"/>
  <c r="J12" i="28"/>
  <c r="J14" i="28"/>
  <c r="J13" i="28"/>
  <c r="J17" i="28"/>
  <c r="J15" i="28"/>
  <c r="K20" i="28"/>
  <c r="D30" i="8" s="1"/>
  <c r="J16" i="28"/>
  <c r="J18" i="28"/>
  <c r="B25" i="13" l="1"/>
  <c r="C16" i="47"/>
  <c r="G20" i="28" l="1"/>
  <c r="D19" i="9" l="1"/>
  <c r="C13" i="43" s="1"/>
  <c r="C70" i="59"/>
  <c r="D15" i="59"/>
  <c r="C54" i="9"/>
  <c r="E54" i="9"/>
  <c r="D20" i="8" l="1"/>
  <c r="G29" i="52"/>
  <c r="E53" i="9"/>
  <c r="D58" i="43" s="1"/>
  <c r="E97" i="56" s="1"/>
  <c r="C53" i="9"/>
  <c r="B58" i="43" s="1"/>
  <c r="C97" i="56" s="1"/>
  <c r="M30" i="57" l="1"/>
  <c r="W30" i="57" s="1"/>
  <c r="J2" i="44"/>
  <c r="J1" i="44" s="1"/>
  <c r="F14" i="30" l="1"/>
  <c r="I14" i="30" s="1"/>
  <c r="B51" i="13" l="1"/>
  <c r="B7" i="13"/>
  <c r="Q12" i="57"/>
  <c r="A2" i="59" l="1"/>
  <c r="A1" i="59"/>
  <c r="J55" i="59"/>
  <c r="I45" i="59"/>
  <c r="E47" i="59"/>
  <c r="N6" i="48" s="1"/>
  <c r="P6" i="48" s="1"/>
  <c r="I42" i="59"/>
  <c r="F39" i="54" l="1"/>
  <c r="G39" i="54"/>
  <c r="G38" i="54" l="1"/>
  <c r="B59" i="10" l="1"/>
  <c r="B50" i="10"/>
  <c r="C88" i="56" l="1"/>
  <c r="A97" i="56"/>
  <c r="A96" i="56"/>
  <c r="C95" i="56"/>
  <c r="A95" i="56"/>
  <c r="A94" i="56"/>
  <c r="M14" i="57"/>
  <c r="W14" i="57" s="1"/>
  <c r="L14" i="57"/>
  <c r="D14" i="57"/>
  <c r="J12" i="57"/>
  <c r="D12" i="57"/>
  <c r="Q11" i="57"/>
  <c r="C9" i="57"/>
  <c r="B9" i="57"/>
  <c r="C44" i="9" l="1"/>
  <c r="B49" i="43" s="1"/>
  <c r="C89" i="56" s="1"/>
  <c r="C55" i="10" l="1"/>
  <c r="E35" i="54" l="1"/>
  <c r="B30" i="13" l="1"/>
  <c r="B22" i="30"/>
  <c r="F18" i="30"/>
  <c r="F16" i="30"/>
  <c r="F12" i="30"/>
  <c r="F8" i="30"/>
  <c r="F20" i="30"/>
  <c r="H10" i="30"/>
  <c r="D22" i="30" l="1"/>
  <c r="B52" i="11"/>
  <c r="B34" i="13"/>
  <c r="C22" i="30"/>
  <c r="F10" i="30"/>
  <c r="I10" i="30" s="1"/>
  <c r="F22" i="30" l="1"/>
  <c r="G18" i="53" l="1"/>
  <c r="C37" i="8" l="1"/>
  <c r="I12" i="53"/>
  <c r="I14" i="53" s="1"/>
  <c r="D13" i="43"/>
  <c r="C63" i="11"/>
  <c r="C18" i="47"/>
  <c r="B15" i="47" s="1"/>
  <c r="B63" i="11" l="1"/>
  <c r="D34" i="8"/>
  <c r="G30" i="53" l="1"/>
  <c r="C30" i="53" l="1"/>
  <c r="D11" i="8" l="1"/>
  <c r="D15" i="10"/>
  <c r="C11" i="8" s="1"/>
  <c r="D11" i="10"/>
  <c r="E11" i="10"/>
  <c r="B29" i="52" l="1"/>
  <c r="C37" i="10" l="1"/>
  <c r="C46" i="10" l="1"/>
  <c r="C47" i="10"/>
  <c r="C48" i="10"/>
  <c r="C57" i="10"/>
  <c r="C56" i="10"/>
  <c r="E47" i="10" l="1"/>
  <c r="E48" i="10"/>
  <c r="C50" i="10"/>
  <c r="E46" i="10"/>
  <c r="C59" i="10"/>
  <c r="D57" i="10"/>
  <c r="D56" i="10"/>
  <c r="D40" i="10" l="1"/>
  <c r="B40" i="10" s="1"/>
  <c r="E39" i="10"/>
  <c r="C39" i="10"/>
  <c r="E38" i="10"/>
  <c r="E37" i="10"/>
  <c r="C26" i="10" l="1"/>
  <c r="E28" i="10"/>
  <c r="E27" i="10"/>
  <c r="C28" i="10"/>
  <c r="C27" i="10"/>
  <c r="E40" i="10"/>
  <c r="C40" i="10" s="1"/>
  <c r="E30" i="10" l="1"/>
  <c r="C30" i="10"/>
  <c r="A1" i="53"/>
  <c r="F29" i="52"/>
  <c r="E29" i="52"/>
  <c r="D29" i="52"/>
  <c r="F17" i="52"/>
  <c r="E17" i="52"/>
  <c r="B17" i="52"/>
  <c r="G17" i="52" l="1"/>
  <c r="C29" i="52"/>
  <c r="C17" i="52"/>
  <c r="D17" i="52"/>
  <c r="C20" i="8" l="1"/>
  <c r="I12" i="52"/>
  <c r="I14" i="52" s="1"/>
  <c r="A1" i="52"/>
  <c r="B48" i="11" l="1"/>
  <c r="B35" i="10" l="1"/>
  <c r="C20" i="13" l="1"/>
  <c r="B49" i="13"/>
  <c r="B67" i="13"/>
  <c r="B58" i="13"/>
  <c r="B59" i="13"/>
  <c r="B56" i="13"/>
  <c r="B57" i="13"/>
  <c r="B60" i="13"/>
  <c r="B41" i="13"/>
  <c r="B40" i="13"/>
  <c r="B10" i="13"/>
  <c r="B8" i="13"/>
  <c r="B29" i="13"/>
  <c r="B32" i="13"/>
  <c r="B24" i="13"/>
  <c r="B33" i="13"/>
  <c r="B38" i="11" l="1"/>
  <c r="B26" i="11"/>
  <c r="B25" i="11"/>
  <c r="B24" i="11"/>
  <c r="B50" i="13"/>
  <c r="B53" i="13" s="1"/>
  <c r="B26" i="13"/>
  <c r="B28" i="13"/>
  <c r="B27" i="13"/>
  <c r="B18" i="13"/>
  <c r="B10" i="11" l="1"/>
  <c r="B11" i="11"/>
  <c r="B12" i="11"/>
  <c r="B9" i="11"/>
  <c r="B17" i="11"/>
  <c r="B32" i="11"/>
  <c r="B45" i="11"/>
  <c r="B23" i="11"/>
  <c r="B28" i="11" s="1"/>
  <c r="D15" i="9" s="1"/>
  <c r="L29" i="57" s="1"/>
  <c r="B49" i="11"/>
  <c r="B66" i="13"/>
  <c r="B65" i="13"/>
  <c r="B31" i="13"/>
  <c r="B37" i="13" s="1"/>
  <c r="B50" i="11" s="1"/>
  <c r="B42" i="13"/>
  <c r="B17" i="13"/>
  <c r="B19" i="13"/>
  <c r="B16" i="13"/>
  <c r="B9" i="13"/>
  <c r="E9" i="13" s="1"/>
  <c r="B14" i="11" l="1"/>
  <c r="B39" i="11"/>
  <c r="H8" i="59" s="1"/>
  <c r="B20" i="11"/>
  <c r="D10" i="9" s="1"/>
  <c r="E51" i="9"/>
  <c r="D56" i="43" s="1"/>
  <c r="E52" i="9"/>
  <c r="D57" i="43" s="1"/>
  <c r="D59" i="43"/>
  <c r="E98" i="56" s="1"/>
  <c r="E50" i="9"/>
  <c r="D55" i="43" s="1"/>
  <c r="B34" i="11" l="1"/>
  <c r="D16" i="9" s="1"/>
  <c r="D9" i="9"/>
  <c r="B41" i="11"/>
  <c r="D17" i="9" s="1"/>
  <c r="C16" i="43" s="1"/>
  <c r="C34" i="43" s="1"/>
  <c r="C36" i="43" s="1"/>
  <c r="L25" i="57" l="1"/>
  <c r="L41" i="57"/>
  <c r="D12" i="9"/>
  <c r="G22" i="30"/>
  <c r="E22" i="30"/>
  <c r="E24" i="30" s="1"/>
  <c r="H18" i="34"/>
  <c r="C24" i="30" l="1"/>
  <c r="F3" i="34"/>
  <c r="H20" i="28" l="1"/>
  <c r="D20" i="28"/>
  <c r="E25" i="30" l="1"/>
  <c r="E26" i="30" s="1"/>
  <c r="C29" i="43"/>
  <c r="C25" i="30"/>
  <c r="C26" i="30" s="1"/>
  <c r="E22" i="59"/>
  <c r="B3" i="13"/>
  <c r="B3" i="40"/>
  <c r="D74" i="59" l="1"/>
  <c r="C78" i="59"/>
  <c r="D85" i="59" s="1"/>
  <c r="A2" i="34"/>
  <c r="F2" i="34" s="1"/>
  <c r="C3" i="13"/>
  <c r="A2" i="11"/>
  <c r="A1" i="47"/>
  <c r="A3" i="28"/>
  <c r="C3" i="40"/>
  <c r="A1" i="45"/>
  <c r="D35" i="10"/>
  <c r="A1" i="43"/>
  <c r="A55" i="9"/>
  <c r="A60" i="43" s="1"/>
  <c r="A99" i="56" s="1"/>
  <c r="A54" i="9"/>
  <c r="A59" i="43" s="1"/>
  <c r="A98" i="56" s="1"/>
  <c r="B59" i="43"/>
  <c r="C98" i="56" s="1"/>
  <c r="C52" i="9"/>
  <c r="B57" i="43" s="1"/>
  <c r="C96" i="56" s="1"/>
  <c r="C51" i="9"/>
  <c r="C50" i="9"/>
  <c r="B55" i="43" s="1"/>
  <c r="C94" i="56" s="1"/>
  <c r="A40" i="9"/>
  <c r="A4" i="9"/>
  <c r="A4" i="43" s="1"/>
  <c r="A3" i="10" l="1"/>
  <c r="H16" i="30" l="1"/>
  <c r="H20" i="30" l="1"/>
  <c r="H12" i="30"/>
  <c r="H18" i="30"/>
  <c r="I16" i="30"/>
  <c r="B62" i="13"/>
  <c r="B45" i="13"/>
  <c r="B13" i="13"/>
  <c r="B69" i="13"/>
  <c r="B55" i="11" s="1"/>
  <c r="B21" i="13"/>
  <c r="F20" i="28"/>
  <c r="H22" i="30" l="1"/>
  <c r="D27" i="59" s="1"/>
  <c r="E27" i="59" s="1"/>
  <c r="L33" i="57"/>
  <c r="B51" i="11"/>
  <c r="B53" i="11"/>
  <c r="B54" i="11"/>
  <c r="B47" i="11"/>
  <c r="B46" i="11"/>
  <c r="H9" i="59" s="1"/>
  <c r="I20" i="30"/>
  <c r="I8" i="30"/>
  <c r="I18" i="30"/>
  <c r="I12" i="30"/>
  <c r="B20" i="28"/>
  <c r="I20" i="28"/>
  <c r="E20" i="28" l="1"/>
  <c r="L38" i="57"/>
  <c r="B57" i="11"/>
  <c r="D18" i="9" s="1"/>
  <c r="D21" i="9" s="1"/>
  <c r="D23" i="9" s="1"/>
  <c r="I22" i="30"/>
  <c r="G12" i="34" s="1"/>
  <c r="D31" i="8"/>
  <c r="J20" i="28"/>
  <c r="C30" i="8" s="1"/>
  <c r="D27" i="9" l="1"/>
  <c r="D29" i="9" s="1"/>
  <c r="E12" i="59" s="1"/>
  <c r="G13" i="34"/>
  <c r="H13" i="34" s="1"/>
  <c r="H21" i="34" s="1"/>
  <c r="H23" i="34" s="1"/>
  <c r="B16" i="47" l="1"/>
  <c r="C11" i="43"/>
  <c r="C17" i="43" s="1"/>
  <c r="D60" i="59"/>
  <c r="C88" i="59" s="1"/>
  <c r="D89" i="59" s="1"/>
  <c r="E38" i="59" s="1"/>
  <c r="E24" i="59"/>
  <c r="E29" i="59" s="1"/>
  <c r="O68" i="44" l="1"/>
  <c r="P68" i="44"/>
  <c r="O76" i="44"/>
  <c r="P76" i="44"/>
  <c r="N2" i="44"/>
  <c r="B18" i="47" l="1"/>
  <c r="C34" i="8" s="1"/>
  <c r="M2" i="44"/>
  <c r="N1" i="44" s="1"/>
  <c r="D30" i="53"/>
  <c r="E30" i="53"/>
  <c r="F30" i="53"/>
  <c r="D37" i="8" l="1"/>
  <c r="M26" i="57" l="1"/>
  <c r="W26" i="57" s="1"/>
  <c r="C21" i="43"/>
  <c r="E34" i="59"/>
  <c r="E36" i="59" s="1"/>
  <c r="E40" i="59" l="1"/>
  <c r="E41" i="59" l="1"/>
  <c r="E42" i="59" s="1"/>
  <c r="E43" i="59" s="1"/>
  <c r="E44" i="59" s="1"/>
  <c r="E48" i="59" l="1"/>
  <c r="N5" i="48"/>
  <c r="P5" i="48" s="1"/>
  <c r="I41" i="59"/>
  <c r="I43" i="59" s="1"/>
  <c r="I44" i="59" s="1"/>
  <c r="I51" i="59"/>
  <c r="I53" i="59" s="1"/>
  <c r="K53" i="59" s="1"/>
  <c r="L53" i="59" s="1"/>
  <c r="I46" i="59" l="1"/>
  <c r="I47" i="59" s="1"/>
  <c r="C51" i="59" s="1"/>
  <c r="I52" i="59"/>
  <c r="K52" i="59" s="1"/>
  <c r="L52" i="59" s="1"/>
  <c r="I54" i="59"/>
  <c r="K54" i="59" s="1"/>
  <c r="L54" i="59" s="1"/>
  <c r="I55" i="59"/>
  <c r="K55" i="59" s="1"/>
  <c r="L55" i="59" s="1"/>
  <c r="D34" i="9"/>
  <c r="G2" i="44"/>
  <c r="B11" i="45" l="1"/>
  <c r="B12" i="56"/>
  <c r="L56" i="59"/>
  <c r="C52" i="59" s="1"/>
  <c r="E52" i="59" s="1"/>
  <c r="E54" i="59" s="1"/>
  <c r="L17" i="57"/>
  <c r="L48" i="57"/>
  <c r="L37" i="57"/>
  <c r="D37" i="9"/>
  <c r="D38" i="9" s="1"/>
  <c r="E2" i="48"/>
  <c r="C24" i="43"/>
  <c r="B15" i="56" l="1"/>
  <c r="B17" i="56" s="1"/>
  <c r="B14" i="56"/>
  <c r="B18" i="57"/>
  <c r="D46" i="10" l="1"/>
  <c r="D47" i="10"/>
  <c r="D48" i="10"/>
  <c r="D55" i="10"/>
  <c r="D59" i="10" l="1"/>
  <c r="D50" i="10"/>
  <c r="D31" i="43" l="1"/>
  <c r="C51" i="13"/>
  <c r="C30" i="13"/>
  <c r="C16" i="40"/>
  <c r="C50" i="13"/>
  <c r="C26" i="13"/>
  <c r="C21" i="40"/>
  <c r="C15" i="40"/>
  <c r="C60" i="13"/>
  <c r="C8" i="40"/>
  <c r="C67" i="13"/>
  <c r="C26" i="11"/>
  <c r="C49" i="11"/>
  <c r="F49" i="11" s="1"/>
  <c r="C36" i="40"/>
  <c r="C10" i="13"/>
  <c r="C10" i="47"/>
  <c r="C41" i="40"/>
  <c r="C19" i="40"/>
  <c r="C66" i="13"/>
  <c r="C8" i="13"/>
  <c r="C33" i="13"/>
  <c r="C39" i="11"/>
  <c r="C38" i="11"/>
  <c r="C9" i="40"/>
  <c r="C19" i="13"/>
  <c r="C59" i="13"/>
  <c r="C29" i="13"/>
  <c r="C20" i="40"/>
  <c r="C48" i="11"/>
  <c r="F48" i="11" s="1"/>
  <c r="C41" i="13"/>
  <c r="C28" i="47"/>
  <c r="C10" i="40"/>
  <c r="C42" i="13"/>
  <c r="C17" i="13"/>
  <c r="C25" i="11"/>
  <c r="C57" i="13"/>
  <c r="C45" i="11"/>
  <c r="F45" i="11" s="1"/>
  <c r="C42" i="40"/>
  <c r="C34" i="13"/>
  <c r="C9" i="13"/>
  <c r="C52" i="11"/>
  <c r="F52" i="11" s="1"/>
  <c r="C7" i="40"/>
  <c r="C31" i="45"/>
  <c r="C29" i="47"/>
  <c r="C17" i="40"/>
  <c r="C11" i="11"/>
  <c r="C32" i="11"/>
  <c r="C28" i="13"/>
  <c r="C31" i="13"/>
  <c r="C25" i="45"/>
  <c r="C32" i="13"/>
  <c r="C27" i="13"/>
  <c r="C24" i="11"/>
  <c r="C12" i="11"/>
  <c r="C18" i="13"/>
  <c r="C10" i="11"/>
  <c r="C58" i="13"/>
  <c r="C30" i="40"/>
  <c r="C56" i="13"/>
  <c r="C40" i="13"/>
  <c r="C7" i="13"/>
  <c r="C49" i="13"/>
  <c r="C65" i="13"/>
  <c r="C17" i="11"/>
  <c r="C20" i="11" s="1"/>
  <c r="E10" i="9" s="1"/>
  <c r="C24" i="13"/>
  <c r="C16" i="13"/>
  <c r="C23" i="11"/>
  <c r="C44" i="11"/>
  <c r="F44" i="11" s="1"/>
  <c r="C29" i="40"/>
  <c r="C9" i="47"/>
  <c r="C35" i="40"/>
  <c r="K9" i="44"/>
  <c r="C9" i="11"/>
  <c r="C36" i="45" l="1"/>
  <c r="D22" i="8" s="1"/>
  <c r="C14" i="11"/>
  <c r="C12" i="40"/>
  <c r="C24" i="45" s="1"/>
  <c r="C12" i="47"/>
  <c r="C32" i="40"/>
  <c r="C22" i="47" s="1"/>
  <c r="C25" i="40"/>
  <c r="C26" i="45" s="1"/>
  <c r="C69" i="13"/>
  <c r="C55" i="11" s="1"/>
  <c r="F55" i="11" s="1"/>
  <c r="C38" i="40"/>
  <c r="C21" i="47" s="1"/>
  <c r="C62" i="13"/>
  <c r="C54" i="11" s="1"/>
  <c r="F54" i="11" s="1"/>
  <c r="C28" i="11"/>
  <c r="E15" i="9" s="1"/>
  <c r="M29" i="57" s="1"/>
  <c r="W29" i="57" s="1"/>
  <c r="C41" i="11"/>
  <c r="E17" i="9" s="1"/>
  <c r="D16" i="43" s="1"/>
  <c r="D34" i="43" s="1"/>
  <c r="D36" i="43" s="1"/>
  <c r="C13" i="13"/>
  <c r="C46" i="11" s="1"/>
  <c r="F46" i="11" s="1"/>
  <c r="C44" i="40"/>
  <c r="C27" i="47" s="1"/>
  <c r="C31" i="47" s="1"/>
  <c r="D39" i="8" s="1"/>
  <c r="C45" i="13"/>
  <c r="C51" i="11" s="1"/>
  <c r="F51" i="11" s="1"/>
  <c r="C21" i="13"/>
  <c r="C53" i="13"/>
  <c r="L9" i="44"/>
  <c r="P9" i="44" s="1"/>
  <c r="C34" i="11"/>
  <c r="E16" i="9" s="1"/>
  <c r="C35" i="13" l="1"/>
  <c r="C37" i="13" s="1"/>
  <c r="C50" i="11" s="1"/>
  <c r="F50" i="11" s="1"/>
  <c r="B8" i="40"/>
  <c r="B10" i="40"/>
  <c r="B35" i="40"/>
  <c r="O9" i="44"/>
  <c r="B17" i="40"/>
  <c r="B10" i="47"/>
  <c r="D33" i="8"/>
  <c r="E9" i="9"/>
  <c r="C28" i="45"/>
  <c r="D21" i="8" s="1"/>
  <c r="C24" i="47"/>
  <c r="D38" i="8" s="1"/>
  <c r="C16" i="57"/>
  <c r="C53" i="11"/>
  <c r="F53" i="11" s="1"/>
  <c r="C47" i="11"/>
  <c r="F47" i="11" s="1"/>
  <c r="D23" i="8" l="1"/>
  <c r="D35" i="8"/>
  <c r="C31" i="8"/>
  <c r="O2" i="44"/>
  <c r="B36" i="40"/>
  <c r="B38" i="40" s="1"/>
  <c r="B21" i="47" s="1"/>
  <c r="B7" i="40"/>
  <c r="B9" i="40"/>
  <c r="E12" i="9"/>
  <c r="M25" i="57"/>
  <c r="W25" i="57" s="1"/>
  <c r="M41" i="57"/>
  <c r="W41" i="57" s="1"/>
  <c r="D41" i="43"/>
  <c r="C40" i="43" s="1"/>
  <c r="L30" i="57"/>
  <c r="B20" i="40"/>
  <c r="C57" i="11"/>
  <c r="E18" i="9" s="1"/>
  <c r="D40" i="8"/>
  <c r="M11" i="57" s="1"/>
  <c r="B29" i="40"/>
  <c r="B42" i="40"/>
  <c r="B29" i="47"/>
  <c r="B16" i="40"/>
  <c r="B41" i="40"/>
  <c r="B31" i="45"/>
  <c r="B15" i="40"/>
  <c r="B21" i="40"/>
  <c r="B30" i="40"/>
  <c r="B28" i="47"/>
  <c r="B9" i="47"/>
  <c r="B12" i="47" s="1"/>
  <c r="B19" i="40"/>
  <c r="M12" i="57" l="1"/>
  <c r="W12" i="57" s="1"/>
  <c r="E21" i="9"/>
  <c r="E23" i="9" s="1"/>
  <c r="B12" i="40"/>
  <c r="B24" i="45" s="1"/>
  <c r="C33" i="8"/>
  <c r="C30" i="43" s="1"/>
  <c r="D42" i="8"/>
  <c r="W11" i="57"/>
  <c r="M33" i="57"/>
  <c r="W33" i="57" s="1"/>
  <c r="P25" i="57"/>
  <c r="M38" i="57"/>
  <c r="W38" i="57" s="1"/>
  <c r="C15" i="57"/>
  <c r="L26" i="57"/>
  <c r="B15" i="57" s="1"/>
  <c r="H1" i="44"/>
  <c r="D43" i="43"/>
  <c r="B32" i="40"/>
  <c r="B22" i="47" s="1"/>
  <c r="B24" i="47" s="1"/>
  <c r="C38" i="8" s="1"/>
  <c r="C41" i="43" s="1"/>
  <c r="C43" i="43" s="1"/>
  <c r="B44" i="40"/>
  <c r="B25" i="40"/>
  <c r="B26" i="45" s="1"/>
  <c r="B36" i="45"/>
  <c r="C22" i="8" s="1"/>
  <c r="B16" i="57"/>
  <c r="D16" i="57" s="1"/>
  <c r="E27" i="9" l="1"/>
  <c r="D11" i="43" s="1"/>
  <c r="D17" i="43" s="1"/>
  <c r="D26" i="43" s="1"/>
  <c r="D38" i="43" s="1"/>
  <c r="F43" i="43" s="1"/>
  <c r="F45" i="43" s="1"/>
  <c r="M42" i="57"/>
  <c r="C19" i="57" s="1"/>
  <c r="B27" i="47"/>
  <c r="B31" i="47" s="1"/>
  <c r="C39" i="8" s="1"/>
  <c r="C20" i="43" s="1"/>
  <c r="B28" i="45"/>
  <c r="C21" i="8" s="1"/>
  <c r="C23" i="8" s="1"/>
  <c r="C22" i="43" s="1"/>
  <c r="C35" i="8"/>
  <c r="D15" i="57"/>
  <c r="C10" i="57"/>
  <c r="M34" i="57"/>
  <c r="H345" i="44"/>
  <c r="C31" i="43"/>
  <c r="L2" i="44"/>
  <c r="K2" i="44"/>
  <c r="E29" i="9" l="1"/>
  <c r="E34" i="9" s="1"/>
  <c r="C11" i="45" s="1"/>
  <c r="C15" i="45" s="1"/>
  <c r="B10" i="45" s="1"/>
  <c r="W42" i="57"/>
  <c r="C40" i="8"/>
  <c r="L11" i="57" s="1"/>
  <c r="K345" i="44"/>
  <c r="L345" i="44"/>
  <c r="P2" i="44"/>
  <c r="P1" i="44" s="1"/>
  <c r="R1" i="44" s="1"/>
  <c r="C17" i="57"/>
  <c r="W34" i="57"/>
  <c r="L12" i="57"/>
  <c r="L1" i="44"/>
  <c r="M48" i="57" l="1"/>
  <c r="W48" i="57" s="1"/>
  <c r="M17" i="57"/>
  <c r="P17" i="57" s="1"/>
  <c r="M37" i="57"/>
  <c r="W37" i="57" s="1"/>
  <c r="C12" i="56"/>
  <c r="C15" i="56" s="1"/>
  <c r="C17" i="56" s="1"/>
  <c r="E37" i="9"/>
  <c r="E38" i="9" s="1"/>
  <c r="B10" i="57"/>
  <c r="D10" i="57" s="1"/>
  <c r="B15" i="45"/>
  <c r="C12" i="8" s="1"/>
  <c r="C13" i="8" s="1"/>
  <c r="C26" i="43"/>
  <c r="C42" i="8"/>
  <c r="L42" i="57" s="1"/>
  <c r="B19" i="57" s="1"/>
  <c r="D19" i="57" s="1"/>
  <c r="D12" i="8"/>
  <c r="P345" i="44"/>
  <c r="O345" i="44"/>
  <c r="L34" i="57"/>
  <c r="B17" i="57" s="1"/>
  <c r="D17" i="57" s="1"/>
  <c r="C18" i="57" l="1"/>
  <c r="D18" i="57" s="1"/>
  <c r="W17" i="57"/>
  <c r="C14" i="56"/>
  <c r="D13" i="8"/>
  <c r="D25" i="8" s="1"/>
  <c r="F42" i="8" s="1"/>
  <c r="F43" i="8" s="1"/>
  <c r="C38" i="43"/>
  <c r="E43" i="43" s="1"/>
  <c r="E45" i="43" s="1"/>
  <c r="C25" i="8"/>
  <c r="E42" i="8" s="1"/>
  <c r="E43" i="8" s="1"/>
  <c r="L15" i="57"/>
  <c r="B11" i="57" s="1"/>
  <c r="L49" i="57"/>
  <c r="B20" i="57" s="1"/>
  <c r="M49" i="57" l="1"/>
  <c r="C20" i="57" s="1"/>
  <c r="D20" i="57" s="1"/>
  <c r="M15" i="57"/>
  <c r="M18" i="57" s="1"/>
  <c r="W18" i="57" s="1"/>
  <c r="L18" i="57" l="1"/>
  <c r="B13" i="57" s="1"/>
  <c r="W15" i="57"/>
  <c r="C11" i="57"/>
  <c r="D11" i="57" s="1"/>
  <c r="C13" i="57"/>
  <c r="W49" i="57"/>
  <c r="D13" i="5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tc={2D3DBE0A-447F-49F4-843C-4D93A78B82E2}</author>
    <author>tc={2BD383A5-065B-4314-B363-5EEE673E0AB0}</author>
  </authors>
  <commentList>
    <comment ref="B40" authorId="0" shapeId="0" xr:uid="{2D3DBE0A-447F-49F4-843C-4D93A78B82E2}">
      <text>
        <t>[Threaded comment]
Your version of Excel allows you to read this threaded comment; however, any edits to it will get removed if the file is opened in a newer version of Excel. Learn more: https://go.microsoft.com/fwlink/?linkid=870924
Comment:
    Closing balance to be consider for Ageing</t>
      </text>
    </comment>
    <comment ref="F40" authorId="1" shapeId="0" xr:uid="{2BD383A5-065B-4314-B363-5EEE673E0AB0}">
      <text>
        <t>[Threaded comment]
Your version of Excel allows you to read this threaded comment; however, any edits to it will get removed if the file is opened in a newer version of Excel. Learn more: https://go.microsoft.com/fwlink/?linkid=870924
Comment:
    Closing balance to be consider for Ageing</t>
      </text>
    </comment>
  </commentList>
</comments>
</file>

<file path=xl/sharedStrings.xml><?xml version="1.0" encoding="utf-8"?>
<sst xmlns="http://schemas.openxmlformats.org/spreadsheetml/2006/main" count="2483" uniqueCount="1278">
  <si>
    <t>Ones</t>
  </si>
  <si>
    <t>Millions</t>
  </si>
  <si>
    <t>Lakhs</t>
  </si>
  <si>
    <t>Ten Thousands</t>
  </si>
  <si>
    <t>Thousands</t>
  </si>
  <si>
    <t>Hundreds</t>
  </si>
  <si>
    <t>Tens</t>
  </si>
  <si>
    <t>As per RBI Prevailing Rates</t>
  </si>
  <si>
    <t>Date</t>
  </si>
  <si>
    <t>Currency</t>
  </si>
  <si>
    <t>Rate/ INR</t>
  </si>
  <si>
    <t>USD</t>
  </si>
  <si>
    <t>EUR</t>
  </si>
  <si>
    <t>GBP</t>
  </si>
  <si>
    <t>SI no</t>
  </si>
  <si>
    <t>Particulars</t>
  </si>
  <si>
    <t>Debit</t>
  </si>
  <si>
    <t>Credit</t>
  </si>
  <si>
    <t>Remarks</t>
  </si>
  <si>
    <t>Check</t>
  </si>
  <si>
    <t>Assest break ups</t>
  </si>
  <si>
    <t>Income Tax payable</t>
  </si>
  <si>
    <t>NETWORK CHSING PURCHSED FOR MAA NEW OFFICE</t>
  </si>
  <si>
    <t>TDS Receivables</t>
  </si>
  <si>
    <t>AC INSTALATION CHARGES</t>
  </si>
  <si>
    <t>PLUG - INR 60
1/2" NUTS - INR 150
ANGLR FLANZ - INR 90</t>
  </si>
  <si>
    <t>NETWORKING ACCESSORIES</t>
  </si>
  <si>
    <t>Stablizer FOR AC</t>
  </si>
  <si>
    <t>STABLIZER</t>
  </si>
  <si>
    <t>Stabiliser</t>
  </si>
  <si>
    <t>AIRTEL DONGLE</t>
  </si>
  <si>
    <t>Window Curtain</t>
  </si>
  <si>
    <t>REFUND FROM INCOME TAX</t>
  </si>
  <si>
    <t>BANK BALANCE LOCAL CURRENCY</t>
  </si>
  <si>
    <t>INTEREST PAID</t>
  </si>
  <si>
    <t>INCOME TAX 2016 17</t>
  </si>
  <si>
    <t>CARGO INTERNATIONAL (INDIA) PRIVATE LIMITED</t>
  </si>
  <si>
    <t>CIN : U63000TN2010PTC077296</t>
  </si>
  <si>
    <t>Old No.7 / New No.13, First Floor, First Cross Street, Trustpuram, Kodambakkam, Chennai - 600024, India</t>
  </si>
  <si>
    <t>Note No.</t>
  </si>
  <si>
    <t>As on</t>
  </si>
  <si>
    <t>31st March, 2026</t>
  </si>
  <si>
    <t>31st March, 2025</t>
  </si>
  <si>
    <t>I.EQUITY  AND LIABILITIES</t>
  </si>
  <si>
    <t>SHARE HOLDERS FUNDS</t>
  </si>
  <si>
    <t>a.  Share capital</t>
  </si>
  <si>
    <t>b.  Reserve and surplus</t>
  </si>
  <si>
    <t>NON CURRENT LIABILITIES</t>
  </si>
  <si>
    <t>a. Other Long term Liabilities</t>
  </si>
  <si>
    <t>CURRENT LIABILITIES</t>
  </si>
  <si>
    <t>a.  Trade payables</t>
  </si>
  <si>
    <t>i. Outstanding due against MSME</t>
  </si>
  <si>
    <t>ii.Outstanding due against Other than MSME</t>
  </si>
  <si>
    <t>b.  Other current liabilities</t>
  </si>
  <si>
    <t>c.  Short term provisions</t>
  </si>
  <si>
    <t>Variance</t>
  </si>
  <si>
    <t>TOTAL</t>
  </si>
  <si>
    <t>II.ASSETS</t>
  </si>
  <si>
    <t>Provision for Operation</t>
  </si>
  <si>
    <t>NON-CURRENT ASSETS</t>
  </si>
  <si>
    <t>Total</t>
  </si>
  <si>
    <t>a.  Property, Plant &amp; Equipment</t>
  </si>
  <si>
    <t>(i)  Tangible assets</t>
  </si>
  <si>
    <t>b.  Long-term loans and advances</t>
  </si>
  <si>
    <t>c.   Deffered Tax Assets</t>
  </si>
  <si>
    <t>CURRENT ASSETS</t>
  </si>
  <si>
    <t>a.  Trade receivables</t>
  </si>
  <si>
    <t>b.  cash and cash equivalents</t>
  </si>
  <si>
    <t>c.  Short-term loans and advances</t>
  </si>
  <si>
    <t xml:space="preserve">  </t>
  </si>
  <si>
    <t>Significant Accounting Policies in Note 1 &amp; 2</t>
  </si>
  <si>
    <t>The accompanying notes are integral part of the financial statements</t>
  </si>
  <si>
    <t>As per our report of even date</t>
  </si>
  <si>
    <t xml:space="preserve">For and on behalf of </t>
  </si>
  <si>
    <t>For Kalyanasundaram &amp; Associates</t>
  </si>
  <si>
    <t>CARGO INTERNATIONAL (INDIA) PVT. LTD</t>
  </si>
  <si>
    <t>Chartered accountants</t>
  </si>
  <si>
    <t>FRN : 05455s</t>
  </si>
  <si>
    <t>K M Sethu</t>
  </si>
  <si>
    <t>Suresh Padmanabhan</t>
  </si>
  <si>
    <t>Vignesh Natarajan</t>
  </si>
  <si>
    <t>Partner</t>
  </si>
  <si>
    <t>Director</t>
  </si>
  <si>
    <t>M.No.231703</t>
  </si>
  <si>
    <t>DIN: 08284074</t>
  </si>
  <si>
    <t>DIN: 08284068</t>
  </si>
  <si>
    <t xml:space="preserve"> Place : Chennai</t>
  </si>
  <si>
    <t>Place : Birmingham</t>
  </si>
  <si>
    <t>Place : Chennai</t>
  </si>
  <si>
    <t xml:space="preserve"> Date : </t>
  </si>
  <si>
    <t xml:space="preserve">Date: </t>
  </si>
  <si>
    <t xml:space="preserve"> UDIN :  </t>
  </si>
  <si>
    <t>CIN: U63000TN2010PTC077296</t>
  </si>
  <si>
    <t>Note</t>
  </si>
  <si>
    <t>For Year Ended</t>
  </si>
  <si>
    <t>I</t>
  </si>
  <si>
    <t>Revenue from Operation</t>
  </si>
  <si>
    <t>II</t>
  </si>
  <si>
    <t>Other Income</t>
  </si>
  <si>
    <t>III</t>
  </si>
  <si>
    <t xml:space="preserve">TOTAL </t>
  </si>
  <si>
    <t>IV</t>
  </si>
  <si>
    <t>EXPENSES</t>
  </si>
  <si>
    <t>Operating expenses</t>
  </si>
  <si>
    <t>Employee Benefit Expenses</t>
  </si>
  <si>
    <t>Finance cost</t>
  </si>
  <si>
    <t>Administrative expenses</t>
  </si>
  <si>
    <t>Depreciation</t>
  </si>
  <si>
    <t>V</t>
  </si>
  <si>
    <t>VI</t>
  </si>
  <si>
    <t>Profit before exceptional and extraordinary item and tax (III - V)</t>
  </si>
  <si>
    <t>VII</t>
  </si>
  <si>
    <t>Exceptional items/extra-ordinary items</t>
  </si>
  <si>
    <t>VIII</t>
  </si>
  <si>
    <t>Profit before extra-ordinary item and tax (VI - VII)</t>
  </si>
  <si>
    <t>IX</t>
  </si>
  <si>
    <t>Profit before tax (VIII)</t>
  </si>
  <si>
    <t>X</t>
  </si>
  <si>
    <t>Tax expenses</t>
  </si>
  <si>
    <t>(1)  Current Tax</t>
  </si>
  <si>
    <t>(2)  Deferred  Tax</t>
  </si>
  <si>
    <t>Prior period items</t>
  </si>
  <si>
    <t>XI</t>
  </si>
  <si>
    <t>Profit/(Loss) for the period from continuing operation (IX-X)</t>
  </si>
  <si>
    <t>XII</t>
  </si>
  <si>
    <t>EPS</t>
  </si>
  <si>
    <t>Basic</t>
  </si>
  <si>
    <t>Diluted</t>
  </si>
  <si>
    <t>FRN : 005455S</t>
  </si>
  <si>
    <t>[A] Cash Flow from Operating Activities:</t>
  </si>
  <si>
    <t>Profit before Tax</t>
  </si>
  <si>
    <t>Adjustments for non cash items &amp; Non operating activity:</t>
  </si>
  <si>
    <t>GST Input reversal</t>
  </si>
  <si>
    <t>Provision Operation reversal</t>
  </si>
  <si>
    <t>Interest &amp; Finance Charges</t>
  </si>
  <si>
    <t>Operating Profit before Working Capital changes</t>
  </si>
  <si>
    <t>Adjusted for :</t>
  </si>
  <si>
    <t>(Increase)/Decrease in Loans &amp; Advances</t>
  </si>
  <si>
    <t>(Increase)/Decrease in Sundry Debtors</t>
  </si>
  <si>
    <t>Increase/(Decrease) in Current liabilities</t>
  </si>
  <si>
    <t>Current year Tax:</t>
  </si>
  <si>
    <t>Net Cash from Operating Activities</t>
  </si>
  <si>
    <t>[B] Cash flow from Investing Activities</t>
  </si>
  <si>
    <t>Additions to fixed assets</t>
  </si>
  <si>
    <t>Increase in Long term loans and advances</t>
  </si>
  <si>
    <t>Net cash from/(used in) investing activities</t>
  </si>
  <si>
    <t>[C] Cash flow from Financing Activities</t>
  </si>
  <si>
    <t>Net cash from/(used in) Financing activities</t>
  </si>
  <si>
    <t>Net Cash flow during the year [A + B + C]</t>
  </si>
  <si>
    <t>Cash &amp; Cash equivalents (Opening Balance)</t>
  </si>
  <si>
    <t>Cash &amp; Cash equivalents (Closing Balance)</t>
  </si>
  <si>
    <t xml:space="preserve">Net Cash flow during the year </t>
  </si>
  <si>
    <t>NOTES TO THE FINANCIAL STATEMENTS FOR THE YEAR ENDED 31st MARCH, 2026</t>
  </si>
  <si>
    <t>CAPITAL TOWERS, NO.G-3/1, G-3/2 &amp; G-2 DOOR NO.180 KODAMBAKKAM HIGH ROAD, NUNGAMBAKKAM CHENNAI 600034</t>
  </si>
  <si>
    <t>NOTE 1: GENERAL INFORMATION</t>
  </si>
  <si>
    <t>CARGO INTERNATIONAL (INDIA) PVT LTD is a Private Limited Company incorporated under the provisions of Companies Act 2013. The company is providing clearing and Forwarding services. The company is providing clearing &amp; forwarding Transport Services to their clients through Air, Road and Sea Transport</t>
  </si>
  <si>
    <t xml:space="preserve">NOTE 2: SIGNIFICANT ACCOUNTING POLICIES </t>
  </si>
  <si>
    <t>2.1)  Basis of preparation of Financial statements:</t>
  </si>
  <si>
    <t>All financial transactions have been recognized on accrual basis in accordance of companies Act 2013 and Accounting Standards as adopted consistently by the company. The preparation of financial statements in conformity with the GAAP requires that the management makes estimates and assumptions that affect the reported amounts of assets and liabilities, disclosure of contingent liabilities as at the date of the financial statements and the reported amounts of revenue and expenses during the period.</t>
  </si>
  <si>
    <t>2.2)  Use of Estimates</t>
  </si>
  <si>
    <t>The preparation of financial statements requires management to make estimates and assumptions that affect the reported amount of asset and liabilities, the disclosure of contingent assets and liabilities on the date of financial statements and the reported amount of revenue and expenses during the period reported. Actual result could differ from those estimates.</t>
  </si>
  <si>
    <t xml:space="preserve">2.3)   Property, Plant and Equipment </t>
  </si>
  <si>
    <t xml:space="preserve">Property, Plant and Equipment has been accounted at their cost including all expenses such as transportation charges, installation expenses etc., incurred wholly and exclusively for the purpose of putting the assets into the use. </t>
  </si>
  <si>
    <t>2.4)  Depreciation/Amortization</t>
  </si>
  <si>
    <t>Depreciation on the Property, Plant and Equipment is provided on “Written Down Value Method”  based on the use life of assets prescribed in the Part-C  of the Schedule II of the Companies Act, 2013.</t>
  </si>
  <si>
    <t>2.5)   Revenue Recognition</t>
  </si>
  <si>
    <t>Revenue has been recognised on accrual basis</t>
  </si>
  <si>
    <t>2.6)  Earnings per share</t>
  </si>
  <si>
    <t xml:space="preserve">In determining the earnings per share the company considers the net result after tax and includes the post tax effect of any extra-ordinary items. The number of shares used in computing basic earnings per share is the weighted average number of shares outstanding during the year. </t>
  </si>
  <si>
    <t>2.7)   Foreign Currency transactions</t>
  </si>
  <si>
    <t>Foreign currency transactions are accounted at the exchange rate prevailing on the date of the transaction. Monetary assets and liabilities related to foreign currency transactions remaining unsettled at the end of the year are translated at the rate prevailing on the year-end.</t>
  </si>
  <si>
    <t xml:space="preserve">The difference in translation of monetary assets and liabilities and realized gains and losses on foreign exchange transactions are recognized in the Statement of Profit and Loss. </t>
  </si>
  <si>
    <t xml:space="preserve">2.8)   Taxes on Income </t>
  </si>
  <si>
    <t>Taxes on income for the current period is determined on the basis of taxable income and computed in accordance with the provisions of the Income-tax Act, 1961.</t>
  </si>
  <si>
    <t xml:space="preserve">Deferred tax assets and liabilities are recognized for the future tax consequences attributable to timing difference that result between the profit offered for income taxes and profit as per financial statements. Deferred tax asset and liabilities are measured using the tax rates and tax laws that have been enacted or substantively enacted by the Balance Sheet date. The effect on deferred tax and liabilities of change in tax rates is recognized in the period that includes the enactment/substantive enactment date. </t>
  </si>
  <si>
    <t>2.9)    Provisions, Contingent Liabilities and Contingent Assets</t>
  </si>
  <si>
    <t>The company creates a provision when there is a present obligation as a result of an obligating event that probably requires an outflow of resources and reliable estimate can be made of the amount of the outflow.</t>
  </si>
  <si>
    <t>A disclosure for a contingent liability is made when there is a possible obligation or present obligation that may, but probably will not, require an outflow of resources. Where there is a possible obligation or a present obligation in respect of which the likelihood of the outflow of resources is remote, no provision or disclosure is made.</t>
  </si>
  <si>
    <t>Contingent Assets are neither disclosed nor provided for in the financial statements.</t>
  </si>
  <si>
    <t>Closing Balance after AR</t>
  </si>
  <si>
    <t>Opening Balance</t>
  </si>
  <si>
    <t>During the Year Transaction</t>
  </si>
  <si>
    <t>Closing Balance</t>
  </si>
  <si>
    <t>Audit entries</t>
  </si>
  <si>
    <t>FY 24-25</t>
  </si>
  <si>
    <t>FY 25-26</t>
  </si>
  <si>
    <t>Sumif</t>
  </si>
  <si>
    <t>Note no</t>
  </si>
  <si>
    <t>CY Grouping</t>
  </si>
  <si>
    <t>Sub sch Ref</t>
  </si>
  <si>
    <t>ASSETS</t>
  </si>
  <si>
    <t xml:space="preserve"> </t>
  </si>
  <si>
    <t>FIXED ASSETS</t>
  </si>
  <si>
    <t>FIXED ASSETS AT COST</t>
  </si>
  <si>
    <t>COMPUTER</t>
  </si>
  <si>
    <t>Fixed Assets</t>
  </si>
  <si>
    <t>OFFICE EQUIPMENTS</t>
  </si>
  <si>
    <t>FURNITURE &amp; FIXTURES</t>
  </si>
  <si>
    <t>MOTOR VEHICLES - CAR</t>
  </si>
  <si>
    <t>ELECTRICAL INSTALLATIONS</t>
  </si>
  <si>
    <t>MOBILE PURCHASE</t>
  </si>
  <si>
    <t>OFFICE EQUIP</t>
  </si>
  <si>
    <t>MACHINERY &amp; ELECTRICAL</t>
  </si>
  <si>
    <t>SUNDRY DEBTORS</t>
  </si>
  <si>
    <t>OVERSEAS DEBTORS - FREIGHT FORWARDING</t>
  </si>
  <si>
    <t>Trade Receivable</t>
  </si>
  <si>
    <t>LOCAL DEBTORS - FREIGHT FORWARDING</t>
  </si>
  <si>
    <t>CASH AND BANK BALANCE</t>
  </si>
  <si>
    <t>CASH IN HAND</t>
  </si>
  <si>
    <t>Cash in hand</t>
  </si>
  <si>
    <t>Cash and cash equivalents</t>
  </si>
  <si>
    <t>Cash at Bank - Local Currency</t>
  </si>
  <si>
    <t>FIXED DEPOSIT IN BANK</t>
  </si>
  <si>
    <t>MAA PETTY CASH</t>
  </si>
  <si>
    <t>Petty Cash</t>
  </si>
  <si>
    <t>AIRPORT PETTY CASH</t>
  </si>
  <si>
    <t>BANK BALANCE OVERSEAS CURRENCY</t>
  </si>
  <si>
    <t>Cash at Bank - Foreign Currency</t>
  </si>
  <si>
    <t>ATM CASH W/D</t>
  </si>
  <si>
    <t>INTER BANK ACCOUNT TRANSFER</t>
  </si>
  <si>
    <t>SECURITY DEPOSIT</t>
  </si>
  <si>
    <t>Security Deposit</t>
  </si>
  <si>
    <t>TUT PETTY CASH</t>
  </si>
  <si>
    <t>HYD PETTY CASH</t>
  </si>
  <si>
    <t>BLR PETTY CASH</t>
  </si>
  <si>
    <t>CBE PETTY CASH</t>
  </si>
  <si>
    <t>WORK IN PROGRESS JOBS</t>
  </si>
  <si>
    <t>Unbilled Income</t>
  </si>
  <si>
    <t>Short-term loans and advances</t>
  </si>
  <si>
    <t>WORK IN PROGRESS JOBS REV</t>
  </si>
  <si>
    <t>ACCRUALS</t>
  </si>
  <si>
    <t>PREPAID INTERNET EXPESES</t>
  </si>
  <si>
    <t>Prepaid Expenses</t>
  </si>
  <si>
    <t>PREPAID INSURANCES</t>
  </si>
  <si>
    <t>LOANS AND ADVANCES</t>
  </si>
  <si>
    <t>ADVANCE RECOVERABLE IN CASH OR KIND OR FOR VALUE TO BE RECEIVED</t>
  </si>
  <si>
    <t>STAFF ADVANCES</t>
  </si>
  <si>
    <t>Staff Advance</t>
  </si>
  <si>
    <t>STAFF LOAN</t>
  </si>
  <si>
    <t>TRAVEL ADVANCE</t>
  </si>
  <si>
    <t>PREPAID ADMIN EXPENSES OTHERS</t>
  </si>
  <si>
    <t>PREPAID SUBSCRIPTION</t>
  </si>
  <si>
    <t>PREPAID RENT</t>
  </si>
  <si>
    <t>Rental Deposit</t>
  </si>
  <si>
    <t>Long-term loans and advances</t>
  </si>
  <si>
    <t>INTEREST ACCRUED BUT NOT RECEIVED</t>
  </si>
  <si>
    <t>Interest Accrued</t>
  </si>
  <si>
    <t>DEPOSITS OFFICE</t>
  </si>
  <si>
    <t>CGST RECEIVABLE</t>
  </si>
  <si>
    <t>GST - Input tax credit</t>
  </si>
  <si>
    <t>GST Input tax credit</t>
  </si>
  <si>
    <t>IGST RECEIVABLE</t>
  </si>
  <si>
    <t>SGST RECEIVABLE</t>
  </si>
  <si>
    <t>GST ELECTRONIC CASH LEDGER</t>
  </si>
  <si>
    <t>CENVAT CREDIT CHS</t>
  </si>
  <si>
    <t>Cenvat Credit</t>
  </si>
  <si>
    <t>CENVAT CREDIT - KRISHI KALYAN CESS - CHS</t>
  </si>
  <si>
    <t>ADVANCE FOR CAPITAL EXPENSES</t>
  </si>
  <si>
    <t>Advance for capital expenses</t>
  </si>
  <si>
    <t>ADVANCE PAID \ RECEIVED</t>
  </si>
  <si>
    <t>advance paid \ received</t>
  </si>
  <si>
    <t>RK CHEQUE</t>
  </si>
  <si>
    <t>ADVANCE TAX</t>
  </si>
  <si>
    <t>TDS RECEIVABLE</t>
  </si>
  <si>
    <t>TDS Receivable</t>
  </si>
  <si>
    <t>DIRECTOR LOAN</t>
  </si>
  <si>
    <t>IATA SHIPMENT ADVANCE</t>
  </si>
  <si>
    <t>DEFERRED TAX ASSET</t>
  </si>
  <si>
    <t>Deferred tax asset</t>
  </si>
  <si>
    <t>INCOME TAX PAID</t>
  </si>
  <si>
    <t>LIABILITIES</t>
  </si>
  <si>
    <t>SHARE HOLDERS FUND</t>
  </si>
  <si>
    <t>SHARE CAPITAL</t>
  </si>
  <si>
    <t>EQUITY SHARE CAPITAL</t>
  </si>
  <si>
    <t xml:space="preserve">Equity Share Capital </t>
  </si>
  <si>
    <t>Share capital</t>
  </si>
  <si>
    <t>RETAINED EARNINGS</t>
  </si>
  <si>
    <t>Reserve and surplus</t>
  </si>
  <si>
    <t>RESERVES AND SURPLUS</t>
  </si>
  <si>
    <t>PROFIT AND LOSS ACCOUNT</t>
  </si>
  <si>
    <t>LOAN FUND</t>
  </si>
  <si>
    <t>SECURED LOAN</t>
  </si>
  <si>
    <t>LOAN - CIL OMAN</t>
  </si>
  <si>
    <t>LOAN - ICL UK</t>
  </si>
  <si>
    <t>HDFC CAR LOAN</t>
  </si>
  <si>
    <t>UNSECURED LOAN</t>
  </si>
  <si>
    <t>LOAN - CIL DUBAI</t>
  </si>
  <si>
    <t>Mobile Emi</t>
  </si>
  <si>
    <t>SUNDRY CREDITORS</t>
  </si>
  <si>
    <t>LOCAL CREDITORS -  FREIGHT FORWARDING</t>
  </si>
  <si>
    <t>Trade Payables</t>
  </si>
  <si>
    <t>INTER BRANCH ACCOUNT</t>
  </si>
  <si>
    <t>INTER BRANCH SUSPENSE ACCOUNT</t>
  </si>
  <si>
    <t>OVERSEAS CREDITORS - FREIGHT FORWARDING</t>
  </si>
  <si>
    <t>OTHER LIABILITY</t>
  </si>
  <si>
    <t>Other Liabilities</t>
  </si>
  <si>
    <t>Other Current Liabilities</t>
  </si>
  <si>
    <t>AUDIT FEES PAYABLE</t>
  </si>
  <si>
    <t>Audit Fee payable</t>
  </si>
  <si>
    <t>Expense payable</t>
  </si>
  <si>
    <t>GST Audit Fees payable</t>
  </si>
  <si>
    <t>OTHER LIABILITIES</t>
  </si>
  <si>
    <t>CONVEYANCE PAYABLE</t>
  </si>
  <si>
    <t>Convenyance Payable</t>
  </si>
  <si>
    <t>CORPORATE CARD 9003</t>
  </si>
  <si>
    <t>CORPORATE CARD 0007</t>
  </si>
  <si>
    <t>STATUTORY LIABILITIES</t>
  </si>
  <si>
    <t>TDS PAYABLE SALARY</t>
  </si>
  <si>
    <t>TDS Payables</t>
  </si>
  <si>
    <t>Statutory Dues payables</t>
  </si>
  <si>
    <t>TDS PAYABLE CONTRACTOR</t>
  </si>
  <si>
    <t>TDS PAYABLE COMMISSION &amp; BROKERAGE</t>
  </si>
  <si>
    <t>TDS PAYABLE INTEREST</t>
  </si>
  <si>
    <t>TDS PAYABLE PROFESSIONAL FEES OR ROYALTY</t>
  </si>
  <si>
    <t>TDS PAYABLE SUB CONTRACTOR</t>
  </si>
  <si>
    <t>TDS PAYABLE ADVERTISING CONTRACTOR</t>
  </si>
  <si>
    <t>TDS PAYABLE RENT OF LAND OR BUILDING OR FURNITURE</t>
  </si>
  <si>
    <t>PF PAYABLE</t>
  </si>
  <si>
    <t>Provident Fund Payables</t>
  </si>
  <si>
    <t>PROFESSION TAX PAYABLE</t>
  </si>
  <si>
    <t>Professional Tax Payable</t>
  </si>
  <si>
    <t>SWACCH BHARAT CESS COLLECTION – CHS</t>
  </si>
  <si>
    <t>Swachh Bharath payable</t>
  </si>
  <si>
    <t>IMPORT OCEAN SWACHH BHARAT CESS - COLLECTION - BAS</t>
  </si>
  <si>
    <t>KRISHI KALYAN CESS - COLLECTION -CHS</t>
  </si>
  <si>
    <t>Krishi kalyan Cess Payable</t>
  </si>
  <si>
    <t>CGST PAYABLE</t>
  </si>
  <si>
    <t>GST payable</t>
  </si>
  <si>
    <t>SGST  PAYABLE</t>
  </si>
  <si>
    <t>IGST PAYABLE</t>
  </si>
  <si>
    <t>SERVICE TAX COLLECTION - GTA</t>
  </si>
  <si>
    <t>Service tax Payable</t>
  </si>
  <si>
    <t>SWACHH BHARAT CESS - COLLECTION - GTA</t>
  </si>
  <si>
    <t>KRISHI KALYAN CESS - COLLECTION -GTA</t>
  </si>
  <si>
    <t>SERVICE TAX PAYABLE GTA</t>
  </si>
  <si>
    <t>SERVICE TAX COLLECTION - CHS</t>
  </si>
  <si>
    <t>SERVICE TAX PAYABLE CHS</t>
  </si>
  <si>
    <t>SWACHH BHARATH PAYABLE- CHS</t>
  </si>
  <si>
    <t>SWACHH BHARATH PAYABLE GTA</t>
  </si>
  <si>
    <t>KRISHI KALYAN CESS - PAYABLE - CHS</t>
  </si>
  <si>
    <t>KRISHI KALYAN CESS - PAYABLE - GTA</t>
  </si>
  <si>
    <t xml:space="preserve">Income tax payable </t>
  </si>
  <si>
    <t>TDS PAYABLE NON RESIDENT</t>
  </si>
  <si>
    <t>WORK IN PROGRESS PAYABLE PROVISIONS</t>
  </si>
  <si>
    <t>WORK IN PROGRESS JOB EXPENSE PROVISIONS</t>
  </si>
  <si>
    <t>WORK IN PROGRESS JOB EXPENSE PROVISIONS REV</t>
  </si>
  <si>
    <t>DUTY VAT</t>
  </si>
  <si>
    <t>DUTY VAT ACCOUNT</t>
  </si>
  <si>
    <t>REIMBURSEMENT ACCOUNT</t>
  </si>
  <si>
    <t>PROVISIONS NON BUSINESS</t>
  </si>
  <si>
    <t>Provisions non business</t>
  </si>
  <si>
    <t>Short term provisions</t>
  </si>
  <si>
    <t>SALARY PAYABLE</t>
  </si>
  <si>
    <t>Salary Payable</t>
  </si>
  <si>
    <t>PROVISIONS</t>
  </si>
  <si>
    <t>PROVISIONS BUSINESS</t>
  </si>
  <si>
    <t>PROVISIONS OPERATIONS</t>
  </si>
  <si>
    <t>Provisions operations</t>
  </si>
  <si>
    <t>PROVISION ADVANCE FOR TAXATION</t>
  </si>
  <si>
    <t>PROVISION FOR INCOME TAX</t>
  </si>
  <si>
    <t>Provision for income tax</t>
  </si>
  <si>
    <t>PROVISION FOR ADVANCE TAX</t>
  </si>
  <si>
    <t>Provision for advance tax</t>
  </si>
  <si>
    <t>Suspense Account</t>
  </si>
  <si>
    <t>Other Provision</t>
  </si>
  <si>
    <t>DEFERRED TAX LIABILITY</t>
  </si>
  <si>
    <t>Deffered tax</t>
  </si>
  <si>
    <t>INCOME</t>
  </si>
  <si>
    <t>OPERATING INCOME</t>
  </si>
  <si>
    <t>EXPORT OPERATING INCOME</t>
  </si>
  <si>
    <t>FCL EXPORT REVENUE ACCOUNT</t>
  </si>
  <si>
    <t>Export Operating Income</t>
  </si>
  <si>
    <t>Revenue From Operation</t>
  </si>
  <si>
    <t>EXPORT OCEAN BROKERAGE INCOME ACCOUNT</t>
  </si>
  <si>
    <t>LAND INCOME ACCOUNT</t>
  </si>
  <si>
    <t>EXPORT FREIGHT INCOME</t>
  </si>
  <si>
    <t>AIR EXP REV ACCOUNT</t>
  </si>
  <si>
    <t>INCOME 2015</t>
  </si>
  <si>
    <t>IMPORT OPERATING INCOME</t>
  </si>
  <si>
    <t>FCL IMPORT REVENUE ACCOUNT</t>
  </si>
  <si>
    <t>Import Operating Income</t>
  </si>
  <si>
    <t>BREAK BULK IMPORT REVENUE ACCOUNT</t>
  </si>
  <si>
    <t>LCL IMPORT REVENUE ACCOUNT</t>
  </si>
  <si>
    <t>AIR EXPORT OPERATING INCOME</t>
  </si>
  <si>
    <t>AIR EXPORT REVENUE ACCOUNT</t>
  </si>
  <si>
    <t>Air Export Revenue Account</t>
  </si>
  <si>
    <t>AIR IMPORT OPERATING INCOME</t>
  </si>
  <si>
    <t>AIR IMPORT REVENUE ACCOUNT</t>
  </si>
  <si>
    <t>Air Import Revenue Account</t>
  </si>
  <si>
    <t>OTHER INCOME</t>
  </si>
  <si>
    <t>INTEREST INCOME</t>
  </si>
  <si>
    <t>INTEREST ON DEPOSIT</t>
  </si>
  <si>
    <t>Interest Income</t>
  </si>
  <si>
    <t>Other income</t>
  </si>
  <si>
    <t>INTEREST ON INCOME TAX REFUND</t>
  </si>
  <si>
    <t>TAXES OF EARLIER YEARS</t>
  </si>
  <si>
    <t>Miscellaneous Income</t>
  </si>
  <si>
    <t>DOUBTFUL CREDITORS</t>
  </si>
  <si>
    <t>SUNDRY BALANCE WRITTEN OFF</t>
  </si>
  <si>
    <t>FOREIGN EXCHANGE GAIN/LOSS</t>
  </si>
  <si>
    <t>Foreign Exchange gain/loss</t>
  </si>
  <si>
    <t>Administrative Expense</t>
  </si>
  <si>
    <t>EXCHANGE GAIN LOSS ACCOUNT</t>
  </si>
  <si>
    <t>OTHER MISCELLANEOUS INCOME</t>
  </si>
  <si>
    <t>BROKERAGE INCOME</t>
  </si>
  <si>
    <t>Brokerage Income</t>
  </si>
  <si>
    <t>ROUNDING OFF BALANCE</t>
  </si>
  <si>
    <t>Rounding off balance</t>
  </si>
  <si>
    <t>Other Expense</t>
  </si>
  <si>
    <t>MISCELLANEOUS INCOME</t>
  </si>
  <si>
    <t>EXCESS PAYMENT RECEIVED</t>
  </si>
  <si>
    <t>Excess payment received</t>
  </si>
  <si>
    <t>OTHER INCOME CONTAINER</t>
  </si>
  <si>
    <t>SERVICE JOB REVENUE ACCOUNT</t>
  </si>
  <si>
    <t>SERVICE JOB REVENUE</t>
  </si>
  <si>
    <t>EXPENDITURE</t>
  </si>
  <si>
    <t>OPERATING EXPENSES</t>
  </si>
  <si>
    <t>EXPORT OPERATING EXPENSES</t>
  </si>
  <si>
    <t>EXPORT OCEAN FREIGHT EXPENSES ACCOUNT</t>
  </si>
  <si>
    <t>Export Operating Expenses</t>
  </si>
  <si>
    <t>BREAK BULK EXPORT EXPENSES ACCOUNT</t>
  </si>
  <si>
    <t>FCL EXPORT COST ACCOUNT</t>
  </si>
  <si>
    <t>LAND EXPENSE ACCOUNT</t>
  </si>
  <si>
    <t>EXPORT OTHER OPERATING EXPENSES</t>
  </si>
  <si>
    <t>EXPORT OCEAN FREIGHT EXPENSES</t>
  </si>
  <si>
    <t>AIR EXP COST ACC</t>
  </si>
  <si>
    <t>IMPORT OPERATING EXPENSES</t>
  </si>
  <si>
    <t>FCL IMPORT COST ACCOUNT</t>
  </si>
  <si>
    <t>Import Operating Expenses</t>
  </si>
  <si>
    <t>LCL IMPORT COST ACCOUNT</t>
  </si>
  <si>
    <t>AIR EXPORT OPERATING EXPENSES</t>
  </si>
  <si>
    <t>AIR EXPORT COST ACCOUNT</t>
  </si>
  <si>
    <t>Air Export Operating Expenses</t>
  </si>
  <si>
    <t>AIR IMPORT OPERATING EXPENSES</t>
  </si>
  <si>
    <t>AIR IMPORT COST ACCOUNT</t>
  </si>
  <si>
    <t>Air Import Operating Expenses</t>
  </si>
  <si>
    <t>EMPLOYEE COST</t>
  </si>
  <si>
    <t>SALARIES AND OTHER BENEFITS</t>
  </si>
  <si>
    <t>STAFF SALARIES &amp; WAGES</t>
  </si>
  <si>
    <t>Salaries</t>
  </si>
  <si>
    <t>STAFF SPECIAL ALLOWANCE</t>
  </si>
  <si>
    <t>STAFF ACCOMMODATION ALLOWANCE</t>
  </si>
  <si>
    <t>STAFF EDUCATION ALLOWANCE</t>
  </si>
  <si>
    <t>STAFF MEDICAL</t>
  </si>
  <si>
    <t>STAFF BONUS</t>
  </si>
  <si>
    <t>STAFF VEHICLE / CONVEYANCE ALLOWANCE</t>
  </si>
  <si>
    <t>STAFF INCENTIVE</t>
  </si>
  <si>
    <t>MEDICAL REIMBURSEMENT</t>
  </si>
  <si>
    <t>ANNUAL INCENTIVES</t>
  </si>
  <si>
    <t>FESTIVAL BONUS</t>
  </si>
  <si>
    <t>DIRECTORS REMUNERATION</t>
  </si>
  <si>
    <t>SALES COMMISSION</t>
  </si>
  <si>
    <t>STAFF MEDICAL REIMBURSEMENT</t>
  </si>
  <si>
    <t>CONTRIBUTION TO PF &amp; OTHER FUNDS</t>
  </si>
  <si>
    <t>CONTRIBUTION TO E.P.F.</t>
  </si>
  <si>
    <t>PF ADMINISTRATION CHARGES</t>
  </si>
  <si>
    <t>STAFF WELFARE EXPENSES</t>
  </si>
  <si>
    <t>STAFF TRAINING EXPENSES</t>
  </si>
  <si>
    <t>Staff welfare Expense</t>
  </si>
  <si>
    <t>STAFF INSURANCE</t>
  </si>
  <si>
    <t>STAFF REFRESHMENT EXPENSES</t>
  </si>
  <si>
    <t>STAFF RECRUITMENT EXPENSES</t>
  </si>
  <si>
    <t>ADMIN AND SELLING COST</t>
  </si>
  <si>
    <t>COMMUNICATION EXPENSES</t>
  </si>
  <si>
    <t>TELEPHONE</t>
  </si>
  <si>
    <t>Telephone Expense</t>
  </si>
  <si>
    <t>Communication Expense</t>
  </si>
  <si>
    <t>MOBILE - Airtel</t>
  </si>
  <si>
    <t>Mobile Expense</t>
  </si>
  <si>
    <t>INTERNET</t>
  </si>
  <si>
    <t>Internet Expense</t>
  </si>
  <si>
    <t>WEBSITE EXPENSES</t>
  </si>
  <si>
    <t>POSTAGE</t>
  </si>
  <si>
    <t>Courier Expense</t>
  </si>
  <si>
    <t>COURIER EXPENSES</t>
  </si>
  <si>
    <t>MOBILE</t>
  </si>
  <si>
    <t>EMAIL SUBSCRIPTION AND STORAGE</t>
  </si>
  <si>
    <t>RENT RATES AND TAX</t>
  </si>
  <si>
    <t>OFFICE RENT</t>
  </si>
  <si>
    <t>Office Rent</t>
  </si>
  <si>
    <t>Rent</t>
  </si>
  <si>
    <t>SWACHH BHARAT CESS - CHS - NON JOB</t>
  </si>
  <si>
    <t>Rates and Taxes</t>
  </si>
  <si>
    <t>Rates and rates</t>
  </si>
  <si>
    <t>WAREHOUSE RENT</t>
  </si>
  <si>
    <t>Warehouse Rent</t>
  </si>
  <si>
    <t>SERVICE TAX - CHS - NON JOB</t>
  </si>
  <si>
    <t>INAUGURATION EXPENSES</t>
  </si>
  <si>
    <t>KRISHI KALYAN CESS - CHS - NON JOB</t>
  </si>
  <si>
    <t>UTILITY RENT</t>
  </si>
  <si>
    <t>Utility Rent</t>
  </si>
  <si>
    <t>PARKING SPACE RENT</t>
  </si>
  <si>
    <t>Parking space rent</t>
  </si>
  <si>
    <t>CAR RENT</t>
  </si>
  <si>
    <t>Car rent</t>
  </si>
  <si>
    <t>GUEST HOUSE RENT</t>
  </si>
  <si>
    <t>TRAVELLING EXPENSES</t>
  </si>
  <si>
    <t>CONVEYANCE EXPENSES</t>
  </si>
  <si>
    <t>DIRECTOR TRAVELING EXPENSES</t>
  </si>
  <si>
    <t>Local Travel</t>
  </si>
  <si>
    <t>Travelling expense</t>
  </si>
  <si>
    <t>PARKING CHARGES</t>
  </si>
  <si>
    <t>FUEL /PETROL EXPENSES</t>
  </si>
  <si>
    <t>Petrol Charges</t>
  </si>
  <si>
    <t>BOARDING AND LODGING</t>
  </si>
  <si>
    <t>Foreign Travel</t>
  </si>
  <si>
    <t>CONVEYANCE EXPENSE</t>
  </si>
  <si>
    <t>FOREIGN TRAVEL EXPENSES</t>
  </si>
  <si>
    <t>BUSINESS TRAVEL EXPENSE</t>
  </si>
  <si>
    <t>VISA RENEWAL CHARGES</t>
  </si>
  <si>
    <t>AIR FARE EXPENSES</t>
  </si>
  <si>
    <t>VISA PROCESSING</t>
  </si>
  <si>
    <t>REPAIRS</t>
  </si>
  <si>
    <t>REPAIRS &amp; MAINTENANCE FOR OFFICE</t>
  </si>
  <si>
    <t>Repairs &amp; Maintenance for office</t>
  </si>
  <si>
    <t>Repairs &amp; maintenance</t>
  </si>
  <si>
    <t>REPAIRS &amp; MAINTENANCE FOR OFFICE EQUIPMENTS</t>
  </si>
  <si>
    <t>Repairs &amp; Maintenance for office equipments</t>
  </si>
  <si>
    <t>REPAIRS &amp; MAINTENANCE FOR COMPUTERS HARDWARE</t>
  </si>
  <si>
    <t>Repairs &amp; Maintenance for computers hardware</t>
  </si>
  <si>
    <t>REPAIRS &amp; MAINTENANCE FOR COMPUTERS SOFTWARE</t>
  </si>
  <si>
    <t>Repairs &amp; Maintenance for computers software</t>
  </si>
  <si>
    <t>REPAIRS &amp; MAINTENANCE FOR VEHICLES</t>
  </si>
  <si>
    <t>Repairs &amp; Maintenance for vehicles</t>
  </si>
  <si>
    <t>PROFESSIONAL AND LEGAL FEES</t>
  </si>
  <si>
    <t>LEGAL FEES</t>
  </si>
  <si>
    <t>Legal Fees</t>
  </si>
  <si>
    <t>Professional charges</t>
  </si>
  <si>
    <t>FINES AND PENALTIES</t>
  </si>
  <si>
    <t>LICENSE RENEWAL CHARGES</t>
  </si>
  <si>
    <t>RETAINER/ PROFESSIONAL FEE</t>
  </si>
  <si>
    <t>Retainer/ Professional fee</t>
  </si>
  <si>
    <t>ROC FILING</t>
  </si>
  <si>
    <t>AUDIT FEES</t>
  </si>
  <si>
    <t>GST Audit Fee</t>
  </si>
  <si>
    <t>CONSULTATION FEES</t>
  </si>
  <si>
    <t>SPONSOR FEE</t>
  </si>
  <si>
    <t>FORENSIC AUDIT FEE</t>
  </si>
  <si>
    <t>Forensic Audit Fee</t>
  </si>
  <si>
    <t>BUSINESS PROMOTION</t>
  </si>
  <si>
    <t>ADVERTISING &amp; PUBLICITY</t>
  </si>
  <si>
    <t>Advertising &amp; Publicity</t>
  </si>
  <si>
    <t>Business Promotion Expense</t>
  </si>
  <si>
    <t>CONFERENCE EXPENSES</t>
  </si>
  <si>
    <t>Conference Expenses</t>
  </si>
  <si>
    <t>ENTERTAINMENT EXPENSES</t>
  </si>
  <si>
    <t>Entertainment Expenses</t>
  </si>
  <si>
    <t>GIFTS &amp; SALES PROMOTION</t>
  </si>
  <si>
    <t>Gifts &amp; Sales Promotion</t>
  </si>
  <si>
    <t>Business Promotion</t>
  </si>
  <si>
    <t>PAYMENT TO AUDITORS</t>
  </si>
  <si>
    <t>TAX AUDIT FEES</t>
  </si>
  <si>
    <t>Audit Fees</t>
  </si>
  <si>
    <t>Statutory Audit fees</t>
  </si>
  <si>
    <t>OTHER EXPENSES</t>
  </si>
  <si>
    <t>MISCELLANEOUS EXPENSES</t>
  </si>
  <si>
    <t>Miscellaneous Expenses</t>
  </si>
  <si>
    <t>PRINTING &amp; STATIONARY</t>
  </si>
  <si>
    <t>Printing &amp; Stationary</t>
  </si>
  <si>
    <t>SUBSCRIPTION &amp; MEMBERSHIP</t>
  </si>
  <si>
    <t>Subscription Charges</t>
  </si>
  <si>
    <t>BOOKS &amp; PERIODICALS</t>
  </si>
  <si>
    <t>UTILITY EXPENSES</t>
  </si>
  <si>
    <t>Utility Expenses</t>
  </si>
  <si>
    <t>FESTIVAL EXPENSES</t>
  </si>
  <si>
    <t>Festival Expenses</t>
  </si>
  <si>
    <t>REGISTRATION AND FILING FEES</t>
  </si>
  <si>
    <t>Registration and filing fees</t>
  </si>
  <si>
    <t>BUDGET MEETING EXPENSES</t>
  </si>
  <si>
    <t>Budget Meeting Expenses</t>
  </si>
  <si>
    <t>SOFTWARE SUBSCRIPTION CHARGE</t>
  </si>
  <si>
    <t>STATUTORY EXPENSES</t>
  </si>
  <si>
    <t>Statutory Expenses</t>
  </si>
  <si>
    <t>OFFICE SHIFTING EXPENSE</t>
  </si>
  <si>
    <t>Office Shifting Expense</t>
  </si>
  <si>
    <t>SOFTWARE USER COST</t>
  </si>
  <si>
    <t>TRAINING EXPENSES</t>
  </si>
  <si>
    <t>Training Expenses</t>
  </si>
  <si>
    <t>SERVICE JOB COST ACCOUNT</t>
  </si>
  <si>
    <t>Decoration Expenses</t>
  </si>
  <si>
    <t>OTHER EXPENSE CONTAINER</t>
  </si>
  <si>
    <t>Other Expenses Container</t>
  </si>
  <si>
    <t>Donation</t>
  </si>
  <si>
    <t>INTEREST PAID CREDIT CARD</t>
  </si>
  <si>
    <t>FINANCE EXPENSES</t>
  </si>
  <si>
    <t>INTEREST - TDS</t>
  </si>
  <si>
    <t>INTEREST ON TDS PAYABLE</t>
  </si>
  <si>
    <t xml:space="preserve">Interest  </t>
  </si>
  <si>
    <t>Finance Cost</t>
  </si>
  <si>
    <t>INTEREST ON SERICE TAX AND GST</t>
  </si>
  <si>
    <t>LOADING &amp; UN LOADING</t>
  </si>
  <si>
    <t>BANK CHARGES</t>
  </si>
  <si>
    <t>Bank Charges</t>
  </si>
  <si>
    <t>Loanding and Unloading Charges</t>
  </si>
  <si>
    <t>INTEREST ON CAR LOAN</t>
  </si>
  <si>
    <t>Interest on Vechile Loan</t>
  </si>
  <si>
    <t>TRANSACTION EXPENSES</t>
  </si>
  <si>
    <t>RENT BROKERAGE / COMMISSION EXPENSES</t>
  </si>
  <si>
    <t>OTHERS.</t>
  </si>
  <si>
    <t>INSURANCE</t>
  </si>
  <si>
    <t>Insurance</t>
  </si>
  <si>
    <t>INSURANCE.</t>
  </si>
  <si>
    <t>INTEREST ON MOBILE EMI</t>
  </si>
  <si>
    <t>DEPRECIATION ON FIXED ASSETS</t>
  </si>
  <si>
    <t>DEPRECIATION</t>
  </si>
  <si>
    <t>DEPRECIATION ON COMPUTER</t>
  </si>
  <si>
    <t>DEPRECIATION OFFICE EQUIPMENTS</t>
  </si>
  <si>
    <t>DEPRECIATION FURNITURE &amp; FIXTURES</t>
  </si>
  <si>
    <t>DEPRECIATION MOTOR VEHICLES</t>
  </si>
  <si>
    <t>DEPRECIATION ELECTRICAL INSTALLATIONS</t>
  </si>
  <si>
    <t>DEPRECIATION ON INTERIOR DECORATION</t>
  </si>
  <si>
    <t>DEPRECIATION ON MOBILE PURCHASE</t>
  </si>
  <si>
    <t>BAD &amp; DOUBTFUL DEBTS</t>
  </si>
  <si>
    <t>Bad and Doubtful Debts</t>
  </si>
  <si>
    <t>PROVISION FOR DOUBTFUL DEBTS RECEIVABLE FROM DIRECTOR</t>
  </si>
  <si>
    <t>CREDITORS WRITE OFF</t>
  </si>
  <si>
    <t>Creditors Write off</t>
  </si>
  <si>
    <t>WRITE OFF</t>
  </si>
  <si>
    <t>WRITE OFF ASSETS</t>
  </si>
  <si>
    <t>ITC Write-off</t>
  </si>
  <si>
    <t>HO Currenct A/C :</t>
  </si>
  <si>
    <t>Grand Total</t>
  </si>
  <si>
    <t>NOTE 3 : SHARE CAPITAL</t>
  </si>
  <si>
    <t>Authorised share capital</t>
  </si>
  <si>
    <t>(500,000 equity shares of Rs.10 each)</t>
  </si>
  <si>
    <t>Issued, subscribed and paid up capital</t>
  </si>
  <si>
    <t>(20,000 equity shares of Rs.10 each)</t>
  </si>
  <si>
    <t>A. Terms and Rights attached to equity shares</t>
  </si>
  <si>
    <t>The company has only one class of equity shares having a par value of  Rs. 10 per share. Each holder of equity share entitled to one vote per share. The company declares and pays dividend in Indian Rupees The dividend proposed by the Board of directors is subject o the approval of the shareholders in the ensuring Annual General Meeting.</t>
  </si>
  <si>
    <t>During the year ended 31st March 2025, the amount per share dividend recognised as distrubition to shareholders was Rs. NIL (31st march 2024 - NIL)</t>
  </si>
  <si>
    <t>B. Shareholders holding more than 5 percent of equity shares</t>
  </si>
  <si>
    <t>Name of the Shareholder</t>
  </si>
  <si>
    <t>No. Of Shares</t>
  </si>
  <si>
    <t>% holding</t>
  </si>
  <si>
    <t>Ramkumar</t>
  </si>
  <si>
    <t>Prasath</t>
  </si>
  <si>
    <t>C. Reconciliation of shares outstanding at the beginning and at the end of the reporting period.</t>
  </si>
  <si>
    <t>Amount</t>
  </si>
  <si>
    <t xml:space="preserve">Shares outstanding at the beginning of the year </t>
  </si>
  <si>
    <t xml:space="preserve">Shares issued during the year </t>
  </si>
  <si>
    <t>Shares bought back during the year</t>
  </si>
  <si>
    <t>Shares outstanding at the end of the year</t>
  </si>
  <si>
    <t>D. Shares held by promoters at the end of the year</t>
  </si>
  <si>
    <t>Shares held by promoters at the end of the year 31st March 2026</t>
  </si>
  <si>
    <t>Name of the Promoter</t>
  </si>
  <si>
    <t>Amount (Rs.)</t>
  </si>
  <si>
    <t>% of Total shares</t>
  </si>
  <si>
    <t>% Change during the year 2025</t>
  </si>
  <si>
    <t>Shares held by promoters at the end of the year 31st March 2025</t>
  </si>
  <si>
    <t>% Change during the year 2024</t>
  </si>
  <si>
    <t>CAPITAL TOWERS, NO.G-3/1, G-3/2 &amp; G-2 ,DOOR NO.180 KODAMBAKKAM HIGH ROAD, NUNGAMBAKKAM, CHENNAI - 600034</t>
  </si>
  <si>
    <t>NOTE 4 : RESERVES AND SURPLUS</t>
  </si>
  <si>
    <t>General Reserve</t>
  </si>
  <si>
    <t>Opening balance</t>
  </si>
  <si>
    <t>Add:Net Profit/(Loss) for the current year</t>
  </si>
  <si>
    <t>Less: GST Input reversal</t>
  </si>
  <si>
    <t xml:space="preserve">Add: Provision operation reversal </t>
  </si>
  <si>
    <t>(Refer Note. 21(9))</t>
  </si>
  <si>
    <t>NOTE 5 : NON CURRENT LIABILITIES</t>
  </si>
  <si>
    <t>Other Long term Liabilities</t>
  </si>
  <si>
    <t>NOTE 7 : OTHER CURRENT LIABILITIES</t>
  </si>
  <si>
    <t>NOTE 8 : SHORT TERM PROVISIONS</t>
  </si>
  <si>
    <t>CY tax included</t>
  </si>
  <si>
    <t>Advance paid \ received</t>
  </si>
  <si>
    <t>NOTE 6 : TRADE PAYABLES</t>
  </si>
  <si>
    <t>Sundry creditors</t>
  </si>
  <si>
    <t>As on Mar 31,2026</t>
  </si>
  <si>
    <t>Outstanding for following periods from due date of payment</t>
  </si>
  <si>
    <t>Less than 6 months</t>
  </si>
  <si>
    <t>6 months to 1 year</t>
  </si>
  <si>
    <t>1 - 2 years</t>
  </si>
  <si>
    <t>2 - 3 years</t>
  </si>
  <si>
    <t>more than 3 years</t>
  </si>
  <si>
    <t>MSME</t>
  </si>
  <si>
    <t>Others</t>
  </si>
  <si>
    <t>Disputed Dues (MSME)</t>
  </si>
  <si>
    <t>Disputed Dues (Others)</t>
  </si>
  <si>
    <t>As on Mar 31, 2025</t>
  </si>
  <si>
    <t xml:space="preserve">Note : Amount is derived from TP reconcilation from Ageing folder </t>
  </si>
  <si>
    <t>Note 9 - Property, Plant &amp; Equipment</t>
  </si>
  <si>
    <t>Asset Category</t>
  </si>
  <si>
    <t>Gross Block</t>
  </si>
  <si>
    <t>Net Block</t>
  </si>
  <si>
    <t>As on 
01.04.2025</t>
  </si>
  <si>
    <t xml:space="preserve">Additions </t>
  </si>
  <si>
    <t>Deletion</t>
  </si>
  <si>
    <t>As on 
31.03.2026</t>
  </si>
  <si>
    <t>For the 
Year</t>
  </si>
  <si>
    <t>Tangible Assets</t>
  </si>
  <si>
    <t>Motor Car</t>
  </si>
  <si>
    <t>Interior Decoration</t>
  </si>
  <si>
    <t>Computers</t>
  </si>
  <si>
    <t>Communication Equiptments</t>
  </si>
  <si>
    <t>Furniture and fixtures</t>
  </si>
  <si>
    <t>Electrical equipments</t>
  </si>
  <si>
    <t>Office Equipments</t>
  </si>
  <si>
    <t>Previous Year figure</t>
  </si>
  <si>
    <t>NOTE 12 : TRADE RECEIVABLES</t>
  </si>
  <si>
    <t>Sundry Debtors</t>
  </si>
  <si>
    <t>Undisputed Trade receivables considered Good</t>
  </si>
  <si>
    <t>Undisputed Trade receivables considered doubtful</t>
  </si>
  <si>
    <t>Disputed Trade receivable considered Good</t>
  </si>
  <si>
    <t>Disputed Trade receivable considered doubtful</t>
  </si>
  <si>
    <t>NOTE 10 : LONG TERM LOANS AND ADVANCES</t>
  </si>
  <si>
    <t>NOTE 11 : DEFERRED TAX ASSETS</t>
  </si>
  <si>
    <t>Add: Current year</t>
  </si>
  <si>
    <t>Deferred Tax Assets/(Liabilty)</t>
  </si>
  <si>
    <t>NOTE 13 : CASH AND CASH EQUIVALENTS</t>
  </si>
  <si>
    <t>Balance with banks</t>
  </si>
  <si>
    <t>Cash on hand</t>
  </si>
  <si>
    <t>NOTE 14 : SHORT TERM LOANS AND ADVANCES</t>
  </si>
  <si>
    <t>NOTE 15 : REVENUE FROM OPERATIONS</t>
  </si>
  <si>
    <t>NOTE 16 : OTHER INCOME</t>
  </si>
  <si>
    <t>Service Job Revenue</t>
  </si>
  <si>
    <t>NOTE 17 : OPERATING EXPENSES</t>
  </si>
  <si>
    <t>NOTE 18 : EMPLOYEE BENEFIT EXPENSE</t>
  </si>
  <si>
    <t>NOTE 19 : FINANCIAL COST</t>
  </si>
  <si>
    <t>NOTE 20 : ADMINISTRATION EXPENSES</t>
  </si>
  <si>
    <t>REMUNERATION TO AUDITOR</t>
  </si>
  <si>
    <t>Tax Audit Fees</t>
  </si>
  <si>
    <t>NOTE 21: ADDITIONAL NOTES AND INFORMATION:</t>
  </si>
  <si>
    <t>(1) Contingent Liabilities:</t>
  </si>
  <si>
    <t>There is no contingent liability in respect of the company.</t>
  </si>
  <si>
    <t>(2) Earnings Per Share (EPS)</t>
  </si>
  <si>
    <t>(Absolute Numbers)</t>
  </si>
  <si>
    <t>2024 - 25</t>
  </si>
  <si>
    <t>2023 - 24</t>
  </si>
  <si>
    <t xml:space="preserve">a) Net Profit / (Loss) available for Equity Shareholders        </t>
  </si>
  <si>
    <t>b)  Weighed average number of Shares outstanding</t>
  </si>
  <si>
    <t xml:space="preserve">c) Basic Earnings per Share of Rs.10 each                             </t>
  </si>
  <si>
    <t xml:space="preserve">d) Net Profit / (Loss) available for Equity Shareholders        </t>
  </si>
  <si>
    <t>e) Weighed average number of Shares outstanding</t>
  </si>
  <si>
    <t xml:space="preserve">Dilutive Earnings per Share of Rs.10 each                         </t>
  </si>
  <si>
    <t>(3) Earnings in foreign currency during the year (on realisation basis)</t>
  </si>
  <si>
    <t xml:space="preserve">Income realised </t>
  </si>
  <si>
    <t>(4) Expenditure in foreign currency  during the year (on realisation basis)</t>
  </si>
  <si>
    <t xml:space="preserve">Expenses  </t>
  </si>
  <si>
    <t>(5) Related Party Disclosures of the year ended 31st March 2025</t>
  </si>
  <si>
    <t>a) List of Related Parties:</t>
  </si>
  <si>
    <t>Key Management Personnel (KMP)</t>
  </si>
  <si>
    <t>Suresh Padmanabhan - Director</t>
  </si>
  <si>
    <t>Vignesh Natarajan - Director</t>
  </si>
  <si>
    <t>Associate/Joint venture Companies/Firms</t>
  </si>
  <si>
    <t>Cargo International Logistics LLC-Oman</t>
  </si>
  <si>
    <t>Inter Continental Logistics Limited-UK</t>
  </si>
  <si>
    <t>Cargo International Limited-Dubai</t>
  </si>
  <si>
    <t>b) Details of Transaction</t>
  </si>
  <si>
    <t>Name of the party and Nature of transaction</t>
  </si>
  <si>
    <t>Closing Balance as on 31/03/2024
Dr. / (Cr.)</t>
  </si>
  <si>
    <t>Transaction during the year</t>
  </si>
  <si>
    <t>Closing Balance as on 31/03/2025
Dr. / (Cr.)</t>
  </si>
  <si>
    <t>Debit Rs.</t>
  </si>
  <si>
    <t>Credit Rs.</t>
  </si>
  <si>
    <t>Overseas Payable (Cr.)</t>
  </si>
  <si>
    <t>Overseas Receivables (Dr.)</t>
  </si>
  <si>
    <t>Advances to Creditors (Dr.)</t>
  </si>
  <si>
    <t>Advances From Debtors (Cr.)</t>
  </si>
  <si>
    <t>c) Shareholders having Substantial Interest</t>
  </si>
  <si>
    <t>d) Director's Remuneration</t>
  </si>
  <si>
    <t>Name of Director</t>
  </si>
  <si>
    <t>Amount in Rs.</t>
  </si>
  <si>
    <t>(6) Micro, Small and Medium Enterprises :</t>
  </si>
  <si>
    <t>As per the information available and as certified by the management, creditors includes payable to Micro, Small and Medium Enterprises amount Rs NIL.as on 31stMarch, 2025.</t>
  </si>
  <si>
    <t>As per the information available and explanation provided to us and as certified by the management, there is no delay in payment of dues to Enterprises as defined under the "Micro, Small and Medium Enterprises Development Act, 2006.</t>
  </si>
  <si>
    <t>The company has not received any intimation from “suppliers” regarding their status under the Micro; Small and Medium, Enterprises Development Act, 2006. Hence, disclosure, if any, relating to amount unpaid as at the year-end together with the interest paid/payable as required under the said Act has not been furnished.</t>
  </si>
  <si>
    <t>(7) Balances with customers and suppliers have been stated at book values and are subject to confirmation.</t>
  </si>
  <si>
    <t>(8) Previous Year’s figures are re-grouped, re-arranged and re-classified, wherever necessary to conform to current year's classification.</t>
  </si>
  <si>
    <t>(9) The below amounts represent opening balance differences in the respective ledgers as compared to Financials with the Books of accounts maintained by the company as on 01st April 2017. the amount are written off/ Written back are as under</t>
  </si>
  <si>
    <t>Provision operation</t>
  </si>
  <si>
    <t>Exceptional / Extraordinary item relating to FY 2017-18 has been Written off in FY 24-25.</t>
  </si>
  <si>
    <t>GST Input Tax credit</t>
  </si>
  <si>
    <t>Opening balance difference of GST input tax credit adjusted against opening reserves in FY 23-24</t>
  </si>
  <si>
    <t>Reserves and Surplus Balance</t>
  </si>
  <si>
    <t>Opening Balance difference since FY 2017-18, adjusted against reserves and surplus.</t>
  </si>
  <si>
    <t>Sundry Creditors</t>
  </si>
  <si>
    <t>Written off to  Exceptional/ Extraordinary item in P &amp;L in FY 2020-21</t>
  </si>
  <si>
    <t>Statutory Dues Payable</t>
  </si>
  <si>
    <t>Short Term Provision</t>
  </si>
  <si>
    <t>Trade Receivables</t>
  </si>
  <si>
    <t>Advance To suppliers</t>
  </si>
  <si>
    <t>(10) There is opening balance differences 2017-18, which has shown in Notes to accounts as suspense account.</t>
  </si>
  <si>
    <t>(11) The Company has filed litigation against the previous directors of the company under Section 166, 241, 242, 246 and 340 of the companies act 2013 (Case Number: CP/519/2019). The matter is pending for resolution with the National Company Law Tribunal. also Company has filed a case against previous directors with the Chennai Central Crime Branch Officeon 28.7.2021 (Case Number: C.NO.124/CCB/COP/Visitors/2021).</t>
  </si>
  <si>
    <t>(12) Nature of the Matter Arising out of FIR No. 196/2024 registered at Chennai under Sections 406, 420 r/w 34 IPC, an allegation of criminal breach of trust and cheating involving an amount of ₹2,20,00,000 has been made against the Company (M/s. Cargo International India Pvt. Ltd.) and its directors/officers. The Hon’ble Supreme Court, vide final order dated 20 May 2025, has:
a) Upheld the de-freezing of the aforesaid four bank accounts;
b) Directed continuation of freeze on the fifth bank account (ICICI Bank A/c No. 399505000812) having a balance of ₹2,49,99,437.29 as on 16 May 2025;
c) Recorded an undertaking by the Company to maintain a minimum balance of ₹2,20,00,000 in the said account until final adjudication of the dispute on merits by the appropriate forum.</t>
  </si>
  <si>
    <t>(13) The company has also done Forensic audit for the year FY 2017-18, in the Forensic Report the auditor has given many qualifications regarding the mis - appropriateness of accounts and balances and also siphoning of funds of Rs.53,28,168 by the previous directors of the company. The above mentioned amounts has been routed through the following parties according to the report:</t>
  </si>
  <si>
    <t>Party Name</t>
  </si>
  <si>
    <t>Mobis</t>
  </si>
  <si>
    <t>Glovis</t>
  </si>
  <si>
    <t xml:space="preserve">Cryolar </t>
  </si>
  <si>
    <t>NSK Sales</t>
  </si>
  <si>
    <t>Kerry Ingredients</t>
  </si>
  <si>
    <t>For KALYANASUNDARAM &amp; ASSOCIATES</t>
  </si>
  <si>
    <t>Chartered Accountants</t>
  </si>
  <si>
    <t>FRN: 005455S</t>
  </si>
  <si>
    <t>(14) Analytical Ratios of the year ended 31st March 2025</t>
  </si>
  <si>
    <t>Remarks 
(Variance above 25%)</t>
  </si>
  <si>
    <t>Workings</t>
  </si>
  <si>
    <t>Current ratio</t>
  </si>
  <si>
    <t>FY 2024-25</t>
  </si>
  <si>
    <t>FY 2023-24</t>
  </si>
  <si>
    <t>FY 2022-23</t>
  </si>
  <si>
    <t>Debt-Equity ratio</t>
  </si>
  <si>
    <t>Current Ratio</t>
  </si>
  <si>
    <t>Current Assets</t>
  </si>
  <si>
    <t>Debt service coverage ratio</t>
  </si>
  <si>
    <t>Current liabilities</t>
  </si>
  <si>
    <t>Return on equity</t>
  </si>
  <si>
    <t>Inventory turnover</t>
  </si>
  <si>
    <t>Debt</t>
  </si>
  <si>
    <t>Trade receivables turnover</t>
  </si>
  <si>
    <t>Debt/Equity</t>
  </si>
  <si>
    <t>Equity</t>
  </si>
  <si>
    <t>Trade payables turnover</t>
  </si>
  <si>
    <t>Net capital turnover</t>
  </si>
  <si>
    <t>ROE</t>
  </si>
  <si>
    <t>Net profits after taxes-preference dividend</t>
  </si>
  <si>
    <t>Net profit</t>
  </si>
  <si>
    <t>Average shareholders equity</t>
  </si>
  <si>
    <t>Return on capital employed</t>
  </si>
  <si>
    <t>Return on Investment</t>
  </si>
  <si>
    <t>Inventory turnover ratio</t>
  </si>
  <si>
    <t>Cost of goods sold/sales</t>
  </si>
  <si>
    <t>Average inventory</t>
  </si>
  <si>
    <t>Note 21(15): Additional Notes</t>
  </si>
  <si>
    <t>Trade receivables turnover ratio</t>
  </si>
  <si>
    <t>(i) Title deeds of Immovable Property not held in name of the Company</t>
  </si>
  <si>
    <t>Net credit sales</t>
  </si>
  <si>
    <t>The company holds no immovable property in any other name.</t>
  </si>
  <si>
    <t>Average accounts receivable</t>
  </si>
  <si>
    <t>(ii) Where the Company has revalued its Property, Plant and Equipment, the company shall disclose as to whether the</t>
  </si>
  <si>
    <t>Trade payables turnover ratio</t>
  </si>
  <si>
    <t xml:space="preserve">revaluation is based on the valuation by a registered valuer as defined under rule 2 of the Companies </t>
  </si>
  <si>
    <t>Net credit purchases</t>
  </si>
  <si>
    <t>(Registered Valuers and Valuation) Rules,2017</t>
  </si>
  <si>
    <t>Average trade payables</t>
  </si>
  <si>
    <t>There is no revaluation of Property Plant and Equipment</t>
  </si>
  <si>
    <t>Net capital turnover ratio</t>
  </si>
  <si>
    <t>(iii) Following disclosures shall be made where Loans or Advances in the nature of loans are granted to promoters, directors,</t>
  </si>
  <si>
    <t>Net sales</t>
  </si>
  <si>
    <t>KMPs and the related parties (as defined under Companies Act, 2013,) either severally or jointly with any other person, that are:</t>
  </si>
  <si>
    <t>Average working capital</t>
  </si>
  <si>
    <t>(a) repayable on demand or</t>
  </si>
  <si>
    <t>(b) without specifying any terms or period of repayment</t>
  </si>
  <si>
    <t>Net profit ratio</t>
  </si>
  <si>
    <t>The company has not granted any loans or advances to promoters, directors, KMPs and the other related parties.</t>
  </si>
  <si>
    <t>(iv) Capital-Work-in Progress (CWIP) / Intangible assets under development (ITAUD)</t>
  </si>
  <si>
    <t>1.There is no Capital-Work-in Progress</t>
  </si>
  <si>
    <t>ROCE</t>
  </si>
  <si>
    <t>2.There is no Intangible assets under development</t>
  </si>
  <si>
    <t>Earnings before interest and taxes</t>
  </si>
  <si>
    <t>Capital employed</t>
  </si>
  <si>
    <t>(v) Details of Benami Property held</t>
  </si>
  <si>
    <t>The company holds no benami property under Benami transactions Prohibitions Act ( 1988)</t>
  </si>
  <si>
    <t>Operating Profitt</t>
  </si>
  <si>
    <t>Capital employed:</t>
  </si>
  <si>
    <t>Total assets- Current liabilities</t>
  </si>
  <si>
    <t>(vi) Where the Company has borrowings from banks or financial institutions on the basis of security of current</t>
  </si>
  <si>
    <t>assets, it shall disclose the following:-</t>
  </si>
  <si>
    <t>The Company has no borrowing from banks or financial institutions on the basis of security of current assets.</t>
  </si>
  <si>
    <t>Total investment</t>
  </si>
  <si>
    <t>(vii) Wilful Defaulter</t>
  </si>
  <si>
    <t>The company is not declared as a wilful defaulter by any bank or financial Institution or other lender.</t>
  </si>
  <si>
    <t>(viii) Registration of charges or satisfaction with Registrar of Companies</t>
  </si>
  <si>
    <t>The Company has not made any registration of charges with registrar of companies</t>
  </si>
  <si>
    <t>(ix) Compliance with number of layers of companies</t>
  </si>
  <si>
    <t>The company has complied with the number of layers prescribed under clause (87) of section 2 of the Act read with</t>
  </si>
  <si>
    <t>Companies (Restriction on number of Layers) Rules, 2017.</t>
  </si>
  <si>
    <t>(x) Compliance with approved Scheme(s) of Arrangements</t>
  </si>
  <si>
    <t>There are no scheme of arrangements for the company</t>
  </si>
  <si>
    <t>(xi)  Utilisation of Borrowed funds and share premium:</t>
  </si>
  <si>
    <t>The company has not advanced or loaned or invested funds (either borrowed funds or share premium or any other sources or</t>
  </si>
  <si>
    <t>kind of funds) to any other person(s) or entity(ies), including foreign entities (Intermediaries).</t>
  </si>
  <si>
    <t>(xii)  DETAILS OF CRYPTOCURRENCY OT VIRTUAL CURRENCY:</t>
  </si>
  <si>
    <t>The company has not traded or invested in cryptocurrency or virtual currency during the financial year.</t>
  </si>
  <si>
    <t>(xiii) UNDISCLOSED INCOME</t>
  </si>
  <si>
    <t>The Company has no undisclosed income which is not recorded in the Books of Accounts.</t>
  </si>
  <si>
    <t>(xiv) DISCREPANCY IN UTILIZATION OF BORROWINGS:</t>
  </si>
  <si>
    <t>The company has no borrowings from banks or any financial institutions.</t>
  </si>
  <si>
    <t>CARGO INTERNTIONAL INDIA PRIVATE LIMITED</t>
  </si>
  <si>
    <t>SUB SCHEDULE FOR THE YEAR END 31ST MARCH 2026</t>
  </si>
  <si>
    <t>SS 1 : Expense Payable</t>
  </si>
  <si>
    <t>Tax audit 4 Yrs</t>
  </si>
  <si>
    <t>FY 24-25 provision</t>
  </si>
  <si>
    <t>SS 2 : Statutory Dues payables</t>
  </si>
  <si>
    <t>Old</t>
  </si>
  <si>
    <t>Duty Vat Account</t>
  </si>
  <si>
    <t>Reimbursement Account</t>
  </si>
  <si>
    <t>need to check</t>
  </si>
  <si>
    <t xml:space="preserve">SS 3 : Cash and cash equivalents </t>
  </si>
  <si>
    <t>Balance with bank</t>
  </si>
  <si>
    <t xml:space="preserve">SS 4 : GST Input tax credit </t>
  </si>
  <si>
    <t>SS 7 : Business Promotion Expense</t>
  </si>
  <si>
    <t>SS 5 : Communication Expense</t>
  </si>
  <si>
    <t>SS 6 : Other Expense</t>
  </si>
  <si>
    <t>SS 7 : Professional Charges</t>
  </si>
  <si>
    <t>SS 8 : Rent</t>
  </si>
  <si>
    <t>SS 9 : Repairs and Maintenance</t>
  </si>
  <si>
    <t>SS 10 : Travelling Expense</t>
  </si>
  <si>
    <t>Advance Paid/Received</t>
  </si>
  <si>
    <t>Closing Balance as of FY 2025-26</t>
  </si>
  <si>
    <t>Closing Balance as of FY 2024-25</t>
  </si>
  <si>
    <t>Advance From Debtors</t>
  </si>
  <si>
    <t>CARGO INTERNATIONAL (INDIA) PRIVATE LTD</t>
  </si>
  <si>
    <t>RPT</t>
  </si>
  <si>
    <t>Non current</t>
  </si>
  <si>
    <t>CIL Dubai</t>
  </si>
  <si>
    <t>CARGO INTERNATIONAL LTD</t>
  </si>
  <si>
    <t>ADVANCE TO CREDITORS</t>
  </si>
  <si>
    <t>CATHAY PACIFIC</t>
  </si>
  <si>
    <t>Current</t>
  </si>
  <si>
    <t>CMA CGM</t>
  </si>
  <si>
    <t>CONTAINER CORPORATION OF INDIA LIMITED</t>
  </si>
  <si>
    <t>MAERSK</t>
  </si>
  <si>
    <t>ASHA LUBE SOLUTIONS PVT LTD</t>
  </si>
  <si>
    <t>BELL PRINTERS (P) LTD</t>
  </si>
  <si>
    <t>RL FINE CHEM PVT LTD</t>
  </si>
  <si>
    <t>AURONATURE</t>
  </si>
  <si>
    <t>EXPRESS CARGO MOVERS</t>
  </si>
  <si>
    <t>SRI VBL ASSOCIATES</t>
  </si>
  <si>
    <t>HFCL LIMITED</t>
  </si>
  <si>
    <t>MANIKANTA INTERNATIONAL CARGO   LOGISTIC</t>
  </si>
  <si>
    <t>AI TEC ELECTRICALS</t>
  </si>
  <si>
    <t>SAMARTH IMPEX</t>
  </si>
  <si>
    <t>ITC LIMITED</t>
  </si>
  <si>
    <t>LOYAL TEXTILE MILLS LTD</t>
  </si>
  <si>
    <t>ZOVKO ENTERPRISES INC</t>
  </si>
  <si>
    <t>CREATIVE ART EXIM</t>
  </si>
  <si>
    <t>AI AIRPORT SERVICES LIMITED.</t>
  </si>
  <si>
    <t>S.R.J ENGINEERING &amp; TRADING PVT. LTD.</t>
  </si>
  <si>
    <t>HIGH PRECISION INDUSTRY</t>
  </si>
  <si>
    <t>COGENT EXPORTS</t>
  </si>
  <si>
    <t>Closing Balance as of FY 2023-24</t>
  </si>
  <si>
    <t>During the yr Transaction/Audit entry</t>
  </si>
  <si>
    <t>Creditors From Provisions GL</t>
  </si>
  <si>
    <t>Note : Balance in Provision operation has been closed and transferred to reserves</t>
  </si>
  <si>
    <t>Schedule of depreciation as per Income Tax Act 1961.</t>
  </si>
  <si>
    <t>NAME OF THE ASSETS</t>
  </si>
  <si>
    <t>Op WDV as on 
01.04.2024</t>
  </si>
  <si>
    <t>Addition</t>
  </si>
  <si>
    <t>Deletions</t>
  </si>
  <si>
    <t>As on 
31.03.2025</t>
  </si>
  <si>
    <t>Rate of Dep</t>
  </si>
  <si>
    <t>Dep. Amt</t>
  </si>
  <si>
    <t>WDV As on 
31.03.2025</t>
  </si>
  <si>
    <t>&gt; 180</t>
  </si>
  <si>
    <t>&lt; 180</t>
  </si>
  <si>
    <t>Mobiles</t>
  </si>
  <si>
    <t>Furniture and fittings</t>
  </si>
  <si>
    <t>Interior decoration</t>
  </si>
  <si>
    <t>Office Equipment</t>
  </si>
  <si>
    <t>Total Addition as per IT Dep</t>
  </si>
  <si>
    <t>Total Addition as per CA Dep</t>
  </si>
  <si>
    <t>Schedule for Deffered Tax Calculation</t>
  </si>
  <si>
    <t>P&amp;L Approach</t>
  </si>
  <si>
    <t>BL Approach</t>
  </si>
  <si>
    <t>Amount of expenses</t>
  </si>
  <si>
    <t>Deffered Tax Amount</t>
  </si>
  <si>
    <t>DTA/DTL</t>
  </si>
  <si>
    <t>Opening balance as on 01.04.2024</t>
  </si>
  <si>
    <t>DTA</t>
  </si>
  <si>
    <t>on account of Depreciation</t>
  </si>
  <si>
    <t>WDV as per Income Tax Act</t>
  </si>
  <si>
    <t>WDV as per Companies Act</t>
  </si>
  <si>
    <t>on account of expenses allowed on payable basis</t>
  </si>
  <si>
    <t xml:space="preserve">Provision as per IT </t>
  </si>
  <si>
    <t>Provision as per CA</t>
  </si>
  <si>
    <t>Closing balance as on 31.03.25</t>
  </si>
  <si>
    <t>Provision to be reversed for the year</t>
  </si>
  <si>
    <t>DTI</t>
  </si>
  <si>
    <t>D.O.I</t>
  </si>
  <si>
    <t>AY</t>
  </si>
  <si>
    <t>E MAIL ID</t>
  </si>
  <si>
    <t xml:space="preserve">accounts@cargo-int.com </t>
  </si>
  <si>
    <t>FY</t>
  </si>
  <si>
    <t>PH NO</t>
  </si>
  <si>
    <t>PAN NO</t>
  </si>
  <si>
    <t>AAECC1295N</t>
  </si>
  <si>
    <t>Statement of Income</t>
  </si>
  <si>
    <t>INCOME FROM BUSINESS</t>
  </si>
  <si>
    <t>Profit as per Profit  and loss account</t>
  </si>
  <si>
    <t>Add:</t>
  </si>
  <si>
    <t>Disallowed Expenses</t>
  </si>
  <si>
    <t>a) Depreciation as per Companies Act</t>
  </si>
  <si>
    <t>b) ICDS Unrealised Forex</t>
  </si>
  <si>
    <t>c) PT Disallowances</t>
  </si>
  <si>
    <t>d) PF Disallowances</t>
  </si>
  <si>
    <t>e) Expenses Disallowed</t>
  </si>
  <si>
    <t>i) Liabilities Writeback/Writeoff as expenses</t>
  </si>
  <si>
    <t>ii) Exceptional items/extra-ordinary items</t>
  </si>
  <si>
    <t xml:space="preserve">Less: </t>
  </si>
  <si>
    <t>Allowable Expenses</t>
  </si>
  <si>
    <t>Depreciation as per Income Tax Act</t>
  </si>
  <si>
    <t>Business income</t>
  </si>
  <si>
    <t>Business loss carried forward from earlier year</t>
  </si>
  <si>
    <t>set off current year</t>
  </si>
  <si>
    <t>TAXABLE INCOME</t>
  </si>
  <si>
    <t>Tax on normal slab @ 25%</t>
  </si>
  <si>
    <t>(A)</t>
  </si>
  <si>
    <t>Tax payable under section 115JB</t>
  </si>
  <si>
    <t>(B)</t>
  </si>
  <si>
    <t>Calculation for the Interest under 234B &amp; C</t>
  </si>
  <si>
    <t>Tax under normal computation = higher of</t>
  </si>
  <si>
    <t>( A ) or ( B )</t>
  </si>
  <si>
    <t xml:space="preserve"> 234B</t>
  </si>
  <si>
    <t>Surcharge 7%</t>
  </si>
  <si>
    <t>Total Tax Liability</t>
  </si>
  <si>
    <t>Less TDS</t>
  </si>
  <si>
    <t>Health and Education cess</t>
  </si>
  <si>
    <t>90% of the Tax</t>
  </si>
  <si>
    <t>Advance Tax Paid</t>
  </si>
  <si>
    <t>Less:</t>
  </si>
  <si>
    <t>Advance Tax</t>
  </si>
  <si>
    <t>Difference</t>
  </si>
  <si>
    <t>Tax deducted at source</t>
  </si>
  <si>
    <t>As on 25-09-2025</t>
  </si>
  <si>
    <t>Interest</t>
  </si>
  <si>
    <t>Interest u/s 234 A</t>
  </si>
  <si>
    <t>234C</t>
  </si>
  <si>
    <t>Actual Paid</t>
  </si>
  <si>
    <t>Interest u/s 234 B</t>
  </si>
  <si>
    <t>Interest u/s 234 C</t>
  </si>
  <si>
    <t>15% upto 15.06.2020</t>
  </si>
  <si>
    <t>45% upto 15.09.2020</t>
  </si>
  <si>
    <t>Tax Payable/(Refund)</t>
  </si>
  <si>
    <t>75% Upto 15.12.2020</t>
  </si>
  <si>
    <t>100% up to 15.03.2021</t>
  </si>
  <si>
    <t>Total Interest</t>
  </si>
  <si>
    <t>Computation of Book Profit as per Sec. 115JB</t>
  </si>
  <si>
    <t>Net Profit as per Profit &amp; Loss Account before tax</t>
  </si>
  <si>
    <t>Add : -</t>
  </si>
  <si>
    <t>i.</t>
  </si>
  <si>
    <t>Income Tax Paid or Payble</t>
  </si>
  <si>
    <t>ii.</t>
  </si>
  <si>
    <t>Amount carried to reserves</t>
  </si>
  <si>
    <t>iii.</t>
  </si>
  <si>
    <t>Provisions for uncertain liabilities</t>
  </si>
  <si>
    <t>iv.</t>
  </si>
  <si>
    <t>Provisions for losses of Subsidiary companies</t>
  </si>
  <si>
    <t>v.</t>
  </si>
  <si>
    <t>Dividends paid or proposed</t>
  </si>
  <si>
    <t>vi.</t>
  </si>
  <si>
    <t xml:space="preserve">Expenditure relatable to any income to which any of the </t>
  </si>
  <si>
    <t>Sections 10/10A/10B/11/12 applies</t>
  </si>
  <si>
    <t>vii.</t>
  </si>
  <si>
    <t>Depriciation debited to P&amp;L A/C (Normal &amp; Revaluation)</t>
  </si>
  <si>
    <t>viii.</t>
  </si>
  <si>
    <t>Deffered Tax Liability</t>
  </si>
  <si>
    <t>ix.</t>
  </si>
  <si>
    <t>Value of Revaluation of Asset Which effects the Rev Reserve</t>
  </si>
  <si>
    <t>x.</t>
  </si>
  <si>
    <t>Income/Loss In the case of units in Sec 47(xvii)</t>
  </si>
  <si>
    <t>Less:-</t>
  </si>
  <si>
    <t>Amount withdrawn from reserves or provisions</t>
  </si>
  <si>
    <t>Any income to which any of the Sections 10/10A/10B/11/12 applies</t>
  </si>
  <si>
    <t>Depriciation debited to P&amp;L A/C (Normal)</t>
  </si>
  <si>
    <t xml:space="preserve">Withdrawn from Revaluation Reserve Credited to P&amp;L A/c </t>
  </si>
  <si>
    <t>Loss brought forward or unabsorbed depriciation, whichever is less</t>
  </si>
  <si>
    <t>Amount of deduction u/s 80HHC ,HHE,HHF</t>
  </si>
  <si>
    <t>Profit of Sick Industrial Unit</t>
  </si>
  <si>
    <t>Deffered Tax Asset</t>
  </si>
  <si>
    <t>Book profit as per Section 115JB</t>
  </si>
  <si>
    <t>15 % of Book Profit u/s 115JB</t>
  </si>
  <si>
    <t>Audit Entry for FY 2025-26</t>
  </si>
  <si>
    <t>(Marine Insurance of Rs.4,33,808.19 for the period 30th August 2025 to 29th August 2026)</t>
  </si>
  <si>
    <t xml:space="preserve">Insurance Amount </t>
  </si>
  <si>
    <t xml:space="preserve">Prepaid Months </t>
  </si>
  <si>
    <t>Prepaid Amount</t>
  </si>
  <si>
    <t>Membership Amount</t>
  </si>
  <si>
    <t>Prepaid days</t>
  </si>
  <si>
    <t>(Last year Prepaid Expenses brought forward as Current year Expenses)</t>
  </si>
  <si>
    <t>BALANCE SHEET AS AT 31ST MARCH, 2026</t>
  </si>
  <si>
    <t>STATEMENT OF PROFIT AND LOSS FOR YEAR ENDED 31ST MARCH, 2026</t>
  </si>
  <si>
    <t>CASH FLOW STATEMENT FOR THE YEAR ENDED ON 31ST MARCH 2026</t>
  </si>
  <si>
    <t>2026 - 27</t>
  </si>
  <si>
    <t>2025 - 26</t>
  </si>
  <si>
    <t>2025-26</t>
  </si>
  <si>
    <t>2024-25</t>
  </si>
  <si>
    <t>(WCA USA, INC.- Lognet Global Annual Membership Fees of Rs. 2,96,905 for the Period June 13, 2025 to June 13, 2026)</t>
  </si>
  <si>
    <t>Disallowance FY 25-26</t>
  </si>
  <si>
    <t>Provision to be created</t>
  </si>
  <si>
    <t>Interest on TDS Late filing</t>
  </si>
  <si>
    <t>Expense not pertaining to Business</t>
  </si>
  <si>
    <t>Gold purchased and other nature to be disclosed and also confirm GST Input is not taken</t>
  </si>
  <si>
    <t>Sample, Monthly exp, Mobile exp to whom it is given</t>
  </si>
  <si>
    <t>Travel to Dubai</t>
  </si>
  <si>
    <t>OAM Industries ind Pvt Ltd - CRJ 252862000235</t>
  </si>
  <si>
    <t>Interest exp from Private person</t>
  </si>
  <si>
    <t>..</t>
  </si>
  <si>
    <t>PL</t>
  </si>
  <si>
    <t>BS</t>
  </si>
  <si>
    <t>B/P</t>
  </si>
  <si>
    <t>(Depreciation FY 25-26 - Refer Dep Working file)</t>
  </si>
  <si>
    <t>Other long term Liabilities</t>
  </si>
  <si>
    <t>TEAM GLOBAL LOGISITICS PVT.LTD.</t>
  </si>
  <si>
    <t>LIFT FREIGHT SERVICES B.V.</t>
  </si>
  <si>
    <t>DYJ LOGISTICS</t>
  </si>
  <si>
    <t>FOCUS GLOBAL LOGISTICS (HK) CORPORATION LIMITED</t>
  </si>
  <si>
    <t>QCS QUICK CARGO SERVICE GMBH</t>
  </si>
  <si>
    <t>TRANSCARGO WORLDWIDE (M) SDN BHD</t>
  </si>
  <si>
    <t>VECTOR SPA</t>
  </si>
  <si>
    <t>AIR INTERNATIONAL FREIGHT CO., LTD</t>
  </si>
  <si>
    <t>GENEL TRANSPORT LTD. STI.</t>
  </si>
  <si>
    <t>TAZMANIAN FREIGHT SYSTEMS INC</t>
  </si>
  <si>
    <t>(Reversal of Reinstatement of FY 22-23 - Refer Payable ageing file)</t>
  </si>
  <si>
    <t>TEAM GLOBAL LOGISTICS PVT LTD HYD</t>
  </si>
  <si>
    <t>(Reclass from Debtors to Creditors)</t>
  </si>
  <si>
    <t>MSC AGENCY INDIA PVT. LTD.</t>
  </si>
  <si>
    <t>RONGHUA INTERNATIONAL LOGISTICS TIANJIN CO., LTD</t>
  </si>
  <si>
    <t>ACS AIR FREIGHT</t>
  </si>
  <si>
    <t>ALL WORLD SHIPPING CORP.</t>
  </si>
  <si>
    <t>CARE4 CARGO GMBH.</t>
  </si>
  <si>
    <t>CARGOMIND SPEDITIONS GMBH</t>
  </si>
  <si>
    <t>CARIBEX WORLDWIDE</t>
  </si>
  <si>
    <t>COMBI LINE INTL SPA</t>
  </si>
  <si>
    <t>DGX</t>
  </si>
  <si>
    <t>INTEREUROPA D.D.</t>
  </si>
  <si>
    <t>ITS LOGISTICS HUNGARY LTD</t>
  </si>
  <si>
    <t>NITTSU NEC LOGISTICS LTD</t>
  </si>
  <si>
    <t>NORTH AMERICAN CARGO SOLUTIONS INC.</t>
  </si>
  <si>
    <t>PACIFIC - AIRLIFT (SINGAPORE) PTE LTD</t>
  </si>
  <si>
    <t>PREMIUM LOGISTICS SDN BHD</t>
  </si>
  <si>
    <t>TOMAX LOGISTICS AUSTRALIA</t>
  </si>
  <si>
    <t>AKTIS SHIPPING AND FORWARDING LTD</t>
  </si>
  <si>
    <t>CHINA WELLFAST LOGISTICS CO.,LTD.</t>
  </si>
  <si>
    <t>HECKSHER LINEAGENTURER A/S</t>
  </si>
  <si>
    <t>KARGOSMART GLOBAL (M) SDN BHD</t>
  </si>
  <si>
    <t>PANDA LOGISTICS CO., LTD</t>
  </si>
  <si>
    <t>SOTRAMAR &amp; DE KEYSER NV</t>
  </si>
  <si>
    <t>VIN WORLD WIDE TRANPORT LLC</t>
  </si>
  <si>
    <t>AIRCARGO.NL B.V.</t>
  </si>
  <si>
    <t>ATAKO TASIMACILIK DENIZCILIK A.S.</t>
  </si>
  <si>
    <t>ATS INTERNATIONAL</t>
  </si>
  <si>
    <t>CARGOMIND (GERMANY) GMBH</t>
  </si>
  <si>
    <t>DPL LOJISTIK AS</t>
  </si>
  <si>
    <t>EVO LOGISTICS PTE LTD</t>
  </si>
  <si>
    <t>PANDA GLOBAL (BEIJING) CO LTD</t>
  </si>
  <si>
    <t>PRO CARGO CANADA LTD</t>
  </si>
  <si>
    <t>TOPMOST SHIPPING LLC</t>
  </si>
  <si>
    <t>BIN YOUSEF CARGO EXPRESS W.L.L</t>
  </si>
  <si>
    <t>JOURNEY FREIGHT</t>
  </si>
  <si>
    <t>SHENZHEN MAXSPEED GLOBAL FORWARDING CO LTD</t>
  </si>
  <si>
    <t>AERO LINES GMBH</t>
  </si>
  <si>
    <t>AIF GLOBAL LOGISTICS CO., LTD.</t>
  </si>
  <si>
    <t>CARGOSAVVY PTE. LTD.</t>
  </si>
  <si>
    <t>CTS INTERNATIONAL LOGISTICS CORPORATION LIMITED XIAMEN BRANCH</t>
  </si>
  <si>
    <t>JJB LINK LOGISTICS COMPANY LIMITED</t>
  </si>
  <si>
    <t>OCEANWIDE FREIGHT SERVICES LTD</t>
  </si>
  <si>
    <t>B&amp;C INTERNATIONAL LOGISTICS LTD</t>
  </si>
  <si>
    <t>CTS INTERNATIONAL LOGISTICS CO LTD</t>
  </si>
  <si>
    <t>(Write back of creditors - refer Payable ageing file)</t>
  </si>
  <si>
    <t>AIR CARGO CONNECTIONS(I)PVT.LTD</t>
  </si>
  <si>
    <t>ALLIED AVIATION PVT LTD</t>
  </si>
  <si>
    <t>AVS CARGO MANAGEMENT SERVICES PRIVATE LIMITED (CHENNAI)</t>
  </si>
  <si>
    <t>COSCO SHIPPING LINES (INDIA) PRIVATE LIMITED</t>
  </si>
  <si>
    <t>GBR FREIGHT FORWARDER PRIVATE LIMITED</t>
  </si>
  <si>
    <t>HONGKONG DRAGON AIRLINES LIMITED</t>
  </si>
  <si>
    <t>POTA GLOBAL LOGISTICS (INDIA) PVT. LTD.</t>
  </si>
  <si>
    <t>SAUDI ARABIAN AIRLINES</t>
  </si>
  <si>
    <t>SEAWAYS SHIPPING AND LOGISTICS LTD</t>
  </si>
  <si>
    <t>SKN FREIGHT SYSTEMS</t>
  </si>
  <si>
    <t>SREE VENKATESHWARA LOGISTICS INDIA LLP</t>
  </si>
  <si>
    <t>TAEWOONG LOGISTICS PVT LTD</t>
  </si>
  <si>
    <t>THAI AIRWAYS</t>
  </si>
  <si>
    <t>TOTAL TRANSPORT SYSTEMS LIMITED</t>
  </si>
  <si>
    <t>TRANS ASIAN SHIPPING SERVICES (P) LTD</t>
  </si>
  <si>
    <t>VANGUARD LOGISTICS SERVICES</t>
  </si>
  <si>
    <t>HAPAG-LLOYD INDIA PVT LTD</t>
  </si>
  <si>
    <t>SKY WAYS AIR SERVICES PVT LTD</t>
  </si>
  <si>
    <t>CHAKIAT SHIPPING SERVICES PRIVATE LIMITED</t>
  </si>
  <si>
    <t>KUWAIT AIRWAYS</t>
  </si>
  <si>
    <t>EXCESS INTERNATIONAL</t>
  </si>
  <si>
    <t>WAN HAI LINES (MUMBAI)</t>
  </si>
  <si>
    <t>AIRTEL COMMUNICATION.</t>
  </si>
  <si>
    <t>BAJAJ ALLIANZ GENERAL INSURANCE CO LTD..</t>
  </si>
  <si>
    <t>GOODWAY LOGISTICS&amp; SHIPPING AGENCIES.</t>
  </si>
  <si>
    <t>MACNELS CONTAINER LINES PVT LTD</t>
  </si>
  <si>
    <t>POSEIDON SHIPPING AGENCY PVT LTD.</t>
  </si>
  <si>
    <t>SATTVA HI TECH AND CONWARE PRIVATE LIMITED</t>
  </si>
  <si>
    <t>ALLIED AVIATION PVT LTD.</t>
  </si>
  <si>
    <t>ANCHORAGE SHIPPING</t>
  </si>
  <si>
    <t>BRITISH AIRWAYS</t>
  </si>
  <si>
    <t>EVERGREEN LINE</t>
  </si>
  <si>
    <t>GOODRICH LOGISTICS PRIVATE LIMITED</t>
  </si>
  <si>
    <t>LUFTHANSA</t>
  </si>
  <si>
    <t>NEW IDEA LOGISTICS PVT. LTD.</t>
  </si>
  <si>
    <t>OMAN AIR (S.A.O.C)</t>
  </si>
  <si>
    <t>PLANIT TRAVGLOBAL PRIVATE LIMITED</t>
  </si>
  <si>
    <t>SHIVANAND</t>
  </si>
  <si>
    <t>SKY WAYS AIR SERVICES PV LTD (HYDERABAD)</t>
  </si>
  <si>
    <t>SR CAARGO LOGISTICS</t>
  </si>
  <si>
    <t>SRILANKAN AIRLINES</t>
  </si>
  <si>
    <t>TELEPORT COMMERCE IN PRIVATE LIMITED</t>
  </si>
  <si>
    <t>TOTSOL AVIATION PVT. LTD.</t>
  </si>
  <si>
    <t>TRIO SHIPPING SERVICES PVT LTD</t>
  </si>
  <si>
    <t>TURKISH AIRLINE</t>
  </si>
  <si>
    <t>ZAHARA SHIPPING LINES LLC</t>
  </si>
  <si>
    <t>ALLCARGO LOGISTICS LIMITED..</t>
  </si>
  <si>
    <t>ALLIED AVIATION CHENNAI</t>
  </si>
  <si>
    <t>AVIATION SOLUTIONS INDIA PRIVATE LIMITED.</t>
  </si>
  <si>
    <t>AVS CARGO MANAGEMENT SERVICES PRIVATE LIMITED</t>
  </si>
  <si>
    <t>CARGO CONSOLIDATORS INDIA PVT. LTD</t>
  </si>
  <si>
    <t>INTERGLOBE HOTELS PVT. LTD</t>
  </si>
  <si>
    <t>KRISHNAMOORTHY</t>
  </si>
  <si>
    <t>LORDS GLOBAL LOGISTICS</t>
  </si>
  <si>
    <t>MANIKANDAN K</t>
  </si>
  <si>
    <t>RCL FEEDER PTE LTD,</t>
  </si>
  <si>
    <t>RELIANCE JIO INFOCOMM LIMITED</t>
  </si>
  <si>
    <t>SAMSARA SHIPPING PRIVATE LIMITED</t>
  </si>
  <si>
    <t>SMART MARINE SERVICES PVT LTD.</t>
  </si>
  <si>
    <t>TNEB</t>
  </si>
  <si>
    <t>TRANSLOG EXPRESS PVT.LTD</t>
  </si>
  <si>
    <t>SINOKOR MERCHANT MARINE CO. LTD.</t>
  </si>
  <si>
    <t>ETHIOPIAN AIRLINES GROUP</t>
  </si>
  <si>
    <t>ATRIA CONVERGENCE TECHNOLOGIES LIMITED</t>
  </si>
  <si>
    <t>DEUTSCHE BANK AG</t>
  </si>
  <si>
    <t>A2Z LOGISTICS INDIA PVT LTD</t>
  </si>
  <si>
    <t>UNIFEEDER AGENCIES INDIA PRIVATE LIMITED</t>
  </si>
  <si>
    <t>NAVIO SHIPPING PRIVATE LIMITED.</t>
  </si>
  <si>
    <t xml:space="preserve">GOODRICH MARITIME PRIVATE LTD. </t>
  </si>
  <si>
    <t>HAPAG LLOYD INDIAPVT. LTD.</t>
  </si>
  <si>
    <t>GOODRICH MARITIME PRIVATE LTD.,</t>
  </si>
  <si>
    <t>GLOBAL VISION SHIPPING AGENCIES INDIA PVT LTD</t>
  </si>
  <si>
    <t>SEVENSEAS GLOBAL EXPRESS LOGISTICS PVT LTD</t>
  </si>
  <si>
    <t>DACHSER INDIA PVT LTD</t>
  </si>
  <si>
    <t>BDP UGL GLOBAL LOGISTICS INDIA PVT.LTD</t>
  </si>
  <si>
    <t>TRANSCONTINENTAL SHIPPING</t>
  </si>
  <si>
    <t>KAVITHA MALVE</t>
  </si>
  <si>
    <t>BALMER LAWRIE &amp; CO. LTD.</t>
  </si>
  <si>
    <t>BOOKING.COM</t>
  </si>
  <si>
    <t>IFFCO - TOKIO GENERAL INSURANCE CO. LTD</t>
  </si>
  <si>
    <t>ORDAN CARGO ELINOAR PRIDAN LTD</t>
  </si>
  <si>
    <t>S A CONSULTANTS &amp; FORWARDERS PVTLTD</t>
  </si>
  <si>
    <t>SINGAPORE AIRLINE LIMITED</t>
  </si>
  <si>
    <t>INTERNATIONAL MARITIME &amp; AVIATION LLC</t>
  </si>
  <si>
    <t>CITI FREIGHT LOGISTICS INC</t>
  </si>
  <si>
    <t>ALL THE WAY EXPRESS (TAIWAN) CO., LTD</t>
  </si>
  <si>
    <t>EMBASSY FREIGHT SERVICES EUROPE (GERMANY) GMBH</t>
  </si>
  <si>
    <t>QCS QUICK CARGO SERVICE SRO</t>
  </si>
  <si>
    <t>QUICK SKY SHIPPING POLAND</t>
  </si>
  <si>
    <t>UTC OVERSEAS LOGISZTIKAI KFT</t>
  </si>
  <si>
    <t>FREJA TRANSPORT &amp; LOGISTICS A/S</t>
  </si>
  <si>
    <t>CARGOMIND SLOVAKIA S.R.O</t>
  </si>
  <si>
    <t>AOF CARGO LOGISTICS CO. LTD</t>
  </si>
  <si>
    <t>SHANGHAI GLISTENING INTERNATIONAL LOGISTICS CO LTD</t>
  </si>
  <si>
    <t>CARGO MOVERS GMBH</t>
  </si>
  <si>
    <t>ADVANCE UNION INTERNATIONAL LIMITED</t>
  </si>
  <si>
    <t>SEABRIDGE TRANSPORT GMBH</t>
  </si>
  <si>
    <t>MBS LOGISTICS GMBH</t>
  </si>
  <si>
    <t>QCS - QUICK CARGO SERVICE A/S</t>
  </si>
  <si>
    <t>SPEDMAN GLOBAL LOGISTICS A/S</t>
  </si>
  <si>
    <t>TRANSPORT PROVIDERS &amp; SHIPPING GREECE S.M. S.A</t>
  </si>
  <si>
    <t>(Reclass from Local creditor to Adv paid - Write back of creditors - refer Payable ageing file)</t>
  </si>
  <si>
    <t>STALWART TRENDZ</t>
  </si>
  <si>
    <t>WYNCLARK PHARMACEUTICALS PRIVATE LIMITED</t>
  </si>
  <si>
    <t>IGAWARA INDUSTRIAL SERVICE AND TRADING PTE LTD</t>
  </si>
  <si>
    <t>PACKER QUALITY METALS LIMITED,</t>
  </si>
  <si>
    <t>CARE FREIGHT LOGISTICS (PTY) LTD</t>
  </si>
  <si>
    <t>(Reversal of Reinstatement of FY 22-23 - Refer Receivable ageing file)</t>
  </si>
  <si>
    <t>(Write off of debtors - refer Receivable ageing file)</t>
  </si>
  <si>
    <t>ANDRITZ TECHNOLOGIES PVT.LTD</t>
  </si>
  <si>
    <t>STERLING FIBERGLASS INDUSTRIES</t>
  </si>
  <si>
    <t>SKYLARK CARGO SERVICES</t>
  </si>
  <si>
    <t>EVERFAST FREIGHT FORWARDERS PVT.LTD</t>
  </si>
  <si>
    <t>BELTREE LIFESCIENCES INDIA PVT LTD</t>
  </si>
  <si>
    <t>KARDI TRADING PRIVATE LIMITED</t>
  </si>
  <si>
    <t>M/S. ARROW SHOES</t>
  </si>
  <si>
    <t>M/S.KANTA ENTERPRISES</t>
  </si>
  <si>
    <t>STAR CONCORD INDIA PRIVATE LIMITED</t>
  </si>
  <si>
    <t>DAS LOGISTICS N.V.</t>
  </si>
  <si>
    <t>WIN BIOZ REMIDIES PTE LTD.</t>
  </si>
  <si>
    <t>CARGONIZER LOGISTICS INC</t>
  </si>
  <si>
    <t>SCT LOGISTICS JOINT STOCK COMPANY.</t>
  </si>
  <si>
    <t>(Rounding off of debtors - refer Receivable ageing file)</t>
  </si>
  <si>
    <t>(Transfer entry - reversal of audit fee payable for the Previous FY 24-25)</t>
  </si>
  <si>
    <t>(Audit fee provision for FY 25-26)</t>
  </si>
  <si>
    <t>(Transfer entry)</t>
  </si>
  <si>
    <t>Checking</t>
  </si>
  <si>
    <t>TB</t>
  </si>
  <si>
    <t>Ageing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</si>
</sst>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_(&quot;$&quot;* #,##0_);_(&quot;$&quot;* \(#,##0\);_(&quot;$&quot;* &quot;-&quot;_);_(@_)"/>
    <numFmt numFmtId="165" formatCode="_(* #,##0.00_);_(* \(#,##0.00\);_(* &quot;-&quot;??_);_(@_)"/>
    <numFmt numFmtId="166" formatCode="_(* #,##0_);_(* \(#,##0\);_(* &quot;-&quot;??_);_(@_)"/>
    <numFmt numFmtId="167" formatCode="_ * #,##0_ ;_ * \-#,##0_ ;_ * &quot;-&quot;??_ ;_ @_ "/>
    <numFmt numFmtId="168" formatCode="0.000%"/>
    <numFmt numFmtId="169" formatCode="_(* #,##0.00_);_(* \(#,##0.00\);_(* \-??_);_(@_)"/>
    <numFmt numFmtId="170" formatCode="#,##0.00&quot; &quot;;&quot;(&quot;#,##0.00&quot;)&quot;;&quot;-&quot;#&quot; &quot;;&quot; &quot;@&quot; &quot;"/>
    <numFmt numFmtId="171" formatCode="[$-F800]dddd\,\ mmmm\ dd\,\ yyyy"/>
    <numFmt numFmtId="172" formatCode="#,##0.000000"/>
    <numFmt numFmtId="173" formatCode="_(* #,##0.0_);_(* \(#,##0.0\);_(* &quot;-&quot;??_);_(@_)"/>
  </numFmts>
  <fonts count="35">
    <font>
      <sz val="10"/>
      <name val="Arial"/>
    </font>
    <font>
      <sz val="11"/>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10"/>
      <name val="Arial"/>
      <family val="2"/>
    </font>
    <font>
      <sz val="8"/>
      <name val="Arial"/>
      <family val="2"/>
    </font>
    <font>
      <sz val="10"/>
      <name val="Calibri"/>
      <family val="2"/>
      <scheme val="minor"/>
    </font>
    <font>
      <b/>
      <sz val="11"/>
      <name val="Calibri"/>
      <family val="2"/>
      <scheme val="minor"/>
    </font>
    <font>
      <sz val="11"/>
      <name val="Calibri"/>
      <family val="2"/>
      <scheme val="minor"/>
    </font>
    <font>
      <sz val="10"/>
      <color indexed="8"/>
      <name val="Arial"/>
      <family val="2"/>
    </font>
    <font>
      <sz val="10"/>
      <color indexed="8"/>
      <name val="Arial"/>
      <family val="2"/>
    </font>
    <font>
      <sz val="10"/>
      <name val="Arial"/>
      <family val="2"/>
      <charset val="1"/>
    </font>
    <font>
      <sz val="11"/>
      <color rgb="FF000000"/>
      <name val="Arial1"/>
    </font>
    <font>
      <sz val="10"/>
      <color rgb="FF000000"/>
      <name val="Times New Roman"/>
      <family val="1"/>
    </font>
    <font>
      <b/>
      <sz val="14"/>
      <name val="Calibri"/>
      <family val="2"/>
      <scheme val="minor"/>
    </font>
    <font>
      <sz val="11"/>
      <color indexed="8"/>
      <name val="Calibri"/>
      <family val="2"/>
    </font>
    <font>
      <sz val="10"/>
      <name val="Arial"/>
      <family val="2"/>
    </font>
    <font>
      <b/>
      <sz val="11"/>
      <name val="Arial"/>
      <family val="2"/>
    </font>
    <font>
      <b/>
      <i/>
      <sz val="10"/>
      <name val="Arial"/>
      <family val="2"/>
    </font>
    <font>
      <sz val="10"/>
      <color rgb="FF000000"/>
      <name val="Arial"/>
      <family val="2"/>
    </font>
    <font>
      <b/>
      <i/>
      <sz val="11"/>
      <name val="Arial"/>
      <family val="2"/>
    </font>
    <font>
      <b/>
      <sz val="11"/>
      <color theme="1"/>
      <name val="Arial"/>
      <family val="2"/>
    </font>
    <font>
      <sz val="11"/>
      <name val="Arial"/>
      <family val="2"/>
    </font>
    <font>
      <b/>
      <i/>
      <sz val="11"/>
      <color theme="1"/>
      <name val="Arial"/>
      <family val="2"/>
    </font>
    <font>
      <b/>
      <sz val="11"/>
      <color indexed="8"/>
      <name val="Arial"/>
      <family val="2"/>
    </font>
    <font>
      <sz val="11"/>
      <color indexed="8"/>
      <name val="Arial"/>
      <family val="2"/>
    </font>
    <font>
      <b/>
      <i/>
      <u/>
      <sz val="11"/>
      <name val="Arial"/>
      <family val="2"/>
    </font>
    <font>
      <i/>
      <sz val="11"/>
      <name val="Arial"/>
      <family val="2"/>
    </font>
    <font>
      <u/>
      <sz val="11"/>
      <name val="Arial"/>
      <family val="2"/>
    </font>
    <font>
      <b/>
      <u/>
      <sz val="11"/>
      <name val="Arial"/>
      <family val="2"/>
    </font>
    <font>
      <i/>
      <sz val="11"/>
      <color indexed="8"/>
      <name val="Arial"/>
      <family val="2"/>
    </font>
  </fonts>
  <fills count="11">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0" tint="-0.14999847407452621"/>
        <bgColor rgb="FFCCCCFF"/>
      </patternFill>
    </fill>
    <fill>
      <patternFill patternType="solid">
        <fgColor theme="0" tint="-0.14999847407452621"/>
        <bgColor indexed="64"/>
      </patternFill>
    </fill>
    <fill>
      <patternFill patternType="solid">
        <fgColor theme="7" tint="0.39997558519241921"/>
        <bgColor indexed="64"/>
      </patternFill>
    </fill>
    <fill>
      <patternFill patternType="solid">
        <fgColor rgb="FF92D050"/>
        <bgColor indexed="64"/>
      </patternFill>
    </fill>
    <fill>
      <patternFill patternType="solid">
        <fgColor theme="4" tint="0.59999389629810485"/>
        <bgColor indexed="64"/>
      </patternFill>
    </fill>
    <fill>
      <patternFill patternType="solid">
        <fgColor theme="7"/>
        <bgColor indexed="64"/>
      </patternFill>
    </fill>
  </fills>
  <borders count="7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right/>
      <top style="thin">
        <color indexed="64"/>
      </top>
      <bottom style="double">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style="double">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double">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diagonal/>
    </border>
    <border>
      <left/>
      <right style="thin">
        <color indexed="64"/>
      </right>
      <top/>
      <bottom style="thin">
        <color indexed="64"/>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indexed="64"/>
      </left>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double">
        <color indexed="64"/>
      </top>
      <bottom style="double">
        <color indexed="64"/>
      </bottom>
      <diagonal/>
    </border>
    <border>
      <left/>
      <right style="thin">
        <color indexed="64"/>
      </right>
      <top style="double">
        <color indexed="64"/>
      </top>
      <bottom style="double">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bottom/>
      <diagonal/>
    </border>
  </borders>
  <cellStyleXfs count="61">
    <xf numFmtId="0" fontId="0" fillId="0" borderId="0"/>
    <xf numFmtId="43" fontId="7" fillId="0" borderId="0" applyFont="0" applyFill="0" applyBorder="0" applyAlignment="0" applyProtection="0"/>
    <xf numFmtId="165" fontId="8"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0" fontId="6" fillId="0" borderId="0"/>
    <xf numFmtId="9" fontId="8" fillId="0" borderId="0" applyFont="0" applyFill="0" applyBorder="0" applyAlignment="0" applyProtection="0"/>
    <xf numFmtId="0" fontId="6" fillId="0" borderId="0"/>
    <xf numFmtId="165" fontId="6"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0" fontId="6" fillId="0" borderId="0"/>
    <xf numFmtId="0" fontId="5"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3" fillId="0" borderId="0">
      <alignment vertical="top"/>
    </xf>
    <xf numFmtId="0" fontId="13" fillId="0" borderId="0">
      <alignment vertical="top"/>
    </xf>
    <xf numFmtId="0" fontId="6" fillId="0" borderId="0" applyNumberFormat="0" applyFill="0" applyBorder="0" applyAlignment="0" applyProtection="0"/>
    <xf numFmtId="0" fontId="14" fillId="0" borderId="0">
      <alignment vertical="top"/>
    </xf>
    <xf numFmtId="43" fontId="13" fillId="0" borderId="0" applyFont="0" applyFill="0" applyBorder="0" applyAlignment="0" applyProtection="0"/>
    <xf numFmtId="0" fontId="15" fillId="0" borderId="0"/>
    <xf numFmtId="169" fontId="15" fillId="0" borderId="0" applyBorder="0" applyProtection="0"/>
    <xf numFmtId="9" fontId="15" fillId="0" borderId="0" applyBorder="0" applyProtection="0"/>
    <xf numFmtId="168" fontId="15" fillId="0" borderId="0" applyBorder="0" applyProtection="0"/>
    <xf numFmtId="0" fontId="4" fillId="0" borderId="0"/>
    <xf numFmtId="164" fontId="4" fillId="0" borderId="0" applyFont="0" applyFill="0" applyBorder="0" applyAlignment="0" applyProtection="0"/>
    <xf numFmtId="0" fontId="6" fillId="0" borderId="0" applyNumberFormat="0" applyFill="0" applyBorder="0" applyAlignment="0" applyProtection="0"/>
    <xf numFmtId="0" fontId="6" fillId="0" borderId="0"/>
    <xf numFmtId="0" fontId="6" fillId="0" borderId="0"/>
    <xf numFmtId="165" fontId="6" fillId="0" borderId="0" applyFont="0" applyFill="0" applyBorder="0" applyAlignment="0" applyProtection="0"/>
    <xf numFmtId="170" fontId="16" fillId="0" borderId="0" applyFont="0" applyBorder="0" applyProtection="0"/>
    <xf numFmtId="0" fontId="17" fillId="0" borderId="0"/>
    <xf numFmtId="43" fontId="17" fillId="0" borderId="0" applyFont="0" applyFill="0" applyBorder="0" applyAlignment="0" applyProtection="0"/>
    <xf numFmtId="0" fontId="19" fillId="0" borderId="0"/>
    <xf numFmtId="43" fontId="19" fillId="0" borderId="0" applyProtection="0"/>
    <xf numFmtId="165" fontId="19" fillId="0" borderId="0" applyProtection="0"/>
    <xf numFmtId="9" fontId="20" fillId="0" borderId="0" applyFont="0" applyFill="0" applyBorder="0" applyAlignment="0" applyProtection="0"/>
    <xf numFmtId="0" fontId="6" fillId="0" borderId="0"/>
    <xf numFmtId="0" fontId="3" fillId="0" borderId="0"/>
    <xf numFmtId="43" fontId="6" fillId="0" borderId="0" applyFont="0" applyFill="0" applyBorder="0" applyAlignment="0" applyProtection="0"/>
    <xf numFmtId="0" fontId="2"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3" fillId="0" borderId="0">
      <alignment vertical="top"/>
    </xf>
    <xf numFmtId="43" fontId="13" fillId="0" borderId="0" applyFont="0" applyFill="0" applyBorder="0" applyAlignment="0" applyProtection="0"/>
    <xf numFmtId="0" fontId="2" fillId="0" borderId="0"/>
    <xf numFmtId="164" fontId="2" fillId="0" borderId="0" applyFont="0" applyFill="0" applyBorder="0" applyAlignment="0" applyProtection="0"/>
    <xf numFmtId="43" fontId="6" fillId="0" borderId="0" applyFont="0" applyFill="0" applyBorder="0" applyAlignment="0" applyProtection="0"/>
    <xf numFmtId="43" fontId="17" fillId="0" borderId="0" applyFont="0" applyFill="0" applyBorder="0" applyAlignment="0" applyProtection="0"/>
    <xf numFmtId="43" fontId="19" fillId="0" borderId="0" applyProtection="0"/>
    <xf numFmtId="0" fontId="2" fillId="0" borderId="0"/>
  </cellStyleXfs>
  <cellXfs count="798">
    <xf numFmtId="0" fontId="0" fillId="0" borderId="0" xfId="0"/>
    <xf numFmtId="165" fontId="12" fillId="0" borderId="4" xfId="1" applyNumberFormat="1" applyFont="1" applyFill="1" applyBorder="1"/>
    <xf numFmtId="0" fontId="6" fillId="0" borderId="0" xfId="11"/>
    <xf numFmtId="0" fontId="22" fillId="0" borderId="2" xfId="11" applyFont="1" applyBorder="1"/>
    <xf numFmtId="0" fontId="6" fillId="0" borderId="2" xfId="11" applyBorder="1"/>
    <xf numFmtId="14" fontId="6" fillId="0" borderId="2" xfId="11" applyNumberFormat="1" applyBorder="1"/>
    <xf numFmtId="0" fontId="23" fillId="0" borderId="2" xfId="11" applyFont="1" applyBorder="1"/>
    <xf numFmtId="165" fontId="10" fillId="0" borderId="0" xfId="0" applyNumberFormat="1" applyFont="1"/>
    <xf numFmtId="165" fontId="10" fillId="0" borderId="0" xfId="1" applyNumberFormat="1" applyFont="1"/>
    <xf numFmtId="165" fontId="12" fillId="0" borderId="35" xfId="9" applyFont="1" applyFill="1" applyBorder="1"/>
    <xf numFmtId="165" fontId="11" fillId="0" borderId="36" xfId="0" applyNumberFormat="1" applyFont="1" applyBorder="1"/>
    <xf numFmtId="165" fontId="11" fillId="0" borderId="13" xfId="0" applyNumberFormat="1" applyFont="1" applyBorder="1"/>
    <xf numFmtId="165" fontId="12" fillId="0" borderId="37" xfId="0" applyNumberFormat="1" applyFont="1" applyBorder="1"/>
    <xf numFmtId="165" fontId="11" fillId="0" borderId="2" xfId="0" applyNumberFormat="1" applyFont="1" applyBorder="1" applyAlignment="1">
      <alignment horizontal="center" vertical="center"/>
    </xf>
    <xf numFmtId="165" fontId="11" fillId="0" borderId="12" xfId="9" applyFont="1" applyFill="1" applyBorder="1" applyAlignment="1">
      <alignment horizontal="center" vertical="center"/>
    </xf>
    <xf numFmtId="165" fontId="11" fillId="0" borderId="20" xfId="0" applyNumberFormat="1" applyFont="1" applyBorder="1" applyAlignment="1">
      <alignment horizontal="center"/>
    </xf>
    <xf numFmtId="165" fontId="11" fillId="0" borderId="4" xfId="9" applyFont="1" applyFill="1" applyBorder="1" applyAlignment="1">
      <alignment horizontal="center"/>
    </xf>
    <xf numFmtId="165" fontId="11" fillId="0" borderId="4" xfId="0" applyNumberFormat="1" applyFont="1" applyBorder="1" applyAlignment="1">
      <alignment horizontal="center"/>
    </xf>
    <xf numFmtId="165" fontId="11" fillId="0" borderId="35" xfId="9" applyFont="1" applyFill="1" applyBorder="1" applyAlignment="1">
      <alignment horizontal="center"/>
    </xf>
    <xf numFmtId="165" fontId="12" fillId="0" borderId="20" xfId="0" applyNumberFormat="1" applyFont="1" applyBorder="1" applyAlignment="1">
      <alignment horizontal="left" wrapText="1"/>
    </xf>
    <xf numFmtId="165" fontId="12" fillId="0" borderId="3" xfId="1" applyNumberFormat="1" applyFont="1" applyFill="1" applyBorder="1"/>
    <xf numFmtId="165" fontId="12" fillId="0" borderId="4" xfId="1" applyNumberFormat="1" applyFont="1" applyFill="1" applyBorder="1" applyAlignment="1">
      <alignment horizontal="right"/>
    </xf>
    <xf numFmtId="165" fontId="12" fillId="0" borderId="4" xfId="0" applyNumberFormat="1" applyFont="1" applyBorder="1"/>
    <xf numFmtId="165" fontId="12" fillId="0" borderId="4" xfId="1" applyNumberFormat="1" applyFont="1" applyFill="1" applyBorder="1" applyAlignment="1">
      <alignment horizontal="center" vertical="center"/>
    </xf>
    <xf numFmtId="165" fontId="12" fillId="0" borderId="4" xfId="19" applyNumberFormat="1" applyFont="1" applyFill="1" applyBorder="1"/>
    <xf numFmtId="165" fontId="12" fillId="0" borderId="1" xfId="9" applyFont="1" applyFill="1" applyBorder="1"/>
    <xf numFmtId="165" fontId="12" fillId="0" borderId="4" xfId="9" applyFont="1" applyFill="1" applyBorder="1"/>
    <xf numFmtId="165" fontId="12" fillId="0" borderId="4" xfId="9" applyFont="1" applyFill="1" applyBorder="1" applyAlignment="1">
      <alignment horizontal="right"/>
    </xf>
    <xf numFmtId="165" fontId="11" fillId="0" borderId="48" xfId="0" applyNumberFormat="1" applyFont="1" applyBorder="1"/>
    <xf numFmtId="165" fontId="11" fillId="0" borderId="30" xfId="9" applyFont="1" applyFill="1" applyBorder="1"/>
    <xf numFmtId="165" fontId="11" fillId="0" borderId="38" xfId="9" applyFont="1" applyFill="1" applyBorder="1"/>
    <xf numFmtId="165" fontId="10" fillId="0" borderId="36" xfId="0" applyNumberFormat="1" applyFont="1" applyBorder="1"/>
    <xf numFmtId="165" fontId="10" fillId="0" borderId="13" xfId="0" applyNumberFormat="1" applyFont="1" applyBorder="1"/>
    <xf numFmtId="165" fontId="10" fillId="0" borderId="37" xfId="0" applyNumberFormat="1" applyFont="1" applyBorder="1"/>
    <xf numFmtId="165" fontId="21" fillId="0" borderId="67" xfId="11" applyNumberFormat="1" applyFont="1" applyBorder="1"/>
    <xf numFmtId="165" fontId="12" fillId="2" borderId="3" xfId="1" applyNumberFormat="1" applyFont="1" applyFill="1" applyBorder="1"/>
    <xf numFmtId="165" fontId="21" fillId="0" borderId="34" xfId="11" applyNumberFormat="1" applyFont="1" applyBorder="1"/>
    <xf numFmtId="165" fontId="21" fillId="0" borderId="0" xfId="11" applyNumberFormat="1" applyFont="1"/>
    <xf numFmtId="165" fontId="21" fillId="0" borderId="35" xfId="11" applyNumberFormat="1" applyFont="1" applyBorder="1"/>
    <xf numFmtId="14" fontId="26" fillId="0" borderId="0" xfId="11" applyNumberFormat="1" applyFont="1" applyAlignment="1">
      <alignment horizontal="left"/>
    </xf>
    <xf numFmtId="165" fontId="26" fillId="0" borderId="0" xfId="11" applyNumberFormat="1" applyFont="1"/>
    <xf numFmtId="165" fontId="26" fillId="0" borderId="35" xfId="11" applyNumberFormat="1" applyFont="1" applyBorder="1"/>
    <xf numFmtId="1" fontId="26" fillId="0" borderId="0" xfId="11" applyNumberFormat="1" applyFont="1" applyAlignment="1">
      <alignment horizontal="left"/>
    </xf>
    <xf numFmtId="165" fontId="26" fillId="0" borderId="31" xfId="11" applyNumberFormat="1" applyFont="1" applyBorder="1"/>
    <xf numFmtId="165" fontId="26" fillId="0" borderId="32" xfId="11" applyNumberFormat="1" applyFont="1" applyBorder="1"/>
    <xf numFmtId="165" fontId="26" fillId="0" borderId="33" xfId="11" applyNumberFormat="1" applyFont="1" applyBorder="1"/>
    <xf numFmtId="165" fontId="26" fillId="0" borderId="34" xfId="11" applyNumberFormat="1" applyFont="1" applyBorder="1"/>
    <xf numFmtId="165" fontId="26" fillId="0" borderId="0" xfId="9" applyFont="1" applyBorder="1"/>
    <xf numFmtId="165" fontId="26" fillId="0" borderId="35" xfId="9" applyFont="1" applyBorder="1"/>
    <xf numFmtId="165" fontId="26" fillId="0" borderId="34" xfId="11" applyNumberFormat="1" applyFont="1" applyBorder="1" applyAlignment="1">
      <alignment horizontal="right"/>
    </xf>
    <xf numFmtId="165" fontId="26" fillId="0" borderId="0" xfId="11" applyNumberFormat="1" applyFont="1" applyAlignment="1">
      <alignment horizontal="left" indent="1"/>
    </xf>
    <xf numFmtId="165" fontId="26" fillId="0" borderId="6" xfId="9" applyFont="1" applyBorder="1"/>
    <xf numFmtId="165" fontId="26" fillId="0" borderId="39" xfId="9" applyFont="1" applyBorder="1"/>
    <xf numFmtId="165" fontId="26" fillId="0" borderId="39" xfId="9" applyFont="1" applyBorder="1" applyAlignment="1">
      <alignment horizontal="center"/>
    </xf>
    <xf numFmtId="165" fontId="26" fillId="0" borderId="35" xfId="21" applyNumberFormat="1" applyFont="1" applyFill="1" applyBorder="1"/>
    <xf numFmtId="165" fontId="26" fillId="0" borderId="35" xfId="9" applyFont="1" applyFill="1" applyBorder="1"/>
    <xf numFmtId="165" fontId="26" fillId="0" borderId="35" xfId="21" applyNumberFormat="1" applyFont="1" applyBorder="1"/>
    <xf numFmtId="165" fontId="26" fillId="0" borderId="66" xfId="9" applyFont="1" applyBorder="1"/>
    <xf numFmtId="165" fontId="26" fillId="0" borderId="0" xfId="21" applyNumberFormat="1" applyFont="1" applyBorder="1"/>
    <xf numFmtId="165" fontId="26" fillId="0" borderId="6" xfId="21" applyNumberFormat="1" applyFont="1" applyBorder="1"/>
    <xf numFmtId="165" fontId="26" fillId="0" borderId="38" xfId="9" applyFont="1" applyBorder="1"/>
    <xf numFmtId="165" fontId="21" fillId="0" borderId="38" xfId="9" applyFont="1" applyBorder="1"/>
    <xf numFmtId="165" fontId="26" fillId="0" borderId="36" xfId="11" applyNumberFormat="1" applyFont="1" applyBorder="1"/>
    <xf numFmtId="165" fontId="26" fillId="0" borderId="13" xfId="11" applyNumberFormat="1" applyFont="1" applyBorder="1"/>
    <xf numFmtId="165" fontId="26" fillId="0" borderId="37" xfId="9" applyFont="1" applyBorder="1"/>
    <xf numFmtId="165" fontId="26" fillId="0" borderId="34" xfId="4" applyNumberFormat="1" applyFont="1" applyBorder="1"/>
    <xf numFmtId="165" fontId="26" fillId="0" borderId="0" xfId="4" applyNumberFormat="1" applyFont="1"/>
    <xf numFmtId="165" fontId="26" fillId="0" borderId="40" xfId="9" applyFont="1" applyBorder="1"/>
    <xf numFmtId="165" fontId="26" fillId="0" borderId="41" xfId="9" applyFont="1" applyBorder="1"/>
    <xf numFmtId="165" fontId="21" fillId="0" borderId="34" xfId="4" applyNumberFormat="1" applyFont="1" applyBorder="1"/>
    <xf numFmtId="165" fontId="26" fillId="0" borderId="34" xfId="4" applyNumberFormat="1" applyFont="1" applyBorder="1" applyAlignment="1">
      <alignment horizontal="center"/>
    </xf>
    <xf numFmtId="165" fontId="26" fillId="0" borderId="47" xfId="9" applyFont="1" applyBorder="1"/>
    <xf numFmtId="165" fontId="26" fillId="0" borderId="43" xfId="9" applyFont="1" applyBorder="1"/>
    <xf numFmtId="165" fontId="26" fillId="0" borderId="44" xfId="4" applyNumberFormat="1" applyFont="1" applyBorder="1"/>
    <xf numFmtId="165" fontId="21" fillId="0" borderId="45" xfId="4" applyNumberFormat="1" applyFont="1" applyBorder="1" applyAlignment="1">
      <alignment horizontal="left"/>
    </xf>
    <xf numFmtId="165" fontId="21" fillId="0" borderId="45" xfId="4" applyNumberFormat="1" applyFont="1" applyBorder="1"/>
    <xf numFmtId="165" fontId="21" fillId="0" borderId="44" xfId="9" applyFont="1" applyBorder="1"/>
    <xf numFmtId="165" fontId="21" fillId="0" borderId="46" xfId="9" applyFont="1" applyBorder="1"/>
    <xf numFmtId="165" fontId="25" fillId="0" borderId="2" xfId="0" applyNumberFormat="1" applyFont="1" applyBorder="1"/>
    <xf numFmtId="165" fontId="25" fillId="0" borderId="52" xfId="0" applyNumberFormat="1" applyFont="1" applyBorder="1"/>
    <xf numFmtId="165" fontId="25" fillId="0" borderId="12" xfId="0" applyNumberFormat="1" applyFont="1" applyBorder="1"/>
    <xf numFmtId="165" fontId="1" fillId="0" borderId="2" xfId="0" applyNumberFormat="1" applyFont="1" applyBorder="1"/>
    <xf numFmtId="165" fontId="1" fillId="0" borderId="12" xfId="0" applyNumberFormat="1" applyFont="1" applyBorder="1"/>
    <xf numFmtId="165" fontId="27" fillId="0" borderId="0" xfId="0" applyNumberFormat="1" applyFont="1"/>
    <xf numFmtId="165" fontId="27" fillId="0" borderId="2" xfId="21" applyNumberFormat="1" applyFont="1" applyFill="1" applyBorder="1" applyAlignment="1">
      <alignment vertical="center"/>
    </xf>
    <xf numFmtId="165" fontId="25" fillId="0" borderId="2" xfId="0" applyNumberFormat="1" applyFont="1" applyBorder="1" applyAlignment="1">
      <alignment horizontal="left" indent="1"/>
    </xf>
    <xf numFmtId="165" fontId="21" fillId="0" borderId="31" xfId="0" applyNumberFormat="1" applyFont="1" applyBorder="1" applyAlignment="1">
      <alignment horizontal="left" vertical="center"/>
    </xf>
    <xf numFmtId="165" fontId="21" fillId="0" borderId="40" xfId="1" applyNumberFormat="1" applyFont="1" applyFill="1" applyBorder="1" applyAlignment="1">
      <alignment horizontal="right"/>
    </xf>
    <xf numFmtId="165" fontId="21" fillId="0" borderId="36" xfId="0" applyNumberFormat="1" applyFont="1" applyBorder="1" applyAlignment="1">
      <alignment horizontal="left" vertical="center"/>
    </xf>
    <xf numFmtId="165" fontId="28" fillId="0" borderId="31" xfId="4" applyNumberFormat="1" applyFont="1" applyBorder="1" applyAlignment="1">
      <alignment vertical="top"/>
    </xf>
    <xf numFmtId="165" fontId="28" fillId="0" borderId="40" xfId="4" applyNumberFormat="1" applyFont="1" applyBorder="1" applyAlignment="1">
      <alignment vertical="top"/>
    </xf>
    <xf numFmtId="165" fontId="28" fillId="0" borderId="34" xfId="4" applyNumberFormat="1" applyFont="1" applyBorder="1" applyAlignment="1">
      <alignment vertical="top"/>
    </xf>
    <xf numFmtId="165" fontId="28" fillId="0" borderId="41" xfId="4" applyNumberFormat="1" applyFont="1" applyBorder="1" applyAlignment="1">
      <alignment vertical="top"/>
    </xf>
    <xf numFmtId="165" fontId="29" fillId="0" borderId="34" xfId="4" applyNumberFormat="1" applyFont="1" applyBorder="1" applyAlignment="1">
      <alignment vertical="top"/>
    </xf>
    <xf numFmtId="165" fontId="29" fillId="0" borderId="34" xfId="1" applyNumberFormat="1" applyFont="1" applyFill="1" applyBorder="1" applyAlignment="1">
      <alignment vertical="top"/>
    </xf>
    <xf numFmtId="165" fontId="29" fillId="0" borderId="41" xfId="1" applyNumberFormat="1" applyFont="1" applyFill="1" applyBorder="1" applyAlignment="1">
      <alignment vertical="top"/>
    </xf>
    <xf numFmtId="165" fontId="28" fillId="0" borderId="42" xfId="4" applyNumberFormat="1" applyFont="1" applyBorder="1" applyAlignment="1">
      <alignment vertical="top"/>
    </xf>
    <xf numFmtId="165" fontId="28" fillId="0" borderId="34" xfId="1" applyNumberFormat="1" applyFont="1" applyFill="1" applyBorder="1" applyAlignment="1">
      <alignment vertical="top"/>
    </xf>
    <xf numFmtId="165" fontId="26" fillId="0" borderId="41" xfId="1" applyNumberFormat="1" applyFont="1" applyFill="1" applyBorder="1"/>
    <xf numFmtId="165" fontId="29" fillId="0" borderId="41" xfId="4" applyNumberFormat="1" applyFont="1" applyBorder="1" applyAlignment="1">
      <alignment vertical="top"/>
    </xf>
    <xf numFmtId="165" fontId="28" fillId="0" borderId="36" xfId="4" applyNumberFormat="1" applyFont="1" applyBorder="1" applyAlignment="1">
      <alignment vertical="top"/>
    </xf>
    <xf numFmtId="165" fontId="28" fillId="0" borderId="36" xfId="1" applyNumberFormat="1" applyFont="1" applyFill="1" applyBorder="1" applyAlignment="1">
      <alignment vertical="top"/>
    </xf>
    <xf numFmtId="165" fontId="28" fillId="0" borderId="43" xfId="4" applyNumberFormat="1" applyFont="1" applyBorder="1" applyAlignment="1">
      <alignment vertical="top"/>
    </xf>
    <xf numFmtId="165" fontId="21" fillId="0" borderId="40" xfId="0" applyNumberFormat="1" applyFont="1" applyBorder="1" applyAlignment="1">
      <alignment horizontal="center" vertical="center"/>
    </xf>
    <xf numFmtId="165" fontId="28" fillId="0" borderId="43" xfId="4" applyNumberFormat="1" applyFont="1" applyBorder="1" applyAlignment="1">
      <alignment horizontal="center" vertical="center"/>
    </xf>
    <xf numFmtId="165" fontId="26" fillId="0" borderId="34" xfId="0" applyNumberFormat="1" applyFont="1" applyBorder="1"/>
    <xf numFmtId="165" fontId="26" fillId="0" borderId="40" xfId="0" applyNumberFormat="1" applyFont="1" applyBorder="1"/>
    <xf numFmtId="165" fontId="26" fillId="0" borderId="34" xfId="1" applyNumberFormat="1" applyFont="1" applyBorder="1"/>
    <xf numFmtId="165" fontId="26" fillId="0" borderId="41" xfId="0" applyNumberFormat="1" applyFont="1" applyBorder="1"/>
    <xf numFmtId="165" fontId="21" fillId="0" borderId="42" xfId="0" applyNumberFormat="1" applyFont="1" applyBorder="1"/>
    <xf numFmtId="165" fontId="21" fillId="0" borderId="34" xfId="0" applyNumberFormat="1" applyFont="1" applyBorder="1"/>
    <xf numFmtId="165" fontId="21" fillId="0" borderId="34" xfId="1" applyNumberFormat="1" applyFont="1" applyBorder="1"/>
    <xf numFmtId="165" fontId="21" fillId="0" borderId="41" xfId="0" applyNumberFormat="1" applyFont="1" applyBorder="1"/>
    <xf numFmtId="165" fontId="26" fillId="2" borderId="34" xfId="0" applyNumberFormat="1" applyFont="1" applyFill="1" applyBorder="1"/>
    <xf numFmtId="165" fontId="26" fillId="2" borderId="41" xfId="1" applyNumberFormat="1" applyFont="1" applyFill="1" applyBorder="1"/>
    <xf numFmtId="165" fontId="21" fillId="0" borderId="34" xfId="0" applyNumberFormat="1" applyFont="1" applyBorder="1" applyAlignment="1">
      <alignment horizontal="left" indent="1"/>
    </xf>
    <xf numFmtId="165" fontId="21" fillId="0" borderId="34" xfId="1" applyNumberFormat="1" applyFont="1" applyBorder="1" applyAlignment="1">
      <alignment horizontal="left" indent="1"/>
    </xf>
    <xf numFmtId="165" fontId="21" fillId="0" borderId="41" xfId="0" applyNumberFormat="1" applyFont="1" applyBorder="1" applyAlignment="1">
      <alignment horizontal="left" indent="1"/>
    </xf>
    <xf numFmtId="165" fontId="26" fillId="0" borderId="34" xfId="0" applyNumberFormat="1" applyFont="1" applyBorder="1" applyAlignment="1">
      <alignment horizontal="left" indent="2"/>
    </xf>
    <xf numFmtId="165" fontId="26" fillId="0" borderId="34" xfId="1" applyNumberFormat="1" applyFont="1" applyBorder="1" applyAlignment="1">
      <alignment horizontal="left" indent="2"/>
    </xf>
    <xf numFmtId="165" fontId="26" fillId="0" borderId="41" xfId="0" applyNumberFormat="1" applyFont="1" applyBorder="1" applyAlignment="1">
      <alignment horizontal="left" indent="2"/>
    </xf>
    <xf numFmtId="165" fontId="26" fillId="0" borderId="36" xfId="0" applyNumberFormat="1" applyFont="1" applyBorder="1"/>
    <xf numFmtId="165" fontId="26" fillId="0" borderId="36" xfId="1" applyNumberFormat="1" applyFont="1" applyBorder="1"/>
    <xf numFmtId="165" fontId="26" fillId="0" borderId="43" xfId="0" applyNumberFormat="1" applyFont="1" applyBorder="1"/>
    <xf numFmtId="165" fontId="21" fillId="0" borderId="32" xfId="27" applyNumberFormat="1" applyFont="1" applyBorder="1" applyAlignment="1">
      <alignment horizontal="justify"/>
    </xf>
    <xf numFmtId="165" fontId="26" fillId="0" borderId="32" xfId="27" applyNumberFormat="1" applyFont="1" applyBorder="1"/>
    <xf numFmtId="165" fontId="21" fillId="0" borderId="34" xfId="27" applyNumberFormat="1" applyFont="1" applyBorder="1" applyAlignment="1">
      <alignment horizontal="left"/>
    </xf>
    <xf numFmtId="165" fontId="21" fillId="0" borderId="0" xfId="27" applyNumberFormat="1" applyFont="1" applyAlignment="1">
      <alignment horizontal="left"/>
    </xf>
    <xf numFmtId="165" fontId="21" fillId="0" borderId="0" xfId="27" applyNumberFormat="1" applyFont="1" applyAlignment="1">
      <alignment horizontal="justify"/>
    </xf>
    <xf numFmtId="165" fontId="26" fillId="0" borderId="0" xfId="27" applyNumberFormat="1" applyFont="1"/>
    <xf numFmtId="165" fontId="26" fillId="0" borderId="34" xfId="27" applyNumberFormat="1" applyFont="1" applyBorder="1" applyAlignment="1">
      <alignment horizontal="justify"/>
    </xf>
    <xf numFmtId="165" fontId="26" fillId="0" borderId="0" xfId="27" applyNumberFormat="1" applyFont="1" applyAlignment="1">
      <alignment horizontal="justify"/>
    </xf>
    <xf numFmtId="165" fontId="21" fillId="5" borderId="29" xfId="27" applyNumberFormat="1" applyFont="1" applyFill="1" applyBorder="1" applyAlignment="1">
      <alignment horizontal="center" vertical="center" wrapText="1"/>
    </xf>
    <xf numFmtId="165" fontId="21" fillId="5" borderId="2" xfId="27" applyNumberFormat="1" applyFont="1" applyFill="1" applyBorder="1" applyAlignment="1">
      <alignment horizontal="center" vertical="center" wrapText="1"/>
    </xf>
    <xf numFmtId="165" fontId="21" fillId="5" borderId="12" xfId="27" applyNumberFormat="1" applyFont="1" applyFill="1" applyBorder="1" applyAlignment="1">
      <alignment horizontal="center" vertical="center" wrapText="1"/>
    </xf>
    <xf numFmtId="165" fontId="21" fillId="5" borderId="58" xfId="27" applyNumberFormat="1" applyFont="1" applyFill="1" applyBorder="1" applyAlignment="1">
      <alignment horizontal="center" vertical="center" wrapText="1"/>
    </xf>
    <xf numFmtId="165" fontId="26" fillId="0" borderId="29" xfId="27" applyNumberFormat="1" applyFont="1" applyBorder="1" applyAlignment="1">
      <alignment horizontal="left" vertical="center"/>
    </xf>
    <xf numFmtId="165" fontId="26" fillId="0" borderId="2" xfId="19" applyNumberFormat="1" applyFont="1" applyFill="1" applyBorder="1" applyAlignment="1">
      <alignment horizontal="right" vertical="center"/>
    </xf>
    <xf numFmtId="165" fontId="26" fillId="0" borderId="2" xfId="27" applyNumberFormat="1" applyFont="1" applyBorder="1" applyAlignment="1">
      <alignment horizontal="right" vertical="center"/>
    </xf>
    <xf numFmtId="165" fontId="26" fillId="0" borderId="2" xfId="21" applyNumberFormat="1" applyFont="1" applyFill="1" applyBorder="1" applyAlignment="1">
      <alignment horizontal="right" vertical="center"/>
    </xf>
    <xf numFmtId="165" fontId="26" fillId="0" borderId="61" xfId="27" applyNumberFormat="1" applyFont="1" applyBorder="1" applyAlignment="1">
      <alignment horizontal="left" vertical="center"/>
    </xf>
    <xf numFmtId="165" fontId="26" fillId="0" borderId="62" xfId="19" applyNumberFormat="1" applyFont="1" applyFill="1" applyBorder="1" applyAlignment="1">
      <alignment horizontal="right" vertical="center"/>
    </xf>
    <xf numFmtId="165" fontId="26" fillId="0" borderId="62" xfId="27" applyNumberFormat="1" applyFont="1" applyBorder="1" applyAlignment="1">
      <alignment horizontal="right" vertical="center"/>
    </xf>
    <xf numFmtId="165" fontId="26" fillId="0" borderId="63" xfId="19" applyNumberFormat="1" applyFont="1" applyFill="1" applyBorder="1" applyAlignment="1">
      <alignment horizontal="right" vertical="center"/>
    </xf>
    <xf numFmtId="165" fontId="26" fillId="0" borderId="34" xfId="27" applyNumberFormat="1" applyFont="1" applyBorder="1" applyAlignment="1">
      <alignment horizontal="left" vertical="center"/>
    </xf>
    <xf numFmtId="165" fontId="26" fillId="0" borderId="0" xfId="19" applyNumberFormat="1" applyFont="1" applyFill="1" applyBorder="1" applyAlignment="1">
      <alignment horizontal="right" vertical="center"/>
    </xf>
    <xf numFmtId="165" fontId="26" fillId="0" borderId="0" xfId="27" applyNumberFormat="1" applyFont="1" applyAlignment="1">
      <alignment horizontal="right" vertical="center"/>
    </xf>
    <xf numFmtId="165" fontId="26" fillId="0" borderId="35" xfId="19" applyNumberFormat="1" applyFont="1" applyFill="1" applyBorder="1" applyAlignment="1">
      <alignment horizontal="right" vertical="center"/>
    </xf>
    <xf numFmtId="165" fontId="21" fillId="0" borderId="35" xfId="27" applyNumberFormat="1" applyFont="1" applyBorder="1" applyAlignment="1">
      <alignment horizontal="left"/>
    </xf>
    <xf numFmtId="165" fontId="26" fillId="0" borderId="34" xfId="0" applyNumberFormat="1" applyFont="1" applyBorder="1" applyAlignment="1">
      <alignment wrapText="1"/>
    </xf>
    <xf numFmtId="165" fontId="28" fillId="0" borderId="2" xfId="44" applyNumberFormat="1" applyFont="1" applyBorder="1"/>
    <xf numFmtId="165" fontId="21" fillId="0" borderId="34" xfId="27" applyNumberFormat="1" applyFont="1" applyBorder="1" applyAlignment="1">
      <alignment horizontal="justify"/>
    </xf>
    <xf numFmtId="165" fontId="26" fillId="0" borderId="0" xfId="27" applyNumberFormat="1" applyFont="1" applyAlignment="1">
      <alignment horizontal="left"/>
    </xf>
    <xf numFmtId="165" fontId="26" fillId="0" borderId="34" xfId="27" applyNumberFormat="1" applyFont="1" applyBorder="1" applyAlignment="1">
      <alignment horizontal="left" wrapText="1"/>
    </xf>
    <xf numFmtId="165" fontId="26" fillId="0" borderId="0" xfId="27" applyNumberFormat="1" applyFont="1" applyAlignment="1">
      <alignment horizontal="left" wrapText="1"/>
    </xf>
    <xf numFmtId="165" fontId="21" fillId="6" borderId="29" xfId="27" applyNumberFormat="1" applyFont="1" applyFill="1" applyBorder="1" applyAlignment="1">
      <alignment horizontal="justify" vertical="top" wrapText="1"/>
    </xf>
    <xf numFmtId="165" fontId="21" fillId="6" borderId="14" xfId="27" applyNumberFormat="1" applyFont="1" applyFill="1" applyBorder="1" applyAlignment="1">
      <alignment horizontal="center" vertical="top" wrapText="1"/>
    </xf>
    <xf numFmtId="165" fontId="21" fillId="6" borderId="2" xfId="27" applyNumberFormat="1" applyFont="1" applyFill="1" applyBorder="1" applyAlignment="1">
      <alignment horizontal="center" vertical="top" wrapText="1"/>
    </xf>
    <xf numFmtId="165" fontId="26" fillId="0" borderId="29" xfId="27" applyNumberFormat="1" applyFont="1" applyBorder="1" applyAlignment="1">
      <alignment horizontal="justify" vertical="top" wrapText="1"/>
    </xf>
    <xf numFmtId="165" fontId="26" fillId="0" borderId="2" xfId="28" applyNumberFormat="1" applyFont="1" applyBorder="1" applyProtection="1"/>
    <xf numFmtId="165" fontId="26" fillId="0" borderId="14" xfId="28" applyNumberFormat="1" applyFont="1" applyBorder="1" applyAlignment="1" applyProtection="1">
      <alignment vertical="top" wrapText="1"/>
    </xf>
    <xf numFmtId="165" fontId="26" fillId="0" borderId="2" xfId="28" applyNumberFormat="1" applyFont="1" applyBorder="1" applyAlignment="1" applyProtection="1">
      <alignment vertical="top" wrapText="1"/>
    </xf>
    <xf numFmtId="165" fontId="21" fillId="0" borderId="34" xfId="27" applyNumberFormat="1" applyFont="1" applyBorder="1"/>
    <xf numFmtId="165" fontId="26" fillId="0" borderId="29" xfId="27" applyNumberFormat="1" applyFont="1" applyBorder="1" applyAlignment="1">
      <alignment horizontal="justify" vertical="top"/>
    </xf>
    <xf numFmtId="165" fontId="26" fillId="0" borderId="2" xfId="28" applyNumberFormat="1" applyFont="1" applyBorder="1" applyAlignment="1" applyProtection="1">
      <alignment horizontal="right" vertical="top" wrapText="1"/>
    </xf>
    <xf numFmtId="165" fontId="26" fillId="0" borderId="35" xfId="27" applyNumberFormat="1" applyFont="1" applyBorder="1"/>
    <xf numFmtId="4" fontId="26" fillId="0" borderId="2" xfId="28" applyNumberFormat="1" applyFont="1" applyBorder="1" applyAlignment="1" applyProtection="1">
      <alignment horizontal="right" vertical="top" wrapText="1"/>
    </xf>
    <xf numFmtId="165" fontId="30" fillId="0" borderId="0" xfId="27" applyNumberFormat="1" applyFont="1" applyAlignment="1">
      <alignment horizontal="justify"/>
    </xf>
    <xf numFmtId="165" fontId="31" fillId="0" borderId="0" xfId="27" applyNumberFormat="1" applyFont="1" applyAlignment="1">
      <alignment horizontal="justify"/>
    </xf>
    <xf numFmtId="165" fontId="26" fillId="0" borderId="34" xfId="27" applyNumberFormat="1" applyFont="1" applyBorder="1" applyAlignment="1">
      <alignment horizontal="left" indent="1"/>
    </xf>
    <xf numFmtId="165" fontId="26" fillId="0" borderId="34" xfId="27" applyNumberFormat="1" applyFont="1" applyBorder="1" applyAlignment="1">
      <alignment horizontal="left" vertical="top" wrapText="1" indent="1"/>
    </xf>
    <xf numFmtId="165" fontId="26" fillId="0" borderId="0" xfId="28" applyNumberFormat="1" applyFont="1" applyBorder="1" applyAlignment="1" applyProtection="1">
      <alignment horizontal="center" vertical="top" wrapText="1"/>
    </xf>
    <xf numFmtId="165" fontId="26" fillId="0" borderId="34" xfId="27" applyNumberFormat="1" applyFont="1" applyBorder="1" applyAlignment="1">
      <alignment horizontal="justify" vertical="top" wrapText="1"/>
    </xf>
    <xf numFmtId="165" fontId="21" fillId="0" borderId="34" xfId="27" applyNumberFormat="1" applyFont="1" applyBorder="1" applyAlignment="1">
      <alignment horizontal="justify" vertical="top" wrapText="1"/>
    </xf>
    <xf numFmtId="165" fontId="21" fillId="5" borderId="2" xfId="27" applyNumberFormat="1" applyFont="1" applyFill="1" applyBorder="1" applyAlignment="1">
      <alignment horizontal="center" vertical="top" wrapText="1"/>
    </xf>
    <xf numFmtId="165" fontId="26" fillId="0" borderId="56" xfId="28" applyNumberFormat="1" applyFont="1" applyBorder="1" applyAlignment="1" applyProtection="1">
      <alignment vertical="top" wrapText="1"/>
    </xf>
    <xf numFmtId="165" fontId="26" fillId="0" borderId="29" xfId="27" applyNumberFormat="1" applyFont="1" applyBorder="1" applyAlignment="1">
      <alignment horizontal="left" vertical="top" wrapText="1" indent="1"/>
    </xf>
    <xf numFmtId="165" fontId="26" fillId="0" borderId="2" xfId="21" applyNumberFormat="1" applyFont="1" applyFill="1" applyBorder="1"/>
    <xf numFmtId="165" fontId="26" fillId="0" borderId="56" xfId="21" applyNumberFormat="1" applyFont="1" applyFill="1" applyBorder="1"/>
    <xf numFmtId="165" fontId="26" fillId="0" borderId="14" xfId="21" applyNumberFormat="1" applyFont="1" applyFill="1" applyBorder="1"/>
    <xf numFmtId="165" fontId="26" fillId="0" borderId="2" xfId="27" applyNumberFormat="1" applyFont="1" applyBorder="1"/>
    <xf numFmtId="165" fontId="26" fillId="0" borderId="56" xfId="27" applyNumberFormat="1" applyFont="1" applyBorder="1"/>
    <xf numFmtId="165" fontId="31" fillId="0" borderId="2" xfId="27" applyNumberFormat="1" applyFont="1" applyBorder="1" applyAlignment="1">
      <alignment horizontal="justify"/>
    </xf>
    <xf numFmtId="165" fontId="31" fillId="0" borderId="56" xfId="27" applyNumberFormat="1" applyFont="1" applyBorder="1" applyAlignment="1">
      <alignment horizontal="justify"/>
    </xf>
    <xf numFmtId="165" fontId="26" fillId="0" borderId="58" xfId="21" applyNumberFormat="1" applyFont="1" applyFill="1" applyBorder="1"/>
    <xf numFmtId="165" fontId="31" fillId="0" borderId="14" xfId="21" applyNumberFormat="1" applyFont="1" applyFill="1" applyBorder="1" applyAlignment="1">
      <alignment horizontal="justify"/>
    </xf>
    <xf numFmtId="165" fontId="26" fillId="0" borderId="34" xfId="27" applyNumberFormat="1" applyFont="1" applyBorder="1"/>
    <xf numFmtId="165" fontId="21" fillId="6" borderId="29" xfId="27" applyNumberFormat="1" applyFont="1" applyFill="1" applyBorder="1"/>
    <xf numFmtId="165" fontId="21" fillId="6" borderId="2" xfId="27" applyNumberFormat="1" applyFont="1" applyFill="1" applyBorder="1"/>
    <xf numFmtId="165" fontId="26" fillId="0" borderId="29" xfId="27" applyNumberFormat="1" applyFont="1" applyBorder="1"/>
    <xf numFmtId="165" fontId="26" fillId="0" borderId="2" xfId="21" applyNumberFormat="1" applyFont="1" applyFill="1" applyBorder="1" applyAlignment="1">
      <alignment horizontal="justify"/>
    </xf>
    <xf numFmtId="165" fontId="26" fillId="0" borderId="34" xfId="27" applyNumberFormat="1" applyFont="1" applyBorder="1" applyAlignment="1">
      <alignment vertical="center"/>
    </xf>
    <xf numFmtId="165" fontId="26" fillId="0" borderId="36" xfId="27" applyNumberFormat="1" applyFont="1" applyBorder="1" applyAlignment="1">
      <alignment horizontal="left" vertical="center" wrapText="1"/>
    </xf>
    <xf numFmtId="165" fontId="26" fillId="0" borderId="13" xfId="27" applyNumberFormat="1" applyFont="1" applyBorder="1" applyAlignment="1">
      <alignment horizontal="left" vertical="center" wrapText="1"/>
    </xf>
    <xf numFmtId="165" fontId="26" fillId="0" borderId="31" xfId="27" applyNumberFormat="1" applyFont="1" applyBorder="1" applyAlignment="1">
      <alignment horizontal="left" vertical="center" wrapText="1"/>
    </xf>
    <xf numFmtId="165" fontId="26" fillId="0" borderId="32" xfId="27" applyNumberFormat="1" applyFont="1" applyBorder="1" applyAlignment="1">
      <alignment horizontal="left" vertical="center" wrapText="1"/>
    </xf>
    <xf numFmtId="165" fontId="26" fillId="0" borderId="33" xfId="27" applyNumberFormat="1" applyFont="1" applyBorder="1" applyAlignment="1">
      <alignment horizontal="left" vertical="center" wrapText="1"/>
    </xf>
    <xf numFmtId="165" fontId="21" fillId="5" borderId="70" xfId="27" applyNumberFormat="1" applyFont="1" applyFill="1" applyBorder="1" applyAlignment="1">
      <alignment horizontal="justify" vertical="top" wrapText="1"/>
    </xf>
    <xf numFmtId="165" fontId="21" fillId="5" borderId="64" xfId="27" applyNumberFormat="1" applyFont="1" applyFill="1" applyBorder="1" applyAlignment="1">
      <alignment horizontal="justify" vertical="top" wrapText="1"/>
    </xf>
    <xf numFmtId="165" fontId="26" fillId="0" borderId="29" xfId="27" applyNumberFormat="1" applyFont="1" applyBorder="1" applyAlignment="1">
      <alignment horizontal="left" vertical="center" wrapText="1"/>
    </xf>
    <xf numFmtId="165" fontId="26" fillId="0" borderId="2" xfId="21" applyNumberFormat="1" applyFont="1" applyFill="1" applyBorder="1" applyAlignment="1">
      <alignment vertical="center"/>
    </xf>
    <xf numFmtId="165" fontId="26" fillId="0" borderId="71" xfId="27" applyNumberFormat="1" applyFont="1" applyBorder="1" applyAlignment="1">
      <alignment horizontal="left" vertical="center" wrapText="1"/>
    </xf>
    <xf numFmtId="165" fontId="26" fillId="0" borderId="57" xfId="21" applyNumberFormat="1" applyFont="1" applyFill="1" applyBorder="1" applyAlignment="1">
      <alignment vertical="center"/>
    </xf>
    <xf numFmtId="165" fontId="21" fillId="6" borderId="29" xfId="27" applyNumberFormat="1" applyFont="1" applyFill="1" applyBorder="1" applyAlignment="1">
      <alignment horizontal="left" vertical="center" wrapText="1"/>
    </xf>
    <xf numFmtId="165" fontId="21" fillId="6" borderId="2" xfId="27" applyNumberFormat="1" applyFont="1" applyFill="1" applyBorder="1" applyAlignment="1">
      <alignment vertical="center" wrapText="1"/>
    </xf>
    <xf numFmtId="165" fontId="26" fillId="0" borderId="0" xfId="27" applyNumberFormat="1" applyFont="1" applyAlignment="1">
      <alignment horizontal="left" vertical="center" wrapText="1"/>
    </xf>
    <xf numFmtId="165" fontId="26" fillId="0" borderId="2" xfId="21" applyNumberFormat="1" applyFont="1" applyBorder="1" applyAlignment="1">
      <alignment vertical="center" wrapText="1"/>
    </xf>
    <xf numFmtId="165" fontId="26" fillId="0" borderId="13" xfId="21" applyNumberFormat="1" applyFont="1" applyBorder="1" applyAlignment="1">
      <alignment horizontal="left" vertical="center" wrapText="1"/>
    </xf>
    <xf numFmtId="165" fontId="21" fillId="0" borderId="35" xfId="27" applyNumberFormat="1" applyFont="1" applyBorder="1"/>
    <xf numFmtId="165" fontId="26" fillId="0" borderId="0" xfId="27" applyNumberFormat="1" applyFont="1" applyAlignment="1">
      <alignment horizontal="left" vertical="center"/>
    </xf>
    <xf numFmtId="165" fontId="21" fillId="0" borderId="0" xfId="28" applyNumberFormat="1" applyFont="1" applyBorder="1" applyProtection="1"/>
    <xf numFmtId="165" fontId="21" fillId="0" borderId="35" xfId="28" applyNumberFormat="1" applyFont="1" applyBorder="1" applyProtection="1"/>
    <xf numFmtId="165" fontId="26" fillId="0" borderId="0" xfId="27" applyNumberFormat="1" applyFont="1" applyAlignment="1">
      <alignment vertical="center"/>
    </xf>
    <xf numFmtId="165" fontId="26" fillId="0" borderId="0" xfId="28" applyNumberFormat="1" applyFont="1" applyBorder="1" applyAlignment="1" applyProtection="1">
      <alignment horizontal="right" vertical="center"/>
    </xf>
    <xf numFmtId="165" fontId="21" fillId="0" borderId="0" xfId="27" applyNumberFormat="1" applyFont="1"/>
    <xf numFmtId="165" fontId="26" fillId="0" borderId="36" xfId="30" applyNumberFormat="1" applyFont="1" applyBorder="1" applyProtection="1"/>
    <xf numFmtId="165" fontId="26" fillId="0" borderId="13" xfId="27" applyNumberFormat="1" applyFont="1" applyBorder="1"/>
    <xf numFmtId="165" fontId="21" fillId="0" borderId="32" xfId="1" applyNumberFormat="1" applyFont="1" applyFill="1" applyBorder="1" applyAlignment="1">
      <alignment horizontal="right"/>
    </xf>
    <xf numFmtId="165" fontId="21" fillId="0" borderId="33" xfId="1" applyNumberFormat="1" applyFont="1" applyFill="1" applyBorder="1" applyAlignment="1">
      <alignment horizontal="right"/>
    </xf>
    <xf numFmtId="171" fontId="21" fillId="0" borderId="13" xfId="1" applyNumberFormat="1" applyFont="1" applyFill="1" applyBorder="1" applyAlignment="1">
      <alignment horizontal="right"/>
    </xf>
    <xf numFmtId="165" fontId="26" fillId="0" borderId="0" xfId="1" applyNumberFormat="1" applyFont="1" applyFill="1" applyBorder="1"/>
    <xf numFmtId="165" fontId="26" fillId="0" borderId="0" xfId="1" applyNumberFormat="1" applyFont="1" applyBorder="1"/>
    <xf numFmtId="165" fontId="26" fillId="0" borderId="35" xfId="1" applyNumberFormat="1" applyFont="1" applyBorder="1"/>
    <xf numFmtId="165" fontId="21" fillId="0" borderId="34" xfId="0" applyNumberFormat="1" applyFont="1" applyBorder="1" applyAlignment="1">
      <alignment horizontal="left"/>
    </xf>
    <xf numFmtId="165" fontId="21" fillId="0" borderId="0" xfId="1" applyNumberFormat="1" applyFont="1" applyBorder="1" applyAlignment="1">
      <alignment horizontal="left"/>
    </xf>
    <xf numFmtId="165" fontId="21" fillId="0" borderId="35" xfId="1" applyNumberFormat="1" applyFont="1" applyBorder="1" applyAlignment="1">
      <alignment horizontal="left"/>
    </xf>
    <xf numFmtId="165" fontId="26" fillId="0" borderId="35" xfId="1" applyNumberFormat="1" applyFont="1" applyFill="1" applyBorder="1"/>
    <xf numFmtId="165" fontId="26" fillId="0" borderId="0" xfId="0" applyNumberFormat="1" applyFont="1"/>
    <xf numFmtId="165" fontId="26" fillId="0" borderId="35" xfId="0" applyNumberFormat="1" applyFont="1" applyBorder="1"/>
    <xf numFmtId="165" fontId="21" fillId="0" borderId="5" xfId="1" applyNumberFormat="1" applyFont="1" applyFill="1" applyBorder="1"/>
    <xf numFmtId="165" fontId="21" fillId="0" borderId="38" xfId="1" applyNumberFormat="1" applyFont="1" applyFill="1" applyBorder="1"/>
    <xf numFmtId="165" fontId="21" fillId="0" borderId="0" xfId="0" applyNumberFormat="1" applyFont="1"/>
    <xf numFmtId="165" fontId="21" fillId="0" borderId="35" xfId="0" applyNumberFormat="1" applyFont="1" applyBorder="1"/>
    <xf numFmtId="165" fontId="21" fillId="0" borderId="13" xfId="1" applyNumberFormat="1" applyFont="1" applyFill="1" applyBorder="1"/>
    <xf numFmtId="165" fontId="21" fillId="0" borderId="37" xfId="1" applyNumberFormat="1" applyFont="1" applyFill="1" applyBorder="1"/>
    <xf numFmtId="165" fontId="26" fillId="0" borderId="13" xfId="0" applyNumberFormat="1" applyFont="1" applyBorder="1"/>
    <xf numFmtId="165" fontId="26" fillId="0" borderId="37" xfId="0" applyNumberFormat="1" applyFont="1" applyBorder="1"/>
    <xf numFmtId="165" fontId="21" fillId="0" borderId="32" xfId="1" applyNumberFormat="1" applyFont="1" applyFill="1" applyBorder="1" applyAlignment="1">
      <alignment horizontal="center"/>
    </xf>
    <xf numFmtId="165" fontId="21" fillId="0" borderId="33" xfId="1" applyNumberFormat="1" applyFont="1" applyFill="1" applyBorder="1" applyAlignment="1">
      <alignment horizontal="center"/>
    </xf>
    <xf numFmtId="165" fontId="21" fillId="0" borderId="13" xfId="1" applyNumberFormat="1" applyFont="1" applyFill="1" applyBorder="1" applyAlignment="1">
      <alignment horizontal="center"/>
    </xf>
    <xf numFmtId="165" fontId="26" fillId="0" borderId="31" xfId="0" applyNumberFormat="1" applyFont="1" applyBorder="1"/>
    <xf numFmtId="165" fontId="26" fillId="0" borderId="32" xfId="1" applyNumberFormat="1" applyFont="1" applyBorder="1"/>
    <xf numFmtId="165" fontId="26" fillId="0" borderId="33" xfId="1" applyNumberFormat="1" applyFont="1" applyFill="1" applyBorder="1"/>
    <xf numFmtId="165" fontId="21" fillId="0" borderId="0" xfId="1" applyNumberFormat="1" applyFont="1" applyBorder="1"/>
    <xf numFmtId="165" fontId="21" fillId="0" borderId="35" xfId="1" applyNumberFormat="1" applyFont="1" applyFill="1" applyBorder="1"/>
    <xf numFmtId="165" fontId="26" fillId="0" borderId="34" xfId="0" applyNumberFormat="1" applyFont="1" applyBorder="1" applyAlignment="1">
      <alignment horizontal="left"/>
    </xf>
    <xf numFmtId="165" fontId="25" fillId="0" borderId="40" xfId="40" applyNumberFormat="1" applyFont="1" applyBorder="1" applyAlignment="1">
      <alignment horizontal="left" vertical="center"/>
    </xf>
    <xf numFmtId="165" fontId="25" fillId="0" borderId="40" xfId="40" applyNumberFormat="1" applyFont="1" applyBorder="1" applyAlignment="1">
      <alignment horizontal="center" vertical="center" wrapText="1"/>
    </xf>
    <xf numFmtId="165" fontId="25" fillId="0" borderId="33" xfId="40" applyNumberFormat="1" applyFont="1" applyBorder="1" applyAlignment="1">
      <alignment horizontal="center" vertical="center" wrapText="1"/>
    </xf>
    <xf numFmtId="165" fontId="1" fillId="0" borderId="41" xfId="40" applyNumberFormat="1" applyFont="1" applyBorder="1" applyAlignment="1">
      <alignment wrapText="1"/>
    </xf>
    <xf numFmtId="165" fontId="1" fillId="0" borderId="41" xfId="40" applyNumberFormat="1" applyFont="1" applyBorder="1"/>
    <xf numFmtId="165" fontId="1" fillId="0" borderId="35" xfId="1" applyNumberFormat="1" applyFont="1" applyBorder="1"/>
    <xf numFmtId="165" fontId="25" fillId="0" borderId="41" xfId="40" applyNumberFormat="1" applyFont="1" applyBorder="1"/>
    <xf numFmtId="165" fontId="25" fillId="0" borderId="42" xfId="1" applyNumberFormat="1" applyFont="1" applyBorder="1"/>
    <xf numFmtId="165" fontId="29" fillId="0" borderId="43" xfId="40" applyNumberFormat="1" applyFont="1" applyBorder="1"/>
    <xf numFmtId="165" fontId="29" fillId="0" borderId="37" xfId="40" applyNumberFormat="1" applyFont="1" applyBorder="1"/>
    <xf numFmtId="165" fontId="26" fillId="0" borderId="0" xfId="8" applyNumberFormat="1" applyFont="1"/>
    <xf numFmtId="165" fontId="21" fillId="0" borderId="34" xfId="8" applyNumberFormat="1" applyFont="1" applyBorder="1"/>
    <xf numFmtId="165" fontId="26" fillId="0" borderId="0" xfId="8" applyNumberFormat="1" applyFont="1" applyAlignment="1">
      <alignment horizontal="center"/>
    </xf>
    <xf numFmtId="165" fontId="26" fillId="0" borderId="35" xfId="8" applyNumberFormat="1" applyFont="1" applyBorder="1"/>
    <xf numFmtId="165" fontId="21" fillId="0" borderId="34" xfId="8" applyNumberFormat="1" applyFont="1" applyBorder="1" applyAlignment="1">
      <alignment vertical="center"/>
    </xf>
    <xf numFmtId="165" fontId="26" fillId="0" borderId="0" xfId="8" applyNumberFormat="1" applyFont="1" applyAlignment="1">
      <alignment horizontal="center" vertical="center"/>
    </xf>
    <xf numFmtId="165" fontId="26" fillId="0" borderId="0" xfId="8" applyNumberFormat="1" applyFont="1" applyAlignment="1">
      <alignment vertical="center"/>
    </xf>
    <xf numFmtId="165" fontId="26" fillId="0" borderId="35" xfId="8" applyNumberFormat="1" applyFont="1" applyBorder="1" applyAlignment="1">
      <alignment vertical="center"/>
    </xf>
    <xf numFmtId="165" fontId="21" fillId="0" borderId="36" xfId="8" applyNumberFormat="1" applyFont="1" applyBorder="1" applyAlignment="1">
      <alignment horizontal="left" vertical="center"/>
    </xf>
    <xf numFmtId="165" fontId="21" fillId="0" borderId="13" xfId="9" applyFont="1" applyFill="1" applyBorder="1" applyAlignment="1">
      <alignment horizontal="center" vertical="center"/>
    </xf>
    <xf numFmtId="165" fontId="21" fillId="0" borderId="0" xfId="9" applyFont="1" applyFill="1" applyBorder="1" applyAlignment="1">
      <alignment horizontal="center" vertical="center"/>
    </xf>
    <xf numFmtId="165" fontId="26" fillId="0" borderId="15" xfId="8" applyNumberFormat="1" applyFont="1" applyBorder="1" applyAlignment="1">
      <alignment vertical="center"/>
    </xf>
    <xf numFmtId="165" fontId="26" fillId="0" borderId="25" xfId="8" applyNumberFormat="1" applyFont="1" applyBorder="1" applyAlignment="1">
      <alignment horizontal="center" vertical="center"/>
    </xf>
    <xf numFmtId="165" fontId="26" fillId="0" borderId="25" xfId="8" applyNumberFormat="1" applyFont="1" applyBorder="1" applyAlignment="1">
      <alignment horizontal="right" vertical="center"/>
    </xf>
    <xf numFmtId="165" fontId="26" fillId="0" borderId="26" xfId="8" applyNumberFormat="1" applyFont="1" applyBorder="1" applyAlignment="1">
      <alignment horizontal="center" vertical="center"/>
    </xf>
    <xf numFmtId="165" fontId="21" fillId="0" borderId="20" xfId="8" applyNumberFormat="1" applyFont="1" applyBorder="1" applyAlignment="1">
      <alignment vertical="center"/>
    </xf>
    <xf numFmtId="165" fontId="26" fillId="0" borderId="4" xfId="1" applyNumberFormat="1" applyFont="1" applyBorder="1" applyAlignment="1">
      <alignment horizontal="center" vertical="center"/>
    </xf>
    <xf numFmtId="165" fontId="26" fillId="0" borderId="4" xfId="1" applyNumberFormat="1" applyFont="1" applyBorder="1" applyAlignment="1">
      <alignment horizontal="right" vertical="center"/>
    </xf>
    <xf numFmtId="165" fontId="26" fillId="0" borderId="27" xfId="1" applyNumberFormat="1" applyFont="1" applyBorder="1" applyAlignment="1">
      <alignment horizontal="center" vertical="center"/>
    </xf>
    <xf numFmtId="165" fontId="26" fillId="0" borderId="3" xfId="1" applyNumberFormat="1" applyFont="1" applyBorder="1" applyAlignment="1">
      <alignment horizontal="center" vertical="center"/>
    </xf>
    <xf numFmtId="165" fontId="21" fillId="0" borderId="48" xfId="8" applyNumberFormat="1" applyFont="1" applyBorder="1" applyAlignment="1">
      <alignment horizontal="left" vertical="center"/>
    </xf>
    <xf numFmtId="165" fontId="21" fillId="0" borderId="10" xfId="9" applyFont="1" applyFill="1" applyBorder="1" applyAlignment="1">
      <alignment horizontal="center" vertical="center"/>
    </xf>
    <xf numFmtId="165" fontId="21" fillId="0" borderId="49" xfId="9" applyFont="1" applyFill="1" applyBorder="1" applyAlignment="1">
      <alignment horizontal="center" vertical="center"/>
    </xf>
    <xf numFmtId="165" fontId="21" fillId="0" borderId="34" xfId="8" applyNumberFormat="1" applyFont="1" applyBorder="1" applyAlignment="1">
      <alignment horizontal="left" vertical="center"/>
    </xf>
    <xf numFmtId="165" fontId="21" fillId="0" borderId="0" xfId="1" applyNumberFormat="1" applyFont="1" applyFill="1" applyBorder="1" applyAlignment="1">
      <alignment horizontal="center" vertical="center"/>
    </xf>
    <xf numFmtId="165" fontId="21" fillId="0" borderId="35" xfId="1" applyNumberFormat="1" applyFont="1" applyFill="1" applyBorder="1" applyAlignment="1">
      <alignment horizontal="center" vertical="center"/>
    </xf>
    <xf numFmtId="165" fontId="26" fillId="0" borderId="36" xfId="4" applyNumberFormat="1" applyFont="1" applyBorder="1"/>
    <xf numFmtId="165" fontId="26" fillId="0" borderId="13" xfId="4" applyNumberFormat="1" applyFont="1" applyBorder="1"/>
    <xf numFmtId="165" fontId="26" fillId="0" borderId="37" xfId="4" applyNumberFormat="1" applyFont="1" applyBorder="1"/>
    <xf numFmtId="165" fontId="21" fillId="0" borderId="0" xfId="4" applyNumberFormat="1" applyFont="1"/>
    <xf numFmtId="165" fontId="25" fillId="0" borderId="20" xfId="40" applyNumberFormat="1" applyFont="1" applyBorder="1" applyAlignment="1">
      <alignment horizontal="left" vertical="center"/>
    </xf>
    <xf numFmtId="165" fontId="25" fillId="0" borderId="2" xfId="40" applyNumberFormat="1" applyFont="1" applyBorder="1" applyAlignment="1">
      <alignment horizontal="center" vertical="center" wrapText="1"/>
    </xf>
    <xf numFmtId="165" fontId="25" fillId="0" borderId="56" xfId="40" applyNumberFormat="1" applyFont="1" applyBorder="1" applyAlignment="1">
      <alignment horizontal="center" vertical="center" wrapText="1"/>
    </xf>
    <xf numFmtId="165" fontId="25" fillId="0" borderId="3" xfId="40" applyNumberFormat="1" applyFont="1" applyBorder="1" applyAlignment="1">
      <alignment horizontal="center" vertical="center" wrapText="1"/>
    </xf>
    <xf numFmtId="165" fontId="25" fillId="0" borderId="27" xfId="40" applyNumberFormat="1" applyFont="1" applyBorder="1" applyAlignment="1">
      <alignment horizontal="center" vertical="center" wrapText="1"/>
    </xf>
    <xf numFmtId="165" fontId="1" fillId="0" borderId="20" xfId="40" applyNumberFormat="1" applyFont="1" applyBorder="1"/>
    <xf numFmtId="165" fontId="1" fillId="0" borderId="3" xfId="1" applyNumberFormat="1" applyFont="1" applyBorder="1"/>
    <xf numFmtId="165" fontId="1" fillId="0" borderId="27" xfId="1" applyNumberFormat="1" applyFont="1" applyBorder="1"/>
    <xf numFmtId="165" fontId="25" fillId="0" borderId="20" xfId="40" applyNumberFormat="1" applyFont="1" applyBorder="1"/>
    <xf numFmtId="165" fontId="25" fillId="0" borderId="10" xfId="1" applyNumberFormat="1" applyFont="1" applyBorder="1"/>
    <xf numFmtId="165" fontId="25" fillId="0" borderId="49" xfId="1" applyNumberFormat="1" applyFont="1" applyBorder="1"/>
    <xf numFmtId="165" fontId="29" fillId="0" borderId="22" xfId="40" applyNumberFormat="1" applyFont="1" applyBorder="1"/>
    <xf numFmtId="165" fontId="29" fillId="0" borderId="23" xfId="40" applyNumberFormat="1" applyFont="1" applyBorder="1"/>
    <xf numFmtId="165" fontId="29" fillId="0" borderId="24" xfId="40" applyNumberFormat="1" applyFont="1" applyBorder="1"/>
    <xf numFmtId="165" fontId="29" fillId="0" borderId="34" xfId="40" applyNumberFormat="1" applyFont="1" applyBorder="1"/>
    <xf numFmtId="165" fontId="29" fillId="0" borderId="0" xfId="40" applyNumberFormat="1" applyFont="1"/>
    <xf numFmtId="165" fontId="29" fillId="0" borderId="35" xfId="40" applyNumberFormat="1" applyFont="1" applyBorder="1"/>
    <xf numFmtId="165" fontId="26" fillId="0" borderId="32" xfId="0" applyNumberFormat="1" applyFont="1" applyBorder="1"/>
    <xf numFmtId="165" fontId="26" fillId="0" borderId="33" xfId="0" applyNumberFormat="1" applyFont="1" applyBorder="1"/>
    <xf numFmtId="165" fontId="26" fillId="0" borderId="35" xfId="2" applyFont="1" applyFill="1" applyBorder="1"/>
    <xf numFmtId="165" fontId="29" fillId="0" borderId="0" xfId="4" applyNumberFormat="1" applyFont="1" applyAlignment="1">
      <alignment vertical="top"/>
    </xf>
    <xf numFmtId="165" fontId="29" fillId="0" borderId="35" xfId="4" applyNumberFormat="1" applyFont="1" applyBorder="1" applyAlignment="1">
      <alignment vertical="top"/>
    </xf>
    <xf numFmtId="165" fontId="26" fillId="0" borderId="36" xfId="0" applyNumberFormat="1" applyFont="1" applyBorder="1" applyAlignment="1">
      <alignment wrapText="1"/>
    </xf>
    <xf numFmtId="165" fontId="26" fillId="0" borderId="13" xfId="0" applyNumberFormat="1" applyFont="1" applyBorder="1" applyAlignment="1">
      <alignment wrapText="1"/>
    </xf>
    <xf numFmtId="165" fontId="26" fillId="0" borderId="37" xfId="0" applyNumberFormat="1" applyFont="1" applyBorder="1" applyAlignment="1">
      <alignment wrapText="1"/>
    </xf>
    <xf numFmtId="165" fontId="26" fillId="0" borderId="32" xfId="2" applyFont="1" applyFill="1" applyBorder="1"/>
    <xf numFmtId="165" fontId="26" fillId="0" borderId="13" xfId="2" applyFont="1" applyFill="1" applyBorder="1"/>
    <xf numFmtId="165" fontId="21" fillId="0" borderId="31" xfId="13" applyNumberFormat="1" applyFont="1" applyBorder="1" applyAlignment="1">
      <alignment horizontal="left"/>
    </xf>
    <xf numFmtId="165" fontId="21" fillId="0" borderId="32" xfId="0" applyNumberFormat="1" applyFont="1" applyBorder="1" applyAlignment="1">
      <alignment horizontal="left"/>
    </xf>
    <xf numFmtId="165" fontId="21" fillId="0" borderId="32" xfId="2" applyFont="1" applyFill="1" applyBorder="1" applyAlignment="1">
      <alignment horizontal="center"/>
    </xf>
    <xf numFmtId="165" fontId="26" fillId="0" borderId="51" xfId="2" applyFont="1" applyFill="1" applyBorder="1"/>
    <xf numFmtId="165" fontId="26" fillId="0" borderId="26" xfId="2" applyFont="1" applyFill="1" applyBorder="1"/>
    <xf numFmtId="165" fontId="26" fillId="0" borderId="3" xfId="2" applyFont="1" applyFill="1" applyBorder="1"/>
    <xf numFmtId="165" fontId="26" fillId="0" borderId="27" xfId="2" applyFont="1" applyFill="1" applyBorder="1"/>
    <xf numFmtId="165" fontId="21" fillId="0" borderId="34" xfId="9" applyFont="1" applyFill="1" applyBorder="1" applyAlignment="1">
      <alignment vertical="center" wrapText="1"/>
    </xf>
    <xf numFmtId="165" fontId="26" fillId="0" borderId="3" xfId="1" applyNumberFormat="1" applyFont="1" applyFill="1" applyBorder="1"/>
    <xf numFmtId="165" fontId="26" fillId="0" borderId="27" xfId="1" applyNumberFormat="1" applyFont="1" applyFill="1" applyBorder="1"/>
    <xf numFmtId="165" fontId="31" fillId="0" borderId="34" xfId="0" applyNumberFormat="1" applyFont="1" applyBorder="1"/>
    <xf numFmtId="165" fontId="21" fillId="0" borderId="10" xfId="1" applyNumberFormat="1" applyFont="1" applyFill="1" applyBorder="1"/>
    <xf numFmtId="165" fontId="21" fillId="0" borderId="49" xfId="1" applyNumberFormat="1" applyFont="1" applyFill="1" applyBorder="1"/>
    <xf numFmtId="165" fontId="21" fillId="0" borderId="10" xfId="2" applyFont="1" applyFill="1" applyBorder="1"/>
    <xf numFmtId="165" fontId="21" fillId="0" borderId="49" xfId="2" applyFont="1" applyFill="1" applyBorder="1"/>
    <xf numFmtId="165" fontId="26" fillId="0" borderId="0" xfId="2" applyFont="1" applyFill="1" applyBorder="1"/>
    <xf numFmtId="165" fontId="21" fillId="0" borderId="34" xfId="0" applyNumberFormat="1" applyFont="1" applyBorder="1" applyAlignment="1">
      <alignment vertical="center"/>
    </xf>
    <xf numFmtId="165" fontId="26" fillId="0" borderId="0" xfId="0" applyNumberFormat="1" applyFont="1" applyAlignment="1">
      <alignment wrapText="1"/>
    </xf>
    <xf numFmtId="165" fontId="26" fillId="0" borderId="35" xfId="0" applyNumberFormat="1" applyFont="1" applyBorder="1" applyAlignment="1">
      <alignment wrapText="1"/>
    </xf>
    <xf numFmtId="165" fontId="21" fillId="0" borderId="2" xfId="13" applyNumberFormat="1" applyFont="1" applyBorder="1" applyAlignment="1">
      <alignment horizontal="center"/>
    </xf>
    <xf numFmtId="165" fontId="21" fillId="0" borderId="2" xfId="1" applyNumberFormat="1" applyFont="1" applyFill="1" applyBorder="1" applyAlignment="1">
      <alignment horizontal="center"/>
    </xf>
    <xf numFmtId="165" fontId="21" fillId="0" borderId="56" xfId="1" applyNumberFormat="1" applyFont="1" applyFill="1" applyBorder="1" applyAlignment="1" applyProtection="1">
      <alignment horizontal="center"/>
    </xf>
    <xf numFmtId="165" fontId="26" fillId="0" borderId="7" xfId="1" applyNumberFormat="1" applyFont="1" applyFill="1" applyBorder="1" applyAlignment="1">
      <alignment horizontal="right"/>
    </xf>
    <xf numFmtId="165" fontId="26" fillId="0" borderId="7" xfId="0" applyNumberFormat="1" applyFont="1" applyBorder="1"/>
    <xf numFmtId="165" fontId="26" fillId="0" borderId="21" xfId="0" applyNumberFormat="1" applyFont="1" applyBorder="1"/>
    <xf numFmtId="165" fontId="26" fillId="0" borderId="3" xfId="1" applyNumberFormat="1" applyFont="1" applyFill="1" applyBorder="1" applyAlignment="1">
      <alignment horizontal="right"/>
    </xf>
    <xf numFmtId="165" fontId="26" fillId="0" borderId="3" xfId="0" applyNumberFormat="1" applyFont="1" applyBorder="1"/>
    <xf numFmtId="165" fontId="26" fillId="0" borderId="27" xfId="0" applyNumberFormat="1" applyFont="1" applyBorder="1"/>
    <xf numFmtId="165" fontId="26" fillId="0" borderId="35" xfId="43" applyNumberFormat="1" applyFont="1" applyFill="1" applyBorder="1" applyAlignment="1" applyProtection="1"/>
    <xf numFmtId="165" fontId="21" fillId="0" borderId="10" xfId="1" applyNumberFormat="1" applyFont="1" applyFill="1" applyBorder="1" applyAlignment="1">
      <alignment horizontal="right"/>
    </xf>
    <xf numFmtId="165" fontId="21" fillId="0" borderId="10" xfId="43" applyNumberFormat="1" applyFont="1" applyFill="1" applyBorder="1" applyAlignment="1">
      <alignment horizontal="right"/>
    </xf>
    <xf numFmtId="165" fontId="21" fillId="0" borderId="38" xfId="43" applyNumberFormat="1" applyFont="1" applyFill="1" applyBorder="1"/>
    <xf numFmtId="165" fontId="21" fillId="0" borderId="55" xfId="0" applyNumberFormat="1" applyFont="1" applyBorder="1"/>
    <xf numFmtId="165" fontId="21" fillId="0" borderId="1" xfId="1" applyNumberFormat="1" applyFont="1" applyFill="1" applyBorder="1" applyAlignment="1">
      <alignment horizontal="right"/>
    </xf>
    <xf numFmtId="165" fontId="21" fillId="0" borderId="1" xfId="43" applyNumberFormat="1" applyFont="1" applyFill="1" applyBorder="1" applyAlignment="1"/>
    <xf numFmtId="165" fontId="26" fillId="0" borderId="1" xfId="1" applyNumberFormat="1" applyFont="1" applyFill="1" applyBorder="1"/>
    <xf numFmtId="165" fontId="26" fillId="0" borderId="39" xfId="1" applyNumberFormat="1" applyFont="1" applyFill="1" applyBorder="1" applyAlignment="1" applyProtection="1"/>
    <xf numFmtId="165" fontId="21" fillId="0" borderId="0" xfId="1" applyNumberFormat="1" applyFont="1" applyFill="1" applyBorder="1" applyAlignment="1">
      <alignment horizontal="right"/>
    </xf>
    <xf numFmtId="165" fontId="21" fillId="0" borderId="35" xfId="1" applyNumberFormat="1" applyFont="1" applyFill="1" applyBorder="1" applyAlignment="1">
      <alignment horizontal="right"/>
    </xf>
    <xf numFmtId="165" fontId="21" fillId="0" borderId="34" xfId="13" applyNumberFormat="1" applyFont="1" applyBorder="1"/>
    <xf numFmtId="165" fontId="26" fillId="0" borderId="0" xfId="13" applyNumberFormat="1" applyFont="1"/>
    <xf numFmtId="165" fontId="26" fillId="0" borderId="35" xfId="13" applyNumberFormat="1" applyFont="1" applyBorder="1"/>
    <xf numFmtId="165" fontId="26" fillId="0" borderId="59" xfId="0" applyNumberFormat="1" applyFont="1" applyBorder="1"/>
    <xf numFmtId="165" fontId="26" fillId="0" borderId="7" xfId="1" applyNumberFormat="1" applyFont="1" applyFill="1" applyBorder="1"/>
    <xf numFmtId="165" fontId="26" fillId="0" borderId="21" xfId="1" applyNumberFormat="1" applyFont="1" applyFill="1" applyBorder="1" applyAlignment="1" applyProtection="1"/>
    <xf numFmtId="165" fontId="26" fillId="0" borderId="20" xfId="0" applyNumberFormat="1" applyFont="1" applyBorder="1"/>
    <xf numFmtId="165" fontId="26" fillId="0" borderId="27" xfId="1" applyNumberFormat="1" applyFont="1" applyFill="1" applyBorder="1" applyAlignment="1" applyProtection="1"/>
    <xf numFmtId="165" fontId="21" fillId="0" borderId="20" xfId="0" applyNumberFormat="1" applyFont="1" applyBorder="1"/>
    <xf numFmtId="165" fontId="21" fillId="0" borderId="49" xfId="1" applyNumberFormat="1" applyFont="1" applyFill="1" applyBorder="1" applyAlignment="1">
      <alignment horizontal="right"/>
    </xf>
    <xf numFmtId="165" fontId="21" fillId="0" borderId="28" xfId="0" applyNumberFormat="1" applyFont="1" applyBorder="1"/>
    <xf numFmtId="165" fontId="26" fillId="0" borderId="50" xfId="1" applyNumberFormat="1" applyFont="1" applyFill="1" applyBorder="1" applyAlignment="1" applyProtection="1"/>
    <xf numFmtId="165" fontId="21" fillId="0" borderId="0" xfId="43" applyNumberFormat="1" applyFont="1" applyFill="1" applyBorder="1" applyAlignment="1"/>
    <xf numFmtId="165" fontId="26" fillId="0" borderId="35" xfId="1" applyNumberFormat="1" applyFont="1" applyFill="1" applyBorder="1" applyAlignment="1" applyProtection="1"/>
    <xf numFmtId="165" fontId="21" fillId="0" borderId="29" xfId="13" applyNumberFormat="1" applyFont="1" applyBorder="1" applyAlignment="1">
      <alignment horizontal="center" vertical="center" wrapText="1"/>
    </xf>
    <xf numFmtId="165" fontId="21" fillId="0" borderId="2" xfId="13" applyNumberFormat="1" applyFont="1" applyBorder="1" applyAlignment="1">
      <alignment horizontal="center" vertical="center" wrapText="1"/>
    </xf>
    <xf numFmtId="165" fontId="21" fillId="0" borderId="2" xfId="1" applyNumberFormat="1" applyFont="1" applyFill="1" applyBorder="1" applyAlignment="1">
      <alignment horizontal="center" vertical="center" wrapText="1"/>
    </xf>
    <xf numFmtId="165" fontId="21" fillId="0" borderId="56" xfId="1" applyNumberFormat="1" applyFont="1" applyFill="1" applyBorder="1" applyAlignment="1" applyProtection="1">
      <alignment horizontal="center" vertical="center" wrapText="1"/>
    </xf>
    <xf numFmtId="165" fontId="26" fillId="0" borderId="21" xfId="0" applyNumberFormat="1" applyFont="1" applyBorder="1" applyAlignment="1">
      <alignment horizontal="center"/>
    </xf>
    <xf numFmtId="165" fontId="26" fillId="0" borderId="27" xfId="0" applyNumberFormat="1" applyFont="1" applyBorder="1" applyAlignment="1">
      <alignment horizontal="center"/>
    </xf>
    <xf numFmtId="165" fontId="26" fillId="0" borderId="35" xfId="0" applyNumberFormat="1" applyFont="1" applyBorder="1" applyAlignment="1">
      <alignment horizontal="center"/>
    </xf>
    <xf numFmtId="165" fontId="21" fillId="0" borderId="38" xfId="1" applyNumberFormat="1" applyFont="1" applyFill="1" applyBorder="1" applyAlignment="1">
      <alignment horizontal="right"/>
    </xf>
    <xf numFmtId="165" fontId="26" fillId="0" borderId="0" xfId="2" applyFont="1" applyFill="1"/>
    <xf numFmtId="165" fontId="26" fillId="0" borderId="41" xfId="0" applyNumberFormat="1" applyFont="1" applyBorder="1" applyAlignment="1">
      <alignment wrapText="1"/>
    </xf>
    <xf numFmtId="165" fontId="21" fillId="0" borderId="41" xfId="0" applyNumberFormat="1" applyFont="1" applyBorder="1" applyAlignment="1">
      <alignment wrapText="1"/>
    </xf>
    <xf numFmtId="0" fontId="26" fillId="0" borderId="41" xfId="0" applyFont="1" applyBorder="1" applyAlignment="1">
      <alignment wrapText="1"/>
    </xf>
    <xf numFmtId="165" fontId="26" fillId="0" borderId="43" xfId="0" applyNumberFormat="1" applyFont="1" applyBorder="1" applyAlignment="1">
      <alignment wrapText="1"/>
    </xf>
    <xf numFmtId="165" fontId="21" fillId="0" borderId="32" xfId="0" applyNumberFormat="1" applyFont="1" applyBorder="1" applyAlignment="1">
      <alignment horizontal="left" vertical="center"/>
    </xf>
    <xf numFmtId="165" fontId="21" fillId="0" borderId="32" xfId="0" applyNumberFormat="1" applyFont="1" applyBorder="1" applyAlignment="1">
      <alignment horizontal="right" vertical="center"/>
    </xf>
    <xf numFmtId="165" fontId="21" fillId="0" borderId="33" xfId="0" applyNumberFormat="1" applyFont="1" applyBorder="1" applyAlignment="1">
      <alignment horizontal="right" vertical="center"/>
    </xf>
    <xf numFmtId="165" fontId="21" fillId="0" borderId="13" xfId="0" applyNumberFormat="1" applyFont="1" applyBorder="1" applyAlignment="1">
      <alignment horizontal="left" vertical="center"/>
    </xf>
    <xf numFmtId="171" fontId="21" fillId="0" borderId="13" xfId="0" applyNumberFormat="1" applyFont="1" applyBorder="1" applyAlignment="1">
      <alignment horizontal="right" vertical="center"/>
    </xf>
    <xf numFmtId="165" fontId="26" fillId="0" borderId="33" xfId="1" applyNumberFormat="1" applyFont="1" applyFill="1" applyBorder="1" applyAlignment="1"/>
    <xf numFmtId="165" fontId="26" fillId="0" borderId="35" xfId="1" applyNumberFormat="1" applyFont="1" applyFill="1" applyBorder="1" applyAlignment="1"/>
    <xf numFmtId="165" fontId="21" fillId="0" borderId="0" xfId="1" applyNumberFormat="1" applyFont="1" applyFill="1" applyBorder="1" applyAlignment="1"/>
    <xf numFmtId="165" fontId="21" fillId="0" borderId="35" xfId="1" applyNumberFormat="1" applyFont="1" applyFill="1" applyBorder="1" applyAlignment="1"/>
    <xf numFmtId="165" fontId="32" fillId="0" borderId="34" xfId="0" applyNumberFormat="1" applyFont="1" applyBorder="1"/>
    <xf numFmtId="165" fontId="32" fillId="0" borderId="0" xfId="0" applyNumberFormat="1" applyFont="1"/>
    <xf numFmtId="165" fontId="26" fillId="0" borderId="0" xfId="1" applyNumberFormat="1" applyFont="1" applyFill="1" applyBorder="1" applyAlignment="1"/>
    <xf numFmtId="165" fontId="26" fillId="0" borderId="34" xfId="0" applyNumberFormat="1" applyFont="1" applyBorder="1" applyAlignment="1">
      <alignment horizontal="left" indent="1"/>
    </xf>
    <xf numFmtId="165" fontId="26" fillId="0" borderId="0" xfId="0" applyNumberFormat="1" applyFont="1" applyAlignment="1">
      <alignment horizontal="left"/>
    </xf>
    <xf numFmtId="165" fontId="26" fillId="0" borderId="0" xfId="1" applyNumberFormat="1" applyFont="1" applyFill="1" applyBorder="1" applyAlignment="1" applyProtection="1"/>
    <xf numFmtId="165" fontId="26" fillId="0" borderId="35" xfId="3" applyFont="1" applyFill="1" applyBorder="1"/>
    <xf numFmtId="165" fontId="26" fillId="0" borderId="0" xfId="0" applyNumberFormat="1" applyFont="1" applyAlignment="1">
      <alignment horizontal="center"/>
    </xf>
    <xf numFmtId="165" fontId="26" fillId="0" borderId="34" xfId="1" applyNumberFormat="1" applyFont="1" applyFill="1" applyBorder="1" applyAlignment="1"/>
    <xf numFmtId="165" fontId="21" fillId="0" borderId="34" xfId="1" applyNumberFormat="1" applyFont="1" applyFill="1" applyBorder="1" applyAlignment="1"/>
    <xf numFmtId="165" fontId="26" fillId="0" borderId="34" xfId="1" applyNumberFormat="1" applyFont="1" applyFill="1" applyBorder="1"/>
    <xf numFmtId="165" fontId="21" fillId="0" borderId="34" xfId="1" applyNumberFormat="1" applyFont="1" applyFill="1" applyBorder="1" applyAlignment="1">
      <alignment horizontal="left"/>
    </xf>
    <xf numFmtId="165" fontId="26" fillId="0" borderId="13" xfId="0" applyNumberFormat="1" applyFont="1" applyBorder="1" applyAlignment="1">
      <alignment horizontal="center"/>
    </xf>
    <xf numFmtId="165" fontId="26" fillId="0" borderId="37" xfId="1" applyNumberFormat="1" applyFont="1" applyFill="1" applyBorder="1"/>
    <xf numFmtId="173" fontId="21" fillId="0" borderId="32" xfId="1" applyNumberFormat="1" applyFont="1" applyFill="1" applyBorder="1" applyAlignment="1">
      <alignment horizontal="right"/>
    </xf>
    <xf numFmtId="173" fontId="21" fillId="0" borderId="33" xfId="1" applyNumberFormat="1" applyFont="1" applyFill="1" applyBorder="1" applyAlignment="1">
      <alignment horizontal="right"/>
    </xf>
    <xf numFmtId="165" fontId="21" fillId="0" borderId="31" xfId="0" applyNumberFormat="1" applyFont="1" applyBorder="1" applyAlignment="1">
      <alignment horizontal="center"/>
    </xf>
    <xf numFmtId="165" fontId="21" fillId="0" borderId="32" xfId="0" applyNumberFormat="1" applyFont="1" applyBorder="1" applyAlignment="1">
      <alignment horizontal="center"/>
    </xf>
    <xf numFmtId="173" fontId="21" fillId="0" borderId="32" xfId="0" applyNumberFormat="1" applyFont="1" applyBorder="1" applyAlignment="1">
      <alignment horizontal="center"/>
    </xf>
    <xf numFmtId="173" fontId="21" fillId="0" borderId="33" xfId="0" applyNumberFormat="1" applyFont="1" applyBorder="1" applyAlignment="1">
      <alignment horizontal="center"/>
    </xf>
    <xf numFmtId="166" fontId="26" fillId="0" borderId="0" xfId="0" applyNumberFormat="1" applyFont="1" applyAlignment="1">
      <alignment horizontal="center"/>
    </xf>
    <xf numFmtId="173" fontId="26" fillId="0" borderId="0" xfId="1" applyNumberFormat="1" applyFont="1" applyFill="1" applyBorder="1" applyAlignment="1">
      <alignment horizontal="left"/>
    </xf>
    <xf numFmtId="173" fontId="26" fillId="0" borderId="35" xfId="1" applyNumberFormat="1" applyFont="1" applyFill="1" applyBorder="1" applyAlignment="1">
      <alignment horizontal="left"/>
    </xf>
    <xf numFmtId="173" fontId="26" fillId="0" borderId="0" xfId="1" applyNumberFormat="1" applyFont="1" applyFill="1" applyBorder="1"/>
    <xf numFmtId="173" fontId="26" fillId="0" borderId="35" xfId="1" applyNumberFormat="1" applyFont="1" applyFill="1" applyBorder="1"/>
    <xf numFmtId="173" fontId="26" fillId="0" borderId="0" xfId="0" applyNumberFormat="1" applyFont="1" applyAlignment="1">
      <alignment horizontal="center"/>
    </xf>
    <xf numFmtId="173" fontId="26" fillId="0" borderId="35" xfId="0" applyNumberFormat="1" applyFont="1" applyBorder="1" applyAlignment="1">
      <alignment horizontal="center"/>
    </xf>
    <xf numFmtId="165" fontId="21" fillId="0" borderId="0" xfId="0" applyNumberFormat="1" applyFont="1" applyAlignment="1">
      <alignment horizontal="left"/>
    </xf>
    <xf numFmtId="173" fontId="21" fillId="0" borderId="5" xfId="1" applyNumberFormat="1" applyFont="1" applyFill="1" applyBorder="1"/>
    <xf numFmtId="173" fontId="21" fillId="0" borderId="38" xfId="1" applyNumberFormat="1" applyFont="1" applyFill="1" applyBorder="1"/>
    <xf numFmtId="173" fontId="26" fillId="0" borderId="35" xfId="3" applyNumberFormat="1" applyFont="1" applyFill="1" applyBorder="1"/>
    <xf numFmtId="173" fontId="26" fillId="0" borderId="0" xfId="3" applyNumberFormat="1" applyFont="1" applyFill="1" applyBorder="1"/>
    <xf numFmtId="173" fontId="21" fillId="0" borderId="0" xfId="1" applyNumberFormat="1" applyFont="1" applyFill="1" applyBorder="1"/>
    <xf numFmtId="173" fontId="21" fillId="0" borderId="35" xfId="3" applyNumberFormat="1" applyFont="1" applyFill="1" applyBorder="1"/>
    <xf numFmtId="173" fontId="26" fillId="0" borderId="0" xfId="1" applyNumberFormat="1" applyFont="1" applyBorder="1" applyAlignment="1">
      <alignment horizontal="center"/>
    </xf>
    <xf numFmtId="173" fontId="26" fillId="0" borderId="35" xfId="1" applyNumberFormat="1" applyFont="1" applyBorder="1" applyAlignment="1">
      <alignment horizontal="center"/>
    </xf>
    <xf numFmtId="173" fontId="21" fillId="0" borderId="38" xfId="3" applyNumberFormat="1" applyFont="1" applyFill="1" applyBorder="1"/>
    <xf numFmtId="165" fontId="26" fillId="0" borderId="0" xfId="0" applyNumberFormat="1" applyFont="1" applyAlignment="1">
      <alignment horizontal="left" vertical="top" indent="1"/>
    </xf>
    <xf numFmtId="173" fontId="26" fillId="0" borderId="13" xfId="0" applyNumberFormat="1" applyFont="1" applyBorder="1" applyAlignment="1">
      <alignment horizontal="center"/>
    </xf>
    <xf numFmtId="173" fontId="26" fillId="0" borderId="37" xfId="0" applyNumberFormat="1" applyFont="1" applyBorder="1" applyAlignment="1">
      <alignment horizontal="center"/>
    </xf>
    <xf numFmtId="173" fontId="26" fillId="0" borderId="0" xfId="0" applyNumberFormat="1" applyFont="1"/>
    <xf numFmtId="173" fontId="26" fillId="0" borderId="35" xfId="0" applyNumberFormat="1" applyFont="1" applyBorder="1"/>
    <xf numFmtId="165" fontId="26" fillId="0" borderId="0" xfId="1" applyNumberFormat="1" applyFont="1" applyFill="1" applyBorder="1" applyAlignment="1">
      <alignment horizontal="center"/>
    </xf>
    <xf numFmtId="173" fontId="21" fillId="0" borderId="0" xfId="0" applyNumberFormat="1" applyFont="1"/>
    <xf numFmtId="173" fontId="21" fillId="0" borderId="35" xfId="1" applyNumberFormat="1" applyFont="1" applyFill="1" applyBorder="1"/>
    <xf numFmtId="165" fontId="21" fillId="0" borderId="32" xfId="3" applyFont="1" applyFill="1" applyBorder="1" applyAlignment="1">
      <alignment horizontal="center"/>
    </xf>
    <xf numFmtId="165" fontId="21" fillId="0" borderId="33" xfId="3" applyFont="1" applyFill="1" applyBorder="1" applyAlignment="1">
      <alignment horizontal="center"/>
    </xf>
    <xf numFmtId="165" fontId="21" fillId="0" borderId="0" xfId="3" applyFont="1" applyFill="1" applyBorder="1" applyAlignment="1">
      <alignment horizontal="center"/>
    </xf>
    <xf numFmtId="165" fontId="21" fillId="0" borderId="13" xfId="3" applyFont="1" applyFill="1" applyBorder="1" applyAlignment="1">
      <alignment horizontal="center"/>
    </xf>
    <xf numFmtId="165" fontId="21" fillId="0" borderId="37" xfId="3" applyFont="1" applyFill="1" applyBorder="1" applyAlignment="1">
      <alignment horizontal="center"/>
    </xf>
    <xf numFmtId="165" fontId="26" fillId="0" borderId="32" xfId="0" applyNumberFormat="1" applyFont="1" applyBorder="1" applyAlignment="1">
      <alignment horizontal="center"/>
    </xf>
    <xf numFmtId="165" fontId="26" fillId="0" borderId="33" xfId="0" applyNumberFormat="1" applyFont="1" applyBorder="1" applyAlignment="1">
      <alignment horizontal="center"/>
    </xf>
    <xf numFmtId="165" fontId="33" fillId="0" borderId="0" xfId="0" applyNumberFormat="1" applyFont="1" applyAlignment="1">
      <alignment horizontal="center"/>
    </xf>
    <xf numFmtId="165" fontId="33" fillId="0" borderId="35" xfId="0" applyNumberFormat="1" applyFont="1" applyBorder="1" applyAlignment="1">
      <alignment horizontal="center"/>
    </xf>
    <xf numFmtId="165" fontId="26" fillId="0" borderId="34" xfId="0" applyNumberFormat="1" applyFont="1" applyBorder="1" applyAlignment="1">
      <alignment horizontal="left" vertical="center"/>
    </xf>
    <xf numFmtId="166" fontId="26" fillId="0" borderId="0" xfId="0" applyNumberFormat="1" applyFont="1" applyAlignment="1">
      <alignment horizontal="center" vertical="center"/>
    </xf>
    <xf numFmtId="165" fontId="26" fillId="0" borderId="0" xfId="3" applyFont="1" applyFill="1" applyBorder="1"/>
    <xf numFmtId="165" fontId="21" fillId="0" borderId="9" xfId="1" applyNumberFormat="1" applyFont="1" applyFill="1" applyBorder="1"/>
    <xf numFmtId="165" fontId="21" fillId="0" borderId="66" xfId="1" applyNumberFormat="1" applyFont="1" applyFill="1" applyBorder="1"/>
    <xf numFmtId="165" fontId="21" fillId="0" borderId="0" xfId="3" applyFont="1" applyFill="1" applyBorder="1"/>
    <xf numFmtId="165" fontId="21" fillId="0" borderId="0" xfId="1" applyNumberFormat="1" applyFont="1" applyFill="1" applyBorder="1"/>
    <xf numFmtId="166" fontId="33" fillId="0" borderId="0" xfId="0" applyNumberFormat="1" applyFont="1" applyAlignment="1">
      <alignment horizontal="center" vertical="center"/>
    </xf>
    <xf numFmtId="165" fontId="33" fillId="0" borderId="0" xfId="1" applyNumberFormat="1" applyFont="1" applyBorder="1" applyAlignment="1">
      <alignment horizontal="center"/>
    </xf>
    <xf numFmtId="165" fontId="33" fillId="0" borderId="35" xfId="1" applyNumberFormat="1" applyFont="1" applyBorder="1" applyAlignment="1">
      <alignment horizontal="center"/>
    </xf>
    <xf numFmtId="165" fontId="26" fillId="0" borderId="0" xfId="1" applyNumberFormat="1" applyFont="1" applyBorder="1" applyAlignment="1">
      <alignment horizontal="center"/>
    </xf>
    <xf numFmtId="165" fontId="26" fillId="0" borderId="35" xfId="1" applyNumberFormat="1" applyFont="1" applyBorder="1" applyAlignment="1">
      <alignment horizontal="center"/>
    </xf>
    <xf numFmtId="165" fontId="21" fillId="0" borderId="34" xfId="0" applyNumberFormat="1" applyFont="1" applyBorder="1" applyAlignment="1">
      <alignment horizontal="center"/>
    </xf>
    <xf numFmtId="166" fontId="21" fillId="0" borderId="0" xfId="0" applyNumberFormat="1" applyFont="1" applyAlignment="1">
      <alignment horizontal="center" vertical="center"/>
    </xf>
    <xf numFmtId="166" fontId="26" fillId="0" borderId="0" xfId="2" applyNumberFormat="1" applyFont="1" applyFill="1" applyBorder="1" applyAlignment="1">
      <alignment horizontal="center" vertical="center"/>
    </xf>
    <xf numFmtId="165" fontId="26" fillId="0" borderId="35" xfId="1" applyNumberFormat="1" applyFont="1" applyFill="1" applyBorder="1" applyAlignment="1">
      <alignment horizontal="center"/>
    </xf>
    <xf numFmtId="165" fontId="21" fillId="0" borderId="0" xfId="0" applyNumberFormat="1" applyFont="1" applyAlignment="1">
      <alignment horizontal="center"/>
    </xf>
    <xf numFmtId="165" fontId="26" fillId="0" borderId="37" xfId="0" applyNumberFormat="1" applyFont="1" applyBorder="1" applyAlignment="1">
      <alignment horizontal="center"/>
    </xf>
    <xf numFmtId="165" fontId="21" fillId="0" borderId="35" xfId="0" applyNumberFormat="1" applyFont="1" applyBorder="1" applyAlignment="1">
      <alignment horizontal="left"/>
    </xf>
    <xf numFmtId="165" fontId="26" fillId="0" borderId="35" xfId="0" applyNumberFormat="1" applyFont="1" applyBorder="1" applyAlignment="1">
      <alignment horizontal="left"/>
    </xf>
    <xf numFmtId="165" fontId="26" fillId="0" borderId="0" xfId="21" applyNumberFormat="1" applyFont="1" applyFill="1"/>
    <xf numFmtId="166" fontId="26" fillId="0" borderId="0" xfId="0" applyNumberFormat="1" applyFont="1"/>
    <xf numFmtId="166" fontId="26" fillId="0" borderId="0" xfId="1" applyNumberFormat="1" applyFont="1"/>
    <xf numFmtId="0" fontId="26" fillId="0" borderId="0" xfId="0" applyFont="1"/>
    <xf numFmtId="4" fontId="26" fillId="0" borderId="0" xfId="0" applyNumberFormat="1" applyFont="1"/>
    <xf numFmtId="167" fontId="26" fillId="0" borderId="0" xfId="0" applyNumberFormat="1" applyFont="1"/>
    <xf numFmtId="43" fontId="26" fillId="0" borderId="0" xfId="0" applyNumberFormat="1" applyFont="1"/>
    <xf numFmtId="165" fontId="26" fillId="0" borderId="0" xfId="1" applyNumberFormat="1" applyFont="1"/>
    <xf numFmtId="0" fontId="21" fillId="0" borderId="0" xfId="0" applyFont="1" applyAlignment="1">
      <alignment vertical="center"/>
    </xf>
    <xf numFmtId="165" fontId="21" fillId="3" borderId="0" xfId="0" applyNumberFormat="1" applyFont="1" applyFill="1"/>
    <xf numFmtId="165" fontId="21" fillId="7" borderId="0" xfId="0" applyNumberFormat="1" applyFont="1" applyFill="1"/>
    <xf numFmtId="166" fontId="21" fillId="7" borderId="0" xfId="1" applyNumberFormat="1" applyFont="1" applyFill="1"/>
    <xf numFmtId="0" fontId="21" fillId="0" borderId="0" xfId="0" applyFont="1"/>
    <xf numFmtId="0" fontId="28" fillId="0" borderId="0" xfId="0" applyFont="1" applyAlignment="1">
      <alignment vertical="top"/>
    </xf>
    <xf numFmtId="0" fontId="29" fillId="0" borderId="0" xfId="0" applyFont="1" applyAlignment="1">
      <alignment horizontal="left" vertical="top"/>
    </xf>
    <xf numFmtId="165" fontId="26" fillId="8" borderId="0" xfId="21" applyNumberFormat="1" applyFont="1" applyFill="1"/>
    <xf numFmtId="167" fontId="26" fillId="0" borderId="0" xfId="1" applyNumberFormat="1" applyFont="1"/>
    <xf numFmtId="0" fontId="25" fillId="0" borderId="0" xfId="0" applyFont="1"/>
    <xf numFmtId="0" fontId="24" fillId="0" borderId="0" xfId="0" applyFont="1"/>
    <xf numFmtId="4" fontId="24" fillId="0" borderId="0" xfId="0" applyNumberFormat="1" applyFont="1"/>
    <xf numFmtId="15" fontId="26" fillId="0" borderId="0" xfId="21" applyNumberFormat="1" applyFont="1" applyBorder="1"/>
    <xf numFmtId="165" fontId="21" fillId="0" borderId="31" xfId="11" applyNumberFormat="1" applyFont="1" applyBorder="1"/>
    <xf numFmtId="165" fontId="26" fillId="0" borderId="39" xfId="11" applyNumberFormat="1" applyFont="1" applyBorder="1"/>
    <xf numFmtId="171" fontId="31" fillId="0" borderId="0" xfId="11" applyNumberFormat="1" applyFont="1"/>
    <xf numFmtId="165" fontId="21" fillId="0" borderId="37" xfId="11" applyNumberFormat="1" applyFont="1" applyBorder="1"/>
    <xf numFmtId="165" fontId="26" fillId="0" borderId="32" xfId="21" applyNumberFormat="1" applyFont="1" applyBorder="1"/>
    <xf numFmtId="165" fontId="26" fillId="0" borderId="13" xfId="21" applyNumberFormat="1" applyFont="1" applyBorder="1"/>
    <xf numFmtId="165" fontId="21" fillId="0" borderId="53" xfId="11" applyNumberFormat="1" applyFont="1" applyBorder="1"/>
    <xf numFmtId="165" fontId="21" fillId="0" borderId="54" xfId="11" applyNumberFormat="1" applyFont="1" applyBorder="1"/>
    <xf numFmtId="165" fontId="21" fillId="0" borderId="52" xfId="11" applyNumberFormat="1" applyFont="1" applyBorder="1"/>
    <xf numFmtId="165" fontId="26" fillId="0" borderId="2" xfId="0" applyNumberFormat="1" applyFont="1" applyBorder="1"/>
    <xf numFmtId="165" fontId="26" fillId="0" borderId="12" xfId="1" applyNumberFormat="1" applyFont="1" applyFill="1" applyBorder="1"/>
    <xf numFmtId="165" fontId="26" fillId="0" borderId="12" xfId="0" applyNumberFormat="1" applyFont="1" applyBorder="1"/>
    <xf numFmtId="165" fontId="26" fillId="0" borderId="8" xfId="1" applyNumberFormat="1" applyFont="1" applyFill="1" applyBorder="1"/>
    <xf numFmtId="165" fontId="26" fillId="0" borderId="29" xfId="11" applyNumberFormat="1" applyFont="1" applyBorder="1"/>
    <xf numFmtId="165" fontId="26" fillId="0" borderId="8" xfId="11" applyNumberFormat="1" applyFont="1" applyBorder="1"/>
    <xf numFmtId="165" fontId="21" fillId="0" borderId="59" xfId="11" applyNumberFormat="1" applyFont="1" applyBorder="1"/>
    <xf numFmtId="165" fontId="21" fillId="0" borderId="7" xfId="11" applyNumberFormat="1" applyFont="1" applyBorder="1"/>
    <xf numFmtId="165" fontId="26" fillId="0" borderId="68" xfId="11" applyNumberFormat="1" applyFont="1" applyBorder="1"/>
    <xf numFmtId="165" fontId="26" fillId="0" borderId="69" xfId="11" applyNumberFormat="1" applyFont="1" applyBorder="1"/>
    <xf numFmtId="165" fontId="21" fillId="0" borderId="69" xfId="11" applyNumberFormat="1" applyFont="1" applyBorder="1"/>
    <xf numFmtId="165" fontId="21" fillId="0" borderId="0" xfId="0" applyNumberFormat="1" applyFont="1" applyAlignment="1">
      <alignment vertical="center"/>
    </xf>
    <xf numFmtId="165" fontId="28" fillId="0" borderId="0" xfId="4" applyNumberFormat="1" applyFont="1" applyAlignment="1">
      <alignment horizontal="left" vertical="top"/>
    </xf>
    <xf numFmtId="165" fontId="21" fillId="0" borderId="0" xfId="4" applyNumberFormat="1" applyFont="1" applyAlignment="1">
      <alignment vertical="top"/>
    </xf>
    <xf numFmtId="165" fontId="33" fillId="0" borderId="0" xfId="0" applyNumberFormat="1" applyFont="1"/>
    <xf numFmtId="165" fontId="26" fillId="0" borderId="34" xfId="0" applyNumberFormat="1" applyFont="1" applyBorder="1" applyAlignment="1">
      <alignment horizontal="left" wrapText="1"/>
    </xf>
    <xf numFmtId="165" fontId="26" fillId="0" borderId="0" xfId="21" applyNumberFormat="1" applyFont="1"/>
    <xf numFmtId="165" fontId="26" fillId="0" borderId="2" xfId="11" applyNumberFormat="1" applyFont="1" applyBorder="1"/>
    <xf numFmtId="165" fontId="21" fillId="0" borderId="2" xfId="11" applyNumberFormat="1" applyFont="1" applyBorder="1"/>
    <xf numFmtId="165" fontId="26" fillId="0" borderId="2" xfId="21" applyNumberFormat="1" applyFont="1" applyBorder="1"/>
    <xf numFmtId="165" fontId="21" fillId="0" borderId="2" xfId="21" applyNumberFormat="1" applyFont="1" applyBorder="1"/>
    <xf numFmtId="165" fontId="26" fillId="0" borderId="56" xfId="0" applyNumberFormat="1" applyFont="1" applyBorder="1" applyAlignment="1">
      <alignment wrapText="1"/>
    </xf>
    <xf numFmtId="165" fontId="21" fillId="0" borderId="2" xfId="44" applyNumberFormat="1" applyFont="1" applyBorder="1"/>
    <xf numFmtId="165" fontId="26" fillId="0" borderId="2" xfId="44" applyNumberFormat="1" applyFont="1" applyBorder="1"/>
    <xf numFmtId="165" fontId="1" fillId="0" borderId="34" xfId="11" applyNumberFormat="1" applyFont="1" applyBorder="1"/>
    <xf numFmtId="165" fontId="26" fillId="0" borderId="34" xfId="45" applyNumberFormat="1" applyFont="1" applyBorder="1"/>
    <xf numFmtId="165" fontId="26" fillId="0" borderId="37" xfId="11" applyNumberFormat="1" applyFont="1" applyBorder="1"/>
    <xf numFmtId="165" fontId="31" fillId="0" borderId="0" xfId="27" applyNumberFormat="1" applyFont="1" applyAlignment="1">
      <alignment horizontal="right"/>
    </xf>
    <xf numFmtId="165" fontId="24" fillId="0" borderId="37" xfId="0" applyNumberFormat="1" applyFont="1" applyBorder="1" applyAlignment="1">
      <alignment horizontal="right"/>
    </xf>
    <xf numFmtId="165" fontId="21" fillId="0" borderId="36" xfId="0" applyNumberFormat="1" applyFont="1" applyBorder="1" applyAlignment="1">
      <alignment horizontal="left"/>
    </xf>
    <xf numFmtId="165" fontId="21" fillId="0" borderId="13" xfId="0" applyNumberFormat="1" applyFont="1" applyBorder="1" applyAlignment="1">
      <alignment horizontal="left"/>
    </xf>
    <xf numFmtId="165" fontId="21" fillId="0" borderId="36" xfId="0" applyNumberFormat="1" applyFont="1" applyBorder="1" applyAlignment="1">
      <alignment vertical="center"/>
    </xf>
    <xf numFmtId="165" fontId="21" fillId="0" borderId="13" xfId="0" applyNumberFormat="1" applyFont="1" applyBorder="1" applyAlignment="1">
      <alignment vertical="center"/>
    </xf>
    <xf numFmtId="165" fontId="21" fillId="0" borderId="37" xfId="0" applyNumberFormat="1" applyFont="1" applyBorder="1" applyAlignment="1">
      <alignment vertical="center"/>
    </xf>
    <xf numFmtId="165" fontId="26" fillId="0" borderId="41" xfId="1" applyNumberFormat="1" applyFont="1" applyBorder="1"/>
    <xf numFmtId="165" fontId="26" fillId="0" borderId="20" xfId="8" applyNumberFormat="1" applyFont="1" applyBorder="1" applyAlignment="1">
      <alignment vertical="center"/>
    </xf>
    <xf numFmtId="165" fontId="26" fillId="0" borderId="4" xfId="9" applyFont="1" applyFill="1" applyBorder="1" applyAlignment="1">
      <alignment vertical="center"/>
    </xf>
    <xf numFmtId="165" fontId="26" fillId="0" borderId="35" xfId="9" applyFont="1" applyFill="1" applyBorder="1" applyAlignment="1">
      <alignment vertical="center"/>
    </xf>
    <xf numFmtId="165" fontId="26" fillId="0" borderId="20" xfId="8" applyNumberFormat="1" applyFont="1" applyBorder="1" applyAlignment="1">
      <alignment vertical="center" wrapText="1"/>
    </xf>
    <xf numFmtId="165" fontId="26" fillId="0" borderId="3" xfId="9" applyFont="1" applyFill="1" applyBorder="1" applyAlignment="1">
      <alignment vertical="center"/>
    </xf>
    <xf numFmtId="165" fontId="26" fillId="0" borderId="4" xfId="9" applyFont="1" applyBorder="1" applyAlignment="1">
      <alignment vertical="center"/>
    </xf>
    <xf numFmtId="165" fontId="26" fillId="0" borderId="35" xfId="10" applyFont="1" applyFill="1" applyBorder="1" applyAlignment="1">
      <alignment vertical="center"/>
    </xf>
    <xf numFmtId="165" fontId="21" fillId="0" borderId="36" xfId="0" applyNumberFormat="1" applyFont="1" applyBorder="1" applyAlignment="1">
      <alignment horizontal="center"/>
    </xf>
    <xf numFmtId="165" fontId="21" fillId="0" borderId="13" xfId="0" applyNumberFormat="1" applyFont="1" applyBorder="1" applyAlignment="1">
      <alignment horizontal="center"/>
    </xf>
    <xf numFmtId="172" fontId="26" fillId="0" borderId="0" xfId="0" applyNumberFormat="1" applyFont="1"/>
    <xf numFmtId="165" fontId="21" fillId="0" borderId="41" xfId="0" applyNumberFormat="1" applyFont="1" applyBorder="1" applyAlignment="1">
      <alignment horizontal="center" vertical="center"/>
    </xf>
    <xf numFmtId="165" fontId="21" fillId="0" borderId="43" xfId="0" applyNumberFormat="1" applyFont="1" applyBorder="1" applyAlignment="1">
      <alignment horizontal="center" vertical="center"/>
    </xf>
    <xf numFmtId="165" fontId="31" fillId="0" borderId="0" xfId="0" applyNumberFormat="1" applyFont="1" applyAlignment="1">
      <alignment horizontal="right"/>
    </xf>
    <xf numFmtId="165" fontId="26" fillId="0" borderId="0" xfId="1" applyNumberFormat="1" applyFont="1" applyFill="1"/>
    <xf numFmtId="3" fontId="26" fillId="0" borderId="0" xfId="0" applyNumberFormat="1" applyFont="1"/>
    <xf numFmtId="4" fontId="31" fillId="0" borderId="0" xfId="0" applyNumberFormat="1" applyFont="1"/>
    <xf numFmtId="0" fontId="26" fillId="0" borderId="0" xfId="0" applyFont="1" applyAlignment="1">
      <alignment vertical="top"/>
    </xf>
    <xf numFmtId="0" fontId="21" fillId="0" borderId="0" xfId="0" applyFont="1" applyAlignment="1">
      <alignment vertical="top"/>
    </xf>
    <xf numFmtId="0" fontId="29" fillId="0" borderId="0" xfId="0" applyFont="1" applyAlignment="1">
      <alignment horizontal="left" vertical="top" wrapText="1"/>
    </xf>
    <xf numFmtId="0" fontId="21" fillId="4" borderId="0" xfId="0" applyFont="1" applyFill="1"/>
    <xf numFmtId="0" fontId="26" fillId="4" borderId="0" xfId="0" applyFont="1" applyFill="1"/>
    <xf numFmtId="4" fontId="26" fillId="4" borderId="0" xfId="1" applyNumberFormat="1" applyFont="1" applyFill="1"/>
    <xf numFmtId="4" fontId="24" fillId="4" borderId="0" xfId="1" applyNumberFormat="1" applyFont="1" applyFill="1"/>
    <xf numFmtId="4" fontId="21" fillId="4" borderId="0" xfId="1" applyNumberFormat="1" applyFont="1" applyFill="1"/>
    <xf numFmtId="4" fontId="26" fillId="4" borderId="0" xfId="21" applyNumberFormat="1" applyFont="1" applyFill="1"/>
    <xf numFmtId="0" fontId="26" fillId="0" borderId="2" xfId="0" applyFont="1" applyBorder="1"/>
    <xf numFmtId="4" fontId="26" fillId="0" borderId="2" xfId="0" applyNumberFormat="1" applyFont="1" applyBorder="1"/>
    <xf numFmtId="14" fontId="26" fillId="0" borderId="0" xfId="0" applyNumberFormat="1" applyFont="1"/>
    <xf numFmtId="0" fontId="26" fillId="4" borderId="0" xfId="0" applyFont="1" applyFill="1" applyAlignment="1">
      <alignment horizontal="left" indent="1"/>
    </xf>
    <xf numFmtId="0" fontId="26" fillId="4" borderId="0" xfId="0" applyFont="1" applyFill="1" applyAlignment="1">
      <alignment horizontal="left"/>
    </xf>
    <xf numFmtId="0" fontId="26" fillId="4" borderId="0" xfId="0" applyFont="1" applyFill="1" applyAlignment="1">
      <alignment wrapText="1"/>
    </xf>
    <xf numFmtId="167" fontId="26" fillId="4" borderId="0" xfId="21" applyNumberFormat="1" applyFont="1" applyFill="1"/>
    <xf numFmtId="43" fontId="26" fillId="4" borderId="0" xfId="21" applyFont="1" applyFill="1"/>
    <xf numFmtId="0" fontId="26" fillId="0" borderId="41" xfId="0" applyFont="1" applyBorder="1" applyAlignment="1">
      <alignment horizontal="left" vertical="top" wrapText="1"/>
    </xf>
    <xf numFmtId="43" fontId="26" fillId="0" borderId="0" xfId="1" applyFont="1"/>
    <xf numFmtId="165" fontId="26" fillId="2" borderId="0" xfId="21" applyNumberFormat="1" applyFont="1" applyFill="1"/>
    <xf numFmtId="165" fontId="25" fillId="0" borderId="40" xfId="0" applyNumberFormat="1" applyFont="1" applyBorder="1"/>
    <xf numFmtId="165" fontId="25" fillId="0" borderId="40" xfId="1" applyNumberFormat="1" applyFont="1" applyBorder="1"/>
    <xf numFmtId="165" fontId="27" fillId="0" borderId="41" xfId="0" applyNumberFormat="1" applyFont="1" applyBorder="1"/>
    <xf numFmtId="165" fontId="25" fillId="0" borderId="41" xfId="0" applyNumberFormat="1" applyFont="1" applyBorder="1"/>
    <xf numFmtId="165" fontId="25" fillId="0" borderId="41" xfId="1" applyNumberFormat="1" applyFont="1" applyBorder="1"/>
    <xf numFmtId="165" fontId="26" fillId="0" borderId="43" xfId="1" applyNumberFormat="1" applyFont="1" applyBorder="1"/>
    <xf numFmtId="165" fontId="26" fillId="2" borderId="41" xfId="0" applyNumberFormat="1" applyFont="1" applyFill="1" applyBorder="1"/>
    <xf numFmtId="165" fontId="26" fillId="2" borderId="41" xfId="0" applyNumberFormat="1" applyFont="1" applyFill="1" applyBorder="1" applyAlignment="1">
      <alignment horizontal="left"/>
    </xf>
    <xf numFmtId="165" fontId="26" fillId="0" borderId="41" xfId="21" applyNumberFormat="1" applyFont="1" applyBorder="1"/>
    <xf numFmtId="165" fontId="26" fillId="0" borderId="73" xfId="0" applyNumberFormat="1" applyFont="1" applyBorder="1"/>
    <xf numFmtId="0" fontId="21" fillId="4" borderId="0" xfId="0" applyFont="1" applyFill="1" applyAlignment="1">
      <alignment wrapText="1"/>
    </xf>
    <xf numFmtId="43" fontId="26" fillId="0" borderId="2" xfId="1" applyFont="1" applyBorder="1"/>
    <xf numFmtId="14" fontId="26" fillId="0" borderId="2" xfId="0" applyNumberFormat="1" applyFont="1" applyBorder="1"/>
    <xf numFmtId="0" fontId="21" fillId="0" borderId="2" xfId="0" applyFont="1" applyBorder="1" applyAlignment="1">
      <alignment vertical="center"/>
    </xf>
    <xf numFmtId="14" fontId="21" fillId="0" borderId="2" xfId="0" applyNumberFormat="1" applyFont="1" applyBorder="1" applyAlignment="1">
      <alignment vertical="center"/>
    </xf>
    <xf numFmtId="4" fontId="21" fillId="0" borderId="2" xfId="0" applyNumberFormat="1" applyFont="1" applyBorder="1" applyAlignment="1">
      <alignment vertical="center"/>
    </xf>
    <xf numFmtId="43" fontId="21" fillId="0" borderId="2" xfId="0" applyNumberFormat="1" applyFont="1" applyBorder="1" applyAlignment="1">
      <alignment vertical="center"/>
    </xf>
    <xf numFmtId="0" fontId="26" fillId="0" borderId="34" xfId="0" applyFont="1" applyBorder="1"/>
    <xf numFmtId="0" fontId="21" fillId="0" borderId="34" xfId="0" applyFont="1" applyBorder="1"/>
    <xf numFmtId="0" fontId="31" fillId="0" borderId="34" xfId="0" applyFont="1" applyBorder="1"/>
    <xf numFmtId="0" fontId="26" fillId="0" borderId="34" xfId="0" applyFont="1" applyBorder="1" applyAlignment="1">
      <alignment wrapText="1"/>
    </xf>
    <xf numFmtId="0" fontId="21" fillId="0" borderId="34" xfId="0" applyFont="1" applyBorder="1" applyAlignment="1">
      <alignment horizontal="left"/>
    </xf>
    <xf numFmtId="0" fontId="26" fillId="0" borderId="36" xfId="0" applyFont="1" applyBorder="1"/>
    <xf numFmtId="0" fontId="28" fillId="0" borderId="31" xfId="4" applyFont="1" applyBorder="1" applyAlignment="1">
      <alignment vertical="top"/>
    </xf>
    <xf numFmtId="0" fontId="28" fillId="0" borderId="34" xfId="4" applyFont="1" applyBorder="1" applyAlignment="1">
      <alignment vertical="top"/>
    </xf>
    <xf numFmtId="0" fontId="29" fillId="0" borderId="34" xfId="4" applyFont="1" applyBorder="1" applyAlignment="1">
      <alignment vertical="top"/>
    </xf>
    <xf numFmtId="0" fontId="28" fillId="0" borderId="36" xfId="4" applyFont="1" applyBorder="1" applyAlignment="1">
      <alignment vertical="top"/>
    </xf>
    <xf numFmtId="166" fontId="29" fillId="0" borderId="41" xfId="1" applyNumberFormat="1" applyFont="1" applyFill="1" applyBorder="1" applyAlignment="1">
      <alignment vertical="top"/>
    </xf>
    <xf numFmtId="0" fontId="26" fillId="0" borderId="0" xfId="0" applyFont="1" applyAlignment="1">
      <alignment horizontal="left" vertical="top"/>
    </xf>
    <xf numFmtId="0" fontId="34" fillId="0" borderId="0" xfId="0" applyFont="1" applyAlignment="1">
      <alignment horizontal="left" vertical="top"/>
    </xf>
    <xf numFmtId="0" fontId="26" fillId="10" borderId="0" xfId="0" applyFont="1" applyFill="1"/>
    <xf numFmtId="43" fontId="26" fillId="0" borderId="0" xfId="1" applyFont="1" applyFill="1"/>
    <xf numFmtId="166" fontId="26" fillId="0" borderId="0" xfId="1" applyNumberFormat="1" applyFont="1" applyFill="1"/>
    <xf numFmtId="0" fontId="26" fillId="4" borderId="0" xfId="0" applyFont="1" applyFill="1" applyAlignment="1">
      <alignment horizontal="left" wrapText="1" indent="1"/>
    </xf>
    <xf numFmtId="0" fontId="21" fillId="4" borderId="0" xfId="0" applyFont="1" applyFill="1" applyAlignment="1">
      <alignment horizontal="left" indent="1"/>
    </xf>
    <xf numFmtId="165" fontId="21" fillId="3" borderId="0" xfId="0" applyNumberFormat="1" applyFont="1" applyFill="1" applyAlignment="1">
      <alignment horizontal="center"/>
    </xf>
    <xf numFmtId="165" fontId="21" fillId="7" borderId="0" xfId="0" applyNumberFormat="1" applyFont="1" applyFill="1" applyAlignment="1">
      <alignment horizontal="center"/>
    </xf>
    <xf numFmtId="165" fontId="25" fillId="7" borderId="0" xfId="0" applyNumberFormat="1" applyFont="1" applyFill="1" applyAlignment="1">
      <alignment horizontal="center"/>
    </xf>
    <xf numFmtId="165" fontId="25" fillId="3" borderId="0" xfId="0" applyNumberFormat="1" applyFont="1" applyFill="1" applyAlignment="1">
      <alignment horizontal="center"/>
    </xf>
    <xf numFmtId="166" fontId="25" fillId="7" borderId="0" xfId="1" applyNumberFormat="1" applyFont="1" applyFill="1" applyAlignment="1">
      <alignment horizontal="center"/>
    </xf>
    <xf numFmtId="0" fontId="22" fillId="0" borderId="2" xfId="11" applyFont="1" applyBorder="1" applyAlignment="1">
      <alignment horizontal="center"/>
    </xf>
    <xf numFmtId="0" fontId="24" fillId="9" borderId="14" xfId="0" applyFont="1" applyFill="1" applyBorder="1" applyAlignment="1">
      <alignment horizontal="center"/>
    </xf>
    <xf numFmtId="0" fontId="24" fillId="9" borderId="11" xfId="0" applyFont="1" applyFill="1" applyBorder="1" applyAlignment="1">
      <alignment horizontal="center"/>
    </xf>
    <xf numFmtId="0" fontId="24" fillId="9" borderId="12" xfId="0" applyFont="1" applyFill="1" applyBorder="1" applyAlignment="1">
      <alignment horizontal="center"/>
    </xf>
    <xf numFmtId="165" fontId="26" fillId="0" borderId="34" xfId="0" applyNumberFormat="1" applyFont="1" applyBorder="1"/>
    <xf numFmtId="165" fontId="26" fillId="0" borderId="0" xfId="0" applyNumberFormat="1" applyFont="1"/>
    <xf numFmtId="165" fontId="26" fillId="0" borderId="35" xfId="0" applyNumberFormat="1" applyFont="1" applyBorder="1"/>
    <xf numFmtId="165" fontId="21" fillId="0" borderId="31" xfId="0" applyNumberFormat="1" applyFont="1" applyBorder="1" applyAlignment="1">
      <alignment horizontal="center" vertical="center"/>
    </xf>
    <xf numFmtId="165" fontId="21" fillId="0" borderId="32" xfId="0" applyNumberFormat="1" applyFont="1" applyBorder="1" applyAlignment="1">
      <alignment horizontal="center" vertical="center"/>
    </xf>
    <xf numFmtId="165" fontId="21" fillId="0" borderId="33" xfId="0" applyNumberFormat="1" applyFont="1" applyBorder="1" applyAlignment="1">
      <alignment horizontal="center" vertical="center"/>
    </xf>
    <xf numFmtId="165" fontId="21" fillId="0" borderId="34" xfId="0" applyNumberFormat="1" applyFont="1" applyBorder="1" applyAlignment="1">
      <alignment horizontal="center" vertical="center"/>
    </xf>
    <xf numFmtId="165" fontId="21" fillId="0" borderId="0" xfId="0" applyNumberFormat="1" applyFont="1" applyAlignment="1">
      <alignment horizontal="center" vertical="center"/>
    </xf>
    <xf numFmtId="165" fontId="21" fillId="0" borderId="35" xfId="0" applyNumberFormat="1" applyFont="1" applyBorder="1" applyAlignment="1">
      <alignment horizontal="center" vertical="center"/>
    </xf>
    <xf numFmtId="165" fontId="24" fillId="0" borderId="36" xfId="0" applyNumberFormat="1" applyFont="1" applyBorder="1" applyAlignment="1">
      <alignment horizontal="right"/>
    </xf>
    <xf numFmtId="165" fontId="24" fillId="0" borderId="13" xfId="0" applyNumberFormat="1" applyFont="1" applyBorder="1" applyAlignment="1">
      <alignment horizontal="right"/>
    </xf>
    <xf numFmtId="165" fontId="24" fillId="0" borderId="37" xfId="0" applyNumberFormat="1" applyFont="1" applyBorder="1" applyAlignment="1">
      <alignment horizontal="right"/>
    </xf>
    <xf numFmtId="165" fontId="21" fillId="0" borderId="31" xfId="0" applyNumberFormat="1" applyFont="1" applyBorder="1" applyAlignment="1">
      <alignment horizontal="left" vertical="center"/>
    </xf>
    <xf numFmtId="165" fontId="21" fillId="0" borderId="36" xfId="0" applyNumberFormat="1" applyFont="1" applyBorder="1" applyAlignment="1">
      <alignment horizontal="left" vertical="center"/>
    </xf>
    <xf numFmtId="165" fontId="21" fillId="0" borderId="32" xfId="0" applyNumberFormat="1" applyFont="1" applyBorder="1" applyAlignment="1">
      <alignment horizontal="left" vertical="center"/>
    </xf>
    <xf numFmtId="165" fontId="21" fillId="0" borderId="13" xfId="0" applyNumberFormat="1" applyFont="1" applyBorder="1" applyAlignment="1">
      <alignment horizontal="left" vertical="center"/>
    </xf>
    <xf numFmtId="165" fontId="21" fillId="0" borderId="34" xfId="1" applyNumberFormat="1" applyFont="1" applyFill="1" applyBorder="1" applyAlignment="1"/>
    <xf numFmtId="165" fontId="21" fillId="0" borderId="0" xfId="1" applyNumberFormat="1" applyFont="1" applyFill="1" applyBorder="1" applyAlignment="1"/>
    <xf numFmtId="165" fontId="21" fillId="0" borderId="31" xfId="0" applyNumberFormat="1" applyFont="1" applyBorder="1" applyAlignment="1">
      <alignment horizontal="center"/>
    </xf>
    <xf numFmtId="165" fontId="21" fillId="0" borderId="32" xfId="0" applyNumberFormat="1" applyFont="1" applyBorder="1" applyAlignment="1">
      <alignment horizontal="center"/>
    </xf>
    <xf numFmtId="165" fontId="21" fillId="0" borderId="33" xfId="0" applyNumberFormat="1" applyFont="1" applyBorder="1" applyAlignment="1">
      <alignment horizontal="center"/>
    </xf>
    <xf numFmtId="165" fontId="21" fillId="0" borderId="34" xfId="0" applyNumberFormat="1" applyFont="1" applyBorder="1" applyAlignment="1">
      <alignment horizontal="center"/>
    </xf>
    <xf numFmtId="165" fontId="21" fillId="0" borderId="0" xfId="0" applyNumberFormat="1" applyFont="1" applyAlignment="1">
      <alignment horizontal="center"/>
    </xf>
    <xf numFmtId="165" fontId="21" fillId="0" borderId="35" xfId="0" applyNumberFormat="1" applyFont="1" applyBorder="1" applyAlignment="1">
      <alignment horizontal="center"/>
    </xf>
    <xf numFmtId="165" fontId="21" fillId="0" borderId="13" xfId="0" applyNumberFormat="1" applyFont="1" applyBorder="1" applyAlignment="1">
      <alignment horizontal="center" vertical="center"/>
    </xf>
    <xf numFmtId="165" fontId="21" fillId="0" borderId="0" xfId="0" applyNumberFormat="1" applyFont="1"/>
    <xf numFmtId="165" fontId="21" fillId="0" borderId="35" xfId="0" applyNumberFormat="1" applyFont="1" applyBorder="1"/>
    <xf numFmtId="165" fontId="21" fillId="0" borderId="34" xfId="0" applyNumberFormat="1" applyFont="1" applyBorder="1"/>
    <xf numFmtId="165" fontId="26" fillId="0" borderId="34" xfId="1" applyNumberFormat="1" applyFont="1" applyFill="1" applyBorder="1" applyAlignment="1"/>
    <xf numFmtId="165" fontId="26" fillId="0" borderId="0" xfId="1" applyNumberFormat="1" applyFont="1" applyFill="1" applyBorder="1" applyAlignment="1"/>
    <xf numFmtId="165" fontId="21" fillId="0" borderId="34" xfId="1" applyNumberFormat="1" applyFont="1" applyFill="1" applyBorder="1" applyAlignment="1">
      <alignment horizontal="left" vertical="top"/>
    </xf>
    <xf numFmtId="165" fontId="21" fillId="0" borderId="0" xfId="1" applyNumberFormat="1" applyFont="1" applyFill="1" applyBorder="1" applyAlignment="1">
      <alignment horizontal="left" vertical="top"/>
    </xf>
    <xf numFmtId="165" fontId="21" fillId="0" borderId="53" xfId="11" applyNumberFormat="1" applyFont="1" applyBorder="1" applyAlignment="1">
      <alignment horizontal="center" vertical="center"/>
    </xf>
    <xf numFmtId="165" fontId="21" fillId="0" borderId="54" xfId="11" applyNumberFormat="1" applyFont="1" applyBorder="1" applyAlignment="1">
      <alignment horizontal="center" vertical="center"/>
    </xf>
    <xf numFmtId="165" fontId="27" fillId="0" borderId="14" xfId="21" applyNumberFormat="1" applyFont="1" applyFill="1" applyBorder="1" applyAlignment="1">
      <alignment horizontal="center" vertical="center" wrapText="1"/>
    </xf>
    <xf numFmtId="165" fontId="27" fillId="0" borderId="12" xfId="21" applyNumberFormat="1" applyFont="1" applyFill="1" applyBorder="1" applyAlignment="1">
      <alignment horizontal="center" vertical="center" wrapText="1"/>
    </xf>
    <xf numFmtId="165" fontId="27" fillId="0" borderId="2" xfId="21" applyNumberFormat="1" applyFont="1" applyFill="1" applyBorder="1" applyAlignment="1">
      <alignment horizontal="center" vertical="center"/>
    </xf>
    <xf numFmtId="165" fontId="27" fillId="0" borderId="14" xfId="21" applyNumberFormat="1" applyFont="1" applyFill="1" applyBorder="1" applyAlignment="1">
      <alignment horizontal="center" vertical="center"/>
    </xf>
    <xf numFmtId="165" fontId="27" fillId="0" borderId="12" xfId="21" applyNumberFormat="1" applyFont="1" applyFill="1" applyBorder="1" applyAlignment="1">
      <alignment horizontal="center" vertical="center"/>
    </xf>
    <xf numFmtId="165" fontId="21" fillId="0" borderId="34" xfId="0" applyNumberFormat="1" applyFont="1" applyBorder="1" applyAlignment="1">
      <alignment horizontal="center" vertical="center" wrapText="1"/>
    </xf>
    <xf numFmtId="165" fontId="21" fillId="0" borderId="0" xfId="0" applyNumberFormat="1" applyFont="1" applyAlignment="1">
      <alignment horizontal="center" vertical="center" wrapText="1"/>
    </xf>
    <xf numFmtId="165" fontId="21" fillId="0" borderId="35" xfId="0" applyNumberFormat="1" applyFont="1" applyBorder="1" applyAlignment="1">
      <alignment horizontal="center" vertical="center" wrapText="1"/>
    </xf>
    <xf numFmtId="165" fontId="24" fillId="0" borderId="34" xfId="0" applyNumberFormat="1" applyFont="1" applyBorder="1" applyAlignment="1">
      <alignment horizontal="right"/>
    </xf>
    <xf numFmtId="165" fontId="24" fillId="0" borderId="0" xfId="0" applyNumberFormat="1" applyFont="1" applyAlignment="1">
      <alignment horizontal="right"/>
    </xf>
    <xf numFmtId="165" fontId="24" fillId="0" borderId="35" xfId="0" applyNumberFormat="1" applyFont="1" applyBorder="1" applyAlignment="1">
      <alignment horizontal="right"/>
    </xf>
    <xf numFmtId="165" fontId="21" fillId="0" borderId="60" xfId="0" applyNumberFormat="1" applyFont="1" applyBorder="1" applyAlignment="1">
      <alignment horizontal="center"/>
    </xf>
    <xf numFmtId="165" fontId="21" fillId="0" borderId="11" xfId="0" applyNumberFormat="1" applyFont="1" applyBorder="1" applyAlignment="1">
      <alignment horizontal="center"/>
    </xf>
    <xf numFmtId="165" fontId="21" fillId="0" borderId="58" xfId="0" applyNumberFormat="1" applyFont="1" applyBorder="1" applyAlignment="1">
      <alignment horizontal="center"/>
    </xf>
    <xf numFmtId="0" fontId="26" fillId="0" borderId="34" xfId="0" applyFont="1" applyBorder="1" applyAlignment="1">
      <alignment horizontal="left" vertical="center" wrapText="1"/>
    </xf>
    <xf numFmtId="0" fontId="26" fillId="0" borderId="0" xfId="0" applyFont="1" applyAlignment="1">
      <alignment horizontal="left" vertical="center" wrapText="1"/>
    </xf>
    <xf numFmtId="0" fontId="26" fillId="0" borderId="35" xfId="0" applyFont="1" applyBorder="1" applyAlignment="1">
      <alignment horizontal="left" vertical="center" wrapText="1"/>
    </xf>
    <xf numFmtId="165" fontId="26" fillId="0" borderId="34" xfId="0" applyNumberFormat="1" applyFont="1" applyBorder="1" applyAlignment="1">
      <alignment wrapText="1"/>
    </xf>
    <xf numFmtId="165" fontId="26" fillId="0" borderId="0" xfId="0" applyNumberFormat="1" applyFont="1" applyAlignment="1">
      <alignment wrapText="1"/>
    </xf>
    <xf numFmtId="165" fontId="26" fillId="0" borderId="35" xfId="0" applyNumberFormat="1" applyFont="1" applyBorder="1" applyAlignment="1">
      <alignment wrapText="1"/>
    </xf>
    <xf numFmtId="165" fontId="21" fillId="0" borderId="59" xfId="13" applyNumberFormat="1" applyFont="1" applyBorder="1" applyAlignment="1">
      <alignment horizontal="left" vertical="center"/>
    </xf>
    <xf numFmtId="165" fontId="21" fillId="0" borderId="28" xfId="13" applyNumberFormat="1" applyFont="1" applyBorder="1" applyAlignment="1">
      <alignment horizontal="left" vertical="center"/>
    </xf>
    <xf numFmtId="165" fontId="21" fillId="0" borderId="14" xfId="2" applyFont="1" applyFill="1" applyBorder="1" applyAlignment="1">
      <alignment horizontal="center"/>
    </xf>
    <xf numFmtId="165" fontId="21" fillId="0" borderId="12" xfId="2" applyFont="1" applyFill="1" applyBorder="1" applyAlignment="1">
      <alignment horizontal="center"/>
    </xf>
    <xf numFmtId="165" fontId="21" fillId="0" borderId="58" xfId="2" applyFont="1" applyFill="1" applyBorder="1" applyAlignment="1">
      <alignment horizontal="center"/>
    </xf>
    <xf numFmtId="165" fontId="25" fillId="0" borderId="2" xfId="40" applyNumberFormat="1" applyFont="1" applyBorder="1" applyAlignment="1">
      <alignment horizontal="center"/>
    </xf>
    <xf numFmtId="165" fontId="25" fillId="0" borderId="56" xfId="40" applyNumberFormat="1" applyFont="1" applyBorder="1" applyAlignment="1">
      <alignment horizontal="center"/>
    </xf>
    <xf numFmtId="165" fontId="25" fillId="0" borderId="15" xfId="40" applyNumberFormat="1" applyFont="1" applyBorder="1" applyAlignment="1">
      <alignment horizontal="left" vertical="center"/>
    </xf>
    <xf numFmtId="165" fontId="25" fillId="0" borderId="20" xfId="40" applyNumberFormat="1" applyFont="1" applyBorder="1" applyAlignment="1">
      <alignment horizontal="left" vertical="center"/>
    </xf>
    <xf numFmtId="165" fontId="25" fillId="0" borderId="28" xfId="40" applyNumberFormat="1" applyFont="1" applyBorder="1" applyAlignment="1">
      <alignment horizontal="left" vertical="center"/>
    </xf>
    <xf numFmtId="165" fontId="28" fillId="0" borderId="64" xfId="40" applyNumberFormat="1" applyFont="1" applyBorder="1" applyAlignment="1">
      <alignment horizontal="center"/>
    </xf>
    <xf numFmtId="165" fontId="28" fillId="0" borderId="65" xfId="40" applyNumberFormat="1" applyFont="1" applyBorder="1" applyAlignment="1">
      <alignment horizontal="center"/>
    </xf>
    <xf numFmtId="165" fontId="21" fillId="0" borderId="7" xfId="8" applyNumberFormat="1" applyFont="1" applyBorder="1" applyAlignment="1">
      <alignment horizontal="center" vertical="center" wrapText="1"/>
    </xf>
    <xf numFmtId="165" fontId="21" fillId="0" borderId="23" xfId="8" applyNumberFormat="1" applyFont="1" applyBorder="1" applyAlignment="1">
      <alignment horizontal="center" vertical="center"/>
    </xf>
    <xf numFmtId="165" fontId="21" fillId="0" borderId="7" xfId="8" applyNumberFormat="1" applyFont="1" applyBorder="1" applyAlignment="1">
      <alignment horizontal="center" vertical="center"/>
    </xf>
    <xf numFmtId="165" fontId="21" fillId="0" borderId="9" xfId="8" applyNumberFormat="1" applyFont="1" applyBorder="1" applyAlignment="1">
      <alignment horizontal="center" vertical="center" wrapText="1"/>
    </xf>
    <xf numFmtId="165" fontId="21" fillId="0" borderId="13" xfId="8" applyNumberFormat="1" applyFont="1" applyBorder="1" applyAlignment="1">
      <alignment horizontal="center" vertical="center"/>
    </xf>
    <xf numFmtId="165" fontId="21" fillId="0" borderId="21" xfId="8" applyNumberFormat="1" applyFont="1" applyBorder="1" applyAlignment="1">
      <alignment horizontal="center" vertical="center" wrapText="1"/>
    </xf>
    <xf numFmtId="165" fontId="21" fillId="0" borderId="24" xfId="8" applyNumberFormat="1" applyFont="1" applyBorder="1" applyAlignment="1">
      <alignment horizontal="center" vertical="center" wrapText="1"/>
    </xf>
    <xf numFmtId="165" fontId="21" fillId="0" borderId="34" xfId="8" applyNumberFormat="1" applyFont="1" applyBorder="1" applyAlignment="1">
      <alignment horizontal="center" vertical="center"/>
    </xf>
    <xf numFmtId="165" fontId="21" fillId="0" borderId="0" xfId="8" applyNumberFormat="1" applyFont="1" applyAlignment="1">
      <alignment horizontal="center" vertical="center"/>
    </xf>
    <xf numFmtId="165" fontId="21" fillId="0" borderId="35" xfId="8" applyNumberFormat="1" applyFont="1" applyBorder="1" applyAlignment="1">
      <alignment horizontal="center" vertical="center"/>
    </xf>
    <xf numFmtId="165" fontId="21" fillId="0" borderId="15" xfId="8" applyNumberFormat="1" applyFont="1" applyBorder="1" applyAlignment="1">
      <alignment horizontal="center" vertical="center"/>
    </xf>
    <xf numFmtId="165" fontId="21" fillId="0" borderId="20" xfId="8" applyNumberFormat="1" applyFont="1" applyBorder="1" applyAlignment="1">
      <alignment horizontal="center" vertical="center"/>
    </xf>
    <xf numFmtId="165" fontId="21" fillId="0" borderId="22" xfId="8" applyNumberFormat="1" applyFont="1" applyBorder="1" applyAlignment="1">
      <alignment horizontal="center" vertical="center"/>
    </xf>
    <xf numFmtId="165" fontId="21" fillId="0" borderId="16" xfId="8" applyNumberFormat="1" applyFont="1" applyBorder="1" applyAlignment="1">
      <alignment horizontal="center" vertical="center"/>
    </xf>
    <xf numFmtId="165" fontId="21" fillId="0" borderId="17" xfId="8" applyNumberFormat="1" applyFont="1" applyBorder="1" applyAlignment="1">
      <alignment horizontal="center" vertical="center"/>
    </xf>
    <xf numFmtId="165" fontId="21" fillId="0" borderId="18" xfId="8" applyNumberFormat="1" applyFont="1" applyBorder="1" applyAlignment="1">
      <alignment horizontal="center" vertical="center"/>
    </xf>
    <xf numFmtId="165" fontId="21" fillId="0" borderId="19" xfId="8" applyNumberFormat="1" applyFont="1" applyBorder="1" applyAlignment="1">
      <alignment horizontal="center" vertical="center"/>
    </xf>
    <xf numFmtId="165" fontId="21" fillId="0" borderId="23" xfId="8" applyNumberFormat="1" applyFont="1" applyBorder="1" applyAlignment="1">
      <alignment horizontal="center" vertical="center" wrapText="1"/>
    </xf>
    <xf numFmtId="165" fontId="25" fillId="0" borderId="44" xfId="40" applyNumberFormat="1" applyFont="1" applyBorder="1" applyAlignment="1">
      <alignment horizontal="center"/>
    </xf>
    <xf numFmtId="165" fontId="25" fillId="0" borderId="45" xfId="40" applyNumberFormat="1" applyFont="1" applyBorder="1" applyAlignment="1">
      <alignment horizontal="center"/>
    </xf>
    <xf numFmtId="165" fontId="25" fillId="0" borderId="46" xfId="40" applyNumberFormat="1" applyFont="1" applyBorder="1" applyAlignment="1">
      <alignment horizontal="center"/>
    </xf>
    <xf numFmtId="165" fontId="25" fillId="0" borderId="40" xfId="40" applyNumberFormat="1" applyFont="1" applyBorder="1" applyAlignment="1">
      <alignment horizontal="left" vertical="center"/>
    </xf>
    <xf numFmtId="165" fontId="25" fillId="0" borderId="41" xfId="40" applyNumberFormat="1" applyFont="1" applyBorder="1" applyAlignment="1">
      <alignment horizontal="left" vertical="center"/>
    </xf>
    <xf numFmtId="165" fontId="25" fillId="0" borderId="43" xfId="40" applyNumberFormat="1" applyFont="1" applyBorder="1" applyAlignment="1">
      <alignment horizontal="left" vertical="center"/>
    </xf>
    <xf numFmtId="165" fontId="28" fillId="0" borderId="44" xfId="40" applyNumberFormat="1" applyFont="1" applyBorder="1" applyAlignment="1">
      <alignment horizontal="center"/>
    </xf>
    <xf numFmtId="165" fontId="28" fillId="0" borderId="45" xfId="40" applyNumberFormat="1" applyFont="1" applyBorder="1" applyAlignment="1">
      <alignment horizontal="center"/>
    </xf>
    <xf numFmtId="165" fontId="28" fillId="0" borderId="46" xfId="40" applyNumberFormat="1" applyFont="1" applyBorder="1" applyAlignment="1">
      <alignment horizontal="center"/>
    </xf>
    <xf numFmtId="165" fontId="26" fillId="0" borderId="14" xfId="27" applyNumberFormat="1" applyFont="1" applyBorder="1" applyAlignment="1">
      <alignment horizontal="left" vertical="center" wrapText="1"/>
    </xf>
    <xf numFmtId="165" fontId="26" fillId="0" borderId="11" xfId="27" applyNumberFormat="1" applyFont="1" applyBorder="1" applyAlignment="1">
      <alignment horizontal="left" vertical="center" wrapText="1"/>
    </xf>
    <xf numFmtId="165" fontId="26" fillId="0" borderId="58" xfId="27" applyNumberFormat="1" applyFont="1" applyBorder="1" applyAlignment="1">
      <alignment horizontal="left" vertical="center" wrapText="1"/>
    </xf>
    <xf numFmtId="165" fontId="26" fillId="0" borderId="72" xfId="27" applyNumberFormat="1" applyFont="1" applyBorder="1" applyAlignment="1">
      <alignment horizontal="left" vertical="center" wrapText="1"/>
    </xf>
    <xf numFmtId="165" fontId="26" fillId="0" borderId="62" xfId="27" applyNumberFormat="1" applyFont="1" applyBorder="1" applyAlignment="1">
      <alignment horizontal="left" vertical="center" wrapText="1"/>
    </xf>
    <xf numFmtId="165" fontId="26" fillId="0" borderId="63" xfId="27" applyNumberFormat="1" applyFont="1" applyBorder="1" applyAlignment="1">
      <alignment horizontal="left" vertical="center" wrapText="1"/>
    </xf>
    <xf numFmtId="0" fontId="26" fillId="0" borderId="34" xfId="27" applyFont="1" applyBorder="1" applyAlignment="1">
      <alignment horizontal="left" vertical="center" wrapText="1"/>
    </xf>
    <xf numFmtId="0" fontId="26" fillId="0" borderId="0" xfId="27" applyFont="1" applyAlignment="1">
      <alignment horizontal="left" vertical="center" wrapText="1"/>
    </xf>
    <xf numFmtId="0" fontId="26" fillId="0" borderId="35" xfId="27" applyFont="1" applyBorder="1" applyAlignment="1">
      <alignment horizontal="left" vertical="center" wrapText="1"/>
    </xf>
    <xf numFmtId="0" fontId="26" fillId="0" borderId="34" xfId="0" applyFont="1" applyBorder="1" applyAlignment="1">
      <alignment horizontal="left" vertical="top" wrapText="1"/>
    </xf>
    <xf numFmtId="0" fontId="26" fillId="0" borderId="0" xfId="0" applyFont="1" applyAlignment="1">
      <alignment horizontal="left" vertical="top" wrapText="1"/>
    </xf>
    <xf numFmtId="0" fontId="26" fillId="0" borderId="35" xfId="0" applyFont="1" applyBorder="1" applyAlignment="1">
      <alignment horizontal="left" vertical="top" wrapText="1"/>
    </xf>
    <xf numFmtId="165" fontId="21" fillId="5" borderId="64" xfId="27" applyNumberFormat="1" applyFont="1" applyFill="1" applyBorder="1" applyAlignment="1">
      <alignment horizontal="left" vertical="top" wrapText="1"/>
    </xf>
    <xf numFmtId="165" fontId="21" fillId="5" borderId="65" xfId="27" applyNumberFormat="1" applyFont="1" applyFill="1" applyBorder="1" applyAlignment="1">
      <alignment horizontal="left" vertical="top" wrapText="1"/>
    </xf>
    <xf numFmtId="165" fontId="26" fillId="0" borderId="14" xfId="21" applyNumberFormat="1" applyFont="1" applyBorder="1" applyAlignment="1">
      <alignment horizontal="left" vertical="center" wrapText="1"/>
    </xf>
    <xf numFmtId="165" fontId="26" fillId="0" borderId="11" xfId="21" applyNumberFormat="1" applyFont="1" applyBorder="1" applyAlignment="1">
      <alignment horizontal="left" vertical="center" wrapText="1"/>
    </xf>
    <xf numFmtId="165" fontId="26" fillId="0" borderId="58" xfId="21" applyNumberFormat="1" applyFont="1" applyBorder="1" applyAlignment="1">
      <alignment horizontal="left" vertical="center" wrapText="1"/>
    </xf>
    <xf numFmtId="165" fontId="26" fillId="0" borderId="34" xfId="27" applyNumberFormat="1" applyFont="1" applyBorder="1" applyAlignment="1">
      <alignment horizontal="left" vertical="center" wrapText="1" indent="2"/>
    </xf>
    <xf numFmtId="165" fontId="26" fillId="0" borderId="0" xfId="27" applyNumberFormat="1" applyFont="1" applyAlignment="1">
      <alignment horizontal="left" vertical="center" wrapText="1" indent="2"/>
    </xf>
    <xf numFmtId="165" fontId="26" fillId="0" borderId="35" xfId="27" applyNumberFormat="1" applyFont="1" applyBorder="1" applyAlignment="1">
      <alignment horizontal="left" vertical="center" wrapText="1" indent="2"/>
    </xf>
    <xf numFmtId="165" fontId="26" fillId="0" borderId="36" xfId="27" applyNumberFormat="1" applyFont="1" applyBorder="1" applyAlignment="1">
      <alignment horizontal="left" vertical="center" wrapText="1"/>
    </xf>
    <xf numFmtId="165" fontId="26" fillId="0" borderId="13" xfId="27" applyNumberFormat="1" applyFont="1" applyBorder="1" applyAlignment="1">
      <alignment horizontal="left" vertical="center" wrapText="1"/>
    </xf>
    <xf numFmtId="165" fontId="26" fillId="0" borderId="37" xfId="27" applyNumberFormat="1" applyFont="1" applyBorder="1" applyAlignment="1">
      <alignment horizontal="left" vertical="center" wrapText="1"/>
    </xf>
    <xf numFmtId="165" fontId="26" fillId="0" borderId="31" xfId="27" applyNumberFormat="1" applyFont="1" applyBorder="1" applyAlignment="1">
      <alignment horizontal="left" vertical="center" wrapText="1"/>
    </xf>
    <xf numFmtId="165" fontId="26" fillId="0" borderId="32" xfId="27" applyNumberFormat="1" applyFont="1" applyBorder="1" applyAlignment="1">
      <alignment horizontal="left" vertical="center" wrapText="1"/>
    </xf>
    <xf numFmtId="165" fontId="26" fillId="0" borderId="33" xfId="27" applyNumberFormat="1" applyFont="1" applyBorder="1" applyAlignment="1">
      <alignment horizontal="left" vertical="center" wrapText="1"/>
    </xf>
    <xf numFmtId="0" fontId="26" fillId="0" borderId="34" xfId="27" applyFont="1" applyBorder="1" applyAlignment="1">
      <alignment horizontal="left" vertical="center" wrapText="1" indent="2"/>
    </xf>
    <xf numFmtId="0" fontId="26" fillId="0" borderId="0" xfId="27" applyFont="1" applyAlignment="1">
      <alignment horizontal="left" vertical="center" wrapText="1" indent="2"/>
    </xf>
    <xf numFmtId="0" fontId="26" fillId="0" borderId="35" xfId="27" applyFont="1" applyBorder="1" applyAlignment="1">
      <alignment horizontal="left" vertical="center" wrapText="1" indent="2"/>
    </xf>
    <xf numFmtId="165" fontId="26" fillId="0" borderId="34" xfId="27" applyNumberFormat="1" applyFont="1" applyBorder="1" applyAlignment="1">
      <alignment horizontal="left"/>
    </xf>
    <xf numFmtId="165" fontId="26" fillId="0" borderId="0" xfId="27" applyNumberFormat="1" applyFont="1" applyAlignment="1">
      <alignment horizontal="left"/>
    </xf>
    <xf numFmtId="165" fontId="26" fillId="0" borderId="35" xfId="27" applyNumberFormat="1" applyFont="1" applyBorder="1" applyAlignment="1">
      <alignment horizontal="left"/>
    </xf>
    <xf numFmtId="165" fontId="21" fillId="0" borderId="0" xfId="27" applyNumberFormat="1" applyFont="1" applyAlignment="1">
      <alignment horizontal="center" vertical="top" wrapText="1"/>
    </xf>
    <xf numFmtId="165" fontId="26" fillId="0" borderId="0" xfId="28" applyNumberFormat="1" applyFont="1" applyBorder="1" applyAlignment="1" applyProtection="1">
      <alignment horizontal="center" vertical="top" wrapText="1"/>
    </xf>
    <xf numFmtId="165" fontId="21" fillId="5" borderId="29" xfId="27" applyNumberFormat="1" applyFont="1" applyFill="1" applyBorder="1" applyAlignment="1">
      <alignment horizontal="center" vertical="center" wrapText="1"/>
    </xf>
    <xf numFmtId="165" fontId="21" fillId="5" borderId="2" xfId="27" applyNumberFormat="1" applyFont="1" applyFill="1" applyBorder="1" applyAlignment="1">
      <alignment horizontal="center" vertical="center" wrapText="1"/>
    </xf>
    <xf numFmtId="165" fontId="21" fillId="5" borderId="56" xfId="27" applyNumberFormat="1" applyFont="1" applyFill="1" applyBorder="1" applyAlignment="1">
      <alignment horizontal="center" vertical="center" wrapText="1"/>
    </xf>
    <xf numFmtId="165" fontId="21" fillId="0" borderId="31" xfId="27" applyNumberFormat="1" applyFont="1" applyBorder="1" applyAlignment="1">
      <alignment horizontal="center" vertical="center"/>
    </xf>
    <xf numFmtId="165" fontId="21" fillId="0" borderId="32" xfId="27" applyNumberFormat="1" applyFont="1" applyBorder="1" applyAlignment="1">
      <alignment horizontal="center" vertical="center"/>
    </xf>
    <xf numFmtId="165" fontId="21" fillId="0" borderId="33" xfId="27" applyNumberFormat="1" applyFont="1" applyBorder="1" applyAlignment="1">
      <alignment horizontal="center" vertical="center"/>
    </xf>
    <xf numFmtId="165" fontId="21" fillId="0" borderId="34" xfId="30" applyNumberFormat="1" applyFont="1" applyBorder="1" applyAlignment="1" applyProtection="1">
      <alignment horizontal="center" vertical="center"/>
    </xf>
    <xf numFmtId="165" fontId="21" fillId="0" borderId="0" xfId="30" applyNumberFormat="1" applyFont="1" applyBorder="1" applyAlignment="1" applyProtection="1">
      <alignment horizontal="center" vertical="center"/>
    </xf>
    <xf numFmtId="165" fontId="21" fillId="0" borderId="35" xfId="30" applyNumberFormat="1" applyFont="1" applyBorder="1" applyAlignment="1" applyProtection="1">
      <alignment horizontal="center" vertical="center"/>
    </xf>
    <xf numFmtId="165" fontId="21" fillId="0" borderId="34" xfId="30" applyNumberFormat="1" applyFont="1" applyBorder="1" applyAlignment="1" applyProtection="1">
      <alignment horizontal="center" vertical="top"/>
    </xf>
    <xf numFmtId="165" fontId="21" fillId="0" borderId="0" xfId="30" applyNumberFormat="1" applyFont="1" applyBorder="1" applyAlignment="1" applyProtection="1">
      <alignment horizontal="center" vertical="top"/>
    </xf>
    <xf numFmtId="165" fontId="21" fillId="0" borderId="35" xfId="30" applyNumberFormat="1" applyFont="1" applyBorder="1" applyAlignment="1" applyProtection="1">
      <alignment horizontal="center" vertical="top"/>
    </xf>
    <xf numFmtId="165" fontId="21" fillId="0" borderId="36" xfId="30" applyNumberFormat="1" applyFont="1" applyBorder="1" applyAlignment="1" applyProtection="1">
      <alignment horizontal="center" vertical="top"/>
    </xf>
    <xf numFmtId="165" fontId="21" fillId="0" borderId="13" xfId="30" applyNumberFormat="1" applyFont="1" applyBorder="1" applyAlignment="1" applyProtection="1">
      <alignment horizontal="center" vertical="top"/>
    </xf>
    <xf numFmtId="165" fontId="21" fillId="0" borderId="37" xfId="30" applyNumberFormat="1" applyFont="1" applyBorder="1" applyAlignment="1" applyProtection="1">
      <alignment horizontal="center" vertical="top"/>
    </xf>
    <xf numFmtId="165" fontId="21" fillId="0" borderId="31" xfId="27" applyNumberFormat="1" applyFont="1" applyBorder="1" applyAlignment="1">
      <alignment horizontal="left"/>
    </xf>
    <xf numFmtId="165" fontId="21" fillId="0" borderId="32" xfId="27" applyNumberFormat="1" applyFont="1" applyBorder="1" applyAlignment="1">
      <alignment horizontal="left"/>
    </xf>
    <xf numFmtId="165" fontId="21" fillId="0" borderId="31" xfId="0" applyNumberFormat="1" applyFont="1" applyBorder="1"/>
    <xf numFmtId="165" fontId="21" fillId="0" borderId="32" xfId="0" applyNumberFormat="1" applyFont="1" applyBorder="1"/>
    <xf numFmtId="165" fontId="21" fillId="0" borderId="33" xfId="0" applyNumberFormat="1" applyFont="1" applyBorder="1"/>
    <xf numFmtId="165" fontId="21" fillId="0" borderId="36" xfId="0" applyNumberFormat="1" applyFont="1" applyBorder="1"/>
    <xf numFmtId="165" fontId="21" fillId="0" borderId="13" xfId="0" applyNumberFormat="1" applyFont="1" applyBorder="1"/>
    <xf numFmtId="165" fontId="21" fillId="0" borderId="37" xfId="0" applyNumberFormat="1" applyFont="1" applyBorder="1"/>
    <xf numFmtId="165" fontId="18" fillId="0" borderId="31" xfId="0" applyNumberFormat="1" applyFont="1" applyBorder="1" applyAlignment="1">
      <alignment horizontal="left"/>
    </xf>
    <xf numFmtId="165" fontId="18" fillId="0" borderId="32" xfId="0" applyNumberFormat="1" applyFont="1" applyBorder="1" applyAlignment="1">
      <alignment horizontal="left"/>
    </xf>
    <xf numFmtId="165" fontId="18" fillId="0" borderId="33" xfId="0" applyNumberFormat="1" applyFont="1" applyBorder="1" applyAlignment="1">
      <alignment horizontal="left"/>
    </xf>
    <xf numFmtId="165" fontId="11" fillId="0" borderId="34" xfId="0" applyNumberFormat="1" applyFont="1" applyBorder="1" applyAlignment="1">
      <alignment horizontal="left"/>
    </xf>
    <xf numFmtId="165" fontId="11" fillId="0" borderId="0" xfId="0" applyNumberFormat="1" applyFont="1" applyAlignment="1">
      <alignment horizontal="left"/>
    </xf>
    <xf numFmtId="165" fontId="11" fillId="0" borderId="35" xfId="0" applyNumberFormat="1" applyFont="1" applyBorder="1" applyAlignment="1">
      <alignment horizontal="left"/>
    </xf>
    <xf numFmtId="165" fontId="11" fillId="0" borderId="51" xfId="0" applyNumberFormat="1" applyFont="1" applyBorder="1" applyAlignment="1">
      <alignment horizontal="center" vertical="center"/>
    </xf>
    <xf numFmtId="165" fontId="11" fillId="0" borderId="1" xfId="0" applyNumberFormat="1" applyFont="1" applyBorder="1" applyAlignment="1">
      <alignment horizontal="center" vertical="center"/>
    </xf>
    <xf numFmtId="165" fontId="11" fillId="0" borderId="51" xfId="9" applyFont="1" applyFill="1" applyBorder="1" applyAlignment="1">
      <alignment horizontal="center" vertical="center"/>
    </xf>
    <xf numFmtId="165" fontId="11" fillId="0" borderId="1" xfId="9" applyFont="1" applyFill="1" applyBorder="1" applyAlignment="1">
      <alignment horizontal="center" vertical="center"/>
    </xf>
    <xf numFmtId="165" fontId="11" fillId="0" borderId="26" xfId="9" applyFont="1" applyFill="1" applyBorder="1" applyAlignment="1">
      <alignment horizontal="center" vertical="center" wrapText="1"/>
    </xf>
    <xf numFmtId="165" fontId="11" fillId="0" borderId="50" xfId="9" applyFont="1" applyFill="1" applyBorder="1" applyAlignment="1">
      <alignment horizontal="center" vertical="center" wrapText="1"/>
    </xf>
    <xf numFmtId="165" fontId="11" fillId="0" borderId="15" xfId="0" applyNumberFormat="1" applyFont="1" applyBorder="1" applyAlignment="1">
      <alignment horizontal="center" vertical="center"/>
    </xf>
    <xf numFmtId="165" fontId="11" fillId="0" borderId="28" xfId="0" applyNumberFormat="1" applyFont="1" applyBorder="1" applyAlignment="1">
      <alignment horizontal="center" vertical="center"/>
    </xf>
    <xf numFmtId="165" fontId="11" fillId="0" borderId="51" xfId="9" applyFont="1" applyFill="1" applyBorder="1" applyAlignment="1">
      <alignment horizontal="center" vertical="center" wrapText="1"/>
    </xf>
    <xf numFmtId="165" fontId="11" fillId="0" borderId="1" xfId="9" applyFont="1" applyFill="1" applyBorder="1" applyAlignment="1">
      <alignment horizontal="center" vertical="center" wrapText="1"/>
    </xf>
    <xf numFmtId="165" fontId="11" fillId="0" borderId="17" xfId="9" applyFont="1" applyFill="1" applyBorder="1" applyAlignment="1">
      <alignment horizontal="center" vertical="center"/>
    </xf>
    <xf numFmtId="165" fontId="11" fillId="0" borderId="18" xfId="9" applyFont="1" applyFill="1" applyBorder="1" applyAlignment="1">
      <alignment horizontal="center" vertical="center"/>
    </xf>
    <xf numFmtId="165" fontId="26" fillId="0" borderId="34" xfId="4" applyNumberFormat="1" applyFont="1" applyBorder="1"/>
    <xf numFmtId="165" fontId="26" fillId="0" borderId="0" xfId="4" applyNumberFormat="1" applyFont="1"/>
    <xf numFmtId="165" fontId="21" fillId="0" borderId="44" xfId="9" applyFont="1" applyBorder="1" applyAlignment="1"/>
    <xf numFmtId="165" fontId="21" fillId="0" borderId="46" xfId="9" applyFont="1" applyBorder="1" applyAlignment="1"/>
    <xf numFmtId="165" fontId="21" fillId="0" borderId="31" xfId="11" applyNumberFormat="1" applyFont="1" applyBorder="1" applyAlignment="1">
      <alignment horizontal="center" vertical="center"/>
    </xf>
    <xf numFmtId="165" fontId="21" fillId="0" borderId="32" xfId="11" applyNumberFormat="1" applyFont="1" applyBorder="1" applyAlignment="1">
      <alignment horizontal="center" vertical="center"/>
    </xf>
    <xf numFmtId="165" fontId="21" fillId="0" borderId="33" xfId="11" applyNumberFormat="1" applyFont="1" applyBorder="1" applyAlignment="1">
      <alignment horizontal="center" vertical="center"/>
    </xf>
    <xf numFmtId="165" fontId="21" fillId="0" borderId="36" xfId="11" applyNumberFormat="1" applyFont="1" applyBorder="1" applyAlignment="1">
      <alignment horizontal="center" vertical="center"/>
    </xf>
    <xf numFmtId="165" fontId="21" fillId="0" borderId="13" xfId="11" applyNumberFormat="1" applyFont="1" applyBorder="1" applyAlignment="1">
      <alignment horizontal="center" vertical="center"/>
    </xf>
    <xf numFmtId="165" fontId="21" fillId="0" borderId="37" xfId="11" applyNumberFormat="1" applyFont="1" applyBorder="1" applyAlignment="1">
      <alignment horizontal="center" vertical="center"/>
    </xf>
    <xf numFmtId="165" fontId="21" fillId="0" borderId="44" xfId="11" applyNumberFormat="1" applyFont="1" applyBorder="1" applyAlignment="1">
      <alignment horizontal="center"/>
    </xf>
    <xf numFmtId="165" fontId="21" fillId="0" borderId="45" xfId="11" applyNumberFormat="1" applyFont="1" applyBorder="1" applyAlignment="1">
      <alignment horizontal="center"/>
    </xf>
    <xf numFmtId="165" fontId="21" fillId="0" borderId="46" xfId="11" applyNumberFormat="1" applyFont="1" applyBorder="1" applyAlignment="1">
      <alignment horizontal="center"/>
    </xf>
    <xf numFmtId="165" fontId="21" fillId="0" borderId="44" xfId="4" applyNumberFormat="1" applyFont="1" applyBorder="1" applyAlignment="1">
      <alignment horizontal="center"/>
    </xf>
    <xf numFmtId="165" fontId="21" fillId="0" borderId="45" xfId="4" applyNumberFormat="1" applyFont="1" applyBorder="1" applyAlignment="1">
      <alignment horizontal="center"/>
    </xf>
    <xf numFmtId="165" fontId="21" fillId="0" borderId="45" xfId="9" applyFont="1" applyBorder="1" applyAlignment="1">
      <alignment horizontal="center" wrapText="1"/>
    </xf>
    <xf numFmtId="165" fontId="21" fillId="0" borderId="46" xfId="9" applyFont="1" applyBorder="1" applyAlignment="1">
      <alignment wrapText="1"/>
    </xf>
    <xf numFmtId="0" fontId="0" fillId="4" borderId="0" xfId="0" applyFill="1"/>
    <xf numFmtId="4" fontId="0" fillId="4" borderId="0" xfId="21" applyNumberFormat="1" applyFont="1" applyFill="1"/>
    <xf numFmtId="0" fontId="0" fillId="4" borderId="0" xfId="0" applyFill="1" applyAlignment="1">
      <alignment horizontal="left" indent="1"/>
    </xf>
    <xf numFmtId="165" fontId="1" fillId="2" borderId="20" xfId="40" applyNumberFormat="1" applyFont="1" applyFill="1" applyBorder="1"/>
    <xf numFmtId="165" fontId="26" fillId="2" borderId="3" xfId="0" applyNumberFormat="1" applyFont="1" applyFill="1" applyBorder="1"/>
    <xf numFmtId="165" fontId="26" fillId="2" borderId="27" xfId="0" applyNumberFormat="1" applyFont="1" applyFill="1" applyBorder="1"/>
  </cellXfs>
  <cellStyles count="61">
    <cellStyle name="Comma" xfId="1" builtinId="3"/>
    <cellStyle name="Comma 2" xfId="2" xr:uid="{00000000-0005-0000-0000-000001000000}"/>
    <cellStyle name="Comma 2 2" xfId="9" xr:uid="{00000000-0005-0000-0000-000002000000}"/>
    <cellStyle name="Comma 2 2 2" xfId="10" xr:uid="{00000000-0005-0000-0000-000003000000}"/>
    <cellStyle name="Comma 2 2 2 2" xfId="21" xr:uid="{00000000-0005-0000-0000-000004000000}"/>
    <cellStyle name="Comma 2 2 2 2 2" xfId="52" xr:uid="{AA766D2F-548D-4DE0-A1A7-DEA413F24C7D}"/>
    <cellStyle name="Comma 2 2 3" xfId="20" xr:uid="{00000000-0005-0000-0000-000005000000}"/>
    <cellStyle name="Comma 2 2 3 2" xfId="51" xr:uid="{4FF30639-FAE3-48B0-9C60-6FFE3D786628}"/>
    <cellStyle name="Comma 2 3" xfId="17" xr:uid="{00000000-0005-0000-0000-000006000000}"/>
    <cellStyle name="Comma 2 3 2" xfId="49" xr:uid="{DAEDB0D6-E953-4CCA-A374-E89F288AE889}"/>
    <cellStyle name="Comma 3" xfId="3" xr:uid="{00000000-0005-0000-0000-000007000000}"/>
    <cellStyle name="Comma 3 2" xfId="18" xr:uid="{00000000-0005-0000-0000-000008000000}"/>
    <cellStyle name="Comma 3 2 2" xfId="50" xr:uid="{CD816BBF-E03C-4093-AA14-A2E7C15FA7BC}"/>
    <cellStyle name="Comma 3 3" xfId="39" xr:uid="{00000000-0005-0000-0000-000009000000}"/>
    <cellStyle name="Comma 3 3 2" xfId="58" xr:uid="{E5D50804-0BD3-4F58-AC15-D58430D5BB66}"/>
    <cellStyle name="Comma 4" xfId="16" xr:uid="{00000000-0005-0000-0000-00000A000000}"/>
    <cellStyle name="Comma 4 2" xfId="48" xr:uid="{CC40C40C-3271-4002-A496-221BBC055275}"/>
    <cellStyle name="Comma 5" xfId="26" xr:uid="{00000000-0005-0000-0000-00000B000000}"/>
    <cellStyle name="Comma 5 2" xfId="54" xr:uid="{801D4621-7AFB-4DE4-8662-0A9CCBCDFC5A}"/>
    <cellStyle name="Comma 6" xfId="28" xr:uid="{00000000-0005-0000-0000-00000C000000}"/>
    <cellStyle name="Comma 7" xfId="42" xr:uid="{00000000-0005-0000-0000-00000D000000}"/>
    <cellStyle name="Comma 7 2" xfId="41" xr:uid="{00000000-0005-0000-0000-00000E000000}"/>
    <cellStyle name="Comma 7 2 2" xfId="59" xr:uid="{AD2ED249-A294-455C-A0C5-8E22DC0FB417}"/>
    <cellStyle name="Comma 8" xfId="46" xr:uid="{F7385A35-E809-4BB5-BE54-98ECD056E884}"/>
    <cellStyle name="Comma 9" xfId="36" xr:uid="{00000000-0005-0000-0000-00000F000000}"/>
    <cellStyle name="Comma 9 2" xfId="57" xr:uid="{4FC4572D-7C31-469B-96E8-1C29E1F9D3EF}"/>
    <cellStyle name="Currency [0] 2" xfId="32" xr:uid="{00000000-0005-0000-0000-000010000000}"/>
    <cellStyle name="Currency [0] 2 2" xfId="56" xr:uid="{988E290C-CA0D-4362-A2FB-2B97723CF838}"/>
    <cellStyle name="Excel_BuiltIn_Comma" xfId="37" xr:uid="{00000000-0005-0000-0000-000011000000}"/>
    <cellStyle name="Explanatory Text 2" xfId="30" xr:uid="{00000000-0005-0000-0000-000012000000}"/>
    <cellStyle name="Normal" xfId="0" builtinId="0"/>
    <cellStyle name="Normal 10" xfId="33" xr:uid="{00000000-0005-0000-0000-000014000000}"/>
    <cellStyle name="Normal 10 2" xfId="11" xr:uid="{00000000-0005-0000-0000-000015000000}"/>
    <cellStyle name="Normal 10 2 2" xfId="12" xr:uid="{00000000-0005-0000-0000-000016000000}"/>
    <cellStyle name="Normal 2" xfId="4" xr:uid="{00000000-0005-0000-0000-000017000000}"/>
    <cellStyle name="Normal 2 2" xfId="24" xr:uid="{00000000-0005-0000-0000-000018000000}"/>
    <cellStyle name="Normal 2 2 2" xfId="35" xr:uid="{00000000-0005-0000-0000-000019000000}"/>
    <cellStyle name="Normal 2 3" xfId="31" xr:uid="{00000000-0005-0000-0000-00001A000000}"/>
    <cellStyle name="Normal 2 3 2" xfId="55" xr:uid="{44C7CF57-6CD8-4936-ACAB-BA9373729A74}"/>
    <cellStyle name="Normal 277" xfId="44" xr:uid="{00000000-0005-0000-0000-00001B000000}"/>
    <cellStyle name="Normal 3" xfId="5" xr:uid="{00000000-0005-0000-0000-00001C000000}"/>
    <cellStyle name="Normal 3 2" xfId="34" xr:uid="{00000000-0005-0000-0000-00001D000000}"/>
    <cellStyle name="Normal 3 3" xfId="38" xr:uid="{00000000-0005-0000-0000-00001E000000}"/>
    <cellStyle name="Normal 4" xfId="15" xr:uid="{00000000-0005-0000-0000-00001F000000}"/>
    <cellStyle name="Normal 5" xfId="6" xr:uid="{00000000-0005-0000-0000-000020000000}"/>
    <cellStyle name="Normal 5 4" xfId="45" xr:uid="{B1DA53BC-A1D3-4A6F-8703-30162C977BB1}"/>
    <cellStyle name="Normal 5 4 2" xfId="60" xr:uid="{435AC5DB-F1A9-4F28-AD38-0D8677E90917}"/>
    <cellStyle name="Normal 6" xfId="22" xr:uid="{00000000-0005-0000-0000-000021000000}"/>
    <cellStyle name="Normal 6 2" xfId="40" xr:uid="{00000000-0005-0000-0000-000022000000}"/>
    <cellStyle name="Normal 7" xfId="14" xr:uid="{00000000-0005-0000-0000-000023000000}"/>
    <cellStyle name="Normal 7 2" xfId="23" xr:uid="{00000000-0005-0000-0000-000024000000}"/>
    <cellStyle name="Normal 7 3" xfId="47" xr:uid="{75616138-289F-4657-89C8-DB122DF96BAA}"/>
    <cellStyle name="Normal 8" xfId="25" xr:uid="{00000000-0005-0000-0000-000025000000}"/>
    <cellStyle name="Normal 8 2" xfId="53" xr:uid="{89D59A56-4CA8-4785-AAB9-FA53E92DE956}"/>
    <cellStyle name="Normal 9" xfId="27" xr:uid="{00000000-0005-0000-0000-000026000000}"/>
    <cellStyle name="Normal_Depreciation 3" xfId="8" xr:uid="{00000000-0005-0000-0000-000027000000}"/>
    <cellStyle name="Normal_DSM Soft  Financial as on 31.03.11final-Revised 2" xfId="13" xr:uid="{00000000-0005-0000-0000-000028000000}"/>
    <cellStyle name="Percent" xfId="43" builtinId="5"/>
    <cellStyle name="Percent 2" xfId="7" xr:uid="{00000000-0005-0000-0000-00002A000000}"/>
    <cellStyle name="Percent 2 2" xfId="19" xr:uid="{00000000-0005-0000-0000-00002B000000}"/>
    <cellStyle name="Percent 3" xfId="29" xr:uid="{00000000-0005-0000-0000-00002C00000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70</xdr:row>
      <xdr:rowOff>0</xdr:rowOff>
    </xdr:from>
    <xdr:to>
      <xdr:col>3</xdr:col>
      <xdr:colOff>9525</xdr:colOff>
      <xdr:row>70</xdr:row>
      <xdr:rowOff>9525</xdr:rowOff>
    </xdr:to>
    <xdr:sp macro="" textlink="">
      <xdr:nvSpPr>
        <xdr:cNvPr id="24686" name="AutoShape 19" descr="mail?cmd=cookie">
          <a:extLst>
            <a:ext uri="{FF2B5EF4-FFF2-40B4-BE49-F238E27FC236}">
              <a16:creationId xmlns:a16="http://schemas.microsoft.com/office/drawing/2014/main" id="{00000000-0008-0000-0A00-00006E600000}"/>
            </a:ext>
          </a:extLst>
        </xdr:cNvPr>
        <xdr:cNvSpPr>
          <a:spLocks noChangeAspect="1" noChangeArrowheads="1"/>
        </xdr:cNvSpPr>
      </xdr:nvSpPr>
      <xdr:spPr bwMode="auto">
        <a:xfrm>
          <a:off x="6410325" y="17706975"/>
          <a:ext cx="9525" cy="9525"/>
        </a:xfrm>
        <a:prstGeom prst="rect">
          <a:avLst/>
        </a:prstGeom>
        <a:noFill/>
        <a:ln w="9525">
          <a:no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person displayName="sethu km" id="{A9401235-6F30-44D4-A788-2314D861BDD0}" userId="d017a5c4acb7ccc3" providerId="Windows Liv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40" dT="2023-08-25T06:37:40.91" personId="{A9401235-6F30-44D4-A788-2314D861BDD0}" id="{2D3DBE0A-447F-49F4-843C-4D93A78B82E2}">
    <text>Closing balance to be consider for Ageing</text>
  </threadedComment>
  <threadedComment ref="F40" dT="2023-08-25T06:37:10.03" personId="{A9401235-6F30-44D4-A788-2314D861BDD0}" id="{2BD383A5-065B-4314-B363-5EEE673E0AB0}">
    <text>Closing balance to be consider for Ageing</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3504F-59CE-4A7A-A826-5768C0A97AB8}">
  <dimension ref="A2:C10"/>
  <sheetViews>
    <sheetView showGridLines="0" zoomScaleNormal="100" workbookViewId="0">
      <selection activeCell="A2" sqref="A2"/>
    </sheetView>
  </sheetViews>
  <sheetFormatPr defaultColWidth="8.88671875" defaultRowHeight="13.8"/>
  <cols>
    <col min="1" max="1" width="13.44140625" style="465" bestFit="1" customWidth="1"/>
    <col min="2" max="2" width="12.6640625" style="465" bestFit="1" customWidth="1"/>
    <col min="3" max="3" width="11.6640625" style="465" bestFit="1" customWidth="1"/>
    <col min="4" max="16384" width="8.88671875" style="465"/>
  </cols>
  <sheetData>
    <row r="2" spans="1:3">
      <c r="A2" s="480" t="s">
        <v>0</v>
      </c>
      <c r="B2" s="481">
        <f>+SUMIF(A4:A10,A2,B4:B10)</f>
        <v>1</v>
      </c>
      <c r="C2" s="466">
        <f>+Deno</f>
        <v>1</v>
      </c>
    </row>
    <row r="3" spans="1:3">
      <c r="B3" s="466"/>
    </row>
    <row r="4" spans="1:3">
      <c r="A4" s="465" t="s">
        <v>1</v>
      </c>
      <c r="B4" s="466">
        <v>1000000</v>
      </c>
    </row>
    <row r="5" spans="1:3">
      <c r="A5" s="465" t="s">
        <v>2</v>
      </c>
      <c r="B5" s="466">
        <v>100000</v>
      </c>
    </row>
    <row r="6" spans="1:3">
      <c r="A6" s="465" t="s">
        <v>3</v>
      </c>
      <c r="B6" s="466">
        <v>10000</v>
      </c>
    </row>
    <row r="7" spans="1:3">
      <c r="A7" s="465" t="s">
        <v>4</v>
      </c>
      <c r="B7" s="466">
        <v>1000</v>
      </c>
    </row>
    <row r="8" spans="1:3">
      <c r="A8" s="465" t="s">
        <v>5</v>
      </c>
      <c r="B8" s="466">
        <v>100</v>
      </c>
    </row>
    <row r="9" spans="1:3">
      <c r="A9" s="465" t="s">
        <v>6</v>
      </c>
      <c r="B9" s="466">
        <v>10</v>
      </c>
    </row>
    <row r="10" spans="1:3">
      <c r="A10" s="465" t="s">
        <v>0</v>
      </c>
      <c r="B10" s="466">
        <v>1</v>
      </c>
    </row>
  </sheetData>
  <dataValidations count="1">
    <dataValidation type="list" allowBlank="1" showInputMessage="1" showErrorMessage="1" sqref="A2" xr:uid="{D56F0096-E6AB-4496-A002-CF5CB695EEBB}">
      <formula1>$A$4:$A$10</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857CC-4FD8-423D-845A-DB5B4DC3A111}">
  <dimension ref="A1:C6"/>
  <sheetViews>
    <sheetView workbookViewId="0">
      <selection activeCell="E3" sqref="E3"/>
    </sheetView>
  </sheetViews>
  <sheetFormatPr defaultRowHeight="13.2"/>
  <cols>
    <col min="1" max="1" width="10.33203125" bestFit="1" customWidth="1"/>
    <col min="3" max="3" width="9.88671875" bestFit="1" customWidth="1"/>
  </cols>
  <sheetData>
    <row r="1" spans="1:3">
      <c r="A1" s="2"/>
      <c r="B1" s="2"/>
      <c r="C1" s="2"/>
    </row>
    <row r="2" spans="1:3">
      <c r="A2" s="603" t="s">
        <v>7</v>
      </c>
      <c r="B2" s="603"/>
      <c r="C2" s="603"/>
    </row>
    <row r="3" spans="1:3">
      <c r="A3" s="3" t="s">
        <v>8</v>
      </c>
      <c r="B3" s="3" t="s">
        <v>9</v>
      </c>
      <c r="C3" s="3" t="s">
        <v>10</v>
      </c>
    </row>
    <row r="4" spans="1:3">
      <c r="A4" s="5">
        <v>45747</v>
      </c>
      <c r="B4" s="4" t="s">
        <v>11</v>
      </c>
      <c r="C4" s="4">
        <v>85.424000000000007</v>
      </c>
    </row>
    <row r="5" spans="1:3">
      <c r="A5" s="5">
        <v>45747</v>
      </c>
      <c r="B5" s="4" t="s">
        <v>12</v>
      </c>
      <c r="C5" s="4">
        <v>92.415000000000006</v>
      </c>
    </row>
    <row r="6" spans="1:3">
      <c r="A6" s="5">
        <v>45747</v>
      </c>
      <c r="B6" s="4" t="s">
        <v>13</v>
      </c>
      <c r="C6" s="6">
        <v>110.53</v>
      </c>
    </row>
  </sheetData>
  <mergeCells count="1">
    <mergeCell ref="A2: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R250"/>
  <sheetViews>
    <sheetView showGridLines="0" topLeftCell="A234" zoomScaleNormal="100" workbookViewId="0">
      <selection activeCell="D24" sqref="D24"/>
    </sheetView>
  </sheetViews>
  <sheetFormatPr defaultColWidth="8.88671875" defaultRowHeight="13.8"/>
  <cols>
    <col min="1" max="1" width="9.109375" style="465" customWidth="1"/>
    <col min="2" max="2" width="5.88671875" style="547" bestFit="1" customWidth="1"/>
    <col min="3" max="3" width="67.33203125" style="547" bestFit="1" customWidth="1"/>
    <col min="4" max="5" width="15.109375" style="548" bestFit="1" customWidth="1"/>
    <col min="6" max="6" width="9.6640625" style="547" bestFit="1" customWidth="1"/>
    <col min="7" max="7" width="19.33203125" style="465" bestFit="1" customWidth="1"/>
    <col min="8" max="8" width="16.33203125" style="465" hidden="1" customWidth="1"/>
    <col min="9" max="9" width="58.6640625" style="465" hidden="1" customWidth="1"/>
    <col min="10" max="10" width="8.6640625" style="465" hidden="1" customWidth="1"/>
    <col min="11" max="11" width="12.6640625" style="465" bestFit="1" customWidth="1"/>
    <col min="12" max="12" width="8.88671875" style="465"/>
    <col min="13" max="13" width="35.5546875" style="465" bestFit="1" customWidth="1"/>
    <col min="14" max="14" width="13.33203125" style="465" bestFit="1" customWidth="1"/>
    <col min="15" max="15" width="12.6640625" style="465" bestFit="1" customWidth="1"/>
    <col min="16" max="16" width="11.5546875" style="465" bestFit="1" customWidth="1"/>
    <col min="17" max="17" width="7.6640625" style="465" bestFit="1" customWidth="1"/>
    <col min="18" max="18" width="5.44140625" style="465" bestFit="1" customWidth="1"/>
    <col min="19" max="16384" width="8.88671875" style="465"/>
  </cols>
  <sheetData>
    <row r="2" spans="2:16">
      <c r="B2" s="546" t="s">
        <v>1061</v>
      </c>
      <c r="E2" s="549">
        <f>+D3-E3</f>
        <v>0</v>
      </c>
    </row>
    <row r="3" spans="2:16">
      <c r="D3" s="549">
        <f>+SUM(D5:D1048576)</f>
        <v>2880221.5541136935</v>
      </c>
      <c r="E3" s="549">
        <f>+SUM(E5:E1048576)</f>
        <v>2880221.5541136926</v>
      </c>
    </row>
    <row r="4" spans="2:16">
      <c r="B4" s="546" t="s">
        <v>14</v>
      </c>
      <c r="C4" s="546" t="s">
        <v>15</v>
      </c>
      <c r="D4" s="550" t="s">
        <v>16</v>
      </c>
      <c r="E4" s="550" t="s">
        <v>17</v>
      </c>
      <c r="F4" s="546" t="s">
        <v>18</v>
      </c>
      <c r="M4" s="604" t="s">
        <v>19</v>
      </c>
      <c r="N4" s="605"/>
      <c r="O4" s="605"/>
      <c r="P4" s="606"/>
    </row>
    <row r="5" spans="2:16">
      <c r="D5" s="551"/>
      <c r="E5" s="551"/>
      <c r="M5" s="552" t="s">
        <v>21</v>
      </c>
      <c r="N5" s="552">
        <f>'Statement of Income'!E44</f>
        <v>0</v>
      </c>
      <c r="O5" s="553">
        <f>E135</f>
        <v>3.4924596548080444E-10</v>
      </c>
      <c r="P5" s="553">
        <f>N5-O5</f>
        <v>-3.4924596548080444E-10</v>
      </c>
    </row>
    <row r="6" spans="2:16">
      <c r="B6" s="547">
        <v>1</v>
      </c>
      <c r="C6" s="547" t="s">
        <v>233</v>
      </c>
      <c r="D6" s="551">
        <f>K8</f>
        <v>180753.41250000001</v>
      </c>
      <c r="G6" s="552" t="s">
        <v>1063</v>
      </c>
      <c r="H6" s="552" t="s">
        <v>20</v>
      </c>
      <c r="I6" s="552"/>
      <c r="J6" s="552"/>
      <c r="K6" s="574">
        <v>433808.19</v>
      </c>
      <c r="M6" s="552" t="s">
        <v>23</v>
      </c>
      <c r="N6" s="553">
        <f>'Statement of Income'!E47</f>
        <v>3660953.0300000003</v>
      </c>
      <c r="O6" s="553">
        <f>'TB 25-26'!I62</f>
        <v>3434574.7</v>
      </c>
      <c r="P6" s="553">
        <f>N6-O6</f>
        <v>226378.33000000007</v>
      </c>
    </row>
    <row r="7" spans="2:16">
      <c r="C7" s="555" t="s">
        <v>601</v>
      </c>
      <c r="D7" s="551"/>
      <c r="E7" s="548">
        <f>D6</f>
        <v>180753.41250000001</v>
      </c>
      <c r="G7" s="552" t="s">
        <v>1064</v>
      </c>
      <c r="H7" s="575">
        <v>44109</v>
      </c>
      <c r="I7" s="552" t="s">
        <v>22</v>
      </c>
      <c r="J7" s="553">
        <v>2928</v>
      </c>
      <c r="K7" s="552">
        <v>5</v>
      </c>
    </row>
    <row r="8" spans="2:16" ht="27.6">
      <c r="C8" s="573" t="s">
        <v>1062</v>
      </c>
      <c r="D8" s="551"/>
      <c r="E8" s="551"/>
      <c r="G8" s="576" t="s">
        <v>1065</v>
      </c>
      <c r="H8" s="577">
        <v>44119</v>
      </c>
      <c r="I8" s="576" t="s">
        <v>24</v>
      </c>
      <c r="J8" s="578">
        <v>1500</v>
      </c>
      <c r="K8" s="579">
        <f>K6*K7/12</f>
        <v>180753.41250000001</v>
      </c>
    </row>
    <row r="9" spans="2:16">
      <c r="H9" s="554"/>
      <c r="J9" s="466"/>
    </row>
    <row r="10" spans="2:16">
      <c r="B10" s="547">
        <v>2</v>
      </c>
      <c r="C10" s="556" t="s">
        <v>241</v>
      </c>
      <c r="D10" s="551">
        <f>K12</f>
        <v>59381</v>
      </c>
      <c r="E10" s="551"/>
      <c r="G10" s="552" t="s">
        <v>1066</v>
      </c>
      <c r="H10" s="575">
        <v>44119</v>
      </c>
      <c r="I10" s="552" t="s">
        <v>25</v>
      </c>
      <c r="J10" s="552">
        <v>400</v>
      </c>
      <c r="K10" s="574">
        <v>296905</v>
      </c>
    </row>
    <row r="11" spans="2:16">
      <c r="C11" s="555" t="s">
        <v>559</v>
      </c>
      <c r="D11" s="551"/>
      <c r="E11" s="551">
        <f>D10</f>
        <v>59381</v>
      </c>
      <c r="G11" s="552" t="s">
        <v>1067</v>
      </c>
      <c r="H11" s="575">
        <v>44119</v>
      </c>
      <c r="I11" s="552" t="s">
        <v>26</v>
      </c>
      <c r="J11" s="553">
        <v>1684</v>
      </c>
      <c r="K11" s="552">
        <f>30+31+12</f>
        <v>73</v>
      </c>
      <c r="L11" s="561"/>
    </row>
    <row r="12" spans="2:16" ht="27.6">
      <c r="C12" s="573" t="s">
        <v>1076</v>
      </c>
      <c r="D12" s="551"/>
      <c r="E12" s="551"/>
      <c r="G12" s="576" t="s">
        <v>1065</v>
      </c>
      <c r="H12" s="577">
        <v>44119</v>
      </c>
      <c r="I12" s="576" t="s">
        <v>24</v>
      </c>
      <c r="J12" s="578">
        <v>1500</v>
      </c>
      <c r="K12" s="579">
        <f>K10*K11/365</f>
        <v>59381</v>
      </c>
    </row>
    <row r="13" spans="2:16">
      <c r="C13" s="546"/>
      <c r="D13" s="551"/>
      <c r="E13" s="551"/>
      <c r="H13" s="554">
        <v>44989</v>
      </c>
      <c r="I13" s="465" t="s">
        <v>27</v>
      </c>
      <c r="J13" s="466">
        <v>1550</v>
      </c>
    </row>
    <row r="14" spans="2:16">
      <c r="B14" s="547">
        <v>3</v>
      </c>
      <c r="C14" s="547" t="s">
        <v>601</v>
      </c>
      <c r="D14" s="551">
        <v>130788.226666667</v>
      </c>
      <c r="E14" s="551"/>
    </row>
    <row r="15" spans="2:16">
      <c r="C15" s="555" t="s">
        <v>233</v>
      </c>
      <c r="D15" s="551"/>
      <c r="E15" s="551">
        <f>D14</f>
        <v>130788.226666667</v>
      </c>
      <c r="H15" s="554">
        <v>44032</v>
      </c>
      <c r="J15" s="466">
        <v>4287.05</v>
      </c>
    </row>
    <row r="16" spans="2:16" ht="27.6">
      <c r="C16" s="573" t="s">
        <v>1068</v>
      </c>
      <c r="D16" s="551"/>
      <c r="E16" s="551"/>
      <c r="H16" s="554">
        <v>44119</v>
      </c>
      <c r="I16" s="465" t="s">
        <v>28</v>
      </c>
      <c r="J16" s="466">
        <v>1100</v>
      </c>
    </row>
    <row r="17" spans="2:10">
      <c r="C17" s="556"/>
      <c r="D17" s="551"/>
      <c r="E17" s="551"/>
      <c r="H17" s="554">
        <v>44124</v>
      </c>
      <c r="I17" s="465" t="s">
        <v>29</v>
      </c>
      <c r="J17" s="466">
        <v>2400</v>
      </c>
    </row>
    <row r="18" spans="2:10">
      <c r="B18" s="547">
        <v>4</v>
      </c>
      <c r="C18" s="556" t="s">
        <v>605</v>
      </c>
      <c r="D18" s="551">
        <v>90412</v>
      </c>
      <c r="E18" s="551"/>
      <c r="H18" s="554">
        <v>44965</v>
      </c>
      <c r="I18" s="465" t="s">
        <v>30</v>
      </c>
      <c r="J18" s="466">
        <v>2200</v>
      </c>
    </row>
    <row r="19" spans="2:10">
      <c r="C19" s="556" t="s">
        <v>606</v>
      </c>
      <c r="D19" s="551">
        <v>19308</v>
      </c>
      <c r="E19" s="551"/>
      <c r="H19" s="554">
        <v>44983</v>
      </c>
      <c r="I19" s="465" t="s">
        <v>31</v>
      </c>
      <c r="J19" s="466">
        <v>2500</v>
      </c>
    </row>
    <row r="20" spans="2:10">
      <c r="C20" s="556" t="s">
        <v>607</v>
      </c>
      <c r="D20" s="551">
        <v>32819</v>
      </c>
      <c r="E20" s="551"/>
      <c r="H20" s="554">
        <v>44162</v>
      </c>
      <c r="J20" s="466">
        <v>960</v>
      </c>
    </row>
    <row r="21" spans="2:10">
      <c r="C21" s="547" t="s">
        <v>609</v>
      </c>
      <c r="D21" s="551">
        <v>22039</v>
      </c>
      <c r="E21" s="551"/>
    </row>
    <row r="22" spans="2:10">
      <c r="C22" s="547" t="s">
        <v>610</v>
      </c>
      <c r="D22" s="551">
        <v>99731</v>
      </c>
      <c r="E22" s="551"/>
    </row>
    <row r="23" spans="2:10">
      <c r="C23" s="555" t="s">
        <v>194</v>
      </c>
      <c r="D23" s="551"/>
      <c r="E23" s="551">
        <f>+D18</f>
        <v>90412</v>
      </c>
    </row>
    <row r="24" spans="2:10">
      <c r="C24" s="555" t="s">
        <v>196</v>
      </c>
      <c r="D24" s="551"/>
      <c r="E24" s="551">
        <f>+D19</f>
        <v>19308</v>
      </c>
    </row>
    <row r="25" spans="2:10">
      <c r="C25" s="596" t="s">
        <v>197</v>
      </c>
      <c r="D25" s="551"/>
      <c r="E25" s="551">
        <f>+D20</f>
        <v>32819</v>
      </c>
    </row>
    <row r="26" spans="2:10">
      <c r="C26" s="555" t="s">
        <v>199</v>
      </c>
      <c r="D26" s="551"/>
      <c r="E26" s="551">
        <f>+D21</f>
        <v>22039</v>
      </c>
    </row>
    <row r="27" spans="2:10">
      <c r="C27" s="555" t="s">
        <v>201</v>
      </c>
      <c r="D27" s="558"/>
      <c r="E27" s="558">
        <f>+D22</f>
        <v>99731</v>
      </c>
    </row>
    <row r="28" spans="2:10">
      <c r="C28" s="546" t="s">
        <v>1090</v>
      </c>
      <c r="D28" s="558"/>
      <c r="E28" s="558"/>
    </row>
    <row r="29" spans="2:10">
      <c r="C29" s="557"/>
      <c r="D29" s="558"/>
      <c r="E29" s="558"/>
    </row>
    <row r="30" spans="2:10">
      <c r="B30" s="547">
        <v>5</v>
      </c>
      <c r="C30" s="556" t="s">
        <v>1093</v>
      </c>
      <c r="D30" s="548">
        <v>754.87</v>
      </c>
    </row>
    <row r="31" spans="2:10">
      <c r="C31" s="556" t="s">
        <v>1094</v>
      </c>
      <c r="E31" s="548">
        <v>8139.0169999999998</v>
      </c>
    </row>
    <row r="32" spans="2:10">
      <c r="C32" s="556" t="s">
        <v>1095</v>
      </c>
      <c r="E32" s="548">
        <v>2436.018</v>
      </c>
    </row>
    <row r="33" spans="2:5">
      <c r="C33" s="556" t="s">
        <v>1096</v>
      </c>
      <c r="E33" s="548">
        <v>12149.65</v>
      </c>
    </row>
    <row r="34" spans="2:5">
      <c r="C34" s="557" t="s">
        <v>1097</v>
      </c>
      <c r="E34" s="548">
        <v>782.10799999999995</v>
      </c>
    </row>
    <row r="35" spans="2:5">
      <c r="C35" s="547" t="s">
        <v>1098</v>
      </c>
      <c r="E35" s="548">
        <v>1622.4</v>
      </c>
    </row>
    <row r="36" spans="2:5">
      <c r="C36" s="547" t="s">
        <v>1099</v>
      </c>
      <c r="D36" s="551"/>
      <c r="E36" s="548">
        <v>497.83</v>
      </c>
    </row>
    <row r="37" spans="2:5">
      <c r="C37" s="556" t="s">
        <v>1100</v>
      </c>
      <c r="D37" s="551"/>
      <c r="E37" s="548">
        <v>6808.1019999999999</v>
      </c>
    </row>
    <row r="38" spans="2:5">
      <c r="C38" s="557" t="s">
        <v>1101</v>
      </c>
      <c r="D38" s="551">
        <v>355.59</v>
      </c>
    </row>
    <row r="39" spans="2:5">
      <c r="C39" s="557" t="s">
        <v>399</v>
      </c>
      <c r="D39" s="551">
        <f>+SUM(E30:E38)-SUM(D30:D38)</f>
        <v>31324.665000000001</v>
      </c>
    </row>
    <row r="40" spans="2:5">
      <c r="C40" s="546" t="s">
        <v>1102</v>
      </c>
      <c r="D40" s="551"/>
    </row>
    <row r="41" spans="2:5">
      <c r="D41" s="551"/>
    </row>
    <row r="42" spans="2:5" ht="12.75" customHeight="1">
      <c r="C42" s="556"/>
      <c r="D42" s="551"/>
    </row>
    <row r="43" spans="2:5">
      <c r="B43" s="547">
        <v>6</v>
      </c>
      <c r="C43" s="547" t="s">
        <v>1092</v>
      </c>
      <c r="D43" s="548">
        <v>38844.76</v>
      </c>
    </row>
    <row r="44" spans="2:5">
      <c r="C44" s="555" t="s">
        <v>1103</v>
      </c>
      <c r="D44" s="551"/>
      <c r="E44" s="548">
        <f>+D43</f>
        <v>38844.76</v>
      </c>
    </row>
    <row r="45" spans="2:5">
      <c r="C45" s="597" t="s">
        <v>1104</v>
      </c>
      <c r="D45" s="551"/>
    </row>
    <row r="46" spans="2:5">
      <c r="C46" s="556"/>
      <c r="D46" s="551"/>
      <c r="E46" s="551"/>
    </row>
    <row r="47" spans="2:5">
      <c r="B47" s="547">
        <v>7</v>
      </c>
      <c r="C47" s="547" t="s">
        <v>1147</v>
      </c>
      <c r="D47" s="551"/>
      <c r="E47" s="558">
        <v>1596.3600000000006</v>
      </c>
    </row>
    <row r="48" spans="2:5">
      <c r="C48" s="547" t="s">
        <v>1105</v>
      </c>
      <c r="D48" s="551">
        <v>10378.1</v>
      </c>
      <c r="E48" s="558"/>
    </row>
    <row r="49" spans="3:5">
      <c r="C49" s="547" t="s">
        <v>1107</v>
      </c>
      <c r="D49" s="551"/>
      <c r="E49" s="558">
        <v>569.6600000000326</v>
      </c>
    </row>
    <row r="50" spans="3:5">
      <c r="C50" s="547" t="s">
        <v>1108</v>
      </c>
      <c r="D50" s="551">
        <v>164.75</v>
      </c>
      <c r="E50" s="559"/>
    </row>
    <row r="51" spans="3:5">
      <c r="C51" s="547" t="s">
        <v>1109</v>
      </c>
      <c r="D51" s="551">
        <v>1487.1199999999953</v>
      </c>
      <c r="E51" s="559"/>
    </row>
    <row r="52" spans="3:5">
      <c r="C52" s="547" t="s">
        <v>1110</v>
      </c>
      <c r="D52" s="551"/>
      <c r="E52" s="559">
        <v>1378.539999999979</v>
      </c>
    </row>
    <row r="53" spans="3:5">
      <c r="C53" s="547" t="s">
        <v>1111</v>
      </c>
      <c r="D53" s="551">
        <v>358.43999999999141</v>
      </c>
      <c r="E53" s="559"/>
    </row>
    <row r="54" spans="3:5">
      <c r="C54" s="547" t="s">
        <v>1112</v>
      </c>
      <c r="D54" s="551"/>
      <c r="E54" s="559">
        <v>1131.9199999999983</v>
      </c>
    </row>
    <row r="55" spans="3:5">
      <c r="C55" s="547" t="s">
        <v>1113</v>
      </c>
      <c r="D55" s="551">
        <v>1571.3500000000022</v>
      </c>
      <c r="E55" s="559"/>
    </row>
    <row r="56" spans="3:5">
      <c r="C56" s="547" t="s">
        <v>1114</v>
      </c>
      <c r="D56" s="548">
        <v>122.25</v>
      </c>
    </row>
    <row r="57" spans="3:5">
      <c r="C57" s="547" t="s">
        <v>1115</v>
      </c>
      <c r="D57" s="551">
        <v>525.99</v>
      </c>
    </row>
    <row r="58" spans="3:5">
      <c r="C58" s="547" t="s">
        <v>1116</v>
      </c>
      <c r="D58" s="551">
        <v>5426.3899999998976</v>
      </c>
    </row>
    <row r="59" spans="3:5">
      <c r="C59" s="547" t="s">
        <v>1117</v>
      </c>
      <c r="D59" s="551"/>
      <c r="E59" s="548">
        <v>1623.9700000000012</v>
      </c>
    </row>
    <row r="60" spans="3:5">
      <c r="C60" s="547" t="s">
        <v>1118</v>
      </c>
      <c r="E60" s="551">
        <v>165.5</v>
      </c>
    </row>
    <row r="61" spans="3:5">
      <c r="C61" s="547" t="s">
        <v>1119</v>
      </c>
      <c r="E61" s="551">
        <v>1676.7299999999996</v>
      </c>
    </row>
    <row r="62" spans="3:5">
      <c r="C62" s="547" t="s">
        <v>1120</v>
      </c>
      <c r="D62" s="548">
        <v>451.84999999999854</v>
      </c>
      <c r="E62" s="551"/>
    </row>
    <row r="63" spans="3:5">
      <c r="C63" s="547" t="s">
        <v>1121</v>
      </c>
      <c r="E63" s="551">
        <v>961.77</v>
      </c>
    </row>
    <row r="64" spans="3:5">
      <c r="C64" s="547" t="s">
        <v>1122</v>
      </c>
      <c r="D64" s="548">
        <v>1590.23</v>
      </c>
      <c r="E64" s="551"/>
    </row>
    <row r="65" spans="3:5">
      <c r="C65" s="547" t="s">
        <v>1123</v>
      </c>
      <c r="D65" s="548">
        <v>1814.05</v>
      </c>
      <c r="E65" s="551"/>
    </row>
    <row r="66" spans="3:5">
      <c r="C66" s="547" t="s">
        <v>1124</v>
      </c>
      <c r="D66" s="548">
        <v>513.16</v>
      </c>
      <c r="E66" s="551"/>
    </row>
    <row r="67" spans="3:5">
      <c r="C67" s="547" t="s">
        <v>1125</v>
      </c>
      <c r="D67" s="548">
        <v>786.7</v>
      </c>
      <c r="E67" s="551"/>
    </row>
    <row r="68" spans="3:5">
      <c r="C68" s="547" t="s">
        <v>1126</v>
      </c>
      <c r="D68" s="548">
        <v>1492.16</v>
      </c>
      <c r="E68" s="551"/>
    </row>
    <row r="69" spans="3:5">
      <c r="C69" s="547" t="s">
        <v>1127</v>
      </c>
      <c r="D69" s="548">
        <v>252.25</v>
      </c>
      <c r="E69" s="551"/>
    </row>
    <row r="70" spans="3:5">
      <c r="C70" s="547" t="s">
        <v>1128</v>
      </c>
      <c r="E70" s="551">
        <v>657.43</v>
      </c>
    </row>
    <row r="71" spans="3:5">
      <c r="C71" s="547" t="s">
        <v>1129</v>
      </c>
      <c r="D71" s="548">
        <v>973.55</v>
      </c>
      <c r="E71" s="551"/>
    </row>
    <row r="72" spans="3:5">
      <c r="C72" s="547" t="s">
        <v>1130</v>
      </c>
      <c r="E72" s="551">
        <v>342.49</v>
      </c>
    </row>
    <row r="73" spans="3:5">
      <c r="C73" s="547" t="s">
        <v>1131</v>
      </c>
      <c r="E73" s="551">
        <v>1578.52</v>
      </c>
    </row>
    <row r="74" spans="3:5">
      <c r="C74" s="547" t="s">
        <v>1132</v>
      </c>
      <c r="E74" s="551">
        <v>1936.8</v>
      </c>
    </row>
    <row r="75" spans="3:5">
      <c r="C75" s="547" t="s">
        <v>1133</v>
      </c>
      <c r="E75" s="551">
        <v>427.27</v>
      </c>
    </row>
    <row r="76" spans="3:5">
      <c r="C76" s="547" t="s">
        <v>1134</v>
      </c>
      <c r="D76" s="548">
        <v>83.3</v>
      </c>
      <c r="E76" s="551"/>
    </row>
    <row r="77" spans="3:5">
      <c r="C77" s="547" t="s">
        <v>1135</v>
      </c>
      <c r="D77" s="548">
        <v>179.95</v>
      </c>
      <c r="E77" s="551"/>
    </row>
    <row r="78" spans="3:5">
      <c r="C78" s="547" t="s">
        <v>1136</v>
      </c>
      <c r="E78" s="558">
        <v>1009.33</v>
      </c>
    </row>
    <row r="79" spans="3:5">
      <c r="C79" s="547" t="s">
        <v>1137</v>
      </c>
      <c r="D79" s="548">
        <v>1452.8099999999977</v>
      </c>
    </row>
    <row r="80" spans="3:5">
      <c r="C80" s="547" t="s">
        <v>1138</v>
      </c>
      <c r="D80" s="548">
        <v>224.13000000000466</v>
      </c>
    </row>
    <row r="81" spans="3:5">
      <c r="C81" s="547" t="s">
        <v>1139</v>
      </c>
      <c r="D81" s="548">
        <v>176.30000000000291</v>
      </c>
    </row>
    <row r="82" spans="3:5">
      <c r="C82" s="547" t="s">
        <v>1140</v>
      </c>
      <c r="D82" s="548">
        <v>444.15000000000873</v>
      </c>
    </row>
    <row r="83" spans="3:5">
      <c r="C83" s="547" t="s">
        <v>1141</v>
      </c>
      <c r="E83" s="548">
        <v>312.28000000002794</v>
      </c>
    </row>
    <row r="84" spans="3:5">
      <c r="C84" s="547" t="s">
        <v>1142</v>
      </c>
      <c r="D84" s="548">
        <v>771.30999999999767</v>
      </c>
    </row>
    <row r="85" spans="3:5">
      <c r="C85" s="547" t="s">
        <v>1143</v>
      </c>
      <c r="D85" s="548">
        <v>210.44000000000233</v>
      </c>
    </row>
    <row r="86" spans="3:5">
      <c r="C86" s="547" t="s">
        <v>1095</v>
      </c>
      <c r="D86" s="548">
        <v>790.91999999987456</v>
      </c>
    </row>
    <row r="87" spans="3:5">
      <c r="C87" s="547" t="s">
        <v>1144</v>
      </c>
      <c r="E87" s="548">
        <v>723.71999999999389</v>
      </c>
    </row>
    <row r="88" spans="3:5">
      <c r="C88" s="547" t="s">
        <v>1096</v>
      </c>
      <c r="D88" s="548">
        <v>11047.46999999971</v>
      </c>
    </row>
    <row r="89" spans="3:5">
      <c r="C89" s="547" t="s">
        <v>1098</v>
      </c>
      <c r="E89" s="548">
        <v>182.37</v>
      </c>
    </row>
    <row r="90" spans="3:5">
      <c r="C90" s="547" t="s">
        <v>1099</v>
      </c>
      <c r="D90" s="548">
        <v>19508.03</v>
      </c>
    </row>
    <row r="91" spans="3:5">
      <c r="C91" s="547" t="s">
        <v>1145</v>
      </c>
      <c r="D91" s="548">
        <v>1752.8499999999767</v>
      </c>
    </row>
    <row r="92" spans="3:5">
      <c r="C92" s="547" t="s">
        <v>1146</v>
      </c>
      <c r="D92" s="548">
        <v>1277.160000000149</v>
      </c>
    </row>
    <row r="93" spans="3:5">
      <c r="C93" s="547" t="s">
        <v>1106</v>
      </c>
      <c r="E93" s="548">
        <v>123.43</v>
      </c>
    </row>
    <row r="94" spans="3:5">
      <c r="C94" s="555" t="s">
        <v>397</v>
      </c>
      <c r="E94" s="548">
        <f>+SUM(D47:D93)-SUM(E47:E93)</f>
        <v>49429.069999999578</v>
      </c>
    </row>
    <row r="95" spans="3:5">
      <c r="C95" s="546" t="s">
        <v>1148</v>
      </c>
    </row>
    <row r="96" spans="3:5">
      <c r="C96" s="555"/>
    </row>
    <row r="97" spans="2:7">
      <c r="B97" s="547">
        <v>8</v>
      </c>
      <c r="C97" s="547" t="s">
        <v>1149</v>
      </c>
      <c r="D97" s="548">
        <v>6.5192580223083496E-9</v>
      </c>
      <c r="E97" s="548">
        <v>0</v>
      </c>
    </row>
    <row r="98" spans="2:7">
      <c r="C98" s="547" t="s">
        <v>1150</v>
      </c>
      <c r="D98" s="548">
        <v>0.01</v>
      </c>
      <c r="E98" s="548">
        <v>0</v>
      </c>
    </row>
    <row r="99" spans="2:7">
      <c r="C99" s="547" t="s">
        <v>1151</v>
      </c>
      <c r="D99" s="548">
        <v>2.88</v>
      </c>
      <c r="E99" s="548">
        <v>0</v>
      </c>
    </row>
    <row r="100" spans="2:7">
      <c r="C100" s="547" t="s">
        <v>1152</v>
      </c>
      <c r="D100" s="548">
        <v>0.97999999998137355</v>
      </c>
      <c r="E100" s="548">
        <v>0</v>
      </c>
    </row>
    <row r="101" spans="2:7">
      <c r="C101" s="547" t="s">
        <v>1153</v>
      </c>
      <c r="D101" s="548">
        <v>0</v>
      </c>
      <c r="E101" s="548">
        <v>1.0913936421275139E-10</v>
      </c>
    </row>
    <row r="102" spans="2:7">
      <c r="C102" s="547" t="s">
        <v>1154</v>
      </c>
      <c r="D102" s="548">
        <v>0</v>
      </c>
      <c r="E102" s="548">
        <v>6.8212102632969618E-13</v>
      </c>
    </row>
    <row r="103" spans="2:7">
      <c r="C103" s="547" t="s">
        <v>1155</v>
      </c>
      <c r="D103" s="548">
        <v>5.8207660913467407E-11</v>
      </c>
      <c r="E103" s="548">
        <v>0</v>
      </c>
    </row>
    <row r="104" spans="2:7">
      <c r="C104" s="547" t="s">
        <v>1156</v>
      </c>
      <c r="D104" s="548">
        <v>0</v>
      </c>
      <c r="E104" s="548">
        <v>5.8207660913467407E-11</v>
      </c>
    </row>
    <row r="105" spans="2:7">
      <c r="C105" s="547" t="s">
        <v>1157</v>
      </c>
      <c r="D105" s="548">
        <v>0</v>
      </c>
      <c r="E105" s="548">
        <v>1.1641532182693481E-10</v>
      </c>
    </row>
    <row r="106" spans="2:7">
      <c r="C106" s="547" t="s">
        <v>1158</v>
      </c>
      <c r="D106" s="548">
        <v>0</v>
      </c>
      <c r="E106" s="548">
        <v>0.5</v>
      </c>
    </row>
    <row r="107" spans="2:7">
      <c r="C107" s="547" t="s">
        <v>1159</v>
      </c>
      <c r="D107" s="548">
        <v>1.4551915228366852E-11</v>
      </c>
      <c r="E107" s="548">
        <v>0</v>
      </c>
    </row>
    <row r="108" spans="2:7">
      <c r="C108" s="547" t="s">
        <v>1160</v>
      </c>
      <c r="D108" s="548">
        <v>0</v>
      </c>
      <c r="E108" s="548">
        <v>7.2759576141834259E-12</v>
      </c>
    </row>
    <row r="109" spans="2:7">
      <c r="C109" s="547" t="s">
        <v>1103</v>
      </c>
      <c r="D109" s="548">
        <v>1.3824319466948509E-10</v>
      </c>
      <c r="E109" s="548">
        <v>0</v>
      </c>
      <c r="G109" s="466"/>
    </row>
    <row r="110" spans="2:7" ht="12.75" customHeight="1">
      <c r="C110" s="547" t="s">
        <v>1161</v>
      </c>
      <c r="D110" s="548">
        <v>2.9999999999970894</v>
      </c>
      <c r="E110" s="548">
        <v>0</v>
      </c>
    </row>
    <row r="111" spans="2:7" ht="12.75" customHeight="1">
      <c r="C111" s="547" t="s">
        <v>1162</v>
      </c>
      <c r="D111" s="548">
        <v>0</v>
      </c>
      <c r="E111" s="548">
        <v>1.8189894035458565E-12</v>
      </c>
    </row>
    <row r="112" spans="2:7" ht="12.75" customHeight="1">
      <c r="C112" s="547" t="s">
        <v>1163</v>
      </c>
      <c r="D112" s="548">
        <v>7.9999999870778993E-2</v>
      </c>
      <c r="E112" s="548">
        <v>0</v>
      </c>
    </row>
    <row r="113" spans="3:15" ht="12.75" customHeight="1">
      <c r="C113" s="547" t="s">
        <v>1164</v>
      </c>
      <c r="D113" s="548">
        <v>0</v>
      </c>
      <c r="E113" s="548">
        <v>5.8207660913467407E-11</v>
      </c>
    </row>
    <row r="114" spans="3:15" ht="12.75" customHeight="1">
      <c r="C114" s="547" t="s">
        <v>1165</v>
      </c>
      <c r="D114" s="548">
        <v>0</v>
      </c>
      <c r="E114" s="548">
        <v>5.9371814131736755E-9</v>
      </c>
    </row>
    <row r="115" spans="3:15" ht="12.75" customHeight="1">
      <c r="C115" s="547" t="s">
        <v>1166</v>
      </c>
      <c r="D115" s="558">
        <v>5.1222741603851318E-9</v>
      </c>
      <c r="E115" s="558">
        <v>0</v>
      </c>
    </row>
    <row r="116" spans="3:15" ht="12.75" customHeight="1">
      <c r="C116" s="547" t="s">
        <v>1167</v>
      </c>
      <c r="D116" s="558">
        <v>0.4</v>
      </c>
      <c r="E116" s="558">
        <v>0</v>
      </c>
    </row>
    <row r="117" spans="3:15" ht="12.75" customHeight="1">
      <c r="C117" s="547" t="s">
        <v>1168</v>
      </c>
      <c r="D117" s="558">
        <v>0</v>
      </c>
      <c r="E117" s="558">
        <v>0.28000000000000003</v>
      </c>
    </row>
    <row r="118" spans="3:15">
      <c r="C118" s="547" t="s">
        <v>1169</v>
      </c>
      <c r="D118" s="548">
        <v>0</v>
      </c>
      <c r="E118" s="548">
        <v>5.0931703299283981E-11</v>
      </c>
    </row>
    <row r="119" spans="3:15">
      <c r="C119" s="547" t="s">
        <v>1170</v>
      </c>
      <c r="D119" s="548">
        <v>1.01</v>
      </c>
      <c r="E119" s="548">
        <v>0</v>
      </c>
    </row>
    <row r="120" spans="3:15">
      <c r="C120" s="547" t="s">
        <v>1171</v>
      </c>
      <c r="D120" s="548">
        <v>0</v>
      </c>
      <c r="E120" s="548">
        <v>6.8212102632969618E-13</v>
      </c>
    </row>
    <row r="121" spans="3:15">
      <c r="C121" s="547" t="s">
        <v>1172</v>
      </c>
      <c r="D121" s="548">
        <v>0</v>
      </c>
      <c r="E121" s="548">
        <v>1</v>
      </c>
    </row>
    <row r="122" spans="3:15">
      <c r="C122" s="547" t="s">
        <v>1173</v>
      </c>
      <c r="D122" s="548">
        <v>0</v>
      </c>
      <c r="E122" s="548">
        <v>2.9103830456733704E-11</v>
      </c>
    </row>
    <row r="123" spans="3:15">
      <c r="C123" s="547" t="s">
        <v>1174</v>
      </c>
      <c r="D123" s="548">
        <v>4.7293724492192268E-11</v>
      </c>
      <c r="E123" s="548">
        <v>0</v>
      </c>
    </row>
    <row r="124" spans="3:15">
      <c r="C124" s="547" t="s">
        <v>911</v>
      </c>
      <c r="D124" s="548">
        <v>1.6205012800390994E-9</v>
      </c>
      <c r="E124" s="548">
        <v>0</v>
      </c>
    </row>
    <row r="125" spans="3:15">
      <c r="C125" s="547" t="s">
        <v>1175</v>
      </c>
      <c r="D125" s="548">
        <v>2.6193491819981318E-12</v>
      </c>
      <c r="E125" s="548">
        <v>0</v>
      </c>
    </row>
    <row r="126" spans="3:15">
      <c r="C126" s="547" t="s">
        <v>1176</v>
      </c>
      <c r="D126" s="548">
        <v>0.12</v>
      </c>
      <c r="E126" s="548">
        <v>0</v>
      </c>
      <c r="M126" s="465" t="s">
        <v>32</v>
      </c>
      <c r="N126" s="465">
        <v>1838630</v>
      </c>
    </row>
    <row r="127" spans="3:15">
      <c r="C127" s="547" t="s">
        <v>920</v>
      </c>
      <c r="D127" s="548">
        <v>8.7311491370201111E-11</v>
      </c>
      <c r="E127" s="548">
        <v>0</v>
      </c>
      <c r="M127" s="465" t="s">
        <v>32</v>
      </c>
      <c r="O127" s="465">
        <v>144900</v>
      </c>
    </row>
    <row r="128" spans="3:15">
      <c r="C128" s="547" t="s">
        <v>1177</v>
      </c>
      <c r="D128" s="548">
        <v>3.637978807091713E-12</v>
      </c>
      <c r="E128" s="548">
        <v>0</v>
      </c>
      <c r="M128" s="465" t="s">
        <v>33</v>
      </c>
      <c r="O128" s="465">
        <v>1625627</v>
      </c>
    </row>
    <row r="129" spans="3:18">
      <c r="C129" s="547" t="s">
        <v>1178</v>
      </c>
      <c r="D129" s="548">
        <v>0</v>
      </c>
      <c r="E129" s="548">
        <v>9.3132257461547852E-10</v>
      </c>
      <c r="M129" s="465" t="s">
        <v>34</v>
      </c>
      <c r="O129" s="465">
        <v>68103</v>
      </c>
    </row>
    <row r="130" spans="3:18">
      <c r="C130" s="547" t="s">
        <v>1179</v>
      </c>
      <c r="D130" s="548">
        <v>4.9476533980907789E-12</v>
      </c>
      <c r="E130" s="548">
        <v>0</v>
      </c>
      <c r="N130" s="465">
        <f>SUM(N126:N129)</f>
        <v>1838630</v>
      </c>
      <c r="O130" s="465">
        <f>SUM(O126:O129)</f>
        <v>1838630</v>
      </c>
    </row>
    <row r="131" spans="3:18">
      <c r="C131" s="547" t="s">
        <v>907</v>
      </c>
      <c r="D131" s="548">
        <v>0.29999999999345173</v>
      </c>
      <c r="E131" s="548">
        <v>0</v>
      </c>
    </row>
    <row r="132" spans="3:18">
      <c r="C132" s="547" t="s">
        <v>1180</v>
      </c>
      <c r="D132" s="548">
        <v>0</v>
      </c>
      <c r="E132" s="548">
        <v>4.6566128730773926E-10</v>
      </c>
      <c r="M132" s="465" t="s">
        <v>33</v>
      </c>
      <c r="N132" s="465">
        <f>O128</f>
        <v>1625627</v>
      </c>
    </row>
    <row r="133" spans="3:18">
      <c r="C133" s="547" t="s">
        <v>1181</v>
      </c>
      <c r="D133" s="548">
        <v>0.1</v>
      </c>
      <c r="E133" s="548">
        <v>0</v>
      </c>
      <c r="M133" s="465" t="s">
        <v>34</v>
      </c>
      <c r="N133" s="465">
        <v>68103</v>
      </c>
      <c r="Q133" s="465">
        <f>149120</f>
        <v>149120</v>
      </c>
      <c r="R133" s="465">
        <f>Q133-N134</f>
        <v>4220</v>
      </c>
    </row>
    <row r="134" spans="3:18">
      <c r="C134" s="547" t="s">
        <v>1182</v>
      </c>
      <c r="D134" s="548">
        <v>2.5000000000014553</v>
      </c>
      <c r="E134" s="548">
        <v>0</v>
      </c>
      <c r="M134" s="465" t="s">
        <v>35</v>
      </c>
      <c r="N134" s="465">
        <v>144900</v>
      </c>
    </row>
    <row r="135" spans="3:18">
      <c r="C135" s="547" t="s">
        <v>1183</v>
      </c>
      <c r="D135" s="548">
        <v>0</v>
      </c>
      <c r="E135" s="548">
        <v>3.4924596548080444E-10</v>
      </c>
      <c r="M135" s="465" t="s">
        <v>32</v>
      </c>
    </row>
    <row r="136" spans="3:18">
      <c r="C136" s="547" t="s">
        <v>1184</v>
      </c>
      <c r="D136" s="548">
        <v>2.3646862246096134E-11</v>
      </c>
      <c r="E136" s="548">
        <v>0</v>
      </c>
      <c r="N136" s="465">
        <f>SUM(N132:N135)</f>
        <v>1838630</v>
      </c>
    </row>
    <row r="137" spans="3:18">
      <c r="C137" s="547" t="s">
        <v>1185</v>
      </c>
      <c r="D137" s="548">
        <v>0</v>
      </c>
      <c r="E137" s="548">
        <v>5.8207660913467407E-11</v>
      </c>
    </row>
    <row r="138" spans="3:18">
      <c r="C138" s="547" t="s">
        <v>1186</v>
      </c>
      <c r="D138" s="548">
        <v>0.8000000000001819</v>
      </c>
      <c r="E138" s="548">
        <v>0</v>
      </c>
    </row>
    <row r="139" spans="3:18">
      <c r="C139" s="547" t="s">
        <v>1187</v>
      </c>
      <c r="D139" s="548">
        <v>1.0000000009313226E-2</v>
      </c>
      <c r="E139" s="548">
        <v>0</v>
      </c>
    </row>
    <row r="140" spans="3:18">
      <c r="C140" s="547" t="s">
        <v>1188</v>
      </c>
      <c r="D140" s="548">
        <v>4.6566128730773926E-10</v>
      </c>
      <c r="E140" s="548">
        <v>0</v>
      </c>
    </row>
    <row r="141" spans="3:18">
      <c r="C141" s="547" t="s">
        <v>1189</v>
      </c>
      <c r="D141" s="548">
        <v>4.9999999999417923</v>
      </c>
      <c r="E141" s="548">
        <v>0</v>
      </c>
    </row>
    <row r="142" spans="3:18">
      <c r="C142" s="547" t="s">
        <v>1190</v>
      </c>
      <c r="D142" s="548">
        <v>1.7462298274040222E-10</v>
      </c>
      <c r="E142" s="548">
        <v>0</v>
      </c>
    </row>
    <row r="143" spans="3:18">
      <c r="C143" s="547" t="s">
        <v>1191</v>
      </c>
      <c r="D143" s="548">
        <v>0</v>
      </c>
      <c r="E143" s="548">
        <v>1.1641532182693481E-10</v>
      </c>
    </row>
    <row r="144" spans="3:18">
      <c r="C144" s="547" t="s">
        <v>1192</v>
      </c>
      <c r="D144" s="548">
        <v>0</v>
      </c>
      <c r="E144" s="548">
        <v>2.9103830456733704E-10</v>
      </c>
    </row>
    <row r="145" spans="3:5">
      <c r="C145" s="547" t="s">
        <v>1193</v>
      </c>
      <c r="D145" s="548">
        <v>0</v>
      </c>
      <c r="E145" s="548">
        <v>1.1823431123048067E-11</v>
      </c>
    </row>
    <row r="146" spans="3:5">
      <c r="C146" s="547" t="s">
        <v>1194</v>
      </c>
      <c r="D146" s="548">
        <v>1.4551915228366852E-11</v>
      </c>
      <c r="E146" s="548">
        <v>0</v>
      </c>
    </row>
    <row r="147" spans="3:5">
      <c r="C147" s="547" t="s">
        <v>1195</v>
      </c>
      <c r="D147" s="548">
        <v>0</v>
      </c>
      <c r="E147" s="548">
        <v>5.8207660913467407E-11</v>
      </c>
    </row>
    <row r="148" spans="3:5">
      <c r="C148" s="547" t="s">
        <v>1196</v>
      </c>
      <c r="D148" s="548">
        <v>0.01</v>
      </c>
      <c r="E148" s="548">
        <v>0</v>
      </c>
    </row>
    <row r="149" spans="3:5">
      <c r="C149" s="547" t="s">
        <v>1197</v>
      </c>
      <c r="D149" s="548">
        <v>4.8894435167312622E-9</v>
      </c>
      <c r="E149" s="548">
        <v>0</v>
      </c>
    </row>
    <row r="150" spans="3:5">
      <c r="C150" s="547" t="s">
        <v>1198</v>
      </c>
      <c r="D150" s="548">
        <v>0</v>
      </c>
      <c r="E150" s="548">
        <v>70.850000000005821</v>
      </c>
    </row>
    <row r="151" spans="3:5">
      <c r="C151" s="547" t="s">
        <v>1199</v>
      </c>
      <c r="D151" s="548">
        <v>0</v>
      </c>
      <c r="E151" s="548">
        <v>1.4551915228366852E-11</v>
      </c>
    </row>
    <row r="152" spans="3:5">
      <c r="C152" s="547" t="s">
        <v>1200</v>
      </c>
      <c r="D152" s="548">
        <v>0</v>
      </c>
      <c r="E152" s="548">
        <v>1.999999990221113E-2</v>
      </c>
    </row>
    <row r="153" spans="3:5">
      <c r="C153" s="547" t="s">
        <v>1201</v>
      </c>
      <c r="D153" s="548">
        <v>6.9849193096160889E-10</v>
      </c>
      <c r="E153" s="548">
        <v>0</v>
      </c>
    </row>
    <row r="154" spans="3:5">
      <c r="C154" s="547" t="s">
        <v>1202</v>
      </c>
      <c r="D154" s="548">
        <v>0</v>
      </c>
      <c r="E154" s="548">
        <v>4.6566128730773926E-10</v>
      </c>
    </row>
    <row r="155" spans="3:5">
      <c r="C155" s="547" t="s">
        <v>1203</v>
      </c>
      <c r="D155" s="548">
        <v>0</v>
      </c>
      <c r="E155" s="548">
        <v>9.3132257461547852E-10</v>
      </c>
    </row>
    <row r="156" spans="3:5">
      <c r="C156" s="547" t="s">
        <v>1204</v>
      </c>
      <c r="D156" s="548">
        <v>0</v>
      </c>
      <c r="E156" s="548">
        <v>6</v>
      </c>
    </row>
    <row r="157" spans="3:5">
      <c r="C157" s="547" t="s">
        <v>1205</v>
      </c>
      <c r="D157" s="548">
        <v>0</v>
      </c>
      <c r="E157" s="548">
        <v>7.2759576141834259E-12</v>
      </c>
    </row>
    <row r="158" spans="3:5">
      <c r="C158" s="547" t="s">
        <v>1206</v>
      </c>
      <c r="D158" s="548">
        <v>0.3799999999901047</v>
      </c>
      <c r="E158" s="548">
        <v>0</v>
      </c>
    </row>
    <row r="159" spans="3:5">
      <c r="C159" s="547" t="s">
        <v>1207</v>
      </c>
      <c r="D159" s="548">
        <v>0</v>
      </c>
      <c r="E159" s="548">
        <v>2.9103830456733704E-11</v>
      </c>
    </row>
    <row r="160" spans="3:5">
      <c r="C160" s="547" t="s">
        <v>1208</v>
      </c>
      <c r="D160" s="548">
        <v>0</v>
      </c>
      <c r="E160" s="548">
        <v>2.9558577807620168E-12</v>
      </c>
    </row>
    <row r="161" spans="3:5">
      <c r="C161" s="547" t="s">
        <v>1209</v>
      </c>
      <c r="D161" s="548">
        <v>5.8207660913467407E-11</v>
      </c>
      <c r="E161" s="548">
        <v>0</v>
      </c>
    </row>
    <row r="162" spans="3:5">
      <c r="C162" s="547" t="s">
        <v>1210</v>
      </c>
      <c r="D162" s="548">
        <v>0</v>
      </c>
      <c r="E162" s="548">
        <v>2.9103830456733704E-11</v>
      </c>
    </row>
    <row r="163" spans="3:5">
      <c r="C163" s="547" t="s">
        <v>1211</v>
      </c>
      <c r="D163" s="548">
        <v>0.80000000004656613</v>
      </c>
      <c r="E163" s="548">
        <v>0</v>
      </c>
    </row>
    <row r="164" spans="3:5">
      <c r="C164" s="547" t="s">
        <v>1212</v>
      </c>
      <c r="D164" s="548">
        <v>3.637978807091713E-12</v>
      </c>
      <c r="E164" s="548">
        <v>0</v>
      </c>
    </row>
    <row r="165" spans="3:5">
      <c r="C165" s="547" t="s">
        <v>1213</v>
      </c>
      <c r="D165" s="548">
        <v>3.0000000030267981E-2</v>
      </c>
      <c r="E165" s="548">
        <v>0</v>
      </c>
    </row>
    <row r="166" spans="3:5">
      <c r="C166" s="547" t="s">
        <v>1214</v>
      </c>
      <c r="D166" s="548">
        <v>0</v>
      </c>
      <c r="E166" s="548">
        <v>5.8207660913467407E-11</v>
      </c>
    </row>
    <row r="167" spans="3:5">
      <c r="C167" s="547" t="s">
        <v>1215</v>
      </c>
      <c r="D167" s="548">
        <v>0.63999999995576218</v>
      </c>
      <c r="E167" s="548">
        <v>0</v>
      </c>
    </row>
    <row r="168" spans="3:5">
      <c r="C168" s="547" t="s">
        <v>1216</v>
      </c>
      <c r="D168" s="548">
        <v>5.8207660913467407E-11</v>
      </c>
      <c r="E168" s="548">
        <v>0</v>
      </c>
    </row>
    <row r="169" spans="3:5">
      <c r="C169" s="547" t="s">
        <v>1217</v>
      </c>
      <c r="D169" s="548">
        <v>0</v>
      </c>
      <c r="E169" s="548">
        <v>0.6000000000349246</v>
      </c>
    </row>
    <row r="170" spans="3:5">
      <c r="C170" s="547" t="s">
        <v>1218</v>
      </c>
      <c r="D170" s="548">
        <v>0</v>
      </c>
      <c r="E170" s="548">
        <v>3.637978807091713E-12</v>
      </c>
    </row>
    <row r="171" spans="3:5">
      <c r="C171" s="547" t="s">
        <v>1219</v>
      </c>
      <c r="D171" s="548">
        <v>0.20000000004620233</v>
      </c>
      <c r="E171" s="548">
        <v>0</v>
      </c>
    </row>
    <row r="172" spans="3:5">
      <c r="C172" s="547" t="s">
        <v>1220</v>
      </c>
      <c r="D172" s="548">
        <v>5.8207660913467407E-11</v>
      </c>
      <c r="E172" s="548">
        <v>0</v>
      </c>
    </row>
    <row r="173" spans="3:5">
      <c r="C173" s="547" t="s">
        <v>1221</v>
      </c>
      <c r="D173" s="548">
        <v>0.11999999999534339</v>
      </c>
      <c r="E173" s="548">
        <v>0</v>
      </c>
    </row>
    <row r="174" spans="3:5">
      <c r="C174" s="547" t="s">
        <v>1222</v>
      </c>
      <c r="D174" s="548">
        <v>1.4551915228366852E-11</v>
      </c>
      <c r="E174" s="548">
        <v>0</v>
      </c>
    </row>
    <row r="175" spans="3:5">
      <c r="C175" s="547" t="s">
        <v>1223</v>
      </c>
      <c r="D175" s="548">
        <v>2.3283064365386963E-10</v>
      </c>
      <c r="E175" s="548">
        <v>0</v>
      </c>
    </row>
    <row r="176" spans="3:5">
      <c r="C176" s="547" t="s">
        <v>1224</v>
      </c>
      <c r="D176" s="548">
        <v>4.3655745685100555E-11</v>
      </c>
      <c r="E176" s="548">
        <v>0</v>
      </c>
    </row>
    <row r="177" spans="3:5">
      <c r="C177" s="547" t="s">
        <v>1225</v>
      </c>
      <c r="D177" s="548">
        <v>0</v>
      </c>
      <c r="E177" s="548">
        <v>3.637978807091713E-12</v>
      </c>
    </row>
    <row r="178" spans="3:5">
      <c r="C178" s="547" t="s">
        <v>1226</v>
      </c>
      <c r="D178" s="548">
        <v>0</v>
      </c>
      <c r="E178" s="548">
        <v>1.5</v>
      </c>
    </row>
    <row r="179" spans="3:5">
      <c r="C179" s="547" t="s">
        <v>1227</v>
      </c>
      <c r="D179" s="548">
        <v>0</v>
      </c>
      <c r="E179" s="548">
        <v>2.9103830456733704E-11</v>
      </c>
    </row>
    <row r="180" spans="3:5">
      <c r="C180" s="547" t="s">
        <v>1228</v>
      </c>
      <c r="D180" s="548">
        <v>0.02</v>
      </c>
      <c r="E180" s="548">
        <v>0</v>
      </c>
    </row>
    <row r="181" spans="3:5">
      <c r="C181" s="547" t="s">
        <v>1229</v>
      </c>
      <c r="D181" s="548">
        <v>0</v>
      </c>
      <c r="E181" s="548">
        <v>8.440110832452774E-10</v>
      </c>
    </row>
    <row r="182" spans="3:5">
      <c r="C182" s="547" t="s">
        <v>1230</v>
      </c>
      <c r="D182" s="548">
        <v>0.20000000001164153</v>
      </c>
      <c r="E182" s="548">
        <v>0</v>
      </c>
    </row>
    <row r="183" spans="3:5">
      <c r="C183" s="547" t="s">
        <v>1231</v>
      </c>
      <c r="D183" s="548">
        <v>0</v>
      </c>
      <c r="E183" s="548">
        <v>1.1399999999985084</v>
      </c>
    </row>
    <row r="184" spans="3:5">
      <c r="C184" s="547" t="s">
        <v>1232</v>
      </c>
      <c r="D184" s="548">
        <v>3.57</v>
      </c>
      <c r="E184" s="548">
        <v>0</v>
      </c>
    </row>
    <row r="185" spans="3:5">
      <c r="C185" s="547" t="s">
        <v>1233</v>
      </c>
      <c r="D185" s="548">
        <v>0</v>
      </c>
      <c r="E185" s="548">
        <v>2.9103830456733704E-11</v>
      </c>
    </row>
    <row r="186" spans="3:5">
      <c r="C186" s="547" t="s">
        <v>1234</v>
      </c>
      <c r="D186" s="548">
        <v>4.6566128730773926E-10</v>
      </c>
      <c r="E186" s="548">
        <v>0</v>
      </c>
    </row>
    <row r="187" spans="3:5">
      <c r="C187" s="547" t="s">
        <v>1235</v>
      </c>
      <c r="D187" s="548">
        <v>1.1641532182693481E-10</v>
      </c>
      <c r="E187" s="548">
        <v>0</v>
      </c>
    </row>
    <row r="188" spans="3:5">
      <c r="C188" s="547" t="s">
        <v>1236</v>
      </c>
      <c r="D188" s="548">
        <v>3.637978807091713E-12</v>
      </c>
      <c r="E188" s="548">
        <v>0</v>
      </c>
    </row>
    <row r="189" spans="3:5">
      <c r="C189" s="547" t="s">
        <v>1237</v>
      </c>
      <c r="D189" s="548">
        <v>7.2759576141834259E-11</v>
      </c>
      <c r="E189" s="548">
        <v>0</v>
      </c>
    </row>
    <row r="190" spans="3:5">
      <c r="C190" s="547" t="s">
        <v>1238</v>
      </c>
      <c r="D190" s="548">
        <v>2.9103830456733704E-11</v>
      </c>
      <c r="E190" s="548">
        <v>0</v>
      </c>
    </row>
    <row r="191" spans="3:5">
      <c r="C191" s="547" t="s">
        <v>1239</v>
      </c>
      <c r="D191" s="548">
        <v>0</v>
      </c>
      <c r="E191" s="548">
        <v>4.3655745685100555E-11</v>
      </c>
    </row>
    <row r="192" spans="3:5">
      <c r="C192" s="547" t="s">
        <v>1240</v>
      </c>
      <c r="D192" s="548">
        <v>5.8207660913467407E-11</v>
      </c>
      <c r="E192" s="548">
        <v>0</v>
      </c>
    </row>
    <row r="193" spans="2:5">
      <c r="C193" s="547" t="s">
        <v>1241</v>
      </c>
      <c r="D193" s="548">
        <v>2.3283064365386963E-10</v>
      </c>
      <c r="E193" s="548">
        <v>0</v>
      </c>
    </row>
    <row r="194" spans="2:5">
      <c r="C194" s="547" t="s">
        <v>1242</v>
      </c>
      <c r="D194" s="548">
        <v>0</v>
      </c>
      <c r="E194" s="548">
        <v>1.8189894035458565E-12</v>
      </c>
    </row>
    <row r="195" spans="2:5">
      <c r="C195" s="547" t="s">
        <v>1243</v>
      </c>
      <c r="D195" s="548">
        <v>2.9103830456733704E-11</v>
      </c>
      <c r="E195" s="548">
        <v>0</v>
      </c>
    </row>
    <row r="196" spans="2:5">
      <c r="C196" s="547" t="s">
        <v>1244</v>
      </c>
      <c r="D196" s="548">
        <v>4.6566128730773926E-10</v>
      </c>
      <c r="E196" s="548">
        <v>0</v>
      </c>
    </row>
    <row r="197" spans="2:5">
      <c r="C197" s="547" t="s">
        <v>1245</v>
      </c>
      <c r="D197" s="548">
        <v>1.7462298274040222E-10</v>
      </c>
      <c r="E197" s="548">
        <v>0</v>
      </c>
    </row>
    <row r="198" spans="2:5">
      <c r="C198" s="547" t="s">
        <v>1246</v>
      </c>
      <c r="D198" s="548">
        <v>0</v>
      </c>
      <c r="E198" s="548">
        <v>1.4551915228366852E-11</v>
      </c>
    </row>
    <row r="199" spans="2:5">
      <c r="C199" s="547" t="s">
        <v>1247</v>
      </c>
      <c r="D199" s="548">
        <v>0</v>
      </c>
      <c r="E199" s="548">
        <v>5.8207660913467407E-11</v>
      </c>
    </row>
    <row r="200" spans="2:5">
      <c r="C200" s="547" t="s">
        <v>1248</v>
      </c>
      <c r="D200" s="548">
        <v>0</v>
      </c>
      <c r="E200" s="548">
        <v>4.6566128730773926E-10</v>
      </c>
    </row>
    <row r="201" spans="2:5">
      <c r="C201" s="547" t="s">
        <v>1249</v>
      </c>
      <c r="D201" s="548">
        <v>0</v>
      </c>
      <c r="E201" s="548">
        <v>2.3283064365386963E-10</v>
      </c>
    </row>
    <row r="202" spans="2:5">
      <c r="C202" s="555" t="s">
        <v>406</v>
      </c>
      <c r="D202" s="548">
        <f>+SUM(E97:E201)-SUM(D97:D201)</f>
        <v>58.729999989983547</v>
      </c>
    </row>
    <row r="203" spans="2:5">
      <c r="C203" s="546" t="s">
        <v>1148</v>
      </c>
    </row>
    <row r="205" spans="2:5">
      <c r="B205" s="547">
        <v>9</v>
      </c>
      <c r="C205" s="547" t="s">
        <v>259</v>
      </c>
      <c r="D205" s="548">
        <v>1481780</v>
      </c>
    </row>
    <row r="206" spans="2:5">
      <c r="C206" s="555" t="s">
        <v>289</v>
      </c>
      <c r="E206" s="548">
        <f>+D205</f>
        <v>1481780</v>
      </c>
    </row>
    <row r="207" spans="2:5">
      <c r="C207" s="546" t="s">
        <v>1250</v>
      </c>
    </row>
    <row r="208" spans="2:5">
      <c r="C208" s="555"/>
    </row>
    <row r="209" spans="2:5">
      <c r="B209" s="547">
        <v>10</v>
      </c>
      <c r="C209" s="547" t="s">
        <v>1251</v>
      </c>
      <c r="D209" s="548">
        <v>943.87000000000262</v>
      </c>
    </row>
    <row r="210" spans="2:5">
      <c r="C210" s="547" t="s">
        <v>1252</v>
      </c>
      <c r="E210" s="548">
        <v>5403.4</v>
      </c>
    </row>
    <row r="211" spans="2:5">
      <c r="C211" s="547" t="s">
        <v>1253</v>
      </c>
      <c r="E211" s="548">
        <v>7006.7200000000012</v>
      </c>
    </row>
    <row r="212" spans="2:5">
      <c r="C212" s="547" t="s">
        <v>1254</v>
      </c>
      <c r="E212" s="548">
        <v>35897.659999999974</v>
      </c>
    </row>
    <row r="213" spans="2:5">
      <c r="C213" s="547" t="s">
        <v>612</v>
      </c>
      <c r="D213" s="548">
        <f>+SUM(E210:E212)-D209</f>
        <v>47363.909999999974</v>
      </c>
    </row>
    <row r="214" spans="2:5">
      <c r="C214" s="546" t="s">
        <v>1257</v>
      </c>
    </row>
    <row r="216" spans="2:5">
      <c r="B216" s="547">
        <v>11</v>
      </c>
      <c r="C216" s="547" t="s">
        <v>1101</v>
      </c>
      <c r="D216" s="548">
        <v>94129.309433308037</v>
      </c>
    </row>
    <row r="217" spans="2:5">
      <c r="C217" s="547" t="s">
        <v>1255</v>
      </c>
      <c r="D217" s="548">
        <v>23560.620513701229</v>
      </c>
    </row>
    <row r="218" spans="2:5">
      <c r="C218" s="547" t="s">
        <v>402</v>
      </c>
      <c r="E218" s="548">
        <f>+D216+D217</f>
        <v>117689.92994700927</v>
      </c>
    </row>
    <row r="219" spans="2:5">
      <c r="C219" s="546" t="s">
        <v>1256</v>
      </c>
    </row>
    <row r="221" spans="2:5">
      <c r="B221" s="547">
        <v>12</v>
      </c>
      <c r="C221" s="547" t="s">
        <v>1258</v>
      </c>
      <c r="D221" s="548">
        <v>0</v>
      </c>
      <c r="E221" s="548">
        <v>4.1909515857696533E-9</v>
      </c>
    </row>
    <row r="222" spans="2:5">
      <c r="C222" s="547" t="s">
        <v>1259</v>
      </c>
      <c r="D222" s="548">
        <v>0</v>
      </c>
      <c r="E222" s="548">
        <v>5.8207660913467407E-10</v>
      </c>
    </row>
    <row r="223" spans="2:5">
      <c r="C223" s="547" t="s">
        <v>1260</v>
      </c>
      <c r="D223" s="548">
        <v>2.6921043172478676E-10</v>
      </c>
      <c r="E223" s="548">
        <v>0</v>
      </c>
    </row>
    <row r="224" spans="2:5">
      <c r="C224" s="547" t="s">
        <v>1261</v>
      </c>
      <c r="D224" s="548">
        <v>0</v>
      </c>
      <c r="E224" s="548">
        <v>4.6566128730773926E-10</v>
      </c>
    </row>
    <row r="225" spans="2:5">
      <c r="C225" s="547" t="s">
        <v>1262</v>
      </c>
      <c r="D225" s="548">
        <v>1.0186340659856796E-10</v>
      </c>
      <c r="E225" s="548">
        <v>0</v>
      </c>
    </row>
    <row r="226" spans="2:5">
      <c r="C226" s="547" t="s">
        <v>928</v>
      </c>
      <c r="D226" s="548">
        <v>0</v>
      </c>
      <c r="E226" s="548">
        <v>1.7462298274040222E-10</v>
      </c>
    </row>
    <row r="227" spans="2:5">
      <c r="C227" s="547" t="s">
        <v>1263</v>
      </c>
      <c r="D227" s="548">
        <v>0</v>
      </c>
      <c r="E227" s="548">
        <v>2.1827872842550278E-11</v>
      </c>
    </row>
    <row r="228" spans="2:5">
      <c r="C228" s="547" t="s">
        <v>1264</v>
      </c>
      <c r="D228" s="548">
        <v>5.8207660913467407E-11</v>
      </c>
      <c r="E228" s="548">
        <v>0</v>
      </c>
    </row>
    <row r="229" spans="2:5">
      <c r="C229" s="547" t="s">
        <v>1265</v>
      </c>
      <c r="D229" s="548">
        <v>1.8189894035458565E-12</v>
      </c>
      <c r="E229" s="548">
        <v>0</v>
      </c>
    </row>
    <row r="230" spans="2:5">
      <c r="C230" s="547" t="s">
        <v>1266</v>
      </c>
      <c r="D230" s="548">
        <v>0</v>
      </c>
      <c r="E230" s="548">
        <v>3.637978807091713E-12</v>
      </c>
    </row>
    <row r="231" spans="2:5">
      <c r="C231" s="547" t="s">
        <v>1092</v>
      </c>
      <c r="D231" s="548">
        <v>3.637978807091713E-12</v>
      </c>
      <c r="E231" s="548">
        <v>0</v>
      </c>
    </row>
    <row r="232" spans="2:5">
      <c r="C232" s="547" t="s">
        <v>1267</v>
      </c>
      <c r="D232" s="548">
        <v>0</v>
      </c>
      <c r="E232" s="548">
        <v>0.97999999999956344</v>
      </c>
    </row>
    <row r="233" spans="2:5">
      <c r="C233" s="547" t="s">
        <v>1268</v>
      </c>
      <c r="D233" s="548">
        <v>0.34</v>
      </c>
      <c r="E233" s="548">
        <v>0</v>
      </c>
    </row>
    <row r="234" spans="2:5">
      <c r="C234" s="547" t="s">
        <v>1269</v>
      </c>
      <c r="D234" s="548">
        <v>0</v>
      </c>
      <c r="E234" s="548">
        <v>22.290000000026339</v>
      </c>
    </row>
    <row r="235" spans="2:5">
      <c r="C235" s="547" t="s">
        <v>1270</v>
      </c>
      <c r="D235" s="548">
        <v>1.0186340659856796E-10</v>
      </c>
      <c r="E235" s="548">
        <v>0</v>
      </c>
    </row>
    <row r="236" spans="2:5">
      <c r="C236" s="555" t="s">
        <v>406</v>
      </c>
      <c r="D236" s="548">
        <f>SUM(E221:E235)-SUM(D221:D235)</f>
        <v>22.930000004928079</v>
      </c>
    </row>
    <row r="237" spans="2:5">
      <c r="C237" s="546" t="s">
        <v>1271</v>
      </c>
    </row>
    <row r="239" spans="2:5">
      <c r="B239" s="547">
        <v>13</v>
      </c>
      <c r="C239" s="792" t="s">
        <v>297</v>
      </c>
      <c r="D239" s="793">
        <v>225000</v>
      </c>
      <c r="E239" s="793"/>
    </row>
    <row r="240" spans="2:5">
      <c r="C240" s="794" t="s">
        <v>230</v>
      </c>
      <c r="D240" s="793"/>
      <c r="E240" s="793">
        <f>+D239</f>
        <v>225000</v>
      </c>
    </row>
    <row r="241" spans="2:5">
      <c r="C241" s="546" t="s">
        <v>1272</v>
      </c>
    </row>
    <row r="243" spans="2:5">
      <c r="B243" s="547">
        <v>14</v>
      </c>
      <c r="C243" s="547" t="s">
        <v>551</v>
      </c>
      <c r="D243" s="548">
        <v>100000</v>
      </c>
    </row>
    <row r="244" spans="2:5">
      <c r="C244" s="547" t="s">
        <v>553</v>
      </c>
      <c r="D244" s="548">
        <v>125000</v>
      </c>
    </row>
    <row r="245" spans="2:5">
      <c r="C245" s="794" t="s">
        <v>297</v>
      </c>
      <c r="E245" s="548">
        <f>+SUM(D243:D244)</f>
        <v>225000</v>
      </c>
    </row>
    <row r="246" spans="2:5">
      <c r="C246" s="546" t="s">
        <v>1273</v>
      </c>
    </row>
    <row r="248" spans="2:5">
      <c r="B248" s="547">
        <v>15</v>
      </c>
      <c r="C248" s="547" t="s">
        <v>571</v>
      </c>
      <c r="D248" s="548">
        <v>10000</v>
      </c>
    </row>
    <row r="249" spans="2:5">
      <c r="C249" s="547" t="s">
        <v>230</v>
      </c>
      <c r="E249" s="548">
        <v>10000</v>
      </c>
    </row>
    <row r="250" spans="2:5">
      <c r="C250" s="546" t="s">
        <v>1274</v>
      </c>
    </row>
  </sheetData>
  <mergeCells count="1">
    <mergeCell ref="M4:P4"/>
  </mergeCells>
  <conditionalFormatting sqref="P5:P6">
    <cfRule type="cellIs" dxfId="6" priority="1" operator="notEqual">
      <formula>0</formula>
    </cfRule>
    <cfRule type="cellIs" dxfId="5" priority="2" operator="equal">
      <formula>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XEI349"/>
  <sheetViews>
    <sheetView showGridLines="0" zoomScaleNormal="100" workbookViewId="0">
      <pane xSplit="4" ySplit="6" topLeftCell="J93" activePane="bottomRight" state="frozen"/>
      <selection pane="topRight"/>
      <selection pane="bottomLeft"/>
      <selection pane="bottomRight" activeCell="M288" sqref="M288"/>
    </sheetView>
  </sheetViews>
  <sheetFormatPr defaultColWidth="8" defaultRowHeight="13.8"/>
  <cols>
    <col min="1" max="1" width="2.33203125" style="465" customWidth="1"/>
    <col min="2" max="2" width="4.109375" style="465" customWidth="1"/>
    <col min="3" max="3" width="2.6640625" style="465" customWidth="1"/>
    <col min="4" max="4" width="38.44140625" style="465" customWidth="1"/>
    <col min="5" max="5" width="17" style="227" customWidth="1"/>
    <col min="6" max="6" width="17.6640625" style="227" customWidth="1"/>
    <col min="7" max="7" width="17" style="227" customWidth="1"/>
    <col min="8" max="8" width="17.6640625" style="227" customWidth="1"/>
    <col min="9" max="9" width="17" style="227" customWidth="1"/>
    <col min="10" max="10" width="17.6640625" style="227" customWidth="1"/>
    <col min="11" max="12" width="17" style="227" customWidth="1"/>
    <col min="13" max="14" width="13" style="463" customWidth="1"/>
    <col min="15" max="15" width="17" style="227" customWidth="1"/>
    <col min="16" max="16" width="17.6640625" style="227" customWidth="1"/>
    <col min="17" max="17" width="40.88671875" style="465" bestFit="1" customWidth="1"/>
    <col min="18" max="18" width="14.77734375" style="465" bestFit="1" customWidth="1"/>
    <col min="19" max="19" width="12.6640625" style="465" customWidth="1"/>
    <col min="20" max="20" width="26.6640625" style="465" bestFit="1" customWidth="1"/>
    <col min="21" max="21" width="24.6640625" style="465" bestFit="1" customWidth="1"/>
    <col min="22" max="22" width="13.88671875" style="478" bestFit="1" customWidth="1"/>
    <col min="23" max="23" width="15.5546875" style="478" bestFit="1" customWidth="1"/>
    <col min="24" max="24" width="14.109375" style="465" bestFit="1" customWidth="1"/>
    <col min="25" max="16384" width="8" style="465"/>
  </cols>
  <sheetData>
    <row r="1" spans="1:24">
      <c r="A1" s="541"/>
      <c r="B1" s="508"/>
      <c r="C1" s="508"/>
      <c r="D1" s="462"/>
      <c r="F1" s="227">
        <f>+F2-E2</f>
        <v>500000</v>
      </c>
      <c r="H1" s="227">
        <f>+H2-G2</f>
        <v>725000</v>
      </c>
      <c r="J1" s="227">
        <f>+J2-I2</f>
        <v>-235000</v>
      </c>
      <c r="L1" s="227">
        <f>+L2-K2</f>
        <v>490000</v>
      </c>
      <c r="N1" s="464">
        <f>+N2-M2</f>
        <v>10000</v>
      </c>
      <c r="P1" s="227">
        <f>(O2-P2)*Deno</f>
        <v>-500000</v>
      </c>
      <c r="Q1" s="465">
        <v>75015376.208867997</v>
      </c>
      <c r="R1" s="227">
        <f>+P1-Q1</f>
        <v>-75515376.208867997</v>
      </c>
      <c r="S1" s="466"/>
      <c r="T1" s="467"/>
    </row>
    <row r="2" spans="1:24" ht="14.4">
      <c r="D2" s="468"/>
      <c r="E2" s="469">
        <f t="shared" ref="E2:P2" si="0">SUBTOTAL(9,E6:E344)</f>
        <v>225000</v>
      </c>
      <c r="F2" s="469">
        <f t="shared" si="0"/>
        <v>725000</v>
      </c>
      <c r="G2" s="469">
        <f t="shared" si="0"/>
        <v>0</v>
      </c>
      <c r="H2" s="469">
        <f t="shared" si="0"/>
        <v>725000</v>
      </c>
      <c r="I2" s="469">
        <f t="shared" si="0"/>
        <v>235000</v>
      </c>
      <c r="J2" s="469">
        <f t="shared" si="0"/>
        <v>0</v>
      </c>
      <c r="K2" s="469">
        <f t="shared" si="0"/>
        <v>235000</v>
      </c>
      <c r="L2" s="469">
        <f t="shared" si="0"/>
        <v>725000</v>
      </c>
      <c r="M2" s="464">
        <f t="shared" si="0"/>
        <v>450000</v>
      </c>
      <c r="N2" s="464">
        <f t="shared" si="0"/>
        <v>460000</v>
      </c>
      <c r="O2" s="464">
        <f t="shared" si="0"/>
        <v>225000</v>
      </c>
      <c r="P2" s="464">
        <f t="shared" si="0"/>
        <v>725000</v>
      </c>
      <c r="S2" s="467"/>
      <c r="U2" s="467"/>
      <c r="X2" s="542"/>
    </row>
    <row r="3" spans="1:24">
      <c r="E3" s="601" t="s">
        <v>179</v>
      </c>
      <c r="F3" s="601"/>
      <c r="G3" s="600" t="s">
        <v>180</v>
      </c>
      <c r="H3" s="600"/>
      <c r="I3" s="600" t="s">
        <v>181</v>
      </c>
      <c r="J3" s="600"/>
      <c r="K3" s="600" t="s">
        <v>182</v>
      </c>
      <c r="L3" s="600"/>
      <c r="M3" s="602" t="s">
        <v>183</v>
      </c>
      <c r="N3" s="602"/>
      <c r="O3" s="600" t="s">
        <v>179</v>
      </c>
      <c r="P3" s="600"/>
    </row>
    <row r="4" spans="1:24">
      <c r="D4" s="470" t="s">
        <v>15</v>
      </c>
      <c r="E4" s="598" t="s">
        <v>184</v>
      </c>
      <c r="F4" s="598"/>
      <c r="G4" s="599" t="s">
        <v>185</v>
      </c>
      <c r="H4" s="599"/>
      <c r="I4" s="599" t="s">
        <v>185</v>
      </c>
      <c r="J4" s="599"/>
      <c r="K4" s="599" t="s">
        <v>185</v>
      </c>
      <c r="L4" s="599"/>
      <c r="M4" s="599" t="s">
        <v>185</v>
      </c>
      <c r="N4" s="599"/>
      <c r="O4" s="599" t="s">
        <v>185</v>
      </c>
      <c r="P4" s="599"/>
    </row>
    <row r="5" spans="1:24">
      <c r="D5" s="470"/>
      <c r="E5" s="471" t="s">
        <v>16</v>
      </c>
      <c r="F5" s="471" t="s">
        <v>17</v>
      </c>
      <c r="G5" s="472" t="s">
        <v>16</v>
      </c>
      <c r="H5" s="472" t="s">
        <v>17</v>
      </c>
      <c r="I5" s="472" t="s">
        <v>16</v>
      </c>
      <c r="J5" s="472" t="s">
        <v>17</v>
      </c>
      <c r="K5" s="472" t="s">
        <v>16</v>
      </c>
      <c r="L5" s="472" t="s">
        <v>17</v>
      </c>
      <c r="M5" s="473" t="s">
        <v>16</v>
      </c>
      <c r="N5" s="473" t="s">
        <v>17</v>
      </c>
      <c r="O5" s="472" t="s">
        <v>16</v>
      </c>
      <c r="P5" s="472" t="s">
        <v>17</v>
      </c>
      <c r="Q5" s="474" t="s">
        <v>186</v>
      </c>
      <c r="R5" s="474" t="s">
        <v>1089</v>
      </c>
      <c r="S5" s="474" t="s">
        <v>187</v>
      </c>
      <c r="T5" s="474" t="s">
        <v>188</v>
      </c>
      <c r="U5" s="474" t="s">
        <v>189</v>
      </c>
    </row>
    <row r="6" spans="1:24" hidden="1">
      <c r="A6" s="475" t="s">
        <v>190</v>
      </c>
      <c r="B6" s="475"/>
      <c r="C6" s="475"/>
      <c r="D6" s="475"/>
      <c r="U6" s="465" t="s">
        <v>191</v>
      </c>
      <c r="V6" s="465"/>
      <c r="W6" s="465"/>
    </row>
    <row r="7" spans="1:24" hidden="1">
      <c r="A7" s="543"/>
      <c r="B7" s="475" t="s">
        <v>192</v>
      </c>
      <c r="C7" s="475"/>
      <c r="D7" s="475"/>
      <c r="E7" s="465"/>
      <c r="N7" s="464"/>
      <c r="O7" s="469"/>
      <c r="P7" s="469"/>
      <c r="V7" s="465"/>
      <c r="W7" s="465"/>
    </row>
    <row r="8" spans="1:24" ht="15" hidden="1" customHeight="1">
      <c r="A8" s="543"/>
      <c r="B8" s="543"/>
      <c r="C8" s="475" t="s">
        <v>193</v>
      </c>
      <c r="D8" s="475"/>
      <c r="N8" s="464"/>
      <c r="O8" s="469"/>
      <c r="P8" s="469"/>
      <c r="V8" s="465"/>
      <c r="W8" s="465"/>
    </row>
    <row r="9" spans="1:24" ht="15" hidden="1" customHeight="1">
      <c r="A9" s="543"/>
      <c r="B9" s="543"/>
      <c r="C9" s="543"/>
      <c r="D9" s="476" t="s">
        <v>194</v>
      </c>
      <c r="E9" s="561">
        <v>123688.08933320991</v>
      </c>
      <c r="F9" s="561">
        <v>0</v>
      </c>
      <c r="G9" s="561">
        <f>+E9</f>
        <v>123688.08933320991</v>
      </c>
      <c r="H9" s="227">
        <f>+F9</f>
        <v>0</v>
      </c>
      <c r="I9" s="469">
        <v>162329</v>
      </c>
      <c r="J9" s="227">
        <v>0</v>
      </c>
      <c r="K9" s="462">
        <f>+IF((G9+I9-H9-J9&gt;0),G9+I9-H9-J9,0)</f>
        <v>286017.08933320991</v>
      </c>
      <c r="L9" s="462">
        <f>+IF((H9+J9-G9-I9)&gt;0,H9+J9-G9-I9,0)</f>
        <v>0</v>
      </c>
      <c r="M9" s="464">
        <f>SUMIF('Audit entry'!$C:$C,'TB 25-26'!$D9,'Audit entry'!$D:$D)</f>
        <v>0</v>
      </c>
      <c r="N9" s="464">
        <f>SUMIF('Audit entry'!$C:$C,'TB 25-26'!$D9,'Audit entry'!$E:$E)</f>
        <v>90412</v>
      </c>
      <c r="O9" s="462">
        <f t="shared" ref="O9" si="1">+IF((K9+M9-L9-N9&gt;0),K9+M9-L9-N9,0)/Deno</f>
        <v>195605.08933320991</v>
      </c>
      <c r="P9" s="462">
        <f t="shared" ref="P9" si="2">+IF((L9+N9-K9-M9)&gt;0,L9+N9-K9-M9,0)/Deno</f>
        <v>0</v>
      </c>
      <c r="Q9" s="465" t="s">
        <v>195</v>
      </c>
      <c r="R9" s="465" t="s">
        <v>1088</v>
      </c>
      <c r="S9" s="465">
        <v>9</v>
      </c>
      <c r="T9" s="465" t="s">
        <v>195</v>
      </c>
      <c r="V9" s="465"/>
      <c r="W9" s="465"/>
    </row>
    <row r="10" spans="1:24" ht="15" hidden="1" customHeight="1">
      <c r="A10" s="543"/>
      <c r="B10" s="543"/>
      <c r="C10" s="543"/>
      <c r="D10" s="476" t="s">
        <v>196</v>
      </c>
      <c r="E10" s="561">
        <v>45020.486257462995</v>
      </c>
      <c r="F10" s="561">
        <v>0</v>
      </c>
      <c r="G10" s="561">
        <f t="shared" ref="G10:G73" si="3">+E10</f>
        <v>45020.486257462995</v>
      </c>
      <c r="H10" s="227">
        <f t="shared" ref="H10:H73" si="4">+F10</f>
        <v>0</v>
      </c>
      <c r="I10" s="469">
        <v>0</v>
      </c>
      <c r="J10" s="227">
        <v>0</v>
      </c>
      <c r="K10" s="462">
        <f t="shared" ref="K10:K74" si="5">+IF((G10+I10-H10-J10&gt;0),G10+I10-H10-J10,0)</f>
        <v>45020.486257462995</v>
      </c>
      <c r="L10" s="462">
        <f t="shared" ref="L10:L74" si="6">+IF((H10+J10-G10-I10)&gt;0,H10+J10-G10-I10,0)</f>
        <v>0</v>
      </c>
      <c r="M10" s="464">
        <f>SUMIF('Audit entry'!$C:$C,'TB 25-26'!$D10,'Audit entry'!$D:$D)</f>
        <v>0</v>
      </c>
      <c r="N10" s="464">
        <f>SUMIF('Audit entry'!$C:$C,'TB 25-26'!$D10,'Audit entry'!$E:$E)</f>
        <v>19308</v>
      </c>
      <c r="O10" s="462">
        <f t="shared" ref="O10:O74" si="7">+IF((K10+M10-L10-N10&gt;0),K10+M10-L10-N10,0)/Deno</f>
        <v>25712.486257462995</v>
      </c>
      <c r="P10" s="462">
        <f t="shared" ref="P10:P74" si="8">+IF((L10+N10-K10-M10)&gt;0,L10+N10-K10-M10,0)/Deno</f>
        <v>0</v>
      </c>
      <c r="Q10" s="465" t="s">
        <v>195</v>
      </c>
      <c r="R10" s="465" t="s">
        <v>1088</v>
      </c>
      <c r="S10" s="465">
        <v>9</v>
      </c>
      <c r="T10" s="465" t="s">
        <v>195</v>
      </c>
      <c r="V10" s="465"/>
      <c r="W10" s="465"/>
    </row>
    <row r="11" spans="1:24" ht="15" hidden="1" customHeight="1">
      <c r="A11" s="543"/>
      <c r="B11" s="543"/>
      <c r="C11" s="543"/>
      <c r="D11" s="476" t="s">
        <v>197</v>
      </c>
      <c r="E11" s="561">
        <v>93521.8611420698</v>
      </c>
      <c r="F11" s="561">
        <v>0</v>
      </c>
      <c r="G11" s="561">
        <f t="shared" si="3"/>
        <v>93521.8611420698</v>
      </c>
      <c r="H11" s="227">
        <f t="shared" si="4"/>
        <v>0</v>
      </c>
      <c r="I11" s="469">
        <v>94800</v>
      </c>
      <c r="J11" s="227">
        <v>0</v>
      </c>
      <c r="K11" s="462">
        <f t="shared" si="5"/>
        <v>188321.8611420698</v>
      </c>
      <c r="L11" s="462">
        <f t="shared" si="6"/>
        <v>0</v>
      </c>
      <c r="M11" s="464">
        <f>SUMIF('Audit entry'!$C:$C,'TB 25-26'!$D11,'Audit entry'!$D:$D)</f>
        <v>0</v>
      </c>
      <c r="N11" s="464">
        <f>SUMIF('Audit entry'!$C:$C,'TB 25-26'!$D11,'Audit entry'!$E:$E)</f>
        <v>32819</v>
      </c>
      <c r="O11" s="462">
        <f t="shared" si="7"/>
        <v>155502.8611420698</v>
      </c>
      <c r="P11" s="462">
        <f t="shared" si="8"/>
        <v>0</v>
      </c>
      <c r="Q11" s="465" t="s">
        <v>195</v>
      </c>
      <c r="R11" s="465" t="s">
        <v>1088</v>
      </c>
      <c r="S11" s="465">
        <v>9</v>
      </c>
      <c r="T11" s="465" t="s">
        <v>195</v>
      </c>
      <c r="V11" s="465"/>
      <c r="W11" s="465"/>
    </row>
    <row r="12" spans="1:24" ht="15" hidden="1" customHeight="1">
      <c r="A12" s="543"/>
      <c r="B12" s="543"/>
      <c r="C12" s="543"/>
      <c r="D12" s="476" t="s">
        <v>198</v>
      </c>
      <c r="E12" s="561">
        <v>0</v>
      </c>
      <c r="F12" s="561">
        <v>0</v>
      </c>
      <c r="G12" s="561">
        <f t="shared" si="3"/>
        <v>0</v>
      </c>
      <c r="H12" s="227">
        <f t="shared" si="4"/>
        <v>0</v>
      </c>
      <c r="I12" s="469">
        <v>0</v>
      </c>
      <c r="J12" s="227">
        <v>0</v>
      </c>
      <c r="K12" s="462">
        <f t="shared" si="5"/>
        <v>0</v>
      </c>
      <c r="L12" s="462">
        <f t="shared" si="6"/>
        <v>0</v>
      </c>
      <c r="M12" s="464">
        <f>SUMIF('Audit entry'!$C:$C,'TB 25-26'!$D12,'Audit entry'!$D:$D)</f>
        <v>0</v>
      </c>
      <c r="N12" s="464">
        <f>SUMIF('Audit entry'!$C:$C,'TB 25-26'!$D12,'Audit entry'!$E:$E)</f>
        <v>0</v>
      </c>
      <c r="O12" s="462">
        <f t="shared" si="7"/>
        <v>0</v>
      </c>
      <c r="P12" s="462">
        <f t="shared" si="8"/>
        <v>0</v>
      </c>
      <c r="Q12" s="465" t="s">
        <v>195</v>
      </c>
      <c r="R12" s="465" t="s">
        <v>1088</v>
      </c>
      <c r="S12" s="465">
        <v>9</v>
      </c>
      <c r="T12" s="465" t="s">
        <v>195</v>
      </c>
      <c r="V12" s="465"/>
      <c r="W12" s="465"/>
    </row>
    <row r="13" spans="1:24" ht="15" hidden="1" customHeight="1">
      <c r="A13" s="543"/>
      <c r="B13" s="543"/>
      <c r="C13" s="543"/>
      <c r="D13" s="476" t="s">
        <v>199</v>
      </c>
      <c r="E13" s="561">
        <v>70456.554849084001</v>
      </c>
      <c r="F13" s="561">
        <v>0</v>
      </c>
      <c r="G13" s="561">
        <f t="shared" si="3"/>
        <v>70456.554849084001</v>
      </c>
      <c r="H13" s="227">
        <f t="shared" si="4"/>
        <v>0</v>
      </c>
      <c r="I13" s="469">
        <v>35178</v>
      </c>
      <c r="J13" s="227">
        <v>0</v>
      </c>
      <c r="K13" s="462">
        <f t="shared" si="5"/>
        <v>105634.554849084</v>
      </c>
      <c r="L13" s="462">
        <f t="shared" si="6"/>
        <v>0</v>
      </c>
      <c r="M13" s="464">
        <f>SUMIF('Audit entry'!$C:$C,'TB 25-26'!$D13,'Audit entry'!$D:$D)</f>
        <v>0</v>
      </c>
      <c r="N13" s="464">
        <f>SUMIF('Audit entry'!$C:$C,'TB 25-26'!$D13,'Audit entry'!$E:$E)</f>
        <v>22039</v>
      </c>
      <c r="O13" s="462">
        <f t="shared" si="7"/>
        <v>83595.554849084001</v>
      </c>
      <c r="P13" s="462">
        <f t="shared" si="8"/>
        <v>0</v>
      </c>
      <c r="Q13" s="465" t="s">
        <v>195</v>
      </c>
      <c r="R13" s="465" t="s">
        <v>1088</v>
      </c>
      <c r="S13" s="465">
        <v>9</v>
      </c>
      <c r="T13" s="465" t="s">
        <v>195</v>
      </c>
      <c r="V13" s="465"/>
      <c r="W13" s="465"/>
    </row>
    <row r="14" spans="1:24" ht="15" hidden="1" customHeight="1">
      <c r="A14" s="543"/>
      <c r="B14" s="543"/>
      <c r="C14" s="543"/>
      <c r="D14" s="476" t="s">
        <v>200</v>
      </c>
      <c r="E14" s="561">
        <v>19061</v>
      </c>
      <c r="F14" s="561">
        <v>0</v>
      </c>
      <c r="G14" s="561">
        <f t="shared" si="3"/>
        <v>19061</v>
      </c>
      <c r="H14" s="227">
        <f t="shared" si="4"/>
        <v>0</v>
      </c>
      <c r="I14" s="469">
        <v>0</v>
      </c>
      <c r="J14" s="227">
        <v>0</v>
      </c>
      <c r="K14" s="462">
        <f t="shared" si="5"/>
        <v>19061</v>
      </c>
      <c r="L14" s="462">
        <f t="shared" si="6"/>
        <v>0</v>
      </c>
      <c r="M14" s="464">
        <f>SUMIF('Audit entry'!$C:$C,'TB 25-26'!$D14,'Audit entry'!$D:$D)</f>
        <v>0</v>
      </c>
      <c r="N14" s="464">
        <f>SUMIF('Audit entry'!$C:$C,'TB 25-26'!$D14,'Audit entry'!$E:$E)</f>
        <v>0</v>
      </c>
      <c r="O14" s="462">
        <f t="shared" si="7"/>
        <v>19061</v>
      </c>
      <c r="P14" s="462">
        <f t="shared" si="8"/>
        <v>0</v>
      </c>
      <c r="Q14" s="465" t="s">
        <v>195</v>
      </c>
      <c r="R14" s="465" t="s">
        <v>1088</v>
      </c>
      <c r="S14" s="465">
        <v>9</v>
      </c>
      <c r="T14" s="465" t="s">
        <v>195</v>
      </c>
      <c r="V14" s="465"/>
      <c r="W14" s="465"/>
    </row>
    <row r="15" spans="1:24" ht="15" hidden="1" customHeight="1">
      <c r="A15" s="543"/>
      <c r="B15" s="543"/>
      <c r="C15" s="543"/>
      <c r="D15" s="476" t="s">
        <v>196</v>
      </c>
      <c r="E15" s="561">
        <v>0</v>
      </c>
      <c r="F15" s="561">
        <v>0</v>
      </c>
      <c r="G15" s="561">
        <f t="shared" si="3"/>
        <v>0</v>
      </c>
      <c r="H15" s="227">
        <f t="shared" si="4"/>
        <v>0</v>
      </c>
      <c r="I15" s="469">
        <v>0</v>
      </c>
      <c r="J15" s="227">
        <v>0</v>
      </c>
      <c r="K15" s="462">
        <f t="shared" si="5"/>
        <v>0</v>
      </c>
      <c r="L15" s="462">
        <f t="shared" si="6"/>
        <v>0</v>
      </c>
      <c r="M15" s="464">
        <f>SUMIF('Audit entry'!$C:$C,'TB 25-26'!$D15,'Audit entry'!$D:$D)</f>
        <v>0</v>
      </c>
      <c r="N15" s="464">
        <v>0</v>
      </c>
      <c r="O15" s="462">
        <f t="shared" si="7"/>
        <v>0</v>
      </c>
      <c r="P15" s="462">
        <f t="shared" si="8"/>
        <v>0</v>
      </c>
      <c r="Q15" s="465" t="s">
        <v>195</v>
      </c>
      <c r="R15" s="465" t="s">
        <v>1088</v>
      </c>
      <c r="S15" s="465">
        <v>9</v>
      </c>
      <c r="T15" s="465" t="s">
        <v>195</v>
      </c>
      <c r="V15" s="465"/>
      <c r="W15" s="465"/>
    </row>
    <row r="16" spans="1:24" ht="15" hidden="1" customHeight="1">
      <c r="A16" s="543"/>
      <c r="B16" s="543"/>
      <c r="C16" s="543"/>
      <c r="D16" s="591" t="s">
        <v>201</v>
      </c>
      <c r="E16" s="561">
        <v>381461.25912701013</v>
      </c>
      <c r="F16" s="561">
        <v>0</v>
      </c>
      <c r="G16" s="561">
        <f t="shared" si="3"/>
        <v>381461.25912701013</v>
      </c>
      <c r="H16" s="227">
        <f t="shared" si="4"/>
        <v>0</v>
      </c>
      <c r="I16" s="469">
        <v>82020.06</v>
      </c>
      <c r="J16" s="227">
        <v>0</v>
      </c>
      <c r="K16" s="462">
        <f t="shared" si="5"/>
        <v>463481.31912701012</v>
      </c>
      <c r="L16" s="462">
        <f t="shared" si="6"/>
        <v>0</v>
      </c>
      <c r="M16" s="464">
        <f>SUMIF('Audit entry'!$C:$C,'TB 25-26'!$D16,'Audit entry'!$D:$D)</f>
        <v>0</v>
      </c>
      <c r="N16" s="464">
        <f>SUMIF('Audit entry'!$C:$C,'TB 25-26'!$D16,'Audit entry'!$E:$E)</f>
        <v>99731</v>
      </c>
      <c r="O16" s="462">
        <f t="shared" si="7"/>
        <v>363750.31912701012</v>
      </c>
      <c r="P16" s="462">
        <f t="shared" si="8"/>
        <v>0</v>
      </c>
      <c r="Q16" s="465" t="s">
        <v>195</v>
      </c>
      <c r="R16" s="465" t="s">
        <v>1088</v>
      </c>
      <c r="S16" s="465">
        <v>9</v>
      </c>
      <c r="T16" s="465" t="s">
        <v>195</v>
      </c>
      <c r="V16" s="467"/>
      <c r="W16" s="465"/>
    </row>
    <row r="17" spans="1:23" ht="15" hidden="1" customHeight="1">
      <c r="A17" s="543"/>
      <c r="B17" s="543"/>
      <c r="C17" s="543"/>
      <c r="D17" s="476" t="s">
        <v>202</v>
      </c>
      <c r="E17" s="561">
        <v>0</v>
      </c>
      <c r="F17" s="561">
        <v>0</v>
      </c>
      <c r="G17" s="561">
        <f t="shared" si="3"/>
        <v>0</v>
      </c>
      <c r="H17" s="227">
        <f t="shared" si="4"/>
        <v>0</v>
      </c>
      <c r="I17" s="469">
        <v>0</v>
      </c>
      <c r="J17" s="227">
        <v>0</v>
      </c>
      <c r="K17" s="462">
        <f t="shared" si="5"/>
        <v>0</v>
      </c>
      <c r="L17" s="462">
        <f t="shared" si="6"/>
        <v>0</v>
      </c>
      <c r="M17" s="464">
        <f>SUMIF('Audit entry'!$C:$C,'TB 25-26'!$D17,'Audit entry'!$D:$D)</f>
        <v>0</v>
      </c>
      <c r="N17" s="464">
        <f>SUMIF('Audit entry'!$C:$C,'TB 25-26'!$D17,'Audit entry'!$E:$E)</f>
        <v>0</v>
      </c>
      <c r="O17" s="462">
        <f t="shared" si="7"/>
        <v>0</v>
      </c>
      <c r="P17" s="462">
        <f t="shared" si="8"/>
        <v>0</v>
      </c>
      <c r="Q17" s="465" t="s">
        <v>195</v>
      </c>
      <c r="R17" s="465" t="s">
        <v>1088</v>
      </c>
      <c r="S17" s="465">
        <v>9</v>
      </c>
      <c r="T17" s="465" t="s">
        <v>195</v>
      </c>
      <c r="V17" s="467"/>
      <c r="W17" s="465"/>
    </row>
    <row r="18" spans="1:23" ht="15" hidden="1" customHeight="1">
      <c r="A18" s="543"/>
      <c r="B18" s="475" t="s">
        <v>65</v>
      </c>
      <c r="C18" s="475"/>
      <c r="D18" s="475"/>
      <c r="E18" s="561">
        <v>0</v>
      </c>
      <c r="F18" s="561">
        <v>0</v>
      </c>
      <c r="G18" s="561">
        <f t="shared" si="3"/>
        <v>0</v>
      </c>
      <c r="H18" s="227">
        <f t="shared" si="4"/>
        <v>0</v>
      </c>
      <c r="I18" s="469">
        <v>0</v>
      </c>
      <c r="J18" s="227">
        <v>0</v>
      </c>
      <c r="K18" s="462">
        <f t="shared" si="5"/>
        <v>0</v>
      </c>
      <c r="L18" s="462">
        <f t="shared" si="6"/>
        <v>0</v>
      </c>
      <c r="M18" s="464">
        <f>SUMIF('Audit entry'!$C:$C,'TB 25-26'!$D18,'Audit entry'!$D:$D)</f>
        <v>0</v>
      </c>
      <c r="N18" s="464">
        <f>SUMIF('Audit entry'!$C:$C,'TB 25-26'!$D18,'Audit entry'!$E:$E)</f>
        <v>0</v>
      </c>
      <c r="O18" s="462">
        <f t="shared" si="7"/>
        <v>0</v>
      </c>
      <c r="P18" s="462">
        <f t="shared" si="8"/>
        <v>0</v>
      </c>
      <c r="V18" s="465"/>
      <c r="W18" s="465"/>
    </row>
    <row r="19" spans="1:23" ht="15" hidden="1" customHeight="1">
      <c r="A19" s="543"/>
      <c r="B19" s="543"/>
      <c r="C19" s="475" t="s">
        <v>203</v>
      </c>
      <c r="D19" s="475"/>
      <c r="E19" s="561">
        <v>0</v>
      </c>
      <c r="F19" s="561">
        <v>0</v>
      </c>
      <c r="G19" s="561">
        <f t="shared" si="3"/>
        <v>0</v>
      </c>
      <c r="H19" s="227">
        <f t="shared" si="4"/>
        <v>0</v>
      </c>
      <c r="I19" s="469">
        <v>0</v>
      </c>
      <c r="J19" s="227">
        <v>0</v>
      </c>
      <c r="K19" s="462">
        <f t="shared" si="5"/>
        <v>0</v>
      </c>
      <c r="L19" s="462">
        <f t="shared" si="6"/>
        <v>0</v>
      </c>
      <c r="M19" s="464">
        <f>SUMIF('Audit entry'!$C:$C,'TB 25-26'!$D19,'Audit entry'!$D:$D)</f>
        <v>0</v>
      </c>
      <c r="N19" s="464">
        <f>SUMIF('Audit entry'!$C:$C,'TB 25-26'!$D19,'Audit entry'!$E:$E)</f>
        <v>0</v>
      </c>
      <c r="O19" s="462">
        <f t="shared" si="7"/>
        <v>0</v>
      </c>
      <c r="P19" s="462">
        <f t="shared" si="8"/>
        <v>0</v>
      </c>
      <c r="V19" s="465"/>
      <c r="W19" s="465"/>
    </row>
    <row r="20" spans="1:23" ht="15" hidden="1" customHeight="1">
      <c r="A20" s="543"/>
      <c r="B20" s="543"/>
      <c r="C20" s="543"/>
      <c r="D20" s="476" t="s">
        <v>204</v>
      </c>
      <c r="E20" s="561">
        <v>32440134.888920996</v>
      </c>
      <c r="F20" s="561">
        <v>0</v>
      </c>
      <c r="G20" s="561">
        <f t="shared" si="3"/>
        <v>32440134.888920996</v>
      </c>
      <c r="H20" s="227">
        <f t="shared" si="4"/>
        <v>0</v>
      </c>
      <c r="I20" s="469">
        <v>6292794.71</v>
      </c>
      <c r="J20" s="227">
        <v>0</v>
      </c>
      <c r="K20" s="462">
        <f t="shared" si="5"/>
        <v>38732929.598920994</v>
      </c>
      <c r="L20" s="462">
        <f t="shared" si="6"/>
        <v>0</v>
      </c>
      <c r="M20" s="464">
        <f>+SUM('Audit entry'!D216:D217)+SUM('Audit entry'!D221:D231)-SUM('Audit entry'!E221:E231)</f>
        <v>117689.92994700426</v>
      </c>
      <c r="N20" s="464">
        <f>+SUM('Audit entry'!E211:E212)</f>
        <v>42904.379999999976</v>
      </c>
      <c r="O20" s="462">
        <f t="shared" si="7"/>
        <v>38807715.148867995</v>
      </c>
      <c r="P20" s="462">
        <f t="shared" si="8"/>
        <v>0</v>
      </c>
      <c r="R20" s="465" t="s">
        <v>1088</v>
      </c>
      <c r="S20" s="465">
        <v>12</v>
      </c>
      <c r="T20" s="465" t="s">
        <v>205</v>
      </c>
      <c r="V20" s="465"/>
      <c r="W20" s="465"/>
    </row>
    <row r="21" spans="1:23" ht="15" hidden="1" customHeight="1">
      <c r="A21" s="543"/>
      <c r="B21" s="543"/>
      <c r="C21" s="543"/>
      <c r="D21" s="476" t="s">
        <v>206</v>
      </c>
      <c r="E21" s="561">
        <v>57465460.60999997</v>
      </c>
      <c r="F21" s="561">
        <v>0</v>
      </c>
      <c r="G21" s="561">
        <f t="shared" si="3"/>
        <v>57465460.60999997</v>
      </c>
      <c r="H21" s="227">
        <f t="shared" si="4"/>
        <v>0</v>
      </c>
      <c r="I21" s="469">
        <v>0</v>
      </c>
      <c r="J21" s="227">
        <v>21213806.260000002</v>
      </c>
      <c r="K21" s="462">
        <f t="shared" si="5"/>
        <v>36251654.349999964</v>
      </c>
      <c r="L21" s="462">
        <f t="shared" si="6"/>
        <v>0</v>
      </c>
      <c r="M21" s="464">
        <f>SUMIF('Audit entry'!$C:$C,'TB 25-26'!$D21,'Audit entry'!$D:$D)</f>
        <v>0</v>
      </c>
      <c r="N21" s="464">
        <f>+'Audit entry'!E44+'Audit entry'!E210-'Audit entry'!D209+SUM('Audit entry'!E232:E235)-SUM('Audit entry'!D232:D235)</f>
        <v>43327.219999999928</v>
      </c>
      <c r="O21" s="462">
        <f t="shared" si="7"/>
        <v>36208327.129999965</v>
      </c>
      <c r="P21" s="462">
        <f t="shared" si="8"/>
        <v>0</v>
      </c>
      <c r="Q21" s="467"/>
      <c r="R21" s="465" t="s">
        <v>1088</v>
      </c>
      <c r="S21" s="465">
        <v>12</v>
      </c>
      <c r="T21" s="465" t="s">
        <v>205</v>
      </c>
      <c r="V21" s="465"/>
      <c r="W21" s="465"/>
    </row>
    <row r="22" spans="1:23" ht="15" hidden="1" customHeight="1">
      <c r="A22" s="543"/>
      <c r="B22" s="543"/>
      <c r="C22" s="475" t="s">
        <v>207</v>
      </c>
      <c r="D22" s="475"/>
      <c r="E22" s="561">
        <v>0</v>
      </c>
      <c r="F22" s="561">
        <v>0</v>
      </c>
      <c r="G22" s="561">
        <f t="shared" si="3"/>
        <v>0</v>
      </c>
      <c r="H22" s="227">
        <f t="shared" si="4"/>
        <v>0</v>
      </c>
      <c r="I22" s="469">
        <v>0</v>
      </c>
      <c r="J22" s="227">
        <v>0</v>
      </c>
      <c r="K22" s="462">
        <f t="shared" si="5"/>
        <v>0</v>
      </c>
      <c r="L22" s="462">
        <f t="shared" si="6"/>
        <v>0</v>
      </c>
      <c r="M22" s="464">
        <f>SUMIF('Audit entry'!$C:$C,'TB 25-26'!$D22,'Audit entry'!$D:$D)</f>
        <v>0</v>
      </c>
      <c r="N22" s="464">
        <f>SUMIF('Audit entry'!$C:$C,'TB 25-26'!$D22,'Audit entry'!$E:$E)</f>
        <v>0</v>
      </c>
      <c r="O22" s="462">
        <f t="shared" si="7"/>
        <v>0</v>
      </c>
      <c r="P22" s="462">
        <f t="shared" si="8"/>
        <v>0</v>
      </c>
      <c r="V22" s="465"/>
      <c r="W22" s="465"/>
    </row>
    <row r="23" spans="1:23" ht="15" hidden="1" customHeight="1">
      <c r="A23" s="543"/>
      <c r="B23" s="543"/>
      <c r="C23" s="543"/>
      <c r="D23" s="476" t="s">
        <v>208</v>
      </c>
      <c r="E23" s="561">
        <v>0</v>
      </c>
      <c r="F23" s="561">
        <v>0</v>
      </c>
      <c r="G23" s="561">
        <f t="shared" si="3"/>
        <v>0</v>
      </c>
      <c r="H23" s="227">
        <f t="shared" si="4"/>
        <v>0</v>
      </c>
      <c r="I23" s="469">
        <v>0</v>
      </c>
      <c r="J23" s="227">
        <v>0</v>
      </c>
      <c r="K23" s="462">
        <f t="shared" si="5"/>
        <v>0</v>
      </c>
      <c r="L23" s="462">
        <f t="shared" si="6"/>
        <v>0</v>
      </c>
      <c r="M23" s="464">
        <f>SUMIF('Audit entry'!$C:$C,'TB 25-26'!$D23,'Audit entry'!$D:$D)</f>
        <v>0</v>
      </c>
      <c r="N23" s="464">
        <f>SUMIF('Audit entry'!$C:$C,'TB 25-26'!$D23,'Audit entry'!$E:$E)</f>
        <v>0</v>
      </c>
      <c r="O23" s="462">
        <f t="shared" si="7"/>
        <v>0</v>
      </c>
      <c r="P23" s="462">
        <f t="shared" si="8"/>
        <v>0</v>
      </c>
      <c r="Q23" s="465" t="s">
        <v>209</v>
      </c>
      <c r="R23" s="465" t="s">
        <v>1088</v>
      </c>
      <c r="S23" s="465">
        <v>13</v>
      </c>
      <c r="T23" s="465" t="s">
        <v>210</v>
      </c>
      <c r="V23" s="465"/>
      <c r="W23" s="465"/>
    </row>
    <row r="24" spans="1:23" ht="15" hidden="1" customHeight="1">
      <c r="A24" s="543"/>
      <c r="B24" s="543"/>
      <c r="C24" s="543"/>
      <c r="D24" s="476" t="s">
        <v>33</v>
      </c>
      <c r="E24" s="561">
        <v>21436133.060000241</v>
      </c>
      <c r="F24" s="561">
        <v>0</v>
      </c>
      <c r="G24" s="561">
        <f t="shared" si="3"/>
        <v>21436133.060000241</v>
      </c>
      <c r="H24" s="227">
        <f t="shared" si="4"/>
        <v>0</v>
      </c>
      <c r="I24" s="469">
        <v>11152455.73</v>
      </c>
      <c r="J24" s="227">
        <v>0</v>
      </c>
      <c r="K24" s="462">
        <f t="shared" si="5"/>
        <v>32588588.790000241</v>
      </c>
      <c r="L24" s="462">
        <f t="shared" si="6"/>
        <v>0</v>
      </c>
      <c r="M24" s="464">
        <f>SUMIF('Audit entry'!$C:$C,'TB 25-26'!$D24,'Audit entry'!$D:$D)</f>
        <v>0</v>
      </c>
      <c r="N24" s="464">
        <f>SUMIF('Audit entry'!$C:$C,'TB 25-26'!$D24,'Audit entry'!$E:$E)</f>
        <v>0</v>
      </c>
      <c r="O24" s="462">
        <f t="shared" si="7"/>
        <v>32588588.790000241</v>
      </c>
      <c r="P24" s="462">
        <f t="shared" si="8"/>
        <v>0</v>
      </c>
      <c r="Q24" s="465" t="s">
        <v>211</v>
      </c>
      <c r="R24" s="465" t="s">
        <v>1088</v>
      </c>
      <c r="S24" s="465">
        <v>13</v>
      </c>
      <c r="T24" s="465" t="s">
        <v>210</v>
      </c>
      <c r="V24" s="465"/>
      <c r="W24" s="465"/>
    </row>
    <row r="25" spans="1:23" ht="15" hidden="1" customHeight="1">
      <c r="A25" s="543"/>
      <c r="B25" s="543"/>
      <c r="C25" s="543"/>
      <c r="D25" s="476" t="s">
        <v>212</v>
      </c>
      <c r="E25" s="561">
        <v>0</v>
      </c>
      <c r="F25" s="561">
        <v>0</v>
      </c>
      <c r="G25" s="561">
        <f t="shared" si="3"/>
        <v>0</v>
      </c>
      <c r="H25" s="227">
        <f t="shared" si="4"/>
        <v>0</v>
      </c>
      <c r="I25" s="469">
        <v>0</v>
      </c>
      <c r="J25" s="227">
        <v>0</v>
      </c>
      <c r="K25" s="462">
        <f t="shared" si="5"/>
        <v>0</v>
      </c>
      <c r="L25" s="462">
        <f t="shared" si="6"/>
        <v>0</v>
      </c>
      <c r="M25" s="464">
        <f>SUMIF('Audit entry'!$C:$C,'TB 25-26'!$D25,'Audit entry'!$D:$D)</f>
        <v>0</v>
      </c>
      <c r="N25" s="464">
        <f>SUMIF('Audit entry'!$C:$C,'TB 25-26'!$D25,'Audit entry'!$E:$E)</f>
        <v>0</v>
      </c>
      <c r="O25" s="462">
        <f t="shared" si="7"/>
        <v>0</v>
      </c>
      <c r="P25" s="462">
        <f t="shared" si="8"/>
        <v>0</v>
      </c>
      <c r="Q25" s="465" t="s">
        <v>211</v>
      </c>
      <c r="R25" s="465" t="s">
        <v>1088</v>
      </c>
      <c r="S25" s="465">
        <v>13</v>
      </c>
      <c r="T25" s="465" t="s">
        <v>210</v>
      </c>
      <c r="V25" s="465"/>
      <c r="W25" s="465"/>
    </row>
    <row r="26" spans="1:23" ht="15" hidden="1" customHeight="1">
      <c r="A26" s="543"/>
      <c r="B26" s="543"/>
      <c r="C26" s="543"/>
      <c r="D26" s="476" t="s">
        <v>213</v>
      </c>
      <c r="E26" s="561">
        <v>5161</v>
      </c>
      <c r="F26" s="561">
        <v>0</v>
      </c>
      <c r="G26" s="561">
        <f t="shared" si="3"/>
        <v>5161</v>
      </c>
      <c r="H26" s="227">
        <f t="shared" si="4"/>
        <v>0</v>
      </c>
      <c r="I26" s="469">
        <v>731</v>
      </c>
      <c r="J26" s="227">
        <v>0</v>
      </c>
      <c r="K26" s="462">
        <f t="shared" si="5"/>
        <v>5892</v>
      </c>
      <c r="L26" s="462">
        <f t="shared" si="6"/>
        <v>0</v>
      </c>
      <c r="M26" s="464">
        <f>SUMIF('Audit entry'!$C:$C,'TB 25-26'!$D26,'Audit entry'!$D:$D)</f>
        <v>0</v>
      </c>
      <c r="N26" s="464">
        <f>SUMIF('Audit entry'!$C:$C,'TB 25-26'!$D26,'Audit entry'!$E:$E)</f>
        <v>0</v>
      </c>
      <c r="O26" s="462">
        <f t="shared" si="7"/>
        <v>5892</v>
      </c>
      <c r="P26" s="462">
        <f t="shared" si="8"/>
        <v>0</v>
      </c>
      <c r="Q26" s="465" t="s">
        <v>214</v>
      </c>
      <c r="R26" s="465" t="s">
        <v>1088</v>
      </c>
      <c r="S26" s="465">
        <v>13</v>
      </c>
      <c r="T26" s="465" t="s">
        <v>210</v>
      </c>
      <c r="V26" s="465"/>
      <c r="W26" s="465"/>
    </row>
    <row r="27" spans="1:23" ht="15" hidden="1" customHeight="1">
      <c r="A27" s="543"/>
      <c r="B27" s="543"/>
      <c r="C27" s="543"/>
      <c r="D27" s="476" t="s">
        <v>215</v>
      </c>
      <c r="E27" s="561">
        <v>0</v>
      </c>
      <c r="F27" s="561">
        <v>0</v>
      </c>
      <c r="G27" s="561">
        <f t="shared" si="3"/>
        <v>0</v>
      </c>
      <c r="H27" s="227">
        <f t="shared" si="4"/>
        <v>0</v>
      </c>
      <c r="I27" s="469">
        <v>0</v>
      </c>
      <c r="J27" s="227">
        <v>0</v>
      </c>
      <c r="K27" s="462">
        <f t="shared" si="5"/>
        <v>0</v>
      </c>
      <c r="L27" s="462">
        <f t="shared" si="6"/>
        <v>0</v>
      </c>
      <c r="M27" s="464">
        <f>SUMIF('Audit entry'!$C:$C,'TB 25-26'!$D27,'Audit entry'!$D:$D)</f>
        <v>0</v>
      </c>
      <c r="N27" s="464">
        <f>SUMIF('Audit entry'!$C:$C,'TB 25-26'!$D27,'Audit entry'!$E:$E)</f>
        <v>0</v>
      </c>
      <c r="O27" s="462">
        <f t="shared" si="7"/>
        <v>0</v>
      </c>
      <c r="P27" s="462">
        <f t="shared" si="8"/>
        <v>0</v>
      </c>
      <c r="Q27" s="465" t="s">
        <v>214</v>
      </c>
      <c r="R27" s="465" t="s">
        <v>1088</v>
      </c>
      <c r="S27" s="465">
        <v>13</v>
      </c>
      <c r="T27" s="465" t="s">
        <v>210</v>
      </c>
      <c r="V27" s="465"/>
      <c r="W27" s="465"/>
    </row>
    <row r="28" spans="1:23" ht="15" hidden="1" customHeight="1">
      <c r="A28" s="543"/>
      <c r="B28" s="543"/>
      <c r="C28" s="543"/>
      <c r="D28" s="476" t="s">
        <v>216</v>
      </c>
      <c r="E28" s="561">
        <v>241111.49499096023</v>
      </c>
      <c r="F28" s="561">
        <v>0</v>
      </c>
      <c r="G28" s="561">
        <f t="shared" si="3"/>
        <v>241111.49499096023</v>
      </c>
      <c r="H28" s="227">
        <f t="shared" si="4"/>
        <v>0</v>
      </c>
      <c r="I28" s="469">
        <v>1335622.7</v>
      </c>
      <c r="J28" s="227">
        <v>0</v>
      </c>
      <c r="K28" s="462">
        <f t="shared" si="5"/>
        <v>1576734.1949909602</v>
      </c>
      <c r="L28" s="462">
        <f t="shared" si="6"/>
        <v>0</v>
      </c>
      <c r="M28" s="464">
        <f>SUMIF('Audit entry'!$C:$C,'TB 25-26'!$D28,'Audit entry'!$D:$D)</f>
        <v>0</v>
      </c>
      <c r="N28" s="464">
        <f>SUMIF('Audit entry'!$C:$C,'TB 25-26'!$D28,'Audit entry'!$E:$E)</f>
        <v>0</v>
      </c>
      <c r="O28" s="462">
        <f t="shared" si="7"/>
        <v>1576734.1949909602</v>
      </c>
      <c r="P28" s="462">
        <f t="shared" si="8"/>
        <v>0</v>
      </c>
      <c r="Q28" s="465" t="s">
        <v>217</v>
      </c>
      <c r="R28" s="465" t="s">
        <v>1088</v>
      </c>
      <c r="S28" s="465">
        <v>13</v>
      </c>
      <c r="T28" s="465" t="s">
        <v>210</v>
      </c>
      <c r="V28" s="465"/>
      <c r="W28" s="465"/>
    </row>
    <row r="29" spans="1:23" ht="15" hidden="1" customHeight="1">
      <c r="A29" s="543"/>
      <c r="B29" s="543"/>
      <c r="C29" s="543"/>
      <c r="D29" s="476" t="s">
        <v>218</v>
      </c>
      <c r="E29" s="561">
        <v>0</v>
      </c>
      <c r="F29" s="561">
        <v>0</v>
      </c>
      <c r="G29" s="561">
        <f t="shared" si="3"/>
        <v>0</v>
      </c>
      <c r="H29" s="227">
        <f t="shared" si="4"/>
        <v>0</v>
      </c>
      <c r="I29" s="469">
        <v>0</v>
      </c>
      <c r="J29" s="227">
        <v>0</v>
      </c>
      <c r="K29" s="462">
        <f t="shared" si="5"/>
        <v>0</v>
      </c>
      <c r="L29" s="462">
        <f t="shared" si="6"/>
        <v>0</v>
      </c>
      <c r="M29" s="464">
        <f>SUMIF('Audit entry'!$C:$C,'TB 25-26'!$D29,'Audit entry'!$D:$D)</f>
        <v>0</v>
      </c>
      <c r="N29" s="464">
        <f>SUMIF('Audit entry'!$C:$C,'TB 25-26'!$D29,'Audit entry'!$E:$E)</f>
        <v>0</v>
      </c>
      <c r="O29" s="462">
        <f t="shared" si="7"/>
        <v>0</v>
      </c>
      <c r="P29" s="462">
        <f t="shared" si="8"/>
        <v>0</v>
      </c>
      <c r="Q29" s="465" t="s">
        <v>209</v>
      </c>
      <c r="R29" s="465" t="s">
        <v>1088</v>
      </c>
      <c r="S29" s="465">
        <v>13</v>
      </c>
      <c r="T29" s="465" t="s">
        <v>210</v>
      </c>
      <c r="V29" s="465"/>
      <c r="W29" s="467"/>
    </row>
    <row r="30" spans="1:23" ht="15" hidden="1" customHeight="1">
      <c r="A30" s="543"/>
      <c r="B30" s="543"/>
      <c r="C30" s="543"/>
      <c r="D30" s="476" t="s">
        <v>219</v>
      </c>
      <c r="E30" s="561">
        <v>0</v>
      </c>
      <c r="F30" s="561">
        <v>0</v>
      </c>
      <c r="G30" s="561">
        <f t="shared" si="3"/>
        <v>0</v>
      </c>
      <c r="H30" s="227">
        <f t="shared" si="4"/>
        <v>0</v>
      </c>
      <c r="I30" s="469">
        <v>0</v>
      </c>
      <c r="J30" s="227">
        <v>0</v>
      </c>
      <c r="K30" s="462">
        <f t="shared" si="5"/>
        <v>0</v>
      </c>
      <c r="L30" s="462">
        <f t="shared" si="6"/>
        <v>0</v>
      </c>
      <c r="M30" s="464">
        <f>SUMIF('Audit entry'!$C:$C,'TB 25-26'!$D30,'Audit entry'!$D:$D)</f>
        <v>0</v>
      </c>
      <c r="N30" s="464">
        <f>SUMIF('Audit entry'!$C:$C,'TB 25-26'!$D30,'Audit entry'!$E:$E)</f>
        <v>0</v>
      </c>
      <c r="O30" s="462">
        <f t="shared" si="7"/>
        <v>0</v>
      </c>
      <c r="P30" s="462">
        <f t="shared" si="8"/>
        <v>0</v>
      </c>
      <c r="Q30" s="465" t="s">
        <v>211</v>
      </c>
      <c r="R30" s="465" t="s">
        <v>1088</v>
      </c>
      <c r="S30" s="465">
        <v>13</v>
      </c>
      <c r="T30" s="465" t="s">
        <v>210</v>
      </c>
      <c r="V30" s="465"/>
      <c r="W30" s="467"/>
    </row>
    <row r="31" spans="1:23" ht="15" hidden="1" customHeight="1">
      <c r="A31" s="543"/>
      <c r="B31" s="543"/>
      <c r="C31" s="543"/>
      <c r="D31" s="476" t="s">
        <v>220</v>
      </c>
      <c r="E31" s="561">
        <v>0</v>
      </c>
      <c r="F31" s="561">
        <v>0</v>
      </c>
      <c r="G31" s="561">
        <f t="shared" si="3"/>
        <v>0</v>
      </c>
      <c r="H31" s="227">
        <f t="shared" si="4"/>
        <v>0</v>
      </c>
      <c r="I31" s="469">
        <v>0</v>
      </c>
      <c r="J31" s="227">
        <v>0</v>
      </c>
      <c r="K31" s="462">
        <f t="shared" si="5"/>
        <v>0</v>
      </c>
      <c r="L31" s="462">
        <f t="shared" si="6"/>
        <v>0</v>
      </c>
      <c r="M31" s="464">
        <f>SUMIF('Audit entry'!$C:$C,'TB 25-26'!$D31,'Audit entry'!$D:$D)</f>
        <v>0</v>
      </c>
      <c r="N31" s="464">
        <f>SUMIF('Audit entry'!$C:$C,'TB 25-26'!$D31,'Audit entry'!$E:$E)</f>
        <v>0</v>
      </c>
      <c r="O31" s="462">
        <f t="shared" si="7"/>
        <v>0</v>
      </c>
      <c r="P31" s="462">
        <f t="shared" si="8"/>
        <v>0</v>
      </c>
      <c r="Q31" s="465" t="s">
        <v>221</v>
      </c>
      <c r="R31" s="465" t="s">
        <v>1088</v>
      </c>
      <c r="S31" s="465">
        <v>13</v>
      </c>
      <c r="T31" s="465" t="s">
        <v>210</v>
      </c>
      <c r="V31" s="465"/>
      <c r="W31" s="465"/>
    </row>
    <row r="32" spans="1:23" ht="15" hidden="1" customHeight="1">
      <c r="A32" s="543"/>
      <c r="B32" s="543"/>
      <c r="C32" s="543"/>
      <c r="D32" s="476" t="s">
        <v>222</v>
      </c>
      <c r="E32" s="561">
        <v>1988</v>
      </c>
      <c r="F32" s="561">
        <v>0</v>
      </c>
      <c r="G32" s="561">
        <f t="shared" si="3"/>
        <v>1988</v>
      </c>
      <c r="H32" s="227">
        <f t="shared" si="4"/>
        <v>0</v>
      </c>
      <c r="I32" s="469">
        <v>0</v>
      </c>
      <c r="J32" s="227">
        <v>0</v>
      </c>
      <c r="K32" s="462">
        <f t="shared" si="5"/>
        <v>1988</v>
      </c>
      <c r="L32" s="462">
        <f t="shared" si="6"/>
        <v>0</v>
      </c>
      <c r="M32" s="464">
        <f>SUMIF('Audit entry'!$C:$C,'TB 25-26'!$D32,'Audit entry'!$D:$D)</f>
        <v>0</v>
      </c>
      <c r="N32" s="464">
        <f>SUMIF('Audit entry'!$C:$C,'TB 25-26'!$D32,'Audit entry'!$E:$E)</f>
        <v>0</v>
      </c>
      <c r="O32" s="462">
        <f t="shared" si="7"/>
        <v>1988</v>
      </c>
      <c r="P32" s="462">
        <f t="shared" si="8"/>
        <v>0</v>
      </c>
      <c r="Q32" s="465" t="s">
        <v>214</v>
      </c>
      <c r="R32" s="465" t="s">
        <v>1088</v>
      </c>
      <c r="S32" s="465">
        <v>13</v>
      </c>
      <c r="T32" s="465" t="s">
        <v>210</v>
      </c>
      <c r="V32" s="465"/>
      <c r="W32" s="465"/>
    </row>
    <row r="33" spans="1:23" ht="15" hidden="1" customHeight="1">
      <c r="A33" s="543"/>
      <c r="B33" s="543"/>
      <c r="C33" s="543"/>
      <c r="D33" s="476" t="s">
        <v>223</v>
      </c>
      <c r="E33" s="561">
        <v>8691.1500000000233</v>
      </c>
      <c r="F33" s="561">
        <v>0</v>
      </c>
      <c r="G33" s="561">
        <f t="shared" si="3"/>
        <v>8691.1500000000233</v>
      </c>
      <c r="H33" s="227">
        <f t="shared" si="4"/>
        <v>0</v>
      </c>
      <c r="I33" s="469">
        <v>0</v>
      </c>
      <c r="J33" s="227">
        <v>5776.06</v>
      </c>
      <c r="K33" s="462">
        <f t="shared" si="5"/>
        <v>2915.0900000000229</v>
      </c>
      <c r="L33" s="462">
        <f t="shared" si="6"/>
        <v>0</v>
      </c>
      <c r="M33" s="464">
        <f>SUMIF('Audit entry'!$C:$C,'TB 25-26'!$D33,'Audit entry'!$D:$D)</f>
        <v>0</v>
      </c>
      <c r="N33" s="464">
        <f>SUMIF('Audit entry'!$C:$C,'TB 25-26'!$D33,'Audit entry'!$E:$E)</f>
        <v>0</v>
      </c>
      <c r="O33" s="462">
        <f t="shared" si="7"/>
        <v>2915.0900000000229</v>
      </c>
      <c r="P33" s="462">
        <f t="shared" si="8"/>
        <v>0</v>
      </c>
      <c r="Q33" s="465" t="s">
        <v>214</v>
      </c>
      <c r="R33" s="465" t="s">
        <v>1088</v>
      </c>
      <c r="S33" s="465">
        <v>13</v>
      </c>
      <c r="T33" s="465" t="s">
        <v>210</v>
      </c>
      <c r="V33" s="465"/>
      <c r="W33" s="465"/>
    </row>
    <row r="34" spans="1:23" ht="15" hidden="1" customHeight="1">
      <c r="A34" s="543"/>
      <c r="B34" s="543"/>
      <c r="C34" s="543"/>
      <c r="D34" s="476" t="s">
        <v>224</v>
      </c>
      <c r="E34" s="561">
        <v>0</v>
      </c>
      <c r="F34" s="561">
        <v>0</v>
      </c>
      <c r="G34" s="561">
        <f t="shared" si="3"/>
        <v>0</v>
      </c>
      <c r="H34" s="227">
        <f t="shared" si="4"/>
        <v>0</v>
      </c>
      <c r="I34" s="469">
        <v>17165</v>
      </c>
      <c r="J34" s="227">
        <v>0</v>
      </c>
      <c r="K34" s="462">
        <f t="shared" si="5"/>
        <v>17165</v>
      </c>
      <c r="L34" s="462">
        <f t="shared" si="6"/>
        <v>0</v>
      </c>
      <c r="M34" s="464">
        <f>SUMIF('Audit entry'!$C:$C,'TB 25-26'!$D34,'Audit entry'!$D:$D)</f>
        <v>0</v>
      </c>
      <c r="N34" s="464">
        <f>SUMIF('Audit entry'!$C:$C,'TB 25-26'!$D34,'Audit entry'!$E:$E)</f>
        <v>0</v>
      </c>
      <c r="O34" s="462">
        <f t="shared" si="7"/>
        <v>17165</v>
      </c>
      <c r="P34" s="462">
        <f t="shared" si="8"/>
        <v>0</v>
      </c>
      <c r="Q34" s="465" t="s">
        <v>214</v>
      </c>
      <c r="R34" s="465" t="s">
        <v>1088</v>
      </c>
      <c r="S34" s="465">
        <v>13</v>
      </c>
      <c r="T34" s="465" t="s">
        <v>210</v>
      </c>
      <c r="V34" s="465"/>
      <c r="W34" s="465"/>
    </row>
    <row r="35" spans="1:23" ht="15" hidden="1" customHeight="1">
      <c r="A35" s="543"/>
      <c r="B35" s="543"/>
      <c r="C35" s="543"/>
      <c r="D35" s="476" t="s">
        <v>225</v>
      </c>
      <c r="E35" s="561">
        <v>459.5</v>
      </c>
      <c r="F35" s="561">
        <v>0</v>
      </c>
      <c r="G35" s="561">
        <f t="shared" si="3"/>
        <v>459.5</v>
      </c>
      <c r="H35" s="227">
        <f t="shared" si="4"/>
        <v>0</v>
      </c>
      <c r="I35" s="469">
        <v>29965.19</v>
      </c>
      <c r="J35" s="227">
        <v>0</v>
      </c>
      <c r="K35" s="462">
        <f t="shared" si="5"/>
        <v>30424.69</v>
      </c>
      <c r="L35" s="462">
        <f t="shared" si="6"/>
        <v>0</v>
      </c>
      <c r="M35" s="464">
        <f>SUMIF('Audit entry'!$C:$C,'TB 25-26'!$D35,'Audit entry'!$D:$D)</f>
        <v>0</v>
      </c>
      <c r="N35" s="464">
        <f>SUMIF('Audit entry'!$C:$C,'TB 25-26'!$D35,'Audit entry'!$E:$E)</f>
        <v>0</v>
      </c>
      <c r="O35" s="462">
        <f t="shared" si="7"/>
        <v>30424.69</v>
      </c>
      <c r="P35" s="462">
        <f t="shared" si="8"/>
        <v>0</v>
      </c>
      <c r="Q35" s="465" t="s">
        <v>214</v>
      </c>
      <c r="R35" s="465" t="s">
        <v>1088</v>
      </c>
      <c r="S35" s="465">
        <v>13</v>
      </c>
      <c r="T35" s="465" t="s">
        <v>210</v>
      </c>
      <c r="V35" s="465"/>
      <c r="W35" s="465"/>
    </row>
    <row r="36" spans="1:23" ht="15" hidden="1" customHeight="1">
      <c r="A36" s="543"/>
      <c r="B36" s="543"/>
      <c r="C36" s="475" t="s">
        <v>226</v>
      </c>
      <c r="D36" s="475"/>
      <c r="E36" s="561">
        <v>0</v>
      </c>
      <c r="F36" s="561">
        <v>0</v>
      </c>
      <c r="G36" s="561">
        <f t="shared" si="3"/>
        <v>0</v>
      </c>
      <c r="H36" s="227">
        <f t="shared" si="4"/>
        <v>0</v>
      </c>
      <c r="I36" s="469">
        <v>0</v>
      </c>
      <c r="J36" s="227">
        <v>0</v>
      </c>
      <c r="K36" s="462">
        <f t="shared" si="5"/>
        <v>0</v>
      </c>
      <c r="L36" s="462">
        <f t="shared" si="6"/>
        <v>0</v>
      </c>
      <c r="M36" s="464">
        <f>SUMIF('Audit entry'!$C:$C,'TB 25-26'!$D36,'Audit entry'!$D:$D)</f>
        <v>0</v>
      </c>
      <c r="N36" s="464">
        <f>SUMIF('Audit entry'!$C:$C,'TB 25-26'!$D36,'Audit entry'!$E:$E)</f>
        <v>0</v>
      </c>
      <c r="O36" s="462">
        <f t="shared" si="7"/>
        <v>0</v>
      </c>
      <c r="P36" s="462">
        <f t="shared" si="8"/>
        <v>0</v>
      </c>
      <c r="V36" s="465"/>
      <c r="W36" s="465"/>
    </row>
    <row r="37" spans="1:23" ht="15" hidden="1" customHeight="1">
      <c r="A37" s="543"/>
      <c r="B37" s="543"/>
      <c r="C37" s="543"/>
      <c r="D37" s="476" t="s">
        <v>226</v>
      </c>
      <c r="E37" s="561">
        <v>0</v>
      </c>
      <c r="F37" s="561">
        <v>0</v>
      </c>
      <c r="G37" s="561">
        <f t="shared" si="3"/>
        <v>0</v>
      </c>
      <c r="H37" s="227">
        <f t="shared" si="4"/>
        <v>0</v>
      </c>
      <c r="I37" s="469">
        <v>0</v>
      </c>
      <c r="J37" s="227">
        <v>0</v>
      </c>
      <c r="K37" s="462">
        <f t="shared" si="5"/>
        <v>0</v>
      </c>
      <c r="L37" s="462">
        <f t="shared" si="6"/>
        <v>0</v>
      </c>
      <c r="M37" s="464">
        <f>SUMIF('Audit entry'!$C:$C,'TB 25-26'!$D37,'Audit entry'!$D:$D)</f>
        <v>0</v>
      </c>
      <c r="N37" s="464">
        <f>SUMIF('Audit entry'!$C:$C,'TB 25-26'!$D37,'Audit entry'!$E:$E)</f>
        <v>0</v>
      </c>
      <c r="O37" s="462">
        <f t="shared" si="7"/>
        <v>0</v>
      </c>
      <c r="P37" s="462">
        <f t="shared" si="8"/>
        <v>0</v>
      </c>
      <c r="Q37" s="465" t="s">
        <v>227</v>
      </c>
      <c r="R37" s="465" t="s">
        <v>1088</v>
      </c>
      <c r="S37" s="465">
        <v>14</v>
      </c>
      <c r="T37" s="465" t="s">
        <v>228</v>
      </c>
      <c r="V37" s="465"/>
      <c r="W37" s="465"/>
    </row>
    <row r="38" spans="1:23" ht="15" hidden="1" customHeight="1">
      <c r="A38" s="543"/>
      <c r="B38" s="543"/>
      <c r="C38" s="543"/>
      <c r="D38" s="476" t="s">
        <v>229</v>
      </c>
      <c r="E38" s="561">
        <v>0</v>
      </c>
      <c r="F38" s="561">
        <v>0</v>
      </c>
      <c r="G38" s="561">
        <f t="shared" si="3"/>
        <v>0</v>
      </c>
      <c r="H38" s="227">
        <f t="shared" si="4"/>
        <v>0</v>
      </c>
      <c r="I38" s="469">
        <v>0</v>
      </c>
      <c r="J38" s="227">
        <v>0</v>
      </c>
      <c r="K38" s="462">
        <f t="shared" si="5"/>
        <v>0</v>
      </c>
      <c r="L38" s="462">
        <f t="shared" si="6"/>
        <v>0</v>
      </c>
      <c r="M38" s="464">
        <f>SUMIF('Audit entry'!$C:$C,'TB 25-26'!$D38,'Audit entry'!$D:$D)</f>
        <v>0</v>
      </c>
      <c r="N38" s="464">
        <f>SUMIF('Audit entry'!$C:$C,'TB 25-26'!$D38,'Audit entry'!$E:$E)</f>
        <v>0</v>
      </c>
      <c r="O38" s="462">
        <f t="shared" si="7"/>
        <v>0</v>
      </c>
      <c r="P38" s="462">
        <f t="shared" si="8"/>
        <v>0</v>
      </c>
      <c r="Q38" s="465" t="s">
        <v>227</v>
      </c>
      <c r="R38" s="465" t="s">
        <v>1088</v>
      </c>
      <c r="S38" s="465">
        <v>14</v>
      </c>
      <c r="T38" s="465" t="s">
        <v>228</v>
      </c>
      <c r="V38" s="465"/>
      <c r="W38" s="465"/>
    </row>
    <row r="39" spans="1:23" ht="15" hidden="1" customHeight="1">
      <c r="A39" s="543"/>
      <c r="B39" s="543"/>
      <c r="C39" s="544" t="s">
        <v>230</v>
      </c>
      <c r="D39" s="476"/>
      <c r="E39" s="561">
        <v>0</v>
      </c>
      <c r="F39" s="561">
        <v>0</v>
      </c>
      <c r="G39" s="561">
        <f t="shared" si="3"/>
        <v>0</v>
      </c>
      <c r="H39" s="227">
        <f t="shared" si="4"/>
        <v>0</v>
      </c>
      <c r="I39" s="469">
        <v>0</v>
      </c>
      <c r="J39" s="227">
        <v>0</v>
      </c>
      <c r="K39" s="462">
        <f t="shared" si="5"/>
        <v>0</v>
      </c>
      <c r="L39" s="462">
        <f t="shared" si="6"/>
        <v>0</v>
      </c>
      <c r="M39" s="464">
        <f>SUMIF('Audit entry'!$C:$C,'TB 25-26'!$D39,'Audit entry'!$D:$D)</f>
        <v>0</v>
      </c>
      <c r="N39" s="464">
        <f>SUMIF('Audit entry'!$C:$C,'TB 25-26'!$D39,'Audit entry'!$E:$E)</f>
        <v>0</v>
      </c>
      <c r="O39" s="462">
        <f t="shared" si="7"/>
        <v>0</v>
      </c>
      <c r="P39" s="462">
        <f t="shared" si="8"/>
        <v>0</v>
      </c>
      <c r="V39" s="465"/>
      <c r="W39" s="465"/>
    </row>
    <row r="40" spans="1:23" ht="15" hidden="1" customHeight="1">
      <c r="A40" s="543"/>
      <c r="B40" s="543"/>
      <c r="C40" s="543"/>
      <c r="D40" s="476" t="s">
        <v>231</v>
      </c>
      <c r="E40" s="561">
        <v>0</v>
      </c>
      <c r="F40" s="561">
        <v>0</v>
      </c>
      <c r="G40" s="561">
        <f t="shared" si="3"/>
        <v>0</v>
      </c>
      <c r="H40" s="227">
        <f t="shared" si="4"/>
        <v>0</v>
      </c>
      <c r="I40" s="469">
        <v>0</v>
      </c>
      <c r="J40" s="227">
        <v>0</v>
      </c>
      <c r="K40" s="462">
        <f t="shared" si="5"/>
        <v>0</v>
      </c>
      <c r="L40" s="462">
        <f t="shared" si="6"/>
        <v>0</v>
      </c>
      <c r="M40" s="464">
        <f>SUMIF('Audit entry'!$C:$C,'TB 25-26'!$D40,'Audit entry'!$D:$D)</f>
        <v>0</v>
      </c>
      <c r="N40" s="464">
        <f>SUMIF('Audit entry'!$C:$C,'TB 25-26'!$D40,'Audit entry'!$E:$E)</f>
        <v>0</v>
      </c>
      <c r="O40" s="462">
        <f t="shared" si="7"/>
        <v>0</v>
      </c>
      <c r="P40" s="462">
        <f t="shared" si="8"/>
        <v>0</v>
      </c>
      <c r="Q40" s="465" t="s">
        <v>232</v>
      </c>
      <c r="R40" s="465" t="s">
        <v>1088</v>
      </c>
      <c r="S40" s="465">
        <v>14</v>
      </c>
      <c r="T40" s="465" t="s">
        <v>228</v>
      </c>
      <c r="V40" s="465"/>
      <c r="W40" s="465"/>
    </row>
    <row r="41" spans="1:23" ht="15" hidden="1" customHeight="1">
      <c r="A41" s="543"/>
      <c r="B41" s="543"/>
      <c r="C41" s="543"/>
      <c r="D41" s="476" t="s">
        <v>233</v>
      </c>
      <c r="E41" s="561">
        <v>130788.22666666668</v>
      </c>
      <c r="F41" s="561">
        <v>0</v>
      </c>
      <c r="G41" s="561">
        <f t="shared" si="3"/>
        <v>130788.22666666668</v>
      </c>
      <c r="H41" s="227">
        <f t="shared" si="4"/>
        <v>0</v>
      </c>
      <c r="I41" s="469">
        <v>0</v>
      </c>
      <c r="J41" s="227">
        <v>0</v>
      </c>
      <c r="K41" s="462">
        <f t="shared" si="5"/>
        <v>130788.22666666668</v>
      </c>
      <c r="L41" s="462">
        <f t="shared" si="6"/>
        <v>0</v>
      </c>
      <c r="M41" s="464">
        <f>SUMIF('Audit entry'!$C:$C,'TB 25-26'!$D41,'Audit entry'!$D:$D)</f>
        <v>180753.41250000001</v>
      </c>
      <c r="N41" s="464">
        <f>SUMIF('Audit entry'!$C:$C,'TB 25-26'!$D41,'Audit entry'!$E:$E)</f>
        <v>130788.226666667</v>
      </c>
      <c r="O41" s="462">
        <f>+IF((K41+M41-L41-N41&gt;0),K41+M41-L41-N41,0)/Deno</f>
        <v>180753.41249999966</v>
      </c>
      <c r="P41" s="462">
        <f t="shared" si="8"/>
        <v>0</v>
      </c>
      <c r="Q41" s="465" t="s">
        <v>232</v>
      </c>
      <c r="R41" s="465" t="s">
        <v>1088</v>
      </c>
      <c r="S41" s="465">
        <v>14</v>
      </c>
      <c r="T41" s="465" t="s">
        <v>228</v>
      </c>
      <c r="V41" s="465"/>
      <c r="W41" s="465"/>
    </row>
    <row r="42" spans="1:23" ht="15" hidden="1" customHeight="1">
      <c r="A42" s="543"/>
      <c r="B42" s="475" t="s">
        <v>234</v>
      </c>
      <c r="C42" s="475"/>
      <c r="D42" s="475"/>
      <c r="E42" s="561">
        <v>0</v>
      </c>
      <c r="F42" s="561">
        <v>0</v>
      </c>
      <c r="G42" s="561">
        <f t="shared" si="3"/>
        <v>0</v>
      </c>
      <c r="H42" s="227">
        <f t="shared" si="4"/>
        <v>0</v>
      </c>
      <c r="I42" s="469">
        <v>0</v>
      </c>
      <c r="J42" s="227">
        <v>0</v>
      </c>
      <c r="K42" s="462">
        <f t="shared" si="5"/>
        <v>0</v>
      </c>
      <c r="L42" s="462">
        <f t="shared" si="6"/>
        <v>0</v>
      </c>
      <c r="M42" s="464">
        <f>SUMIF('Audit entry'!$C:$C,'TB 25-26'!$D42,'Audit entry'!$D:$D)</f>
        <v>0</v>
      </c>
      <c r="N42" s="464">
        <f>SUMIF('Audit entry'!$C:$C,'TB 25-26'!$D42,'Audit entry'!$E:$E)</f>
        <v>0</v>
      </c>
      <c r="O42" s="462">
        <f t="shared" si="7"/>
        <v>0</v>
      </c>
      <c r="P42" s="462">
        <f t="shared" si="8"/>
        <v>0</v>
      </c>
      <c r="V42" s="465"/>
      <c r="W42" s="465"/>
    </row>
    <row r="43" spans="1:23" ht="15" hidden="1" customHeight="1">
      <c r="A43" s="543"/>
      <c r="B43" s="543"/>
      <c r="C43" s="475" t="s">
        <v>235</v>
      </c>
      <c r="D43" s="475"/>
      <c r="E43" s="561">
        <v>0</v>
      </c>
      <c r="F43" s="561">
        <v>0</v>
      </c>
      <c r="G43" s="561">
        <f t="shared" si="3"/>
        <v>0</v>
      </c>
      <c r="H43" s="227">
        <f t="shared" si="4"/>
        <v>0</v>
      </c>
      <c r="I43" s="469">
        <v>0</v>
      </c>
      <c r="J43" s="227">
        <v>0</v>
      </c>
      <c r="K43" s="462">
        <f t="shared" si="5"/>
        <v>0</v>
      </c>
      <c r="L43" s="462">
        <f t="shared" si="6"/>
        <v>0</v>
      </c>
      <c r="M43" s="464">
        <f>SUMIF('Audit entry'!$C:$C,'TB 25-26'!$D43,'Audit entry'!$D:$D)</f>
        <v>0</v>
      </c>
      <c r="N43" s="464">
        <f>SUMIF('Audit entry'!$C:$C,'TB 25-26'!$D43,'Audit entry'!$E:$E)</f>
        <v>0</v>
      </c>
      <c r="O43" s="462">
        <f t="shared" si="7"/>
        <v>0</v>
      </c>
      <c r="P43" s="462">
        <f t="shared" si="8"/>
        <v>0</v>
      </c>
      <c r="V43" s="465"/>
      <c r="W43" s="465"/>
    </row>
    <row r="44" spans="1:23" ht="15" hidden="1" customHeight="1">
      <c r="A44" s="543"/>
      <c r="B44" s="543"/>
      <c r="C44" s="543"/>
      <c r="D44" s="476" t="s">
        <v>236</v>
      </c>
      <c r="E44" s="561">
        <v>0</v>
      </c>
      <c r="F44" s="561">
        <v>0</v>
      </c>
      <c r="G44" s="561">
        <f t="shared" si="3"/>
        <v>0</v>
      </c>
      <c r="H44" s="227">
        <f t="shared" si="4"/>
        <v>0</v>
      </c>
      <c r="I44" s="469">
        <v>0</v>
      </c>
      <c r="J44" s="227">
        <v>0</v>
      </c>
      <c r="K44" s="462">
        <f t="shared" si="5"/>
        <v>0</v>
      </c>
      <c r="L44" s="462">
        <f t="shared" si="6"/>
        <v>0</v>
      </c>
      <c r="M44" s="464">
        <f>SUMIF('Audit entry'!$C:$C,'TB 25-26'!$D44,'Audit entry'!$D:$D)</f>
        <v>0</v>
      </c>
      <c r="N44" s="464">
        <f>SUMIF('Audit entry'!$C:$C,'TB 25-26'!$D44,'Audit entry'!$E:$E)</f>
        <v>0</v>
      </c>
      <c r="O44" s="462">
        <f t="shared" si="7"/>
        <v>0</v>
      </c>
      <c r="P44" s="462">
        <f t="shared" si="8"/>
        <v>0</v>
      </c>
      <c r="Q44" s="465" t="s">
        <v>237</v>
      </c>
      <c r="R44" s="465" t="s">
        <v>1088</v>
      </c>
      <c r="S44" s="465">
        <v>14</v>
      </c>
      <c r="T44" s="465" t="s">
        <v>228</v>
      </c>
      <c r="V44" s="465"/>
      <c r="W44" s="465"/>
    </row>
    <row r="45" spans="1:23" ht="15" hidden="1" customHeight="1">
      <c r="A45" s="543"/>
      <c r="B45" s="543"/>
      <c r="C45" s="543"/>
      <c r="D45" s="476" t="s">
        <v>238</v>
      </c>
      <c r="E45" s="561">
        <v>0</v>
      </c>
      <c r="F45" s="561">
        <v>2.9999999998835847E-2</v>
      </c>
      <c r="G45" s="561">
        <f t="shared" si="3"/>
        <v>0</v>
      </c>
      <c r="H45" s="227">
        <f t="shared" si="4"/>
        <v>2.9999999998835847E-2</v>
      </c>
      <c r="I45" s="469">
        <v>0</v>
      </c>
      <c r="J45" s="227">
        <v>0</v>
      </c>
      <c r="K45" s="462">
        <f t="shared" si="5"/>
        <v>0</v>
      </c>
      <c r="L45" s="462">
        <f t="shared" si="6"/>
        <v>2.9999999998835847E-2</v>
      </c>
      <c r="M45" s="464">
        <f>SUMIF('Audit entry'!$C:$C,'TB 25-26'!$D45,'Audit entry'!$D:$D)</f>
        <v>0</v>
      </c>
      <c r="N45" s="464">
        <f>SUMIF('Audit entry'!$C:$C,'TB 25-26'!$D45,'Audit entry'!$E:$E)</f>
        <v>0</v>
      </c>
      <c r="O45" s="462">
        <f t="shared" si="7"/>
        <v>0</v>
      </c>
      <c r="P45" s="462">
        <f t="shared" si="8"/>
        <v>2.9999999998835847E-2</v>
      </c>
      <c r="Q45" s="465" t="s">
        <v>237</v>
      </c>
      <c r="R45" s="465" t="s">
        <v>1088</v>
      </c>
      <c r="S45" s="465">
        <v>14</v>
      </c>
      <c r="T45" s="465" t="s">
        <v>228</v>
      </c>
      <c r="V45" s="465"/>
      <c r="W45" s="465"/>
    </row>
    <row r="46" spans="1:23" ht="15" hidden="1" customHeight="1">
      <c r="A46" s="543"/>
      <c r="B46" s="543"/>
      <c r="C46" s="543"/>
      <c r="D46" s="592" t="s">
        <v>239</v>
      </c>
      <c r="E46" s="561">
        <v>43181.76999999999</v>
      </c>
      <c r="F46" s="561">
        <v>0</v>
      </c>
      <c r="G46" s="561">
        <f t="shared" si="3"/>
        <v>43181.76999999999</v>
      </c>
      <c r="H46" s="227">
        <f t="shared" si="4"/>
        <v>0</v>
      </c>
      <c r="I46" s="469">
        <v>52349.5</v>
      </c>
      <c r="J46" s="227">
        <v>0</v>
      </c>
      <c r="K46" s="462">
        <f t="shared" si="5"/>
        <v>95531.26999999999</v>
      </c>
      <c r="L46" s="462">
        <f t="shared" si="6"/>
        <v>0</v>
      </c>
      <c r="M46" s="464">
        <f>SUMIF('Audit entry'!$C:$C,'TB 25-26'!$D46,'Audit entry'!$D:$D)</f>
        <v>0</v>
      </c>
      <c r="N46" s="464">
        <f>SUMIF('Audit entry'!$C:$C,'TB 25-26'!$D46,'Audit entry'!$E:$E)</f>
        <v>0</v>
      </c>
      <c r="O46" s="462">
        <f t="shared" si="7"/>
        <v>95531.26999999999</v>
      </c>
      <c r="P46" s="462">
        <f t="shared" si="8"/>
        <v>0</v>
      </c>
      <c r="Q46" s="465" t="s">
        <v>237</v>
      </c>
      <c r="R46" s="465" t="s">
        <v>1088</v>
      </c>
      <c r="S46" s="465">
        <v>14</v>
      </c>
      <c r="T46" s="465" t="s">
        <v>228</v>
      </c>
      <c r="V46" s="465"/>
      <c r="W46" s="465"/>
    </row>
    <row r="47" spans="1:23" ht="15" hidden="1" customHeight="1">
      <c r="A47" s="543"/>
      <c r="B47" s="543"/>
      <c r="C47" s="543"/>
      <c r="D47" s="476" t="s">
        <v>240</v>
      </c>
      <c r="E47" s="594">
        <v>0</v>
      </c>
      <c r="F47" s="594">
        <v>0</v>
      </c>
      <c r="G47" s="594">
        <f t="shared" si="3"/>
        <v>0</v>
      </c>
      <c r="H47" s="227">
        <f t="shared" si="4"/>
        <v>0</v>
      </c>
      <c r="I47" s="540">
        <v>6000</v>
      </c>
      <c r="J47" s="227">
        <v>0</v>
      </c>
      <c r="K47" s="462">
        <f t="shared" si="5"/>
        <v>6000</v>
      </c>
      <c r="L47" s="462">
        <f t="shared" si="6"/>
        <v>0</v>
      </c>
      <c r="M47" s="595">
        <f>SUMIF('Audit entry'!$C:$C,'TB 25-26'!$D47,'Audit entry'!$D:$D)</f>
        <v>0</v>
      </c>
      <c r="N47" s="595">
        <f>SUMIF('Audit entry'!$C:$C,'TB 25-26'!$D47,'Audit entry'!$E:$E)</f>
        <v>0</v>
      </c>
      <c r="O47" s="462">
        <f t="shared" si="7"/>
        <v>6000</v>
      </c>
      <c r="P47" s="462">
        <f t="shared" si="8"/>
        <v>0</v>
      </c>
      <c r="Q47" s="465" t="s">
        <v>232</v>
      </c>
      <c r="R47" s="465" t="s">
        <v>1088</v>
      </c>
      <c r="S47" s="465">
        <v>14</v>
      </c>
      <c r="T47" s="465" t="s">
        <v>228</v>
      </c>
      <c r="V47" s="465"/>
      <c r="W47" s="465"/>
    </row>
    <row r="48" spans="1:23" ht="15" hidden="1" customHeight="1">
      <c r="A48" s="543"/>
      <c r="B48" s="543"/>
      <c r="C48" s="543"/>
      <c r="D48" s="476" t="s">
        <v>241</v>
      </c>
      <c r="E48" s="561">
        <v>0</v>
      </c>
      <c r="F48" s="561">
        <v>0</v>
      </c>
      <c r="G48" s="561">
        <f t="shared" si="3"/>
        <v>0</v>
      </c>
      <c r="H48" s="227">
        <f t="shared" si="4"/>
        <v>0</v>
      </c>
      <c r="I48" s="469">
        <v>0</v>
      </c>
      <c r="J48" s="227">
        <v>0</v>
      </c>
      <c r="K48" s="462">
        <f t="shared" si="5"/>
        <v>0</v>
      </c>
      <c r="L48" s="462">
        <f t="shared" si="6"/>
        <v>0</v>
      </c>
      <c r="M48" s="464">
        <f>SUMIF('Audit entry'!$C:$C,'TB 25-26'!$D48,'Audit entry'!$D:$D)</f>
        <v>59381</v>
      </c>
      <c r="N48" s="464">
        <f>SUMIF('Audit entry'!$C:$C,'TB 25-26'!$D48,'Audit entry'!$E:$E)</f>
        <v>0</v>
      </c>
      <c r="O48" s="462">
        <f t="shared" si="7"/>
        <v>59381</v>
      </c>
      <c r="P48" s="462">
        <f t="shared" si="8"/>
        <v>0</v>
      </c>
      <c r="Q48" s="465" t="s">
        <v>232</v>
      </c>
      <c r="R48" s="465" t="s">
        <v>1088</v>
      </c>
      <c r="S48" s="465">
        <v>14</v>
      </c>
      <c r="T48" s="465" t="s">
        <v>228</v>
      </c>
      <c r="V48" s="465"/>
      <c r="W48" s="465"/>
    </row>
    <row r="49" spans="1:23" ht="15" hidden="1" customHeight="1">
      <c r="A49" s="543"/>
      <c r="B49" s="543"/>
      <c r="C49" s="543"/>
      <c r="D49" s="476" t="s">
        <v>242</v>
      </c>
      <c r="E49" s="561">
        <v>1173158</v>
      </c>
      <c r="F49" s="561">
        <v>0</v>
      </c>
      <c r="G49" s="561">
        <f t="shared" si="3"/>
        <v>1173158</v>
      </c>
      <c r="H49" s="227">
        <f t="shared" si="4"/>
        <v>0</v>
      </c>
      <c r="I49" s="469">
        <v>0</v>
      </c>
      <c r="J49" s="227">
        <v>35977.480000000003</v>
      </c>
      <c r="K49" s="462">
        <f t="shared" si="5"/>
        <v>1137180.52</v>
      </c>
      <c r="L49" s="462">
        <f t="shared" si="6"/>
        <v>0</v>
      </c>
      <c r="M49" s="464">
        <f>SUMIF('Audit entry'!$C:$C,'TB 25-26'!$D49,'Audit entry'!$D:$D)</f>
        <v>0</v>
      </c>
      <c r="N49" s="464">
        <f>SUMIF('Audit entry'!$C:$C,'TB 25-26'!$D49,'Audit entry'!$E:$E)</f>
        <v>0</v>
      </c>
      <c r="O49" s="462">
        <f t="shared" si="7"/>
        <v>1137180.52</v>
      </c>
      <c r="P49" s="462">
        <f t="shared" si="8"/>
        <v>0</v>
      </c>
      <c r="Q49" s="465" t="s">
        <v>243</v>
      </c>
      <c r="R49" s="465" t="s">
        <v>1088</v>
      </c>
      <c r="S49" s="465">
        <v>10</v>
      </c>
      <c r="T49" s="465" t="s">
        <v>244</v>
      </c>
      <c r="V49" s="465"/>
      <c r="W49" s="465"/>
    </row>
    <row r="50" spans="1:23" ht="15" hidden="1" customHeight="1">
      <c r="A50" s="543"/>
      <c r="B50" s="543"/>
      <c r="C50" s="543"/>
      <c r="D50" s="476" t="s">
        <v>245</v>
      </c>
      <c r="E50" s="561">
        <v>0</v>
      </c>
      <c r="F50" s="561">
        <v>0</v>
      </c>
      <c r="G50" s="561">
        <f t="shared" si="3"/>
        <v>0</v>
      </c>
      <c r="H50" s="227">
        <f t="shared" si="4"/>
        <v>0</v>
      </c>
      <c r="I50" s="469">
        <v>0</v>
      </c>
      <c r="J50" s="227">
        <v>0</v>
      </c>
      <c r="K50" s="462">
        <f t="shared" si="5"/>
        <v>0</v>
      </c>
      <c r="L50" s="462">
        <f t="shared" si="6"/>
        <v>0</v>
      </c>
      <c r="M50" s="464">
        <f>SUMIF('Audit entry'!$C:$C,'TB 25-26'!$D50,'Audit entry'!$D:$D)</f>
        <v>0</v>
      </c>
      <c r="N50" s="464">
        <f>SUMIF('Audit entry'!$C:$C,'TB 25-26'!$D50,'Audit entry'!$E:$E)</f>
        <v>0</v>
      </c>
      <c r="O50" s="462">
        <f t="shared" si="7"/>
        <v>0</v>
      </c>
      <c r="P50" s="462">
        <f t="shared" si="8"/>
        <v>0</v>
      </c>
      <c r="Q50" s="465" t="s">
        <v>246</v>
      </c>
      <c r="R50" s="465" t="s">
        <v>1088</v>
      </c>
      <c r="S50" s="465">
        <v>14</v>
      </c>
      <c r="T50" s="465" t="s">
        <v>228</v>
      </c>
      <c r="V50" s="465"/>
      <c r="W50" s="465"/>
    </row>
    <row r="51" spans="1:23" ht="15" hidden="1" customHeight="1">
      <c r="A51" s="543"/>
      <c r="B51" s="543"/>
      <c r="C51" s="543"/>
      <c r="D51" s="476" t="s">
        <v>247</v>
      </c>
      <c r="E51" s="561">
        <v>496500</v>
      </c>
      <c r="F51" s="561">
        <v>0</v>
      </c>
      <c r="G51" s="561">
        <f t="shared" si="3"/>
        <v>496500</v>
      </c>
      <c r="H51" s="227">
        <f t="shared" si="4"/>
        <v>0</v>
      </c>
      <c r="I51" s="469">
        <v>0</v>
      </c>
      <c r="J51" s="227">
        <v>0</v>
      </c>
      <c r="K51" s="462">
        <f t="shared" si="5"/>
        <v>496500</v>
      </c>
      <c r="L51" s="462">
        <f t="shared" si="6"/>
        <v>0</v>
      </c>
      <c r="M51" s="464">
        <f>SUMIF('Audit entry'!$C:$C,'TB 25-26'!$D51,'Audit entry'!$D:$D)</f>
        <v>0</v>
      </c>
      <c r="N51" s="464">
        <f>SUMIF('Audit entry'!$C:$C,'TB 25-26'!$D51,'Audit entry'!$E:$E)</f>
        <v>0</v>
      </c>
      <c r="O51" s="462">
        <f t="shared" si="7"/>
        <v>496500</v>
      </c>
      <c r="P51" s="462">
        <f t="shared" si="8"/>
        <v>0</v>
      </c>
      <c r="Q51" s="465" t="s">
        <v>243</v>
      </c>
      <c r="R51" s="465" t="s">
        <v>1088</v>
      </c>
      <c r="S51" s="465">
        <v>10</v>
      </c>
      <c r="T51" s="465" t="s">
        <v>244</v>
      </c>
      <c r="V51" s="465"/>
      <c r="W51" s="465"/>
    </row>
    <row r="52" spans="1:23" ht="15" hidden="1" customHeight="1">
      <c r="A52" s="543"/>
      <c r="B52" s="543"/>
      <c r="C52" s="543"/>
      <c r="D52" s="476" t="s">
        <v>248</v>
      </c>
      <c r="E52" s="561">
        <v>12054926.360000012</v>
      </c>
      <c r="F52" s="561">
        <v>0</v>
      </c>
      <c r="G52" s="561">
        <f t="shared" si="3"/>
        <v>12054926.360000012</v>
      </c>
      <c r="H52" s="227">
        <f t="shared" si="4"/>
        <v>0</v>
      </c>
      <c r="I52" s="469">
        <v>5046645.82</v>
      </c>
      <c r="J52" s="227">
        <v>0</v>
      </c>
      <c r="K52" s="462">
        <f t="shared" si="5"/>
        <v>17101572.180000015</v>
      </c>
      <c r="L52" s="462">
        <f t="shared" si="6"/>
        <v>0</v>
      </c>
      <c r="M52" s="464">
        <f>SUMIF('Audit entry'!$C:$C,'TB 25-26'!$D52,'Audit entry'!$D:$D)</f>
        <v>0</v>
      </c>
      <c r="N52" s="464">
        <f>SUMIF('Audit entry'!$C:$C,'TB 25-26'!$D52,'Audit entry'!$E:$E)</f>
        <v>0</v>
      </c>
      <c r="O52" s="462">
        <f t="shared" si="7"/>
        <v>17101572.180000015</v>
      </c>
      <c r="P52" s="462">
        <f t="shared" si="8"/>
        <v>0</v>
      </c>
      <c r="Q52" s="465" t="s">
        <v>249</v>
      </c>
      <c r="R52" s="465" t="s">
        <v>1088</v>
      </c>
      <c r="S52" s="465">
        <v>14</v>
      </c>
      <c r="T52" s="465" t="s">
        <v>228</v>
      </c>
      <c r="U52" s="465" t="s">
        <v>250</v>
      </c>
      <c r="V52" s="465"/>
      <c r="W52" s="465"/>
    </row>
    <row r="53" spans="1:23" ht="15" hidden="1" customHeight="1">
      <c r="A53" s="543"/>
      <c r="B53" s="543"/>
      <c r="C53" s="543"/>
      <c r="D53" s="476" t="s">
        <v>251</v>
      </c>
      <c r="E53" s="561">
        <v>4906524.9599999916</v>
      </c>
      <c r="F53" s="561">
        <v>0</v>
      </c>
      <c r="G53" s="561">
        <f t="shared" si="3"/>
        <v>4906524.9599999916</v>
      </c>
      <c r="H53" s="227">
        <f t="shared" si="4"/>
        <v>0</v>
      </c>
      <c r="I53" s="469">
        <v>4861184.0999999996</v>
      </c>
      <c r="J53" s="227">
        <v>0</v>
      </c>
      <c r="K53" s="462">
        <f t="shared" si="5"/>
        <v>9767709.0599999912</v>
      </c>
      <c r="L53" s="462">
        <f t="shared" si="6"/>
        <v>0</v>
      </c>
      <c r="M53" s="464">
        <f>SUMIF('Audit entry'!$C:$C,'TB 25-26'!$D53,'Audit entry'!$D:$D)</f>
        <v>0</v>
      </c>
      <c r="N53" s="464">
        <f>SUMIF('Audit entry'!$C:$C,'TB 25-26'!$D53,'Audit entry'!$E:$E)</f>
        <v>0</v>
      </c>
      <c r="O53" s="462">
        <f t="shared" si="7"/>
        <v>9767709.0599999912</v>
      </c>
      <c r="P53" s="462">
        <f t="shared" si="8"/>
        <v>0</v>
      </c>
      <c r="Q53" s="465" t="s">
        <v>249</v>
      </c>
      <c r="R53" s="465" t="s">
        <v>1088</v>
      </c>
      <c r="S53" s="465">
        <v>14</v>
      </c>
      <c r="T53" s="465" t="s">
        <v>228</v>
      </c>
      <c r="U53" s="465" t="s">
        <v>250</v>
      </c>
      <c r="V53" s="465"/>
      <c r="W53" s="465"/>
    </row>
    <row r="54" spans="1:23" ht="15" hidden="1" customHeight="1">
      <c r="A54" s="543"/>
      <c r="B54" s="543"/>
      <c r="C54" s="543"/>
      <c r="D54" s="476" t="s">
        <v>252</v>
      </c>
      <c r="E54" s="561">
        <v>10904241.290000012</v>
      </c>
      <c r="F54" s="561">
        <v>0</v>
      </c>
      <c r="G54" s="561">
        <f t="shared" si="3"/>
        <v>10904241.290000012</v>
      </c>
      <c r="H54" s="227">
        <f t="shared" si="4"/>
        <v>0</v>
      </c>
      <c r="I54" s="469">
        <v>5046645.47</v>
      </c>
      <c r="J54" s="227">
        <v>0</v>
      </c>
      <c r="K54" s="462">
        <f t="shared" si="5"/>
        <v>15950886.760000013</v>
      </c>
      <c r="L54" s="462">
        <f t="shared" si="6"/>
        <v>0</v>
      </c>
      <c r="M54" s="464">
        <f>SUMIF('Audit entry'!$C:$C,'TB 25-26'!$D54,'Audit entry'!$D:$D)</f>
        <v>0</v>
      </c>
      <c r="N54" s="464">
        <f>SUMIF('Audit entry'!$C:$C,'TB 25-26'!$D54,'Audit entry'!$E:$E)</f>
        <v>0</v>
      </c>
      <c r="O54" s="462">
        <f t="shared" si="7"/>
        <v>15950886.760000013</v>
      </c>
      <c r="P54" s="462">
        <f t="shared" si="8"/>
        <v>0</v>
      </c>
      <c r="Q54" s="465" t="s">
        <v>249</v>
      </c>
      <c r="R54" s="465" t="s">
        <v>1088</v>
      </c>
      <c r="S54" s="465">
        <v>14</v>
      </c>
      <c r="T54" s="465" t="s">
        <v>228</v>
      </c>
      <c r="U54" s="465" t="s">
        <v>250</v>
      </c>
      <c r="V54" s="465"/>
      <c r="W54" s="465"/>
    </row>
    <row r="55" spans="1:23" ht="15" hidden="1" customHeight="1">
      <c r="A55" s="543"/>
      <c r="B55" s="543"/>
      <c r="C55" s="543"/>
      <c r="D55" s="476" t="s">
        <v>253</v>
      </c>
      <c r="E55" s="561">
        <v>4235617</v>
      </c>
      <c r="F55" s="561">
        <v>0</v>
      </c>
      <c r="G55" s="561">
        <f t="shared" si="3"/>
        <v>4235617</v>
      </c>
      <c r="H55" s="227">
        <f t="shared" si="4"/>
        <v>0</v>
      </c>
      <c r="I55" s="469">
        <v>14010982</v>
      </c>
      <c r="J55" s="227">
        <v>0</v>
      </c>
      <c r="K55" s="462">
        <f t="shared" si="5"/>
        <v>18246599</v>
      </c>
      <c r="L55" s="462">
        <f t="shared" si="6"/>
        <v>0</v>
      </c>
      <c r="M55" s="464">
        <f>SUMIF('Audit entry'!$C:$C,'TB 25-26'!$D55,'Audit entry'!$D:$D)</f>
        <v>0</v>
      </c>
      <c r="N55" s="464">
        <f>SUMIF('Audit entry'!$C:$C,'TB 25-26'!$D55,'Audit entry'!$E:$E)</f>
        <v>0</v>
      </c>
      <c r="O55" s="462">
        <f t="shared" si="7"/>
        <v>18246599</v>
      </c>
      <c r="P55" s="462">
        <f t="shared" si="8"/>
        <v>0</v>
      </c>
      <c r="Q55" s="465" t="s">
        <v>249</v>
      </c>
      <c r="R55" s="465" t="s">
        <v>1088</v>
      </c>
      <c r="S55" s="465">
        <v>14</v>
      </c>
      <c r="T55" s="465" t="s">
        <v>228</v>
      </c>
      <c r="U55" s="465" t="s">
        <v>250</v>
      </c>
      <c r="V55" s="465"/>
      <c r="W55" s="465"/>
    </row>
    <row r="56" spans="1:23" ht="15" hidden="1" customHeight="1">
      <c r="A56" s="543"/>
      <c r="B56" s="543"/>
      <c r="C56" s="543"/>
      <c r="D56" s="476" t="s">
        <v>254</v>
      </c>
      <c r="E56" s="561">
        <v>0</v>
      </c>
      <c r="F56" s="561">
        <v>0</v>
      </c>
      <c r="G56" s="561">
        <f t="shared" si="3"/>
        <v>0</v>
      </c>
      <c r="H56" s="227">
        <f t="shared" si="4"/>
        <v>0</v>
      </c>
      <c r="I56" s="469">
        <v>0</v>
      </c>
      <c r="J56" s="227">
        <v>0</v>
      </c>
      <c r="K56" s="462">
        <f t="shared" si="5"/>
        <v>0</v>
      </c>
      <c r="L56" s="462">
        <f t="shared" si="6"/>
        <v>0</v>
      </c>
      <c r="M56" s="464">
        <f>SUMIF('Audit entry'!$C:$C,'TB 25-26'!$D56,'Audit entry'!$D:$D)</f>
        <v>0</v>
      </c>
      <c r="N56" s="464">
        <f>SUMIF('Audit entry'!$C:$C,'TB 25-26'!$D56,'Audit entry'!$E:$E)</f>
        <v>0</v>
      </c>
      <c r="O56" s="462">
        <f t="shared" si="7"/>
        <v>0</v>
      </c>
      <c r="P56" s="462">
        <f t="shared" si="8"/>
        <v>0</v>
      </c>
      <c r="Q56" s="465" t="s">
        <v>255</v>
      </c>
      <c r="R56" s="465" t="s">
        <v>1088</v>
      </c>
      <c r="S56" s="465">
        <v>14</v>
      </c>
      <c r="T56" s="465" t="s">
        <v>228</v>
      </c>
      <c r="V56" s="465"/>
      <c r="W56" s="465"/>
    </row>
    <row r="57" spans="1:23" ht="15" hidden="1" customHeight="1">
      <c r="A57" s="543"/>
      <c r="B57" s="543"/>
      <c r="C57" s="543"/>
      <c r="D57" s="476" t="s">
        <v>256</v>
      </c>
      <c r="E57" s="561">
        <v>0</v>
      </c>
      <c r="F57" s="561">
        <v>0</v>
      </c>
      <c r="G57" s="561">
        <f t="shared" si="3"/>
        <v>0</v>
      </c>
      <c r="H57" s="227">
        <f t="shared" si="4"/>
        <v>0</v>
      </c>
      <c r="I57" s="469">
        <v>0</v>
      </c>
      <c r="J57" s="227">
        <v>0</v>
      </c>
      <c r="K57" s="462">
        <f t="shared" si="5"/>
        <v>0</v>
      </c>
      <c r="L57" s="462">
        <f t="shared" si="6"/>
        <v>0</v>
      </c>
      <c r="M57" s="464">
        <f>SUMIF('Audit entry'!$C:$C,'TB 25-26'!$D57,'Audit entry'!$D:$D)</f>
        <v>0</v>
      </c>
      <c r="N57" s="464">
        <f>SUMIF('Audit entry'!$C:$C,'TB 25-26'!$D57,'Audit entry'!$E:$E)</f>
        <v>0</v>
      </c>
      <c r="O57" s="462">
        <f t="shared" si="7"/>
        <v>0</v>
      </c>
      <c r="P57" s="462">
        <f t="shared" si="8"/>
        <v>0</v>
      </c>
      <c r="Q57" s="465" t="s">
        <v>255</v>
      </c>
      <c r="R57" s="465" t="s">
        <v>1088</v>
      </c>
      <c r="S57" s="465">
        <v>14</v>
      </c>
      <c r="T57" s="465" t="s">
        <v>228</v>
      </c>
      <c r="V57" s="465"/>
      <c r="W57" s="465"/>
    </row>
    <row r="58" spans="1:23" ht="15" hidden="1" customHeight="1">
      <c r="A58" s="543"/>
      <c r="B58" s="543"/>
      <c r="C58" s="543"/>
      <c r="D58" s="476" t="s">
        <v>257</v>
      </c>
      <c r="E58" s="561">
        <v>0</v>
      </c>
      <c r="F58" s="561">
        <v>0</v>
      </c>
      <c r="G58" s="561">
        <f t="shared" si="3"/>
        <v>0</v>
      </c>
      <c r="H58" s="227">
        <f t="shared" si="4"/>
        <v>0</v>
      </c>
      <c r="I58" s="469">
        <v>0</v>
      </c>
      <c r="J58" s="227">
        <v>0</v>
      </c>
      <c r="K58" s="462">
        <f t="shared" si="5"/>
        <v>0</v>
      </c>
      <c r="L58" s="462">
        <f t="shared" si="6"/>
        <v>0</v>
      </c>
      <c r="M58" s="464">
        <f>SUMIF('Audit entry'!$C:$C,'TB 25-26'!$D58,'Audit entry'!$D:$D)</f>
        <v>0</v>
      </c>
      <c r="N58" s="464">
        <f>SUMIF('Audit entry'!$C:$C,'TB 25-26'!$D58,'Audit entry'!$E:$E)</f>
        <v>0</v>
      </c>
      <c r="O58" s="462">
        <f t="shared" si="7"/>
        <v>0</v>
      </c>
      <c r="P58" s="462">
        <f t="shared" si="8"/>
        <v>0</v>
      </c>
      <c r="Q58" s="465" t="s">
        <v>258</v>
      </c>
      <c r="R58" s="465" t="s">
        <v>1088</v>
      </c>
      <c r="S58" s="465">
        <v>14</v>
      </c>
      <c r="T58" s="465" t="s">
        <v>228</v>
      </c>
      <c r="V58" s="465"/>
      <c r="W58" s="465"/>
    </row>
    <row r="59" spans="1:23" ht="15" hidden="1" customHeight="1">
      <c r="A59" s="543"/>
      <c r="B59" s="543"/>
      <c r="C59" s="543"/>
      <c r="D59" s="476" t="s">
        <v>259</v>
      </c>
      <c r="E59" s="561">
        <v>0</v>
      </c>
      <c r="F59" s="561">
        <v>14847470.640000001</v>
      </c>
      <c r="G59" s="561">
        <f t="shared" si="3"/>
        <v>0</v>
      </c>
      <c r="H59" s="227">
        <f t="shared" si="4"/>
        <v>14847470.640000001</v>
      </c>
      <c r="I59" s="469">
        <v>0</v>
      </c>
      <c r="J59" s="227">
        <v>719591.45</v>
      </c>
      <c r="K59" s="462">
        <f t="shared" si="5"/>
        <v>0</v>
      </c>
      <c r="L59" s="462">
        <f t="shared" si="6"/>
        <v>15567062.09</v>
      </c>
      <c r="M59" s="464">
        <f>SUMIF('Audit entry'!$C:$C,'TB 25-26'!$D59,'Audit entry'!$D:$D)</f>
        <v>1481780</v>
      </c>
      <c r="N59" s="464">
        <f>SUMIF('Audit entry'!$C:$C,'TB 25-26'!$D59,'Audit entry'!$E:$E)</f>
        <v>0</v>
      </c>
      <c r="O59" s="462">
        <f t="shared" si="7"/>
        <v>0</v>
      </c>
      <c r="P59" s="462">
        <f t="shared" si="8"/>
        <v>14085282.09</v>
      </c>
      <c r="Q59" s="465" t="s">
        <v>260</v>
      </c>
      <c r="R59" s="593" t="s">
        <v>1088</v>
      </c>
      <c r="S59" s="465">
        <v>5</v>
      </c>
      <c r="T59" s="465" t="s">
        <v>1091</v>
      </c>
      <c r="V59" s="465"/>
      <c r="W59" s="465"/>
    </row>
    <row r="60" spans="1:23" ht="15" hidden="1" customHeight="1">
      <c r="A60" s="543"/>
      <c r="B60" s="543"/>
      <c r="C60" s="543"/>
      <c r="D60" s="476" t="s">
        <v>261</v>
      </c>
      <c r="E60" s="561">
        <v>0</v>
      </c>
      <c r="F60" s="561">
        <v>0</v>
      </c>
      <c r="G60" s="561">
        <f t="shared" si="3"/>
        <v>0</v>
      </c>
      <c r="H60" s="227">
        <f t="shared" si="4"/>
        <v>0</v>
      </c>
      <c r="I60" s="469">
        <v>0</v>
      </c>
      <c r="J60" s="227">
        <v>0</v>
      </c>
      <c r="K60" s="462">
        <f t="shared" si="5"/>
        <v>0</v>
      </c>
      <c r="L60" s="462">
        <f t="shared" si="6"/>
        <v>0</v>
      </c>
      <c r="M60" s="464">
        <f>SUMIF('Audit entry'!$C:$C,'TB 25-26'!$D60,'Audit entry'!$D:$D)</f>
        <v>0</v>
      </c>
      <c r="N60" s="464">
        <f>SUMIF('Audit entry'!$C:$C,'TB 25-26'!$D60,'Audit entry'!$E:$E)</f>
        <v>0</v>
      </c>
      <c r="O60" s="462">
        <f t="shared" si="7"/>
        <v>0</v>
      </c>
      <c r="P60" s="462">
        <f t="shared" si="8"/>
        <v>0</v>
      </c>
      <c r="Q60" s="465" t="s">
        <v>209</v>
      </c>
      <c r="R60" s="465" t="s">
        <v>1088</v>
      </c>
      <c r="S60" s="465">
        <v>13</v>
      </c>
      <c r="T60" s="465" t="s">
        <v>210</v>
      </c>
      <c r="V60" s="465"/>
      <c r="W60" s="465"/>
    </row>
    <row r="61" spans="1:23" ht="15" hidden="1" customHeight="1">
      <c r="A61" s="543"/>
      <c r="B61" s="543"/>
      <c r="C61" s="475" t="s">
        <v>262</v>
      </c>
      <c r="D61" s="475"/>
      <c r="E61" s="561">
        <v>0</v>
      </c>
      <c r="F61" s="561">
        <v>0</v>
      </c>
      <c r="G61" s="561">
        <f t="shared" si="3"/>
        <v>0</v>
      </c>
      <c r="H61" s="227">
        <f t="shared" si="4"/>
        <v>0</v>
      </c>
      <c r="I61" s="469">
        <v>0</v>
      </c>
      <c r="J61" s="227">
        <v>0</v>
      </c>
      <c r="K61" s="462">
        <f t="shared" si="5"/>
        <v>0</v>
      </c>
      <c r="L61" s="462">
        <f t="shared" si="6"/>
        <v>0</v>
      </c>
      <c r="M61" s="464">
        <f>SUMIF('Audit entry'!$C:$C,'TB 25-26'!$D61,'Audit entry'!$D:$D)</f>
        <v>0</v>
      </c>
      <c r="N61" s="464">
        <f>SUMIF('Audit entry'!$C:$C,'TB 25-26'!$D61,'Audit entry'!$E:$E)</f>
        <v>0</v>
      </c>
      <c r="O61" s="462">
        <f t="shared" si="7"/>
        <v>0</v>
      </c>
      <c r="P61" s="462">
        <f t="shared" si="8"/>
        <v>0</v>
      </c>
      <c r="V61" s="465"/>
      <c r="W61" s="465"/>
    </row>
    <row r="62" spans="1:23" ht="15" hidden="1" customHeight="1">
      <c r="A62" s="543"/>
      <c r="B62" s="543"/>
      <c r="C62" s="543"/>
      <c r="D62" s="476" t="s">
        <v>263</v>
      </c>
      <c r="E62" s="561">
        <v>21114219.705594938</v>
      </c>
      <c r="F62" s="561">
        <v>0</v>
      </c>
      <c r="G62" s="561">
        <f t="shared" si="3"/>
        <v>21114219.705594938</v>
      </c>
      <c r="H62" s="227">
        <f t="shared" si="4"/>
        <v>0</v>
      </c>
      <c r="I62" s="469">
        <v>3434574.7</v>
      </c>
      <c r="J62" s="227">
        <v>0</v>
      </c>
      <c r="K62" s="462">
        <f t="shared" si="5"/>
        <v>24548794.405594938</v>
      </c>
      <c r="L62" s="462">
        <f t="shared" si="6"/>
        <v>0</v>
      </c>
      <c r="M62" s="464">
        <f>SUMIF('Audit entry'!$C:$C,'TB 25-26'!$D62,'Audit entry'!$D:$D)</f>
        <v>0</v>
      </c>
      <c r="N62" s="464">
        <f>SUMIF('Audit entry'!$C:$C,'TB 25-26'!$D62,'Audit entry'!$E:$E)</f>
        <v>0</v>
      </c>
      <c r="O62" s="462">
        <f t="shared" si="7"/>
        <v>24548794.405594938</v>
      </c>
      <c r="P62" s="462">
        <f t="shared" si="8"/>
        <v>0</v>
      </c>
      <c r="Q62" s="465" t="s">
        <v>264</v>
      </c>
      <c r="R62" s="465" t="s">
        <v>1088</v>
      </c>
      <c r="S62" s="465">
        <v>10</v>
      </c>
      <c r="T62" s="465" t="s">
        <v>244</v>
      </c>
      <c r="V62" s="465"/>
      <c r="W62" s="465"/>
    </row>
    <row r="63" spans="1:23" ht="15" hidden="1" customHeight="1">
      <c r="A63" s="543"/>
      <c r="B63" s="543"/>
      <c r="C63" s="475" t="s">
        <v>265</v>
      </c>
      <c r="D63" s="475"/>
      <c r="E63" s="561">
        <v>0</v>
      </c>
      <c r="F63" s="561">
        <v>0</v>
      </c>
      <c r="G63" s="561">
        <f t="shared" si="3"/>
        <v>0</v>
      </c>
      <c r="H63" s="227">
        <f t="shared" si="4"/>
        <v>0</v>
      </c>
      <c r="I63" s="469">
        <v>0</v>
      </c>
      <c r="J63" s="227">
        <v>0</v>
      </c>
      <c r="K63" s="462">
        <f t="shared" si="5"/>
        <v>0</v>
      </c>
      <c r="L63" s="462">
        <f t="shared" si="6"/>
        <v>0</v>
      </c>
      <c r="M63" s="464">
        <f>SUMIF('Audit entry'!$C:$C,'TB 25-26'!$D63,'Audit entry'!$D:$D)</f>
        <v>0</v>
      </c>
      <c r="N63" s="464">
        <f>SUMIF('Audit entry'!$C:$C,'TB 25-26'!$D63,'Audit entry'!$E:$E)</f>
        <v>0</v>
      </c>
      <c r="O63" s="462">
        <f t="shared" si="7"/>
        <v>0</v>
      </c>
      <c r="P63" s="462">
        <f t="shared" si="8"/>
        <v>0</v>
      </c>
      <c r="V63" s="465"/>
      <c r="W63" s="465"/>
    </row>
    <row r="64" spans="1:23" ht="15" hidden="1" customHeight="1">
      <c r="A64" s="543"/>
      <c r="B64" s="543"/>
      <c r="C64" s="543"/>
      <c r="D64" s="476" t="s">
        <v>265</v>
      </c>
      <c r="E64" s="561">
        <v>0</v>
      </c>
      <c r="F64" s="561">
        <v>0</v>
      </c>
      <c r="G64" s="561">
        <f t="shared" si="3"/>
        <v>0</v>
      </c>
      <c r="H64" s="227">
        <f t="shared" si="4"/>
        <v>0</v>
      </c>
      <c r="I64" s="469">
        <v>0</v>
      </c>
      <c r="J64" s="227">
        <v>0</v>
      </c>
      <c r="K64" s="462">
        <f t="shared" si="5"/>
        <v>0</v>
      </c>
      <c r="L64" s="462">
        <f t="shared" si="6"/>
        <v>0</v>
      </c>
      <c r="M64" s="464">
        <f>SUMIF('Audit entry'!$C:$C,'TB 25-26'!$D64,'Audit entry'!$D:$D)</f>
        <v>0</v>
      </c>
      <c r="N64" s="464">
        <f>SUMIF('Audit entry'!$C:$C,'TB 25-26'!$D64,'Audit entry'!$E:$E)</f>
        <v>0</v>
      </c>
      <c r="O64" s="462">
        <f t="shared" si="7"/>
        <v>0</v>
      </c>
      <c r="P64" s="462">
        <f t="shared" si="8"/>
        <v>0</v>
      </c>
      <c r="V64" s="465"/>
      <c r="W64" s="465"/>
    </row>
    <row r="65" spans="1:23" ht="15" hidden="1" customHeight="1">
      <c r="A65" s="543"/>
      <c r="B65" s="543"/>
      <c r="C65" s="475" t="s">
        <v>266</v>
      </c>
      <c r="D65" s="475"/>
      <c r="E65" s="561">
        <v>0</v>
      </c>
      <c r="F65" s="561">
        <v>0</v>
      </c>
      <c r="G65" s="561">
        <f t="shared" si="3"/>
        <v>0</v>
      </c>
      <c r="H65" s="227">
        <f t="shared" si="4"/>
        <v>0</v>
      </c>
      <c r="I65" s="469">
        <v>0</v>
      </c>
      <c r="J65" s="227">
        <v>0</v>
      </c>
      <c r="K65" s="462">
        <f t="shared" si="5"/>
        <v>0</v>
      </c>
      <c r="L65" s="462">
        <f t="shared" si="6"/>
        <v>0</v>
      </c>
      <c r="M65" s="464">
        <f>SUMIF('Audit entry'!$C:$C,'TB 25-26'!$D65,'Audit entry'!$D:$D)</f>
        <v>0</v>
      </c>
      <c r="N65" s="464">
        <f>SUMIF('Audit entry'!$C:$C,'TB 25-26'!$D65,'Audit entry'!$E:$E)</f>
        <v>0</v>
      </c>
      <c r="O65" s="462">
        <f t="shared" si="7"/>
        <v>0</v>
      </c>
      <c r="P65" s="462">
        <f t="shared" si="8"/>
        <v>0</v>
      </c>
      <c r="V65" s="465"/>
      <c r="W65" s="465"/>
    </row>
    <row r="66" spans="1:23" ht="15" hidden="1" customHeight="1">
      <c r="A66" s="543"/>
      <c r="B66" s="543"/>
      <c r="C66" s="543"/>
      <c r="D66" s="476" t="s">
        <v>266</v>
      </c>
      <c r="E66" s="561">
        <v>0</v>
      </c>
      <c r="F66" s="561">
        <v>0</v>
      </c>
      <c r="G66" s="561">
        <f t="shared" si="3"/>
        <v>0</v>
      </c>
      <c r="H66" s="227">
        <f t="shared" si="4"/>
        <v>0</v>
      </c>
      <c r="I66" s="469">
        <v>0</v>
      </c>
      <c r="J66" s="227">
        <v>0</v>
      </c>
      <c r="K66" s="462">
        <f t="shared" si="5"/>
        <v>0</v>
      </c>
      <c r="L66" s="462">
        <f t="shared" si="6"/>
        <v>0</v>
      </c>
      <c r="M66" s="464">
        <f>SUMIF('Audit entry'!$C:$C,'TB 25-26'!$D66,'Audit entry'!$D:$D)</f>
        <v>0</v>
      </c>
      <c r="N66" s="464">
        <f>SUMIF('Audit entry'!$C:$C,'TB 25-26'!$D66,'Audit entry'!$E:$E)</f>
        <v>0</v>
      </c>
      <c r="O66" s="462">
        <f t="shared" si="7"/>
        <v>0</v>
      </c>
      <c r="P66" s="462">
        <f t="shared" si="8"/>
        <v>0</v>
      </c>
      <c r="V66" s="465"/>
      <c r="W66" s="465"/>
    </row>
    <row r="67" spans="1:23" ht="15" hidden="1" customHeight="1">
      <c r="A67" s="543"/>
      <c r="B67" s="475" t="s">
        <v>267</v>
      </c>
      <c r="C67" s="475"/>
      <c r="D67" s="475"/>
      <c r="E67" s="561">
        <v>0</v>
      </c>
      <c r="F67" s="561">
        <v>0</v>
      </c>
      <c r="G67" s="561">
        <f t="shared" si="3"/>
        <v>0</v>
      </c>
      <c r="H67" s="227">
        <f t="shared" si="4"/>
        <v>0</v>
      </c>
      <c r="I67" s="469">
        <v>0</v>
      </c>
      <c r="J67" s="227">
        <v>0</v>
      </c>
      <c r="K67" s="462">
        <f t="shared" si="5"/>
        <v>0</v>
      </c>
      <c r="L67" s="462">
        <f t="shared" si="6"/>
        <v>0</v>
      </c>
      <c r="M67" s="464">
        <f>SUMIF('Audit entry'!$C:$C,'TB 25-26'!$D67,'Audit entry'!$D:$D)</f>
        <v>0</v>
      </c>
      <c r="N67" s="464">
        <f>SUMIF('Audit entry'!$C:$C,'TB 25-26'!$D67,'Audit entry'!$E:$E)</f>
        <v>0</v>
      </c>
      <c r="O67" s="462">
        <f t="shared" si="7"/>
        <v>0</v>
      </c>
      <c r="P67" s="462">
        <f t="shared" si="8"/>
        <v>0</v>
      </c>
      <c r="V67" s="465"/>
      <c r="W67" s="465"/>
    </row>
    <row r="68" spans="1:23" ht="15" hidden="1" customHeight="1">
      <c r="A68" s="543"/>
      <c r="B68" s="543"/>
      <c r="C68" s="475"/>
      <c r="D68" s="476" t="s">
        <v>267</v>
      </c>
      <c r="E68" s="561">
        <v>597436.32028952544</v>
      </c>
      <c r="F68" s="561">
        <v>0</v>
      </c>
      <c r="G68" s="561">
        <f t="shared" si="3"/>
        <v>597436.32028952544</v>
      </c>
      <c r="H68" s="227">
        <f t="shared" si="4"/>
        <v>0</v>
      </c>
      <c r="I68" s="469">
        <v>0</v>
      </c>
      <c r="J68" s="227">
        <v>0</v>
      </c>
      <c r="K68" s="462">
        <f t="shared" si="5"/>
        <v>597436.32028952544</v>
      </c>
      <c r="L68" s="462">
        <f t="shared" si="6"/>
        <v>0</v>
      </c>
      <c r="M68" s="464">
        <f>SUMIF('Audit entry'!$C:$C,'TB 25-26'!$D68,'Audit entry'!$D:$D)</f>
        <v>0</v>
      </c>
      <c r="N68" s="464">
        <f>SUMIF('Audit entry'!$C:$C,'TB 25-26'!$D68,'Audit entry'!$E:$E)</f>
        <v>0</v>
      </c>
      <c r="O68" s="462">
        <f t="shared" si="7"/>
        <v>597436.32028952544</v>
      </c>
      <c r="P68" s="462">
        <f t="shared" si="8"/>
        <v>0</v>
      </c>
      <c r="R68" s="465" t="s">
        <v>1088</v>
      </c>
      <c r="S68" s="465">
        <v>11</v>
      </c>
      <c r="T68" s="465" t="s">
        <v>268</v>
      </c>
      <c r="V68" s="465"/>
      <c r="W68" s="465"/>
    </row>
    <row r="69" spans="1:23" ht="15" hidden="1" customHeight="1">
      <c r="A69" s="543"/>
      <c r="B69" s="543"/>
      <c r="C69" s="543"/>
      <c r="D69" s="476" t="s">
        <v>269</v>
      </c>
      <c r="E69" s="561">
        <v>0</v>
      </c>
      <c r="F69" s="561">
        <v>0</v>
      </c>
      <c r="G69" s="561">
        <f t="shared" si="3"/>
        <v>0</v>
      </c>
      <c r="H69" s="227">
        <f t="shared" si="4"/>
        <v>0</v>
      </c>
      <c r="I69" s="469">
        <v>0</v>
      </c>
      <c r="J69" s="227">
        <v>0</v>
      </c>
      <c r="K69" s="462">
        <f t="shared" si="5"/>
        <v>0</v>
      </c>
      <c r="L69" s="462">
        <f t="shared" si="6"/>
        <v>0</v>
      </c>
      <c r="M69" s="464">
        <f>SUMIF('Audit entry'!$C:$C,'TB 25-26'!$D69,'Audit entry'!$D:$D)</f>
        <v>0</v>
      </c>
      <c r="N69" s="464">
        <f>SUMIF('Audit entry'!$C:$C,'TB 25-26'!$D69,'Audit entry'!$E:$E)</f>
        <v>0</v>
      </c>
      <c r="O69" s="462">
        <f t="shared" si="7"/>
        <v>0</v>
      </c>
      <c r="P69" s="462">
        <f t="shared" si="8"/>
        <v>0</v>
      </c>
      <c r="V69" s="465"/>
      <c r="W69" s="465"/>
    </row>
    <row r="70" spans="1:23" ht="15" hidden="1" customHeight="1">
      <c r="A70" s="475" t="s">
        <v>270</v>
      </c>
      <c r="B70" s="475"/>
      <c r="C70" s="475"/>
      <c r="D70" s="475"/>
      <c r="E70" s="561">
        <v>0</v>
      </c>
      <c r="F70" s="561">
        <v>0</v>
      </c>
      <c r="G70" s="561">
        <f t="shared" si="3"/>
        <v>0</v>
      </c>
      <c r="H70" s="227">
        <f t="shared" si="4"/>
        <v>0</v>
      </c>
      <c r="I70" s="469">
        <v>0</v>
      </c>
      <c r="J70" s="227">
        <v>0</v>
      </c>
      <c r="K70" s="462">
        <f t="shared" si="5"/>
        <v>0</v>
      </c>
      <c r="L70" s="462">
        <f t="shared" si="6"/>
        <v>0</v>
      </c>
      <c r="M70" s="464">
        <f>SUMIF('Audit entry'!$C:$C,'TB 25-26'!$D70,'Audit entry'!$D:$D)</f>
        <v>0</v>
      </c>
      <c r="N70" s="464">
        <f>SUMIF('Audit entry'!$C:$C,'TB 25-26'!$D70,'Audit entry'!$E:$E)</f>
        <v>0</v>
      </c>
      <c r="O70" s="462">
        <f t="shared" si="7"/>
        <v>0</v>
      </c>
      <c r="P70" s="462">
        <f t="shared" si="8"/>
        <v>0</v>
      </c>
      <c r="V70" s="465"/>
      <c r="W70" s="465"/>
    </row>
    <row r="71" spans="1:23" ht="15" hidden="1" customHeight="1">
      <c r="A71" s="543"/>
      <c r="B71" s="475" t="s">
        <v>271</v>
      </c>
      <c r="C71" s="475"/>
      <c r="D71" s="475"/>
      <c r="E71" s="561">
        <v>0</v>
      </c>
      <c r="F71" s="561">
        <v>0</v>
      </c>
      <c r="G71" s="561">
        <f t="shared" si="3"/>
        <v>0</v>
      </c>
      <c r="H71" s="227">
        <f t="shared" si="4"/>
        <v>0</v>
      </c>
      <c r="I71" s="469">
        <v>0</v>
      </c>
      <c r="J71" s="227">
        <v>0</v>
      </c>
      <c r="K71" s="462">
        <f t="shared" si="5"/>
        <v>0</v>
      </c>
      <c r="L71" s="462">
        <f t="shared" si="6"/>
        <v>0</v>
      </c>
      <c r="M71" s="464">
        <f>SUMIF('Audit entry'!$C:$C,'TB 25-26'!$D71,'Audit entry'!$D:$D)</f>
        <v>0</v>
      </c>
      <c r="N71" s="464">
        <f>SUMIF('Audit entry'!$C:$C,'TB 25-26'!$D71,'Audit entry'!$E:$E)</f>
        <v>0</v>
      </c>
      <c r="O71" s="462">
        <f t="shared" si="7"/>
        <v>0</v>
      </c>
      <c r="P71" s="462">
        <f t="shared" si="8"/>
        <v>0</v>
      </c>
      <c r="V71" s="465"/>
      <c r="W71" s="465"/>
    </row>
    <row r="72" spans="1:23" ht="15" hidden="1" customHeight="1">
      <c r="A72" s="543"/>
      <c r="B72" s="543"/>
      <c r="C72" s="475" t="s">
        <v>272</v>
      </c>
      <c r="D72" s="475"/>
      <c r="E72" s="561">
        <v>0</v>
      </c>
      <c r="F72" s="561">
        <v>0</v>
      </c>
      <c r="G72" s="561">
        <f t="shared" si="3"/>
        <v>0</v>
      </c>
      <c r="H72" s="227">
        <f t="shared" si="4"/>
        <v>0</v>
      </c>
      <c r="I72" s="469">
        <v>0</v>
      </c>
      <c r="J72" s="227">
        <v>0</v>
      </c>
      <c r="K72" s="462">
        <f t="shared" si="5"/>
        <v>0</v>
      </c>
      <c r="L72" s="462">
        <f t="shared" si="6"/>
        <v>0</v>
      </c>
      <c r="M72" s="464">
        <f>SUMIF('Audit entry'!$C:$C,'TB 25-26'!$D72,'Audit entry'!$D:$D)</f>
        <v>0</v>
      </c>
      <c r="N72" s="464">
        <f>SUMIF('Audit entry'!$C:$C,'TB 25-26'!$D72,'Audit entry'!$E:$E)</f>
        <v>0</v>
      </c>
      <c r="O72" s="462">
        <f t="shared" si="7"/>
        <v>0</v>
      </c>
      <c r="P72" s="462">
        <f t="shared" si="8"/>
        <v>0</v>
      </c>
      <c r="V72" s="465"/>
      <c r="W72" s="465"/>
    </row>
    <row r="73" spans="1:23" ht="15" hidden="1" customHeight="1">
      <c r="A73" s="543"/>
      <c r="B73" s="543"/>
      <c r="C73" s="543"/>
      <c r="D73" s="476" t="s">
        <v>273</v>
      </c>
      <c r="E73" s="561">
        <v>0</v>
      </c>
      <c r="F73" s="561">
        <v>200000</v>
      </c>
      <c r="G73" s="561">
        <f t="shared" si="3"/>
        <v>0</v>
      </c>
      <c r="H73" s="227">
        <f t="shared" si="4"/>
        <v>200000</v>
      </c>
      <c r="I73" s="469">
        <v>0</v>
      </c>
      <c r="J73" s="227">
        <v>0</v>
      </c>
      <c r="K73" s="462">
        <f t="shared" si="5"/>
        <v>0</v>
      </c>
      <c r="L73" s="462">
        <f t="shared" si="6"/>
        <v>200000</v>
      </c>
      <c r="M73" s="464">
        <f>SUMIF('Audit entry'!$C:$C,'TB 25-26'!$D73,'Audit entry'!$D:$D)</f>
        <v>0</v>
      </c>
      <c r="N73" s="464">
        <f>SUMIF('Audit entry'!$C:$C,'TB 25-26'!$D73,'Audit entry'!$E:$E)</f>
        <v>0</v>
      </c>
      <c r="O73" s="462">
        <f t="shared" si="7"/>
        <v>0</v>
      </c>
      <c r="P73" s="462">
        <f t="shared" si="8"/>
        <v>200000</v>
      </c>
      <c r="Q73" s="465" t="s">
        <v>274</v>
      </c>
      <c r="R73" s="465" t="s">
        <v>1088</v>
      </c>
      <c r="S73" s="465">
        <v>3</v>
      </c>
      <c r="T73" s="465" t="s">
        <v>275</v>
      </c>
      <c r="V73" s="465"/>
      <c r="W73" s="465"/>
    </row>
    <row r="74" spans="1:23" ht="15" hidden="1" customHeight="1">
      <c r="A74" s="543"/>
      <c r="B74" s="543"/>
      <c r="C74" s="543"/>
      <c r="D74" s="476" t="s">
        <v>276</v>
      </c>
      <c r="E74" s="561">
        <v>0</v>
      </c>
      <c r="F74" s="561">
        <v>12289768.560000001</v>
      </c>
      <c r="G74" s="561">
        <f t="shared" ref="G74:G137" si="9">+E74</f>
        <v>0</v>
      </c>
      <c r="H74" s="227">
        <f t="shared" ref="H74:H137" si="10">+F74</f>
        <v>12289768.560000001</v>
      </c>
      <c r="I74" s="469">
        <v>0</v>
      </c>
      <c r="J74" s="227">
        <v>0</v>
      </c>
      <c r="K74" s="462">
        <f t="shared" si="5"/>
        <v>0</v>
      </c>
      <c r="L74" s="462">
        <f t="shared" si="6"/>
        <v>12289768.560000001</v>
      </c>
      <c r="M74" s="464">
        <f>SUMIF('Audit entry'!$C:$C,'TB 25-26'!$D74,'Audit entry'!$D:$D)</f>
        <v>0</v>
      </c>
      <c r="N74" s="464">
        <f>SUMIF('Audit entry'!$C:$C,'TB 25-26'!$D74,'Audit entry'!$E:$E)</f>
        <v>0</v>
      </c>
      <c r="O74" s="462">
        <f t="shared" si="7"/>
        <v>0</v>
      </c>
      <c r="P74" s="462">
        <f t="shared" si="8"/>
        <v>12289768.560000001</v>
      </c>
      <c r="R74" s="465" t="s">
        <v>1088</v>
      </c>
      <c r="S74" s="465">
        <v>4</v>
      </c>
      <c r="T74" s="465" t="s">
        <v>277</v>
      </c>
      <c r="V74" s="465"/>
      <c r="W74" s="465"/>
    </row>
    <row r="75" spans="1:23" ht="15" hidden="1" customHeight="1">
      <c r="A75" s="543"/>
      <c r="B75" s="543"/>
      <c r="C75" s="475" t="s">
        <v>278</v>
      </c>
      <c r="D75" s="475"/>
      <c r="E75" s="561">
        <v>0</v>
      </c>
      <c r="F75" s="561">
        <v>0</v>
      </c>
      <c r="G75" s="561">
        <f t="shared" si="9"/>
        <v>0</v>
      </c>
      <c r="H75" s="227">
        <f t="shared" si="10"/>
        <v>0</v>
      </c>
      <c r="I75" s="469">
        <v>0</v>
      </c>
      <c r="J75" s="227">
        <v>0</v>
      </c>
      <c r="K75" s="462">
        <f t="shared" ref="K75:K138" si="11">+IF((G75+I75-H75-J75&gt;0),G75+I75-H75-J75,0)</f>
        <v>0</v>
      </c>
      <c r="L75" s="462">
        <f t="shared" ref="L75:L138" si="12">+IF((H75+J75-G75-I75)&gt;0,H75+J75-G75-I75,0)</f>
        <v>0</v>
      </c>
      <c r="M75" s="464">
        <f>SUMIF('Audit entry'!$C:$C,'TB 25-26'!$D75,'Audit entry'!$D:$D)</f>
        <v>0</v>
      </c>
      <c r="N75" s="464">
        <f>SUMIF('Audit entry'!$C:$C,'TB 25-26'!$D75,'Audit entry'!$E:$E)</f>
        <v>0</v>
      </c>
      <c r="O75" s="462">
        <f t="shared" ref="O75:O138" si="13">+IF((K75+M75-L75-N75&gt;0),K75+M75-L75-N75,0)/Deno</f>
        <v>0</v>
      </c>
      <c r="P75" s="462">
        <f t="shared" ref="P75:P138" si="14">+IF((L75+N75-K75-M75)&gt;0,L75+N75-K75-M75,0)/Deno</f>
        <v>0</v>
      </c>
      <c r="V75" s="465"/>
      <c r="W75" s="465"/>
    </row>
    <row r="76" spans="1:23" ht="15" hidden="1" customHeight="1">
      <c r="A76" s="543"/>
      <c r="B76" s="543"/>
      <c r="C76" s="543"/>
      <c r="D76" s="476" t="s">
        <v>279</v>
      </c>
      <c r="E76" s="594">
        <v>0</v>
      </c>
      <c r="F76" s="594">
        <v>4831701.49</v>
      </c>
      <c r="G76" s="594">
        <f t="shared" si="9"/>
        <v>0</v>
      </c>
      <c r="H76" s="227">
        <v>7484891.8200000003</v>
      </c>
      <c r="I76" s="540">
        <v>0</v>
      </c>
      <c r="J76" s="227">
        <v>0</v>
      </c>
      <c r="K76" s="462">
        <f t="shared" si="11"/>
        <v>0</v>
      </c>
      <c r="L76" s="462">
        <f t="shared" si="12"/>
        <v>7484891.8200000003</v>
      </c>
      <c r="M76" s="595">
        <f>SUMIF('Audit entry'!$C:$C,'TB 25-26'!$D76,'Audit entry'!$D:$D)</f>
        <v>0</v>
      </c>
      <c r="N76" s="464">
        <f>SUMIF('Audit entry'!$C:$C,'TB 25-26'!$D76,'Audit entry'!$E:$E)</f>
        <v>0</v>
      </c>
      <c r="O76" s="562">
        <f t="shared" si="13"/>
        <v>0</v>
      </c>
      <c r="P76" s="562">
        <f t="shared" si="14"/>
        <v>7484891.8200000003</v>
      </c>
      <c r="R76" s="465" t="s">
        <v>1088</v>
      </c>
      <c r="S76" s="465">
        <v>4</v>
      </c>
      <c r="T76" s="465" t="s">
        <v>277</v>
      </c>
      <c r="U76" s="467"/>
      <c r="V76" s="465"/>
      <c r="W76" s="465"/>
    </row>
    <row r="77" spans="1:23" ht="15" hidden="1" customHeight="1">
      <c r="A77" s="543"/>
      <c r="B77" s="475" t="s">
        <v>280</v>
      </c>
      <c r="C77" s="475"/>
      <c r="D77" s="475"/>
      <c r="E77" s="561">
        <v>0</v>
      </c>
      <c r="F77" s="561">
        <v>0</v>
      </c>
      <c r="G77" s="561">
        <f t="shared" si="9"/>
        <v>0</v>
      </c>
      <c r="H77" s="227">
        <f t="shared" si="10"/>
        <v>0</v>
      </c>
      <c r="I77" s="469">
        <v>0</v>
      </c>
      <c r="J77" s="227">
        <v>0</v>
      </c>
      <c r="K77" s="462">
        <f t="shared" si="11"/>
        <v>0</v>
      </c>
      <c r="L77" s="462">
        <f t="shared" si="12"/>
        <v>0</v>
      </c>
      <c r="M77" s="464">
        <f>SUMIF('Audit entry'!$C:$C,'TB 25-26'!$D77,'Audit entry'!$D:$D)</f>
        <v>0</v>
      </c>
      <c r="N77" s="464">
        <f>SUMIF('Audit entry'!$C:$C,'TB 25-26'!$D77,'Audit entry'!$E:$E)</f>
        <v>0</v>
      </c>
      <c r="O77" s="462">
        <f t="shared" si="13"/>
        <v>0</v>
      </c>
      <c r="P77" s="462">
        <f t="shared" si="14"/>
        <v>0</v>
      </c>
      <c r="V77" s="465"/>
      <c r="W77" s="465"/>
    </row>
    <row r="78" spans="1:23" ht="15" hidden="1" customHeight="1">
      <c r="A78" s="543"/>
      <c r="B78" s="543"/>
      <c r="C78" s="475" t="s">
        <v>281</v>
      </c>
      <c r="D78" s="475"/>
      <c r="E78" s="561">
        <v>0</v>
      </c>
      <c r="F78" s="561">
        <v>0</v>
      </c>
      <c r="G78" s="561">
        <f t="shared" si="9"/>
        <v>0</v>
      </c>
      <c r="H78" s="227">
        <f t="shared" si="10"/>
        <v>0</v>
      </c>
      <c r="I78" s="469">
        <v>0</v>
      </c>
      <c r="J78" s="227">
        <v>0</v>
      </c>
      <c r="K78" s="462">
        <f t="shared" si="11"/>
        <v>0</v>
      </c>
      <c r="L78" s="462">
        <f t="shared" si="12"/>
        <v>0</v>
      </c>
      <c r="M78" s="464">
        <f>SUMIF('Audit entry'!$C:$C,'TB 25-26'!$D78,'Audit entry'!$D:$D)</f>
        <v>0</v>
      </c>
      <c r="N78" s="464">
        <f>SUMIF('Audit entry'!$C:$C,'TB 25-26'!$D78,'Audit entry'!$E:$E)</f>
        <v>0</v>
      </c>
      <c r="O78" s="462">
        <f t="shared" si="13"/>
        <v>0</v>
      </c>
      <c r="P78" s="462">
        <f t="shared" si="14"/>
        <v>0</v>
      </c>
      <c r="U78" s="467"/>
      <c r="V78" s="465"/>
      <c r="W78" s="465"/>
    </row>
    <row r="79" spans="1:23" ht="15" hidden="1" customHeight="1">
      <c r="A79" s="543"/>
      <c r="B79" s="543"/>
      <c r="C79" s="543"/>
      <c r="D79" s="476" t="s">
        <v>282</v>
      </c>
      <c r="E79" s="561">
        <v>0</v>
      </c>
      <c r="F79" s="561">
        <v>0</v>
      </c>
      <c r="G79" s="561">
        <f t="shared" si="9"/>
        <v>0</v>
      </c>
      <c r="H79" s="227">
        <f t="shared" si="10"/>
        <v>0</v>
      </c>
      <c r="I79" s="469">
        <v>0</v>
      </c>
      <c r="J79" s="227">
        <v>0</v>
      </c>
      <c r="K79" s="462">
        <f t="shared" si="11"/>
        <v>0</v>
      </c>
      <c r="L79" s="462">
        <f t="shared" si="12"/>
        <v>0</v>
      </c>
      <c r="M79" s="464">
        <f>SUMIF('Audit entry'!$C:$C,'TB 25-26'!$D79,'Audit entry'!$D:$D)</f>
        <v>0</v>
      </c>
      <c r="N79" s="464">
        <f>SUMIF('Audit entry'!$C:$C,'TB 25-26'!$D79,'Audit entry'!$E:$E)</f>
        <v>0</v>
      </c>
      <c r="O79" s="462">
        <f t="shared" si="13"/>
        <v>0</v>
      </c>
      <c r="P79" s="462">
        <f t="shared" si="14"/>
        <v>0</v>
      </c>
      <c r="V79" s="465"/>
      <c r="W79" s="465"/>
    </row>
    <row r="80" spans="1:23" ht="15" hidden="1" customHeight="1">
      <c r="A80" s="543"/>
      <c r="B80" s="543"/>
      <c r="C80" s="543"/>
      <c r="D80" s="476" t="s">
        <v>283</v>
      </c>
      <c r="E80" s="561">
        <v>0</v>
      </c>
      <c r="F80" s="561">
        <v>0</v>
      </c>
      <c r="G80" s="561">
        <f t="shared" si="9"/>
        <v>0</v>
      </c>
      <c r="H80" s="227">
        <f t="shared" si="10"/>
        <v>0</v>
      </c>
      <c r="I80" s="469">
        <v>0</v>
      </c>
      <c r="J80" s="227">
        <v>0</v>
      </c>
      <c r="K80" s="462">
        <f t="shared" si="11"/>
        <v>0</v>
      </c>
      <c r="L80" s="462">
        <f t="shared" si="12"/>
        <v>0</v>
      </c>
      <c r="M80" s="464">
        <f>SUMIF('Audit entry'!$C:$C,'TB 25-26'!$D80,'Audit entry'!$D:$D)</f>
        <v>0</v>
      </c>
      <c r="N80" s="464">
        <f>SUMIF('Audit entry'!$C:$C,'TB 25-26'!$D80,'Audit entry'!$E:$E)</f>
        <v>0</v>
      </c>
      <c r="O80" s="462">
        <f t="shared" si="13"/>
        <v>0</v>
      </c>
      <c r="P80" s="462">
        <f t="shared" si="14"/>
        <v>0</v>
      </c>
      <c r="V80" s="465"/>
      <c r="W80" s="465"/>
    </row>
    <row r="81" spans="1:23" ht="15" hidden="1" customHeight="1">
      <c r="A81" s="543"/>
      <c r="B81" s="543"/>
      <c r="C81" s="543"/>
      <c r="D81" s="476" t="s">
        <v>284</v>
      </c>
      <c r="E81" s="561">
        <v>0</v>
      </c>
      <c r="F81" s="561">
        <v>0</v>
      </c>
      <c r="G81" s="561">
        <f t="shared" si="9"/>
        <v>0</v>
      </c>
      <c r="H81" s="227">
        <f t="shared" si="10"/>
        <v>0</v>
      </c>
      <c r="I81" s="469">
        <v>0</v>
      </c>
      <c r="J81" s="227">
        <v>0</v>
      </c>
      <c r="K81" s="462">
        <f t="shared" si="11"/>
        <v>0</v>
      </c>
      <c r="L81" s="462">
        <f t="shared" si="12"/>
        <v>0</v>
      </c>
      <c r="M81" s="464">
        <f>SUMIF('Audit entry'!$C:$C,'TB 25-26'!$D81,'Audit entry'!$D:$D)</f>
        <v>0</v>
      </c>
      <c r="N81" s="464">
        <f>SUMIF('Audit entry'!$C:$C,'TB 25-26'!$D81,'Audit entry'!$E:$E)</f>
        <v>0</v>
      </c>
      <c r="O81" s="462">
        <f t="shared" si="13"/>
        <v>0</v>
      </c>
      <c r="P81" s="462">
        <f t="shared" si="14"/>
        <v>0</v>
      </c>
      <c r="V81" s="465"/>
      <c r="W81" s="465"/>
    </row>
    <row r="82" spans="1:23" ht="15" hidden="1" customHeight="1">
      <c r="A82" s="543"/>
      <c r="B82" s="543"/>
      <c r="C82" s="475" t="s">
        <v>285</v>
      </c>
      <c r="D82" s="475"/>
      <c r="E82" s="561">
        <v>0</v>
      </c>
      <c r="F82" s="561">
        <v>0</v>
      </c>
      <c r="G82" s="561">
        <f t="shared" si="9"/>
        <v>0</v>
      </c>
      <c r="H82" s="227">
        <f t="shared" si="10"/>
        <v>0</v>
      </c>
      <c r="I82" s="469">
        <v>0</v>
      </c>
      <c r="J82" s="227">
        <v>0</v>
      </c>
      <c r="K82" s="462">
        <f t="shared" si="11"/>
        <v>0</v>
      </c>
      <c r="L82" s="462">
        <f t="shared" si="12"/>
        <v>0</v>
      </c>
      <c r="M82" s="464">
        <f>SUMIF('Audit entry'!$C:$C,'TB 25-26'!$D82,'Audit entry'!$D:$D)</f>
        <v>0</v>
      </c>
      <c r="N82" s="464">
        <f>SUMIF('Audit entry'!$C:$C,'TB 25-26'!$D82,'Audit entry'!$E:$E)</f>
        <v>0</v>
      </c>
      <c r="O82" s="462">
        <f t="shared" si="13"/>
        <v>0</v>
      </c>
      <c r="P82" s="462">
        <f t="shared" si="14"/>
        <v>0</v>
      </c>
      <c r="V82" s="465"/>
      <c r="W82" s="465"/>
    </row>
    <row r="83" spans="1:23" ht="15" hidden="1" customHeight="1">
      <c r="A83" s="543"/>
      <c r="B83" s="543"/>
      <c r="C83" s="543"/>
      <c r="D83" s="476" t="s">
        <v>286</v>
      </c>
      <c r="E83" s="561">
        <v>0</v>
      </c>
      <c r="F83" s="561">
        <v>0</v>
      </c>
      <c r="G83" s="561">
        <f t="shared" si="9"/>
        <v>0</v>
      </c>
      <c r="H83" s="227">
        <f t="shared" si="10"/>
        <v>0</v>
      </c>
      <c r="I83" s="469">
        <v>0</v>
      </c>
      <c r="J83" s="227">
        <v>0</v>
      </c>
      <c r="K83" s="462">
        <f t="shared" si="11"/>
        <v>0</v>
      </c>
      <c r="L83" s="462">
        <f t="shared" si="12"/>
        <v>0</v>
      </c>
      <c r="M83" s="464">
        <f>SUMIF('Audit entry'!$C:$C,'TB 25-26'!$D83,'Audit entry'!$D:$D)</f>
        <v>0</v>
      </c>
      <c r="N83" s="464">
        <f>SUMIF('Audit entry'!$C:$C,'TB 25-26'!$D83,'Audit entry'!$E:$E)</f>
        <v>0</v>
      </c>
      <c r="O83" s="462">
        <f t="shared" si="13"/>
        <v>0</v>
      </c>
      <c r="P83" s="462">
        <f t="shared" si="14"/>
        <v>0</v>
      </c>
      <c r="V83" s="465"/>
      <c r="W83" s="465"/>
    </row>
    <row r="84" spans="1:23" ht="15" hidden="1" customHeight="1">
      <c r="A84" s="543"/>
      <c r="B84" s="543"/>
      <c r="C84" s="543"/>
      <c r="D84" s="476" t="s">
        <v>285</v>
      </c>
      <c r="E84" s="561">
        <v>0</v>
      </c>
      <c r="F84" s="561">
        <v>0</v>
      </c>
      <c r="G84" s="561">
        <f t="shared" si="9"/>
        <v>0</v>
      </c>
      <c r="H84" s="227">
        <f t="shared" si="10"/>
        <v>0</v>
      </c>
      <c r="I84" s="469">
        <v>0</v>
      </c>
      <c r="J84" s="227">
        <v>0</v>
      </c>
      <c r="K84" s="462">
        <f t="shared" si="11"/>
        <v>0</v>
      </c>
      <c r="L84" s="462">
        <f t="shared" si="12"/>
        <v>0</v>
      </c>
      <c r="M84" s="464">
        <f>SUMIF('Audit entry'!$C:$C,'TB 25-26'!$D84,'Audit entry'!$D:$D)</f>
        <v>0</v>
      </c>
      <c r="N84" s="464">
        <f>SUMIF('Audit entry'!$C:$C,'TB 25-26'!$D84,'Audit entry'!$E:$E)</f>
        <v>0</v>
      </c>
      <c r="O84" s="462">
        <f t="shared" si="13"/>
        <v>0</v>
      </c>
      <c r="P84" s="462">
        <f t="shared" si="14"/>
        <v>0</v>
      </c>
      <c r="V84" s="465"/>
      <c r="W84" s="465"/>
    </row>
    <row r="85" spans="1:23" ht="15" hidden="1" customHeight="1">
      <c r="A85" s="543"/>
      <c r="B85" s="543"/>
      <c r="C85" s="543"/>
      <c r="D85" s="476" t="s">
        <v>287</v>
      </c>
      <c r="E85" s="561">
        <v>0</v>
      </c>
      <c r="F85" s="561">
        <v>0</v>
      </c>
      <c r="G85" s="561">
        <f t="shared" si="9"/>
        <v>0</v>
      </c>
      <c r="H85" s="227">
        <f t="shared" si="10"/>
        <v>0</v>
      </c>
      <c r="I85" s="469">
        <v>0</v>
      </c>
      <c r="J85" s="227">
        <v>0</v>
      </c>
      <c r="K85" s="462">
        <f t="shared" si="11"/>
        <v>0</v>
      </c>
      <c r="L85" s="462">
        <f t="shared" si="12"/>
        <v>0</v>
      </c>
      <c r="M85" s="464">
        <f>SUMIF('Audit entry'!$C:$C,'TB 25-26'!$D85,'Audit entry'!$D:$D)</f>
        <v>0</v>
      </c>
      <c r="N85" s="464">
        <f>SUMIF('Audit entry'!$C:$C,'TB 25-26'!$D85,'Audit entry'!$E:$E)</f>
        <v>0</v>
      </c>
      <c r="O85" s="462">
        <f t="shared" si="13"/>
        <v>0</v>
      </c>
      <c r="P85" s="462">
        <f t="shared" si="14"/>
        <v>0</v>
      </c>
      <c r="V85" s="465"/>
      <c r="W85" s="465"/>
    </row>
    <row r="86" spans="1:23" ht="15" hidden="1" customHeight="1">
      <c r="A86" s="543"/>
      <c r="B86" s="475" t="s">
        <v>49</v>
      </c>
      <c r="C86" s="475"/>
      <c r="D86" s="475"/>
      <c r="E86" s="561">
        <v>0</v>
      </c>
      <c r="F86" s="561">
        <v>0</v>
      </c>
      <c r="G86" s="561">
        <f t="shared" si="9"/>
        <v>0</v>
      </c>
      <c r="H86" s="227">
        <f t="shared" si="10"/>
        <v>0</v>
      </c>
      <c r="I86" s="469">
        <v>0</v>
      </c>
      <c r="J86" s="227">
        <v>0</v>
      </c>
      <c r="K86" s="462">
        <f t="shared" si="11"/>
        <v>0</v>
      </c>
      <c r="L86" s="462">
        <f t="shared" si="12"/>
        <v>0</v>
      </c>
      <c r="M86" s="464">
        <f>SUMIF('Audit entry'!$C:$C,'TB 25-26'!$D86,'Audit entry'!$D:$D)</f>
        <v>0</v>
      </c>
      <c r="N86" s="464">
        <f>SUMIF('Audit entry'!$C:$C,'TB 25-26'!$D86,'Audit entry'!$E:$E)</f>
        <v>0</v>
      </c>
      <c r="O86" s="462">
        <f t="shared" si="13"/>
        <v>0</v>
      </c>
      <c r="P86" s="462">
        <f t="shared" si="14"/>
        <v>0</v>
      </c>
      <c r="V86" s="465"/>
      <c r="W86" s="465"/>
    </row>
    <row r="87" spans="1:23" ht="15" hidden="1" customHeight="1">
      <c r="A87" s="543"/>
      <c r="B87" s="543"/>
      <c r="C87" s="475" t="s">
        <v>288</v>
      </c>
      <c r="D87" s="475"/>
      <c r="E87" s="561">
        <v>0</v>
      </c>
      <c r="F87" s="561">
        <v>0</v>
      </c>
      <c r="G87" s="561">
        <f t="shared" si="9"/>
        <v>0</v>
      </c>
      <c r="H87" s="227">
        <f t="shared" si="10"/>
        <v>0</v>
      </c>
      <c r="I87" s="469">
        <v>0</v>
      </c>
      <c r="J87" s="227">
        <v>0</v>
      </c>
      <c r="K87" s="462">
        <f t="shared" si="11"/>
        <v>0</v>
      </c>
      <c r="L87" s="462">
        <f t="shared" si="12"/>
        <v>0</v>
      </c>
      <c r="M87" s="464">
        <f>SUMIF('Audit entry'!$C:$C,'TB 25-26'!$D87,'Audit entry'!$D:$D)</f>
        <v>0</v>
      </c>
      <c r="N87" s="464">
        <f>SUMIF('Audit entry'!$C:$C,'TB 25-26'!$D87,'Audit entry'!$E:$E)</f>
        <v>0</v>
      </c>
      <c r="O87" s="462">
        <f t="shared" si="13"/>
        <v>0</v>
      </c>
      <c r="P87" s="462">
        <f t="shared" si="14"/>
        <v>0</v>
      </c>
      <c r="V87" s="465"/>
      <c r="W87" s="465"/>
    </row>
    <row r="88" spans="1:23" ht="15" hidden="1" customHeight="1">
      <c r="A88" s="543"/>
      <c r="B88" s="543"/>
      <c r="C88" s="543"/>
      <c r="D88" s="476" t="s">
        <v>289</v>
      </c>
      <c r="E88" s="561">
        <v>0</v>
      </c>
      <c r="F88" s="561">
        <v>50051492.900000006</v>
      </c>
      <c r="G88" s="561">
        <f t="shared" si="9"/>
        <v>0</v>
      </c>
      <c r="H88" s="227">
        <f t="shared" si="10"/>
        <v>50051492.900000006</v>
      </c>
      <c r="I88" s="469">
        <v>0</v>
      </c>
      <c r="J88" s="227">
        <v>3313350.02</v>
      </c>
      <c r="K88" s="462">
        <f t="shared" si="11"/>
        <v>0</v>
      </c>
      <c r="L88" s="462">
        <f t="shared" si="12"/>
        <v>53364842.920000009</v>
      </c>
      <c r="M88" s="464">
        <f>+'Audit entry'!D43+'Audit entry'!D48-'Audit entry'!E47+SUM('Audit entry'!D181:D201)-SUM('Audit entry'!E181:E201)</f>
        <v>47629.129999999976</v>
      </c>
      <c r="N88" s="464">
        <f>+'Audit entry'!E206</f>
        <v>1481780</v>
      </c>
      <c r="O88" s="462">
        <f t="shared" si="13"/>
        <v>0</v>
      </c>
      <c r="P88" s="462">
        <f t="shared" si="14"/>
        <v>54798993.790000007</v>
      </c>
      <c r="R88" s="465" t="s">
        <v>1088</v>
      </c>
      <c r="S88" s="465">
        <v>6</v>
      </c>
      <c r="T88" s="465" t="s">
        <v>290</v>
      </c>
      <c r="V88" s="465"/>
      <c r="W88" s="465"/>
    </row>
    <row r="89" spans="1:23" ht="15" hidden="1" customHeight="1">
      <c r="A89" s="543"/>
      <c r="B89" s="543"/>
      <c r="C89" s="543"/>
      <c r="D89" s="476" t="s">
        <v>291</v>
      </c>
      <c r="E89" s="561">
        <v>0</v>
      </c>
      <c r="F89" s="561">
        <v>1072835.6200000048</v>
      </c>
      <c r="G89" s="561">
        <f t="shared" si="9"/>
        <v>0</v>
      </c>
      <c r="H89" s="227">
        <f t="shared" si="10"/>
        <v>1072835.6200000048</v>
      </c>
      <c r="I89" s="469">
        <v>101133.41</v>
      </c>
      <c r="J89" s="227">
        <v>0</v>
      </c>
      <c r="K89" s="462">
        <f t="shared" si="11"/>
        <v>0</v>
      </c>
      <c r="L89" s="462">
        <f t="shared" si="12"/>
        <v>971702.21000000474</v>
      </c>
      <c r="M89" s="464">
        <f>SUMIF('Audit entry'!$C:$C,'TB 25-26'!$D89,'Audit entry'!$D:$D)</f>
        <v>0</v>
      </c>
      <c r="N89" s="464">
        <f>SUMIF('Audit entry'!$C:$C,'TB 25-26'!$D89,'Audit entry'!$E:$E)</f>
        <v>0</v>
      </c>
      <c r="O89" s="462">
        <f t="shared" si="13"/>
        <v>0</v>
      </c>
      <c r="P89" s="462">
        <f t="shared" si="14"/>
        <v>971702.21000000474</v>
      </c>
      <c r="R89" s="465" t="s">
        <v>1088</v>
      </c>
      <c r="S89" s="465">
        <v>6</v>
      </c>
      <c r="T89" s="465" t="s">
        <v>290</v>
      </c>
      <c r="V89" s="465"/>
      <c r="W89" s="465"/>
    </row>
    <row r="90" spans="1:23" ht="15" hidden="1" customHeight="1">
      <c r="A90" s="543"/>
      <c r="B90" s="543"/>
      <c r="C90" s="543"/>
      <c r="D90" s="476" t="s">
        <v>292</v>
      </c>
      <c r="E90" s="561">
        <v>1012160</v>
      </c>
      <c r="F90" s="561">
        <v>0</v>
      </c>
      <c r="G90" s="561">
        <f t="shared" si="9"/>
        <v>1012160</v>
      </c>
      <c r="H90" s="227">
        <f t="shared" si="10"/>
        <v>0</v>
      </c>
      <c r="I90" s="469">
        <v>0</v>
      </c>
      <c r="J90" s="227">
        <v>0</v>
      </c>
      <c r="K90" s="462">
        <f>+IF((G90+I90-H90-J90&gt;0),G90+I90-H90-J90,0)</f>
        <v>1012160</v>
      </c>
      <c r="L90" s="462">
        <f t="shared" si="12"/>
        <v>0</v>
      </c>
      <c r="M90" s="464">
        <f>SUMIF('Audit entry'!$C:$C,'TB 25-26'!$D90,'Audit entry'!$D:$D)</f>
        <v>0</v>
      </c>
      <c r="N90" s="464">
        <f>SUMIF('Audit entry'!$C:$C,'TB 25-26'!$D90,'Audit entry'!$E:$E)</f>
        <v>0</v>
      </c>
      <c r="O90" s="462">
        <f t="shared" si="13"/>
        <v>1012160</v>
      </c>
      <c r="P90" s="462">
        <f t="shared" si="14"/>
        <v>0</v>
      </c>
      <c r="R90" s="465" t="s">
        <v>1088</v>
      </c>
      <c r="S90" s="465">
        <v>6</v>
      </c>
      <c r="T90" s="465" t="s">
        <v>290</v>
      </c>
      <c r="V90" s="465"/>
      <c r="W90" s="465"/>
    </row>
    <row r="91" spans="1:23" ht="15" hidden="1" customHeight="1">
      <c r="A91" s="543"/>
      <c r="B91" s="543"/>
      <c r="C91" s="543"/>
      <c r="D91" s="476" t="s">
        <v>293</v>
      </c>
      <c r="E91" s="561">
        <v>0</v>
      </c>
      <c r="F91" s="561">
        <v>40316184.751413986</v>
      </c>
      <c r="G91" s="561">
        <f t="shared" si="9"/>
        <v>0</v>
      </c>
      <c r="H91" s="227">
        <f t="shared" si="10"/>
        <v>40316184.751413986</v>
      </c>
      <c r="I91" s="469">
        <v>0</v>
      </c>
      <c r="J91" s="227">
        <v>15733490.890000001</v>
      </c>
      <c r="K91" s="462">
        <f t="shared" si="11"/>
        <v>0</v>
      </c>
      <c r="L91" s="462">
        <f t="shared" si="12"/>
        <v>56049675.641413987</v>
      </c>
      <c r="M91" s="464">
        <f>+SUM('Audit entry'!D49:D93)-SUM('Audit entry'!E49:E93)+SUM('Audit entry'!D97:D180)-SUM('Audit entry'!E97:E180)</f>
        <v>40585.970000009613</v>
      </c>
      <c r="N91" s="464">
        <f>+SUM('Audit entry'!E30:E38)-SUM('Audit entry'!D30:D38)</f>
        <v>31324.665000000001</v>
      </c>
      <c r="O91" s="462">
        <f t="shared" si="13"/>
        <v>0</v>
      </c>
      <c r="P91" s="462">
        <f t="shared" si="14"/>
        <v>56040414.33641398</v>
      </c>
      <c r="R91" s="465" t="s">
        <v>1088</v>
      </c>
      <c r="S91" s="465">
        <v>6</v>
      </c>
      <c r="T91" s="465" t="s">
        <v>290</v>
      </c>
      <c r="V91" s="465"/>
      <c r="W91" s="465"/>
    </row>
    <row r="92" spans="1:23" ht="15" hidden="1" customHeight="1">
      <c r="A92" s="543"/>
      <c r="B92" s="543"/>
      <c r="C92" s="543"/>
      <c r="D92" s="476" t="s">
        <v>294</v>
      </c>
      <c r="E92" s="561">
        <v>0</v>
      </c>
      <c r="F92" s="561">
        <v>0</v>
      </c>
      <c r="G92" s="561">
        <f t="shared" si="9"/>
        <v>0</v>
      </c>
      <c r="H92" s="227">
        <f t="shared" si="10"/>
        <v>0</v>
      </c>
      <c r="I92" s="469">
        <v>151228.32</v>
      </c>
      <c r="J92" s="227">
        <v>0</v>
      </c>
      <c r="K92" s="462">
        <f t="shared" si="11"/>
        <v>151228.32</v>
      </c>
      <c r="L92" s="462">
        <f t="shared" si="12"/>
        <v>0</v>
      </c>
      <c r="M92" s="464">
        <f>SUMIF('Audit entry'!$C:$C,'TB 25-26'!$D92,'Audit entry'!$D:$D)</f>
        <v>0</v>
      </c>
      <c r="N92" s="464">
        <f>SUMIF('Audit entry'!$C:$C,'TB 25-26'!$D92,'Audit entry'!$E:$E)</f>
        <v>0</v>
      </c>
      <c r="O92" s="462">
        <f t="shared" si="13"/>
        <v>151228.32</v>
      </c>
      <c r="P92" s="462">
        <f t="shared" si="14"/>
        <v>0</v>
      </c>
      <c r="Q92" s="465" t="s">
        <v>295</v>
      </c>
      <c r="R92" s="465" t="s">
        <v>1088</v>
      </c>
      <c r="S92" s="465">
        <v>7</v>
      </c>
      <c r="T92" s="465" t="s">
        <v>296</v>
      </c>
      <c r="V92" s="465"/>
      <c r="W92" s="465"/>
    </row>
    <row r="93" spans="1:23" ht="15" customHeight="1">
      <c r="A93" s="543"/>
      <c r="B93" s="543"/>
      <c r="C93" s="543"/>
      <c r="D93" s="476" t="s">
        <v>297</v>
      </c>
      <c r="E93" s="561">
        <v>0</v>
      </c>
      <c r="F93" s="561">
        <v>725000</v>
      </c>
      <c r="G93" s="561">
        <f t="shared" si="9"/>
        <v>0</v>
      </c>
      <c r="H93" s="227">
        <f t="shared" si="10"/>
        <v>725000</v>
      </c>
      <c r="I93" s="469">
        <v>0</v>
      </c>
      <c r="J93" s="227">
        <v>0</v>
      </c>
      <c r="K93" s="462">
        <f t="shared" si="11"/>
        <v>0</v>
      </c>
      <c r="L93" s="462">
        <f t="shared" si="12"/>
        <v>725000</v>
      </c>
      <c r="M93" s="464">
        <f>SUMIF('Audit entry'!$C:$C,'TB 25-26'!$D93,'Audit entry'!$D:$D)</f>
        <v>225000</v>
      </c>
      <c r="N93" s="464">
        <f>SUMIF('Audit entry'!$C:$C,'TB 25-26'!$D93,'Audit entry'!$E:$E)</f>
        <v>225000</v>
      </c>
      <c r="O93" s="462">
        <f t="shared" si="13"/>
        <v>0</v>
      </c>
      <c r="P93" s="462">
        <f t="shared" si="14"/>
        <v>725000</v>
      </c>
      <c r="Q93" s="465" t="s">
        <v>298</v>
      </c>
      <c r="R93" s="465" t="s">
        <v>1088</v>
      </c>
      <c r="S93" s="465">
        <v>7</v>
      </c>
      <c r="T93" s="465" t="s">
        <v>296</v>
      </c>
      <c r="U93" s="465" t="s">
        <v>299</v>
      </c>
      <c r="V93" s="465"/>
      <c r="W93" s="465"/>
    </row>
    <row r="94" spans="1:23" ht="15" hidden="1" customHeight="1">
      <c r="A94" s="543"/>
      <c r="B94" s="543"/>
      <c r="C94" s="543"/>
      <c r="D94" s="591" t="s">
        <v>300</v>
      </c>
      <c r="E94" s="561">
        <v>0</v>
      </c>
      <c r="F94" s="561">
        <v>90000</v>
      </c>
      <c r="G94" s="561">
        <f t="shared" si="9"/>
        <v>0</v>
      </c>
      <c r="H94" s="227">
        <f t="shared" si="10"/>
        <v>90000</v>
      </c>
      <c r="I94" s="469">
        <v>0</v>
      </c>
      <c r="J94" s="227">
        <v>0</v>
      </c>
      <c r="K94" s="462">
        <f t="shared" si="11"/>
        <v>0</v>
      </c>
      <c r="L94" s="462">
        <f t="shared" si="12"/>
        <v>90000</v>
      </c>
      <c r="M94" s="464">
        <f>SUMIF('Audit entry'!$C:$C,'TB 25-26'!$D94,'Audit entry'!$D:$D)</f>
        <v>0</v>
      </c>
      <c r="N94" s="464">
        <f>SUMIF('Audit entry'!$C:$C,'TB 25-26'!$D94,'Audit entry'!$E:$E)</f>
        <v>0</v>
      </c>
      <c r="O94" s="462">
        <f t="shared" si="13"/>
        <v>0</v>
      </c>
      <c r="P94" s="462">
        <f t="shared" si="14"/>
        <v>90000</v>
      </c>
      <c r="Q94" s="465" t="s">
        <v>300</v>
      </c>
      <c r="R94" s="465" t="s">
        <v>1088</v>
      </c>
      <c r="S94" s="465">
        <v>7</v>
      </c>
      <c r="T94" s="465" t="s">
        <v>296</v>
      </c>
      <c r="U94" s="465" t="s">
        <v>299</v>
      </c>
      <c r="V94" s="465"/>
      <c r="W94" s="465"/>
    </row>
    <row r="95" spans="1:23" ht="15" hidden="1" customHeight="1">
      <c r="A95" s="543"/>
      <c r="B95" s="543"/>
      <c r="C95" s="475" t="s">
        <v>301</v>
      </c>
      <c r="D95" s="475"/>
      <c r="E95" s="561">
        <v>0</v>
      </c>
      <c r="F95" s="561">
        <v>0</v>
      </c>
      <c r="G95" s="561">
        <f t="shared" si="9"/>
        <v>0</v>
      </c>
      <c r="H95" s="227">
        <f t="shared" si="10"/>
        <v>0</v>
      </c>
      <c r="I95" s="469">
        <v>0</v>
      </c>
      <c r="J95" s="227">
        <v>0</v>
      </c>
      <c r="K95" s="462">
        <f t="shared" si="11"/>
        <v>0</v>
      </c>
      <c r="L95" s="462">
        <f t="shared" si="12"/>
        <v>0</v>
      </c>
      <c r="M95" s="464">
        <f>SUMIF('Audit entry'!$C:$C,'TB 25-26'!$D95,'Audit entry'!$D:$D)</f>
        <v>0</v>
      </c>
      <c r="N95" s="464">
        <f>SUMIF('Audit entry'!$C:$C,'TB 25-26'!$D95,'Audit entry'!$E:$E)</f>
        <v>0</v>
      </c>
      <c r="O95" s="462">
        <f t="shared" si="13"/>
        <v>0</v>
      </c>
      <c r="P95" s="462">
        <f t="shared" si="14"/>
        <v>0</v>
      </c>
      <c r="V95" s="465"/>
      <c r="W95" s="465"/>
    </row>
    <row r="96" spans="1:23" ht="15" hidden="1" customHeight="1">
      <c r="A96" s="543"/>
      <c r="B96" s="543"/>
      <c r="C96" s="475"/>
      <c r="D96" s="475"/>
      <c r="E96" s="561">
        <v>0</v>
      </c>
      <c r="F96" s="561">
        <v>0</v>
      </c>
      <c r="G96" s="561">
        <f t="shared" si="9"/>
        <v>0</v>
      </c>
      <c r="H96" s="227">
        <f t="shared" si="10"/>
        <v>0</v>
      </c>
      <c r="I96" s="469">
        <v>0</v>
      </c>
      <c r="J96" s="227">
        <v>0</v>
      </c>
      <c r="K96" s="462">
        <f t="shared" si="11"/>
        <v>0</v>
      </c>
      <c r="L96" s="462">
        <f t="shared" si="12"/>
        <v>0</v>
      </c>
      <c r="M96" s="464">
        <f>SUMIF('Audit entry'!$C:$C,'TB 25-26'!$D96,'Audit entry'!$D:$D)</f>
        <v>0</v>
      </c>
      <c r="N96" s="464">
        <f>SUMIF('Audit entry'!$C:$C,'TB 25-26'!$D96,'Audit entry'!$E:$E)</f>
        <v>0</v>
      </c>
      <c r="O96" s="462">
        <f t="shared" si="13"/>
        <v>0</v>
      </c>
      <c r="P96" s="462">
        <f t="shared" si="14"/>
        <v>0</v>
      </c>
      <c r="V96" s="465"/>
      <c r="W96" s="465"/>
    </row>
    <row r="97" spans="1:23" ht="15" hidden="1" customHeight="1">
      <c r="A97" s="543"/>
      <c r="B97" s="543"/>
      <c r="C97" s="543"/>
      <c r="D97" s="476" t="s">
        <v>302</v>
      </c>
      <c r="E97" s="561">
        <v>0</v>
      </c>
      <c r="F97" s="561">
        <v>903854.05999999959</v>
      </c>
      <c r="G97" s="561">
        <f t="shared" si="9"/>
        <v>0</v>
      </c>
      <c r="H97" s="227">
        <f t="shared" si="10"/>
        <v>903854.05999999959</v>
      </c>
      <c r="I97" s="469">
        <v>943900.03</v>
      </c>
      <c r="J97" s="227">
        <v>0</v>
      </c>
      <c r="K97" s="462">
        <f t="shared" si="11"/>
        <v>40045.970000000438</v>
      </c>
      <c r="L97" s="462">
        <f t="shared" si="12"/>
        <v>0</v>
      </c>
      <c r="M97" s="464">
        <f>SUMIF('Audit entry'!$C:$C,'TB 25-26'!$D97,'Audit entry'!$D:$D)</f>
        <v>0</v>
      </c>
      <c r="N97" s="464">
        <f>SUMIF('Audit entry'!$C:$C,'TB 25-26'!$D97,'Audit entry'!$E:$E)</f>
        <v>0</v>
      </c>
      <c r="O97" s="462">
        <f t="shared" si="13"/>
        <v>40045.970000000438</v>
      </c>
      <c r="P97" s="462">
        <f t="shared" si="14"/>
        <v>0</v>
      </c>
      <c r="Q97" s="465" t="s">
        <v>303</v>
      </c>
      <c r="R97" s="465" t="s">
        <v>1088</v>
      </c>
      <c r="S97" s="465">
        <v>7</v>
      </c>
      <c r="T97" s="465" t="s">
        <v>296</v>
      </c>
      <c r="U97" s="465" t="s">
        <v>299</v>
      </c>
      <c r="V97" s="465"/>
      <c r="W97" s="465"/>
    </row>
    <row r="98" spans="1:23" ht="15" customHeight="1">
      <c r="A98" s="543"/>
      <c r="B98" s="543"/>
      <c r="C98" s="543"/>
      <c r="D98" s="476" t="s">
        <v>230</v>
      </c>
      <c r="E98" s="561">
        <v>0</v>
      </c>
      <c r="F98" s="561">
        <v>0</v>
      </c>
      <c r="G98" s="561">
        <f t="shared" si="9"/>
        <v>0</v>
      </c>
      <c r="H98" s="227">
        <f t="shared" si="10"/>
        <v>0</v>
      </c>
      <c r="I98" s="469">
        <v>235000</v>
      </c>
      <c r="J98" s="227">
        <v>0</v>
      </c>
      <c r="K98" s="462">
        <f t="shared" si="11"/>
        <v>235000</v>
      </c>
      <c r="L98" s="462">
        <f t="shared" si="12"/>
        <v>0</v>
      </c>
      <c r="M98" s="464">
        <f>SUMIF('Audit entry'!$C:$C,'TB 25-26'!$D98,'Audit entry'!$D:$D)</f>
        <v>0</v>
      </c>
      <c r="N98" s="464">
        <f>SUMIF('Audit entry'!$C:$C,'TB 25-26'!$D98,'Audit entry'!$E:$E)</f>
        <v>235000</v>
      </c>
      <c r="O98" s="462">
        <f t="shared" si="13"/>
        <v>0</v>
      </c>
      <c r="P98" s="462">
        <f t="shared" si="14"/>
        <v>0</v>
      </c>
      <c r="Q98" s="465" t="s">
        <v>298</v>
      </c>
      <c r="R98" s="465" t="s">
        <v>1088</v>
      </c>
      <c r="S98" s="465">
        <v>7</v>
      </c>
      <c r="T98" s="465" t="s">
        <v>296</v>
      </c>
      <c r="U98" s="465" t="s">
        <v>299</v>
      </c>
      <c r="V98" s="465"/>
      <c r="W98" s="465"/>
    </row>
    <row r="99" spans="1:23" ht="15" hidden="1" customHeight="1">
      <c r="A99" s="543"/>
      <c r="B99" s="543"/>
      <c r="C99" s="543"/>
      <c r="D99" s="476" t="s">
        <v>304</v>
      </c>
      <c r="E99" s="561">
        <v>0</v>
      </c>
      <c r="F99" s="561">
        <v>797544.98</v>
      </c>
      <c r="G99" s="561">
        <f t="shared" si="9"/>
        <v>0</v>
      </c>
      <c r="H99" s="227">
        <f t="shared" si="10"/>
        <v>797544.98</v>
      </c>
      <c r="I99" s="469">
        <v>607903.93000000005</v>
      </c>
      <c r="J99" s="227">
        <v>0</v>
      </c>
      <c r="K99" s="462">
        <f t="shared" si="11"/>
        <v>0</v>
      </c>
      <c r="L99" s="462">
        <f t="shared" si="12"/>
        <v>189641.04999999993</v>
      </c>
      <c r="M99" s="464">
        <f>SUMIF('Audit entry'!$C:$C,'TB 25-26'!$D99,'Audit entry'!$D:$D)</f>
        <v>0</v>
      </c>
      <c r="N99" s="464">
        <f>SUMIF('Audit entry'!$C:$C,'TB 25-26'!$D99,'Audit entry'!$E:$E)</f>
        <v>0</v>
      </c>
      <c r="O99" s="462">
        <f t="shared" si="13"/>
        <v>0</v>
      </c>
      <c r="P99" s="462">
        <f t="shared" si="14"/>
        <v>189641.04999999993</v>
      </c>
      <c r="Q99" s="465" t="s">
        <v>295</v>
      </c>
      <c r="R99" s="465" t="s">
        <v>1088</v>
      </c>
      <c r="S99" s="465">
        <v>7</v>
      </c>
      <c r="T99" s="465" t="s">
        <v>296</v>
      </c>
      <c r="U99" s="465" t="s">
        <v>299</v>
      </c>
      <c r="V99" s="465"/>
      <c r="W99" s="465"/>
    </row>
    <row r="100" spans="1:23" ht="15" hidden="1" customHeight="1">
      <c r="A100" s="543"/>
      <c r="B100" s="543"/>
      <c r="C100" s="543"/>
      <c r="D100" s="476" t="s">
        <v>305</v>
      </c>
      <c r="E100" s="561">
        <v>0</v>
      </c>
      <c r="F100" s="561">
        <v>0</v>
      </c>
      <c r="G100" s="561">
        <f t="shared" si="9"/>
        <v>0</v>
      </c>
      <c r="H100" s="227">
        <f t="shared" si="10"/>
        <v>0</v>
      </c>
      <c r="I100" s="469">
        <v>0.09</v>
      </c>
      <c r="J100" s="227">
        <v>0</v>
      </c>
      <c r="K100" s="462">
        <f t="shared" si="11"/>
        <v>0.09</v>
      </c>
      <c r="L100" s="462">
        <f t="shared" si="12"/>
        <v>0</v>
      </c>
      <c r="M100" s="464">
        <f>SUMIF('Audit entry'!$C:$C,'TB 25-26'!$D100,'Audit entry'!$D:$D)</f>
        <v>0</v>
      </c>
      <c r="N100" s="464">
        <f>SUMIF('Audit entry'!$C:$C,'TB 25-26'!$D100,'Audit entry'!$E:$E)</f>
        <v>0</v>
      </c>
      <c r="O100" s="462">
        <f t="shared" si="13"/>
        <v>0.09</v>
      </c>
      <c r="P100" s="462">
        <f t="shared" si="14"/>
        <v>0</v>
      </c>
      <c r="Q100" s="465" t="s">
        <v>295</v>
      </c>
      <c r="R100" s="465" t="s">
        <v>1088</v>
      </c>
      <c r="S100" s="465">
        <v>7</v>
      </c>
      <c r="T100" s="465" t="s">
        <v>296</v>
      </c>
      <c r="U100" s="465" t="s">
        <v>299</v>
      </c>
      <c r="V100" s="465"/>
      <c r="W100" s="465"/>
    </row>
    <row r="101" spans="1:23" ht="15" hidden="1" customHeight="1">
      <c r="A101" s="543"/>
      <c r="B101" s="543"/>
      <c r="C101" s="475" t="s">
        <v>306</v>
      </c>
      <c r="D101" s="475"/>
      <c r="E101" s="561">
        <v>0</v>
      </c>
      <c r="F101" s="561">
        <v>0</v>
      </c>
      <c r="G101" s="561">
        <f t="shared" si="9"/>
        <v>0</v>
      </c>
      <c r="H101" s="227">
        <f t="shared" si="10"/>
        <v>0</v>
      </c>
      <c r="I101" s="469">
        <v>0</v>
      </c>
      <c r="J101" s="227">
        <v>0</v>
      </c>
      <c r="K101" s="462">
        <f t="shared" si="11"/>
        <v>0</v>
      </c>
      <c r="L101" s="462">
        <f t="shared" si="12"/>
        <v>0</v>
      </c>
      <c r="M101" s="464">
        <f>SUMIF('Audit entry'!$C:$C,'TB 25-26'!$D101,'Audit entry'!$D:$D)</f>
        <v>0</v>
      </c>
      <c r="N101" s="464">
        <f>SUMIF('Audit entry'!$C:$C,'TB 25-26'!$D101,'Audit entry'!$E:$E)</f>
        <v>0</v>
      </c>
      <c r="O101" s="462">
        <f t="shared" si="13"/>
        <v>0</v>
      </c>
      <c r="P101" s="462">
        <f t="shared" si="14"/>
        <v>0</v>
      </c>
      <c r="V101" s="465"/>
      <c r="W101" s="465"/>
    </row>
    <row r="102" spans="1:23" ht="15" hidden="1" customHeight="1">
      <c r="A102" s="543"/>
      <c r="B102" s="543"/>
      <c r="C102" s="543"/>
      <c r="D102" s="476" t="s">
        <v>307</v>
      </c>
      <c r="E102" s="561">
        <v>0</v>
      </c>
      <c r="F102" s="561">
        <v>138562</v>
      </c>
      <c r="G102" s="561">
        <f t="shared" si="9"/>
        <v>0</v>
      </c>
      <c r="H102" s="227">
        <f t="shared" si="10"/>
        <v>138562</v>
      </c>
      <c r="I102" s="469">
        <v>67831</v>
      </c>
      <c r="J102" s="227">
        <v>0</v>
      </c>
      <c r="K102" s="462">
        <f t="shared" si="11"/>
        <v>0</v>
      </c>
      <c r="L102" s="462">
        <f t="shared" si="12"/>
        <v>70731</v>
      </c>
      <c r="M102" s="464">
        <f>SUMIF('Audit entry'!$C:$C,'TB 25-26'!$D102,'Audit entry'!$D:$D)</f>
        <v>0</v>
      </c>
      <c r="N102" s="464">
        <f>SUMIF('Audit entry'!$C:$C,'TB 25-26'!$D102,'Audit entry'!$E:$E)</f>
        <v>0</v>
      </c>
      <c r="O102" s="462">
        <f t="shared" si="13"/>
        <v>0</v>
      </c>
      <c r="P102" s="462">
        <f t="shared" si="14"/>
        <v>70731</v>
      </c>
      <c r="Q102" s="465" t="s">
        <v>308</v>
      </c>
      <c r="R102" s="465" t="s">
        <v>1088</v>
      </c>
      <c r="S102" s="465">
        <v>7</v>
      </c>
      <c r="T102" s="465" t="s">
        <v>296</v>
      </c>
      <c r="U102" s="465" t="s">
        <v>309</v>
      </c>
      <c r="V102" s="465"/>
      <c r="W102" s="465"/>
    </row>
    <row r="103" spans="1:23" ht="15" hidden="1" customHeight="1">
      <c r="A103" s="543"/>
      <c r="B103" s="543"/>
      <c r="C103" s="543"/>
      <c r="D103" s="476" t="s">
        <v>310</v>
      </c>
      <c r="E103" s="561">
        <v>0</v>
      </c>
      <c r="F103" s="561">
        <v>36527</v>
      </c>
      <c r="G103" s="561">
        <f t="shared" si="9"/>
        <v>0</v>
      </c>
      <c r="H103" s="227">
        <f t="shared" si="10"/>
        <v>36527</v>
      </c>
      <c r="I103" s="469">
        <v>0</v>
      </c>
      <c r="J103" s="227">
        <v>143770</v>
      </c>
      <c r="K103" s="462">
        <f t="shared" si="11"/>
        <v>0</v>
      </c>
      <c r="L103" s="462">
        <f t="shared" si="12"/>
        <v>180297</v>
      </c>
      <c r="M103" s="464">
        <f>SUMIF('Audit entry'!$C:$C,'TB 25-26'!$D103,'Audit entry'!$D:$D)</f>
        <v>0</v>
      </c>
      <c r="N103" s="464">
        <f>SUMIF('Audit entry'!$C:$C,'TB 25-26'!$D103,'Audit entry'!$E:$E)</f>
        <v>0</v>
      </c>
      <c r="O103" s="462">
        <f t="shared" si="13"/>
        <v>0</v>
      </c>
      <c r="P103" s="462">
        <f t="shared" si="14"/>
        <v>180297</v>
      </c>
      <c r="Q103" s="465" t="s">
        <v>308</v>
      </c>
      <c r="R103" s="465" t="s">
        <v>1088</v>
      </c>
      <c r="S103" s="465">
        <v>7</v>
      </c>
      <c r="T103" s="465" t="s">
        <v>296</v>
      </c>
      <c r="U103" s="465" t="s">
        <v>309</v>
      </c>
      <c r="V103" s="465"/>
      <c r="W103" s="465"/>
    </row>
    <row r="104" spans="1:23" ht="15" hidden="1" customHeight="1">
      <c r="A104" s="543"/>
      <c r="B104" s="543"/>
      <c r="C104" s="543"/>
      <c r="D104" s="476" t="s">
        <v>311</v>
      </c>
      <c r="E104" s="561">
        <v>0</v>
      </c>
      <c r="F104" s="561">
        <v>1328</v>
      </c>
      <c r="G104" s="561">
        <f t="shared" si="9"/>
        <v>0</v>
      </c>
      <c r="H104" s="227">
        <f t="shared" si="10"/>
        <v>1328</v>
      </c>
      <c r="I104" s="469">
        <v>0</v>
      </c>
      <c r="J104" s="227">
        <v>28412</v>
      </c>
      <c r="K104" s="462">
        <f t="shared" si="11"/>
        <v>0</v>
      </c>
      <c r="L104" s="462">
        <f t="shared" si="12"/>
        <v>29740</v>
      </c>
      <c r="M104" s="464">
        <f>SUMIF('Audit entry'!$C:$C,'TB 25-26'!$D104,'Audit entry'!$D:$D)</f>
        <v>0</v>
      </c>
      <c r="N104" s="464">
        <f>SUMIF('Audit entry'!$C:$C,'TB 25-26'!$D104,'Audit entry'!$E:$E)</f>
        <v>0</v>
      </c>
      <c r="O104" s="462">
        <f t="shared" si="13"/>
        <v>0</v>
      </c>
      <c r="P104" s="462">
        <f t="shared" si="14"/>
        <v>29740</v>
      </c>
      <c r="Q104" s="465" t="s">
        <v>308</v>
      </c>
      <c r="R104" s="465" t="s">
        <v>1088</v>
      </c>
      <c r="S104" s="465">
        <v>7</v>
      </c>
      <c r="T104" s="465" t="s">
        <v>296</v>
      </c>
      <c r="U104" s="465" t="s">
        <v>309</v>
      </c>
      <c r="V104" s="465"/>
      <c r="W104" s="465"/>
    </row>
    <row r="105" spans="1:23" ht="15" hidden="1" customHeight="1">
      <c r="A105" s="543"/>
      <c r="B105" s="543"/>
      <c r="C105" s="543"/>
      <c r="D105" s="476" t="s">
        <v>312</v>
      </c>
      <c r="E105" s="561">
        <v>0</v>
      </c>
      <c r="F105" s="561">
        <v>2041</v>
      </c>
      <c r="G105" s="561">
        <f t="shared" si="9"/>
        <v>0</v>
      </c>
      <c r="H105" s="227">
        <f t="shared" si="10"/>
        <v>2041</v>
      </c>
      <c r="I105" s="469">
        <v>0</v>
      </c>
      <c r="J105" s="227">
        <v>0</v>
      </c>
      <c r="K105" s="462">
        <f t="shared" si="11"/>
        <v>0</v>
      </c>
      <c r="L105" s="462">
        <f t="shared" si="12"/>
        <v>2041</v>
      </c>
      <c r="M105" s="464">
        <f>SUMIF('Audit entry'!$C:$C,'TB 25-26'!$D105,'Audit entry'!$D:$D)</f>
        <v>0</v>
      </c>
      <c r="N105" s="464">
        <f>SUMIF('Audit entry'!$C:$C,'TB 25-26'!$D105,'Audit entry'!$E:$E)</f>
        <v>0</v>
      </c>
      <c r="O105" s="462">
        <f t="shared" si="13"/>
        <v>0</v>
      </c>
      <c r="P105" s="462">
        <f t="shared" si="14"/>
        <v>2041</v>
      </c>
      <c r="Q105" s="465" t="s">
        <v>308</v>
      </c>
      <c r="R105" s="465" t="s">
        <v>1088</v>
      </c>
      <c r="S105" s="465">
        <v>7</v>
      </c>
      <c r="T105" s="465" t="s">
        <v>296</v>
      </c>
      <c r="U105" s="465" t="s">
        <v>309</v>
      </c>
      <c r="V105" s="465"/>
      <c r="W105" s="465"/>
    </row>
    <row r="106" spans="1:23" ht="15" hidden="1" customHeight="1">
      <c r="A106" s="543"/>
      <c r="B106" s="543"/>
      <c r="C106" s="543"/>
      <c r="D106" s="476" t="s">
        <v>313</v>
      </c>
      <c r="E106" s="561">
        <v>0</v>
      </c>
      <c r="F106" s="561">
        <v>134134</v>
      </c>
      <c r="G106" s="561">
        <f t="shared" si="9"/>
        <v>0</v>
      </c>
      <c r="H106" s="227">
        <f t="shared" si="10"/>
        <v>134134</v>
      </c>
      <c r="I106" s="469">
        <v>28265</v>
      </c>
      <c r="J106" s="227">
        <v>0</v>
      </c>
      <c r="K106" s="462">
        <f t="shared" si="11"/>
        <v>0</v>
      </c>
      <c r="L106" s="462">
        <f t="shared" si="12"/>
        <v>105869</v>
      </c>
      <c r="M106" s="464">
        <f>SUMIF('Audit entry'!$C:$C,'TB 25-26'!$D106,'Audit entry'!$D:$D)</f>
        <v>0</v>
      </c>
      <c r="N106" s="464">
        <f>SUMIF('Audit entry'!$C:$C,'TB 25-26'!$D106,'Audit entry'!$E:$E)</f>
        <v>0</v>
      </c>
      <c r="O106" s="462">
        <f t="shared" si="13"/>
        <v>0</v>
      </c>
      <c r="P106" s="462">
        <f t="shared" si="14"/>
        <v>105869</v>
      </c>
      <c r="Q106" s="465" t="s">
        <v>308</v>
      </c>
      <c r="R106" s="465" t="s">
        <v>1088</v>
      </c>
      <c r="S106" s="465">
        <v>7</v>
      </c>
      <c r="T106" s="465" t="s">
        <v>296</v>
      </c>
      <c r="U106" s="465" t="s">
        <v>309</v>
      </c>
      <c r="V106" s="465"/>
      <c r="W106" s="465"/>
    </row>
    <row r="107" spans="1:23" ht="15" hidden="1" customHeight="1">
      <c r="A107" s="543"/>
      <c r="B107" s="543"/>
      <c r="C107" s="543"/>
      <c r="D107" s="476" t="s">
        <v>314</v>
      </c>
      <c r="E107" s="561">
        <v>0</v>
      </c>
      <c r="F107" s="561">
        <v>43977.960000000006</v>
      </c>
      <c r="G107" s="561">
        <f t="shared" si="9"/>
        <v>0</v>
      </c>
      <c r="H107" s="227">
        <f t="shared" si="10"/>
        <v>43977.960000000006</v>
      </c>
      <c r="I107" s="469">
        <v>0</v>
      </c>
      <c r="J107" s="227">
        <v>8184</v>
      </c>
      <c r="K107" s="462">
        <f t="shared" si="11"/>
        <v>0</v>
      </c>
      <c r="L107" s="462">
        <f t="shared" si="12"/>
        <v>52161.960000000006</v>
      </c>
      <c r="M107" s="464">
        <f>SUMIF('Audit entry'!$C:$C,'TB 25-26'!$D107,'Audit entry'!$D:$D)</f>
        <v>0</v>
      </c>
      <c r="N107" s="464">
        <f>SUMIF('Audit entry'!$C:$C,'TB 25-26'!$D107,'Audit entry'!$E:$E)</f>
        <v>0</v>
      </c>
      <c r="O107" s="462">
        <f t="shared" si="13"/>
        <v>0</v>
      </c>
      <c r="P107" s="462">
        <f t="shared" si="14"/>
        <v>52161.960000000006</v>
      </c>
      <c r="Q107" s="465" t="s">
        <v>308</v>
      </c>
      <c r="R107" s="465" t="s">
        <v>1088</v>
      </c>
      <c r="S107" s="465">
        <v>7</v>
      </c>
      <c r="T107" s="465" t="s">
        <v>296</v>
      </c>
      <c r="U107" s="465" t="s">
        <v>309</v>
      </c>
      <c r="V107" s="465"/>
      <c r="W107" s="465"/>
    </row>
    <row r="108" spans="1:23" ht="15" hidden="1" customHeight="1">
      <c r="A108" s="543"/>
      <c r="B108" s="543"/>
      <c r="C108" s="543"/>
      <c r="D108" s="476" t="s">
        <v>315</v>
      </c>
      <c r="E108" s="561">
        <v>0</v>
      </c>
      <c r="F108" s="561">
        <v>0</v>
      </c>
      <c r="G108" s="561">
        <f t="shared" si="9"/>
        <v>0</v>
      </c>
      <c r="H108" s="227">
        <f t="shared" si="10"/>
        <v>0</v>
      </c>
      <c r="I108" s="469">
        <v>0</v>
      </c>
      <c r="J108" s="227">
        <v>0</v>
      </c>
      <c r="K108" s="462">
        <f t="shared" si="11"/>
        <v>0</v>
      </c>
      <c r="L108" s="462">
        <f t="shared" si="12"/>
        <v>0</v>
      </c>
      <c r="M108" s="464">
        <f>SUMIF('Audit entry'!$C:$C,'TB 25-26'!$D108,'Audit entry'!$D:$D)</f>
        <v>0</v>
      </c>
      <c r="N108" s="464">
        <f>SUMIF('Audit entry'!$C:$C,'TB 25-26'!$D108,'Audit entry'!$E:$E)</f>
        <v>0</v>
      </c>
      <c r="O108" s="462">
        <f t="shared" si="13"/>
        <v>0</v>
      </c>
      <c r="P108" s="462">
        <f t="shared" si="14"/>
        <v>0</v>
      </c>
      <c r="Q108" s="465" t="s">
        <v>308</v>
      </c>
      <c r="R108" s="465" t="s">
        <v>1088</v>
      </c>
      <c r="S108" s="465">
        <v>7</v>
      </c>
      <c r="T108" s="465" t="s">
        <v>296</v>
      </c>
      <c r="U108" s="465" t="s">
        <v>309</v>
      </c>
      <c r="V108" s="465"/>
      <c r="W108" s="465"/>
    </row>
    <row r="109" spans="1:23" ht="15" hidden="1" customHeight="1">
      <c r="A109" s="543"/>
      <c r="B109" s="543"/>
      <c r="C109" s="543"/>
      <c r="D109" s="476" t="s">
        <v>316</v>
      </c>
      <c r="E109" s="561">
        <v>0</v>
      </c>
      <c r="F109" s="561">
        <v>12820</v>
      </c>
      <c r="G109" s="561">
        <f t="shared" si="9"/>
        <v>0</v>
      </c>
      <c r="H109" s="227">
        <f t="shared" si="10"/>
        <v>12820</v>
      </c>
      <c r="I109" s="469">
        <v>0</v>
      </c>
      <c r="J109" s="227">
        <v>7546</v>
      </c>
      <c r="K109" s="462">
        <f t="shared" si="11"/>
        <v>0</v>
      </c>
      <c r="L109" s="462">
        <f t="shared" si="12"/>
        <v>20366</v>
      </c>
      <c r="M109" s="464">
        <f>SUMIF('Audit entry'!$C:$C,'TB 25-26'!$D109,'Audit entry'!$D:$D)</f>
        <v>0</v>
      </c>
      <c r="N109" s="464">
        <f>SUMIF('Audit entry'!$C:$C,'TB 25-26'!$D109,'Audit entry'!$E:$E)</f>
        <v>0</v>
      </c>
      <c r="O109" s="462">
        <f t="shared" si="13"/>
        <v>0</v>
      </c>
      <c r="P109" s="462">
        <f t="shared" si="14"/>
        <v>20366</v>
      </c>
      <c r="Q109" s="465" t="s">
        <v>308</v>
      </c>
      <c r="R109" s="465" t="s">
        <v>1088</v>
      </c>
      <c r="S109" s="465">
        <v>7</v>
      </c>
      <c r="T109" s="465" t="s">
        <v>296</v>
      </c>
      <c r="U109" s="465" t="s">
        <v>309</v>
      </c>
      <c r="V109" s="465"/>
      <c r="W109" s="465"/>
    </row>
    <row r="110" spans="1:23" ht="15" hidden="1" customHeight="1">
      <c r="A110" s="543"/>
      <c r="B110" s="543"/>
      <c r="C110" s="543"/>
      <c r="D110" s="476" t="s">
        <v>317</v>
      </c>
      <c r="E110" s="561">
        <v>0</v>
      </c>
      <c r="F110" s="561">
        <v>39933.370000000119</v>
      </c>
      <c r="G110" s="561">
        <f t="shared" si="9"/>
        <v>0</v>
      </c>
      <c r="H110" s="227">
        <f t="shared" si="10"/>
        <v>39933.370000000119</v>
      </c>
      <c r="I110" s="469">
        <v>0</v>
      </c>
      <c r="J110" s="227">
        <v>18774</v>
      </c>
      <c r="K110" s="462">
        <f t="shared" si="11"/>
        <v>0</v>
      </c>
      <c r="L110" s="462">
        <f t="shared" si="12"/>
        <v>58707.370000000119</v>
      </c>
      <c r="M110" s="464">
        <f>SUMIF('Audit entry'!$C:$C,'TB 25-26'!$D110,'Audit entry'!$D:$D)</f>
        <v>0</v>
      </c>
      <c r="N110" s="464">
        <f>SUMIF('Audit entry'!$C:$C,'TB 25-26'!$D110,'Audit entry'!$E:$E)</f>
        <v>0</v>
      </c>
      <c r="O110" s="462">
        <f t="shared" si="13"/>
        <v>0</v>
      </c>
      <c r="P110" s="462">
        <f t="shared" si="14"/>
        <v>58707.370000000119</v>
      </c>
      <c r="Q110" s="465" t="s">
        <v>318</v>
      </c>
      <c r="R110" s="465" t="s">
        <v>1088</v>
      </c>
      <c r="S110" s="465">
        <v>7</v>
      </c>
      <c r="T110" s="465" t="s">
        <v>296</v>
      </c>
      <c r="U110" s="465" t="s">
        <v>309</v>
      </c>
      <c r="V110" s="465"/>
      <c r="W110" s="465"/>
    </row>
    <row r="111" spans="1:23" ht="15" hidden="1" customHeight="1">
      <c r="A111" s="543"/>
      <c r="B111" s="543"/>
      <c r="C111" s="543"/>
      <c r="D111" s="476" t="s">
        <v>319</v>
      </c>
      <c r="E111" s="561">
        <v>0</v>
      </c>
      <c r="F111" s="561">
        <v>138835</v>
      </c>
      <c r="G111" s="561">
        <f t="shared" si="9"/>
        <v>0</v>
      </c>
      <c r="H111" s="227">
        <f t="shared" si="10"/>
        <v>138835</v>
      </c>
      <c r="I111" s="469">
        <v>0</v>
      </c>
      <c r="J111" s="227">
        <v>63904</v>
      </c>
      <c r="K111" s="462">
        <f t="shared" si="11"/>
        <v>0</v>
      </c>
      <c r="L111" s="462">
        <f t="shared" si="12"/>
        <v>202739</v>
      </c>
      <c r="M111" s="464">
        <f>SUMIF('Audit entry'!$C:$C,'TB 25-26'!$D111,'Audit entry'!$D:$D)</f>
        <v>0</v>
      </c>
      <c r="N111" s="464">
        <f>SUMIF('Audit entry'!$C:$C,'TB 25-26'!$D111,'Audit entry'!$E:$E)</f>
        <v>0</v>
      </c>
      <c r="O111" s="462">
        <f t="shared" si="13"/>
        <v>0</v>
      </c>
      <c r="P111" s="462">
        <f t="shared" si="14"/>
        <v>202739</v>
      </c>
      <c r="Q111" s="465" t="s">
        <v>320</v>
      </c>
      <c r="R111" s="465" t="s">
        <v>1088</v>
      </c>
      <c r="S111" s="465">
        <v>7</v>
      </c>
      <c r="T111" s="465" t="s">
        <v>296</v>
      </c>
      <c r="U111" s="465" t="s">
        <v>309</v>
      </c>
      <c r="V111" s="465"/>
      <c r="W111" s="465"/>
    </row>
    <row r="112" spans="1:23" ht="15" hidden="1" customHeight="1">
      <c r="A112" s="543"/>
      <c r="B112" s="543"/>
      <c r="C112" s="543"/>
      <c r="D112" s="476" t="s">
        <v>321</v>
      </c>
      <c r="E112" s="561">
        <v>0</v>
      </c>
      <c r="F112" s="561">
        <v>98948.85</v>
      </c>
      <c r="G112" s="561">
        <f t="shared" si="9"/>
        <v>0</v>
      </c>
      <c r="H112" s="227">
        <f t="shared" si="10"/>
        <v>98948.85</v>
      </c>
      <c r="I112" s="469">
        <v>0</v>
      </c>
      <c r="J112" s="227">
        <v>0</v>
      </c>
      <c r="K112" s="462">
        <f t="shared" si="11"/>
        <v>0</v>
      </c>
      <c r="L112" s="462">
        <f t="shared" si="12"/>
        <v>98948.85</v>
      </c>
      <c r="M112" s="464">
        <f>SUMIF('Audit entry'!$C:$C,'TB 25-26'!$D112,'Audit entry'!$D:$D)</f>
        <v>0</v>
      </c>
      <c r="N112" s="464">
        <f>SUMIF('Audit entry'!$C:$C,'TB 25-26'!$D112,'Audit entry'!$E:$E)</f>
        <v>0</v>
      </c>
      <c r="O112" s="462">
        <f t="shared" si="13"/>
        <v>0</v>
      </c>
      <c r="P112" s="462">
        <f t="shared" si="14"/>
        <v>98948.85</v>
      </c>
      <c r="Q112" s="465" t="s">
        <v>322</v>
      </c>
      <c r="R112" s="465" t="s">
        <v>1088</v>
      </c>
      <c r="S112" s="465">
        <v>7</v>
      </c>
      <c r="T112" s="465" t="s">
        <v>296</v>
      </c>
      <c r="U112" s="465" t="s">
        <v>309</v>
      </c>
      <c r="V112" s="465"/>
      <c r="W112" s="465"/>
    </row>
    <row r="113" spans="1:23" ht="15" hidden="1" customHeight="1">
      <c r="A113" s="543"/>
      <c r="B113" s="543"/>
      <c r="C113" s="543"/>
      <c r="D113" s="476" t="s">
        <v>323</v>
      </c>
      <c r="E113" s="561">
        <v>0</v>
      </c>
      <c r="F113" s="561">
        <v>0</v>
      </c>
      <c r="G113" s="561">
        <f t="shared" si="9"/>
        <v>0</v>
      </c>
      <c r="H113" s="227">
        <f t="shared" si="10"/>
        <v>0</v>
      </c>
      <c r="I113" s="469">
        <v>0</v>
      </c>
      <c r="J113" s="227">
        <v>0</v>
      </c>
      <c r="K113" s="462">
        <f t="shared" si="11"/>
        <v>0</v>
      </c>
      <c r="L113" s="462">
        <f t="shared" si="12"/>
        <v>0</v>
      </c>
      <c r="M113" s="464">
        <f>SUMIF('Audit entry'!$C:$C,'TB 25-26'!$D113,'Audit entry'!$D:$D)</f>
        <v>0</v>
      </c>
      <c r="N113" s="464">
        <f>SUMIF('Audit entry'!$C:$C,'TB 25-26'!$D113,'Audit entry'!$E:$E)</f>
        <v>0</v>
      </c>
      <c r="O113" s="462">
        <f t="shared" si="13"/>
        <v>0</v>
      </c>
      <c r="P113" s="462">
        <f t="shared" si="14"/>
        <v>0</v>
      </c>
      <c r="Q113" s="465" t="s">
        <v>322</v>
      </c>
      <c r="R113" s="465" t="s">
        <v>1088</v>
      </c>
      <c r="S113" s="465">
        <v>7</v>
      </c>
      <c r="T113" s="465" t="s">
        <v>296</v>
      </c>
      <c r="U113" s="465" t="s">
        <v>309</v>
      </c>
      <c r="V113" s="465"/>
      <c r="W113" s="465"/>
    </row>
    <row r="114" spans="1:23" ht="15" hidden="1" customHeight="1">
      <c r="A114" s="543"/>
      <c r="B114" s="543"/>
      <c r="C114" s="543"/>
      <c r="D114" s="476" t="s">
        <v>324</v>
      </c>
      <c r="E114" s="561">
        <v>0</v>
      </c>
      <c r="F114" s="561">
        <v>101598</v>
      </c>
      <c r="G114" s="561">
        <f t="shared" si="9"/>
        <v>0</v>
      </c>
      <c r="H114" s="227">
        <f t="shared" si="10"/>
        <v>101598</v>
      </c>
      <c r="I114" s="469">
        <v>0</v>
      </c>
      <c r="J114" s="227">
        <v>0</v>
      </c>
      <c r="K114" s="462">
        <f t="shared" si="11"/>
        <v>0</v>
      </c>
      <c r="L114" s="462">
        <f t="shared" si="12"/>
        <v>101598</v>
      </c>
      <c r="M114" s="464">
        <f>SUMIF('Audit entry'!$C:$C,'TB 25-26'!$D114,'Audit entry'!$D:$D)</f>
        <v>0</v>
      </c>
      <c r="N114" s="464">
        <f>SUMIF('Audit entry'!$C:$C,'TB 25-26'!$D114,'Audit entry'!$E:$E)</f>
        <v>0</v>
      </c>
      <c r="O114" s="462">
        <f t="shared" si="13"/>
        <v>0</v>
      </c>
      <c r="P114" s="462">
        <f t="shared" si="14"/>
        <v>101598</v>
      </c>
      <c r="Q114" s="465" t="s">
        <v>325</v>
      </c>
      <c r="R114" s="465" t="s">
        <v>1088</v>
      </c>
      <c r="S114" s="465">
        <v>7</v>
      </c>
      <c r="T114" s="465" t="s">
        <v>296</v>
      </c>
      <c r="U114" s="465" t="s">
        <v>309</v>
      </c>
      <c r="V114" s="465"/>
      <c r="W114" s="465"/>
    </row>
    <row r="115" spans="1:23" ht="15" hidden="1" customHeight="1">
      <c r="A115" s="543"/>
      <c r="B115" s="543"/>
      <c r="C115" s="543"/>
      <c r="D115" s="476" t="s">
        <v>326</v>
      </c>
      <c r="E115" s="561">
        <v>0</v>
      </c>
      <c r="F115" s="561">
        <v>9636012.9500000011</v>
      </c>
      <c r="G115" s="561">
        <f t="shared" si="9"/>
        <v>0</v>
      </c>
      <c r="H115" s="227">
        <f t="shared" si="10"/>
        <v>9636012.9500000011</v>
      </c>
      <c r="I115" s="469">
        <v>0</v>
      </c>
      <c r="J115" s="227">
        <v>5421257.1699999999</v>
      </c>
      <c r="K115" s="462">
        <f t="shared" si="11"/>
        <v>0</v>
      </c>
      <c r="L115" s="462">
        <f t="shared" si="12"/>
        <v>15057270.120000001</v>
      </c>
      <c r="M115" s="464">
        <f>SUMIF('Audit entry'!$C:$C,'TB 25-26'!$D115,'Audit entry'!$D:$D)</f>
        <v>0</v>
      </c>
      <c r="N115" s="464">
        <f>SUMIF('Audit entry'!$C:$C,'TB 25-26'!$D115,'Audit entry'!$E:$E)</f>
        <v>0</v>
      </c>
      <c r="O115" s="462">
        <f t="shared" si="13"/>
        <v>0</v>
      </c>
      <c r="P115" s="462">
        <f t="shared" si="14"/>
        <v>15057270.120000001</v>
      </c>
      <c r="Q115" s="465" t="s">
        <v>327</v>
      </c>
      <c r="R115" s="465" t="s">
        <v>1088</v>
      </c>
      <c r="S115" s="465">
        <v>14</v>
      </c>
      <c r="T115" s="465" t="s">
        <v>228</v>
      </c>
      <c r="U115" s="465" t="s">
        <v>250</v>
      </c>
      <c r="V115" s="465"/>
      <c r="W115" s="465"/>
    </row>
    <row r="116" spans="1:23" ht="15" hidden="1" customHeight="1">
      <c r="A116" s="543"/>
      <c r="B116" s="543"/>
      <c r="C116" s="543"/>
      <c r="D116" s="476" t="s">
        <v>328</v>
      </c>
      <c r="E116" s="561">
        <v>0</v>
      </c>
      <c r="F116" s="561">
        <v>9716423.9500000011</v>
      </c>
      <c r="G116" s="561">
        <f t="shared" si="9"/>
        <v>0</v>
      </c>
      <c r="H116" s="227">
        <f t="shared" si="10"/>
        <v>9716423.9500000011</v>
      </c>
      <c r="I116" s="469">
        <v>0</v>
      </c>
      <c r="J116" s="227">
        <v>5421257.1699999999</v>
      </c>
      <c r="K116" s="462">
        <f t="shared" si="11"/>
        <v>0</v>
      </c>
      <c r="L116" s="462">
        <f t="shared" si="12"/>
        <v>15137681.120000001</v>
      </c>
      <c r="M116" s="464">
        <f>SUMIF('Audit entry'!$C:$C,'TB 25-26'!$D116,'Audit entry'!$D:$D)</f>
        <v>0</v>
      </c>
      <c r="N116" s="464">
        <f>SUMIF('Audit entry'!$C:$C,'TB 25-26'!$D116,'Audit entry'!$E:$E)</f>
        <v>0</v>
      </c>
      <c r="O116" s="462">
        <f t="shared" si="13"/>
        <v>0</v>
      </c>
      <c r="P116" s="462">
        <f t="shared" si="14"/>
        <v>15137681.120000001</v>
      </c>
      <c r="Q116" s="465" t="s">
        <v>327</v>
      </c>
      <c r="R116" s="465" t="s">
        <v>1088</v>
      </c>
      <c r="S116" s="465">
        <v>14</v>
      </c>
      <c r="T116" s="465" t="s">
        <v>228</v>
      </c>
      <c r="U116" s="465" t="s">
        <v>250</v>
      </c>
      <c r="V116" s="465"/>
      <c r="W116" s="465"/>
    </row>
    <row r="117" spans="1:23" ht="15" hidden="1" customHeight="1">
      <c r="A117" s="543"/>
      <c r="B117" s="543"/>
      <c r="C117" s="543"/>
      <c r="D117" s="476" t="s">
        <v>329</v>
      </c>
      <c r="E117" s="561">
        <v>0</v>
      </c>
      <c r="F117" s="561">
        <v>7683802.6899999902</v>
      </c>
      <c r="G117" s="561">
        <f t="shared" si="9"/>
        <v>0</v>
      </c>
      <c r="H117" s="227">
        <f t="shared" si="10"/>
        <v>7683802.6899999902</v>
      </c>
      <c r="I117" s="469">
        <v>0</v>
      </c>
      <c r="J117" s="227">
        <v>11002930.27</v>
      </c>
      <c r="K117" s="462">
        <f t="shared" si="11"/>
        <v>0</v>
      </c>
      <c r="L117" s="462">
        <f t="shared" si="12"/>
        <v>18686732.95999999</v>
      </c>
      <c r="M117" s="464">
        <f>SUMIF('Audit entry'!$C:$C,'TB 25-26'!$D117,'Audit entry'!$D:$D)</f>
        <v>0</v>
      </c>
      <c r="N117" s="464">
        <f>SUMIF('Audit entry'!$C:$C,'TB 25-26'!$D117,'Audit entry'!$E:$E)</f>
        <v>0</v>
      </c>
      <c r="O117" s="462">
        <f t="shared" si="13"/>
        <v>0</v>
      </c>
      <c r="P117" s="462">
        <f t="shared" si="14"/>
        <v>18686732.95999999</v>
      </c>
      <c r="Q117" s="465" t="s">
        <v>327</v>
      </c>
      <c r="R117" s="465" t="s">
        <v>1088</v>
      </c>
      <c r="S117" s="465">
        <v>14</v>
      </c>
      <c r="T117" s="465" t="s">
        <v>228</v>
      </c>
      <c r="U117" s="465" t="s">
        <v>250</v>
      </c>
      <c r="V117" s="465"/>
      <c r="W117" s="465"/>
    </row>
    <row r="118" spans="1:23" ht="15" hidden="1" customHeight="1">
      <c r="A118" s="543"/>
      <c r="B118" s="543"/>
      <c r="C118" s="543"/>
      <c r="D118" s="476" t="s">
        <v>330</v>
      </c>
      <c r="E118" s="561">
        <v>0</v>
      </c>
      <c r="F118" s="561">
        <v>0</v>
      </c>
      <c r="G118" s="561">
        <f t="shared" si="9"/>
        <v>0</v>
      </c>
      <c r="H118" s="227">
        <f t="shared" si="10"/>
        <v>0</v>
      </c>
      <c r="I118" s="469">
        <v>0</v>
      </c>
      <c r="J118" s="227">
        <v>0</v>
      </c>
      <c r="K118" s="462">
        <f t="shared" si="11"/>
        <v>0</v>
      </c>
      <c r="L118" s="462">
        <f t="shared" si="12"/>
        <v>0</v>
      </c>
      <c r="M118" s="464">
        <f>SUMIF('Audit entry'!$C:$C,'TB 25-26'!$D118,'Audit entry'!$D:$D)</f>
        <v>0</v>
      </c>
      <c r="N118" s="464">
        <f>SUMIF('Audit entry'!$C:$C,'TB 25-26'!$D118,'Audit entry'!$E:$E)</f>
        <v>0</v>
      </c>
      <c r="O118" s="462">
        <f t="shared" si="13"/>
        <v>0</v>
      </c>
      <c r="P118" s="462">
        <f t="shared" si="14"/>
        <v>0</v>
      </c>
      <c r="Q118" s="465" t="s">
        <v>331</v>
      </c>
      <c r="R118" s="465" t="s">
        <v>1088</v>
      </c>
      <c r="S118" s="465">
        <v>7</v>
      </c>
      <c r="T118" s="465" t="s">
        <v>296</v>
      </c>
      <c r="U118" s="465" t="s">
        <v>309</v>
      </c>
      <c r="V118" s="465"/>
      <c r="W118" s="465"/>
    </row>
    <row r="119" spans="1:23" ht="15" hidden="1" customHeight="1">
      <c r="A119" s="543"/>
      <c r="B119" s="543"/>
      <c r="C119" s="543"/>
      <c r="D119" s="476" t="s">
        <v>332</v>
      </c>
      <c r="E119" s="561">
        <v>0</v>
      </c>
      <c r="F119" s="561">
        <v>5321.11</v>
      </c>
      <c r="G119" s="561">
        <f t="shared" si="9"/>
        <v>0</v>
      </c>
      <c r="H119" s="227">
        <f t="shared" si="10"/>
        <v>5321.11</v>
      </c>
      <c r="I119" s="469">
        <v>0</v>
      </c>
      <c r="J119" s="227">
        <v>0</v>
      </c>
      <c r="K119" s="462">
        <f t="shared" si="11"/>
        <v>0</v>
      </c>
      <c r="L119" s="462">
        <f t="shared" si="12"/>
        <v>5321.11</v>
      </c>
      <c r="M119" s="464">
        <f>SUMIF('Audit entry'!$C:$C,'TB 25-26'!$D119,'Audit entry'!$D:$D)</f>
        <v>0</v>
      </c>
      <c r="N119" s="464">
        <f>SUMIF('Audit entry'!$C:$C,'TB 25-26'!$D119,'Audit entry'!$E:$E)</f>
        <v>0</v>
      </c>
      <c r="O119" s="462">
        <f t="shared" si="13"/>
        <v>0</v>
      </c>
      <c r="P119" s="462">
        <f t="shared" si="14"/>
        <v>5321.11</v>
      </c>
      <c r="Q119" s="465" t="s">
        <v>322</v>
      </c>
      <c r="R119" s="465" t="s">
        <v>1088</v>
      </c>
      <c r="S119" s="465">
        <v>7</v>
      </c>
      <c r="T119" s="465" t="s">
        <v>296</v>
      </c>
      <c r="U119" s="465" t="s">
        <v>309</v>
      </c>
      <c r="V119" s="465"/>
      <c r="W119" s="465"/>
    </row>
    <row r="120" spans="1:23" ht="15" hidden="1" customHeight="1">
      <c r="A120" s="543"/>
      <c r="B120" s="543"/>
      <c r="C120" s="543"/>
      <c r="D120" s="476" t="s">
        <v>333</v>
      </c>
      <c r="E120" s="561">
        <v>0</v>
      </c>
      <c r="F120" s="561">
        <v>5321.11</v>
      </c>
      <c r="G120" s="561">
        <f t="shared" si="9"/>
        <v>0</v>
      </c>
      <c r="H120" s="227">
        <f t="shared" si="10"/>
        <v>5321.11</v>
      </c>
      <c r="I120" s="469">
        <v>0</v>
      </c>
      <c r="J120" s="227">
        <v>0</v>
      </c>
      <c r="K120" s="462">
        <f t="shared" si="11"/>
        <v>0</v>
      </c>
      <c r="L120" s="462">
        <f t="shared" si="12"/>
        <v>5321.11</v>
      </c>
      <c r="M120" s="464">
        <f>SUMIF('Audit entry'!$C:$C,'TB 25-26'!$D120,'Audit entry'!$D:$D)</f>
        <v>0</v>
      </c>
      <c r="N120" s="464">
        <f>SUMIF('Audit entry'!$C:$C,'TB 25-26'!$D120,'Audit entry'!$E:$E)</f>
        <v>0</v>
      </c>
      <c r="O120" s="462">
        <f t="shared" si="13"/>
        <v>0</v>
      </c>
      <c r="P120" s="462">
        <f t="shared" si="14"/>
        <v>5321.11</v>
      </c>
      <c r="Q120" s="465" t="s">
        <v>325</v>
      </c>
      <c r="R120" s="465" t="s">
        <v>1088</v>
      </c>
      <c r="S120" s="465">
        <v>7</v>
      </c>
      <c r="T120" s="465" t="s">
        <v>296</v>
      </c>
      <c r="U120" s="465" t="s">
        <v>309</v>
      </c>
      <c r="V120" s="465"/>
      <c r="W120" s="465"/>
    </row>
    <row r="121" spans="1:23" ht="15" hidden="1" customHeight="1">
      <c r="A121" s="543"/>
      <c r="B121" s="543"/>
      <c r="C121" s="543"/>
      <c r="D121" s="476" t="s">
        <v>334</v>
      </c>
      <c r="E121" s="561">
        <v>0</v>
      </c>
      <c r="F121" s="561">
        <v>0</v>
      </c>
      <c r="G121" s="561">
        <f t="shared" si="9"/>
        <v>0</v>
      </c>
      <c r="H121" s="227">
        <f t="shared" si="10"/>
        <v>0</v>
      </c>
      <c r="I121" s="469">
        <v>0</v>
      </c>
      <c r="J121" s="227">
        <v>0</v>
      </c>
      <c r="K121" s="462">
        <f t="shared" si="11"/>
        <v>0</v>
      </c>
      <c r="L121" s="462">
        <f t="shared" si="12"/>
        <v>0</v>
      </c>
      <c r="M121" s="464">
        <f>SUMIF('Audit entry'!$C:$C,'TB 25-26'!$D121,'Audit entry'!$D:$D)</f>
        <v>0</v>
      </c>
      <c r="N121" s="464">
        <f>SUMIF('Audit entry'!$C:$C,'TB 25-26'!$D121,'Audit entry'!$E:$E)</f>
        <v>0</v>
      </c>
      <c r="O121" s="462">
        <f t="shared" si="13"/>
        <v>0</v>
      </c>
      <c r="P121" s="462">
        <f t="shared" si="14"/>
        <v>0</v>
      </c>
      <c r="Q121" s="465" t="s">
        <v>331</v>
      </c>
      <c r="R121" s="465" t="s">
        <v>1088</v>
      </c>
      <c r="S121" s="465">
        <v>7</v>
      </c>
      <c r="T121" s="465" t="s">
        <v>296</v>
      </c>
      <c r="U121" s="465" t="s">
        <v>309</v>
      </c>
      <c r="V121" s="465"/>
      <c r="W121" s="465"/>
    </row>
    <row r="122" spans="1:23" ht="15" hidden="1" customHeight="1">
      <c r="A122" s="543"/>
      <c r="B122" s="543"/>
      <c r="C122" s="543"/>
      <c r="D122" s="476" t="s">
        <v>335</v>
      </c>
      <c r="E122" s="561">
        <v>0</v>
      </c>
      <c r="F122" s="561">
        <v>0</v>
      </c>
      <c r="G122" s="561">
        <f t="shared" si="9"/>
        <v>0</v>
      </c>
      <c r="H122" s="227">
        <f t="shared" si="10"/>
        <v>0</v>
      </c>
      <c r="I122" s="469">
        <v>0</v>
      </c>
      <c r="J122" s="227">
        <v>0</v>
      </c>
      <c r="K122" s="462">
        <f t="shared" si="11"/>
        <v>0</v>
      </c>
      <c r="L122" s="462">
        <f t="shared" si="12"/>
        <v>0</v>
      </c>
      <c r="M122" s="464">
        <f>SUMIF('Audit entry'!$C:$C,'TB 25-26'!$D122,'Audit entry'!$D:$D)</f>
        <v>0</v>
      </c>
      <c r="N122" s="464">
        <f>SUMIF('Audit entry'!$C:$C,'TB 25-26'!$D122,'Audit entry'!$E:$E)</f>
        <v>0</v>
      </c>
      <c r="O122" s="462">
        <f t="shared" si="13"/>
        <v>0</v>
      </c>
      <c r="P122" s="462">
        <f t="shared" si="14"/>
        <v>0</v>
      </c>
      <c r="Q122" s="465" t="s">
        <v>331</v>
      </c>
      <c r="R122" s="465" t="s">
        <v>1088</v>
      </c>
      <c r="S122" s="465">
        <v>7</v>
      </c>
      <c r="T122" s="465" t="s">
        <v>296</v>
      </c>
      <c r="U122" s="465" t="s">
        <v>309</v>
      </c>
      <c r="V122" s="465"/>
      <c r="W122" s="465"/>
    </row>
    <row r="123" spans="1:23" ht="15" hidden="1" customHeight="1">
      <c r="A123" s="543"/>
      <c r="B123" s="543"/>
      <c r="C123" s="543"/>
      <c r="D123" s="476" t="s">
        <v>336</v>
      </c>
      <c r="E123" s="561">
        <v>0</v>
      </c>
      <c r="F123" s="561">
        <v>0</v>
      </c>
      <c r="G123" s="561">
        <f t="shared" si="9"/>
        <v>0</v>
      </c>
      <c r="H123" s="227">
        <f t="shared" si="10"/>
        <v>0</v>
      </c>
      <c r="I123" s="469">
        <v>0</v>
      </c>
      <c r="J123" s="227">
        <v>0</v>
      </c>
      <c r="K123" s="462">
        <f t="shared" si="11"/>
        <v>0</v>
      </c>
      <c r="L123" s="462">
        <f t="shared" si="12"/>
        <v>0</v>
      </c>
      <c r="M123" s="464">
        <f>SUMIF('Audit entry'!$C:$C,'TB 25-26'!$D123,'Audit entry'!$D:$D)</f>
        <v>0</v>
      </c>
      <c r="N123" s="464">
        <f>SUMIF('Audit entry'!$C:$C,'TB 25-26'!$D123,'Audit entry'!$E:$E)</f>
        <v>0</v>
      </c>
      <c r="O123" s="462">
        <f t="shared" si="13"/>
        <v>0</v>
      </c>
      <c r="P123" s="462">
        <f t="shared" si="14"/>
        <v>0</v>
      </c>
      <c r="Q123" s="465" t="s">
        <v>331</v>
      </c>
      <c r="R123" s="465" t="s">
        <v>1088</v>
      </c>
      <c r="S123" s="465">
        <v>7</v>
      </c>
      <c r="T123" s="465" t="s">
        <v>296</v>
      </c>
      <c r="U123" s="465" t="s">
        <v>309</v>
      </c>
      <c r="V123" s="465"/>
      <c r="W123" s="465"/>
    </row>
    <row r="124" spans="1:23" ht="15" hidden="1" customHeight="1">
      <c r="A124" s="543"/>
      <c r="B124" s="543"/>
      <c r="C124" s="543"/>
      <c r="D124" s="476" t="s">
        <v>337</v>
      </c>
      <c r="E124" s="561">
        <v>128252.85</v>
      </c>
      <c r="F124" s="561">
        <v>0</v>
      </c>
      <c r="G124" s="561">
        <f t="shared" si="9"/>
        <v>128252.85</v>
      </c>
      <c r="H124" s="227">
        <f t="shared" si="10"/>
        <v>0</v>
      </c>
      <c r="I124" s="469">
        <v>0</v>
      </c>
      <c r="J124" s="227">
        <v>0</v>
      </c>
      <c r="K124" s="462">
        <f t="shared" si="11"/>
        <v>128252.85</v>
      </c>
      <c r="L124" s="462">
        <f t="shared" si="12"/>
        <v>0</v>
      </c>
      <c r="M124" s="464">
        <f>SUMIF('Audit entry'!$C:$C,'TB 25-26'!$D124,'Audit entry'!$D:$D)</f>
        <v>0</v>
      </c>
      <c r="N124" s="464">
        <f>SUMIF('Audit entry'!$C:$C,'TB 25-26'!$D124,'Audit entry'!$E:$E)</f>
        <v>0</v>
      </c>
      <c r="O124" s="462">
        <f t="shared" si="13"/>
        <v>128252.85</v>
      </c>
      <c r="P124" s="462">
        <f t="shared" si="14"/>
        <v>0</v>
      </c>
      <c r="Q124" s="465" t="s">
        <v>322</v>
      </c>
      <c r="R124" s="465" t="s">
        <v>1088</v>
      </c>
      <c r="S124" s="465">
        <v>7</v>
      </c>
      <c r="T124" s="465" t="s">
        <v>296</v>
      </c>
      <c r="U124" s="465" t="s">
        <v>309</v>
      </c>
      <c r="V124" s="465"/>
      <c r="W124" s="465"/>
    </row>
    <row r="125" spans="1:23" ht="15" hidden="1" customHeight="1">
      <c r="A125" s="543"/>
      <c r="B125" s="543"/>
      <c r="C125" s="543"/>
      <c r="D125" s="476" t="s">
        <v>338</v>
      </c>
      <c r="E125" s="561">
        <v>29544.38</v>
      </c>
      <c r="F125" s="561">
        <v>0</v>
      </c>
      <c r="G125" s="561">
        <f t="shared" si="9"/>
        <v>29544.38</v>
      </c>
      <c r="H125" s="227">
        <f t="shared" si="10"/>
        <v>0</v>
      </c>
      <c r="I125" s="469">
        <v>0</v>
      </c>
      <c r="J125" s="227">
        <v>0</v>
      </c>
      <c r="K125" s="462">
        <f t="shared" si="11"/>
        <v>29544.38</v>
      </c>
      <c r="L125" s="462">
        <f t="shared" si="12"/>
        <v>0</v>
      </c>
      <c r="M125" s="464">
        <f>SUMIF('Audit entry'!$C:$C,'TB 25-26'!$D125,'Audit entry'!$D:$D)</f>
        <v>0</v>
      </c>
      <c r="N125" s="464">
        <f>SUMIF('Audit entry'!$C:$C,'TB 25-26'!$D125,'Audit entry'!$E:$E)</f>
        <v>0</v>
      </c>
      <c r="O125" s="462">
        <f t="shared" si="13"/>
        <v>29544.38</v>
      </c>
      <c r="P125" s="462">
        <f t="shared" si="14"/>
        <v>0</v>
      </c>
      <c r="Q125" s="465" t="s">
        <v>322</v>
      </c>
      <c r="R125" s="465" t="s">
        <v>1088</v>
      </c>
      <c r="S125" s="465">
        <v>7</v>
      </c>
      <c r="T125" s="465" t="s">
        <v>296</v>
      </c>
      <c r="U125" s="465" t="s">
        <v>309</v>
      </c>
      <c r="V125" s="465"/>
      <c r="W125" s="465"/>
    </row>
    <row r="126" spans="1:23" ht="15" hidden="1" customHeight="1">
      <c r="A126" s="543"/>
      <c r="B126" s="543"/>
      <c r="C126" s="543"/>
      <c r="D126" s="476" t="s">
        <v>339</v>
      </c>
      <c r="E126" s="561">
        <v>14291.25</v>
      </c>
      <c r="F126" s="561">
        <v>0</v>
      </c>
      <c r="G126" s="561">
        <f t="shared" si="9"/>
        <v>14291.25</v>
      </c>
      <c r="H126" s="227">
        <f t="shared" si="10"/>
        <v>0</v>
      </c>
      <c r="I126" s="469">
        <v>0</v>
      </c>
      <c r="J126" s="227">
        <v>0</v>
      </c>
      <c r="K126" s="462">
        <f t="shared" si="11"/>
        <v>14291.25</v>
      </c>
      <c r="L126" s="462">
        <f t="shared" si="12"/>
        <v>0</v>
      </c>
      <c r="M126" s="464">
        <f>SUMIF('Audit entry'!$C:$C,'TB 25-26'!$D126,'Audit entry'!$D:$D)</f>
        <v>0</v>
      </c>
      <c r="N126" s="464">
        <f>SUMIF('Audit entry'!$C:$C,'TB 25-26'!$D126,'Audit entry'!$E:$E)</f>
        <v>0</v>
      </c>
      <c r="O126" s="462">
        <f t="shared" si="13"/>
        <v>14291.25</v>
      </c>
      <c r="P126" s="462">
        <f t="shared" si="14"/>
        <v>0</v>
      </c>
      <c r="Q126" s="465" t="s">
        <v>325</v>
      </c>
      <c r="R126" s="465" t="s">
        <v>1088</v>
      </c>
      <c r="S126" s="465">
        <v>7</v>
      </c>
      <c r="T126" s="465" t="s">
        <v>296</v>
      </c>
      <c r="U126" s="465" t="s">
        <v>309</v>
      </c>
      <c r="V126" s="465"/>
      <c r="W126" s="465"/>
    </row>
    <row r="127" spans="1:23" ht="15" hidden="1" customHeight="1">
      <c r="A127" s="543"/>
      <c r="B127" s="543"/>
      <c r="C127" s="543"/>
      <c r="D127" s="476" t="s">
        <v>340</v>
      </c>
      <c r="E127" s="561">
        <v>6579.09</v>
      </c>
      <c r="F127" s="561">
        <v>0</v>
      </c>
      <c r="G127" s="561">
        <f t="shared" si="9"/>
        <v>6579.09</v>
      </c>
      <c r="H127" s="227">
        <f t="shared" si="10"/>
        <v>0</v>
      </c>
      <c r="I127" s="469">
        <v>0</v>
      </c>
      <c r="J127" s="227">
        <v>0</v>
      </c>
      <c r="K127" s="462">
        <f t="shared" si="11"/>
        <v>6579.09</v>
      </c>
      <c r="L127" s="462">
        <f t="shared" si="12"/>
        <v>0</v>
      </c>
      <c r="M127" s="464">
        <f>SUMIF('Audit entry'!$C:$C,'TB 25-26'!$D127,'Audit entry'!$D:$D)</f>
        <v>0</v>
      </c>
      <c r="N127" s="464">
        <f>SUMIF('Audit entry'!$C:$C,'TB 25-26'!$D127,'Audit entry'!$E:$E)</f>
        <v>0</v>
      </c>
      <c r="O127" s="462">
        <f t="shared" si="13"/>
        <v>6579.09</v>
      </c>
      <c r="P127" s="462">
        <f t="shared" si="14"/>
        <v>0</v>
      </c>
      <c r="Q127" s="465" t="s">
        <v>325</v>
      </c>
      <c r="R127" s="465" t="s">
        <v>1088</v>
      </c>
      <c r="S127" s="465">
        <v>7</v>
      </c>
      <c r="T127" s="465" t="s">
        <v>296</v>
      </c>
      <c r="U127" s="465" t="s">
        <v>309</v>
      </c>
      <c r="V127" s="465"/>
      <c r="W127" s="465"/>
    </row>
    <row r="128" spans="1:23" ht="15" hidden="1" customHeight="1">
      <c r="A128" s="543"/>
      <c r="B128" s="543"/>
      <c r="C128" s="543"/>
      <c r="D128" s="476" t="s">
        <v>35</v>
      </c>
      <c r="E128" s="561">
        <v>149120</v>
      </c>
      <c r="F128" s="561">
        <v>0</v>
      </c>
      <c r="G128" s="561">
        <f t="shared" si="9"/>
        <v>149120</v>
      </c>
      <c r="H128" s="227">
        <f t="shared" si="10"/>
        <v>0</v>
      </c>
      <c r="I128" s="469">
        <v>0</v>
      </c>
      <c r="J128" s="227">
        <v>0</v>
      </c>
      <c r="K128" s="462">
        <f t="shared" si="11"/>
        <v>149120</v>
      </c>
      <c r="L128" s="462">
        <f t="shared" si="12"/>
        <v>0</v>
      </c>
      <c r="M128" s="464">
        <f>SUMIF('Audit entry'!$C:$C,'TB 25-26'!$D128,'Audit entry'!$D:$D)</f>
        <v>0</v>
      </c>
      <c r="N128" s="464">
        <f>SUMIF('Audit entry'!$C:$C,'TB 25-26'!$D128,'Audit entry'!$E:$E)</f>
        <v>0</v>
      </c>
      <c r="O128" s="462">
        <f t="shared" si="13"/>
        <v>149120</v>
      </c>
      <c r="P128" s="462">
        <f t="shared" si="14"/>
        <v>0</v>
      </c>
      <c r="Q128" s="465" t="s">
        <v>341</v>
      </c>
      <c r="R128" s="465" t="s">
        <v>1088</v>
      </c>
      <c r="S128" s="465">
        <v>7</v>
      </c>
      <c r="T128" s="465" t="s">
        <v>296</v>
      </c>
      <c r="U128" s="465" t="s">
        <v>309</v>
      </c>
      <c r="V128" s="465"/>
      <c r="W128" s="465"/>
    </row>
    <row r="129" spans="1:23" ht="15" hidden="1" customHeight="1">
      <c r="A129" s="543"/>
      <c r="B129" s="543"/>
      <c r="C129" s="543"/>
      <c r="D129" s="476" t="s">
        <v>32</v>
      </c>
      <c r="E129" s="561">
        <v>0</v>
      </c>
      <c r="F129" s="561">
        <v>4002400</v>
      </c>
      <c r="G129" s="561">
        <f t="shared" si="9"/>
        <v>0</v>
      </c>
      <c r="H129" s="227">
        <f t="shared" si="10"/>
        <v>4002400</v>
      </c>
      <c r="I129" s="469">
        <v>0</v>
      </c>
      <c r="J129" s="227">
        <v>0</v>
      </c>
      <c r="K129" s="462">
        <f t="shared" si="11"/>
        <v>0</v>
      </c>
      <c r="L129" s="462">
        <f t="shared" si="12"/>
        <v>4002400</v>
      </c>
      <c r="M129" s="464">
        <f>SUMIF('Audit entry'!$C:$C,'TB 25-26'!$D129,'Audit entry'!$D:$D)</f>
        <v>0</v>
      </c>
      <c r="N129" s="464">
        <f>SUMIF('Audit entry'!$C:$C,'TB 25-26'!$D129,'Audit entry'!$E:$E)</f>
        <v>0</v>
      </c>
      <c r="O129" s="462">
        <f t="shared" si="13"/>
        <v>0</v>
      </c>
      <c r="P129" s="462">
        <f t="shared" si="14"/>
        <v>4002400</v>
      </c>
      <c r="Q129" s="465" t="s">
        <v>341</v>
      </c>
      <c r="R129" s="465" t="s">
        <v>1088</v>
      </c>
      <c r="S129" s="465">
        <v>7</v>
      </c>
      <c r="T129" s="465" t="s">
        <v>296</v>
      </c>
      <c r="U129" s="465" t="s">
        <v>309</v>
      </c>
      <c r="V129" s="465"/>
      <c r="W129" s="465"/>
    </row>
    <row r="130" spans="1:23" ht="15" hidden="1" customHeight="1">
      <c r="A130" s="543"/>
      <c r="B130" s="543"/>
      <c r="C130" s="543"/>
      <c r="D130" s="476" t="s">
        <v>342</v>
      </c>
      <c r="E130" s="561">
        <v>2</v>
      </c>
      <c r="F130" s="561">
        <v>0</v>
      </c>
      <c r="G130" s="561">
        <f t="shared" si="9"/>
        <v>2</v>
      </c>
      <c r="H130" s="227">
        <f t="shared" si="10"/>
        <v>0</v>
      </c>
      <c r="I130" s="469">
        <v>0</v>
      </c>
      <c r="J130" s="227">
        <v>0</v>
      </c>
      <c r="K130" s="462">
        <f t="shared" si="11"/>
        <v>2</v>
      </c>
      <c r="L130" s="462">
        <f t="shared" si="12"/>
        <v>0</v>
      </c>
      <c r="M130" s="464">
        <f>SUMIF('Audit entry'!$C:$C,'TB 25-26'!$D130,'Audit entry'!$D:$D)</f>
        <v>0</v>
      </c>
      <c r="N130" s="464">
        <f>SUMIF('Audit entry'!$C:$C,'TB 25-26'!$D130,'Audit entry'!$E:$E)</f>
        <v>0</v>
      </c>
      <c r="O130" s="462">
        <f t="shared" si="13"/>
        <v>2</v>
      </c>
      <c r="P130" s="462">
        <f t="shared" si="14"/>
        <v>0</v>
      </c>
      <c r="Q130" s="465" t="s">
        <v>341</v>
      </c>
      <c r="R130" s="465" t="s">
        <v>1088</v>
      </c>
      <c r="S130" s="465">
        <v>7</v>
      </c>
      <c r="T130" s="465" t="s">
        <v>296</v>
      </c>
      <c r="U130" s="465" t="s">
        <v>309</v>
      </c>
      <c r="V130" s="465"/>
      <c r="W130" s="465"/>
    </row>
    <row r="131" spans="1:23" ht="15" hidden="1" customHeight="1">
      <c r="A131" s="543"/>
      <c r="B131" s="543"/>
      <c r="C131" s="475" t="s">
        <v>343</v>
      </c>
      <c r="D131" s="475"/>
      <c r="E131" s="561">
        <v>0</v>
      </c>
      <c r="F131" s="561">
        <v>0</v>
      </c>
      <c r="G131" s="561">
        <f t="shared" si="9"/>
        <v>0</v>
      </c>
      <c r="H131" s="227">
        <f t="shared" si="10"/>
        <v>0</v>
      </c>
      <c r="I131" s="469">
        <v>0</v>
      </c>
      <c r="J131" s="227">
        <v>0</v>
      </c>
      <c r="K131" s="462">
        <f t="shared" si="11"/>
        <v>0</v>
      </c>
      <c r="L131" s="462">
        <f t="shared" si="12"/>
        <v>0</v>
      </c>
      <c r="M131" s="464">
        <f>SUMIF('Audit entry'!$C:$C,'TB 25-26'!$D131,'Audit entry'!$D:$D)</f>
        <v>0</v>
      </c>
      <c r="N131" s="464">
        <f>SUMIF('Audit entry'!$C:$C,'TB 25-26'!$D131,'Audit entry'!$E:$E)</f>
        <v>0</v>
      </c>
      <c r="O131" s="462">
        <f t="shared" si="13"/>
        <v>0</v>
      </c>
      <c r="P131" s="462">
        <f t="shared" si="14"/>
        <v>0</v>
      </c>
      <c r="V131" s="465"/>
      <c r="W131" s="465"/>
    </row>
    <row r="132" spans="1:23" ht="15" hidden="1" customHeight="1">
      <c r="A132" s="543"/>
      <c r="B132" s="543"/>
      <c r="C132" s="543"/>
      <c r="D132" s="476" t="s">
        <v>344</v>
      </c>
      <c r="E132" s="561">
        <v>0</v>
      </c>
      <c r="F132" s="561">
        <v>0</v>
      </c>
      <c r="G132" s="561">
        <f t="shared" si="9"/>
        <v>0</v>
      </c>
      <c r="H132" s="227">
        <f t="shared" si="10"/>
        <v>0</v>
      </c>
      <c r="I132" s="469">
        <v>0</v>
      </c>
      <c r="J132" s="227">
        <v>0</v>
      </c>
      <c r="K132" s="462">
        <f t="shared" si="11"/>
        <v>0</v>
      </c>
      <c r="L132" s="462">
        <f t="shared" si="12"/>
        <v>0</v>
      </c>
      <c r="M132" s="464">
        <f>SUMIF('Audit entry'!$C:$C,'TB 25-26'!$D132,'Audit entry'!$D:$D)</f>
        <v>0</v>
      </c>
      <c r="N132" s="464">
        <f>SUMIF('Audit entry'!$C:$C,'TB 25-26'!$D132,'Audit entry'!$E:$E)</f>
        <v>0</v>
      </c>
      <c r="O132" s="462">
        <f t="shared" si="13"/>
        <v>0</v>
      </c>
      <c r="P132" s="462">
        <f t="shared" si="14"/>
        <v>0</v>
      </c>
      <c r="Q132" s="465" t="s">
        <v>227</v>
      </c>
      <c r="R132" s="465" t="s">
        <v>1088</v>
      </c>
      <c r="S132" s="465">
        <v>14</v>
      </c>
      <c r="T132" s="465" t="s">
        <v>228</v>
      </c>
      <c r="V132" s="465"/>
      <c r="W132" s="465"/>
    </row>
    <row r="133" spans="1:23" ht="15" hidden="1" customHeight="1">
      <c r="A133" s="543"/>
      <c r="B133" s="543"/>
      <c r="C133" s="543"/>
      <c r="D133" s="476" t="s">
        <v>345</v>
      </c>
      <c r="E133" s="561">
        <v>0</v>
      </c>
      <c r="F133" s="561">
        <v>0</v>
      </c>
      <c r="G133" s="561">
        <f t="shared" si="9"/>
        <v>0</v>
      </c>
      <c r="H133" s="227">
        <f t="shared" si="10"/>
        <v>0</v>
      </c>
      <c r="I133" s="469">
        <v>0</v>
      </c>
      <c r="J133" s="227">
        <v>0</v>
      </c>
      <c r="K133" s="462">
        <f t="shared" si="11"/>
        <v>0</v>
      </c>
      <c r="L133" s="462">
        <f t="shared" si="12"/>
        <v>0</v>
      </c>
      <c r="M133" s="464">
        <f>SUMIF('Audit entry'!$C:$C,'TB 25-26'!$D133,'Audit entry'!$D:$D)</f>
        <v>0</v>
      </c>
      <c r="N133" s="464">
        <f>SUMIF('Audit entry'!$C:$C,'TB 25-26'!$D133,'Audit entry'!$E:$E)</f>
        <v>0</v>
      </c>
      <c r="O133" s="462">
        <f t="shared" si="13"/>
        <v>0</v>
      </c>
      <c r="P133" s="462">
        <f t="shared" si="14"/>
        <v>0</v>
      </c>
      <c r="Q133" s="465" t="s">
        <v>227</v>
      </c>
      <c r="R133" s="465" t="s">
        <v>1088</v>
      </c>
      <c r="S133" s="465">
        <v>14</v>
      </c>
      <c r="T133" s="465" t="s">
        <v>228</v>
      </c>
      <c r="V133" s="465"/>
      <c r="W133" s="465"/>
    </row>
    <row r="134" spans="1:23" ht="15" hidden="1" customHeight="1">
      <c r="A134" s="543"/>
      <c r="B134" s="543"/>
      <c r="C134" s="475" t="s">
        <v>346</v>
      </c>
      <c r="D134" s="476"/>
      <c r="E134" s="561">
        <v>0</v>
      </c>
      <c r="F134" s="561">
        <v>0</v>
      </c>
      <c r="G134" s="561">
        <f t="shared" si="9"/>
        <v>0</v>
      </c>
      <c r="H134" s="227">
        <f t="shared" si="10"/>
        <v>0</v>
      </c>
      <c r="I134" s="469">
        <v>0</v>
      </c>
      <c r="J134" s="227">
        <v>0</v>
      </c>
      <c r="K134" s="462">
        <f t="shared" si="11"/>
        <v>0</v>
      </c>
      <c r="L134" s="462">
        <f t="shared" si="12"/>
        <v>0</v>
      </c>
      <c r="M134" s="464">
        <f>SUMIF('Audit entry'!$C:$C,'TB 25-26'!$D134,'Audit entry'!$D:$D)</f>
        <v>0</v>
      </c>
      <c r="N134" s="464">
        <f>SUMIF('Audit entry'!$C:$C,'TB 25-26'!$D134,'Audit entry'!$E:$E)</f>
        <v>0</v>
      </c>
      <c r="O134" s="462">
        <f t="shared" si="13"/>
        <v>0</v>
      </c>
      <c r="P134" s="462">
        <f t="shared" si="14"/>
        <v>0</v>
      </c>
      <c r="V134" s="465"/>
      <c r="W134" s="465"/>
    </row>
    <row r="135" spans="1:23" ht="15" hidden="1" customHeight="1">
      <c r="A135" s="543"/>
      <c r="B135" s="543"/>
      <c r="C135" s="543"/>
      <c r="D135" s="476" t="s">
        <v>347</v>
      </c>
      <c r="E135" s="561">
        <v>8577</v>
      </c>
      <c r="F135" s="561">
        <v>0</v>
      </c>
      <c r="G135" s="561">
        <f t="shared" si="9"/>
        <v>8577</v>
      </c>
      <c r="H135" s="227">
        <f t="shared" si="10"/>
        <v>0</v>
      </c>
      <c r="I135" s="469">
        <v>2079</v>
      </c>
      <c r="J135" s="227">
        <v>0</v>
      </c>
      <c r="K135" s="462">
        <f t="shared" si="11"/>
        <v>10656</v>
      </c>
      <c r="L135" s="462">
        <f t="shared" si="12"/>
        <v>0</v>
      </c>
      <c r="M135" s="464">
        <f>SUMIF('Audit entry'!$C:$C,'TB 25-26'!$D135,'Audit entry'!$D:$D)</f>
        <v>0</v>
      </c>
      <c r="N135" s="464">
        <f>SUMIF('Audit entry'!$C:$C,'TB 25-26'!$D135,'Audit entry'!$E:$E)</f>
        <v>0</v>
      </c>
      <c r="O135" s="462">
        <f t="shared" si="13"/>
        <v>10656</v>
      </c>
      <c r="P135" s="462">
        <f t="shared" si="14"/>
        <v>0</v>
      </c>
      <c r="Q135" s="465" t="s">
        <v>347</v>
      </c>
      <c r="R135" s="465" t="s">
        <v>1088</v>
      </c>
      <c r="S135" s="465">
        <v>7</v>
      </c>
      <c r="T135" s="465" t="s">
        <v>296</v>
      </c>
      <c r="U135" s="465" t="s">
        <v>309</v>
      </c>
      <c r="V135" s="465"/>
      <c r="W135" s="465"/>
    </row>
    <row r="136" spans="1:23" ht="15" hidden="1" customHeight="1">
      <c r="A136" s="543"/>
      <c r="B136" s="543"/>
      <c r="C136" s="543"/>
      <c r="D136" s="476" t="s">
        <v>348</v>
      </c>
      <c r="E136" s="561">
        <v>3655.0000000000291</v>
      </c>
      <c r="F136" s="561">
        <v>0</v>
      </c>
      <c r="G136" s="561">
        <f t="shared" si="9"/>
        <v>3655.0000000000291</v>
      </c>
      <c r="H136" s="227">
        <f t="shared" si="10"/>
        <v>0</v>
      </c>
      <c r="I136" s="469">
        <v>12595</v>
      </c>
      <c r="J136" s="227">
        <v>0</v>
      </c>
      <c r="K136" s="462">
        <f t="shared" si="11"/>
        <v>16250.000000000029</v>
      </c>
      <c r="L136" s="462">
        <f t="shared" si="12"/>
        <v>0</v>
      </c>
      <c r="M136" s="464">
        <f>SUMIF('Audit entry'!$C:$C,'TB 25-26'!$D136,'Audit entry'!$D:$D)</f>
        <v>0</v>
      </c>
      <c r="N136" s="464">
        <f>SUMIF('Audit entry'!$C:$C,'TB 25-26'!$D136,'Audit entry'!$E:$E)</f>
        <v>0</v>
      </c>
      <c r="O136" s="462">
        <f t="shared" si="13"/>
        <v>16250.000000000029</v>
      </c>
      <c r="P136" s="462">
        <f t="shared" si="14"/>
        <v>0</v>
      </c>
      <c r="Q136" s="465" t="s">
        <v>348</v>
      </c>
      <c r="R136" s="465" t="s">
        <v>1088</v>
      </c>
      <c r="S136" s="465">
        <v>7</v>
      </c>
      <c r="T136" s="465" t="s">
        <v>296</v>
      </c>
      <c r="U136" s="465" t="s">
        <v>309</v>
      </c>
      <c r="V136" s="465"/>
      <c r="W136" s="465"/>
    </row>
    <row r="137" spans="1:23" ht="15" hidden="1" customHeight="1">
      <c r="A137" s="543"/>
      <c r="B137" s="543"/>
      <c r="C137" s="475" t="s">
        <v>349</v>
      </c>
      <c r="D137" s="475"/>
      <c r="E137" s="561">
        <v>0</v>
      </c>
      <c r="F137" s="561">
        <v>0</v>
      </c>
      <c r="G137" s="561">
        <f t="shared" si="9"/>
        <v>0</v>
      </c>
      <c r="H137" s="227">
        <f t="shared" si="10"/>
        <v>0</v>
      </c>
      <c r="I137" s="469">
        <v>0</v>
      </c>
      <c r="J137" s="227">
        <v>0</v>
      </c>
      <c r="K137" s="462">
        <f t="shared" si="11"/>
        <v>0</v>
      </c>
      <c r="L137" s="462">
        <f t="shared" si="12"/>
        <v>0</v>
      </c>
      <c r="M137" s="464">
        <f>SUMIF('Audit entry'!$C:$C,'TB 25-26'!$D137,'Audit entry'!$D:$D)</f>
        <v>0</v>
      </c>
      <c r="N137" s="464">
        <f>SUMIF('Audit entry'!$C:$C,'TB 25-26'!$D137,'Audit entry'!$E:$E)</f>
        <v>0</v>
      </c>
      <c r="O137" s="462">
        <f t="shared" si="13"/>
        <v>0</v>
      </c>
      <c r="P137" s="462">
        <f t="shared" si="14"/>
        <v>0</v>
      </c>
      <c r="V137" s="465"/>
      <c r="W137" s="465"/>
    </row>
    <row r="138" spans="1:23" ht="15" hidden="1" customHeight="1">
      <c r="A138" s="543"/>
      <c r="B138" s="543"/>
      <c r="C138" s="543"/>
      <c r="D138" s="476" t="s">
        <v>349</v>
      </c>
      <c r="E138" s="561">
        <v>0</v>
      </c>
      <c r="F138" s="561">
        <v>0</v>
      </c>
      <c r="G138" s="561">
        <f t="shared" ref="G138:G199" si="15">+E138</f>
        <v>0</v>
      </c>
      <c r="H138" s="227">
        <f t="shared" ref="H138:H199" si="16">+F138</f>
        <v>0</v>
      </c>
      <c r="I138" s="469">
        <v>0</v>
      </c>
      <c r="J138" s="227">
        <v>0</v>
      </c>
      <c r="K138" s="462">
        <f t="shared" si="11"/>
        <v>0</v>
      </c>
      <c r="L138" s="462">
        <f t="shared" si="12"/>
        <v>0</v>
      </c>
      <c r="M138" s="464">
        <f>SUMIF('Audit entry'!$C:$C,'TB 25-26'!$D138,'Audit entry'!$D:$D)</f>
        <v>0</v>
      </c>
      <c r="N138" s="464">
        <f>SUMIF('Audit entry'!$C:$C,'TB 25-26'!$D138,'Audit entry'!$E:$E)</f>
        <v>0</v>
      </c>
      <c r="O138" s="462">
        <f t="shared" si="13"/>
        <v>0</v>
      </c>
      <c r="P138" s="462">
        <f t="shared" si="14"/>
        <v>0</v>
      </c>
      <c r="Q138" s="465" t="s">
        <v>350</v>
      </c>
      <c r="R138" s="465" t="s">
        <v>1088</v>
      </c>
      <c r="S138" s="465">
        <v>8</v>
      </c>
      <c r="T138" s="465" t="s">
        <v>351</v>
      </c>
      <c r="V138" s="465"/>
      <c r="W138" s="465"/>
    </row>
    <row r="139" spans="1:23" ht="15" hidden="1" customHeight="1">
      <c r="A139" s="543"/>
      <c r="B139" s="543"/>
      <c r="C139" s="475" t="s">
        <v>352</v>
      </c>
      <c r="D139" s="475"/>
      <c r="E139" s="561">
        <v>0</v>
      </c>
      <c r="F139" s="561">
        <v>0</v>
      </c>
      <c r="G139" s="561">
        <f t="shared" si="15"/>
        <v>0</v>
      </c>
      <c r="H139" s="227">
        <f t="shared" si="16"/>
        <v>0</v>
      </c>
      <c r="I139" s="469">
        <v>0</v>
      </c>
      <c r="J139" s="227">
        <v>0</v>
      </c>
      <c r="K139" s="462">
        <f t="shared" ref="K139:K202" si="17">+IF((G139+I139-H139-J139&gt;0),G139+I139-H139-J139,0)</f>
        <v>0</v>
      </c>
      <c r="L139" s="462">
        <f t="shared" ref="L139:L202" si="18">+IF((H139+J139-G139-I139)&gt;0,H139+J139-G139-I139,0)</f>
        <v>0</v>
      </c>
      <c r="M139" s="464">
        <f>SUMIF('Audit entry'!$C:$C,'TB 25-26'!$D139,'Audit entry'!$D:$D)</f>
        <v>0</v>
      </c>
      <c r="N139" s="464">
        <f>SUMIF('Audit entry'!$C:$C,'TB 25-26'!$D139,'Audit entry'!$E:$E)</f>
        <v>0</v>
      </c>
      <c r="O139" s="462">
        <f t="shared" ref="O139:O202" si="19">+IF((K139+M139-L139-N139&gt;0),K139+M139-L139-N139,0)/Deno</f>
        <v>0</v>
      </c>
      <c r="P139" s="462">
        <f t="shared" ref="P139:P202" si="20">+IF((L139+N139-K139-M139)&gt;0,L139+N139-K139-M139,0)/Deno</f>
        <v>0</v>
      </c>
      <c r="V139" s="465"/>
      <c r="W139" s="465"/>
    </row>
    <row r="140" spans="1:23" ht="15" hidden="1" customHeight="1">
      <c r="A140" s="543"/>
      <c r="B140" s="543"/>
      <c r="C140" s="543"/>
      <c r="D140" s="476" t="s">
        <v>352</v>
      </c>
      <c r="E140" s="561">
        <v>0</v>
      </c>
      <c r="F140" s="561">
        <v>2012070.2300000004</v>
      </c>
      <c r="G140" s="561">
        <f t="shared" si="15"/>
        <v>0</v>
      </c>
      <c r="H140" s="227">
        <f t="shared" si="16"/>
        <v>2012070.2300000004</v>
      </c>
      <c r="I140" s="469">
        <v>195649</v>
      </c>
      <c r="J140" s="227">
        <v>0</v>
      </c>
      <c r="K140" s="462">
        <f t="shared" si="17"/>
        <v>0</v>
      </c>
      <c r="L140" s="462">
        <f t="shared" si="18"/>
        <v>1816421.2300000004</v>
      </c>
      <c r="M140" s="464">
        <f>SUMIF('Audit entry'!$C:$C,'TB 25-26'!$D140,'Audit entry'!$D:$D)</f>
        <v>0</v>
      </c>
      <c r="N140" s="464">
        <f>SUMIF('Audit entry'!$C:$C,'TB 25-26'!$D140,'Audit entry'!$E:$E)</f>
        <v>0</v>
      </c>
      <c r="O140" s="462">
        <f t="shared" si="19"/>
        <v>0</v>
      </c>
      <c r="P140" s="462">
        <f t="shared" si="20"/>
        <v>1816421.2300000004</v>
      </c>
      <c r="Q140" s="465" t="s">
        <v>353</v>
      </c>
      <c r="R140" s="465" t="s">
        <v>1088</v>
      </c>
      <c r="S140" s="465">
        <v>7</v>
      </c>
      <c r="T140" s="465" t="s">
        <v>296</v>
      </c>
      <c r="U140" s="465" t="s">
        <v>299</v>
      </c>
      <c r="V140" s="465"/>
      <c r="W140" s="465"/>
    </row>
    <row r="141" spans="1:23" ht="15" hidden="1" customHeight="1">
      <c r="A141" s="543"/>
      <c r="B141" s="475" t="s">
        <v>354</v>
      </c>
      <c r="C141" s="475"/>
      <c r="D141" s="475"/>
      <c r="E141" s="561">
        <v>0</v>
      </c>
      <c r="F141" s="561">
        <v>0</v>
      </c>
      <c r="G141" s="561">
        <f t="shared" si="15"/>
        <v>0</v>
      </c>
      <c r="H141" s="227">
        <f t="shared" si="16"/>
        <v>0</v>
      </c>
      <c r="I141" s="469">
        <v>0</v>
      </c>
      <c r="J141" s="227">
        <v>0</v>
      </c>
      <c r="K141" s="462">
        <f t="shared" si="17"/>
        <v>0</v>
      </c>
      <c r="L141" s="462">
        <f t="shared" si="18"/>
        <v>0</v>
      </c>
      <c r="M141" s="464">
        <f>SUMIF('Audit entry'!$C:$C,'TB 25-26'!$D141,'Audit entry'!$D:$D)</f>
        <v>0</v>
      </c>
      <c r="N141" s="464">
        <f>SUMIF('Audit entry'!$C:$C,'TB 25-26'!$D141,'Audit entry'!$E:$E)</f>
        <v>0</v>
      </c>
      <c r="O141" s="462">
        <f t="shared" si="19"/>
        <v>0</v>
      </c>
      <c r="P141" s="462">
        <f t="shared" si="20"/>
        <v>0</v>
      </c>
      <c r="V141" s="465"/>
      <c r="W141" s="465"/>
    </row>
    <row r="142" spans="1:23" ht="15" hidden="1" customHeight="1">
      <c r="A142" s="543"/>
      <c r="B142" s="543"/>
      <c r="C142" s="475" t="s">
        <v>355</v>
      </c>
      <c r="D142" s="475"/>
      <c r="E142" s="561">
        <v>0</v>
      </c>
      <c r="F142" s="561">
        <v>0</v>
      </c>
      <c r="G142" s="561">
        <f t="shared" si="15"/>
        <v>0</v>
      </c>
      <c r="H142" s="227">
        <f t="shared" si="16"/>
        <v>0</v>
      </c>
      <c r="I142" s="469">
        <v>0</v>
      </c>
      <c r="J142" s="227">
        <v>0</v>
      </c>
      <c r="K142" s="462">
        <f t="shared" si="17"/>
        <v>0</v>
      </c>
      <c r="L142" s="462">
        <f t="shared" si="18"/>
        <v>0</v>
      </c>
      <c r="M142" s="464">
        <f>SUMIF('Audit entry'!$C:$C,'TB 25-26'!$D142,'Audit entry'!$D:$D)</f>
        <v>0</v>
      </c>
      <c r="N142" s="464">
        <f>SUMIF('Audit entry'!$C:$C,'TB 25-26'!$D142,'Audit entry'!$E:$E)</f>
        <v>0</v>
      </c>
      <c r="O142" s="462">
        <f t="shared" si="19"/>
        <v>0</v>
      </c>
      <c r="P142" s="462">
        <f t="shared" si="20"/>
        <v>0</v>
      </c>
      <c r="V142" s="465"/>
      <c r="W142" s="465"/>
    </row>
    <row r="143" spans="1:23" ht="15" hidden="1" customHeight="1">
      <c r="A143" s="543"/>
      <c r="B143" s="543"/>
      <c r="C143" s="543"/>
      <c r="D143" s="476" t="s">
        <v>356</v>
      </c>
      <c r="E143" s="561">
        <v>0</v>
      </c>
      <c r="F143" s="561">
        <v>0</v>
      </c>
      <c r="G143" s="561">
        <f t="shared" si="15"/>
        <v>0</v>
      </c>
      <c r="H143" s="227">
        <f t="shared" si="16"/>
        <v>0</v>
      </c>
      <c r="I143" s="469">
        <v>0</v>
      </c>
      <c r="J143" s="227">
        <v>0</v>
      </c>
      <c r="K143" s="462">
        <f t="shared" si="17"/>
        <v>0</v>
      </c>
      <c r="L143" s="462">
        <f t="shared" si="18"/>
        <v>0</v>
      </c>
      <c r="M143" s="464">
        <f>SUMIF('Audit entry'!$C:$C,'TB 25-26'!$D143,'Audit entry'!$D:$D)</f>
        <v>0</v>
      </c>
      <c r="N143" s="464">
        <f>SUMIF('Audit entry'!$C:$C,'TB 25-26'!$D143,'Audit entry'!$E:$E)</f>
        <v>0</v>
      </c>
      <c r="O143" s="462">
        <f t="shared" si="19"/>
        <v>0</v>
      </c>
      <c r="P143" s="462">
        <f t="shared" si="20"/>
        <v>0</v>
      </c>
      <c r="Q143" s="465" t="s">
        <v>357</v>
      </c>
      <c r="R143" s="465" t="s">
        <v>1088</v>
      </c>
      <c r="S143" s="465">
        <v>8</v>
      </c>
      <c r="T143" s="465" t="s">
        <v>351</v>
      </c>
      <c r="V143" s="465"/>
      <c r="W143" s="465"/>
    </row>
    <row r="144" spans="1:23" ht="15" hidden="1" customHeight="1">
      <c r="A144" s="543"/>
      <c r="B144" s="543"/>
      <c r="C144" s="475" t="s">
        <v>358</v>
      </c>
      <c r="D144" s="475"/>
      <c r="E144" s="561">
        <v>0</v>
      </c>
      <c r="F144" s="561">
        <v>0</v>
      </c>
      <c r="G144" s="561">
        <f t="shared" si="15"/>
        <v>0</v>
      </c>
      <c r="H144" s="227">
        <f t="shared" si="16"/>
        <v>0</v>
      </c>
      <c r="I144" s="469">
        <v>0</v>
      </c>
      <c r="J144" s="227">
        <v>0</v>
      </c>
      <c r="K144" s="462">
        <f t="shared" si="17"/>
        <v>0</v>
      </c>
      <c r="L144" s="462">
        <f t="shared" si="18"/>
        <v>0</v>
      </c>
      <c r="M144" s="464">
        <f>SUMIF('Audit entry'!$C:$C,'TB 25-26'!$D144,'Audit entry'!$D:$D)</f>
        <v>0</v>
      </c>
      <c r="N144" s="464">
        <f>SUMIF('Audit entry'!$C:$C,'TB 25-26'!$D144,'Audit entry'!$E:$E)</f>
        <v>0</v>
      </c>
      <c r="O144" s="462">
        <f t="shared" si="19"/>
        <v>0</v>
      </c>
      <c r="P144" s="462">
        <f t="shared" si="20"/>
        <v>0</v>
      </c>
      <c r="V144" s="465"/>
      <c r="W144" s="465"/>
    </row>
    <row r="145" spans="1:23" ht="15" hidden="1" customHeight="1">
      <c r="A145" s="543"/>
      <c r="B145" s="543"/>
      <c r="C145" s="543"/>
      <c r="D145" s="476" t="s">
        <v>359</v>
      </c>
      <c r="E145" s="561">
        <v>0</v>
      </c>
      <c r="F145" s="561">
        <v>6752022.9646929502</v>
      </c>
      <c r="G145" s="561">
        <f t="shared" si="15"/>
        <v>0</v>
      </c>
      <c r="H145" s="227">
        <f t="shared" si="16"/>
        <v>6752022.9646929502</v>
      </c>
      <c r="I145" s="469">
        <v>0</v>
      </c>
      <c r="J145" s="227">
        <v>0</v>
      </c>
      <c r="K145" s="462">
        <f t="shared" si="17"/>
        <v>0</v>
      </c>
      <c r="L145" s="462">
        <f t="shared" si="18"/>
        <v>6752022.9646929502</v>
      </c>
      <c r="M145" s="464">
        <f>SUMIF('Audit entry'!$C:$C,'TB 25-26'!$D145,'Audit entry'!$D:$D)</f>
        <v>0</v>
      </c>
      <c r="N145" s="464">
        <f>SUMIF('Audit entry'!$C:$C,'TB 25-26'!$D145,'Audit entry'!$E:$E)</f>
        <v>0</v>
      </c>
      <c r="O145" s="462">
        <f t="shared" si="19"/>
        <v>0</v>
      </c>
      <c r="P145" s="462">
        <f t="shared" si="20"/>
        <v>6752022.9646929502</v>
      </c>
      <c r="Q145" s="465" t="s">
        <v>360</v>
      </c>
      <c r="R145" s="465" t="s">
        <v>1088</v>
      </c>
      <c r="S145" s="465">
        <v>8</v>
      </c>
      <c r="T145" s="465" t="s">
        <v>351</v>
      </c>
      <c r="V145" s="465"/>
      <c r="W145" s="465"/>
    </row>
    <row r="146" spans="1:23" ht="15" hidden="1" customHeight="1">
      <c r="A146" s="543"/>
      <c r="B146" s="543"/>
      <c r="C146" s="543"/>
      <c r="D146" s="476" t="s">
        <v>361</v>
      </c>
      <c r="E146" s="561">
        <v>0</v>
      </c>
      <c r="F146" s="561">
        <v>0</v>
      </c>
      <c r="G146" s="561">
        <f t="shared" si="15"/>
        <v>0</v>
      </c>
      <c r="H146" s="227">
        <f t="shared" si="16"/>
        <v>0</v>
      </c>
      <c r="I146" s="469">
        <v>0</v>
      </c>
      <c r="J146" s="227">
        <v>0</v>
      </c>
      <c r="K146" s="462">
        <f t="shared" si="17"/>
        <v>0</v>
      </c>
      <c r="L146" s="462">
        <f t="shared" si="18"/>
        <v>0</v>
      </c>
      <c r="M146" s="464">
        <f>SUMIF('Audit entry'!$C:$C,'TB 25-26'!$D146,'Audit entry'!$D:$D)</f>
        <v>0</v>
      </c>
      <c r="N146" s="464">
        <f>SUMIF('Audit entry'!$C:$C,'TB 25-26'!$D146,'Audit entry'!$E:$E)</f>
        <v>0</v>
      </c>
      <c r="O146" s="462">
        <f t="shared" si="19"/>
        <v>0</v>
      </c>
      <c r="P146" s="462">
        <f t="shared" si="20"/>
        <v>0</v>
      </c>
      <c r="Q146" s="465" t="s">
        <v>362</v>
      </c>
      <c r="R146" s="465" t="s">
        <v>1088</v>
      </c>
      <c r="S146" s="465">
        <v>8</v>
      </c>
      <c r="T146" s="465" t="s">
        <v>351</v>
      </c>
      <c r="V146" s="465"/>
      <c r="W146" s="465"/>
    </row>
    <row r="147" spans="1:23" ht="15" hidden="1" customHeight="1">
      <c r="A147" s="543"/>
      <c r="B147" s="543"/>
      <c r="C147" s="543"/>
      <c r="D147" s="476" t="s">
        <v>363</v>
      </c>
      <c r="E147" s="561">
        <v>0</v>
      </c>
      <c r="F147" s="561">
        <v>0</v>
      </c>
      <c r="G147" s="561">
        <f t="shared" si="15"/>
        <v>0</v>
      </c>
      <c r="H147" s="227">
        <f t="shared" si="16"/>
        <v>0</v>
      </c>
      <c r="I147" s="469">
        <v>0</v>
      </c>
      <c r="J147" s="227">
        <v>0</v>
      </c>
      <c r="K147" s="462">
        <f t="shared" si="17"/>
        <v>0</v>
      </c>
      <c r="L147" s="462">
        <f t="shared" si="18"/>
        <v>0</v>
      </c>
      <c r="M147" s="464">
        <f>SUMIF('Audit entry'!$C:$C,'TB 25-26'!$D147,'Audit entry'!$D:$D)</f>
        <v>0</v>
      </c>
      <c r="N147" s="464">
        <f>SUMIF('Audit entry'!$C:$C,'TB 25-26'!$D147,'Audit entry'!$E:$E)</f>
        <v>0</v>
      </c>
      <c r="O147" s="462">
        <f t="shared" si="19"/>
        <v>0</v>
      </c>
      <c r="P147" s="462">
        <f t="shared" si="20"/>
        <v>0</v>
      </c>
      <c r="Q147" s="465" t="s">
        <v>364</v>
      </c>
      <c r="R147" s="465" t="s">
        <v>1088</v>
      </c>
      <c r="S147" s="465">
        <v>8</v>
      </c>
      <c r="T147" s="465" t="s">
        <v>351</v>
      </c>
      <c r="V147" s="465"/>
      <c r="W147" s="465"/>
    </row>
    <row r="148" spans="1:23" ht="15" hidden="1" customHeight="1">
      <c r="A148" s="543"/>
      <c r="B148" s="475" t="s">
        <v>365</v>
      </c>
      <c r="C148" s="475"/>
      <c r="D148" s="475"/>
      <c r="E148" s="561">
        <v>0</v>
      </c>
      <c r="F148" s="561">
        <v>0</v>
      </c>
      <c r="G148" s="561">
        <f t="shared" si="15"/>
        <v>0</v>
      </c>
      <c r="H148" s="227">
        <f t="shared" si="16"/>
        <v>0</v>
      </c>
      <c r="I148" s="469">
        <v>0</v>
      </c>
      <c r="J148" s="227">
        <v>0</v>
      </c>
      <c r="K148" s="462">
        <f t="shared" si="17"/>
        <v>0</v>
      </c>
      <c r="L148" s="462">
        <f t="shared" si="18"/>
        <v>0</v>
      </c>
      <c r="M148" s="464">
        <f>SUMIF('Audit entry'!$C:$C,'TB 25-26'!$D148,'Audit entry'!$D:$D)</f>
        <v>0</v>
      </c>
      <c r="N148" s="464">
        <f>SUMIF('Audit entry'!$C:$C,'TB 25-26'!$D148,'Audit entry'!$E:$E)</f>
        <v>0</v>
      </c>
      <c r="O148" s="462">
        <f t="shared" si="19"/>
        <v>0</v>
      </c>
      <c r="P148" s="462">
        <f t="shared" si="20"/>
        <v>0</v>
      </c>
      <c r="V148" s="465"/>
      <c r="W148" s="465"/>
    </row>
    <row r="149" spans="1:23" ht="15" hidden="1" customHeight="1">
      <c r="A149" s="543"/>
      <c r="B149" s="543"/>
      <c r="C149" s="475" t="s">
        <v>365</v>
      </c>
      <c r="D149" s="475"/>
      <c r="E149" s="561">
        <v>0</v>
      </c>
      <c r="F149" s="561">
        <v>0</v>
      </c>
      <c r="G149" s="561">
        <f t="shared" si="15"/>
        <v>0</v>
      </c>
      <c r="H149" s="227">
        <f t="shared" si="16"/>
        <v>0</v>
      </c>
      <c r="I149" s="469">
        <v>0</v>
      </c>
      <c r="J149" s="227">
        <v>0</v>
      </c>
      <c r="K149" s="462">
        <f t="shared" si="17"/>
        <v>0</v>
      </c>
      <c r="L149" s="462">
        <f t="shared" si="18"/>
        <v>0</v>
      </c>
      <c r="M149" s="464">
        <f>SUMIF('Audit entry'!$C:$C,'TB 25-26'!$D149,'Audit entry'!$D:$D)</f>
        <v>0</v>
      </c>
      <c r="N149" s="464">
        <f>SUMIF('Audit entry'!$C:$C,'TB 25-26'!$D149,'Audit entry'!$E:$E)</f>
        <v>0</v>
      </c>
      <c r="O149" s="462">
        <f t="shared" si="19"/>
        <v>0</v>
      </c>
      <c r="P149" s="462">
        <f t="shared" si="20"/>
        <v>0</v>
      </c>
      <c r="V149" s="465"/>
      <c r="W149" s="465"/>
    </row>
    <row r="150" spans="1:23" ht="15" hidden="1" customHeight="1">
      <c r="A150" s="543"/>
      <c r="B150" s="543"/>
      <c r="C150" s="543"/>
      <c r="D150" s="476" t="s">
        <v>365</v>
      </c>
      <c r="E150" s="561">
        <v>0</v>
      </c>
      <c r="F150" s="561">
        <v>0.60758785344660304</v>
      </c>
      <c r="G150" s="561">
        <f t="shared" si="15"/>
        <v>0</v>
      </c>
      <c r="H150" s="227">
        <f t="shared" si="16"/>
        <v>0.60758785344660304</v>
      </c>
      <c r="I150" s="469">
        <v>0</v>
      </c>
      <c r="J150" s="227">
        <v>0</v>
      </c>
      <c r="K150" s="462">
        <f t="shared" si="17"/>
        <v>0</v>
      </c>
      <c r="L150" s="462">
        <f t="shared" si="18"/>
        <v>0.60758785344660304</v>
      </c>
      <c r="M150" s="464">
        <f>SUMIF('Audit entry'!$C:$C,'TB 25-26'!$D150,'Audit entry'!$D:$D)</f>
        <v>0</v>
      </c>
      <c r="N150" s="464">
        <f>SUMIF('Audit entry'!$C:$C,'TB 25-26'!$D150,'Audit entry'!$E:$E)</f>
        <v>0</v>
      </c>
      <c r="O150" s="462">
        <f t="shared" si="19"/>
        <v>0</v>
      </c>
      <c r="P150" s="462">
        <f t="shared" si="20"/>
        <v>0.60758785344660304</v>
      </c>
      <c r="R150" s="465" t="s">
        <v>1088</v>
      </c>
      <c r="S150" s="465">
        <v>11</v>
      </c>
      <c r="T150" s="465" t="s">
        <v>366</v>
      </c>
      <c r="V150" s="465"/>
      <c r="W150" s="465"/>
    </row>
    <row r="151" spans="1:23" ht="15" hidden="1" customHeight="1">
      <c r="A151" s="475" t="s">
        <v>367</v>
      </c>
      <c r="B151" s="475"/>
      <c r="C151" s="475"/>
      <c r="D151" s="475"/>
      <c r="E151" s="561">
        <v>0</v>
      </c>
      <c r="F151" s="561">
        <v>0</v>
      </c>
      <c r="G151" s="561">
        <f t="shared" si="15"/>
        <v>0</v>
      </c>
      <c r="H151" s="227">
        <f t="shared" si="16"/>
        <v>0</v>
      </c>
      <c r="I151" s="469">
        <v>0</v>
      </c>
      <c r="J151" s="227">
        <v>0</v>
      </c>
      <c r="K151" s="462">
        <f t="shared" si="17"/>
        <v>0</v>
      </c>
      <c r="L151" s="462">
        <f t="shared" si="18"/>
        <v>0</v>
      </c>
      <c r="M151" s="464">
        <f>SUMIF('Audit entry'!$C:$C,'TB 25-26'!$D151,'Audit entry'!$D:$D)</f>
        <v>0</v>
      </c>
      <c r="N151" s="464">
        <f>SUMIF('Audit entry'!$C:$C,'TB 25-26'!$D151,'Audit entry'!$E:$E)</f>
        <v>0</v>
      </c>
      <c r="O151" s="462">
        <f t="shared" si="19"/>
        <v>0</v>
      </c>
      <c r="P151" s="462">
        <f t="shared" si="20"/>
        <v>0</v>
      </c>
      <c r="V151" s="465"/>
      <c r="W151" s="465"/>
    </row>
    <row r="152" spans="1:23" ht="15" hidden="1" customHeight="1">
      <c r="A152" s="543"/>
      <c r="B152" s="475" t="s">
        <v>368</v>
      </c>
      <c r="C152" s="475"/>
      <c r="D152" s="475"/>
      <c r="E152" s="561">
        <v>0</v>
      </c>
      <c r="F152" s="561">
        <v>0</v>
      </c>
      <c r="G152" s="561">
        <f t="shared" si="15"/>
        <v>0</v>
      </c>
      <c r="H152" s="227">
        <f t="shared" si="16"/>
        <v>0</v>
      </c>
      <c r="I152" s="469">
        <v>0</v>
      </c>
      <c r="J152" s="227">
        <v>0</v>
      </c>
      <c r="K152" s="462">
        <f t="shared" si="17"/>
        <v>0</v>
      </c>
      <c r="L152" s="462">
        <f t="shared" si="18"/>
        <v>0</v>
      </c>
      <c r="M152" s="464">
        <f>SUMIF('Audit entry'!$C:$C,'TB 25-26'!$D152,'Audit entry'!$D:$D)</f>
        <v>0</v>
      </c>
      <c r="N152" s="464">
        <f>SUMIF('Audit entry'!$C:$C,'TB 25-26'!$D152,'Audit entry'!$E:$E)</f>
        <v>0</v>
      </c>
      <c r="O152" s="462">
        <f t="shared" si="19"/>
        <v>0</v>
      </c>
      <c r="P152" s="462">
        <f t="shared" si="20"/>
        <v>0</v>
      </c>
      <c r="V152" s="465"/>
      <c r="W152" s="465"/>
    </row>
    <row r="153" spans="1:23" ht="15" hidden="1" customHeight="1">
      <c r="A153" s="543"/>
      <c r="B153" s="543"/>
      <c r="C153" s="475" t="s">
        <v>369</v>
      </c>
      <c r="D153" s="475"/>
      <c r="E153" s="561">
        <v>0</v>
      </c>
      <c r="F153" s="561">
        <v>0</v>
      </c>
      <c r="G153" s="561">
        <f t="shared" si="15"/>
        <v>0</v>
      </c>
      <c r="H153" s="227">
        <f t="shared" si="16"/>
        <v>0</v>
      </c>
      <c r="I153" s="469">
        <v>0</v>
      </c>
      <c r="J153" s="227">
        <v>0</v>
      </c>
      <c r="K153" s="462">
        <f t="shared" si="17"/>
        <v>0</v>
      </c>
      <c r="L153" s="462">
        <f t="shared" si="18"/>
        <v>0</v>
      </c>
      <c r="M153" s="464">
        <f>SUMIF('Audit entry'!$C:$C,'TB 25-26'!$D153,'Audit entry'!$D:$D)</f>
        <v>0</v>
      </c>
      <c r="N153" s="464">
        <f>SUMIF('Audit entry'!$C:$C,'TB 25-26'!$D153,'Audit entry'!$E:$E)</f>
        <v>0</v>
      </c>
      <c r="O153" s="462">
        <f t="shared" si="19"/>
        <v>0</v>
      </c>
      <c r="P153" s="462">
        <f t="shared" si="20"/>
        <v>0</v>
      </c>
      <c r="V153" s="465"/>
      <c r="W153" s="465"/>
    </row>
    <row r="154" spans="1:23" ht="15" hidden="1" customHeight="1">
      <c r="A154" s="543"/>
      <c r="B154" s="543"/>
      <c r="C154" s="543"/>
      <c r="D154" s="476" t="s">
        <v>370</v>
      </c>
      <c r="E154" s="561">
        <v>0</v>
      </c>
      <c r="F154" s="561">
        <v>135947885.60999981</v>
      </c>
      <c r="G154" s="561">
        <v>0</v>
      </c>
      <c r="H154" s="561">
        <v>0</v>
      </c>
      <c r="I154" s="469">
        <v>0</v>
      </c>
      <c r="J154" s="227">
        <v>90910849.969999999</v>
      </c>
      <c r="K154" s="462">
        <f t="shared" si="17"/>
        <v>0</v>
      </c>
      <c r="L154" s="462">
        <f t="shared" si="18"/>
        <v>90910849.969999999</v>
      </c>
      <c r="M154" s="464">
        <f>SUMIF('Audit entry'!$C:$C,'TB 25-26'!$D154,'Audit entry'!$D:$D)</f>
        <v>0</v>
      </c>
      <c r="N154" s="464">
        <f>SUMIF('Audit entry'!$C:$C,'TB 25-26'!$D154,'Audit entry'!$E:$E)</f>
        <v>0</v>
      </c>
      <c r="O154" s="462">
        <f t="shared" si="19"/>
        <v>0</v>
      </c>
      <c r="P154" s="477">
        <f t="shared" si="20"/>
        <v>90910849.969999999</v>
      </c>
      <c r="Q154" s="465" t="s">
        <v>371</v>
      </c>
      <c r="R154" s="465" t="s">
        <v>1087</v>
      </c>
      <c r="S154" s="465">
        <v>15</v>
      </c>
      <c r="T154" s="465" t="s">
        <v>372</v>
      </c>
      <c r="V154" s="465"/>
      <c r="W154" s="465"/>
    </row>
    <row r="155" spans="1:23" ht="15" hidden="1" customHeight="1">
      <c r="A155" s="543"/>
      <c r="B155" s="543"/>
      <c r="C155" s="543"/>
      <c r="D155" s="476" t="s">
        <v>373</v>
      </c>
      <c r="E155" s="561">
        <v>0</v>
      </c>
      <c r="F155" s="561">
        <v>5475915.1300000018</v>
      </c>
      <c r="G155" s="561">
        <v>0</v>
      </c>
      <c r="H155" s="561">
        <v>0</v>
      </c>
      <c r="I155" s="469">
        <v>0</v>
      </c>
      <c r="J155" s="227">
        <v>5581422.9900000002</v>
      </c>
      <c r="K155" s="462">
        <f t="shared" si="17"/>
        <v>0</v>
      </c>
      <c r="L155" s="462">
        <f t="shared" si="18"/>
        <v>5581422.9900000002</v>
      </c>
      <c r="M155" s="464">
        <f>SUMIF('Audit entry'!$C:$C,'TB 25-26'!$D155,'Audit entry'!$D:$D)</f>
        <v>0</v>
      </c>
      <c r="N155" s="464">
        <f>SUMIF('Audit entry'!$C:$C,'TB 25-26'!$D155,'Audit entry'!$E:$E)</f>
        <v>0</v>
      </c>
      <c r="O155" s="462">
        <f t="shared" si="19"/>
        <v>0</v>
      </c>
      <c r="P155" s="477">
        <f t="shared" si="20"/>
        <v>5581422.9900000002</v>
      </c>
      <c r="Q155" s="465" t="s">
        <v>371</v>
      </c>
      <c r="R155" s="465" t="s">
        <v>1087</v>
      </c>
      <c r="S155" s="465">
        <v>15</v>
      </c>
      <c r="T155" s="465" t="s">
        <v>372</v>
      </c>
      <c r="V155" s="465"/>
      <c r="W155" s="465"/>
    </row>
    <row r="156" spans="1:23" ht="15" hidden="1" customHeight="1">
      <c r="A156" s="543"/>
      <c r="B156" s="543"/>
      <c r="C156" s="543"/>
      <c r="D156" s="476" t="s">
        <v>374</v>
      </c>
      <c r="E156" s="561">
        <v>0</v>
      </c>
      <c r="F156" s="561">
        <v>19000</v>
      </c>
      <c r="G156" s="561">
        <v>0</v>
      </c>
      <c r="H156" s="561">
        <v>0</v>
      </c>
      <c r="I156" s="469">
        <v>0</v>
      </c>
      <c r="J156" s="227">
        <v>157583</v>
      </c>
      <c r="K156" s="462">
        <f t="shared" si="17"/>
        <v>0</v>
      </c>
      <c r="L156" s="462">
        <f t="shared" si="18"/>
        <v>157583</v>
      </c>
      <c r="M156" s="464">
        <f>SUMIF('Audit entry'!$C:$C,'TB 25-26'!$D156,'Audit entry'!$D:$D)</f>
        <v>0</v>
      </c>
      <c r="N156" s="464">
        <f>SUMIF('Audit entry'!$C:$C,'TB 25-26'!$D156,'Audit entry'!$E:$E)</f>
        <v>0</v>
      </c>
      <c r="O156" s="462">
        <f t="shared" si="19"/>
        <v>0</v>
      </c>
      <c r="P156" s="477">
        <f t="shared" si="20"/>
        <v>157583</v>
      </c>
      <c r="Q156" s="465" t="s">
        <v>371</v>
      </c>
      <c r="R156" s="465" t="s">
        <v>1087</v>
      </c>
      <c r="S156" s="465">
        <v>15</v>
      </c>
      <c r="T156" s="465" t="s">
        <v>372</v>
      </c>
      <c r="V156" s="465"/>
      <c r="W156" s="465"/>
    </row>
    <row r="157" spans="1:23" ht="15" hidden="1" customHeight="1">
      <c r="A157" s="543"/>
      <c r="B157" s="543"/>
      <c r="C157" s="543"/>
      <c r="D157" s="476" t="s">
        <v>375</v>
      </c>
      <c r="E157" s="561">
        <v>0</v>
      </c>
      <c r="F157" s="561">
        <v>0</v>
      </c>
      <c r="G157" s="561">
        <v>0</v>
      </c>
      <c r="H157" s="561">
        <v>0</v>
      </c>
      <c r="I157" s="469">
        <v>0</v>
      </c>
      <c r="J157" s="227">
        <v>0</v>
      </c>
      <c r="K157" s="462">
        <f t="shared" si="17"/>
        <v>0</v>
      </c>
      <c r="L157" s="462">
        <f t="shared" si="18"/>
        <v>0</v>
      </c>
      <c r="M157" s="464">
        <f>SUMIF('Audit entry'!$C:$C,'TB 25-26'!$D157,'Audit entry'!$D:$D)</f>
        <v>0</v>
      </c>
      <c r="N157" s="464">
        <f>SUMIF('Audit entry'!$C:$C,'TB 25-26'!$D157,'Audit entry'!$E:$E)</f>
        <v>0</v>
      </c>
      <c r="O157" s="462">
        <f t="shared" si="19"/>
        <v>0</v>
      </c>
      <c r="P157" s="462">
        <f t="shared" si="20"/>
        <v>0</v>
      </c>
      <c r="Q157" s="465" t="s">
        <v>371</v>
      </c>
      <c r="R157" s="465" t="s">
        <v>1087</v>
      </c>
      <c r="S157" s="465">
        <v>15</v>
      </c>
      <c r="T157" s="465" t="s">
        <v>372</v>
      </c>
      <c r="V157" s="465"/>
      <c r="W157" s="465"/>
    </row>
    <row r="158" spans="1:23" ht="15" hidden="1" customHeight="1">
      <c r="A158" s="543"/>
      <c r="B158" s="543"/>
      <c r="C158" s="543"/>
      <c r="D158" s="476" t="s">
        <v>376</v>
      </c>
      <c r="E158" s="561">
        <v>0</v>
      </c>
      <c r="F158" s="561">
        <v>0</v>
      </c>
      <c r="G158" s="561">
        <v>0</v>
      </c>
      <c r="H158" s="561">
        <v>0</v>
      </c>
      <c r="I158" s="469">
        <v>0</v>
      </c>
      <c r="J158" s="227">
        <v>0</v>
      </c>
      <c r="K158" s="462">
        <f t="shared" si="17"/>
        <v>0</v>
      </c>
      <c r="L158" s="462">
        <f t="shared" si="18"/>
        <v>0</v>
      </c>
      <c r="M158" s="464">
        <f>SUMIF('Audit entry'!$C:$C,'TB 25-26'!$D158,'Audit entry'!$D:$D)</f>
        <v>0</v>
      </c>
      <c r="N158" s="464">
        <f>SUMIF('Audit entry'!$C:$C,'TB 25-26'!$D158,'Audit entry'!$E:$E)</f>
        <v>0</v>
      </c>
      <c r="O158" s="462">
        <f t="shared" si="19"/>
        <v>0</v>
      </c>
      <c r="P158" s="462">
        <f t="shared" si="20"/>
        <v>0</v>
      </c>
      <c r="Q158" s="465" t="s">
        <v>371</v>
      </c>
      <c r="R158" s="465" t="s">
        <v>1087</v>
      </c>
      <c r="S158" s="465">
        <v>15</v>
      </c>
      <c r="T158" s="465" t="s">
        <v>372</v>
      </c>
      <c r="V158" s="465"/>
      <c r="W158" s="465"/>
    </row>
    <row r="159" spans="1:23" ht="15" hidden="1" customHeight="1">
      <c r="A159" s="543"/>
      <c r="B159" s="543"/>
      <c r="C159" s="543"/>
      <c r="D159" s="476" t="s">
        <v>377</v>
      </c>
      <c r="E159" s="561">
        <v>0</v>
      </c>
      <c r="F159" s="561">
        <v>0</v>
      </c>
      <c r="G159" s="561">
        <v>0</v>
      </c>
      <c r="H159" s="561">
        <v>0</v>
      </c>
      <c r="I159" s="469">
        <v>0</v>
      </c>
      <c r="J159" s="227">
        <v>0</v>
      </c>
      <c r="K159" s="462">
        <f t="shared" si="17"/>
        <v>0</v>
      </c>
      <c r="L159" s="462">
        <f t="shared" si="18"/>
        <v>0</v>
      </c>
      <c r="M159" s="464">
        <f>SUMIF('Audit entry'!$C:$C,'TB 25-26'!$D159,'Audit entry'!$D:$D)</f>
        <v>0</v>
      </c>
      <c r="N159" s="464">
        <f>SUMIF('Audit entry'!$C:$C,'TB 25-26'!$D159,'Audit entry'!$E:$E)</f>
        <v>0</v>
      </c>
      <c r="O159" s="462">
        <f t="shared" si="19"/>
        <v>0</v>
      </c>
      <c r="P159" s="462">
        <f t="shared" si="20"/>
        <v>0</v>
      </c>
      <c r="Q159" s="465" t="s">
        <v>371</v>
      </c>
      <c r="R159" s="465" t="s">
        <v>1087</v>
      </c>
      <c r="S159" s="465">
        <v>15</v>
      </c>
      <c r="T159" s="465" t="s">
        <v>372</v>
      </c>
      <c r="V159" s="465"/>
      <c r="W159" s="465"/>
    </row>
    <row r="160" spans="1:23" ht="15" hidden="1" customHeight="1">
      <c r="A160" s="543"/>
      <c r="B160" s="543"/>
      <c r="C160" s="475" t="s">
        <v>378</v>
      </c>
      <c r="D160" s="475"/>
      <c r="E160" s="561">
        <v>0</v>
      </c>
      <c r="F160" s="561">
        <v>0</v>
      </c>
      <c r="G160" s="561">
        <f t="shared" si="15"/>
        <v>0</v>
      </c>
      <c r="H160" s="227">
        <f t="shared" si="16"/>
        <v>0</v>
      </c>
      <c r="I160" s="469">
        <v>0</v>
      </c>
      <c r="J160" s="227">
        <v>0</v>
      </c>
      <c r="K160" s="462">
        <f t="shared" si="17"/>
        <v>0</v>
      </c>
      <c r="L160" s="462">
        <f t="shared" si="18"/>
        <v>0</v>
      </c>
      <c r="M160" s="464">
        <f>SUMIF('Audit entry'!$C:$C,'TB 25-26'!$D160,'Audit entry'!$D:$D)</f>
        <v>0</v>
      </c>
      <c r="N160" s="464">
        <f>SUMIF('Audit entry'!$C:$C,'TB 25-26'!$D160,'Audit entry'!$E:$E)</f>
        <v>0</v>
      </c>
      <c r="O160" s="462">
        <f t="shared" si="19"/>
        <v>0</v>
      </c>
      <c r="P160" s="462">
        <f t="shared" si="20"/>
        <v>0</v>
      </c>
      <c r="V160" s="465"/>
      <c r="W160" s="465"/>
    </row>
    <row r="161" spans="1:23" ht="15" hidden="1" customHeight="1">
      <c r="A161" s="543"/>
      <c r="B161" s="543"/>
      <c r="C161" s="543"/>
      <c r="D161" s="476" t="s">
        <v>379</v>
      </c>
      <c r="E161" s="561">
        <v>0</v>
      </c>
      <c r="F161" s="561">
        <v>25076479.12999998</v>
      </c>
      <c r="G161" s="561">
        <v>0</v>
      </c>
      <c r="H161" s="561">
        <v>0</v>
      </c>
      <c r="I161" s="469">
        <v>0</v>
      </c>
      <c r="J161" s="227">
        <v>23618066.760000002</v>
      </c>
      <c r="K161" s="462">
        <f t="shared" si="17"/>
        <v>0</v>
      </c>
      <c r="L161" s="462">
        <f t="shared" si="18"/>
        <v>23618066.760000002</v>
      </c>
      <c r="M161" s="464">
        <f>SUMIF('Audit entry'!$C:$C,'TB 25-26'!$D161,'Audit entry'!$D:$D)</f>
        <v>0</v>
      </c>
      <c r="N161" s="464">
        <f>SUMIF('Audit entry'!$C:$C,'TB 25-26'!$D161,'Audit entry'!$E:$E)</f>
        <v>0</v>
      </c>
      <c r="O161" s="462">
        <f t="shared" si="19"/>
        <v>0</v>
      </c>
      <c r="P161" s="477">
        <f t="shared" si="20"/>
        <v>23618066.760000002</v>
      </c>
      <c r="Q161" s="465" t="s">
        <v>380</v>
      </c>
      <c r="R161" s="465" t="s">
        <v>1087</v>
      </c>
      <c r="S161" s="465">
        <v>15</v>
      </c>
      <c r="T161" s="465" t="s">
        <v>372</v>
      </c>
      <c r="V161" s="465"/>
      <c r="W161" s="465"/>
    </row>
    <row r="162" spans="1:23" ht="15" hidden="1" customHeight="1">
      <c r="A162" s="543"/>
      <c r="B162" s="543"/>
      <c r="C162" s="543"/>
      <c r="D162" s="476" t="s">
        <v>381</v>
      </c>
      <c r="E162" s="561">
        <v>0</v>
      </c>
      <c r="F162" s="561">
        <v>0</v>
      </c>
      <c r="G162" s="561">
        <v>0</v>
      </c>
      <c r="H162" s="561">
        <v>0</v>
      </c>
      <c r="I162" s="469">
        <v>0</v>
      </c>
      <c r="J162" s="227">
        <v>0</v>
      </c>
      <c r="K162" s="462">
        <f t="shared" si="17"/>
        <v>0</v>
      </c>
      <c r="L162" s="462">
        <f t="shared" si="18"/>
        <v>0</v>
      </c>
      <c r="M162" s="464">
        <f>SUMIF('Audit entry'!$C:$C,'TB 25-26'!$D162,'Audit entry'!$D:$D)</f>
        <v>0</v>
      </c>
      <c r="N162" s="464">
        <f>SUMIF('Audit entry'!$C:$C,'TB 25-26'!$D162,'Audit entry'!$E:$E)</f>
        <v>0</v>
      </c>
      <c r="O162" s="462">
        <f t="shared" si="19"/>
        <v>0</v>
      </c>
      <c r="P162" s="462">
        <f t="shared" si="20"/>
        <v>0</v>
      </c>
      <c r="Q162" s="465" t="s">
        <v>380</v>
      </c>
      <c r="R162" s="465" t="s">
        <v>1087</v>
      </c>
      <c r="S162" s="465">
        <v>15</v>
      </c>
      <c r="T162" s="465" t="s">
        <v>372</v>
      </c>
      <c r="V162" s="465"/>
      <c r="W162" s="465"/>
    </row>
    <row r="163" spans="1:23" ht="15" hidden="1" customHeight="1">
      <c r="A163" s="543"/>
      <c r="B163" s="543"/>
      <c r="C163" s="543"/>
      <c r="D163" s="476" t="s">
        <v>382</v>
      </c>
      <c r="E163" s="561">
        <v>0</v>
      </c>
      <c r="F163" s="561">
        <v>2297765.3399999994</v>
      </c>
      <c r="G163" s="561">
        <v>0</v>
      </c>
      <c r="H163" s="561">
        <v>0</v>
      </c>
      <c r="I163" s="469">
        <v>0</v>
      </c>
      <c r="J163" s="227">
        <v>2855435.78</v>
      </c>
      <c r="K163" s="462">
        <f t="shared" si="17"/>
        <v>0</v>
      </c>
      <c r="L163" s="462">
        <f t="shared" si="18"/>
        <v>2855435.78</v>
      </c>
      <c r="M163" s="464">
        <f>SUMIF('Audit entry'!$C:$C,'TB 25-26'!$D163,'Audit entry'!$D:$D)</f>
        <v>0</v>
      </c>
      <c r="N163" s="464">
        <f>SUMIF('Audit entry'!$C:$C,'TB 25-26'!$D163,'Audit entry'!$E:$E)</f>
        <v>0</v>
      </c>
      <c r="O163" s="462">
        <f t="shared" si="19"/>
        <v>0</v>
      </c>
      <c r="P163" s="477">
        <f t="shared" si="20"/>
        <v>2855435.78</v>
      </c>
      <c r="Q163" s="465" t="s">
        <v>380</v>
      </c>
      <c r="R163" s="465" t="s">
        <v>1087</v>
      </c>
      <c r="S163" s="465">
        <v>15</v>
      </c>
      <c r="T163" s="465" t="s">
        <v>372</v>
      </c>
      <c r="V163" s="465"/>
      <c r="W163" s="465"/>
    </row>
    <row r="164" spans="1:23" ht="15" hidden="1" customHeight="1">
      <c r="A164" s="543"/>
      <c r="B164" s="543"/>
      <c r="C164" s="475" t="s">
        <v>383</v>
      </c>
      <c r="D164" s="475"/>
      <c r="E164" s="561">
        <v>0</v>
      </c>
      <c r="F164" s="561">
        <v>0</v>
      </c>
      <c r="G164" s="561">
        <f t="shared" si="15"/>
        <v>0</v>
      </c>
      <c r="H164" s="227">
        <f t="shared" si="16"/>
        <v>0</v>
      </c>
      <c r="I164" s="469">
        <v>0</v>
      </c>
      <c r="J164" s="227">
        <v>0</v>
      </c>
      <c r="K164" s="462">
        <f t="shared" si="17"/>
        <v>0</v>
      </c>
      <c r="L164" s="462">
        <f t="shared" si="18"/>
        <v>0</v>
      </c>
      <c r="M164" s="464">
        <f>SUMIF('Audit entry'!$C:$C,'TB 25-26'!$D164,'Audit entry'!$D:$D)</f>
        <v>0</v>
      </c>
      <c r="N164" s="464">
        <f>SUMIF('Audit entry'!$C:$C,'TB 25-26'!$D164,'Audit entry'!$E:$E)</f>
        <v>0</v>
      </c>
      <c r="O164" s="462">
        <f t="shared" si="19"/>
        <v>0</v>
      </c>
      <c r="P164" s="462">
        <f t="shared" si="20"/>
        <v>0</v>
      </c>
      <c r="V164" s="465"/>
      <c r="W164" s="465"/>
    </row>
    <row r="165" spans="1:23" ht="15" hidden="1" customHeight="1">
      <c r="A165" s="543"/>
      <c r="B165" s="543"/>
      <c r="C165" s="543"/>
      <c r="D165" s="476" t="s">
        <v>384</v>
      </c>
      <c r="E165" s="561">
        <v>0</v>
      </c>
      <c r="F165" s="561">
        <v>72299417.409999937</v>
      </c>
      <c r="G165" s="561">
        <v>0</v>
      </c>
      <c r="H165" s="561">
        <v>0</v>
      </c>
      <c r="I165" s="469">
        <v>0</v>
      </c>
      <c r="J165" s="227">
        <v>54512716.509999998</v>
      </c>
      <c r="K165" s="462">
        <f t="shared" si="17"/>
        <v>0</v>
      </c>
      <c r="L165" s="462">
        <f t="shared" si="18"/>
        <v>54512716.509999998</v>
      </c>
      <c r="M165" s="464">
        <f>SUMIF('Audit entry'!$C:$C,'TB 25-26'!$D165,'Audit entry'!$D:$D)</f>
        <v>0</v>
      </c>
      <c r="N165" s="464">
        <f>SUMIF('Audit entry'!$C:$C,'TB 25-26'!$D165,'Audit entry'!$E:$E)</f>
        <v>0</v>
      </c>
      <c r="O165" s="462">
        <f t="shared" si="19"/>
        <v>0</v>
      </c>
      <c r="P165" s="477">
        <f t="shared" si="20"/>
        <v>54512716.509999998</v>
      </c>
      <c r="Q165" s="465" t="s">
        <v>385</v>
      </c>
      <c r="R165" s="465" t="s">
        <v>1087</v>
      </c>
      <c r="S165" s="465">
        <v>15</v>
      </c>
      <c r="T165" s="465" t="s">
        <v>372</v>
      </c>
      <c r="V165" s="465"/>
      <c r="W165" s="465"/>
    </row>
    <row r="166" spans="1:23" ht="15" hidden="1" customHeight="1">
      <c r="A166" s="543"/>
      <c r="B166" s="543"/>
      <c r="C166" s="475" t="s">
        <v>386</v>
      </c>
      <c r="D166" s="475"/>
      <c r="E166" s="561">
        <v>0</v>
      </c>
      <c r="F166" s="561">
        <v>0</v>
      </c>
      <c r="G166" s="561">
        <f t="shared" si="15"/>
        <v>0</v>
      </c>
      <c r="H166" s="227">
        <f t="shared" si="16"/>
        <v>0</v>
      </c>
      <c r="I166" s="469">
        <v>0</v>
      </c>
      <c r="J166" s="227">
        <v>0</v>
      </c>
      <c r="K166" s="462">
        <f t="shared" si="17"/>
        <v>0</v>
      </c>
      <c r="L166" s="462">
        <f t="shared" si="18"/>
        <v>0</v>
      </c>
      <c r="M166" s="464">
        <f>SUMIF('Audit entry'!$C:$C,'TB 25-26'!$D166,'Audit entry'!$D:$D)</f>
        <v>0</v>
      </c>
      <c r="N166" s="464">
        <f>SUMIF('Audit entry'!$C:$C,'TB 25-26'!$D166,'Audit entry'!$E:$E)</f>
        <v>0</v>
      </c>
      <c r="O166" s="462">
        <f t="shared" si="19"/>
        <v>0</v>
      </c>
      <c r="P166" s="462">
        <f t="shared" si="20"/>
        <v>0</v>
      </c>
      <c r="V166" s="465"/>
      <c r="W166" s="465"/>
    </row>
    <row r="167" spans="1:23" ht="15" hidden="1" customHeight="1">
      <c r="A167" s="543"/>
      <c r="B167" s="543"/>
      <c r="C167" s="543"/>
      <c r="D167" s="476" t="s">
        <v>387</v>
      </c>
      <c r="E167" s="561">
        <v>0</v>
      </c>
      <c r="F167" s="561">
        <v>9940420.320000004</v>
      </c>
      <c r="G167" s="561">
        <v>0</v>
      </c>
      <c r="H167" s="561">
        <v>0</v>
      </c>
      <c r="I167" s="469">
        <v>0</v>
      </c>
      <c r="J167" s="227">
        <v>13227934.390000001</v>
      </c>
      <c r="K167" s="462">
        <f t="shared" si="17"/>
        <v>0</v>
      </c>
      <c r="L167" s="462">
        <f t="shared" si="18"/>
        <v>13227934.390000001</v>
      </c>
      <c r="M167" s="464">
        <f>SUMIF('Audit entry'!$C:$C,'TB 25-26'!$D167,'Audit entry'!$D:$D)</f>
        <v>0</v>
      </c>
      <c r="N167" s="464">
        <f>SUMIF('Audit entry'!$C:$C,'TB 25-26'!$D167,'Audit entry'!$E:$E)</f>
        <v>0</v>
      </c>
      <c r="O167" s="462">
        <f t="shared" si="19"/>
        <v>0</v>
      </c>
      <c r="P167" s="477">
        <f t="shared" si="20"/>
        <v>13227934.390000001</v>
      </c>
      <c r="Q167" s="465" t="s">
        <v>388</v>
      </c>
      <c r="R167" s="465" t="s">
        <v>1087</v>
      </c>
      <c r="S167" s="465">
        <v>15</v>
      </c>
      <c r="T167" s="465" t="s">
        <v>372</v>
      </c>
      <c r="V167" s="465"/>
      <c r="W167" s="465"/>
    </row>
    <row r="168" spans="1:23" ht="15" hidden="1" customHeight="1">
      <c r="A168" s="543"/>
      <c r="B168" s="475" t="s">
        <v>389</v>
      </c>
      <c r="C168" s="475"/>
      <c r="D168" s="475"/>
      <c r="E168" s="561">
        <v>0</v>
      </c>
      <c r="F168" s="561">
        <v>0</v>
      </c>
      <c r="G168" s="561">
        <f t="shared" si="15"/>
        <v>0</v>
      </c>
      <c r="H168" s="227">
        <f t="shared" si="16"/>
        <v>0</v>
      </c>
      <c r="I168" s="469">
        <v>0</v>
      </c>
      <c r="J168" s="227">
        <v>0</v>
      </c>
      <c r="K168" s="462">
        <f t="shared" si="17"/>
        <v>0</v>
      </c>
      <c r="L168" s="462">
        <f t="shared" si="18"/>
        <v>0</v>
      </c>
      <c r="M168" s="464">
        <f>SUMIF('Audit entry'!$C:$C,'TB 25-26'!$D168,'Audit entry'!$D:$D)</f>
        <v>0</v>
      </c>
      <c r="N168" s="464">
        <f>SUMIF('Audit entry'!$C:$C,'TB 25-26'!$D168,'Audit entry'!$E:$E)</f>
        <v>0</v>
      </c>
      <c r="O168" s="462">
        <f t="shared" si="19"/>
        <v>0</v>
      </c>
      <c r="P168" s="462">
        <f t="shared" si="20"/>
        <v>0</v>
      </c>
      <c r="V168" s="465"/>
      <c r="W168" s="465"/>
    </row>
    <row r="169" spans="1:23" ht="15" hidden="1" customHeight="1">
      <c r="A169" s="543"/>
      <c r="B169" s="543"/>
      <c r="C169" s="475" t="s">
        <v>390</v>
      </c>
      <c r="D169" s="475"/>
      <c r="E169" s="561">
        <v>0</v>
      </c>
      <c r="F169" s="561">
        <v>0</v>
      </c>
      <c r="G169" s="561">
        <f t="shared" si="15"/>
        <v>0</v>
      </c>
      <c r="H169" s="227">
        <f t="shared" si="16"/>
        <v>0</v>
      </c>
      <c r="I169" s="469">
        <v>0</v>
      </c>
      <c r="J169" s="227">
        <v>0</v>
      </c>
      <c r="K169" s="462">
        <f t="shared" si="17"/>
        <v>0</v>
      </c>
      <c r="L169" s="462">
        <f t="shared" si="18"/>
        <v>0</v>
      </c>
      <c r="M169" s="464">
        <f>SUMIF('Audit entry'!$C:$C,'TB 25-26'!$D169,'Audit entry'!$D:$D)</f>
        <v>0</v>
      </c>
      <c r="N169" s="464">
        <f>SUMIF('Audit entry'!$C:$C,'TB 25-26'!$D169,'Audit entry'!$E:$E)</f>
        <v>0</v>
      </c>
      <c r="O169" s="462">
        <f t="shared" si="19"/>
        <v>0</v>
      </c>
      <c r="P169" s="462">
        <f t="shared" si="20"/>
        <v>0</v>
      </c>
      <c r="V169" s="465"/>
      <c r="W169" s="465"/>
    </row>
    <row r="170" spans="1:23" ht="15" hidden="1" customHeight="1">
      <c r="A170" s="543"/>
      <c r="B170" s="543"/>
      <c r="C170" s="475"/>
      <c r="D170" s="476" t="s">
        <v>391</v>
      </c>
      <c r="E170" s="561">
        <v>0</v>
      </c>
      <c r="F170" s="561">
        <v>1397</v>
      </c>
      <c r="G170" s="561">
        <v>0</v>
      </c>
      <c r="H170" s="561">
        <v>0</v>
      </c>
      <c r="I170" s="469">
        <v>0</v>
      </c>
      <c r="J170" s="227">
        <v>0</v>
      </c>
      <c r="K170" s="462">
        <f t="shared" si="17"/>
        <v>0</v>
      </c>
      <c r="L170" s="462">
        <f t="shared" si="18"/>
        <v>0</v>
      </c>
      <c r="M170" s="464">
        <f>SUMIF('Audit entry'!$C:$C,'TB 25-26'!$D170,'Audit entry'!$D:$D)</f>
        <v>0</v>
      </c>
      <c r="N170" s="464">
        <f>SUMIF('Audit entry'!$C:$C,'TB 25-26'!$D170,'Audit entry'!$E:$E)</f>
        <v>0</v>
      </c>
      <c r="O170" s="462">
        <f t="shared" si="19"/>
        <v>0</v>
      </c>
      <c r="P170" s="477">
        <f t="shared" si="20"/>
        <v>0</v>
      </c>
      <c r="Q170" s="465" t="s">
        <v>392</v>
      </c>
      <c r="R170" s="465" t="s">
        <v>1087</v>
      </c>
      <c r="S170" s="465">
        <v>16</v>
      </c>
      <c r="T170" s="465" t="s">
        <v>393</v>
      </c>
      <c r="V170" s="465"/>
      <c r="W170" s="465"/>
    </row>
    <row r="171" spans="1:23" ht="15" hidden="1" customHeight="1">
      <c r="A171" s="543"/>
      <c r="B171" s="543"/>
      <c r="C171" s="543"/>
      <c r="D171" s="476" t="s">
        <v>390</v>
      </c>
      <c r="E171" s="561">
        <v>0</v>
      </c>
      <c r="F171" s="561">
        <v>0</v>
      </c>
      <c r="G171" s="561">
        <v>0</v>
      </c>
      <c r="H171" s="561">
        <v>0</v>
      </c>
      <c r="I171" s="469">
        <v>0</v>
      </c>
      <c r="J171" s="227">
        <v>9161</v>
      </c>
      <c r="K171" s="462">
        <f t="shared" si="17"/>
        <v>0</v>
      </c>
      <c r="L171" s="462">
        <f t="shared" si="18"/>
        <v>9161</v>
      </c>
      <c r="M171" s="464">
        <f>SUMIF('Audit entry'!$C:$C,'TB 25-26'!$D171,'Audit entry'!$D:$D)</f>
        <v>0</v>
      </c>
      <c r="N171" s="464">
        <f>SUMIF('Audit entry'!$C:$C,'TB 25-26'!$D171,'Audit entry'!$E:$E)</f>
        <v>0</v>
      </c>
      <c r="O171" s="462">
        <f t="shared" si="19"/>
        <v>0</v>
      </c>
      <c r="P171" s="462">
        <f t="shared" si="20"/>
        <v>9161</v>
      </c>
      <c r="Q171" s="465" t="s">
        <v>392</v>
      </c>
      <c r="R171" s="465" t="s">
        <v>1087</v>
      </c>
      <c r="S171" s="465">
        <v>16</v>
      </c>
      <c r="T171" s="465" t="s">
        <v>393</v>
      </c>
      <c r="V171" s="465"/>
      <c r="W171" s="465"/>
    </row>
    <row r="172" spans="1:23" ht="15" hidden="1" customHeight="1">
      <c r="A172" s="543"/>
      <c r="B172" s="543"/>
      <c r="C172" s="543"/>
      <c r="D172" s="476" t="s">
        <v>394</v>
      </c>
      <c r="E172" s="561">
        <v>0</v>
      </c>
      <c r="F172" s="561">
        <v>0</v>
      </c>
      <c r="G172" s="561">
        <f t="shared" si="15"/>
        <v>0</v>
      </c>
      <c r="H172" s="227">
        <f t="shared" si="16"/>
        <v>0</v>
      </c>
      <c r="I172" s="469">
        <v>0</v>
      </c>
      <c r="J172" s="227">
        <v>0</v>
      </c>
      <c r="K172" s="462">
        <f t="shared" si="17"/>
        <v>0</v>
      </c>
      <c r="L172" s="462">
        <f t="shared" si="18"/>
        <v>0</v>
      </c>
      <c r="M172" s="464">
        <f>SUMIF('Audit entry'!$C:$C,'TB 25-26'!$D172,'Audit entry'!$D:$D)</f>
        <v>0</v>
      </c>
      <c r="N172" s="464">
        <f>SUMIF('Audit entry'!$C:$C,'TB 25-26'!$D172,'Audit entry'!$E:$E)</f>
        <v>0</v>
      </c>
      <c r="O172" s="462">
        <f t="shared" si="19"/>
        <v>0</v>
      </c>
      <c r="P172" s="462">
        <f t="shared" si="20"/>
        <v>0</v>
      </c>
      <c r="V172" s="465"/>
      <c r="W172" s="465"/>
    </row>
    <row r="173" spans="1:23" ht="15" hidden="1" customHeight="1">
      <c r="A173" s="543"/>
      <c r="B173" s="543"/>
      <c r="C173" s="543"/>
      <c r="D173" s="476" t="s">
        <v>395</v>
      </c>
      <c r="E173" s="561">
        <v>0</v>
      </c>
      <c r="F173" s="561">
        <v>0</v>
      </c>
      <c r="G173" s="561">
        <v>0</v>
      </c>
      <c r="H173" s="561">
        <v>0</v>
      </c>
      <c r="I173" s="469">
        <v>0</v>
      </c>
      <c r="J173" s="227">
        <v>0</v>
      </c>
      <c r="K173" s="462">
        <f t="shared" si="17"/>
        <v>0</v>
      </c>
      <c r="L173" s="462">
        <f t="shared" si="18"/>
        <v>0</v>
      </c>
      <c r="M173" s="464">
        <f>SUMIF('Audit entry'!$C:$C,'TB 25-26'!$D173,'Audit entry'!$D:$D)</f>
        <v>0</v>
      </c>
      <c r="N173" s="464">
        <f>SUMIF('Audit entry'!$C:$C,'TB 25-26'!$D173,'Audit entry'!$E:$E)</f>
        <v>0</v>
      </c>
      <c r="O173" s="462">
        <f t="shared" si="19"/>
        <v>0</v>
      </c>
      <c r="P173" s="462">
        <f t="shared" si="20"/>
        <v>0</v>
      </c>
      <c r="Q173" s="465" t="s">
        <v>396</v>
      </c>
      <c r="R173" s="465" t="s">
        <v>1087</v>
      </c>
      <c r="S173" s="465">
        <v>16</v>
      </c>
      <c r="T173" s="465" t="s">
        <v>393</v>
      </c>
      <c r="V173" s="465"/>
      <c r="W173" s="465"/>
    </row>
    <row r="174" spans="1:23" ht="15" hidden="1" customHeight="1">
      <c r="A174" s="543"/>
      <c r="B174" s="543"/>
      <c r="C174" s="475" t="s">
        <v>397</v>
      </c>
      <c r="D174" s="475"/>
      <c r="E174" s="561">
        <v>0</v>
      </c>
      <c r="F174" s="561">
        <v>0</v>
      </c>
      <c r="G174" s="561">
        <f t="shared" si="15"/>
        <v>0</v>
      </c>
      <c r="H174" s="227">
        <f t="shared" si="16"/>
        <v>0</v>
      </c>
      <c r="I174" s="469">
        <v>0</v>
      </c>
      <c r="J174" s="227">
        <v>0</v>
      </c>
      <c r="K174" s="462">
        <f t="shared" si="17"/>
        <v>0</v>
      </c>
      <c r="L174" s="462">
        <f t="shared" si="18"/>
        <v>0</v>
      </c>
      <c r="M174" s="464">
        <f>SUMIF('Audit entry'!$C:$C,'TB 25-26'!$D174,'Audit entry'!$D:$D)</f>
        <v>0</v>
      </c>
      <c r="N174" s="464">
        <f>SUMIF('Audit entry'!$C:$C,'TB 25-26'!$D174,'Audit entry'!$E:$E)</f>
        <v>0</v>
      </c>
      <c r="O174" s="462">
        <f t="shared" si="19"/>
        <v>0</v>
      </c>
      <c r="P174" s="462">
        <f t="shared" si="20"/>
        <v>0</v>
      </c>
      <c r="V174" s="465"/>
      <c r="W174" s="465"/>
    </row>
    <row r="175" spans="1:23" ht="15" hidden="1" customHeight="1">
      <c r="A175" s="543"/>
      <c r="B175" s="543"/>
      <c r="C175" s="543"/>
      <c r="D175" s="476" t="s">
        <v>397</v>
      </c>
      <c r="E175" s="561">
        <v>0</v>
      </c>
      <c r="F175" s="561">
        <v>0</v>
      </c>
      <c r="G175" s="561">
        <v>0</v>
      </c>
      <c r="H175" s="561">
        <v>0</v>
      </c>
      <c r="I175" s="469">
        <v>0</v>
      </c>
      <c r="J175" s="227">
        <v>0</v>
      </c>
      <c r="K175" s="462">
        <f t="shared" si="17"/>
        <v>0</v>
      </c>
      <c r="L175" s="462">
        <f t="shared" si="18"/>
        <v>0</v>
      </c>
      <c r="M175" s="464">
        <f>SUMIF('Audit entry'!$C:$C,'TB 25-26'!$D175,'Audit entry'!$D:$D)</f>
        <v>0</v>
      </c>
      <c r="N175" s="464">
        <f>SUMIF('Audit entry'!$C:$C,'TB 25-26'!$D175,'Audit entry'!$E:$E)</f>
        <v>49429.069999999578</v>
      </c>
      <c r="O175" s="462">
        <f t="shared" si="19"/>
        <v>0</v>
      </c>
      <c r="P175" s="462">
        <f t="shared" si="20"/>
        <v>49429.069999999578</v>
      </c>
      <c r="Q175" s="465" t="s">
        <v>613</v>
      </c>
      <c r="R175" s="465" t="s">
        <v>1087</v>
      </c>
      <c r="S175" s="465">
        <v>20</v>
      </c>
      <c r="T175" s="465" t="s">
        <v>401</v>
      </c>
      <c r="U175" s="465" t="s">
        <v>408</v>
      </c>
      <c r="V175" s="465"/>
      <c r="W175" s="465"/>
    </row>
    <row r="176" spans="1:23" ht="15" hidden="1" customHeight="1">
      <c r="A176" s="543"/>
      <c r="B176" s="543"/>
      <c r="C176" s="475" t="s">
        <v>398</v>
      </c>
      <c r="D176" s="475"/>
      <c r="E176" s="561">
        <v>0</v>
      </c>
      <c r="F176" s="561">
        <v>0</v>
      </c>
      <c r="G176" s="561">
        <f t="shared" si="15"/>
        <v>0</v>
      </c>
      <c r="H176" s="227">
        <f t="shared" si="16"/>
        <v>0</v>
      </c>
      <c r="I176" s="469">
        <v>0</v>
      </c>
      <c r="J176" s="227">
        <v>0</v>
      </c>
      <c r="K176" s="462">
        <f t="shared" si="17"/>
        <v>0</v>
      </c>
      <c r="L176" s="462">
        <f t="shared" si="18"/>
        <v>0</v>
      </c>
      <c r="M176" s="464">
        <f>SUMIF('Audit entry'!$C:$C,'TB 25-26'!$D176,'Audit entry'!$D:$D)</f>
        <v>0</v>
      </c>
      <c r="N176" s="464">
        <f>SUMIF('Audit entry'!$C:$C,'TB 25-26'!$D176,'Audit entry'!$E:$E)</f>
        <v>0</v>
      </c>
      <c r="O176" s="462">
        <f t="shared" si="19"/>
        <v>0</v>
      </c>
      <c r="P176" s="462">
        <f t="shared" si="20"/>
        <v>0</v>
      </c>
      <c r="V176" s="465"/>
      <c r="W176" s="465"/>
    </row>
    <row r="177" spans="1:25" ht="15" hidden="1" customHeight="1">
      <c r="A177" s="543"/>
      <c r="B177" s="543"/>
      <c r="C177" s="543"/>
      <c r="D177" s="476" t="s">
        <v>398</v>
      </c>
      <c r="E177" s="561">
        <v>0</v>
      </c>
      <c r="F177" s="561">
        <v>0</v>
      </c>
      <c r="G177" s="561">
        <f t="shared" si="15"/>
        <v>0</v>
      </c>
      <c r="H177" s="227">
        <f t="shared" si="16"/>
        <v>0</v>
      </c>
      <c r="I177" s="469">
        <v>0</v>
      </c>
      <c r="J177" s="227">
        <v>0</v>
      </c>
      <c r="K177" s="462">
        <f t="shared" si="17"/>
        <v>0</v>
      </c>
      <c r="L177" s="462">
        <f t="shared" si="18"/>
        <v>0</v>
      </c>
      <c r="M177" s="464">
        <f>SUMIF('Audit entry'!$C:$C,'TB 25-26'!$D177,'Audit entry'!$D:$D)</f>
        <v>0</v>
      </c>
      <c r="N177" s="464">
        <f>SUMIF('Audit entry'!$C:$C,'TB 25-26'!$D177,'Audit entry'!$E:$E)</f>
        <v>0</v>
      </c>
      <c r="O177" s="462">
        <f t="shared" si="19"/>
        <v>0</v>
      </c>
      <c r="P177" s="462">
        <f t="shared" si="20"/>
        <v>0</v>
      </c>
      <c r="V177" s="465"/>
      <c r="W177" s="465"/>
    </row>
    <row r="178" spans="1:25" ht="15" hidden="1" customHeight="1">
      <c r="A178" s="543"/>
      <c r="B178" s="543"/>
      <c r="C178" s="475" t="s">
        <v>399</v>
      </c>
      <c r="D178" s="475"/>
      <c r="E178" s="561">
        <v>0</v>
      </c>
      <c r="F178" s="561">
        <v>0</v>
      </c>
      <c r="G178" s="561">
        <f t="shared" si="15"/>
        <v>0</v>
      </c>
      <c r="H178" s="227">
        <f t="shared" si="16"/>
        <v>0</v>
      </c>
      <c r="I178" s="469">
        <v>0</v>
      </c>
      <c r="J178" s="227">
        <v>0</v>
      </c>
      <c r="K178" s="462">
        <f t="shared" si="17"/>
        <v>0</v>
      </c>
      <c r="L178" s="462">
        <f t="shared" si="18"/>
        <v>0</v>
      </c>
      <c r="M178" s="464">
        <f>SUMIF('Audit entry'!$C:$C,'TB 25-26'!$D178,'Audit entry'!$D:$D)</f>
        <v>0</v>
      </c>
      <c r="N178" s="464">
        <f>SUMIF('Audit entry'!$C:$C,'TB 25-26'!$D178,'Audit entry'!$E:$E)</f>
        <v>0</v>
      </c>
      <c r="O178" s="462">
        <f t="shared" si="19"/>
        <v>0</v>
      </c>
      <c r="P178" s="462">
        <f t="shared" si="20"/>
        <v>0</v>
      </c>
      <c r="V178" s="465"/>
      <c r="W178" s="465"/>
    </row>
    <row r="179" spans="1:25" ht="15" hidden="1" customHeight="1">
      <c r="A179" s="543"/>
      <c r="B179" s="543"/>
      <c r="C179" s="543"/>
      <c r="D179" s="476" t="s">
        <v>399</v>
      </c>
      <c r="E179" s="561">
        <v>0</v>
      </c>
      <c r="F179" s="561">
        <v>26374.647455784376</v>
      </c>
      <c r="G179" s="561">
        <v>0</v>
      </c>
      <c r="H179" s="561">
        <v>0</v>
      </c>
      <c r="I179" s="469">
        <v>534737.46</v>
      </c>
      <c r="J179" s="227">
        <v>0</v>
      </c>
      <c r="K179" s="462">
        <f t="shared" si="17"/>
        <v>534737.46</v>
      </c>
      <c r="L179" s="462">
        <f t="shared" si="18"/>
        <v>0</v>
      </c>
      <c r="M179" s="464">
        <f>SUMIF('Audit entry'!$C:$C,'TB 25-26'!$D179,'Audit entry'!$D:$D)</f>
        <v>31324.665000000001</v>
      </c>
      <c r="N179" s="464">
        <f>SUMIF('Audit entry'!$C:$C,'TB 25-26'!$D179,'Audit entry'!$E:$E)</f>
        <v>0</v>
      </c>
      <c r="O179" s="462">
        <f t="shared" si="19"/>
        <v>566062.125</v>
      </c>
      <c r="P179" s="462">
        <f t="shared" si="20"/>
        <v>0</v>
      </c>
      <c r="Q179" s="465" t="s">
        <v>400</v>
      </c>
      <c r="R179" s="465" t="s">
        <v>1087</v>
      </c>
      <c r="S179" s="465">
        <v>20</v>
      </c>
      <c r="T179" s="465" t="s">
        <v>401</v>
      </c>
      <c r="U179" s="465" t="s">
        <v>400</v>
      </c>
      <c r="X179" s="468"/>
      <c r="Y179" s="468"/>
    </row>
    <row r="180" spans="1:25" ht="15" hidden="1" customHeight="1">
      <c r="A180" s="543"/>
      <c r="B180" s="543"/>
      <c r="C180" s="543"/>
      <c r="D180" s="476" t="s">
        <v>402</v>
      </c>
      <c r="E180" s="561">
        <v>0</v>
      </c>
      <c r="F180" s="561">
        <v>7546.2600000000011</v>
      </c>
      <c r="G180" s="561">
        <v>0</v>
      </c>
      <c r="H180" s="561">
        <v>0</v>
      </c>
      <c r="I180" s="469">
        <v>0</v>
      </c>
      <c r="J180" s="227">
        <v>2682.56</v>
      </c>
      <c r="K180" s="462">
        <f t="shared" si="17"/>
        <v>0</v>
      </c>
      <c r="L180" s="462">
        <f t="shared" si="18"/>
        <v>2682.56</v>
      </c>
      <c r="M180" s="464">
        <f>SUMIF('Audit entry'!$C:$C,'TB 25-26'!$D180,'Audit entry'!$D:$D)</f>
        <v>0</v>
      </c>
      <c r="N180" s="464">
        <f>SUMIF('Audit entry'!$C:$C,'TB 25-26'!$D180,'Audit entry'!$E:$E)</f>
        <v>117689.92994700927</v>
      </c>
      <c r="O180" s="462">
        <f t="shared" si="19"/>
        <v>0</v>
      </c>
      <c r="P180" s="462">
        <f t="shared" si="20"/>
        <v>120372.48994700926</v>
      </c>
      <c r="Q180" s="465" t="s">
        <v>400</v>
      </c>
      <c r="R180" s="465" t="s">
        <v>1087</v>
      </c>
      <c r="S180" s="465">
        <v>20</v>
      </c>
      <c r="T180" s="465" t="s">
        <v>401</v>
      </c>
      <c r="U180" s="465" t="s">
        <v>400</v>
      </c>
    </row>
    <row r="181" spans="1:25" ht="15" hidden="1" customHeight="1">
      <c r="A181" s="543"/>
      <c r="B181" s="543"/>
      <c r="C181" s="475" t="s">
        <v>403</v>
      </c>
      <c r="D181" s="475"/>
      <c r="E181" s="561">
        <v>0</v>
      </c>
      <c r="F181" s="561">
        <v>0</v>
      </c>
      <c r="G181" s="561">
        <f t="shared" si="15"/>
        <v>0</v>
      </c>
      <c r="H181" s="227">
        <f t="shared" si="16"/>
        <v>0</v>
      </c>
      <c r="I181" s="469">
        <v>0</v>
      </c>
      <c r="J181" s="227">
        <v>0</v>
      </c>
      <c r="K181" s="462">
        <f t="shared" si="17"/>
        <v>0</v>
      </c>
      <c r="L181" s="462">
        <f t="shared" si="18"/>
        <v>0</v>
      </c>
      <c r="M181" s="464">
        <f>SUMIF('Audit entry'!$C:$C,'TB 25-26'!$D181,'Audit entry'!$D:$D)</f>
        <v>0</v>
      </c>
      <c r="N181" s="464">
        <f>SUMIF('Audit entry'!$C:$C,'TB 25-26'!$D181,'Audit entry'!$E:$E)</f>
        <v>0</v>
      </c>
      <c r="O181" s="462">
        <f t="shared" si="19"/>
        <v>0</v>
      </c>
      <c r="P181" s="462">
        <f t="shared" si="20"/>
        <v>0</v>
      </c>
      <c r="V181" s="465"/>
      <c r="W181" s="465"/>
    </row>
    <row r="182" spans="1:25" ht="15" hidden="1" customHeight="1">
      <c r="A182" s="543"/>
      <c r="B182" s="543"/>
      <c r="C182" s="543"/>
      <c r="D182" s="476" t="s">
        <v>404</v>
      </c>
      <c r="E182" s="561">
        <v>0</v>
      </c>
      <c r="F182" s="561">
        <v>0</v>
      </c>
      <c r="G182" s="561">
        <v>0</v>
      </c>
      <c r="H182" s="561">
        <v>0</v>
      </c>
      <c r="I182" s="469">
        <v>0</v>
      </c>
      <c r="J182" s="227">
        <v>0</v>
      </c>
      <c r="K182" s="462">
        <f t="shared" si="17"/>
        <v>0</v>
      </c>
      <c r="L182" s="462">
        <f t="shared" si="18"/>
        <v>0</v>
      </c>
      <c r="M182" s="464">
        <f>SUMIF('Audit entry'!$C:$C,'TB 25-26'!$D182,'Audit entry'!$D:$D)</f>
        <v>0</v>
      </c>
      <c r="N182" s="464">
        <f>SUMIF('Audit entry'!$C:$C,'TB 25-26'!$D182,'Audit entry'!$E:$E)</f>
        <v>0</v>
      </c>
      <c r="O182" s="462">
        <f t="shared" si="19"/>
        <v>0</v>
      </c>
      <c r="P182" s="462">
        <f t="shared" si="20"/>
        <v>0</v>
      </c>
      <c r="Q182" s="465" t="s">
        <v>405</v>
      </c>
      <c r="R182" s="465" t="s">
        <v>1087</v>
      </c>
      <c r="S182" s="465">
        <v>16</v>
      </c>
      <c r="T182" s="465" t="s">
        <v>393</v>
      </c>
      <c r="V182" s="465"/>
      <c r="W182" s="465"/>
    </row>
    <row r="183" spans="1:25" ht="15" hidden="1" customHeight="1">
      <c r="A183" s="543"/>
      <c r="B183" s="543"/>
      <c r="C183" s="543"/>
      <c r="D183" s="476" t="s">
        <v>406</v>
      </c>
      <c r="E183" s="561">
        <v>827.7600000002418</v>
      </c>
      <c r="F183" s="561">
        <v>0</v>
      </c>
      <c r="G183" s="561">
        <v>0</v>
      </c>
      <c r="H183" s="561">
        <v>0</v>
      </c>
      <c r="I183" s="469">
        <v>66.89</v>
      </c>
      <c r="J183" s="227">
        <v>0</v>
      </c>
      <c r="K183" s="462">
        <f t="shared" si="17"/>
        <v>66.89</v>
      </c>
      <c r="L183" s="462">
        <f t="shared" si="18"/>
        <v>0</v>
      </c>
      <c r="M183" s="464">
        <f>SUMIF('Audit entry'!$C:$C,'TB 25-26'!$D183,'Audit entry'!$D:$D)</f>
        <v>81.65999999491163</v>
      </c>
      <c r="N183" s="464">
        <f>SUMIF('Audit entry'!$C:$C,'TB 25-26'!$D183,'Audit entry'!$E:$E)</f>
        <v>0</v>
      </c>
      <c r="O183" s="462">
        <f t="shared" si="19"/>
        <v>148.54999999491162</v>
      </c>
      <c r="P183" s="462">
        <f t="shared" si="20"/>
        <v>0</v>
      </c>
      <c r="Q183" s="465" t="s">
        <v>407</v>
      </c>
      <c r="R183" s="465" t="s">
        <v>1087</v>
      </c>
      <c r="S183" s="465">
        <v>20</v>
      </c>
      <c r="T183" s="465" t="s">
        <v>401</v>
      </c>
      <c r="U183" s="465" t="s">
        <v>408</v>
      </c>
    </row>
    <row r="184" spans="1:25" ht="15" hidden="1" customHeight="1">
      <c r="A184" s="543"/>
      <c r="B184" s="543"/>
      <c r="C184" s="543"/>
      <c r="D184" s="476" t="s">
        <v>409</v>
      </c>
      <c r="E184" s="561">
        <v>0</v>
      </c>
      <c r="F184" s="561">
        <v>0</v>
      </c>
      <c r="G184" s="561">
        <v>0</v>
      </c>
      <c r="H184" s="561">
        <v>0</v>
      </c>
      <c r="I184" s="469">
        <v>0</v>
      </c>
      <c r="J184" s="227">
        <v>0</v>
      </c>
      <c r="K184" s="462">
        <f t="shared" si="17"/>
        <v>0</v>
      </c>
      <c r="L184" s="462">
        <f t="shared" si="18"/>
        <v>0</v>
      </c>
      <c r="M184" s="464">
        <f>SUMIF('Audit entry'!$C:$C,'TB 25-26'!$D184,'Audit entry'!$D:$D)</f>
        <v>0</v>
      </c>
      <c r="N184" s="464">
        <f>SUMIF('Audit entry'!$C:$C,'TB 25-26'!$D184,'Audit entry'!$E:$E)</f>
        <v>0</v>
      </c>
      <c r="O184" s="462">
        <f t="shared" si="19"/>
        <v>0</v>
      </c>
      <c r="P184" s="462">
        <f t="shared" si="20"/>
        <v>0</v>
      </c>
      <c r="Q184" s="465" t="s">
        <v>396</v>
      </c>
      <c r="R184" s="465" t="s">
        <v>1087</v>
      </c>
      <c r="S184" s="465">
        <v>16</v>
      </c>
      <c r="T184" s="465" t="s">
        <v>393</v>
      </c>
      <c r="V184" s="465"/>
      <c r="W184" s="465"/>
    </row>
    <row r="185" spans="1:25" ht="15" hidden="1" customHeight="1">
      <c r="A185" s="543"/>
      <c r="B185" s="543"/>
      <c r="C185" s="543"/>
      <c r="D185" s="476" t="s">
        <v>410</v>
      </c>
      <c r="E185" s="561">
        <v>0</v>
      </c>
      <c r="F185" s="561">
        <v>0</v>
      </c>
      <c r="G185" s="561">
        <v>0</v>
      </c>
      <c r="H185" s="561">
        <v>0</v>
      </c>
      <c r="I185" s="469">
        <v>0</v>
      </c>
      <c r="J185" s="227">
        <v>0</v>
      </c>
      <c r="K185" s="462">
        <f t="shared" si="17"/>
        <v>0</v>
      </c>
      <c r="L185" s="462">
        <f t="shared" si="18"/>
        <v>0</v>
      </c>
      <c r="M185" s="464">
        <f>SUMIF('Audit entry'!$C:$C,'TB 25-26'!$D185,'Audit entry'!$D:$D)</f>
        <v>0</v>
      </c>
      <c r="N185" s="464">
        <f>SUMIF('Audit entry'!$C:$C,'TB 25-26'!$D185,'Audit entry'!$E:$E)</f>
        <v>0</v>
      </c>
      <c r="O185" s="462">
        <f t="shared" si="19"/>
        <v>0</v>
      </c>
      <c r="P185" s="462">
        <f t="shared" si="20"/>
        <v>0</v>
      </c>
      <c r="Q185" s="465" t="s">
        <v>411</v>
      </c>
      <c r="R185" s="465" t="s">
        <v>1087</v>
      </c>
      <c r="S185" s="465">
        <v>16</v>
      </c>
      <c r="T185" s="465" t="s">
        <v>393</v>
      </c>
      <c r="V185" s="465"/>
      <c r="W185" s="465"/>
    </row>
    <row r="186" spans="1:25" ht="15" hidden="1" customHeight="1">
      <c r="A186" s="543"/>
      <c r="B186" s="543"/>
      <c r="C186" s="543"/>
      <c r="D186" s="476" t="s">
        <v>412</v>
      </c>
      <c r="E186" s="561">
        <v>0</v>
      </c>
      <c r="F186" s="561">
        <v>0</v>
      </c>
      <c r="G186" s="561">
        <v>0</v>
      </c>
      <c r="H186" s="561">
        <v>0</v>
      </c>
      <c r="I186" s="469">
        <v>0</v>
      </c>
      <c r="J186" s="227">
        <v>0</v>
      </c>
      <c r="K186" s="462">
        <f t="shared" si="17"/>
        <v>0</v>
      </c>
      <c r="L186" s="462">
        <f t="shared" si="18"/>
        <v>0</v>
      </c>
      <c r="M186" s="464">
        <f>SUMIF('Audit entry'!$C:$C,'TB 25-26'!$D186,'Audit entry'!$D:$D)</f>
        <v>0</v>
      </c>
      <c r="N186" s="464">
        <f>SUMIF('Audit entry'!$C:$C,'TB 25-26'!$D186,'Audit entry'!$E:$E)</f>
        <v>0</v>
      </c>
      <c r="O186" s="462">
        <f t="shared" si="19"/>
        <v>0</v>
      </c>
      <c r="P186" s="462">
        <f t="shared" si="20"/>
        <v>0</v>
      </c>
      <c r="Q186" s="465" t="s">
        <v>98</v>
      </c>
      <c r="R186" s="465" t="s">
        <v>1087</v>
      </c>
      <c r="S186" s="465">
        <v>16</v>
      </c>
      <c r="T186" s="465" t="s">
        <v>393</v>
      </c>
      <c r="V186" s="465"/>
      <c r="W186" s="465"/>
    </row>
    <row r="187" spans="1:25" ht="15" hidden="1" customHeight="1">
      <c r="A187" s="543"/>
      <c r="B187" s="543"/>
      <c r="C187" s="543"/>
      <c r="D187" s="591" t="s">
        <v>413</v>
      </c>
      <c r="E187" s="561">
        <v>0</v>
      </c>
      <c r="F187" s="561">
        <v>6273672.8499999996</v>
      </c>
      <c r="G187" s="561">
        <v>0</v>
      </c>
      <c r="H187" s="561">
        <v>0</v>
      </c>
      <c r="I187" s="469">
        <v>0</v>
      </c>
      <c r="J187" s="227">
        <v>5007389.66</v>
      </c>
      <c r="K187" s="462">
        <f t="shared" si="17"/>
        <v>0</v>
      </c>
      <c r="L187" s="462">
        <f t="shared" si="18"/>
        <v>5007389.66</v>
      </c>
      <c r="M187" s="464">
        <f>SUMIF('Audit entry'!$C:$C,'TB 25-26'!$D187,'Audit entry'!$D:$D)</f>
        <v>0</v>
      </c>
      <c r="N187" s="464">
        <f>SUMIF('Audit entry'!$C:$C,'TB 25-26'!$D187,'Audit entry'!$E:$E)</f>
        <v>0</v>
      </c>
      <c r="O187" s="462">
        <f t="shared" si="19"/>
        <v>0</v>
      </c>
      <c r="P187" s="477">
        <f t="shared" si="20"/>
        <v>5007389.66</v>
      </c>
      <c r="Q187" s="465" t="s">
        <v>414</v>
      </c>
      <c r="R187" s="465" t="s">
        <v>1087</v>
      </c>
      <c r="S187" s="465">
        <v>16</v>
      </c>
      <c r="T187" s="465" t="s">
        <v>393</v>
      </c>
      <c r="V187" s="465"/>
      <c r="W187" s="465"/>
    </row>
    <row r="188" spans="1:25" ht="15" hidden="1" customHeight="1">
      <c r="A188" s="543"/>
      <c r="B188" s="543"/>
      <c r="C188" s="543"/>
      <c r="D188" s="476" t="s">
        <v>389</v>
      </c>
      <c r="E188" s="561">
        <v>0</v>
      </c>
      <c r="F188" s="561">
        <v>0</v>
      </c>
      <c r="G188" s="561">
        <v>0</v>
      </c>
      <c r="H188" s="561">
        <v>0</v>
      </c>
      <c r="I188" s="469">
        <v>0</v>
      </c>
      <c r="J188" s="227">
        <v>0</v>
      </c>
      <c r="K188" s="462">
        <f t="shared" si="17"/>
        <v>0</v>
      </c>
      <c r="L188" s="462">
        <f t="shared" si="18"/>
        <v>0</v>
      </c>
      <c r="M188" s="464">
        <f>SUMIF('Audit entry'!$C:$C,'TB 25-26'!$D188,'Audit entry'!$D:$D)</f>
        <v>0</v>
      </c>
      <c r="N188" s="464">
        <f>SUMIF('Audit entry'!$C:$C,'TB 25-26'!$D188,'Audit entry'!$E:$E)</f>
        <v>0</v>
      </c>
      <c r="O188" s="462">
        <f t="shared" si="19"/>
        <v>0</v>
      </c>
      <c r="P188" s="462">
        <f t="shared" si="20"/>
        <v>0</v>
      </c>
      <c r="Q188" s="465" t="s">
        <v>98</v>
      </c>
      <c r="R188" s="465" t="s">
        <v>1087</v>
      </c>
      <c r="S188" s="465">
        <v>16</v>
      </c>
      <c r="T188" s="465" t="s">
        <v>393</v>
      </c>
      <c r="V188" s="465"/>
      <c r="W188" s="465"/>
    </row>
    <row r="189" spans="1:25" ht="15" hidden="1" customHeight="1">
      <c r="A189" s="475" t="s">
        <v>415</v>
      </c>
      <c r="B189" s="475"/>
      <c r="C189" s="475"/>
      <c r="D189" s="475"/>
      <c r="E189" s="561">
        <v>0</v>
      </c>
      <c r="F189" s="561">
        <v>0</v>
      </c>
      <c r="G189" s="561">
        <f t="shared" si="15"/>
        <v>0</v>
      </c>
      <c r="H189" s="227">
        <f t="shared" si="16"/>
        <v>0</v>
      </c>
      <c r="I189" s="469">
        <v>0</v>
      </c>
      <c r="J189" s="227">
        <v>0</v>
      </c>
      <c r="K189" s="462">
        <f t="shared" si="17"/>
        <v>0</v>
      </c>
      <c r="L189" s="462">
        <f t="shared" si="18"/>
        <v>0</v>
      </c>
      <c r="M189" s="464">
        <f>SUMIF('Audit entry'!$C:$C,'TB 25-26'!$D189,'Audit entry'!$D:$D)</f>
        <v>0</v>
      </c>
      <c r="N189" s="464">
        <f>SUMIF('Audit entry'!$C:$C,'TB 25-26'!$D189,'Audit entry'!$E:$E)</f>
        <v>0</v>
      </c>
      <c r="O189" s="462">
        <f t="shared" si="19"/>
        <v>0</v>
      </c>
      <c r="P189" s="462">
        <f t="shared" si="20"/>
        <v>0</v>
      </c>
      <c r="V189" s="465"/>
      <c r="W189" s="465"/>
    </row>
    <row r="190" spans="1:25" ht="15" hidden="1" customHeight="1">
      <c r="A190" s="543"/>
      <c r="B190" s="475" t="s">
        <v>416</v>
      </c>
      <c r="C190" s="475"/>
      <c r="D190" s="475"/>
      <c r="E190" s="561">
        <v>0</v>
      </c>
      <c r="F190" s="561">
        <v>0</v>
      </c>
      <c r="G190" s="561">
        <f t="shared" si="15"/>
        <v>0</v>
      </c>
      <c r="H190" s="227">
        <f t="shared" si="16"/>
        <v>0</v>
      </c>
      <c r="I190" s="469">
        <v>0</v>
      </c>
      <c r="J190" s="227">
        <v>0</v>
      </c>
      <c r="K190" s="462">
        <f t="shared" si="17"/>
        <v>0</v>
      </c>
      <c r="L190" s="462">
        <f t="shared" si="18"/>
        <v>0</v>
      </c>
      <c r="M190" s="464">
        <f>SUMIF('Audit entry'!$C:$C,'TB 25-26'!$D190,'Audit entry'!$D:$D)</f>
        <v>0</v>
      </c>
      <c r="N190" s="464">
        <f>SUMIF('Audit entry'!$C:$C,'TB 25-26'!$D190,'Audit entry'!$E:$E)</f>
        <v>0</v>
      </c>
      <c r="O190" s="462">
        <f t="shared" si="19"/>
        <v>0</v>
      </c>
      <c r="P190" s="462">
        <f t="shared" si="20"/>
        <v>0</v>
      </c>
      <c r="V190" s="465"/>
      <c r="W190" s="465"/>
    </row>
    <row r="191" spans="1:25" ht="15" hidden="1" customHeight="1">
      <c r="A191" s="543"/>
      <c r="B191" s="543"/>
      <c r="C191" s="475" t="s">
        <v>417</v>
      </c>
      <c r="D191" s="475"/>
      <c r="E191" s="561">
        <v>0</v>
      </c>
      <c r="F191" s="561">
        <v>0</v>
      </c>
      <c r="G191" s="561">
        <f t="shared" si="15"/>
        <v>0</v>
      </c>
      <c r="H191" s="227">
        <f t="shared" si="16"/>
        <v>0</v>
      </c>
      <c r="I191" s="469">
        <v>0</v>
      </c>
      <c r="J191" s="227">
        <v>0</v>
      </c>
      <c r="K191" s="462">
        <f t="shared" si="17"/>
        <v>0</v>
      </c>
      <c r="L191" s="462">
        <f t="shared" si="18"/>
        <v>0</v>
      </c>
      <c r="M191" s="464">
        <f>SUMIF('Audit entry'!$C:$C,'TB 25-26'!$D191,'Audit entry'!$D:$D)</f>
        <v>0</v>
      </c>
      <c r="N191" s="464">
        <f>SUMIF('Audit entry'!$C:$C,'TB 25-26'!$D191,'Audit entry'!$E:$E)</f>
        <v>0</v>
      </c>
      <c r="O191" s="462">
        <f t="shared" si="19"/>
        <v>0</v>
      </c>
      <c r="P191" s="462">
        <f t="shared" si="20"/>
        <v>0</v>
      </c>
      <c r="V191" s="465"/>
      <c r="W191" s="465"/>
    </row>
    <row r="192" spans="1:25" ht="15" hidden="1" customHeight="1">
      <c r="A192" s="543"/>
      <c r="B192" s="543"/>
      <c r="C192" s="543"/>
      <c r="D192" s="476" t="s">
        <v>418</v>
      </c>
      <c r="E192" s="561">
        <v>3213851.1099999994</v>
      </c>
      <c r="F192" s="561">
        <v>0</v>
      </c>
      <c r="G192" s="561">
        <v>0</v>
      </c>
      <c r="H192" s="561">
        <v>0</v>
      </c>
      <c r="I192" s="469">
        <v>2952773.65</v>
      </c>
      <c r="J192" s="227">
        <v>0</v>
      </c>
      <c r="K192" s="462">
        <f t="shared" si="17"/>
        <v>2952773.65</v>
      </c>
      <c r="L192" s="462">
        <f t="shared" si="18"/>
        <v>0</v>
      </c>
      <c r="M192" s="464">
        <f>SUMIF('Audit entry'!$C:$C,'TB 25-26'!$D192,'Audit entry'!$D:$D)</f>
        <v>0</v>
      </c>
      <c r="N192" s="464">
        <f>SUMIF('Audit entry'!$C:$C,'TB 25-26'!$D192,'Audit entry'!$E:$E)</f>
        <v>0</v>
      </c>
      <c r="O192" s="462">
        <f t="shared" si="19"/>
        <v>2952773.65</v>
      </c>
      <c r="P192" s="462">
        <f t="shared" si="20"/>
        <v>0</v>
      </c>
      <c r="Q192" s="465" t="s">
        <v>419</v>
      </c>
      <c r="R192" s="465" t="s">
        <v>1087</v>
      </c>
      <c r="S192" s="465">
        <v>17</v>
      </c>
      <c r="T192" s="465" t="s">
        <v>103</v>
      </c>
      <c r="V192" s="465"/>
      <c r="W192" s="465"/>
    </row>
    <row r="193" spans="1:23" ht="15" hidden="1" customHeight="1">
      <c r="A193" s="543"/>
      <c r="B193" s="543"/>
      <c r="C193" s="543"/>
      <c r="D193" s="476" t="s">
        <v>420</v>
      </c>
      <c r="E193" s="561">
        <v>0</v>
      </c>
      <c r="F193" s="561">
        <v>0</v>
      </c>
      <c r="G193" s="561">
        <v>0</v>
      </c>
      <c r="H193" s="561">
        <v>0</v>
      </c>
      <c r="I193" s="469">
        <v>0</v>
      </c>
      <c r="J193" s="227">
        <v>0</v>
      </c>
      <c r="K193" s="462">
        <f t="shared" si="17"/>
        <v>0</v>
      </c>
      <c r="L193" s="462">
        <f t="shared" si="18"/>
        <v>0</v>
      </c>
      <c r="M193" s="464">
        <f>SUMIF('Audit entry'!$C:$C,'TB 25-26'!$D193,'Audit entry'!$D:$D)</f>
        <v>0</v>
      </c>
      <c r="N193" s="464">
        <f>SUMIF('Audit entry'!$C:$C,'TB 25-26'!$D193,'Audit entry'!$E:$E)</f>
        <v>0</v>
      </c>
      <c r="O193" s="462">
        <f t="shared" si="19"/>
        <v>0</v>
      </c>
      <c r="P193" s="462">
        <f t="shared" si="20"/>
        <v>0</v>
      </c>
      <c r="Q193" s="465" t="s">
        <v>419</v>
      </c>
      <c r="R193" s="465" t="s">
        <v>1087</v>
      </c>
      <c r="S193" s="465">
        <v>17</v>
      </c>
      <c r="T193" s="465" t="s">
        <v>103</v>
      </c>
      <c r="V193" s="465"/>
      <c r="W193" s="465"/>
    </row>
    <row r="194" spans="1:23" ht="15" hidden="1" customHeight="1">
      <c r="A194" s="543"/>
      <c r="B194" s="543"/>
      <c r="C194" s="543"/>
      <c r="D194" s="476" t="s">
        <v>421</v>
      </c>
      <c r="E194" s="561">
        <v>114375960.40999998</v>
      </c>
      <c r="F194" s="561">
        <v>0</v>
      </c>
      <c r="G194" s="561">
        <v>0</v>
      </c>
      <c r="H194" s="561">
        <v>0</v>
      </c>
      <c r="I194" s="469">
        <v>77477417.890000001</v>
      </c>
      <c r="J194" s="227">
        <v>0</v>
      </c>
      <c r="K194" s="462">
        <f t="shared" si="17"/>
        <v>77477417.890000001</v>
      </c>
      <c r="L194" s="462">
        <f t="shared" si="18"/>
        <v>0</v>
      </c>
      <c r="M194" s="464">
        <f>SUMIF('Audit entry'!$C:$C,'TB 25-26'!$D194,'Audit entry'!$D:$D)</f>
        <v>0</v>
      </c>
      <c r="N194" s="464">
        <f>SUMIF('Audit entry'!$C:$C,'TB 25-26'!$D194,'Audit entry'!$E:$E)</f>
        <v>0</v>
      </c>
      <c r="O194" s="462">
        <f t="shared" si="19"/>
        <v>77477417.890000001</v>
      </c>
      <c r="P194" s="462">
        <f t="shared" si="20"/>
        <v>0</v>
      </c>
      <c r="Q194" s="465" t="s">
        <v>419</v>
      </c>
      <c r="R194" s="465" t="s">
        <v>1087</v>
      </c>
      <c r="S194" s="465">
        <v>17</v>
      </c>
      <c r="T194" s="465" t="s">
        <v>103</v>
      </c>
      <c r="V194" s="465"/>
      <c r="W194" s="465"/>
    </row>
    <row r="195" spans="1:23" ht="15" hidden="1" customHeight="1">
      <c r="A195" s="543"/>
      <c r="B195" s="543"/>
      <c r="C195" s="543"/>
      <c r="D195" s="476" t="s">
        <v>422</v>
      </c>
      <c r="E195" s="561">
        <v>16500</v>
      </c>
      <c r="F195" s="561">
        <v>0</v>
      </c>
      <c r="G195" s="561">
        <v>0</v>
      </c>
      <c r="H195" s="561">
        <v>0</v>
      </c>
      <c r="I195" s="469">
        <v>105055</v>
      </c>
      <c r="J195" s="227">
        <v>0</v>
      </c>
      <c r="K195" s="462">
        <f t="shared" si="17"/>
        <v>105055</v>
      </c>
      <c r="L195" s="462">
        <f t="shared" si="18"/>
        <v>0</v>
      </c>
      <c r="M195" s="464">
        <f>SUMIF('Audit entry'!$C:$C,'TB 25-26'!$D195,'Audit entry'!$D:$D)</f>
        <v>0</v>
      </c>
      <c r="N195" s="464">
        <f>SUMIF('Audit entry'!$C:$C,'TB 25-26'!$D195,'Audit entry'!$E:$E)</f>
        <v>0</v>
      </c>
      <c r="O195" s="462">
        <f t="shared" si="19"/>
        <v>105055</v>
      </c>
      <c r="P195" s="462">
        <f t="shared" si="20"/>
        <v>0</v>
      </c>
      <c r="Q195" s="465" t="s">
        <v>419</v>
      </c>
      <c r="R195" s="465" t="s">
        <v>1087</v>
      </c>
      <c r="S195" s="465">
        <v>17</v>
      </c>
      <c r="T195" s="465" t="s">
        <v>103</v>
      </c>
      <c r="V195" s="465"/>
      <c r="W195" s="465"/>
    </row>
    <row r="196" spans="1:23" ht="15" hidden="1" customHeight="1">
      <c r="A196" s="543"/>
      <c r="B196" s="543"/>
      <c r="C196" s="543"/>
      <c r="D196" s="476" t="s">
        <v>423</v>
      </c>
      <c r="E196" s="561">
        <v>0</v>
      </c>
      <c r="F196" s="561">
        <v>0</v>
      </c>
      <c r="G196" s="561">
        <v>0</v>
      </c>
      <c r="H196" s="561">
        <v>0</v>
      </c>
      <c r="I196" s="469">
        <v>0</v>
      </c>
      <c r="J196" s="227">
        <v>0</v>
      </c>
      <c r="K196" s="462">
        <f t="shared" si="17"/>
        <v>0</v>
      </c>
      <c r="L196" s="462">
        <f t="shared" si="18"/>
        <v>0</v>
      </c>
      <c r="M196" s="464">
        <f>SUMIF('Audit entry'!$C:$C,'TB 25-26'!$D196,'Audit entry'!$D:$D)</f>
        <v>0</v>
      </c>
      <c r="N196" s="464">
        <f>SUMIF('Audit entry'!$C:$C,'TB 25-26'!$D196,'Audit entry'!$E:$E)</f>
        <v>0</v>
      </c>
      <c r="O196" s="462">
        <f t="shared" si="19"/>
        <v>0</v>
      </c>
      <c r="P196" s="462">
        <f t="shared" si="20"/>
        <v>0</v>
      </c>
      <c r="Q196" s="465" t="s">
        <v>419</v>
      </c>
      <c r="R196" s="465" t="s">
        <v>1087</v>
      </c>
      <c r="S196" s="465">
        <v>17</v>
      </c>
      <c r="T196" s="465" t="s">
        <v>103</v>
      </c>
      <c r="V196" s="465"/>
      <c r="W196" s="465"/>
    </row>
    <row r="197" spans="1:23" ht="15" hidden="1" customHeight="1">
      <c r="A197" s="543"/>
      <c r="B197" s="543"/>
      <c r="C197" s="543"/>
      <c r="D197" s="476" t="s">
        <v>424</v>
      </c>
      <c r="E197" s="561">
        <v>0</v>
      </c>
      <c r="F197" s="561">
        <v>0</v>
      </c>
      <c r="G197" s="561">
        <v>0</v>
      </c>
      <c r="H197" s="561">
        <v>0</v>
      </c>
      <c r="I197" s="469">
        <v>0</v>
      </c>
      <c r="J197" s="227">
        <v>0</v>
      </c>
      <c r="K197" s="462">
        <f t="shared" si="17"/>
        <v>0</v>
      </c>
      <c r="L197" s="462">
        <f t="shared" si="18"/>
        <v>0</v>
      </c>
      <c r="M197" s="464">
        <f>SUMIF('Audit entry'!$C:$C,'TB 25-26'!$D197,'Audit entry'!$D:$D)</f>
        <v>0</v>
      </c>
      <c r="N197" s="464">
        <f>SUMIF('Audit entry'!$C:$C,'TB 25-26'!$D197,'Audit entry'!$E:$E)</f>
        <v>0</v>
      </c>
      <c r="O197" s="462">
        <f t="shared" si="19"/>
        <v>0</v>
      </c>
      <c r="P197" s="462">
        <f t="shared" si="20"/>
        <v>0</v>
      </c>
      <c r="Q197" s="465" t="s">
        <v>419</v>
      </c>
      <c r="R197" s="465" t="s">
        <v>1087</v>
      </c>
      <c r="S197" s="465">
        <v>17</v>
      </c>
      <c r="T197" s="465" t="s">
        <v>103</v>
      </c>
      <c r="V197" s="465"/>
      <c r="W197" s="465"/>
    </row>
    <row r="198" spans="1:23" ht="15" hidden="1" customHeight="1">
      <c r="A198" s="543"/>
      <c r="B198" s="543"/>
      <c r="C198" s="543"/>
      <c r="D198" s="476" t="s">
        <v>425</v>
      </c>
      <c r="E198" s="561">
        <v>0</v>
      </c>
      <c r="F198" s="561">
        <v>0</v>
      </c>
      <c r="G198" s="561">
        <v>0</v>
      </c>
      <c r="H198" s="561">
        <v>0</v>
      </c>
      <c r="I198" s="469">
        <v>0</v>
      </c>
      <c r="J198" s="227">
        <v>0</v>
      </c>
      <c r="K198" s="462">
        <f t="shared" si="17"/>
        <v>0</v>
      </c>
      <c r="L198" s="462">
        <f t="shared" si="18"/>
        <v>0</v>
      </c>
      <c r="M198" s="464">
        <f>SUMIF('Audit entry'!$C:$C,'TB 25-26'!$D198,'Audit entry'!$D:$D)</f>
        <v>0</v>
      </c>
      <c r="N198" s="464">
        <f>SUMIF('Audit entry'!$C:$C,'TB 25-26'!$D198,'Audit entry'!$E:$E)</f>
        <v>0</v>
      </c>
      <c r="O198" s="462">
        <f t="shared" si="19"/>
        <v>0</v>
      </c>
      <c r="P198" s="462">
        <f t="shared" si="20"/>
        <v>0</v>
      </c>
      <c r="Q198" s="465" t="s">
        <v>419</v>
      </c>
      <c r="R198" s="465" t="s">
        <v>1087</v>
      </c>
      <c r="S198" s="465">
        <v>17</v>
      </c>
      <c r="T198" s="465" t="s">
        <v>103</v>
      </c>
      <c r="V198" s="465"/>
      <c r="W198" s="465"/>
    </row>
    <row r="199" spans="1:23" ht="15" hidden="1" customHeight="1">
      <c r="A199" s="543"/>
      <c r="B199" s="543"/>
      <c r="C199" s="475" t="s">
        <v>426</v>
      </c>
      <c r="D199" s="475"/>
      <c r="E199" s="561">
        <v>0</v>
      </c>
      <c r="F199" s="561">
        <v>0</v>
      </c>
      <c r="G199" s="561">
        <f t="shared" si="15"/>
        <v>0</v>
      </c>
      <c r="H199" s="227">
        <f t="shared" si="16"/>
        <v>0</v>
      </c>
      <c r="I199" s="469">
        <v>0</v>
      </c>
      <c r="J199" s="227">
        <v>0</v>
      </c>
      <c r="K199" s="462">
        <f t="shared" si="17"/>
        <v>0</v>
      </c>
      <c r="L199" s="462">
        <f t="shared" si="18"/>
        <v>0</v>
      </c>
      <c r="M199" s="464">
        <f>SUMIF('Audit entry'!$C:$C,'TB 25-26'!$D199,'Audit entry'!$D:$D)</f>
        <v>0</v>
      </c>
      <c r="N199" s="464">
        <f>SUMIF('Audit entry'!$C:$C,'TB 25-26'!$D199,'Audit entry'!$E:$E)</f>
        <v>0</v>
      </c>
      <c r="O199" s="462">
        <f t="shared" si="19"/>
        <v>0</v>
      </c>
      <c r="P199" s="462">
        <f t="shared" si="20"/>
        <v>0</v>
      </c>
      <c r="V199" s="465"/>
      <c r="W199" s="465"/>
    </row>
    <row r="200" spans="1:23" ht="15" hidden="1" customHeight="1">
      <c r="A200" s="543"/>
      <c r="B200" s="543"/>
      <c r="C200" s="543"/>
      <c r="D200" s="476" t="s">
        <v>427</v>
      </c>
      <c r="E200" s="561">
        <v>22408406.379999999</v>
      </c>
      <c r="F200" s="561">
        <v>0</v>
      </c>
      <c r="G200" s="561">
        <v>0</v>
      </c>
      <c r="H200" s="561">
        <v>0</v>
      </c>
      <c r="I200" s="469">
        <v>19977644.120000001</v>
      </c>
      <c r="J200" s="227">
        <v>0</v>
      </c>
      <c r="K200" s="462">
        <f t="shared" si="17"/>
        <v>19977644.120000001</v>
      </c>
      <c r="L200" s="462">
        <f t="shared" si="18"/>
        <v>0</v>
      </c>
      <c r="M200" s="464">
        <f>SUMIF('Audit entry'!$C:$C,'TB 25-26'!$D200,'Audit entry'!$D:$D)</f>
        <v>0</v>
      </c>
      <c r="N200" s="464">
        <f>SUMIF('Audit entry'!$C:$C,'TB 25-26'!$D200,'Audit entry'!$E:$E)</f>
        <v>0</v>
      </c>
      <c r="O200" s="462">
        <f t="shared" si="19"/>
        <v>19977644.120000001</v>
      </c>
      <c r="P200" s="462">
        <f t="shared" si="20"/>
        <v>0</v>
      </c>
      <c r="Q200" s="465" t="s">
        <v>428</v>
      </c>
      <c r="R200" s="465" t="s">
        <v>1087</v>
      </c>
      <c r="S200" s="465">
        <v>17</v>
      </c>
      <c r="T200" s="465" t="s">
        <v>103</v>
      </c>
      <c r="V200" s="465"/>
      <c r="W200" s="465"/>
    </row>
    <row r="201" spans="1:23" ht="15" hidden="1" customHeight="1">
      <c r="A201" s="543"/>
      <c r="B201" s="543"/>
      <c r="C201" s="543"/>
      <c r="D201" s="476" t="s">
        <v>429</v>
      </c>
      <c r="E201" s="561">
        <v>1679331.46</v>
      </c>
      <c r="F201" s="561">
        <v>0</v>
      </c>
      <c r="G201" s="561">
        <v>0</v>
      </c>
      <c r="H201" s="561">
        <v>0</v>
      </c>
      <c r="I201" s="469">
        <v>2098289.4</v>
      </c>
      <c r="J201" s="227">
        <v>0</v>
      </c>
      <c r="K201" s="462">
        <f t="shared" si="17"/>
        <v>2098289.4</v>
      </c>
      <c r="L201" s="462">
        <f t="shared" si="18"/>
        <v>0</v>
      </c>
      <c r="M201" s="464">
        <f>SUMIF('Audit entry'!$C:$C,'TB 25-26'!$D201,'Audit entry'!$D:$D)</f>
        <v>0</v>
      </c>
      <c r="N201" s="464">
        <f>SUMIF('Audit entry'!$C:$C,'TB 25-26'!$D201,'Audit entry'!$E:$E)</f>
        <v>0</v>
      </c>
      <c r="O201" s="462">
        <f t="shared" si="19"/>
        <v>2098289.4</v>
      </c>
      <c r="P201" s="462">
        <f t="shared" si="20"/>
        <v>0</v>
      </c>
      <c r="Q201" s="465" t="s">
        <v>428</v>
      </c>
      <c r="R201" s="465" t="s">
        <v>1087</v>
      </c>
      <c r="S201" s="465">
        <v>17</v>
      </c>
      <c r="T201" s="465" t="s">
        <v>103</v>
      </c>
      <c r="V201" s="465"/>
      <c r="W201" s="465"/>
    </row>
    <row r="202" spans="1:23" ht="15" hidden="1" customHeight="1">
      <c r="A202" s="543"/>
      <c r="B202" s="543"/>
      <c r="C202" s="475" t="s">
        <v>430</v>
      </c>
      <c r="D202" s="475"/>
      <c r="E202" s="561">
        <v>0</v>
      </c>
      <c r="F202" s="561">
        <v>0</v>
      </c>
      <c r="G202" s="561">
        <f t="shared" ref="G202:G265" si="21">+E202</f>
        <v>0</v>
      </c>
      <c r="H202" s="227">
        <f t="shared" ref="H202:H265" si="22">+F202</f>
        <v>0</v>
      </c>
      <c r="I202" s="469">
        <v>0</v>
      </c>
      <c r="J202" s="227">
        <v>0</v>
      </c>
      <c r="K202" s="462">
        <f t="shared" si="17"/>
        <v>0</v>
      </c>
      <c r="L202" s="462">
        <f t="shared" si="18"/>
        <v>0</v>
      </c>
      <c r="M202" s="464">
        <f>SUMIF('Audit entry'!$C:$C,'TB 25-26'!$D202,'Audit entry'!$D:$D)</f>
        <v>0</v>
      </c>
      <c r="N202" s="464">
        <f>SUMIF('Audit entry'!$C:$C,'TB 25-26'!$D202,'Audit entry'!$E:$E)</f>
        <v>0</v>
      </c>
      <c r="O202" s="462">
        <f t="shared" si="19"/>
        <v>0</v>
      </c>
      <c r="P202" s="462">
        <f t="shared" si="20"/>
        <v>0</v>
      </c>
      <c r="V202" s="465"/>
      <c r="W202" s="465"/>
    </row>
    <row r="203" spans="1:23" ht="15" hidden="1" customHeight="1">
      <c r="A203" s="543"/>
      <c r="B203" s="543"/>
      <c r="C203" s="543"/>
      <c r="D203" s="476" t="s">
        <v>431</v>
      </c>
      <c r="E203" s="561">
        <v>65618240.920000024</v>
      </c>
      <c r="F203" s="561">
        <v>0</v>
      </c>
      <c r="G203" s="561">
        <v>0</v>
      </c>
      <c r="H203" s="561">
        <v>0</v>
      </c>
      <c r="I203" s="469">
        <v>46072303.649999999</v>
      </c>
      <c r="J203" s="227">
        <v>0</v>
      </c>
      <c r="K203" s="462">
        <f t="shared" ref="K203:K267" si="23">+IF((G203+I203-H203-J203&gt;0),G203+I203-H203-J203,0)</f>
        <v>46072303.649999999</v>
      </c>
      <c r="L203" s="462">
        <f t="shared" ref="L203:L267" si="24">+IF((H203+J203-G203-I203)&gt;0,H203+J203-G203-I203,0)</f>
        <v>0</v>
      </c>
      <c r="M203" s="464">
        <f>SUMIF('Audit entry'!$C:$C,'TB 25-26'!$D203,'Audit entry'!$D:$D)</f>
        <v>0</v>
      </c>
      <c r="N203" s="464">
        <f>SUMIF('Audit entry'!$C:$C,'TB 25-26'!$D203,'Audit entry'!$E:$E)</f>
        <v>0</v>
      </c>
      <c r="O203" s="462">
        <f t="shared" ref="O203:O267" si="25">+IF((K203+M203-L203-N203&gt;0),K203+M203-L203-N203,0)/Deno</f>
        <v>46072303.649999999</v>
      </c>
      <c r="P203" s="462">
        <f t="shared" ref="P203:P267" si="26">+IF((L203+N203-K203-M203)&gt;0,L203+N203-K203-M203,0)/Deno</f>
        <v>0</v>
      </c>
      <c r="Q203" s="465" t="s">
        <v>432</v>
      </c>
      <c r="R203" s="465" t="s">
        <v>1087</v>
      </c>
      <c r="S203" s="465">
        <v>17</v>
      </c>
      <c r="T203" s="465" t="s">
        <v>103</v>
      </c>
      <c r="V203" s="465"/>
      <c r="W203" s="465"/>
    </row>
    <row r="204" spans="1:23" ht="15" hidden="1" customHeight="1">
      <c r="A204" s="543"/>
      <c r="B204" s="543"/>
      <c r="C204" s="475" t="s">
        <v>433</v>
      </c>
      <c r="D204" s="475"/>
      <c r="E204" s="561">
        <v>0</v>
      </c>
      <c r="F204" s="561">
        <v>0</v>
      </c>
      <c r="G204" s="561">
        <f t="shared" si="21"/>
        <v>0</v>
      </c>
      <c r="H204" s="227">
        <f t="shared" si="22"/>
        <v>0</v>
      </c>
      <c r="I204" s="469">
        <v>0</v>
      </c>
      <c r="J204" s="227">
        <v>0</v>
      </c>
      <c r="K204" s="462">
        <f t="shared" si="23"/>
        <v>0</v>
      </c>
      <c r="L204" s="462">
        <f t="shared" si="24"/>
        <v>0</v>
      </c>
      <c r="M204" s="464">
        <f>SUMIF('Audit entry'!$C:$C,'TB 25-26'!$D204,'Audit entry'!$D:$D)</f>
        <v>0</v>
      </c>
      <c r="N204" s="464">
        <f>SUMIF('Audit entry'!$C:$C,'TB 25-26'!$D204,'Audit entry'!$E:$E)</f>
        <v>0</v>
      </c>
      <c r="O204" s="462">
        <f t="shared" si="25"/>
        <v>0</v>
      </c>
      <c r="P204" s="462">
        <f t="shared" si="26"/>
        <v>0</v>
      </c>
      <c r="V204" s="465"/>
      <c r="W204" s="465"/>
    </row>
    <row r="205" spans="1:23" ht="15" hidden="1" customHeight="1">
      <c r="A205" s="543"/>
      <c r="B205" s="543"/>
      <c r="C205" s="543"/>
      <c r="D205" s="476" t="s">
        <v>434</v>
      </c>
      <c r="E205" s="561">
        <v>8054463.0599999968</v>
      </c>
      <c r="F205" s="561">
        <v>0</v>
      </c>
      <c r="G205" s="561">
        <v>0</v>
      </c>
      <c r="H205" s="561">
        <v>0</v>
      </c>
      <c r="I205" s="469">
        <v>10518022.119999999</v>
      </c>
      <c r="J205" s="227">
        <v>0</v>
      </c>
      <c r="K205" s="462">
        <f t="shared" si="23"/>
        <v>10518022.119999999</v>
      </c>
      <c r="L205" s="462">
        <f t="shared" si="24"/>
        <v>0</v>
      </c>
      <c r="M205" s="464">
        <f>SUMIF('Audit entry'!$C:$C,'TB 25-26'!$D205,'Audit entry'!$D:$D)</f>
        <v>0</v>
      </c>
      <c r="N205" s="464">
        <f>SUMIF('Audit entry'!$C:$C,'TB 25-26'!$D205,'Audit entry'!$E:$E)</f>
        <v>0</v>
      </c>
      <c r="O205" s="462">
        <f t="shared" si="25"/>
        <v>10518022.119999999</v>
      </c>
      <c r="P205" s="462">
        <f t="shared" si="26"/>
        <v>0</v>
      </c>
      <c r="Q205" s="465" t="s">
        <v>435</v>
      </c>
      <c r="R205" s="465" t="s">
        <v>1087</v>
      </c>
      <c r="S205" s="465">
        <v>17</v>
      </c>
      <c r="T205" s="465" t="s">
        <v>103</v>
      </c>
      <c r="V205" s="465"/>
      <c r="W205" s="465"/>
    </row>
    <row r="206" spans="1:23" ht="15" hidden="1" customHeight="1">
      <c r="A206" s="543"/>
      <c r="B206" s="475" t="s">
        <v>436</v>
      </c>
      <c r="C206" s="475"/>
      <c r="D206" s="475"/>
      <c r="E206" s="561">
        <v>0</v>
      </c>
      <c r="F206" s="561">
        <v>0</v>
      </c>
      <c r="G206" s="561">
        <f t="shared" si="21"/>
        <v>0</v>
      </c>
      <c r="H206" s="227">
        <f t="shared" si="22"/>
        <v>0</v>
      </c>
      <c r="I206" s="469">
        <v>0</v>
      </c>
      <c r="J206" s="227">
        <v>0</v>
      </c>
      <c r="K206" s="462">
        <f t="shared" si="23"/>
        <v>0</v>
      </c>
      <c r="L206" s="462">
        <f t="shared" si="24"/>
        <v>0</v>
      </c>
      <c r="M206" s="464">
        <f>SUMIF('Audit entry'!$C:$C,'TB 25-26'!$D206,'Audit entry'!$D:$D)</f>
        <v>0</v>
      </c>
      <c r="N206" s="464">
        <f>SUMIF('Audit entry'!$C:$C,'TB 25-26'!$D206,'Audit entry'!$E:$E)</f>
        <v>0</v>
      </c>
      <c r="O206" s="462">
        <f t="shared" si="25"/>
        <v>0</v>
      </c>
      <c r="P206" s="462">
        <f t="shared" si="26"/>
        <v>0</v>
      </c>
      <c r="V206" s="465"/>
      <c r="W206" s="465"/>
    </row>
    <row r="207" spans="1:23" ht="15" hidden="1" customHeight="1">
      <c r="A207" s="543"/>
      <c r="B207" s="543"/>
      <c r="C207" s="475" t="s">
        <v>437</v>
      </c>
      <c r="D207" s="475"/>
      <c r="E207" s="561">
        <v>0</v>
      </c>
      <c r="F207" s="561">
        <v>0</v>
      </c>
      <c r="G207" s="561">
        <f t="shared" si="21"/>
        <v>0</v>
      </c>
      <c r="H207" s="227">
        <f t="shared" si="22"/>
        <v>0</v>
      </c>
      <c r="I207" s="469">
        <v>0</v>
      </c>
      <c r="J207" s="227">
        <v>0</v>
      </c>
      <c r="K207" s="462">
        <f t="shared" si="23"/>
        <v>0</v>
      </c>
      <c r="L207" s="462">
        <f t="shared" si="24"/>
        <v>0</v>
      </c>
      <c r="M207" s="464">
        <f>SUMIF('Audit entry'!$C:$C,'TB 25-26'!$D207,'Audit entry'!$D:$D)</f>
        <v>0</v>
      </c>
      <c r="N207" s="464">
        <f>SUMIF('Audit entry'!$C:$C,'TB 25-26'!$D207,'Audit entry'!$E:$E)</f>
        <v>0</v>
      </c>
      <c r="O207" s="462">
        <f t="shared" si="25"/>
        <v>0</v>
      </c>
      <c r="P207" s="462">
        <f t="shared" si="26"/>
        <v>0</v>
      </c>
      <c r="V207" s="465"/>
      <c r="W207" s="465"/>
    </row>
    <row r="208" spans="1:23" ht="15" hidden="1" customHeight="1">
      <c r="A208" s="543"/>
      <c r="B208" s="543"/>
      <c r="C208" s="543"/>
      <c r="D208" s="476" t="s">
        <v>438</v>
      </c>
      <c r="E208" s="561">
        <v>14038003</v>
      </c>
      <c r="F208" s="561">
        <v>0</v>
      </c>
      <c r="G208" s="561">
        <v>0</v>
      </c>
      <c r="H208" s="561">
        <v>0</v>
      </c>
      <c r="I208" s="469">
        <v>17889205</v>
      </c>
      <c r="J208" s="227">
        <v>0</v>
      </c>
      <c r="K208" s="462">
        <f t="shared" si="23"/>
        <v>17889205</v>
      </c>
      <c r="L208" s="462">
        <f t="shared" si="24"/>
        <v>0</v>
      </c>
      <c r="M208" s="464">
        <f>SUMIF('Audit entry'!$C:$C,'TB 25-26'!$D208,'Audit entry'!$D:$D)</f>
        <v>0</v>
      </c>
      <c r="N208" s="464">
        <f>SUMIF('Audit entry'!$C:$C,'TB 25-26'!$D208,'Audit entry'!$E:$E)</f>
        <v>0</v>
      </c>
      <c r="O208" s="462">
        <f t="shared" si="25"/>
        <v>17889205</v>
      </c>
      <c r="P208" s="462">
        <f t="shared" si="26"/>
        <v>0</v>
      </c>
      <c r="Q208" s="465" t="s">
        <v>439</v>
      </c>
      <c r="R208" s="465" t="s">
        <v>1087</v>
      </c>
      <c r="S208" s="465">
        <v>18</v>
      </c>
      <c r="T208" s="465" t="s">
        <v>104</v>
      </c>
      <c r="V208" s="465"/>
      <c r="W208" s="465"/>
    </row>
    <row r="209" spans="1:16363" ht="15" hidden="1" customHeight="1">
      <c r="A209" s="543"/>
      <c r="B209" s="543"/>
      <c r="C209" s="543"/>
      <c r="D209" s="476" t="s">
        <v>440</v>
      </c>
      <c r="E209" s="561">
        <v>0</v>
      </c>
      <c r="F209" s="561">
        <v>0</v>
      </c>
      <c r="G209" s="561">
        <v>0</v>
      </c>
      <c r="H209" s="561">
        <v>0</v>
      </c>
      <c r="I209" s="469">
        <v>0</v>
      </c>
      <c r="J209" s="227">
        <v>0</v>
      </c>
      <c r="K209" s="462">
        <f t="shared" si="23"/>
        <v>0</v>
      </c>
      <c r="L209" s="462">
        <f t="shared" si="24"/>
        <v>0</v>
      </c>
      <c r="M209" s="464">
        <f>SUMIF('Audit entry'!$C:$C,'TB 25-26'!$D209,'Audit entry'!$D:$D)</f>
        <v>0</v>
      </c>
      <c r="N209" s="464">
        <f>SUMIF('Audit entry'!$C:$C,'TB 25-26'!$D209,'Audit entry'!$E:$E)</f>
        <v>0</v>
      </c>
      <c r="O209" s="462">
        <f t="shared" si="25"/>
        <v>0</v>
      </c>
      <c r="P209" s="462">
        <f t="shared" si="26"/>
        <v>0</v>
      </c>
      <c r="Q209" s="465" t="s">
        <v>439</v>
      </c>
      <c r="R209" s="465" t="s">
        <v>1087</v>
      </c>
      <c r="S209" s="465">
        <v>18</v>
      </c>
      <c r="T209" s="465" t="s">
        <v>104</v>
      </c>
      <c r="V209" s="465"/>
      <c r="W209" s="465"/>
    </row>
    <row r="210" spans="1:16363" ht="15" hidden="1" customHeight="1">
      <c r="A210" s="545"/>
      <c r="B210" s="545"/>
      <c r="C210" s="545"/>
      <c r="D210" s="476" t="s">
        <v>441</v>
      </c>
      <c r="E210" s="561">
        <v>0</v>
      </c>
      <c r="F210" s="561">
        <v>0</v>
      </c>
      <c r="G210" s="561">
        <v>0</v>
      </c>
      <c r="H210" s="561">
        <v>0</v>
      </c>
      <c r="I210" s="469">
        <v>0</v>
      </c>
      <c r="J210" s="227">
        <v>0</v>
      </c>
      <c r="K210" s="462">
        <f t="shared" si="23"/>
        <v>0</v>
      </c>
      <c r="L210" s="462">
        <f t="shared" si="24"/>
        <v>0</v>
      </c>
      <c r="M210" s="464">
        <f>SUMIF('Audit entry'!$C:$C,'TB 25-26'!$D210,'Audit entry'!$D:$D)</f>
        <v>0</v>
      </c>
      <c r="N210" s="464">
        <f>SUMIF('Audit entry'!$C:$C,'TB 25-26'!$D210,'Audit entry'!$E:$E)</f>
        <v>0</v>
      </c>
      <c r="O210" s="462">
        <f t="shared" si="25"/>
        <v>0</v>
      </c>
      <c r="P210" s="462">
        <f t="shared" si="26"/>
        <v>0</v>
      </c>
      <c r="Q210" s="465" t="s">
        <v>439</v>
      </c>
      <c r="R210" s="465" t="s">
        <v>1087</v>
      </c>
      <c r="S210" s="465">
        <v>18</v>
      </c>
      <c r="T210" s="465" t="s">
        <v>104</v>
      </c>
      <c r="U210" s="545"/>
      <c r="V210" s="545"/>
      <c r="W210" s="545"/>
      <c r="X210" s="545"/>
      <c r="Y210" s="545"/>
      <c r="Z210" s="545"/>
      <c r="AA210" s="545"/>
      <c r="AB210" s="545"/>
      <c r="AC210" s="545"/>
      <c r="AD210" s="545"/>
      <c r="AE210" s="545"/>
      <c r="AF210" s="545"/>
      <c r="AG210" s="545"/>
      <c r="AH210" s="545"/>
      <c r="AI210" s="545"/>
      <c r="AJ210" s="545"/>
      <c r="AK210" s="545"/>
      <c r="AL210" s="545"/>
      <c r="AM210" s="545"/>
      <c r="AN210" s="545"/>
      <c r="AO210" s="545"/>
      <c r="AP210" s="545"/>
      <c r="AQ210" s="545"/>
      <c r="AR210" s="545"/>
      <c r="AS210" s="545"/>
      <c r="AT210" s="545"/>
      <c r="AU210" s="545"/>
      <c r="AV210" s="545"/>
      <c r="AW210" s="545"/>
      <c r="AX210" s="545"/>
      <c r="AY210" s="545"/>
      <c r="AZ210" s="545"/>
      <c r="BA210" s="545"/>
      <c r="BB210" s="545"/>
      <c r="BC210" s="545"/>
      <c r="BD210" s="545"/>
      <c r="BE210" s="545"/>
      <c r="BF210" s="545"/>
      <c r="BG210" s="545"/>
      <c r="BH210" s="545"/>
      <c r="BI210" s="545"/>
      <c r="BJ210" s="545"/>
      <c r="BK210" s="545"/>
      <c r="BL210" s="545"/>
      <c r="BM210" s="545"/>
      <c r="BN210" s="545"/>
      <c r="BO210" s="545"/>
      <c r="BP210" s="545"/>
      <c r="BQ210" s="545"/>
      <c r="BR210" s="545"/>
      <c r="BS210" s="545"/>
      <c r="BT210" s="545"/>
      <c r="BU210" s="545"/>
      <c r="BV210" s="545"/>
      <c r="BW210" s="545"/>
      <c r="BX210" s="545"/>
      <c r="BY210" s="545"/>
      <c r="BZ210" s="545"/>
      <c r="CA210" s="545"/>
      <c r="CB210" s="545"/>
      <c r="CC210" s="545"/>
      <c r="CD210" s="545"/>
      <c r="CE210" s="545"/>
      <c r="CF210" s="545"/>
      <c r="CG210" s="545"/>
      <c r="CH210" s="545"/>
      <c r="CI210" s="545"/>
      <c r="CJ210" s="545"/>
      <c r="CK210" s="545"/>
      <c r="CL210" s="545"/>
      <c r="CM210" s="545"/>
      <c r="CN210" s="545"/>
      <c r="CO210" s="545"/>
      <c r="CP210" s="545"/>
      <c r="CQ210" s="545"/>
      <c r="CR210" s="545"/>
      <c r="CS210" s="545"/>
      <c r="CT210" s="545"/>
      <c r="CU210" s="545"/>
      <c r="CV210" s="545"/>
      <c r="CW210" s="545"/>
      <c r="CX210" s="545"/>
      <c r="CY210" s="545"/>
      <c r="CZ210" s="545"/>
      <c r="DA210" s="545"/>
      <c r="DB210" s="545"/>
      <c r="DC210" s="545"/>
      <c r="DD210" s="545"/>
      <c r="DE210" s="545"/>
      <c r="DF210" s="545"/>
      <c r="DG210" s="545"/>
      <c r="DH210" s="545"/>
      <c r="DI210" s="545"/>
      <c r="DJ210" s="545"/>
      <c r="DK210" s="545"/>
      <c r="DL210" s="545"/>
      <c r="DM210" s="545"/>
      <c r="DN210" s="545"/>
      <c r="DO210" s="545"/>
      <c r="DP210" s="545"/>
      <c r="DQ210" s="545"/>
      <c r="DR210" s="545"/>
      <c r="DS210" s="545"/>
      <c r="DT210" s="545"/>
      <c r="DU210" s="545"/>
      <c r="DV210" s="545"/>
      <c r="DW210" s="545"/>
      <c r="DX210" s="545"/>
      <c r="DY210" s="545"/>
      <c r="DZ210" s="545"/>
      <c r="EA210" s="545"/>
      <c r="EB210" s="545"/>
      <c r="EC210" s="545"/>
      <c r="ED210" s="545"/>
      <c r="EE210" s="545"/>
      <c r="EF210" s="545"/>
      <c r="EG210" s="545"/>
      <c r="EH210" s="545"/>
      <c r="EI210" s="545"/>
      <c r="EJ210" s="545"/>
      <c r="EK210" s="545"/>
      <c r="EL210" s="545"/>
      <c r="EM210" s="545"/>
      <c r="EN210" s="545"/>
      <c r="EO210" s="545"/>
      <c r="EP210" s="545"/>
      <c r="EQ210" s="545"/>
      <c r="ER210" s="545"/>
      <c r="ES210" s="545"/>
      <c r="ET210" s="545"/>
      <c r="EU210" s="545"/>
      <c r="EV210" s="545"/>
      <c r="EW210" s="545"/>
      <c r="EX210" s="545"/>
      <c r="EY210" s="545"/>
      <c r="EZ210" s="545"/>
      <c r="FA210" s="545"/>
      <c r="FB210" s="545"/>
      <c r="FC210" s="545"/>
      <c r="FD210" s="545"/>
      <c r="FE210" s="545"/>
      <c r="FF210" s="545"/>
      <c r="FG210" s="545"/>
      <c r="FH210" s="545"/>
      <c r="FI210" s="545"/>
      <c r="FJ210" s="545"/>
      <c r="FK210" s="545"/>
      <c r="FL210" s="545"/>
      <c r="FM210" s="545"/>
      <c r="FN210" s="545"/>
      <c r="FO210" s="545"/>
      <c r="FP210" s="545"/>
      <c r="FQ210" s="545"/>
      <c r="FR210" s="545"/>
      <c r="FS210" s="545"/>
      <c r="FT210" s="545"/>
      <c r="FU210" s="545"/>
      <c r="FV210" s="545"/>
      <c r="FW210" s="545"/>
      <c r="FX210" s="545"/>
      <c r="FY210" s="545"/>
      <c r="FZ210" s="545"/>
      <c r="GA210" s="545"/>
      <c r="GB210" s="545"/>
      <c r="GC210" s="545"/>
      <c r="GD210" s="545"/>
      <c r="GE210" s="545"/>
      <c r="GF210" s="545"/>
      <c r="GG210" s="545"/>
      <c r="GH210" s="545"/>
      <c r="GI210" s="545"/>
      <c r="GJ210" s="545"/>
      <c r="GK210" s="545"/>
      <c r="GL210" s="545"/>
      <c r="GM210" s="545"/>
      <c r="GN210" s="545"/>
      <c r="GO210" s="545"/>
      <c r="GP210" s="545"/>
      <c r="GQ210" s="545"/>
      <c r="GR210" s="545"/>
      <c r="GS210" s="545"/>
      <c r="GT210" s="545"/>
      <c r="GU210" s="545"/>
      <c r="GV210" s="545"/>
      <c r="GW210" s="545"/>
      <c r="GX210" s="545"/>
      <c r="GY210" s="545"/>
      <c r="GZ210" s="545"/>
      <c r="HA210" s="545"/>
      <c r="HB210" s="545"/>
      <c r="HC210" s="545"/>
      <c r="HD210" s="545"/>
      <c r="HE210" s="545"/>
      <c r="HF210" s="545"/>
      <c r="HG210" s="545"/>
      <c r="HH210" s="545"/>
      <c r="HI210" s="545"/>
      <c r="HJ210" s="545"/>
      <c r="HK210" s="545"/>
      <c r="HL210" s="545"/>
      <c r="HM210" s="545"/>
      <c r="HN210" s="545"/>
      <c r="HO210" s="545"/>
      <c r="HP210" s="545"/>
      <c r="HQ210" s="545"/>
      <c r="HR210" s="545"/>
      <c r="HS210" s="545"/>
      <c r="HT210" s="545"/>
      <c r="HU210" s="545"/>
      <c r="HV210" s="545"/>
      <c r="HW210" s="545"/>
      <c r="HX210" s="545"/>
      <c r="HY210" s="545"/>
      <c r="HZ210" s="545"/>
      <c r="IA210" s="545"/>
      <c r="IB210" s="545"/>
      <c r="IC210" s="545"/>
      <c r="ID210" s="545"/>
      <c r="IE210" s="545"/>
      <c r="IF210" s="545"/>
      <c r="IG210" s="545"/>
      <c r="IH210" s="545"/>
      <c r="II210" s="545"/>
      <c r="IJ210" s="545"/>
      <c r="IK210" s="545"/>
      <c r="IL210" s="545"/>
      <c r="IM210" s="545"/>
      <c r="IN210" s="545"/>
      <c r="IO210" s="545"/>
      <c r="IP210" s="545"/>
      <c r="IQ210" s="545"/>
      <c r="IR210" s="545"/>
      <c r="IS210" s="545"/>
      <c r="IT210" s="545"/>
      <c r="IU210" s="545"/>
      <c r="IV210" s="545"/>
      <c r="IW210" s="545"/>
      <c r="IX210" s="545"/>
      <c r="IY210" s="545"/>
      <c r="IZ210" s="545"/>
      <c r="JA210" s="545"/>
      <c r="JB210" s="545"/>
      <c r="JC210" s="545"/>
      <c r="JD210" s="545"/>
      <c r="JE210" s="545"/>
      <c r="JF210" s="545"/>
      <c r="JG210" s="545"/>
      <c r="JH210" s="545"/>
      <c r="JI210" s="545"/>
      <c r="JJ210" s="545"/>
      <c r="JK210" s="545"/>
      <c r="JL210" s="545"/>
      <c r="JM210" s="545"/>
      <c r="JN210" s="545"/>
      <c r="JO210" s="545"/>
      <c r="JP210" s="545"/>
      <c r="JQ210" s="545"/>
      <c r="JR210" s="545"/>
      <c r="JS210" s="545"/>
      <c r="JT210" s="545"/>
      <c r="JU210" s="545"/>
      <c r="JV210" s="545"/>
      <c r="JW210" s="545"/>
      <c r="JX210" s="545"/>
      <c r="JY210" s="545"/>
      <c r="JZ210" s="545"/>
      <c r="KA210" s="545"/>
      <c r="KB210" s="545"/>
      <c r="KC210" s="545"/>
      <c r="KD210" s="545"/>
      <c r="KE210" s="545"/>
      <c r="KF210" s="545"/>
      <c r="KG210" s="545"/>
      <c r="KH210" s="545"/>
      <c r="KI210" s="545"/>
      <c r="KJ210" s="545"/>
      <c r="KK210" s="545"/>
      <c r="KL210" s="545"/>
      <c r="KM210" s="545"/>
      <c r="KN210" s="545"/>
      <c r="KO210" s="545"/>
      <c r="KP210" s="545"/>
      <c r="KQ210" s="545"/>
      <c r="KR210" s="545"/>
      <c r="KS210" s="545"/>
      <c r="KT210" s="545"/>
      <c r="KU210" s="545"/>
      <c r="KV210" s="545"/>
      <c r="KW210" s="545"/>
      <c r="KX210" s="545"/>
      <c r="KY210" s="545"/>
      <c r="KZ210" s="545"/>
      <c r="LA210" s="545"/>
      <c r="LB210" s="545"/>
      <c r="LC210" s="545"/>
      <c r="LD210" s="545"/>
      <c r="LE210" s="545"/>
      <c r="LF210" s="545"/>
      <c r="LG210" s="545"/>
      <c r="LH210" s="545"/>
      <c r="LI210" s="545"/>
      <c r="LJ210" s="545"/>
      <c r="LK210" s="545"/>
      <c r="LL210" s="545"/>
      <c r="LM210" s="545"/>
      <c r="LN210" s="545"/>
      <c r="LO210" s="545"/>
      <c r="LP210" s="545"/>
      <c r="LQ210" s="545"/>
      <c r="LR210" s="545"/>
      <c r="LS210" s="545"/>
      <c r="LT210" s="545"/>
      <c r="LU210" s="545"/>
      <c r="LV210" s="545"/>
      <c r="LW210" s="545"/>
      <c r="LX210" s="545"/>
      <c r="LY210" s="545"/>
      <c r="LZ210" s="545"/>
      <c r="MA210" s="545"/>
      <c r="MB210" s="545"/>
      <c r="MC210" s="545"/>
      <c r="MD210" s="545"/>
      <c r="ME210" s="545"/>
      <c r="MF210" s="545"/>
      <c r="MG210" s="545"/>
      <c r="MH210" s="545"/>
      <c r="MI210" s="545"/>
      <c r="MJ210" s="545"/>
      <c r="MK210" s="545"/>
      <c r="ML210" s="545"/>
      <c r="MM210" s="545"/>
      <c r="MN210" s="545"/>
      <c r="MO210" s="545"/>
      <c r="MP210" s="545"/>
      <c r="MQ210" s="545"/>
      <c r="MR210" s="545"/>
      <c r="MS210" s="545"/>
      <c r="MT210" s="545"/>
      <c r="MU210" s="545"/>
      <c r="MV210" s="545"/>
      <c r="MW210" s="545"/>
      <c r="MX210" s="545"/>
      <c r="MY210" s="545"/>
      <c r="MZ210" s="545"/>
      <c r="NA210" s="545"/>
      <c r="NB210" s="545"/>
      <c r="NC210" s="545"/>
      <c r="ND210" s="545"/>
      <c r="NE210" s="545"/>
      <c r="NF210" s="545"/>
      <c r="NG210" s="545"/>
      <c r="NH210" s="545"/>
      <c r="NI210" s="545"/>
      <c r="NJ210" s="545"/>
      <c r="NK210" s="545"/>
      <c r="NL210" s="545"/>
      <c r="NM210" s="545"/>
      <c r="NN210" s="545"/>
      <c r="NO210" s="545"/>
      <c r="NP210" s="545"/>
      <c r="NQ210" s="545"/>
      <c r="NR210" s="545"/>
      <c r="NS210" s="545"/>
      <c r="NT210" s="545"/>
      <c r="NU210" s="545"/>
      <c r="NV210" s="545"/>
      <c r="NW210" s="545"/>
      <c r="NX210" s="545"/>
      <c r="NY210" s="545"/>
      <c r="NZ210" s="545"/>
      <c r="OA210" s="545"/>
      <c r="OB210" s="545"/>
      <c r="OC210" s="545"/>
      <c r="OD210" s="545"/>
      <c r="OE210" s="545"/>
      <c r="OF210" s="545"/>
      <c r="OG210" s="545"/>
      <c r="OH210" s="545"/>
      <c r="OI210" s="545"/>
      <c r="OJ210" s="545"/>
      <c r="OK210" s="545"/>
      <c r="OL210" s="545"/>
      <c r="OM210" s="545"/>
      <c r="ON210" s="545"/>
      <c r="OO210" s="545"/>
      <c r="OP210" s="545"/>
      <c r="OQ210" s="545"/>
      <c r="OR210" s="545"/>
      <c r="OS210" s="545"/>
      <c r="OT210" s="545"/>
      <c r="OU210" s="545"/>
      <c r="OV210" s="545"/>
      <c r="OW210" s="545"/>
      <c r="OX210" s="545"/>
      <c r="OY210" s="545"/>
      <c r="OZ210" s="545"/>
      <c r="PA210" s="545"/>
      <c r="PB210" s="545"/>
      <c r="PC210" s="545"/>
      <c r="PD210" s="545"/>
      <c r="PE210" s="545"/>
      <c r="PF210" s="545"/>
      <c r="PG210" s="545"/>
      <c r="PH210" s="545"/>
      <c r="PI210" s="545"/>
      <c r="PJ210" s="545"/>
      <c r="PK210" s="545"/>
      <c r="PL210" s="545"/>
      <c r="PM210" s="545"/>
      <c r="PN210" s="545"/>
      <c r="PO210" s="545"/>
      <c r="PP210" s="545"/>
      <c r="PQ210" s="545"/>
      <c r="PR210" s="545"/>
      <c r="PS210" s="545"/>
      <c r="PT210" s="545"/>
      <c r="PU210" s="545"/>
      <c r="PV210" s="545"/>
      <c r="PW210" s="545"/>
      <c r="PX210" s="545"/>
      <c r="PY210" s="545"/>
      <c r="PZ210" s="545"/>
      <c r="QA210" s="545"/>
      <c r="QB210" s="545"/>
      <c r="QC210" s="545"/>
      <c r="QD210" s="545"/>
      <c r="QE210" s="545"/>
      <c r="QF210" s="545"/>
      <c r="QG210" s="545"/>
      <c r="QH210" s="545"/>
      <c r="QI210" s="545"/>
      <c r="QJ210" s="545"/>
      <c r="QK210" s="545"/>
      <c r="QL210" s="545"/>
      <c r="QM210" s="545"/>
      <c r="QN210" s="545"/>
      <c r="QO210" s="545"/>
      <c r="QP210" s="545"/>
      <c r="QQ210" s="545"/>
      <c r="QR210" s="545"/>
      <c r="QS210" s="545"/>
      <c r="QT210" s="545"/>
      <c r="QU210" s="545"/>
      <c r="QV210" s="545"/>
      <c r="QW210" s="545"/>
      <c r="QX210" s="545"/>
      <c r="QY210" s="545"/>
      <c r="QZ210" s="545"/>
      <c r="RA210" s="545"/>
      <c r="RB210" s="545"/>
      <c r="RC210" s="545"/>
      <c r="RD210" s="545"/>
      <c r="RE210" s="545"/>
      <c r="RF210" s="545"/>
      <c r="RG210" s="545"/>
      <c r="RH210" s="545"/>
      <c r="RI210" s="545"/>
      <c r="RJ210" s="545"/>
      <c r="RK210" s="545"/>
      <c r="RL210" s="545"/>
      <c r="RM210" s="545"/>
      <c r="RN210" s="545"/>
      <c r="RO210" s="545"/>
      <c r="RP210" s="545"/>
      <c r="RQ210" s="545"/>
      <c r="RR210" s="545"/>
      <c r="RS210" s="545"/>
      <c r="RT210" s="545"/>
      <c r="RU210" s="545"/>
      <c r="RV210" s="545"/>
      <c r="RW210" s="545"/>
      <c r="RX210" s="545"/>
      <c r="RY210" s="545"/>
      <c r="RZ210" s="545"/>
      <c r="SA210" s="545"/>
      <c r="SB210" s="545"/>
      <c r="SC210" s="545"/>
      <c r="SD210" s="545"/>
      <c r="SE210" s="545"/>
      <c r="SF210" s="545"/>
      <c r="SG210" s="545"/>
      <c r="SH210" s="545"/>
      <c r="SI210" s="545"/>
      <c r="SJ210" s="545"/>
      <c r="SK210" s="545"/>
      <c r="SL210" s="545"/>
      <c r="SM210" s="545"/>
      <c r="SN210" s="545"/>
      <c r="SO210" s="545"/>
      <c r="SP210" s="545"/>
      <c r="SQ210" s="545"/>
      <c r="SR210" s="545"/>
      <c r="SS210" s="545"/>
      <c r="ST210" s="545"/>
      <c r="SU210" s="545"/>
      <c r="SV210" s="545"/>
      <c r="SW210" s="545"/>
      <c r="SX210" s="545"/>
      <c r="SY210" s="545"/>
      <c r="SZ210" s="545"/>
      <c r="TA210" s="545"/>
      <c r="TB210" s="545"/>
      <c r="TC210" s="545"/>
      <c r="TD210" s="545"/>
      <c r="TE210" s="545"/>
      <c r="TF210" s="545"/>
      <c r="TG210" s="545"/>
      <c r="TH210" s="545"/>
      <c r="TI210" s="545"/>
      <c r="TJ210" s="545"/>
      <c r="TK210" s="545"/>
      <c r="TL210" s="545"/>
      <c r="TM210" s="545"/>
      <c r="TN210" s="545"/>
      <c r="TO210" s="545"/>
      <c r="TP210" s="545"/>
      <c r="TQ210" s="545"/>
      <c r="TR210" s="545"/>
      <c r="TS210" s="545"/>
      <c r="TT210" s="545"/>
      <c r="TU210" s="545"/>
      <c r="TV210" s="545"/>
      <c r="TW210" s="545"/>
      <c r="TX210" s="545"/>
      <c r="TY210" s="545"/>
      <c r="TZ210" s="545"/>
      <c r="UA210" s="545"/>
      <c r="UB210" s="545"/>
      <c r="UC210" s="545"/>
      <c r="UD210" s="545"/>
      <c r="UE210" s="545"/>
      <c r="UF210" s="545"/>
      <c r="UG210" s="545"/>
      <c r="UH210" s="545"/>
      <c r="UI210" s="545"/>
      <c r="UJ210" s="545"/>
      <c r="UK210" s="545"/>
      <c r="UL210" s="545"/>
      <c r="UM210" s="545"/>
      <c r="UN210" s="545"/>
      <c r="UO210" s="545"/>
      <c r="UP210" s="545"/>
      <c r="UQ210" s="545"/>
      <c r="UR210" s="545"/>
      <c r="US210" s="545"/>
      <c r="UT210" s="545"/>
      <c r="UU210" s="545"/>
      <c r="UV210" s="545"/>
      <c r="UW210" s="545"/>
      <c r="UX210" s="545"/>
      <c r="UY210" s="545"/>
      <c r="UZ210" s="545"/>
      <c r="VA210" s="545"/>
      <c r="VB210" s="545"/>
      <c r="VC210" s="545"/>
      <c r="VD210" s="545"/>
      <c r="VE210" s="545"/>
      <c r="VF210" s="545"/>
      <c r="VG210" s="545"/>
      <c r="VH210" s="545"/>
      <c r="VI210" s="545"/>
      <c r="VJ210" s="545"/>
      <c r="VK210" s="545"/>
      <c r="VL210" s="545"/>
      <c r="VM210" s="545"/>
      <c r="VN210" s="545"/>
      <c r="VO210" s="545"/>
      <c r="VP210" s="545"/>
      <c r="VQ210" s="545"/>
      <c r="VR210" s="545"/>
      <c r="VS210" s="545"/>
      <c r="VT210" s="545"/>
      <c r="VU210" s="545"/>
      <c r="VV210" s="545"/>
      <c r="VW210" s="545"/>
      <c r="VX210" s="545"/>
      <c r="VY210" s="545"/>
      <c r="VZ210" s="545"/>
      <c r="WA210" s="545"/>
      <c r="WB210" s="545"/>
      <c r="WC210" s="545"/>
      <c r="WD210" s="545"/>
      <c r="WE210" s="545"/>
      <c r="WF210" s="545"/>
      <c r="WG210" s="545"/>
      <c r="WH210" s="545"/>
      <c r="WI210" s="545"/>
      <c r="WJ210" s="545"/>
      <c r="WK210" s="545"/>
      <c r="WL210" s="545"/>
      <c r="WM210" s="545"/>
      <c r="WN210" s="545"/>
      <c r="WO210" s="545"/>
      <c r="WP210" s="545"/>
      <c r="WQ210" s="545"/>
      <c r="WR210" s="545"/>
      <c r="WS210" s="545"/>
      <c r="WT210" s="545"/>
      <c r="WU210" s="545"/>
      <c r="WV210" s="545"/>
      <c r="WW210" s="545"/>
      <c r="WX210" s="545"/>
      <c r="WY210" s="545"/>
      <c r="WZ210" s="545"/>
      <c r="XA210" s="545"/>
      <c r="XB210" s="545"/>
      <c r="XC210" s="545"/>
      <c r="XD210" s="545"/>
      <c r="XE210" s="545"/>
      <c r="XF210" s="545"/>
      <c r="XG210" s="545"/>
      <c r="XH210" s="545"/>
      <c r="XI210" s="545"/>
      <c r="XJ210" s="545"/>
      <c r="XK210" s="545"/>
      <c r="XL210" s="545"/>
      <c r="XM210" s="545"/>
      <c r="XN210" s="545"/>
      <c r="XO210" s="545"/>
      <c r="XP210" s="545"/>
      <c r="XQ210" s="545"/>
      <c r="XR210" s="545"/>
      <c r="XS210" s="545"/>
      <c r="XT210" s="545"/>
      <c r="XU210" s="545"/>
      <c r="XV210" s="545"/>
      <c r="XW210" s="545"/>
      <c r="XX210" s="545"/>
      <c r="XY210" s="545"/>
      <c r="XZ210" s="545"/>
      <c r="YA210" s="545"/>
      <c r="YB210" s="545"/>
      <c r="YC210" s="545"/>
      <c r="YD210" s="545"/>
      <c r="YE210" s="545"/>
      <c r="YF210" s="545"/>
      <c r="YG210" s="545"/>
      <c r="YH210" s="545"/>
      <c r="YI210" s="545"/>
      <c r="YJ210" s="545"/>
      <c r="YK210" s="545"/>
      <c r="YL210" s="545"/>
      <c r="YM210" s="545"/>
      <c r="YN210" s="545"/>
      <c r="YO210" s="545"/>
      <c r="YP210" s="545"/>
      <c r="YQ210" s="545"/>
      <c r="YR210" s="545"/>
      <c r="YS210" s="545"/>
      <c r="YT210" s="545"/>
      <c r="YU210" s="545"/>
      <c r="YV210" s="545"/>
      <c r="YW210" s="545"/>
      <c r="YX210" s="545"/>
      <c r="YY210" s="545"/>
      <c r="YZ210" s="545"/>
      <c r="ZA210" s="545"/>
      <c r="ZB210" s="545"/>
      <c r="ZC210" s="545"/>
      <c r="ZD210" s="545"/>
      <c r="ZE210" s="545"/>
      <c r="ZF210" s="545"/>
      <c r="ZG210" s="545"/>
      <c r="ZH210" s="545"/>
      <c r="ZI210" s="545"/>
      <c r="ZJ210" s="545"/>
      <c r="ZK210" s="545"/>
      <c r="ZL210" s="545"/>
      <c r="ZM210" s="545"/>
      <c r="ZN210" s="545"/>
      <c r="ZO210" s="545"/>
      <c r="ZP210" s="545"/>
      <c r="ZQ210" s="545"/>
      <c r="ZR210" s="545"/>
      <c r="ZS210" s="545"/>
      <c r="ZT210" s="545"/>
      <c r="ZU210" s="545"/>
      <c r="ZV210" s="545"/>
      <c r="ZW210" s="545"/>
      <c r="ZX210" s="545"/>
      <c r="ZY210" s="545"/>
      <c r="ZZ210" s="545"/>
      <c r="AAA210" s="545"/>
      <c r="AAB210" s="545"/>
      <c r="AAC210" s="545"/>
      <c r="AAD210" s="545"/>
      <c r="AAE210" s="545"/>
      <c r="AAF210" s="545"/>
      <c r="AAG210" s="545"/>
      <c r="AAH210" s="545"/>
      <c r="AAI210" s="545"/>
      <c r="AAJ210" s="545"/>
      <c r="AAK210" s="545"/>
      <c r="AAL210" s="545"/>
      <c r="AAM210" s="545"/>
      <c r="AAN210" s="545"/>
      <c r="AAO210" s="545"/>
      <c r="AAP210" s="545"/>
      <c r="AAQ210" s="545"/>
      <c r="AAR210" s="545"/>
      <c r="AAS210" s="545"/>
      <c r="AAT210" s="545"/>
      <c r="AAU210" s="545"/>
      <c r="AAV210" s="545"/>
      <c r="AAW210" s="545"/>
      <c r="AAX210" s="545"/>
      <c r="AAY210" s="545"/>
      <c r="AAZ210" s="545"/>
      <c r="ABA210" s="545"/>
      <c r="ABB210" s="545"/>
      <c r="ABC210" s="545"/>
      <c r="ABD210" s="545"/>
      <c r="ABE210" s="545"/>
      <c r="ABF210" s="545"/>
      <c r="ABG210" s="545"/>
      <c r="ABH210" s="545"/>
      <c r="ABI210" s="545"/>
      <c r="ABJ210" s="545"/>
      <c r="ABK210" s="545"/>
      <c r="ABL210" s="545"/>
      <c r="ABM210" s="545"/>
      <c r="ABN210" s="545"/>
      <c r="ABO210" s="545"/>
      <c r="ABP210" s="545"/>
      <c r="ABQ210" s="545"/>
      <c r="ABR210" s="545"/>
      <c r="ABS210" s="545"/>
      <c r="ABT210" s="545"/>
      <c r="ABU210" s="545"/>
      <c r="ABV210" s="545"/>
      <c r="ABW210" s="545"/>
      <c r="ABX210" s="545"/>
      <c r="ABY210" s="545"/>
      <c r="ABZ210" s="545"/>
      <c r="ACA210" s="545"/>
      <c r="ACB210" s="545"/>
      <c r="ACC210" s="545"/>
      <c r="ACD210" s="545"/>
      <c r="ACE210" s="545"/>
      <c r="ACF210" s="545"/>
      <c r="ACG210" s="545"/>
      <c r="ACH210" s="545"/>
      <c r="ACI210" s="545"/>
      <c r="ACJ210" s="545"/>
      <c r="ACK210" s="545"/>
      <c r="ACL210" s="545"/>
      <c r="ACM210" s="545"/>
      <c r="ACN210" s="545"/>
      <c r="ACO210" s="545"/>
      <c r="ACP210" s="545"/>
      <c r="ACQ210" s="545"/>
      <c r="ACR210" s="545"/>
      <c r="ACS210" s="545"/>
      <c r="ACT210" s="545"/>
      <c r="ACU210" s="545"/>
      <c r="ACV210" s="545"/>
      <c r="ACW210" s="545"/>
      <c r="ACX210" s="545"/>
      <c r="ACY210" s="545"/>
      <c r="ACZ210" s="545"/>
      <c r="ADA210" s="545"/>
      <c r="ADB210" s="545"/>
      <c r="ADC210" s="545"/>
      <c r="ADD210" s="545"/>
      <c r="ADE210" s="545"/>
      <c r="ADF210" s="545"/>
      <c r="ADG210" s="545"/>
      <c r="ADH210" s="545"/>
      <c r="ADI210" s="545"/>
      <c r="ADJ210" s="545"/>
      <c r="ADK210" s="545"/>
      <c r="ADL210" s="545"/>
      <c r="ADM210" s="545"/>
      <c r="ADN210" s="545"/>
      <c r="ADO210" s="545"/>
      <c r="ADP210" s="545"/>
      <c r="ADQ210" s="545"/>
      <c r="ADR210" s="545"/>
      <c r="ADS210" s="545"/>
      <c r="ADT210" s="545"/>
      <c r="ADU210" s="545"/>
      <c r="ADV210" s="545"/>
      <c r="ADW210" s="545"/>
      <c r="ADX210" s="545"/>
      <c r="ADY210" s="545"/>
      <c r="ADZ210" s="545"/>
      <c r="AEA210" s="545"/>
      <c r="AEB210" s="545"/>
      <c r="AEC210" s="545"/>
      <c r="AED210" s="545"/>
      <c r="AEE210" s="545"/>
      <c r="AEF210" s="545"/>
      <c r="AEG210" s="545"/>
      <c r="AEH210" s="545"/>
      <c r="AEI210" s="545"/>
      <c r="AEJ210" s="545"/>
      <c r="AEK210" s="545"/>
      <c r="AEL210" s="545"/>
      <c r="AEM210" s="545"/>
      <c r="AEN210" s="545"/>
      <c r="AEO210" s="545"/>
      <c r="AEP210" s="545"/>
      <c r="AEQ210" s="545"/>
      <c r="AER210" s="545"/>
      <c r="AES210" s="545"/>
      <c r="AET210" s="545"/>
      <c r="AEU210" s="545"/>
      <c r="AEV210" s="545"/>
      <c r="AEW210" s="545"/>
      <c r="AEX210" s="545"/>
      <c r="AEY210" s="545"/>
      <c r="AEZ210" s="545"/>
      <c r="AFA210" s="545"/>
      <c r="AFB210" s="545"/>
      <c r="AFC210" s="545"/>
      <c r="AFD210" s="545"/>
      <c r="AFE210" s="545"/>
      <c r="AFF210" s="545"/>
      <c r="AFG210" s="545"/>
      <c r="AFH210" s="545"/>
      <c r="AFI210" s="545"/>
      <c r="AFJ210" s="545"/>
      <c r="AFK210" s="545"/>
      <c r="AFL210" s="545"/>
      <c r="AFM210" s="545"/>
      <c r="AFN210" s="545"/>
      <c r="AFO210" s="545"/>
      <c r="AFP210" s="545"/>
      <c r="AFQ210" s="545"/>
      <c r="AFR210" s="545"/>
      <c r="AFS210" s="545"/>
      <c r="AFT210" s="545"/>
      <c r="AFU210" s="545"/>
      <c r="AFV210" s="545"/>
      <c r="AFW210" s="545"/>
      <c r="AFX210" s="545"/>
      <c r="AFY210" s="545"/>
      <c r="AFZ210" s="545"/>
      <c r="AGA210" s="545"/>
      <c r="AGB210" s="545"/>
      <c r="AGC210" s="545"/>
      <c r="AGD210" s="545"/>
      <c r="AGE210" s="545"/>
      <c r="AGF210" s="545"/>
      <c r="AGG210" s="545"/>
      <c r="AGH210" s="545"/>
      <c r="AGI210" s="545"/>
      <c r="AGJ210" s="545"/>
      <c r="AGK210" s="545"/>
      <c r="AGL210" s="545"/>
      <c r="AGM210" s="545"/>
      <c r="AGN210" s="545"/>
      <c r="AGO210" s="545"/>
      <c r="AGP210" s="545"/>
      <c r="AGQ210" s="545"/>
      <c r="AGR210" s="545"/>
      <c r="AGS210" s="545"/>
      <c r="AGT210" s="545"/>
      <c r="AGU210" s="545"/>
      <c r="AGV210" s="545"/>
      <c r="AGW210" s="545"/>
      <c r="AGX210" s="545"/>
      <c r="AGY210" s="545"/>
      <c r="AGZ210" s="545"/>
      <c r="AHA210" s="545"/>
      <c r="AHB210" s="545"/>
      <c r="AHC210" s="545"/>
      <c r="AHD210" s="545"/>
      <c r="AHE210" s="545"/>
      <c r="AHF210" s="545"/>
      <c r="AHG210" s="545"/>
      <c r="AHH210" s="545"/>
      <c r="AHI210" s="545"/>
      <c r="AHJ210" s="545"/>
      <c r="AHK210" s="545"/>
      <c r="AHL210" s="545"/>
      <c r="AHM210" s="545"/>
      <c r="AHN210" s="545"/>
      <c r="AHO210" s="545"/>
      <c r="AHP210" s="545"/>
      <c r="AHQ210" s="545"/>
      <c r="AHR210" s="545"/>
      <c r="AHS210" s="545"/>
      <c r="AHT210" s="545"/>
      <c r="AHU210" s="545"/>
      <c r="AHV210" s="545"/>
      <c r="AHW210" s="545"/>
      <c r="AHX210" s="545"/>
      <c r="AHY210" s="545"/>
      <c r="AHZ210" s="545"/>
      <c r="AIA210" s="545"/>
      <c r="AIB210" s="545"/>
      <c r="AIC210" s="545"/>
      <c r="AID210" s="545"/>
      <c r="AIE210" s="545"/>
      <c r="AIF210" s="545"/>
      <c r="AIG210" s="545"/>
      <c r="AIH210" s="545"/>
      <c r="AII210" s="545"/>
      <c r="AIJ210" s="545"/>
      <c r="AIK210" s="545"/>
      <c r="AIL210" s="545"/>
      <c r="AIM210" s="545"/>
      <c r="AIN210" s="545"/>
      <c r="AIO210" s="545"/>
      <c r="AIP210" s="545"/>
      <c r="AIQ210" s="545"/>
      <c r="AIR210" s="545"/>
      <c r="AIS210" s="545"/>
      <c r="AIT210" s="545"/>
      <c r="AIU210" s="545"/>
      <c r="AIV210" s="545"/>
      <c r="AIW210" s="545"/>
      <c r="AIX210" s="545"/>
      <c r="AIY210" s="545"/>
      <c r="AIZ210" s="545"/>
      <c r="AJA210" s="545"/>
      <c r="AJB210" s="545"/>
      <c r="AJC210" s="545"/>
      <c r="AJD210" s="545"/>
      <c r="AJE210" s="545"/>
      <c r="AJF210" s="545"/>
      <c r="AJG210" s="545"/>
      <c r="AJH210" s="545"/>
      <c r="AJI210" s="545"/>
      <c r="AJJ210" s="545"/>
      <c r="AJK210" s="545"/>
      <c r="AJL210" s="545"/>
      <c r="AJM210" s="545"/>
      <c r="AJN210" s="545"/>
      <c r="AJO210" s="545"/>
      <c r="AJP210" s="545"/>
      <c r="AJQ210" s="545"/>
      <c r="AJR210" s="545"/>
      <c r="AJS210" s="545"/>
      <c r="AJT210" s="545"/>
      <c r="AJU210" s="545"/>
      <c r="AJV210" s="545"/>
      <c r="AJW210" s="545"/>
      <c r="AJX210" s="545"/>
      <c r="AJY210" s="545"/>
      <c r="AJZ210" s="545"/>
      <c r="AKA210" s="545"/>
      <c r="AKB210" s="545"/>
      <c r="AKC210" s="545"/>
      <c r="AKD210" s="545"/>
      <c r="AKE210" s="545"/>
      <c r="AKF210" s="545"/>
      <c r="AKG210" s="545"/>
      <c r="AKH210" s="545"/>
      <c r="AKI210" s="545"/>
      <c r="AKJ210" s="545"/>
      <c r="AKK210" s="545"/>
      <c r="AKL210" s="545"/>
      <c r="AKM210" s="545"/>
      <c r="AKN210" s="545"/>
      <c r="AKO210" s="545"/>
      <c r="AKP210" s="545"/>
      <c r="AKQ210" s="545"/>
      <c r="AKR210" s="545"/>
      <c r="AKS210" s="545"/>
      <c r="AKT210" s="545"/>
      <c r="AKU210" s="545"/>
      <c r="AKV210" s="545"/>
      <c r="AKW210" s="545"/>
      <c r="AKX210" s="545"/>
      <c r="AKY210" s="545"/>
      <c r="AKZ210" s="545"/>
      <c r="ALA210" s="545"/>
      <c r="ALB210" s="545"/>
      <c r="ALC210" s="545"/>
      <c r="ALD210" s="545"/>
      <c r="ALE210" s="545"/>
      <c r="ALF210" s="545"/>
      <c r="ALG210" s="545"/>
      <c r="ALH210" s="545"/>
      <c r="ALI210" s="545"/>
      <c r="ALJ210" s="545"/>
      <c r="ALK210" s="545"/>
      <c r="ALL210" s="545"/>
      <c r="ALM210" s="545"/>
      <c r="ALN210" s="545"/>
      <c r="ALO210" s="545"/>
      <c r="ALP210" s="545"/>
      <c r="ALQ210" s="545"/>
      <c r="ALR210" s="545"/>
      <c r="ALS210" s="545"/>
      <c r="ALT210" s="545"/>
      <c r="ALU210" s="545"/>
      <c r="ALV210" s="545"/>
      <c r="ALW210" s="545"/>
      <c r="ALX210" s="545"/>
      <c r="ALY210" s="545"/>
      <c r="ALZ210" s="545"/>
      <c r="AMA210" s="545"/>
      <c r="AMB210" s="545"/>
      <c r="AMC210" s="545"/>
      <c r="AMD210" s="545"/>
      <c r="AME210" s="545"/>
      <c r="AMF210" s="545"/>
      <c r="AMG210" s="545"/>
      <c r="AMH210" s="545"/>
      <c r="AMI210" s="545"/>
      <c r="AMJ210" s="545"/>
      <c r="AMK210" s="545"/>
      <c r="AML210" s="545"/>
      <c r="AMM210" s="545"/>
      <c r="AMN210" s="545"/>
      <c r="AMO210" s="545"/>
      <c r="AMP210" s="545"/>
      <c r="AMQ210" s="545"/>
      <c r="AMR210" s="545"/>
      <c r="AMS210" s="545"/>
      <c r="AMT210" s="545"/>
      <c r="AMU210" s="545"/>
      <c r="AMV210" s="545"/>
      <c r="AMW210" s="545"/>
      <c r="AMX210" s="545"/>
      <c r="AMY210" s="545"/>
      <c r="AMZ210" s="545"/>
      <c r="ANA210" s="545"/>
      <c r="ANB210" s="545"/>
      <c r="ANC210" s="545"/>
      <c r="AND210" s="545"/>
      <c r="ANE210" s="545"/>
      <c r="ANF210" s="545"/>
      <c r="ANG210" s="545"/>
      <c r="ANH210" s="545"/>
      <c r="ANI210" s="545"/>
      <c r="ANJ210" s="545"/>
      <c r="ANK210" s="545"/>
      <c r="ANL210" s="545"/>
      <c r="ANM210" s="545"/>
      <c r="ANN210" s="545"/>
      <c r="ANO210" s="545"/>
      <c r="ANP210" s="545"/>
      <c r="ANQ210" s="545"/>
      <c r="ANR210" s="545"/>
      <c r="ANS210" s="545"/>
      <c r="ANT210" s="545"/>
      <c r="ANU210" s="545"/>
      <c r="ANV210" s="545"/>
      <c r="ANW210" s="545"/>
      <c r="ANX210" s="545"/>
      <c r="ANY210" s="545"/>
      <c r="ANZ210" s="545"/>
      <c r="AOA210" s="545"/>
      <c r="AOB210" s="545"/>
      <c r="AOC210" s="545"/>
      <c r="AOD210" s="545"/>
      <c r="AOE210" s="545"/>
      <c r="AOF210" s="545"/>
      <c r="AOG210" s="545"/>
      <c r="AOH210" s="545"/>
      <c r="AOI210" s="545"/>
      <c r="AOJ210" s="545"/>
      <c r="AOK210" s="545"/>
      <c r="AOL210" s="545"/>
      <c r="AOM210" s="545"/>
      <c r="AON210" s="545"/>
      <c r="AOO210" s="545"/>
      <c r="AOP210" s="545"/>
      <c r="AOQ210" s="545"/>
      <c r="AOR210" s="545"/>
      <c r="AOS210" s="545"/>
      <c r="AOT210" s="545"/>
      <c r="AOU210" s="545"/>
      <c r="AOV210" s="545"/>
      <c r="AOW210" s="545"/>
      <c r="AOX210" s="545"/>
      <c r="AOY210" s="545"/>
      <c r="AOZ210" s="545"/>
      <c r="APA210" s="545"/>
      <c r="APB210" s="545"/>
      <c r="APC210" s="545"/>
      <c r="APD210" s="545"/>
      <c r="APE210" s="545"/>
      <c r="APF210" s="545"/>
      <c r="APG210" s="545"/>
      <c r="APH210" s="545"/>
      <c r="API210" s="545"/>
      <c r="APJ210" s="545"/>
      <c r="APK210" s="545"/>
      <c r="APL210" s="545"/>
      <c r="APM210" s="545"/>
      <c r="APN210" s="545"/>
      <c r="APO210" s="545"/>
      <c r="APP210" s="545"/>
      <c r="APQ210" s="545"/>
      <c r="APR210" s="545"/>
      <c r="APS210" s="545"/>
      <c r="APT210" s="545"/>
      <c r="APU210" s="545"/>
      <c r="APV210" s="545"/>
      <c r="APW210" s="545"/>
      <c r="APX210" s="545"/>
      <c r="APY210" s="545"/>
      <c r="APZ210" s="545"/>
      <c r="AQA210" s="545"/>
      <c r="AQB210" s="545"/>
      <c r="AQC210" s="545"/>
      <c r="AQD210" s="545"/>
      <c r="AQE210" s="545"/>
      <c r="AQF210" s="545"/>
      <c r="AQG210" s="545"/>
      <c r="AQH210" s="545"/>
      <c r="AQI210" s="545"/>
      <c r="AQJ210" s="545"/>
      <c r="AQK210" s="545"/>
      <c r="AQL210" s="545"/>
      <c r="AQM210" s="545"/>
      <c r="AQN210" s="545"/>
      <c r="AQO210" s="545"/>
      <c r="AQP210" s="545"/>
      <c r="AQQ210" s="545"/>
      <c r="AQR210" s="545"/>
      <c r="AQS210" s="545"/>
      <c r="AQT210" s="545"/>
      <c r="AQU210" s="545"/>
      <c r="AQV210" s="545"/>
      <c r="AQW210" s="545"/>
      <c r="AQX210" s="545"/>
      <c r="AQY210" s="545"/>
      <c r="AQZ210" s="545"/>
      <c r="ARA210" s="545"/>
      <c r="ARB210" s="545"/>
      <c r="ARC210" s="545"/>
      <c r="ARD210" s="545"/>
      <c r="ARE210" s="545"/>
      <c r="ARF210" s="545"/>
      <c r="ARG210" s="545"/>
      <c r="ARH210" s="545"/>
      <c r="ARI210" s="545"/>
      <c r="ARJ210" s="545"/>
      <c r="ARK210" s="545"/>
      <c r="ARL210" s="545"/>
      <c r="ARM210" s="545"/>
      <c r="ARN210" s="545"/>
      <c r="ARO210" s="545"/>
      <c r="ARP210" s="545"/>
      <c r="ARQ210" s="545"/>
      <c r="ARR210" s="545"/>
      <c r="ARS210" s="545"/>
      <c r="ART210" s="545"/>
      <c r="ARU210" s="545"/>
      <c r="ARV210" s="545"/>
      <c r="ARW210" s="545"/>
      <c r="ARX210" s="545"/>
      <c r="ARY210" s="545"/>
      <c r="ARZ210" s="545"/>
      <c r="ASA210" s="545"/>
      <c r="ASB210" s="545"/>
      <c r="ASC210" s="545"/>
      <c r="ASD210" s="545"/>
      <c r="ASE210" s="545"/>
      <c r="ASF210" s="545"/>
      <c r="ASG210" s="545"/>
      <c r="ASH210" s="545"/>
      <c r="ASI210" s="545"/>
      <c r="ASJ210" s="545"/>
      <c r="ASK210" s="545"/>
      <c r="ASL210" s="545"/>
      <c r="ASM210" s="545"/>
      <c r="ASN210" s="545"/>
      <c r="ASO210" s="545"/>
      <c r="ASP210" s="545"/>
      <c r="ASQ210" s="545"/>
      <c r="ASR210" s="545"/>
      <c r="ASS210" s="545"/>
      <c r="AST210" s="545"/>
      <c r="ASU210" s="545"/>
      <c r="ASV210" s="545"/>
      <c r="ASW210" s="545"/>
      <c r="ASX210" s="545"/>
      <c r="ASY210" s="545"/>
      <c r="ASZ210" s="545"/>
      <c r="ATA210" s="545"/>
      <c r="ATB210" s="545"/>
      <c r="ATC210" s="545"/>
      <c r="ATD210" s="545"/>
      <c r="ATE210" s="545"/>
      <c r="ATF210" s="545"/>
      <c r="ATG210" s="545"/>
      <c r="ATH210" s="545"/>
      <c r="ATI210" s="545"/>
      <c r="ATJ210" s="545"/>
      <c r="ATK210" s="545"/>
      <c r="ATL210" s="545"/>
      <c r="ATM210" s="545"/>
      <c r="ATN210" s="545"/>
      <c r="ATO210" s="545"/>
      <c r="ATP210" s="545"/>
      <c r="ATQ210" s="545"/>
      <c r="ATR210" s="545"/>
      <c r="ATS210" s="545"/>
      <c r="ATT210" s="545"/>
      <c r="ATU210" s="545"/>
      <c r="ATV210" s="545"/>
      <c r="ATW210" s="545"/>
      <c r="ATX210" s="545"/>
      <c r="ATY210" s="545"/>
      <c r="ATZ210" s="545"/>
      <c r="AUA210" s="545"/>
      <c r="AUB210" s="545"/>
      <c r="AUC210" s="545"/>
      <c r="AUD210" s="545"/>
      <c r="AUE210" s="545"/>
      <c r="AUF210" s="545"/>
      <c r="AUG210" s="545"/>
      <c r="AUH210" s="545"/>
      <c r="AUI210" s="545"/>
      <c r="AUJ210" s="545"/>
      <c r="AUK210" s="545"/>
      <c r="AUL210" s="545"/>
      <c r="AUM210" s="545"/>
      <c r="AUN210" s="545"/>
      <c r="AUO210" s="545"/>
      <c r="AUP210" s="545"/>
      <c r="AUQ210" s="545"/>
      <c r="AUR210" s="545"/>
      <c r="AUS210" s="545"/>
      <c r="AUT210" s="545"/>
      <c r="AUU210" s="545"/>
      <c r="AUV210" s="545"/>
      <c r="AUW210" s="545"/>
      <c r="AUX210" s="545"/>
      <c r="AUY210" s="545"/>
      <c r="AUZ210" s="545"/>
      <c r="AVA210" s="545"/>
      <c r="AVB210" s="545"/>
      <c r="AVC210" s="545"/>
      <c r="AVD210" s="545"/>
      <c r="AVE210" s="545"/>
      <c r="AVF210" s="545"/>
      <c r="AVG210" s="545"/>
      <c r="AVH210" s="545"/>
      <c r="AVI210" s="545"/>
      <c r="AVJ210" s="545"/>
      <c r="AVK210" s="545"/>
      <c r="AVL210" s="545"/>
      <c r="AVM210" s="545"/>
      <c r="AVN210" s="545"/>
      <c r="AVO210" s="545"/>
      <c r="AVP210" s="545"/>
      <c r="AVQ210" s="545"/>
      <c r="AVR210" s="545"/>
      <c r="AVS210" s="545"/>
      <c r="AVT210" s="545"/>
      <c r="AVU210" s="545"/>
      <c r="AVV210" s="545"/>
      <c r="AVW210" s="545"/>
      <c r="AVX210" s="545"/>
      <c r="AVY210" s="545"/>
      <c r="AVZ210" s="545"/>
      <c r="AWA210" s="545"/>
      <c r="AWB210" s="545"/>
      <c r="AWC210" s="545"/>
      <c r="AWD210" s="545"/>
      <c r="AWE210" s="545"/>
      <c r="AWF210" s="545"/>
      <c r="AWG210" s="545"/>
      <c r="AWH210" s="545"/>
      <c r="AWI210" s="545"/>
      <c r="AWJ210" s="545"/>
      <c r="AWK210" s="545"/>
      <c r="AWL210" s="545"/>
      <c r="AWM210" s="545"/>
      <c r="AWN210" s="545"/>
      <c r="AWO210" s="545"/>
      <c r="AWP210" s="545"/>
      <c r="AWQ210" s="545"/>
      <c r="AWR210" s="545"/>
      <c r="AWS210" s="545"/>
      <c r="AWT210" s="545"/>
      <c r="AWU210" s="545"/>
      <c r="AWV210" s="545"/>
      <c r="AWW210" s="545"/>
      <c r="AWX210" s="545"/>
      <c r="AWY210" s="545"/>
      <c r="AWZ210" s="545"/>
      <c r="AXA210" s="545"/>
      <c r="AXB210" s="545"/>
      <c r="AXC210" s="545"/>
      <c r="AXD210" s="545"/>
      <c r="AXE210" s="545"/>
      <c r="AXF210" s="545"/>
      <c r="AXG210" s="545"/>
      <c r="AXH210" s="545"/>
      <c r="AXI210" s="545"/>
      <c r="AXJ210" s="545"/>
      <c r="AXK210" s="545"/>
      <c r="AXL210" s="545"/>
      <c r="AXM210" s="545"/>
      <c r="AXN210" s="545"/>
      <c r="AXO210" s="545"/>
      <c r="AXP210" s="545"/>
      <c r="AXQ210" s="545"/>
      <c r="AXR210" s="545"/>
      <c r="AXS210" s="545"/>
      <c r="AXT210" s="545"/>
      <c r="AXU210" s="545"/>
      <c r="AXV210" s="545"/>
      <c r="AXW210" s="545"/>
      <c r="AXX210" s="545"/>
      <c r="AXY210" s="545"/>
      <c r="AXZ210" s="545"/>
      <c r="AYA210" s="545"/>
      <c r="AYB210" s="545"/>
      <c r="AYC210" s="545"/>
      <c r="AYD210" s="545"/>
      <c r="AYE210" s="545"/>
      <c r="AYF210" s="545"/>
      <c r="AYG210" s="545"/>
      <c r="AYH210" s="545"/>
      <c r="AYI210" s="545"/>
      <c r="AYJ210" s="545"/>
      <c r="AYK210" s="545"/>
      <c r="AYL210" s="545"/>
      <c r="AYM210" s="545"/>
      <c r="AYN210" s="545"/>
      <c r="AYO210" s="545"/>
      <c r="AYP210" s="545"/>
      <c r="AYQ210" s="545"/>
      <c r="AYR210" s="545"/>
      <c r="AYS210" s="545"/>
      <c r="AYT210" s="545"/>
      <c r="AYU210" s="545"/>
      <c r="AYV210" s="545"/>
      <c r="AYW210" s="545"/>
      <c r="AYX210" s="545"/>
      <c r="AYY210" s="545"/>
      <c r="AYZ210" s="545"/>
      <c r="AZA210" s="545"/>
      <c r="AZB210" s="545"/>
      <c r="AZC210" s="545"/>
      <c r="AZD210" s="545"/>
      <c r="AZE210" s="545"/>
      <c r="AZF210" s="545"/>
      <c r="AZG210" s="545"/>
      <c r="AZH210" s="545"/>
      <c r="AZI210" s="545"/>
      <c r="AZJ210" s="545"/>
      <c r="AZK210" s="545"/>
      <c r="AZL210" s="545"/>
      <c r="AZM210" s="545"/>
      <c r="AZN210" s="545"/>
      <c r="AZO210" s="545"/>
      <c r="AZP210" s="545"/>
      <c r="AZQ210" s="545"/>
      <c r="AZR210" s="545"/>
      <c r="AZS210" s="545"/>
      <c r="AZT210" s="545"/>
      <c r="AZU210" s="545"/>
      <c r="AZV210" s="545"/>
      <c r="AZW210" s="545"/>
      <c r="AZX210" s="545"/>
      <c r="AZY210" s="545"/>
      <c r="AZZ210" s="545"/>
      <c r="BAA210" s="545"/>
      <c r="BAB210" s="545"/>
      <c r="BAC210" s="545"/>
      <c r="BAD210" s="545"/>
      <c r="BAE210" s="545"/>
      <c r="BAF210" s="545"/>
      <c r="BAG210" s="545"/>
      <c r="BAH210" s="545"/>
      <c r="BAI210" s="545"/>
      <c r="BAJ210" s="545"/>
      <c r="BAK210" s="545"/>
      <c r="BAL210" s="545"/>
      <c r="BAM210" s="545"/>
      <c r="BAN210" s="545"/>
      <c r="BAO210" s="545"/>
      <c r="BAP210" s="545"/>
      <c r="BAQ210" s="545"/>
      <c r="BAR210" s="545"/>
      <c r="BAS210" s="545"/>
      <c r="BAT210" s="545"/>
      <c r="BAU210" s="545"/>
      <c r="BAV210" s="545"/>
      <c r="BAW210" s="545"/>
      <c r="BAX210" s="545"/>
      <c r="BAY210" s="545"/>
      <c r="BAZ210" s="545"/>
      <c r="BBA210" s="545"/>
      <c r="BBB210" s="545"/>
      <c r="BBC210" s="545"/>
      <c r="BBD210" s="545"/>
      <c r="BBE210" s="545"/>
      <c r="BBF210" s="545"/>
      <c r="BBG210" s="545"/>
      <c r="BBH210" s="545"/>
      <c r="BBI210" s="545"/>
      <c r="BBJ210" s="545"/>
      <c r="BBK210" s="545"/>
      <c r="BBL210" s="545"/>
      <c r="BBM210" s="545"/>
      <c r="BBN210" s="545"/>
      <c r="BBO210" s="545"/>
      <c r="BBP210" s="545"/>
      <c r="BBQ210" s="545"/>
      <c r="BBR210" s="545"/>
      <c r="BBS210" s="545"/>
      <c r="BBT210" s="545"/>
      <c r="BBU210" s="545"/>
      <c r="BBV210" s="545"/>
      <c r="BBW210" s="545"/>
      <c r="BBX210" s="545"/>
      <c r="BBY210" s="545"/>
      <c r="BBZ210" s="545"/>
      <c r="BCA210" s="545"/>
      <c r="BCB210" s="545"/>
      <c r="BCC210" s="545"/>
      <c r="BCD210" s="545"/>
      <c r="BCE210" s="545"/>
      <c r="BCF210" s="545"/>
      <c r="BCG210" s="545"/>
      <c r="BCH210" s="545"/>
      <c r="BCI210" s="545"/>
      <c r="BCJ210" s="545"/>
      <c r="BCK210" s="545"/>
      <c r="BCL210" s="545"/>
      <c r="BCM210" s="545"/>
      <c r="BCN210" s="545"/>
      <c r="BCO210" s="545"/>
      <c r="BCP210" s="545"/>
      <c r="BCQ210" s="545"/>
      <c r="BCR210" s="545"/>
      <c r="BCS210" s="545"/>
      <c r="BCT210" s="545"/>
      <c r="BCU210" s="545"/>
      <c r="BCV210" s="545"/>
      <c r="BCW210" s="545"/>
      <c r="BCX210" s="545"/>
      <c r="BCY210" s="545"/>
      <c r="BCZ210" s="545"/>
      <c r="BDA210" s="545"/>
      <c r="BDB210" s="545"/>
      <c r="BDC210" s="545"/>
      <c r="BDD210" s="545"/>
      <c r="BDE210" s="545"/>
      <c r="BDF210" s="545"/>
      <c r="BDG210" s="545"/>
      <c r="BDH210" s="545"/>
      <c r="BDI210" s="545"/>
      <c r="BDJ210" s="545"/>
      <c r="BDK210" s="545"/>
      <c r="BDL210" s="545"/>
      <c r="BDM210" s="545"/>
      <c r="BDN210" s="545"/>
      <c r="BDO210" s="545"/>
      <c r="BDP210" s="545"/>
      <c r="BDQ210" s="545"/>
      <c r="BDR210" s="545"/>
      <c r="BDS210" s="545"/>
      <c r="BDT210" s="545"/>
      <c r="BDU210" s="545"/>
      <c r="BDV210" s="545"/>
      <c r="BDW210" s="545"/>
      <c r="BDX210" s="545"/>
      <c r="BDY210" s="545"/>
      <c r="BDZ210" s="545"/>
      <c r="BEA210" s="545"/>
      <c r="BEB210" s="545"/>
      <c r="BEC210" s="545"/>
      <c r="BED210" s="545"/>
      <c r="BEE210" s="545"/>
      <c r="BEF210" s="545"/>
      <c r="BEG210" s="545"/>
      <c r="BEH210" s="545"/>
      <c r="BEI210" s="545"/>
      <c r="BEJ210" s="545"/>
      <c r="BEK210" s="545"/>
      <c r="BEL210" s="545"/>
      <c r="BEM210" s="545"/>
      <c r="BEN210" s="545"/>
      <c r="BEO210" s="545"/>
      <c r="BEP210" s="545"/>
      <c r="BEQ210" s="545"/>
      <c r="BER210" s="545"/>
      <c r="BES210" s="545"/>
      <c r="BET210" s="545"/>
      <c r="BEU210" s="545"/>
      <c r="BEV210" s="545"/>
      <c r="BEW210" s="545"/>
      <c r="BEX210" s="545"/>
      <c r="BEY210" s="545"/>
      <c r="BEZ210" s="545"/>
      <c r="BFA210" s="545"/>
      <c r="BFB210" s="545"/>
      <c r="BFC210" s="545"/>
      <c r="BFD210" s="545"/>
      <c r="BFE210" s="545"/>
      <c r="BFF210" s="545"/>
      <c r="BFG210" s="545"/>
      <c r="BFH210" s="545"/>
      <c r="BFI210" s="545"/>
      <c r="BFJ210" s="545"/>
      <c r="BFK210" s="545"/>
      <c r="BFL210" s="545"/>
      <c r="BFM210" s="545"/>
      <c r="BFN210" s="545"/>
      <c r="BFO210" s="545"/>
      <c r="BFP210" s="545"/>
      <c r="BFQ210" s="545"/>
      <c r="BFR210" s="545"/>
      <c r="BFS210" s="545"/>
      <c r="BFT210" s="545"/>
      <c r="BFU210" s="545"/>
      <c r="BFV210" s="545"/>
      <c r="BFW210" s="545"/>
      <c r="BFX210" s="545"/>
      <c r="BFY210" s="545"/>
      <c r="BFZ210" s="545"/>
      <c r="BGA210" s="545"/>
      <c r="BGB210" s="545"/>
      <c r="BGC210" s="545"/>
      <c r="BGD210" s="545"/>
      <c r="BGE210" s="545"/>
      <c r="BGF210" s="545"/>
      <c r="BGG210" s="545"/>
      <c r="BGH210" s="545"/>
      <c r="BGI210" s="545"/>
      <c r="BGJ210" s="545"/>
      <c r="BGK210" s="545"/>
      <c r="BGL210" s="545"/>
      <c r="BGM210" s="545"/>
      <c r="BGN210" s="545"/>
      <c r="BGO210" s="545"/>
      <c r="BGP210" s="545"/>
      <c r="BGQ210" s="545"/>
      <c r="BGR210" s="545"/>
      <c r="BGS210" s="545"/>
      <c r="BGT210" s="545"/>
      <c r="BGU210" s="545"/>
      <c r="BGV210" s="545"/>
      <c r="BGW210" s="545"/>
      <c r="BGX210" s="545"/>
      <c r="BGY210" s="545"/>
      <c r="BGZ210" s="545"/>
      <c r="BHA210" s="545"/>
      <c r="BHB210" s="545"/>
      <c r="BHC210" s="545"/>
      <c r="BHD210" s="545"/>
      <c r="BHE210" s="545"/>
      <c r="BHF210" s="545"/>
      <c r="BHG210" s="545"/>
      <c r="BHH210" s="545"/>
      <c r="BHI210" s="545"/>
      <c r="BHJ210" s="545"/>
      <c r="BHK210" s="545"/>
      <c r="BHL210" s="545"/>
      <c r="BHM210" s="545"/>
      <c r="BHN210" s="545"/>
      <c r="BHO210" s="545"/>
      <c r="BHP210" s="545"/>
      <c r="BHQ210" s="545"/>
      <c r="BHR210" s="545"/>
      <c r="BHS210" s="545"/>
      <c r="BHT210" s="545"/>
      <c r="BHU210" s="545"/>
      <c r="BHV210" s="545"/>
      <c r="BHW210" s="545"/>
      <c r="BHX210" s="545"/>
      <c r="BHY210" s="545"/>
      <c r="BHZ210" s="545"/>
      <c r="BIA210" s="545"/>
      <c r="BIB210" s="545"/>
      <c r="BIC210" s="545"/>
      <c r="BID210" s="545"/>
      <c r="BIE210" s="545"/>
      <c r="BIF210" s="545"/>
      <c r="BIG210" s="545"/>
      <c r="BIH210" s="545"/>
      <c r="BII210" s="545"/>
      <c r="BIJ210" s="545"/>
      <c r="BIK210" s="545"/>
      <c r="BIL210" s="545"/>
      <c r="BIM210" s="545"/>
      <c r="BIN210" s="545"/>
      <c r="BIO210" s="545"/>
      <c r="BIP210" s="545"/>
      <c r="BIQ210" s="545"/>
      <c r="BIR210" s="545"/>
      <c r="BIS210" s="545"/>
      <c r="BIT210" s="545"/>
      <c r="BIU210" s="545"/>
      <c r="BIV210" s="545"/>
      <c r="BIW210" s="545"/>
      <c r="BIX210" s="545"/>
      <c r="BIY210" s="545"/>
      <c r="BIZ210" s="545"/>
      <c r="BJA210" s="545"/>
      <c r="BJB210" s="545"/>
      <c r="BJC210" s="545"/>
      <c r="BJD210" s="545"/>
      <c r="BJE210" s="545"/>
      <c r="BJF210" s="545"/>
      <c r="BJG210" s="545"/>
      <c r="BJH210" s="545"/>
      <c r="BJI210" s="545"/>
      <c r="BJJ210" s="545"/>
      <c r="BJK210" s="545"/>
      <c r="BJL210" s="545"/>
      <c r="BJM210" s="545"/>
      <c r="BJN210" s="545"/>
      <c r="BJO210" s="545"/>
      <c r="BJP210" s="545"/>
      <c r="BJQ210" s="545"/>
      <c r="BJR210" s="545"/>
      <c r="BJS210" s="545"/>
      <c r="BJT210" s="545"/>
      <c r="BJU210" s="545"/>
      <c r="BJV210" s="545"/>
      <c r="BJW210" s="545"/>
      <c r="BJX210" s="545"/>
      <c r="BJY210" s="545"/>
      <c r="BJZ210" s="545"/>
      <c r="BKA210" s="545"/>
      <c r="BKB210" s="545"/>
      <c r="BKC210" s="545"/>
      <c r="BKD210" s="545"/>
      <c r="BKE210" s="545"/>
      <c r="BKF210" s="545"/>
      <c r="BKG210" s="545"/>
      <c r="BKH210" s="545"/>
      <c r="BKI210" s="545"/>
      <c r="BKJ210" s="545"/>
      <c r="BKK210" s="545"/>
      <c r="BKL210" s="545"/>
      <c r="BKM210" s="545"/>
      <c r="BKN210" s="545"/>
      <c r="BKO210" s="545"/>
      <c r="BKP210" s="545"/>
      <c r="BKQ210" s="545"/>
      <c r="BKR210" s="545"/>
      <c r="BKS210" s="545"/>
      <c r="BKT210" s="545"/>
      <c r="BKU210" s="545"/>
      <c r="BKV210" s="545"/>
      <c r="BKW210" s="545"/>
      <c r="BKX210" s="545"/>
      <c r="BKY210" s="545"/>
      <c r="BKZ210" s="545"/>
      <c r="BLA210" s="545"/>
      <c r="BLB210" s="545"/>
      <c r="BLC210" s="545"/>
      <c r="BLD210" s="545"/>
      <c r="BLE210" s="545"/>
      <c r="BLF210" s="545"/>
      <c r="BLG210" s="545"/>
      <c r="BLH210" s="545"/>
      <c r="BLI210" s="545"/>
      <c r="BLJ210" s="545"/>
      <c r="BLK210" s="545"/>
      <c r="BLL210" s="545"/>
      <c r="BLM210" s="545"/>
      <c r="BLN210" s="545"/>
      <c r="BLO210" s="545"/>
      <c r="BLP210" s="545"/>
      <c r="BLQ210" s="545"/>
      <c r="BLR210" s="545"/>
      <c r="BLS210" s="545"/>
      <c r="BLT210" s="545"/>
      <c r="BLU210" s="545"/>
      <c r="BLV210" s="545"/>
      <c r="BLW210" s="545"/>
      <c r="BLX210" s="545"/>
      <c r="BLY210" s="545"/>
      <c r="BLZ210" s="545"/>
      <c r="BMA210" s="545"/>
      <c r="BMB210" s="545"/>
      <c r="BMC210" s="545"/>
      <c r="BMD210" s="545"/>
      <c r="BME210" s="545"/>
      <c r="BMF210" s="545"/>
      <c r="BMG210" s="545"/>
      <c r="BMH210" s="545"/>
      <c r="BMI210" s="545"/>
      <c r="BMJ210" s="545"/>
      <c r="BMK210" s="545"/>
      <c r="BML210" s="545"/>
      <c r="BMM210" s="545"/>
      <c r="BMN210" s="545"/>
      <c r="BMO210" s="545"/>
      <c r="BMP210" s="545"/>
      <c r="BMQ210" s="545"/>
      <c r="BMR210" s="545"/>
      <c r="BMS210" s="545"/>
      <c r="BMT210" s="545"/>
      <c r="BMU210" s="545"/>
      <c r="BMV210" s="545"/>
      <c r="BMW210" s="545"/>
      <c r="BMX210" s="545"/>
      <c r="BMY210" s="545"/>
      <c r="BMZ210" s="545"/>
      <c r="BNA210" s="545"/>
      <c r="BNB210" s="545"/>
      <c r="BNC210" s="545"/>
      <c r="BND210" s="545"/>
      <c r="BNE210" s="545"/>
      <c r="BNF210" s="545"/>
      <c r="BNG210" s="545"/>
      <c r="BNH210" s="545"/>
      <c r="BNI210" s="545"/>
      <c r="BNJ210" s="545"/>
      <c r="BNK210" s="545"/>
      <c r="BNL210" s="545"/>
      <c r="BNM210" s="545"/>
      <c r="BNN210" s="545"/>
      <c r="BNO210" s="545"/>
      <c r="BNP210" s="545"/>
      <c r="BNQ210" s="545"/>
      <c r="BNR210" s="545"/>
      <c r="BNS210" s="545"/>
      <c r="BNT210" s="545"/>
      <c r="BNU210" s="545"/>
      <c r="BNV210" s="545"/>
      <c r="BNW210" s="545"/>
      <c r="BNX210" s="545"/>
      <c r="BNY210" s="545"/>
      <c r="BNZ210" s="545"/>
      <c r="BOA210" s="545"/>
      <c r="BOB210" s="545"/>
      <c r="BOC210" s="545"/>
      <c r="BOD210" s="545"/>
      <c r="BOE210" s="545"/>
      <c r="BOF210" s="545"/>
      <c r="BOG210" s="545"/>
      <c r="BOH210" s="545"/>
      <c r="BOI210" s="545"/>
      <c r="BOJ210" s="545"/>
      <c r="BOK210" s="545"/>
      <c r="BOL210" s="545"/>
      <c r="BOM210" s="545"/>
      <c r="BON210" s="545"/>
      <c r="BOO210" s="545"/>
      <c r="BOP210" s="545"/>
      <c r="BOQ210" s="545"/>
      <c r="BOR210" s="545"/>
      <c r="BOS210" s="545"/>
      <c r="BOT210" s="545"/>
      <c r="BOU210" s="545"/>
      <c r="BOV210" s="545"/>
      <c r="BOW210" s="545"/>
      <c r="BOX210" s="545"/>
      <c r="BOY210" s="545"/>
      <c r="BOZ210" s="545"/>
      <c r="BPA210" s="545"/>
      <c r="BPB210" s="545"/>
      <c r="BPC210" s="545"/>
      <c r="BPD210" s="545"/>
      <c r="BPE210" s="545"/>
      <c r="BPF210" s="545"/>
      <c r="BPG210" s="545"/>
      <c r="BPH210" s="545"/>
      <c r="BPI210" s="545"/>
      <c r="BPJ210" s="545"/>
      <c r="BPK210" s="545"/>
      <c r="BPL210" s="545"/>
      <c r="BPM210" s="545"/>
      <c r="BPN210" s="545"/>
      <c r="BPO210" s="545"/>
      <c r="BPP210" s="545"/>
      <c r="BPQ210" s="545"/>
      <c r="BPR210" s="545"/>
      <c r="BPS210" s="545"/>
      <c r="BPT210" s="545"/>
      <c r="BPU210" s="545"/>
      <c r="BPV210" s="545"/>
      <c r="BPW210" s="545"/>
      <c r="BPX210" s="545"/>
      <c r="BPY210" s="545"/>
      <c r="BPZ210" s="545"/>
      <c r="BQA210" s="545"/>
      <c r="BQB210" s="545"/>
      <c r="BQC210" s="545"/>
      <c r="BQD210" s="545"/>
      <c r="BQE210" s="545"/>
      <c r="BQF210" s="545"/>
      <c r="BQG210" s="545"/>
      <c r="BQH210" s="545"/>
      <c r="BQI210" s="545"/>
      <c r="BQJ210" s="545"/>
      <c r="BQK210" s="545"/>
      <c r="BQL210" s="545"/>
      <c r="BQM210" s="545"/>
      <c r="BQN210" s="545"/>
      <c r="BQO210" s="545"/>
      <c r="BQP210" s="545"/>
      <c r="BQQ210" s="545"/>
      <c r="BQR210" s="545"/>
      <c r="BQS210" s="545"/>
      <c r="BQT210" s="545"/>
      <c r="BQU210" s="545"/>
      <c r="BQV210" s="545"/>
      <c r="BQW210" s="545"/>
      <c r="BQX210" s="545"/>
      <c r="BQY210" s="545"/>
      <c r="BQZ210" s="545"/>
      <c r="BRA210" s="545"/>
      <c r="BRB210" s="545"/>
      <c r="BRC210" s="545"/>
      <c r="BRD210" s="545"/>
      <c r="BRE210" s="545"/>
      <c r="BRF210" s="545"/>
      <c r="BRG210" s="545"/>
      <c r="BRH210" s="545"/>
      <c r="BRI210" s="545"/>
      <c r="BRJ210" s="545"/>
      <c r="BRK210" s="545"/>
      <c r="BRL210" s="545"/>
      <c r="BRM210" s="545"/>
      <c r="BRN210" s="545"/>
      <c r="BRO210" s="545"/>
      <c r="BRP210" s="545"/>
      <c r="BRQ210" s="545"/>
      <c r="BRR210" s="545"/>
      <c r="BRS210" s="545"/>
      <c r="BRT210" s="545"/>
      <c r="BRU210" s="545"/>
      <c r="BRV210" s="545"/>
      <c r="BRW210" s="545"/>
      <c r="BRX210" s="545"/>
      <c r="BRY210" s="545"/>
      <c r="BRZ210" s="545"/>
      <c r="BSA210" s="545"/>
      <c r="BSB210" s="545"/>
      <c r="BSC210" s="545"/>
      <c r="BSD210" s="545"/>
      <c r="BSE210" s="545"/>
      <c r="BSF210" s="545"/>
      <c r="BSG210" s="545"/>
      <c r="BSH210" s="545"/>
      <c r="BSI210" s="545"/>
      <c r="BSJ210" s="545"/>
      <c r="BSK210" s="545"/>
      <c r="BSL210" s="545"/>
      <c r="BSM210" s="545"/>
      <c r="BSN210" s="545"/>
      <c r="BSO210" s="545"/>
      <c r="BSP210" s="545"/>
      <c r="BSQ210" s="545"/>
      <c r="BSR210" s="545"/>
      <c r="BSS210" s="545"/>
      <c r="BST210" s="545"/>
      <c r="BSU210" s="545"/>
      <c r="BSV210" s="545"/>
      <c r="BSW210" s="545"/>
      <c r="BSX210" s="545"/>
      <c r="BSY210" s="545"/>
      <c r="BSZ210" s="545"/>
      <c r="BTA210" s="545"/>
      <c r="BTB210" s="545"/>
      <c r="BTC210" s="545"/>
      <c r="BTD210" s="545"/>
      <c r="BTE210" s="545"/>
      <c r="BTF210" s="545"/>
      <c r="BTG210" s="545"/>
      <c r="BTH210" s="545"/>
      <c r="BTI210" s="545"/>
      <c r="BTJ210" s="545"/>
      <c r="BTK210" s="545"/>
      <c r="BTL210" s="545"/>
      <c r="BTM210" s="545"/>
      <c r="BTN210" s="545"/>
      <c r="BTO210" s="545"/>
      <c r="BTP210" s="545"/>
      <c r="BTQ210" s="545"/>
      <c r="BTR210" s="545"/>
      <c r="BTS210" s="545"/>
      <c r="BTT210" s="545"/>
      <c r="BTU210" s="545"/>
      <c r="BTV210" s="545"/>
      <c r="BTW210" s="545"/>
      <c r="BTX210" s="545"/>
      <c r="BTY210" s="545"/>
      <c r="BTZ210" s="545"/>
      <c r="BUA210" s="545"/>
      <c r="BUB210" s="545"/>
      <c r="BUC210" s="545"/>
      <c r="BUD210" s="545"/>
      <c r="BUE210" s="545"/>
      <c r="BUF210" s="545"/>
      <c r="BUG210" s="545"/>
      <c r="BUH210" s="545"/>
      <c r="BUI210" s="545"/>
      <c r="BUJ210" s="545"/>
      <c r="BUK210" s="545"/>
      <c r="BUL210" s="545"/>
      <c r="BUM210" s="545"/>
      <c r="BUN210" s="545"/>
      <c r="BUO210" s="545"/>
      <c r="BUP210" s="545"/>
      <c r="BUQ210" s="545"/>
      <c r="BUR210" s="545"/>
      <c r="BUS210" s="545"/>
      <c r="BUT210" s="545"/>
      <c r="BUU210" s="545"/>
      <c r="BUV210" s="545"/>
      <c r="BUW210" s="545"/>
      <c r="BUX210" s="545"/>
      <c r="BUY210" s="545"/>
      <c r="BUZ210" s="545"/>
      <c r="BVA210" s="545"/>
      <c r="BVB210" s="545"/>
      <c r="BVC210" s="545"/>
      <c r="BVD210" s="545"/>
      <c r="BVE210" s="545"/>
      <c r="BVF210" s="545"/>
      <c r="BVG210" s="545"/>
      <c r="BVH210" s="545"/>
      <c r="BVI210" s="545"/>
      <c r="BVJ210" s="545"/>
      <c r="BVK210" s="545"/>
      <c r="BVL210" s="545"/>
      <c r="BVM210" s="545"/>
      <c r="BVN210" s="545"/>
      <c r="BVO210" s="545"/>
      <c r="BVP210" s="545"/>
      <c r="BVQ210" s="545"/>
      <c r="BVR210" s="545"/>
      <c r="BVS210" s="545"/>
      <c r="BVT210" s="545"/>
      <c r="BVU210" s="545"/>
      <c r="BVV210" s="545"/>
      <c r="BVW210" s="545"/>
      <c r="BVX210" s="545"/>
      <c r="BVY210" s="545"/>
      <c r="BVZ210" s="545"/>
      <c r="BWA210" s="545"/>
      <c r="BWB210" s="545"/>
      <c r="BWC210" s="545"/>
      <c r="BWD210" s="545"/>
      <c r="BWE210" s="545"/>
      <c r="BWF210" s="545"/>
      <c r="BWG210" s="545"/>
      <c r="BWH210" s="545"/>
      <c r="BWI210" s="545"/>
      <c r="BWJ210" s="545"/>
      <c r="BWK210" s="545"/>
      <c r="BWL210" s="545"/>
      <c r="BWM210" s="545"/>
      <c r="BWN210" s="545"/>
      <c r="BWO210" s="545"/>
      <c r="BWP210" s="545"/>
      <c r="BWQ210" s="545"/>
      <c r="BWR210" s="545"/>
      <c r="BWS210" s="545"/>
      <c r="BWT210" s="545"/>
      <c r="BWU210" s="545"/>
      <c r="BWV210" s="545"/>
      <c r="BWW210" s="545"/>
      <c r="BWX210" s="545"/>
      <c r="BWY210" s="545"/>
      <c r="BWZ210" s="545"/>
      <c r="BXA210" s="545"/>
      <c r="BXB210" s="545"/>
      <c r="BXC210" s="545"/>
      <c r="BXD210" s="545"/>
      <c r="BXE210" s="545"/>
      <c r="BXF210" s="545"/>
      <c r="BXG210" s="545"/>
      <c r="BXH210" s="545"/>
      <c r="BXI210" s="545"/>
      <c r="BXJ210" s="545"/>
      <c r="BXK210" s="545"/>
      <c r="BXL210" s="545"/>
      <c r="BXM210" s="545"/>
      <c r="BXN210" s="545"/>
      <c r="BXO210" s="545"/>
      <c r="BXP210" s="545"/>
      <c r="BXQ210" s="545"/>
      <c r="BXR210" s="545"/>
      <c r="BXS210" s="545"/>
      <c r="BXT210" s="545"/>
      <c r="BXU210" s="545"/>
      <c r="BXV210" s="545"/>
      <c r="BXW210" s="545"/>
      <c r="BXX210" s="545"/>
      <c r="BXY210" s="545"/>
      <c r="BXZ210" s="545"/>
      <c r="BYA210" s="545"/>
      <c r="BYB210" s="545"/>
      <c r="BYC210" s="545"/>
      <c r="BYD210" s="545"/>
      <c r="BYE210" s="545"/>
      <c r="BYF210" s="545"/>
      <c r="BYG210" s="545"/>
      <c r="BYH210" s="545"/>
      <c r="BYI210" s="545"/>
      <c r="BYJ210" s="545"/>
      <c r="BYK210" s="545"/>
      <c r="BYL210" s="545"/>
      <c r="BYM210" s="545"/>
      <c r="BYN210" s="545"/>
      <c r="BYO210" s="545"/>
      <c r="BYP210" s="545"/>
      <c r="BYQ210" s="545"/>
      <c r="BYR210" s="545"/>
      <c r="BYS210" s="545"/>
      <c r="BYT210" s="545"/>
      <c r="BYU210" s="545"/>
      <c r="BYV210" s="545"/>
      <c r="BYW210" s="545"/>
      <c r="BYX210" s="545"/>
      <c r="BYY210" s="545"/>
      <c r="BYZ210" s="545"/>
      <c r="BZA210" s="545"/>
      <c r="BZB210" s="545"/>
      <c r="BZC210" s="545"/>
      <c r="BZD210" s="545"/>
      <c r="BZE210" s="545"/>
      <c r="BZF210" s="545"/>
      <c r="BZG210" s="545"/>
      <c r="BZH210" s="545"/>
      <c r="BZI210" s="545"/>
      <c r="BZJ210" s="545"/>
      <c r="BZK210" s="545"/>
      <c r="BZL210" s="545"/>
      <c r="BZM210" s="545"/>
      <c r="BZN210" s="545"/>
      <c r="BZO210" s="545"/>
      <c r="BZP210" s="545"/>
      <c r="BZQ210" s="545"/>
      <c r="BZR210" s="545"/>
      <c r="BZS210" s="545"/>
      <c r="BZT210" s="545"/>
      <c r="BZU210" s="545"/>
      <c r="BZV210" s="545"/>
      <c r="BZW210" s="545"/>
      <c r="BZX210" s="545"/>
      <c r="BZY210" s="545"/>
      <c r="BZZ210" s="545"/>
      <c r="CAA210" s="545"/>
      <c r="CAB210" s="545"/>
      <c r="CAC210" s="545"/>
      <c r="CAD210" s="545"/>
      <c r="CAE210" s="545"/>
      <c r="CAF210" s="545"/>
      <c r="CAG210" s="545"/>
      <c r="CAH210" s="545"/>
      <c r="CAI210" s="545"/>
      <c r="CAJ210" s="545"/>
      <c r="CAK210" s="545"/>
      <c r="CAL210" s="545"/>
      <c r="CAM210" s="545"/>
      <c r="CAN210" s="545"/>
      <c r="CAO210" s="545"/>
      <c r="CAP210" s="545"/>
      <c r="CAQ210" s="545"/>
      <c r="CAR210" s="545"/>
      <c r="CAS210" s="545"/>
      <c r="CAT210" s="545"/>
      <c r="CAU210" s="545"/>
      <c r="CAV210" s="545"/>
      <c r="CAW210" s="545"/>
      <c r="CAX210" s="545"/>
      <c r="CAY210" s="545"/>
      <c r="CAZ210" s="545"/>
      <c r="CBA210" s="545"/>
      <c r="CBB210" s="545"/>
      <c r="CBC210" s="545"/>
      <c r="CBD210" s="545"/>
      <c r="CBE210" s="545"/>
      <c r="CBF210" s="545"/>
      <c r="CBG210" s="545"/>
      <c r="CBH210" s="545"/>
      <c r="CBI210" s="545"/>
      <c r="CBJ210" s="545"/>
      <c r="CBK210" s="545"/>
      <c r="CBL210" s="545"/>
      <c r="CBM210" s="545"/>
      <c r="CBN210" s="545"/>
      <c r="CBO210" s="545"/>
      <c r="CBP210" s="545"/>
      <c r="CBQ210" s="545"/>
      <c r="CBR210" s="545"/>
      <c r="CBS210" s="545"/>
      <c r="CBT210" s="545"/>
      <c r="CBU210" s="545"/>
      <c r="CBV210" s="545"/>
      <c r="CBW210" s="545"/>
      <c r="CBX210" s="545"/>
      <c r="CBY210" s="545"/>
      <c r="CBZ210" s="545"/>
      <c r="CCA210" s="545"/>
      <c r="CCB210" s="545"/>
      <c r="CCC210" s="545"/>
      <c r="CCD210" s="545"/>
      <c r="CCE210" s="545"/>
      <c r="CCF210" s="545"/>
      <c r="CCG210" s="545"/>
      <c r="CCH210" s="545"/>
      <c r="CCI210" s="545"/>
      <c r="CCJ210" s="545"/>
      <c r="CCK210" s="545"/>
      <c r="CCL210" s="545"/>
      <c r="CCM210" s="545"/>
      <c r="CCN210" s="545"/>
      <c r="CCO210" s="545"/>
      <c r="CCP210" s="545"/>
      <c r="CCQ210" s="545"/>
      <c r="CCR210" s="545"/>
      <c r="CCS210" s="545"/>
      <c r="CCT210" s="545"/>
      <c r="CCU210" s="545"/>
      <c r="CCV210" s="545"/>
      <c r="CCW210" s="545"/>
      <c r="CCX210" s="545"/>
      <c r="CCY210" s="545"/>
      <c r="CCZ210" s="545"/>
      <c r="CDA210" s="545"/>
      <c r="CDB210" s="545"/>
      <c r="CDC210" s="545"/>
      <c r="CDD210" s="545"/>
      <c r="CDE210" s="545"/>
      <c r="CDF210" s="545"/>
      <c r="CDG210" s="545"/>
      <c r="CDH210" s="545"/>
      <c r="CDI210" s="545"/>
      <c r="CDJ210" s="545"/>
      <c r="CDK210" s="545"/>
      <c r="CDL210" s="545"/>
      <c r="CDM210" s="545"/>
      <c r="CDN210" s="545"/>
      <c r="CDO210" s="545"/>
      <c r="CDP210" s="545"/>
      <c r="CDQ210" s="545"/>
      <c r="CDR210" s="545"/>
      <c r="CDS210" s="545"/>
      <c r="CDT210" s="545"/>
      <c r="CDU210" s="545"/>
      <c r="CDV210" s="545"/>
      <c r="CDW210" s="545"/>
      <c r="CDX210" s="545"/>
      <c r="CDY210" s="545"/>
      <c r="CDZ210" s="545"/>
      <c r="CEA210" s="545"/>
      <c r="CEB210" s="545"/>
      <c r="CEC210" s="545"/>
      <c r="CED210" s="545"/>
      <c r="CEE210" s="545"/>
      <c r="CEF210" s="545"/>
      <c r="CEG210" s="545"/>
      <c r="CEH210" s="545"/>
      <c r="CEI210" s="545"/>
      <c r="CEJ210" s="545"/>
      <c r="CEK210" s="545"/>
      <c r="CEL210" s="545"/>
      <c r="CEM210" s="545"/>
      <c r="CEN210" s="545"/>
      <c r="CEO210" s="545"/>
      <c r="CEP210" s="545"/>
      <c r="CEQ210" s="545"/>
      <c r="CER210" s="545"/>
      <c r="CES210" s="545"/>
      <c r="CET210" s="545"/>
      <c r="CEU210" s="545"/>
      <c r="CEV210" s="545"/>
      <c r="CEW210" s="545"/>
      <c r="CEX210" s="545"/>
      <c r="CEY210" s="545"/>
      <c r="CEZ210" s="545"/>
      <c r="CFA210" s="545"/>
      <c r="CFB210" s="545"/>
      <c r="CFC210" s="545"/>
      <c r="CFD210" s="545"/>
      <c r="CFE210" s="545"/>
      <c r="CFF210" s="545"/>
      <c r="CFG210" s="545"/>
      <c r="CFH210" s="545"/>
      <c r="CFI210" s="545"/>
      <c r="CFJ210" s="545"/>
      <c r="CFK210" s="545"/>
      <c r="CFL210" s="545"/>
      <c r="CFM210" s="545"/>
      <c r="CFN210" s="545"/>
      <c r="CFO210" s="545"/>
      <c r="CFP210" s="545"/>
      <c r="CFQ210" s="545"/>
      <c r="CFR210" s="545"/>
      <c r="CFS210" s="545"/>
      <c r="CFT210" s="545"/>
      <c r="CFU210" s="545"/>
      <c r="CFV210" s="545"/>
      <c r="CFW210" s="545"/>
      <c r="CFX210" s="545"/>
      <c r="CFY210" s="545"/>
      <c r="CFZ210" s="545"/>
      <c r="CGA210" s="545"/>
      <c r="CGB210" s="545"/>
      <c r="CGC210" s="545"/>
      <c r="CGD210" s="545"/>
      <c r="CGE210" s="545"/>
      <c r="CGF210" s="545"/>
      <c r="CGG210" s="545"/>
      <c r="CGH210" s="545"/>
      <c r="CGI210" s="545"/>
      <c r="CGJ210" s="545"/>
      <c r="CGK210" s="545"/>
      <c r="CGL210" s="545"/>
      <c r="CGM210" s="545"/>
      <c r="CGN210" s="545"/>
      <c r="CGO210" s="545"/>
      <c r="CGP210" s="545"/>
      <c r="CGQ210" s="545"/>
      <c r="CGR210" s="545"/>
      <c r="CGS210" s="545"/>
      <c r="CGT210" s="545"/>
      <c r="CGU210" s="545"/>
      <c r="CGV210" s="545"/>
      <c r="CGW210" s="545"/>
      <c r="CGX210" s="545"/>
      <c r="CGY210" s="545"/>
      <c r="CGZ210" s="545"/>
      <c r="CHA210" s="545"/>
      <c r="CHB210" s="545"/>
      <c r="CHC210" s="545"/>
      <c r="CHD210" s="545"/>
      <c r="CHE210" s="545"/>
      <c r="CHF210" s="545"/>
      <c r="CHG210" s="545"/>
      <c r="CHH210" s="545"/>
      <c r="CHI210" s="545"/>
      <c r="CHJ210" s="545"/>
      <c r="CHK210" s="545"/>
      <c r="CHL210" s="545"/>
      <c r="CHM210" s="545"/>
      <c r="CHN210" s="545"/>
      <c r="CHO210" s="545"/>
      <c r="CHP210" s="545"/>
      <c r="CHQ210" s="545"/>
      <c r="CHR210" s="545"/>
      <c r="CHS210" s="545"/>
      <c r="CHT210" s="545"/>
      <c r="CHU210" s="545"/>
      <c r="CHV210" s="545"/>
      <c r="CHW210" s="545"/>
      <c r="CHX210" s="545"/>
      <c r="CHY210" s="545"/>
      <c r="CHZ210" s="545"/>
      <c r="CIA210" s="545"/>
      <c r="CIB210" s="545"/>
      <c r="CIC210" s="545"/>
      <c r="CID210" s="545"/>
      <c r="CIE210" s="545"/>
      <c r="CIF210" s="545"/>
      <c r="CIG210" s="545"/>
      <c r="CIH210" s="545"/>
      <c r="CII210" s="545"/>
      <c r="CIJ210" s="545"/>
      <c r="CIK210" s="545"/>
      <c r="CIL210" s="545"/>
      <c r="CIM210" s="545"/>
      <c r="CIN210" s="545"/>
      <c r="CIO210" s="545"/>
      <c r="CIP210" s="545"/>
      <c r="CIQ210" s="545"/>
      <c r="CIR210" s="545"/>
      <c r="CIS210" s="545"/>
      <c r="CIT210" s="545"/>
      <c r="CIU210" s="545"/>
      <c r="CIV210" s="545"/>
      <c r="CIW210" s="545"/>
      <c r="CIX210" s="545"/>
      <c r="CIY210" s="545"/>
      <c r="CIZ210" s="545"/>
      <c r="CJA210" s="545"/>
      <c r="CJB210" s="545"/>
      <c r="CJC210" s="545"/>
      <c r="CJD210" s="545"/>
      <c r="CJE210" s="545"/>
      <c r="CJF210" s="545"/>
      <c r="CJG210" s="545"/>
      <c r="CJH210" s="545"/>
      <c r="CJI210" s="545"/>
      <c r="CJJ210" s="545"/>
      <c r="CJK210" s="545"/>
      <c r="CJL210" s="545"/>
      <c r="CJM210" s="545"/>
      <c r="CJN210" s="545"/>
      <c r="CJO210" s="545"/>
      <c r="CJP210" s="545"/>
      <c r="CJQ210" s="545"/>
      <c r="CJR210" s="545"/>
      <c r="CJS210" s="545"/>
      <c r="CJT210" s="545"/>
      <c r="CJU210" s="545"/>
      <c r="CJV210" s="545"/>
      <c r="CJW210" s="545"/>
      <c r="CJX210" s="545"/>
      <c r="CJY210" s="545"/>
      <c r="CJZ210" s="545"/>
      <c r="CKA210" s="545"/>
      <c r="CKB210" s="545"/>
      <c r="CKC210" s="545"/>
      <c r="CKD210" s="545"/>
      <c r="CKE210" s="545"/>
      <c r="CKF210" s="545"/>
      <c r="CKG210" s="545"/>
      <c r="CKH210" s="545"/>
      <c r="CKI210" s="545"/>
      <c r="CKJ210" s="545"/>
      <c r="CKK210" s="545"/>
      <c r="CKL210" s="545"/>
      <c r="CKM210" s="545"/>
      <c r="CKN210" s="545"/>
      <c r="CKO210" s="545"/>
      <c r="CKP210" s="545"/>
      <c r="CKQ210" s="545"/>
      <c r="CKR210" s="545"/>
      <c r="CKS210" s="545"/>
      <c r="CKT210" s="545"/>
      <c r="CKU210" s="545"/>
      <c r="CKV210" s="545"/>
      <c r="CKW210" s="545"/>
      <c r="CKX210" s="545"/>
      <c r="CKY210" s="545"/>
      <c r="CKZ210" s="545"/>
      <c r="CLA210" s="545"/>
      <c r="CLB210" s="545"/>
      <c r="CLC210" s="545"/>
      <c r="CLD210" s="545"/>
      <c r="CLE210" s="545"/>
      <c r="CLF210" s="545"/>
      <c r="CLG210" s="545"/>
      <c r="CLH210" s="545"/>
      <c r="CLI210" s="545"/>
      <c r="CLJ210" s="545"/>
      <c r="CLK210" s="545"/>
      <c r="CLL210" s="545"/>
      <c r="CLM210" s="545"/>
      <c r="CLN210" s="545"/>
      <c r="CLO210" s="545"/>
      <c r="CLP210" s="545"/>
      <c r="CLQ210" s="545"/>
      <c r="CLR210" s="545"/>
      <c r="CLS210" s="545"/>
      <c r="CLT210" s="545"/>
      <c r="CLU210" s="545"/>
      <c r="CLV210" s="545"/>
      <c r="CLW210" s="545"/>
      <c r="CLX210" s="545"/>
      <c r="CLY210" s="545"/>
      <c r="CLZ210" s="545"/>
      <c r="CMA210" s="545"/>
      <c r="CMB210" s="545"/>
      <c r="CMC210" s="545"/>
      <c r="CMD210" s="545"/>
      <c r="CME210" s="545"/>
      <c r="CMF210" s="545"/>
      <c r="CMG210" s="545"/>
      <c r="CMH210" s="545"/>
      <c r="CMI210" s="545"/>
      <c r="CMJ210" s="545"/>
      <c r="CMK210" s="545"/>
      <c r="CML210" s="545"/>
      <c r="CMM210" s="545"/>
      <c r="CMN210" s="545"/>
      <c r="CMO210" s="545"/>
      <c r="CMP210" s="545"/>
      <c r="CMQ210" s="545"/>
      <c r="CMR210" s="545"/>
      <c r="CMS210" s="545"/>
      <c r="CMT210" s="545"/>
      <c r="CMU210" s="545"/>
      <c r="CMV210" s="545"/>
      <c r="CMW210" s="545"/>
      <c r="CMX210" s="545"/>
      <c r="CMY210" s="545"/>
      <c r="CMZ210" s="545"/>
      <c r="CNA210" s="545"/>
      <c r="CNB210" s="545"/>
      <c r="CNC210" s="545"/>
      <c r="CND210" s="545"/>
      <c r="CNE210" s="545"/>
      <c r="CNF210" s="545"/>
      <c r="CNG210" s="545"/>
      <c r="CNH210" s="545"/>
      <c r="CNI210" s="545"/>
      <c r="CNJ210" s="545"/>
      <c r="CNK210" s="545"/>
      <c r="CNL210" s="545"/>
      <c r="CNM210" s="545"/>
      <c r="CNN210" s="545"/>
      <c r="CNO210" s="545"/>
      <c r="CNP210" s="545"/>
      <c r="CNQ210" s="545"/>
      <c r="CNR210" s="545"/>
      <c r="CNS210" s="545"/>
      <c r="CNT210" s="545"/>
      <c r="CNU210" s="545"/>
      <c r="CNV210" s="545"/>
      <c r="CNW210" s="545"/>
      <c r="CNX210" s="545"/>
      <c r="CNY210" s="545"/>
      <c r="CNZ210" s="545"/>
      <c r="COA210" s="545"/>
      <c r="COB210" s="545"/>
      <c r="COC210" s="545"/>
      <c r="COD210" s="545"/>
      <c r="COE210" s="545"/>
      <c r="COF210" s="545"/>
      <c r="COG210" s="545"/>
      <c r="COH210" s="545"/>
      <c r="COI210" s="545"/>
      <c r="COJ210" s="545"/>
      <c r="COK210" s="545"/>
      <c r="COL210" s="545"/>
      <c r="COM210" s="545"/>
      <c r="CON210" s="545"/>
      <c r="COO210" s="545"/>
      <c r="COP210" s="545"/>
      <c r="COQ210" s="545"/>
      <c r="COR210" s="545"/>
      <c r="COS210" s="545"/>
      <c r="COT210" s="545"/>
      <c r="COU210" s="545"/>
      <c r="COV210" s="545"/>
      <c r="COW210" s="545"/>
      <c r="COX210" s="545"/>
      <c r="COY210" s="545"/>
      <c r="COZ210" s="545"/>
      <c r="CPA210" s="545"/>
      <c r="CPB210" s="545"/>
      <c r="CPC210" s="545"/>
      <c r="CPD210" s="545"/>
      <c r="CPE210" s="545"/>
      <c r="CPF210" s="545"/>
      <c r="CPG210" s="545"/>
      <c r="CPH210" s="545"/>
      <c r="CPI210" s="545"/>
      <c r="CPJ210" s="545"/>
      <c r="CPK210" s="545"/>
      <c r="CPL210" s="545"/>
      <c r="CPM210" s="545"/>
      <c r="CPN210" s="545"/>
      <c r="CPO210" s="545"/>
      <c r="CPP210" s="545"/>
      <c r="CPQ210" s="545"/>
      <c r="CPR210" s="545"/>
      <c r="CPS210" s="545"/>
      <c r="CPT210" s="545"/>
      <c r="CPU210" s="545"/>
      <c r="CPV210" s="545"/>
      <c r="CPW210" s="545"/>
      <c r="CPX210" s="545"/>
      <c r="CPY210" s="545"/>
      <c r="CPZ210" s="545"/>
      <c r="CQA210" s="545"/>
      <c r="CQB210" s="545"/>
      <c r="CQC210" s="545"/>
      <c r="CQD210" s="545"/>
      <c r="CQE210" s="545"/>
      <c r="CQF210" s="545"/>
      <c r="CQG210" s="545"/>
      <c r="CQH210" s="545"/>
      <c r="CQI210" s="545"/>
      <c r="CQJ210" s="545"/>
      <c r="CQK210" s="545"/>
      <c r="CQL210" s="545"/>
      <c r="CQM210" s="545"/>
      <c r="CQN210" s="545"/>
      <c r="CQO210" s="545"/>
      <c r="CQP210" s="545"/>
      <c r="CQQ210" s="545"/>
      <c r="CQR210" s="545"/>
      <c r="CQS210" s="545"/>
      <c r="CQT210" s="545"/>
      <c r="CQU210" s="545"/>
      <c r="CQV210" s="545"/>
      <c r="CQW210" s="545"/>
      <c r="CQX210" s="545"/>
      <c r="CQY210" s="545"/>
      <c r="CQZ210" s="545"/>
      <c r="CRA210" s="545"/>
      <c r="CRB210" s="545"/>
      <c r="CRC210" s="545"/>
      <c r="CRD210" s="545"/>
      <c r="CRE210" s="545"/>
      <c r="CRF210" s="545"/>
      <c r="CRG210" s="545"/>
      <c r="CRH210" s="545"/>
      <c r="CRI210" s="545"/>
      <c r="CRJ210" s="545"/>
      <c r="CRK210" s="545"/>
      <c r="CRL210" s="545"/>
      <c r="CRM210" s="545"/>
      <c r="CRN210" s="545"/>
      <c r="CRO210" s="545"/>
      <c r="CRP210" s="545"/>
      <c r="CRQ210" s="545"/>
      <c r="CRR210" s="545"/>
      <c r="CRS210" s="545"/>
      <c r="CRT210" s="545"/>
      <c r="CRU210" s="545"/>
      <c r="CRV210" s="545"/>
      <c r="CRW210" s="545"/>
      <c r="CRX210" s="545"/>
      <c r="CRY210" s="545"/>
      <c r="CRZ210" s="545"/>
      <c r="CSA210" s="545"/>
      <c r="CSB210" s="545"/>
      <c r="CSC210" s="545"/>
      <c r="CSD210" s="545"/>
      <c r="CSE210" s="545"/>
      <c r="CSF210" s="545"/>
      <c r="CSG210" s="545"/>
      <c r="CSH210" s="545"/>
      <c r="CSI210" s="545"/>
      <c r="CSJ210" s="545"/>
      <c r="CSK210" s="545"/>
      <c r="CSL210" s="545"/>
      <c r="CSM210" s="545"/>
      <c r="CSN210" s="545"/>
      <c r="CSO210" s="545"/>
      <c r="CSP210" s="545"/>
      <c r="CSQ210" s="545"/>
      <c r="CSR210" s="545"/>
      <c r="CSS210" s="545"/>
      <c r="CST210" s="545"/>
      <c r="CSU210" s="545"/>
      <c r="CSV210" s="545"/>
      <c r="CSW210" s="545"/>
      <c r="CSX210" s="545"/>
      <c r="CSY210" s="545"/>
      <c r="CSZ210" s="545"/>
      <c r="CTA210" s="545"/>
      <c r="CTB210" s="545"/>
      <c r="CTC210" s="545"/>
      <c r="CTD210" s="545"/>
      <c r="CTE210" s="545"/>
      <c r="CTF210" s="545"/>
      <c r="CTG210" s="545"/>
      <c r="CTH210" s="545"/>
      <c r="CTI210" s="545"/>
      <c r="CTJ210" s="545"/>
      <c r="CTK210" s="545"/>
      <c r="CTL210" s="545"/>
      <c r="CTM210" s="545"/>
      <c r="CTN210" s="545"/>
      <c r="CTO210" s="545"/>
      <c r="CTP210" s="545"/>
      <c r="CTQ210" s="545"/>
      <c r="CTR210" s="545"/>
      <c r="CTS210" s="545"/>
      <c r="CTT210" s="545"/>
      <c r="CTU210" s="545"/>
      <c r="CTV210" s="545"/>
      <c r="CTW210" s="545"/>
      <c r="CTX210" s="545"/>
      <c r="CTY210" s="545"/>
      <c r="CTZ210" s="545"/>
      <c r="CUA210" s="545"/>
      <c r="CUB210" s="545"/>
      <c r="CUC210" s="545"/>
      <c r="CUD210" s="545"/>
      <c r="CUE210" s="545"/>
      <c r="CUF210" s="545"/>
      <c r="CUG210" s="545"/>
      <c r="CUH210" s="545"/>
      <c r="CUI210" s="545"/>
      <c r="CUJ210" s="545"/>
      <c r="CUK210" s="545"/>
      <c r="CUL210" s="545"/>
      <c r="CUM210" s="545"/>
      <c r="CUN210" s="545"/>
      <c r="CUO210" s="545"/>
      <c r="CUP210" s="545"/>
      <c r="CUQ210" s="545"/>
      <c r="CUR210" s="545"/>
      <c r="CUS210" s="545"/>
      <c r="CUT210" s="545"/>
      <c r="CUU210" s="545"/>
      <c r="CUV210" s="545"/>
      <c r="CUW210" s="545"/>
      <c r="CUX210" s="545"/>
      <c r="CUY210" s="545"/>
      <c r="CUZ210" s="545"/>
      <c r="CVA210" s="545"/>
      <c r="CVB210" s="545"/>
      <c r="CVC210" s="545"/>
      <c r="CVD210" s="545"/>
      <c r="CVE210" s="545"/>
      <c r="CVF210" s="545"/>
      <c r="CVG210" s="545"/>
      <c r="CVH210" s="545"/>
      <c r="CVI210" s="545"/>
      <c r="CVJ210" s="545"/>
      <c r="CVK210" s="545"/>
      <c r="CVL210" s="545"/>
      <c r="CVM210" s="545"/>
      <c r="CVN210" s="545"/>
      <c r="CVO210" s="545"/>
      <c r="CVP210" s="545"/>
      <c r="CVQ210" s="545"/>
      <c r="CVR210" s="545"/>
      <c r="CVS210" s="545"/>
      <c r="CVT210" s="545"/>
      <c r="CVU210" s="545"/>
      <c r="CVV210" s="545"/>
      <c r="CVW210" s="545"/>
      <c r="CVX210" s="545"/>
      <c r="CVY210" s="545"/>
      <c r="CVZ210" s="545"/>
      <c r="CWA210" s="545"/>
      <c r="CWB210" s="545"/>
      <c r="CWC210" s="545"/>
      <c r="CWD210" s="545"/>
      <c r="CWE210" s="545"/>
      <c r="CWF210" s="545"/>
      <c r="CWG210" s="545"/>
      <c r="CWH210" s="545"/>
      <c r="CWI210" s="545"/>
      <c r="CWJ210" s="545"/>
      <c r="CWK210" s="545"/>
      <c r="CWL210" s="545"/>
      <c r="CWM210" s="545"/>
      <c r="CWN210" s="545"/>
      <c r="CWO210" s="545"/>
      <c r="CWP210" s="545"/>
      <c r="CWQ210" s="545"/>
      <c r="CWR210" s="545"/>
      <c r="CWS210" s="545"/>
      <c r="CWT210" s="545"/>
      <c r="CWU210" s="545"/>
      <c r="CWV210" s="545"/>
      <c r="CWW210" s="545"/>
      <c r="CWX210" s="545"/>
      <c r="CWY210" s="545"/>
      <c r="CWZ210" s="545"/>
      <c r="CXA210" s="545"/>
      <c r="CXB210" s="545"/>
      <c r="CXC210" s="545"/>
      <c r="CXD210" s="545"/>
      <c r="CXE210" s="545"/>
      <c r="CXF210" s="545"/>
      <c r="CXG210" s="545"/>
      <c r="CXH210" s="545"/>
      <c r="CXI210" s="545"/>
      <c r="CXJ210" s="545"/>
      <c r="CXK210" s="545"/>
      <c r="CXL210" s="545"/>
      <c r="CXM210" s="545"/>
      <c r="CXN210" s="545"/>
      <c r="CXO210" s="545"/>
      <c r="CXP210" s="545"/>
      <c r="CXQ210" s="545"/>
      <c r="CXR210" s="545"/>
      <c r="CXS210" s="545"/>
      <c r="CXT210" s="545"/>
      <c r="CXU210" s="545"/>
      <c r="CXV210" s="545"/>
      <c r="CXW210" s="545"/>
      <c r="CXX210" s="545"/>
      <c r="CXY210" s="545"/>
      <c r="CXZ210" s="545"/>
      <c r="CYA210" s="545"/>
      <c r="CYB210" s="545"/>
      <c r="CYC210" s="545"/>
      <c r="CYD210" s="545"/>
      <c r="CYE210" s="545"/>
      <c r="CYF210" s="545"/>
      <c r="CYG210" s="545"/>
      <c r="CYH210" s="545"/>
      <c r="CYI210" s="545"/>
      <c r="CYJ210" s="545"/>
      <c r="CYK210" s="545"/>
      <c r="CYL210" s="545"/>
      <c r="CYM210" s="545"/>
      <c r="CYN210" s="545"/>
      <c r="CYO210" s="545"/>
      <c r="CYP210" s="545"/>
      <c r="CYQ210" s="545"/>
      <c r="CYR210" s="545"/>
      <c r="CYS210" s="545"/>
      <c r="CYT210" s="545"/>
      <c r="CYU210" s="545"/>
      <c r="CYV210" s="545"/>
      <c r="CYW210" s="545"/>
      <c r="CYX210" s="545"/>
      <c r="CYY210" s="545"/>
      <c r="CYZ210" s="545"/>
      <c r="CZA210" s="545"/>
      <c r="CZB210" s="545"/>
      <c r="CZC210" s="545"/>
      <c r="CZD210" s="545"/>
      <c r="CZE210" s="545"/>
      <c r="CZF210" s="545"/>
      <c r="CZG210" s="545"/>
      <c r="CZH210" s="545"/>
      <c r="CZI210" s="545"/>
      <c r="CZJ210" s="545"/>
      <c r="CZK210" s="545"/>
      <c r="CZL210" s="545"/>
      <c r="CZM210" s="545"/>
      <c r="CZN210" s="545"/>
      <c r="CZO210" s="545"/>
      <c r="CZP210" s="545"/>
      <c r="CZQ210" s="545"/>
      <c r="CZR210" s="545"/>
      <c r="CZS210" s="545"/>
      <c r="CZT210" s="545"/>
      <c r="CZU210" s="545"/>
      <c r="CZV210" s="545"/>
      <c r="CZW210" s="545"/>
      <c r="CZX210" s="545"/>
      <c r="CZY210" s="545"/>
      <c r="CZZ210" s="545"/>
      <c r="DAA210" s="545"/>
      <c r="DAB210" s="545"/>
      <c r="DAC210" s="545"/>
      <c r="DAD210" s="545"/>
      <c r="DAE210" s="545"/>
      <c r="DAF210" s="545"/>
      <c r="DAG210" s="545"/>
      <c r="DAH210" s="545"/>
      <c r="DAI210" s="545"/>
      <c r="DAJ210" s="545"/>
      <c r="DAK210" s="545"/>
      <c r="DAL210" s="545"/>
      <c r="DAM210" s="545"/>
      <c r="DAN210" s="545"/>
      <c r="DAO210" s="545"/>
      <c r="DAP210" s="545"/>
      <c r="DAQ210" s="545"/>
      <c r="DAR210" s="545"/>
      <c r="DAS210" s="545"/>
      <c r="DAT210" s="545"/>
      <c r="DAU210" s="545"/>
      <c r="DAV210" s="545"/>
      <c r="DAW210" s="545"/>
      <c r="DAX210" s="545"/>
      <c r="DAY210" s="545"/>
      <c r="DAZ210" s="545"/>
      <c r="DBA210" s="545"/>
      <c r="DBB210" s="545"/>
      <c r="DBC210" s="545"/>
      <c r="DBD210" s="545"/>
      <c r="DBE210" s="545"/>
      <c r="DBF210" s="545"/>
      <c r="DBG210" s="545"/>
      <c r="DBH210" s="545"/>
      <c r="DBI210" s="545"/>
      <c r="DBJ210" s="545"/>
      <c r="DBK210" s="545"/>
      <c r="DBL210" s="545"/>
      <c r="DBM210" s="545"/>
      <c r="DBN210" s="545"/>
      <c r="DBO210" s="545"/>
      <c r="DBP210" s="545"/>
      <c r="DBQ210" s="545"/>
      <c r="DBR210" s="545"/>
      <c r="DBS210" s="545"/>
      <c r="DBT210" s="545"/>
      <c r="DBU210" s="545"/>
      <c r="DBV210" s="545"/>
      <c r="DBW210" s="545"/>
      <c r="DBX210" s="545"/>
      <c r="DBY210" s="545"/>
      <c r="DBZ210" s="545"/>
      <c r="DCA210" s="545"/>
      <c r="DCB210" s="545"/>
      <c r="DCC210" s="545"/>
      <c r="DCD210" s="545"/>
      <c r="DCE210" s="545"/>
      <c r="DCF210" s="545"/>
      <c r="DCG210" s="545"/>
      <c r="DCH210" s="545"/>
      <c r="DCI210" s="545"/>
      <c r="DCJ210" s="545"/>
      <c r="DCK210" s="545"/>
      <c r="DCL210" s="545"/>
      <c r="DCM210" s="545"/>
      <c r="DCN210" s="545"/>
      <c r="DCO210" s="545"/>
      <c r="DCP210" s="545"/>
      <c r="DCQ210" s="545"/>
      <c r="DCR210" s="545"/>
      <c r="DCS210" s="545"/>
      <c r="DCT210" s="545"/>
      <c r="DCU210" s="545"/>
      <c r="DCV210" s="545"/>
      <c r="DCW210" s="545"/>
      <c r="DCX210" s="545"/>
      <c r="DCY210" s="545"/>
      <c r="DCZ210" s="545"/>
      <c r="DDA210" s="545"/>
      <c r="DDB210" s="545"/>
      <c r="DDC210" s="545"/>
      <c r="DDD210" s="545"/>
      <c r="DDE210" s="545"/>
      <c r="DDF210" s="545"/>
      <c r="DDG210" s="545"/>
      <c r="DDH210" s="545"/>
      <c r="DDI210" s="545"/>
      <c r="DDJ210" s="545"/>
      <c r="DDK210" s="545"/>
      <c r="DDL210" s="545"/>
      <c r="DDM210" s="545"/>
      <c r="DDN210" s="545"/>
      <c r="DDO210" s="545"/>
      <c r="DDP210" s="545"/>
      <c r="DDQ210" s="545"/>
      <c r="DDR210" s="545"/>
      <c r="DDS210" s="545"/>
      <c r="DDT210" s="545"/>
      <c r="DDU210" s="545"/>
      <c r="DDV210" s="545"/>
      <c r="DDW210" s="545"/>
      <c r="DDX210" s="545"/>
      <c r="DDY210" s="545"/>
      <c r="DDZ210" s="545"/>
      <c r="DEA210" s="545"/>
      <c r="DEB210" s="545"/>
      <c r="DEC210" s="545"/>
      <c r="DED210" s="545"/>
      <c r="DEE210" s="545"/>
      <c r="DEF210" s="545"/>
      <c r="DEG210" s="545"/>
      <c r="DEH210" s="545"/>
      <c r="DEI210" s="545"/>
      <c r="DEJ210" s="545"/>
      <c r="DEK210" s="545"/>
      <c r="DEL210" s="545"/>
      <c r="DEM210" s="545"/>
      <c r="DEN210" s="545"/>
      <c r="DEO210" s="545"/>
      <c r="DEP210" s="545"/>
      <c r="DEQ210" s="545"/>
      <c r="DER210" s="545"/>
      <c r="DES210" s="545"/>
      <c r="DET210" s="545"/>
      <c r="DEU210" s="545"/>
      <c r="DEV210" s="545"/>
      <c r="DEW210" s="545"/>
      <c r="DEX210" s="545"/>
      <c r="DEY210" s="545"/>
      <c r="DEZ210" s="545"/>
      <c r="DFA210" s="545"/>
      <c r="DFB210" s="545"/>
      <c r="DFC210" s="545"/>
      <c r="DFD210" s="545"/>
      <c r="DFE210" s="545"/>
      <c r="DFF210" s="545"/>
      <c r="DFG210" s="545"/>
      <c r="DFH210" s="545"/>
      <c r="DFI210" s="545"/>
      <c r="DFJ210" s="545"/>
      <c r="DFK210" s="545"/>
      <c r="DFL210" s="545"/>
      <c r="DFM210" s="545"/>
      <c r="DFN210" s="545"/>
      <c r="DFO210" s="545"/>
      <c r="DFP210" s="545"/>
      <c r="DFQ210" s="545"/>
      <c r="DFR210" s="545"/>
      <c r="DFS210" s="545"/>
      <c r="DFT210" s="545"/>
      <c r="DFU210" s="545"/>
      <c r="DFV210" s="545"/>
      <c r="DFW210" s="545"/>
      <c r="DFX210" s="545"/>
      <c r="DFY210" s="545"/>
      <c r="DFZ210" s="545"/>
      <c r="DGA210" s="545"/>
      <c r="DGB210" s="545"/>
      <c r="DGC210" s="545"/>
      <c r="DGD210" s="545"/>
      <c r="DGE210" s="545"/>
      <c r="DGF210" s="545"/>
      <c r="DGG210" s="545"/>
      <c r="DGH210" s="545"/>
      <c r="DGI210" s="545"/>
      <c r="DGJ210" s="545"/>
      <c r="DGK210" s="545"/>
      <c r="DGL210" s="545"/>
      <c r="DGM210" s="545"/>
      <c r="DGN210" s="545"/>
      <c r="DGO210" s="545"/>
      <c r="DGP210" s="545"/>
      <c r="DGQ210" s="545"/>
      <c r="DGR210" s="545"/>
      <c r="DGS210" s="545"/>
      <c r="DGT210" s="545"/>
      <c r="DGU210" s="545"/>
      <c r="DGV210" s="545"/>
      <c r="DGW210" s="545"/>
      <c r="DGX210" s="545"/>
      <c r="DGY210" s="545"/>
      <c r="DGZ210" s="545"/>
      <c r="DHA210" s="545"/>
      <c r="DHB210" s="545"/>
      <c r="DHC210" s="545"/>
      <c r="DHD210" s="545"/>
      <c r="DHE210" s="545"/>
      <c r="DHF210" s="545"/>
      <c r="DHG210" s="545"/>
      <c r="DHH210" s="545"/>
      <c r="DHI210" s="545"/>
      <c r="DHJ210" s="545"/>
      <c r="DHK210" s="545"/>
      <c r="DHL210" s="545"/>
      <c r="DHM210" s="545"/>
      <c r="DHN210" s="545"/>
      <c r="DHO210" s="545"/>
      <c r="DHP210" s="545"/>
      <c r="DHQ210" s="545"/>
      <c r="DHR210" s="545"/>
      <c r="DHS210" s="545"/>
      <c r="DHT210" s="545"/>
      <c r="DHU210" s="545"/>
      <c r="DHV210" s="545"/>
      <c r="DHW210" s="545"/>
      <c r="DHX210" s="545"/>
      <c r="DHY210" s="545"/>
      <c r="DHZ210" s="545"/>
      <c r="DIA210" s="545"/>
      <c r="DIB210" s="545"/>
      <c r="DIC210" s="545"/>
      <c r="DID210" s="545"/>
      <c r="DIE210" s="545"/>
      <c r="DIF210" s="545"/>
      <c r="DIG210" s="545"/>
      <c r="DIH210" s="545"/>
      <c r="DII210" s="545"/>
      <c r="DIJ210" s="545"/>
      <c r="DIK210" s="545"/>
      <c r="DIL210" s="545"/>
      <c r="DIM210" s="545"/>
      <c r="DIN210" s="545"/>
      <c r="DIO210" s="545"/>
      <c r="DIP210" s="545"/>
      <c r="DIQ210" s="545"/>
      <c r="DIR210" s="545"/>
      <c r="DIS210" s="545"/>
      <c r="DIT210" s="545"/>
      <c r="DIU210" s="545"/>
      <c r="DIV210" s="545"/>
      <c r="DIW210" s="545"/>
      <c r="DIX210" s="545"/>
      <c r="DIY210" s="545"/>
      <c r="DIZ210" s="545"/>
      <c r="DJA210" s="545"/>
      <c r="DJB210" s="545"/>
      <c r="DJC210" s="545"/>
      <c r="DJD210" s="545"/>
      <c r="DJE210" s="545"/>
      <c r="DJF210" s="545"/>
      <c r="DJG210" s="545"/>
      <c r="DJH210" s="545"/>
      <c r="DJI210" s="545"/>
      <c r="DJJ210" s="545"/>
      <c r="DJK210" s="545"/>
      <c r="DJL210" s="545"/>
      <c r="DJM210" s="545"/>
      <c r="DJN210" s="545"/>
      <c r="DJO210" s="545"/>
      <c r="DJP210" s="545"/>
      <c r="DJQ210" s="545"/>
      <c r="DJR210" s="545"/>
      <c r="DJS210" s="545"/>
      <c r="DJT210" s="545"/>
      <c r="DJU210" s="545"/>
      <c r="DJV210" s="545"/>
      <c r="DJW210" s="545"/>
      <c r="DJX210" s="545"/>
      <c r="DJY210" s="545"/>
      <c r="DJZ210" s="545"/>
      <c r="DKA210" s="545"/>
      <c r="DKB210" s="545"/>
      <c r="DKC210" s="545"/>
      <c r="DKD210" s="545"/>
      <c r="DKE210" s="545"/>
      <c r="DKF210" s="545"/>
      <c r="DKG210" s="545"/>
      <c r="DKH210" s="545"/>
      <c r="DKI210" s="545"/>
      <c r="DKJ210" s="545"/>
      <c r="DKK210" s="545"/>
      <c r="DKL210" s="545"/>
      <c r="DKM210" s="545"/>
      <c r="DKN210" s="545"/>
      <c r="DKO210" s="545"/>
      <c r="DKP210" s="545"/>
      <c r="DKQ210" s="545"/>
      <c r="DKR210" s="545"/>
      <c r="DKS210" s="545"/>
      <c r="DKT210" s="545"/>
      <c r="DKU210" s="545"/>
      <c r="DKV210" s="545"/>
      <c r="DKW210" s="545"/>
      <c r="DKX210" s="545"/>
      <c r="DKY210" s="545"/>
      <c r="DKZ210" s="545"/>
      <c r="DLA210" s="545"/>
      <c r="DLB210" s="545"/>
      <c r="DLC210" s="545"/>
      <c r="DLD210" s="545"/>
      <c r="DLE210" s="545"/>
      <c r="DLF210" s="545"/>
      <c r="DLG210" s="545"/>
      <c r="DLH210" s="545"/>
      <c r="DLI210" s="545"/>
      <c r="DLJ210" s="545"/>
      <c r="DLK210" s="545"/>
      <c r="DLL210" s="545"/>
      <c r="DLM210" s="545"/>
      <c r="DLN210" s="545"/>
      <c r="DLO210" s="545"/>
      <c r="DLP210" s="545"/>
      <c r="DLQ210" s="545"/>
      <c r="DLR210" s="545"/>
      <c r="DLS210" s="545"/>
      <c r="DLT210" s="545"/>
      <c r="DLU210" s="545"/>
      <c r="DLV210" s="545"/>
      <c r="DLW210" s="545"/>
      <c r="DLX210" s="545"/>
      <c r="DLY210" s="545"/>
      <c r="DLZ210" s="545"/>
      <c r="DMA210" s="545"/>
      <c r="DMB210" s="545"/>
      <c r="DMC210" s="545"/>
      <c r="DMD210" s="545"/>
      <c r="DME210" s="545"/>
      <c r="DMF210" s="545"/>
      <c r="DMG210" s="545"/>
      <c r="DMH210" s="545"/>
      <c r="DMI210" s="545"/>
      <c r="DMJ210" s="545"/>
      <c r="DMK210" s="545"/>
      <c r="DML210" s="545"/>
      <c r="DMM210" s="545"/>
      <c r="DMN210" s="545"/>
      <c r="DMO210" s="545"/>
      <c r="DMP210" s="545"/>
      <c r="DMQ210" s="545"/>
      <c r="DMR210" s="545"/>
      <c r="DMS210" s="545"/>
      <c r="DMT210" s="545"/>
      <c r="DMU210" s="545"/>
      <c r="DMV210" s="545"/>
      <c r="DMW210" s="545"/>
      <c r="DMX210" s="545"/>
      <c r="DMY210" s="545"/>
      <c r="DMZ210" s="545"/>
      <c r="DNA210" s="545"/>
      <c r="DNB210" s="545"/>
      <c r="DNC210" s="545"/>
      <c r="DND210" s="545"/>
      <c r="DNE210" s="545"/>
      <c r="DNF210" s="545"/>
      <c r="DNG210" s="545"/>
      <c r="DNH210" s="545"/>
      <c r="DNI210" s="545"/>
      <c r="DNJ210" s="545"/>
      <c r="DNK210" s="545"/>
      <c r="DNL210" s="545"/>
      <c r="DNM210" s="545"/>
      <c r="DNN210" s="545"/>
      <c r="DNO210" s="545"/>
      <c r="DNP210" s="545"/>
      <c r="DNQ210" s="545"/>
      <c r="DNR210" s="545"/>
      <c r="DNS210" s="545"/>
      <c r="DNT210" s="545"/>
      <c r="DNU210" s="545"/>
      <c r="DNV210" s="545"/>
      <c r="DNW210" s="545"/>
      <c r="DNX210" s="545"/>
      <c r="DNY210" s="545"/>
      <c r="DNZ210" s="545"/>
      <c r="DOA210" s="545"/>
      <c r="DOB210" s="545"/>
      <c r="DOC210" s="545"/>
      <c r="DOD210" s="545"/>
      <c r="DOE210" s="545"/>
      <c r="DOF210" s="545"/>
      <c r="DOG210" s="545"/>
      <c r="DOH210" s="545"/>
      <c r="DOI210" s="545"/>
      <c r="DOJ210" s="545"/>
      <c r="DOK210" s="545"/>
      <c r="DOL210" s="545"/>
      <c r="DOM210" s="545"/>
      <c r="DON210" s="545"/>
      <c r="DOO210" s="545"/>
      <c r="DOP210" s="545"/>
      <c r="DOQ210" s="545"/>
      <c r="DOR210" s="545"/>
      <c r="DOS210" s="545"/>
      <c r="DOT210" s="545"/>
      <c r="DOU210" s="545"/>
      <c r="DOV210" s="545"/>
      <c r="DOW210" s="545"/>
      <c r="DOX210" s="545"/>
      <c r="DOY210" s="545"/>
      <c r="DOZ210" s="545"/>
      <c r="DPA210" s="545"/>
      <c r="DPB210" s="545"/>
      <c r="DPC210" s="545"/>
      <c r="DPD210" s="545"/>
      <c r="DPE210" s="545"/>
      <c r="DPF210" s="545"/>
      <c r="DPG210" s="545"/>
      <c r="DPH210" s="545"/>
      <c r="DPI210" s="545"/>
      <c r="DPJ210" s="545"/>
      <c r="DPK210" s="545"/>
      <c r="DPL210" s="545"/>
      <c r="DPM210" s="545"/>
      <c r="DPN210" s="545"/>
      <c r="DPO210" s="545"/>
      <c r="DPP210" s="545"/>
      <c r="DPQ210" s="545"/>
      <c r="DPR210" s="545"/>
      <c r="DPS210" s="545"/>
      <c r="DPT210" s="545"/>
      <c r="DPU210" s="545"/>
      <c r="DPV210" s="545"/>
      <c r="DPW210" s="545"/>
      <c r="DPX210" s="545"/>
      <c r="DPY210" s="545"/>
      <c r="DPZ210" s="545"/>
      <c r="DQA210" s="545"/>
      <c r="DQB210" s="545"/>
      <c r="DQC210" s="545"/>
      <c r="DQD210" s="545"/>
      <c r="DQE210" s="545"/>
      <c r="DQF210" s="545"/>
      <c r="DQG210" s="545"/>
      <c r="DQH210" s="545"/>
      <c r="DQI210" s="545"/>
      <c r="DQJ210" s="545"/>
      <c r="DQK210" s="545"/>
      <c r="DQL210" s="545"/>
      <c r="DQM210" s="545"/>
      <c r="DQN210" s="545"/>
      <c r="DQO210" s="545"/>
      <c r="DQP210" s="545"/>
      <c r="DQQ210" s="545"/>
      <c r="DQR210" s="545"/>
      <c r="DQS210" s="545"/>
      <c r="DQT210" s="545"/>
      <c r="DQU210" s="545"/>
      <c r="DQV210" s="545"/>
      <c r="DQW210" s="545"/>
      <c r="DQX210" s="545"/>
      <c r="DQY210" s="545"/>
      <c r="DQZ210" s="545"/>
      <c r="DRA210" s="545"/>
      <c r="DRB210" s="545"/>
      <c r="DRC210" s="545"/>
      <c r="DRD210" s="545"/>
      <c r="DRE210" s="545"/>
      <c r="DRF210" s="545"/>
      <c r="DRG210" s="545"/>
      <c r="DRH210" s="545"/>
      <c r="DRI210" s="545"/>
      <c r="DRJ210" s="545"/>
      <c r="DRK210" s="545"/>
      <c r="DRL210" s="545"/>
      <c r="DRM210" s="545"/>
      <c r="DRN210" s="545"/>
      <c r="DRO210" s="545"/>
      <c r="DRP210" s="545"/>
      <c r="DRQ210" s="545"/>
      <c r="DRR210" s="545"/>
      <c r="DRS210" s="545"/>
      <c r="DRT210" s="545"/>
      <c r="DRU210" s="545"/>
      <c r="DRV210" s="545"/>
      <c r="DRW210" s="545"/>
      <c r="DRX210" s="545"/>
      <c r="DRY210" s="545"/>
      <c r="DRZ210" s="545"/>
      <c r="DSA210" s="545"/>
      <c r="DSB210" s="545"/>
      <c r="DSC210" s="545"/>
      <c r="DSD210" s="545"/>
      <c r="DSE210" s="545"/>
      <c r="DSF210" s="545"/>
      <c r="DSG210" s="545"/>
      <c r="DSH210" s="545"/>
      <c r="DSI210" s="545"/>
      <c r="DSJ210" s="545"/>
      <c r="DSK210" s="545"/>
      <c r="DSL210" s="545"/>
      <c r="DSM210" s="545"/>
      <c r="DSN210" s="545"/>
      <c r="DSO210" s="545"/>
      <c r="DSP210" s="545"/>
      <c r="DSQ210" s="545"/>
      <c r="DSR210" s="545"/>
      <c r="DSS210" s="545"/>
      <c r="DST210" s="545"/>
      <c r="DSU210" s="545"/>
      <c r="DSV210" s="545"/>
      <c r="DSW210" s="545"/>
      <c r="DSX210" s="545"/>
      <c r="DSY210" s="545"/>
      <c r="DSZ210" s="545"/>
      <c r="DTA210" s="545"/>
      <c r="DTB210" s="545"/>
      <c r="DTC210" s="545"/>
      <c r="DTD210" s="545"/>
      <c r="DTE210" s="545"/>
      <c r="DTF210" s="545"/>
      <c r="DTG210" s="545"/>
      <c r="DTH210" s="545"/>
      <c r="DTI210" s="545"/>
      <c r="DTJ210" s="545"/>
      <c r="DTK210" s="545"/>
      <c r="DTL210" s="545"/>
      <c r="DTM210" s="545"/>
      <c r="DTN210" s="545"/>
      <c r="DTO210" s="545"/>
      <c r="DTP210" s="545"/>
      <c r="DTQ210" s="545"/>
      <c r="DTR210" s="545"/>
      <c r="DTS210" s="545"/>
      <c r="DTT210" s="545"/>
      <c r="DTU210" s="545"/>
      <c r="DTV210" s="545"/>
      <c r="DTW210" s="545"/>
      <c r="DTX210" s="545"/>
      <c r="DTY210" s="545"/>
      <c r="DTZ210" s="545"/>
      <c r="DUA210" s="545"/>
      <c r="DUB210" s="545"/>
      <c r="DUC210" s="545"/>
      <c r="DUD210" s="545"/>
      <c r="DUE210" s="545"/>
      <c r="DUF210" s="545"/>
      <c r="DUG210" s="545"/>
      <c r="DUH210" s="545"/>
      <c r="DUI210" s="545"/>
      <c r="DUJ210" s="545"/>
      <c r="DUK210" s="545"/>
      <c r="DUL210" s="545"/>
      <c r="DUM210" s="545"/>
      <c r="DUN210" s="545"/>
      <c r="DUO210" s="545"/>
      <c r="DUP210" s="545"/>
      <c r="DUQ210" s="545"/>
      <c r="DUR210" s="545"/>
      <c r="DUS210" s="545"/>
      <c r="DUT210" s="545"/>
      <c r="DUU210" s="545"/>
      <c r="DUV210" s="545"/>
      <c r="DUW210" s="545"/>
      <c r="DUX210" s="545"/>
      <c r="DUY210" s="545"/>
      <c r="DUZ210" s="545"/>
      <c r="DVA210" s="545"/>
      <c r="DVB210" s="545"/>
      <c r="DVC210" s="545"/>
      <c r="DVD210" s="545"/>
      <c r="DVE210" s="545"/>
      <c r="DVF210" s="545"/>
      <c r="DVG210" s="545"/>
      <c r="DVH210" s="545"/>
      <c r="DVI210" s="545"/>
      <c r="DVJ210" s="545"/>
      <c r="DVK210" s="545"/>
      <c r="DVL210" s="545"/>
      <c r="DVM210" s="545"/>
      <c r="DVN210" s="545"/>
      <c r="DVO210" s="545"/>
      <c r="DVP210" s="545"/>
      <c r="DVQ210" s="545"/>
      <c r="DVR210" s="545"/>
      <c r="DVS210" s="545"/>
      <c r="DVT210" s="545"/>
      <c r="DVU210" s="545"/>
      <c r="DVV210" s="545"/>
      <c r="DVW210" s="545"/>
      <c r="DVX210" s="545"/>
      <c r="DVY210" s="545"/>
      <c r="DVZ210" s="545"/>
      <c r="DWA210" s="545"/>
      <c r="DWB210" s="545"/>
      <c r="DWC210" s="545"/>
      <c r="DWD210" s="545"/>
      <c r="DWE210" s="545"/>
      <c r="DWF210" s="545"/>
      <c r="DWG210" s="545"/>
      <c r="DWH210" s="545"/>
      <c r="DWI210" s="545"/>
      <c r="DWJ210" s="545"/>
      <c r="DWK210" s="545"/>
      <c r="DWL210" s="545"/>
      <c r="DWM210" s="545"/>
      <c r="DWN210" s="545"/>
      <c r="DWO210" s="545"/>
      <c r="DWP210" s="545"/>
      <c r="DWQ210" s="545"/>
      <c r="DWR210" s="545"/>
      <c r="DWS210" s="545"/>
      <c r="DWT210" s="545"/>
      <c r="DWU210" s="545"/>
      <c r="DWV210" s="545"/>
      <c r="DWW210" s="545"/>
      <c r="DWX210" s="545"/>
      <c r="DWY210" s="545"/>
      <c r="DWZ210" s="545"/>
      <c r="DXA210" s="545"/>
      <c r="DXB210" s="545"/>
      <c r="DXC210" s="545"/>
      <c r="DXD210" s="545"/>
      <c r="DXE210" s="545"/>
      <c r="DXF210" s="545"/>
      <c r="DXG210" s="545"/>
      <c r="DXH210" s="545"/>
      <c r="DXI210" s="545"/>
      <c r="DXJ210" s="545"/>
      <c r="DXK210" s="545"/>
      <c r="DXL210" s="545"/>
      <c r="DXM210" s="545"/>
      <c r="DXN210" s="545"/>
      <c r="DXO210" s="545"/>
      <c r="DXP210" s="545"/>
      <c r="DXQ210" s="545"/>
      <c r="DXR210" s="545"/>
      <c r="DXS210" s="545"/>
      <c r="DXT210" s="545"/>
      <c r="DXU210" s="545"/>
      <c r="DXV210" s="545"/>
      <c r="DXW210" s="545"/>
      <c r="DXX210" s="545"/>
      <c r="DXY210" s="545"/>
      <c r="DXZ210" s="545"/>
      <c r="DYA210" s="545"/>
      <c r="DYB210" s="545"/>
      <c r="DYC210" s="545"/>
      <c r="DYD210" s="545"/>
      <c r="DYE210" s="545"/>
      <c r="DYF210" s="545"/>
      <c r="DYG210" s="545"/>
      <c r="DYH210" s="545"/>
      <c r="DYI210" s="545"/>
      <c r="DYJ210" s="545"/>
      <c r="DYK210" s="545"/>
      <c r="DYL210" s="545"/>
      <c r="DYM210" s="545"/>
      <c r="DYN210" s="545"/>
      <c r="DYO210" s="545"/>
      <c r="DYP210" s="545"/>
      <c r="DYQ210" s="545"/>
      <c r="DYR210" s="545"/>
      <c r="DYS210" s="545"/>
      <c r="DYT210" s="545"/>
      <c r="DYU210" s="545"/>
      <c r="DYV210" s="545"/>
      <c r="DYW210" s="545"/>
      <c r="DYX210" s="545"/>
      <c r="DYY210" s="545"/>
      <c r="DYZ210" s="545"/>
      <c r="DZA210" s="545"/>
      <c r="DZB210" s="545"/>
      <c r="DZC210" s="545"/>
      <c r="DZD210" s="545"/>
      <c r="DZE210" s="545"/>
      <c r="DZF210" s="545"/>
      <c r="DZG210" s="545"/>
      <c r="DZH210" s="545"/>
      <c r="DZI210" s="545"/>
      <c r="DZJ210" s="545"/>
      <c r="DZK210" s="545"/>
      <c r="DZL210" s="545"/>
      <c r="DZM210" s="545"/>
      <c r="DZN210" s="545"/>
      <c r="DZO210" s="545"/>
      <c r="DZP210" s="545"/>
      <c r="DZQ210" s="545"/>
      <c r="DZR210" s="545"/>
      <c r="DZS210" s="545"/>
      <c r="DZT210" s="545"/>
      <c r="DZU210" s="545"/>
      <c r="DZV210" s="545"/>
      <c r="DZW210" s="545"/>
      <c r="DZX210" s="545"/>
      <c r="DZY210" s="545"/>
      <c r="DZZ210" s="545"/>
      <c r="EAA210" s="545"/>
      <c r="EAB210" s="545"/>
      <c r="EAC210" s="545"/>
      <c r="EAD210" s="545"/>
      <c r="EAE210" s="545"/>
      <c r="EAF210" s="545"/>
      <c r="EAG210" s="545"/>
      <c r="EAH210" s="545"/>
      <c r="EAI210" s="545"/>
      <c r="EAJ210" s="545"/>
      <c r="EAK210" s="545"/>
      <c r="EAL210" s="545"/>
      <c r="EAM210" s="545"/>
      <c r="EAN210" s="545"/>
      <c r="EAO210" s="545"/>
      <c r="EAP210" s="545"/>
      <c r="EAQ210" s="545"/>
      <c r="EAR210" s="545"/>
      <c r="EAS210" s="545"/>
      <c r="EAT210" s="545"/>
      <c r="EAU210" s="545"/>
      <c r="EAV210" s="545"/>
      <c r="EAW210" s="545"/>
      <c r="EAX210" s="545"/>
      <c r="EAY210" s="545"/>
      <c r="EAZ210" s="545"/>
      <c r="EBA210" s="545"/>
      <c r="EBB210" s="545"/>
      <c r="EBC210" s="545"/>
      <c r="EBD210" s="545"/>
      <c r="EBE210" s="545"/>
      <c r="EBF210" s="545"/>
      <c r="EBG210" s="545"/>
      <c r="EBH210" s="545"/>
      <c r="EBI210" s="545"/>
      <c r="EBJ210" s="545"/>
      <c r="EBK210" s="545"/>
      <c r="EBL210" s="545"/>
      <c r="EBM210" s="545"/>
      <c r="EBN210" s="545"/>
      <c r="EBO210" s="545"/>
      <c r="EBP210" s="545"/>
      <c r="EBQ210" s="545"/>
      <c r="EBR210" s="545"/>
      <c r="EBS210" s="545"/>
      <c r="EBT210" s="545"/>
      <c r="EBU210" s="545"/>
      <c r="EBV210" s="545"/>
      <c r="EBW210" s="545"/>
      <c r="EBX210" s="545"/>
      <c r="EBY210" s="545"/>
      <c r="EBZ210" s="545"/>
      <c r="ECA210" s="545"/>
      <c r="ECB210" s="545"/>
      <c r="ECC210" s="545"/>
      <c r="ECD210" s="545"/>
      <c r="ECE210" s="545"/>
      <c r="ECF210" s="545"/>
      <c r="ECG210" s="545"/>
      <c r="ECH210" s="545"/>
      <c r="ECI210" s="545"/>
      <c r="ECJ210" s="545"/>
      <c r="ECK210" s="545"/>
      <c r="ECL210" s="545"/>
      <c r="ECM210" s="545"/>
      <c r="ECN210" s="545"/>
      <c r="ECO210" s="545"/>
      <c r="ECP210" s="545"/>
      <c r="ECQ210" s="545"/>
      <c r="ECR210" s="545"/>
      <c r="ECS210" s="545"/>
      <c r="ECT210" s="545"/>
      <c r="ECU210" s="545"/>
      <c r="ECV210" s="545"/>
      <c r="ECW210" s="545"/>
      <c r="ECX210" s="545"/>
      <c r="ECY210" s="545"/>
      <c r="ECZ210" s="545"/>
      <c r="EDA210" s="545"/>
      <c r="EDB210" s="545"/>
      <c r="EDC210" s="545"/>
      <c r="EDD210" s="545"/>
      <c r="EDE210" s="545"/>
      <c r="EDF210" s="545"/>
      <c r="EDG210" s="545"/>
      <c r="EDH210" s="545"/>
      <c r="EDI210" s="545"/>
      <c r="EDJ210" s="545"/>
      <c r="EDK210" s="545"/>
      <c r="EDL210" s="545"/>
      <c r="EDM210" s="545"/>
      <c r="EDN210" s="545"/>
      <c r="EDO210" s="545"/>
      <c r="EDP210" s="545"/>
      <c r="EDQ210" s="545"/>
      <c r="EDR210" s="545"/>
      <c r="EDS210" s="545"/>
      <c r="EDT210" s="545"/>
      <c r="EDU210" s="545"/>
      <c r="EDV210" s="545"/>
      <c r="EDW210" s="545"/>
      <c r="EDX210" s="545"/>
      <c r="EDY210" s="545"/>
      <c r="EDZ210" s="545"/>
      <c r="EEA210" s="545"/>
      <c r="EEB210" s="545"/>
      <c r="EEC210" s="545"/>
      <c r="EED210" s="545"/>
      <c r="EEE210" s="545"/>
      <c r="EEF210" s="545"/>
      <c r="EEG210" s="545"/>
      <c r="EEH210" s="545"/>
      <c r="EEI210" s="545"/>
      <c r="EEJ210" s="545"/>
      <c r="EEK210" s="545"/>
      <c r="EEL210" s="545"/>
      <c r="EEM210" s="545"/>
      <c r="EEN210" s="545"/>
      <c r="EEO210" s="545"/>
      <c r="EEP210" s="545"/>
      <c r="EEQ210" s="545"/>
      <c r="EER210" s="545"/>
      <c r="EES210" s="545"/>
      <c r="EET210" s="545"/>
      <c r="EEU210" s="545"/>
      <c r="EEV210" s="545"/>
      <c r="EEW210" s="545"/>
      <c r="EEX210" s="545"/>
      <c r="EEY210" s="545"/>
      <c r="EEZ210" s="545"/>
      <c r="EFA210" s="545"/>
      <c r="EFB210" s="545"/>
      <c r="EFC210" s="545"/>
      <c r="EFD210" s="545"/>
      <c r="EFE210" s="545"/>
      <c r="EFF210" s="545"/>
      <c r="EFG210" s="545"/>
      <c r="EFH210" s="545"/>
      <c r="EFI210" s="545"/>
      <c r="EFJ210" s="545"/>
      <c r="EFK210" s="545"/>
      <c r="EFL210" s="545"/>
      <c r="EFM210" s="545"/>
      <c r="EFN210" s="545"/>
      <c r="EFO210" s="545"/>
      <c r="EFP210" s="545"/>
      <c r="EFQ210" s="545"/>
      <c r="EFR210" s="545"/>
      <c r="EFS210" s="545"/>
      <c r="EFT210" s="545"/>
      <c r="EFU210" s="545"/>
      <c r="EFV210" s="545"/>
      <c r="EFW210" s="545"/>
      <c r="EFX210" s="545"/>
      <c r="EFY210" s="545"/>
      <c r="EFZ210" s="545"/>
      <c r="EGA210" s="545"/>
      <c r="EGB210" s="545"/>
      <c r="EGC210" s="545"/>
      <c r="EGD210" s="545"/>
      <c r="EGE210" s="545"/>
      <c r="EGF210" s="545"/>
      <c r="EGG210" s="545"/>
      <c r="EGH210" s="545"/>
      <c r="EGI210" s="545"/>
      <c r="EGJ210" s="545"/>
      <c r="EGK210" s="545"/>
      <c r="EGL210" s="545"/>
      <c r="EGM210" s="545"/>
      <c r="EGN210" s="545"/>
      <c r="EGO210" s="545"/>
      <c r="EGP210" s="545"/>
      <c r="EGQ210" s="545"/>
      <c r="EGR210" s="545"/>
      <c r="EGS210" s="545"/>
      <c r="EGT210" s="545"/>
      <c r="EGU210" s="545"/>
      <c r="EGV210" s="545"/>
      <c r="EGW210" s="545"/>
      <c r="EGX210" s="545"/>
      <c r="EGY210" s="545"/>
      <c r="EGZ210" s="545"/>
      <c r="EHA210" s="545"/>
      <c r="EHB210" s="545"/>
      <c r="EHC210" s="545"/>
      <c r="EHD210" s="545"/>
      <c r="EHE210" s="545"/>
      <c r="EHF210" s="545"/>
      <c r="EHG210" s="545"/>
      <c r="EHH210" s="545"/>
      <c r="EHI210" s="545"/>
      <c r="EHJ210" s="545"/>
      <c r="EHK210" s="545"/>
      <c r="EHL210" s="545"/>
      <c r="EHM210" s="545"/>
      <c r="EHN210" s="545"/>
      <c r="EHO210" s="545"/>
      <c r="EHP210" s="545"/>
      <c r="EHQ210" s="545"/>
      <c r="EHR210" s="545"/>
      <c r="EHS210" s="545"/>
      <c r="EHT210" s="545"/>
      <c r="EHU210" s="545"/>
      <c r="EHV210" s="545"/>
      <c r="EHW210" s="545"/>
      <c r="EHX210" s="545"/>
      <c r="EHY210" s="545"/>
      <c r="EHZ210" s="545"/>
      <c r="EIA210" s="545"/>
      <c r="EIB210" s="545"/>
      <c r="EIC210" s="545"/>
      <c r="EID210" s="545"/>
      <c r="EIE210" s="545"/>
      <c r="EIF210" s="545"/>
      <c r="EIG210" s="545"/>
      <c r="EIH210" s="545"/>
      <c r="EII210" s="545"/>
      <c r="EIJ210" s="545"/>
      <c r="EIK210" s="545"/>
      <c r="EIL210" s="545"/>
      <c r="EIM210" s="545"/>
      <c r="EIN210" s="545"/>
      <c r="EIO210" s="545"/>
      <c r="EIP210" s="545"/>
      <c r="EIQ210" s="545"/>
      <c r="EIR210" s="545"/>
      <c r="EIS210" s="545"/>
      <c r="EIT210" s="545"/>
      <c r="EIU210" s="545"/>
      <c r="EIV210" s="545"/>
      <c r="EIW210" s="545"/>
      <c r="EIX210" s="545"/>
      <c r="EIY210" s="545"/>
      <c r="EIZ210" s="545"/>
      <c r="EJA210" s="545"/>
      <c r="EJB210" s="545"/>
      <c r="EJC210" s="545"/>
      <c r="EJD210" s="545"/>
      <c r="EJE210" s="545"/>
      <c r="EJF210" s="545"/>
      <c r="EJG210" s="545"/>
      <c r="EJH210" s="545"/>
      <c r="EJI210" s="545"/>
      <c r="EJJ210" s="545"/>
      <c r="EJK210" s="545"/>
      <c r="EJL210" s="545"/>
      <c r="EJM210" s="545"/>
      <c r="EJN210" s="545"/>
      <c r="EJO210" s="545"/>
      <c r="EJP210" s="545"/>
      <c r="EJQ210" s="545"/>
      <c r="EJR210" s="545"/>
      <c r="EJS210" s="545"/>
      <c r="EJT210" s="545"/>
      <c r="EJU210" s="545"/>
      <c r="EJV210" s="545"/>
      <c r="EJW210" s="545"/>
      <c r="EJX210" s="545"/>
      <c r="EJY210" s="545"/>
      <c r="EJZ210" s="545"/>
      <c r="EKA210" s="545"/>
      <c r="EKB210" s="545"/>
      <c r="EKC210" s="545"/>
      <c r="EKD210" s="545"/>
      <c r="EKE210" s="545"/>
      <c r="EKF210" s="545"/>
      <c r="EKG210" s="545"/>
      <c r="EKH210" s="545"/>
      <c r="EKI210" s="545"/>
      <c r="EKJ210" s="545"/>
      <c r="EKK210" s="545"/>
      <c r="EKL210" s="545"/>
      <c r="EKM210" s="545"/>
      <c r="EKN210" s="545"/>
      <c r="EKO210" s="545"/>
      <c r="EKP210" s="545"/>
      <c r="EKQ210" s="545"/>
      <c r="EKR210" s="545"/>
      <c r="EKS210" s="545"/>
      <c r="EKT210" s="545"/>
      <c r="EKU210" s="545"/>
      <c r="EKV210" s="545"/>
      <c r="EKW210" s="545"/>
      <c r="EKX210" s="545"/>
      <c r="EKY210" s="545"/>
      <c r="EKZ210" s="545"/>
      <c r="ELA210" s="545"/>
      <c r="ELB210" s="545"/>
      <c r="ELC210" s="545"/>
      <c r="ELD210" s="545"/>
      <c r="ELE210" s="545"/>
      <c r="ELF210" s="545"/>
      <c r="ELG210" s="545"/>
      <c r="ELH210" s="545"/>
      <c r="ELI210" s="545"/>
      <c r="ELJ210" s="545"/>
      <c r="ELK210" s="545"/>
      <c r="ELL210" s="545"/>
      <c r="ELM210" s="545"/>
      <c r="ELN210" s="545"/>
      <c r="ELO210" s="545"/>
      <c r="ELP210" s="545"/>
      <c r="ELQ210" s="545"/>
      <c r="ELR210" s="545"/>
      <c r="ELS210" s="545"/>
      <c r="ELT210" s="545"/>
      <c r="ELU210" s="545"/>
      <c r="ELV210" s="545"/>
      <c r="ELW210" s="545"/>
      <c r="ELX210" s="545"/>
      <c r="ELY210" s="545"/>
      <c r="ELZ210" s="545"/>
      <c r="EMA210" s="545"/>
      <c r="EMB210" s="545"/>
      <c r="EMC210" s="545"/>
      <c r="EMD210" s="545"/>
      <c r="EME210" s="545"/>
      <c r="EMF210" s="545"/>
      <c r="EMG210" s="545"/>
      <c r="EMH210" s="545"/>
      <c r="EMI210" s="545"/>
      <c r="EMJ210" s="545"/>
      <c r="EMK210" s="545"/>
      <c r="EML210" s="545"/>
      <c r="EMM210" s="545"/>
      <c r="EMN210" s="545"/>
      <c r="EMO210" s="545"/>
      <c r="EMP210" s="545"/>
      <c r="EMQ210" s="545"/>
      <c r="EMR210" s="545"/>
      <c r="EMS210" s="545"/>
      <c r="EMT210" s="545"/>
      <c r="EMU210" s="545"/>
      <c r="EMV210" s="545"/>
      <c r="EMW210" s="545"/>
      <c r="EMX210" s="545"/>
      <c r="EMY210" s="545"/>
      <c r="EMZ210" s="545"/>
      <c r="ENA210" s="545"/>
      <c r="ENB210" s="545"/>
      <c r="ENC210" s="545"/>
      <c r="END210" s="545"/>
      <c r="ENE210" s="545"/>
      <c r="ENF210" s="545"/>
      <c r="ENG210" s="545"/>
      <c r="ENH210" s="545"/>
      <c r="ENI210" s="545"/>
      <c r="ENJ210" s="545"/>
      <c r="ENK210" s="545"/>
      <c r="ENL210" s="545"/>
      <c r="ENM210" s="545"/>
      <c r="ENN210" s="545"/>
      <c r="ENO210" s="545"/>
      <c r="ENP210" s="545"/>
      <c r="ENQ210" s="545"/>
      <c r="ENR210" s="545"/>
      <c r="ENS210" s="545"/>
      <c r="ENT210" s="545"/>
      <c r="ENU210" s="545"/>
      <c r="ENV210" s="545"/>
      <c r="ENW210" s="545"/>
      <c r="ENX210" s="545"/>
      <c r="ENY210" s="545"/>
      <c r="ENZ210" s="545"/>
      <c r="EOA210" s="545"/>
      <c r="EOB210" s="545"/>
      <c r="EOC210" s="545"/>
      <c r="EOD210" s="545"/>
      <c r="EOE210" s="545"/>
      <c r="EOF210" s="545"/>
      <c r="EOG210" s="545"/>
      <c r="EOH210" s="545"/>
      <c r="EOI210" s="545"/>
      <c r="EOJ210" s="545"/>
      <c r="EOK210" s="545"/>
      <c r="EOL210" s="545"/>
      <c r="EOM210" s="545"/>
      <c r="EON210" s="545"/>
      <c r="EOO210" s="545"/>
      <c r="EOP210" s="545"/>
      <c r="EOQ210" s="545"/>
      <c r="EOR210" s="545"/>
      <c r="EOS210" s="545"/>
      <c r="EOT210" s="545"/>
      <c r="EOU210" s="545"/>
      <c r="EOV210" s="545"/>
      <c r="EOW210" s="545"/>
      <c r="EOX210" s="545"/>
      <c r="EOY210" s="545"/>
      <c r="EOZ210" s="545"/>
      <c r="EPA210" s="545"/>
      <c r="EPB210" s="545"/>
      <c r="EPC210" s="545"/>
      <c r="EPD210" s="545"/>
      <c r="EPE210" s="545"/>
      <c r="EPF210" s="545"/>
      <c r="EPG210" s="545"/>
      <c r="EPH210" s="545"/>
      <c r="EPI210" s="545"/>
      <c r="EPJ210" s="545"/>
      <c r="EPK210" s="545"/>
      <c r="EPL210" s="545"/>
      <c r="EPM210" s="545"/>
      <c r="EPN210" s="545"/>
      <c r="EPO210" s="545"/>
      <c r="EPP210" s="545"/>
      <c r="EPQ210" s="545"/>
      <c r="EPR210" s="545"/>
      <c r="EPS210" s="545"/>
      <c r="EPT210" s="545"/>
      <c r="EPU210" s="545"/>
      <c r="EPV210" s="545"/>
      <c r="EPW210" s="545"/>
      <c r="EPX210" s="545"/>
      <c r="EPY210" s="545"/>
      <c r="EPZ210" s="545"/>
      <c r="EQA210" s="545"/>
      <c r="EQB210" s="545"/>
      <c r="EQC210" s="545"/>
      <c r="EQD210" s="545"/>
      <c r="EQE210" s="545"/>
      <c r="EQF210" s="545"/>
      <c r="EQG210" s="545"/>
      <c r="EQH210" s="545"/>
      <c r="EQI210" s="545"/>
      <c r="EQJ210" s="545"/>
      <c r="EQK210" s="545"/>
      <c r="EQL210" s="545"/>
      <c r="EQM210" s="545"/>
      <c r="EQN210" s="545"/>
      <c r="EQO210" s="545"/>
      <c r="EQP210" s="545"/>
      <c r="EQQ210" s="545"/>
      <c r="EQR210" s="545"/>
      <c r="EQS210" s="545"/>
      <c r="EQT210" s="545"/>
      <c r="EQU210" s="545"/>
      <c r="EQV210" s="545"/>
      <c r="EQW210" s="545"/>
      <c r="EQX210" s="545"/>
      <c r="EQY210" s="545"/>
      <c r="EQZ210" s="545"/>
      <c r="ERA210" s="545"/>
      <c r="ERB210" s="545"/>
      <c r="ERC210" s="545"/>
      <c r="ERD210" s="545"/>
      <c r="ERE210" s="545"/>
      <c r="ERF210" s="545"/>
      <c r="ERG210" s="545"/>
      <c r="ERH210" s="545"/>
      <c r="ERI210" s="545"/>
      <c r="ERJ210" s="545"/>
      <c r="ERK210" s="545"/>
      <c r="ERL210" s="545"/>
      <c r="ERM210" s="545"/>
      <c r="ERN210" s="545"/>
      <c r="ERO210" s="545"/>
      <c r="ERP210" s="545"/>
      <c r="ERQ210" s="545"/>
      <c r="ERR210" s="545"/>
      <c r="ERS210" s="545"/>
      <c r="ERT210" s="545"/>
      <c r="ERU210" s="545"/>
      <c r="ERV210" s="545"/>
      <c r="ERW210" s="545"/>
      <c r="ERX210" s="545"/>
      <c r="ERY210" s="545"/>
      <c r="ERZ210" s="545"/>
      <c r="ESA210" s="545"/>
      <c r="ESB210" s="545"/>
      <c r="ESC210" s="545"/>
      <c r="ESD210" s="545"/>
      <c r="ESE210" s="545"/>
      <c r="ESF210" s="545"/>
      <c r="ESG210" s="545"/>
      <c r="ESH210" s="545"/>
      <c r="ESI210" s="545"/>
      <c r="ESJ210" s="545"/>
      <c r="ESK210" s="545"/>
      <c r="ESL210" s="545"/>
      <c r="ESM210" s="545"/>
      <c r="ESN210" s="545"/>
      <c r="ESO210" s="545"/>
      <c r="ESP210" s="545"/>
      <c r="ESQ210" s="545"/>
      <c r="ESR210" s="545"/>
      <c r="ESS210" s="545"/>
      <c r="EST210" s="545"/>
      <c r="ESU210" s="545"/>
      <c r="ESV210" s="545"/>
      <c r="ESW210" s="545"/>
      <c r="ESX210" s="545"/>
      <c r="ESY210" s="545"/>
      <c r="ESZ210" s="545"/>
      <c r="ETA210" s="545"/>
      <c r="ETB210" s="545"/>
      <c r="ETC210" s="545"/>
      <c r="ETD210" s="545"/>
      <c r="ETE210" s="545"/>
      <c r="ETF210" s="545"/>
      <c r="ETG210" s="545"/>
      <c r="ETH210" s="545"/>
      <c r="ETI210" s="545"/>
      <c r="ETJ210" s="545"/>
      <c r="ETK210" s="545"/>
      <c r="ETL210" s="545"/>
      <c r="ETM210" s="545"/>
      <c r="ETN210" s="545"/>
      <c r="ETO210" s="545"/>
      <c r="ETP210" s="545"/>
      <c r="ETQ210" s="545"/>
      <c r="ETR210" s="545"/>
      <c r="ETS210" s="545"/>
      <c r="ETT210" s="545"/>
      <c r="ETU210" s="545"/>
      <c r="ETV210" s="545"/>
      <c r="ETW210" s="545"/>
      <c r="ETX210" s="545"/>
      <c r="ETY210" s="545"/>
      <c r="ETZ210" s="545"/>
      <c r="EUA210" s="545"/>
      <c r="EUB210" s="545"/>
      <c r="EUC210" s="545"/>
      <c r="EUD210" s="545"/>
      <c r="EUE210" s="545"/>
      <c r="EUF210" s="545"/>
      <c r="EUG210" s="545"/>
      <c r="EUH210" s="545"/>
      <c r="EUI210" s="545"/>
      <c r="EUJ210" s="545"/>
      <c r="EUK210" s="545"/>
      <c r="EUL210" s="545"/>
      <c r="EUM210" s="545"/>
      <c r="EUN210" s="545"/>
      <c r="EUO210" s="545"/>
      <c r="EUP210" s="545"/>
      <c r="EUQ210" s="545"/>
      <c r="EUR210" s="545"/>
      <c r="EUS210" s="545"/>
      <c r="EUT210" s="545"/>
      <c r="EUU210" s="545"/>
      <c r="EUV210" s="545"/>
      <c r="EUW210" s="545"/>
      <c r="EUX210" s="545"/>
      <c r="EUY210" s="545"/>
      <c r="EUZ210" s="545"/>
      <c r="EVA210" s="545"/>
      <c r="EVB210" s="545"/>
      <c r="EVC210" s="545"/>
      <c r="EVD210" s="545"/>
      <c r="EVE210" s="545"/>
      <c r="EVF210" s="545"/>
      <c r="EVG210" s="545"/>
      <c r="EVH210" s="545"/>
      <c r="EVI210" s="545"/>
      <c r="EVJ210" s="545"/>
      <c r="EVK210" s="545"/>
      <c r="EVL210" s="545"/>
      <c r="EVM210" s="545"/>
      <c r="EVN210" s="545"/>
      <c r="EVO210" s="545"/>
      <c r="EVP210" s="545"/>
      <c r="EVQ210" s="545"/>
      <c r="EVR210" s="545"/>
      <c r="EVS210" s="545"/>
      <c r="EVT210" s="545"/>
      <c r="EVU210" s="545"/>
      <c r="EVV210" s="545"/>
      <c r="EVW210" s="545"/>
      <c r="EVX210" s="545"/>
      <c r="EVY210" s="545"/>
      <c r="EVZ210" s="545"/>
      <c r="EWA210" s="545"/>
      <c r="EWB210" s="545"/>
      <c r="EWC210" s="545"/>
      <c r="EWD210" s="545"/>
      <c r="EWE210" s="545"/>
      <c r="EWF210" s="545"/>
      <c r="EWG210" s="545"/>
      <c r="EWH210" s="545"/>
      <c r="EWI210" s="545"/>
      <c r="EWJ210" s="545"/>
      <c r="EWK210" s="545"/>
      <c r="EWL210" s="545"/>
      <c r="EWM210" s="545"/>
      <c r="EWN210" s="545"/>
      <c r="EWO210" s="545"/>
      <c r="EWP210" s="545"/>
      <c r="EWQ210" s="545"/>
      <c r="EWR210" s="545"/>
      <c r="EWS210" s="545"/>
      <c r="EWT210" s="545"/>
      <c r="EWU210" s="545"/>
      <c r="EWV210" s="545"/>
      <c r="EWW210" s="545"/>
      <c r="EWX210" s="545"/>
      <c r="EWY210" s="545"/>
      <c r="EWZ210" s="545"/>
      <c r="EXA210" s="545"/>
      <c r="EXB210" s="545"/>
      <c r="EXC210" s="545"/>
      <c r="EXD210" s="545"/>
      <c r="EXE210" s="545"/>
      <c r="EXF210" s="545"/>
      <c r="EXG210" s="545"/>
      <c r="EXH210" s="545"/>
      <c r="EXI210" s="545"/>
      <c r="EXJ210" s="545"/>
      <c r="EXK210" s="545"/>
      <c r="EXL210" s="545"/>
      <c r="EXM210" s="545"/>
      <c r="EXN210" s="545"/>
      <c r="EXO210" s="545"/>
      <c r="EXP210" s="545"/>
      <c r="EXQ210" s="545"/>
      <c r="EXR210" s="545"/>
      <c r="EXS210" s="545"/>
      <c r="EXT210" s="545"/>
      <c r="EXU210" s="545"/>
      <c r="EXV210" s="545"/>
      <c r="EXW210" s="545"/>
      <c r="EXX210" s="545"/>
      <c r="EXY210" s="545"/>
      <c r="EXZ210" s="545"/>
      <c r="EYA210" s="545"/>
      <c r="EYB210" s="545"/>
      <c r="EYC210" s="545"/>
      <c r="EYD210" s="545"/>
      <c r="EYE210" s="545"/>
      <c r="EYF210" s="545"/>
      <c r="EYG210" s="545"/>
      <c r="EYH210" s="545"/>
      <c r="EYI210" s="545"/>
      <c r="EYJ210" s="545"/>
      <c r="EYK210" s="545"/>
      <c r="EYL210" s="545"/>
      <c r="EYM210" s="545"/>
      <c r="EYN210" s="545"/>
      <c r="EYO210" s="545"/>
      <c r="EYP210" s="545"/>
      <c r="EYQ210" s="545"/>
      <c r="EYR210" s="545"/>
      <c r="EYS210" s="545"/>
      <c r="EYT210" s="545"/>
      <c r="EYU210" s="545"/>
      <c r="EYV210" s="545"/>
      <c r="EYW210" s="545"/>
      <c r="EYX210" s="545"/>
      <c r="EYY210" s="545"/>
      <c r="EYZ210" s="545"/>
      <c r="EZA210" s="545"/>
      <c r="EZB210" s="545"/>
      <c r="EZC210" s="545"/>
      <c r="EZD210" s="545"/>
      <c r="EZE210" s="545"/>
      <c r="EZF210" s="545"/>
      <c r="EZG210" s="545"/>
      <c r="EZH210" s="545"/>
      <c r="EZI210" s="545"/>
      <c r="EZJ210" s="545"/>
      <c r="EZK210" s="545"/>
      <c r="EZL210" s="545"/>
      <c r="EZM210" s="545"/>
      <c r="EZN210" s="545"/>
      <c r="EZO210" s="545"/>
      <c r="EZP210" s="545"/>
      <c r="EZQ210" s="545"/>
      <c r="EZR210" s="545"/>
      <c r="EZS210" s="545"/>
      <c r="EZT210" s="545"/>
      <c r="EZU210" s="545"/>
      <c r="EZV210" s="545"/>
      <c r="EZW210" s="545"/>
      <c r="EZX210" s="545"/>
      <c r="EZY210" s="545"/>
      <c r="EZZ210" s="545"/>
      <c r="FAA210" s="545"/>
      <c r="FAB210" s="545"/>
      <c r="FAC210" s="545"/>
      <c r="FAD210" s="545"/>
      <c r="FAE210" s="545"/>
      <c r="FAF210" s="545"/>
      <c r="FAG210" s="545"/>
      <c r="FAH210" s="545"/>
      <c r="FAI210" s="545"/>
      <c r="FAJ210" s="545"/>
      <c r="FAK210" s="545"/>
      <c r="FAL210" s="545"/>
      <c r="FAM210" s="545"/>
      <c r="FAN210" s="545"/>
      <c r="FAO210" s="545"/>
      <c r="FAP210" s="545"/>
      <c r="FAQ210" s="545"/>
      <c r="FAR210" s="545"/>
      <c r="FAS210" s="545"/>
      <c r="FAT210" s="545"/>
      <c r="FAU210" s="545"/>
      <c r="FAV210" s="545"/>
      <c r="FAW210" s="545"/>
      <c r="FAX210" s="545"/>
      <c r="FAY210" s="545"/>
      <c r="FAZ210" s="545"/>
      <c r="FBA210" s="545"/>
      <c r="FBB210" s="545"/>
      <c r="FBC210" s="545"/>
      <c r="FBD210" s="545"/>
      <c r="FBE210" s="545"/>
      <c r="FBF210" s="545"/>
      <c r="FBG210" s="545"/>
      <c r="FBH210" s="545"/>
      <c r="FBI210" s="545"/>
      <c r="FBJ210" s="545"/>
      <c r="FBK210" s="545"/>
      <c r="FBL210" s="545"/>
      <c r="FBM210" s="545"/>
      <c r="FBN210" s="545"/>
      <c r="FBO210" s="545"/>
      <c r="FBP210" s="545"/>
      <c r="FBQ210" s="545"/>
      <c r="FBR210" s="545"/>
      <c r="FBS210" s="545"/>
      <c r="FBT210" s="545"/>
      <c r="FBU210" s="545"/>
      <c r="FBV210" s="545"/>
      <c r="FBW210" s="545"/>
      <c r="FBX210" s="545"/>
      <c r="FBY210" s="545"/>
      <c r="FBZ210" s="545"/>
      <c r="FCA210" s="545"/>
      <c r="FCB210" s="545"/>
      <c r="FCC210" s="545"/>
      <c r="FCD210" s="545"/>
      <c r="FCE210" s="545"/>
      <c r="FCF210" s="545"/>
      <c r="FCG210" s="545"/>
      <c r="FCH210" s="545"/>
      <c r="FCI210" s="545"/>
      <c r="FCJ210" s="545"/>
      <c r="FCK210" s="545"/>
      <c r="FCL210" s="545"/>
      <c r="FCM210" s="545"/>
      <c r="FCN210" s="545"/>
      <c r="FCO210" s="545"/>
      <c r="FCP210" s="545"/>
      <c r="FCQ210" s="545"/>
      <c r="FCR210" s="545"/>
      <c r="FCS210" s="545"/>
      <c r="FCT210" s="545"/>
      <c r="FCU210" s="545"/>
      <c r="FCV210" s="545"/>
      <c r="FCW210" s="545"/>
      <c r="FCX210" s="545"/>
      <c r="FCY210" s="545"/>
      <c r="FCZ210" s="545"/>
      <c r="FDA210" s="545"/>
      <c r="FDB210" s="545"/>
      <c r="FDC210" s="545"/>
      <c r="FDD210" s="545"/>
      <c r="FDE210" s="545"/>
      <c r="FDF210" s="545"/>
      <c r="FDG210" s="545"/>
      <c r="FDH210" s="545"/>
      <c r="FDI210" s="545"/>
      <c r="FDJ210" s="545"/>
      <c r="FDK210" s="545"/>
      <c r="FDL210" s="545"/>
      <c r="FDM210" s="545"/>
      <c r="FDN210" s="545"/>
      <c r="FDO210" s="545"/>
      <c r="FDP210" s="545"/>
      <c r="FDQ210" s="545"/>
      <c r="FDR210" s="545"/>
      <c r="FDS210" s="545"/>
      <c r="FDT210" s="545"/>
      <c r="FDU210" s="545"/>
      <c r="FDV210" s="545"/>
      <c r="FDW210" s="545"/>
      <c r="FDX210" s="545"/>
      <c r="FDY210" s="545"/>
      <c r="FDZ210" s="545"/>
      <c r="FEA210" s="545"/>
      <c r="FEB210" s="545"/>
      <c r="FEC210" s="545"/>
      <c r="FED210" s="545"/>
      <c r="FEE210" s="545"/>
      <c r="FEF210" s="545"/>
      <c r="FEG210" s="545"/>
      <c r="FEH210" s="545"/>
      <c r="FEI210" s="545"/>
      <c r="FEJ210" s="545"/>
      <c r="FEK210" s="545"/>
      <c r="FEL210" s="545"/>
      <c r="FEM210" s="545"/>
      <c r="FEN210" s="545"/>
      <c r="FEO210" s="545"/>
      <c r="FEP210" s="545"/>
      <c r="FEQ210" s="545"/>
      <c r="FER210" s="545"/>
      <c r="FES210" s="545"/>
      <c r="FET210" s="545"/>
      <c r="FEU210" s="545"/>
      <c r="FEV210" s="545"/>
      <c r="FEW210" s="545"/>
      <c r="FEX210" s="545"/>
      <c r="FEY210" s="545"/>
      <c r="FEZ210" s="545"/>
      <c r="FFA210" s="545"/>
      <c r="FFB210" s="545"/>
      <c r="FFC210" s="545"/>
      <c r="FFD210" s="545"/>
      <c r="FFE210" s="545"/>
      <c r="FFF210" s="545"/>
      <c r="FFG210" s="545"/>
      <c r="FFH210" s="545"/>
      <c r="FFI210" s="545"/>
      <c r="FFJ210" s="545"/>
      <c r="FFK210" s="545"/>
      <c r="FFL210" s="545"/>
      <c r="FFM210" s="545"/>
      <c r="FFN210" s="545"/>
      <c r="FFO210" s="545"/>
      <c r="FFP210" s="545"/>
      <c r="FFQ210" s="545"/>
      <c r="FFR210" s="545"/>
      <c r="FFS210" s="545"/>
      <c r="FFT210" s="545"/>
      <c r="FFU210" s="545"/>
      <c r="FFV210" s="545"/>
      <c r="FFW210" s="545"/>
      <c r="FFX210" s="545"/>
      <c r="FFY210" s="545"/>
      <c r="FFZ210" s="545"/>
      <c r="FGA210" s="545"/>
      <c r="FGB210" s="545"/>
      <c r="FGC210" s="545"/>
      <c r="FGD210" s="545"/>
      <c r="FGE210" s="545"/>
      <c r="FGF210" s="545"/>
      <c r="FGG210" s="545"/>
      <c r="FGH210" s="545"/>
      <c r="FGI210" s="545"/>
      <c r="FGJ210" s="545"/>
      <c r="FGK210" s="545"/>
      <c r="FGL210" s="545"/>
      <c r="FGM210" s="545"/>
      <c r="FGN210" s="545"/>
      <c r="FGO210" s="545"/>
      <c r="FGP210" s="545"/>
      <c r="FGQ210" s="545"/>
      <c r="FGR210" s="545"/>
      <c r="FGS210" s="545"/>
      <c r="FGT210" s="545"/>
      <c r="FGU210" s="545"/>
      <c r="FGV210" s="545"/>
      <c r="FGW210" s="545"/>
      <c r="FGX210" s="545"/>
      <c r="FGY210" s="545"/>
      <c r="FGZ210" s="545"/>
      <c r="FHA210" s="545"/>
      <c r="FHB210" s="545"/>
      <c r="FHC210" s="545"/>
      <c r="FHD210" s="545"/>
      <c r="FHE210" s="545"/>
      <c r="FHF210" s="545"/>
      <c r="FHG210" s="545"/>
      <c r="FHH210" s="545"/>
      <c r="FHI210" s="545"/>
      <c r="FHJ210" s="545"/>
      <c r="FHK210" s="545"/>
      <c r="FHL210" s="545"/>
      <c r="FHM210" s="545"/>
      <c r="FHN210" s="545"/>
      <c r="FHO210" s="545"/>
      <c r="FHP210" s="545"/>
      <c r="FHQ210" s="545"/>
      <c r="FHR210" s="545"/>
      <c r="FHS210" s="545"/>
      <c r="FHT210" s="545"/>
      <c r="FHU210" s="545"/>
      <c r="FHV210" s="545"/>
      <c r="FHW210" s="545"/>
      <c r="FHX210" s="545"/>
      <c r="FHY210" s="545"/>
      <c r="FHZ210" s="545"/>
      <c r="FIA210" s="545"/>
      <c r="FIB210" s="545"/>
      <c r="FIC210" s="545"/>
      <c r="FID210" s="545"/>
      <c r="FIE210" s="545"/>
      <c r="FIF210" s="545"/>
      <c r="FIG210" s="545"/>
      <c r="FIH210" s="545"/>
      <c r="FII210" s="545"/>
      <c r="FIJ210" s="545"/>
      <c r="FIK210" s="545"/>
      <c r="FIL210" s="545"/>
      <c r="FIM210" s="545"/>
      <c r="FIN210" s="545"/>
      <c r="FIO210" s="545"/>
      <c r="FIP210" s="545"/>
      <c r="FIQ210" s="545"/>
      <c r="FIR210" s="545"/>
      <c r="FIS210" s="545"/>
      <c r="FIT210" s="545"/>
      <c r="FIU210" s="545"/>
      <c r="FIV210" s="545"/>
      <c r="FIW210" s="545"/>
      <c r="FIX210" s="545"/>
      <c r="FIY210" s="545"/>
      <c r="FIZ210" s="545"/>
      <c r="FJA210" s="545"/>
      <c r="FJB210" s="545"/>
      <c r="FJC210" s="545"/>
      <c r="FJD210" s="545"/>
      <c r="FJE210" s="545"/>
      <c r="FJF210" s="545"/>
      <c r="FJG210" s="545"/>
      <c r="FJH210" s="545"/>
      <c r="FJI210" s="545"/>
      <c r="FJJ210" s="545"/>
      <c r="FJK210" s="545"/>
      <c r="FJL210" s="545"/>
      <c r="FJM210" s="545"/>
      <c r="FJN210" s="545"/>
      <c r="FJO210" s="545"/>
      <c r="FJP210" s="545"/>
      <c r="FJQ210" s="545"/>
      <c r="FJR210" s="545"/>
      <c r="FJS210" s="545"/>
      <c r="FJT210" s="545"/>
      <c r="FJU210" s="545"/>
      <c r="FJV210" s="545"/>
      <c r="FJW210" s="545"/>
      <c r="FJX210" s="545"/>
      <c r="FJY210" s="545"/>
      <c r="FJZ210" s="545"/>
      <c r="FKA210" s="545"/>
      <c r="FKB210" s="545"/>
      <c r="FKC210" s="545"/>
      <c r="FKD210" s="545"/>
      <c r="FKE210" s="545"/>
      <c r="FKF210" s="545"/>
      <c r="FKG210" s="545"/>
      <c r="FKH210" s="545"/>
      <c r="FKI210" s="545"/>
      <c r="FKJ210" s="545"/>
      <c r="FKK210" s="545"/>
      <c r="FKL210" s="545"/>
      <c r="FKM210" s="545"/>
      <c r="FKN210" s="545"/>
      <c r="FKO210" s="545"/>
      <c r="FKP210" s="545"/>
      <c r="FKQ210" s="545"/>
      <c r="FKR210" s="545"/>
      <c r="FKS210" s="545"/>
      <c r="FKT210" s="545"/>
      <c r="FKU210" s="545"/>
      <c r="FKV210" s="545"/>
      <c r="FKW210" s="545"/>
      <c r="FKX210" s="545"/>
      <c r="FKY210" s="545"/>
      <c r="FKZ210" s="545"/>
      <c r="FLA210" s="545"/>
      <c r="FLB210" s="545"/>
      <c r="FLC210" s="545"/>
      <c r="FLD210" s="545"/>
      <c r="FLE210" s="545"/>
      <c r="FLF210" s="545"/>
      <c r="FLG210" s="545"/>
      <c r="FLH210" s="545"/>
      <c r="FLI210" s="545"/>
      <c r="FLJ210" s="545"/>
      <c r="FLK210" s="545"/>
      <c r="FLL210" s="545"/>
      <c r="FLM210" s="545"/>
      <c r="FLN210" s="545"/>
      <c r="FLO210" s="545"/>
      <c r="FLP210" s="545"/>
      <c r="FLQ210" s="545"/>
      <c r="FLR210" s="545"/>
      <c r="FLS210" s="545"/>
      <c r="FLT210" s="545"/>
      <c r="FLU210" s="545"/>
      <c r="FLV210" s="545"/>
      <c r="FLW210" s="545"/>
      <c r="FLX210" s="545"/>
      <c r="FLY210" s="545"/>
      <c r="FLZ210" s="545"/>
      <c r="FMA210" s="545"/>
      <c r="FMB210" s="545"/>
      <c r="FMC210" s="545"/>
      <c r="FMD210" s="545"/>
      <c r="FME210" s="545"/>
      <c r="FMF210" s="545"/>
      <c r="FMG210" s="545"/>
      <c r="FMH210" s="545"/>
      <c r="FMI210" s="545"/>
      <c r="FMJ210" s="545"/>
      <c r="FMK210" s="545"/>
      <c r="FML210" s="545"/>
      <c r="FMM210" s="545"/>
      <c r="FMN210" s="545"/>
      <c r="FMO210" s="545"/>
      <c r="FMP210" s="545"/>
      <c r="FMQ210" s="545"/>
      <c r="FMR210" s="545"/>
      <c r="FMS210" s="545"/>
      <c r="FMT210" s="545"/>
      <c r="FMU210" s="545"/>
      <c r="FMV210" s="545"/>
      <c r="FMW210" s="545"/>
      <c r="FMX210" s="545"/>
      <c r="FMY210" s="545"/>
      <c r="FMZ210" s="545"/>
      <c r="FNA210" s="545"/>
      <c r="FNB210" s="545"/>
      <c r="FNC210" s="545"/>
      <c r="FND210" s="545"/>
      <c r="FNE210" s="545"/>
      <c r="FNF210" s="545"/>
      <c r="FNG210" s="545"/>
      <c r="FNH210" s="545"/>
      <c r="FNI210" s="545"/>
      <c r="FNJ210" s="545"/>
      <c r="FNK210" s="545"/>
      <c r="FNL210" s="545"/>
      <c r="FNM210" s="545"/>
      <c r="FNN210" s="545"/>
      <c r="FNO210" s="545"/>
      <c r="FNP210" s="545"/>
      <c r="FNQ210" s="545"/>
      <c r="FNR210" s="545"/>
      <c r="FNS210" s="545"/>
      <c r="FNT210" s="545"/>
      <c r="FNU210" s="545"/>
      <c r="FNV210" s="545"/>
      <c r="FNW210" s="545"/>
      <c r="FNX210" s="545"/>
      <c r="FNY210" s="545"/>
      <c r="FNZ210" s="545"/>
      <c r="FOA210" s="545"/>
      <c r="FOB210" s="545"/>
      <c r="FOC210" s="545"/>
      <c r="FOD210" s="545"/>
      <c r="FOE210" s="545"/>
      <c r="FOF210" s="545"/>
      <c r="FOG210" s="545"/>
      <c r="FOH210" s="545"/>
      <c r="FOI210" s="545"/>
      <c r="FOJ210" s="545"/>
      <c r="FOK210" s="545"/>
      <c r="FOL210" s="545"/>
      <c r="FOM210" s="545"/>
      <c r="FON210" s="545"/>
      <c r="FOO210" s="545"/>
      <c r="FOP210" s="545"/>
      <c r="FOQ210" s="545"/>
      <c r="FOR210" s="545"/>
      <c r="FOS210" s="545"/>
      <c r="FOT210" s="545"/>
      <c r="FOU210" s="545"/>
      <c r="FOV210" s="545"/>
      <c r="FOW210" s="545"/>
      <c r="FOX210" s="545"/>
      <c r="FOY210" s="545"/>
      <c r="FOZ210" s="545"/>
      <c r="FPA210" s="545"/>
      <c r="FPB210" s="545"/>
      <c r="FPC210" s="545"/>
      <c r="FPD210" s="545"/>
      <c r="FPE210" s="545"/>
      <c r="FPF210" s="545"/>
      <c r="FPG210" s="545"/>
      <c r="FPH210" s="545"/>
      <c r="FPI210" s="545"/>
      <c r="FPJ210" s="545"/>
      <c r="FPK210" s="545"/>
      <c r="FPL210" s="545"/>
      <c r="FPM210" s="545"/>
      <c r="FPN210" s="545"/>
      <c r="FPO210" s="545"/>
      <c r="FPP210" s="545"/>
      <c r="FPQ210" s="545"/>
      <c r="FPR210" s="545"/>
      <c r="FPS210" s="545"/>
      <c r="FPT210" s="545"/>
      <c r="FPU210" s="545"/>
      <c r="FPV210" s="545"/>
      <c r="FPW210" s="545"/>
      <c r="FPX210" s="545"/>
      <c r="FPY210" s="545"/>
      <c r="FPZ210" s="545"/>
      <c r="FQA210" s="545"/>
      <c r="FQB210" s="545"/>
      <c r="FQC210" s="545"/>
      <c r="FQD210" s="545"/>
      <c r="FQE210" s="545"/>
      <c r="FQF210" s="545"/>
      <c r="FQG210" s="545"/>
      <c r="FQH210" s="545"/>
      <c r="FQI210" s="545"/>
      <c r="FQJ210" s="545"/>
      <c r="FQK210" s="545"/>
      <c r="FQL210" s="545"/>
      <c r="FQM210" s="545"/>
      <c r="FQN210" s="545"/>
      <c r="FQO210" s="545"/>
      <c r="FQP210" s="545"/>
      <c r="FQQ210" s="545"/>
      <c r="FQR210" s="545"/>
      <c r="FQS210" s="545"/>
      <c r="FQT210" s="545"/>
      <c r="FQU210" s="545"/>
      <c r="FQV210" s="545"/>
      <c r="FQW210" s="545"/>
      <c r="FQX210" s="545"/>
      <c r="FQY210" s="545"/>
      <c r="FQZ210" s="545"/>
      <c r="FRA210" s="545"/>
      <c r="FRB210" s="545"/>
      <c r="FRC210" s="545"/>
      <c r="FRD210" s="545"/>
      <c r="FRE210" s="545"/>
      <c r="FRF210" s="545"/>
      <c r="FRG210" s="545"/>
      <c r="FRH210" s="545"/>
      <c r="FRI210" s="545"/>
      <c r="FRJ210" s="545"/>
      <c r="FRK210" s="545"/>
      <c r="FRL210" s="545"/>
      <c r="FRM210" s="545"/>
      <c r="FRN210" s="545"/>
      <c r="FRO210" s="545"/>
      <c r="FRP210" s="545"/>
      <c r="FRQ210" s="545"/>
      <c r="FRR210" s="545"/>
      <c r="FRS210" s="545"/>
      <c r="FRT210" s="545"/>
      <c r="FRU210" s="545"/>
      <c r="FRV210" s="545"/>
      <c r="FRW210" s="545"/>
      <c r="FRX210" s="545"/>
      <c r="FRY210" s="545"/>
      <c r="FRZ210" s="545"/>
      <c r="FSA210" s="545"/>
      <c r="FSB210" s="545"/>
      <c r="FSC210" s="545"/>
      <c r="FSD210" s="545"/>
      <c r="FSE210" s="545"/>
      <c r="FSF210" s="545"/>
      <c r="FSG210" s="545"/>
      <c r="FSH210" s="545"/>
      <c r="FSI210" s="545"/>
      <c r="FSJ210" s="545"/>
      <c r="FSK210" s="545"/>
      <c r="FSL210" s="545"/>
      <c r="FSM210" s="545"/>
      <c r="FSN210" s="545"/>
      <c r="FSO210" s="545"/>
      <c r="FSP210" s="545"/>
      <c r="FSQ210" s="545"/>
      <c r="FSR210" s="545"/>
      <c r="FSS210" s="545"/>
      <c r="FST210" s="545"/>
      <c r="FSU210" s="545"/>
      <c r="FSV210" s="545"/>
      <c r="FSW210" s="545"/>
      <c r="FSX210" s="545"/>
      <c r="FSY210" s="545"/>
      <c r="FSZ210" s="545"/>
      <c r="FTA210" s="545"/>
      <c r="FTB210" s="545"/>
      <c r="FTC210" s="545"/>
      <c r="FTD210" s="545"/>
      <c r="FTE210" s="545"/>
      <c r="FTF210" s="545"/>
      <c r="FTG210" s="545"/>
      <c r="FTH210" s="545"/>
      <c r="FTI210" s="545"/>
      <c r="FTJ210" s="545"/>
      <c r="FTK210" s="545"/>
      <c r="FTL210" s="545"/>
      <c r="FTM210" s="545"/>
      <c r="FTN210" s="545"/>
      <c r="FTO210" s="545"/>
      <c r="FTP210" s="545"/>
      <c r="FTQ210" s="545"/>
      <c r="FTR210" s="545"/>
      <c r="FTS210" s="545"/>
      <c r="FTT210" s="545"/>
      <c r="FTU210" s="545"/>
      <c r="FTV210" s="545"/>
      <c r="FTW210" s="545"/>
      <c r="FTX210" s="545"/>
      <c r="FTY210" s="545"/>
      <c r="FTZ210" s="545"/>
      <c r="FUA210" s="545"/>
      <c r="FUB210" s="545"/>
      <c r="FUC210" s="545"/>
      <c r="FUD210" s="545"/>
      <c r="FUE210" s="545"/>
      <c r="FUF210" s="545"/>
      <c r="FUG210" s="545"/>
      <c r="FUH210" s="545"/>
      <c r="FUI210" s="545"/>
      <c r="FUJ210" s="545"/>
      <c r="FUK210" s="545"/>
      <c r="FUL210" s="545"/>
      <c r="FUM210" s="545"/>
      <c r="FUN210" s="545"/>
      <c r="FUO210" s="545"/>
      <c r="FUP210" s="545"/>
      <c r="FUQ210" s="545"/>
      <c r="FUR210" s="545"/>
      <c r="FUS210" s="545"/>
      <c r="FUT210" s="545"/>
      <c r="FUU210" s="545"/>
      <c r="FUV210" s="545"/>
      <c r="FUW210" s="545"/>
      <c r="FUX210" s="545"/>
      <c r="FUY210" s="545"/>
      <c r="FUZ210" s="545"/>
      <c r="FVA210" s="545"/>
      <c r="FVB210" s="545"/>
      <c r="FVC210" s="545"/>
      <c r="FVD210" s="545"/>
      <c r="FVE210" s="545"/>
      <c r="FVF210" s="545"/>
      <c r="FVG210" s="545"/>
      <c r="FVH210" s="545"/>
      <c r="FVI210" s="545"/>
      <c r="FVJ210" s="545"/>
      <c r="FVK210" s="545"/>
      <c r="FVL210" s="545"/>
      <c r="FVM210" s="545"/>
      <c r="FVN210" s="545"/>
      <c r="FVO210" s="545"/>
      <c r="FVP210" s="545"/>
      <c r="FVQ210" s="545"/>
      <c r="FVR210" s="545"/>
      <c r="FVS210" s="545"/>
      <c r="FVT210" s="545"/>
      <c r="FVU210" s="545"/>
      <c r="FVV210" s="545"/>
      <c r="FVW210" s="545"/>
      <c r="FVX210" s="545"/>
      <c r="FVY210" s="545"/>
      <c r="FVZ210" s="545"/>
      <c r="FWA210" s="545"/>
      <c r="FWB210" s="545"/>
      <c r="FWC210" s="545"/>
      <c r="FWD210" s="545"/>
      <c r="FWE210" s="545"/>
      <c r="FWF210" s="545"/>
      <c r="FWG210" s="545"/>
      <c r="FWH210" s="545"/>
      <c r="FWI210" s="545"/>
      <c r="FWJ210" s="545"/>
      <c r="FWK210" s="545"/>
      <c r="FWL210" s="545"/>
      <c r="FWM210" s="545"/>
      <c r="FWN210" s="545"/>
      <c r="FWO210" s="545"/>
      <c r="FWP210" s="545"/>
      <c r="FWQ210" s="545"/>
      <c r="FWR210" s="545"/>
      <c r="FWS210" s="545"/>
      <c r="FWT210" s="545"/>
      <c r="FWU210" s="545"/>
      <c r="FWV210" s="545"/>
      <c r="FWW210" s="545"/>
      <c r="FWX210" s="545"/>
      <c r="FWY210" s="545"/>
      <c r="FWZ210" s="545"/>
      <c r="FXA210" s="545"/>
      <c r="FXB210" s="545"/>
      <c r="FXC210" s="545"/>
      <c r="FXD210" s="545"/>
      <c r="FXE210" s="545"/>
      <c r="FXF210" s="545"/>
      <c r="FXG210" s="545"/>
      <c r="FXH210" s="545"/>
      <c r="FXI210" s="545"/>
      <c r="FXJ210" s="545"/>
      <c r="FXK210" s="545"/>
      <c r="FXL210" s="545"/>
      <c r="FXM210" s="545"/>
      <c r="FXN210" s="545"/>
      <c r="FXO210" s="545"/>
      <c r="FXP210" s="545"/>
      <c r="FXQ210" s="545"/>
      <c r="FXR210" s="545"/>
      <c r="FXS210" s="545"/>
      <c r="FXT210" s="545"/>
      <c r="FXU210" s="545"/>
      <c r="FXV210" s="545"/>
      <c r="FXW210" s="545"/>
      <c r="FXX210" s="545"/>
      <c r="FXY210" s="545"/>
      <c r="FXZ210" s="545"/>
      <c r="FYA210" s="545"/>
      <c r="FYB210" s="545"/>
      <c r="FYC210" s="545"/>
      <c r="FYD210" s="545"/>
      <c r="FYE210" s="545"/>
      <c r="FYF210" s="545"/>
      <c r="FYG210" s="545"/>
      <c r="FYH210" s="545"/>
      <c r="FYI210" s="545"/>
      <c r="FYJ210" s="545"/>
      <c r="FYK210" s="545"/>
      <c r="FYL210" s="545"/>
      <c r="FYM210" s="545"/>
      <c r="FYN210" s="545"/>
      <c r="FYO210" s="545"/>
      <c r="FYP210" s="545"/>
      <c r="FYQ210" s="545"/>
      <c r="FYR210" s="545"/>
      <c r="FYS210" s="545"/>
      <c r="FYT210" s="545"/>
      <c r="FYU210" s="545"/>
      <c r="FYV210" s="545"/>
      <c r="FYW210" s="545"/>
      <c r="FYX210" s="545"/>
      <c r="FYY210" s="545"/>
      <c r="FYZ210" s="545"/>
      <c r="FZA210" s="545"/>
      <c r="FZB210" s="545"/>
      <c r="FZC210" s="545"/>
      <c r="FZD210" s="545"/>
      <c r="FZE210" s="545"/>
      <c r="FZF210" s="545"/>
      <c r="FZG210" s="545"/>
      <c r="FZH210" s="545"/>
      <c r="FZI210" s="545"/>
      <c r="FZJ210" s="545"/>
      <c r="FZK210" s="545"/>
      <c r="FZL210" s="545"/>
      <c r="FZM210" s="545"/>
      <c r="FZN210" s="545"/>
      <c r="FZO210" s="545"/>
      <c r="FZP210" s="545"/>
      <c r="FZQ210" s="545"/>
      <c r="FZR210" s="545"/>
      <c r="FZS210" s="545"/>
      <c r="FZT210" s="545"/>
      <c r="FZU210" s="545"/>
      <c r="FZV210" s="545"/>
      <c r="FZW210" s="545"/>
      <c r="FZX210" s="545"/>
      <c r="FZY210" s="545"/>
      <c r="FZZ210" s="545"/>
      <c r="GAA210" s="545"/>
      <c r="GAB210" s="545"/>
      <c r="GAC210" s="545"/>
      <c r="GAD210" s="545"/>
      <c r="GAE210" s="545"/>
      <c r="GAF210" s="545"/>
      <c r="GAG210" s="545"/>
      <c r="GAH210" s="545"/>
      <c r="GAI210" s="545"/>
      <c r="GAJ210" s="545"/>
      <c r="GAK210" s="545"/>
      <c r="GAL210" s="545"/>
      <c r="GAM210" s="545"/>
      <c r="GAN210" s="545"/>
      <c r="GAO210" s="545"/>
      <c r="GAP210" s="545"/>
      <c r="GAQ210" s="545"/>
      <c r="GAR210" s="545"/>
      <c r="GAS210" s="545"/>
      <c r="GAT210" s="545"/>
      <c r="GAU210" s="545"/>
      <c r="GAV210" s="545"/>
      <c r="GAW210" s="545"/>
      <c r="GAX210" s="545"/>
      <c r="GAY210" s="545"/>
      <c r="GAZ210" s="545"/>
      <c r="GBA210" s="545"/>
      <c r="GBB210" s="545"/>
      <c r="GBC210" s="545"/>
      <c r="GBD210" s="545"/>
      <c r="GBE210" s="545"/>
      <c r="GBF210" s="545"/>
      <c r="GBG210" s="545"/>
      <c r="GBH210" s="545"/>
      <c r="GBI210" s="545"/>
      <c r="GBJ210" s="545"/>
      <c r="GBK210" s="545"/>
      <c r="GBL210" s="545"/>
      <c r="GBM210" s="545"/>
      <c r="GBN210" s="545"/>
      <c r="GBO210" s="545"/>
      <c r="GBP210" s="545"/>
      <c r="GBQ210" s="545"/>
      <c r="GBR210" s="545"/>
      <c r="GBS210" s="545"/>
      <c r="GBT210" s="545"/>
      <c r="GBU210" s="545"/>
      <c r="GBV210" s="545"/>
      <c r="GBW210" s="545"/>
      <c r="GBX210" s="545"/>
      <c r="GBY210" s="545"/>
      <c r="GBZ210" s="545"/>
      <c r="GCA210" s="545"/>
      <c r="GCB210" s="545"/>
      <c r="GCC210" s="545"/>
      <c r="GCD210" s="545"/>
      <c r="GCE210" s="545"/>
      <c r="GCF210" s="545"/>
      <c r="GCG210" s="545"/>
      <c r="GCH210" s="545"/>
      <c r="GCI210" s="545"/>
      <c r="GCJ210" s="545"/>
      <c r="GCK210" s="545"/>
      <c r="GCL210" s="545"/>
      <c r="GCM210" s="545"/>
      <c r="GCN210" s="545"/>
      <c r="GCO210" s="545"/>
      <c r="GCP210" s="545"/>
      <c r="GCQ210" s="545"/>
      <c r="GCR210" s="545"/>
      <c r="GCS210" s="545"/>
      <c r="GCT210" s="545"/>
      <c r="GCU210" s="545"/>
      <c r="GCV210" s="545"/>
      <c r="GCW210" s="545"/>
      <c r="GCX210" s="545"/>
      <c r="GCY210" s="545"/>
      <c r="GCZ210" s="545"/>
      <c r="GDA210" s="545"/>
      <c r="GDB210" s="545"/>
      <c r="GDC210" s="545"/>
      <c r="GDD210" s="545"/>
      <c r="GDE210" s="545"/>
      <c r="GDF210" s="545"/>
      <c r="GDG210" s="545"/>
      <c r="GDH210" s="545"/>
      <c r="GDI210" s="545"/>
      <c r="GDJ210" s="545"/>
      <c r="GDK210" s="545"/>
      <c r="GDL210" s="545"/>
      <c r="GDM210" s="545"/>
      <c r="GDN210" s="545"/>
      <c r="GDO210" s="545"/>
      <c r="GDP210" s="545"/>
      <c r="GDQ210" s="545"/>
      <c r="GDR210" s="545"/>
      <c r="GDS210" s="545"/>
      <c r="GDT210" s="545"/>
      <c r="GDU210" s="545"/>
      <c r="GDV210" s="545"/>
      <c r="GDW210" s="545"/>
      <c r="GDX210" s="545"/>
      <c r="GDY210" s="545"/>
      <c r="GDZ210" s="545"/>
      <c r="GEA210" s="545"/>
      <c r="GEB210" s="545"/>
      <c r="GEC210" s="545"/>
      <c r="GED210" s="545"/>
      <c r="GEE210" s="545"/>
      <c r="GEF210" s="545"/>
      <c r="GEG210" s="545"/>
      <c r="GEH210" s="545"/>
      <c r="GEI210" s="545"/>
      <c r="GEJ210" s="545"/>
      <c r="GEK210" s="545"/>
      <c r="GEL210" s="545"/>
      <c r="GEM210" s="545"/>
      <c r="GEN210" s="545"/>
      <c r="GEO210" s="545"/>
      <c r="GEP210" s="545"/>
      <c r="GEQ210" s="545"/>
      <c r="GER210" s="545"/>
      <c r="GES210" s="545"/>
      <c r="GET210" s="545"/>
      <c r="GEU210" s="545"/>
      <c r="GEV210" s="545"/>
      <c r="GEW210" s="545"/>
      <c r="GEX210" s="545"/>
      <c r="GEY210" s="545"/>
      <c r="GEZ210" s="545"/>
      <c r="GFA210" s="545"/>
      <c r="GFB210" s="545"/>
      <c r="GFC210" s="545"/>
      <c r="GFD210" s="545"/>
      <c r="GFE210" s="545"/>
      <c r="GFF210" s="545"/>
      <c r="GFG210" s="545"/>
      <c r="GFH210" s="545"/>
      <c r="GFI210" s="545"/>
      <c r="GFJ210" s="545"/>
      <c r="GFK210" s="545"/>
      <c r="GFL210" s="545"/>
      <c r="GFM210" s="545"/>
      <c r="GFN210" s="545"/>
      <c r="GFO210" s="545"/>
      <c r="GFP210" s="545"/>
      <c r="GFQ210" s="545"/>
      <c r="GFR210" s="545"/>
      <c r="GFS210" s="545"/>
      <c r="GFT210" s="545"/>
      <c r="GFU210" s="545"/>
      <c r="GFV210" s="545"/>
      <c r="GFW210" s="545"/>
      <c r="GFX210" s="545"/>
      <c r="GFY210" s="545"/>
      <c r="GFZ210" s="545"/>
      <c r="GGA210" s="545"/>
      <c r="GGB210" s="545"/>
      <c r="GGC210" s="545"/>
      <c r="GGD210" s="545"/>
      <c r="GGE210" s="545"/>
      <c r="GGF210" s="545"/>
      <c r="GGG210" s="545"/>
      <c r="GGH210" s="545"/>
      <c r="GGI210" s="545"/>
      <c r="GGJ210" s="545"/>
      <c r="GGK210" s="545"/>
      <c r="GGL210" s="545"/>
      <c r="GGM210" s="545"/>
      <c r="GGN210" s="545"/>
      <c r="GGO210" s="545"/>
      <c r="GGP210" s="545"/>
      <c r="GGQ210" s="545"/>
      <c r="GGR210" s="545"/>
      <c r="GGS210" s="545"/>
      <c r="GGT210" s="545"/>
      <c r="GGU210" s="545"/>
      <c r="GGV210" s="545"/>
      <c r="GGW210" s="545"/>
      <c r="GGX210" s="545"/>
      <c r="GGY210" s="545"/>
      <c r="GGZ210" s="545"/>
      <c r="GHA210" s="545"/>
      <c r="GHB210" s="545"/>
      <c r="GHC210" s="545"/>
      <c r="GHD210" s="545"/>
      <c r="GHE210" s="545"/>
      <c r="GHF210" s="545"/>
      <c r="GHG210" s="545"/>
      <c r="GHH210" s="545"/>
      <c r="GHI210" s="545"/>
      <c r="GHJ210" s="545"/>
      <c r="GHK210" s="545"/>
      <c r="GHL210" s="545"/>
      <c r="GHM210" s="545"/>
      <c r="GHN210" s="545"/>
      <c r="GHO210" s="545"/>
      <c r="GHP210" s="545"/>
      <c r="GHQ210" s="545"/>
      <c r="GHR210" s="545"/>
      <c r="GHS210" s="545"/>
      <c r="GHT210" s="545"/>
      <c r="GHU210" s="545"/>
      <c r="GHV210" s="545"/>
      <c r="GHW210" s="545"/>
      <c r="GHX210" s="545"/>
      <c r="GHY210" s="545"/>
      <c r="GHZ210" s="545"/>
      <c r="GIA210" s="545"/>
      <c r="GIB210" s="545"/>
      <c r="GIC210" s="545"/>
      <c r="GID210" s="545"/>
      <c r="GIE210" s="545"/>
      <c r="GIF210" s="545"/>
      <c r="GIG210" s="545"/>
      <c r="GIH210" s="545"/>
      <c r="GII210" s="545"/>
      <c r="GIJ210" s="545"/>
      <c r="GIK210" s="545"/>
      <c r="GIL210" s="545"/>
      <c r="GIM210" s="545"/>
      <c r="GIN210" s="545"/>
      <c r="GIO210" s="545"/>
      <c r="GIP210" s="545"/>
      <c r="GIQ210" s="545"/>
      <c r="GIR210" s="545"/>
      <c r="GIS210" s="545"/>
      <c r="GIT210" s="545"/>
      <c r="GIU210" s="545"/>
      <c r="GIV210" s="545"/>
      <c r="GIW210" s="545"/>
      <c r="GIX210" s="545"/>
      <c r="GIY210" s="545"/>
      <c r="GIZ210" s="545"/>
      <c r="GJA210" s="545"/>
      <c r="GJB210" s="545"/>
      <c r="GJC210" s="545"/>
      <c r="GJD210" s="545"/>
      <c r="GJE210" s="545"/>
      <c r="GJF210" s="545"/>
      <c r="GJG210" s="545"/>
      <c r="GJH210" s="545"/>
      <c r="GJI210" s="545"/>
      <c r="GJJ210" s="545"/>
      <c r="GJK210" s="545"/>
      <c r="GJL210" s="545"/>
      <c r="GJM210" s="545"/>
      <c r="GJN210" s="545"/>
      <c r="GJO210" s="545"/>
      <c r="GJP210" s="545"/>
      <c r="GJQ210" s="545"/>
      <c r="GJR210" s="545"/>
      <c r="GJS210" s="545"/>
      <c r="GJT210" s="545"/>
      <c r="GJU210" s="545"/>
      <c r="GJV210" s="545"/>
      <c r="GJW210" s="545"/>
      <c r="GJX210" s="545"/>
      <c r="GJY210" s="545"/>
      <c r="GJZ210" s="545"/>
      <c r="GKA210" s="545"/>
      <c r="GKB210" s="545"/>
      <c r="GKC210" s="545"/>
      <c r="GKD210" s="545"/>
      <c r="GKE210" s="545"/>
      <c r="GKF210" s="545"/>
      <c r="GKG210" s="545"/>
      <c r="GKH210" s="545"/>
      <c r="GKI210" s="545"/>
      <c r="GKJ210" s="545"/>
      <c r="GKK210" s="545"/>
      <c r="GKL210" s="545"/>
      <c r="GKM210" s="545"/>
      <c r="GKN210" s="545"/>
      <c r="GKO210" s="545"/>
      <c r="GKP210" s="545"/>
      <c r="GKQ210" s="545"/>
      <c r="GKR210" s="545"/>
      <c r="GKS210" s="545"/>
      <c r="GKT210" s="545"/>
      <c r="GKU210" s="545"/>
      <c r="GKV210" s="545"/>
      <c r="GKW210" s="545"/>
      <c r="GKX210" s="545"/>
      <c r="GKY210" s="545"/>
      <c r="GKZ210" s="545"/>
      <c r="GLA210" s="545"/>
      <c r="GLB210" s="545"/>
      <c r="GLC210" s="545"/>
      <c r="GLD210" s="545"/>
      <c r="GLE210" s="545"/>
      <c r="GLF210" s="545"/>
      <c r="GLG210" s="545"/>
      <c r="GLH210" s="545"/>
      <c r="GLI210" s="545"/>
      <c r="GLJ210" s="545"/>
      <c r="GLK210" s="545"/>
      <c r="GLL210" s="545"/>
      <c r="GLM210" s="545"/>
      <c r="GLN210" s="545"/>
      <c r="GLO210" s="545"/>
      <c r="GLP210" s="545"/>
      <c r="GLQ210" s="545"/>
      <c r="GLR210" s="545"/>
      <c r="GLS210" s="545"/>
      <c r="GLT210" s="545"/>
      <c r="GLU210" s="545"/>
      <c r="GLV210" s="545"/>
      <c r="GLW210" s="545"/>
      <c r="GLX210" s="545"/>
      <c r="GLY210" s="545"/>
      <c r="GLZ210" s="545"/>
      <c r="GMA210" s="545"/>
      <c r="GMB210" s="545"/>
      <c r="GMC210" s="545"/>
      <c r="GMD210" s="545"/>
      <c r="GME210" s="545"/>
      <c r="GMF210" s="545"/>
      <c r="GMG210" s="545"/>
      <c r="GMH210" s="545"/>
      <c r="GMI210" s="545"/>
      <c r="GMJ210" s="545"/>
      <c r="GMK210" s="545"/>
      <c r="GML210" s="545"/>
      <c r="GMM210" s="545"/>
      <c r="GMN210" s="545"/>
      <c r="GMO210" s="545"/>
      <c r="GMP210" s="545"/>
      <c r="GMQ210" s="545"/>
      <c r="GMR210" s="545"/>
      <c r="GMS210" s="545"/>
      <c r="GMT210" s="545"/>
      <c r="GMU210" s="545"/>
      <c r="GMV210" s="545"/>
      <c r="GMW210" s="545"/>
      <c r="GMX210" s="545"/>
      <c r="GMY210" s="545"/>
      <c r="GMZ210" s="545"/>
      <c r="GNA210" s="545"/>
      <c r="GNB210" s="545"/>
      <c r="GNC210" s="545"/>
      <c r="GND210" s="545"/>
      <c r="GNE210" s="545"/>
      <c r="GNF210" s="545"/>
      <c r="GNG210" s="545"/>
      <c r="GNH210" s="545"/>
      <c r="GNI210" s="545"/>
      <c r="GNJ210" s="545"/>
      <c r="GNK210" s="545"/>
      <c r="GNL210" s="545"/>
      <c r="GNM210" s="545"/>
      <c r="GNN210" s="545"/>
      <c r="GNO210" s="545"/>
      <c r="GNP210" s="545"/>
      <c r="GNQ210" s="545"/>
      <c r="GNR210" s="545"/>
      <c r="GNS210" s="545"/>
      <c r="GNT210" s="545"/>
      <c r="GNU210" s="545"/>
      <c r="GNV210" s="545"/>
      <c r="GNW210" s="545"/>
      <c r="GNX210" s="545"/>
      <c r="GNY210" s="545"/>
      <c r="GNZ210" s="545"/>
      <c r="GOA210" s="545"/>
      <c r="GOB210" s="545"/>
      <c r="GOC210" s="545"/>
      <c r="GOD210" s="545"/>
      <c r="GOE210" s="545"/>
      <c r="GOF210" s="545"/>
      <c r="GOG210" s="545"/>
      <c r="GOH210" s="545"/>
      <c r="GOI210" s="545"/>
      <c r="GOJ210" s="545"/>
      <c r="GOK210" s="545"/>
      <c r="GOL210" s="545"/>
      <c r="GOM210" s="545"/>
      <c r="GON210" s="545"/>
      <c r="GOO210" s="545"/>
      <c r="GOP210" s="545"/>
      <c r="GOQ210" s="545"/>
      <c r="GOR210" s="545"/>
      <c r="GOS210" s="545"/>
      <c r="GOT210" s="545"/>
      <c r="GOU210" s="545"/>
      <c r="GOV210" s="545"/>
      <c r="GOW210" s="545"/>
      <c r="GOX210" s="545"/>
      <c r="GOY210" s="545"/>
      <c r="GOZ210" s="545"/>
      <c r="GPA210" s="545"/>
      <c r="GPB210" s="545"/>
      <c r="GPC210" s="545"/>
      <c r="GPD210" s="545"/>
      <c r="GPE210" s="545"/>
      <c r="GPF210" s="545"/>
      <c r="GPG210" s="545"/>
      <c r="GPH210" s="545"/>
      <c r="GPI210" s="545"/>
      <c r="GPJ210" s="545"/>
      <c r="GPK210" s="545"/>
      <c r="GPL210" s="545"/>
      <c r="GPM210" s="545"/>
      <c r="GPN210" s="545"/>
      <c r="GPO210" s="545"/>
      <c r="GPP210" s="545"/>
      <c r="GPQ210" s="545"/>
      <c r="GPR210" s="545"/>
      <c r="GPS210" s="545"/>
      <c r="GPT210" s="545"/>
      <c r="GPU210" s="545"/>
      <c r="GPV210" s="545"/>
      <c r="GPW210" s="545"/>
      <c r="GPX210" s="545"/>
      <c r="GPY210" s="545"/>
      <c r="GPZ210" s="545"/>
      <c r="GQA210" s="545"/>
      <c r="GQB210" s="545"/>
      <c r="GQC210" s="545"/>
      <c r="GQD210" s="545"/>
      <c r="GQE210" s="545"/>
      <c r="GQF210" s="545"/>
      <c r="GQG210" s="545"/>
      <c r="GQH210" s="545"/>
      <c r="GQI210" s="545"/>
      <c r="GQJ210" s="545"/>
      <c r="GQK210" s="545"/>
      <c r="GQL210" s="545"/>
      <c r="GQM210" s="545"/>
      <c r="GQN210" s="545"/>
      <c r="GQO210" s="545"/>
      <c r="GQP210" s="545"/>
      <c r="GQQ210" s="545"/>
      <c r="GQR210" s="545"/>
      <c r="GQS210" s="545"/>
      <c r="GQT210" s="545"/>
      <c r="GQU210" s="545"/>
      <c r="GQV210" s="545"/>
      <c r="GQW210" s="545"/>
      <c r="GQX210" s="545"/>
      <c r="GQY210" s="545"/>
      <c r="GQZ210" s="545"/>
      <c r="GRA210" s="545"/>
      <c r="GRB210" s="545"/>
      <c r="GRC210" s="545"/>
      <c r="GRD210" s="545"/>
      <c r="GRE210" s="545"/>
      <c r="GRF210" s="545"/>
      <c r="GRG210" s="545"/>
      <c r="GRH210" s="545"/>
      <c r="GRI210" s="545"/>
      <c r="GRJ210" s="545"/>
      <c r="GRK210" s="545"/>
      <c r="GRL210" s="545"/>
      <c r="GRM210" s="545"/>
      <c r="GRN210" s="545"/>
      <c r="GRO210" s="545"/>
      <c r="GRP210" s="545"/>
      <c r="GRQ210" s="545"/>
      <c r="GRR210" s="545"/>
      <c r="GRS210" s="545"/>
      <c r="GRT210" s="545"/>
      <c r="GRU210" s="545"/>
      <c r="GRV210" s="545"/>
      <c r="GRW210" s="545"/>
      <c r="GRX210" s="545"/>
      <c r="GRY210" s="545"/>
      <c r="GRZ210" s="545"/>
      <c r="GSA210" s="545"/>
      <c r="GSB210" s="545"/>
      <c r="GSC210" s="545"/>
      <c r="GSD210" s="545"/>
      <c r="GSE210" s="545"/>
      <c r="GSF210" s="545"/>
      <c r="GSG210" s="545"/>
      <c r="GSH210" s="545"/>
      <c r="GSI210" s="545"/>
      <c r="GSJ210" s="545"/>
      <c r="GSK210" s="545"/>
      <c r="GSL210" s="545"/>
      <c r="GSM210" s="545"/>
      <c r="GSN210" s="545"/>
      <c r="GSO210" s="545"/>
      <c r="GSP210" s="545"/>
      <c r="GSQ210" s="545"/>
      <c r="GSR210" s="545"/>
      <c r="GSS210" s="545"/>
      <c r="GST210" s="545"/>
      <c r="GSU210" s="545"/>
      <c r="GSV210" s="545"/>
      <c r="GSW210" s="545"/>
      <c r="GSX210" s="545"/>
      <c r="GSY210" s="545"/>
      <c r="GSZ210" s="545"/>
      <c r="GTA210" s="545"/>
      <c r="GTB210" s="545"/>
      <c r="GTC210" s="545"/>
      <c r="GTD210" s="545"/>
      <c r="GTE210" s="545"/>
      <c r="GTF210" s="545"/>
      <c r="GTG210" s="545"/>
      <c r="GTH210" s="545"/>
      <c r="GTI210" s="545"/>
      <c r="GTJ210" s="545"/>
      <c r="GTK210" s="545"/>
      <c r="GTL210" s="545"/>
      <c r="GTM210" s="545"/>
      <c r="GTN210" s="545"/>
      <c r="GTO210" s="545"/>
      <c r="GTP210" s="545"/>
      <c r="GTQ210" s="545"/>
      <c r="GTR210" s="545"/>
      <c r="GTS210" s="545"/>
      <c r="GTT210" s="545"/>
      <c r="GTU210" s="545"/>
      <c r="GTV210" s="545"/>
      <c r="GTW210" s="545"/>
      <c r="GTX210" s="545"/>
      <c r="GTY210" s="545"/>
      <c r="GTZ210" s="545"/>
      <c r="GUA210" s="545"/>
      <c r="GUB210" s="545"/>
      <c r="GUC210" s="545"/>
      <c r="GUD210" s="545"/>
      <c r="GUE210" s="545"/>
      <c r="GUF210" s="545"/>
      <c r="GUG210" s="545"/>
      <c r="GUH210" s="545"/>
      <c r="GUI210" s="545"/>
      <c r="GUJ210" s="545"/>
      <c r="GUK210" s="545"/>
      <c r="GUL210" s="545"/>
      <c r="GUM210" s="545"/>
      <c r="GUN210" s="545"/>
      <c r="GUO210" s="545"/>
      <c r="GUP210" s="545"/>
      <c r="GUQ210" s="545"/>
      <c r="GUR210" s="545"/>
      <c r="GUS210" s="545"/>
      <c r="GUT210" s="545"/>
      <c r="GUU210" s="545"/>
      <c r="GUV210" s="545"/>
      <c r="GUW210" s="545"/>
      <c r="GUX210" s="545"/>
      <c r="GUY210" s="545"/>
      <c r="GUZ210" s="545"/>
      <c r="GVA210" s="545"/>
      <c r="GVB210" s="545"/>
      <c r="GVC210" s="545"/>
      <c r="GVD210" s="545"/>
      <c r="GVE210" s="545"/>
      <c r="GVF210" s="545"/>
      <c r="GVG210" s="545"/>
      <c r="GVH210" s="545"/>
      <c r="GVI210" s="545"/>
      <c r="GVJ210" s="545"/>
      <c r="GVK210" s="545"/>
      <c r="GVL210" s="545"/>
      <c r="GVM210" s="545"/>
      <c r="GVN210" s="545"/>
      <c r="GVO210" s="545"/>
      <c r="GVP210" s="545"/>
      <c r="GVQ210" s="545"/>
      <c r="GVR210" s="545"/>
      <c r="GVS210" s="545"/>
      <c r="GVT210" s="545"/>
      <c r="GVU210" s="545"/>
      <c r="GVV210" s="545"/>
      <c r="GVW210" s="545"/>
      <c r="GVX210" s="545"/>
      <c r="GVY210" s="545"/>
      <c r="GVZ210" s="545"/>
      <c r="GWA210" s="545"/>
      <c r="GWB210" s="545"/>
      <c r="GWC210" s="545"/>
      <c r="GWD210" s="545"/>
      <c r="GWE210" s="545"/>
      <c r="GWF210" s="545"/>
      <c r="GWG210" s="545"/>
      <c r="GWH210" s="545"/>
      <c r="GWI210" s="545"/>
      <c r="GWJ210" s="545"/>
      <c r="GWK210" s="545"/>
      <c r="GWL210" s="545"/>
      <c r="GWM210" s="545"/>
      <c r="GWN210" s="545"/>
      <c r="GWO210" s="545"/>
      <c r="GWP210" s="545"/>
      <c r="GWQ210" s="545"/>
      <c r="GWR210" s="545"/>
      <c r="GWS210" s="545"/>
      <c r="GWT210" s="545"/>
      <c r="GWU210" s="545"/>
      <c r="GWV210" s="545"/>
      <c r="GWW210" s="545"/>
      <c r="GWX210" s="545"/>
      <c r="GWY210" s="545"/>
      <c r="GWZ210" s="545"/>
      <c r="GXA210" s="545"/>
      <c r="GXB210" s="545"/>
      <c r="GXC210" s="545"/>
      <c r="GXD210" s="545"/>
      <c r="GXE210" s="545"/>
      <c r="GXF210" s="545"/>
      <c r="GXG210" s="545"/>
      <c r="GXH210" s="545"/>
      <c r="GXI210" s="545"/>
      <c r="GXJ210" s="545"/>
      <c r="GXK210" s="545"/>
      <c r="GXL210" s="545"/>
      <c r="GXM210" s="545"/>
      <c r="GXN210" s="545"/>
      <c r="GXO210" s="545"/>
      <c r="GXP210" s="545"/>
      <c r="GXQ210" s="545"/>
      <c r="GXR210" s="545"/>
      <c r="GXS210" s="545"/>
      <c r="GXT210" s="545"/>
      <c r="GXU210" s="545"/>
      <c r="GXV210" s="545"/>
      <c r="GXW210" s="545"/>
      <c r="GXX210" s="545"/>
      <c r="GXY210" s="545"/>
      <c r="GXZ210" s="545"/>
      <c r="GYA210" s="545"/>
      <c r="GYB210" s="545"/>
      <c r="GYC210" s="545"/>
      <c r="GYD210" s="545"/>
      <c r="GYE210" s="545"/>
      <c r="GYF210" s="545"/>
      <c r="GYG210" s="545"/>
      <c r="GYH210" s="545"/>
      <c r="GYI210" s="545"/>
      <c r="GYJ210" s="545"/>
      <c r="GYK210" s="545"/>
      <c r="GYL210" s="545"/>
      <c r="GYM210" s="545"/>
      <c r="GYN210" s="545"/>
      <c r="GYO210" s="545"/>
      <c r="GYP210" s="545"/>
      <c r="GYQ210" s="545"/>
      <c r="GYR210" s="545"/>
      <c r="GYS210" s="545"/>
      <c r="GYT210" s="545"/>
      <c r="GYU210" s="545"/>
      <c r="GYV210" s="545"/>
      <c r="GYW210" s="545"/>
      <c r="GYX210" s="545"/>
      <c r="GYY210" s="545"/>
      <c r="GYZ210" s="545"/>
      <c r="GZA210" s="545"/>
      <c r="GZB210" s="545"/>
      <c r="GZC210" s="545"/>
      <c r="GZD210" s="545"/>
      <c r="GZE210" s="545"/>
      <c r="GZF210" s="545"/>
      <c r="GZG210" s="545"/>
      <c r="GZH210" s="545"/>
      <c r="GZI210" s="545"/>
      <c r="GZJ210" s="545"/>
      <c r="GZK210" s="545"/>
      <c r="GZL210" s="545"/>
      <c r="GZM210" s="545"/>
      <c r="GZN210" s="545"/>
      <c r="GZO210" s="545"/>
      <c r="GZP210" s="545"/>
      <c r="GZQ210" s="545"/>
      <c r="GZR210" s="545"/>
      <c r="GZS210" s="545"/>
      <c r="GZT210" s="545"/>
      <c r="GZU210" s="545"/>
      <c r="GZV210" s="545"/>
      <c r="GZW210" s="545"/>
      <c r="GZX210" s="545"/>
      <c r="GZY210" s="545"/>
      <c r="GZZ210" s="545"/>
      <c r="HAA210" s="545"/>
      <c r="HAB210" s="545"/>
      <c r="HAC210" s="545"/>
      <c r="HAD210" s="545"/>
      <c r="HAE210" s="545"/>
      <c r="HAF210" s="545"/>
      <c r="HAG210" s="545"/>
      <c r="HAH210" s="545"/>
      <c r="HAI210" s="545"/>
      <c r="HAJ210" s="545"/>
      <c r="HAK210" s="545"/>
      <c r="HAL210" s="545"/>
      <c r="HAM210" s="545"/>
      <c r="HAN210" s="545"/>
      <c r="HAO210" s="545"/>
      <c r="HAP210" s="545"/>
      <c r="HAQ210" s="545"/>
      <c r="HAR210" s="545"/>
      <c r="HAS210" s="545"/>
      <c r="HAT210" s="545"/>
      <c r="HAU210" s="545"/>
      <c r="HAV210" s="545"/>
      <c r="HAW210" s="545"/>
      <c r="HAX210" s="545"/>
      <c r="HAY210" s="545"/>
      <c r="HAZ210" s="545"/>
      <c r="HBA210" s="545"/>
      <c r="HBB210" s="545"/>
      <c r="HBC210" s="545"/>
      <c r="HBD210" s="545"/>
      <c r="HBE210" s="545"/>
      <c r="HBF210" s="545"/>
      <c r="HBG210" s="545"/>
      <c r="HBH210" s="545"/>
      <c r="HBI210" s="545"/>
      <c r="HBJ210" s="545"/>
      <c r="HBK210" s="545"/>
      <c r="HBL210" s="545"/>
      <c r="HBM210" s="545"/>
      <c r="HBN210" s="545"/>
      <c r="HBO210" s="545"/>
      <c r="HBP210" s="545"/>
      <c r="HBQ210" s="545"/>
      <c r="HBR210" s="545"/>
      <c r="HBS210" s="545"/>
      <c r="HBT210" s="545"/>
      <c r="HBU210" s="545"/>
      <c r="HBV210" s="545"/>
      <c r="HBW210" s="545"/>
      <c r="HBX210" s="545"/>
      <c r="HBY210" s="545"/>
      <c r="HBZ210" s="545"/>
      <c r="HCA210" s="545"/>
      <c r="HCB210" s="545"/>
      <c r="HCC210" s="545"/>
      <c r="HCD210" s="545"/>
      <c r="HCE210" s="545"/>
      <c r="HCF210" s="545"/>
      <c r="HCG210" s="545"/>
      <c r="HCH210" s="545"/>
      <c r="HCI210" s="545"/>
      <c r="HCJ210" s="545"/>
      <c r="HCK210" s="545"/>
      <c r="HCL210" s="545"/>
      <c r="HCM210" s="545"/>
      <c r="HCN210" s="545"/>
      <c r="HCO210" s="545"/>
      <c r="HCP210" s="545"/>
      <c r="HCQ210" s="545"/>
      <c r="HCR210" s="545"/>
      <c r="HCS210" s="545"/>
      <c r="HCT210" s="545"/>
      <c r="HCU210" s="545"/>
      <c r="HCV210" s="545"/>
      <c r="HCW210" s="545"/>
      <c r="HCX210" s="545"/>
      <c r="HCY210" s="545"/>
      <c r="HCZ210" s="545"/>
      <c r="HDA210" s="545"/>
      <c r="HDB210" s="545"/>
      <c r="HDC210" s="545"/>
      <c r="HDD210" s="545"/>
      <c r="HDE210" s="545"/>
      <c r="HDF210" s="545"/>
      <c r="HDG210" s="545"/>
      <c r="HDH210" s="545"/>
      <c r="HDI210" s="545"/>
      <c r="HDJ210" s="545"/>
      <c r="HDK210" s="545"/>
      <c r="HDL210" s="545"/>
      <c r="HDM210" s="545"/>
      <c r="HDN210" s="545"/>
      <c r="HDO210" s="545"/>
      <c r="HDP210" s="545"/>
      <c r="HDQ210" s="545"/>
      <c r="HDR210" s="545"/>
      <c r="HDS210" s="545"/>
      <c r="HDT210" s="545"/>
      <c r="HDU210" s="545"/>
      <c r="HDV210" s="545"/>
      <c r="HDW210" s="545"/>
      <c r="HDX210" s="545"/>
      <c r="HDY210" s="545"/>
      <c r="HDZ210" s="545"/>
      <c r="HEA210" s="545"/>
      <c r="HEB210" s="545"/>
      <c r="HEC210" s="545"/>
      <c r="HED210" s="545"/>
      <c r="HEE210" s="545"/>
      <c r="HEF210" s="545"/>
      <c r="HEG210" s="545"/>
      <c r="HEH210" s="545"/>
      <c r="HEI210" s="545"/>
      <c r="HEJ210" s="545"/>
      <c r="HEK210" s="545"/>
      <c r="HEL210" s="545"/>
      <c r="HEM210" s="545"/>
      <c r="HEN210" s="545"/>
      <c r="HEO210" s="545"/>
      <c r="HEP210" s="545"/>
      <c r="HEQ210" s="545"/>
      <c r="HER210" s="545"/>
      <c r="HES210" s="545"/>
      <c r="HET210" s="545"/>
      <c r="HEU210" s="545"/>
      <c r="HEV210" s="545"/>
      <c r="HEW210" s="545"/>
      <c r="HEX210" s="545"/>
      <c r="HEY210" s="545"/>
      <c r="HEZ210" s="545"/>
      <c r="HFA210" s="545"/>
      <c r="HFB210" s="545"/>
      <c r="HFC210" s="545"/>
      <c r="HFD210" s="545"/>
      <c r="HFE210" s="545"/>
      <c r="HFF210" s="545"/>
      <c r="HFG210" s="545"/>
      <c r="HFH210" s="545"/>
      <c r="HFI210" s="545"/>
      <c r="HFJ210" s="545"/>
      <c r="HFK210" s="545"/>
      <c r="HFL210" s="545"/>
      <c r="HFM210" s="545"/>
      <c r="HFN210" s="545"/>
      <c r="HFO210" s="545"/>
      <c r="HFP210" s="545"/>
      <c r="HFQ210" s="545"/>
      <c r="HFR210" s="545"/>
      <c r="HFS210" s="545"/>
      <c r="HFT210" s="545"/>
      <c r="HFU210" s="545"/>
      <c r="HFV210" s="545"/>
      <c r="HFW210" s="545"/>
      <c r="HFX210" s="545"/>
      <c r="HFY210" s="545"/>
      <c r="HFZ210" s="545"/>
      <c r="HGA210" s="545"/>
      <c r="HGB210" s="545"/>
      <c r="HGC210" s="545"/>
      <c r="HGD210" s="545"/>
      <c r="HGE210" s="545"/>
      <c r="HGF210" s="545"/>
      <c r="HGG210" s="545"/>
      <c r="HGH210" s="545"/>
      <c r="HGI210" s="545"/>
      <c r="HGJ210" s="545"/>
      <c r="HGK210" s="545"/>
      <c r="HGL210" s="545"/>
      <c r="HGM210" s="545"/>
      <c r="HGN210" s="545"/>
      <c r="HGO210" s="545"/>
      <c r="HGP210" s="545"/>
      <c r="HGQ210" s="545"/>
      <c r="HGR210" s="545"/>
      <c r="HGS210" s="545"/>
      <c r="HGT210" s="545"/>
      <c r="HGU210" s="545"/>
      <c r="HGV210" s="545"/>
      <c r="HGW210" s="545"/>
      <c r="HGX210" s="545"/>
      <c r="HGY210" s="545"/>
      <c r="HGZ210" s="545"/>
      <c r="HHA210" s="545"/>
      <c r="HHB210" s="545"/>
      <c r="HHC210" s="545"/>
      <c r="HHD210" s="545"/>
      <c r="HHE210" s="545"/>
      <c r="HHF210" s="545"/>
      <c r="HHG210" s="545"/>
      <c r="HHH210" s="545"/>
      <c r="HHI210" s="545"/>
      <c r="HHJ210" s="545"/>
      <c r="HHK210" s="545"/>
      <c r="HHL210" s="545"/>
      <c r="HHM210" s="545"/>
      <c r="HHN210" s="545"/>
      <c r="HHO210" s="545"/>
      <c r="HHP210" s="545"/>
      <c r="HHQ210" s="545"/>
      <c r="HHR210" s="545"/>
      <c r="HHS210" s="545"/>
      <c r="HHT210" s="545"/>
      <c r="HHU210" s="545"/>
      <c r="HHV210" s="545"/>
      <c r="HHW210" s="545"/>
      <c r="HHX210" s="545"/>
      <c r="HHY210" s="545"/>
      <c r="HHZ210" s="545"/>
      <c r="HIA210" s="545"/>
      <c r="HIB210" s="545"/>
      <c r="HIC210" s="545"/>
      <c r="HID210" s="545"/>
      <c r="HIE210" s="545"/>
      <c r="HIF210" s="545"/>
      <c r="HIG210" s="545"/>
      <c r="HIH210" s="545"/>
      <c r="HII210" s="545"/>
      <c r="HIJ210" s="545"/>
      <c r="HIK210" s="545"/>
      <c r="HIL210" s="545"/>
      <c r="HIM210" s="545"/>
      <c r="HIN210" s="545"/>
      <c r="HIO210" s="545"/>
      <c r="HIP210" s="545"/>
      <c r="HIQ210" s="545"/>
      <c r="HIR210" s="545"/>
      <c r="HIS210" s="545"/>
      <c r="HIT210" s="545"/>
      <c r="HIU210" s="545"/>
      <c r="HIV210" s="545"/>
      <c r="HIW210" s="545"/>
      <c r="HIX210" s="545"/>
      <c r="HIY210" s="545"/>
      <c r="HIZ210" s="545"/>
      <c r="HJA210" s="545"/>
      <c r="HJB210" s="545"/>
      <c r="HJC210" s="545"/>
      <c r="HJD210" s="545"/>
      <c r="HJE210" s="545"/>
      <c r="HJF210" s="545"/>
      <c r="HJG210" s="545"/>
      <c r="HJH210" s="545"/>
      <c r="HJI210" s="545"/>
      <c r="HJJ210" s="545"/>
      <c r="HJK210" s="545"/>
      <c r="HJL210" s="545"/>
      <c r="HJM210" s="545"/>
      <c r="HJN210" s="545"/>
      <c r="HJO210" s="545"/>
      <c r="HJP210" s="545"/>
      <c r="HJQ210" s="545"/>
      <c r="HJR210" s="545"/>
      <c r="HJS210" s="545"/>
      <c r="HJT210" s="545"/>
      <c r="HJU210" s="545"/>
      <c r="HJV210" s="545"/>
      <c r="HJW210" s="545"/>
      <c r="HJX210" s="545"/>
      <c r="HJY210" s="545"/>
      <c r="HJZ210" s="545"/>
      <c r="HKA210" s="545"/>
      <c r="HKB210" s="545"/>
      <c r="HKC210" s="545"/>
      <c r="HKD210" s="545"/>
      <c r="HKE210" s="545"/>
      <c r="HKF210" s="545"/>
      <c r="HKG210" s="545"/>
      <c r="HKH210" s="545"/>
      <c r="HKI210" s="545"/>
      <c r="HKJ210" s="545"/>
      <c r="HKK210" s="545"/>
      <c r="HKL210" s="545"/>
      <c r="HKM210" s="545"/>
      <c r="HKN210" s="545"/>
      <c r="HKO210" s="545"/>
      <c r="HKP210" s="545"/>
      <c r="HKQ210" s="545"/>
      <c r="HKR210" s="545"/>
      <c r="HKS210" s="545"/>
      <c r="HKT210" s="545"/>
      <c r="HKU210" s="545"/>
      <c r="HKV210" s="545"/>
      <c r="HKW210" s="545"/>
      <c r="HKX210" s="545"/>
      <c r="HKY210" s="545"/>
      <c r="HKZ210" s="545"/>
      <c r="HLA210" s="545"/>
      <c r="HLB210" s="545"/>
      <c r="HLC210" s="545"/>
      <c r="HLD210" s="545"/>
      <c r="HLE210" s="545"/>
      <c r="HLF210" s="545"/>
      <c r="HLG210" s="545"/>
      <c r="HLH210" s="545"/>
      <c r="HLI210" s="545"/>
      <c r="HLJ210" s="545"/>
      <c r="HLK210" s="545"/>
      <c r="HLL210" s="545"/>
      <c r="HLM210" s="545"/>
      <c r="HLN210" s="545"/>
      <c r="HLO210" s="545"/>
      <c r="HLP210" s="545"/>
      <c r="HLQ210" s="545"/>
      <c r="HLR210" s="545"/>
      <c r="HLS210" s="545"/>
      <c r="HLT210" s="545"/>
      <c r="HLU210" s="545"/>
      <c r="HLV210" s="545"/>
      <c r="HLW210" s="545"/>
      <c r="HLX210" s="545"/>
      <c r="HLY210" s="545"/>
      <c r="HLZ210" s="545"/>
      <c r="HMA210" s="545"/>
      <c r="HMB210" s="545"/>
      <c r="HMC210" s="545"/>
      <c r="HMD210" s="545"/>
      <c r="HME210" s="545"/>
      <c r="HMF210" s="545"/>
      <c r="HMG210" s="545"/>
      <c r="HMH210" s="545"/>
      <c r="HMI210" s="545"/>
      <c r="HMJ210" s="545"/>
      <c r="HMK210" s="545"/>
      <c r="HML210" s="545"/>
      <c r="HMM210" s="545"/>
      <c r="HMN210" s="545"/>
      <c r="HMO210" s="545"/>
      <c r="HMP210" s="545"/>
      <c r="HMQ210" s="545"/>
      <c r="HMR210" s="545"/>
      <c r="HMS210" s="545"/>
      <c r="HMT210" s="545"/>
      <c r="HMU210" s="545"/>
      <c r="HMV210" s="545"/>
      <c r="HMW210" s="545"/>
      <c r="HMX210" s="545"/>
      <c r="HMY210" s="545"/>
      <c r="HMZ210" s="545"/>
      <c r="HNA210" s="545"/>
      <c r="HNB210" s="545"/>
      <c r="HNC210" s="545"/>
      <c r="HND210" s="545"/>
      <c r="HNE210" s="545"/>
      <c r="HNF210" s="545"/>
      <c r="HNG210" s="545"/>
      <c r="HNH210" s="545"/>
      <c r="HNI210" s="545"/>
      <c r="HNJ210" s="545"/>
      <c r="HNK210" s="545"/>
      <c r="HNL210" s="545"/>
      <c r="HNM210" s="545"/>
      <c r="HNN210" s="545"/>
      <c r="HNO210" s="545"/>
      <c r="HNP210" s="545"/>
      <c r="HNQ210" s="545"/>
      <c r="HNR210" s="545"/>
      <c r="HNS210" s="545"/>
      <c r="HNT210" s="545"/>
      <c r="HNU210" s="545"/>
      <c r="HNV210" s="545"/>
      <c r="HNW210" s="545"/>
      <c r="HNX210" s="545"/>
      <c r="HNY210" s="545"/>
      <c r="HNZ210" s="545"/>
      <c r="HOA210" s="545"/>
      <c r="HOB210" s="545"/>
      <c r="HOC210" s="545"/>
      <c r="HOD210" s="545"/>
      <c r="HOE210" s="545"/>
      <c r="HOF210" s="545"/>
      <c r="HOG210" s="545"/>
      <c r="HOH210" s="545"/>
      <c r="HOI210" s="545"/>
      <c r="HOJ210" s="545"/>
      <c r="HOK210" s="545"/>
      <c r="HOL210" s="545"/>
      <c r="HOM210" s="545"/>
      <c r="HON210" s="545"/>
      <c r="HOO210" s="545"/>
      <c r="HOP210" s="545"/>
      <c r="HOQ210" s="545"/>
      <c r="HOR210" s="545"/>
      <c r="HOS210" s="545"/>
      <c r="HOT210" s="545"/>
      <c r="HOU210" s="545"/>
      <c r="HOV210" s="545"/>
      <c r="HOW210" s="545"/>
      <c r="HOX210" s="545"/>
      <c r="HOY210" s="545"/>
      <c r="HOZ210" s="545"/>
      <c r="HPA210" s="545"/>
      <c r="HPB210" s="545"/>
      <c r="HPC210" s="545"/>
      <c r="HPD210" s="545"/>
      <c r="HPE210" s="545"/>
      <c r="HPF210" s="545"/>
      <c r="HPG210" s="545"/>
      <c r="HPH210" s="545"/>
      <c r="HPI210" s="545"/>
      <c r="HPJ210" s="545"/>
      <c r="HPK210" s="545"/>
      <c r="HPL210" s="545"/>
      <c r="HPM210" s="545"/>
      <c r="HPN210" s="545"/>
      <c r="HPO210" s="545"/>
      <c r="HPP210" s="545"/>
      <c r="HPQ210" s="545"/>
      <c r="HPR210" s="545"/>
      <c r="HPS210" s="545"/>
      <c r="HPT210" s="545"/>
      <c r="HPU210" s="545"/>
      <c r="HPV210" s="545"/>
      <c r="HPW210" s="545"/>
      <c r="HPX210" s="545"/>
      <c r="HPY210" s="545"/>
      <c r="HPZ210" s="545"/>
      <c r="HQA210" s="545"/>
      <c r="HQB210" s="545"/>
      <c r="HQC210" s="545"/>
      <c r="HQD210" s="545"/>
      <c r="HQE210" s="545"/>
      <c r="HQF210" s="545"/>
      <c r="HQG210" s="545"/>
      <c r="HQH210" s="545"/>
      <c r="HQI210" s="545"/>
      <c r="HQJ210" s="545"/>
      <c r="HQK210" s="545"/>
      <c r="HQL210" s="545"/>
      <c r="HQM210" s="545"/>
      <c r="HQN210" s="545"/>
      <c r="HQO210" s="545"/>
      <c r="HQP210" s="545"/>
      <c r="HQQ210" s="545"/>
      <c r="HQR210" s="545"/>
      <c r="HQS210" s="545"/>
      <c r="HQT210" s="545"/>
      <c r="HQU210" s="545"/>
      <c r="HQV210" s="545"/>
      <c r="HQW210" s="545"/>
      <c r="HQX210" s="545"/>
      <c r="HQY210" s="545"/>
      <c r="HQZ210" s="545"/>
      <c r="HRA210" s="545"/>
      <c r="HRB210" s="545"/>
      <c r="HRC210" s="545"/>
      <c r="HRD210" s="545"/>
      <c r="HRE210" s="545"/>
      <c r="HRF210" s="545"/>
      <c r="HRG210" s="545"/>
      <c r="HRH210" s="545"/>
      <c r="HRI210" s="545"/>
      <c r="HRJ210" s="545"/>
      <c r="HRK210" s="545"/>
      <c r="HRL210" s="545"/>
      <c r="HRM210" s="545"/>
      <c r="HRN210" s="545"/>
      <c r="HRO210" s="545"/>
      <c r="HRP210" s="545"/>
      <c r="HRQ210" s="545"/>
      <c r="HRR210" s="545"/>
      <c r="HRS210" s="545"/>
      <c r="HRT210" s="545"/>
      <c r="HRU210" s="545"/>
      <c r="HRV210" s="545"/>
      <c r="HRW210" s="545"/>
      <c r="HRX210" s="545"/>
      <c r="HRY210" s="545"/>
      <c r="HRZ210" s="545"/>
      <c r="HSA210" s="545"/>
      <c r="HSB210" s="545"/>
      <c r="HSC210" s="545"/>
      <c r="HSD210" s="545"/>
      <c r="HSE210" s="545"/>
      <c r="HSF210" s="545"/>
      <c r="HSG210" s="545"/>
      <c r="HSH210" s="545"/>
      <c r="HSI210" s="545"/>
      <c r="HSJ210" s="545"/>
      <c r="HSK210" s="545"/>
      <c r="HSL210" s="545"/>
      <c r="HSM210" s="545"/>
      <c r="HSN210" s="545"/>
      <c r="HSO210" s="545"/>
      <c r="HSP210" s="545"/>
      <c r="HSQ210" s="545"/>
      <c r="HSR210" s="545"/>
      <c r="HSS210" s="545"/>
      <c r="HST210" s="545"/>
      <c r="HSU210" s="545"/>
      <c r="HSV210" s="545"/>
      <c r="HSW210" s="545"/>
      <c r="HSX210" s="545"/>
      <c r="HSY210" s="545"/>
      <c r="HSZ210" s="545"/>
      <c r="HTA210" s="545"/>
      <c r="HTB210" s="545"/>
      <c r="HTC210" s="545"/>
      <c r="HTD210" s="545"/>
      <c r="HTE210" s="545"/>
      <c r="HTF210" s="545"/>
      <c r="HTG210" s="545"/>
      <c r="HTH210" s="545"/>
      <c r="HTI210" s="545"/>
      <c r="HTJ210" s="545"/>
      <c r="HTK210" s="545"/>
      <c r="HTL210" s="545"/>
      <c r="HTM210" s="545"/>
      <c r="HTN210" s="545"/>
      <c r="HTO210" s="545"/>
      <c r="HTP210" s="545"/>
      <c r="HTQ210" s="545"/>
      <c r="HTR210" s="545"/>
      <c r="HTS210" s="545"/>
      <c r="HTT210" s="545"/>
      <c r="HTU210" s="545"/>
      <c r="HTV210" s="545"/>
      <c r="HTW210" s="545"/>
      <c r="HTX210" s="545"/>
      <c r="HTY210" s="545"/>
      <c r="HTZ210" s="545"/>
      <c r="HUA210" s="545"/>
      <c r="HUB210" s="545"/>
      <c r="HUC210" s="545"/>
      <c r="HUD210" s="545"/>
      <c r="HUE210" s="545"/>
      <c r="HUF210" s="545"/>
      <c r="HUG210" s="545"/>
      <c r="HUH210" s="545"/>
      <c r="HUI210" s="545"/>
      <c r="HUJ210" s="545"/>
      <c r="HUK210" s="545"/>
      <c r="HUL210" s="545"/>
      <c r="HUM210" s="545"/>
      <c r="HUN210" s="545"/>
      <c r="HUO210" s="545"/>
      <c r="HUP210" s="545"/>
      <c r="HUQ210" s="545"/>
      <c r="HUR210" s="545"/>
      <c r="HUS210" s="545"/>
      <c r="HUT210" s="545"/>
      <c r="HUU210" s="545"/>
      <c r="HUV210" s="545"/>
      <c r="HUW210" s="545"/>
      <c r="HUX210" s="545"/>
      <c r="HUY210" s="545"/>
      <c r="HUZ210" s="545"/>
      <c r="HVA210" s="545"/>
      <c r="HVB210" s="545"/>
      <c r="HVC210" s="545"/>
      <c r="HVD210" s="545"/>
      <c r="HVE210" s="545"/>
      <c r="HVF210" s="545"/>
      <c r="HVG210" s="545"/>
      <c r="HVH210" s="545"/>
      <c r="HVI210" s="545"/>
      <c r="HVJ210" s="545"/>
      <c r="HVK210" s="545"/>
      <c r="HVL210" s="545"/>
      <c r="HVM210" s="545"/>
      <c r="HVN210" s="545"/>
      <c r="HVO210" s="545"/>
      <c r="HVP210" s="545"/>
      <c r="HVQ210" s="545"/>
      <c r="HVR210" s="545"/>
      <c r="HVS210" s="545"/>
      <c r="HVT210" s="545"/>
      <c r="HVU210" s="545"/>
      <c r="HVV210" s="545"/>
      <c r="HVW210" s="545"/>
      <c r="HVX210" s="545"/>
      <c r="HVY210" s="545"/>
      <c r="HVZ210" s="545"/>
      <c r="HWA210" s="545"/>
      <c r="HWB210" s="545"/>
      <c r="HWC210" s="545"/>
      <c r="HWD210" s="545"/>
      <c r="HWE210" s="545"/>
      <c r="HWF210" s="545"/>
      <c r="HWG210" s="545"/>
      <c r="HWH210" s="545"/>
      <c r="HWI210" s="545"/>
      <c r="HWJ210" s="545"/>
      <c r="HWK210" s="545"/>
      <c r="HWL210" s="545"/>
      <c r="HWM210" s="545"/>
      <c r="HWN210" s="545"/>
      <c r="HWO210" s="545"/>
      <c r="HWP210" s="545"/>
      <c r="HWQ210" s="545"/>
      <c r="HWR210" s="545"/>
      <c r="HWS210" s="545"/>
      <c r="HWT210" s="545"/>
      <c r="HWU210" s="545"/>
      <c r="HWV210" s="545"/>
      <c r="HWW210" s="545"/>
      <c r="HWX210" s="545"/>
      <c r="HWY210" s="545"/>
      <c r="HWZ210" s="545"/>
      <c r="HXA210" s="545"/>
      <c r="HXB210" s="545"/>
      <c r="HXC210" s="545"/>
      <c r="HXD210" s="545"/>
      <c r="HXE210" s="545"/>
      <c r="HXF210" s="545"/>
      <c r="HXG210" s="545"/>
      <c r="HXH210" s="545"/>
      <c r="HXI210" s="545"/>
      <c r="HXJ210" s="545"/>
      <c r="HXK210" s="545"/>
      <c r="HXL210" s="545"/>
      <c r="HXM210" s="545"/>
      <c r="HXN210" s="545"/>
      <c r="HXO210" s="545"/>
      <c r="HXP210" s="545"/>
      <c r="HXQ210" s="545"/>
      <c r="HXR210" s="545"/>
      <c r="HXS210" s="545"/>
      <c r="HXT210" s="545"/>
      <c r="HXU210" s="545"/>
      <c r="HXV210" s="545"/>
      <c r="HXW210" s="545"/>
      <c r="HXX210" s="545"/>
      <c r="HXY210" s="545"/>
      <c r="HXZ210" s="545"/>
      <c r="HYA210" s="545"/>
      <c r="HYB210" s="545"/>
      <c r="HYC210" s="545"/>
      <c r="HYD210" s="545"/>
      <c r="HYE210" s="545"/>
      <c r="HYF210" s="545"/>
      <c r="HYG210" s="545"/>
      <c r="HYH210" s="545"/>
      <c r="HYI210" s="545"/>
      <c r="HYJ210" s="545"/>
      <c r="HYK210" s="545"/>
      <c r="HYL210" s="545"/>
      <c r="HYM210" s="545"/>
      <c r="HYN210" s="545"/>
      <c r="HYO210" s="545"/>
      <c r="HYP210" s="545"/>
      <c r="HYQ210" s="545"/>
      <c r="HYR210" s="545"/>
      <c r="HYS210" s="545"/>
      <c r="HYT210" s="545"/>
      <c r="HYU210" s="545"/>
      <c r="HYV210" s="545"/>
      <c r="HYW210" s="545"/>
      <c r="HYX210" s="545"/>
      <c r="HYY210" s="545"/>
      <c r="HYZ210" s="545"/>
      <c r="HZA210" s="545"/>
      <c r="HZB210" s="545"/>
      <c r="HZC210" s="545"/>
      <c r="HZD210" s="545"/>
      <c r="HZE210" s="545"/>
      <c r="HZF210" s="545"/>
      <c r="HZG210" s="545"/>
      <c r="HZH210" s="545"/>
      <c r="HZI210" s="545"/>
      <c r="HZJ210" s="545"/>
      <c r="HZK210" s="545"/>
      <c r="HZL210" s="545"/>
      <c r="HZM210" s="545"/>
      <c r="HZN210" s="545"/>
      <c r="HZO210" s="545"/>
      <c r="HZP210" s="545"/>
      <c r="HZQ210" s="545"/>
      <c r="HZR210" s="545"/>
      <c r="HZS210" s="545"/>
      <c r="HZT210" s="545"/>
      <c r="HZU210" s="545"/>
      <c r="HZV210" s="545"/>
      <c r="HZW210" s="545"/>
      <c r="HZX210" s="545"/>
      <c r="HZY210" s="545"/>
      <c r="HZZ210" s="545"/>
      <c r="IAA210" s="545"/>
      <c r="IAB210" s="545"/>
      <c r="IAC210" s="545"/>
      <c r="IAD210" s="545"/>
      <c r="IAE210" s="545"/>
      <c r="IAF210" s="545"/>
      <c r="IAG210" s="545"/>
      <c r="IAH210" s="545"/>
      <c r="IAI210" s="545"/>
      <c r="IAJ210" s="545"/>
      <c r="IAK210" s="545"/>
      <c r="IAL210" s="545"/>
      <c r="IAM210" s="545"/>
      <c r="IAN210" s="545"/>
      <c r="IAO210" s="545"/>
      <c r="IAP210" s="545"/>
      <c r="IAQ210" s="545"/>
      <c r="IAR210" s="545"/>
      <c r="IAS210" s="545"/>
      <c r="IAT210" s="545"/>
      <c r="IAU210" s="545"/>
      <c r="IAV210" s="545"/>
      <c r="IAW210" s="545"/>
      <c r="IAX210" s="545"/>
      <c r="IAY210" s="545"/>
      <c r="IAZ210" s="545"/>
      <c r="IBA210" s="545"/>
      <c r="IBB210" s="545"/>
      <c r="IBC210" s="545"/>
      <c r="IBD210" s="545"/>
      <c r="IBE210" s="545"/>
      <c r="IBF210" s="545"/>
      <c r="IBG210" s="545"/>
      <c r="IBH210" s="545"/>
      <c r="IBI210" s="545"/>
      <c r="IBJ210" s="545"/>
      <c r="IBK210" s="545"/>
      <c r="IBL210" s="545"/>
      <c r="IBM210" s="545"/>
      <c r="IBN210" s="545"/>
      <c r="IBO210" s="545"/>
      <c r="IBP210" s="545"/>
      <c r="IBQ210" s="545"/>
      <c r="IBR210" s="545"/>
      <c r="IBS210" s="545"/>
      <c r="IBT210" s="545"/>
      <c r="IBU210" s="545"/>
      <c r="IBV210" s="545"/>
      <c r="IBW210" s="545"/>
      <c r="IBX210" s="545"/>
      <c r="IBY210" s="545"/>
      <c r="IBZ210" s="545"/>
      <c r="ICA210" s="545"/>
      <c r="ICB210" s="545"/>
      <c r="ICC210" s="545"/>
      <c r="ICD210" s="545"/>
      <c r="ICE210" s="545"/>
      <c r="ICF210" s="545"/>
      <c r="ICG210" s="545"/>
      <c r="ICH210" s="545"/>
      <c r="ICI210" s="545"/>
      <c r="ICJ210" s="545"/>
      <c r="ICK210" s="545"/>
      <c r="ICL210" s="545"/>
      <c r="ICM210" s="545"/>
      <c r="ICN210" s="545"/>
      <c r="ICO210" s="545"/>
      <c r="ICP210" s="545"/>
      <c r="ICQ210" s="545"/>
      <c r="ICR210" s="545"/>
      <c r="ICS210" s="545"/>
      <c r="ICT210" s="545"/>
      <c r="ICU210" s="545"/>
      <c r="ICV210" s="545"/>
      <c r="ICW210" s="545"/>
      <c r="ICX210" s="545"/>
      <c r="ICY210" s="545"/>
      <c r="ICZ210" s="545"/>
      <c r="IDA210" s="545"/>
      <c r="IDB210" s="545"/>
      <c r="IDC210" s="545"/>
      <c r="IDD210" s="545"/>
      <c r="IDE210" s="545"/>
      <c r="IDF210" s="545"/>
      <c r="IDG210" s="545"/>
      <c r="IDH210" s="545"/>
      <c r="IDI210" s="545"/>
      <c r="IDJ210" s="545"/>
      <c r="IDK210" s="545"/>
      <c r="IDL210" s="545"/>
      <c r="IDM210" s="545"/>
      <c r="IDN210" s="545"/>
      <c r="IDO210" s="545"/>
      <c r="IDP210" s="545"/>
      <c r="IDQ210" s="545"/>
      <c r="IDR210" s="545"/>
      <c r="IDS210" s="545"/>
      <c r="IDT210" s="545"/>
      <c r="IDU210" s="545"/>
      <c r="IDV210" s="545"/>
      <c r="IDW210" s="545"/>
      <c r="IDX210" s="545"/>
      <c r="IDY210" s="545"/>
      <c r="IDZ210" s="545"/>
      <c r="IEA210" s="545"/>
      <c r="IEB210" s="545"/>
      <c r="IEC210" s="545"/>
      <c r="IED210" s="545"/>
      <c r="IEE210" s="545"/>
      <c r="IEF210" s="545"/>
      <c r="IEG210" s="545"/>
      <c r="IEH210" s="545"/>
      <c r="IEI210" s="545"/>
      <c r="IEJ210" s="545"/>
      <c r="IEK210" s="545"/>
      <c r="IEL210" s="545"/>
      <c r="IEM210" s="545"/>
      <c r="IEN210" s="545"/>
      <c r="IEO210" s="545"/>
      <c r="IEP210" s="545"/>
      <c r="IEQ210" s="545"/>
      <c r="IER210" s="545"/>
      <c r="IES210" s="545"/>
      <c r="IET210" s="545"/>
      <c r="IEU210" s="545"/>
      <c r="IEV210" s="545"/>
      <c r="IEW210" s="545"/>
      <c r="IEX210" s="545"/>
      <c r="IEY210" s="545"/>
      <c r="IEZ210" s="545"/>
      <c r="IFA210" s="545"/>
      <c r="IFB210" s="545"/>
      <c r="IFC210" s="545"/>
      <c r="IFD210" s="545"/>
      <c r="IFE210" s="545"/>
      <c r="IFF210" s="545"/>
      <c r="IFG210" s="545"/>
      <c r="IFH210" s="545"/>
      <c r="IFI210" s="545"/>
      <c r="IFJ210" s="545"/>
      <c r="IFK210" s="545"/>
      <c r="IFL210" s="545"/>
      <c r="IFM210" s="545"/>
      <c r="IFN210" s="545"/>
      <c r="IFO210" s="545"/>
      <c r="IFP210" s="545"/>
      <c r="IFQ210" s="545"/>
      <c r="IFR210" s="545"/>
      <c r="IFS210" s="545"/>
      <c r="IFT210" s="545"/>
      <c r="IFU210" s="545"/>
      <c r="IFV210" s="545"/>
      <c r="IFW210" s="545"/>
      <c r="IFX210" s="545"/>
      <c r="IFY210" s="545"/>
      <c r="IFZ210" s="545"/>
      <c r="IGA210" s="545"/>
      <c r="IGB210" s="545"/>
      <c r="IGC210" s="545"/>
      <c r="IGD210" s="545"/>
      <c r="IGE210" s="545"/>
      <c r="IGF210" s="545"/>
      <c r="IGG210" s="545"/>
      <c r="IGH210" s="545"/>
      <c r="IGI210" s="545"/>
      <c r="IGJ210" s="545"/>
      <c r="IGK210" s="545"/>
      <c r="IGL210" s="545"/>
      <c r="IGM210" s="545"/>
      <c r="IGN210" s="545"/>
      <c r="IGO210" s="545"/>
      <c r="IGP210" s="545"/>
      <c r="IGQ210" s="545"/>
      <c r="IGR210" s="545"/>
      <c r="IGS210" s="545"/>
      <c r="IGT210" s="545"/>
      <c r="IGU210" s="545"/>
      <c r="IGV210" s="545"/>
      <c r="IGW210" s="545"/>
      <c r="IGX210" s="545"/>
      <c r="IGY210" s="545"/>
      <c r="IGZ210" s="545"/>
      <c r="IHA210" s="545"/>
      <c r="IHB210" s="545"/>
      <c r="IHC210" s="545"/>
      <c r="IHD210" s="545"/>
      <c r="IHE210" s="545"/>
      <c r="IHF210" s="545"/>
      <c r="IHG210" s="545"/>
      <c r="IHH210" s="545"/>
      <c r="IHI210" s="545"/>
      <c r="IHJ210" s="545"/>
      <c r="IHK210" s="545"/>
      <c r="IHL210" s="545"/>
      <c r="IHM210" s="545"/>
      <c r="IHN210" s="545"/>
      <c r="IHO210" s="545"/>
      <c r="IHP210" s="545"/>
      <c r="IHQ210" s="545"/>
      <c r="IHR210" s="545"/>
      <c r="IHS210" s="545"/>
      <c r="IHT210" s="545"/>
      <c r="IHU210" s="545"/>
      <c r="IHV210" s="545"/>
      <c r="IHW210" s="545"/>
      <c r="IHX210" s="545"/>
      <c r="IHY210" s="545"/>
      <c r="IHZ210" s="545"/>
      <c r="IIA210" s="545"/>
      <c r="IIB210" s="545"/>
      <c r="IIC210" s="545"/>
      <c r="IID210" s="545"/>
      <c r="IIE210" s="545"/>
      <c r="IIF210" s="545"/>
      <c r="IIG210" s="545"/>
      <c r="IIH210" s="545"/>
      <c r="III210" s="545"/>
      <c r="IIJ210" s="545"/>
      <c r="IIK210" s="545"/>
      <c r="IIL210" s="545"/>
      <c r="IIM210" s="545"/>
      <c r="IIN210" s="545"/>
      <c r="IIO210" s="545"/>
      <c r="IIP210" s="545"/>
      <c r="IIQ210" s="545"/>
      <c r="IIR210" s="545"/>
      <c r="IIS210" s="545"/>
      <c r="IIT210" s="545"/>
      <c r="IIU210" s="545"/>
      <c r="IIV210" s="545"/>
      <c r="IIW210" s="545"/>
      <c r="IIX210" s="545"/>
      <c r="IIY210" s="545"/>
      <c r="IIZ210" s="545"/>
      <c r="IJA210" s="545"/>
      <c r="IJB210" s="545"/>
      <c r="IJC210" s="545"/>
      <c r="IJD210" s="545"/>
      <c r="IJE210" s="545"/>
      <c r="IJF210" s="545"/>
      <c r="IJG210" s="545"/>
      <c r="IJH210" s="545"/>
      <c r="IJI210" s="545"/>
      <c r="IJJ210" s="545"/>
      <c r="IJK210" s="545"/>
      <c r="IJL210" s="545"/>
      <c r="IJM210" s="545"/>
      <c r="IJN210" s="545"/>
      <c r="IJO210" s="545"/>
      <c r="IJP210" s="545"/>
      <c r="IJQ210" s="545"/>
      <c r="IJR210" s="545"/>
      <c r="IJS210" s="545"/>
      <c r="IJT210" s="545"/>
      <c r="IJU210" s="545"/>
      <c r="IJV210" s="545"/>
      <c r="IJW210" s="545"/>
      <c r="IJX210" s="545"/>
      <c r="IJY210" s="545"/>
      <c r="IJZ210" s="545"/>
      <c r="IKA210" s="545"/>
      <c r="IKB210" s="545"/>
      <c r="IKC210" s="545"/>
      <c r="IKD210" s="545"/>
      <c r="IKE210" s="545"/>
      <c r="IKF210" s="545"/>
      <c r="IKG210" s="545"/>
      <c r="IKH210" s="545"/>
      <c r="IKI210" s="545"/>
      <c r="IKJ210" s="545"/>
      <c r="IKK210" s="545"/>
      <c r="IKL210" s="545"/>
      <c r="IKM210" s="545"/>
      <c r="IKN210" s="545"/>
      <c r="IKO210" s="545"/>
      <c r="IKP210" s="545"/>
      <c r="IKQ210" s="545"/>
      <c r="IKR210" s="545"/>
      <c r="IKS210" s="545"/>
      <c r="IKT210" s="545"/>
      <c r="IKU210" s="545"/>
      <c r="IKV210" s="545"/>
      <c r="IKW210" s="545"/>
      <c r="IKX210" s="545"/>
      <c r="IKY210" s="545"/>
      <c r="IKZ210" s="545"/>
      <c r="ILA210" s="545"/>
      <c r="ILB210" s="545"/>
      <c r="ILC210" s="545"/>
      <c r="ILD210" s="545"/>
      <c r="ILE210" s="545"/>
      <c r="ILF210" s="545"/>
      <c r="ILG210" s="545"/>
      <c r="ILH210" s="545"/>
      <c r="ILI210" s="545"/>
      <c r="ILJ210" s="545"/>
      <c r="ILK210" s="545"/>
      <c r="ILL210" s="545"/>
      <c r="ILM210" s="545"/>
      <c r="ILN210" s="545"/>
      <c r="ILO210" s="545"/>
      <c r="ILP210" s="545"/>
      <c r="ILQ210" s="545"/>
      <c r="ILR210" s="545"/>
      <c r="ILS210" s="545"/>
      <c r="ILT210" s="545"/>
      <c r="ILU210" s="545"/>
      <c r="ILV210" s="545"/>
      <c r="ILW210" s="545"/>
      <c r="ILX210" s="545"/>
      <c r="ILY210" s="545"/>
      <c r="ILZ210" s="545"/>
      <c r="IMA210" s="545"/>
      <c r="IMB210" s="545"/>
      <c r="IMC210" s="545"/>
      <c r="IMD210" s="545"/>
      <c r="IME210" s="545"/>
      <c r="IMF210" s="545"/>
      <c r="IMG210" s="545"/>
      <c r="IMH210" s="545"/>
      <c r="IMI210" s="545"/>
      <c r="IMJ210" s="545"/>
      <c r="IMK210" s="545"/>
      <c r="IML210" s="545"/>
      <c r="IMM210" s="545"/>
      <c r="IMN210" s="545"/>
      <c r="IMO210" s="545"/>
      <c r="IMP210" s="545"/>
      <c r="IMQ210" s="545"/>
      <c r="IMR210" s="545"/>
      <c r="IMS210" s="545"/>
      <c r="IMT210" s="545"/>
      <c r="IMU210" s="545"/>
      <c r="IMV210" s="545"/>
      <c r="IMW210" s="545"/>
      <c r="IMX210" s="545"/>
      <c r="IMY210" s="545"/>
      <c r="IMZ210" s="545"/>
      <c r="INA210" s="545"/>
      <c r="INB210" s="545"/>
      <c r="INC210" s="545"/>
      <c r="IND210" s="545"/>
      <c r="INE210" s="545"/>
      <c r="INF210" s="545"/>
      <c r="ING210" s="545"/>
      <c r="INH210" s="545"/>
      <c r="INI210" s="545"/>
      <c r="INJ210" s="545"/>
      <c r="INK210" s="545"/>
      <c r="INL210" s="545"/>
      <c r="INM210" s="545"/>
      <c r="INN210" s="545"/>
      <c r="INO210" s="545"/>
      <c r="INP210" s="545"/>
      <c r="INQ210" s="545"/>
      <c r="INR210" s="545"/>
      <c r="INS210" s="545"/>
      <c r="INT210" s="545"/>
      <c r="INU210" s="545"/>
      <c r="INV210" s="545"/>
      <c r="INW210" s="545"/>
      <c r="INX210" s="545"/>
      <c r="INY210" s="545"/>
      <c r="INZ210" s="545"/>
      <c r="IOA210" s="545"/>
      <c r="IOB210" s="545"/>
      <c r="IOC210" s="545"/>
      <c r="IOD210" s="545"/>
      <c r="IOE210" s="545"/>
      <c r="IOF210" s="545"/>
      <c r="IOG210" s="545"/>
      <c r="IOH210" s="545"/>
      <c r="IOI210" s="545"/>
      <c r="IOJ210" s="545"/>
      <c r="IOK210" s="545"/>
      <c r="IOL210" s="545"/>
      <c r="IOM210" s="545"/>
      <c r="ION210" s="545"/>
      <c r="IOO210" s="545"/>
      <c r="IOP210" s="545"/>
      <c r="IOQ210" s="545"/>
      <c r="IOR210" s="545"/>
      <c r="IOS210" s="545"/>
      <c r="IOT210" s="545"/>
      <c r="IOU210" s="545"/>
      <c r="IOV210" s="545"/>
      <c r="IOW210" s="545"/>
      <c r="IOX210" s="545"/>
      <c r="IOY210" s="545"/>
      <c r="IOZ210" s="545"/>
      <c r="IPA210" s="545"/>
      <c r="IPB210" s="545"/>
      <c r="IPC210" s="545"/>
      <c r="IPD210" s="545"/>
      <c r="IPE210" s="545"/>
      <c r="IPF210" s="545"/>
      <c r="IPG210" s="545"/>
      <c r="IPH210" s="545"/>
      <c r="IPI210" s="545"/>
      <c r="IPJ210" s="545"/>
      <c r="IPK210" s="545"/>
      <c r="IPL210" s="545"/>
      <c r="IPM210" s="545"/>
      <c r="IPN210" s="545"/>
      <c r="IPO210" s="545"/>
      <c r="IPP210" s="545"/>
      <c r="IPQ210" s="545"/>
      <c r="IPR210" s="545"/>
      <c r="IPS210" s="545"/>
      <c r="IPT210" s="545"/>
      <c r="IPU210" s="545"/>
      <c r="IPV210" s="545"/>
      <c r="IPW210" s="545"/>
      <c r="IPX210" s="545"/>
      <c r="IPY210" s="545"/>
      <c r="IPZ210" s="545"/>
      <c r="IQA210" s="545"/>
      <c r="IQB210" s="545"/>
      <c r="IQC210" s="545"/>
      <c r="IQD210" s="545"/>
      <c r="IQE210" s="545"/>
      <c r="IQF210" s="545"/>
      <c r="IQG210" s="545"/>
      <c r="IQH210" s="545"/>
      <c r="IQI210" s="545"/>
      <c r="IQJ210" s="545"/>
      <c r="IQK210" s="545"/>
      <c r="IQL210" s="545"/>
      <c r="IQM210" s="545"/>
      <c r="IQN210" s="545"/>
      <c r="IQO210" s="545"/>
      <c r="IQP210" s="545"/>
      <c r="IQQ210" s="545"/>
      <c r="IQR210" s="545"/>
      <c r="IQS210" s="545"/>
      <c r="IQT210" s="545"/>
      <c r="IQU210" s="545"/>
      <c r="IQV210" s="545"/>
      <c r="IQW210" s="545"/>
      <c r="IQX210" s="545"/>
      <c r="IQY210" s="545"/>
      <c r="IQZ210" s="545"/>
      <c r="IRA210" s="545"/>
      <c r="IRB210" s="545"/>
      <c r="IRC210" s="545"/>
      <c r="IRD210" s="545"/>
      <c r="IRE210" s="545"/>
      <c r="IRF210" s="545"/>
      <c r="IRG210" s="545"/>
      <c r="IRH210" s="545"/>
      <c r="IRI210" s="545"/>
      <c r="IRJ210" s="545"/>
      <c r="IRK210" s="545"/>
      <c r="IRL210" s="545"/>
      <c r="IRM210" s="545"/>
      <c r="IRN210" s="545"/>
      <c r="IRO210" s="545"/>
      <c r="IRP210" s="545"/>
      <c r="IRQ210" s="545"/>
      <c r="IRR210" s="545"/>
      <c r="IRS210" s="545"/>
      <c r="IRT210" s="545"/>
      <c r="IRU210" s="545"/>
      <c r="IRV210" s="545"/>
      <c r="IRW210" s="545"/>
      <c r="IRX210" s="545"/>
      <c r="IRY210" s="545"/>
      <c r="IRZ210" s="545"/>
      <c r="ISA210" s="545"/>
      <c r="ISB210" s="545"/>
      <c r="ISC210" s="545"/>
      <c r="ISD210" s="545"/>
      <c r="ISE210" s="545"/>
      <c r="ISF210" s="545"/>
      <c r="ISG210" s="545"/>
      <c r="ISH210" s="545"/>
      <c r="ISI210" s="545"/>
      <c r="ISJ210" s="545"/>
      <c r="ISK210" s="545"/>
      <c r="ISL210" s="545"/>
      <c r="ISM210" s="545"/>
      <c r="ISN210" s="545"/>
      <c r="ISO210" s="545"/>
      <c r="ISP210" s="545"/>
      <c r="ISQ210" s="545"/>
      <c r="ISR210" s="545"/>
      <c r="ISS210" s="545"/>
      <c r="IST210" s="545"/>
      <c r="ISU210" s="545"/>
      <c r="ISV210" s="545"/>
      <c r="ISW210" s="545"/>
      <c r="ISX210" s="545"/>
      <c r="ISY210" s="545"/>
      <c r="ISZ210" s="545"/>
      <c r="ITA210" s="545"/>
      <c r="ITB210" s="545"/>
      <c r="ITC210" s="545"/>
      <c r="ITD210" s="545"/>
      <c r="ITE210" s="545"/>
      <c r="ITF210" s="545"/>
      <c r="ITG210" s="545"/>
      <c r="ITH210" s="545"/>
      <c r="ITI210" s="545"/>
      <c r="ITJ210" s="545"/>
      <c r="ITK210" s="545"/>
      <c r="ITL210" s="545"/>
      <c r="ITM210" s="545"/>
      <c r="ITN210" s="545"/>
      <c r="ITO210" s="545"/>
      <c r="ITP210" s="545"/>
      <c r="ITQ210" s="545"/>
      <c r="ITR210" s="545"/>
      <c r="ITS210" s="545"/>
      <c r="ITT210" s="545"/>
      <c r="ITU210" s="545"/>
      <c r="ITV210" s="545"/>
      <c r="ITW210" s="545"/>
      <c r="ITX210" s="545"/>
      <c r="ITY210" s="545"/>
      <c r="ITZ210" s="545"/>
      <c r="IUA210" s="545"/>
      <c r="IUB210" s="545"/>
      <c r="IUC210" s="545"/>
      <c r="IUD210" s="545"/>
      <c r="IUE210" s="545"/>
      <c r="IUF210" s="545"/>
      <c r="IUG210" s="545"/>
      <c r="IUH210" s="545"/>
      <c r="IUI210" s="545"/>
      <c r="IUJ210" s="545"/>
      <c r="IUK210" s="545"/>
      <c r="IUL210" s="545"/>
      <c r="IUM210" s="545"/>
      <c r="IUN210" s="545"/>
      <c r="IUO210" s="545"/>
      <c r="IUP210" s="545"/>
      <c r="IUQ210" s="545"/>
      <c r="IUR210" s="545"/>
      <c r="IUS210" s="545"/>
      <c r="IUT210" s="545"/>
      <c r="IUU210" s="545"/>
      <c r="IUV210" s="545"/>
      <c r="IUW210" s="545"/>
      <c r="IUX210" s="545"/>
      <c r="IUY210" s="545"/>
      <c r="IUZ210" s="545"/>
      <c r="IVA210" s="545"/>
      <c r="IVB210" s="545"/>
      <c r="IVC210" s="545"/>
      <c r="IVD210" s="545"/>
      <c r="IVE210" s="545"/>
      <c r="IVF210" s="545"/>
      <c r="IVG210" s="545"/>
      <c r="IVH210" s="545"/>
      <c r="IVI210" s="545"/>
      <c r="IVJ210" s="545"/>
      <c r="IVK210" s="545"/>
      <c r="IVL210" s="545"/>
      <c r="IVM210" s="545"/>
      <c r="IVN210" s="545"/>
      <c r="IVO210" s="545"/>
      <c r="IVP210" s="545"/>
      <c r="IVQ210" s="545"/>
      <c r="IVR210" s="545"/>
      <c r="IVS210" s="545"/>
      <c r="IVT210" s="545"/>
      <c r="IVU210" s="545"/>
      <c r="IVV210" s="545"/>
      <c r="IVW210" s="545"/>
      <c r="IVX210" s="545"/>
      <c r="IVY210" s="545"/>
      <c r="IVZ210" s="545"/>
      <c r="IWA210" s="545"/>
      <c r="IWB210" s="545"/>
      <c r="IWC210" s="545"/>
      <c r="IWD210" s="545"/>
      <c r="IWE210" s="545"/>
      <c r="IWF210" s="545"/>
      <c r="IWG210" s="545"/>
      <c r="IWH210" s="545"/>
      <c r="IWI210" s="545"/>
      <c r="IWJ210" s="545"/>
      <c r="IWK210" s="545"/>
      <c r="IWL210" s="545"/>
      <c r="IWM210" s="545"/>
      <c r="IWN210" s="545"/>
      <c r="IWO210" s="545"/>
      <c r="IWP210" s="545"/>
      <c r="IWQ210" s="545"/>
      <c r="IWR210" s="545"/>
      <c r="IWS210" s="545"/>
      <c r="IWT210" s="545"/>
      <c r="IWU210" s="545"/>
      <c r="IWV210" s="545"/>
      <c r="IWW210" s="545"/>
      <c r="IWX210" s="545"/>
      <c r="IWY210" s="545"/>
      <c r="IWZ210" s="545"/>
      <c r="IXA210" s="545"/>
      <c r="IXB210" s="545"/>
      <c r="IXC210" s="545"/>
      <c r="IXD210" s="545"/>
      <c r="IXE210" s="545"/>
      <c r="IXF210" s="545"/>
      <c r="IXG210" s="545"/>
      <c r="IXH210" s="545"/>
      <c r="IXI210" s="545"/>
      <c r="IXJ210" s="545"/>
      <c r="IXK210" s="545"/>
      <c r="IXL210" s="545"/>
      <c r="IXM210" s="545"/>
      <c r="IXN210" s="545"/>
      <c r="IXO210" s="545"/>
      <c r="IXP210" s="545"/>
      <c r="IXQ210" s="545"/>
      <c r="IXR210" s="545"/>
      <c r="IXS210" s="545"/>
      <c r="IXT210" s="545"/>
      <c r="IXU210" s="545"/>
      <c r="IXV210" s="545"/>
      <c r="IXW210" s="545"/>
      <c r="IXX210" s="545"/>
      <c r="IXY210" s="545"/>
      <c r="IXZ210" s="545"/>
      <c r="IYA210" s="545"/>
      <c r="IYB210" s="545"/>
      <c r="IYC210" s="545"/>
      <c r="IYD210" s="545"/>
      <c r="IYE210" s="545"/>
      <c r="IYF210" s="545"/>
      <c r="IYG210" s="545"/>
      <c r="IYH210" s="545"/>
      <c r="IYI210" s="545"/>
      <c r="IYJ210" s="545"/>
      <c r="IYK210" s="545"/>
      <c r="IYL210" s="545"/>
      <c r="IYM210" s="545"/>
      <c r="IYN210" s="545"/>
      <c r="IYO210" s="545"/>
      <c r="IYP210" s="545"/>
      <c r="IYQ210" s="545"/>
      <c r="IYR210" s="545"/>
      <c r="IYS210" s="545"/>
      <c r="IYT210" s="545"/>
      <c r="IYU210" s="545"/>
      <c r="IYV210" s="545"/>
      <c r="IYW210" s="545"/>
      <c r="IYX210" s="545"/>
      <c r="IYY210" s="545"/>
      <c r="IYZ210" s="545"/>
      <c r="IZA210" s="545"/>
      <c r="IZB210" s="545"/>
      <c r="IZC210" s="545"/>
      <c r="IZD210" s="545"/>
      <c r="IZE210" s="545"/>
      <c r="IZF210" s="545"/>
      <c r="IZG210" s="545"/>
      <c r="IZH210" s="545"/>
      <c r="IZI210" s="545"/>
      <c r="IZJ210" s="545"/>
      <c r="IZK210" s="545"/>
      <c r="IZL210" s="545"/>
      <c r="IZM210" s="545"/>
      <c r="IZN210" s="545"/>
      <c r="IZO210" s="545"/>
      <c r="IZP210" s="545"/>
      <c r="IZQ210" s="545"/>
      <c r="IZR210" s="545"/>
      <c r="IZS210" s="545"/>
      <c r="IZT210" s="545"/>
      <c r="IZU210" s="545"/>
      <c r="IZV210" s="545"/>
      <c r="IZW210" s="545"/>
      <c r="IZX210" s="545"/>
      <c r="IZY210" s="545"/>
      <c r="IZZ210" s="545"/>
      <c r="JAA210" s="545"/>
      <c r="JAB210" s="545"/>
      <c r="JAC210" s="545"/>
      <c r="JAD210" s="545"/>
      <c r="JAE210" s="545"/>
      <c r="JAF210" s="545"/>
      <c r="JAG210" s="545"/>
      <c r="JAH210" s="545"/>
      <c r="JAI210" s="545"/>
      <c r="JAJ210" s="545"/>
      <c r="JAK210" s="545"/>
      <c r="JAL210" s="545"/>
      <c r="JAM210" s="545"/>
      <c r="JAN210" s="545"/>
      <c r="JAO210" s="545"/>
      <c r="JAP210" s="545"/>
      <c r="JAQ210" s="545"/>
      <c r="JAR210" s="545"/>
      <c r="JAS210" s="545"/>
      <c r="JAT210" s="545"/>
      <c r="JAU210" s="545"/>
      <c r="JAV210" s="545"/>
      <c r="JAW210" s="545"/>
      <c r="JAX210" s="545"/>
      <c r="JAY210" s="545"/>
      <c r="JAZ210" s="545"/>
      <c r="JBA210" s="545"/>
      <c r="JBB210" s="545"/>
      <c r="JBC210" s="545"/>
      <c r="JBD210" s="545"/>
      <c r="JBE210" s="545"/>
      <c r="JBF210" s="545"/>
      <c r="JBG210" s="545"/>
      <c r="JBH210" s="545"/>
      <c r="JBI210" s="545"/>
      <c r="JBJ210" s="545"/>
      <c r="JBK210" s="545"/>
      <c r="JBL210" s="545"/>
      <c r="JBM210" s="545"/>
      <c r="JBN210" s="545"/>
      <c r="JBO210" s="545"/>
      <c r="JBP210" s="545"/>
      <c r="JBQ210" s="545"/>
      <c r="JBR210" s="545"/>
      <c r="JBS210" s="545"/>
      <c r="JBT210" s="545"/>
      <c r="JBU210" s="545"/>
      <c r="JBV210" s="545"/>
      <c r="JBW210" s="545"/>
      <c r="JBX210" s="545"/>
      <c r="JBY210" s="545"/>
      <c r="JBZ210" s="545"/>
      <c r="JCA210" s="545"/>
      <c r="JCB210" s="545"/>
      <c r="JCC210" s="545"/>
      <c r="JCD210" s="545"/>
      <c r="JCE210" s="545"/>
      <c r="JCF210" s="545"/>
      <c r="JCG210" s="545"/>
      <c r="JCH210" s="545"/>
      <c r="JCI210" s="545"/>
      <c r="JCJ210" s="545"/>
      <c r="JCK210" s="545"/>
      <c r="JCL210" s="545"/>
      <c r="JCM210" s="545"/>
      <c r="JCN210" s="545"/>
      <c r="JCO210" s="545"/>
      <c r="JCP210" s="545"/>
      <c r="JCQ210" s="545"/>
      <c r="JCR210" s="545"/>
      <c r="JCS210" s="545"/>
      <c r="JCT210" s="545"/>
      <c r="JCU210" s="545"/>
      <c r="JCV210" s="545"/>
      <c r="JCW210" s="545"/>
      <c r="JCX210" s="545"/>
      <c r="JCY210" s="545"/>
      <c r="JCZ210" s="545"/>
      <c r="JDA210" s="545"/>
      <c r="JDB210" s="545"/>
      <c r="JDC210" s="545"/>
      <c r="JDD210" s="545"/>
      <c r="JDE210" s="545"/>
      <c r="JDF210" s="545"/>
      <c r="JDG210" s="545"/>
      <c r="JDH210" s="545"/>
      <c r="JDI210" s="545"/>
      <c r="JDJ210" s="545"/>
      <c r="JDK210" s="545"/>
      <c r="JDL210" s="545"/>
      <c r="JDM210" s="545"/>
      <c r="JDN210" s="545"/>
      <c r="JDO210" s="545"/>
      <c r="JDP210" s="545"/>
      <c r="JDQ210" s="545"/>
      <c r="JDR210" s="545"/>
      <c r="JDS210" s="545"/>
      <c r="JDT210" s="545"/>
      <c r="JDU210" s="545"/>
      <c r="JDV210" s="545"/>
      <c r="JDW210" s="545"/>
      <c r="JDX210" s="545"/>
      <c r="JDY210" s="545"/>
      <c r="JDZ210" s="545"/>
      <c r="JEA210" s="545"/>
      <c r="JEB210" s="545"/>
      <c r="JEC210" s="545"/>
      <c r="JED210" s="545"/>
      <c r="JEE210" s="545"/>
      <c r="JEF210" s="545"/>
      <c r="JEG210" s="545"/>
      <c r="JEH210" s="545"/>
      <c r="JEI210" s="545"/>
      <c r="JEJ210" s="545"/>
      <c r="JEK210" s="545"/>
      <c r="JEL210" s="545"/>
      <c r="JEM210" s="545"/>
      <c r="JEN210" s="545"/>
      <c r="JEO210" s="545"/>
      <c r="JEP210" s="545"/>
      <c r="JEQ210" s="545"/>
      <c r="JER210" s="545"/>
      <c r="JES210" s="545"/>
      <c r="JET210" s="545"/>
      <c r="JEU210" s="545"/>
      <c r="JEV210" s="545"/>
      <c r="JEW210" s="545"/>
      <c r="JEX210" s="545"/>
      <c r="JEY210" s="545"/>
      <c r="JEZ210" s="545"/>
      <c r="JFA210" s="545"/>
      <c r="JFB210" s="545"/>
      <c r="JFC210" s="545"/>
      <c r="JFD210" s="545"/>
      <c r="JFE210" s="545"/>
      <c r="JFF210" s="545"/>
      <c r="JFG210" s="545"/>
      <c r="JFH210" s="545"/>
      <c r="JFI210" s="545"/>
      <c r="JFJ210" s="545"/>
      <c r="JFK210" s="545"/>
      <c r="JFL210" s="545"/>
      <c r="JFM210" s="545"/>
      <c r="JFN210" s="545"/>
      <c r="JFO210" s="545"/>
      <c r="JFP210" s="545"/>
      <c r="JFQ210" s="545"/>
      <c r="JFR210" s="545"/>
      <c r="JFS210" s="545"/>
      <c r="JFT210" s="545"/>
      <c r="JFU210" s="545"/>
      <c r="JFV210" s="545"/>
      <c r="JFW210" s="545"/>
      <c r="JFX210" s="545"/>
      <c r="JFY210" s="545"/>
      <c r="JFZ210" s="545"/>
      <c r="JGA210" s="545"/>
      <c r="JGB210" s="545"/>
      <c r="JGC210" s="545"/>
      <c r="JGD210" s="545"/>
      <c r="JGE210" s="545"/>
      <c r="JGF210" s="545"/>
      <c r="JGG210" s="545"/>
      <c r="JGH210" s="545"/>
      <c r="JGI210" s="545"/>
      <c r="JGJ210" s="545"/>
      <c r="JGK210" s="545"/>
      <c r="JGL210" s="545"/>
      <c r="JGM210" s="545"/>
      <c r="JGN210" s="545"/>
      <c r="JGO210" s="545"/>
      <c r="JGP210" s="545"/>
      <c r="JGQ210" s="545"/>
      <c r="JGR210" s="545"/>
      <c r="JGS210" s="545"/>
      <c r="JGT210" s="545"/>
      <c r="JGU210" s="545"/>
      <c r="JGV210" s="545"/>
      <c r="JGW210" s="545"/>
      <c r="JGX210" s="545"/>
      <c r="JGY210" s="545"/>
      <c r="JGZ210" s="545"/>
      <c r="JHA210" s="545"/>
      <c r="JHB210" s="545"/>
      <c r="JHC210" s="545"/>
      <c r="JHD210" s="545"/>
      <c r="JHE210" s="545"/>
      <c r="JHF210" s="545"/>
      <c r="JHG210" s="545"/>
      <c r="JHH210" s="545"/>
      <c r="JHI210" s="545"/>
      <c r="JHJ210" s="545"/>
      <c r="JHK210" s="545"/>
      <c r="JHL210" s="545"/>
      <c r="JHM210" s="545"/>
      <c r="JHN210" s="545"/>
      <c r="JHO210" s="545"/>
      <c r="JHP210" s="545"/>
      <c r="JHQ210" s="545"/>
      <c r="JHR210" s="545"/>
      <c r="JHS210" s="545"/>
      <c r="JHT210" s="545"/>
      <c r="JHU210" s="545"/>
      <c r="JHV210" s="545"/>
      <c r="JHW210" s="545"/>
      <c r="JHX210" s="545"/>
      <c r="JHY210" s="545"/>
      <c r="JHZ210" s="545"/>
      <c r="JIA210" s="545"/>
      <c r="JIB210" s="545"/>
      <c r="JIC210" s="545"/>
      <c r="JID210" s="545"/>
      <c r="JIE210" s="545"/>
      <c r="JIF210" s="545"/>
      <c r="JIG210" s="545"/>
      <c r="JIH210" s="545"/>
      <c r="JII210" s="545"/>
      <c r="JIJ210" s="545"/>
      <c r="JIK210" s="545"/>
      <c r="JIL210" s="545"/>
      <c r="JIM210" s="545"/>
      <c r="JIN210" s="545"/>
      <c r="JIO210" s="545"/>
      <c r="JIP210" s="545"/>
      <c r="JIQ210" s="545"/>
      <c r="JIR210" s="545"/>
      <c r="JIS210" s="545"/>
      <c r="JIT210" s="545"/>
      <c r="JIU210" s="545"/>
      <c r="JIV210" s="545"/>
      <c r="JIW210" s="545"/>
      <c r="JIX210" s="545"/>
      <c r="JIY210" s="545"/>
      <c r="JIZ210" s="545"/>
      <c r="JJA210" s="545"/>
      <c r="JJB210" s="545"/>
      <c r="JJC210" s="545"/>
      <c r="JJD210" s="545"/>
      <c r="JJE210" s="545"/>
      <c r="JJF210" s="545"/>
      <c r="JJG210" s="545"/>
      <c r="JJH210" s="545"/>
      <c r="JJI210" s="545"/>
      <c r="JJJ210" s="545"/>
      <c r="JJK210" s="545"/>
      <c r="JJL210" s="545"/>
      <c r="JJM210" s="545"/>
      <c r="JJN210" s="545"/>
      <c r="JJO210" s="545"/>
      <c r="JJP210" s="545"/>
      <c r="JJQ210" s="545"/>
      <c r="JJR210" s="545"/>
      <c r="JJS210" s="545"/>
      <c r="JJT210" s="545"/>
      <c r="JJU210" s="545"/>
      <c r="JJV210" s="545"/>
      <c r="JJW210" s="545"/>
      <c r="JJX210" s="545"/>
      <c r="JJY210" s="545"/>
      <c r="JJZ210" s="545"/>
      <c r="JKA210" s="545"/>
      <c r="JKB210" s="545"/>
      <c r="JKC210" s="545"/>
      <c r="JKD210" s="545"/>
      <c r="JKE210" s="545"/>
      <c r="JKF210" s="545"/>
      <c r="JKG210" s="545"/>
      <c r="JKH210" s="545"/>
      <c r="JKI210" s="545"/>
      <c r="JKJ210" s="545"/>
      <c r="JKK210" s="545"/>
      <c r="JKL210" s="545"/>
      <c r="JKM210" s="545"/>
      <c r="JKN210" s="545"/>
      <c r="JKO210" s="545"/>
      <c r="JKP210" s="545"/>
      <c r="JKQ210" s="545"/>
      <c r="JKR210" s="545"/>
      <c r="JKS210" s="545"/>
      <c r="JKT210" s="545"/>
      <c r="JKU210" s="545"/>
      <c r="JKV210" s="545"/>
      <c r="JKW210" s="545"/>
      <c r="JKX210" s="545"/>
      <c r="JKY210" s="545"/>
      <c r="JKZ210" s="545"/>
      <c r="JLA210" s="545"/>
      <c r="JLB210" s="545"/>
      <c r="JLC210" s="545"/>
      <c r="JLD210" s="545"/>
      <c r="JLE210" s="545"/>
      <c r="JLF210" s="545"/>
      <c r="JLG210" s="545"/>
      <c r="JLH210" s="545"/>
      <c r="JLI210" s="545"/>
      <c r="JLJ210" s="545"/>
      <c r="JLK210" s="545"/>
      <c r="JLL210" s="545"/>
      <c r="JLM210" s="545"/>
      <c r="JLN210" s="545"/>
      <c r="JLO210" s="545"/>
      <c r="JLP210" s="545"/>
      <c r="JLQ210" s="545"/>
      <c r="JLR210" s="545"/>
      <c r="JLS210" s="545"/>
      <c r="JLT210" s="545"/>
      <c r="JLU210" s="545"/>
      <c r="JLV210" s="545"/>
      <c r="JLW210" s="545"/>
      <c r="JLX210" s="545"/>
      <c r="JLY210" s="545"/>
      <c r="JLZ210" s="545"/>
      <c r="JMA210" s="545"/>
      <c r="JMB210" s="545"/>
      <c r="JMC210" s="545"/>
      <c r="JMD210" s="545"/>
      <c r="JME210" s="545"/>
      <c r="JMF210" s="545"/>
      <c r="JMG210" s="545"/>
      <c r="JMH210" s="545"/>
      <c r="JMI210" s="545"/>
      <c r="JMJ210" s="545"/>
      <c r="JMK210" s="545"/>
      <c r="JML210" s="545"/>
      <c r="JMM210" s="545"/>
      <c r="JMN210" s="545"/>
      <c r="JMO210" s="545"/>
      <c r="JMP210" s="545"/>
      <c r="JMQ210" s="545"/>
      <c r="JMR210" s="545"/>
      <c r="JMS210" s="545"/>
      <c r="JMT210" s="545"/>
      <c r="JMU210" s="545"/>
      <c r="JMV210" s="545"/>
      <c r="JMW210" s="545"/>
      <c r="JMX210" s="545"/>
      <c r="JMY210" s="545"/>
      <c r="JMZ210" s="545"/>
      <c r="JNA210" s="545"/>
      <c r="JNB210" s="545"/>
      <c r="JNC210" s="545"/>
      <c r="JND210" s="545"/>
      <c r="JNE210" s="545"/>
      <c r="JNF210" s="545"/>
      <c r="JNG210" s="545"/>
      <c r="JNH210" s="545"/>
      <c r="JNI210" s="545"/>
      <c r="JNJ210" s="545"/>
      <c r="JNK210" s="545"/>
      <c r="JNL210" s="545"/>
      <c r="JNM210" s="545"/>
      <c r="JNN210" s="545"/>
      <c r="JNO210" s="545"/>
      <c r="JNP210" s="545"/>
      <c r="JNQ210" s="545"/>
      <c r="JNR210" s="545"/>
      <c r="JNS210" s="545"/>
      <c r="JNT210" s="545"/>
      <c r="JNU210" s="545"/>
      <c r="JNV210" s="545"/>
      <c r="JNW210" s="545"/>
      <c r="JNX210" s="545"/>
      <c r="JNY210" s="545"/>
      <c r="JNZ210" s="545"/>
      <c r="JOA210" s="545"/>
      <c r="JOB210" s="545"/>
      <c r="JOC210" s="545"/>
      <c r="JOD210" s="545"/>
      <c r="JOE210" s="545"/>
      <c r="JOF210" s="545"/>
      <c r="JOG210" s="545"/>
      <c r="JOH210" s="545"/>
      <c r="JOI210" s="545"/>
      <c r="JOJ210" s="545"/>
      <c r="JOK210" s="545"/>
      <c r="JOL210" s="545"/>
      <c r="JOM210" s="545"/>
      <c r="JON210" s="545"/>
      <c r="JOO210" s="545"/>
      <c r="JOP210" s="545"/>
      <c r="JOQ210" s="545"/>
      <c r="JOR210" s="545"/>
      <c r="JOS210" s="545"/>
      <c r="JOT210" s="545"/>
      <c r="JOU210" s="545"/>
      <c r="JOV210" s="545"/>
      <c r="JOW210" s="545"/>
      <c r="JOX210" s="545"/>
      <c r="JOY210" s="545"/>
      <c r="JOZ210" s="545"/>
      <c r="JPA210" s="545"/>
      <c r="JPB210" s="545"/>
      <c r="JPC210" s="545"/>
      <c r="JPD210" s="545"/>
      <c r="JPE210" s="545"/>
      <c r="JPF210" s="545"/>
      <c r="JPG210" s="545"/>
      <c r="JPH210" s="545"/>
      <c r="JPI210" s="545"/>
      <c r="JPJ210" s="545"/>
      <c r="JPK210" s="545"/>
      <c r="JPL210" s="545"/>
      <c r="JPM210" s="545"/>
      <c r="JPN210" s="545"/>
      <c r="JPO210" s="545"/>
      <c r="JPP210" s="545"/>
      <c r="JPQ210" s="545"/>
      <c r="JPR210" s="545"/>
      <c r="JPS210" s="545"/>
      <c r="JPT210" s="545"/>
      <c r="JPU210" s="545"/>
      <c r="JPV210" s="545"/>
      <c r="JPW210" s="545"/>
      <c r="JPX210" s="545"/>
      <c r="JPY210" s="545"/>
      <c r="JPZ210" s="545"/>
      <c r="JQA210" s="545"/>
      <c r="JQB210" s="545"/>
      <c r="JQC210" s="545"/>
      <c r="JQD210" s="545"/>
      <c r="JQE210" s="545"/>
      <c r="JQF210" s="545"/>
      <c r="JQG210" s="545"/>
      <c r="JQH210" s="545"/>
      <c r="JQI210" s="545"/>
      <c r="JQJ210" s="545"/>
      <c r="JQK210" s="545"/>
      <c r="JQL210" s="545"/>
      <c r="JQM210" s="545"/>
      <c r="JQN210" s="545"/>
      <c r="JQO210" s="545"/>
      <c r="JQP210" s="545"/>
      <c r="JQQ210" s="545"/>
      <c r="JQR210" s="545"/>
      <c r="JQS210" s="545"/>
      <c r="JQT210" s="545"/>
      <c r="JQU210" s="545"/>
      <c r="JQV210" s="545"/>
      <c r="JQW210" s="545"/>
      <c r="JQX210" s="545"/>
      <c r="JQY210" s="545"/>
      <c r="JQZ210" s="545"/>
      <c r="JRA210" s="545"/>
      <c r="JRB210" s="545"/>
      <c r="JRC210" s="545"/>
      <c r="JRD210" s="545"/>
      <c r="JRE210" s="545"/>
      <c r="JRF210" s="545"/>
      <c r="JRG210" s="545"/>
      <c r="JRH210" s="545"/>
      <c r="JRI210" s="545"/>
      <c r="JRJ210" s="545"/>
      <c r="JRK210" s="545"/>
      <c r="JRL210" s="545"/>
      <c r="JRM210" s="545"/>
      <c r="JRN210" s="545"/>
      <c r="JRO210" s="545"/>
      <c r="JRP210" s="545"/>
      <c r="JRQ210" s="545"/>
      <c r="JRR210" s="545"/>
      <c r="JRS210" s="545"/>
      <c r="JRT210" s="545"/>
      <c r="JRU210" s="545"/>
      <c r="JRV210" s="545"/>
      <c r="JRW210" s="545"/>
      <c r="JRX210" s="545"/>
      <c r="JRY210" s="545"/>
      <c r="JRZ210" s="545"/>
      <c r="JSA210" s="545"/>
      <c r="JSB210" s="545"/>
      <c r="JSC210" s="545"/>
      <c r="JSD210" s="545"/>
      <c r="JSE210" s="545"/>
      <c r="JSF210" s="545"/>
      <c r="JSG210" s="545"/>
      <c r="JSH210" s="545"/>
      <c r="JSI210" s="545"/>
      <c r="JSJ210" s="545"/>
      <c r="JSK210" s="545"/>
      <c r="JSL210" s="545"/>
      <c r="JSM210" s="545"/>
      <c r="JSN210" s="545"/>
      <c r="JSO210" s="545"/>
      <c r="JSP210" s="545"/>
      <c r="JSQ210" s="545"/>
      <c r="JSR210" s="545"/>
      <c r="JSS210" s="545"/>
      <c r="JST210" s="545"/>
      <c r="JSU210" s="545"/>
      <c r="JSV210" s="545"/>
      <c r="JSW210" s="545"/>
      <c r="JSX210" s="545"/>
      <c r="JSY210" s="545"/>
      <c r="JSZ210" s="545"/>
      <c r="JTA210" s="545"/>
      <c r="JTB210" s="545"/>
      <c r="JTC210" s="545"/>
      <c r="JTD210" s="545"/>
      <c r="JTE210" s="545"/>
      <c r="JTF210" s="545"/>
      <c r="JTG210" s="545"/>
      <c r="JTH210" s="545"/>
      <c r="JTI210" s="545"/>
      <c r="JTJ210" s="545"/>
      <c r="JTK210" s="545"/>
      <c r="JTL210" s="545"/>
      <c r="JTM210" s="545"/>
      <c r="JTN210" s="545"/>
      <c r="JTO210" s="545"/>
      <c r="JTP210" s="545"/>
      <c r="JTQ210" s="545"/>
      <c r="JTR210" s="545"/>
      <c r="JTS210" s="545"/>
      <c r="JTT210" s="545"/>
      <c r="JTU210" s="545"/>
      <c r="JTV210" s="545"/>
      <c r="JTW210" s="545"/>
      <c r="JTX210" s="545"/>
      <c r="JTY210" s="545"/>
      <c r="JTZ210" s="545"/>
      <c r="JUA210" s="545"/>
      <c r="JUB210" s="545"/>
      <c r="JUC210" s="545"/>
      <c r="JUD210" s="545"/>
      <c r="JUE210" s="545"/>
      <c r="JUF210" s="545"/>
      <c r="JUG210" s="545"/>
      <c r="JUH210" s="545"/>
      <c r="JUI210" s="545"/>
      <c r="JUJ210" s="545"/>
      <c r="JUK210" s="545"/>
      <c r="JUL210" s="545"/>
      <c r="JUM210" s="545"/>
      <c r="JUN210" s="545"/>
      <c r="JUO210" s="545"/>
      <c r="JUP210" s="545"/>
      <c r="JUQ210" s="545"/>
      <c r="JUR210" s="545"/>
      <c r="JUS210" s="545"/>
      <c r="JUT210" s="545"/>
      <c r="JUU210" s="545"/>
      <c r="JUV210" s="545"/>
      <c r="JUW210" s="545"/>
      <c r="JUX210" s="545"/>
      <c r="JUY210" s="545"/>
      <c r="JUZ210" s="545"/>
      <c r="JVA210" s="545"/>
      <c r="JVB210" s="545"/>
      <c r="JVC210" s="545"/>
      <c r="JVD210" s="545"/>
      <c r="JVE210" s="545"/>
      <c r="JVF210" s="545"/>
      <c r="JVG210" s="545"/>
      <c r="JVH210" s="545"/>
      <c r="JVI210" s="545"/>
      <c r="JVJ210" s="545"/>
      <c r="JVK210" s="545"/>
      <c r="JVL210" s="545"/>
      <c r="JVM210" s="545"/>
      <c r="JVN210" s="545"/>
      <c r="JVO210" s="545"/>
      <c r="JVP210" s="545"/>
      <c r="JVQ210" s="545"/>
      <c r="JVR210" s="545"/>
      <c r="JVS210" s="545"/>
      <c r="JVT210" s="545"/>
      <c r="JVU210" s="545"/>
      <c r="JVV210" s="545"/>
      <c r="JVW210" s="545"/>
      <c r="JVX210" s="545"/>
      <c r="JVY210" s="545"/>
      <c r="JVZ210" s="545"/>
      <c r="JWA210" s="545"/>
      <c r="JWB210" s="545"/>
      <c r="JWC210" s="545"/>
      <c r="JWD210" s="545"/>
      <c r="JWE210" s="545"/>
      <c r="JWF210" s="545"/>
      <c r="JWG210" s="545"/>
      <c r="JWH210" s="545"/>
      <c r="JWI210" s="545"/>
      <c r="JWJ210" s="545"/>
      <c r="JWK210" s="545"/>
      <c r="JWL210" s="545"/>
      <c r="JWM210" s="545"/>
      <c r="JWN210" s="545"/>
      <c r="JWO210" s="545"/>
      <c r="JWP210" s="545"/>
      <c r="JWQ210" s="545"/>
      <c r="JWR210" s="545"/>
      <c r="JWS210" s="545"/>
      <c r="JWT210" s="545"/>
      <c r="JWU210" s="545"/>
      <c r="JWV210" s="545"/>
      <c r="JWW210" s="545"/>
      <c r="JWX210" s="545"/>
      <c r="JWY210" s="545"/>
      <c r="JWZ210" s="545"/>
      <c r="JXA210" s="545"/>
      <c r="JXB210" s="545"/>
      <c r="JXC210" s="545"/>
      <c r="JXD210" s="545"/>
      <c r="JXE210" s="545"/>
      <c r="JXF210" s="545"/>
      <c r="JXG210" s="545"/>
      <c r="JXH210" s="545"/>
      <c r="JXI210" s="545"/>
      <c r="JXJ210" s="545"/>
      <c r="JXK210" s="545"/>
      <c r="JXL210" s="545"/>
      <c r="JXM210" s="545"/>
      <c r="JXN210" s="545"/>
      <c r="JXO210" s="545"/>
      <c r="JXP210" s="545"/>
      <c r="JXQ210" s="545"/>
      <c r="JXR210" s="545"/>
      <c r="JXS210" s="545"/>
      <c r="JXT210" s="545"/>
      <c r="JXU210" s="545"/>
      <c r="JXV210" s="545"/>
      <c r="JXW210" s="545"/>
      <c r="JXX210" s="545"/>
      <c r="JXY210" s="545"/>
      <c r="JXZ210" s="545"/>
      <c r="JYA210" s="545"/>
      <c r="JYB210" s="545"/>
      <c r="JYC210" s="545"/>
      <c r="JYD210" s="545"/>
      <c r="JYE210" s="545"/>
      <c r="JYF210" s="545"/>
      <c r="JYG210" s="545"/>
      <c r="JYH210" s="545"/>
      <c r="JYI210" s="545"/>
      <c r="JYJ210" s="545"/>
      <c r="JYK210" s="545"/>
      <c r="JYL210" s="545"/>
      <c r="JYM210" s="545"/>
      <c r="JYN210" s="545"/>
      <c r="JYO210" s="545"/>
      <c r="JYP210" s="545"/>
      <c r="JYQ210" s="545"/>
      <c r="JYR210" s="545"/>
      <c r="JYS210" s="545"/>
      <c r="JYT210" s="545"/>
      <c r="JYU210" s="545"/>
      <c r="JYV210" s="545"/>
      <c r="JYW210" s="545"/>
      <c r="JYX210" s="545"/>
      <c r="JYY210" s="545"/>
      <c r="JYZ210" s="545"/>
      <c r="JZA210" s="545"/>
      <c r="JZB210" s="545"/>
      <c r="JZC210" s="545"/>
      <c r="JZD210" s="545"/>
      <c r="JZE210" s="545"/>
      <c r="JZF210" s="545"/>
      <c r="JZG210" s="545"/>
      <c r="JZH210" s="545"/>
      <c r="JZI210" s="545"/>
      <c r="JZJ210" s="545"/>
      <c r="JZK210" s="545"/>
      <c r="JZL210" s="545"/>
      <c r="JZM210" s="545"/>
      <c r="JZN210" s="545"/>
      <c r="JZO210" s="545"/>
      <c r="JZP210" s="545"/>
      <c r="JZQ210" s="545"/>
      <c r="JZR210" s="545"/>
      <c r="JZS210" s="545"/>
      <c r="JZT210" s="545"/>
      <c r="JZU210" s="545"/>
      <c r="JZV210" s="545"/>
      <c r="JZW210" s="545"/>
      <c r="JZX210" s="545"/>
      <c r="JZY210" s="545"/>
      <c r="JZZ210" s="545"/>
      <c r="KAA210" s="545"/>
      <c r="KAB210" s="545"/>
      <c r="KAC210" s="545"/>
      <c r="KAD210" s="545"/>
      <c r="KAE210" s="545"/>
      <c r="KAF210" s="545"/>
      <c r="KAG210" s="545"/>
      <c r="KAH210" s="545"/>
      <c r="KAI210" s="545"/>
      <c r="KAJ210" s="545"/>
      <c r="KAK210" s="545"/>
      <c r="KAL210" s="545"/>
      <c r="KAM210" s="545"/>
      <c r="KAN210" s="545"/>
      <c r="KAO210" s="545"/>
      <c r="KAP210" s="545"/>
      <c r="KAQ210" s="545"/>
      <c r="KAR210" s="545"/>
      <c r="KAS210" s="545"/>
      <c r="KAT210" s="545"/>
      <c r="KAU210" s="545"/>
      <c r="KAV210" s="545"/>
      <c r="KAW210" s="545"/>
      <c r="KAX210" s="545"/>
      <c r="KAY210" s="545"/>
      <c r="KAZ210" s="545"/>
      <c r="KBA210" s="545"/>
      <c r="KBB210" s="545"/>
      <c r="KBC210" s="545"/>
      <c r="KBD210" s="545"/>
      <c r="KBE210" s="545"/>
      <c r="KBF210" s="545"/>
      <c r="KBG210" s="545"/>
      <c r="KBH210" s="545"/>
      <c r="KBI210" s="545"/>
      <c r="KBJ210" s="545"/>
      <c r="KBK210" s="545"/>
      <c r="KBL210" s="545"/>
      <c r="KBM210" s="545"/>
      <c r="KBN210" s="545"/>
      <c r="KBO210" s="545"/>
      <c r="KBP210" s="545"/>
      <c r="KBQ210" s="545"/>
      <c r="KBR210" s="545"/>
      <c r="KBS210" s="545"/>
      <c r="KBT210" s="545"/>
      <c r="KBU210" s="545"/>
      <c r="KBV210" s="545"/>
      <c r="KBW210" s="545"/>
      <c r="KBX210" s="545"/>
      <c r="KBY210" s="545"/>
      <c r="KBZ210" s="545"/>
      <c r="KCA210" s="545"/>
      <c r="KCB210" s="545"/>
      <c r="KCC210" s="545"/>
      <c r="KCD210" s="545"/>
      <c r="KCE210" s="545"/>
      <c r="KCF210" s="545"/>
      <c r="KCG210" s="545"/>
      <c r="KCH210" s="545"/>
      <c r="KCI210" s="545"/>
      <c r="KCJ210" s="545"/>
      <c r="KCK210" s="545"/>
      <c r="KCL210" s="545"/>
      <c r="KCM210" s="545"/>
      <c r="KCN210" s="545"/>
      <c r="KCO210" s="545"/>
      <c r="KCP210" s="545"/>
      <c r="KCQ210" s="545"/>
      <c r="KCR210" s="545"/>
      <c r="KCS210" s="545"/>
      <c r="KCT210" s="545"/>
      <c r="KCU210" s="545"/>
      <c r="KCV210" s="545"/>
      <c r="KCW210" s="545"/>
      <c r="KCX210" s="545"/>
      <c r="KCY210" s="545"/>
      <c r="KCZ210" s="545"/>
      <c r="KDA210" s="545"/>
      <c r="KDB210" s="545"/>
      <c r="KDC210" s="545"/>
      <c r="KDD210" s="545"/>
      <c r="KDE210" s="545"/>
      <c r="KDF210" s="545"/>
      <c r="KDG210" s="545"/>
      <c r="KDH210" s="545"/>
      <c r="KDI210" s="545"/>
      <c r="KDJ210" s="545"/>
      <c r="KDK210" s="545"/>
      <c r="KDL210" s="545"/>
      <c r="KDM210" s="545"/>
      <c r="KDN210" s="545"/>
      <c r="KDO210" s="545"/>
      <c r="KDP210" s="545"/>
      <c r="KDQ210" s="545"/>
      <c r="KDR210" s="545"/>
      <c r="KDS210" s="545"/>
      <c r="KDT210" s="545"/>
      <c r="KDU210" s="545"/>
      <c r="KDV210" s="545"/>
      <c r="KDW210" s="545"/>
      <c r="KDX210" s="545"/>
      <c r="KDY210" s="545"/>
      <c r="KDZ210" s="545"/>
      <c r="KEA210" s="545"/>
      <c r="KEB210" s="545"/>
      <c r="KEC210" s="545"/>
      <c r="KED210" s="545"/>
      <c r="KEE210" s="545"/>
      <c r="KEF210" s="545"/>
      <c r="KEG210" s="545"/>
      <c r="KEH210" s="545"/>
      <c r="KEI210" s="545"/>
      <c r="KEJ210" s="545"/>
      <c r="KEK210" s="545"/>
      <c r="KEL210" s="545"/>
      <c r="KEM210" s="545"/>
      <c r="KEN210" s="545"/>
      <c r="KEO210" s="545"/>
      <c r="KEP210" s="545"/>
      <c r="KEQ210" s="545"/>
      <c r="KER210" s="545"/>
      <c r="KES210" s="545"/>
      <c r="KET210" s="545"/>
      <c r="KEU210" s="545"/>
      <c r="KEV210" s="545"/>
      <c r="KEW210" s="545"/>
      <c r="KEX210" s="545"/>
      <c r="KEY210" s="545"/>
      <c r="KEZ210" s="545"/>
      <c r="KFA210" s="545"/>
      <c r="KFB210" s="545"/>
      <c r="KFC210" s="545"/>
      <c r="KFD210" s="545"/>
      <c r="KFE210" s="545"/>
      <c r="KFF210" s="545"/>
      <c r="KFG210" s="545"/>
      <c r="KFH210" s="545"/>
      <c r="KFI210" s="545"/>
      <c r="KFJ210" s="545"/>
      <c r="KFK210" s="545"/>
      <c r="KFL210" s="545"/>
      <c r="KFM210" s="545"/>
      <c r="KFN210" s="545"/>
      <c r="KFO210" s="545"/>
      <c r="KFP210" s="545"/>
      <c r="KFQ210" s="545"/>
      <c r="KFR210" s="545"/>
      <c r="KFS210" s="545"/>
      <c r="KFT210" s="545"/>
      <c r="KFU210" s="545"/>
      <c r="KFV210" s="545"/>
      <c r="KFW210" s="545"/>
      <c r="KFX210" s="545"/>
      <c r="KFY210" s="545"/>
      <c r="KFZ210" s="545"/>
      <c r="KGA210" s="545"/>
      <c r="KGB210" s="545"/>
      <c r="KGC210" s="545"/>
      <c r="KGD210" s="545"/>
      <c r="KGE210" s="545"/>
      <c r="KGF210" s="545"/>
      <c r="KGG210" s="545"/>
      <c r="KGH210" s="545"/>
      <c r="KGI210" s="545"/>
      <c r="KGJ210" s="545"/>
      <c r="KGK210" s="545"/>
      <c r="KGL210" s="545"/>
      <c r="KGM210" s="545"/>
      <c r="KGN210" s="545"/>
      <c r="KGO210" s="545"/>
      <c r="KGP210" s="545"/>
      <c r="KGQ210" s="545"/>
      <c r="KGR210" s="545"/>
      <c r="KGS210" s="545"/>
      <c r="KGT210" s="545"/>
      <c r="KGU210" s="545"/>
      <c r="KGV210" s="545"/>
      <c r="KGW210" s="545"/>
      <c r="KGX210" s="545"/>
      <c r="KGY210" s="545"/>
      <c r="KGZ210" s="545"/>
      <c r="KHA210" s="545"/>
      <c r="KHB210" s="545"/>
      <c r="KHC210" s="545"/>
      <c r="KHD210" s="545"/>
      <c r="KHE210" s="545"/>
      <c r="KHF210" s="545"/>
      <c r="KHG210" s="545"/>
      <c r="KHH210" s="545"/>
      <c r="KHI210" s="545"/>
      <c r="KHJ210" s="545"/>
      <c r="KHK210" s="545"/>
      <c r="KHL210" s="545"/>
      <c r="KHM210" s="545"/>
      <c r="KHN210" s="545"/>
      <c r="KHO210" s="545"/>
      <c r="KHP210" s="545"/>
      <c r="KHQ210" s="545"/>
      <c r="KHR210" s="545"/>
      <c r="KHS210" s="545"/>
      <c r="KHT210" s="545"/>
      <c r="KHU210" s="545"/>
      <c r="KHV210" s="545"/>
      <c r="KHW210" s="545"/>
      <c r="KHX210" s="545"/>
      <c r="KHY210" s="545"/>
      <c r="KHZ210" s="545"/>
      <c r="KIA210" s="545"/>
      <c r="KIB210" s="545"/>
      <c r="KIC210" s="545"/>
      <c r="KID210" s="545"/>
      <c r="KIE210" s="545"/>
      <c r="KIF210" s="545"/>
      <c r="KIG210" s="545"/>
      <c r="KIH210" s="545"/>
      <c r="KII210" s="545"/>
      <c r="KIJ210" s="545"/>
      <c r="KIK210" s="545"/>
      <c r="KIL210" s="545"/>
      <c r="KIM210" s="545"/>
      <c r="KIN210" s="545"/>
      <c r="KIO210" s="545"/>
      <c r="KIP210" s="545"/>
      <c r="KIQ210" s="545"/>
      <c r="KIR210" s="545"/>
      <c r="KIS210" s="545"/>
      <c r="KIT210" s="545"/>
      <c r="KIU210" s="545"/>
      <c r="KIV210" s="545"/>
      <c r="KIW210" s="545"/>
      <c r="KIX210" s="545"/>
      <c r="KIY210" s="545"/>
      <c r="KIZ210" s="545"/>
      <c r="KJA210" s="545"/>
      <c r="KJB210" s="545"/>
      <c r="KJC210" s="545"/>
      <c r="KJD210" s="545"/>
      <c r="KJE210" s="545"/>
      <c r="KJF210" s="545"/>
      <c r="KJG210" s="545"/>
      <c r="KJH210" s="545"/>
      <c r="KJI210" s="545"/>
      <c r="KJJ210" s="545"/>
      <c r="KJK210" s="545"/>
      <c r="KJL210" s="545"/>
      <c r="KJM210" s="545"/>
      <c r="KJN210" s="545"/>
      <c r="KJO210" s="545"/>
      <c r="KJP210" s="545"/>
      <c r="KJQ210" s="545"/>
      <c r="KJR210" s="545"/>
      <c r="KJS210" s="545"/>
      <c r="KJT210" s="545"/>
      <c r="KJU210" s="545"/>
      <c r="KJV210" s="545"/>
      <c r="KJW210" s="545"/>
      <c r="KJX210" s="545"/>
      <c r="KJY210" s="545"/>
      <c r="KJZ210" s="545"/>
      <c r="KKA210" s="545"/>
      <c r="KKB210" s="545"/>
      <c r="KKC210" s="545"/>
      <c r="KKD210" s="545"/>
      <c r="KKE210" s="545"/>
      <c r="KKF210" s="545"/>
      <c r="KKG210" s="545"/>
      <c r="KKH210" s="545"/>
      <c r="KKI210" s="545"/>
      <c r="KKJ210" s="545"/>
      <c r="KKK210" s="545"/>
      <c r="KKL210" s="545"/>
      <c r="KKM210" s="545"/>
      <c r="KKN210" s="545"/>
      <c r="KKO210" s="545"/>
      <c r="KKP210" s="545"/>
      <c r="KKQ210" s="545"/>
      <c r="KKR210" s="545"/>
      <c r="KKS210" s="545"/>
      <c r="KKT210" s="545"/>
      <c r="KKU210" s="545"/>
      <c r="KKV210" s="545"/>
      <c r="KKW210" s="545"/>
      <c r="KKX210" s="545"/>
      <c r="KKY210" s="545"/>
      <c r="KKZ210" s="545"/>
      <c r="KLA210" s="545"/>
      <c r="KLB210" s="545"/>
      <c r="KLC210" s="545"/>
      <c r="KLD210" s="545"/>
      <c r="KLE210" s="545"/>
      <c r="KLF210" s="545"/>
      <c r="KLG210" s="545"/>
      <c r="KLH210" s="545"/>
      <c r="KLI210" s="545"/>
      <c r="KLJ210" s="545"/>
      <c r="KLK210" s="545"/>
      <c r="KLL210" s="545"/>
      <c r="KLM210" s="545"/>
      <c r="KLN210" s="545"/>
      <c r="KLO210" s="545"/>
      <c r="KLP210" s="545"/>
      <c r="KLQ210" s="545"/>
      <c r="KLR210" s="545"/>
      <c r="KLS210" s="545"/>
      <c r="KLT210" s="545"/>
      <c r="KLU210" s="545"/>
      <c r="KLV210" s="545"/>
      <c r="KLW210" s="545"/>
      <c r="KLX210" s="545"/>
      <c r="KLY210" s="545"/>
      <c r="KLZ210" s="545"/>
      <c r="KMA210" s="545"/>
      <c r="KMB210" s="545"/>
      <c r="KMC210" s="545"/>
      <c r="KMD210" s="545"/>
      <c r="KME210" s="545"/>
      <c r="KMF210" s="545"/>
      <c r="KMG210" s="545"/>
      <c r="KMH210" s="545"/>
      <c r="KMI210" s="545"/>
      <c r="KMJ210" s="545"/>
      <c r="KMK210" s="545"/>
      <c r="KML210" s="545"/>
      <c r="KMM210" s="545"/>
      <c r="KMN210" s="545"/>
      <c r="KMO210" s="545"/>
      <c r="KMP210" s="545"/>
      <c r="KMQ210" s="545"/>
      <c r="KMR210" s="545"/>
      <c r="KMS210" s="545"/>
      <c r="KMT210" s="545"/>
      <c r="KMU210" s="545"/>
      <c r="KMV210" s="545"/>
      <c r="KMW210" s="545"/>
      <c r="KMX210" s="545"/>
      <c r="KMY210" s="545"/>
      <c r="KMZ210" s="545"/>
      <c r="KNA210" s="545"/>
      <c r="KNB210" s="545"/>
      <c r="KNC210" s="545"/>
      <c r="KND210" s="545"/>
      <c r="KNE210" s="545"/>
      <c r="KNF210" s="545"/>
      <c r="KNG210" s="545"/>
      <c r="KNH210" s="545"/>
      <c r="KNI210" s="545"/>
      <c r="KNJ210" s="545"/>
      <c r="KNK210" s="545"/>
      <c r="KNL210" s="545"/>
      <c r="KNM210" s="545"/>
      <c r="KNN210" s="545"/>
      <c r="KNO210" s="545"/>
      <c r="KNP210" s="545"/>
      <c r="KNQ210" s="545"/>
      <c r="KNR210" s="545"/>
      <c r="KNS210" s="545"/>
      <c r="KNT210" s="545"/>
      <c r="KNU210" s="545"/>
      <c r="KNV210" s="545"/>
      <c r="KNW210" s="545"/>
      <c r="KNX210" s="545"/>
      <c r="KNY210" s="545"/>
      <c r="KNZ210" s="545"/>
      <c r="KOA210" s="545"/>
      <c r="KOB210" s="545"/>
      <c r="KOC210" s="545"/>
      <c r="KOD210" s="545"/>
      <c r="KOE210" s="545"/>
      <c r="KOF210" s="545"/>
      <c r="KOG210" s="545"/>
      <c r="KOH210" s="545"/>
      <c r="KOI210" s="545"/>
      <c r="KOJ210" s="545"/>
      <c r="KOK210" s="545"/>
      <c r="KOL210" s="545"/>
      <c r="KOM210" s="545"/>
      <c r="KON210" s="545"/>
      <c r="KOO210" s="545"/>
      <c r="KOP210" s="545"/>
      <c r="KOQ210" s="545"/>
      <c r="KOR210" s="545"/>
      <c r="KOS210" s="545"/>
      <c r="KOT210" s="545"/>
      <c r="KOU210" s="545"/>
      <c r="KOV210" s="545"/>
      <c r="KOW210" s="545"/>
      <c r="KOX210" s="545"/>
      <c r="KOY210" s="545"/>
      <c r="KOZ210" s="545"/>
      <c r="KPA210" s="545"/>
      <c r="KPB210" s="545"/>
      <c r="KPC210" s="545"/>
      <c r="KPD210" s="545"/>
      <c r="KPE210" s="545"/>
      <c r="KPF210" s="545"/>
      <c r="KPG210" s="545"/>
      <c r="KPH210" s="545"/>
      <c r="KPI210" s="545"/>
      <c r="KPJ210" s="545"/>
      <c r="KPK210" s="545"/>
      <c r="KPL210" s="545"/>
      <c r="KPM210" s="545"/>
      <c r="KPN210" s="545"/>
      <c r="KPO210" s="545"/>
      <c r="KPP210" s="545"/>
      <c r="KPQ210" s="545"/>
      <c r="KPR210" s="545"/>
      <c r="KPS210" s="545"/>
      <c r="KPT210" s="545"/>
      <c r="KPU210" s="545"/>
      <c r="KPV210" s="545"/>
      <c r="KPW210" s="545"/>
      <c r="KPX210" s="545"/>
      <c r="KPY210" s="545"/>
      <c r="KPZ210" s="545"/>
      <c r="KQA210" s="545"/>
      <c r="KQB210" s="545"/>
      <c r="KQC210" s="545"/>
      <c r="KQD210" s="545"/>
      <c r="KQE210" s="545"/>
      <c r="KQF210" s="545"/>
      <c r="KQG210" s="545"/>
      <c r="KQH210" s="545"/>
      <c r="KQI210" s="545"/>
      <c r="KQJ210" s="545"/>
      <c r="KQK210" s="545"/>
      <c r="KQL210" s="545"/>
      <c r="KQM210" s="545"/>
      <c r="KQN210" s="545"/>
      <c r="KQO210" s="545"/>
      <c r="KQP210" s="545"/>
      <c r="KQQ210" s="545"/>
      <c r="KQR210" s="545"/>
      <c r="KQS210" s="545"/>
      <c r="KQT210" s="545"/>
      <c r="KQU210" s="545"/>
      <c r="KQV210" s="545"/>
      <c r="KQW210" s="545"/>
      <c r="KQX210" s="545"/>
      <c r="KQY210" s="545"/>
      <c r="KQZ210" s="545"/>
      <c r="KRA210" s="545"/>
      <c r="KRB210" s="545"/>
      <c r="KRC210" s="545"/>
      <c r="KRD210" s="545"/>
      <c r="KRE210" s="545"/>
      <c r="KRF210" s="545"/>
      <c r="KRG210" s="545"/>
      <c r="KRH210" s="545"/>
      <c r="KRI210" s="545"/>
      <c r="KRJ210" s="545"/>
      <c r="KRK210" s="545"/>
      <c r="KRL210" s="545"/>
      <c r="KRM210" s="545"/>
      <c r="KRN210" s="545"/>
      <c r="KRO210" s="545"/>
      <c r="KRP210" s="545"/>
      <c r="KRQ210" s="545"/>
      <c r="KRR210" s="545"/>
      <c r="KRS210" s="545"/>
      <c r="KRT210" s="545"/>
      <c r="KRU210" s="545"/>
      <c r="KRV210" s="545"/>
      <c r="KRW210" s="545"/>
      <c r="KRX210" s="545"/>
      <c r="KRY210" s="545"/>
      <c r="KRZ210" s="545"/>
      <c r="KSA210" s="545"/>
      <c r="KSB210" s="545"/>
      <c r="KSC210" s="545"/>
      <c r="KSD210" s="545"/>
      <c r="KSE210" s="545"/>
      <c r="KSF210" s="545"/>
      <c r="KSG210" s="545"/>
      <c r="KSH210" s="545"/>
      <c r="KSI210" s="545"/>
      <c r="KSJ210" s="545"/>
      <c r="KSK210" s="545"/>
      <c r="KSL210" s="545"/>
      <c r="KSM210" s="545"/>
      <c r="KSN210" s="545"/>
      <c r="KSO210" s="545"/>
      <c r="KSP210" s="545"/>
      <c r="KSQ210" s="545"/>
      <c r="KSR210" s="545"/>
      <c r="KSS210" s="545"/>
      <c r="KST210" s="545"/>
      <c r="KSU210" s="545"/>
      <c r="KSV210" s="545"/>
      <c r="KSW210" s="545"/>
      <c r="KSX210" s="545"/>
      <c r="KSY210" s="545"/>
      <c r="KSZ210" s="545"/>
      <c r="KTA210" s="545"/>
      <c r="KTB210" s="545"/>
      <c r="KTC210" s="545"/>
      <c r="KTD210" s="545"/>
      <c r="KTE210" s="545"/>
      <c r="KTF210" s="545"/>
      <c r="KTG210" s="545"/>
      <c r="KTH210" s="545"/>
      <c r="KTI210" s="545"/>
      <c r="KTJ210" s="545"/>
      <c r="KTK210" s="545"/>
      <c r="KTL210" s="545"/>
      <c r="KTM210" s="545"/>
      <c r="KTN210" s="545"/>
      <c r="KTO210" s="545"/>
      <c r="KTP210" s="545"/>
      <c r="KTQ210" s="545"/>
      <c r="KTR210" s="545"/>
      <c r="KTS210" s="545"/>
      <c r="KTT210" s="545"/>
      <c r="KTU210" s="545"/>
      <c r="KTV210" s="545"/>
      <c r="KTW210" s="545"/>
      <c r="KTX210" s="545"/>
      <c r="KTY210" s="545"/>
      <c r="KTZ210" s="545"/>
      <c r="KUA210" s="545"/>
      <c r="KUB210" s="545"/>
      <c r="KUC210" s="545"/>
      <c r="KUD210" s="545"/>
      <c r="KUE210" s="545"/>
      <c r="KUF210" s="545"/>
      <c r="KUG210" s="545"/>
      <c r="KUH210" s="545"/>
      <c r="KUI210" s="545"/>
      <c r="KUJ210" s="545"/>
      <c r="KUK210" s="545"/>
      <c r="KUL210" s="545"/>
      <c r="KUM210" s="545"/>
      <c r="KUN210" s="545"/>
      <c r="KUO210" s="545"/>
      <c r="KUP210" s="545"/>
      <c r="KUQ210" s="545"/>
      <c r="KUR210" s="545"/>
      <c r="KUS210" s="545"/>
      <c r="KUT210" s="545"/>
      <c r="KUU210" s="545"/>
      <c r="KUV210" s="545"/>
      <c r="KUW210" s="545"/>
      <c r="KUX210" s="545"/>
      <c r="KUY210" s="545"/>
      <c r="KUZ210" s="545"/>
      <c r="KVA210" s="545"/>
      <c r="KVB210" s="545"/>
      <c r="KVC210" s="545"/>
      <c r="KVD210" s="545"/>
      <c r="KVE210" s="545"/>
      <c r="KVF210" s="545"/>
      <c r="KVG210" s="545"/>
      <c r="KVH210" s="545"/>
      <c r="KVI210" s="545"/>
      <c r="KVJ210" s="545"/>
      <c r="KVK210" s="545"/>
      <c r="KVL210" s="545"/>
      <c r="KVM210" s="545"/>
      <c r="KVN210" s="545"/>
      <c r="KVO210" s="545"/>
      <c r="KVP210" s="545"/>
      <c r="KVQ210" s="545"/>
      <c r="KVR210" s="545"/>
      <c r="KVS210" s="545"/>
      <c r="KVT210" s="545"/>
      <c r="KVU210" s="545"/>
      <c r="KVV210" s="545"/>
      <c r="KVW210" s="545"/>
      <c r="KVX210" s="545"/>
      <c r="KVY210" s="545"/>
      <c r="KVZ210" s="545"/>
      <c r="KWA210" s="545"/>
      <c r="KWB210" s="545"/>
      <c r="KWC210" s="545"/>
      <c r="KWD210" s="545"/>
      <c r="KWE210" s="545"/>
      <c r="KWF210" s="545"/>
      <c r="KWG210" s="545"/>
      <c r="KWH210" s="545"/>
      <c r="KWI210" s="545"/>
      <c r="KWJ210" s="545"/>
      <c r="KWK210" s="545"/>
      <c r="KWL210" s="545"/>
      <c r="KWM210" s="545"/>
      <c r="KWN210" s="545"/>
      <c r="KWO210" s="545"/>
      <c r="KWP210" s="545"/>
      <c r="KWQ210" s="545"/>
      <c r="KWR210" s="545"/>
      <c r="KWS210" s="545"/>
      <c r="KWT210" s="545"/>
      <c r="KWU210" s="545"/>
      <c r="KWV210" s="545"/>
      <c r="KWW210" s="545"/>
      <c r="KWX210" s="545"/>
      <c r="KWY210" s="545"/>
      <c r="KWZ210" s="545"/>
      <c r="KXA210" s="545"/>
      <c r="KXB210" s="545"/>
      <c r="KXC210" s="545"/>
      <c r="KXD210" s="545"/>
      <c r="KXE210" s="545"/>
      <c r="KXF210" s="545"/>
      <c r="KXG210" s="545"/>
      <c r="KXH210" s="545"/>
      <c r="KXI210" s="545"/>
      <c r="KXJ210" s="545"/>
      <c r="KXK210" s="545"/>
      <c r="KXL210" s="545"/>
      <c r="KXM210" s="545"/>
      <c r="KXN210" s="545"/>
      <c r="KXO210" s="545"/>
      <c r="KXP210" s="545"/>
      <c r="KXQ210" s="545"/>
      <c r="KXR210" s="545"/>
      <c r="KXS210" s="545"/>
      <c r="KXT210" s="545"/>
      <c r="KXU210" s="545"/>
      <c r="KXV210" s="545"/>
      <c r="KXW210" s="545"/>
      <c r="KXX210" s="545"/>
      <c r="KXY210" s="545"/>
      <c r="KXZ210" s="545"/>
      <c r="KYA210" s="545"/>
      <c r="KYB210" s="545"/>
      <c r="KYC210" s="545"/>
      <c r="KYD210" s="545"/>
      <c r="KYE210" s="545"/>
      <c r="KYF210" s="545"/>
      <c r="KYG210" s="545"/>
      <c r="KYH210" s="545"/>
      <c r="KYI210" s="545"/>
      <c r="KYJ210" s="545"/>
      <c r="KYK210" s="545"/>
      <c r="KYL210" s="545"/>
      <c r="KYM210" s="545"/>
      <c r="KYN210" s="545"/>
      <c r="KYO210" s="545"/>
      <c r="KYP210" s="545"/>
      <c r="KYQ210" s="545"/>
      <c r="KYR210" s="545"/>
      <c r="KYS210" s="545"/>
      <c r="KYT210" s="545"/>
      <c r="KYU210" s="545"/>
      <c r="KYV210" s="545"/>
      <c r="KYW210" s="545"/>
      <c r="KYX210" s="545"/>
      <c r="KYY210" s="545"/>
      <c r="KYZ210" s="545"/>
      <c r="KZA210" s="545"/>
      <c r="KZB210" s="545"/>
      <c r="KZC210" s="545"/>
      <c r="KZD210" s="545"/>
      <c r="KZE210" s="545"/>
      <c r="KZF210" s="545"/>
      <c r="KZG210" s="545"/>
      <c r="KZH210" s="545"/>
      <c r="KZI210" s="545"/>
      <c r="KZJ210" s="545"/>
      <c r="KZK210" s="545"/>
      <c r="KZL210" s="545"/>
      <c r="KZM210" s="545"/>
      <c r="KZN210" s="545"/>
      <c r="KZO210" s="545"/>
      <c r="KZP210" s="545"/>
      <c r="KZQ210" s="545"/>
      <c r="KZR210" s="545"/>
      <c r="KZS210" s="545"/>
      <c r="KZT210" s="545"/>
      <c r="KZU210" s="545"/>
      <c r="KZV210" s="545"/>
      <c r="KZW210" s="545"/>
      <c r="KZX210" s="545"/>
      <c r="KZY210" s="545"/>
      <c r="KZZ210" s="545"/>
      <c r="LAA210" s="545"/>
      <c r="LAB210" s="545"/>
      <c r="LAC210" s="545"/>
      <c r="LAD210" s="545"/>
      <c r="LAE210" s="545"/>
      <c r="LAF210" s="545"/>
      <c r="LAG210" s="545"/>
      <c r="LAH210" s="545"/>
      <c r="LAI210" s="545"/>
      <c r="LAJ210" s="545"/>
      <c r="LAK210" s="545"/>
      <c r="LAL210" s="545"/>
      <c r="LAM210" s="545"/>
      <c r="LAN210" s="545"/>
      <c r="LAO210" s="545"/>
      <c r="LAP210" s="545"/>
      <c r="LAQ210" s="545"/>
      <c r="LAR210" s="545"/>
      <c r="LAS210" s="545"/>
      <c r="LAT210" s="545"/>
      <c r="LAU210" s="545"/>
      <c r="LAV210" s="545"/>
      <c r="LAW210" s="545"/>
      <c r="LAX210" s="545"/>
      <c r="LAY210" s="545"/>
      <c r="LAZ210" s="545"/>
      <c r="LBA210" s="545"/>
      <c r="LBB210" s="545"/>
      <c r="LBC210" s="545"/>
      <c r="LBD210" s="545"/>
      <c r="LBE210" s="545"/>
      <c r="LBF210" s="545"/>
      <c r="LBG210" s="545"/>
      <c r="LBH210" s="545"/>
      <c r="LBI210" s="545"/>
      <c r="LBJ210" s="545"/>
      <c r="LBK210" s="545"/>
      <c r="LBL210" s="545"/>
      <c r="LBM210" s="545"/>
      <c r="LBN210" s="545"/>
      <c r="LBO210" s="545"/>
      <c r="LBP210" s="545"/>
      <c r="LBQ210" s="545"/>
      <c r="LBR210" s="545"/>
      <c r="LBS210" s="545"/>
      <c r="LBT210" s="545"/>
      <c r="LBU210" s="545"/>
      <c r="LBV210" s="545"/>
      <c r="LBW210" s="545"/>
      <c r="LBX210" s="545"/>
      <c r="LBY210" s="545"/>
      <c r="LBZ210" s="545"/>
      <c r="LCA210" s="545"/>
      <c r="LCB210" s="545"/>
      <c r="LCC210" s="545"/>
      <c r="LCD210" s="545"/>
      <c r="LCE210" s="545"/>
      <c r="LCF210" s="545"/>
      <c r="LCG210" s="545"/>
      <c r="LCH210" s="545"/>
      <c r="LCI210" s="545"/>
      <c r="LCJ210" s="545"/>
      <c r="LCK210" s="545"/>
      <c r="LCL210" s="545"/>
      <c r="LCM210" s="545"/>
      <c r="LCN210" s="545"/>
      <c r="LCO210" s="545"/>
      <c r="LCP210" s="545"/>
      <c r="LCQ210" s="545"/>
      <c r="LCR210" s="545"/>
      <c r="LCS210" s="545"/>
      <c r="LCT210" s="545"/>
      <c r="LCU210" s="545"/>
      <c r="LCV210" s="545"/>
      <c r="LCW210" s="545"/>
      <c r="LCX210" s="545"/>
      <c r="LCY210" s="545"/>
      <c r="LCZ210" s="545"/>
      <c r="LDA210" s="545"/>
      <c r="LDB210" s="545"/>
      <c r="LDC210" s="545"/>
      <c r="LDD210" s="545"/>
      <c r="LDE210" s="545"/>
      <c r="LDF210" s="545"/>
      <c r="LDG210" s="545"/>
      <c r="LDH210" s="545"/>
      <c r="LDI210" s="545"/>
      <c r="LDJ210" s="545"/>
      <c r="LDK210" s="545"/>
      <c r="LDL210" s="545"/>
      <c r="LDM210" s="545"/>
      <c r="LDN210" s="545"/>
      <c r="LDO210" s="545"/>
      <c r="LDP210" s="545"/>
      <c r="LDQ210" s="545"/>
      <c r="LDR210" s="545"/>
      <c r="LDS210" s="545"/>
      <c r="LDT210" s="545"/>
      <c r="LDU210" s="545"/>
      <c r="LDV210" s="545"/>
      <c r="LDW210" s="545"/>
      <c r="LDX210" s="545"/>
      <c r="LDY210" s="545"/>
      <c r="LDZ210" s="545"/>
      <c r="LEA210" s="545"/>
      <c r="LEB210" s="545"/>
      <c r="LEC210" s="545"/>
      <c r="LED210" s="545"/>
      <c r="LEE210" s="545"/>
      <c r="LEF210" s="545"/>
      <c r="LEG210" s="545"/>
      <c r="LEH210" s="545"/>
      <c r="LEI210" s="545"/>
      <c r="LEJ210" s="545"/>
      <c r="LEK210" s="545"/>
      <c r="LEL210" s="545"/>
      <c r="LEM210" s="545"/>
      <c r="LEN210" s="545"/>
      <c r="LEO210" s="545"/>
      <c r="LEP210" s="545"/>
      <c r="LEQ210" s="545"/>
      <c r="LER210" s="545"/>
      <c r="LES210" s="545"/>
      <c r="LET210" s="545"/>
      <c r="LEU210" s="545"/>
      <c r="LEV210" s="545"/>
      <c r="LEW210" s="545"/>
      <c r="LEX210" s="545"/>
      <c r="LEY210" s="545"/>
      <c r="LEZ210" s="545"/>
      <c r="LFA210" s="545"/>
      <c r="LFB210" s="545"/>
      <c r="LFC210" s="545"/>
      <c r="LFD210" s="545"/>
      <c r="LFE210" s="545"/>
      <c r="LFF210" s="545"/>
      <c r="LFG210" s="545"/>
      <c r="LFH210" s="545"/>
      <c r="LFI210" s="545"/>
      <c r="LFJ210" s="545"/>
      <c r="LFK210" s="545"/>
      <c r="LFL210" s="545"/>
      <c r="LFM210" s="545"/>
      <c r="LFN210" s="545"/>
      <c r="LFO210" s="545"/>
      <c r="LFP210" s="545"/>
      <c r="LFQ210" s="545"/>
      <c r="LFR210" s="545"/>
      <c r="LFS210" s="545"/>
      <c r="LFT210" s="545"/>
      <c r="LFU210" s="545"/>
      <c r="LFV210" s="545"/>
      <c r="LFW210" s="545"/>
      <c r="LFX210" s="545"/>
      <c r="LFY210" s="545"/>
      <c r="LFZ210" s="545"/>
      <c r="LGA210" s="545"/>
      <c r="LGB210" s="545"/>
      <c r="LGC210" s="545"/>
      <c r="LGD210" s="545"/>
      <c r="LGE210" s="545"/>
      <c r="LGF210" s="545"/>
      <c r="LGG210" s="545"/>
      <c r="LGH210" s="545"/>
      <c r="LGI210" s="545"/>
      <c r="LGJ210" s="545"/>
      <c r="LGK210" s="545"/>
      <c r="LGL210" s="545"/>
      <c r="LGM210" s="545"/>
      <c r="LGN210" s="545"/>
      <c r="LGO210" s="545"/>
      <c r="LGP210" s="545"/>
      <c r="LGQ210" s="545"/>
      <c r="LGR210" s="545"/>
      <c r="LGS210" s="545"/>
      <c r="LGT210" s="545"/>
      <c r="LGU210" s="545"/>
      <c r="LGV210" s="545"/>
      <c r="LGW210" s="545"/>
      <c r="LGX210" s="545"/>
      <c r="LGY210" s="545"/>
      <c r="LGZ210" s="545"/>
      <c r="LHA210" s="545"/>
      <c r="LHB210" s="545"/>
      <c r="LHC210" s="545"/>
      <c r="LHD210" s="545"/>
      <c r="LHE210" s="545"/>
      <c r="LHF210" s="545"/>
      <c r="LHG210" s="545"/>
      <c r="LHH210" s="545"/>
      <c r="LHI210" s="545"/>
      <c r="LHJ210" s="545"/>
      <c r="LHK210" s="545"/>
      <c r="LHL210" s="545"/>
      <c r="LHM210" s="545"/>
      <c r="LHN210" s="545"/>
      <c r="LHO210" s="545"/>
      <c r="LHP210" s="545"/>
      <c r="LHQ210" s="545"/>
      <c r="LHR210" s="545"/>
      <c r="LHS210" s="545"/>
      <c r="LHT210" s="545"/>
      <c r="LHU210" s="545"/>
      <c r="LHV210" s="545"/>
      <c r="LHW210" s="545"/>
      <c r="LHX210" s="545"/>
      <c r="LHY210" s="545"/>
      <c r="LHZ210" s="545"/>
      <c r="LIA210" s="545"/>
      <c r="LIB210" s="545"/>
      <c r="LIC210" s="545"/>
      <c r="LID210" s="545"/>
      <c r="LIE210" s="545"/>
      <c r="LIF210" s="545"/>
      <c r="LIG210" s="545"/>
      <c r="LIH210" s="545"/>
      <c r="LII210" s="545"/>
      <c r="LIJ210" s="545"/>
      <c r="LIK210" s="545"/>
      <c r="LIL210" s="545"/>
      <c r="LIM210" s="545"/>
      <c r="LIN210" s="545"/>
      <c r="LIO210" s="545"/>
      <c r="LIP210" s="545"/>
      <c r="LIQ210" s="545"/>
      <c r="LIR210" s="545"/>
      <c r="LIS210" s="545"/>
      <c r="LIT210" s="545"/>
      <c r="LIU210" s="545"/>
      <c r="LIV210" s="545"/>
      <c r="LIW210" s="545"/>
      <c r="LIX210" s="545"/>
      <c r="LIY210" s="545"/>
      <c r="LIZ210" s="545"/>
      <c r="LJA210" s="545"/>
      <c r="LJB210" s="545"/>
      <c r="LJC210" s="545"/>
      <c r="LJD210" s="545"/>
      <c r="LJE210" s="545"/>
      <c r="LJF210" s="545"/>
      <c r="LJG210" s="545"/>
      <c r="LJH210" s="545"/>
      <c r="LJI210" s="545"/>
      <c r="LJJ210" s="545"/>
      <c r="LJK210" s="545"/>
      <c r="LJL210" s="545"/>
      <c r="LJM210" s="545"/>
      <c r="LJN210" s="545"/>
      <c r="LJO210" s="545"/>
      <c r="LJP210" s="545"/>
      <c r="LJQ210" s="545"/>
      <c r="LJR210" s="545"/>
      <c r="LJS210" s="545"/>
      <c r="LJT210" s="545"/>
      <c r="LJU210" s="545"/>
      <c r="LJV210" s="545"/>
      <c r="LJW210" s="545"/>
      <c r="LJX210" s="545"/>
      <c r="LJY210" s="545"/>
      <c r="LJZ210" s="545"/>
      <c r="LKA210" s="545"/>
      <c r="LKB210" s="545"/>
      <c r="LKC210" s="545"/>
      <c r="LKD210" s="545"/>
      <c r="LKE210" s="545"/>
      <c r="LKF210" s="545"/>
      <c r="LKG210" s="545"/>
      <c r="LKH210" s="545"/>
      <c r="LKI210" s="545"/>
      <c r="LKJ210" s="545"/>
      <c r="LKK210" s="545"/>
      <c r="LKL210" s="545"/>
      <c r="LKM210" s="545"/>
      <c r="LKN210" s="545"/>
      <c r="LKO210" s="545"/>
      <c r="LKP210" s="545"/>
      <c r="LKQ210" s="545"/>
      <c r="LKR210" s="545"/>
      <c r="LKS210" s="545"/>
      <c r="LKT210" s="545"/>
      <c r="LKU210" s="545"/>
      <c r="LKV210" s="545"/>
      <c r="LKW210" s="545"/>
      <c r="LKX210" s="545"/>
      <c r="LKY210" s="545"/>
      <c r="LKZ210" s="545"/>
      <c r="LLA210" s="545"/>
      <c r="LLB210" s="545"/>
      <c r="LLC210" s="545"/>
      <c r="LLD210" s="545"/>
      <c r="LLE210" s="545"/>
      <c r="LLF210" s="545"/>
      <c r="LLG210" s="545"/>
      <c r="LLH210" s="545"/>
      <c r="LLI210" s="545"/>
      <c r="LLJ210" s="545"/>
      <c r="LLK210" s="545"/>
      <c r="LLL210" s="545"/>
      <c r="LLM210" s="545"/>
      <c r="LLN210" s="545"/>
      <c r="LLO210" s="545"/>
      <c r="LLP210" s="545"/>
      <c r="LLQ210" s="545"/>
      <c r="LLR210" s="545"/>
      <c r="LLS210" s="545"/>
      <c r="LLT210" s="545"/>
      <c r="LLU210" s="545"/>
      <c r="LLV210" s="545"/>
      <c r="LLW210" s="545"/>
      <c r="LLX210" s="545"/>
      <c r="LLY210" s="545"/>
      <c r="LLZ210" s="545"/>
      <c r="LMA210" s="545"/>
      <c r="LMB210" s="545"/>
      <c r="LMC210" s="545"/>
      <c r="LMD210" s="545"/>
      <c r="LME210" s="545"/>
      <c r="LMF210" s="545"/>
      <c r="LMG210" s="545"/>
      <c r="LMH210" s="545"/>
      <c r="LMI210" s="545"/>
      <c r="LMJ210" s="545"/>
      <c r="LMK210" s="545"/>
      <c r="LML210" s="545"/>
      <c r="LMM210" s="545"/>
      <c r="LMN210" s="545"/>
      <c r="LMO210" s="545"/>
      <c r="LMP210" s="545"/>
      <c r="LMQ210" s="545"/>
      <c r="LMR210" s="545"/>
      <c r="LMS210" s="545"/>
      <c r="LMT210" s="545"/>
      <c r="LMU210" s="545"/>
      <c r="LMV210" s="545"/>
      <c r="LMW210" s="545"/>
      <c r="LMX210" s="545"/>
      <c r="LMY210" s="545"/>
      <c r="LMZ210" s="545"/>
      <c r="LNA210" s="545"/>
      <c r="LNB210" s="545"/>
      <c r="LNC210" s="545"/>
      <c r="LND210" s="545"/>
      <c r="LNE210" s="545"/>
      <c r="LNF210" s="545"/>
      <c r="LNG210" s="545"/>
      <c r="LNH210" s="545"/>
      <c r="LNI210" s="545"/>
      <c r="LNJ210" s="545"/>
      <c r="LNK210" s="545"/>
      <c r="LNL210" s="545"/>
      <c r="LNM210" s="545"/>
      <c r="LNN210" s="545"/>
      <c r="LNO210" s="545"/>
      <c r="LNP210" s="545"/>
      <c r="LNQ210" s="545"/>
      <c r="LNR210" s="545"/>
      <c r="LNS210" s="545"/>
      <c r="LNT210" s="545"/>
      <c r="LNU210" s="545"/>
      <c r="LNV210" s="545"/>
      <c r="LNW210" s="545"/>
      <c r="LNX210" s="545"/>
      <c r="LNY210" s="545"/>
      <c r="LNZ210" s="545"/>
      <c r="LOA210" s="545"/>
      <c r="LOB210" s="545"/>
      <c r="LOC210" s="545"/>
      <c r="LOD210" s="545"/>
      <c r="LOE210" s="545"/>
      <c r="LOF210" s="545"/>
      <c r="LOG210" s="545"/>
      <c r="LOH210" s="545"/>
      <c r="LOI210" s="545"/>
      <c r="LOJ210" s="545"/>
      <c r="LOK210" s="545"/>
      <c r="LOL210" s="545"/>
      <c r="LOM210" s="545"/>
      <c r="LON210" s="545"/>
      <c r="LOO210" s="545"/>
      <c r="LOP210" s="545"/>
      <c r="LOQ210" s="545"/>
      <c r="LOR210" s="545"/>
      <c r="LOS210" s="545"/>
      <c r="LOT210" s="545"/>
      <c r="LOU210" s="545"/>
      <c r="LOV210" s="545"/>
      <c r="LOW210" s="545"/>
      <c r="LOX210" s="545"/>
      <c r="LOY210" s="545"/>
      <c r="LOZ210" s="545"/>
      <c r="LPA210" s="545"/>
      <c r="LPB210" s="545"/>
      <c r="LPC210" s="545"/>
      <c r="LPD210" s="545"/>
      <c r="LPE210" s="545"/>
      <c r="LPF210" s="545"/>
      <c r="LPG210" s="545"/>
      <c r="LPH210" s="545"/>
      <c r="LPI210" s="545"/>
      <c r="LPJ210" s="545"/>
      <c r="LPK210" s="545"/>
      <c r="LPL210" s="545"/>
      <c r="LPM210" s="545"/>
      <c r="LPN210" s="545"/>
      <c r="LPO210" s="545"/>
      <c r="LPP210" s="545"/>
      <c r="LPQ210" s="545"/>
      <c r="LPR210" s="545"/>
      <c r="LPS210" s="545"/>
      <c r="LPT210" s="545"/>
      <c r="LPU210" s="545"/>
      <c r="LPV210" s="545"/>
      <c r="LPW210" s="545"/>
      <c r="LPX210" s="545"/>
      <c r="LPY210" s="545"/>
      <c r="LPZ210" s="545"/>
      <c r="LQA210" s="545"/>
      <c r="LQB210" s="545"/>
      <c r="LQC210" s="545"/>
      <c r="LQD210" s="545"/>
      <c r="LQE210" s="545"/>
      <c r="LQF210" s="545"/>
      <c r="LQG210" s="545"/>
      <c r="LQH210" s="545"/>
      <c r="LQI210" s="545"/>
      <c r="LQJ210" s="545"/>
      <c r="LQK210" s="545"/>
      <c r="LQL210" s="545"/>
      <c r="LQM210" s="545"/>
      <c r="LQN210" s="545"/>
      <c r="LQO210" s="545"/>
      <c r="LQP210" s="545"/>
      <c r="LQQ210" s="545"/>
      <c r="LQR210" s="545"/>
      <c r="LQS210" s="545"/>
      <c r="LQT210" s="545"/>
      <c r="LQU210" s="545"/>
      <c r="LQV210" s="545"/>
      <c r="LQW210" s="545"/>
      <c r="LQX210" s="545"/>
      <c r="LQY210" s="545"/>
      <c r="LQZ210" s="545"/>
      <c r="LRA210" s="545"/>
      <c r="LRB210" s="545"/>
      <c r="LRC210" s="545"/>
      <c r="LRD210" s="545"/>
      <c r="LRE210" s="545"/>
      <c r="LRF210" s="545"/>
      <c r="LRG210" s="545"/>
      <c r="LRH210" s="545"/>
      <c r="LRI210" s="545"/>
      <c r="LRJ210" s="545"/>
      <c r="LRK210" s="545"/>
      <c r="LRL210" s="545"/>
      <c r="LRM210" s="545"/>
      <c r="LRN210" s="545"/>
      <c r="LRO210" s="545"/>
      <c r="LRP210" s="545"/>
      <c r="LRQ210" s="545"/>
      <c r="LRR210" s="545"/>
      <c r="LRS210" s="545"/>
      <c r="LRT210" s="545"/>
      <c r="LRU210" s="545"/>
      <c r="LRV210" s="545"/>
      <c r="LRW210" s="545"/>
      <c r="LRX210" s="545"/>
      <c r="LRY210" s="545"/>
      <c r="LRZ210" s="545"/>
      <c r="LSA210" s="545"/>
      <c r="LSB210" s="545"/>
      <c r="LSC210" s="545"/>
      <c r="LSD210" s="545"/>
      <c r="LSE210" s="545"/>
      <c r="LSF210" s="545"/>
      <c r="LSG210" s="545"/>
      <c r="LSH210" s="545"/>
      <c r="LSI210" s="545"/>
      <c r="LSJ210" s="545"/>
      <c r="LSK210" s="545"/>
      <c r="LSL210" s="545"/>
      <c r="LSM210" s="545"/>
      <c r="LSN210" s="545"/>
      <c r="LSO210" s="545"/>
      <c r="LSP210" s="545"/>
      <c r="LSQ210" s="545"/>
      <c r="LSR210" s="545"/>
      <c r="LSS210" s="545"/>
      <c r="LST210" s="545"/>
      <c r="LSU210" s="545"/>
      <c r="LSV210" s="545"/>
      <c r="LSW210" s="545"/>
      <c r="LSX210" s="545"/>
      <c r="LSY210" s="545"/>
      <c r="LSZ210" s="545"/>
      <c r="LTA210" s="545"/>
      <c r="LTB210" s="545"/>
      <c r="LTC210" s="545"/>
      <c r="LTD210" s="545"/>
      <c r="LTE210" s="545"/>
      <c r="LTF210" s="545"/>
      <c r="LTG210" s="545"/>
      <c r="LTH210" s="545"/>
      <c r="LTI210" s="545"/>
      <c r="LTJ210" s="545"/>
      <c r="LTK210" s="545"/>
      <c r="LTL210" s="545"/>
      <c r="LTM210" s="545"/>
      <c r="LTN210" s="545"/>
      <c r="LTO210" s="545"/>
      <c r="LTP210" s="545"/>
      <c r="LTQ210" s="545"/>
      <c r="LTR210" s="545"/>
      <c r="LTS210" s="545"/>
      <c r="LTT210" s="545"/>
      <c r="LTU210" s="545"/>
      <c r="LTV210" s="545"/>
      <c r="LTW210" s="545"/>
      <c r="LTX210" s="545"/>
      <c r="LTY210" s="545"/>
      <c r="LTZ210" s="545"/>
      <c r="LUA210" s="545"/>
      <c r="LUB210" s="545"/>
      <c r="LUC210" s="545"/>
      <c r="LUD210" s="545"/>
      <c r="LUE210" s="545"/>
      <c r="LUF210" s="545"/>
      <c r="LUG210" s="545"/>
      <c r="LUH210" s="545"/>
      <c r="LUI210" s="545"/>
      <c r="LUJ210" s="545"/>
      <c r="LUK210" s="545"/>
      <c r="LUL210" s="545"/>
      <c r="LUM210" s="545"/>
      <c r="LUN210" s="545"/>
      <c r="LUO210" s="545"/>
      <c r="LUP210" s="545"/>
      <c r="LUQ210" s="545"/>
      <c r="LUR210" s="545"/>
      <c r="LUS210" s="545"/>
      <c r="LUT210" s="545"/>
      <c r="LUU210" s="545"/>
      <c r="LUV210" s="545"/>
      <c r="LUW210" s="545"/>
      <c r="LUX210" s="545"/>
      <c r="LUY210" s="545"/>
      <c r="LUZ210" s="545"/>
      <c r="LVA210" s="545"/>
      <c r="LVB210" s="545"/>
      <c r="LVC210" s="545"/>
      <c r="LVD210" s="545"/>
      <c r="LVE210" s="545"/>
      <c r="LVF210" s="545"/>
      <c r="LVG210" s="545"/>
      <c r="LVH210" s="545"/>
      <c r="LVI210" s="545"/>
      <c r="LVJ210" s="545"/>
      <c r="LVK210" s="545"/>
      <c r="LVL210" s="545"/>
      <c r="LVM210" s="545"/>
      <c r="LVN210" s="545"/>
      <c r="LVO210" s="545"/>
      <c r="LVP210" s="545"/>
      <c r="LVQ210" s="545"/>
      <c r="LVR210" s="545"/>
      <c r="LVS210" s="545"/>
      <c r="LVT210" s="545"/>
      <c r="LVU210" s="545"/>
      <c r="LVV210" s="545"/>
      <c r="LVW210" s="545"/>
      <c r="LVX210" s="545"/>
      <c r="LVY210" s="545"/>
      <c r="LVZ210" s="545"/>
      <c r="LWA210" s="545"/>
      <c r="LWB210" s="545"/>
      <c r="LWC210" s="545"/>
      <c r="LWD210" s="545"/>
      <c r="LWE210" s="545"/>
      <c r="LWF210" s="545"/>
      <c r="LWG210" s="545"/>
      <c r="LWH210" s="545"/>
      <c r="LWI210" s="545"/>
      <c r="LWJ210" s="545"/>
      <c r="LWK210" s="545"/>
      <c r="LWL210" s="545"/>
      <c r="LWM210" s="545"/>
      <c r="LWN210" s="545"/>
      <c r="LWO210" s="545"/>
      <c r="LWP210" s="545"/>
      <c r="LWQ210" s="545"/>
      <c r="LWR210" s="545"/>
      <c r="LWS210" s="545"/>
      <c r="LWT210" s="545"/>
      <c r="LWU210" s="545"/>
      <c r="LWV210" s="545"/>
      <c r="LWW210" s="545"/>
      <c r="LWX210" s="545"/>
      <c r="LWY210" s="545"/>
      <c r="LWZ210" s="545"/>
      <c r="LXA210" s="545"/>
      <c r="LXB210" s="545"/>
      <c r="LXC210" s="545"/>
      <c r="LXD210" s="545"/>
      <c r="LXE210" s="545"/>
      <c r="LXF210" s="545"/>
      <c r="LXG210" s="545"/>
      <c r="LXH210" s="545"/>
      <c r="LXI210" s="545"/>
      <c r="LXJ210" s="545"/>
      <c r="LXK210" s="545"/>
      <c r="LXL210" s="545"/>
      <c r="LXM210" s="545"/>
      <c r="LXN210" s="545"/>
      <c r="LXO210" s="545"/>
      <c r="LXP210" s="545"/>
      <c r="LXQ210" s="545"/>
      <c r="LXR210" s="545"/>
      <c r="LXS210" s="545"/>
      <c r="LXT210" s="545"/>
      <c r="LXU210" s="545"/>
      <c r="LXV210" s="545"/>
      <c r="LXW210" s="545"/>
      <c r="LXX210" s="545"/>
      <c r="LXY210" s="545"/>
      <c r="LXZ210" s="545"/>
      <c r="LYA210" s="545"/>
      <c r="LYB210" s="545"/>
      <c r="LYC210" s="545"/>
      <c r="LYD210" s="545"/>
      <c r="LYE210" s="545"/>
      <c r="LYF210" s="545"/>
      <c r="LYG210" s="545"/>
      <c r="LYH210" s="545"/>
      <c r="LYI210" s="545"/>
      <c r="LYJ210" s="545"/>
      <c r="LYK210" s="545"/>
      <c r="LYL210" s="545"/>
      <c r="LYM210" s="545"/>
      <c r="LYN210" s="545"/>
      <c r="LYO210" s="545"/>
      <c r="LYP210" s="545"/>
      <c r="LYQ210" s="545"/>
      <c r="LYR210" s="545"/>
      <c r="LYS210" s="545"/>
      <c r="LYT210" s="545"/>
      <c r="LYU210" s="545"/>
      <c r="LYV210" s="545"/>
      <c r="LYW210" s="545"/>
      <c r="LYX210" s="545"/>
      <c r="LYY210" s="545"/>
      <c r="LYZ210" s="545"/>
      <c r="LZA210" s="545"/>
      <c r="LZB210" s="545"/>
      <c r="LZC210" s="545"/>
      <c r="LZD210" s="545"/>
      <c r="LZE210" s="545"/>
      <c r="LZF210" s="545"/>
      <c r="LZG210" s="545"/>
      <c r="LZH210" s="545"/>
      <c r="LZI210" s="545"/>
      <c r="LZJ210" s="545"/>
      <c r="LZK210" s="545"/>
      <c r="LZL210" s="545"/>
      <c r="LZM210" s="545"/>
      <c r="LZN210" s="545"/>
      <c r="LZO210" s="545"/>
      <c r="LZP210" s="545"/>
      <c r="LZQ210" s="545"/>
      <c r="LZR210" s="545"/>
      <c r="LZS210" s="545"/>
      <c r="LZT210" s="545"/>
      <c r="LZU210" s="545"/>
      <c r="LZV210" s="545"/>
      <c r="LZW210" s="545"/>
      <c r="LZX210" s="545"/>
      <c r="LZY210" s="545"/>
      <c r="LZZ210" s="545"/>
      <c r="MAA210" s="545"/>
      <c r="MAB210" s="545"/>
      <c r="MAC210" s="545"/>
      <c r="MAD210" s="545"/>
      <c r="MAE210" s="545"/>
      <c r="MAF210" s="545"/>
      <c r="MAG210" s="545"/>
      <c r="MAH210" s="545"/>
      <c r="MAI210" s="545"/>
      <c r="MAJ210" s="545"/>
      <c r="MAK210" s="545"/>
      <c r="MAL210" s="545"/>
      <c r="MAM210" s="545"/>
      <c r="MAN210" s="545"/>
      <c r="MAO210" s="545"/>
      <c r="MAP210" s="545"/>
      <c r="MAQ210" s="545"/>
      <c r="MAR210" s="545"/>
      <c r="MAS210" s="545"/>
      <c r="MAT210" s="545"/>
      <c r="MAU210" s="545"/>
      <c r="MAV210" s="545"/>
      <c r="MAW210" s="545"/>
      <c r="MAX210" s="545"/>
      <c r="MAY210" s="545"/>
      <c r="MAZ210" s="545"/>
      <c r="MBA210" s="545"/>
      <c r="MBB210" s="545"/>
      <c r="MBC210" s="545"/>
      <c r="MBD210" s="545"/>
      <c r="MBE210" s="545"/>
      <c r="MBF210" s="545"/>
      <c r="MBG210" s="545"/>
      <c r="MBH210" s="545"/>
      <c r="MBI210" s="545"/>
      <c r="MBJ210" s="545"/>
      <c r="MBK210" s="545"/>
      <c r="MBL210" s="545"/>
      <c r="MBM210" s="545"/>
      <c r="MBN210" s="545"/>
      <c r="MBO210" s="545"/>
      <c r="MBP210" s="545"/>
      <c r="MBQ210" s="545"/>
      <c r="MBR210" s="545"/>
      <c r="MBS210" s="545"/>
      <c r="MBT210" s="545"/>
      <c r="MBU210" s="545"/>
      <c r="MBV210" s="545"/>
      <c r="MBW210" s="545"/>
      <c r="MBX210" s="545"/>
      <c r="MBY210" s="545"/>
      <c r="MBZ210" s="545"/>
      <c r="MCA210" s="545"/>
      <c r="MCB210" s="545"/>
      <c r="MCC210" s="545"/>
      <c r="MCD210" s="545"/>
      <c r="MCE210" s="545"/>
      <c r="MCF210" s="545"/>
      <c r="MCG210" s="545"/>
      <c r="MCH210" s="545"/>
      <c r="MCI210" s="545"/>
      <c r="MCJ210" s="545"/>
      <c r="MCK210" s="545"/>
      <c r="MCL210" s="545"/>
      <c r="MCM210" s="545"/>
      <c r="MCN210" s="545"/>
      <c r="MCO210" s="545"/>
      <c r="MCP210" s="545"/>
      <c r="MCQ210" s="545"/>
      <c r="MCR210" s="545"/>
      <c r="MCS210" s="545"/>
      <c r="MCT210" s="545"/>
      <c r="MCU210" s="545"/>
      <c r="MCV210" s="545"/>
      <c r="MCW210" s="545"/>
      <c r="MCX210" s="545"/>
      <c r="MCY210" s="545"/>
      <c r="MCZ210" s="545"/>
      <c r="MDA210" s="545"/>
      <c r="MDB210" s="545"/>
      <c r="MDC210" s="545"/>
      <c r="MDD210" s="545"/>
      <c r="MDE210" s="545"/>
      <c r="MDF210" s="545"/>
      <c r="MDG210" s="545"/>
      <c r="MDH210" s="545"/>
      <c r="MDI210" s="545"/>
      <c r="MDJ210" s="545"/>
      <c r="MDK210" s="545"/>
      <c r="MDL210" s="545"/>
      <c r="MDM210" s="545"/>
      <c r="MDN210" s="545"/>
      <c r="MDO210" s="545"/>
      <c r="MDP210" s="545"/>
      <c r="MDQ210" s="545"/>
      <c r="MDR210" s="545"/>
      <c r="MDS210" s="545"/>
      <c r="MDT210" s="545"/>
      <c r="MDU210" s="545"/>
      <c r="MDV210" s="545"/>
      <c r="MDW210" s="545"/>
      <c r="MDX210" s="545"/>
      <c r="MDY210" s="545"/>
      <c r="MDZ210" s="545"/>
      <c r="MEA210" s="545"/>
      <c r="MEB210" s="545"/>
      <c r="MEC210" s="545"/>
      <c r="MED210" s="545"/>
      <c r="MEE210" s="545"/>
      <c r="MEF210" s="545"/>
      <c r="MEG210" s="545"/>
      <c r="MEH210" s="545"/>
      <c r="MEI210" s="545"/>
      <c r="MEJ210" s="545"/>
      <c r="MEK210" s="545"/>
      <c r="MEL210" s="545"/>
      <c r="MEM210" s="545"/>
      <c r="MEN210" s="545"/>
      <c r="MEO210" s="545"/>
      <c r="MEP210" s="545"/>
      <c r="MEQ210" s="545"/>
      <c r="MER210" s="545"/>
      <c r="MES210" s="545"/>
      <c r="MET210" s="545"/>
      <c r="MEU210" s="545"/>
      <c r="MEV210" s="545"/>
      <c r="MEW210" s="545"/>
      <c r="MEX210" s="545"/>
      <c r="MEY210" s="545"/>
      <c r="MEZ210" s="545"/>
      <c r="MFA210" s="545"/>
      <c r="MFB210" s="545"/>
      <c r="MFC210" s="545"/>
      <c r="MFD210" s="545"/>
      <c r="MFE210" s="545"/>
      <c r="MFF210" s="545"/>
      <c r="MFG210" s="545"/>
      <c r="MFH210" s="545"/>
      <c r="MFI210" s="545"/>
      <c r="MFJ210" s="545"/>
      <c r="MFK210" s="545"/>
      <c r="MFL210" s="545"/>
      <c r="MFM210" s="545"/>
      <c r="MFN210" s="545"/>
      <c r="MFO210" s="545"/>
      <c r="MFP210" s="545"/>
      <c r="MFQ210" s="545"/>
      <c r="MFR210" s="545"/>
      <c r="MFS210" s="545"/>
      <c r="MFT210" s="545"/>
      <c r="MFU210" s="545"/>
      <c r="MFV210" s="545"/>
      <c r="MFW210" s="545"/>
      <c r="MFX210" s="545"/>
      <c r="MFY210" s="545"/>
      <c r="MFZ210" s="545"/>
      <c r="MGA210" s="545"/>
      <c r="MGB210" s="545"/>
      <c r="MGC210" s="545"/>
      <c r="MGD210" s="545"/>
      <c r="MGE210" s="545"/>
      <c r="MGF210" s="545"/>
      <c r="MGG210" s="545"/>
      <c r="MGH210" s="545"/>
      <c r="MGI210" s="545"/>
      <c r="MGJ210" s="545"/>
      <c r="MGK210" s="545"/>
      <c r="MGL210" s="545"/>
      <c r="MGM210" s="545"/>
      <c r="MGN210" s="545"/>
      <c r="MGO210" s="545"/>
      <c r="MGP210" s="545"/>
      <c r="MGQ210" s="545"/>
      <c r="MGR210" s="545"/>
      <c r="MGS210" s="545"/>
      <c r="MGT210" s="545"/>
      <c r="MGU210" s="545"/>
      <c r="MGV210" s="545"/>
      <c r="MGW210" s="545"/>
      <c r="MGX210" s="545"/>
      <c r="MGY210" s="545"/>
      <c r="MGZ210" s="545"/>
      <c r="MHA210" s="545"/>
      <c r="MHB210" s="545"/>
      <c r="MHC210" s="545"/>
      <c r="MHD210" s="545"/>
      <c r="MHE210" s="545"/>
      <c r="MHF210" s="545"/>
      <c r="MHG210" s="545"/>
      <c r="MHH210" s="545"/>
      <c r="MHI210" s="545"/>
      <c r="MHJ210" s="545"/>
      <c r="MHK210" s="545"/>
      <c r="MHL210" s="545"/>
      <c r="MHM210" s="545"/>
      <c r="MHN210" s="545"/>
      <c r="MHO210" s="545"/>
      <c r="MHP210" s="545"/>
      <c r="MHQ210" s="545"/>
      <c r="MHR210" s="545"/>
      <c r="MHS210" s="545"/>
      <c r="MHT210" s="545"/>
      <c r="MHU210" s="545"/>
      <c r="MHV210" s="545"/>
      <c r="MHW210" s="545"/>
      <c r="MHX210" s="545"/>
      <c r="MHY210" s="545"/>
      <c r="MHZ210" s="545"/>
      <c r="MIA210" s="545"/>
      <c r="MIB210" s="545"/>
      <c r="MIC210" s="545"/>
      <c r="MID210" s="545"/>
      <c r="MIE210" s="545"/>
      <c r="MIF210" s="545"/>
      <c r="MIG210" s="545"/>
      <c r="MIH210" s="545"/>
      <c r="MII210" s="545"/>
      <c r="MIJ210" s="545"/>
      <c r="MIK210" s="545"/>
      <c r="MIL210" s="545"/>
      <c r="MIM210" s="545"/>
      <c r="MIN210" s="545"/>
      <c r="MIO210" s="545"/>
      <c r="MIP210" s="545"/>
      <c r="MIQ210" s="545"/>
      <c r="MIR210" s="545"/>
      <c r="MIS210" s="545"/>
      <c r="MIT210" s="545"/>
      <c r="MIU210" s="545"/>
      <c r="MIV210" s="545"/>
      <c r="MIW210" s="545"/>
      <c r="MIX210" s="545"/>
      <c r="MIY210" s="545"/>
      <c r="MIZ210" s="545"/>
      <c r="MJA210" s="545"/>
      <c r="MJB210" s="545"/>
      <c r="MJC210" s="545"/>
      <c r="MJD210" s="545"/>
      <c r="MJE210" s="545"/>
      <c r="MJF210" s="545"/>
      <c r="MJG210" s="545"/>
      <c r="MJH210" s="545"/>
      <c r="MJI210" s="545"/>
      <c r="MJJ210" s="545"/>
      <c r="MJK210" s="545"/>
      <c r="MJL210" s="545"/>
      <c r="MJM210" s="545"/>
      <c r="MJN210" s="545"/>
      <c r="MJO210" s="545"/>
      <c r="MJP210" s="545"/>
      <c r="MJQ210" s="545"/>
      <c r="MJR210" s="545"/>
      <c r="MJS210" s="545"/>
      <c r="MJT210" s="545"/>
      <c r="MJU210" s="545"/>
      <c r="MJV210" s="545"/>
      <c r="MJW210" s="545"/>
      <c r="MJX210" s="545"/>
      <c r="MJY210" s="545"/>
      <c r="MJZ210" s="545"/>
      <c r="MKA210" s="545"/>
      <c r="MKB210" s="545"/>
      <c r="MKC210" s="545"/>
      <c r="MKD210" s="545"/>
      <c r="MKE210" s="545"/>
      <c r="MKF210" s="545"/>
      <c r="MKG210" s="545"/>
      <c r="MKH210" s="545"/>
      <c r="MKI210" s="545"/>
      <c r="MKJ210" s="545"/>
      <c r="MKK210" s="545"/>
      <c r="MKL210" s="545"/>
      <c r="MKM210" s="545"/>
      <c r="MKN210" s="545"/>
      <c r="MKO210" s="545"/>
      <c r="MKP210" s="545"/>
      <c r="MKQ210" s="545"/>
      <c r="MKR210" s="545"/>
      <c r="MKS210" s="545"/>
      <c r="MKT210" s="545"/>
      <c r="MKU210" s="545"/>
      <c r="MKV210" s="545"/>
      <c r="MKW210" s="545"/>
      <c r="MKX210" s="545"/>
      <c r="MKY210" s="545"/>
      <c r="MKZ210" s="545"/>
      <c r="MLA210" s="545"/>
      <c r="MLB210" s="545"/>
      <c r="MLC210" s="545"/>
      <c r="MLD210" s="545"/>
      <c r="MLE210" s="545"/>
      <c r="MLF210" s="545"/>
      <c r="MLG210" s="545"/>
      <c r="MLH210" s="545"/>
      <c r="MLI210" s="545"/>
      <c r="MLJ210" s="545"/>
      <c r="MLK210" s="545"/>
      <c r="MLL210" s="545"/>
      <c r="MLM210" s="545"/>
      <c r="MLN210" s="545"/>
      <c r="MLO210" s="545"/>
      <c r="MLP210" s="545"/>
      <c r="MLQ210" s="545"/>
      <c r="MLR210" s="545"/>
      <c r="MLS210" s="545"/>
      <c r="MLT210" s="545"/>
      <c r="MLU210" s="545"/>
      <c r="MLV210" s="545"/>
      <c r="MLW210" s="545"/>
      <c r="MLX210" s="545"/>
      <c r="MLY210" s="545"/>
      <c r="MLZ210" s="545"/>
      <c r="MMA210" s="545"/>
      <c r="MMB210" s="545"/>
      <c r="MMC210" s="545"/>
      <c r="MMD210" s="545"/>
      <c r="MME210" s="545"/>
      <c r="MMF210" s="545"/>
      <c r="MMG210" s="545"/>
      <c r="MMH210" s="545"/>
      <c r="MMI210" s="545"/>
      <c r="MMJ210" s="545"/>
      <c r="MMK210" s="545"/>
      <c r="MML210" s="545"/>
      <c r="MMM210" s="545"/>
      <c r="MMN210" s="545"/>
      <c r="MMO210" s="545"/>
      <c r="MMP210" s="545"/>
      <c r="MMQ210" s="545"/>
      <c r="MMR210" s="545"/>
      <c r="MMS210" s="545"/>
      <c r="MMT210" s="545"/>
      <c r="MMU210" s="545"/>
      <c r="MMV210" s="545"/>
      <c r="MMW210" s="545"/>
      <c r="MMX210" s="545"/>
      <c r="MMY210" s="545"/>
      <c r="MMZ210" s="545"/>
      <c r="MNA210" s="545"/>
      <c r="MNB210" s="545"/>
      <c r="MNC210" s="545"/>
      <c r="MND210" s="545"/>
      <c r="MNE210" s="545"/>
      <c r="MNF210" s="545"/>
      <c r="MNG210" s="545"/>
      <c r="MNH210" s="545"/>
      <c r="MNI210" s="545"/>
      <c r="MNJ210" s="545"/>
      <c r="MNK210" s="545"/>
      <c r="MNL210" s="545"/>
      <c r="MNM210" s="545"/>
      <c r="MNN210" s="545"/>
      <c r="MNO210" s="545"/>
      <c r="MNP210" s="545"/>
      <c r="MNQ210" s="545"/>
      <c r="MNR210" s="545"/>
      <c r="MNS210" s="545"/>
      <c r="MNT210" s="545"/>
      <c r="MNU210" s="545"/>
      <c r="MNV210" s="545"/>
      <c r="MNW210" s="545"/>
      <c r="MNX210" s="545"/>
      <c r="MNY210" s="545"/>
      <c r="MNZ210" s="545"/>
      <c r="MOA210" s="545"/>
      <c r="MOB210" s="545"/>
      <c r="MOC210" s="545"/>
      <c r="MOD210" s="545"/>
      <c r="MOE210" s="545"/>
      <c r="MOF210" s="545"/>
      <c r="MOG210" s="545"/>
      <c r="MOH210" s="545"/>
      <c r="MOI210" s="545"/>
      <c r="MOJ210" s="545"/>
      <c r="MOK210" s="545"/>
      <c r="MOL210" s="545"/>
      <c r="MOM210" s="545"/>
      <c r="MON210" s="545"/>
      <c r="MOO210" s="545"/>
      <c r="MOP210" s="545"/>
      <c r="MOQ210" s="545"/>
      <c r="MOR210" s="545"/>
      <c r="MOS210" s="545"/>
      <c r="MOT210" s="545"/>
      <c r="MOU210" s="545"/>
      <c r="MOV210" s="545"/>
      <c r="MOW210" s="545"/>
      <c r="MOX210" s="545"/>
      <c r="MOY210" s="545"/>
      <c r="MOZ210" s="545"/>
      <c r="MPA210" s="545"/>
      <c r="MPB210" s="545"/>
      <c r="MPC210" s="545"/>
      <c r="MPD210" s="545"/>
      <c r="MPE210" s="545"/>
      <c r="MPF210" s="545"/>
      <c r="MPG210" s="545"/>
      <c r="MPH210" s="545"/>
      <c r="MPI210" s="545"/>
      <c r="MPJ210" s="545"/>
      <c r="MPK210" s="545"/>
      <c r="MPL210" s="545"/>
      <c r="MPM210" s="545"/>
      <c r="MPN210" s="545"/>
      <c r="MPO210" s="545"/>
      <c r="MPP210" s="545"/>
      <c r="MPQ210" s="545"/>
      <c r="MPR210" s="545"/>
      <c r="MPS210" s="545"/>
      <c r="MPT210" s="545"/>
      <c r="MPU210" s="545"/>
      <c r="MPV210" s="545"/>
      <c r="MPW210" s="545"/>
      <c r="MPX210" s="545"/>
      <c r="MPY210" s="545"/>
      <c r="MPZ210" s="545"/>
      <c r="MQA210" s="545"/>
      <c r="MQB210" s="545"/>
      <c r="MQC210" s="545"/>
      <c r="MQD210" s="545"/>
      <c r="MQE210" s="545"/>
      <c r="MQF210" s="545"/>
      <c r="MQG210" s="545"/>
      <c r="MQH210" s="545"/>
      <c r="MQI210" s="545"/>
      <c r="MQJ210" s="545"/>
      <c r="MQK210" s="545"/>
      <c r="MQL210" s="545"/>
      <c r="MQM210" s="545"/>
      <c r="MQN210" s="545"/>
      <c r="MQO210" s="545"/>
      <c r="MQP210" s="545"/>
      <c r="MQQ210" s="545"/>
      <c r="MQR210" s="545"/>
      <c r="MQS210" s="545"/>
      <c r="MQT210" s="545"/>
      <c r="MQU210" s="545"/>
      <c r="MQV210" s="545"/>
      <c r="MQW210" s="545"/>
      <c r="MQX210" s="545"/>
      <c r="MQY210" s="545"/>
      <c r="MQZ210" s="545"/>
      <c r="MRA210" s="545"/>
      <c r="MRB210" s="545"/>
      <c r="MRC210" s="545"/>
      <c r="MRD210" s="545"/>
      <c r="MRE210" s="545"/>
      <c r="MRF210" s="545"/>
      <c r="MRG210" s="545"/>
      <c r="MRH210" s="545"/>
      <c r="MRI210" s="545"/>
      <c r="MRJ210" s="545"/>
      <c r="MRK210" s="545"/>
      <c r="MRL210" s="545"/>
      <c r="MRM210" s="545"/>
      <c r="MRN210" s="545"/>
      <c r="MRO210" s="545"/>
      <c r="MRP210" s="545"/>
      <c r="MRQ210" s="545"/>
      <c r="MRR210" s="545"/>
      <c r="MRS210" s="545"/>
      <c r="MRT210" s="545"/>
      <c r="MRU210" s="545"/>
      <c r="MRV210" s="545"/>
      <c r="MRW210" s="545"/>
      <c r="MRX210" s="545"/>
      <c r="MRY210" s="545"/>
      <c r="MRZ210" s="545"/>
      <c r="MSA210" s="545"/>
      <c r="MSB210" s="545"/>
      <c r="MSC210" s="545"/>
      <c r="MSD210" s="545"/>
      <c r="MSE210" s="545"/>
      <c r="MSF210" s="545"/>
      <c r="MSG210" s="545"/>
      <c r="MSH210" s="545"/>
      <c r="MSI210" s="545"/>
      <c r="MSJ210" s="545"/>
      <c r="MSK210" s="545"/>
      <c r="MSL210" s="545"/>
      <c r="MSM210" s="545"/>
      <c r="MSN210" s="545"/>
      <c r="MSO210" s="545"/>
      <c r="MSP210" s="545"/>
      <c r="MSQ210" s="545"/>
      <c r="MSR210" s="545"/>
      <c r="MSS210" s="545"/>
      <c r="MST210" s="545"/>
      <c r="MSU210" s="545"/>
      <c r="MSV210" s="545"/>
      <c r="MSW210" s="545"/>
      <c r="MSX210" s="545"/>
      <c r="MSY210" s="545"/>
      <c r="MSZ210" s="545"/>
      <c r="MTA210" s="545"/>
      <c r="MTB210" s="545"/>
      <c r="MTC210" s="545"/>
      <c r="MTD210" s="545"/>
      <c r="MTE210" s="545"/>
      <c r="MTF210" s="545"/>
      <c r="MTG210" s="545"/>
      <c r="MTH210" s="545"/>
      <c r="MTI210" s="545"/>
      <c r="MTJ210" s="545"/>
      <c r="MTK210" s="545"/>
      <c r="MTL210" s="545"/>
      <c r="MTM210" s="545"/>
      <c r="MTN210" s="545"/>
      <c r="MTO210" s="545"/>
      <c r="MTP210" s="545"/>
      <c r="MTQ210" s="545"/>
      <c r="MTR210" s="545"/>
      <c r="MTS210" s="545"/>
      <c r="MTT210" s="545"/>
      <c r="MTU210" s="545"/>
      <c r="MTV210" s="545"/>
      <c r="MTW210" s="545"/>
      <c r="MTX210" s="545"/>
      <c r="MTY210" s="545"/>
      <c r="MTZ210" s="545"/>
      <c r="MUA210" s="545"/>
      <c r="MUB210" s="545"/>
      <c r="MUC210" s="545"/>
      <c r="MUD210" s="545"/>
      <c r="MUE210" s="545"/>
      <c r="MUF210" s="545"/>
      <c r="MUG210" s="545"/>
      <c r="MUH210" s="545"/>
      <c r="MUI210" s="545"/>
      <c r="MUJ210" s="545"/>
      <c r="MUK210" s="545"/>
      <c r="MUL210" s="545"/>
      <c r="MUM210" s="545"/>
      <c r="MUN210" s="545"/>
      <c r="MUO210" s="545"/>
      <c r="MUP210" s="545"/>
      <c r="MUQ210" s="545"/>
      <c r="MUR210" s="545"/>
      <c r="MUS210" s="545"/>
      <c r="MUT210" s="545"/>
      <c r="MUU210" s="545"/>
      <c r="MUV210" s="545"/>
      <c r="MUW210" s="545"/>
      <c r="MUX210" s="545"/>
      <c r="MUY210" s="545"/>
      <c r="MUZ210" s="545"/>
      <c r="MVA210" s="545"/>
      <c r="MVB210" s="545"/>
      <c r="MVC210" s="545"/>
      <c r="MVD210" s="545"/>
      <c r="MVE210" s="545"/>
      <c r="MVF210" s="545"/>
      <c r="MVG210" s="545"/>
      <c r="MVH210" s="545"/>
      <c r="MVI210" s="545"/>
      <c r="MVJ210" s="545"/>
      <c r="MVK210" s="545"/>
      <c r="MVL210" s="545"/>
      <c r="MVM210" s="545"/>
      <c r="MVN210" s="545"/>
      <c r="MVO210" s="545"/>
      <c r="MVP210" s="545"/>
      <c r="MVQ210" s="545"/>
      <c r="MVR210" s="545"/>
      <c r="MVS210" s="545"/>
      <c r="MVT210" s="545"/>
      <c r="MVU210" s="545"/>
      <c r="MVV210" s="545"/>
      <c r="MVW210" s="545"/>
      <c r="MVX210" s="545"/>
      <c r="MVY210" s="545"/>
      <c r="MVZ210" s="545"/>
      <c r="MWA210" s="545"/>
      <c r="MWB210" s="545"/>
      <c r="MWC210" s="545"/>
      <c r="MWD210" s="545"/>
      <c r="MWE210" s="545"/>
      <c r="MWF210" s="545"/>
      <c r="MWG210" s="545"/>
      <c r="MWH210" s="545"/>
      <c r="MWI210" s="545"/>
      <c r="MWJ210" s="545"/>
      <c r="MWK210" s="545"/>
      <c r="MWL210" s="545"/>
      <c r="MWM210" s="545"/>
      <c r="MWN210" s="545"/>
      <c r="MWO210" s="545"/>
      <c r="MWP210" s="545"/>
      <c r="MWQ210" s="545"/>
      <c r="MWR210" s="545"/>
      <c r="MWS210" s="545"/>
      <c r="MWT210" s="545"/>
      <c r="MWU210" s="545"/>
      <c r="MWV210" s="545"/>
      <c r="MWW210" s="545"/>
      <c r="MWX210" s="545"/>
      <c r="MWY210" s="545"/>
      <c r="MWZ210" s="545"/>
      <c r="MXA210" s="545"/>
      <c r="MXB210" s="545"/>
      <c r="MXC210" s="545"/>
      <c r="MXD210" s="545"/>
      <c r="MXE210" s="545"/>
      <c r="MXF210" s="545"/>
      <c r="MXG210" s="545"/>
      <c r="MXH210" s="545"/>
      <c r="MXI210" s="545"/>
      <c r="MXJ210" s="545"/>
      <c r="MXK210" s="545"/>
      <c r="MXL210" s="545"/>
      <c r="MXM210" s="545"/>
      <c r="MXN210" s="545"/>
      <c r="MXO210" s="545"/>
      <c r="MXP210" s="545"/>
      <c r="MXQ210" s="545"/>
      <c r="MXR210" s="545"/>
      <c r="MXS210" s="545"/>
      <c r="MXT210" s="545"/>
      <c r="MXU210" s="545"/>
      <c r="MXV210" s="545"/>
      <c r="MXW210" s="545"/>
      <c r="MXX210" s="545"/>
      <c r="MXY210" s="545"/>
      <c r="MXZ210" s="545"/>
      <c r="MYA210" s="545"/>
      <c r="MYB210" s="545"/>
      <c r="MYC210" s="545"/>
      <c r="MYD210" s="545"/>
      <c r="MYE210" s="545"/>
      <c r="MYF210" s="545"/>
      <c r="MYG210" s="545"/>
      <c r="MYH210" s="545"/>
      <c r="MYI210" s="545"/>
      <c r="MYJ210" s="545"/>
      <c r="MYK210" s="545"/>
      <c r="MYL210" s="545"/>
      <c r="MYM210" s="545"/>
      <c r="MYN210" s="545"/>
      <c r="MYO210" s="545"/>
      <c r="MYP210" s="545"/>
      <c r="MYQ210" s="545"/>
      <c r="MYR210" s="545"/>
      <c r="MYS210" s="545"/>
      <c r="MYT210" s="545"/>
      <c r="MYU210" s="545"/>
      <c r="MYV210" s="545"/>
      <c r="MYW210" s="545"/>
      <c r="MYX210" s="545"/>
      <c r="MYY210" s="545"/>
      <c r="MYZ210" s="545"/>
      <c r="MZA210" s="545"/>
      <c r="MZB210" s="545"/>
      <c r="MZC210" s="545"/>
      <c r="MZD210" s="545"/>
      <c r="MZE210" s="545"/>
      <c r="MZF210" s="545"/>
      <c r="MZG210" s="545"/>
      <c r="MZH210" s="545"/>
      <c r="MZI210" s="545"/>
      <c r="MZJ210" s="545"/>
      <c r="MZK210" s="545"/>
      <c r="MZL210" s="545"/>
      <c r="MZM210" s="545"/>
      <c r="MZN210" s="545"/>
      <c r="MZO210" s="545"/>
      <c r="MZP210" s="545"/>
      <c r="MZQ210" s="545"/>
      <c r="MZR210" s="545"/>
      <c r="MZS210" s="545"/>
      <c r="MZT210" s="545"/>
      <c r="MZU210" s="545"/>
      <c r="MZV210" s="545"/>
      <c r="MZW210" s="545"/>
      <c r="MZX210" s="545"/>
      <c r="MZY210" s="545"/>
      <c r="MZZ210" s="545"/>
      <c r="NAA210" s="545"/>
      <c r="NAB210" s="545"/>
      <c r="NAC210" s="545"/>
      <c r="NAD210" s="545"/>
      <c r="NAE210" s="545"/>
      <c r="NAF210" s="545"/>
      <c r="NAG210" s="545"/>
      <c r="NAH210" s="545"/>
      <c r="NAI210" s="545"/>
      <c r="NAJ210" s="545"/>
      <c r="NAK210" s="545"/>
      <c r="NAL210" s="545"/>
      <c r="NAM210" s="545"/>
      <c r="NAN210" s="545"/>
      <c r="NAO210" s="545"/>
      <c r="NAP210" s="545"/>
      <c r="NAQ210" s="545"/>
      <c r="NAR210" s="545"/>
      <c r="NAS210" s="545"/>
      <c r="NAT210" s="545"/>
      <c r="NAU210" s="545"/>
      <c r="NAV210" s="545"/>
      <c r="NAW210" s="545"/>
      <c r="NAX210" s="545"/>
      <c r="NAY210" s="545"/>
      <c r="NAZ210" s="545"/>
      <c r="NBA210" s="545"/>
      <c r="NBB210" s="545"/>
      <c r="NBC210" s="545"/>
      <c r="NBD210" s="545"/>
      <c r="NBE210" s="545"/>
      <c r="NBF210" s="545"/>
      <c r="NBG210" s="545"/>
      <c r="NBH210" s="545"/>
      <c r="NBI210" s="545"/>
      <c r="NBJ210" s="545"/>
      <c r="NBK210" s="545"/>
      <c r="NBL210" s="545"/>
      <c r="NBM210" s="545"/>
      <c r="NBN210" s="545"/>
      <c r="NBO210" s="545"/>
      <c r="NBP210" s="545"/>
      <c r="NBQ210" s="545"/>
      <c r="NBR210" s="545"/>
      <c r="NBS210" s="545"/>
      <c r="NBT210" s="545"/>
      <c r="NBU210" s="545"/>
      <c r="NBV210" s="545"/>
      <c r="NBW210" s="545"/>
      <c r="NBX210" s="545"/>
      <c r="NBY210" s="545"/>
      <c r="NBZ210" s="545"/>
      <c r="NCA210" s="545"/>
      <c r="NCB210" s="545"/>
      <c r="NCC210" s="545"/>
      <c r="NCD210" s="545"/>
      <c r="NCE210" s="545"/>
      <c r="NCF210" s="545"/>
      <c r="NCG210" s="545"/>
      <c r="NCH210" s="545"/>
      <c r="NCI210" s="545"/>
      <c r="NCJ210" s="545"/>
      <c r="NCK210" s="545"/>
      <c r="NCL210" s="545"/>
      <c r="NCM210" s="545"/>
      <c r="NCN210" s="545"/>
      <c r="NCO210" s="545"/>
      <c r="NCP210" s="545"/>
      <c r="NCQ210" s="545"/>
      <c r="NCR210" s="545"/>
      <c r="NCS210" s="545"/>
      <c r="NCT210" s="545"/>
      <c r="NCU210" s="545"/>
      <c r="NCV210" s="545"/>
      <c r="NCW210" s="545"/>
      <c r="NCX210" s="545"/>
      <c r="NCY210" s="545"/>
      <c r="NCZ210" s="545"/>
      <c r="NDA210" s="545"/>
      <c r="NDB210" s="545"/>
      <c r="NDC210" s="545"/>
      <c r="NDD210" s="545"/>
      <c r="NDE210" s="545"/>
      <c r="NDF210" s="545"/>
      <c r="NDG210" s="545"/>
      <c r="NDH210" s="545"/>
      <c r="NDI210" s="545"/>
      <c r="NDJ210" s="545"/>
      <c r="NDK210" s="545"/>
      <c r="NDL210" s="545"/>
      <c r="NDM210" s="545"/>
      <c r="NDN210" s="545"/>
      <c r="NDO210" s="545"/>
      <c r="NDP210" s="545"/>
      <c r="NDQ210" s="545"/>
      <c r="NDR210" s="545"/>
      <c r="NDS210" s="545"/>
      <c r="NDT210" s="545"/>
      <c r="NDU210" s="545"/>
      <c r="NDV210" s="545"/>
      <c r="NDW210" s="545"/>
      <c r="NDX210" s="545"/>
      <c r="NDY210" s="545"/>
      <c r="NDZ210" s="545"/>
      <c r="NEA210" s="545"/>
      <c r="NEB210" s="545"/>
      <c r="NEC210" s="545"/>
      <c r="NED210" s="545"/>
      <c r="NEE210" s="545"/>
      <c r="NEF210" s="545"/>
      <c r="NEG210" s="545"/>
      <c r="NEH210" s="545"/>
      <c r="NEI210" s="545"/>
      <c r="NEJ210" s="545"/>
      <c r="NEK210" s="545"/>
      <c r="NEL210" s="545"/>
      <c r="NEM210" s="545"/>
      <c r="NEN210" s="545"/>
      <c r="NEO210" s="545"/>
      <c r="NEP210" s="545"/>
      <c r="NEQ210" s="545"/>
      <c r="NER210" s="545"/>
      <c r="NES210" s="545"/>
      <c r="NET210" s="545"/>
      <c r="NEU210" s="545"/>
      <c r="NEV210" s="545"/>
      <c r="NEW210" s="545"/>
      <c r="NEX210" s="545"/>
      <c r="NEY210" s="545"/>
      <c r="NEZ210" s="545"/>
      <c r="NFA210" s="545"/>
      <c r="NFB210" s="545"/>
      <c r="NFC210" s="545"/>
      <c r="NFD210" s="545"/>
      <c r="NFE210" s="545"/>
      <c r="NFF210" s="545"/>
      <c r="NFG210" s="545"/>
      <c r="NFH210" s="545"/>
      <c r="NFI210" s="545"/>
      <c r="NFJ210" s="545"/>
      <c r="NFK210" s="545"/>
      <c r="NFL210" s="545"/>
      <c r="NFM210" s="545"/>
      <c r="NFN210" s="545"/>
      <c r="NFO210" s="545"/>
      <c r="NFP210" s="545"/>
      <c r="NFQ210" s="545"/>
      <c r="NFR210" s="545"/>
      <c r="NFS210" s="545"/>
      <c r="NFT210" s="545"/>
      <c r="NFU210" s="545"/>
      <c r="NFV210" s="545"/>
      <c r="NFW210" s="545"/>
      <c r="NFX210" s="545"/>
      <c r="NFY210" s="545"/>
      <c r="NFZ210" s="545"/>
      <c r="NGA210" s="545"/>
      <c r="NGB210" s="545"/>
      <c r="NGC210" s="545"/>
      <c r="NGD210" s="545"/>
      <c r="NGE210" s="545"/>
      <c r="NGF210" s="545"/>
      <c r="NGG210" s="545"/>
      <c r="NGH210" s="545"/>
      <c r="NGI210" s="545"/>
      <c r="NGJ210" s="545"/>
      <c r="NGK210" s="545"/>
      <c r="NGL210" s="545"/>
      <c r="NGM210" s="545"/>
      <c r="NGN210" s="545"/>
      <c r="NGO210" s="545"/>
      <c r="NGP210" s="545"/>
      <c r="NGQ210" s="545"/>
      <c r="NGR210" s="545"/>
      <c r="NGS210" s="545"/>
      <c r="NGT210" s="545"/>
      <c r="NGU210" s="545"/>
      <c r="NGV210" s="545"/>
      <c r="NGW210" s="545"/>
      <c r="NGX210" s="545"/>
      <c r="NGY210" s="545"/>
      <c r="NGZ210" s="545"/>
      <c r="NHA210" s="545"/>
      <c r="NHB210" s="545"/>
      <c r="NHC210" s="545"/>
      <c r="NHD210" s="545"/>
      <c r="NHE210" s="545"/>
      <c r="NHF210" s="545"/>
      <c r="NHG210" s="545"/>
      <c r="NHH210" s="545"/>
      <c r="NHI210" s="545"/>
      <c r="NHJ210" s="545"/>
      <c r="NHK210" s="545"/>
      <c r="NHL210" s="545"/>
      <c r="NHM210" s="545"/>
      <c r="NHN210" s="545"/>
      <c r="NHO210" s="545"/>
      <c r="NHP210" s="545"/>
      <c r="NHQ210" s="545"/>
      <c r="NHR210" s="545"/>
      <c r="NHS210" s="545"/>
      <c r="NHT210" s="545"/>
      <c r="NHU210" s="545"/>
      <c r="NHV210" s="545"/>
      <c r="NHW210" s="545"/>
      <c r="NHX210" s="545"/>
      <c r="NHY210" s="545"/>
      <c r="NHZ210" s="545"/>
      <c r="NIA210" s="545"/>
      <c r="NIB210" s="545"/>
      <c r="NIC210" s="545"/>
      <c r="NID210" s="545"/>
      <c r="NIE210" s="545"/>
      <c r="NIF210" s="545"/>
      <c r="NIG210" s="545"/>
      <c r="NIH210" s="545"/>
      <c r="NII210" s="545"/>
      <c r="NIJ210" s="545"/>
      <c r="NIK210" s="545"/>
      <c r="NIL210" s="545"/>
      <c r="NIM210" s="545"/>
      <c r="NIN210" s="545"/>
      <c r="NIO210" s="545"/>
      <c r="NIP210" s="545"/>
      <c r="NIQ210" s="545"/>
      <c r="NIR210" s="545"/>
      <c r="NIS210" s="545"/>
      <c r="NIT210" s="545"/>
      <c r="NIU210" s="545"/>
      <c r="NIV210" s="545"/>
      <c r="NIW210" s="545"/>
      <c r="NIX210" s="545"/>
      <c r="NIY210" s="545"/>
      <c r="NIZ210" s="545"/>
      <c r="NJA210" s="545"/>
      <c r="NJB210" s="545"/>
      <c r="NJC210" s="545"/>
      <c r="NJD210" s="545"/>
      <c r="NJE210" s="545"/>
      <c r="NJF210" s="545"/>
      <c r="NJG210" s="545"/>
      <c r="NJH210" s="545"/>
      <c r="NJI210" s="545"/>
      <c r="NJJ210" s="545"/>
      <c r="NJK210" s="545"/>
      <c r="NJL210" s="545"/>
      <c r="NJM210" s="545"/>
      <c r="NJN210" s="545"/>
      <c r="NJO210" s="545"/>
      <c r="NJP210" s="545"/>
      <c r="NJQ210" s="545"/>
      <c r="NJR210" s="545"/>
      <c r="NJS210" s="545"/>
      <c r="NJT210" s="545"/>
      <c r="NJU210" s="545"/>
      <c r="NJV210" s="545"/>
      <c r="NJW210" s="545"/>
      <c r="NJX210" s="545"/>
      <c r="NJY210" s="545"/>
      <c r="NJZ210" s="545"/>
      <c r="NKA210" s="545"/>
      <c r="NKB210" s="545"/>
      <c r="NKC210" s="545"/>
      <c r="NKD210" s="545"/>
      <c r="NKE210" s="545"/>
      <c r="NKF210" s="545"/>
      <c r="NKG210" s="545"/>
      <c r="NKH210" s="545"/>
      <c r="NKI210" s="545"/>
      <c r="NKJ210" s="545"/>
      <c r="NKK210" s="545"/>
      <c r="NKL210" s="545"/>
      <c r="NKM210" s="545"/>
      <c r="NKN210" s="545"/>
      <c r="NKO210" s="545"/>
      <c r="NKP210" s="545"/>
      <c r="NKQ210" s="545"/>
      <c r="NKR210" s="545"/>
      <c r="NKS210" s="545"/>
      <c r="NKT210" s="545"/>
      <c r="NKU210" s="545"/>
      <c r="NKV210" s="545"/>
      <c r="NKW210" s="545"/>
      <c r="NKX210" s="545"/>
      <c r="NKY210" s="545"/>
      <c r="NKZ210" s="545"/>
      <c r="NLA210" s="545"/>
      <c r="NLB210" s="545"/>
      <c r="NLC210" s="545"/>
      <c r="NLD210" s="545"/>
      <c r="NLE210" s="545"/>
      <c r="NLF210" s="545"/>
      <c r="NLG210" s="545"/>
      <c r="NLH210" s="545"/>
      <c r="NLI210" s="545"/>
      <c r="NLJ210" s="545"/>
      <c r="NLK210" s="545"/>
      <c r="NLL210" s="545"/>
      <c r="NLM210" s="545"/>
      <c r="NLN210" s="545"/>
      <c r="NLO210" s="545"/>
      <c r="NLP210" s="545"/>
      <c r="NLQ210" s="545"/>
      <c r="NLR210" s="545"/>
      <c r="NLS210" s="545"/>
      <c r="NLT210" s="545"/>
      <c r="NLU210" s="545"/>
      <c r="NLV210" s="545"/>
      <c r="NLW210" s="545"/>
      <c r="NLX210" s="545"/>
      <c r="NLY210" s="545"/>
      <c r="NLZ210" s="545"/>
      <c r="NMA210" s="545"/>
      <c r="NMB210" s="545"/>
      <c r="NMC210" s="545"/>
      <c r="NMD210" s="545"/>
      <c r="NME210" s="545"/>
      <c r="NMF210" s="545"/>
      <c r="NMG210" s="545"/>
      <c r="NMH210" s="545"/>
      <c r="NMI210" s="545"/>
      <c r="NMJ210" s="545"/>
      <c r="NMK210" s="545"/>
      <c r="NML210" s="545"/>
      <c r="NMM210" s="545"/>
      <c r="NMN210" s="545"/>
      <c r="NMO210" s="545"/>
      <c r="NMP210" s="545"/>
      <c r="NMQ210" s="545"/>
      <c r="NMR210" s="545"/>
      <c r="NMS210" s="545"/>
      <c r="NMT210" s="545"/>
      <c r="NMU210" s="545"/>
      <c r="NMV210" s="545"/>
      <c r="NMW210" s="545"/>
      <c r="NMX210" s="545"/>
      <c r="NMY210" s="545"/>
      <c r="NMZ210" s="545"/>
      <c r="NNA210" s="545"/>
      <c r="NNB210" s="545"/>
      <c r="NNC210" s="545"/>
      <c r="NND210" s="545"/>
      <c r="NNE210" s="545"/>
      <c r="NNF210" s="545"/>
      <c r="NNG210" s="545"/>
      <c r="NNH210" s="545"/>
      <c r="NNI210" s="545"/>
      <c r="NNJ210" s="545"/>
      <c r="NNK210" s="545"/>
      <c r="NNL210" s="545"/>
      <c r="NNM210" s="545"/>
      <c r="NNN210" s="545"/>
      <c r="NNO210" s="545"/>
      <c r="NNP210" s="545"/>
      <c r="NNQ210" s="545"/>
      <c r="NNR210" s="545"/>
      <c r="NNS210" s="545"/>
      <c r="NNT210" s="545"/>
      <c r="NNU210" s="545"/>
      <c r="NNV210" s="545"/>
      <c r="NNW210" s="545"/>
      <c r="NNX210" s="545"/>
      <c r="NNY210" s="545"/>
      <c r="NNZ210" s="545"/>
      <c r="NOA210" s="545"/>
      <c r="NOB210" s="545"/>
      <c r="NOC210" s="545"/>
      <c r="NOD210" s="545"/>
      <c r="NOE210" s="545"/>
      <c r="NOF210" s="545"/>
      <c r="NOG210" s="545"/>
      <c r="NOH210" s="545"/>
      <c r="NOI210" s="545"/>
      <c r="NOJ210" s="545"/>
      <c r="NOK210" s="545"/>
      <c r="NOL210" s="545"/>
      <c r="NOM210" s="545"/>
      <c r="NON210" s="545"/>
      <c r="NOO210" s="545"/>
      <c r="NOP210" s="545"/>
      <c r="NOQ210" s="545"/>
      <c r="NOR210" s="545"/>
      <c r="NOS210" s="545"/>
      <c r="NOT210" s="545"/>
      <c r="NOU210" s="545"/>
      <c r="NOV210" s="545"/>
      <c r="NOW210" s="545"/>
      <c r="NOX210" s="545"/>
      <c r="NOY210" s="545"/>
      <c r="NOZ210" s="545"/>
      <c r="NPA210" s="545"/>
      <c r="NPB210" s="545"/>
      <c r="NPC210" s="545"/>
      <c r="NPD210" s="545"/>
      <c r="NPE210" s="545"/>
      <c r="NPF210" s="545"/>
      <c r="NPG210" s="545"/>
      <c r="NPH210" s="545"/>
      <c r="NPI210" s="545"/>
      <c r="NPJ210" s="545"/>
      <c r="NPK210" s="545"/>
      <c r="NPL210" s="545"/>
      <c r="NPM210" s="545"/>
      <c r="NPN210" s="545"/>
      <c r="NPO210" s="545"/>
      <c r="NPP210" s="545"/>
      <c r="NPQ210" s="545"/>
      <c r="NPR210" s="545"/>
      <c r="NPS210" s="545"/>
      <c r="NPT210" s="545"/>
      <c r="NPU210" s="545"/>
      <c r="NPV210" s="545"/>
      <c r="NPW210" s="545"/>
      <c r="NPX210" s="545"/>
      <c r="NPY210" s="545"/>
      <c r="NPZ210" s="545"/>
      <c r="NQA210" s="545"/>
      <c r="NQB210" s="545"/>
      <c r="NQC210" s="545"/>
      <c r="NQD210" s="545"/>
      <c r="NQE210" s="545"/>
      <c r="NQF210" s="545"/>
      <c r="NQG210" s="545"/>
      <c r="NQH210" s="545"/>
      <c r="NQI210" s="545"/>
      <c r="NQJ210" s="545"/>
      <c r="NQK210" s="545"/>
      <c r="NQL210" s="545"/>
      <c r="NQM210" s="545"/>
      <c r="NQN210" s="545"/>
      <c r="NQO210" s="545"/>
      <c r="NQP210" s="545"/>
      <c r="NQQ210" s="545"/>
      <c r="NQR210" s="545"/>
      <c r="NQS210" s="545"/>
      <c r="NQT210" s="545"/>
      <c r="NQU210" s="545"/>
      <c r="NQV210" s="545"/>
      <c r="NQW210" s="545"/>
      <c r="NQX210" s="545"/>
      <c r="NQY210" s="545"/>
      <c r="NQZ210" s="545"/>
      <c r="NRA210" s="545"/>
      <c r="NRB210" s="545"/>
      <c r="NRC210" s="545"/>
      <c r="NRD210" s="545"/>
      <c r="NRE210" s="545"/>
      <c r="NRF210" s="545"/>
      <c r="NRG210" s="545"/>
      <c r="NRH210" s="545"/>
      <c r="NRI210" s="545"/>
      <c r="NRJ210" s="545"/>
      <c r="NRK210" s="545"/>
      <c r="NRL210" s="545"/>
      <c r="NRM210" s="545"/>
      <c r="NRN210" s="545"/>
      <c r="NRO210" s="545"/>
      <c r="NRP210" s="545"/>
      <c r="NRQ210" s="545"/>
      <c r="NRR210" s="545"/>
      <c r="NRS210" s="545"/>
      <c r="NRT210" s="545"/>
      <c r="NRU210" s="545"/>
      <c r="NRV210" s="545"/>
      <c r="NRW210" s="545"/>
      <c r="NRX210" s="545"/>
      <c r="NRY210" s="545"/>
      <c r="NRZ210" s="545"/>
      <c r="NSA210" s="545"/>
      <c r="NSB210" s="545"/>
      <c r="NSC210" s="545"/>
      <c r="NSD210" s="545"/>
      <c r="NSE210" s="545"/>
      <c r="NSF210" s="545"/>
      <c r="NSG210" s="545"/>
      <c r="NSH210" s="545"/>
      <c r="NSI210" s="545"/>
      <c r="NSJ210" s="545"/>
      <c r="NSK210" s="545"/>
      <c r="NSL210" s="545"/>
      <c r="NSM210" s="545"/>
      <c r="NSN210" s="545"/>
      <c r="NSO210" s="545"/>
      <c r="NSP210" s="545"/>
      <c r="NSQ210" s="545"/>
      <c r="NSR210" s="545"/>
      <c r="NSS210" s="545"/>
      <c r="NST210" s="545"/>
      <c r="NSU210" s="545"/>
      <c r="NSV210" s="545"/>
      <c r="NSW210" s="545"/>
      <c r="NSX210" s="545"/>
      <c r="NSY210" s="545"/>
      <c r="NSZ210" s="545"/>
      <c r="NTA210" s="545"/>
      <c r="NTB210" s="545"/>
      <c r="NTC210" s="545"/>
      <c r="NTD210" s="545"/>
      <c r="NTE210" s="545"/>
      <c r="NTF210" s="545"/>
      <c r="NTG210" s="545"/>
      <c r="NTH210" s="545"/>
      <c r="NTI210" s="545"/>
      <c r="NTJ210" s="545"/>
      <c r="NTK210" s="545"/>
      <c r="NTL210" s="545"/>
      <c r="NTM210" s="545"/>
      <c r="NTN210" s="545"/>
      <c r="NTO210" s="545"/>
      <c r="NTP210" s="545"/>
      <c r="NTQ210" s="545"/>
      <c r="NTR210" s="545"/>
      <c r="NTS210" s="545"/>
      <c r="NTT210" s="545"/>
      <c r="NTU210" s="545"/>
      <c r="NTV210" s="545"/>
      <c r="NTW210" s="545"/>
      <c r="NTX210" s="545"/>
      <c r="NTY210" s="545"/>
      <c r="NTZ210" s="545"/>
      <c r="NUA210" s="545"/>
      <c r="NUB210" s="545"/>
      <c r="NUC210" s="545"/>
      <c r="NUD210" s="545"/>
      <c r="NUE210" s="545"/>
      <c r="NUF210" s="545"/>
      <c r="NUG210" s="545"/>
      <c r="NUH210" s="545"/>
      <c r="NUI210" s="545"/>
      <c r="NUJ210" s="545"/>
      <c r="NUK210" s="545"/>
      <c r="NUL210" s="545"/>
      <c r="NUM210" s="545"/>
      <c r="NUN210" s="545"/>
      <c r="NUO210" s="545"/>
      <c r="NUP210" s="545"/>
      <c r="NUQ210" s="545"/>
      <c r="NUR210" s="545"/>
      <c r="NUS210" s="545"/>
      <c r="NUT210" s="545"/>
      <c r="NUU210" s="545"/>
      <c r="NUV210" s="545"/>
      <c r="NUW210" s="545"/>
      <c r="NUX210" s="545"/>
      <c r="NUY210" s="545"/>
      <c r="NUZ210" s="545"/>
      <c r="NVA210" s="545"/>
      <c r="NVB210" s="545"/>
      <c r="NVC210" s="545"/>
      <c r="NVD210" s="545"/>
      <c r="NVE210" s="545"/>
      <c r="NVF210" s="545"/>
      <c r="NVG210" s="545"/>
      <c r="NVH210" s="545"/>
      <c r="NVI210" s="545"/>
      <c r="NVJ210" s="545"/>
      <c r="NVK210" s="545"/>
      <c r="NVL210" s="545"/>
      <c r="NVM210" s="545"/>
      <c r="NVN210" s="545"/>
      <c r="NVO210" s="545"/>
      <c r="NVP210" s="545"/>
      <c r="NVQ210" s="545"/>
      <c r="NVR210" s="545"/>
      <c r="NVS210" s="545"/>
      <c r="NVT210" s="545"/>
      <c r="NVU210" s="545"/>
      <c r="NVV210" s="545"/>
      <c r="NVW210" s="545"/>
      <c r="NVX210" s="545"/>
      <c r="NVY210" s="545"/>
      <c r="NVZ210" s="545"/>
      <c r="NWA210" s="545"/>
      <c r="NWB210" s="545"/>
      <c r="NWC210" s="545"/>
      <c r="NWD210" s="545"/>
      <c r="NWE210" s="545"/>
      <c r="NWF210" s="545"/>
      <c r="NWG210" s="545"/>
      <c r="NWH210" s="545"/>
      <c r="NWI210" s="545"/>
      <c r="NWJ210" s="545"/>
      <c r="NWK210" s="545"/>
      <c r="NWL210" s="545"/>
      <c r="NWM210" s="545"/>
      <c r="NWN210" s="545"/>
      <c r="NWO210" s="545"/>
      <c r="NWP210" s="545"/>
      <c r="NWQ210" s="545"/>
      <c r="NWR210" s="545"/>
      <c r="NWS210" s="545"/>
      <c r="NWT210" s="545"/>
      <c r="NWU210" s="545"/>
      <c r="NWV210" s="545"/>
      <c r="NWW210" s="545"/>
      <c r="NWX210" s="545"/>
      <c r="NWY210" s="545"/>
      <c r="NWZ210" s="545"/>
      <c r="NXA210" s="545"/>
      <c r="NXB210" s="545"/>
      <c r="NXC210" s="545"/>
      <c r="NXD210" s="545"/>
      <c r="NXE210" s="545"/>
      <c r="NXF210" s="545"/>
      <c r="NXG210" s="545"/>
      <c r="NXH210" s="545"/>
      <c r="NXI210" s="545"/>
      <c r="NXJ210" s="545"/>
      <c r="NXK210" s="545"/>
      <c r="NXL210" s="545"/>
      <c r="NXM210" s="545"/>
      <c r="NXN210" s="545"/>
      <c r="NXO210" s="545"/>
      <c r="NXP210" s="545"/>
      <c r="NXQ210" s="545"/>
      <c r="NXR210" s="545"/>
      <c r="NXS210" s="545"/>
      <c r="NXT210" s="545"/>
      <c r="NXU210" s="545"/>
      <c r="NXV210" s="545"/>
      <c r="NXW210" s="545"/>
      <c r="NXX210" s="545"/>
      <c r="NXY210" s="545"/>
      <c r="NXZ210" s="545"/>
      <c r="NYA210" s="545"/>
      <c r="NYB210" s="545"/>
      <c r="NYC210" s="545"/>
      <c r="NYD210" s="545"/>
      <c r="NYE210" s="545"/>
      <c r="NYF210" s="545"/>
      <c r="NYG210" s="545"/>
      <c r="NYH210" s="545"/>
      <c r="NYI210" s="545"/>
      <c r="NYJ210" s="545"/>
      <c r="NYK210" s="545"/>
      <c r="NYL210" s="545"/>
      <c r="NYM210" s="545"/>
      <c r="NYN210" s="545"/>
      <c r="NYO210" s="545"/>
      <c r="NYP210" s="545"/>
      <c r="NYQ210" s="545"/>
      <c r="NYR210" s="545"/>
      <c r="NYS210" s="545"/>
      <c r="NYT210" s="545"/>
      <c r="NYU210" s="545"/>
      <c r="NYV210" s="545"/>
      <c r="NYW210" s="545"/>
      <c r="NYX210" s="545"/>
      <c r="NYY210" s="545"/>
      <c r="NYZ210" s="545"/>
      <c r="NZA210" s="545"/>
      <c r="NZB210" s="545"/>
      <c r="NZC210" s="545"/>
      <c r="NZD210" s="545"/>
      <c r="NZE210" s="545"/>
      <c r="NZF210" s="545"/>
      <c r="NZG210" s="545"/>
      <c r="NZH210" s="545"/>
      <c r="NZI210" s="545"/>
      <c r="NZJ210" s="545"/>
      <c r="NZK210" s="545"/>
      <c r="NZL210" s="545"/>
      <c r="NZM210" s="545"/>
      <c r="NZN210" s="545"/>
      <c r="NZO210" s="545"/>
      <c r="NZP210" s="545"/>
      <c r="NZQ210" s="545"/>
      <c r="NZR210" s="545"/>
      <c r="NZS210" s="545"/>
      <c r="NZT210" s="545"/>
      <c r="NZU210" s="545"/>
      <c r="NZV210" s="545"/>
      <c r="NZW210" s="545"/>
      <c r="NZX210" s="545"/>
      <c r="NZY210" s="545"/>
      <c r="NZZ210" s="545"/>
      <c r="OAA210" s="545"/>
      <c r="OAB210" s="545"/>
      <c r="OAC210" s="545"/>
      <c r="OAD210" s="545"/>
      <c r="OAE210" s="545"/>
      <c r="OAF210" s="545"/>
      <c r="OAG210" s="545"/>
      <c r="OAH210" s="545"/>
      <c r="OAI210" s="545"/>
      <c r="OAJ210" s="545"/>
      <c r="OAK210" s="545"/>
      <c r="OAL210" s="545"/>
      <c r="OAM210" s="545"/>
      <c r="OAN210" s="545"/>
      <c r="OAO210" s="545"/>
      <c r="OAP210" s="545"/>
      <c r="OAQ210" s="545"/>
      <c r="OAR210" s="545"/>
      <c r="OAS210" s="545"/>
      <c r="OAT210" s="545"/>
      <c r="OAU210" s="545"/>
      <c r="OAV210" s="545"/>
      <c r="OAW210" s="545"/>
      <c r="OAX210" s="545"/>
      <c r="OAY210" s="545"/>
      <c r="OAZ210" s="545"/>
      <c r="OBA210" s="545"/>
      <c r="OBB210" s="545"/>
      <c r="OBC210" s="545"/>
      <c r="OBD210" s="545"/>
      <c r="OBE210" s="545"/>
      <c r="OBF210" s="545"/>
      <c r="OBG210" s="545"/>
      <c r="OBH210" s="545"/>
      <c r="OBI210" s="545"/>
      <c r="OBJ210" s="545"/>
      <c r="OBK210" s="545"/>
      <c r="OBL210" s="545"/>
      <c r="OBM210" s="545"/>
      <c r="OBN210" s="545"/>
      <c r="OBO210" s="545"/>
      <c r="OBP210" s="545"/>
      <c r="OBQ210" s="545"/>
      <c r="OBR210" s="545"/>
      <c r="OBS210" s="545"/>
      <c r="OBT210" s="545"/>
      <c r="OBU210" s="545"/>
      <c r="OBV210" s="545"/>
      <c r="OBW210" s="545"/>
      <c r="OBX210" s="545"/>
      <c r="OBY210" s="545"/>
      <c r="OBZ210" s="545"/>
      <c r="OCA210" s="545"/>
      <c r="OCB210" s="545"/>
      <c r="OCC210" s="545"/>
      <c r="OCD210" s="545"/>
      <c r="OCE210" s="545"/>
      <c r="OCF210" s="545"/>
      <c r="OCG210" s="545"/>
      <c r="OCH210" s="545"/>
      <c r="OCI210" s="545"/>
      <c r="OCJ210" s="545"/>
      <c r="OCK210" s="545"/>
      <c r="OCL210" s="545"/>
      <c r="OCM210" s="545"/>
      <c r="OCN210" s="545"/>
      <c r="OCO210" s="545"/>
      <c r="OCP210" s="545"/>
      <c r="OCQ210" s="545"/>
      <c r="OCR210" s="545"/>
      <c r="OCS210" s="545"/>
      <c r="OCT210" s="545"/>
      <c r="OCU210" s="545"/>
      <c r="OCV210" s="545"/>
      <c r="OCW210" s="545"/>
      <c r="OCX210" s="545"/>
      <c r="OCY210" s="545"/>
      <c r="OCZ210" s="545"/>
      <c r="ODA210" s="545"/>
      <c r="ODB210" s="545"/>
      <c r="ODC210" s="545"/>
      <c r="ODD210" s="545"/>
      <c r="ODE210" s="545"/>
      <c r="ODF210" s="545"/>
      <c r="ODG210" s="545"/>
      <c r="ODH210" s="545"/>
      <c r="ODI210" s="545"/>
      <c r="ODJ210" s="545"/>
      <c r="ODK210" s="545"/>
      <c r="ODL210" s="545"/>
      <c r="ODM210" s="545"/>
      <c r="ODN210" s="545"/>
      <c r="ODO210" s="545"/>
      <c r="ODP210" s="545"/>
      <c r="ODQ210" s="545"/>
      <c r="ODR210" s="545"/>
      <c r="ODS210" s="545"/>
      <c r="ODT210" s="545"/>
      <c r="ODU210" s="545"/>
      <c r="ODV210" s="545"/>
      <c r="ODW210" s="545"/>
      <c r="ODX210" s="545"/>
      <c r="ODY210" s="545"/>
      <c r="ODZ210" s="545"/>
      <c r="OEA210" s="545"/>
      <c r="OEB210" s="545"/>
      <c r="OEC210" s="545"/>
      <c r="OED210" s="545"/>
      <c r="OEE210" s="545"/>
      <c r="OEF210" s="545"/>
      <c r="OEG210" s="545"/>
      <c r="OEH210" s="545"/>
      <c r="OEI210" s="545"/>
      <c r="OEJ210" s="545"/>
      <c r="OEK210" s="545"/>
      <c r="OEL210" s="545"/>
      <c r="OEM210" s="545"/>
      <c r="OEN210" s="545"/>
      <c r="OEO210" s="545"/>
      <c r="OEP210" s="545"/>
      <c r="OEQ210" s="545"/>
      <c r="OER210" s="545"/>
      <c r="OES210" s="545"/>
      <c r="OET210" s="545"/>
      <c r="OEU210" s="545"/>
      <c r="OEV210" s="545"/>
      <c r="OEW210" s="545"/>
      <c r="OEX210" s="545"/>
      <c r="OEY210" s="545"/>
      <c r="OEZ210" s="545"/>
      <c r="OFA210" s="545"/>
      <c r="OFB210" s="545"/>
      <c r="OFC210" s="545"/>
      <c r="OFD210" s="545"/>
      <c r="OFE210" s="545"/>
      <c r="OFF210" s="545"/>
      <c r="OFG210" s="545"/>
      <c r="OFH210" s="545"/>
      <c r="OFI210" s="545"/>
      <c r="OFJ210" s="545"/>
      <c r="OFK210" s="545"/>
      <c r="OFL210" s="545"/>
      <c r="OFM210" s="545"/>
      <c r="OFN210" s="545"/>
      <c r="OFO210" s="545"/>
      <c r="OFP210" s="545"/>
      <c r="OFQ210" s="545"/>
      <c r="OFR210" s="545"/>
      <c r="OFS210" s="545"/>
      <c r="OFT210" s="545"/>
      <c r="OFU210" s="545"/>
      <c r="OFV210" s="545"/>
      <c r="OFW210" s="545"/>
      <c r="OFX210" s="545"/>
      <c r="OFY210" s="545"/>
      <c r="OFZ210" s="545"/>
      <c r="OGA210" s="545"/>
      <c r="OGB210" s="545"/>
      <c r="OGC210" s="545"/>
      <c r="OGD210" s="545"/>
      <c r="OGE210" s="545"/>
      <c r="OGF210" s="545"/>
      <c r="OGG210" s="545"/>
      <c r="OGH210" s="545"/>
      <c r="OGI210" s="545"/>
      <c r="OGJ210" s="545"/>
      <c r="OGK210" s="545"/>
      <c r="OGL210" s="545"/>
      <c r="OGM210" s="545"/>
      <c r="OGN210" s="545"/>
      <c r="OGO210" s="545"/>
      <c r="OGP210" s="545"/>
      <c r="OGQ210" s="545"/>
      <c r="OGR210" s="545"/>
      <c r="OGS210" s="545"/>
      <c r="OGT210" s="545"/>
      <c r="OGU210" s="545"/>
      <c r="OGV210" s="545"/>
      <c r="OGW210" s="545"/>
      <c r="OGX210" s="545"/>
      <c r="OGY210" s="545"/>
      <c r="OGZ210" s="545"/>
      <c r="OHA210" s="545"/>
      <c r="OHB210" s="545"/>
      <c r="OHC210" s="545"/>
      <c r="OHD210" s="545"/>
      <c r="OHE210" s="545"/>
      <c r="OHF210" s="545"/>
      <c r="OHG210" s="545"/>
      <c r="OHH210" s="545"/>
      <c r="OHI210" s="545"/>
      <c r="OHJ210" s="545"/>
      <c r="OHK210" s="545"/>
      <c r="OHL210" s="545"/>
      <c r="OHM210" s="545"/>
      <c r="OHN210" s="545"/>
      <c r="OHO210" s="545"/>
      <c r="OHP210" s="545"/>
      <c r="OHQ210" s="545"/>
      <c r="OHR210" s="545"/>
      <c r="OHS210" s="545"/>
      <c r="OHT210" s="545"/>
      <c r="OHU210" s="545"/>
      <c r="OHV210" s="545"/>
      <c r="OHW210" s="545"/>
      <c r="OHX210" s="545"/>
      <c r="OHY210" s="545"/>
      <c r="OHZ210" s="545"/>
      <c r="OIA210" s="545"/>
      <c r="OIB210" s="545"/>
      <c r="OIC210" s="545"/>
      <c r="OID210" s="545"/>
      <c r="OIE210" s="545"/>
      <c r="OIF210" s="545"/>
      <c r="OIG210" s="545"/>
      <c r="OIH210" s="545"/>
      <c r="OII210" s="545"/>
      <c r="OIJ210" s="545"/>
      <c r="OIK210" s="545"/>
      <c r="OIL210" s="545"/>
      <c r="OIM210" s="545"/>
      <c r="OIN210" s="545"/>
      <c r="OIO210" s="545"/>
      <c r="OIP210" s="545"/>
      <c r="OIQ210" s="545"/>
      <c r="OIR210" s="545"/>
      <c r="OIS210" s="545"/>
      <c r="OIT210" s="545"/>
      <c r="OIU210" s="545"/>
      <c r="OIV210" s="545"/>
      <c r="OIW210" s="545"/>
      <c r="OIX210" s="545"/>
      <c r="OIY210" s="545"/>
      <c r="OIZ210" s="545"/>
      <c r="OJA210" s="545"/>
      <c r="OJB210" s="545"/>
      <c r="OJC210" s="545"/>
      <c r="OJD210" s="545"/>
      <c r="OJE210" s="545"/>
      <c r="OJF210" s="545"/>
      <c r="OJG210" s="545"/>
      <c r="OJH210" s="545"/>
      <c r="OJI210" s="545"/>
      <c r="OJJ210" s="545"/>
      <c r="OJK210" s="545"/>
      <c r="OJL210" s="545"/>
      <c r="OJM210" s="545"/>
      <c r="OJN210" s="545"/>
      <c r="OJO210" s="545"/>
      <c r="OJP210" s="545"/>
      <c r="OJQ210" s="545"/>
      <c r="OJR210" s="545"/>
      <c r="OJS210" s="545"/>
      <c r="OJT210" s="545"/>
      <c r="OJU210" s="545"/>
      <c r="OJV210" s="545"/>
      <c r="OJW210" s="545"/>
      <c r="OJX210" s="545"/>
      <c r="OJY210" s="545"/>
      <c r="OJZ210" s="545"/>
      <c r="OKA210" s="545"/>
      <c r="OKB210" s="545"/>
      <c r="OKC210" s="545"/>
      <c r="OKD210" s="545"/>
      <c r="OKE210" s="545"/>
      <c r="OKF210" s="545"/>
      <c r="OKG210" s="545"/>
      <c r="OKH210" s="545"/>
      <c r="OKI210" s="545"/>
      <c r="OKJ210" s="545"/>
      <c r="OKK210" s="545"/>
      <c r="OKL210" s="545"/>
      <c r="OKM210" s="545"/>
      <c r="OKN210" s="545"/>
      <c r="OKO210" s="545"/>
      <c r="OKP210" s="545"/>
      <c r="OKQ210" s="545"/>
      <c r="OKR210" s="545"/>
      <c r="OKS210" s="545"/>
      <c r="OKT210" s="545"/>
      <c r="OKU210" s="545"/>
      <c r="OKV210" s="545"/>
      <c r="OKW210" s="545"/>
      <c r="OKX210" s="545"/>
      <c r="OKY210" s="545"/>
      <c r="OKZ210" s="545"/>
      <c r="OLA210" s="545"/>
      <c r="OLB210" s="545"/>
      <c r="OLC210" s="545"/>
      <c r="OLD210" s="545"/>
      <c r="OLE210" s="545"/>
      <c r="OLF210" s="545"/>
      <c r="OLG210" s="545"/>
      <c r="OLH210" s="545"/>
      <c r="OLI210" s="545"/>
      <c r="OLJ210" s="545"/>
      <c r="OLK210" s="545"/>
      <c r="OLL210" s="545"/>
      <c r="OLM210" s="545"/>
      <c r="OLN210" s="545"/>
      <c r="OLO210" s="545"/>
      <c r="OLP210" s="545"/>
      <c r="OLQ210" s="545"/>
      <c r="OLR210" s="545"/>
      <c r="OLS210" s="545"/>
      <c r="OLT210" s="545"/>
      <c r="OLU210" s="545"/>
      <c r="OLV210" s="545"/>
      <c r="OLW210" s="545"/>
      <c r="OLX210" s="545"/>
      <c r="OLY210" s="545"/>
      <c r="OLZ210" s="545"/>
      <c r="OMA210" s="545"/>
      <c r="OMB210" s="545"/>
      <c r="OMC210" s="545"/>
      <c r="OMD210" s="545"/>
      <c r="OME210" s="545"/>
      <c r="OMF210" s="545"/>
      <c r="OMG210" s="545"/>
      <c r="OMH210" s="545"/>
      <c r="OMI210" s="545"/>
      <c r="OMJ210" s="545"/>
      <c r="OMK210" s="545"/>
      <c r="OML210" s="545"/>
      <c r="OMM210" s="545"/>
      <c r="OMN210" s="545"/>
      <c r="OMO210" s="545"/>
      <c r="OMP210" s="545"/>
      <c r="OMQ210" s="545"/>
      <c r="OMR210" s="545"/>
      <c r="OMS210" s="545"/>
      <c r="OMT210" s="545"/>
      <c r="OMU210" s="545"/>
      <c r="OMV210" s="545"/>
      <c r="OMW210" s="545"/>
      <c r="OMX210" s="545"/>
      <c r="OMY210" s="545"/>
      <c r="OMZ210" s="545"/>
      <c r="ONA210" s="545"/>
      <c r="ONB210" s="545"/>
      <c r="ONC210" s="545"/>
      <c r="OND210" s="545"/>
      <c r="ONE210" s="545"/>
      <c r="ONF210" s="545"/>
      <c r="ONG210" s="545"/>
      <c r="ONH210" s="545"/>
      <c r="ONI210" s="545"/>
      <c r="ONJ210" s="545"/>
      <c r="ONK210" s="545"/>
      <c r="ONL210" s="545"/>
      <c r="ONM210" s="545"/>
      <c r="ONN210" s="545"/>
      <c r="ONO210" s="545"/>
      <c r="ONP210" s="545"/>
      <c r="ONQ210" s="545"/>
      <c r="ONR210" s="545"/>
      <c r="ONS210" s="545"/>
      <c r="ONT210" s="545"/>
      <c r="ONU210" s="545"/>
      <c r="ONV210" s="545"/>
      <c r="ONW210" s="545"/>
      <c r="ONX210" s="545"/>
      <c r="ONY210" s="545"/>
      <c r="ONZ210" s="545"/>
      <c r="OOA210" s="545"/>
      <c r="OOB210" s="545"/>
      <c r="OOC210" s="545"/>
      <c r="OOD210" s="545"/>
      <c r="OOE210" s="545"/>
      <c r="OOF210" s="545"/>
      <c r="OOG210" s="545"/>
      <c r="OOH210" s="545"/>
      <c r="OOI210" s="545"/>
      <c r="OOJ210" s="545"/>
      <c r="OOK210" s="545"/>
      <c r="OOL210" s="545"/>
      <c r="OOM210" s="545"/>
      <c r="OON210" s="545"/>
      <c r="OOO210" s="545"/>
      <c r="OOP210" s="545"/>
      <c r="OOQ210" s="545"/>
      <c r="OOR210" s="545"/>
      <c r="OOS210" s="545"/>
      <c r="OOT210" s="545"/>
      <c r="OOU210" s="545"/>
      <c r="OOV210" s="545"/>
      <c r="OOW210" s="545"/>
      <c r="OOX210" s="545"/>
      <c r="OOY210" s="545"/>
      <c r="OOZ210" s="545"/>
      <c r="OPA210" s="545"/>
      <c r="OPB210" s="545"/>
      <c r="OPC210" s="545"/>
      <c r="OPD210" s="545"/>
      <c r="OPE210" s="545"/>
      <c r="OPF210" s="545"/>
      <c r="OPG210" s="545"/>
      <c r="OPH210" s="545"/>
      <c r="OPI210" s="545"/>
      <c r="OPJ210" s="545"/>
      <c r="OPK210" s="545"/>
      <c r="OPL210" s="545"/>
      <c r="OPM210" s="545"/>
      <c r="OPN210" s="545"/>
      <c r="OPO210" s="545"/>
      <c r="OPP210" s="545"/>
      <c r="OPQ210" s="545"/>
      <c r="OPR210" s="545"/>
      <c r="OPS210" s="545"/>
      <c r="OPT210" s="545"/>
      <c r="OPU210" s="545"/>
      <c r="OPV210" s="545"/>
      <c r="OPW210" s="545"/>
      <c r="OPX210" s="545"/>
      <c r="OPY210" s="545"/>
      <c r="OPZ210" s="545"/>
      <c r="OQA210" s="545"/>
      <c r="OQB210" s="545"/>
      <c r="OQC210" s="545"/>
      <c r="OQD210" s="545"/>
      <c r="OQE210" s="545"/>
      <c r="OQF210" s="545"/>
      <c r="OQG210" s="545"/>
      <c r="OQH210" s="545"/>
      <c r="OQI210" s="545"/>
      <c r="OQJ210" s="545"/>
      <c r="OQK210" s="545"/>
      <c r="OQL210" s="545"/>
      <c r="OQM210" s="545"/>
      <c r="OQN210" s="545"/>
      <c r="OQO210" s="545"/>
      <c r="OQP210" s="545"/>
      <c r="OQQ210" s="545"/>
      <c r="OQR210" s="545"/>
      <c r="OQS210" s="545"/>
      <c r="OQT210" s="545"/>
      <c r="OQU210" s="545"/>
      <c r="OQV210" s="545"/>
      <c r="OQW210" s="545"/>
      <c r="OQX210" s="545"/>
      <c r="OQY210" s="545"/>
      <c r="OQZ210" s="545"/>
      <c r="ORA210" s="545"/>
      <c r="ORB210" s="545"/>
      <c r="ORC210" s="545"/>
      <c r="ORD210" s="545"/>
      <c r="ORE210" s="545"/>
      <c r="ORF210" s="545"/>
      <c r="ORG210" s="545"/>
      <c r="ORH210" s="545"/>
      <c r="ORI210" s="545"/>
      <c r="ORJ210" s="545"/>
      <c r="ORK210" s="545"/>
      <c r="ORL210" s="545"/>
      <c r="ORM210" s="545"/>
      <c r="ORN210" s="545"/>
      <c r="ORO210" s="545"/>
      <c r="ORP210" s="545"/>
      <c r="ORQ210" s="545"/>
      <c r="ORR210" s="545"/>
      <c r="ORS210" s="545"/>
      <c r="ORT210" s="545"/>
      <c r="ORU210" s="545"/>
      <c r="ORV210" s="545"/>
      <c r="ORW210" s="545"/>
      <c r="ORX210" s="545"/>
      <c r="ORY210" s="545"/>
      <c r="ORZ210" s="545"/>
      <c r="OSA210" s="545"/>
      <c r="OSB210" s="545"/>
      <c r="OSC210" s="545"/>
      <c r="OSD210" s="545"/>
      <c r="OSE210" s="545"/>
      <c r="OSF210" s="545"/>
      <c r="OSG210" s="545"/>
      <c r="OSH210" s="545"/>
      <c r="OSI210" s="545"/>
      <c r="OSJ210" s="545"/>
      <c r="OSK210" s="545"/>
      <c r="OSL210" s="545"/>
      <c r="OSM210" s="545"/>
      <c r="OSN210" s="545"/>
      <c r="OSO210" s="545"/>
      <c r="OSP210" s="545"/>
      <c r="OSQ210" s="545"/>
      <c r="OSR210" s="545"/>
      <c r="OSS210" s="545"/>
      <c r="OST210" s="545"/>
      <c r="OSU210" s="545"/>
      <c r="OSV210" s="545"/>
      <c r="OSW210" s="545"/>
      <c r="OSX210" s="545"/>
      <c r="OSY210" s="545"/>
      <c r="OSZ210" s="545"/>
      <c r="OTA210" s="545"/>
      <c r="OTB210" s="545"/>
      <c r="OTC210" s="545"/>
      <c r="OTD210" s="545"/>
      <c r="OTE210" s="545"/>
      <c r="OTF210" s="545"/>
      <c r="OTG210" s="545"/>
      <c r="OTH210" s="545"/>
      <c r="OTI210" s="545"/>
      <c r="OTJ210" s="545"/>
      <c r="OTK210" s="545"/>
      <c r="OTL210" s="545"/>
      <c r="OTM210" s="545"/>
      <c r="OTN210" s="545"/>
      <c r="OTO210" s="545"/>
      <c r="OTP210" s="545"/>
      <c r="OTQ210" s="545"/>
      <c r="OTR210" s="545"/>
      <c r="OTS210" s="545"/>
      <c r="OTT210" s="545"/>
      <c r="OTU210" s="545"/>
      <c r="OTV210" s="545"/>
      <c r="OTW210" s="545"/>
      <c r="OTX210" s="545"/>
      <c r="OTY210" s="545"/>
      <c r="OTZ210" s="545"/>
      <c r="OUA210" s="545"/>
      <c r="OUB210" s="545"/>
      <c r="OUC210" s="545"/>
      <c r="OUD210" s="545"/>
      <c r="OUE210" s="545"/>
      <c r="OUF210" s="545"/>
      <c r="OUG210" s="545"/>
      <c r="OUH210" s="545"/>
      <c r="OUI210" s="545"/>
      <c r="OUJ210" s="545"/>
      <c r="OUK210" s="545"/>
      <c r="OUL210" s="545"/>
      <c r="OUM210" s="545"/>
      <c r="OUN210" s="545"/>
      <c r="OUO210" s="545"/>
      <c r="OUP210" s="545"/>
      <c r="OUQ210" s="545"/>
      <c r="OUR210" s="545"/>
      <c r="OUS210" s="545"/>
      <c r="OUT210" s="545"/>
      <c r="OUU210" s="545"/>
      <c r="OUV210" s="545"/>
      <c r="OUW210" s="545"/>
      <c r="OUX210" s="545"/>
      <c r="OUY210" s="545"/>
      <c r="OUZ210" s="545"/>
      <c r="OVA210" s="545"/>
      <c r="OVB210" s="545"/>
      <c r="OVC210" s="545"/>
      <c r="OVD210" s="545"/>
      <c r="OVE210" s="545"/>
      <c r="OVF210" s="545"/>
      <c r="OVG210" s="545"/>
      <c r="OVH210" s="545"/>
      <c r="OVI210" s="545"/>
      <c r="OVJ210" s="545"/>
      <c r="OVK210" s="545"/>
      <c r="OVL210" s="545"/>
      <c r="OVM210" s="545"/>
      <c r="OVN210" s="545"/>
      <c r="OVO210" s="545"/>
      <c r="OVP210" s="545"/>
      <c r="OVQ210" s="545"/>
      <c r="OVR210" s="545"/>
      <c r="OVS210" s="545"/>
      <c r="OVT210" s="545"/>
      <c r="OVU210" s="545"/>
      <c r="OVV210" s="545"/>
      <c r="OVW210" s="545"/>
      <c r="OVX210" s="545"/>
      <c r="OVY210" s="545"/>
      <c r="OVZ210" s="545"/>
      <c r="OWA210" s="545"/>
      <c r="OWB210" s="545"/>
      <c r="OWC210" s="545"/>
      <c r="OWD210" s="545"/>
      <c r="OWE210" s="545"/>
      <c r="OWF210" s="545"/>
      <c r="OWG210" s="545"/>
      <c r="OWH210" s="545"/>
      <c r="OWI210" s="545"/>
      <c r="OWJ210" s="545"/>
      <c r="OWK210" s="545"/>
      <c r="OWL210" s="545"/>
      <c r="OWM210" s="545"/>
      <c r="OWN210" s="545"/>
      <c r="OWO210" s="545"/>
      <c r="OWP210" s="545"/>
      <c r="OWQ210" s="545"/>
      <c r="OWR210" s="545"/>
      <c r="OWS210" s="545"/>
      <c r="OWT210" s="545"/>
      <c r="OWU210" s="545"/>
      <c r="OWV210" s="545"/>
      <c r="OWW210" s="545"/>
      <c r="OWX210" s="545"/>
      <c r="OWY210" s="545"/>
      <c r="OWZ210" s="545"/>
      <c r="OXA210" s="545"/>
      <c r="OXB210" s="545"/>
      <c r="OXC210" s="545"/>
      <c r="OXD210" s="545"/>
      <c r="OXE210" s="545"/>
      <c r="OXF210" s="545"/>
      <c r="OXG210" s="545"/>
      <c r="OXH210" s="545"/>
      <c r="OXI210" s="545"/>
      <c r="OXJ210" s="545"/>
      <c r="OXK210" s="545"/>
      <c r="OXL210" s="545"/>
      <c r="OXM210" s="545"/>
      <c r="OXN210" s="545"/>
      <c r="OXO210" s="545"/>
      <c r="OXP210" s="545"/>
      <c r="OXQ210" s="545"/>
      <c r="OXR210" s="545"/>
      <c r="OXS210" s="545"/>
      <c r="OXT210" s="545"/>
      <c r="OXU210" s="545"/>
      <c r="OXV210" s="545"/>
      <c r="OXW210" s="545"/>
      <c r="OXX210" s="545"/>
      <c r="OXY210" s="545"/>
      <c r="OXZ210" s="545"/>
      <c r="OYA210" s="545"/>
      <c r="OYB210" s="545"/>
      <c r="OYC210" s="545"/>
      <c r="OYD210" s="545"/>
      <c r="OYE210" s="545"/>
      <c r="OYF210" s="545"/>
      <c r="OYG210" s="545"/>
      <c r="OYH210" s="545"/>
      <c r="OYI210" s="545"/>
      <c r="OYJ210" s="545"/>
      <c r="OYK210" s="545"/>
      <c r="OYL210" s="545"/>
      <c r="OYM210" s="545"/>
      <c r="OYN210" s="545"/>
      <c r="OYO210" s="545"/>
      <c r="OYP210" s="545"/>
      <c r="OYQ210" s="545"/>
      <c r="OYR210" s="545"/>
      <c r="OYS210" s="545"/>
      <c r="OYT210" s="545"/>
      <c r="OYU210" s="545"/>
      <c r="OYV210" s="545"/>
      <c r="OYW210" s="545"/>
      <c r="OYX210" s="545"/>
      <c r="OYY210" s="545"/>
      <c r="OYZ210" s="545"/>
      <c r="OZA210" s="545"/>
      <c r="OZB210" s="545"/>
      <c r="OZC210" s="545"/>
      <c r="OZD210" s="545"/>
      <c r="OZE210" s="545"/>
      <c r="OZF210" s="545"/>
      <c r="OZG210" s="545"/>
      <c r="OZH210" s="545"/>
      <c r="OZI210" s="545"/>
      <c r="OZJ210" s="545"/>
      <c r="OZK210" s="545"/>
      <c r="OZL210" s="545"/>
      <c r="OZM210" s="545"/>
      <c r="OZN210" s="545"/>
      <c r="OZO210" s="545"/>
      <c r="OZP210" s="545"/>
      <c r="OZQ210" s="545"/>
      <c r="OZR210" s="545"/>
      <c r="OZS210" s="545"/>
      <c r="OZT210" s="545"/>
      <c r="OZU210" s="545"/>
      <c r="OZV210" s="545"/>
      <c r="OZW210" s="545"/>
      <c r="OZX210" s="545"/>
      <c r="OZY210" s="545"/>
      <c r="OZZ210" s="545"/>
      <c r="PAA210" s="545"/>
      <c r="PAB210" s="545"/>
      <c r="PAC210" s="545"/>
      <c r="PAD210" s="545"/>
      <c r="PAE210" s="545"/>
      <c r="PAF210" s="545"/>
      <c r="PAG210" s="545"/>
      <c r="PAH210" s="545"/>
      <c r="PAI210" s="545"/>
      <c r="PAJ210" s="545"/>
      <c r="PAK210" s="545"/>
      <c r="PAL210" s="545"/>
      <c r="PAM210" s="545"/>
      <c r="PAN210" s="545"/>
      <c r="PAO210" s="545"/>
      <c r="PAP210" s="545"/>
      <c r="PAQ210" s="545"/>
      <c r="PAR210" s="545"/>
      <c r="PAS210" s="545"/>
      <c r="PAT210" s="545"/>
      <c r="PAU210" s="545"/>
      <c r="PAV210" s="545"/>
      <c r="PAW210" s="545"/>
      <c r="PAX210" s="545"/>
      <c r="PAY210" s="545"/>
      <c r="PAZ210" s="545"/>
      <c r="PBA210" s="545"/>
      <c r="PBB210" s="545"/>
      <c r="PBC210" s="545"/>
      <c r="PBD210" s="545"/>
      <c r="PBE210" s="545"/>
      <c r="PBF210" s="545"/>
      <c r="PBG210" s="545"/>
      <c r="PBH210" s="545"/>
      <c r="PBI210" s="545"/>
      <c r="PBJ210" s="545"/>
      <c r="PBK210" s="545"/>
      <c r="PBL210" s="545"/>
      <c r="PBM210" s="545"/>
      <c r="PBN210" s="545"/>
      <c r="PBO210" s="545"/>
      <c r="PBP210" s="545"/>
      <c r="PBQ210" s="545"/>
      <c r="PBR210" s="545"/>
      <c r="PBS210" s="545"/>
      <c r="PBT210" s="545"/>
      <c r="PBU210" s="545"/>
      <c r="PBV210" s="545"/>
      <c r="PBW210" s="545"/>
      <c r="PBX210" s="545"/>
      <c r="PBY210" s="545"/>
      <c r="PBZ210" s="545"/>
      <c r="PCA210" s="545"/>
      <c r="PCB210" s="545"/>
      <c r="PCC210" s="545"/>
      <c r="PCD210" s="545"/>
      <c r="PCE210" s="545"/>
      <c r="PCF210" s="545"/>
      <c r="PCG210" s="545"/>
      <c r="PCH210" s="545"/>
      <c r="PCI210" s="545"/>
      <c r="PCJ210" s="545"/>
      <c r="PCK210" s="545"/>
      <c r="PCL210" s="545"/>
      <c r="PCM210" s="545"/>
      <c r="PCN210" s="545"/>
      <c r="PCO210" s="545"/>
      <c r="PCP210" s="545"/>
      <c r="PCQ210" s="545"/>
      <c r="PCR210" s="545"/>
      <c r="PCS210" s="545"/>
      <c r="PCT210" s="545"/>
      <c r="PCU210" s="545"/>
      <c r="PCV210" s="545"/>
      <c r="PCW210" s="545"/>
      <c r="PCX210" s="545"/>
      <c r="PCY210" s="545"/>
      <c r="PCZ210" s="545"/>
      <c r="PDA210" s="545"/>
      <c r="PDB210" s="545"/>
      <c r="PDC210" s="545"/>
      <c r="PDD210" s="545"/>
      <c r="PDE210" s="545"/>
      <c r="PDF210" s="545"/>
      <c r="PDG210" s="545"/>
      <c r="PDH210" s="545"/>
      <c r="PDI210" s="545"/>
      <c r="PDJ210" s="545"/>
      <c r="PDK210" s="545"/>
      <c r="PDL210" s="545"/>
      <c r="PDM210" s="545"/>
      <c r="PDN210" s="545"/>
      <c r="PDO210" s="545"/>
      <c r="PDP210" s="545"/>
      <c r="PDQ210" s="545"/>
      <c r="PDR210" s="545"/>
      <c r="PDS210" s="545"/>
      <c r="PDT210" s="545"/>
      <c r="PDU210" s="545"/>
      <c r="PDV210" s="545"/>
      <c r="PDW210" s="545"/>
      <c r="PDX210" s="545"/>
      <c r="PDY210" s="545"/>
      <c r="PDZ210" s="545"/>
      <c r="PEA210" s="545"/>
      <c r="PEB210" s="545"/>
      <c r="PEC210" s="545"/>
      <c r="PED210" s="545"/>
      <c r="PEE210" s="545"/>
      <c r="PEF210" s="545"/>
      <c r="PEG210" s="545"/>
      <c r="PEH210" s="545"/>
      <c r="PEI210" s="545"/>
      <c r="PEJ210" s="545"/>
      <c r="PEK210" s="545"/>
      <c r="PEL210" s="545"/>
      <c r="PEM210" s="545"/>
      <c r="PEN210" s="545"/>
      <c r="PEO210" s="545"/>
      <c r="PEP210" s="545"/>
      <c r="PEQ210" s="545"/>
      <c r="PER210" s="545"/>
      <c r="PES210" s="545"/>
      <c r="PET210" s="545"/>
      <c r="PEU210" s="545"/>
      <c r="PEV210" s="545"/>
      <c r="PEW210" s="545"/>
      <c r="PEX210" s="545"/>
      <c r="PEY210" s="545"/>
      <c r="PEZ210" s="545"/>
      <c r="PFA210" s="545"/>
      <c r="PFB210" s="545"/>
      <c r="PFC210" s="545"/>
      <c r="PFD210" s="545"/>
      <c r="PFE210" s="545"/>
      <c r="PFF210" s="545"/>
      <c r="PFG210" s="545"/>
      <c r="PFH210" s="545"/>
      <c r="PFI210" s="545"/>
      <c r="PFJ210" s="545"/>
      <c r="PFK210" s="545"/>
      <c r="PFL210" s="545"/>
      <c r="PFM210" s="545"/>
      <c r="PFN210" s="545"/>
      <c r="PFO210" s="545"/>
      <c r="PFP210" s="545"/>
      <c r="PFQ210" s="545"/>
      <c r="PFR210" s="545"/>
      <c r="PFS210" s="545"/>
      <c r="PFT210" s="545"/>
      <c r="PFU210" s="545"/>
      <c r="PFV210" s="545"/>
      <c r="PFW210" s="545"/>
      <c r="PFX210" s="545"/>
      <c r="PFY210" s="545"/>
      <c r="PFZ210" s="545"/>
      <c r="PGA210" s="545"/>
      <c r="PGB210" s="545"/>
      <c r="PGC210" s="545"/>
      <c r="PGD210" s="545"/>
      <c r="PGE210" s="545"/>
      <c r="PGF210" s="545"/>
      <c r="PGG210" s="545"/>
      <c r="PGH210" s="545"/>
      <c r="PGI210" s="545"/>
      <c r="PGJ210" s="545"/>
      <c r="PGK210" s="545"/>
      <c r="PGL210" s="545"/>
      <c r="PGM210" s="545"/>
      <c r="PGN210" s="545"/>
      <c r="PGO210" s="545"/>
      <c r="PGP210" s="545"/>
      <c r="PGQ210" s="545"/>
      <c r="PGR210" s="545"/>
      <c r="PGS210" s="545"/>
      <c r="PGT210" s="545"/>
      <c r="PGU210" s="545"/>
      <c r="PGV210" s="545"/>
      <c r="PGW210" s="545"/>
      <c r="PGX210" s="545"/>
      <c r="PGY210" s="545"/>
      <c r="PGZ210" s="545"/>
      <c r="PHA210" s="545"/>
      <c r="PHB210" s="545"/>
      <c r="PHC210" s="545"/>
      <c r="PHD210" s="545"/>
      <c r="PHE210" s="545"/>
      <c r="PHF210" s="545"/>
      <c r="PHG210" s="545"/>
      <c r="PHH210" s="545"/>
      <c r="PHI210" s="545"/>
      <c r="PHJ210" s="545"/>
      <c r="PHK210" s="545"/>
      <c r="PHL210" s="545"/>
      <c r="PHM210" s="545"/>
      <c r="PHN210" s="545"/>
      <c r="PHO210" s="545"/>
      <c r="PHP210" s="545"/>
      <c r="PHQ210" s="545"/>
      <c r="PHR210" s="545"/>
      <c r="PHS210" s="545"/>
      <c r="PHT210" s="545"/>
      <c r="PHU210" s="545"/>
      <c r="PHV210" s="545"/>
      <c r="PHW210" s="545"/>
      <c r="PHX210" s="545"/>
      <c r="PHY210" s="545"/>
      <c r="PHZ210" s="545"/>
      <c r="PIA210" s="545"/>
      <c r="PIB210" s="545"/>
      <c r="PIC210" s="545"/>
      <c r="PID210" s="545"/>
      <c r="PIE210" s="545"/>
      <c r="PIF210" s="545"/>
      <c r="PIG210" s="545"/>
      <c r="PIH210" s="545"/>
      <c r="PII210" s="545"/>
      <c r="PIJ210" s="545"/>
      <c r="PIK210" s="545"/>
      <c r="PIL210" s="545"/>
      <c r="PIM210" s="545"/>
      <c r="PIN210" s="545"/>
      <c r="PIO210" s="545"/>
      <c r="PIP210" s="545"/>
      <c r="PIQ210" s="545"/>
      <c r="PIR210" s="545"/>
      <c r="PIS210" s="545"/>
      <c r="PIT210" s="545"/>
      <c r="PIU210" s="545"/>
      <c r="PIV210" s="545"/>
      <c r="PIW210" s="545"/>
      <c r="PIX210" s="545"/>
      <c r="PIY210" s="545"/>
      <c r="PIZ210" s="545"/>
      <c r="PJA210" s="545"/>
      <c r="PJB210" s="545"/>
      <c r="PJC210" s="545"/>
      <c r="PJD210" s="545"/>
      <c r="PJE210" s="545"/>
      <c r="PJF210" s="545"/>
      <c r="PJG210" s="545"/>
      <c r="PJH210" s="545"/>
      <c r="PJI210" s="545"/>
      <c r="PJJ210" s="545"/>
      <c r="PJK210" s="545"/>
      <c r="PJL210" s="545"/>
      <c r="PJM210" s="545"/>
      <c r="PJN210" s="545"/>
      <c r="PJO210" s="545"/>
      <c r="PJP210" s="545"/>
      <c r="PJQ210" s="545"/>
      <c r="PJR210" s="545"/>
      <c r="PJS210" s="545"/>
      <c r="PJT210" s="545"/>
      <c r="PJU210" s="545"/>
      <c r="PJV210" s="545"/>
      <c r="PJW210" s="545"/>
      <c r="PJX210" s="545"/>
      <c r="PJY210" s="545"/>
      <c r="PJZ210" s="545"/>
      <c r="PKA210" s="545"/>
      <c r="PKB210" s="545"/>
      <c r="PKC210" s="545"/>
      <c r="PKD210" s="545"/>
      <c r="PKE210" s="545"/>
      <c r="PKF210" s="545"/>
      <c r="PKG210" s="545"/>
      <c r="PKH210" s="545"/>
      <c r="PKI210" s="545"/>
      <c r="PKJ210" s="545"/>
      <c r="PKK210" s="545"/>
      <c r="PKL210" s="545"/>
      <c r="PKM210" s="545"/>
      <c r="PKN210" s="545"/>
      <c r="PKO210" s="545"/>
      <c r="PKP210" s="545"/>
      <c r="PKQ210" s="545"/>
      <c r="PKR210" s="545"/>
      <c r="PKS210" s="545"/>
      <c r="PKT210" s="545"/>
      <c r="PKU210" s="545"/>
      <c r="PKV210" s="545"/>
      <c r="PKW210" s="545"/>
      <c r="PKX210" s="545"/>
      <c r="PKY210" s="545"/>
      <c r="PKZ210" s="545"/>
      <c r="PLA210" s="545"/>
      <c r="PLB210" s="545"/>
      <c r="PLC210" s="545"/>
      <c r="PLD210" s="545"/>
      <c r="PLE210" s="545"/>
      <c r="PLF210" s="545"/>
      <c r="PLG210" s="545"/>
      <c r="PLH210" s="545"/>
      <c r="PLI210" s="545"/>
      <c r="PLJ210" s="545"/>
      <c r="PLK210" s="545"/>
      <c r="PLL210" s="545"/>
      <c r="PLM210" s="545"/>
      <c r="PLN210" s="545"/>
      <c r="PLO210" s="545"/>
      <c r="PLP210" s="545"/>
      <c r="PLQ210" s="545"/>
      <c r="PLR210" s="545"/>
      <c r="PLS210" s="545"/>
      <c r="PLT210" s="545"/>
      <c r="PLU210" s="545"/>
      <c r="PLV210" s="545"/>
      <c r="PLW210" s="545"/>
      <c r="PLX210" s="545"/>
      <c r="PLY210" s="545"/>
      <c r="PLZ210" s="545"/>
      <c r="PMA210" s="545"/>
      <c r="PMB210" s="545"/>
      <c r="PMC210" s="545"/>
      <c r="PMD210" s="545"/>
      <c r="PME210" s="545"/>
      <c r="PMF210" s="545"/>
      <c r="PMG210" s="545"/>
      <c r="PMH210" s="545"/>
      <c r="PMI210" s="545"/>
      <c r="PMJ210" s="545"/>
      <c r="PMK210" s="545"/>
      <c r="PML210" s="545"/>
      <c r="PMM210" s="545"/>
      <c r="PMN210" s="545"/>
      <c r="PMO210" s="545"/>
      <c r="PMP210" s="545"/>
      <c r="PMQ210" s="545"/>
      <c r="PMR210" s="545"/>
      <c r="PMS210" s="545"/>
      <c r="PMT210" s="545"/>
      <c r="PMU210" s="545"/>
      <c r="PMV210" s="545"/>
      <c r="PMW210" s="545"/>
      <c r="PMX210" s="545"/>
      <c r="PMY210" s="545"/>
      <c r="PMZ210" s="545"/>
      <c r="PNA210" s="545"/>
      <c r="PNB210" s="545"/>
      <c r="PNC210" s="545"/>
      <c r="PND210" s="545"/>
      <c r="PNE210" s="545"/>
      <c r="PNF210" s="545"/>
      <c r="PNG210" s="545"/>
      <c r="PNH210" s="545"/>
      <c r="PNI210" s="545"/>
      <c r="PNJ210" s="545"/>
      <c r="PNK210" s="545"/>
      <c r="PNL210" s="545"/>
      <c r="PNM210" s="545"/>
      <c r="PNN210" s="545"/>
      <c r="PNO210" s="545"/>
      <c r="PNP210" s="545"/>
      <c r="PNQ210" s="545"/>
      <c r="PNR210" s="545"/>
      <c r="PNS210" s="545"/>
      <c r="PNT210" s="545"/>
      <c r="PNU210" s="545"/>
      <c r="PNV210" s="545"/>
      <c r="PNW210" s="545"/>
      <c r="PNX210" s="545"/>
      <c r="PNY210" s="545"/>
      <c r="PNZ210" s="545"/>
      <c r="POA210" s="545"/>
      <c r="POB210" s="545"/>
      <c r="POC210" s="545"/>
      <c r="POD210" s="545"/>
      <c r="POE210" s="545"/>
      <c r="POF210" s="545"/>
      <c r="POG210" s="545"/>
      <c r="POH210" s="545"/>
      <c r="POI210" s="545"/>
      <c r="POJ210" s="545"/>
      <c r="POK210" s="545"/>
      <c r="POL210" s="545"/>
      <c r="POM210" s="545"/>
      <c r="PON210" s="545"/>
      <c r="POO210" s="545"/>
      <c r="POP210" s="545"/>
      <c r="POQ210" s="545"/>
      <c r="POR210" s="545"/>
      <c r="POS210" s="545"/>
      <c r="POT210" s="545"/>
      <c r="POU210" s="545"/>
      <c r="POV210" s="545"/>
      <c r="POW210" s="545"/>
      <c r="POX210" s="545"/>
      <c r="POY210" s="545"/>
      <c r="POZ210" s="545"/>
      <c r="PPA210" s="545"/>
      <c r="PPB210" s="545"/>
      <c r="PPC210" s="545"/>
      <c r="PPD210" s="545"/>
      <c r="PPE210" s="545"/>
      <c r="PPF210" s="545"/>
      <c r="PPG210" s="545"/>
      <c r="PPH210" s="545"/>
      <c r="PPI210" s="545"/>
      <c r="PPJ210" s="545"/>
      <c r="PPK210" s="545"/>
      <c r="PPL210" s="545"/>
      <c r="PPM210" s="545"/>
      <c r="PPN210" s="545"/>
      <c r="PPO210" s="545"/>
      <c r="PPP210" s="545"/>
      <c r="PPQ210" s="545"/>
      <c r="PPR210" s="545"/>
      <c r="PPS210" s="545"/>
      <c r="PPT210" s="545"/>
      <c r="PPU210" s="545"/>
      <c r="PPV210" s="545"/>
      <c r="PPW210" s="545"/>
      <c r="PPX210" s="545"/>
      <c r="PPY210" s="545"/>
      <c r="PPZ210" s="545"/>
      <c r="PQA210" s="545"/>
      <c r="PQB210" s="545"/>
      <c r="PQC210" s="545"/>
      <c r="PQD210" s="545"/>
      <c r="PQE210" s="545"/>
      <c r="PQF210" s="545"/>
      <c r="PQG210" s="545"/>
      <c r="PQH210" s="545"/>
      <c r="PQI210" s="545"/>
      <c r="PQJ210" s="545"/>
      <c r="PQK210" s="545"/>
      <c r="PQL210" s="545"/>
      <c r="PQM210" s="545"/>
      <c r="PQN210" s="545"/>
      <c r="PQO210" s="545"/>
      <c r="PQP210" s="545"/>
      <c r="PQQ210" s="545"/>
      <c r="PQR210" s="545"/>
      <c r="PQS210" s="545"/>
      <c r="PQT210" s="545"/>
      <c r="PQU210" s="545"/>
      <c r="PQV210" s="545"/>
      <c r="PQW210" s="545"/>
      <c r="PQX210" s="545"/>
      <c r="PQY210" s="545"/>
      <c r="PQZ210" s="545"/>
      <c r="PRA210" s="545"/>
      <c r="PRB210" s="545"/>
      <c r="PRC210" s="545"/>
      <c r="PRD210" s="545"/>
      <c r="PRE210" s="545"/>
      <c r="PRF210" s="545"/>
      <c r="PRG210" s="545"/>
      <c r="PRH210" s="545"/>
      <c r="PRI210" s="545"/>
      <c r="PRJ210" s="545"/>
      <c r="PRK210" s="545"/>
      <c r="PRL210" s="545"/>
      <c r="PRM210" s="545"/>
      <c r="PRN210" s="545"/>
      <c r="PRO210" s="545"/>
      <c r="PRP210" s="545"/>
      <c r="PRQ210" s="545"/>
      <c r="PRR210" s="545"/>
      <c r="PRS210" s="545"/>
      <c r="PRT210" s="545"/>
      <c r="PRU210" s="545"/>
      <c r="PRV210" s="545"/>
      <c r="PRW210" s="545"/>
      <c r="PRX210" s="545"/>
      <c r="PRY210" s="545"/>
      <c r="PRZ210" s="545"/>
      <c r="PSA210" s="545"/>
      <c r="PSB210" s="545"/>
      <c r="PSC210" s="545"/>
      <c r="PSD210" s="545"/>
      <c r="PSE210" s="545"/>
      <c r="PSF210" s="545"/>
      <c r="PSG210" s="545"/>
      <c r="PSH210" s="545"/>
      <c r="PSI210" s="545"/>
      <c r="PSJ210" s="545"/>
      <c r="PSK210" s="545"/>
      <c r="PSL210" s="545"/>
      <c r="PSM210" s="545"/>
      <c r="PSN210" s="545"/>
      <c r="PSO210" s="545"/>
      <c r="PSP210" s="545"/>
      <c r="PSQ210" s="545"/>
      <c r="PSR210" s="545"/>
      <c r="PSS210" s="545"/>
      <c r="PST210" s="545"/>
      <c r="PSU210" s="545"/>
      <c r="PSV210" s="545"/>
      <c r="PSW210" s="545"/>
      <c r="PSX210" s="545"/>
      <c r="PSY210" s="545"/>
      <c r="PSZ210" s="545"/>
      <c r="PTA210" s="545"/>
      <c r="PTB210" s="545"/>
      <c r="PTC210" s="545"/>
      <c r="PTD210" s="545"/>
      <c r="PTE210" s="545"/>
      <c r="PTF210" s="545"/>
      <c r="PTG210" s="545"/>
      <c r="PTH210" s="545"/>
      <c r="PTI210" s="545"/>
      <c r="PTJ210" s="545"/>
      <c r="PTK210" s="545"/>
      <c r="PTL210" s="545"/>
      <c r="PTM210" s="545"/>
      <c r="PTN210" s="545"/>
      <c r="PTO210" s="545"/>
      <c r="PTP210" s="545"/>
      <c r="PTQ210" s="545"/>
      <c r="PTR210" s="545"/>
      <c r="PTS210" s="545"/>
      <c r="PTT210" s="545"/>
      <c r="PTU210" s="545"/>
      <c r="PTV210" s="545"/>
      <c r="PTW210" s="545"/>
      <c r="PTX210" s="545"/>
      <c r="PTY210" s="545"/>
      <c r="PTZ210" s="545"/>
      <c r="PUA210" s="545"/>
      <c r="PUB210" s="545"/>
      <c r="PUC210" s="545"/>
      <c r="PUD210" s="545"/>
      <c r="PUE210" s="545"/>
      <c r="PUF210" s="545"/>
      <c r="PUG210" s="545"/>
      <c r="PUH210" s="545"/>
      <c r="PUI210" s="545"/>
      <c r="PUJ210" s="545"/>
      <c r="PUK210" s="545"/>
      <c r="PUL210" s="545"/>
      <c r="PUM210" s="545"/>
      <c r="PUN210" s="545"/>
      <c r="PUO210" s="545"/>
      <c r="PUP210" s="545"/>
      <c r="PUQ210" s="545"/>
      <c r="PUR210" s="545"/>
      <c r="PUS210" s="545"/>
      <c r="PUT210" s="545"/>
      <c r="PUU210" s="545"/>
      <c r="PUV210" s="545"/>
      <c r="PUW210" s="545"/>
      <c r="PUX210" s="545"/>
      <c r="PUY210" s="545"/>
      <c r="PUZ210" s="545"/>
      <c r="PVA210" s="545"/>
      <c r="PVB210" s="545"/>
      <c r="PVC210" s="545"/>
      <c r="PVD210" s="545"/>
      <c r="PVE210" s="545"/>
      <c r="PVF210" s="545"/>
      <c r="PVG210" s="545"/>
      <c r="PVH210" s="545"/>
      <c r="PVI210" s="545"/>
      <c r="PVJ210" s="545"/>
      <c r="PVK210" s="545"/>
      <c r="PVL210" s="545"/>
      <c r="PVM210" s="545"/>
      <c r="PVN210" s="545"/>
      <c r="PVO210" s="545"/>
      <c r="PVP210" s="545"/>
      <c r="PVQ210" s="545"/>
      <c r="PVR210" s="545"/>
      <c r="PVS210" s="545"/>
      <c r="PVT210" s="545"/>
      <c r="PVU210" s="545"/>
      <c r="PVV210" s="545"/>
      <c r="PVW210" s="545"/>
      <c r="PVX210" s="545"/>
      <c r="PVY210" s="545"/>
      <c r="PVZ210" s="545"/>
      <c r="PWA210" s="545"/>
      <c r="PWB210" s="545"/>
      <c r="PWC210" s="545"/>
      <c r="PWD210" s="545"/>
      <c r="PWE210" s="545"/>
      <c r="PWF210" s="545"/>
      <c r="PWG210" s="545"/>
      <c r="PWH210" s="545"/>
      <c r="PWI210" s="545"/>
      <c r="PWJ210" s="545"/>
      <c r="PWK210" s="545"/>
      <c r="PWL210" s="545"/>
      <c r="PWM210" s="545"/>
      <c r="PWN210" s="545"/>
      <c r="PWO210" s="545"/>
      <c r="PWP210" s="545"/>
      <c r="PWQ210" s="545"/>
      <c r="PWR210" s="545"/>
      <c r="PWS210" s="545"/>
      <c r="PWT210" s="545"/>
      <c r="PWU210" s="545"/>
      <c r="PWV210" s="545"/>
      <c r="PWW210" s="545"/>
      <c r="PWX210" s="545"/>
      <c r="PWY210" s="545"/>
      <c r="PWZ210" s="545"/>
      <c r="PXA210" s="545"/>
      <c r="PXB210" s="545"/>
      <c r="PXC210" s="545"/>
      <c r="PXD210" s="545"/>
      <c r="PXE210" s="545"/>
      <c r="PXF210" s="545"/>
      <c r="PXG210" s="545"/>
      <c r="PXH210" s="545"/>
      <c r="PXI210" s="545"/>
      <c r="PXJ210" s="545"/>
      <c r="PXK210" s="545"/>
      <c r="PXL210" s="545"/>
      <c r="PXM210" s="545"/>
      <c r="PXN210" s="545"/>
      <c r="PXO210" s="545"/>
      <c r="PXP210" s="545"/>
      <c r="PXQ210" s="545"/>
      <c r="PXR210" s="545"/>
      <c r="PXS210" s="545"/>
      <c r="PXT210" s="545"/>
      <c r="PXU210" s="545"/>
      <c r="PXV210" s="545"/>
      <c r="PXW210" s="545"/>
      <c r="PXX210" s="545"/>
      <c r="PXY210" s="545"/>
      <c r="PXZ210" s="545"/>
      <c r="PYA210" s="545"/>
      <c r="PYB210" s="545"/>
      <c r="PYC210" s="545"/>
      <c r="PYD210" s="545"/>
      <c r="PYE210" s="545"/>
      <c r="PYF210" s="545"/>
      <c r="PYG210" s="545"/>
      <c r="PYH210" s="545"/>
      <c r="PYI210" s="545"/>
      <c r="PYJ210" s="545"/>
      <c r="PYK210" s="545"/>
      <c r="PYL210" s="545"/>
      <c r="PYM210" s="545"/>
      <c r="PYN210" s="545"/>
      <c r="PYO210" s="545"/>
      <c r="PYP210" s="545"/>
      <c r="PYQ210" s="545"/>
      <c r="PYR210" s="545"/>
      <c r="PYS210" s="545"/>
      <c r="PYT210" s="545"/>
      <c r="PYU210" s="545"/>
      <c r="PYV210" s="545"/>
      <c r="PYW210" s="545"/>
      <c r="PYX210" s="545"/>
      <c r="PYY210" s="545"/>
      <c r="PYZ210" s="545"/>
      <c r="PZA210" s="545"/>
      <c r="PZB210" s="545"/>
      <c r="PZC210" s="545"/>
      <c r="PZD210" s="545"/>
      <c r="PZE210" s="545"/>
      <c r="PZF210" s="545"/>
      <c r="PZG210" s="545"/>
      <c r="PZH210" s="545"/>
      <c r="PZI210" s="545"/>
      <c r="PZJ210" s="545"/>
      <c r="PZK210" s="545"/>
      <c r="PZL210" s="545"/>
      <c r="PZM210" s="545"/>
      <c r="PZN210" s="545"/>
      <c r="PZO210" s="545"/>
      <c r="PZP210" s="545"/>
      <c r="PZQ210" s="545"/>
      <c r="PZR210" s="545"/>
      <c r="PZS210" s="545"/>
      <c r="PZT210" s="545"/>
      <c r="PZU210" s="545"/>
      <c r="PZV210" s="545"/>
      <c r="PZW210" s="545"/>
      <c r="PZX210" s="545"/>
      <c r="PZY210" s="545"/>
      <c r="PZZ210" s="545"/>
      <c r="QAA210" s="545"/>
      <c r="QAB210" s="545"/>
      <c r="QAC210" s="545"/>
      <c r="QAD210" s="545"/>
      <c r="QAE210" s="545"/>
      <c r="QAF210" s="545"/>
      <c r="QAG210" s="545"/>
      <c r="QAH210" s="545"/>
      <c r="QAI210" s="545"/>
      <c r="QAJ210" s="545"/>
      <c r="QAK210" s="545"/>
      <c r="QAL210" s="545"/>
      <c r="QAM210" s="545"/>
      <c r="QAN210" s="545"/>
      <c r="QAO210" s="545"/>
      <c r="QAP210" s="545"/>
      <c r="QAQ210" s="545"/>
      <c r="QAR210" s="545"/>
      <c r="QAS210" s="545"/>
      <c r="QAT210" s="545"/>
      <c r="QAU210" s="545"/>
      <c r="QAV210" s="545"/>
      <c r="QAW210" s="545"/>
      <c r="QAX210" s="545"/>
      <c r="QAY210" s="545"/>
      <c r="QAZ210" s="545"/>
      <c r="QBA210" s="545"/>
      <c r="QBB210" s="545"/>
      <c r="QBC210" s="545"/>
      <c r="QBD210" s="545"/>
      <c r="QBE210" s="545"/>
      <c r="QBF210" s="545"/>
      <c r="QBG210" s="545"/>
      <c r="QBH210" s="545"/>
      <c r="QBI210" s="545"/>
      <c r="QBJ210" s="545"/>
      <c r="QBK210" s="545"/>
      <c r="QBL210" s="545"/>
      <c r="QBM210" s="545"/>
      <c r="QBN210" s="545"/>
      <c r="QBO210" s="545"/>
      <c r="QBP210" s="545"/>
      <c r="QBQ210" s="545"/>
      <c r="QBR210" s="545"/>
      <c r="QBS210" s="545"/>
      <c r="QBT210" s="545"/>
      <c r="QBU210" s="545"/>
      <c r="QBV210" s="545"/>
      <c r="QBW210" s="545"/>
      <c r="QBX210" s="545"/>
      <c r="QBY210" s="545"/>
      <c r="QBZ210" s="545"/>
      <c r="QCA210" s="545"/>
      <c r="QCB210" s="545"/>
      <c r="QCC210" s="545"/>
      <c r="QCD210" s="545"/>
      <c r="QCE210" s="545"/>
      <c r="QCF210" s="545"/>
      <c r="QCG210" s="545"/>
      <c r="QCH210" s="545"/>
      <c r="QCI210" s="545"/>
      <c r="QCJ210" s="545"/>
      <c r="QCK210" s="545"/>
      <c r="QCL210" s="545"/>
      <c r="QCM210" s="545"/>
      <c r="QCN210" s="545"/>
      <c r="QCO210" s="545"/>
      <c r="QCP210" s="545"/>
      <c r="QCQ210" s="545"/>
      <c r="QCR210" s="545"/>
      <c r="QCS210" s="545"/>
      <c r="QCT210" s="545"/>
      <c r="QCU210" s="545"/>
      <c r="QCV210" s="545"/>
      <c r="QCW210" s="545"/>
      <c r="QCX210" s="545"/>
      <c r="QCY210" s="545"/>
      <c r="QCZ210" s="545"/>
      <c r="QDA210" s="545"/>
      <c r="QDB210" s="545"/>
      <c r="QDC210" s="545"/>
      <c r="QDD210" s="545"/>
      <c r="QDE210" s="545"/>
      <c r="QDF210" s="545"/>
      <c r="QDG210" s="545"/>
      <c r="QDH210" s="545"/>
      <c r="QDI210" s="545"/>
      <c r="QDJ210" s="545"/>
      <c r="QDK210" s="545"/>
      <c r="QDL210" s="545"/>
      <c r="QDM210" s="545"/>
      <c r="QDN210" s="545"/>
      <c r="QDO210" s="545"/>
      <c r="QDP210" s="545"/>
      <c r="QDQ210" s="545"/>
      <c r="QDR210" s="545"/>
      <c r="QDS210" s="545"/>
      <c r="QDT210" s="545"/>
      <c r="QDU210" s="545"/>
      <c r="QDV210" s="545"/>
      <c r="QDW210" s="545"/>
      <c r="QDX210" s="545"/>
      <c r="QDY210" s="545"/>
      <c r="QDZ210" s="545"/>
      <c r="QEA210" s="545"/>
      <c r="QEB210" s="545"/>
      <c r="QEC210" s="545"/>
      <c r="QED210" s="545"/>
      <c r="QEE210" s="545"/>
      <c r="QEF210" s="545"/>
      <c r="QEG210" s="545"/>
      <c r="QEH210" s="545"/>
      <c r="QEI210" s="545"/>
      <c r="QEJ210" s="545"/>
      <c r="QEK210" s="545"/>
      <c r="QEL210" s="545"/>
      <c r="QEM210" s="545"/>
      <c r="QEN210" s="545"/>
      <c r="QEO210" s="545"/>
      <c r="QEP210" s="545"/>
      <c r="QEQ210" s="545"/>
      <c r="QER210" s="545"/>
      <c r="QES210" s="545"/>
      <c r="QET210" s="545"/>
      <c r="QEU210" s="545"/>
      <c r="QEV210" s="545"/>
      <c r="QEW210" s="545"/>
      <c r="QEX210" s="545"/>
      <c r="QEY210" s="545"/>
      <c r="QEZ210" s="545"/>
      <c r="QFA210" s="545"/>
      <c r="QFB210" s="545"/>
      <c r="QFC210" s="545"/>
      <c r="QFD210" s="545"/>
      <c r="QFE210" s="545"/>
      <c r="QFF210" s="545"/>
      <c r="QFG210" s="545"/>
      <c r="QFH210" s="545"/>
      <c r="QFI210" s="545"/>
      <c r="QFJ210" s="545"/>
      <c r="QFK210" s="545"/>
      <c r="QFL210" s="545"/>
      <c r="QFM210" s="545"/>
      <c r="QFN210" s="545"/>
      <c r="QFO210" s="545"/>
      <c r="QFP210" s="545"/>
      <c r="QFQ210" s="545"/>
      <c r="QFR210" s="545"/>
      <c r="QFS210" s="545"/>
      <c r="QFT210" s="545"/>
      <c r="QFU210" s="545"/>
      <c r="QFV210" s="545"/>
      <c r="QFW210" s="545"/>
      <c r="QFX210" s="545"/>
      <c r="QFY210" s="545"/>
      <c r="QFZ210" s="545"/>
      <c r="QGA210" s="545"/>
      <c r="QGB210" s="545"/>
      <c r="QGC210" s="545"/>
      <c r="QGD210" s="545"/>
      <c r="QGE210" s="545"/>
      <c r="QGF210" s="545"/>
      <c r="QGG210" s="545"/>
      <c r="QGH210" s="545"/>
      <c r="QGI210" s="545"/>
      <c r="QGJ210" s="545"/>
      <c r="QGK210" s="545"/>
      <c r="QGL210" s="545"/>
      <c r="QGM210" s="545"/>
      <c r="QGN210" s="545"/>
      <c r="QGO210" s="545"/>
      <c r="QGP210" s="545"/>
      <c r="QGQ210" s="545"/>
      <c r="QGR210" s="545"/>
      <c r="QGS210" s="545"/>
      <c r="QGT210" s="545"/>
      <c r="QGU210" s="545"/>
      <c r="QGV210" s="545"/>
      <c r="QGW210" s="545"/>
      <c r="QGX210" s="545"/>
      <c r="QGY210" s="545"/>
      <c r="QGZ210" s="545"/>
      <c r="QHA210" s="545"/>
      <c r="QHB210" s="545"/>
      <c r="QHC210" s="545"/>
      <c r="QHD210" s="545"/>
      <c r="QHE210" s="545"/>
      <c r="QHF210" s="545"/>
      <c r="QHG210" s="545"/>
      <c r="QHH210" s="545"/>
      <c r="QHI210" s="545"/>
      <c r="QHJ210" s="545"/>
      <c r="QHK210" s="545"/>
      <c r="QHL210" s="545"/>
      <c r="QHM210" s="545"/>
      <c r="QHN210" s="545"/>
      <c r="QHO210" s="545"/>
      <c r="QHP210" s="545"/>
      <c r="QHQ210" s="545"/>
      <c r="QHR210" s="545"/>
      <c r="QHS210" s="545"/>
      <c r="QHT210" s="545"/>
      <c r="QHU210" s="545"/>
      <c r="QHV210" s="545"/>
      <c r="QHW210" s="545"/>
      <c r="QHX210" s="545"/>
      <c r="QHY210" s="545"/>
      <c r="QHZ210" s="545"/>
      <c r="QIA210" s="545"/>
      <c r="QIB210" s="545"/>
      <c r="QIC210" s="545"/>
      <c r="QID210" s="545"/>
      <c r="QIE210" s="545"/>
      <c r="QIF210" s="545"/>
      <c r="QIG210" s="545"/>
      <c r="QIH210" s="545"/>
      <c r="QII210" s="545"/>
      <c r="QIJ210" s="545"/>
      <c r="QIK210" s="545"/>
      <c r="QIL210" s="545"/>
      <c r="QIM210" s="545"/>
      <c r="QIN210" s="545"/>
      <c r="QIO210" s="545"/>
      <c r="QIP210" s="545"/>
      <c r="QIQ210" s="545"/>
      <c r="QIR210" s="545"/>
      <c r="QIS210" s="545"/>
      <c r="QIT210" s="545"/>
      <c r="QIU210" s="545"/>
      <c r="QIV210" s="545"/>
      <c r="QIW210" s="545"/>
      <c r="QIX210" s="545"/>
      <c r="QIY210" s="545"/>
      <c r="QIZ210" s="545"/>
      <c r="QJA210" s="545"/>
      <c r="QJB210" s="545"/>
      <c r="QJC210" s="545"/>
      <c r="QJD210" s="545"/>
      <c r="QJE210" s="545"/>
      <c r="QJF210" s="545"/>
      <c r="QJG210" s="545"/>
      <c r="QJH210" s="545"/>
      <c r="QJI210" s="545"/>
      <c r="QJJ210" s="545"/>
      <c r="QJK210" s="545"/>
      <c r="QJL210" s="545"/>
      <c r="QJM210" s="545"/>
      <c r="QJN210" s="545"/>
      <c r="QJO210" s="545"/>
      <c r="QJP210" s="545"/>
      <c r="QJQ210" s="545"/>
      <c r="QJR210" s="545"/>
      <c r="QJS210" s="545"/>
      <c r="QJT210" s="545"/>
      <c r="QJU210" s="545"/>
      <c r="QJV210" s="545"/>
      <c r="QJW210" s="545"/>
      <c r="QJX210" s="545"/>
      <c r="QJY210" s="545"/>
      <c r="QJZ210" s="545"/>
      <c r="QKA210" s="545"/>
      <c r="QKB210" s="545"/>
      <c r="QKC210" s="545"/>
      <c r="QKD210" s="545"/>
      <c r="QKE210" s="545"/>
      <c r="QKF210" s="545"/>
      <c r="QKG210" s="545"/>
      <c r="QKH210" s="545"/>
      <c r="QKI210" s="545"/>
      <c r="QKJ210" s="545"/>
      <c r="QKK210" s="545"/>
      <c r="QKL210" s="545"/>
      <c r="QKM210" s="545"/>
      <c r="QKN210" s="545"/>
      <c r="QKO210" s="545"/>
      <c r="QKP210" s="545"/>
      <c r="QKQ210" s="545"/>
      <c r="QKR210" s="545"/>
      <c r="QKS210" s="545"/>
      <c r="QKT210" s="545"/>
      <c r="QKU210" s="545"/>
      <c r="QKV210" s="545"/>
      <c r="QKW210" s="545"/>
      <c r="QKX210" s="545"/>
      <c r="QKY210" s="545"/>
      <c r="QKZ210" s="545"/>
      <c r="QLA210" s="545"/>
      <c r="QLB210" s="545"/>
      <c r="QLC210" s="545"/>
      <c r="QLD210" s="545"/>
      <c r="QLE210" s="545"/>
      <c r="QLF210" s="545"/>
      <c r="QLG210" s="545"/>
      <c r="QLH210" s="545"/>
      <c r="QLI210" s="545"/>
      <c r="QLJ210" s="545"/>
      <c r="QLK210" s="545"/>
      <c r="QLL210" s="545"/>
      <c r="QLM210" s="545"/>
      <c r="QLN210" s="545"/>
      <c r="QLO210" s="545"/>
      <c r="QLP210" s="545"/>
      <c r="QLQ210" s="545"/>
      <c r="QLR210" s="545"/>
      <c r="QLS210" s="545"/>
      <c r="QLT210" s="545"/>
      <c r="QLU210" s="545"/>
      <c r="QLV210" s="545"/>
      <c r="QLW210" s="545"/>
      <c r="QLX210" s="545"/>
      <c r="QLY210" s="545"/>
      <c r="QLZ210" s="545"/>
      <c r="QMA210" s="545"/>
      <c r="QMB210" s="545"/>
      <c r="QMC210" s="545"/>
      <c r="QMD210" s="545"/>
      <c r="QME210" s="545"/>
      <c r="QMF210" s="545"/>
      <c r="QMG210" s="545"/>
      <c r="QMH210" s="545"/>
      <c r="QMI210" s="545"/>
      <c r="QMJ210" s="545"/>
      <c r="QMK210" s="545"/>
      <c r="QML210" s="545"/>
      <c r="QMM210" s="545"/>
      <c r="QMN210" s="545"/>
      <c r="QMO210" s="545"/>
      <c r="QMP210" s="545"/>
      <c r="QMQ210" s="545"/>
      <c r="QMR210" s="545"/>
      <c r="QMS210" s="545"/>
      <c r="QMT210" s="545"/>
      <c r="QMU210" s="545"/>
      <c r="QMV210" s="545"/>
      <c r="QMW210" s="545"/>
      <c r="QMX210" s="545"/>
      <c r="QMY210" s="545"/>
      <c r="QMZ210" s="545"/>
      <c r="QNA210" s="545"/>
      <c r="QNB210" s="545"/>
      <c r="QNC210" s="545"/>
      <c r="QND210" s="545"/>
      <c r="QNE210" s="545"/>
      <c r="QNF210" s="545"/>
      <c r="QNG210" s="545"/>
      <c r="QNH210" s="545"/>
      <c r="QNI210" s="545"/>
      <c r="QNJ210" s="545"/>
      <c r="QNK210" s="545"/>
      <c r="QNL210" s="545"/>
      <c r="QNM210" s="545"/>
      <c r="QNN210" s="545"/>
      <c r="QNO210" s="545"/>
      <c r="QNP210" s="545"/>
      <c r="QNQ210" s="545"/>
      <c r="QNR210" s="545"/>
      <c r="QNS210" s="545"/>
      <c r="QNT210" s="545"/>
      <c r="QNU210" s="545"/>
      <c r="QNV210" s="545"/>
      <c r="QNW210" s="545"/>
      <c r="QNX210" s="545"/>
      <c r="QNY210" s="545"/>
      <c r="QNZ210" s="545"/>
      <c r="QOA210" s="545"/>
      <c r="QOB210" s="545"/>
      <c r="QOC210" s="545"/>
      <c r="QOD210" s="545"/>
      <c r="QOE210" s="545"/>
      <c r="QOF210" s="545"/>
      <c r="QOG210" s="545"/>
      <c r="QOH210" s="545"/>
      <c r="QOI210" s="545"/>
      <c r="QOJ210" s="545"/>
      <c r="QOK210" s="545"/>
      <c r="QOL210" s="545"/>
      <c r="QOM210" s="545"/>
      <c r="QON210" s="545"/>
      <c r="QOO210" s="545"/>
      <c r="QOP210" s="545"/>
      <c r="QOQ210" s="545"/>
      <c r="QOR210" s="545"/>
      <c r="QOS210" s="545"/>
      <c r="QOT210" s="545"/>
      <c r="QOU210" s="545"/>
      <c r="QOV210" s="545"/>
      <c r="QOW210" s="545"/>
      <c r="QOX210" s="545"/>
      <c r="QOY210" s="545"/>
      <c r="QOZ210" s="545"/>
      <c r="QPA210" s="545"/>
      <c r="QPB210" s="545"/>
      <c r="QPC210" s="545"/>
      <c r="QPD210" s="545"/>
      <c r="QPE210" s="545"/>
      <c r="QPF210" s="545"/>
      <c r="QPG210" s="545"/>
      <c r="QPH210" s="545"/>
      <c r="QPI210" s="545"/>
      <c r="QPJ210" s="545"/>
      <c r="QPK210" s="545"/>
      <c r="QPL210" s="545"/>
      <c r="QPM210" s="545"/>
      <c r="QPN210" s="545"/>
      <c r="QPO210" s="545"/>
      <c r="QPP210" s="545"/>
      <c r="QPQ210" s="545"/>
      <c r="QPR210" s="545"/>
      <c r="QPS210" s="545"/>
      <c r="QPT210" s="545"/>
      <c r="QPU210" s="545"/>
      <c r="QPV210" s="545"/>
      <c r="QPW210" s="545"/>
      <c r="QPX210" s="545"/>
      <c r="QPY210" s="545"/>
      <c r="QPZ210" s="545"/>
      <c r="QQA210" s="545"/>
      <c r="QQB210" s="545"/>
      <c r="QQC210" s="545"/>
      <c r="QQD210" s="545"/>
      <c r="QQE210" s="545"/>
      <c r="QQF210" s="545"/>
      <c r="QQG210" s="545"/>
      <c r="QQH210" s="545"/>
      <c r="QQI210" s="545"/>
      <c r="QQJ210" s="545"/>
      <c r="QQK210" s="545"/>
      <c r="QQL210" s="545"/>
      <c r="QQM210" s="545"/>
      <c r="QQN210" s="545"/>
      <c r="QQO210" s="545"/>
      <c r="QQP210" s="545"/>
      <c r="QQQ210" s="545"/>
      <c r="QQR210" s="545"/>
      <c r="QQS210" s="545"/>
      <c r="QQT210" s="545"/>
      <c r="QQU210" s="545"/>
      <c r="QQV210" s="545"/>
      <c r="QQW210" s="545"/>
      <c r="QQX210" s="545"/>
      <c r="QQY210" s="545"/>
      <c r="QQZ210" s="545"/>
      <c r="QRA210" s="545"/>
      <c r="QRB210" s="545"/>
      <c r="QRC210" s="545"/>
      <c r="QRD210" s="545"/>
      <c r="QRE210" s="545"/>
      <c r="QRF210" s="545"/>
      <c r="QRG210" s="545"/>
      <c r="QRH210" s="545"/>
      <c r="QRI210" s="545"/>
      <c r="QRJ210" s="545"/>
      <c r="QRK210" s="545"/>
      <c r="QRL210" s="545"/>
      <c r="QRM210" s="545"/>
      <c r="QRN210" s="545"/>
      <c r="QRO210" s="545"/>
      <c r="QRP210" s="545"/>
      <c r="QRQ210" s="545"/>
      <c r="QRR210" s="545"/>
      <c r="QRS210" s="545"/>
      <c r="QRT210" s="545"/>
      <c r="QRU210" s="545"/>
      <c r="QRV210" s="545"/>
      <c r="QRW210" s="545"/>
      <c r="QRX210" s="545"/>
      <c r="QRY210" s="545"/>
      <c r="QRZ210" s="545"/>
      <c r="QSA210" s="545"/>
      <c r="QSB210" s="545"/>
      <c r="QSC210" s="545"/>
      <c r="QSD210" s="545"/>
      <c r="QSE210" s="545"/>
      <c r="QSF210" s="545"/>
      <c r="QSG210" s="545"/>
      <c r="QSH210" s="545"/>
      <c r="QSI210" s="545"/>
      <c r="QSJ210" s="545"/>
      <c r="QSK210" s="545"/>
      <c r="QSL210" s="545"/>
      <c r="QSM210" s="545"/>
      <c r="QSN210" s="545"/>
      <c r="QSO210" s="545"/>
      <c r="QSP210" s="545"/>
      <c r="QSQ210" s="545"/>
      <c r="QSR210" s="545"/>
      <c r="QSS210" s="545"/>
      <c r="QST210" s="545"/>
      <c r="QSU210" s="545"/>
      <c r="QSV210" s="545"/>
      <c r="QSW210" s="545"/>
      <c r="QSX210" s="545"/>
      <c r="QSY210" s="545"/>
      <c r="QSZ210" s="545"/>
      <c r="QTA210" s="545"/>
      <c r="QTB210" s="545"/>
      <c r="QTC210" s="545"/>
      <c r="QTD210" s="545"/>
      <c r="QTE210" s="545"/>
      <c r="QTF210" s="545"/>
      <c r="QTG210" s="545"/>
      <c r="QTH210" s="545"/>
      <c r="QTI210" s="545"/>
      <c r="QTJ210" s="545"/>
      <c r="QTK210" s="545"/>
      <c r="QTL210" s="545"/>
      <c r="QTM210" s="545"/>
      <c r="QTN210" s="545"/>
      <c r="QTO210" s="545"/>
      <c r="QTP210" s="545"/>
      <c r="QTQ210" s="545"/>
      <c r="QTR210" s="545"/>
      <c r="QTS210" s="545"/>
      <c r="QTT210" s="545"/>
      <c r="QTU210" s="545"/>
      <c r="QTV210" s="545"/>
      <c r="QTW210" s="545"/>
      <c r="QTX210" s="545"/>
      <c r="QTY210" s="545"/>
      <c r="QTZ210" s="545"/>
      <c r="QUA210" s="545"/>
      <c r="QUB210" s="545"/>
      <c r="QUC210" s="545"/>
      <c r="QUD210" s="545"/>
      <c r="QUE210" s="545"/>
      <c r="QUF210" s="545"/>
      <c r="QUG210" s="545"/>
      <c r="QUH210" s="545"/>
      <c r="QUI210" s="545"/>
      <c r="QUJ210" s="545"/>
      <c r="QUK210" s="545"/>
      <c r="QUL210" s="545"/>
      <c r="QUM210" s="545"/>
      <c r="QUN210" s="545"/>
      <c r="QUO210" s="545"/>
      <c r="QUP210" s="545"/>
      <c r="QUQ210" s="545"/>
      <c r="QUR210" s="545"/>
      <c r="QUS210" s="545"/>
      <c r="QUT210" s="545"/>
      <c r="QUU210" s="545"/>
      <c r="QUV210" s="545"/>
      <c r="QUW210" s="545"/>
      <c r="QUX210" s="545"/>
      <c r="QUY210" s="545"/>
      <c r="QUZ210" s="545"/>
      <c r="QVA210" s="545"/>
      <c r="QVB210" s="545"/>
      <c r="QVC210" s="545"/>
      <c r="QVD210" s="545"/>
      <c r="QVE210" s="545"/>
      <c r="QVF210" s="545"/>
      <c r="QVG210" s="545"/>
      <c r="QVH210" s="545"/>
      <c r="QVI210" s="545"/>
      <c r="QVJ210" s="545"/>
      <c r="QVK210" s="545"/>
      <c r="QVL210" s="545"/>
      <c r="QVM210" s="545"/>
      <c r="QVN210" s="545"/>
      <c r="QVO210" s="545"/>
      <c r="QVP210" s="545"/>
      <c r="QVQ210" s="545"/>
      <c r="QVR210" s="545"/>
      <c r="QVS210" s="545"/>
      <c r="QVT210" s="545"/>
      <c r="QVU210" s="545"/>
      <c r="QVV210" s="545"/>
      <c r="QVW210" s="545"/>
      <c r="QVX210" s="545"/>
      <c r="QVY210" s="545"/>
      <c r="QVZ210" s="545"/>
      <c r="QWA210" s="545"/>
      <c r="QWB210" s="545"/>
      <c r="QWC210" s="545"/>
      <c r="QWD210" s="545"/>
      <c r="QWE210" s="545"/>
      <c r="QWF210" s="545"/>
      <c r="QWG210" s="545"/>
      <c r="QWH210" s="545"/>
      <c r="QWI210" s="545"/>
      <c r="QWJ210" s="545"/>
      <c r="QWK210" s="545"/>
      <c r="QWL210" s="545"/>
      <c r="QWM210" s="545"/>
      <c r="QWN210" s="545"/>
      <c r="QWO210" s="545"/>
      <c r="QWP210" s="545"/>
      <c r="QWQ210" s="545"/>
      <c r="QWR210" s="545"/>
      <c r="QWS210" s="545"/>
      <c r="QWT210" s="545"/>
      <c r="QWU210" s="545"/>
      <c r="QWV210" s="545"/>
      <c r="QWW210" s="545"/>
      <c r="QWX210" s="545"/>
      <c r="QWY210" s="545"/>
      <c r="QWZ210" s="545"/>
      <c r="QXA210" s="545"/>
      <c r="QXB210" s="545"/>
      <c r="QXC210" s="545"/>
      <c r="QXD210" s="545"/>
      <c r="QXE210" s="545"/>
      <c r="QXF210" s="545"/>
      <c r="QXG210" s="545"/>
      <c r="QXH210" s="545"/>
      <c r="QXI210" s="545"/>
      <c r="QXJ210" s="545"/>
      <c r="QXK210" s="545"/>
      <c r="QXL210" s="545"/>
      <c r="QXM210" s="545"/>
      <c r="QXN210" s="545"/>
      <c r="QXO210" s="545"/>
      <c r="QXP210" s="545"/>
      <c r="QXQ210" s="545"/>
      <c r="QXR210" s="545"/>
      <c r="QXS210" s="545"/>
      <c r="QXT210" s="545"/>
      <c r="QXU210" s="545"/>
      <c r="QXV210" s="545"/>
      <c r="QXW210" s="545"/>
      <c r="QXX210" s="545"/>
      <c r="QXY210" s="545"/>
      <c r="QXZ210" s="545"/>
      <c r="QYA210" s="545"/>
      <c r="QYB210" s="545"/>
      <c r="QYC210" s="545"/>
      <c r="QYD210" s="545"/>
      <c r="QYE210" s="545"/>
      <c r="QYF210" s="545"/>
      <c r="QYG210" s="545"/>
      <c r="QYH210" s="545"/>
      <c r="QYI210" s="545"/>
      <c r="QYJ210" s="545"/>
      <c r="QYK210" s="545"/>
      <c r="QYL210" s="545"/>
      <c r="QYM210" s="545"/>
      <c r="QYN210" s="545"/>
      <c r="QYO210" s="545"/>
      <c r="QYP210" s="545"/>
      <c r="QYQ210" s="545"/>
      <c r="QYR210" s="545"/>
      <c r="QYS210" s="545"/>
      <c r="QYT210" s="545"/>
      <c r="QYU210" s="545"/>
      <c r="QYV210" s="545"/>
      <c r="QYW210" s="545"/>
      <c r="QYX210" s="545"/>
      <c r="QYY210" s="545"/>
      <c r="QYZ210" s="545"/>
      <c r="QZA210" s="545"/>
      <c r="QZB210" s="545"/>
      <c r="QZC210" s="545"/>
      <c r="QZD210" s="545"/>
      <c r="QZE210" s="545"/>
      <c r="QZF210" s="545"/>
      <c r="QZG210" s="545"/>
      <c r="QZH210" s="545"/>
      <c r="QZI210" s="545"/>
      <c r="QZJ210" s="545"/>
      <c r="QZK210" s="545"/>
      <c r="QZL210" s="545"/>
      <c r="QZM210" s="545"/>
      <c r="QZN210" s="545"/>
      <c r="QZO210" s="545"/>
      <c r="QZP210" s="545"/>
      <c r="QZQ210" s="545"/>
      <c r="QZR210" s="545"/>
      <c r="QZS210" s="545"/>
      <c r="QZT210" s="545"/>
      <c r="QZU210" s="545"/>
      <c r="QZV210" s="545"/>
      <c r="QZW210" s="545"/>
      <c r="QZX210" s="545"/>
      <c r="QZY210" s="545"/>
      <c r="QZZ210" s="545"/>
      <c r="RAA210" s="545"/>
      <c r="RAB210" s="545"/>
      <c r="RAC210" s="545"/>
      <c r="RAD210" s="545"/>
      <c r="RAE210" s="545"/>
      <c r="RAF210" s="545"/>
      <c r="RAG210" s="545"/>
      <c r="RAH210" s="545"/>
      <c r="RAI210" s="545"/>
      <c r="RAJ210" s="545"/>
      <c r="RAK210" s="545"/>
      <c r="RAL210" s="545"/>
      <c r="RAM210" s="545"/>
      <c r="RAN210" s="545"/>
      <c r="RAO210" s="545"/>
      <c r="RAP210" s="545"/>
      <c r="RAQ210" s="545"/>
      <c r="RAR210" s="545"/>
      <c r="RAS210" s="545"/>
      <c r="RAT210" s="545"/>
      <c r="RAU210" s="545"/>
      <c r="RAV210" s="545"/>
      <c r="RAW210" s="545"/>
      <c r="RAX210" s="545"/>
      <c r="RAY210" s="545"/>
      <c r="RAZ210" s="545"/>
      <c r="RBA210" s="545"/>
      <c r="RBB210" s="545"/>
      <c r="RBC210" s="545"/>
      <c r="RBD210" s="545"/>
      <c r="RBE210" s="545"/>
      <c r="RBF210" s="545"/>
      <c r="RBG210" s="545"/>
      <c r="RBH210" s="545"/>
      <c r="RBI210" s="545"/>
      <c r="RBJ210" s="545"/>
      <c r="RBK210" s="545"/>
      <c r="RBL210" s="545"/>
      <c r="RBM210" s="545"/>
      <c r="RBN210" s="545"/>
      <c r="RBO210" s="545"/>
      <c r="RBP210" s="545"/>
      <c r="RBQ210" s="545"/>
      <c r="RBR210" s="545"/>
      <c r="RBS210" s="545"/>
      <c r="RBT210" s="545"/>
      <c r="RBU210" s="545"/>
      <c r="RBV210" s="545"/>
      <c r="RBW210" s="545"/>
      <c r="RBX210" s="545"/>
      <c r="RBY210" s="545"/>
      <c r="RBZ210" s="545"/>
      <c r="RCA210" s="545"/>
      <c r="RCB210" s="545"/>
      <c r="RCC210" s="545"/>
      <c r="RCD210" s="545"/>
      <c r="RCE210" s="545"/>
      <c r="RCF210" s="545"/>
      <c r="RCG210" s="545"/>
      <c r="RCH210" s="545"/>
      <c r="RCI210" s="545"/>
      <c r="RCJ210" s="545"/>
      <c r="RCK210" s="545"/>
      <c r="RCL210" s="545"/>
      <c r="RCM210" s="545"/>
      <c r="RCN210" s="545"/>
      <c r="RCO210" s="545"/>
      <c r="RCP210" s="545"/>
      <c r="RCQ210" s="545"/>
      <c r="RCR210" s="545"/>
      <c r="RCS210" s="545"/>
      <c r="RCT210" s="545"/>
      <c r="RCU210" s="545"/>
      <c r="RCV210" s="545"/>
      <c r="RCW210" s="545"/>
      <c r="RCX210" s="545"/>
      <c r="RCY210" s="545"/>
      <c r="RCZ210" s="545"/>
      <c r="RDA210" s="545"/>
      <c r="RDB210" s="545"/>
      <c r="RDC210" s="545"/>
      <c r="RDD210" s="545"/>
      <c r="RDE210" s="545"/>
      <c r="RDF210" s="545"/>
      <c r="RDG210" s="545"/>
      <c r="RDH210" s="545"/>
      <c r="RDI210" s="545"/>
      <c r="RDJ210" s="545"/>
      <c r="RDK210" s="545"/>
      <c r="RDL210" s="545"/>
      <c r="RDM210" s="545"/>
      <c r="RDN210" s="545"/>
      <c r="RDO210" s="545"/>
      <c r="RDP210" s="545"/>
      <c r="RDQ210" s="545"/>
      <c r="RDR210" s="545"/>
      <c r="RDS210" s="545"/>
      <c r="RDT210" s="545"/>
      <c r="RDU210" s="545"/>
      <c r="RDV210" s="545"/>
      <c r="RDW210" s="545"/>
      <c r="RDX210" s="545"/>
      <c r="RDY210" s="545"/>
      <c r="RDZ210" s="545"/>
      <c r="REA210" s="545"/>
      <c r="REB210" s="545"/>
      <c r="REC210" s="545"/>
      <c r="RED210" s="545"/>
      <c r="REE210" s="545"/>
      <c r="REF210" s="545"/>
      <c r="REG210" s="545"/>
      <c r="REH210" s="545"/>
      <c r="REI210" s="545"/>
      <c r="REJ210" s="545"/>
      <c r="REK210" s="545"/>
      <c r="REL210" s="545"/>
      <c r="REM210" s="545"/>
      <c r="REN210" s="545"/>
      <c r="REO210" s="545"/>
      <c r="REP210" s="545"/>
      <c r="REQ210" s="545"/>
      <c r="RER210" s="545"/>
      <c r="RES210" s="545"/>
      <c r="RET210" s="545"/>
      <c r="REU210" s="545"/>
      <c r="REV210" s="545"/>
      <c r="REW210" s="545"/>
      <c r="REX210" s="545"/>
      <c r="REY210" s="545"/>
      <c r="REZ210" s="545"/>
      <c r="RFA210" s="545"/>
      <c r="RFB210" s="545"/>
      <c r="RFC210" s="545"/>
      <c r="RFD210" s="545"/>
      <c r="RFE210" s="545"/>
      <c r="RFF210" s="545"/>
      <c r="RFG210" s="545"/>
      <c r="RFH210" s="545"/>
      <c r="RFI210" s="545"/>
      <c r="RFJ210" s="545"/>
      <c r="RFK210" s="545"/>
      <c r="RFL210" s="545"/>
      <c r="RFM210" s="545"/>
      <c r="RFN210" s="545"/>
      <c r="RFO210" s="545"/>
      <c r="RFP210" s="545"/>
      <c r="RFQ210" s="545"/>
      <c r="RFR210" s="545"/>
      <c r="RFS210" s="545"/>
      <c r="RFT210" s="545"/>
      <c r="RFU210" s="545"/>
      <c r="RFV210" s="545"/>
      <c r="RFW210" s="545"/>
      <c r="RFX210" s="545"/>
      <c r="RFY210" s="545"/>
      <c r="RFZ210" s="545"/>
      <c r="RGA210" s="545"/>
      <c r="RGB210" s="545"/>
      <c r="RGC210" s="545"/>
      <c r="RGD210" s="545"/>
      <c r="RGE210" s="545"/>
      <c r="RGF210" s="545"/>
      <c r="RGG210" s="545"/>
      <c r="RGH210" s="545"/>
      <c r="RGI210" s="545"/>
      <c r="RGJ210" s="545"/>
      <c r="RGK210" s="545"/>
      <c r="RGL210" s="545"/>
      <c r="RGM210" s="545"/>
      <c r="RGN210" s="545"/>
      <c r="RGO210" s="545"/>
      <c r="RGP210" s="545"/>
      <c r="RGQ210" s="545"/>
      <c r="RGR210" s="545"/>
      <c r="RGS210" s="545"/>
      <c r="RGT210" s="545"/>
      <c r="RGU210" s="545"/>
      <c r="RGV210" s="545"/>
      <c r="RGW210" s="545"/>
      <c r="RGX210" s="545"/>
      <c r="RGY210" s="545"/>
      <c r="RGZ210" s="545"/>
      <c r="RHA210" s="545"/>
      <c r="RHB210" s="545"/>
      <c r="RHC210" s="545"/>
      <c r="RHD210" s="545"/>
      <c r="RHE210" s="545"/>
      <c r="RHF210" s="545"/>
      <c r="RHG210" s="545"/>
      <c r="RHH210" s="545"/>
      <c r="RHI210" s="545"/>
      <c r="RHJ210" s="545"/>
      <c r="RHK210" s="545"/>
      <c r="RHL210" s="545"/>
      <c r="RHM210" s="545"/>
      <c r="RHN210" s="545"/>
      <c r="RHO210" s="545"/>
      <c r="RHP210" s="545"/>
      <c r="RHQ210" s="545"/>
      <c r="RHR210" s="545"/>
      <c r="RHS210" s="545"/>
      <c r="RHT210" s="545"/>
      <c r="RHU210" s="545"/>
      <c r="RHV210" s="545"/>
      <c r="RHW210" s="545"/>
      <c r="RHX210" s="545"/>
      <c r="RHY210" s="545"/>
      <c r="RHZ210" s="545"/>
      <c r="RIA210" s="545"/>
      <c r="RIB210" s="545"/>
      <c r="RIC210" s="545"/>
      <c r="RID210" s="545"/>
      <c r="RIE210" s="545"/>
      <c r="RIF210" s="545"/>
      <c r="RIG210" s="545"/>
      <c r="RIH210" s="545"/>
      <c r="RII210" s="545"/>
      <c r="RIJ210" s="545"/>
      <c r="RIK210" s="545"/>
      <c r="RIL210" s="545"/>
      <c r="RIM210" s="545"/>
      <c r="RIN210" s="545"/>
      <c r="RIO210" s="545"/>
      <c r="RIP210" s="545"/>
      <c r="RIQ210" s="545"/>
      <c r="RIR210" s="545"/>
      <c r="RIS210" s="545"/>
      <c r="RIT210" s="545"/>
      <c r="RIU210" s="545"/>
      <c r="RIV210" s="545"/>
      <c r="RIW210" s="545"/>
      <c r="RIX210" s="545"/>
      <c r="RIY210" s="545"/>
      <c r="RIZ210" s="545"/>
      <c r="RJA210" s="545"/>
      <c r="RJB210" s="545"/>
      <c r="RJC210" s="545"/>
      <c r="RJD210" s="545"/>
      <c r="RJE210" s="545"/>
      <c r="RJF210" s="545"/>
      <c r="RJG210" s="545"/>
      <c r="RJH210" s="545"/>
      <c r="RJI210" s="545"/>
      <c r="RJJ210" s="545"/>
      <c r="RJK210" s="545"/>
      <c r="RJL210" s="545"/>
      <c r="RJM210" s="545"/>
      <c r="RJN210" s="545"/>
      <c r="RJO210" s="545"/>
      <c r="RJP210" s="545"/>
      <c r="RJQ210" s="545"/>
      <c r="RJR210" s="545"/>
      <c r="RJS210" s="545"/>
      <c r="RJT210" s="545"/>
      <c r="RJU210" s="545"/>
      <c r="RJV210" s="545"/>
      <c r="RJW210" s="545"/>
      <c r="RJX210" s="545"/>
      <c r="RJY210" s="545"/>
      <c r="RJZ210" s="545"/>
      <c r="RKA210" s="545"/>
      <c r="RKB210" s="545"/>
      <c r="RKC210" s="545"/>
      <c r="RKD210" s="545"/>
      <c r="RKE210" s="545"/>
      <c r="RKF210" s="545"/>
      <c r="RKG210" s="545"/>
      <c r="RKH210" s="545"/>
      <c r="RKI210" s="545"/>
      <c r="RKJ210" s="545"/>
      <c r="RKK210" s="545"/>
      <c r="RKL210" s="545"/>
      <c r="RKM210" s="545"/>
      <c r="RKN210" s="545"/>
      <c r="RKO210" s="545"/>
      <c r="RKP210" s="545"/>
      <c r="RKQ210" s="545"/>
      <c r="RKR210" s="545"/>
      <c r="RKS210" s="545"/>
      <c r="RKT210" s="545"/>
      <c r="RKU210" s="545"/>
      <c r="RKV210" s="545"/>
      <c r="RKW210" s="545"/>
      <c r="RKX210" s="545"/>
      <c r="RKY210" s="545"/>
      <c r="RKZ210" s="545"/>
      <c r="RLA210" s="545"/>
      <c r="RLB210" s="545"/>
      <c r="RLC210" s="545"/>
      <c r="RLD210" s="545"/>
      <c r="RLE210" s="545"/>
      <c r="RLF210" s="545"/>
      <c r="RLG210" s="545"/>
      <c r="RLH210" s="545"/>
      <c r="RLI210" s="545"/>
      <c r="RLJ210" s="545"/>
      <c r="RLK210" s="545"/>
      <c r="RLL210" s="545"/>
      <c r="RLM210" s="545"/>
      <c r="RLN210" s="545"/>
      <c r="RLO210" s="545"/>
      <c r="RLP210" s="545"/>
      <c r="RLQ210" s="545"/>
      <c r="RLR210" s="545"/>
      <c r="RLS210" s="545"/>
      <c r="RLT210" s="545"/>
      <c r="RLU210" s="545"/>
      <c r="RLV210" s="545"/>
      <c r="RLW210" s="545"/>
      <c r="RLX210" s="545"/>
      <c r="RLY210" s="545"/>
      <c r="RLZ210" s="545"/>
      <c r="RMA210" s="545"/>
      <c r="RMB210" s="545"/>
      <c r="RMC210" s="545"/>
      <c r="RMD210" s="545"/>
      <c r="RME210" s="545"/>
      <c r="RMF210" s="545"/>
      <c r="RMG210" s="545"/>
      <c r="RMH210" s="545"/>
      <c r="RMI210" s="545"/>
      <c r="RMJ210" s="545"/>
      <c r="RMK210" s="545"/>
      <c r="RML210" s="545"/>
      <c r="RMM210" s="545"/>
      <c r="RMN210" s="545"/>
      <c r="RMO210" s="545"/>
      <c r="RMP210" s="545"/>
      <c r="RMQ210" s="545"/>
      <c r="RMR210" s="545"/>
      <c r="RMS210" s="545"/>
      <c r="RMT210" s="545"/>
      <c r="RMU210" s="545"/>
      <c r="RMV210" s="545"/>
      <c r="RMW210" s="545"/>
      <c r="RMX210" s="545"/>
      <c r="RMY210" s="545"/>
      <c r="RMZ210" s="545"/>
      <c r="RNA210" s="545"/>
      <c r="RNB210" s="545"/>
      <c r="RNC210" s="545"/>
      <c r="RND210" s="545"/>
      <c r="RNE210" s="545"/>
      <c r="RNF210" s="545"/>
      <c r="RNG210" s="545"/>
      <c r="RNH210" s="545"/>
      <c r="RNI210" s="545"/>
      <c r="RNJ210" s="545"/>
      <c r="RNK210" s="545"/>
      <c r="RNL210" s="545"/>
      <c r="RNM210" s="545"/>
      <c r="RNN210" s="545"/>
      <c r="RNO210" s="545"/>
      <c r="RNP210" s="545"/>
      <c r="RNQ210" s="545"/>
      <c r="RNR210" s="545"/>
      <c r="RNS210" s="545"/>
      <c r="RNT210" s="545"/>
      <c r="RNU210" s="545"/>
      <c r="RNV210" s="545"/>
      <c r="RNW210" s="545"/>
      <c r="RNX210" s="545"/>
      <c r="RNY210" s="545"/>
      <c r="RNZ210" s="545"/>
      <c r="ROA210" s="545"/>
      <c r="ROB210" s="545"/>
      <c r="ROC210" s="545"/>
      <c r="ROD210" s="545"/>
      <c r="ROE210" s="545"/>
      <c r="ROF210" s="545"/>
      <c r="ROG210" s="545"/>
      <c r="ROH210" s="545"/>
      <c r="ROI210" s="545"/>
      <c r="ROJ210" s="545"/>
      <c r="ROK210" s="545"/>
      <c r="ROL210" s="545"/>
      <c r="ROM210" s="545"/>
      <c r="RON210" s="545"/>
      <c r="ROO210" s="545"/>
      <c r="ROP210" s="545"/>
      <c r="ROQ210" s="545"/>
      <c r="ROR210" s="545"/>
      <c r="ROS210" s="545"/>
      <c r="ROT210" s="545"/>
      <c r="ROU210" s="545"/>
      <c r="ROV210" s="545"/>
      <c r="ROW210" s="545"/>
      <c r="ROX210" s="545"/>
      <c r="ROY210" s="545"/>
      <c r="ROZ210" s="545"/>
      <c r="RPA210" s="545"/>
      <c r="RPB210" s="545"/>
      <c r="RPC210" s="545"/>
      <c r="RPD210" s="545"/>
      <c r="RPE210" s="545"/>
      <c r="RPF210" s="545"/>
      <c r="RPG210" s="545"/>
      <c r="RPH210" s="545"/>
      <c r="RPI210" s="545"/>
      <c r="RPJ210" s="545"/>
      <c r="RPK210" s="545"/>
      <c r="RPL210" s="545"/>
      <c r="RPM210" s="545"/>
      <c r="RPN210" s="545"/>
      <c r="RPO210" s="545"/>
      <c r="RPP210" s="545"/>
      <c r="RPQ210" s="545"/>
      <c r="RPR210" s="545"/>
      <c r="RPS210" s="545"/>
      <c r="RPT210" s="545"/>
      <c r="RPU210" s="545"/>
      <c r="RPV210" s="545"/>
      <c r="RPW210" s="545"/>
      <c r="RPX210" s="545"/>
      <c r="RPY210" s="545"/>
      <c r="RPZ210" s="545"/>
      <c r="RQA210" s="545"/>
      <c r="RQB210" s="545"/>
      <c r="RQC210" s="545"/>
      <c r="RQD210" s="545"/>
      <c r="RQE210" s="545"/>
      <c r="RQF210" s="545"/>
      <c r="RQG210" s="545"/>
      <c r="RQH210" s="545"/>
      <c r="RQI210" s="545"/>
      <c r="RQJ210" s="545"/>
      <c r="RQK210" s="545"/>
      <c r="RQL210" s="545"/>
      <c r="RQM210" s="545"/>
      <c r="RQN210" s="545"/>
      <c r="RQO210" s="545"/>
      <c r="RQP210" s="545"/>
      <c r="RQQ210" s="545"/>
      <c r="RQR210" s="545"/>
      <c r="RQS210" s="545"/>
      <c r="RQT210" s="545"/>
      <c r="RQU210" s="545"/>
      <c r="RQV210" s="545"/>
      <c r="RQW210" s="545"/>
      <c r="RQX210" s="545"/>
      <c r="RQY210" s="545"/>
      <c r="RQZ210" s="545"/>
      <c r="RRA210" s="545"/>
      <c r="RRB210" s="545"/>
      <c r="RRC210" s="545"/>
      <c r="RRD210" s="545"/>
      <c r="RRE210" s="545"/>
      <c r="RRF210" s="545"/>
      <c r="RRG210" s="545"/>
      <c r="RRH210" s="545"/>
      <c r="RRI210" s="545"/>
      <c r="RRJ210" s="545"/>
      <c r="RRK210" s="545"/>
      <c r="RRL210" s="545"/>
      <c r="RRM210" s="545"/>
      <c r="RRN210" s="545"/>
      <c r="RRO210" s="545"/>
      <c r="RRP210" s="545"/>
      <c r="RRQ210" s="545"/>
      <c r="RRR210" s="545"/>
      <c r="RRS210" s="545"/>
      <c r="RRT210" s="545"/>
      <c r="RRU210" s="545"/>
      <c r="RRV210" s="545"/>
      <c r="RRW210" s="545"/>
      <c r="RRX210" s="545"/>
      <c r="RRY210" s="545"/>
      <c r="RRZ210" s="545"/>
      <c r="RSA210" s="545"/>
      <c r="RSB210" s="545"/>
      <c r="RSC210" s="545"/>
      <c r="RSD210" s="545"/>
      <c r="RSE210" s="545"/>
      <c r="RSF210" s="545"/>
      <c r="RSG210" s="545"/>
      <c r="RSH210" s="545"/>
      <c r="RSI210" s="545"/>
      <c r="RSJ210" s="545"/>
      <c r="RSK210" s="545"/>
      <c r="RSL210" s="545"/>
      <c r="RSM210" s="545"/>
      <c r="RSN210" s="545"/>
      <c r="RSO210" s="545"/>
      <c r="RSP210" s="545"/>
      <c r="RSQ210" s="545"/>
      <c r="RSR210" s="545"/>
      <c r="RSS210" s="545"/>
      <c r="RST210" s="545"/>
      <c r="RSU210" s="545"/>
      <c r="RSV210" s="545"/>
      <c r="RSW210" s="545"/>
      <c r="RSX210" s="545"/>
      <c r="RSY210" s="545"/>
      <c r="RSZ210" s="545"/>
      <c r="RTA210" s="545"/>
      <c r="RTB210" s="545"/>
      <c r="RTC210" s="545"/>
      <c r="RTD210" s="545"/>
      <c r="RTE210" s="545"/>
      <c r="RTF210" s="545"/>
      <c r="RTG210" s="545"/>
      <c r="RTH210" s="545"/>
      <c r="RTI210" s="545"/>
      <c r="RTJ210" s="545"/>
      <c r="RTK210" s="545"/>
      <c r="RTL210" s="545"/>
      <c r="RTM210" s="545"/>
      <c r="RTN210" s="545"/>
      <c r="RTO210" s="545"/>
      <c r="RTP210" s="545"/>
      <c r="RTQ210" s="545"/>
      <c r="RTR210" s="545"/>
      <c r="RTS210" s="545"/>
      <c r="RTT210" s="545"/>
      <c r="RTU210" s="545"/>
      <c r="RTV210" s="545"/>
      <c r="RTW210" s="545"/>
      <c r="RTX210" s="545"/>
      <c r="RTY210" s="545"/>
      <c r="RTZ210" s="545"/>
      <c r="RUA210" s="545"/>
      <c r="RUB210" s="545"/>
      <c r="RUC210" s="545"/>
      <c r="RUD210" s="545"/>
      <c r="RUE210" s="545"/>
      <c r="RUF210" s="545"/>
      <c r="RUG210" s="545"/>
      <c r="RUH210" s="545"/>
      <c r="RUI210" s="545"/>
      <c r="RUJ210" s="545"/>
      <c r="RUK210" s="545"/>
      <c r="RUL210" s="545"/>
      <c r="RUM210" s="545"/>
      <c r="RUN210" s="545"/>
      <c r="RUO210" s="545"/>
      <c r="RUP210" s="545"/>
      <c r="RUQ210" s="545"/>
      <c r="RUR210" s="545"/>
      <c r="RUS210" s="545"/>
      <c r="RUT210" s="545"/>
      <c r="RUU210" s="545"/>
      <c r="RUV210" s="545"/>
      <c r="RUW210" s="545"/>
      <c r="RUX210" s="545"/>
      <c r="RUY210" s="545"/>
      <c r="RUZ210" s="545"/>
      <c r="RVA210" s="545"/>
      <c r="RVB210" s="545"/>
      <c r="RVC210" s="545"/>
      <c r="RVD210" s="545"/>
      <c r="RVE210" s="545"/>
      <c r="RVF210" s="545"/>
      <c r="RVG210" s="545"/>
      <c r="RVH210" s="545"/>
      <c r="RVI210" s="545"/>
      <c r="RVJ210" s="545"/>
      <c r="RVK210" s="545"/>
      <c r="RVL210" s="545"/>
      <c r="RVM210" s="545"/>
      <c r="RVN210" s="545"/>
      <c r="RVO210" s="545"/>
      <c r="RVP210" s="545"/>
      <c r="RVQ210" s="545"/>
      <c r="RVR210" s="545"/>
      <c r="RVS210" s="545"/>
      <c r="RVT210" s="545"/>
      <c r="RVU210" s="545"/>
      <c r="RVV210" s="545"/>
      <c r="RVW210" s="545"/>
      <c r="RVX210" s="545"/>
      <c r="RVY210" s="545"/>
      <c r="RVZ210" s="545"/>
      <c r="RWA210" s="545"/>
      <c r="RWB210" s="545"/>
      <c r="RWC210" s="545"/>
      <c r="RWD210" s="545"/>
      <c r="RWE210" s="545"/>
      <c r="RWF210" s="545"/>
      <c r="RWG210" s="545"/>
      <c r="RWH210" s="545"/>
      <c r="RWI210" s="545"/>
      <c r="RWJ210" s="545"/>
      <c r="RWK210" s="545"/>
      <c r="RWL210" s="545"/>
      <c r="RWM210" s="545"/>
      <c r="RWN210" s="545"/>
      <c r="RWO210" s="545"/>
      <c r="RWP210" s="545"/>
      <c r="RWQ210" s="545"/>
      <c r="RWR210" s="545"/>
      <c r="RWS210" s="545"/>
      <c r="RWT210" s="545"/>
      <c r="RWU210" s="545"/>
      <c r="RWV210" s="545"/>
      <c r="RWW210" s="545"/>
      <c r="RWX210" s="545"/>
      <c r="RWY210" s="545"/>
      <c r="RWZ210" s="545"/>
      <c r="RXA210" s="545"/>
      <c r="RXB210" s="545"/>
      <c r="RXC210" s="545"/>
      <c r="RXD210" s="545"/>
      <c r="RXE210" s="545"/>
      <c r="RXF210" s="545"/>
      <c r="RXG210" s="545"/>
      <c r="RXH210" s="545"/>
      <c r="RXI210" s="545"/>
      <c r="RXJ210" s="545"/>
      <c r="RXK210" s="545"/>
      <c r="RXL210" s="545"/>
      <c r="RXM210" s="545"/>
      <c r="RXN210" s="545"/>
      <c r="RXO210" s="545"/>
      <c r="RXP210" s="545"/>
      <c r="RXQ210" s="545"/>
      <c r="RXR210" s="545"/>
      <c r="RXS210" s="545"/>
      <c r="RXT210" s="545"/>
      <c r="RXU210" s="545"/>
      <c r="RXV210" s="545"/>
      <c r="RXW210" s="545"/>
      <c r="RXX210" s="545"/>
      <c r="RXY210" s="545"/>
      <c r="RXZ210" s="545"/>
      <c r="RYA210" s="545"/>
      <c r="RYB210" s="545"/>
      <c r="RYC210" s="545"/>
      <c r="RYD210" s="545"/>
      <c r="RYE210" s="545"/>
      <c r="RYF210" s="545"/>
      <c r="RYG210" s="545"/>
      <c r="RYH210" s="545"/>
      <c r="RYI210" s="545"/>
      <c r="RYJ210" s="545"/>
      <c r="RYK210" s="545"/>
      <c r="RYL210" s="545"/>
      <c r="RYM210" s="545"/>
      <c r="RYN210" s="545"/>
      <c r="RYO210" s="545"/>
      <c r="RYP210" s="545"/>
      <c r="RYQ210" s="545"/>
      <c r="RYR210" s="545"/>
      <c r="RYS210" s="545"/>
      <c r="RYT210" s="545"/>
      <c r="RYU210" s="545"/>
      <c r="RYV210" s="545"/>
      <c r="RYW210" s="545"/>
      <c r="RYX210" s="545"/>
      <c r="RYY210" s="545"/>
      <c r="RYZ210" s="545"/>
      <c r="RZA210" s="545"/>
      <c r="RZB210" s="545"/>
      <c r="RZC210" s="545"/>
      <c r="RZD210" s="545"/>
      <c r="RZE210" s="545"/>
      <c r="RZF210" s="545"/>
      <c r="RZG210" s="545"/>
      <c r="RZH210" s="545"/>
      <c r="RZI210" s="545"/>
      <c r="RZJ210" s="545"/>
      <c r="RZK210" s="545"/>
      <c r="RZL210" s="545"/>
      <c r="RZM210" s="545"/>
      <c r="RZN210" s="545"/>
      <c r="RZO210" s="545"/>
      <c r="RZP210" s="545"/>
      <c r="RZQ210" s="545"/>
      <c r="RZR210" s="545"/>
      <c r="RZS210" s="545"/>
      <c r="RZT210" s="545"/>
      <c r="RZU210" s="545"/>
      <c r="RZV210" s="545"/>
      <c r="RZW210" s="545"/>
      <c r="RZX210" s="545"/>
      <c r="RZY210" s="545"/>
      <c r="RZZ210" s="545"/>
      <c r="SAA210" s="545"/>
      <c r="SAB210" s="545"/>
      <c r="SAC210" s="545"/>
      <c r="SAD210" s="545"/>
      <c r="SAE210" s="545"/>
      <c r="SAF210" s="545"/>
      <c r="SAG210" s="545"/>
      <c r="SAH210" s="545"/>
      <c r="SAI210" s="545"/>
      <c r="SAJ210" s="545"/>
      <c r="SAK210" s="545"/>
      <c r="SAL210" s="545"/>
      <c r="SAM210" s="545"/>
      <c r="SAN210" s="545"/>
      <c r="SAO210" s="545"/>
      <c r="SAP210" s="545"/>
      <c r="SAQ210" s="545"/>
      <c r="SAR210" s="545"/>
      <c r="SAS210" s="545"/>
      <c r="SAT210" s="545"/>
      <c r="SAU210" s="545"/>
      <c r="SAV210" s="545"/>
      <c r="SAW210" s="545"/>
      <c r="SAX210" s="545"/>
      <c r="SAY210" s="545"/>
      <c r="SAZ210" s="545"/>
      <c r="SBA210" s="545"/>
      <c r="SBB210" s="545"/>
      <c r="SBC210" s="545"/>
      <c r="SBD210" s="545"/>
      <c r="SBE210" s="545"/>
      <c r="SBF210" s="545"/>
      <c r="SBG210" s="545"/>
      <c r="SBH210" s="545"/>
      <c r="SBI210" s="545"/>
      <c r="SBJ210" s="545"/>
      <c r="SBK210" s="545"/>
      <c r="SBL210" s="545"/>
      <c r="SBM210" s="545"/>
      <c r="SBN210" s="545"/>
      <c r="SBO210" s="545"/>
      <c r="SBP210" s="545"/>
      <c r="SBQ210" s="545"/>
      <c r="SBR210" s="545"/>
      <c r="SBS210" s="545"/>
      <c r="SBT210" s="545"/>
      <c r="SBU210" s="545"/>
      <c r="SBV210" s="545"/>
      <c r="SBW210" s="545"/>
      <c r="SBX210" s="545"/>
      <c r="SBY210" s="545"/>
      <c r="SBZ210" s="545"/>
      <c r="SCA210" s="545"/>
      <c r="SCB210" s="545"/>
      <c r="SCC210" s="545"/>
      <c r="SCD210" s="545"/>
      <c r="SCE210" s="545"/>
      <c r="SCF210" s="545"/>
      <c r="SCG210" s="545"/>
      <c r="SCH210" s="545"/>
      <c r="SCI210" s="545"/>
      <c r="SCJ210" s="545"/>
      <c r="SCK210" s="545"/>
      <c r="SCL210" s="545"/>
      <c r="SCM210" s="545"/>
      <c r="SCN210" s="545"/>
      <c r="SCO210" s="545"/>
      <c r="SCP210" s="545"/>
      <c r="SCQ210" s="545"/>
      <c r="SCR210" s="545"/>
      <c r="SCS210" s="545"/>
      <c r="SCT210" s="545"/>
      <c r="SCU210" s="545"/>
      <c r="SCV210" s="545"/>
      <c r="SCW210" s="545"/>
      <c r="SCX210" s="545"/>
      <c r="SCY210" s="545"/>
      <c r="SCZ210" s="545"/>
      <c r="SDA210" s="545"/>
      <c r="SDB210" s="545"/>
      <c r="SDC210" s="545"/>
      <c r="SDD210" s="545"/>
      <c r="SDE210" s="545"/>
      <c r="SDF210" s="545"/>
      <c r="SDG210" s="545"/>
      <c r="SDH210" s="545"/>
      <c r="SDI210" s="545"/>
      <c r="SDJ210" s="545"/>
      <c r="SDK210" s="545"/>
      <c r="SDL210" s="545"/>
      <c r="SDM210" s="545"/>
      <c r="SDN210" s="545"/>
      <c r="SDO210" s="545"/>
      <c r="SDP210" s="545"/>
      <c r="SDQ210" s="545"/>
      <c r="SDR210" s="545"/>
      <c r="SDS210" s="545"/>
      <c r="SDT210" s="545"/>
      <c r="SDU210" s="545"/>
      <c r="SDV210" s="545"/>
      <c r="SDW210" s="545"/>
      <c r="SDX210" s="545"/>
      <c r="SDY210" s="545"/>
      <c r="SDZ210" s="545"/>
      <c r="SEA210" s="545"/>
      <c r="SEB210" s="545"/>
      <c r="SEC210" s="545"/>
      <c r="SED210" s="545"/>
      <c r="SEE210" s="545"/>
      <c r="SEF210" s="545"/>
      <c r="SEG210" s="545"/>
      <c r="SEH210" s="545"/>
      <c r="SEI210" s="545"/>
      <c r="SEJ210" s="545"/>
      <c r="SEK210" s="545"/>
      <c r="SEL210" s="545"/>
      <c r="SEM210" s="545"/>
      <c r="SEN210" s="545"/>
      <c r="SEO210" s="545"/>
      <c r="SEP210" s="545"/>
      <c r="SEQ210" s="545"/>
      <c r="SER210" s="545"/>
      <c r="SES210" s="545"/>
      <c r="SET210" s="545"/>
      <c r="SEU210" s="545"/>
      <c r="SEV210" s="545"/>
      <c r="SEW210" s="545"/>
      <c r="SEX210" s="545"/>
      <c r="SEY210" s="545"/>
      <c r="SEZ210" s="545"/>
      <c r="SFA210" s="545"/>
      <c r="SFB210" s="545"/>
      <c r="SFC210" s="545"/>
      <c r="SFD210" s="545"/>
      <c r="SFE210" s="545"/>
      <c r="SFF210" s="545"/>
      <c r="SFG210" s="545"/>
      <c r="SFH210" s="545"/>
      <c r="SFI210" s="545"/>
      <c r="SFJ210" s="545"/>
      <c r="SFK210" s="545"/>
      <c r="SFL210" s="545"/>
      <c r="SFM210" s="545"/>
      <c r="SFN210" s="545"/>
      <c r="SFO210" s="545"/>
      <c r="SFP210" s="545"/>
      <c r="SFQ210" s="545"/>
      <c r="SFR210" s="545"/>
      <c r="SFS210" s="545"/>
      <c r="SFT210" s="545"/>
      <c r="SFU210" s="545"/>
      <c r="SFV210" s="545"/>
      <c r="SFW210" s="545"/>
      <c r="SFX210" s="545"/>
      <c r="SFY210" s="545"/>
      <c r="SFZ210" s="545"/>
      <c r="SGA210" s="545"/>
      <c r="SGB210" s="545"/>
      <c r="SGC210" s="545"/>
      <c r="SGD210" s="545"/>
      <c r="SGE210" s="545"/>
      <c r="SGF210" s="545"/>
      <c r="SGG210" s="545"/>
      <c r="SGH210" s="545"/>
      <c r="SGI210" s="545"/>
      <c r="SGJ210" s="545"/>
      <c r="SGK210" s="545"/>
      <c r="SGL210" s="545"/>
      <c r="SGM210" s="545"/>
      <c r="SGN210" s="545"/>
      <c r="SGO210" s="545"/>
      <c r="SGP210" s="545"/>
      <c r="SGQ210" s="545"/>
      <c r="SGR210" s="545"/>
      <c r="SGS210" s="545"/>
      <c r="SGT210" s="545"/>
      <c r="SGU210" s="545"/>
      <c r="SGV210" s="545"/>
      <c r="SGW210" s="545"/>
      <c r="SGX210" s="545"/>
      <c r="SGY210" s="545"/>
      <c r="SGZ210" s="545"/>
      <c r="SHA210" s="545"/>
      <c r="SHB210" s="545"/>
      <c r="SHC210" s="545"/>
      <c r="SHD210" s="545"/>
      <c r="SHE210" s="545"/>
      <c r="SHF210" s="545"/>
      <c r="SHG210" s="545"/>
      <c r="SHH210" s="545"/>
      <c r="SHI210" s="545"/>
      <c r="SHJ210" s="545"/>
      <c r="SHK210" s="545"/>
      <c r="SHL210" s="545"/>
      <c r="SHM210" s="545"/>
      <c r="SHN210" s="545"/>
      <c r="SHO210" s="545"/>
      <c r="SHP210" s="545"/>
      <c r="SHQ210" s="545"/>
      <c r="SHR210" s="545"/>
      <c r="SHS210" s="545"/>
      <c r="SHT210" s="545"/>
      <c r="SHU210" s="545"/>
      <c r="SHV210" s="545"/>
      <c r="SHW210" s="545"/>
      <c r="SHX210" s="545"/>
      <c r="SHY210" s="545"/>
      <c r="SHZ210" s="545"/>
      <c r="SIA210" s="545"/>
      <c r="SIB210" s="545"/>
      <c r="SIC210" s="545"/>
      <c r="SID210" s="545"/>
      <c r="SIE210" s="545"/>
      <c r="SIF210" s="545"/>
      <c r="SIG210" s="545"/>
      <c r="SIH210" s="545"/>
      <c r="SII210" s="545"/>
      <c r="SIJ210" s="545"/>
      <c r="SIK210" s="545"/>
      <c r="SIL210" s="545"/>
      <c r="SIM210" s="545"/>
      <c r="SIN210" s="545"/>
      <c r="SIO210" s="545"/>
      <c r="SIP210" s="545"/>
      <c r="SIQ210" s="545"/>
      <c r="SIR210" s="545"/>
      <c r="SIS210" s="545"/>
      <c r="SIT210" s="545"/>
      <c r="SIU210" s="545"/>
      <c r="SIV210" s="545"/>
      <c r="SIW210" s="545"/>
      <c r="SIX210" s="545"/>
      <c r="SIY210" s="545"/>
      <c r="SIZ210" s="545"/>
      <c r="SJA210" s="545"/>
      <c r="SJB210" s="545"/>
      <c r="SJC210" s="545"/>
      <c r="SJD210" s="545"/>
      <c r="SJE210" s="545"/>
      <c r="SJF210" s="545"/>
      <c r="SJG210" s="545"/>
      <c r="SJH210" s="545"/>
      <c r="SJI210" s="545"/>
      <c r="SJJ210" s="545"/>
      <c r="SJK210" s="545"/>
      <c r="SJL210" s="545"/>
      <c r="SJM210" s="545"/>
      <c r="SJN210" s="545"/>
      <c r="SJO210" s="545"/>
      <c r="SJP210" s="545"/>
      <c r="SJQ210" s="545"/>
      <c r="SJR210" s="545"/>
      <c r="SJS210" s="545"/>
      <c r="SJT210" s="545"/>
      <c r="SJU210" s="545"/>
      <c r="SJV210" s="545"/>
      <c r="SJW210" s="545"/>
      <c r="SJX210" s="545"/>
      <c r="SJY210" s="545"/>
      <c r="SJZ210" s="545"/>
      <c r="SKA210" s="545"/>
      <c r="SKB210" s="545"/>
      <c r="SKC210" s="545"/>
      <c r="SKD210" s="545"/>
      <c r="SKE210" s="545"/>
      <c r="SKF210" s="545"/>
      <c r="SKG210" s="545"/>
      <c r="SKH210" s="545"/>
      <c r="SKI210" s="545"/>
      <c r="SKJ210" s="545"/>
      <c r="SKK210" s="545"/>
      <c r="SKL210" s="545"/>
      <c r="SKM210" s="545"/>
      <c r="SKN210" s="545"/>
      <c r="SKO210" s="545"/>
      <c r="SKP210" s="545"/>
      <c r="SKQ210" s="545"/>
      <c r="SKR210" s="545"/>
      <c r="SKS210" s="545"/>
      <c r="SKT210" s="545"/>
      <c r="SKU210" s="545"/>
      <c r="SKV210" s="545"/>
      <c r="SKW210" s="545"/>
      <c r="SKX210" s="545"/>
      <c r="SKY210" s="545"/>
      <c r="SKZ210" s="545"/>
      <c r="SLA210" s="545"/>
      <c r="SLB210" s="545"/>
      <c r="SLC210" s="545"/>
      <c r="SLD210" s="545"/>
      <c r="SLE210" s="545"/>
      <c r="SLF210" s="545"/>
      <c r="SLG210" s="545"/>
      <c r="SLH210" s="545"/>
      <c r="SLI210" s="545"/>
      <c r="SLJ210" s="545"/>
      <c r="SLK210" s="545"/>
      <c r="SLL210" s="545"/>
      <c r="SLM210" s="545"/>
      <c r="SLN210" s="545"/>
      <c r="SLO210" s="545"/>
      <c r="SLP210" s="545"/>
      <c r="SLQ210" s="545"/>
      <c r="SLR210" s="545"/>
      <c r="SLS210" s="545"/>
      <c r="SLT210" s="545"/>
      <c r="SLU210" s="545"/>
      <c r="SLV210" s="545"/>
      <c r="SLW210" s="545"/>
      <c r="SLX210" s="545"/>
      <c r="SLY210" s="545"/>
      <c r="SLZ210" s="545"/>
      <c r="SMA210" s="545"/>
      <c r="SMB210" s="545"/>
      <c r="SMC210" s="545"/>
      <c r="SMD210" s="545"/>
      <c r="SME210" s="545"/>
      <c r="SMF210" s="545"/>
      <c r="SMG210" s="545"/>
      <c r="SMH210" s="545"/>
      <c r="SMI210" s="545"/>
      <c r="SMJ210" s="545"/>
      <c r="SMK210" s="545"/>
      <c r="SML210" s="545"/>
      <c r="SMM210" s="545"/>
      <c r="SMN210" s="545"/>
      <c r="SMO210" s="545"/>
      <c r="SMP210" s="545"/>
      <c r="SMQ210" s="545"/>
      <c r="SMR210" s="545"/>
      <c r="SMS210" s="545"/>
      <c r="SMT210" s="545"/>
      <c r="SMU210" s="545"/>
      <c r="SMV210" s="545"/>
      <c r="SMW210" s="545"/>
      <c r="SMX210" s="545"/>
      <c r="SMY210" s="545"/>
      <c r="SMZ210" s="545"/>
      <c r="SNA210" s="545"/>
      <c r="SNB210" s="545"/>
      <c r="SNC210" s="545"/>
      <c r="SND210" s="545"/>
      <c r="SNE210" s="545"/>
      <c r="SNF210" s="545"/>
      <c r="SNG210" s="545"/>
      <c r="SNH210" s="545"/>
      <c r="SNI210" s="545"/>
      <c r="SNJ210" s="545"/>
      <c r="SNK210" s="545"/>
      <c r="SNL210" s="545"/>
      <c r="SNM210" s="545"/>
      <c r="SNN210" s="545"/>
      <c r="SNO210" s="545"/>
      <c r="SNP210" s="545"/>
      <c r="SNQ210" s="545"/>
      <c r="SNR210" s="545"/>
      <c r="SNS210" s="545"/>
      <c r="SNT210" s="545"/>
      <c r="SNU210" s="545"/>
      <c r="SNV210" s="545"/>
      <c r="SNW210" s="545"/>
      <c r="SNX210" s="545"/>
      <c r="SNY210" s="545"/>
      <c r="SNZ210" s="545"/>
      <c r="SOA210" s="545"/>
      <c r="SOB210" s="545"/>
      <c r="SOC210" s="545"/>
      <c r="SOD210" s="545"/>
      <c r="SOE210" s="545"/>
      <c r="SOF210" s="545"/>
      <c r="SOG210" s="545"/>
      <c r="SOH210" s="545"/>
      <c r="SOI210" s="545"/>
      <c r="SOJ210" s="545"/>
      <c r="SOK210" s="545"/>
      <c r="SOL210" s="545"/>
      <c r="SOM210" s="545"/>
      <c r="SON210" s="545"/>
      <c r="SOO210" s="545"/>
      <c r="SOP210" s="545"/>
      <c r="SOQ210" s="545"/>
      <c r="SOR210" s="545"/>
      <c r="SOS210" s="545"/>
      <c r="SOT210" s="545"/>
      <c r="SOU210" s="545"/>
      <c r="SOV210" s="545"/>
      <c r="SOW210" s="545"/>
      <c r="SOX210" s="545"/>
      <c r="SOY210" s="545"/>
      <c r="SOZ210" s="545"/>
      <c r="SPA210" s="545"/>
      <c r="SPB210" s="545"/>
      <c r="SPC210" s="545"/>
      <c r="SPD210" s="545"/>
      <c r="SPE210" s="545"/>
      <c r="SPF210" s="545"/>
      <c r="SPG210" s="545"/>
      <c r="SPH210" s="545"/>
      <c r="SPI210" s="545"/>
      <c r="SPJ210" s="545"/>
      <c r="SPK210" s="545"/>
      <c r="SPL210" s="545"/>
      <c r="SPM210" s="545"/>
      <c r="SPN210" s="545"/>
      <c r="SPO210" s="545"/>
      <c r="SPP210" s="545"/>
      <c r="SPQ210" s="545"/>
      <c r="SPR210" s="545"/>
      <c r="SPS210" s="545"/>
      <c r="SPT210" s="545"/>
      <c r="SPU210" s="545"/>
      <c r="SPV210" s="545"/>
      <c r="SPW210" s="545"/>
      <c r="SPX210" s="545"/>
      <c r="SPY210" s="545"/>
      <c r="SPZ210" s="545"/>
      <c r="SQA210" s="545"/>
      <c r="SQB210" s="545"/>
      <c r="SQC210" s="545"/>
      <c r="SQD210" s="545"/>
      <c r="SQE210" s="545"/>
      <c r="SQF210" s="545"/>
      <c r="SQG210" s="545"/>
      <c r="SQH210" s="545"/>
      <c r="SQI210" s="545"/>
      <c r="SQJ210" s="545"/>
      <c r="SQK210" s="545"/>
      <c r="SQL210" s="545"/>
      <c r="SQM210" s="545"/>
      <c r="SQN210" s="545"/>
      <c r="SQO210" s="545"/>
      <c r="SQP210" s="545"/>
      <c r="SQQ210" s="545"/>
      <c r="SQR210" s="545"/>
      <c r="SQS210" s="545"/>
      <c r="SQT210" s="545"/>
      <c r="SQU210" s="545"/>
      <c r="SQV210" s="545"/>
      <c r="SQW210" s="545"/>
      <c r="SQX210" s="545"/>
      <c r="SQY210" s="545"/>
      <c r="SQZ210" s="545"/>
      <c r="SRA210" s="545"/>
      <c r="SRB210" s="545"/>
      <c r="SRC210" s="545"/>
      <c r="SRD210" s="545"/>
      <c r="SRE210" s="545"/>
      <c r="SRF210" s="545"/>
      <c r="SRG210" s="545"/>
      <c r="SRH210" s="545"/>
      <c r="SRI210" s="545"/>
      <c r="SRJ210" s="545"/>
      <c r="SRK210" s="545"/>
      <c r="SRL210" s="545"/>
      <c r="SRM210" s="545"/>
      <c r="SRN210" s="545"/>
      <c r="SRO210" s="545"/>
      <c r="SRP210" s="545"/>
      <c r="SRQ210" s="545"/>
      <c r="SRR210" s="545"/>
      <c r="SRS210" s="545"/>
      <c r="SRT210" s="545"/>
      <c r="SRU210" s="545"/>
      <c r="SRV210" s="545"/>
      <c r="SRW210" s="545"/>
      <c r="SRX210" s="545"/>
      <c r="SRY210" s="545"/>
      <c r="SRZ210" s="545"/>
      <c r="SSA210" s="545"/>
      <c r="SSB210" s="545"/>
      <c r="SSC210" s="545"/>
      <c r="SSD210" s="545"/>
      <c r="SSE210" s="545"/>
      <c r="SSF210" s="545"/>
      <c r="SSG210" s="545"/>
      <c r="SSH210" s="545"/>
      <c r="SSI210" s="545"/>
      <c r="SSJ210" s="545"/>
      <c r="SSK210" s="545"/>
      <c r="SSL210" s="545"/>
      <c r="SSM210" s="545"/>
      <c r="SSN210" s="545"/>
      <c r="SSO210" s="545"/>
      <c r="SSP210" s="545"/>
      <c r="SSQ210" s="545"/>
      <c r="SSR210" s="545"/>
      <c r="SSS210" s="545"/>
      <c r="SST210" s="545"/>
      <c r="SSU210" s="545"/>
      <c r="SSV210" s="545"/>
      <c r="SSW210" s="545"/>
      <c r="SSX210" s="545"/>
      <c r="SSY210" s="545"/>
      <c r="SSZ210" s="545"/>
      <c r="STA210" s="545"/>
      <c r="STB210" s="545"/>
      <c r="STC210" s="545"/>
      <c r="STD210" s="545"/>
      <c r="STE210" s="545"/>
      <c r="STF210" s="545"/>
      <c r="STG210" s="545"/>
      <c r="STH210" s="545"/>
      <c r="STI210" s="545"/>
      <c r="STJ210" s="545"/>
      <c r="STK210" s="545"/>
      <c r="STL210" s="545"/>
      <c r="STM210" s="545"/>
      <c r="STN210" s="545"/>
      <c r="STO210" s="545"/>
      <c r="STP210" s="545"/>
      <c r="STQ210" s="545"/>
      <c r="STR210" s="545"/>
      <c r="STS210" s="545"/>
      <c r="STT210" s="545"/>
      <c r="STU210" s="545"/>
      <c r="STV210" s="545"/>
      <c r="STW210" s="545"/>
      <c r="STX210" s="545"/>
      <c r="STY210" s="545"/>
      <c r="STZ210" s="545"/>
      <c r="SUA210" s="545"/>
      <c r="SUB210" s="545"/>
      <c r="SUC210" s="545"/>
      <c r="SUD210" s="545"/>
      <c r="SUE210" s="545"/>
      <c r="SUF210" s="545"/>
      <c r="SUG210" s="545"/>
      <c r="SUH210" s="545"/>
      <c r="SUI210" s="545"/>
      <c r="SUJ210" s="545"/>
      <c r="SUK210" s="545"/>
      <c r="SUL210" s="545"/>
      <c r="SUM210" s="545"/>
      <c r="SUN210" s="545"/>
      <c r="SUO210" s="545"/>
      <c r="SUP210" s="545"/>
      <c r="SUQ210" s="545"/>
      <c r="SUR210" s="545"/>
      <c r="SUS210" s="545"/>
      <c r="SUT210" s="545"/>
      <c r="SUU210" s="545"/>
      <c r="SUV210" s="545"/>
      <c r="SUW210" s="545"/>
      <c r="SUX210" s="545"/>
      <c r="SUY210" s="545"/>
      <c r="SUZ210" s="545"/>
      <c r="SVA210" s="545"/>
      <c r="SVB210" s="545"/>
      <c r="SVC210" s="545"/>
      <c r="SVD210" s="545"/>
      <c r="SVE210" s="545"/>
      <c r="SVF210" s="545"/>
      <c r="SVG210" s="545"/>
      <c r="SVH210" s="545"/>
      <c r="SVI210" s="545"/>
      <c r="SVJ210" s="545"/>
      <c r="SVK210" s="545"/>
      <c r="SVL210" s="545"/>
      <c r="SVM210" s="545"/>
      <c r="SVN210" s="545"/>
      <c r="SVO210" s="545"/>
      <c r="SVP210" s="545"/>
      <c r="SVQ210" s="545"/>
      <c r="SVR210" s="545"/>
      <c r="SVS210" s="545"/>
      <c r="SVT210" s="545"/>
      <c r="SVU210" s="545"/>
      <c r="SVV210" s="545"/>
      <c r="SVW210" s="545"/>
      <c r="SVX210" s="545"/>
      <c r="SVY210" s="545"/>
      <c r="SVZ210" s="545"/>
      <c r="SWA210" s="545"/>
      <c r="SWB210" s="545"/>
      <c r="SWC210" s="545"/>
      <c r="SWD210" s="545"/>
      <c r="SWE210" s="545"/>
      <c r="SWF210" s="545"/>
      <c r="SWG210" s="545"/>
      <c r="SWH210" s="545"/>
      <c r="SWI210" s="545"/>
      <c r="SWJ210" s="545"/>
      <c r="SWK210" s="545"/>
      <c r="SWL210" s="545"/>
      <c r="SWM210" s="545"/>
      <c r="SWN210" s="545"/>
      <c r="SWO210" s="545"/>
      <c r="SWP210" s="545"/>
      <c r="SWQ210" s="545"/>
      <c r="SWR210" s="545"/>
      <c r="SWS210" s="545"/>
      <c r="SWT210" s="545"/>
      <c r="SWU210" s="545"/>
      <c r="SWV210" s="545"/>
      <c r="SWW210" s="545"/>
      <c r="SWX210" s="545"/>
      <c r="SWY210" s="545"/>
      <c r="SWZ210" s="545"/>
      <c r="SXA210" s="545"/>
      <c r="SXB210" s="545"/>
      <c r="SXC210" s="545"/>
      <c r="SXD210" s="545"/>
      <c r="SXE210" s="545"/>
      <c r="SXF210" s="545"/>
      <c r="SXG210" s="545"/>
      <c r="SXH210" s="545"/>
      <c r="SXI210" s="545"/>
      <c r="SXJ210" s="545"/>
      <c r="SXK210" s="545"/>
      <c r="SXL210" s="545"/>
      <c r="SXM210" s="545"/>
      <c r="SXN210" s="545"/>
      <c r="SXO210" s="545"/>
      <c r="SXP210" s="545"/>
      <c r="SXQ210" s="545"/>
      <c r="SXR210" s="545"/>
      <c r="SXS210" s="545"/>
      <c r="SXT210" s="545"/>
      <c r="SXU210" s="545"/>
      <c r="SXV210" s="545"/>
      <c r="SXW210" s="545"/>
      <c r="SXX210" s="545"/>
      <c r="SXY210" s="545"/>
      <c r="SXZ210" s="545"/>
      <c r="SYA210" s="545"/>
      <c r="SYB210" s="545"/>
      <c r="SYC210" s="545"/>
      <c r="SYD210" s="545"/>
      <c r="SYE210" s="545"/>
      <c r="SYF210" s="545"/>
      <c r="SYG210" s="545"/>
      <c r="SYH210" s="545"/>
      <c r="SYI210" s="545"/>
      <c r="SYJ210" s="545"/>
      <c r="SYK210" s="545"/>
      <c r="SYL210" s="545"/>
      <c r="SYM210" s="545"/>
      <c r="SYN210" s="545"/>
      <c r="SYO210" s="545"/>
      <c r="SYP210" s="545"/>
      <c r="SYQ210" s="545"/>
      <c r="SYR210" s="545"/>
      <c r="SYS210" s="545"/>
      <c r="SYT210" s="545"/>
      <c r="SYU210" s="545"/>
      <c r="SYV210" s="545"/>
      <c r="SYW210" s="545"/>
      <c r="SYX210" s="545"/>
      <c r="SYY210" s="545"/>
      <c r="SYZ210" s="545"/>
      <c r="SZA210" s="545"/>
      <c r="SZB210" s="545"/>
      <c r="SZC210" s="545"/>
      <c r="SZD210" s="545"/>
      <c r="SZE210" s="545"/>
      <c r="SZF210" s="545"/>
      <c r="SZG210" s="545"/>
      <c r="SZH210" s="545"/>
      <c r="SZI210" s="545"/>
      <c r="SZJ210" s="545"/>
      <c r="SZK210" s="545"/>
      <c r="SZL210" s="545"/>
      <c r="SZM210" s="545"/>
      <c r="SZN210" s="545"/>
      <c r="SZO210" s="545"/>
      <c r="SZP210" s="545"/>
      <c r="SZQ210" s="545"/>
      <c r="SZR210" s="545"/>
      <c r="SZS210" s="545"/>
      <c r="SZT210" s="545"/>
      <c r="SZU210" s="545"/>
      <c r="SZV210" s="545"/>
      <c r="SZW210" s="545"/>
      <c r="SZX210" s="545"/>
      <c r="SZY210" s="545"/>
      <c r="SZZ210" s="545"/>
      <c r="TAA210" s="545"/>
      <c r="TAB210" s="545"/>
      <c r="TAC210" s="545"/>
      <c r="TAD210" s="545"/>
      <c r="TAE210" s="545"/>
      <c r="TAF210" s="545"/>
      <c r="TAG210" s="545"/>
      <c r="TAH210" s="545"/>
      <c r="TAI210" s="545"/>
      <c r="TAJ210" s="545"/>
      <c r="TAK210" s="545"/>
      <c r="TAL210" s="545"/>
      <c r="TAM210" s="545"/>
      <c r="TAN210" s="545"/>
      <c r="TAO210" s="545"/>
      <c r="TAP210" s="545"/>
      <c r="TAQ210" s="545"/>
      <c r="TAR210" s="545"/>
      <c r="TAS210" s="545"/>
      <c r="TAT210" s="545"/>
      <c r="TAU210" s="545"/>
      <c r="TAV210" s="545"/>
      <c r="TAW210" s="545"/>
      <c r="TAX210" s="545"/>
      <c r="TAY210" s="545"/>
      <c r="TAZ210" s="545"/>
      <c r="TBA210" s="545"/>
      <c r="TBB210" s="545"/>
      <c r="TBC210" s="545"/>
      <c r="TBD210" s="545"/>
      <c r="TBE210" s="545"/>
      <c r="TBF210" s="545"/>
      <c r="TBG210" s="545"/>
      <c r="TBH210" s="545"/>
      <c r="TBI210" s="545"/>
      <c r="TBJ210" s="545"/>
      <c r="TBK210" s="545"/>
      <c r="TBL210" s="545"/>
      <c r="TBM210" s="545"/>
      <c r="TBN210" s="545"/>
      <c r="TBO210" s="545"/>
      <c r="TBP210" s="545"/>
      <c r="TBQ210" s="545"/>
      <c r="TBR210" s="545"/>
      <c r="TBS210" s="545"/>
      <c r="TBT210" s="545"/>
      <c r="TBU210" s="545"/>
      <c r="TBV210" s="545"/>
      <c r="TBW210" s="545"/>
      <c r="TBX210" s="545"/>
      <c r="TBY210" s="545"/>
      <c r="TBZ210" s="545"/>
      <c r="TCA210" s="545"/>
      <c r="TCB210" s="545"/>
      <c r="TCC210" s="545"/>
      <c r="TCD210" s="545"/>
      <c r="TCE210" s="545"/>
      <c r="TCF210" s="545"/>
      <c r="TCG210" s="545"/>
      <c r="TCH210" s="545"/>
      <c r="TCI210" s="545"/>
      <c r="TCJ210" s="545"/>
      <c r="TCK210" s="545"/>
      <c r="TCL210" s="545"/>
      <c r="TCM210" s="545"/>
      <c r="TCN210" s="545"/>
      <c r="TCO210" s="545"/>
      <c r="TCP210" s="545"/>
      <c r="TCQ210" s="545"/>
      <c r="TCR210" s="545"/>
      <c r="TCS210" s="545"/>
      <c r="TCT210" s="545"/>
      <c r="TCU210" s="545"/>
      <c r="TCV210" s="545"/>
      <c r="TCW210" s="545"/>
      <c r="TCX210" s="545"/>
      <c r="TCY210" s="545"/>
      <c r="TCZ210" s="545"/>
      <c r="TDA210" s="545"/>
      <c r="TDB210" s="545"/>
      <c r="TDC210" s="545"/>
      <c r="TDD210" s="545"/>
      <c r="TDE210" s="545"/>
      <c r="TDF210" s="545"/>
      <c r="TDG210" s="545"/>
      <c r="TDH210" s="545"/>
      <c r="TDI210" s="545"/>
      <c r="TDJ210" s="545"/>
      <c r="TDK210" s="545"/>
      <c r="TDL210" s="545"/>
      <c r="TDM210" s="545"/>
      <c r="TDN210" s="545"/>
      <c r="TDO210" s="545"/>
      <c r="TDP210" s="545"/>
      <c r="TDQ210" s="545"/>
      <c r="TDR210" s="545"/>
      <c r="TDS210" s="545"/>
      <c r="TDT210" s="545"/>
      <c r="TDU210" s="545"/>
      <c r="TDV210" s="545"/>
      <c r="TDW210" s="545"/>
      <c r="TDX210" s="545"/>
      <c r="TDY210" s="545"/>
      <c r="TDZ210" s="545"/>
      <c r="TEA210" s="545"/>
      <c r="TEB210" s="545"/>
      <c r="TEC210" s="545"/>
      <c r="TED210" s="545"/>
      <c r="TEE210" s="545"/>
      <c r="TEF210" s="545"/>
      <c r="TEG210" s="545"/>
      <c r="TEH210" s="545"/>
      <c r="TEI210" s="545"/>
      <c r="TEJ210" s="545"/>
      <c r="TEK210" s="545"/>
      <c r="TEL210" s="545"/>
      <c r="TEM210" s="545"/>
      <c r="TEN210" s="545"/>
      <c r="TEO210" s="545"/>
      <c r="TEP210" s="545"/>
      <c r="TEQ210" s="545"/>
      <c r="TER210" s="545"/>
      <c r="TES210" s="545"/>
      <c r="TET210" s="545"/>
      <c r="TEU210" s="545"/>
      <c r="TEV210" s="545"/>
      <c r="TEW210" s="545"/>
      <c r="TEX210" s="545"/>
      <c r="TEY210" s="545"/>
      <c r="TEZ210" s="545"/>
      <c r="TFA210" s="545"/>
      <c r="TFB210" s="545"/>
      <c r="TFC210" s="545"/>
      <c r="TFD210" s="545"/>
      <c r="TFE210" s="545"/>
      <c r="TFF210" s="545"/>
      <c r="TFG210" s="545"/>
      <c r="TFH210" s="545"/>
      <c r="TFI210" s="545"/>
      <c r="TFJ210" s="545"/>
      <c r="TFK210" s="545"/>
      <c r="TFL210" s="545"/>
      <c r="TFM210" s="545"/>
      <c r="TFN210" s="545"/>
      <c r="TFO210" s="545"/>
      <c r="TFP210" s="545"/>
      <c r="TFQ210" s="545"/>
      <c r="TFR210" s="545"/>
      <c r="TFS210" s="545"/>
      <c r="TFT210" s="545"/>
      <c r="TFU210" s="545"/>
      <c r="TFV210" s="545"/>
      <c r="TFW210" s="545"/>
      <c r="TFX210" s="545"/>
      <c r="TFY210" s="545"/>
      <c r="TFZ210" s="545"/>
      <c r="TGA210" s="545"/>
      <c r="TGB210" s="545"/>
      <c r="TGC210" s="545"/>
      <c r="TGD210" s="545"/>
      <c r="TGE210" s="545"/>
      <c r="TGF210" s="545"/>
      <c r="TGG210" s="545"/>
      <c r="TGH210" s="545"/>
      <c r="TGI210" s="545"/>
      <c r="TGJ210" s="545"/>
      <c r="TGK210" s="545"/>
      <c r="TGL210" s="545"/>
      <c r="TGM210" s="545"/>
      <c r="TGN210" s="545"/>
      <c r="TGO210" s="545"/>
      <c r="TGP210" s="545"/>
      <c r="TGQ210" s="545"/>
      <c r="TGR210" s="545"/>
      <c r="TGS210" s="545"/>
      <c r="TGT210" s="545"/>
      <c r="TGU210" s="545"/>
      <c r="TGV210" s="545"/>
      <c r="TGW210" s="545"/>
      <c r="TGX210" s="545"/>
      <c r="TGY210" s="545"/>
      <c r="TGZ210" s="545"/>
      <c r="THA210" s="545"/>
      <c r="THB210" s="545"/>
      <c r="THC210" s="545"/>
      <c r="THD210" s="545"/>
      <c r="THE210" s="545"/>
      <c r="THF210" s="545"/>
      <c r="THG210" s="545"/>
      <c r="THH210" s="545"/>
      <c r="THI210" s="545"/>
      <c r="THJ210" s="545"/>
      <c r="THK210" s="545"/>
      <c r="THL210" s="545"/>
      <c r="THM210" s="545"/>
      <c r="THN210" s="545"/>
      <c r="THO210" s="545"/>
      <c r="THP210" s="545"/>
      <c r="THQ210" s="545"/>
      <c r="THR210" s="545"/>
      <c r="THS210" s="545"/>
      <c r="THT210" s="545"/>
      <c r="THU210" s="545"/>
      <c r="THV210" s="545"/>
      <c r="THW210" s="545"/>
      <c r="THX210" s="545"/>
      <c r="THY210" s="545"/>
      <c r="THZ210" s="545"/>
      <c r="TIA210" s="545"/>
      <c r="TIB210" s="545"/>
      <c r="TIC210" s="545"/>
      <c r="TID210" s="545"/>
      <c r="TIE210" s="545"/>
      <c r="TIF210" s="545"/>
      <c r="TIG210" s="545"/>
      <c r="TIH210" s="545"/>
      <c r="TII210" s="545"/>
      <c r="TIJ210" s="545"/>
      <c r="TIK210" s="545"/>
      <c r="TIL210" s="545"/>
      <c r="TIM210" s="545"/>
      <c r="TIN210" s="545"/>
      <c r="TIO210" s="545"/>
      <c r="TIP210" s="545"/>
      <c r="TIQ210" s="545"/>
      <c r="TIR210" s="545"/>
      <c r="TIS210" s="545"/>
      <c r="TIT210" s="545"/>
      <c r="TIU210" s="545"/>
      <c r="TIV210" s="545"/>
      <c r="TIW210" s="545"/>
      <c r="TIX210" s="545"/>
      <c r="TIY210" s="545"/>
      <c r="TIZ210" s="545"/>
      <c r="TJA210" s="545"/>
      <c r="TJB210" s="545"/>
      <c r="TJC210" s="545"/>
      <c r="TJD210" s="545"/>
      <c r="TJE210" s="545"/>
      <c r="TJF210" s="545"/>
      <c r="TJG210" s="545"/>
      <c r="TJH210" s="545"/>
      <c r="TJI210" s="545"/>
      <c r="TJJ210" s="545"/>
      <c r="TJK210" s="545"/>
      <c r="TJL210" s="545"/>
      <c r="TJM210" s="545"/>
      <c r="TJN210" s="545"/>
      <c r="TJO210" s="545"/>
      <c r="TJP210" s="545"/>
      <c r="TJQ210" s="545"/>
      <c r="TJR210" s="545"/>
      <c r="TJS210" s="545"/>
      <c r="TJT210" s="545"/>
      <c r="TJU210" s="545"/>
      <c r="TJV210" s="545"/>
      <c r="TJW210" s="545"/>
      <c r="TJX210" s="545"/>
      <c r="TJY210" s="545"/>
      <c r="TJZ210" s="545"/>
      <c r="TKA210" s="545"/>
      <c r="TKB210" s="545"/>
      <c r="TKC210" s="545"/>
      <c r="TKD210" s="545"/>
      <c r="TKE210" s="545"/>
      <c r="TKF210" s="545"/>
      <c r="TKG210" s="545"/>
      <c r="TKH210" s="545"/>
      <c r="TKI210" s="545"/>
      <c r="TKJ210" s="545"/>
      <c r="TKK210" s="545"/>
      <c r="TKL210" s="545"/>
      <c r="TKM210" s="545"/>
      <c r="TKN210" s="545"/>
      <c r="TKO210" s="545"/>
      <c r="TKP210" s="545"/>
      <c r="TKQ210" s="545"/>
      <c r="TKR210" s="545"/>
      <c r="TKS210" s="545"/>
      <c r="TKT210" s="545"/>
      <c r="TKU210" s="545"/>
      <c r="TKV210" s="545"/>
      <c r="TKW210" s="545"/>
      <c r="TKX210" s="545"/>
      <c r="TKY210" s="545"/>
      <c r="TKZ210" s="545"/>
      <c r="TLA210" s="545"/>
      <c r="TLB210" s="545"/>
      <c r="TLC210" s="545"/>
      <c r="TLD210" s="545"/>
      <c r="TLE210" s="545"/>
      <c r="TLF210" s="545"/>
      <c r="TLG210" s="545"/>
      <c r="TLH210" s="545"/>
      <c r="TLI210" s="545"/>
      <c r="TLJ210" s="545"/>
      <c r="TLK210" s="545"/>
      <c r="TLL210" s="545"/>
      <c r="TLM210" s="545"/>
      <c r="TLN210" s="545"/>
      <c r="TLO210" s="545"/>
      <c r="TLP210" s="545"/>
      <c r="TLQ210" s="545"/>
      <c r="TLR210" s="545"/>
      <c r="TLS210" s="545"/>
      <c r="TLT210" s="545"/>
      <c r="TLU210" s="545"/>
      <c r="TLV210" s="545"/>
      <c r="TLW210" s="545"/>
      <c r="TLX210" s="545"/>
      <c r="TLY210" s="545"/>
      <c r="TLZ210" s="545"/>
      <c r="TMA210" s="545"/>
      <c r="TMB210" s="545"/>
      <c r="TMC210" s="545"/>
      <c r="TMD210" s="545"/>
      <c r="TME210" s="545"/>
      <c r="TMF210" s="545"/>
      <c r="TMG210" s="545"/>
      <c r="TMH210" s="545"/>
      <c r="TMI210" s="545"/>
      <c r="TMJ210" s="545"/>
      <c r="TMK210" s="545"/>
      <c r="TML210" s="545"/>
      <c r="TMM210" s="545"/>
      <c r="TMN210" s="545"/>
      <c r="TMO210" s="545"/>
      <c r="TMP210" s="545"/>
      <c r="TMQ210" s="545"/>
      <c r="TMR210" s="545"/>
      <c r="TMS210" s="545"/>
      <c r="TMT210" s="545"/>
      <c r="TMU210" s="545"/>
      <c r="TMV210" s="545"/>
      <c r="TMW210" s="545"/>
      <c r="TMX210" s="545"/>
      <c r="TMY210" s="545"/>
      <c r="TMZ210" s="545"/>
      <c r="TNA210" s="545"/>
      <c r="TNB210" s="545"/>
      <c r="TNC210" s="545"/>
      <c r="TND210" s="545"/>
      <c r="TNE210" s="545"/>
      <c r="TNF210" s="545"/>
      <c r="TNG210" s="545"/>
      <c r="TNH210" s="545"/>
      <c r="TNI210" s="545"/>
      <c r="TNJ210" s="545"/>
      <c r="TNK210" s="545"/>
      <c r="TNL210" s="545"/>
      <c r="TNM210" s="545"/>
      <c r="TNN210" s="545"/>
      <c r="TNO210" s="545"/>
      <c r="TNP210" s="545"/>
      <c r="TNQ210" s="545"/>
      <c r="TNR210" s="545"/>
      <c r="TNS210" s="545"/>
      <c r="TNT210" s="545"/>
      <c r="TNU210" s="545"/>
      <c r="TNV210" s="545"/>
      <c r="TNW210" s="545"/>
      <c r="TNX210" s="545"/>
      <c r="TNY210" s="545"/>
      <c r="TNZ210" s="545"/>
      <c r="TOA210" s="545"/>
      <c r="TOB210" s="545"/>
      <c r="TOC210" s="545"/>
      <c r="TOD210" s="545"/>
      <c r="TOE210" s="545"/>
      <c r="TOF210" s="545"/>
      <c r="TOG210" s="545"/>
      <c r="TOH210" s="545"/>
      <c r="TOI210" s="545"/>
      <c r="TOJ210" s="545"/>
      <c r="TOK210" s="545"/>
      <c r="TOL210" s="545"/>
      <c r="TOM210" s="545"/>
      <c r="TON210" s="545"/>
      <c r="TOO210" s="545"/>
      <c r="TOP210" s="545"/>
      <c r="TOQ210" s="545"/>
      <c r="TOR210" s="545"/>
      <c r="TOS210" s="545"/>
      <c r="TOT210" s="545"/>
      <c r="TOU210" s="545"/>
      <c r="TOV210" s="545"/>
      <c r="TOW210" s="545"/>
      <c r="TOX210" s="545"/>
      <c r="TOY210" s="545"/>
      <c r="TOZ210" s="545"/>
      <c r="TPA210" s="545"/>
      <c r="TPB210" s="545"/>
      <c r="TPC210" s="545"/>
      <c r="TPD210" s="545"/>
      <c r="TPE210" s="545"/>
      <c r="TPF210" s="545"/>
      <c r="TPG210" s="545"/>
      <c r="TPH210" s="545"/>
      <c r="TPI210" s="545"/>
      <c r="TPJ210" s="545"/>
      <c r="TPK210" s="545"/>
      <c r="TPL210" s="545"/>
      <c r="TPM210" s="545"/>
      <c r="TPN210" s="545"/>
      <c r="TPO210" s="545"/>
      <c r="TPP210" s="545"/>
      <c r="TPQ210" s="545"/>
      <c r="TPR210" s="545"/>
      <c r="TPS210" s="545"/>
      <c r="TPT210" s="545"/>
      <c r="TPU210" s="545"/>
      <c r="TPV210" s="545"/>
      <c r="TPW210" s="545"/>
      <c r="TPX210" s="545"/>
      <c r="TPY210" s="545"/>
      <c r="TPZ210" s="545"/>
      <c r="TQA210" s="545"/>
      <c r="TQB210" s="545"/>
      <c r="TQC210" s="545"/>
      <c r="TQD210" s="545"/>
      <c r="TQE210" s="545"/>
      <c r="TQF210" s="545"/>
      <c r="TQG210" s="545"/>
      <c r="TQH210" s="545"/>
      <c r="TQI210" s="545"/>
      <c r="TQJ210" s="545"/>
      <c r="TQK210" s="545"/>
      <c r="TQL210" s="545"/>
      <c r="TQM210" s="545"/>
      <c r="TQN210" s="545"/>
      <c r="TQO210" s="545"/>
      <c r="TQP210" s="545"/>
      <c r="TQQ210" s="545"/>
      <c r="TQR210" s="545"/>
      <c r="TQS210" s="545"/>
      <c r="TQT210" s="545"/>
      <c r="TQU210" s="545"/>
      <c r="TQV210" s="545"/>
      <c r="TQW210" s="545"/>
      <c r="TQX210" s="545"/>
      <c r="TQY210" s="545"/>
      <c r="TQZ210" s="545"/>
      <c r="TRA210" s="545"/>
      <c r="TRB210" s="545"/>
      <c r="TRC210" s="545"/>
      <c r="TRD210" s="545"/>
      <c r="TRE210" s="545"/>
      <c r="TRF210" s="545"/>
      <c r="TRG210" s="545"/>
      <c r="TRH210" s="545"/>
      <c r="TRI210" s="545"/>
      <c r="TRJ210" s="545"/>
      <c r="TRK210" s="545"/>
      <c r="TRL210" s="545"/>
      <c r="TRM210" s="545"/>
      <c r="TRN210" s="545"/>
      <c r="TRO210" s="545"/>
      <c r="TRP210" s="545"/>
      <c r="TRQ210" s="545"/>
      <c r="TRR210" s="545"/>
      <c r="TRS210" s="545"/>
      <c r="TRT210" s="545"/>
      <c r="TRU210" s="545"/>
      <c r="TRV210" s="545"/>
      <c r="TRW210" s="545"/>
      <c r="TRX210" s="545"/>
      <c r="TRY210" s="545"/>
      <c r="TRZ210" s="545"/>
      <c r="TSA210" s="545"/>
      <c r="TSB210" s="545"/>
      <c r="TSC210" s="545"/>
      <c r="TSD210" s="545"/>
      <c r="TSE210" s="545"/>
      <c r="TSF210" s="545"/>
      <c r="TSG210" s="545"/>
      <c r="TSH210" s="545"/>
      <c r="TSI210" s="545"/>
      <c r="TSJ210" s="545"/>
      <c r="TSK210" s="545"/>
      <c r="TSL210" s="545"/>
      <c r="TSM210" s="545"/>
      <c r="TSN210" s="545"/>
      <c r="TSO210" s="545"/>
      <c r="TSP210" s="545"/>
      <c r="TSQ210" s="545"/>
      <c r="TSR210" s="545"/>
      <c r="TSS210" s="545"/>
      <c r="TST210" s="545"/>
      <c r="TSU210" s="545"/>
      <c r="TSV210" s="545"/>
      <c r="TSW210" s="545"/>
      <c r="TSX210" s="545"/>
      <c r="TSY210" s="545"/>
      <c r="TSZ210" s="545"/>
      <c r="TTA210" s="545"/>
      <c r="TTB210" s="545"/>
      <c r="TTC210" s="545"/>
      <c r="TTD210" s="545"/>
      <c r="TTE210" s="545"/>
      <c r="TTF210" s="545"/>
      <c r="TTG210" s="545"/>
      <c r="TTH210" s="545"/>
      <c r="TTI210" s="545"/>
      <c r="TTJ210" s="545"/>
      <c r="TTK210" s="545"/>
      <c r="TTL210" s="545"/>
      <c r="TTM210" s="545"/>
      <c r="TTN210" s="545"/>
      <c r="TTO210" s="545"/>
      <c r="TTP210" s="545"/>
      <c r="TTQ210" s="545"/>
      <c r="TTR210" s="545"/>
      <c r="TTS210" s="545"/>
      <c r="TTT210" s="545"/>
      <c r="TTU210" s="545"/>
      <c r="TTV210" s="545"/>
      <c r="TTW210" s="545"/>
      <c r="TTX210" s="545"/>
      <c r="TTY210" s="545"/>
      <c r="TTZ210" s="545"/>
      <c r="TUA210" s="545"/>
      <c r="TUB210" s="545"/>
      <c r="TUC210" s="545"/>
      <c r="TUD210" s="545"/>
      <c r="TUE210" s="545"/>
      <c r="TUF210" s="545"/>
      <c r="TUG210" s="545"/>
      <c r="TUH210" s="545"/>
      <c r="TUI210" s="545"/>
      <c r="TUJ210" s="545"/>
      <c r="TUK210" s="545"/>
      <c r="TUL210" s="545"/>
      <c r="TUM210" s="545"/>
      <c r="TUN210" s="545"/>
      <c r="TUO210" s="545"/>
      <c r="TUP210" s="545"/>
      <c r="TUQ210" s="545"/>
      <c r="TUR210" s="545"/>
      <c r="TUS210" s="545"/>
      <c r="TUT210" s="545"/>
      <c r="TUU210" s="545"/>
      <c r="TUV210" s="545"/>
      <c r="TUW210" s="545"/>
      <c r="TUX210" s="545"/>
      <c r="TUY210" s="545"/>
      <c r="TUZ210" s="545"/>
      <c r="TVA210" s="545"/>
      <c r="TVB210" s="545"/>
      <c r="TVC210" s="545"/>
      <c r="TVD210" s="545"/>
      <c r="TVE210" s="545"/>
      <c r="TVF210" s="545"/>
      <c r="TVG210" s="545"/>
      <c r="TVH210" s="545"/>
      <c r="TVI210" s="545"/>
      <c r="TVJ210" s="545"/>
      <c r="TVK210" s="545"/>
      <c r="TVL210" s="545"/>
      <c r="TVM210" s="545"/>
      <c r="TVN210" s="545"/>
      <c r="TVO210" s="545"/>
      <c r="TVP210" s="545"/>
      <c r="TVQ210" s="545"/>
      <c r="TVR210" s="545"/>
      <c r="TVS210" s="545"/>
      <c r="TVT210" s="545"/>
      <c r="TVU210" s="545"/>
      <c r="TVV210" s="545"/>
      <c r="TVW210" s="545"/>
      <c r="TVX210" s="545"/>
      <c r="TVY210" s="545"/>
      <c r="TVZ210" s="545"/>
      <c r="TWA210" s="545"/>
      <c r="TWB210" s="545"/>
      <c r="TWC210" s="545"/>
      <c r="TWD210" s="545"/>
      <c r="TWE210" s="545"/>
      <c r="TWF210" s="545"/>
      <c r="TWG210" s="545"/>
      <c r="TWH210" s="545"/>
      <c r="TWI210" s="545"/>
      <c r="TWJ210" s="545"/>
      <c r="TWK210" s="545"/>
      <c r="TWL210" s="545"/>
      <c r="TWM210" s="545"/>
      <c r="TWN210" s="545"/>
      <c r="TWO210" s="545"/>
      <c r="TWP210" s="545"/>
      <c r="TWQ210" s="545"/>
      <c r="TWR210" s="545"/>
      <c r="TWS210" s="545"/>
      <c r="TWT210" s="545"/>
      <c r="TWU210" s="545"/>
      <c r="TWV210" s="545"/>
      <c r="TWW210" s="545"/>
      <c r="TWX210" s="545"/>
      <c r="TWY210" s="545"/>
      <c r="TWZ210" s="545"/>
      <c r="TXA210" s="545"/>
      <c r="TXB210" s="545"/>
      <c r="TXC210" s="545"/>
      <c r="TXD210" s="545"/>
      <c r="TXE210" s="545"/>
      <c r="TXF210" s="545"/>
      <c r="TXG210" s="545"/>
      <c r="TXH210" s="545"/>
      <c r="TXI210" s="545"/>
      <c r="TXJ210" s="545"/>
      <c r="TXK210" s="545"/>
      <c r="TXL210" s="545"/>
      <c r="TXM210" s="545"/>
      <c r="TXN210" s="545"/>
      <c r="TXO210" s="545"/>
      <c r="TXP210" s="545"/>
      <c r="TXQ210" s="545"/>
      <c r="TXR210" s="545"/>
      <c r="TXS210" s="545"/>
      <c r="TXT210" s="545"/>
      <c r="TXU210" s="545"/>
      <c r="TXV210" s="545"/>
      <c r="TXW210" s="545"/>
      <c r="TXX210" s="545"/>
      <c r="TXY210" s="545"/>
      <c r="TXZ210" s="545"/>
      <c r="TYA210" s="545"/>
      <c r="TYB210" s="545"/>
      <c r="TYC210" s="545"/>
      <c r="TYD210" s="545"/>
      <c r="TYE210" s="545"/>
      <c r="TYF210" s="545"/>
      <c r="TYG210" s="545"/>
      <c r="TYH210" s="545"/>
      <c r="TYI210" s="545"/>
      <c r="TYJ210" s="545"/>
      <c r="TYK210" s="545"/>
      <c r="TYL210" s="545"/>
      <c r="TYM210" s="545"/>
      <c r="TYN210" s="545"/>
      <c r="TYO210" s="545"/>
      <c r="TYP210" s="545"/>
      <c r="TYQ210" s="545"/>
      <c r="TYR210" s="545"/>
      <c r="TYS210" s="545"/>
      <c r="TYT210" s="545"/>
      <c r="TYU210" s="545"/>
      <c r="TYV210" s="545"/>
      <c r="TYW210" s="545"/>
      <c r="TYX210" s="545"/>
      <c r="TYY210" s="545"/>
      <c r="TYZ210" s="545"/>
      <c r="TZA210" s="545"/>
      <c r="TZB210" s="545"/>
      <c r="TZC210" s="545"/>
      <c r="TZD210" s="545"/>
      <c r="TZE210" s="545"/>
      <c r="TZF210" s="545"/>
      <c r="TZG210" s="545"/>
      <c r="TZH210" s="545"/>
      <c r="TZI210" s="545"/>
      <c r="TZJ210" s="545"/>
      <c r="TZK210" s="545"/>
      <c r="TZL210" s="545"/>
      <c r="TZM210" s="545"/>
      <c r="TZN210" s="545"/>
      <c r="TZO210" s="545"/>
      <c r="TZP210" s="545"/>
      <c r="TZQ210" s="545"/>
      <c r="TZR210" s="545"/>
      <c r="TZS210" s="545"/>
      <c r="TZT210" s="545"/>
      <c r="TZU210" s="545"/>
      <c r="TZV210" s="545"/>
      <c r="TZW210" s="545"/>
      <c r="TZX210" s="545"/>
      <c r="TZY210" s="545"/>
      <c r="TZZ210" s="545"/>
      <c r="UAA210" s="545"/>
      <c r="UAB210" s="545"/>
      <c r="UAC210" s="545"/>
      <c r="UAD210" s="545"/>
      <c r="UAE210" s="545"/>
      <c r="UAF210" s="545"/>
      <c r="UAG210" s="545"/>
      <c r="UAH210" s="545"/>
      <c r="UAI210" s="545"/>
      <c r="UAJ210" s="545"/>
      <c r="UAK210" s="545"/>
      <c r="UAL210" s="545"/>
      <c r="UAM210" s="545"/>
      <c r="UAN210" s="545"/>
      <c r="UAO210" s="545"/>
      <c r="UAP210" s="545"/>
      <c r="UAQ210" s="545"/>
      <c r="UAR210" s="545"/>
      <c r="UAS210" s="545"/>
      <c r="UAT210" s="545"/>
      <c r="UAU210" s="545"/>
      <c r="UAV210" s="545"/>
      <c r="UAW210" s="545"/>
      <c r="UAX210" s="545"/>
      <c r="UAY210" s="545"/>
      <c r="UAZ210" s="545"/>
      <c r="UBA210" s="545"/>
      <c r="UBB210" s="545"/>
      <c r="UBC210" s="545"/>
      <c r="UBD210" s="545"/>
      <c r="UBE210" s="545"/>
      <c r="UBF210" s="545"/>
      <c r="UBG210" s="545"/>
      <c r="UBH210" s="545"/>
      <c r="UBI210" s="545"/>
      <c r="UBJ210" s="545"/>
      <c r="UBK210" s="545"/>
      <c r="UBL210" s="545"/>
      <c r="UBM210" s="545"/>
      <c r="UBN210" s="545"/>
      <c r="UBO210" s="545"/>
      <c r="UBP210" s="545"/>
      <c r="UBQ210" s="545"/>
      <c r="UBR210" s="545"/>
      <c r="UBS210" s="545"/>
      <c r="UBT210" s="545"/>
      <c r="UBU210" s="545"/>
      <c r="UBV210" s="545"/>
      <c r="UBW210" s="545"/>
      <c r="UBX210" s="545"/>
      <c r="UBY210" s="545"/>
      <c r="UBZ210" s="545"/>
      <c r="UCA210" s="545"/>
      <c r="UCB210" s="545"/>
      <c r="UCC210" s="545"/>
      <c r="UCD210" s="545"/>
      <c r="UCE210" s="545"/>
      <c r="UCF210" s="545"/>
      <c r="UCG210" s="545"/>
      <c r="UCH210" s="545"/>
      <c r="UCI210" s="545"/>
      <c r="UCJ210" s="545"/>
      <c r="UCK210" s="545"/>
      <c r="UCL210" s="545"/>
      <c r="UCM210" s="545"/>
      <c r="UCN210" s="545"/>
      <c r="UCO210" s="545"/>
      <c r="UCP210" s="545"/>
      <c r="UCQ210" s="545"/>
      <c r="UCR210" s="545"/>
      <c r="UCS210" s="545"/>
      <c r="UCT210" s="545"/>
      <c r="UCU210" s="545"/>
      <c r="UCV210" s="545"/>
      <c r="UCW210" s="545"/>
      <c r="UCX210" s="545"/>
      <c r="UCY210" s="545"/>
      <c r="UCZ210" s="545"/>
      <c r="UDA210" s="545"/>
      <c r="UDB210" s="545"/>
      <c r="UDC210" s="545"/>
      <c r="UDD210" s="545"/>
      <c r="UDE210" s="545"/>
      <c r="UDF210" s="545"/>
      <c r="UDG210" s="545"/>
      <c r="UDH210" s="545"/>
      <c r="UDI210" s="545"/>
      <c r="UDJ210" s="545"/>
      <c r="UDK210" s="545"/>
      <c r="UDL210" s="545"/>
      <c r="UDM210" s="545"/>
      <c r="UDN210" s="545"/>
      <c r="UDO210" s="545"/>
      <c r="UDP210" s="545"/>
      <c r="UDQ210" s="545"/>
      <c r="UDR210" s="545"/>
      <c r="UDS210" s="545"/>
      <c r="UDT210" s="545"/>
      <c r="UDU210" s="545"/>
      <c r="UDV210" s="545"/>
      <c r="UDW210" s="545"/>
      <c r="UDX210" s="545"/>
      <c r="UDY210" s="545"/>
      <c r="UDZ210" s="545"/>
      <c r="UEA210" s="545"/>
      <c r="UEB210" s="545"/>
      <c r="UEC210" s="545"/>
      <c r="UED210" s="545"/>
      <c r="UEE210" s="545"/>
      <c r="UEF210" s="545"/>
      <c r="UEG210" s="545"/>
      <c r="UEH210" s="545"/>
      <c r="UEI210" s="545"/>
      <c r="UEJ210" s="545"/>
      <c r="UEK210" s="545"/>
      <c r="UEL210" s="545"/>
      <c r="UEM210" s="545"/>
      <c r="UEN210" s="545"/>
      <c r="UEO210" s="545"/>
      <c r="UEP210" s="545"/>
      <c r="UEQ210" s="545"/>
      <c r="UER210" s="545"/>
      <c r="UES210" s="545"/>
      <c r="UET210" s="545"/>
      <c r="UEU210" s="545"/>
      <c r="UEV210" s="545"/>
      <c r="UEW210" s="545"/>
      <c r="UEX210" s="545"/>
      <c r="UEY210" s="545"/>
      <c r="UEZ210" s="545"/>
      <c r="UFA210" s="545"/>
      <c r="UFB210" s="545"/>
      <c r="UFC210" s="545"/>
      <c r="UFD210" s="545"/>
      <c r="UFE210" s="545"/>
      <c r="UFF210" s="545"/>
      <c r="UFG210" s="545"/>
      <c r="UFH210" s="545"/>
      <c r="UFI210" s="545"/>
      <c r="UFJ210" s="545"/>
      <c r="UFK210" s="545"/>
      <c r="UFL210" s="545"/>
      <c r="UFM210" s="545"/>
      <c r="UFN210" s="545"/>
      <c r="UFO210" s="545"/>
      <c r="UFP210" s="545"/>
      <c r="UFQ210" s="545"/>
      <c r="UFR210" s="545"/>
      <c r="UFS210" s="545"/>
      <c r="UFT210" s="545"/>
      <c r="UFU210" s="545"/>
      <c r="UFV210" s="545"/>
      <c r="UFW210" s="545"/>
      <c r="UFX210" s="545"/>
      <c r="UFY210" s="545"/>
      <c r="UFZ210" s="545"/>
      <c r="UGA210" s="545"/>
      <c r="UGB210" s="545"/>
      <c r="UGC210" s="545"/>
      <c r="UGD210" s="545"/>
      <c r="UGE210" s="545"/>
      <c r="UGF210" s="545"/>
      <c r="UGG210" s="545"/>
      <c r="UGH210" s="545"/>
      <c r="UGI210" s="545"/>
      <c r="UGJ210" s="545"/>
      <c r="UGK210" s="545"/>
      <c r="UGL210" s="545"/>
      <c r="UGM210" s="545"/>
      <c r="UGN210" s="545"/>
      <c r="UGO210" s="545"/>
      <c r="UGP210" s="545"/>
      <c r="UGQ210" s="545"/>
      <c r="UGR210" s="545"/>
      <c r="UGS210" s="545"/>
      <c r="UGT210" s="545"/>
      <c r="UGU210" s="545"/>
      <c r="UGV210" s="545"/>
      <c r="UGW210" s="545"/>
      <c r="UGX210" s="545"/>
      <c r="UGY210" s="545"/>
      <c r="UGZ210" s="545"/>
      <c r="UHA210" s="545"/>
      <c r="UHB210" s="545"/>
      <c r="UHC210" s="545"/>
      <c r="UHD210" s="545"/>
      <c r="UHE210" s="545"/>
      <c r="UHF210" s="545"/>
      <c r="UHG210" s="545"/>
      <c r="UHH210" s="545"/>
      <c r="UHI210" s="545"/>
      <c r="UHJ210" s="545"/>
      <c r="UHK210" s="545"/>
      <c r="UHL210" s="545"/>
      <c r="UHM210" s="545"/>
      <c r="UHN210" s="545"/>
      <c r="UHO210" s="545"/>
      <c r="UHP210" s="545"/>
      <c r="UHQ210" s="545"/>
      <c r="UHR210" s="545"/>
      <c r="UHS210" s="545"/>
      <c r="UHT210" s="545"/>
      <c r="UHU210" s="545"/>
      <c r="UHV210" s="545"/>
      <c r="UHW210" s="545"/>
      <c r="UHX210" s="545"/>
      <c r="UHY210" s="545"/>
      <c r="UHZ210" s="545"/>
      <c r="UIA210" s="545"/>
      <c r="UIB210" s="545"/>
      <c r="UIC210" s="545"/>
      <c r="UID210" s="545"/>
      <c r="UIE210" s="545"/>
      <c r="UIF210" s="545"/>
      <c r="UIG210" s="545"/>
      <c r="UIH210" s="545"/>
      <c r="UII210" s="545"/>
      <c r="UIJ210" s="545"/>
      <c r="UIK210" s="545"/>
      <c r="UIL210" s="545"/>
      <c r="UIM210" s="545"/>
      <c r="UIN210" s="545"/>
      <c r="UIO210" s="545"/>
      <c r="UIP210" s="545"/>
      <c r="UIQ210" s="545"/>
      <c r="UIR210" s="545"/>
      <c r="UIS210" s="545"/>
      <c r="UIT210" s="545"/>
      <c r="UIU210" s="545"/>
      <c r="UIV210" s="545"/>
      <c r="UIW210" s="545"/>
      <c r="UIX210" s="545"/>
      <c r="UIY210" s="545"/>
      <c r="UIZ210" s="545"/>
      <c r="UJA210" s="545"/>
      <c r="UJB210" s="545"/>
      <c r="UJC210" s="545"/>
      <c r="UJD210" s="545"/>
      <c r="UJE210" s="545"/>
      <c r="UJF210" s="545"/>
      <c r="UJG210" s="545"/>
      <c r="UJH210" s="545"/>
      <c r="UJI210" s="545"/>
      <c r="UJJ210" s="545"/>
      <c r="UJK210" s="545"/>
      <c r="UJL210" s="545"/>
      <c r="UJM210" s="545"/>
      <c r="UJN210" s="545"/>
      <c r="UJO210" s="545"/>
      <c r="UJP210" s="545"/>
      <c r="UJQ210" s="545"/>
      <c r="UJR210" s="545"/>
      <c r="UJS210" s="545"/>
      <c r="UJT210" s="545"/>
      <c r="UJU210" s="545"/>
      <c r="UJV210" s="545"/>
      <c r="UJW210" s="545"/>
      <c r="UJX210" s="545"/>
      <c r="UJY210" s="545"/>
      <c r="UJZ210" s="545"/>
      <c r="UKA210" s="545"/>
      <c r="UKB210" s="545"/>
      <c r="UKC210" s="545"/>
      <c r="UKD210" s="545"/>
      <c r="UKE210" s="545"/>
      <c r="UKF210" s="545"/>
      <c r="UKG210" s="545"/>
      <c r="UKH210" s="545"/>
      <c r="UKI210" s="545"/>
      <c r="UKJ210" s="545"/>
      <c r="UKK210" s="545"/>
      <c r="UKL210" s="545"/>
      <c r="UKM210" s="545"/>
      <c r="UKN210" s="545"/>
      <c r="UKO210" s="545"/>
      <c r="UKP210" s="545"/>
      <c r="UKQ210" s="545"/>
      <c r="UKR210" s="545"/>
      <c r="UKS210" s="545"/>
      <c r="UKT210" s="545"/>
      <c r="UKU210" s="545"/>
      <c r="UKV210" s="545"/>
      <c r="UKW210" s="545"/>
      <c r="UKX210" s="545"/>
      <c r="UKY210" s="545"/>
      <c r="UKZ210" s="545"/>
      <c r="ULA210" s="545"/>
      <c r="ULB210" s="545"/>
      <c r="ULC210" s="545"/>
      <c r="ULD210" s="545"/>
      <c r="ULE210" s="545"/>
      <c r="ULF210" s="545"/>
      <c r="ULG210" s="545"/>
      <c r="ULH210" s="545"/>
      <c r="ULI210" s="545"/>
      <c r="ULJ210" s="545"/>
      <c r="ULK210" s="545"/>
      <c r="ULL210" s="545"/>
      <c r="ULM210" s="545"/>
      <c r="ULN210" s="545"/>
      <c r="ULO210" s="545"/>
      <c r="ULP210" s="545"/>
      <c r="ULQ210" s="545"/>
      <c r="ULR210" s="545"/>
      <c r="ULS210" s="545"/>
      <c r="ULT210" s="545"/>
      <c r="ULU210" s="545"/>
      <c r="ULV210" s="545"/>
      <c r="ULW210" s="545"/>
      <c r="ULX210" s="545"/>
      <c r="ULY210" s="545"/>
      <c r="ULZ210" s="545"/>
      <c r="UMA210" s="545"/>
      <c r="UMB210" s="545"/>
      <c r="UMC210" s="545"/>
      <c r="UMD210" s="545"/>
      <c r="UME210" s="545"/>
      <c r="UMF210" s="545"/>
      <c r="UMG210" s="545"/>
      <c r="UMH210" s="545"/>
      <c r="UMI210" s="545"/>
      <c r="UMJ210" s="545"/>
      <c r="UMK210" s="545"/>
      <c r="UML210" s="545"/>
      <c r="UMM210" s="545"/>
      <c r="UMN210" s="545"/>
      <c r="UMO210" s="545"/>
      <c r="UMP210" s="545"/>
      <c r="UMQ210" s="545"/>
      <c r="UMR210" s="545"/>
      <c r="UMS210" s="545"/>
      <c r="UMT210" s="545"/>
      <c r="UMU210" s="545"/>
      <c r="UMV210" s="545"/>
      <c r="UMW210" s="545"/>
      <c r="UMX210" s="545"/>
      <c r="UMY210" s="545"/>
      <c r="UMZ210" s="545"/>
      <c r="UNA210" s="545"/>
      <c r="UNB210" s="545"/>
      <c r="UNC210" s="545"/>
      <c r="UND210" s="545"/>
      <c r="UNE210" s="545"/>
      <c r="UNF210" s="545"/>
      <c r="UNG210" s="545"/>
      <c r="UNH210" s="545"/>
      <c r="UNI210" s="545"/>
      <c r="UNJ210" s="545"/>
      <c r="UNK210" s="545"/>
      <c r="UNL210" s="545"/>
      <c r="UNM210" s="545"/>
      <c r="UNN210" s="545"/>
      <c r="UNO210" s="545"/>
      <c r="UNP210" s="545"/>
      <c r="UNQ210" s="545"/>
      <c r="UNR210" s="545"/>
      <c r="UNS210" s="545"/>
      <c r="UNT210" s="545"/>
      <c r="UNU210" s="545"/>
      <c r="UNV210" s="545"/>
      <c r="UNW210" s="545"/>
      <c r="UNX210" s="545"/>
      <c r="UNY210" s="545"/>
      <c r="UNZ210" s="545"/>
      <c r="UOA210" s="545"/>
      <c r="UOB210" s="545"/>
      <c r="UOC210" s="545"/>
      <c r="UOD210" s="545"/>
      <c r="UOE210" s="545"/>
      <c r="UOF210" s="545"/>
      <c r="UOG210" s="545"/>
      <c r="UOH210" s="545"/>
      <c r="UOI210" s="545"/>
      <c r="UOJ210" s="545"/>
      <c r="UOK210" s="545"/>
      <c r="UOL210" s="545"/>
      <c r="UOM210" s="545"/>
      <c r="UON210" s="545"/>
      <c r="UOO210" s="545"/>
      <c r="UOP210" s="545"/>
      <c r="UOQ210" s="545"/>
      <c r="UOR210" s="545"/>
      <c r="UOS210" s="545"/>
      <c r="UOT210" s="545"/>
      <c r="UOU210" s="545"/>
      <c r="UOV210" s="545"/>
      <c r="UOW210" s="545"/>
      <c r="UOX210" s="545"/>
      <c r="UOY210" s="545"/>
      <c r="UOZ210" s="545"/>
      <c r="UPA210" s="545"/>
      <c r="UPB210" s="545"/>
      <c r="UPC210" s="545"/>
      <c r="UPD210" s="545"/>
      <c r="UPE210" s="545"/>
      <c r="UPF210" s="545"/>
      <c r="UPG210" s="545"/>
      <c r="UPH210" s="545"/>
      <c r="UPI210" s="545"/>
      <c r="UPJ210" s="545"/>
      <c r="UPK210" s="545"/>
      <c r="UPL210" s="545"/>
      <c r="UPM210" s="545"/>
      <c r="UPN210" s="545"/>
      <c r="UPO210" s="545"/>
      <c r="UPP210" s="545"/>
      <c r="UPQ210" s="545"/>
      <c r="UPR210" s="545"/>
      <c r="UPS210" s="545"/>
      <c r="UPT210" s="545"/>
      <c r="UPU210" s="545"/>
      <c r="UPV210" s="545"/>
      <c r="UPW210" s="545"/>
      <c r="UPX210" s="545"/>
      <c r="UPY210" s="545"/>
      <c r="UPZ210" s="545"/>
      <c r="UQA210" s="545"/>
      <c r="UQB210" s="545"/>
      <c r="UQC210" s="545"/>
      <c r="UQD210" s="545"/>
      <c r="UQE210" s="545"/>
      <c r="UQF210" s="545"/>
      <c r="UQG210" s="545"/>
      <c r="UQH210" s="545"/>
      <c r="UQI210" s="545"/>
      <c r="UQJ210" s="545"/>
      <c r="UQK210" s="545"/>
      <c r="UQL210" s="545"/>
      <c r="UQM210" s="545"/>
      <c r="UQN210" s="545"/>
      <c r="UQO210" s="545"/>
      <c r="UQP210" s="545"/>
      <c r="UQQ210" s="545"/>
      <c r="UQR210" s="545"/>
      <c r="UQS210" s="545"/>
      <c r="UQT210" s="545"/>
      <c r="UQU210" s="545"/>
      <c r="UQV210" s="545"/>
      <c r="UQW210" s="545"/>
      <c r="UQX210" s="545"/>
      <c r="UQY210" s="545"/>
      <c r="UQZ210" s="545"/>
      <c r="URA210" s="545"/>
      <c r="URB210" s="545"/>
      <c r="URC210" s="545"/>
      <c r="URD210" s="545"/>
      <c r="URE210" s="545"/>
      <c r="URF210" s="545"/>
      <c r="URG210" s="545"/>
      <c r="URH210" s="545"/>
      <c r="URI210" s="545"/>
      <c r="URJ210" s="545"/>
      <c r="URK210" s="545"/>
      <c r="URL210" s="545"/>
      <c r="URM210" s="545"/>
      <c r="URN210" s="545"/>
      <c r="URO210" s="545"/>
      <c r="URP210" s="545"/>
      <c r="URQ210" s="545"/>
      <c r="URR210" s="545"/>
      <c r="URS210" s="545"/>
      <c r="URT210" s="545"/>
      <c r="URU210" s="545"/>
      <c r="URV210" s="545"/>
      <c r="URW210" s="545"/>
      <c r="URX210" s="545"/>
      <c r="URY210" s="545"/>
      <c r="URZ210" s="545"/>
      <c r="USA210" s="545"/>
      <c r="USB210" s="545"/>
      <c r="USC210" s="545"/>
      <c r="USD210" s="545"/>
      <c r="USE210" s="545"/>
      <c r="USF210" s="545"/>
      <c r="USG210" s="545"/>
      <c r="USH210" s="545"/>
      <c r="USI210" s="545"/>
      <c r="USJ210" s="545"/>
      <c r="USK210" s="545"/>
      <c r="USL210" s="545"/>
      <c r="USM210" s="545"/>
      <c r="USN210" s="545"/>
      <c r="USO210" s="545"/>
      <c r="USP210" s="545"/>
      <c r="USQ210" s="545"/>
      <c r="USR210" s="545"/>
      <c r="USS210" s="545"/>
      <c r="UST210" s="545"/>
      <c r="USU210" s="545"/>
      <c r="USV210" s="545"/>
      <c r="USW210" s="545"/>
      <c r="USX210" s="545"/>
      <c r="USY210" s="545"/>
      <c r="USZ210" s="545"/>
      <c r="UTA210" s="545"/>
      <c r="UTB210" s="545"/>
      <c r="UTC210" s="545"/>
      <c r="UTD210" s="545"/>
      <c r="UTE210" s="545"/>
      <c r="UTF210" s="545"/>
      <c r="UTG210" s="545"/>
      <c r="UTH210" s="545"/>
      <c r="UTI210" s="545"/>
      <c r="UTJ210" s="545"/>
      <c r="UTK210" s="545"/>
      <c r="UTL210" s="545"/>
      <c r="UTM210" s="545"/>
      <c r="UTN210" s="545"/>
      <c r="UTO210" s="545"/>
      <c r="UTP210" s="545"/>
      <c r="UTQ210" s="545"/>
      <c r="UTR210" s="545"/>
      <c r="UTS210" s="545"/>
      <c r="UTT210" s="545"/>
      <c r="UTU210" s="545"/>
      <c r="UTV210" s="545"/>
      <c r="UTW210" s="545"/>
      <c r="UTX210" s="545"/>
      <c r="UTY210" s="545"/>
      <c r="UTZ210" s="545"/>
      <c r="UUA210" s="545"/>
      <c r="UUB210" s="545"/>
      <c r="UUC210" s="545"/>
      <c r="UUD210" s="545"/>
      <c r="UUE210" s="545"/>
      <c r="UUF210" s="545"/>
      <c r="UUG210" s="545"/>
      <c r="UUH210" s="545"/>
      <c r="UUI210" s="545"/>
      <c r="UUJ210" s="545"/>
      <c r="UUK210" s="545"/>
      <c r="UUL210" s="545"/>
      <c r="UUM210" s="545"/>
      <c r="UUN210" s="545"/>
      <c r="UUO210" s="545"/>
      <c r="UUP210" s="545"/>
      <c r="UUQ210" s="545"/>
      <c r="UUR210" s="545"/>
      <c r="UUS210" s="545"/>
      <c r="UUT210" s="545"/>
      <c r="UUU210" s="545"/>
      <c r="UUV210" s="545"/>
      <c r="UUW210" s="545"/>
      <c r="UUX210" s="545"/>
      <c r="UUY210" s="545"/>
      <c r="UUZ210" s="545"/>
      <c r="UVA210" s="545"/>
      <c r="UVB210" s="545"/>
      <c r="UVC210" s="545"/>
      <c r="UVD210" s="545"/>
      <c r="UVE210" s="545"/>
      <c r="UVF210" s="545"/>
      <c r="UVG210" s="545"/>
      <c r="UVH210" s="545"/>
      <c r="UVI210" s="545"/>
      <c r="UVJ210" s="545"/>
      <c r="UVK210" s="545"/>
      <c r="UVL210" s="545"/>
      <c r="UVM210" s="545"/>
      <c r="UVN210" s="545"/>
      <c r="UVO210" s="545"/>
      <c r="UVP210" s="545"/>
      <c r="UVQ210" s="545"/>
      <c r="UVR210" s="545"/>
      <c r="UVS210" s="545"/>
      <c r="UVT210" s="545"/>
      <c r="UVU210" s="545"/>
      <c r="UVV210" s="545"/>
      <c r="UVW210" s="545"/>
      <c r="UVX210" s="545"/>
      <c r="UVY210" s="545"/>
      <c r="UVZ210" s="545"/>
      <c r="UWA210" s="545"/>
      <c r="UWB210" s="545"/>
      <c r="UWC210" s="545"/>
      <c r="UWD210" s="545"/>
      <c r="UWE210" s="545"/>
      <c r="UWF210" s="545"/>
      <c r="UWG210" s="545"/>
      <c r="UWH210" s="545"/>
      <c r="UWI210" s="545"/>
      <c r="UWJ210" s="545"/>
      <c r="UWK210" s="545"/>
      <c r="UWL210" s="545"/>
      <c r="UWM210" s="545"/>
      <c r="UWN210" s="545"/>
      <c r="UWO210" s="545"/>
      <c r="UWP210" s="545"/>
      <c r="UWQ210" s="545"/>
      <c r="UWR210" s="545"/>
      <c r="UWS210" s="545"/>
      <c r="UWT210" s="545"/>
      <c r="UWU210" s="545"/>
      <c r="UWV210" s="545"/>
      <c r="UWW210" s="545"/>
      <c r="UWX210" s="545"/>
      <c r="UWY210" s="545"/>
      <c r="UWZ210" s="545"/>
      <c r="UXA210" s="545"/>
      <c r="UXB210" s="545"/>
      <c r="UXC210" s="545"/>
      <c r="UXD210" s="545"/>
      <c r="UXE210" s="545"/>
      <c r="UXF210" s="545"/>
      <c r="UXG210" s="545"/>
      <c r="UXH210" s="545"/>
      <c r="UXI210" s="545"/>
      <c r="UXJ210" s="545"/>
      <c r="UXK210" s="545"/>
      <c r="UXL210" s="545"/>
      <c r="UXM210" s="545"/>
      <c r="UXN210" s="545"/>
      <c r="UXO210" s="545"/>
      <c r="UXP210" s="545"/>
      <c r="UXQ210" s="545"/>
      <c r="UXR210" s="545"/>
      <c r="UXS210" s="545"/>
      <c r="UXT210" s="545"/>
      <c r="UXU210" s="545"/>
      <c r="UXV210" s="545"/>
      <c r="UXW210" s="545"/>
      <c r="UXX210" s="545"/>
      <c r="UXY210" s="545"/>
      <c r="UXZ210" s="545"/>
      <c r="UYA210" s="545"/>
      <c r="UYB210" s="545"/>
      <c r="UYC210" s="545"/>
      <c r="UYD210" s="545"/>
      <c r="UYE210" s="545"/>
      <c r="UYF210" s="545"/>
      <c r="UYG210" s="545"/>
      <c r="UYH210" s="545"/>
      <c r="UYI210" s="545"/>
      <c r="UYJ210" s="545"/>
      <c r="UYK210" s="545"/>
      <c r="UYL210" s="545"/>
      <c r="UYM210" s="545"/>
      <c r="UYN210" s="545"/>
      <c r="UYO210" s="545"/>
      <c r="UYP210" s="545"/>
      <c r="UYQ210" s="545"/>
      <c r="UYR210" s="545"/>
      <c r="UYS210" s="545"/>
      <c r="UYT210" s="545"/>
      <c r="UYU210" s="545"/>
      <c r="UYV210" s="545"/>
      <c r="UYW210" s="545"/>
      <c r="UYX210" s="545"/>
      <c r="UYY210" s="545"/>
      <c r="UYZ210" s="545"/>
      <c r="UZA210" s="545"/>
      <c r="UZB210" s="545"/>
      <c r="UZC210" s="545"/>
      <c r="UZD210" s="545"/>
      <c r="UZE210" s="545"/>
      <c r="UZF210" s="545"/>
      <c r="UZG210" s="545"/>
      <c r="UZH210" s="545"/>
      <c r="UZI210" s="545"/>
      <c r="UZJ210" s="545"/>
      <c r="UZK210" s="545"/>
      <c r="UZL210" s="545"/>
      <c r="UZM210" s="545"/>
      <c r="UZN210" s="545"/>
      <c r="UZO210" s="545"/>
      <c r="UZP210" s="545"/>
      <c r="UZQ210" s="545"/>
      <c r="UZR210" s="545"/>
      <c r="UZS210" s="545"/>
      <c r="UZT210" s="545"/>
      <c r="UZU210" s="545"/>
      <c r="UZV210" s="545"/>
      <c r="UZW210" s="545"/>
      <c r="UZX210" s="545"/>
      <c r="UZY210" s="545"/>
      <c r="UZZ210" s="545"/>
      <c r="VAA210" s="545"/>
      <c r="VAB210" s="545"/>
      <c r="VAC210" s="545"/>
      <c r="VAD210" s="545"/>
      <c r="VAE210" s="545"/>
      <c r="VAF210" s="545"/>
      <c r="VAG210" s="545"/>
      <c r="VAH210" s="545"/>
      <c r="VAI210" s="545"/>
      <c r="VAJ210" s="545"/>
      <c r="VAK210" s="545"/>
      <c r="VAL210" s="545"/>
      <c r="VAM210" s="545"/>
      <c r="VAN210" s="545"/>
      <c r="VAO210" s="545"/>
      <c r="VAP210" s="545"/>
      <c r="VAQ210" s="545"/>
      <c r="VAR210" s="545"/>
      <c r="VAS210" s="545"/>
      <c r="VAT210" s="545"/>
      <c r="VAU210" s="545"/>
      <c r="VAV210" s="545"/>
      <c r="VAW210" s="545"/>
      <c r="VAX210" s="545"/>
      <c r="VAY210" s="545"/>
      <c r="VAZ210" s="545"/>
      <c r="VBA210" s="545"/>
      <c r="VBB210" s="545"/>
      <c r="VBC210" s="545"/>
      <c r="VBD210" s="545"/>
      <c r="VBE210" s="545"/>
      <c r="VBF210" s="545"/>
      <c r="VBG210" s="545"/>
      <c r="VBH210" s="545"/>
      <c r="VBI210" s="545"/>
      <c r="VBJ210" s="545"/>
      <c r="VBK210" s="545"/>
      <c r="VBL210" s="545"/>
      <c r="VBM210" s="545"/>
      <c r="VBN210" s="545"/>
      <c r="VBO210" s="545"/>
      <c r="VBP210" s="545"/>
      <c r="VBQ210" s="545"/>
      <c r="VBR210" s="545"/>
      <c r="VBS210" s="545"/>
      <c r="VBT210" s="545"/>
      <c r="VBU210" s="545"/>
      <c r="VBV210" s="545"/>
      <c r="VBW210" s="545"/>
      <c r="VBX210" s="545"/>
      <c r="VBY210" s="545"/>
      <c r="VBZ210" s="545"/>
      <c r="VCA210" s="545"/>
      <c r="VCB210" s="545"/>
      <c r="VCC210" s="545"/>
      <c r="VCD210" s="545"/>
      <c r="VCE210" s="545"/>
      <c r="VCF210" s="545"/>
      <c r="VCG210" s="545"/>
      <c r="VCH210" s="545"/>
      <c r="VCI210" s="545"/>
      <c r="VCJ210" s="545"/>
      <c r="VCK210" s="545"/>
      <c r="VCL210" s="545"/>
      <c r="VCM210" s="545"/>
      <c r="VCN210" s="545"/>
      <c r="VCO210" s="545"/>
      <c r="VCP210" s="545"/>
      <c r="VCQ210" s="545"/>
      <c r="VCR210" s="545"/>
      <c r="VCS210" s="545"/>
      <c r="VCT210" s="545"/>
      <c r="VCU210" s="545"/>
      <c r="VCV210" s="545"/>
      <c r="VCW210" s="545"/>
      <c r="VCX210" s="545"/>
      <c r="VCY210" s="545"/>
      <c r="VCZ210" s="545"/>
      <c r="VDA210" s="545"/>
      <c r="VDB210" s="545"/>
      <c r="VDC210" s="545"/>
      <c r="VDD210" s="545"/>
      <c r="VDE210" s="545"/>
      <c r="VDF210" s="545"/>
      <c r="VDG210" s="545"/>
      <c r="VDH210" s="545"/>
      <c r="VDI210" s="545"/>
      <c r="VDJ210" s="545"/>
      <c r="VDK210" s="545"/>
      <c r="VDL210" s="545"/>
      <c r="VDM210" s="545"/>
      <c r="VDN210" s="545"/>
      <c r="VDO210" s="545"/>
      <c r="VDP210" s="545"/>
      <c r="VDQ210" s="545"/>
      <c r="VDR210" s="545"/>
      <c r="VDS210" s="545"/>
      <c r="VDT210" s="545"/>
      <c r="VDU210" s="545"/>
      <c r="VDV210" s="545"/>
      <c r="VDW210" s="545"/>
      <c r="VDX210" s="545"/>
      <c r="VDY210" s="545"/>
      <c r="VDZ210" s="545"/>
      <c r="VEA210" s="545"/>
      <c r="VEB210" s="545"/>
      <c r="VEC210" s="545"/>
      <c r="VED210" s="545"/>
      <c r="VEE210" s="545"/>
      <c r="VEF210" s="545"/>
      <c r="VEG210" s="545"/>
      <c r="VEH210" s="545"/>
      <c r="VEI210" s="545"/>
      <c r="VEJ210" s="545"/>
      <c r="VEK210" s="545"/>
      <c r="VEL210" s="545"/>
      <c r="VEM210" s="545"/>
      <c r="VEN210" s="545"/>
      <c r="VEO210" s="545"/>
      <c r="VEP210" s="545"/>
      <c r="VEQ210" s="545"/>
      <c r="VER210" s="545"/>
      <c r="VES210" s="545"/>
      <c r="VET210" s="545"/>
      <c r="VEU210" s="545"/>
      <c r="VEV210" s="545"/>
      <c r="VEW210" s="545"/>
      <c r="VEX210" s="545"/>
      <c r="VEY210" s="545"/>
      <c r="VEZ210" s="545"/>
      <c r="VFA210" s="545"/>
      <c r="VFB210" s="545"/>
      <c r="VFC210" s="545"/>
      <c r="VFD210" s="545"/>
      <c r="VFE210" s="545"/>
      <c r="VFF210" s="545"/>
      <c r="VFG210" s="545"/>
      <c r="VFH210" s="545"/>
      <c r="VFI210" s="545"/>
      <c r="VFJ210" s="545"/>
      <c r="VFK210" s="545"/>
      <c r="VFL210" s="545"/>
      <c r="VFM210" s="545"/>
      <c r="VFN210" s="545"/>
      <c r="VFO210" s="545"/>
      <c r="VFP210" s="545"/>
      <c r="VFQ210" s="545"/>
      <c r="VFR210" s="545"/>
      <c r="VFS210" s="545"/>
      <c r="VFT210" s="545"/>
      <c r="VFU210" s="545"/>
      <c r="VFV210" s="545"/>
      <c r="VFW210" s="545"/>
      <c r="VFX210" s="545"/>
      <c r="VFY210" s="545"/>
      <c r="VFZ210" s="545"/>
      <c r="VGA210" s="545"/>
      <c r="VGB210" s="545"/>
      <c r="VGC210" s="545"/>
      <c r="VGD210" s="545"/>
      <c r="VGE210" s="545"/>
      <c r="VGF210" s="545"/>
      <c r="VGG210" s="545"/>
      <c r="VGH210" s="545"/>
      <c r="VGI210" s="545"/>
      <c r="VGJ210" s="545"/>
      <c r="VGK210" s="545"/>
      <c r="VGL210" s="545"/>
      <c r="VGM210" s="545"/>
      <c r="VGN210" s="545"/>
      <c r="VGO210" s="545"/>
      <c r="VGP210" s="545"/>
      <c r="VGQ210" s="545"/>
      <c r="VGR210" s="545"/>
      <c r="VGS210" s="545"/>
      <c r="VGT210" s="545"/>
      <c r="VGU210" s="545"/>
      <c r="VGV210" s="545"/>
      <c r="VGW210" s="545"/>
      <c r="VGX210" s="545"/>
      <c r="VGY210" s="545"/>
      <c r="VGZ210" s="545"/>
      <c r="VHA210" s="545"/>
      <c r="VHB210" s="545"/>
      <c r="VHC210" s="545"/>
      <c r="VHD210" s="545"/>
      <c r="VHE210" s="545"/>
      <c r="VHF210" s="545"/>
      <c r="VHG210" s="545"/>
      <c r="VHH210" s="545"/>
      <c r="VHI210" s="545"/>
      <c r="VHJ210" s="545"/>
      <c r="VHK210" s="545"/>
      <c r="VHL210" s="545"/>
      <c r="VHM210" s="545"/>
      <c r="VHN210" s="545"/>
      <c r="VHO210" s="545"/>
      <c r="VHP210" s="545"/>
      <c r="VHQ210" s="545"/>
      <c r="VHR210" s="545"/>
      <c r="VHS210" s="545"/>
      <c r="VHT210" s="545"/>
      <c r="VHU210" s="545"/>
      <c r="VHV210" s="545"/>
      <c r="VHW210" s="545"/>
      <c r="VHX210" s="545"/>
      <c r="VHY210" s="545"/>
      <c r="VHZ210" s="545"/>
      <c r="VIA210" s="545"/>
      <c r="VIB210" s="545"/>
      <c r="VIC210" s="545"/>
      <c r="VID210" s="545"/>
      <c r="VIE210" s="545"/>
      <c r="VIF210" s="545"/>
      <c r="VIG210" s="545"/>
      <c r="VIH210" s="545"/>
      <c r="VII210" s="545"/>
      <c r="VIJ210" s="545"/>
      <c r="VIK210" s="545"/>
      <c r="VIL210" s="545"/>
      <c r="VIM210" s="545"/>
      <c r="VIN210" s="545"/>
      <c r="VIO210" s="545"/>
      <c r="VIP210" s="545"/>
      <c r="VIQ210" s="545"/>
      <c r="VIR210" s="545"/>
      <c r="VIS210" s="545"/>
      <c r="VIT210" s="545"/>
      <c r="VIU210" s="545"/>
      <c r="VIV210" s="545"/>
      <c r="VIW210" s="545"/>
      <c r="VIX210" s="545"/>
      <c r="VIY210" s="545"/>
      <c r="VIZ210" s="545"/>
      <c r="VJA210" s="545"/>
      <c r="VJB210" s="545"/>
      <c r="VJC210" s="545"/>
      <c r="VJD210" s="545"/>
      <c r="VJE210" s="545"/>
      <c r="VJF210" s="545"/>
      <c r="VJG210" s="545"/>
      <c r="VJH210" s="545"/>
      <c r="VJI210" s="545"/>
      <c r="VJJ210" s="545"/>
      <c r="VJK210" s="545"/>
      <c r="VJL210" s="545"/>
      <c r="VJM210" s="545"/>
      <c r="VJN210" s="545"/>
      <c r="VJO210" s="545"/>
      <c r="VJP210" s="545"/>
      <c r="VJQ210" s="545"/>
      <c r="VJR210" s="545"/>
      <c r="VJS210" s="545"/>
      <c r="VJT210" s="545"/>
      <c r="VJU210" s="545"/>
      <c r="VJV210" s="545"/>
      <c r="VJW210" s="545"/>
      <c r="VJX210" s="545"/>
      <c r="VJY210" s="545"/>
      <c r="VJZ210" s="545"/>
      <c r="VKA210" s="545"/>
      <c r="VKB210" s="545"/>
      <c r="VKC210" s="545"/>
      <c r="VKD210" s="545"/>
      <c r="VKE210" s="545"/>
      <c r="VKF210" s="545"/>
      <c r="VKG210" s="545"/>
      <c r="VKH210" s="545"/>
      <c r="VKI210" s="545"/>
      <c r="VKJ210" s="545"/>
      <c r="VKK210" s="545"/>
      <c r="VKL210" s="545"/>
      <c r="VKM210" s="545"/>
      <c r="VKN210" s="545"/>
      <c r="VKO210" s="545"/>
      <c r="VKP210" s="545"/>
      <c r="VKQ210" s="545"/>
      <c r="VKR210" s="545"/>
      <c r="VKS210" s="545"/>
      <c r="VKT210" s="545"/>
      <c r="VKU210" s="545"/>
      <c r="VKV210" s="545"/>
      <c r="VKW210" s="545"/>
      <c r="VKX210" s="545"/>
      <c r="VKY210" s="545"/>
      <c r="VKZ210" s="545"/>
      <c r="VLA210" s="545"/>
      <c r="VLB210" s="545"/>
      <c r="VLC210" s="545"/>
      <c r="VLD210" s="545"/>
      <c r="VLE210" s="545"/>
      <c r="VLF210" s="545"/>
      <c r="VLG210" s="545"/>
      <c r="VLH210" s="545"/>
      <c r="VLI210" s="545"/>
      <c r="VLJ210" s="545"/>
      <c r="VLK210" s="545"/>
      <c r="VLL210" s="545"/>
      <c r="VLM210" s="545"/>
      <c r="VLN210" s="545"/>
      <c r="VLO210" s="545"/>
      <c r="VLP210" s="545"/>
      <c r="VLQ210" s="545"/>
      <c r="VLR210" s="545"/>
      <c r="VLS210" s="545"/>
      <c r="VLT210" s="545"/>
      <c r="VLU210" s="545"/>
      <c r="VLV210" s="545"/>
      <c r="VLW210" s="545"/>
      <c r="VLX210" s="545"/>
      <c r="VLY210" s="545"/>
      <c r="VLZ210" s="545"/>
      <c r="VMA210" s="545"/>
      <c r="VMB210" s="545"/>
      <c r="VMC210" s="545"/>
      <c r="VMD210" s="545"/>
      <c r="VME210" s="545"/>
      <c r="VMF210" s="545"/>
      <c r="VMG210" s="545"/>
      <c r="VMH210" s="545"/>
      <c r="VMI210" s="545"/>
      <c r="VMJ210" s="545"/>
      <c r="VMK210" s="545"/>
      <c r="VML210" s="545"/>
      <c r="VMM210" s="545"/>
      <c r="VMN210" s="545"/>
      <c r="VMO210" s="545"/>
      <c r="VMP210" s="545"/>
      <c r="VMQ210" s="545"/>
      <c r="VMR210" s="545"/>
      <c r="VMS210" s="545"/>
      <c r="VMT210" s="545"/>
      <c r="VMU210" s="545"/>
      <c r="VMV210" s="545"/>
      <c r="VMW210" s="545"/>
      <c r="VMX210" s="545"/>
      <c r="VMY210" s="545"/>
      <c r="VMZ210" s="545"/>
      <c r="VNA210" s="545"/>
      <c r="VNB210" s="545"/>
      <c r="VNC210" s="545"/>
      <c r="VND210" s="545"/>
      <c r="VNE210" s="545"/>
      <c r="VNF210" s="545"/>
      <c r="VNG210" s="545"/>
      <c r="VNH210" s="545"/>
      <c r="VNI210" s="545"/>
      <c r="VNJ210" s="545"/>
      <c r="VNK210" s="545"/>
      <c r="VNL210" s="545"/>
      <c r="VNM210" s="545"/>
      <c r="VNN210" s="545"/>
      <c r="VNO210" s="545"/>
      <c r="VNP210" s="545"/>
      <c r="VNQ210" s="545"/>
      <c r="VNR210" s="545"/>
      <c r="VNS210" s="545"/>
      <c r="VNT210" s="545"/>
      <c r="VNU210" s="545"/>
      <c r="VNV210" s="545"/>
      <c r="VNW210" s="545"/>
      <c r="VNX210" s="545"/>
      <c r="VNY210" s="545"/>
      <c r="VNZ210" s="545"/>
      <c r="VOA210" s="545"/>
      <c r="VOB210" s="545"/>
      <c r="VOC210" s="545"/>
      <c r="VOD210" s="545"/>
      <c r="VOE210" s="545"/>
      <c r="VOF210" s="545"/>
      <c r="VOG210" s="545"/>
      <c r="VOH210" s="545"/>
      <c r="VOI210" s="545"/>
      <c r="VOJ210" s="545"/>
      <c r="VOK210" s="545"/>
      <c r="VOL210" s="545"/>
      <c r="VOM210" s="545"/>
      <c r="VON210" s="545"/>
      <c r="VOO210" s="545"/>
      <c r="VOP210" s="545"/>
      <c r="VOQ210" s="545"/>
      <c r="VOR210" s="545"/>
      <c r="VOS210" s="545"/>
      <c r="VOT210" s="545"/>
      <c r="VOU210" s="545"/>
      <c r="VOV210" s="545"/>
      <c r="VOW210" s="545"/>
      <c r="VOX210" s="545"/>
      <c r="VOY210" s="545"/>
      <c r="VOZ210" s="545"/>
      <c r="VPA210" s="545"/>
      <c r="VPB210" s="545"/>
      <c r="VPC210" s="545"/>
      <c r="VPD210" s="545"/>
      <c r="VPE210" s="545"/>
      <c r="VPF210" s="545"/>
      <c r="VPG210" s="545"/>
      <c r="VPH210" s="545"/>
      <c r="VPI210" s="545"/>
      <c r="VPJ210" s="545"/>
      <c r="VPK210" s="545"/>
      <c r="VPL210" s="545"/>
      <c r="VPM210" s="545"/>
      <c r="VPN210" s="545"/>
      <c r="VPO210" s="545"/>
      <c r="VPP210" s="545"/>
      <c r="VPQ210" s="545"/>
      <c r="VPR210" s="545"/>
      <c r="VPS210" s="545"/>
      <c r="VPT210" s="545"/>
      <c r="VPU210" s="545"/>
      <c r="VPV210" s="545"/>
      <c r="VPW210" s="545"/>
      <c r="VPX210" s="545"/>
      <c r="VPY210" s="545"/>
      <c r="VPZ210" s="545"/>
      <c r="VQA210" s="545"/>
      <c r="VQB210" s="545"/>
      <c r="VQC210" s="545"/>
      <c r="VQD210" s="545"/>
      <c r="VQE210" s="545"/>
      <c r="VQF210" s="545"/>
      <c r="VQG210" s="545"/>
      <c r="VQH210" s="545"/>
      <c r="VQI210" s="545"/>
      <c r="VQJ210" s="545"/>
      <c r="VQK210" s="545"/>
      <c r="VQL210" s="545"/>
      <c r="VQM210" s="545"/>
      <c r="VQN210" s="545"/>
      <c r="VQO210" s="545"/>
      <c r="VQP210" s="545"/>
      <c r="VQQ210" s="545"/>
      <c r="VQR210" s="545"/>
      <c r="VQS210" s="545"/>
      <c r="VQT210" s="545"/>
      <c r="VQU210" s="545"/>
      <c r="VQV210" s="545"/>
      <c r="VQW210" s="545"/>
      <c r="VQX210" s="545"/>
      <c r="VQY210" s="545"/>
      <c r="VQZ210" s="545"/>
      <c r="VRA210" s="545"/>
      <c r="VRB210" s="545"/>
      <c r="VRC210" s="545"/>
      <c r="VRD210" s="545"/>
      <c r="VRE210" s="545"/>
      <c r="VRF210" s="545"/>
      <c r="VRG210" s="545"/>
      <c r="VRH210" s="545"/>
      <c r="VRI210" s="545"/>
      <c r="VRJ210" s="545"/>
      <c r="VRK210" s="545"/>
      <c r="VRL210" s="545"/>
      <c r="VRM210" s="545"/>
      <c r="VRN210" s="545"/>
      <c r="VRO210" s="545"/>
      <c r="VRP210" s="545"/>
      <c r="VRQ210" s="545"/>
      <c r="VRR210" s="545"/>
      <c r="VRS210" s="545"/>
      <c r="VRT210" s="545"/>
      <c r="VRU210" s="545"/>
      <c r="VRV210" s="545"/>
      <c r="VRW210" s="545"/>
      <c r="VRX210" s="545"/>
      <c r="VRY210" s="545"/>
      <c r="VRZ210" s="545"/>
      <c r="VSA210" s="545"/>
      <c r="VSB210" s="545"/>
      <c r="VSC210" s="545"/>
      <c r="VSD210" s="545"/>
      <c r="VSE210" s="545"/>
      <c r="VSF210" s="545"/>
      <c r="VSG210" s="545"/>
      <c r="VSH210" s="545"/>
      <c r="VSI210" s="545"/>
      <c r="VSJ210" s="545"/>
      <c r="VSK210" s="545"/>
      <c r="VSL210" s="545"/>
      <c r="VSM210" s="545"/>
      <c r="VSN210" s="545"/>
      <c r="VSO210" s="545"/>
      <c r="VSP210" s="545"/>
      <c r="VSQ210" s="545"/>
      <c r="VSR210" s="545"/>
      <c r="VSS210" s="545"/>
      <c r="VST210" s="545"/>
      <c r="VSU210" s="545"/>
      <c r="VSV210" s="545"/>
      <c r="VSW210" s="545"/>
      <c r="VSX210" s="545"/>
      <c r="VSY210" s="545"/>
      <c r="VSZ210" s="545"/>
      <c r="VTA210" s="545"/>
      <c r="VTB210" s="545"/>
      <c r="VTC210" s="545"/>
      <c r="VTD210" s="545"/>
      <c r="VTE210" s="545"/>
      <c r="VTF210" s="545"/>
      <c r="VTG210" s="545"/>
      <c r="VTH210" s="545"/>
      <c r="VTI210" s="545"/>
      <c r="VTJ210" s="545"/>
      <c r="VTK210" s="545"/>
      <c r="VTL210" s="545"/>
      <c r="VTM210" s="545"/>
      <c r="VTN210" s="545"/>
      <c r="VTO210" s="545"/>
      <c r="VTP210" s="545"/>
      <c r="VTQ210" s="545"/>
      <c r="VTR210" s="545"/>
      <c r="VTS210" s="545"/>
      <c r="VTT210" s="545"/>
      <c r="VTU210" s="545"/>
      <c r="VTV210" s="545"/>
      <c r="VTW210" s="545"/>
      <c r="VTX210" s="545"/>
      <c r="VTY210" s="545"/>
      <c r="VTZ210" s="545"/>
      <c r="VUA210" s="545"/>
      <c r="VUB210" s="545"/>
      <c r="VUC210" s="545"/>
      <c r="VUD210" s="545"/>
      <c r="VUE210" s="545"/>
      <c r="VUF210" s="545"/>
      <c r="VUG210" s="545"/>
      <c r="VUH210" s="545"/>
      <c r="VUI210" s="545"/>
      <c r="VUJ210" s="545"/>
      <c r="VUK210" s="545"/>
      <c r="VUL210" s="545"/>
      <c r="VUM210" s="545"/>
      <c r="VUN210" s="545"/>
      <c r="VUO210" s="545"/>
      <c r="VUP210" s="545"/>
      <c r="VUQ210" s="545"/>
      <c r="VUR210" s="545"/>
      <c r="VUS210" s="545"/>
      <c r="VUT210" s="545"/>
      <c r="VUU210" s="545"/>
      <c r="VUV210" s="545"/>
      <c r="VUW210" s="545"/>
      <c r="VUX210" s="545"/>
      <c r="VUY210" s="545"/>
      <c r="VUZ210" s="545"/>
      <c r="VVA210" s="545"/>
      <c r="VVB210" s="545"/>
      <c r="VVC210" s="545"/>
      <c r="VVD210" s="545"/>
      <c r="VVE210" s="545"/>
      <c r="VVF210" s="545"/>
      <c r="VVG210" s="545"/>
      <c r="VVH210" s="545"/>
      <c r="VVI210" s="545"/>
      <c r="VVJ210" s="545"/>
      <c r="VVK210" s="545"/>
      <c r="VVL210" s="545"/>
      <c r="VVM210" s="545"/>
      <c r="VVN210" s="545"/>
      <c r="VVO210" s="545"/>
      <c r="VVP210" s="545"/>
      <c r="VVQ210" s="545"/>
      <c r="VVR210" s="545"/>
      <c r="VVS210" s="545"/>
      <c r="VVT210" s="545"/>
      <c r="VVU210" s="545"/>
      <c r="VVV210" s="545"/>
      <c r="VVW210" s="545"/>
      <c r="VVX210" s="545"/>
      <c r="VVY210" s="545"/>
      <c r="VVZ210" s="545"/>
      <c r="VWA210" s="545"/>
      <c r="VWB210" s="545"/>
      <c r="VWC210" s="545"/>
      <c r="VWD210" s="545"/>
      <c r="VWE210" s="545"/>
      <c r="VWF210" s="545"/>
      <c r="VWG210" s="545"/>
      <c r="VWH210" s="545"/>
      <c r="VWI210" s="545"/>
      <c r="VWJ210" s="545"/>
      <c r="VWK210" s="545"/>
      <c r="VWL210" s="545"/>
      <c r="VWM210" s="545"/>
      <c r="VWN210" s="545"/>
      <c r="VWO210" s="545"/>
      <c r="VWP210" s="545"/>
      <c r="VWQ210" s="545"/>
      <c r="VWR210" s="545"/>
      <c r="VWS210" s="545"/>
      <c r="VWT210" s="545"/>
      <c r="VWU210" s="545"/>
      <c r="VWV210" s="545"/>
      <c r="VWW210" s="545"/>
      <c r="VWX210" s="545"/>
      <c r="VWY210" s="545"/>
      <c r="VWZ210" s="545"/>
      <c r="VXA210" s="545"/>
      <c r="VXB210" s="545"/>
      <c r="VXC210" s="545"/>
      <c r="VXD210" s="545"/>
      <c r="VXE210" s="545"/>
      <c r="VXF210" s="545"/>
      <c r="VXG210" s="545"/>
      <c r="VXH210" s="545"/>
      <c r="VXI210" s="545"/>
      <c r="VXJ210" s="545"/>
      <c r="VXK210" s="545"/>
      <c r="VXL210" s="545"/>
      <c r="VXM210" s="545"/>
      <c r="VXN210" s="545"/>
      <c r="VXO210" s="545"/>
      <c r="VXP210" s="545"/>
      <c r="VXQ210" s="545"/>
      <c r="VXR210" s="545"/>
      <c r="VXS210" s="545"/>
      <c r="VXT210" s="545"/>
      <c r="VXU210" s="545"/>
      <c r="VXV210" s="545"/>
      <c r="VXW210" s="545"/>
      <c r="VXX210" s="545"/>
      <c r="VXY210" s="545"/>
      <c r="VXZ210" s="545"/>
      <c r="VYA210" s="545"/>
      <c r="VYB210" s="545"/>
      <c r="VYC210" s="545"/>
      <c r="VYD210" s="545"/>
      <c r="VYE210" s="545"/>
      <c r="VYF210" s="545"/>
      <c r="VYG210" s="545"/>
      <c r="VYH210" s="545"/>
      <c r="VYI210" s="545"/>
      <c r="VYJ210" s="545"/>
      <c r="VYK210" s="545"/>
      <c r="VYL210" s="545"/>
      <c r="VYM210" s="545"/>
      <c r="VYN210" s="545"/>
      <c r="VYO210" s="545"/>
      <c r="VYP210" s="545"/>
      <c r="VYQ210" s="545"/>
      <c r="VYR210" s="545"/>
      <c r="VYS210" s="545"/>
      <c r="VYT210" s="545"/>
      <c r="VYU210" s="545"/>
      <c r="VYV210" s="545"/>
      <c r="VYW210" s="545"/>
      <c r="VYX210" s="545"/>
      <c r="VYY210" s="545"/>
      <c r="VYZ210" s="545"/>
      <c r="VZA210" s="545"/>
      <c r="VZB210" s="545"/>
      <c r="VZC210" s="545"/>
      <c r="VZD210" s="545"/>
      <c r="VZE210" s="545"/>
      <c r="VZF210" s="545"/>
      <c r="VZG210" s="545"/>
      <c r="VZH210" s="545"/>
      <c r="VZI210" s="545"/>
      <c r="VZJ210" s="545"/>
      <c r="VZK210" s="545"/>
      <c r="VZL210" s="545"/>
      <c r="VZM210" s="545"/>
      <c r="VZN210" s="545"/>
      <c r="VZO210" s="545"/>
      <c r="VZP210" s="545"/>
      <c r="VZQ210" s="545"/>
      <c r="VZR210" s="545"/>
      <c r="VZS210" s="545"/>
      <c r="VZT210" s="545"/>
      <c r="VZU210" s="545"/>
      <c r="VZV210" s="545"/>
      <c r="VZW210" s="545"/>
      <c r="VZX210" s="545"/>
      <c r="VZY210" s="545"/>
      <c r="VZZ210" s="545"/>
      <c r="WAA210" s="545"/>
      <c r="WAB210" s="545"/>
      <c r="WAC210" s="545"/>
      <c r="WAD210" s="545"/>
      <c r="WAE210" s="545"/>
      <c r="WAF210" s="545"/>
      <c r="WAG210" s="545"/>
      <c r="WAH210" s="545"/>
      <c r="WAI210" s="545"/>
      <c r="WAJ210" s="545"/>
      <c r="WAK210" s="545"/>
      <c r="WAL210" s="545"/>
      <c r="WAM210" s="545"/>
      <c r="WAN210" s="545"/>
      <c r="WAO210" s="545"/>
      <c r="WAP210" s="545"/>
      <c r="WAQ210" s="545"/>
      <c r="WAR210" s="545"/>
      <c r="WAS210" s="545"/>
      <c r="WAT210" s="545"/>
      <c r="WAU210" s="545"/>
      <c r="WAV210" s="545"/>
      <c r="WAW210" s="545"/>
      <c r="WAX210" s="545"/>
      <c r="WAY210" s="545"/>
      <c r="WAZ210" s="545"/>
      <c r="WBA210" s="545"/>
      <c r="WBB210" s="545"/>
      <c r="WBC210" s="545"/>
      <c r="WBD210" s="545"/>
      <c r="WBE210" s="545"/>
      <c r="WBF210" s="545"/>
      <c r="WBG210" s="545"/>
      <c r="WBH210" s="545"/>
      <c r="WBI210" s="545"/>
      <c r="WBJ210" s="545"/>
      <c r="WBK210" s="545"/>
      <c r="WBL210" s="545"/>
      <c r="WBM210" s="545"/>
      <c r="WBN210" s="545"/>
      <c r="WBO210" s="545"/>
      <c r="WBP210" s="545"/>
      <c r="WBQ210" s="545"/>
      <c r="WBR210" s="545"/>
      <c r="WBS210" s="545"/>
      <c r="WBT210" s="545"/>
      <c r="WBU210" s="545"/>
      <c r="WBV210" s="545"/>
      <c r="WBW210" s="545"/>
      <c r="WBX210" s="545"/>
      <c r="WBY210" s="545"/>
      <c r="WBZ210" s="545"/>
      <c r="WCA210" s="545"/>
      <c r="WCB210" s="545"/>
      <c r="WCC210" s="545"/>
      <c r="WCD210" s="545"/>
      <c r="WCE210" s="545"/>
      <c r="WCF210" s="545"/>
      <c r="WCG210" s="545"/>
      <c r="WCH210" s="545"/>
      <c r="WCI210" s="545"/>
      <c r="WCJ210" s="545"/>
      <c r="WCK210" s="545"/>
      <c r="WCL210" s="545"/>
      <c r="WCM210" s="545"/>
      <c r="WCN210" s="545"/>
      <c r="WCO210" s="545"/>
      <c r="WCP210" s="545"/>
      <c r="WCQ210" s="545"/>
      <c r="WCR210" s="545"/>
      <c r="WCS210" s="545"/>
      <c r="WCT210" s="545"/>
      <c r="WCU210" s="545"/>
      <c r="WCV210" s="545"/>
      <c r="WCW210" s="545"/>
      <c r="WCX210" s="545"/>
      <c r="WCY210" s="545"/>
      <c r="WCZ210" s="545"/>
      <c r="WDA210" s="545"/>
      <c r="WDB210" s="545"/>
      <c r="WDC210" s="545"/>
      <c r="WDD210" s="545"/>
      <c r="WDE210" s="545"/>
      <c r="WDF210" s="545"/>
      <c r="WDG210" s="545"/>
      <c r="WDH210" s="545"/>
      <c r="WDI210" s="545"/>
      <c r="WDJ210" s="545"/>
      <c r="WDK210" s="545"/>
      <c r="WDL210" s="545"/>
      <c r="WDM210" s="545"/>
      <c r="WDN210" s="545"/>
      <c r="WDO210" s="545"/>
      <c r="WDP210" s="545"/>
      <c r="WDQ210" s="545"/>
      <c r="WDR210" s="545"/>
      <c r="WDS210" s="545"/>
      <c r="WDT210" s="545"/>
      <c r="WDU210" s="545"/>
      <c r="WDV210" s="545"/>
      <c r="WDW210" s="545"/>
      <c r="WDX210" s="545"/>
      <c r="WDY210" s="545"/>
      <c r="WDZ210" s="545"/>
      <c r="WEA210" s="545"/>
      <c r="WEB210" s="545"/>
      <c r="WEC210" s="545"/>
      <c r="WED210" s="545"/>
      <c r="WEE210" s="545"/>
      <c r="WEF210" s="545"/>
      <c r="WEG210" s="545"/>
      <c r="WEH210" s="545"/>
      <c r="WEI210" s="545"/>
      <c r="WEJ210" s="545"/>
      <c r="WEK210" s="545"/>
      <c r="WEL210" s="545"/>
      <c r="WEM210" s="545"/>
      <c r="WEN210" s="545"/>
      <c r="WEO210" s="545"/>
      <c r="WEP210" s="545"/>
      <c r="WEQ210" s="545"/>
      <c r="WER210" s="545"/>
      <c r="WES210" s="545"/>
      <c r="WET210" s="545"/>
      <c r="WEU210" s="545"/>
      <c r="WEV210" s="545"/>
      <c r="WEW210" s="545"/>
      <c r="WEX210" s="545"/>
      <c r="WEY210" s="545"/>
      <c r="WEZ210" s="545"/>
      <c r="WFA210" s="545"/>
      <c r="WFB210" s="545"/>
      <c r="WFC210" s="545"/>
      <c r="WFD210" s="545"/>
      <c r="WFE210" s="545"/>
      <c r="WFF210" s="545"/>
      <c r="WFG210" s="545"/>
      <c r="WFH210" s="545"/>
      <c r="WFI210" s="545"/>
      <c r="WFJ210" s="545"/>
      <c r="WFK210" s="545"/>
      <c r="WFL210" s="545"/>
      <c r="WFM210" s="545"/>
      <c r="WFN210" s="545"/>
      <c r="WFO210" s="545"/>
      <c r="WFP210" s="545"/>
      <c r="WFQ210" s="545"/>
      <c r="WFR210" s="545"/>
      <c r="WFS210" s="545"/>
      <c r="WFT210" s="545"/>
      <c r="WFU210" s="545"/>
      <c r="WFV210" s="545"/>
      <c r="WFW210" s="545"/>
      <c r="WFX210" s="545"/>
      <c r="WFY210" s="545"/>
      <c r="WFZ210" s="545"/>
      <c r="WGA210" s="545"/>
      <c r="WGB210" s="545"/>
      <c r="WGC210" s="545"/>
      <c r="WGD210" s="545"/>
      <c r="WGE210" s="545"/>
      <c r="WGF210" s="545"/>
      <c r="WGG210" s="545"/>
      <c r="WGH210" s="545"/>
      <c r="WGI210" s="545"/>
      <c r="WGJ210" s="545"/>
      <c r="WGK210" s="545"/>
      <c r="WGL210" s="545"/>
      <c r="WGM210" s="545"/>
      <c r="WGN210" s="545"/>
      <c r="WGO210" s="545"/>
      <c r="WGP210" s="545"/>
      <c r="WGQ210" s="545"/>
      <c r="WGR210" s="545"/>
      <c r="WGS210" s="545"/>
      <c r="WGT210" s="545"/>
      <c r="WGU210" s="545"/>
      <c r="WGV210" s="545"/>
      <c r="WGW210" s="545"/>
      <c r="WGX210" s="545"/>
      <c r="WGY210" s="545"/>
      <c r="WGZ210" s="545"/>
      <c r="WHA210" s="545"/>
      <c r="WHB210" s="545"/>
      <c r="WHC210" s="545"/>
      <c r="WHD210" s="545"/>
      <c r="WHE210" s="545"/>
      <c r="WHF210" s="545"/>
      <c r="WHG210" s="545"/>
      <c r="WHH210" s="545"/>
      <c r="WHI210" s="545"/>
      <c r="WHJ210" s="545"/>
      <c r="WHK210" s="545"/>
      <c r="WHL210" s="545"/>
      <c r="WHM210" s="545"/>
      <c r="WHN210" s="545"/>
      <c r="WHO210" s="545"/>
      <c r="WHP210" s="545"/>
      <c r="WHQ210" s="545"/>
      <c r="WHR210" s="545"/>
      <c r="WHS210" s="545"/>
      <c r="WHT210" s="545"/>
      <c r="WHU210" s="545"/>
      <c r="WHV210" s="545"/>
      <c r="WHW210" s="545"/>
      <c r="WHX210" s="545"/>
      <c r="WHY210" s="545"/>
      <c r="WHZ210" s="545"/>
      <c r="WIA210" s="545"/>
      <c r="WIB210" s="545"/>
      <c r="WIC210" s="545"/>
      <c r="WID210" s="545"/>
      <c r="WIE210" s="545"/>
      <c r="WIF210" s="545"/>
      <c r="WIG210" s="545"/>
      <c r="WIH210" s="545"/>
      <c r="WII210" s="545"/>
      <c r="WIJ210" s="545"/>
      <c r="WIK210" s="545"/>
      <c r="WIL210" s="545"/>
      <c r="WIM210" s="545"/>
      <c r="WIN210" s="545"/>
      <c r="WIO210" s="545"/>
      <c r="WIP210" s="545"/>
      <c r="WIQ210" s="545"/>
      <c r="WIR210" s="545"/>
      <c r="WIS210" s="545"/>
      <c r="WIT210" s="545"/>
      <c r="WIU210" s="545"/>
      <c r="WIV210" s="545"/>
      <c r="WIW210" s="545"/>
      <c r="WIX210" s="545"/>
      <c r="WIY210" s="545"/>
      <c r="WIZ210" s="545"/>
      <c r="WJA210" s="545"/>
      <c r="WJB210" s="545"/>
      <c r="WJC210" s="545"/>
      <c r="WJD210" s="545"/>
      <c r="WJE210" s="545"/>
      <c r="WJF210" s="545"/>
      <c r="WJG210" s="545"/>
      <c r="WJH210" s="545"/>
      <c r="WJI210" s="545"/>
      <c r="WJJ210" s="545"/>
      <c r="WJK210" s="545"/>
      <c r="WJL210" s="545"/>
      <c r="WJM210" s="545"/>
      <c r="WJN210" s="545"/>
      <c r="WJO210" s="545"/>
      <c r="WJP210" s="545"/>
      <c r="WJQ210" s="545"/>
      <c r="WJR210" s="545"/>
      <c r="WJS210" s="545"/>
      <c r="WJT210" s="545"/>
      <c r="WJU210" s="545"/>
      <c r="WJV210" s="545"/>
      <c r="WJW210" s="545"/>
      <c r="WJX210" s="545"/>
      <c r="WJY210" s="545"/>
      <c r="WJZ210" s="545"/>
      <c r="WKA210" s="545"/>
      <c r="WKB210" s="545"/>
      <c r="WKC210" s="545"/>
      <c r="WKD210" s="545"/>
      <c r="WKE210" s="545"/>
      <c r="WKF210" s="545"/>
      <c r="WKG210" s="545"/>
      <c r="WKH210" s="545"/>
      <c r="WKI210" s="545"/>
      <c r="WKJ210" s="545"/>
      <c r="WKK210" s="545"/>
      <c r="WKL210" s="545"/>
      <c r="WKM210" s="545"/>
      <c r="WKN210" s="545"/>
      <c r="WKO210" s="545"/>
      <c r="WKP210" s="545"/>
      <c r="WKQ210" s="545"/>
      <c r="WKR210" s="545"/>
      <c r="WKS210" s="545"/>
      <c r="WKT210" s="545"/>
      <c r="WKU210" s="545"/>
      <c r="WKV210" s="545"/>
      <c r="WKW210" s="545"/>
      <c r="WKX210" s="545"/>
      <c r="WKY210" s="545"/>
      <c r="WKZ210" s="545"/>
      <c r="WLA210" s="545"/>
      <c r="WLB210" s="545"/>
      <c r="WLC210" s="545"/>
      <c r="WLD210" s="545"/>
      <c r="WLE210" s="545"/>
      <c r="WLF210" s="545"/>
      <c r="WLG210" s="545"/>
      <c r="WLH210" s="545"/>
      <c r="WLI210" s="545"/>
      <c r="WLJ210" s="545"/>
      <c r="WLK210" s="545"/>
      <c r="WLL210" s="545"/>
      <c r="WLM210" s="545"/>
      <c r="WLN210" s="545"/>
      <c r="WLO210" s="545"/>
      <c r="WLP210" s="545"/>
      <c r="WLQ210" s="545"/>
      <c r="WLR210" s="545"/>
      <c r="WLS210" s="545"/>
      <c r="WLT210" s="545"/>
      <c r="WLU210" s="545"/>
      <c r="WLV210" s="545"/>
      <c r="WLW210" s="545"/>
      <c r="WLX210" s="545"/>
      <c r="WLY210" s="545"/>
      <c r="WLZ210" s="545"/>
      <c r="WMA210" s="545"/>
      <c r="WMB210" s="545"/>
      <c r="WMC210" s="545"/>
      <c r="WMD210" s="545"/>
      <c r="WME210" s="545"/>
      <c r="WMF210" s="545"/>
      <c r="WMG210" s="545"/>
      <c r="WMH210" s="545"/>
      <c r="WMI210" s="545"/>
      <c r="WMJ210" s="545"/>
      <c r="WMK210" s="545"/>
      <c r="WML210" s="545"/>
      <c r="WMM210" s="545"/>
      <c r="WMN210" s="545"/>
      <c r="WMO210" s="545"/>
      <c r="WMP210" s="545"/>
      <c r="WMQ210" s="545"/>
      <c r="WMR210" s="545"/>
      <c r="WMS210" s="545"/>
      <c r="WMT210" s="545"/>
      <c r="WMU210" s="545"/>
      <c r="WMV210" s="545"/>
      <c r="WMW210" s="545"/>
      <c r="WMX210" s="545"/>
      <c r="WMY210" s="545"/>
      <c r="WMZ210" s="545"/>
      <c r="WNA210" s="545"/>
      <c r="WNB210" s="545"/>
      <c r="WNC210" s="545"/>
      <c r="WND210" s="545"/>
      <c r="WNE210" s="545"/>
      <c r="WNF210" s="545"/>
      <c r="WNG210" s="545"/>
      <c r="WNH210" s="545"/>
      <c r="WNI210" s="545"/>
      <c r="WNJ210" s="545"/>
      <c r="WNK210" s="545"/>
      <c r="WNL210" s="545"/>
      <c r="WNM210" s="545"/>
      <c r="WNN210" s="545"/>
      <c r="WNO210" s="545"/>
      <c r="WNP210" s="545"/>
      <c r="WNQ210" s="545"/>
      <c r="WNR210" s="545"/>
      <c r="WNS210" s="545"/>
      <c r="WNT210" s="545"/>
      <c r="WNU210" s="545"/>
      <c r="WNV210" s="545"/>
      <c r="WNW210" s="545"/>
      <c r="WNX210" s="545"/>
      <c r="WNY210" s="545"/>
      <c r="WNZ210" s="545"/>
      <c r="WOA210" s="545"/>
      <c r="WOB210" s="545"/>
      <c r="WOC210" s="545"/>
      <c r="WOD210" s="545"/>
      <c r="WOE210" s="545"/>
      <c r="WOF210" s="545"/>
      <c r="WOG210" s="545"/>
      <c r="WOH210" s="545"/>
      <c r="WOI210" s="545"/>
      <c r="WOJ210" s="545"/>
      <c r="WOK210" s="545"/>
      <c r="WOL210" s="545"/>
      <c r="WOM210" s="545"/>
      <c r="WON210" s="545"/>
      <c r="WOO210" s="545"/>
      <c r="WOP210" s="545"/>
      <c r="WOQ210" s="545"/>
      <c r="WOR210" s="545"/>
      <c r="WOS210" s="545"/>
      <c r="WOT210" s="545"/>
      <c r="WOU210" s="545"/>
      <c r="WOV210" s="545"/>
      <c r="WOW210" s="545"/>
      <c r="WOX210" s="545"/>
      <c r="WOY210" s="545"/>
      <c r="WOZ210" s="545"/>
      <c r="WPA210" s="545"/>
      <c r="WPB210" s="545"/>
      <c r="WPC210" s="545"/>
      <c r="WPD210" s="545"/>
      <c r="WPE210" s="545"/>
      <c r="WPF210" s="545"/>
      <c r="WPG210" s="545"/>
      <c r="WPH210" s="545"/>
      <c r="WPI210" s="545"/>
      <c r="WPJ210" s="545"/>
      <c r="WPK210" s="545"/>
      <c r="WPL210" s="545"/>
      <c r="WPM210" s="545"/>
      <c r="WPN210" s="545"/>
      <c r="WPO210" s="545"/>
      <c r="WPP210" s="545"/>
      <c r="WPQ210" s="545"/>
      <c r="WPR210" s="545"/>
      <c r="WPS210" s="545"/>
      <c r="WPT210" s="545"/>
      <c r="WPU210" s="545"/>
      <c r="WPV210" s="545"/>
      <c r="WPW210" s="545"/>
      <c r="WPX210" s="545"/>
      <c r="WPY210" s="545"/>
      <c r="WPZ210" s="545"/>
      <c r="WQA210" s="545"/>
      <c r="WQB210" s="545"/>
      <c r="WQC210" s="545"/>
      <c r="WQD210" s="545"/>
      <c r="WQE210" s="545"/>
      <c r="WQF210" s="545"/>
      <c r="WQG210" s="545"/>
      <c r="WQH210" s="545"/>
      <c r="WQI210" s="545"/>
      <c r="WQJ210" s="545"/>
      <c r="WQK210" s="545"/>
      <c r="WQL210" s="545"/>
      <c r="WQM210" s="545"/>
      <c r="WQN210" s="545"/>
      <c r="WQO210" s="545"/>
      <c r="WQP210" s="545"/>
      <c r="WQQ210" s="545"/>
      <c r="WQR210" s="545"/>
      <c r="WQS210" s="545"/>
      <c r="WQT210" s="545"/>
      <c r="WQU210" s="545"/>
      <c r="WQV210" s="545"/>
      <c r="WQW210" s="545"/>
      <c r="WQX210" s="545"/>
      <c r="WQY210" s="545"/>
      <c r="WQZ210" s="545"/>
      <c r="WRA210" s="545"/>
      <c r="WRB210" s="545"/>
      <c r="WRC210" s="545"/>
      <c r="WRD210" s="545"/>
      <c r="WRE210" s="545"/>
      <c r="WRF210" s="545"/>
      <c r="WRG210" s="545"/>
      <c r="WRH210" s="545"/>
      <c r="WRI210" s="545"/>
      <c r="WRJ210" s="545"/>
      <c r="WRK210" s="545"/>
      <c r="WRL210" s="545"/>
      <c r="WRM210" s="545"/>
      <c r="WRN210" s="545"/>
      <c r="WRO210" s="545"/>
      <c r="WRP210" s="545"/>
      <c r="WRQ210" s="545"/>
      <c r="WRR210" s="545"/>
      <c r="WRS210" s="545"/>
      <c r="WRT210" s="545"/>
      <c r="WRU210" s="545"/>
      <c r="WRV210" s="545"/>
      <c r="WRW210" s="545"/>
      <c r="WRX210" s="545"/>
      <c r="WRY210" s="545"/>
      <c r="WRZ210" s="545"/>
      <c r="WSA210" s="545"/>
      <c r="WSB210" s="545"/>
      <c r="WSC210" s="545"/>
      <c r="WSD210" s="545"/>
      <c r="WSE210" s="545"/>
      <c r="WSF210" s="545"/>
      <c r="WSG210" s="545"/>
      <c r="WSH210" s="545"/>
      <c r="WSI210" s="545"/>
      <c r="WSJ210" s="545"/>
      <c r="WSK210" s="545"/>
      <c r="WSL210" s="545"/>
      <c r="WSM210" s="545"/>
      <c r="WSN210" s="545"/>
      <c r="WSO210" s="545"/>
      <c r="WSP210" s="545"/>
      <c r="WSQ210" s="545"/>
      <c r="WSR210" s="545"/>
      <c r="WSS210" s="545"/>
      <c r="WST210" s="545"/>
      <c r="WSU210" s="545"/>
      <c r="WSV210" s="545"/>
      <c r="WSW210" s="545"/>
      <c r="WSX210" s="545"/>
      <c r="WSY210" s="545"/>
      <c r="WSZ210" s="545"/>
      <c r="WTA210" s="545"/>
      <c r="WTB210" s="545"/>
      <c r="WTC210" s="545"/>
      <c r="WTD210" s="545"/>
      <c r="WTE210" s="545"/>
      <c r="WTF210" s="545"/>
      <c r="WTG210" s="545"/>
      <c r="WTH210" s="545"/>
      <c r="WTI210" s="545"/>
      <c r="WTJ210" s="545"/>
      <c r="WTK210" s="545"/>
      <c r="WTL210" s="545"/>
      <c r="WTM210" s="545"/>
      <c r="WTN210" s="545"/>
      <c r="WTO210" s="545"/>
      <c r="WTP210" s="545"/>
      <c r="WTQ210" s="545"/>
      <c r="WTR210" s="545"/>
      <c r="WTS210" s="545"/>
      <c r="WTT210" s="545"/>
      <c r="WTU210" s="545"/>
      <c r="WTV210" s="545"/>
      <c r="WTW210" s="545"/>
      <c r="WTX210" s="545"/>
      <c r="WTY210" s="545"/>
      <c r="WTZ210" s="545"/>
      <c r="WUA210" s="545"/>
      <c r="WUB210" s="545"/>
      <c r="WUC210" s="545"/>
      <c r="WUD210" s="545"/>
      <c r="WUE210" s="545"/>
      <c r="WUF210" s="545"/>
      <c r="WUG210" s="545"/>
      <c r="WUH210" s="545"/>
      <c r="WUI210" s="545"/>
      <c r="WUJ210" s="545"/>
      <c r="WUK210" s="545"/>
      <c r="WUL210" s="545"/>
      <c r="WUM210" s="545"/>
      <c r="WUN210" s="545"/>
      <c r="WUO210" s="545"/>
      <c r="WUP210" s="545"/>
      <c r="WUQ210" s="545"/>
      <c r="WUR210" s="545"/>
      <c r="WUS210" s="545"/>
      <c r="WUT210" s="545"/>
      <c r="WUU210" s="545"/>
      <c r="WUV210" s="545"/>
      <c r="WUW210" s="545"/>
      <c r="WUX210" s="545"/>
      <c r="WUY210" s="545"/>
      <c r="WUZ210" s="545"/>
      <c r="WVA210" s="545"/>
      <c r="WVB210" s="545"/>
      <c r="WVC210" s="545"/>
      <c r="WVD210" s="545"/>
      <c r="WVE210" s="545"/>
      <c r="WVF210" s="545"/>
      <c r="WVG210" s="545"/>
      <c r="WVH210" s="545"/>
      <c r="WVI210" s="545"/>
      <c r="WVJ210" s="545"/>
      <c r="WVK210" s="545"/>
      <c r="WVL210" s="545"/>
      <c r="WVM210" s="545"/>
      <c r="WVN210" s="545"/>
      <c r="WVO210" s="545"/>
      <c r="WVP210" s="545"/>
      <c r="WVQ210" s="545"/>
      <c r="WVR210" s="545"/>
      <c r="WVS210" s="545"/>
      <c r="WVT210" s="545"/>
      <c r="WVU210" s="545"/>
      <c r="WVV210" s="545"/>
      <c r="WVW210" s="545"/>
      <c r="WVX210" s="545"/>
      <c r="WVY210" s="545"/>
      <c r="WVZ210" s="545"/>
      <c r="WWA210" s="545"/>
      <c r="WWB210" s="545"/>
      <c r="WWC210" s="545"/>
      <c r="WWD210" s="545"/>
      <c r="WWE210" s="545"/>
      <c r="WWF210" s="545"/>
      <c r="WWG210" s="545"/>
      <c r="WWH210" s="545"/>
      <c r="WWI210" s="545"/>
      <c r="WWJ210" s="545"/>
      <c r="WWK210" s="545"/>
      <c r="WWL210" s="545"/>
      <c r="WWM210" s="545"/>
      <c r="WWN210" s="545"/>
      <c r="WWO210" s="545"/>
      <c r="WWP210" s="545"/>
      <c r="WWQ210" s="545"/>
      <c r="WWR210" s="545"/>
      <c r="WWS210" s="545"/>
      <c r="WWT210" s="545"/>
      <c r="WWU210" s="545"/>
      <c r="WWV210" s="545"/>
      <c r="WWW210" s="545"/>
      <c r="WWX210" s="545"/>
      <c r="WWY210" s="545"/>
      <c r="WWZ210" s="545"/>
      <c r="WXA210" s="545"/>
      <c r="WXB210" s="545"/>
      <c r="WXC210" s="545"/>
      <c r="WXD210" s="545"/>
      <c r="WXE210" s="545"/>
      <c r="WXF210" s="545"/>
      <c r="WXG210" s="545"/>
      <c r="WXH210" s="545"/>
      <c r="WXI210" s="545"/>
      <c r="WXJ210" s="545"/>
      <c r="WXK210" s="545"/>
      <c r="WXL210" s="545"/>
      <c r="WXM210" s="545"/>
      <c r="WXN210" s="545"/>
      <c r="WXO210" s="545"/>
      <c r="WXP210" s="545"/>
      <c r="WXQ210" s="545"/>
      <c r="WXR210" s="545"/>
      <c r="WXS210" s="545"/>
      <c r="WXT210" s="545"/>
      <c r="WXU210" s="545"/>
      <c r="WXV210" s="545"/>
      <c r="WXW210" s="545"/>
      <c r="WXX210" s="545"/>
      <c r="WXY210" s="545"/>
      <c r="WXZ210" s="545"/>
      <c r="WYA210" s="545"/>
      <c r="WYB210" s="545"/>
      <c r="WYC210" s="545"/>
      <c r="WYD210" s="545"/>
      <c r="WYE210" s="545"/>
      <c r="WYF210" s="545"/>
      <c r="WYG210" s="545"/>
      <c r="WYH210" s="545"/>
      <c r="WYI210" s="545"/>
      <c r="WYJ210" s="545"/>
      <c r="WYK210" s="545"/>
      <c r="WYL210" s="545"/>
      <c r="WYM210" s="545"/>
      <c r="WYN210" s="545"/>
      <c r="WYO210" s="545"/>
      <c r="WYP210" s="545"/>
      <c r="WYQ210" s="545"/>
      <c r="WYR210" s="545"/>
      <c r="WYS210" s="545"/>
      <c r="WYT210" s="545"/>
      <c r="WYU210" s="545"/>
      <c r="WYV210" s="545"/>
      <c r="WYW210" s="545"/>
      <c r="WYX210" s="545"/>
      <c r="WYY210" s="545"/>
      <c r="WYZ210" s="545"/>
      <c r="WZA210" s="545"/>
      <c r="WZB210" s="545"/>
      <c r="WZC210" s="545"/>
      <c r="WZD210" s="545"/>
      <c r="WZE210" s="545"/>
      <c r="WZF210" s="545"/>
      <c r="WZG210" s="545"/>
      <c r="WZH210" s="545"/>
      <c r="WZI210" s="545"/>
      <c r="WZJ210" s="545"/>
      <c r="WZK210" s="545"/>
      <c r="WZL210" s="545"/>
      <c r="WZM210" s="545"/>
      <c r="WZN210" s="545"/>
      <c r="WZO210" s="545"/>
      <c r="WZP210" s="545"/>
      <c r="WZQ210" s="545"/>
      <c r="WZR210" s="545"/>
      <c r="WZS210" s="545"/>
      <c r="WZT210" s="545"/>
      <c r="WZU210" s="545"/>
      <c r="WZV210" s="545"/>
      <c r="WZW210" s="545"/>
      <c r="WZX210" s="545"/>
      <c r="WZY210" s="545"/>
      <c r="WZZ210" s="545"/>
      <c r="XAA210" s="545"/>
      <c r="XAB210" s="545"/>
      <c r="XAC210" s="545"/>
      <c r="XAD210" s="545"/>
      <c r="XAE210" s="545"/>
      <c r="XAF210" s="545"/>
      <c r="XAG210" s="545"/>
      <c r="XAH210" s="545"/>
      <c r="XAI210" s="545"/>
      <c r="XAJ210" s="545"/>
      <c r="XAK210" s="545"/>
      <c r="XAL210" s="545"/>
      <c r="XAM210" s="545"/>
      <c r="XAN210" s="545"/>
      <c r="XAO210" s="545"/>
      <c r="XAP210" s="545"/>
      <c r="XAQ210" s="545"/>
      <c r="XAR210" s="545"/>
      <c r="XAS210" s="545"/>
      <c r="XAT210" s="545"/>
      <c r="XAU210" s="545"/>
      <c r="XAV210" s="545"/>
      <c r="XAW210" s="545"/>
      <c r="XAX210" s="545"/>
      <c r="XAY210" s="545"/>
      <c r="XAZ210" s="545"/>
      <c r="XBA210" s="545"/>
      <c r="XBB210" s="545"/>
      <c r="XBC210" s="545"/>
      <c r="XBD210" s="545"/>
      <c r="XBE210" s="545"/>
      <c r="XBF210" s="545"/>
      <c r="XBG210" s="545"/>
      <c r="XBH210" s="545"/>
      <c r="XBI210" s="545"/>
      <c r="XBJ210" s="545"/>
      <c r="XBK210" s="545"/>
      <c r="XBL210" s="545"/>
      <c r="XBM210" s="545"/>
      <c r="XBN210" s="545"/>
      <c r="XBO210" s="545"/>
      <c r="XBP210" s="545"/>
      <c r="XBQ210" s="545"/>
      <c r="XBR210" s="545"/>
      <c r="XBS210" s="545"/>
      <c r="XBT210" s="545"/>
      <c r="XBU210" s="545"/>
      <c r="XBV210" s="545"/>
      <c r="XBW210" s="545"/>
      <c r="XBX210" s="545"/>
      <c r="XBY210" s="545"/>
      <c r="XBZ210" s="545"/>
      <c r="XCA210" s="545"/>
      <c r="XCB210" s="545"/>
      <c r="XCC210" s="545"/>
      <c r="XCD210" s="545"/>
      <c r="XCE210" s="545"/>
      <c r="XCF210" s="545"/>
      <c r="XCG210" s="545"/>
      <c r="XCH210" s="545"/>
      <c r="XCI210" s="545"/>
      <c r="XCJ210" s="545"/>
      <c r="XCK210" s="545"/>
      <c r="XCL210" s="545"/>
      <c r="XCM210" s="545"/>
      <c r="XCN210" s="545"/>
      <c r="XCO210" s="545"/>
      <c r="XCP210" s="545"/>
      <c r="XCQ210" s="545"/>
      <c r="XCR210" s="545"/>
      <c r="XCS210" s="545"/>
      <c r="XCT210" s="545"/>
      <c r="XCU210" s="545"/>
      <c r="XCV210" s="545"/>
      <c r="XCW210" s="545"/>
      <c r="XCX210" s="545"/>
      <c r="XCY210" s="545"/>
      <c r="XCZ210" s="545"/>
      <c r="XDA210" s="545"/>
      <c r="XDB210" s="545"/>
      <c r="XDC210" s="545"/>
      <c r="XDD210" s="545"/>
      <c r="XDE210" s="545"/>
      <c r="XDF210" s="545"/>
      <c r="XDG210" s="545"/>
      <c r="XDH210" s="545"/>
      <c r="XDI210" s="545"/>
      <c r="XDJ210" s="545"/>
      <c r="XDK210" s="545"/>
      <c r="XDL210" s="545"/>
      <c r="XDM210" s="545"/>
      <c r="XDN210" s="545"/>
      <c r="XDO210" s="545"/>
      <c r="XDP210" s="545"/>
      <c r="XDQ210" s="545"/>
      <c r="XDR210" s="545"/>
      <c r="XDS210" s="545"/>
      <c r="XDT210" s="545"/>
      <c r="XDU210" s="545"/>
      <c r="XDV210" s="545"/>
      <c r="XDW210" s="545"/>
      <c r="XDX210" s="545"/>
      <c r="XDY210" s="545"/>
      <c r="XDZ210" s="545"/>
      <c r="XEA210" s="545"/>
      <c r="XEB210" s="545"/>
      <c r="XEC210" s="545"/>
      <c r="XED210" s="545"/>
      <c r="XEE210" s="545"/>
      <c r="XEF210" s="545"/>
      <c r="XEG210" s="545"/>
      <c r="XEH210" s="545"/>
      <c r="XEI210" s="545"/>
    </row>
    <row r="211" spans="1:16363" ht="15" hidden="1" customHeight="1">
      <c r="A211" s="543"/>
      <c r="B211" s="543"/>
      <c r="C211" s="543"/>
      <c r="D211" s="476" t="s">
        <v>442</v>
      </c>
      <c r="E211" s="561">
        <v>0</v>
      </c>
      <c r="F211" s="561">
        <v>0</v>
      </c>
      <c r="G211" s="561">
        <v>0</v>
      </c>
      <c r="H211" s="561">
        <v>0</v>
      </c>
      <c r="I211" s="469">
        <v>0</v>
      </c>
      <c r="J211" s="227">
        <v>0</v>
      </c>
      <c r="K211" s="462">
        <f t="shared" si="23"/>
        <v>0</v>
      </c>
      <c r="L211" s="462">
        <f t="shared" si="24"/>
        <v>0</v>
      </c>
      <c r="M211" s="464">
        <f>SUMIF('Audit entry'!$C:$C,'TB 25-26'!$D211,'Audit entry'!$D:$D)</f>
        <v>0</v>
      </c>
      <c r="N211" s="464">
        <f>SUMIF('Audit entry'!$C:$C,'TB 25-26'!$D211,'Audit entry'!$E:$E)</f>
        <v>0</v>
      </c>
      <c r="O211" s="462">
        <f t="shared" si="25"/>
        <v>0</v>
      </c>
      <c r="P211" s="462">
        <f t="shared" si="26"/>
        <v>0</v>
      </c>
      <c r="Q211" s="465" t="s">
        <v>439</v>
      </c>
      <c r="R211" s="465" t="s">
        <v>1087</v>
      </c>
      <c r="S211" s="465">
        <v>18</v>
      </c>
      <c r="T211" s="465" t="s">
        <v>104</v>
      </c>
      <c r="V211" s="465"/>
      <c r="W211" s="465"/>
    </row>
    <row r="212" spans="1:16363" ht="15" hidden="1" customHeight="1">
      <c r="A212" s="543"/>
      <c r="B212" s="543"/>
      <c r="C212" s="543"/>
      <c r="D212" s="476" t="s">
        <v>443</v>
      </c>
      <c r="E212" s="561">
        <v>0</v>
      </c>
      <c r="F212" s="561">
        <v>0</v>
      </c>
      <c r="G212" s="561">
        <v>0</v>
      </c>
      <c r="H212" s="561">
        <v>0</v>
      </c>
      <c r="I212" s="469">
        <v>0</v>
      </c>
      <c r="J212" s="227">
        <v>0</v>
      </c>
      <c r="K212" s="462">
        <f t="shared" si="23"/>
        <v>0</v>
      </c>
      <c r="L212" s="462">
        <f t="shared" si="24"/>
        <v>0</v>
      </c>
      <c r="M212" s="464">
        <f>SUMIF('Audit entry'!$C:$C,'TB 25-26'!$D212,'Audit entry'!$D:$D)</f>
        <v>0</v>
      </c>
      <c r="N212" s="464">
        <f>SUMIF('Audit entry'!$C:$C,'TB 25-26'!$D212,'Audit entry'!$E:$E)</f>
        <v>0</v>
      </c>
      <c r="O212" s="462">
        <f t="shared" si="25"/>
        <v>0</v>
      </c>
      <c r="P212" s="462">
        <f t="shared" si="26"/>
        <v>0</v>
      </c>
      <c r="Q212" s="465" t="s">
        <v>439</v>
      </c>
      <c r="R212" s="465" t="s">
        <v>1087</v>
      </c>
      <c r="S212" s="465">
        <v>18</v>
      </c>
      <c r="T212" s="465" t="s">
        <v>104</v>
      </c>
      <c r="V212" s="465"/>
      <c r="W212" s="465"/>
    </row>
    <row r="213" spans="1:16363" ht="15" hidden="1" customHeight="1">
      <c r="A213" s="543"/>
      <c r="B213" s="543"/>
      <c r="C213" s="543"/>
      <c r="D213" s="476" t="s">
        <v>444</v>
      </c>
      <c r="E213" s="561">
        <v>0</v>
      </c>
      <c r="F213" s="561">
        <v>0</v>
      </c>
      <c r="G213" s="561">
        <v>0</v>
      </c>
      <c r="H213" s="561">
        <v>0</v>
      </c>
      <c r="I213" s="469">
        <v>0</v>
      </c>
      <c r="J213" s="227">
        <v>0</v>
      </c>
      <c r="K213" s="462">
        <f t="shared" si="23"/>
        <v>0</v>
      </c>
      <c r="L213" s="462">
        <f t="shared" si="24"/>
        <v>0</v>
      </c>
      <c r="M213" s="464">
        <f>SUMIF('Audit entry'!$C:$C,'TB 25-26'!$D213,'Audit entry'!$D:$D)</f>
        <v>0</v>
      </c>
      <c r="N213" s="464">
        <f>SUMIF('Audit entry'!$C:$C,'TB 25-26'!$D213,'Audit entry'!$E:$E)</f>
        <v>0</v>
      </c>
      <c r="O213" s="462">
        <f t="shared" si="25"/>
        <v>0</v>
      </c>
      <c r="P213" s="462">
        <f t="shared" si="26"/>
        <v>0</v>
      </c>
      <c r="Q213" s="465" t="s">
        <v>439</v>
      </c>
      <c r="R213" s="465" t="s">
        <v>1087</v>
      </c>
      <c r="S213" s="465">
        <v>18</v>
      </c>
      <c r="T213" s="465" t="s">
        <v>104</v>
      </c>
      <c r="V213" s="465"/>
      <c r="W213" s="465"/>
    </row>
    <row r="214" spans="1:16363" ht="15" hidden="1" customHeight="1">
      <c r="A214" s="543"/>
      <c r="B214" s="543"/>
      <c r="C214" s="543"/>
      <c r="D214" s="476" t="s">
        <v>445</v>
      </c>
      <c r="E214" s="561">
        <v>4583</v>
      </c>
      <c r="F214" s="561">
        <v>0</v>
      </c>
      <c r="G214" s="561">
        <v>0</v>
      </c>
      <c r="H214" s="561">
        <v>0</v>
      </c>
      <c r="I214" s="469">
        <v>0</v>
      </c>
      <c r="J214" s="227">
        <v>0</v>
      </c>
      <c r="K214" s="462">
        <f t="shared" si="23"/>
        <v>0</v>
      </c>
      <c r="L214" s="462">
        <f t="shared" si="24"/>
        <v>0</v>
      </c>
      <c r="M214" s="464">
        <f>SUMIF('Audit entry'!$C:$C,'TB 25-26'!$D214,'Audit entry'!$D:$D)</f>
        <v>0</v>
      </c>
      <c r="N214" s="464">
        <f>SUMIF('Audit entry'!$C:$C,'TB 25-26'!$D214,'Audit entry'!$E:$E)</f>
        <v>0</v>
      </c>
      <c r="O214" s="462">
        <f t="shared" si="25"/>
        <v>0</v>
      </c>
      <c r="P214" s="462">
        <f t="shared" si="26"/>
        <v>0</v>
      </c>
      <c r="Q214" s="465" t="s">
        <v>439</v>
      </c>
      <c r="R214" s="465" t="s">
        <v>1087</v>
      </c>
      <c r="S214" s="465">
        <v>18</v>
      </c>
      <c r="T214" s="465" t="s">
        <v>104</v>
      </c>
      <c r="V214" s="465"/>
      <c r="W214" s="465"/>
    </row>
    <row r="215" spans="1:16363" ht="15" hidden="1" customHeight="1">
      <c r="A215" s="543"/>
      <c r="B215" s="543"/>
      <c r="C215" s="543"/>
      <c r="D215" s="476" t="s">
        <v>446</v>
      </c>
      <c r="E215" s="561">
        <v>0</v>
      </c>
      <c r="F215" s="561">
        <v>0</v>
      </c>
      <c r="G215" s="561">
        <v>0</v>
      </c>
      <c r="H215" s="561">
        <v>0</v>
      </c>
      <c r="I215" s="469">
        <v>0</v>
      </c>
      <c r="J215" s="227">
        <v>0</v>
      </c>
      <c r="K215" s="462">
        <f t="shared" si="23"/>
        <v>0</v>
      </c>
      <c r="L215" s="462">
        <f t="shared" si="24"/>
        <v>0</v>
      </c>
      <c r="M215" s="464">
        <f>SUMIF('Audit entry'!$C:$C,'TB 25-26'!$D215,'Audit entry'!$D:$D)</f>
        <v>0</v>
      </c>
      <c r="N215" s="464">
        <f>SUMIF('Audit entry'!$C:$C,'TB 25-26'!$D215,'Audit entry'!$E:$E)</f>
        <v>0</v>
      </c>
      <c r="O215" s="462">
        <f t="shared" si="25"/>
        <v>0</v>
      </c>
      <c r="P215" s="462">
        <f t="shared" si="26"/>
        <v>0</v>
      </c>
      <c r="Q215" s="465" t="s">
        <v>439</v>
      </c>
      <c r="R215" s="465" t="s">
        <v>1087</v>
      </c>
      <c r="S215" s="465">
        <v>18</v>
      </c>
      <c r="T215" s="465" t="s">
        <v>104</v>
      </c>
      <c r="V215" s="465"/>
      <c r="W215" s="465"/>
    </row>
    <row r="216" spans="1:16363" ht="15" hidden="1" customHeight="1">
      <c r="A216" s="543"/>
      <c r="B216" s="543"/>
      <c r="C216" s="543"/>
      <c r="D216" s="476" t="s">
        <v>447</v>
      </c>
      <c r="E216" s="561">
        <v>0</v>
      </c>
      <c r="F216" s="561">
        <v>0</v>
      </c>
      <c r="G216" s="561">
        <v>0</v>
      </c>
      <c r="H216" s="561">
        <v>0</v>
      </c>
      <c r="I216" s="469">
        <v>0</v>
      </c>
      <c r="J216" s="227">
        <v>0</v>
      </c>
      <c r="K216" s="462">
        <f t="shared" si="23"/>
        <v>0</v>
      </c>
      <c r="L216" s="462">
        <f t="shared" si="24"/>
        <v>0</v>
      </c>
      <c r="M216" s="464">
        <f>SUMIF('Audit entry'!$C:$C,'TB 25-26'!$D216,'Audit entry'!$D:$D)</f>
        <v>0</v>
      </c>
      <c r="N216" s="464">
        <f>SUMIF('Audit entry'!$C:$C,'TB 25-26'!$D216,'Audit entry'!$E:$E)</f>
        <v>0</v>
      </c>
      <c r="O216" s="462">
        <f t="shared" si="25"/>
        <v>0</v>
      </c>
      <c r="P216" s="462">
        <f t="shared" si="26"/>
        <v>0</v>
      </c>
      <c r="Q216" s="465" t="s">
        <v>439</v>
      </c>
      <c r="R216" s="465" t="s">
        <v>1087</v>
      </c>
      <c r="S216" s="465">
        <v>18</v>
      </c>
      <c r="T216" s="465" t="s">
        <v>104</v>
      </c>
      <c r="V216" s="465"/>
      <c r="W216" s="465"/>
    </row>
    <row r="217" spans="1:16363" ht="15" hidden="1" customHeight="1">
      <c r="A217" s="543"/>
      <c r="B217" s="543"/>
      <c r="C217" s="543"/>
      <c r="D217" s="476" t="s">
        <v>448</v>
      </c>
      <c r="E217" s="561">
        <v>682757</v>
      </c>
      <c r="F217" s="561">
        <v>0</v>
      </c>
      <c r="G217" s="561">
        <v>0</v>
      </c>
      <c r="H217" s="561">
        <v>0</v>
      </c>
      <c r="I217" s="469">
        <v>44990</v>
      </c>
      <c r="J217" s="227">
        <v>0</v>
      </c>
      <c r="K217" s="462">
        <f t="shared" si="23"/>
        <v>44990</v>
      </c>
      <c r="L217" s="462">
        <f t="shared" si="24"/>
        <v>0</v>
      </c>
      <c r="M217" s="464">
        <f>SUMIF('Audit entry'!$C:$C,'TB 25-26'!$D217,'Audit entry'!$D:$D)</f>
        <v>0</v>
      </c>
      <c r="N217" s="464">
        <f>SUMIF('Audit entry'!$C:$C,'TB 25-26'!$D217,'Audit entry'!$E:$E)</f>
        <v>0</v>
      </c>
      <c r="O217" s="462">
        <f t="shared" si="25"/>
        <v>44990</v>
      </c>
      <c r="P217" s="462">
        <f t="shared" si="26"/>
        <v>0</v>
      </c>
      <c r="Q217" s="465" t="s">
        <v>439</v>
      </c>
      <c r="R217" s="465" t="s">
        <v>1087</v>
      </c>
      <c r="S217" s="465">
        <v>18</v>
      </c>
      <c r="T217" s="465" t="s">
        <v>104</v>
      </c>
      <c r="V217" s="465"/>
      <c r="W217" s="465"/>
    </row>
    <row r="218" spans="1:16363" ht="15" hidden="1" customHeight="1">
      <c r="A218" s="543"/>
      <c r="B218" s="543"/>
      <c r="C218" s="543"/>
      <c r="D218" s="476" t="s">
        <v>449</v>
      </c>
      <c r="E218" s="561">
        <v>1780000</v>
      </c>
      <c r="F218" s="561">
        <v>0</v>
      </c>
      <c r="G218" s="561">
        <v>0</v>
      </c>
      <c r="H218" s="561">
        <v>0</v>
      </c>
      <c r="I218" s="469">
        <v>1250000</v>
      </c>
      <c r="J218" s="227">
        <v>0</v>
      </c>
      <c r="K218" s="462">
        <f t="shared" si="23"/>
        <v>1250000</v>
      </c>
      <c r="L218" s="462">
        <f t="shared" si="24"/>
        <v>0</v>
      </c>
      <c r="M218" s="464">
        <f>SUMIF('Audit entry'!$C:$C,'TB 25-26'!$D218,'Audit entry'!$D:$D)</f>
        <v>0</v>
      </c>
      <c r="N218" s="464">
        <f>SUMIF('Audit entry'!$C:$C,'TB 25-26'!$D218,'Audit entry'!$E:$E)</f>
        <v>0</v>
      </c>
      <c r="O218" s="462">
        <f t="shared" si="25"/>
        <v>1250000</v>
      </c>
      <c r="P218" s="462">
        <f t="shared" si="26"/>
        <v>0</v>
      </c>
      <c r="Q218" s="465" t="s">
        <v>439</v>
      </c>
      <c r="R218" s="465" t="s">
        <v>1087</v>
      </c>
      <c r="S218" s="465">
        <v>18</v>
      </c>
      <c r="T218" s="465" t="s">
        <v>104</v>
      </c>
      <c r="V218" s="465"/>
      <c r="W218" s="465"/>
    </row>
    <row r="219" spans="1:16363" ht="15" hidden="1" customHeight="1">
      <c r="A219" s="543"/>
      <c r="B219" s="543"/>
      <c r="C219" s="543"/>
      <c r="D219" s="476" t="s">
        <v>450</v>
      </c>
      <c r="E219" s="561">
        <v>6000000</v>
      </c>
      <c r="F219" s="561">
        <v>0</v>
      </c>
      <c r="G219" s="561">
        <v>0</v>
      </c>
      <c r="H219" s="561">
        <v>0</v>
      </c>
      <c r="I219" s="469">
        <v>0</v>
      </c>
      <c r="J219" s="227">
        <v>0</v>
      </c>
      <c r="K219" s="462">
        <f t="shared" si="23"/>
        <v>0</v>
      </c>
      <c r="L219" s="462">
        <f t="shared" si="24"/>
        <v>0</v>
      </c>
      <c r="M219" s="464">
        <f>SUMIF('Audit entry'!$C:$C,'TB 25-26'!$D219,'Audit entry'!$D:$D)</f>
        <v>0</v>
      </c>
      <c r="N219" s="464">
        <f>SUMIF('Audit entry'!$C:$C,'TB 25-26'!$D219,'Audit entry'!$E:$E)</f>
        <v>0</v>
      </c>
      <c r="O219" s="462">
        <f t="shared" si="25"/>
        <v>0</v>
      </c>
      <c r="P219" s="462">
        <f t="shared" si="26"/>
        <v>0</v>
      </c>
      <c r="Q219" s="465" t="s">
        <v>439</v>
      </c>
      <c r="R219" s="465" t="s">
        <v>1087</v>
      </c>
      <c r="S219" s="465">
        <v>18</v>
      </c>
      <c r="T219" s="465" t="s">
        <v>104</v>
      </c>
      <c r="V219" s="465"/>
      <c r="W219" s="465"/>
    </row>
    <row r="220" spans="1:16363" ht="15" hidden="1" customHeight="1">
      <c r="A220" s="543"/>
      <c r="B220" s="543"/>
      <c r="C220" s="543"/>
      <c r="D220" s="476" t="s">
        <v>451</v>
      </c>
      <c r="E220" s="561">
        <v>0</v>
      </c>
      <c r="F220" s="561">
        <v>0</v>
      </c>
      <c r="G220" s="561">
        <v>0</v>
      </c>
      <c r="H220" s="561">
        <v>0</v>
      </c>
      <c r="I220" s="469">
        <v>0</v>
      </c>
      <c r="J220" s="227">
        <v>0</v>
      </c>
      <c r="K220" s="462">
        <f t="shared" si="23"/>
        <v>0</v>
      </c>
      <c r="L220" s="462">
        <f t="shared" si="24"/>
        <v>0</v>
      </c>
      <c r="M220" s="464">
        <f>SUMIF('Audit entry'!$C:$C,'TB 25-26'!$D220,'Audit entry'!$D:$D)</f>
        <v>0</v>
      </c>
      <c r="N220" s="464">
        <f>SUMIF('Audit entry'!$C:$C,'TB 25-26'!$D220,'Audit entry'!$E:$E)</f>
        <v>0</v>
      </c>
      <c r="O220" s="462">
        <f t="shared" si="25"/>
        <v>0</v>
      </c>
      <c r="P220" s="462">
        <f t="shared" si="26"/>
        <v>0</v>
      </c>
      <c r="Q220" s="465" t="s">
        <v>439</v>
      </c>
      <c r="R220" s="465" t="s">
        <v>1087</v>
      </c>
      <c r="S220" s="465">
        <v>18</v>
      </c>
      <c r="T220" s="465" t="s">
        <v>104</v>
      </c>
      <c r="V220" s="465"/>
      <c r="W220" s="465"/>
    </row>
    <row r="221" spans="1:16363" ht="15" hidden="1" customHeight="1">
      <c r="A221" s="543"/>
      <c r="B221" s="543"/>
      <c r="C221" s="543"/>
      <c r="D221" s="476" t="s">
        <v>452</v>
      </c>
      <c r="E221" s="561">
        <v>0</v>
      </c>
      <c r="F221" s="561">
        <v>0</v>
      </c>
      <c r="G221" s="561">
        <v>0</v>
      </c>
      <c r="H221" s="561">
        <v>0</v>
      </c>
      <c r="I221" s="469">
        <v>0</v>
      </c>
      <c r="J221" s="227">
        <v>0</v>
      </c>
      <c r="K221" s="462">
        <f t="shared" si="23"/>
        <v>0</v>
      </c>
      <c r="L221" s="462">
        <f t="shared" si="24"/>
        <v>0</v>
      </c>
      <c r="M221" s="464">
        <f>SUMIF('Audit entry'!$C:$C,'TB 25-26'!$D221,'Audit entry'!$D:$D)</f>
        <v>0</v>
      </c>
      <c r="N221" s="464">
        <f>SUMIF('Audit entry'!$C:$C,'TB 25-26'!$D221,'Audit entry'!$E:$E)</f>
        <v>0</v>
      </c>
      <c r="O221" s="462">
        <f t="shared" si="25"/>
        <v>0</v>
      </c>
      <c r="P221" s="462">
        <f t="shared" si="26"/>
        <v>0</v>
      </c>
      <c r="Q221" s="465" t="s">
        <v>439</v>
      </c>
      <c r="R221" s="465" t="s">
        <v>1087</v>
      </c>
      <c r="S221" s="465">
        <v>18</v>
      </c>
      <c r="T221" s="465" t="s">
        <v>104</v>
      </c>
      <c r="V221" s="465"/>
      <c r="W221" s="465"/>
    </row>
    <row r="222" spans="1:16363" ht="15" hidden="1" customHeight="1">
      <c r="A222" s="543"/>
      <c r="B222" s="543"/>
      <c r="C222" s="475" t="s">
        <v>453</v>
      </c>
      <c r="D222" s="475"/>
      <c r="E222" s="561">
        <v>0</v>
      </c>
      <c r="F222" s="561">
        <v>0</v>
      </c>
      <c r="G222" s="561">
        <f t="shared" si="21"/>
        <v>0</v>
      </c>
      <c r="H222" s="227">
        <f t="shared" si="22"/>
        <v>0</v>
      </c>
      <c r="I222" s="469">
        <v>0</v>
      </c>
      <c r="J222" s="227">
        <v>0</v>
      </c>
      <c r="K222" s="462">
        <f t="shared" si="23"/>
        <v>0</v>
      </c>
      <c r="L222" s="462">
        <f t="shared" si="24"/>
        <v>0</v>
      </c>
      <c r="M222" s="464">
        <f>SUMIF('Audit entry'!$C:$C,'TB 25-26'!$D222,'Audit entry'!$D:$D)</f>
        <v>0</v>
      </c>
      <c r="N222" s="464">
        <f>SUMIF('Audit entry'!$C:$C,'TB 25-26'!$D222,'Audit entry'!$E:$E)</f>
        <v>0</v>
      </c>
      <c r="O222" s="462">
        <f t="shared" si="25"/>
        <v>0</v>
      </c>
      <c r="P222" s="462">
        <f t="shared" si="26"/>
        <v>0</v>
      </c>
      <c r="V222" s="465"/>
      <c r="W222" s="465"/>
    </row>
    <row r="223" spans="1:16363" ht="15" hidden="1" customHeight="1">
      <c r="A223" s="543"/>
      <c r="B223" s="543"/>
      <c r="C223" s="543"/>
      <c r="D223" s="476" t="s">
        <v>454</v>
      </c>
      <c r="E223" s="561">
        <v>0</v>
      </c>
      <c r="F223" s="561">
        <v>5317</v>
      </c>
      <c r="G223" s="561">
        <v>0</v>
      </c>
      <c r="H223" s="561">
        <v>0</v>
      </c>
      <c r="I223" s="469">
        <v>0</v>
      </c>
      <c r="J223" s="227">
        <v>5274</v>
      </c>
      <c r="K223" s="462">
        <f t="shared" si="23"/>
        <v>0</v>
      </c>
      <c r="L223" s="462">
        <f t="shared" si="24"/>
        <v>5274</v>
      </c>
      <c r="M223" s="464">
        <f>SUMIF('Audit entry'!$C:$C,'TB 25-26'!$D223,'Audit entry'!$D:$D)</f>
        <v>0</v>
      </c>
      <c r="N223" s="464">
        <f>SUMIF('Audit entry'!$C:$C,'TB 25-26'!$D223,'Audit entry'!$E:$E)</f>
        <v>0</v>
      </c>
      <c r="O223" s="462">
        <f t="shared" si="25"/>
        <v>0</v>
      </c>
      <c r="P223" s="462">
        <f t="shared" si="26"/>
        <v>5274</v>
      </c>
      <c r="Q223" s="465" t="s">
        <v>439</v>
      </c>
      <c r="R223" s="465" t="s">
        <v>1087</v>
      </c>
      <c r="S223" s="465">
        <v>18</v>
      </c>
      <c r="T223" s="465" t="s">
        <v>104</v>
      </c>
      <c r="V223" s="465"/>
      <c r="W223" s="465"/>
    </row>
    <row r="224" spans="1:16363" ht="15" hidden="1" customHeight="1">
      <c r="A224" s="543"/>
      <c r="B224" s="543"/>
      <c r="C224" s="543"/>
      <c r="D224" s="476" t="s">
        <v>455</v>
      </c>
      <c r="E224" s="561">
        <v>38002</v>
      </c>
      <c r="F224" s="561">
        <v>0</v>
      </c>
      <c r="G224" s="561">
        <v>0</v>
      </c>
      <c r="H224" s="561">
        <v>0</v>
      </c>
      <c r="I224" s="469">
        <v>42647</v>
      </c>
      <c r="J224" s="227">
        <v>0</v>
      </c>
      <c r="K224" s="462">
        <f t="shared" si="23"/>
        <v>42647</v>
      </c>
      <c r="L224" s="462">
        <f t="shared" si="24"/>
        <v>0</v>
      </c>
      <c r="M224" s="464">
        <f>SUMIF('Audit entry'!$C:$C,'TB 25-26'!$D224,'Audit entry'!$D:$D)</f>
        <v>0</v>
      </c>
      <c r="N224" s="464">
        <f>SUMIF('Audit entry'!$C:$C,'TB 25-26'!$D224,'Audit entry'!$E:$E)</f>
        <v>0</v>
      </c>
      <c r="O224" s="462">
        <f t="shared" si="25"/>
        <v>42647</v>
      </c>
      <c r="P224" s="462">
        <f t="shared" si="26"/>
        <v>0</v>
      </c>
      <c r="Q224" s="465" t="s">
        <v>439</v>
      </c>
      <c r="R224" s="465" t="s">
        <v>1087</v>
      </c>
      <c r="S224" s="465">
        <v>18</v>
      </c>
      <c r="T224" s="465" t="s">
        <v>104</v>
      </c>
      <c r="U224" s="468">
        <f>+O224-P223</f>
        <v>37373</v>
      </c>
      <c r="V224" s="465"/>
      <c r="W224" s="465"/>
    </row>
    <row r="225" spans="1:23" ht="15" hidden="1" customHeight="1">
      <c r="A225" s="543"/>
      <c r="B225" s="543"/>
      <c r="C225" s="475" t="s">
        <v>456</v>
      </c>
      <c r="D225" s="475"/>
      <c r="E225" s="561">
        <v>0</v>
      </c>
      <c r="F225" s="561">
        <v>0</v>
      </c>
      <c r="G225" s="561">
        <f t="shared" si="21"/>
        <v>0</v>
      </c>
      <c r="H225" s="227">
        <f t="shared" si="22"/>
        <v>0</v>
      </c>
      <c r="I225" s="469">
        <v>0</v>
      </c>
      <c r="J225" s="227">
        <v>0</v>
      </c>
      <c r="K225" s="462">
        <f t="shared" si="23"/>
        <v>0</v>
      </c>
      <c r="L225" s="462">
        <f t="shared" si="24"/>
        <v>0</v>
      </c>
      <c r="M225" s="464">
        <f>SUMIF('Audit entry'!$C:$C,'TB 25-26'!$D225,'Audit entry'!$D:$D)</f>
        <v>0</v>
      </c>
      <c r="N225" s="464">
        <f>SUMIF('Audit entry'!$C:$C,'TB 25-26'!$D225,'Audit entry'!$E:$E)</f>
        <v>0</v>
      </c>
      <c r="O225" s="462">
        <f t="shared" si="25"/>
        <v>0</v>
      </c>
      <c r="P225" s="462">
        <f t="shared" si="26"/>
        <v>0</v>
      </c>
      <c r="V225" s="465"/>
      <c r="W225" s="465"/>
    </row>
    <row r="226" spans="1:23" ht="15" hidden="1" customHeight="1">
      <c r="A226" s="543"/>
      <c r="B226" s="543"/>
      <c r="C226" s="543"/>
      <c r="D226" s="476" t="s">
        <v>457</v>
      </c>
      <c r="E226" s="561">
        <v>306700</v>
      </c>
      <c r="F226" s="561">
        <v>0</v>
      </c>
      <c r="G226" s="561">
        <v>0</v>
      </c>
      <c r="H226" s="561">
        <v>0</v>
      </c>
      <c r="I226" s="469">
        <v>0</v>
      </c>
      <c r="J226" s="227">
        <v>0</v>
      </c>
      <c r="K226" s="462">
        <f t="shared" si="23"/>
        <v>0</v>
      </c>
      <c r="L226" s="462">
        <f t="shared" si="24"/>
        <v>0</v>
      </c>
      <c r="M226" s="464">
        <f>SUMIF('Audit entry'!$C:$C,'TB 25-26'!$D226,'Audit entry'!$D:$D)</f>
        <v>0</v>
      </c>
      <c r="N226" s="464">
        <f>SUMIF('Audit entry'!$C:$C,'TB 25-26'!$D226,'Audit entry'!$E:$E)</f>
        <v>0</v>
      </c>
      <c r="O226" s="462">
        <f t="shared" si="25"/>
        <v>0</v>
      </c>
      <c r="P226" s="462">
        <f t="shared" si="26"/>
        <v>0</v>
      </c>
      <c r="Q226" s="465" t="s">
        <v>458</v>
      </c>
      <c r="R226" s="465" t="s">
        <v>1087</v>
      </c>
      <c r="S226" s="465">
        <v>18</v>
      </c>
      <c r="T226" s="465" t="s">
        <v>104</v>
      </c>
      <c r="V226" s="465"/>
      <c r="W226" s="465"/>
    </row>
    <row r="227" spans="1:23" ht="15" hidden="1" customHeight="1">
      <c r="A227" s="543"/>
      <c r="B227" s="543"/>
      <c r="C227" s="543"/>
      <c r="D227" s="476" t="s">
        <v>459</v>
      </c>
      <c r="E227" s="561">
        <v>0</v>
      </c>
      <c r="F227" s="561">
        <v>5178</v>
      </c>
      <c r="G227" s="561">
        <v>0</v>
      </c>
      <c r="H227" s="561">
        <v>0</v>
      </c>
      <c r="I227" s="469">
        <v>433914.32</v>
      </c>
      <c r="J227" s="227">
        <v>0</v>
      </c>
      <c r="K227" s="462">
        <f t="shared" si="23"/>
        <v>433914.32</v>
      </c>
      <c r="L227" s="462">
        <f t="shared" si="24"/>
        <v>0</v>
      </c>
      <c r="M227" s="464">
        <f>SUMIF('Audit entry'!$C:$C,'TB 25-26'!$D227,'Audit entry'!$D:$D)</f>
        <v>0</v>
      </c>
      <c r="N227" s="464">
        <f>SUMIF('Audit entry'!$C:$C,'TB 25-26'!$D227,'Audit entry'!$E:$E)</f>
        <v>0</v>
      </c>
      <c r="O227" s="462">
        <f t="shared" si="25"/>
        <v>433914.32</v>
      </c>
      <c r="P227" s="462">
        <f t="shared" si="26"/>
        <v>0</v>
      </c>
      <c r="Q227" s="465" t="s">
        <v>458</v>
      </c>
      <c r="R227" s="465" t="s">
        <v>1087</v>
      </c>
      <c r="S227" s="465">
        <v>18</v>
      </c>
      <c r="T227" s="465" t="s">
        <v>104</v>
      </c>
      <c r="V227" s="465"/>
      <c r="W227" s="465"/>
    </row>
    <row r="228" spans="1:23" ht="15" hidden="1" customHeight="1">
      <c r="A228" s="543"/>
      <c r="B228" s="543"/>
      <c r="C228" s="543"/>
      <c r="D228" s="476" t="s">
        <v>460</v>
      </c>
      <c r="E228" s="561">
        <v>0</v>
      </c>
      <c r="F228" s="561">
        <v>0</v>
      </c>
      <c r="G228" s="561">
        <v>0</v>
      </c>
      <c r="H228" s="561">
        <v>0</v>
      </c>
      <c r="I228" s="469">
        <v>18593</v>
      </c>
      <c r="J228" s="227">
        <v>0</v>
      </c>
      <c r="K228" s="462">
        <f t="shared" si="23"/>
        <v>18593</v>
      </c>
      <c r="L228" s="462">
        <f t="shared" si="24"/>
        <v>0</v>
      </c>
      <c r="M228" s="464">
        <f>SUMIF('Audit entry'!$C:$C,'TB 25-26'!$D228,'Audit entry'!$D:$D)</f>
        <v>0</v>
      </c>
      <c r="N228" s="464">
        <f>SUMIF('Audit entry'!$C:$C,'TB 25-26'!$D228,'Audit entry'!$E:$E)</f>
        <v>0</v>
      </c>
      <c r="O228" s="462">
        <f t="shared" si="25"/>
        <v>18593</v>
      </c>
      <c r="P228" s="462">
        <f t="shared" si="26"/>
        <v>0</v>
      </c>
      <c r="Q228" s="465" t="s">
        <v>458</v>
      </c>
      <c r="R228" s="465" t="s">
        <v>1087</v>
      </c>
      <c r="S228" s="465">
        <v>18</v>
      </c>
      <c r="T228" s="465" t="s">
        <v>104</v>
      </c>
      <c r="V228" s="465"/>
      <c r="W228" s="465"/>
    </row>
    <row r="229" spans="1:23" ht="15" hidden="1" customHeight="1">
      <c r="A229" s="543"/>
      <c r="B229" s="543"/>
      <c r="C229" s="543"/>
      <c r="D229" s="476" t="s">
        <v>456</v>
      </c>
      <c r="E229" s="561">
        <v>207981</v>
      </c>
      <c r="F229" s="561">
        <v>0</v>
      </c>
      <c r="G229" s="561">
        <v>0</v>
      </c>
      <c r="H229" s="561">
        <v>0</v>
      </c>
      <c r="I229" s="469">
        <v>152046</v>
      </c>
      <c r="J229" s="227">
        <v>0</v>
      </c>
      <c r="K229" s="462">
        <f t="shared" si="23"/>
        <v>152046</v>
      </c>
      <c r="L229" s="462">
        <f t="shared" si="24"/>
        <v>0</v>
      </c>
      <c r="M229" s="464">
        <f>SUMIF('Audit entry'!$C:$C,'TB 25-26'!$D229,'Audit entry'!$D:$D)</f>
        <v>0</v>
      </c>
      <c r="N229" s="464">
        <f>SUMIF('Audit entry'!$C:$C,'TB 25-26'!$D229,'Audit entry'!$E:$E)</f>
        <v>0</v>
      </c>
      <c r="O229" s="462">
        <f t="shared" si="25"/>
        <v>152046</v>
      </c>
      <c r="P229" s="462">
        <f t="shared" si="26"/>
        <v>0</v>
      </c>
      <c r="Q229" s="465" t="s">
        <v>458</v>
      </c>
      <c r="R229" s="465" t="s">
        <v>1087</v>
      </c>
      <c r="S229" s="465">
        <v>18</v>
      </c>
      <c r="T229" s="465" t="s">
        <v>104</v>
      </c>
      <c r="V229" s="465"/>
      <c r="W229" s="465"/>
    </row>
    <row r="230" spans="1:23" ht="15" hidden="1" customHeight="1">
      <c r="A230" s="543"/>
      <c r="B230" s="543"/>
      <c r="C230" s="543"/>
      <c r="D230" s="476" t="s">
        <v>461</v>
      </c>
      <c r="E230" s="561">
        <v>0</v>
      </c>
      <c r="F230" s="561">
        <v>0</v>
      </c>
      <c r="G230" s="561">
        <v>0</v>
      </c>
      <c r="H230" s="561">
        <v>0</v>
      </c>
      <c r="I230" s="469">
        <v>0</v>
      </c>
      <c r="J230" s="227">
        <v>0</v>
      </c>
      <c r="K230" s="462">
        <f t="shared" si="23"/>
        <v>0</v>
      </c>
      <c r="L230" s="462">
        <f t="shared" si="24"/>
        <v>0</v>
      </c>
      <c r="M230" s="464">
        <f>SUMIF('Audit entry'!$C:$C,'TB 25-26'!$D230,'Audit entry'!$D:$D)</f>
        <v>0</v>
      </c>
      <c r="N230" s="464">
        <f>SUMIF('Audit entry'!$C:$C,'TB 25-26'!$D230,'Audit entry'!$E:$E)</f>
        <v>0</v>
      </c>
      <c r="O230" s="462">
        <f t="shared" si="25"/>
        <v>0</v>
      </c>
      <c r="P230" s="462">
        <f t="shared" si="26"/>
        <v>0</v>
      </c>
      <c r="Q230" s="465" t="s">
        <v>458</v>
      </c>
      <c r="R230" s="465" t="s">
        <v>1087</v>
      </c>
      <c r="S230" s="465">
        <v>18</v>
      </c>
      <c r="T230" s="465" t="s">
        <v>104</v>
      </c>
      <c r="V230" s="465"/>
      <c r="W230" s="465"/>
    </row>
    <row r="231" spans="1:23" ht="15" hidden="1" customHeight="1">
      <c r="A231" s="543"/>
      <c r="B231" s="475" t="s">
        <v>462</v>
      </c>
      <c r="C231" s="475"/>
      <c r="D231" s="475"/>
      <c r="E231" s="561">
        <v>0</v>
      </c>
      <c r="F231" s="561">
        <v>0</v>
      </c>
      <c r="G231" s="561">
        <f t="shared" si="21"/>
        <v>0</v>
      </c>
      <c r="H231" s="227">
        <f t="shared" si="22"/>
        <v>0</v>
      </c>
      <c r="I231" s="469">
        <v>0</v>
      </c>
      <c r="J231" s="227">
        <v>0</v>
      </c>
      <c r="K231" s="462">
        <f t="shared" si="23"/>
        <v>0</v>
      </c>
      <c r="L231" s="462">
        <f t="shared" si="24"/>
        <v>0</v>
      </c>
      <c r="M231" s="464">
        <f>SUMIF('Audit entry'!$C:$C,'TB 25-26'!$D231,'Audit entry'!$D:$D)</f>
        <v>0</v>
      </c>
      <c r="N231" s="464">
        <f>SUMIF('Audit entry'!$C:$C,'TB 25-26'!$D231,'Audit entry'!$E:$E)</f>
        <v>0</v>
      </c>
      <c r="O231" s="462">
        <f t="shared" si="25"/>
        <v>0</v>
      </c>
      <c r="P231" s="462">
        <f t="shared" si="26"/>
        <v>0</v>
      </c>
      <c r="V231" s="465"/>
      <c r="W231" s="465"/>
    </row>
    <row r="232" spans="1:23" ht="15" hidden="1" customHeight="1">
      <c r="A232" s="543"/>
      <c r="B232" s="543"/>
      <c r="C232" s="475" t="s">
        <v>463</v>
      </c>
      <c r="D232" s="475"/>
      <c r="E232" s="561">
        <v>0</v>
      </c>
      <c r="F232" s="561">
        <v>0</v>
      </c>
      <c r="G232" s="561">
        <f t="shared" si="21"/>
        <v>0</v>
      </c>
      <c r="H232" s="227">
        <f t="shared" si="22"/>
        <v>0</v>
      </c>
      <c r="I232" s="469">
        <v>0</v>
      </c>
      <c r="J232" s="227">
        <v>0</v>
      </c>
      <c r="K232" s="462">
        <f t="shared" si="23"/>
        <v>0</v>
      </c>
      <c r="L232" s="462">
        <f t="shared" si="24"/>
        <v>0</v>
      </c>
      <c r="M232" s="464">
        <f>SUMIF('Audit entry'!$C:$C,'TB 25-26'!$D232,'Audit entry'!$D:$D)</f>
        <v>0</v>
      </c>
      <c r="N232" s="464">
        <f>SUMIF('Audit entry'!$C:$C,'TB 25-26'!$D232,'Audit entry'!$E:$E)</f>
        <v>0</v>
      </c>
      <c r="O232" s="462">
        <f t="shared" si="25"/>
        <v>0</v>
      </c>
      <c r="P232" s="462">
        <f t="shared" si="26"/>
        <v>0</v>
      </c>
      <c r="V232" s="465"/>
      <c r="W232" s="465"/>
    </row>
    <row r="233" spans="1:23" ht="15" hidden="1" customHeight="1">
      <c r="A233" s="543"/>
      <c r="B233" s="543"/>
      <c r="C233" s="543"/>
      <c r="D233" s="476" t="s">
        <v>464</v>
      </c>
      <c r="E233" s="561">
        <v>17318.57</v>
      </c>
      <c r="F233" s="561">
        <v>0</v>
      </c>
      <c r="G233" s="561">
        <v>0</v>
      </c>
      <c r="H233" s="561">
        <v>0</v>
      </c>
      <c r="I233" s="469">
        <v>17676</v>
      </c>
      <c r="J233" s="227">
        <v>0</v>
      </c>
      <c r="K233" s="462">
        <f t="shared" si="23"/>
        <v>17676</v>
      </c>
      <c r="L233" s="462">
        <f t="shared" si="24"/>
        <v>0</v>
      </c>
      <c r="M233" s="464">
        <f>SUMIF('Audit entry'!$C:$C,'TB 25-26'!$D233,'Audit entry'!$D:$D)</f>
        <v>0</v>
      </c>
      <c r="N233" s="464">
        <f>SUMIF('Audit entry'!$C:$C,'TB 25-26'!$D233,'Audit entry'!$E:$E)</f>
        <v>0</v>
      </c>
      <c r="O233" s="462">
        <f t="shared" si="25"/>
        <v>17676</v>
      </c>
      <c r="P233" s="462">
        <f t="shared" si="26"/>
        <v>0</v>
      </c>
      <c r="Q233" s="465" t="s">
        <v>465</v>
      </c>
      <c r="R233" s="465" t="s">
        <v>1087</v>
      </c>
      <c r="S233" s="465">
        <v>20</v>
      </c>
      <c r="T233" s="465" t="s">
        <v>401</v>
      </c>
      <c r="U233" s="465" t="s">
        <v>466</v>
      </c>
    </row>
    <row r="234" spans="1:23" ht="15" hidden="1" customHeight="1">
      <c r="A234" s="543"/>
      <c r="B234" s="543"/>
      <c r="C234" s="543"/>
      <c r="D234" s="476" t="s">
        <v>467</v>
      </c>
      <c r="E234" s="561">
        <v>26278.959999999999</v>
      </c>
      <c r="F234" s="561">
        <v>0</v>
      </c>
      <c r="G234" s="561">
        <v>0</v>
      </c>
      <c r="H234" s="561">
        <v>0</v>
      </c>
      <c r="I234" s="469">
        <v>0</v>
      </c>
      <c r="J234" s="227">
        <v>0</v>
      </c>
      <c r="K234" s="462">
        <f t="shared" si="23"/>
        <v>0</v>
      </c>
      <c r="L234" s="462">
        <f t="shared" si="24"/>
        <v>0</v>
      </c>
      <c r="M234" s="464">
        <f>SUMIF('Audit entry'!$C:$C,'TB 25-26'!$D234,'Audit entry'!$D:$D)</f>
        <v>0</v>
      </c>
      <c r="N234" s="464">
        <f>SUMIF('Audit entry'!$C:$C,'TB 25-26'!$D234,'Audit entry'!$E:$E)</f>
        <v>0</v>
      </c>
      <c r="O234" s="462">
        <f t="shared" si="25"/>
        <v>0</v>
      </c>
      <c r="P234" s="462">
        <f t="shared" si="26"/>
        <v>0</v>
      </c>
      <c r="Q234" s="465" t="s">
        <v>468</v>
      </c>
      <c r="R234" s="465" t="s">
        <v>1087</v>
      </c>
      <c r="S234" s="465">
        <v>20</v>
      </c>
      <c r="T234" s="465" t="s">
        <v>401</v>
      </c>
      <c r="U234" s="465" t="s">
        <v>466</v>
      </c>
    </row>
    <row r="235" spans="1:23" ht="15" hidden="1" customHeight="1">
      <c r="A235" s="543"/>
      <c r="B235" s="543"/>
      <c r="C235" s="543"/>
      <c r="D235" s="476" t="s">
        <v>469</v>
      </c>
      <c r="E235" s="561">
        <v>65052.299999999996</v>
      </c>
      <c r="F235" s="561">
        <v>0</v>
      </c>
      <c r="G235" s="561">
        <v>0</v>
      </c>
      <c r="H235" s="561">
        <v>0</v>
      </c>
      <c r="I235" s="469">
        <v>95016.68</v>
      </c>
      <c r="J235" s="227">
        <v>0</v>
      </c>
      <c r="K235" s="462">
        <f t="shared" si="23"/>
        <v>95016.68</v>
      </c>
      <c r="L235" s="462">
        <f t="shared" si="24"/>
        <v>0</v>
      </c>
      <c r="M235" s="464">
        <f>SUMIF('Audit entry'!$C:$C,'TB 25-26'!$D235,'Audit entry'!$D:$D)</f>
        <v>0</v>
      </c>
      <c r="N235" s="464">
        <f>SUMIF('Audit entry'!$C:$C,'TB 25-26'!$D235,'Audit entry'!$E:$E)</f>
        <v>0</v>
      </c>
      <c r="O235" s="462">
        <f t="shared" si="25"/>
        <v>95016.68</v>
      </c>
      <c r="P235" s="462">
        <f t="shared" si="26"/>
        <v>0</v>
      </c>
      <c r="Q235" s="465" t="s">
        <v>470</v>
      </c>
      <c r="R235" s="465" t="s">
        <v>1087</v>
      </c>
      <c r="S235" s="465">
        <v>20</v>
      </c>
      <c r="T235" s="465" t="s">
        <v>401</v>
      </c>
      <c r="U235" s="465" t="s">
        <v>466</v>
      </c>
    </row>
    <row r="236" spans="1:23" ht="15" hidden="1" customHeight="1">
      <c r="A236" s="543"/>
      <c r="B236" s="543"/>
      <c r="C236" s="543"/>
      <c r="D236" s="476" t="s">
        <v>471</v>
      </c>
      <c r="E236" s="561">
        <v>0</v>
      </c>
      <c r="F236" s="561">
        <v>0</v>
      </c>
      <c r="G236" s="561">
        <v>0</v>
      </c>
      <c r="H236" s="561">
        <v>0</v>
      </c>
      <c r="I236" s="469">
        <v>0</v>
      </c>
      <c r="J236" s="227">
        <v>0</v>
      </c>
      <c r="K236" s="462">
        <f t="shared" si="23"/>
        <v>0</v>
      </c>
      <c r="L236" s="462">
        <f t="shared" si="24"/>
        <v>0</v>
      </c>
      <c r="M236" s="464">
        <f>SUMIF('Audit entry'!$C:$C,'TB 25-26'!$D236,'Audit entry'!$D:$D)</f>
        <v>0</v>
      </c>
      <c r="N236" s="464">
        <f>SUMIF('Audit entry'!$C:$C,'TB 25-26'!$D236,'Audit entry'!$E:$E)</f>
        <v>0</v>
      </c>
      <c r="O236" s="462">
        <f t="shared" si="25"/>
        <v>0</v>
      </c>
      <c r="P236" s="462">
        <f t="shared" si="26"/>
        <v>0</v>
      </c>
      <c r="Q236" s="465" t="s">
        <v>470</v>
      </c>
      <c r="R236" s="465" t="s">
        <v>1087</v>
      </c>
      <c r="S236" s="465">
        <v>20</v>
      </c>
      <c r="T236" s="465" t="s">
        <v>401</v>
      </c>
      <c r="U236" s="465" t="s">
        <v>466</v>
      </c>
    </row>
    <row r="237" spans="1:23" ht="15" hidden="1" customHeight="1">
      <c r="A237" s="543"/>
      <c r="B237" s="543"/>
      <c r="C237" s="543"/>
      <c r="D237" s="476" t="s">
        <v>472</v>
      </c>
      <c r="E237" s="561">
        <v>0</v>
      </c>
      <c r="F237" s="561">
        <v>0</v>
      </c>
      <c r="G237" s="561">
        <v>0</v>
      </c>
      <c r="H237" s="561">
        <v>0</v>
      </c>
      <c r="I237" s="469">
        <v>0</v>
      </c>
      <c r="J237" s="227">
        <v>0</v>
      </c>
      <c r="K237" s="462">
        <f t="shared" si="23"/>
        <v>0</v>
      </c>
      <c r="L237" s="462">
        <f t="shared" si="24"/>
        <v>0</v>
      </c>
      <c r="M237" s="464">
        <f>SUMIF('Audit entry'!$C:$C,'TB 25-26'!$D237,'Audit entry'!$D:$D)</f>
        <v>0</v>
      </c>
      <c r="N237" s="464">
        <f>SUMIF('Audit entry'!$C:$C,'TB 25-26'!$D237,'Audit entry'!$E:$E)</f>
        <v>0</v>
      </c>
      <c r="O237" s="462">
        <f t="shared" si="25"/>
        <v>0</v>
      </c>
      <c r="P237" s="462">
        <f t="shared" si="26"/>
        <v>0</v>
      </c>
      <c r="Q237" s="465" t="s">
        <v>473</v>
      </c>
      <c r="R237" s="465" t="s">
        <v>1087</v>
      </c>
      <c r="S237" s="465">
        <v>20</v>
      </c>
      <c r="T237" s="465" t="s">
        <v>401</v>
      </c>
      <c r="U237" s="465" t="s">
        <v>466</v>
      </c>
    </row>
    <row r="238" spans="1:23" ht="15" hidden="1" customHeight="1">
      <c r="A238" s="543"/>
      <c r="B238" s="543"/>
      <c r="C238" s="543"/>
      <c r="D238" s="476" t="s">
        <v>474</v>
      </c>
      <c r="E238" s="561">
        <v>32274.290000000008</v>
      </c>
      <c r="F238" s="561">
        <v>0</v>
      </c>
      <c r="G238" s="561">
        <v>0</v>
      </c>
      <c r="H238" s="561">
        <v>0</v>
      </c>
      <c r="I238" s="469">
        <v>49309.02</v>
      </c>
      <c r="J238" s="227">
        <v>0</v>
      </c>
      <c r="K238" s="462">
        <f t="shared" si="23"/>
        <v>49309.02</v>
      </c>
      <c r="L238" s="462">
        <f t="shared" si="24"/>
        <v>0</v>
      </c>
      <c r="M238" s="464">
        <f>SUMIF('Audit entry'!$C:$C,'TB 25-26'!$D238,'Audit entry'!$D:$D)</f>
        <v>0</v>
      </c>
      <c r="N238" s="464">
        <f>SUMIF('Audit entry'!$C:$C,'TB 25-26'!$D238,'Audit entry'!$E:$E)</f>
        <v>0</v>
      </c>
      <c r="O238" s="462">
        <f t="shared" si="25"/>
        <v>49309.02</v>
      </c>
      <c r="P238" s="462">
        <f t="shared" si="26"/>
        <v>0</v>
      </c>
      <c r="Q238" s="465" t="s">
        <v>473</v>
      </c>
      <c r="R238" s="465" t="s">
        <v>1087</v>
      </c>
      <c r="S238" s="465">
        <v>20</v>
      </c>
      <c r="T238" s="465" t="s">
        <v>401</v>
      </c>
      <c r="U238" s="465" t="s">
        <v>466</v>
      </c>
    </row>
    <row r="239" spans="1:23" ht="15" hidden="1" customHeight="1">
      <c r="A239" s="543"/>
      <c r="B239" s="543"/>
      <c r="C239" s="543"/>
      <c r="D239" s="476" t="s">
        <v>475</v>
      </c>
      <c r="E239" s="561">
        <v>62101.8</v>
      </c>
      <c r="F239" s="561">
        <v>0</v>
      </c>
      <c r="G239" s="561">
        <v>0</v>
      </c>
      <c r="H239" s="561">
        <v>0</v>
      </c>
      <c r="I239" s="469">
        <v>64451.15</v>
      </c>
      <c r="J239" s="227">
        <v>0</v>
      </c>
      <c r="K239" s="462">
        <f t="shared" si="23"/>
        <v>64451.15</v>
      </c>
      <c r="L239" s="462">
        <f t="shared" si="24"/>
        <v>0</v>
      </c>
      <c r="M239" s="464">
        <f>SUMIF('Audit entry'!$C:$C,'TB 25-26'!$D239,'Audit entry'!$D:$D)</f>
        <v>0</v>
      </c>
      <c r="N239" s="464">
        <f>SUMIF('Audit entry'!$C:$C,'TB 25-26'!$D239,'Audit entry'!$E:$E)</f>
        <v>0</v>
      </c>
      <c r="O239" s="462">
        <f t="shared" si="25"/>
        <v>64451.15</v>
      </c>
      <c r="P239" s="462">
        <f t="shared" si="26"/>
        <v>0</v>
      </c>
      <c r="Q239" s="465" t="s">
        <v>468</v>
      </c>
      <c r="R239" s="465" t="s">
        <v>1087</v>
      </c>
      <c r="S239" s="465">
        <v>20</v>
      </c>
      <c r="T239" s="465" t="s">
        <v>401</v>
      </c>
      <c r="U239" s="465" t="s">
        <v>466</v>
      </c>
    </row>
    <row r="240" spans="1:23" ht="15" hidden="1" customHeight="1">
      <c r="A240" s="543"/>
      <c r="B240" s="543"/>
      <c r="C240" s="543"/>
      <c r="D240" s="476" t="s">
        <v>475</v>
      </c>
      <c r="E240" s="561">
        <v>0</v>
      </c>
      <c r="F240" s="561">
        <v>0</v>
      </c>
      <c r="G240" s="561">
        <v>0</v>
      </c>
      <c r="H240" s="561">
        <v>0</v>
      </c>
      <c r="I240" s="469">
        <v>22227.38</v>
      </c>
      <c r="J240" s="227">
        <v>0</v>
      </c>
      <c r="K240" s="462">
        <f t="shared" ref="K240" si="27">+IF((G240+I240-H240-J240&gt;0),G240+I240-H240-J240,0)</f>
        <v>22227.38</v>
      </c>
      <c r="L240" s="462">
        <f t="shared" ref="L240" si="28">+IF((H240+J240-G240-I240)&gt;0,H240+J240-G240-I240,0)</f>
        <v>0</v>
      </c>
      <c r="M240" s="464">
        <f>SUMIF('Audit entry'!$C:$C,'TB 25-26'!$D240,'Audit entry'!$D:$D)</f>
        <v>0</v>
      </c>
      <c r="N240" s="464">
        <f>SUMIF('Audit entry'!$C:$C,'TB 25-26'!$D240,'Audit entry'!$E:$E)</f>
        <v>0</v>
      </c>
      <c r="O240" s="462">
        <f t="shared" ref="O240" si="29">+IF((K240+M240-L240-N240&gt;0),K240+M240-L240-N240,0)/Deno</f>
        <v>22227.38</v>
      </c>
      <c r="P240" s="462">
        <f t="shared" ref="P240" si="30">+IF((L240+N240-K240-M240)&gt;0,L240+N240-K240-M240,0)/Deno</f>
        <v>0</v>
      </c>
      <c r="Q240" s="465" t="s">
        <v>468</v>
      </c>
      <c r="R240" s="465" t="s">
        <v>1087</v>
      </c>
      <c r="S240" s="465">
        <v>20</v>
      </c>
      <c r="T240" s="465" t="s">
        <v>401</v>
      </c>
      <c r="U240" s="465" t="s">
        <v>466</v>
      </c>
    </row>
    <row r="241" spans="1:23" ht="15" hidden="1" customHeight="1">
      <c r="A241" s="543"/>
      <c r="B241" s="543"/>
      <c r="C241" s="543"/>
      <c r="D241" s="476" t="s">
        <v>476</v>
      </c>
      <c r="E241" s="561">
        <v>857414.4</v>
      </c>
      <c r="F241" s="561">
        <v>0</v>
      </c>
      <c r="G241" s="561">
        <v>0</v>
      </c>
      <c r="H241" s="561">
        <v>0</v>
      </c>
      <c r="I241" s="469">
        <v>855178.65</v>
      </c>
      <c r="J241" s="227">
        <v>0</v>
      </c>
      <c r="K241" s="462">
        <f t="shared" si="23"/>
        <v>855178.65</v>
      </c>
      <c r="L241" s="462">
        <f t="shared" si="24"/>
        <v>0</v>
      </c>
      <c r="M241" s="464">
        <f>SUMIF('Audit entry'!$C:$C,'TB 25-26'!$D241,'Audit entry'!$D:$D)</f>
        <v>0</v>
      </c>
      <c r="N241" s="464">
        <f>SUMIF('Audit entry'!$C:$C,'TB 25-26'!$D241,'Audit entry'!$E:$E)</f>
        <v>0</v>
      </c>
      <c r="O241" s="462">
        <f t="shared" si="25"/>
        <v>855178.65</v>
      </c>
      <c r="P241" s="462">
        <f t="shared" si="26"/>
        <v>0</v>
      </c>
      <c r="Q241" s="465" t="s">
        <v>560</v>
      </c>
      <c r="R241" s="465" t="s">
        <v>1087</v>
      </c>
      <c r="S241" s="465">
        <v>20</v>
      </c>
      <c r="T241" s="465" t="s">
        <v>401</v>
      </c>
      <c r="U241" s="465" t="s">
        <v>408</v>
      </c>
    </row>
    <row r="242" spans="1:23" ht="15" hidden="1" customHeight="1">
      <c r="A242" s="543"/>
      <c r="B242" s="543"/>
      <c r="C242" s="475" t="s">
        <v>477</v>
      </c>
      <c r="D242" s="475"/>
      <c r="E242" s="561">
        <v>0</v>
      </c>
      <c r="F242" s="561">
        <v>0</v>
      </c>
      <c r="G242" s="561">
        <f t="shared" si="21"/>
        <v>0</v>
      </c>
      <c r="H242" s="227">
        <f t="shared" si="22"/>
        <v>0</v>
      </c>
      <c r="I242" s="469">
        <v>0</v>
      </c>
      <c r="J242" s="227">
        <v>0</v>
      </c>
      <c r="K242" s="462">
        <f t="shared" si="23"/>
        <v>0</v>
      </c>
      <c r="L242" s="462">
        <f t="shared" si="24"/>
        <v>0</v>
      </c>
      <c r="M242" s="464">
        <f>SUMIF('Audit entry'!$C:$C,'TB 25-26'!$D242,'Audit entry'!$D:$D)</f>
        <v>0</v>
      </c>
      <c r="N242" s="464">
        <f>SUMIF('Audit entry'!$C:$C,'TB 25-26'!$D242,'Audit entry'!$E:$E)</f>
        <v>0</v>
      </c>
      <c r="O242" s="462">
        <f t="shared" si="25"/>
        <v>0</v>
      </c>
      <c r="P242" s="462">
        <f t="shared" si="26"/>
        <v>0</v>
      </c>
      <c r="V242" s="465"/>
      <c r="W242" s="465"/>
    </row>
    <row r="243" spans="1:23" ht="15" hidden="1" customHeight="1">
      <c r="A243" s="543"/>
      <c r="B243" s="543"/>
      <c r="C243" s="543"/>
      <c r="D243" s="476" t="s">
        <v>478</v>
      </c>
      <c r="E243" s="561">
        <v>1876065</v>
      </c>
      <c r="F243" s="561">
        <v>0</v>
      </c>
      <c r="G243" s="561">
        <v>0</v>
      </c>
      <c r="H243" s="561">
        <v>0</v>
      </c>
      <c r="I243" s="469">
        <v>2187017</v>
      </c>
      <c r="J243" s="227">
        <v>0</v>
      </c>
      <c r="K243" s="462">
        <f t="shared" si="23"/>
        <v>2187017</v>
      </c>
      <c r="L243" s="462">
        <f t="shared" si="24"/>
        <v>0</v>
      </c>
      <c r="M243" s="464">
        <f>SUMIF('Audit entry'!$C:$C,'TB 25-26'!$D243,'Audit entry'!$D:$D)</f>
        <v>0</v>
      </c>
      <c r="N243" s="464">
        <f>SUMIF('Audit entry'!$C:$C,'TB 25-26'!$D243,'Audit entry'!$E:$E)</f>
        <v>0</v>
      </c>
      <c r="O243" s="462">
        <f t="shared" si="25"/>
        <v>2187017</v>
      </c>
      <c r="P243" s="462">
        <f t="shared" si="26"/>
        <v>0</v>
      </c>
      <c r="Q243" s="465" t="s">
        <v>479</v>
      </c>
      <c r="R243" s="465" t="s">
        <v>1087</v>
      </c>
      <c r="S243" s="465">
        <v>20</v>
      </c>
      <c r="T243" s="465" t="s">
        <v>401</v>
      </c>
      <c r="U243" s="465" t="s">
        <v>480</v>
      </c>
    </row>
    <row r="244" spans="1:23" ht="15" hidden="1" customHeight="1">
      <c r="A244" s="543"/>
      <c r="B244" s="543"/>
      <c r="C244" s="543"/>
      <c r="D244" s="476" t="s">
        <v>481</v>
      </c>
      <c r="E244" s="561">
        <v>0</v>
      </c>
      <c r="F244" s="561">
        <v>0</v>
      </c>
      <c r="G244" s="561">
        <v>0</v>
      </c>
      <c r="H244" s="561">
        <v>0</v>
      </c>
      <c r="I244" s="469">
        <v>0</v>
      </c>
      <c r="J244" s="227">
        <v>0</v>
      </c>
      <c r="K244" s="462">
        <f t="shared" si="23"/>
        <v>0</v>
      </c>
      <c r="L244" s="462">
        <f t="shared" si="24"/>
        <v>0</v>
      </c>
      <c r="M244" s="464">
        <f>SUMIF('Audit entry'!$C:$C,'TB 25-26'!$D244,'Audit entry'!$D:$D)</f>
        <v>0</v>
      </c>
      <c r="N244" s="464">
        <f>SUMIF('Audit entry'!$C:$C,'TB 25-26'!$D244,'Audit entry'!$E:$E)</f>
        <v>0</v>
      </c>
      <c r="O244" s="462">
        <f t="shared" si="25"/>
        <v>0</v>
      </c>
      <c r="P244" s="462">
        <f t="shared" si="26"/>
        <v>0</v>
      </c>
      <c r="Q244" s="465" t="s">
        <v>482</v>
      </c>
      <c r="R244" s="465" t="s">
        <v>1087</v>
      </c>
      <c r="S244" s="465">
        <v>20</v>
      </c>
      <c r="T244" s="465" t="s">
        <v>401</v>
      </c>
      <c r="U244" s="465" t="s">
        <v>483</v>
      </c>
    </row>
    <row r="245" spans="1:23" ht="15" hidden="1" customHeight="1">
      <c r="A245" s="543"/>
      <c r="B245" s="543"/>
      <c r="C245" s="543"/>
      <c r="D245" s="476" t="s">
        <v>484</v>
      </c>
      <c r="E245" s="561">
        <v>0</v>
      </c>
      <c r="F245" s="561">
        <v>0</v>
      </c>
      <c r="G245" s="561">
        <v>0</v>
      </c>
      <c r="H245" s="561">
        <v>0</v>
      </c>
      <c r="I245" s="469">
        <v>0</v>
      </c>
      <c r="J245" s="227">
        <v>0</v>
      </c>
      <c r="K245" s="462">
        <f t="shared" si="23"/>
        <v>0</v>
      </c>
      <c r="L245" s="462">
        <f t="shared" si="24"/>
        <v>0</v>
      </c>
      <c r="M245" s="464">
        <f>SUMIF('Audit entry'!$C:$C,'TB 25-26'!$D245,'Audit entry'!$D:$D)</f>
        <v>0</v>
      </c>
      <c r="N245" s="464">
        <f>SUMIF('Audit entry'!$C:$C,'TB 25-26'!$D245,'Audit entry'!$E:$E)</f>
        <v>0</v>
      </c>
      <c r="O245" s="462">
        <f t="shared" si="25"/>
        <v>0</v>
      </c>
      <c r="P245" s="462">
        <f t="shared" si="26"/>
        <v>0</v>
      </c>
      <c r="Q245" s="465" t="s">
        <v>485</v>
      </c>
      <c r="R245" s="465" t="s">
        <v>1087</v>
      </c>
      <c r="S245" s="465">
        <v>20</v>
      </c>
      <c r="T245" s="465" t="s">
        <v>401</v>
      </c>
      <c r="U245" s="465" t="s">
        <v>480</v>
      </c>
    </row>
    <row r="246" spans="1:23" ht="15" hidden="1" customHeight="1">
      <c r="A246" s="543"/>
      <c r="B246" s="543"/>
      <c r="C246" s="543"/>
      <c r="D246" s="476" t="s">
        <v>486</v>
      </c>
      <c r="E246" s="561">
        <v>0</v>
      </c>
      <c r="F246" s="561">
        <v>0</v>
      </c>
      <c r="G246" s="561">
        <v>0</v>
      </c>
      <c r="H246" s="561">
        <v>0</v>
      </c>
      <c r="I246" s="469">
        <v>0</v>
      </c>
      <c r="J246" s="227">
        <v>0</v>
      </c>
      <c r="K246" s="462">
        <f t="shared" si="23"/>
        <v>0</v>
      </c>
      <c r="L246" s="462">
        <f t="shared" si="24"/>
        <v>0</v>
      </c>
      <c r="M246" s="464">
        <f>SUMIF('Audit entry'!$C:$C,'TB 25-26'!$D246,'Audit entry'!$D:$D)</f>
        <v>0</v>
      </c>
      <c r="N246" s="464">
        <f>SUMIF('Audit entry'!$C:$C,'TB 25-26'!$D246,'Audit entry'!$E:$E)</f>
        <v>0</v>
      </c>
      <c r="O246" s="462">
        <f t="shared" si="25"/>
        <v>0</v>
      </c>
      <c r="P246" s="462">
        <f t="shared" si="26"/>
        <v>0</v>
      </c>
      <c r="Q246" s="465" t="s">
        <v>482</v>
      </c>
      <c r="R246" s="465" t="s">
        <v>1087</v>
      </c>
      <c r="S246" s="465">
        <v>20</v>
      </c>
      <c r="T246" s="465" t="s">
        <v>401</v>
      </c>
      <c r="U246" s="465" t="s">
        <v>483</v>
      </c>
    </row>
    <row r="247" spans="1:23" ht="15" hidden="1" customHeight="1">
      <c r="A247" s="543"/>
      <c r="B247" s="543"/>
      <c r="C247" s="543"/>
      <c r="D247" s="476" t="s">
        <v>487</v>
      </c>
      <c r="E247" s="561">
        <v>0</v>
      </c>
      <c r="F247" s="561">
        <v>0</v>
      </c>
      <c r="G247" s="561">
        <v>0</v>
      </c>
      <c r="H247" s="561">
        <v>0</v>
      </c>
      <c r="I247" s="469">
        <v>0</v>
      </c>
      <c r="J247" s="227">
        <v>0</v>
      </c>
      <c r="K247" s="462">
        <f t="shared" si="23"/>
        <v>0</v>
      </c>
      <c r="L247" s="462">
        <f t="shared" si="24"/>
        <v>0</v>
      </c>
      <c r="M247" s="464">
        <f>SUMIF('Audit entry'!$C:$C,'TB 25-26'!$D247,'Audit entry'!$D:$D)</f>
        <v>0</v>
      </c>
      <c r="N247" s="464">
        <f>SUMIF('Audit entry'!$C:$C,'TB 25-26'!$D247,'Audit entry'!$E:$E)</f>
        <v>0</v>
      </c>
      <c r="O247" s="462">
        <f t="shared" si="25"/>
        <v>0</v>
      </c>
      <c r="P247" s="462">
        <f t="shared" si="26"/>
        <v>0</v>
      </c>
      <c r="Q247" s="465" t="s">
        <v>482</v>
      </c>
      <c r="R247" s="465" t="s">
        <v>1087</v>
      </c>
      <c r="S247" s="465">
        <v>20</v>
      </c>
      <c r="T247" s="465" t="s">
        <v>401</v>
      </c>
      <c r="U247" s="465" t="s">
        <v>483</v>
      </c>
    </row>
    <row r="248" spans="1:23" ht="15" hidden="1" customHeight="1">
      <c r="A248" s="543"/>
      <c r="B248" s="543"/>
      <c r="C248" s="543"/>
      <c r="D248" s="476" t="s">
        <v>488</v>
      </c>
      <c r="E248" s="561">
        <v>0</v>
      </c>
      <c r="F248" s="561">
        <v>0</v>
      </c>
      <c r="G248" s="561">
        <v>0</v>
      </c>
      <c r="H248" s="561">
        <v>0</v>
      </c>
      <c r="I248" s="469">
        <v>0</v>
      </c>
      <c r="J248" s="227">
        <v>0</v>
      </c>
      <c r="K248" s="462">
        <f t="shared" si="23"/>
        <v>0</v>
      </c>
      <c r="L248" s="462">
        <f t="shared" si="24"/>
        <v>0</v>
      </c>
      <c r="M248" s="464">
        <f>SUMIF('Audit entry'!$C:$C,'TB 25-26'!$D248,'Audit entry'!$D:$D)</f>
        <v>0</v>
      </c>
      <c r="N248" s="464">
        <f>SUMIF('Audit entry'!$C:$C,'TB 25-26'!$D248,'Audit entry'!$E:$E)</f>
        <v>0</v>
      </c>
      <c r="O248" s="462">
        <f t="shared" si="25"/>
        <v>0</v>
      </c>
      <c r="P248" s="462">
        <f t="shared" si="26"/>
        <v>0</v>
      </c>
      <c r="Q248" s="465" t="s">
        <v>482</v>
      </c>
      <c r="R248" s="465" t="s">
        <v>1087</v>
      </c>
      <c r="S248" s="465">
        <v>20</v>
      </c>
      <c r="T248" s="465" t="s">
        <v>401</v>
      </c>
      <c r="U248" s="465" t="s">
        <v>483</v>
      </c>
    </row>
    <row r="249" spans="1:23" ht="15" hidden="1" customHeight="1">
      <c r="A249" s="543"/>
      <c r="B249" s="543"/>
      <c r="C249" s="543"/>
      <c r="D249" s="476" t="s">
        <v>489</v>
      </c>
      <c r="E249" s="561">
        <v>48000</v>
      </c>
      <c r="F249" s="561">
        <v>0</v>
      </c>
      <c r="G249" s="561">
        <v>0</v>
      </c>
      <c r="H249" s="561">
        <v>0</v>
      </c>
      <c r="I249" s="469">
        <v>46309</v>
      </c>
      <c r="J249" s="227">
        <v>0</v>
      </c>
      <c r="K249" s="462">
        <f t="shared" si="23"/>
        <v>46309</v>
      </c>
      <c r="L249" s="462">
        <f t="shared" si="24"/>
        <v>0</v>
      </c>
      <c r="M249" s="464">
        <f>SUMIF('Audit entry'!$C:$C,'TB 25-26'!$D249,'Audit entry'!$D:$D)</f>
        <v>0</v>
      </c>
      <c r="N249" s="464">
        <f>SUMIF('Audit entry'!$C:$C,'TB 25-26'!$D249,'Audit entry'!$E:$E)</f>
        <v>0</v>
      </c>
      <c r="O249" s="462">
        <f t="shared" si="25"/>
        <v>46309</v>
      </c>
      <c r="P249" s="462">
        <f t="shared" si="26"/>
        <v>0</v>
      </c>
      <c r="Q249" s="465" t="s">
        <v>490</v>
      </c>
      <c r="R249" s="465" t="s">
        <v>1087</v>
      </c>
      <c r="S249" s="465">
        <v>20</v>
      </c>
      <c r="T249" s="465" t="s">
        <v>401</v>
      </c>
      <c r="U249" s="465" t="s">
        <v>480</v>
      </c>
    </row>
    <row r="250" spans="1:23" ht="15" hidden="1" customHeight="1">
      <c r="A250" s="543"/>
      <c r="B250" s="543"/>
      <c r="C250" s="543"/>
      <c r="D250" s="476" t="s">
        <v>491</v>
      </c>
      <c r="E250" s="561">
        <v>0</v>
      </c>
      <c r="F250" s="561">
        <v>0</v>
      </c>
      <c r="G250" s="561">
        <v>0</v>
      </c>
      <c r="H250" s="561">
        <v>0</v>
      </c>
      <c r="I250" s="469">
        <v>0</v>
      </c>
      <c r="J250" s="227">
        <v>0</v>
      </c>
      <c r="K250" s="462">
        <f t="shared" si="23"/>
        <v>0</v>
      </c>
      <c r="L250" s="462">
        <f t="shared" si="24"/>
        <v>0</v>
      </c>
      <c r="M250" s="464">
        <f>SUMIF('Audit entry'!$C:$C,'TB 25-26'!$D250,'Audit entry'!$D:$D)</f>
        <v>0</v>
      </c>
      <c r="N250" s="464">
        <f>SUMIF('Audit entry'!$C:$C,'TB 25-26'!$D250,'Audit entry'!$E:$E)</f>
        <v>0</v>
      </c>
      <c r="O250" s="462">
        <f t="shared" si="25"/>
        <v>0</v>
      </c>
      <c r="P250" s="462">
        <f t="shared" si="26"/>
        <v>0</v>
      </c>
      <c r="Q250" s="465" t="s">
        <v>492</v>
      </c>
      <c r="R250" s="465" t="s">
        <v>1087</v>
      </c>
      <c r="S250" s="465">
        <v>20</v>
      </c>
      <c r="T250" s="465" t="s">
        <v>401</v>
      </c>
      <c r="U250" s="465" t="s">
        <v>480</v>
      </c>
    </row>
    <row r="251" spans="1:23" ht="15" hidden="1" customHeight="1">
      <c r="A251" s="543"/>
      <c r="B251" s="543"/>
      <c r="C251" s="543"/>
      <c r="D251" s="476" t="s">
        <v>493</v>
      </c>
      <c r="E251" s="561">
        <v>0</v>
      </c>
      <c r="F251" s="561">
        <v>0</v>
      </c>
      <c r="G251" s="561">
        <v>0</v>
      </c>
      <c r="H251" s="561">
        <v>0</v>
      </c>
      <c r="I251" s="469">
        <v>0</v>
      </c>
      <c r="J251" s="227">
        <v>0</v>
      </c>
      <c r="K251" s="462">
        <f t="shared" si="23"/>
        <v>0</v>
      </c>
      <c r="L251" s="462">
        <f t="shared" si="24"/>
        <v>0</v>
      </c>
      <c r="M251" s="464">
        <f>SUMIF('Audit entry'!$C:$C,'TB 25-26'!$D251,'Audit entry'!$D:$D)</f>
        <v>0</v>
      </c>
      <c r="N251" s="464">
        <f>SUMIF('Audit entry'!$C:$C,'TB 25-26'!$D251,'Audit entry'!$E:$E)</f>
        <v>0</v>
      </c>
      <c r="O251" s="462">
        <f t="shared" si="25"/>
        <v>0</v>
      </c>
      <c r="P251" s="462">
        <f t="shared" si="26"/>
        <v>0</v>
      </c>
      <c r="Q251" s="465" t="s">
        <v>494</v>
      </c>
      <c r="R251" s="465" t="s">
        <v>1087</v>
      </c>
      <c r="S251" s="465">
        <v>20</v>
      </c>
      <c r="T251" s="465" t="s">
        <v>401</v>
      </c>
      <c r="U251" s="465" t="s">
        <v>480</v>
      </c>
    </row>
    <row r="252" spans="1:23" ht="15" hidden="1" customHeight="1">
      <c r="A252" s="543"/>
      <c r="B252" s="543"/>
      <c r="C252" s="543"/>
      <c r="D252" s="476" t="s">
        <v>495</v>
      </c>
      <c r="E252" s="561">
        <v>211000</v>
      </c>
      <c r="F252" s="561">
        <v>0</v>
      </c>
      <c r="G252" s="561">
        <v>0</v>
      </c>
      <c r="H252" s="561">
        <v>0</v>
      </c>
      <c r="I252" s="469">
        <v>408000</v>
      </c>
      <c r="J252" s="227">
        <v>0</v>
      </c>
      <c r="K252" s="462">
        <f t="shared" si="23"/>
        <v>408000</v>
      </c>
      <c r="L252" s="462">
        <f t="shared" si="24"/>
        <v>0</v>
      </c>
      <c r="M252" s="464">
        <f>SUMIF('Audit entry'!$C:$C,'TB 25-26'!$D252,'Audit entry'!$D:$D)</f>
        <v>0</v>
      </c>
      <c r="N252" s="464">
        <f>SUMIF('Audit entry'!$C:$C,'TB 25-26'!$D252,'Audit entry'!$E:$E)</f>
        <v>0</v>
      </c>
      <c r="O252" s="462">
        <f t="shared" si="25"/>
        <v>408000</v>
      </c>
      <c r="P252" s="462">
        <f t="shared" si="26"/>
        <v>0</v>
      </c>
      <c r="Q252" s="465" t="s">
        <v>495</v>
      </c>
      <c r="R252" s="465" t="s">
        <v>1087</v>
      </c>
      <c r="S252" s="465">
        <v>20</v>
      </c>
      <c r="T252" s="465" t="s">
        <v>401</v>
      </c>
      <c r="U252" s="465" t="s">
        <v>480</v>
      </c>
    </row>
    <row r="253" spans="1:23" ht="15" hidden="1" customHeight="1">
      <c r="A253" s="543"/>
      <c r="B253" s="543"/>
      <c r="C253" s="475" t="s">
        <v>496</v>
      </c>
      <c r="D253" s="475"/>
      <c r="E253" s="561">
        <v>0</v>
      </c>
      <c r="F253" s="561">
        <v>0</v>
      </c>
      <c r="G253" s="561">
        <f t="shared" si="21"/>
        <v>0</v>
      </c>
      <c r="H253" s="227">
        <f t="shared" si="22"/>
        <v>0</v>
      </c>
      <c r="I253" s="469">
        <v>0</v>
      </c>
      <c r="J253" s="227">
        <v>0</v>
      </c>
      <c r="K253" s="462">
        <f t="shared" si="23"/>
        <v>0</v>
      </c>
      <c r="L253" s="462">
        <f t="shared" si="24"/>
        <v>0</v>
      </c>
      <c r="M253" s="464">
        <f>SUMIF('Audit entry'!$C:$C,'TB 25-26'!$D253,'Audit entry'!$D:$D)</f>
        <v>0</v>
      </c>
      <c r="N253" s="464">
        <f>SUMIF('Audit entry'!$C:$C,'TB 25-26'!$D253,'Audit entry'!$E:$E)</f>
        <v>0</v>
      </c>
      <c r="O253" s="462">
        <f t="shared" si="25"/>
        <v>0</v>
      </c>
      <c r="P253" s="462">
        <f t="shared" si="26"/>
        <v>0</v>
      </c>
      <c r="V253" s="465"/>
      <c r="W253" s="465"/>
    </row>
    <row r="254" spans="1:23" ht="15" hidden="1" customHeight="1">
      <c r="A254" s="543"/>
      <c r="B254" s="543"/>
      <c r="C254" s="543"/>
      <c r="D254" s="476" t="s">
        <v>497</v>
      </c>
      <c r="E254" s="561">
        <v>0</v>
      </c>
      <c r="F254" s="561">
        <v>0</v>
      </c>
      <c r="G254" s="561">
        <f t="shared" si="21"/>
        <v>0</v>
      </c>
      <c r="H254" s="227">
        <f t="shared" si="22"/>
        <v>0</v>
      </c>
      <c r="I254" s="469">
        <v>0</v>
      </c>
      <c r="J254" s="227">
        <v>0</v>
      </c>
      <c r="K254" s="462">
        <f t="shared" si="23"/>
        <v>0</v>
      </c>
      <c r="L254" s="462">
        <f t="shared" si="24"/>
        <v>0</v>
      </c>
      <c r="M254" s="464">
        <f>SUMIF('Audit entry'!$C:$C,'TB 25-26'!$D254,'Audit entry'!$D:$D)</f>
        <v>0</v>
      </c>
      <c r="N254" s="464">
        <f>SUMIF('Audit entry'!$C:$C,'TB 25-26'!$D254,'Audit entry'!$E:$E)</f>
        <v>0</v>
      </c>
      <c r="O254" s="462">
        <f t="shared" si="25"/>
        <v>0</v>
      </c>
      <c r="P254" s="462">
        <f t="shared" si="26"/>
        <v>0</v>
      </c>
      <c r="V254" s="465"/>
      <c r="W254" s="465"/>
    </row>
    <row r="255" spans="1:23" ht="15" hidden="1" customHeight="1">
      <c r="A255" s="543"/>
      <c r="B255" s="543"/>
      <c r="C255" s="543"/>
      <c r="D255" s="476" t="s">
        <v>498</v>
      </c>
      <c r="E255" s="561">
        <v>0</v>
      </c>
      <c r="F255" s="561">
        <v>0</v>
      </c>
      <c r="G255" s="561">
        <v>0</v>
      </c>
      <c r="H255" s="561">
        <v>0</v>
      </c>
      <c r="I255" s="469">
        <v>0</v>
      </c>
      <c r="J255" s="227">
        <v>0</v>
      </c>
      <c r="K255" s="462">
        <f t="shared" si="23"/>
        <v>0</v>
      </c>
      <c r="L255" s="462">
        <f t="shared" si="24"/>
        <v>0</v>
      </c>
      <c r="M255" s="464">
        <f>SUMIF('Audit entry'!$C:$C,'TB 25-26'!$D255,'Audit entry'!$D:$D)</f>
        <v>0</v>
      </c>
      <c r="N255" s="464">
        <f>SUMIF('Audit entry'!$C:$C,'TB 25-26'!$D255,'Audit entry'!$E:$E)</f>
        <v>0</v>
      </c>
      <c r="O255" s="462">
        <f t="shared" si="25"/>
        <v>0</v>
      </c>
      <c r="P255" s="462">
        <f t="shared" si="26"/>
        <v>0</v>
      </c>
      <c r="Q255" s="465" t="s">
        <v>499</v>
      </c>
      <c r="R255" s="465" t="s">
        <v>1087</v>
      </c>
      <c r="S255" s="465">
        <v>20</v>
      </c>
      <c r="T255" s="465" t="s">
        <v>401</v>
      </c>
      <c r="U255" s="465" t="s">
        <v>500</v>
      </c>
    </row>
    <row r="256" spans="1:23" ht="15" hidden="1" customHeight="1">
      <c r="A256" s="543"/>
      <c r="B256" s="543"/>
      <c r="C256" s="543"/>
      <c r="D256" s="476" t="s">
        <v>501</v>
      </c>
      <c r="E256" s="561">
        <v>4800</v>
      </c>
      <c r="F256" s="561">
        <v>0</v>
      </c>
      <c r="G256" s="561">
        <v>0</v>
      </c>
      <c r="H256" s="561">
        <v>0</v>
      </c>
      <c r="I256" s="469">
        <v>7200</v>
      </c>
      <c r="J256" s="227">
        <v>0</v>
      </c>
      <c r="K256" s="462">
        <f t="shared" si="23"/>
        <v>7200</v>
      </c>
      <c r="L256" s="462">
        <f t="shared" si="24"/>
        <v>0</v>
      </c>
      <c r="M256" s="464">
        <f>SUMIF('Audit entry'!$C:$C,'TB 25-26'!$D256,'Audit entry'!$D:$D)</f>
        <v>0</v>
      </c>
      <c r="N256" s="464">
        <f>SUMIF('Audit entry'!$C:$C,'TB 25-26'!$D256,'Audit entry'!$E:$E)</f>
        <v>0</v>
      </c>
      <c r="O256" s="462">
        <f t="shared" si="25"/>
        <v>7200</v>
      </c>
      <c r="P256" s="462">
        <f t="shared" si="26"/>
        <v>0</v>
      </c>
      <c r="Q256" s="465" t="s">
        <v>499</v>
      </c>
      <c r="R256" s="465" t="s">
        <v>1087</v>
      </c>
      <c r="S256" s="465">
        <v>20</v>
      </c>
      <c r="T256" s="465" t="s">
        <v>401</v>
      </c>
      <c r="U256" s="465" t="s">
        <v>500</v>
      </c>
    </row>
    <row r="257" spans="1:23" ht="15" hidden="1" customHeight="1">
      <c r="A257" s="543"/>
      <c r="B257" s="543"/>
      <c r="C257" s="543"/>
      <c r="D257" s="476" t="s">
        <v>502</v>
      </c>
      <c r="E257" s="561">
        <v>210831.46</v>
      </c>
      <c r="F257" s="561">
        <v>0</v>
      </c>
      <c r="G257" s="561">
        <v>0</v>
      </c>
      <c r="H257" s="561">
        <v>0</v>
      </c>
      <c r="I257" s="469">
        <v>165762.37</v>
      </c>
      <c r="J257" s="227">
        <v>0</v>
      </c>
      <c r="K257" s="462">
        <f t="shared" si="23"/>
        <v>165762.37</v>
      </c>
      <c r="L257" s="462">
        <f t="shared" si="24"/>
        <v>0</v>
      </c>
      <c r="M257" s="464">
        <f>SUMIF('Audit entry'!$C:$C,'TB 25-26'!$D257,'Audit entry'!$D:$D)</f>
        <v>0</v>
      </c>
      <c r="N257" s="464">
        <f>SUMIF('Audit entry'!$C:$C,'TB 25-26'!$D257,'Audit entry'!$E:$E)</f>
        <v>0</v>
      </c>
      <c r="O257" s="462">
        <f t="shared" si="25"/>
        <v>165762.37</v>
      </c>
      <c r="P257" s="462">
        <f t="shared" si="26"/>
        <v>0</v>
      </c>
      <c r="Q257" s="465" t="s">
        <v>503</v>
      </c>
      <c r="R257" s="465" t="s">
        <v>1087</v>
      </c>
      <c r="S257" s="465">
        <v>20</v>
      </c>
      <c r="T257" s="465" t="s">
        <v>401</v>
      </c>
      <c r="U257" s="465" t="s">
        <v>500</v>
      </c>
    </row>
    <row r="258" spans="1:23" ht="15" hidden="1" customHeight="1">
      <c r="A258" s="543"/>
      <c r="B258" s="543"/>
      <c r="C258" s="543"/>
      <c r="D258" s="476" t="s">
        <v>504</v>
      </c>
      <c r="E258" s="561">
        <v>408610.76</v>
      </c>
      <c r="F258" s="561">
        <v>0</v>
      </c>
      <c r="G258" s="561">
        <v>0</v>
      </c>
      <c r="H258" s="561">
        <v>0</v>
      </c>
      <c r="I258" s="469">
        <v>847882.67</v>
      </c>
      <c r="J258" s="227">
        <v>0</v>
      </c>
      <c r="K258" s="462">
        <f t="shared" si="23"/>
        <v>847882.67</v>
      </c>
      <c r="L258" s="462">
        <f t="shared" si="24"/>
        <v>0</v>
      </c>
      <c r="M258" s="464">
        <f>SUMIF('Audit entry'!$C:$C,'TB 25-26'!$D258,'Audit entry'!$D:$D)</f>
        <v>0</v>
      </c>
      <c r="N258" s="464">
        <f>SUMIF('Audit entry'!$C:$C,'TB 25-26'!$D258,'Audit entry'!$E:$E)</f>
        <v>0</v>
      </c>
      <c r="O258" s="462">
        <f t="shared" si="25"/>
        <v>847882.67</v>
      </c>
      <c r="P258" s="462">
        <f t="shared" si="26"/>
        <v>0</v>
      </c>
      <c r="Q258" s="465" t="s">
        <v>505</v>
      </c>
      <c r="R258" s="465" t="s">
        <v>1087</v>
      </c>
      <c r="S258" s="465">
        <v>20</v>
      </c>
      <c r="T258" s="465" t="s">
        <v>401</v>
      </c>
      <c r="U258" s="465" t="s">
        <v>500</v>
      </c>
    </row>
    <row r="259" spans="1:23" ht="15" hidden="1" customHeight="1">
      <c r="A259" s="543"/>
      <c r="B259" s="543"/>
      <c r="C259" s="543"/>
      <c r="D259" s="476" t="s">
        <v>506</v>
      </c>
      <c r="E259" s="561">
        <v>1169957.45</v>
      </c>
      <c r="F259" s="561">
        <v>0</v>
      </c>
      <c r="G259" s="561">
        <v>0</v>
      </c>
      <c r="H259" s="561">
        <v>0</v>
      </c>
      <c r="I259" s="469">
        <v>1420547.25</v>
      </c>
      <c r="J259" s="227">
        <v>0</v>
      </c>
      <c r="K259" s="462">
        <f t="shared" si="23"/>
        <v>1420547.25</v>
      </c>
      <c r="L259" s="462">
        <f t="shared" si="24"/>
        <v>0</v>
      </c>
      <c r="M259" s="464">
        <f>SUMIF('Audit entry'!$C:$C,'TB 25-26'!$D259,'Audit entry'!$D:$D)</f>
        <v>0</v>
      </c>
      <c r="N259" s="464">
        <f>SUMIF('Audit entry'!$C:$C,'TB 25-26'!$D259,'Audit entry'!$E:$E)</f>
        <v>0</v>
      </c>
      <c r="O259" s="462">
        <f t="shared" si="25"/>
        <v>1420547.25</v>
      </c>
      <c r="P259" s="462">
        <f t="shared" si="26"/>
        <v>0</v>
      </c>
      <c r="Q259" s="465" t="s">
        <v>505</v>
      </c>
      <c r="R259" s="465" t="s">
        <v>1087</v>
      </c>
      <c r="S259" s="465">
        <v>20</v>
      </c>
      <c r="T259" s="465" t="s">
        <v>401</v>
      </c>
      <c r="U259" s="465" t="s">
        <v>500</v>
      </c>
    </row>
    <row r="260" spans="1:23" ht="15" hidden="1" customHeight="1">
      <c r="A260" s="543"/>
      <c r="B260" s="543"/>
      <c r="C260" s="543"/>
      <c r="D260" s="476" t="s">
        <v>507</v>
      </c>
      <c r="E260" s="561">
        <v>0</v>
      </c>
      <c r="F260" s="561">
        <v>0</v>
      </c>
      <c r="G260" s="561">
        <v>0</v>
      </c>
      <c r="H260" s="561">
        <v>0</v>
      </c>
      <c r="I260" s="469">
        <v>0</v>
      </c>
      <c r="J260" s="227">
        <v>0</v>
      </c>
      <c r="K260" s="462">
        <f t="shared" si="23"/>
        <v>0</v>
      </c>
      <c r="L260" s="462">
        <f t="shared" si="24"/>
        <v>0</v>
      </c>
      <c r="M260" s="464">
        <f>SUMIF('Audit entry'!$C:$C,'TB 25-26'!$D260,'Audit entry'!$D:$D)</f>
        <v>0</v>
      </c>
      <c r="N260" s="464">
        <f>SUMIF('Audit entry'!$C:$C,'TB 25-26'!$D260,'Audit entry'!$E:$E)</f>
        <v>0</v>
      </c>
      <c r="O260" s="462">
        <f t="shared" si="25"/>
        <v>0</v>
      </c>
      <c r="P260" s="462">
        <f t="shared" si="26"/>
        <v>0</v>
      </c>
      <c r="Q260" s="465" t="s">
        <v>505</v>
      </c>
      <c r="R260" s="465" t="s">
        <v>1087</v>
      </c>
      <c r="S260" s="465">
        <v>20</v>
      </c>
      <c r="T260" s="465" t="s">
        <v>401</v>
      </c>
      <c r="U260" s="465" t="s">
        <v>500</v>
      </c>
    </row>
    <row r="261" spans="1:23" ht="15" hidden="1" customHeight="1">
      <c r="A261" s="543"/>
      <c r="B261" s="543"/>
      <c r="C261" s="543"/>
      <c r="D261" s="476" t="s">
        <v>508</v>
      </c>
      <c r="E261" s="561">
        <v>0</v>
      </c>
      <c r="F261" s="561">
        <v>0</v>
      </c>
      <c r="G261" s="561">
        <v>0</v>
      </c>
      <c r="H261" s="561">
        <v>0</v>
      </c>
      <c r="I261" s="469">
        <v>0</v>
      </c>
      <c r="J261" s="227">
        <v>0</v>
      </c>
      <c r="K261" s="462">
        <f t="shared" si="23"/>
        <v>0</v>
      </c>
      <c r="L261" s="462">
        <f t="shared" si="24"/>
        <v>0</v>
      </c>
      <c r="M261" s="464">
        <f>SUMIF('Audit entry'!$C:$C,'TB 25-26'!$D261,'Audit entry'!$D:$D)</f>
        <v>0</v>
      </c>
      <c r="N261" s="464">
        <f>SUMIF('Audit entry'!$C:$C,'TB 25-26'!$D261,'Audit entry'!$E:$E)</f>
        <v>0</v>
      </c>
      <c r="O261" s="462">
        <f t="shared" si="25"/>
        <v>0</v>
      </c>
      <c r="P261" s="462">
        <f t="shared" si="26"/>
        <v>0</v>
      </c>
      <c r="Q261" s="465" t="s">
        <v>499</v>
      </c>
      <c r="R261" s="465" t="s">
        <v>1087</v>
      </c>
      <c r="S261" s="465">
        <v>20</v>
      </c>
      <c r="T261" s="465" t="s">
        <v>401</v>
      </c>
      <c r="U261" s="465" t="s">
        <v>500</v>
      </c>
    </row>
    <row r="262" spans="1:23" ht="15" hidden="1" customHeight="1">
      <c r="A262" s="543"/>
      <c r="B262" s="543"/>
      <c r="C262" s="543"/>
      <c r="D262" s="476" t="s">
        <v>509</v>
      </c>
      <c r="E262" s="561">
        <v>0</v>
      </c>
      <c r="F262" s="561">
        <v>0</v>
      </c>
      <c r="G262" s="561">
        <v>0</v>
      </c>
      <c r="H262" s="561">
        <v>0</v>
      </c>
      <c r="I262" s="469">
        <v>0</v>
      </c>
      <c r="J262" s="227">
        <v>0</v>
      </c>
      <c r="K262" s="462">
        <f t="shared" si="23"/>
        <v>0</v>
      </c>
      <c r="L262" s="462">
        <f t="shared" si="24"/>
        <v>0</v>
      </c>
      <c r="M262" s="464">
        <f>SUMIF('Audit entry'!$C:$C,'TB 25-26'!$D262,'Audit entry'!$D:$D)</f>
        <v>0</v>
      </c>
      <c r="N262" s="464">
        <f>SUMIF('Audit entry'!$C:$C,'TB 25-26'!$D262,'Audit entry'!$E:$E)</f>
        <v>0</v>
      </c>
      <c r="O262" s="462">
        <f t="shared" si="25"/>
        <v>0</v>
      </c>
      <c r="P262" s="462">
        <f t="shared" si="26"/>
        <v>0</v>
      </c>
      <c r="Q262" s="465" t="s">
        <v>505</v>
      </c>
      <c r="R262" s="465" t="s">
        <v>1087</v>
      </c>
      <c r="S262" s="465">
        <v>20</v>
      </c>
      <c r="T262" s="465" t="s">
        <v>401</v>
      </c>
      <c r="U262" s="465" t="s">
        <v>500</v>
      </c>
    </row>
    <row r="263" spans="1:23" ht="15" hidden="1" customHeight="1">
      <c r="A263" s="543"/>
      <c r="B263" s="543"/>
      <c r="C263" s="543"/>
      <c r="D263" s="476" t="s">
        <v>510</v>
      </c>
      <c r="E263" s="561">
        <v>432948.92000000016</v>
      </c>
      <c r="F263" s="561">
        <v>0</v>
      </c>
      <c r="G263" s="561">
        <v>0</v>
      </c>
      <c r="H263" s="561">
        <v>0</v>
      </c>
      <c r="I263" s="469">
        <v>599687.99</v>
      </c>
      <c r="J263" s="227">
        <v>0</v>
      </c>
      <c r="K263" s="462">
        <f t="shared" si="23"/>
        <v>599687.99</v>
      </c>
      <c r="L263" s="462">
        <f t="shared" si="24"/>
        <v>0</v>
      </c>
      <c r="M263" s="464">
        <f>SUMIF('Audit entry'!$C:$C,'TB 25-26'!$D263,'Audit entry'!$D:$D)</f>
        <v>0</v>
      </c>
      <c r="N263" s="464">
        <f>SUMIF('Audit entry'!$C:$C,'TB 25-26'!$D263,'Audit entry'!$E:$E)</f>
        <v>0</v>
      </c>
      <c r="O263" s="462">
        <f t="shared" si="25"/>
        <v>599687.99</v>
      </c>
      <c r="P263" s="462">
        <f t="shared" si="26"/>
        <v>0</v>
      </c>
      <c r="Q263" s="465" t="s">
        <v>505</v>
      </c>
      <c r="R263" s="465" t="s">
        <v>1087</v>
      </c>
      <c r="S263" s="465">
        <v>20</v>
      </c>
      <c r="T263" s="465" t="s">
        <v>401</v>
      </c>
      <c r="U263" s="465" t="s">
        <v>500</v>
      </c>
    </row>
    <row r="264" spans="1:23" ht="15" hidden="1" customHeight="1">
      <c r="A264" s="543"/>
      <c r="B264" s="543"/>
      <c r="C264" s="543"/>
      <c r="D264" s="592" t="s">
        <v>511</v>
      </c>
      <c r="E264" s="561">
        <v>91435</v>
      </c>
      <c r="F264" s="561">
        <v>0</v>
      </c>
      <c r="G264" s="561">
        <v>0</v>
      </c>
      <c r="H264" s="561">
        <v>0</v>
      </c>
      <c r="I264" s="469">
        <v>0</v>
      </c>
      <c r="J264" s="227">
        <v>0</v>
      </c>
      <c r="K264" s="462">
        <f t="shared" si="23"/>
        <v>0</v>
      </c>
      <c r="L264" s="462">
        <f t="shared" si="24"/>
        <v>0</v>
      </c>
      <c r="M264" s="464">
        <f>SUMIF('Audit entry'!$C:$C,'TB 25-26'!$D264,'Audit entry'!$D:$D)</f>
        <v>0</v>
      </c>
      <c r="N264" s="464">
        <f>SUMIF('Audit entry'!$C:$C,'TB 25-26'!$D264,'Audit entry'!$E:$E)</f>
        <v>0</v>
      </c>
      <c r="O264" s="462">
        <f t="shared" si="25"/>
        <v>0</v>
      </c>
      <c r="P264" s="462">
        <f t="shared" si="26"/>
        <v>0</v>
      </c>
      <c r="Q264" s="465" t="s">
        <v>505</v>
      </c>
      <c r="R264" s="465" t="s">
        <v>1087</v>
      </c>
      <c r="S264" s="465">
        <v>20</v>
      </c>
      <c r="T264" s="465" t="s">
        <v>401</v>
      </c>
      <c r="U264" s="465" t="s">
        <v>500</v>
      </c>
    </row>
    <row r="265" spans="1:23" ht="15" hidden="1" customHeight="1">
      <c r="A265" s="543"/>
      <c r="B265" s="543"/>
      <c r="C265" s="475" t="s">
        <v>512</v>
      </c>
      <c r="D265" s="475"/>
      <c r="E265" s="561">
        <v>0</v>
      </c>
      <c r="F265" s="561">
        <v>0</v>
      </c>
      <c r="G265" s="561">
        <f t="shared" si="21"/>
        <v>0</v>
      </c>
      <c r="H265" s="227">
        <f t="shared" si="22"/>
        <v>0</v>
      </c>
      <c r="I265" s="469">
        <v>0</v>
      </c>
      <c r="J265" s="227">
        <v>0</v>
      </c>
      <c r="K265" s="462">
        <f t="shared" si="23"/>
        <v>0</v>
      </c>
      <c r="L265" s="462">
        <f t="shared" si="24"/>
        <v>0</v>
      </c>
      <c r="M265" s="464">
        <f>SUMIF('Audit entry'!$C:$C,'TB 25-26'!$D265,'Audit entry'!$D:$D)</f>
        <v>0</v>
      </c>
      <c r="N265" s="464">
        <f>SUMIF('Audit entry'!$C:$C,'TB 25-26'!$D265,'Audit entry'!$E:$E)</f>
        <v>0</v>
      </c>
      <c r="O265" s="462">
        <f t="shared" si="25"/>
        <v>0</v>
      </c>
      <c r="P265" s="462">
        <f t="shared" si="26"/>
        <v>0</v>
      </c>
      <c r="V265" s="465"/>
      <c r="W265" s="465"/>
    </row>
    <row r="266" spans="1:23" ht="15" hidden="1" customHeight="1">
      <c r="A266" s="543"/>
      <c r="B266" s="543"/>
      <c r="C266" s="543"/>
      <c r="D266" s="476" t="s">
        <v>513</v>
      </c>
      <c r="E266" s="561">
        <v>472152.28</v>
      </c>
      <c r="F266" s="561">
        <v>0</v>
      </c>
      <c r="G266" s="561">
        <v>0</v>
      </c>
      <c r="H266" s="561">
        <v>0</v>
      </c>
      <c r="I266" s="469">
        <v>418462.21</v>
      </c>
      <c r="J266" s="227">
        <v>0</v>
      </c>
      <c r="K266" s="462">
        <f t="shared" si="23"/>
        <v>418462.21</v>
      </c>
      <c r="L266" s="462">
        <f t="shared" si="24"/>
        <v>0</v>
      </c>
      <c r="M266" s="464">
        <f>SUMIF('Audit entry'!$C:$C,'TB 25-26'!$D266,'Audit entry'!$D:$D)</f>
        <v>0</v>
      </c>
      <c r="N266" s="464">
        <f>SUMIF('Audit entry'!$C:$C,'TB 25-26'!$D266,'Audit entry'!$E:$E)</f>
        <v>0</v>
      </c>
      <c r="O266" s="462">
        <f t="shared" si="25"/>
        <v>418462.21</v>
      </c>
      <c r="P266" s="462">
        <f t="shared" si="26"/>
        <v>0</v>
      </c>
      <c r="Q266" s="465" t="s">
        <v>514</v>
      </c>
      <c r="R266" s="465" t="s">
        <v>1087</v>
      </c>
      <c r="S266" s="465">
        <v>20</v>
      </c>
      <c r="T266" s="465" t="s">
        <v>401</v>
      </c>
      <c r="U266" s="465" t="s">
        <v>515</v>
      </c>
    </row>
    <row r="267" spans="1:23" ht="15" hidden="1" customHeight="1">
      <c r="A267" s="543"/>
      <c r="B267" s="543"/>
      <c r="C267" s="543"/>
      <c r="D267" s="476" t="s">
        <v>516</v>
      </c>
      <c r="E267" s="561">
        <v>25245</v>
      </c>
      <c r="F267" s="561">
        <v>0</v>
      </c>
      <c r="G267" s="561">
        <v>0</v>
      </c>
      <c r="H267" s="561">
        <v>0</v>
      </c>
      <c r="I267" s="469">
        <v>18820</v>
      </c>
      <c r="J267" s="227">
        <v>0</v>
      </c>
      <c r="K267" s="462">
        <f t="shared" si="23"/>
        <v>18820</v>
      </c>
      <c r="L267" s="462">
        <f t="shared" si="24"/>
        <v>0</v>
      </c>
      <c r="M267" s="464">
        <f>SUMIF('Audit entry'!$C:$C,'TB 25-26'!$D267,'Audit entry'!$D:$D)</f>
        <v>0</v>
      </c>
      <c r="N267" s="464">
        <f>SUMIF('Audit entry'!$C:$C,'TB 25-26'!$D267,'Audit entry'!$E:$E)</f>
        <v>0</v>
      </c>
      <c r="O267" s="462">
        <f t="shared" si="25"/>
        <v>18820</v>
      </c>
      <c r="P267" s="462">
        <f t="shared" si="26"/>
        <v>0</v>
      </c>
      <c r="Q267" s="465" t="s">
        <v>517</v>
      </c>
      <c r="R267" s="465" t="s">
        <v>1087</v>
      </c>
      <c r="S267" s="465">
        <v>20</v>
      </c>
      <c r="T267" s="465" t="s">
        <v>401</v>
      </c>
      <c r="U267" s="465" t="s">
        <v>515</v>
      </c>
    </row>
    <row r="268" spans="1:23" ht="15" hidden="1" customHeight="1">
      <c r="A268" s="543"/>
      <c r="B268" s="543"/>
      <c r="C268" s="543"/>
      <c r="D268" s="476" t="s">
        <v>518</v>
      </c>
      <c r="E268" s="561">
        <v>78132.200000000012</v>
      </c>
      <c r="F268" s="561">
        <v>0</v>
      </c>
      <c r="G268" s="561">
        <v>0</v>
      </c>
      <c r="H268" s="561">
        <v>0</v>
      </c>
      <c r="I268" s="469">
        <v>29932.2</v>
      </c>
      <c r="J268" s="227">
        <v>0</v>
      </c>
      <c r="K268" s="462">
        <f t="shared" ref="K268:K331" si="31">+IF((G268+I268-H268-J268&gt;0),G268+I268-H268-J268,0)</f>
        <v>29932.2</v>
      </c>
      <c r="L268" s="462">
        <f t="shared" ref="L268:L331" si="32">+IF((H268+J268-G268-I268)&gt;0,H268+J268-G268-I268,0)</f>
        <v>0</v>
      </c>
      <c r="M268" s="464">
        <f>SUMIF('Audit entry'!$C:$C,'TB 25-26'!$D268,'Audit entry'!$D:$D)</f>
        <v>0</v>
      </c>
      <c r="N268" s="464">
        <f>SUMIF('Audit entry'!$C:$C,'TB 25-26'!$D268,'Audit entry'!$E:$E)</f>
        <v>0</v>
      </c>
      <c r="O268" s="462">
        <f t="shared" ref="O268:O331" si="33">+IF((K268+M268-L268-N268&gt;0),K268+M268-L268-N268,0)/Deno</f>
        <v>29932.2</v>
      </c>
      <c r="P268" s="462">
        <f t="shared" ref="P268:P331" si="34">+IF((L268+N268-K268-M268)&gt;0,L268+N268-K268-M268,0)/Deno</f>
        <v>0</v>
      </c>
      <c r="Q268" s="465" t="s">
        <v>519</v>
      </c>
      <c r="R268" s="465" t="s">
        <v>1087</v>
      </c>
      <c r="S268" s="465">
        <v>20</v>
      </c>
      <c r="T268" s="465" t="s">
        <v>401</v>
      </c>
      <c r="U268" s="465" t="s">
        <v>515</v>
      </c>
    </row>
    <row r="269" spans="1:23" ht="15" hidden="1" customHeight="1">
      <c r="A269" s="543"/>
      <c r="B269" s="543"/>
      <c r="C269" s="543"/>
      <c r="D269" s="476" t="s">
        <v>520</v>
      </c>
      <c r="E269" s="561">
        <v>34008.47</v>
      </c>
      <c r="F269" s="561">
        <v>0</v>
      </c>
      <c r="G269" s="561">
        <v>0</v>
      </c>
      <c r="H269" s="561">
        <v>0</v>
      </c>
      <c r="I269" s="469">
        <v>0</v>
      </c>
      <c r="J269" s="227">
        <v>0</v>
      </c>
      <c r="K269" s="462">
        <f t="shared" si="31"/>
        <v>0</v>
      </c>
      <c r="L269" s="462">
        <f t="shared" si="32"/>
        <v>0</v>
      </c>
      <c r="M269" s="464">
        <f>SUMIF('Audit entry'!$C:$C,'TB 25-26'!$D269,'Audit entry'!$D:$D)</f>
        <v>0</v>
      </c>
      <c r="N269" s="464">
        <f>SUMIF('Audit entry'!$C:$C,'TB 25-26'!$D269,'Audit entry'!$E:$E)</f>
        <v>0</v>
      </c>
      <c r="O269" s="462">
        <f t="shared" si="33"/>
        <v>0</v>
      </c>
      <c r="P269" s="462">
        <f t="shared" si="34"/>
        <v>0</v>
      </c>
      <c r="Q269" s="465" t="s">
        <v>521</v>
      </c>
      <c r="R269" s="465" t="s">
        <v>1087</v>
      </c>
      <c r="S269" s="465">
        <v>20</v>
      </c>
      <c r="T269" s="465" t="s">
        <v>401</v>
      </c>
      <c r="U269" s="465" t="s">
        <v>515</v>
      </c>
    </row>
    <row r="270" spans="1:23" ht="15" hidden="1" customHeight="1">
      <c r="A270" s="543"/>
      <c r="B270" s="543"/>
      <c r="C270" s="543"/>
      <c r="D270" s="476" t="s">
        <v>522</v>
      </c>
      <c r="E270" s="561">
        <v>0</v>
      </c>
      <c r="F270" s="561">
        <v>0</v>
      </c>
      <c r="G270" s="561">
        <v>0</v>
      </c>
      <c r="H270" s="561">
        <v>0</v>
      </c>
      <c r="I270" s="469">
        <v>0</v>
      </c>
      <c r="J270" s="227">
        <v>0</v>
      </c>
      <c r="K270" s="462">
        <f t="shared" si="31"/>
        <v>0</v>
      </c>
      <c r="L270" s="462">
        <f t="shared" si="32"/>
        <v>0</v>
      </c>
      <c r="M270" s="464">
        <f>SUMIF('Audit entry'!$C:$C,'TB 25-26'!$D270,'Audit entry'!$D:$D)</f>
        <v>0</v>
      </c>
      <c r="N270" s="464">
        <f>SUMIF('Audit entry'!$C:$C,'TB 25-26'!$D270,'Audit entry'!$E:$E)</f>
        <v>0</v>
      </c>
      <c r="O270" s="462">
        <f t="shared" si="33"/>
        <v>0</v>
      </c>
      <c r="P270" s="462">
        <f t="shared" si="34"/>
        <v>0</v>
      </c>
      <c r="Q270" s="465" t="s">
        <v>523</v>
      </c>
      <c r="R270" s="465" t="s">
        <v>1087</v>
      </c>
      <c r="S270" s="465">
        <v>20</v>
      </c>
      <c r="T270" s="465" t="s">
        <v>401</v>
      </c>
      <c r="U270" s="465" t="s">
        <v>515</v>
      </c>
    </row>
    <row r="271" spans="1:23" ht="15" hidden="1" customHeight="1">
      <c r="A271" s="543"/>
      <c r="B271" s="543"/>
      <c r="C271" s="475" t="s">
        <v>524</v>
      </c>
      <c r="D271" s="475"/>
      <c r="E271" s="561">
        <v>0</v>
      </c>
      <c r="F271" s="561">
        <v>0</v>
      </c>
      <c r="G271" s="561">
        <f t="shared" ref="G271:G325" si="35">+E271</f>
        <v>0</v>
      </c>
      <c r="H271" s="227">
        <f t="shared" ref="H271:H325" si="36">+F271</f>
        <v>0</v>
      </c>
      <c r="I271" s="469">
        <v>0</v>
      </c>
      <c r="J271" s="227">
        <v>0</v>
      </c>
      <c r="K271" s="462">
        <f t="shared" si="31"/>
        <v>0</v>
      </c>
      <c r="L271" s="462">
        <f t="shared" si="32"/>
        <v>0</v>
      </c>
      <c r="M271" s="464">
        <f>SUMIF('Audit entry'!$C:$C,'TB 25-26'!$D271,'Audit entry'!$D:$D)</f>
        <v>0</v>
      </c>
      <c r="N271" s="464">
        <f>SUMIF('Audit entry'!$C:$C,'TB 25-26'!$D271,'Audit entry'!$E:$E)</f>
        <v>0</v>
      </c>
      <c r="O271" s="462">
        <f t="shared" si="33"/>
        <v>0</v>
      </c>
      <c r="P271" s="462">
        <f t="shared" si="34"/>
        <v>0</v>
      </c>
      <c r="V271" s="465"/>
      <c r="W271" s="465"/>
    </row>
    <row r="272" spans="1:23" ht="15" hidden="1" customHeight="1">
      <c r="A272" s="543"/>
      <c r="B272" s="543"/>
      <c r="C272" s="543"/>
      <c r="D272" s="476" t="s">
        <v>525</v>
      </c>
      <c r="E272" s="561">
        <v>1431600</v>
      </c>
      <c r="F272" s="561">
        <v>0</v>
      </c>
      <c r="G272" s="561">
        <v>0</v>
      </c>
      <c r="H272" s="561">
        <v>0</v>
      </c>
      <c r="I272" s="469">
        <v>14304500</v>
      </c>
      <c r="J272" s="227">
        <v>0</v>
      </c>
      <c r="K272" s="462">
        <f t="shared" si="31"/>
        <v>14304500</v>
      </c>
      <c r="L272" s="462">
        <f t="shared" si="32"/>
        <v>0</v>
      </c>
      <c r="M272" s="464">
        <f>SUMIF('Audit entry'!$C:$C,'TB 25-26'!$D272,'Audit entry'!$D:$D)</f>
        <v>0</v>
      </c>
      <c r="N272" s="464">
        <f>SUMIF('Audit entry'!$C:$C,'TB 25-26'!$D272,'Audit entry'!$E:$E)</f>
        <v>0</v>
      </c>
      <c r="O272" s="462">
        <f t="shared" si="33"/>
        <v>14304500</v>
      </c>
      <c r="P272" s="462">
        <f t="shared" si="34"/>
        <v>0</v>
      </c>
      <c r="Q272" s="465" t="s">
        <v>526</v>
      </c>
      <c r="R272" s="465" t="s">
        <v>1087</v>
      </c>
      <c r="S272" s="465">
        <v>20</v>
      </c>
      <c r="T272" s="465" t="s">
        <v>401</v>
      </c>
      <c r="U272" s="465" t="s">
        <v>527</v>
      </c>
    </row>
    <row r="273" spans="1:23" ht="15" hidden="1" customHeight="1">
      <c r="A273" s="543"/>
      <c r="B273" s="543"/>
      <c r="C273" s="543"/>
      <c r="D273" s="476" t="s">
        <v>528</v>
      </c>
      <c r="E273" s="561">
        <v>68282</v>
      </c>
      <c r="F273" s="561">
        <v>0</v>
      </c>
      <c r="G273" s="561">
        <v>0</v>
      </c>
      <c r="H273" s="561">
        <v>0</v>
      </c>
      <c r="I273" s="469">
        <v>115229</v>
      </c>
      <c r="J273" s="227">
        <v>0</v>
      </c>
      <c r="K273" s="462">
        <f t="shared" si="31"/>
        <v>115229</v>
      </c>
      <c r="L273" s="462">
        <f t="shared" si="32"/>
        <v>0</v>
      </c>
      <c r="M273" s="464">
        <f>SUMIF('Audit entry'!$C:$C,'TB 25-26'!$D273,'Audit entry'!$D:$D)</f>
        <v>0</v>
      </c>
      <c r="N273" s="464">
        <f>SUMIF('Audit entry'!$C:$C,'TB 25-26'!$D273,'Audit entry'!$E:$E)</f>
        <v>0</v>
      </c>
      <c r="O273" s="462">
        <f t="shared" si="33"/>
        <v>115229</v>
      </c>
      <c r="P273" s="462">
        <f t="shared" si="34"/>
        <v>0</v>
      </c>
      <c r="Q273" s="465" t="s">
        <v>482</v>
      </c>
      <c r="R273" s="465" t="s">
        <v>1087</v>
      </c>
      <c r="S273" s="465">
        <v>20</v>
      </c>
      <c r="T273" s="465" t="s">
        <v>401</v>
      </c>
      <c r="U273" s="465" t="s">
        <v>483</v>
      </c>
    </row>
    <row r="274" spans="1:23" ht="15" hidden="1" customHeight="1">
      <c r="A274" s="543"/>
      <c r="B274" s="543"/>
      <c r="C274" s="543"/>
      <c r="D274" s="476" t="s">
        <v>529</v>
      </c>
      <c r="E274" s="561">
        <v>0</v>
      </c>
      <c r="F274" s="561">
        <v>0</v>
      </c>
      <c r="G274" s="561">
        <v>0</v>
      </c>
      <c r="H274" s="561">
        <v>0</v>
      </c>
      <c r="I274" s="469">
        <v>17024</v>
      </c>
      <c r="J274" s="227">
        <v>0</v>
      </c>
      <c r="K274" s="462">
        <f t="shared" si="31"/>
        <v>17024</v>
      </c>
      <c r="L274" s="462">
        <f t="shared" si="32"/>
        <v>0</v>
      </c>
      <c r="M274" s="464">
        <f>SUMIF('Audit entry'!$C:$C,'TB 25-26'!$D274,'Audit entry'!$D:$D)</f>
        <v>0</v>
      </c>
      <c r="N274" s="464">
        <f>SUMIF('Audit entry'!$C:$C,'TB 25-26'!$D274,'Audit entry'!$E:$E)</f>
        <v>0</v>
      </c>
      <c r="O274" s="462">
        <f t="shared" si="33"/>
        <v>17024</v>
      </c>
      <c r="P274" s="462">
        <f t="shared" si="34"/>
        <v>0</v>
      </c>
      <c r="Q274" s="465" t="s">
        <v>482</v>
      </c>
      <c r="R274" s="465" t="s">
        <v>1087</v>
      </c>
      <c r="S274" s="465">
        <v>20</v>
      </c>
      <c r="T274" s="465" t="s">
        <v>401</v>
      </c>
      <c r="U274" s="465" t="s">
        <v>483</v>
      </c>
    </row>
    <row r="275" spans="1:23" ht="15" hidden="1" customHeight="1">
      <c r="A275" s="543"/>
      <c r="B275" s="543"/>
      <c r="C275" s="543"/>
      <c r="D275" s="476" t="s">
        <v>530</v>
      </c>
      <c r="E275" s="561">
        <v>0</v>
      </c>
      <c r="F275" s="561">
        <v>0</v>
      </c>
      <c r="G275" s="561">
        <v>0</v>
      </c>
      <c r="H275" s="561">
        <v>0</v>
      </c>
      <c r="I275" s="469">
        <v>0</v>
      </c>
      <c r="J275" s="227">
        <v>0</v>
      </c>
      <c r="K275" s="462">
        <f t="shared" si="31"/>
        <v>0</v>
      </c>
      <c r="L275" s="462">
        <f t="shared" si="32"/>
        <v>0</v>
      </c>
      <c r="M275" s="464">
        <f>SUMIF('Audit entry'!$C:$C,'TB 25-26'!$D275,'Audit entry'!$D:$D)</f>
        <v>0</v>
      </c>
      <c r="N275" s="464">
        <f>SUMIF('Audit entry'!$C:$C,'TB 25-26'!$D275,'Audit entry'!$E:$E)</f>
        <v>0</v>
      </c>
      <c r="O275" s="462">
        <f t="shared" si="33"/>
        <v>0</v>
      </c>
      <c r="P275" s="462">
        <f t="shared" si="34"/>
        <v>0</v>
      </c>
      <c r="Q275" s="465" t="s">
        <v>531</v>
      </c>
      <c r="R275" s="465" t="s">
        <v>1087</v>
      </c>
      <c r="S275" s="465">
        <v>20</v>
      </c>
      <c r="T275" s="465" t="s">
        <v>401</v>
      </c>
      <c r="U275" s="465" t="s">
        <v>527</v>
      </c>
    </row>
    <row r="276" spans="1:23" ht="15" hidden="1" customHeight="1">
      <c r="A276" s="543"/>
      <c r="B276" s="543"/>
      <c r="C276" s="543"/>
      <c r="D276" s="476" t="s">
        <v>532</v>
      </c>
      <c r="E276" s="561">
        <v>0</v>
      </c>
      <c r="F276" s="561">
        <v>0</v>
      </c>
      <c r="G276" s="561">
        <v>0</v>
      </c>
      <c r="H276" s="561">
        <v>0</v>
      </c>
      <c r="I276" s="469">
        <v>0</v>
      </c>
      <c r="J276" s="227">
        <v>0</v>
      </c>
      <c r="K276" s="462">
        <f t="shared" si="31"/>
        <v>0</v>
      </c>
      <c r="L276" s="462">
        <f t="shared" si="32"/>
        <v>0</v>
      </c>
      <c r="M276" s="464">
        <f>SUMIF('Audit entry'!$C:$C,'TB 25-26'!$D276,'Audit entry'!$D:$D)</f>
        <v>0</v>
      </c>
      <c r="N276" s="464">
        <f>SUMIF('Audit entry'!$C:$C,'TB 25-26'!$D276,'Audit entry'!$E:$E)</f>
        <v>0</v>
      </c>
      <c r="O276" s="462">
        <f t="shared" si="33"/>
        <v>0</v>
      </c>
      <c r="P276" s="462">
        <f t="shared" si="34"/>
        <v>0</v>
      </c>
      <c r="Q276" s="465" t="s">
        <v>482</v>
      </c>
      <c r="R276" s="465" t="s">
        <v>1087</v>
      </c>
      <c r="S276" s="465">
        <v>20</v>
      </c>
      <c r="T276" s="465" t="s">
        <v>401</v>
      </c>
      <c r="U276" s="465" t="s">
        <v>483</v>
      </c>
    </row>
    <row r="277" spans="1:23" ht="15" hidden="1" customHeight="1">
      <c r="A277" s="543"/>
      <c r="B277" s="543"/>
      <c r="C277" s="543"/>
      <c r="D277" s="476" t="s">
        <v>533</v>
      </c>
      <c r="E277" s="561">
        <v>0</v>
      </c>
      <c r="F277" s="561">
        <v>0</v>
      </c>
      <c r="G277" s="561">
        <v>0</v>
      </c>
      <c r="H277" s="561">
        <v>0</v>
      </c>
      <c r="I277" s="469">
        <v>0</v>
      </c>
      <c r="J277" s="227">
        <v>0</v>
      </c>
      <c r="K277" s="462">
        <f t="shared" si="31"/>
        <v>0</v>
      </c>
      <c r="L277" s="462">
        <f t="shared" si="32"/>
        <v>0</v>
      </c>
      <c r="M277" s="464">
        <f>SUMIF('Audit entry'!$C:$C,'TB 25-26'!$D277,'Audit entry'!$D:$D)</f>
        <v>0</v>
      </c>
      <c r="N277" s="464">
        <f>SUMIF('Audit entry'!$C:$C,'TB 25-26'!$D277,'Audit entry'!$E:$E)</f>
        <v>0</v>
      </c>
      <c r="O277" s="462">
        <f t="shared" si="33"/>
        <v>0</v>
      </c>
      <c r="P277" s="462">
        <f t="shared" si="34"/>
        <v>0</v>
      </c>
      <c r="Q277" s="465" t="s">
        <v>534</v>
      </c>
      <c r="R277" s="465" t="s">
        <v>1087</v>
      </c>
      <c r="S277" s="465">
        <v>20</v>
      </c>
      <c r="T277" s="465" t="s">
        <v>401</v>
      </c>
      <c r="U277" s="465" t="s">
        <v>527</v>
      </c>
    </row>
    <row r="278" spans="1:23" ht="15" hidden="1" customHeight="1">
      <c r="A278" s="543"/>
      <c r="B278" s="543"/>
      <c r="C278" s="543"/>
      <c r="D278" s="476" t="s">
        <v>535</v>
      </c>
      <c r="E278" s="561">
        <v>0</v>
      </c>
      <c r="F278" s="561">
        <v>0</v>
      </c>
      <c r="G278" s="561">
        <v>0</v>
      </c>
      <c r="H278" s="561">
        <v>0</v>
      </c>
      <c r="I278" s="469">
        <v>0</v>
      </c>
      <c r="J278" s="227">
        <v>0</v>
      </c>
      <c r="K278" s="462">
        <f t="shared" si="31"/>
        <v>0</v>
      </c>
      <c r="L278" s="462">
        <f t="shared" si="32"/>
        <v>0</v>
      </c>
      <c r="M278" s="464">
        <f>SUMIF('Audit entry'!$C:$C,'TB 25-26'!$D278,'Audit entry'!$D:$D)</f>
        <v>0</v>
      </c>
      <c r="N278" s="464">
        <f>SUMIF('Audit entry'!$C:$C,'TB 25-26'!$D278,'Audit entry'!$E:$E)</f>
        <v>0</v>
      </c>
      <c r="O278" s="462">
        <f t="shared" si="33"/>
        <v>0</v>
      </c>
      <c r="P278" s="462">
        <f t="shared" si="34"/>
        <v>0</v>
      </c>
      <c r="Q278" s="465" t="s">
        <v>531</v>
      </c>
      <c r="R278" s="465" t="s">
        <v>1087</v>
      </c>
      <c r="S278" s="465">
        <v>20</v>
      </c>
      <c r="T278" s="465" t="s">
        <v>401</v>
      </c>
      <c r="U278" s="465" t="s">
        <v>527</v>
      </c>
    </row>
    <row r="279" spans="1:23" ht="15" hidden="1" customHeight="1">
      <c r="A279" s="543"/>
      <c r="B279" s="543"/>
      <c r="C279" s="543"/>
      <c r="D279" s="592" t="s">
        <v>536</v>
      </c>
      <c r="E279" s="561">
        <v>30000</v>
      </c>
      <c r="F279" s="561">
        <v>0</v>
      </c>
      <c r="G279" s="561">
        <v>0</v>
      </c>
      <c r="H279" s="561">
        <v>0</v>
      </c>
      <c r="I279" s="469">
        <v>0</v>
      </c>
      <c r="J279" s="227">
        <v>0</v>
      </c>
      <c r="K279" s="462">
        <f t="shared" si="31"/>
        <v>0</v>
      </c>
      <c r="L279" s="462">
        <f t="shared" si="32"/>
        <v>0</v>
      </c>
      <c r="M279" s="464">
        <f>SUMIF('Audit entry'!$C:$C,'TB 25-26'!$D279,'Audit entry'!$D:$D)</f>
        <v>0</v>
      </c>
      <c r="N279" s="464">
        <f>SUMIF('Audit entry'!$C:$C,'TB 25-26'!$D279,'Audit entry'!$E:$E)</f>
        <v>0</v>
      </c>
      <c r="O279" s="462">
        <f t="shared" si="33"/>
        <v>0</v>
      </c>
      <c r="P279" s="462">
        <f t="shared" si="34"/>
        <v>0</v>
      </c>
      <c r="Q279" s="465" t="s">
        <v>531</v>
      </c>
      <c r="R279" s="465" t="s">
        <v>1087</v>
      </c>
      <c r="S279" s="465">
        <v>20</v>
      </c>
      <c r="T279" s="465" t="s">
        <v>401</v>
      </c>
      <c r="U279" s="465" t="s">
        <v>527</v>
      </c>
    </row>
    <row r="280" spans="1:23" ht="15" hidden="1" customHeight="1">
      <c r="A280" s="543"/>
      <c r="B280" s="543"/>
      <c r="C280" s="543"/>
      <c r="D280" s="476" t="s">
        <v>537</v>
      </c>
      <c r="E280" s="561">
        <v>0</v>
      </c>
      <c r="F280" s="561">
        <v>0</v>
      </c>
      <c r="G280" s="561">
        <v>0</v>
      </c>
      <c r="H280" s="561">
        <v>0</v>
      </c>
      <c r="I280" s="469">
        <v>0</v>
      </c>
      <c r="J280" s="227">
        <v>0</v>
      </c>
      <c r="K280" s="462">
        <f t="shared" si="31"/>
        <v>0</v>
      </c>
      <c r="L280" s="462">
        <f t="shared" si="32"/>
        <v>0</v>
      </c>
      <c r="M280" s="464">
        <f>SUMIF('Audit entry'!$C:$C,'TB 25-26'!$D280,'Audit entry'!$D:$D)</f>
        <v>0</v>
      </c>
      <c r="N280" s="464">
        <f>SUMIF('Audit entry'!$C:$C,'TB 25-26'!$D280,'Audit entry'!$E:$E)</f>
        <v>0</v>
      </c>
      <c r="O280" s="462">
        <f t="shared" si="33"/>
        <v>0</v>
      </c>
      <c r="P280" s="462">
        <f t="shared" si="34"/>
        <v>0</v>
      </c>
      <c r="Q280" s="465" t="s">
        <v>538</v>
      </c>
      <c r="R280" s="465" t="s">
        <v>1087</v>
      </c>
      <c r="S280" s="465">
        <v>20</v>
      </c>
      <c r="T280" s="465" t="s">
        <v>401</v>
      </c>
      <c r="U280" s="465" t="s">
        <v>527</v>
      </c>
    </row>
    <row r="281" spans="1:23" ht="15" hidden="1" customHeight="1">
      <c r="A281" s="543"/>
      <c r="B281" s="543"/>
      <c r="C281" s="475" t="s">
        <v>539</v>
      </c>
      <c r="D281" s="475"/>
      <c r="E281" s="561">
        <v>0</v>
      </c>
      <c r="F281" s="561">
        <v>0</v>
      </c>
      <c r="G281" s="561">
        <f t="shared" si="35"/>
        <v>0</v>
      </c>
      <c r="H281" s="227">
        <f t="shared" si="36"/>
        <v>0</v>
      </c>
      <c r="I281" s="469">
        <v>0</v>
      </c>
      <c r="J281" s="227">
        <v>0</v>
      </c>
      <c r="K281" s="462">
        <f t="shared" si="31"/>
        <v>0</v>
      </c>
      <c r="L281" s="462">
        <f t="shared" si="32"/>
        <v>0</v>
      </c>
      <c r="M281" s="464">
        <f>SUMIF('Audit entry'!$C:$C,'TB 25-26'!$D281,'Audit entry'!$D:$D)</f>
        <v>0</v>
      </c>
      <c r="N281" s="464">
        <f>SUMIF('Audit entry'!$C:$C,'TB 25-26'!$D281,'Audit entry'!$E:$E)</f>
        <v>0</v>
      </c>
      <c r="O281" s="462">
        <f t="shared" si="33"/>
        <v>0</v>
      </c>
      <c r="P281" s="462">
        <f t="shared" si="34"/>
        <v>0</v>
      </c>
      <c r="V281" s="465"/>
      <c r="W281" s="465"/>
    </row>
    <row r="282" spans="1:23" ht="15" hidden="1" customHeight="1">
      <c r="A282" s="543"/>
      <c r="B282" s="543"/>
      <c r="C282" s="543"/>
      <c r="D282" s="476" t="s">
        <v>540</v>
      </c>
      <c r="E282" s="561">
        <v>1920</v>
      </c>
      <c r="F282" s="561">
        <v>0</v>
      </c>
      <c r="G282" s="561">
        <v>0</v>
      </c>
      <c r="H282" s="561">
        <v>0</v>
      </c>
      <c r="I282" s="469">
        <v>1760</v>
      </c>
      <c r="J282" s="227">
        <v>0</v>
      </c>
      <c r="K282" s="462">
        <f t="shared" si="31"/>
        <v>1760</v>
      </c>
      <c r="L282" s="462">
        <f t="shared" si="32"/>
        <v>0</v>
      </c>
      <c r="M282" s="464">
        <f>SUMIF('Audit entry'!$C:$C,'TB 25-26'!$D282,'Audit entry'!$D:$D)</f>
        <v>0</v>
      </c>
      <c r="N282" s="464">
        <f>SUMIF('Audit entry'!$C:$C,'TB 25-26'!$D282,'Audit entry'!$E:$E)</f>
        <v>0</v>
      </c>
      <c r="O282" s="462">
        <f t="shared" si="33"/>
        <v>1760</v>
      </c>
      <c r="P282" s="462">
        <f t="shared" si="34"/>
        <v>0</v>
      </c>
      <c r="Q282" s="465" t="s">
        <v>541</v>
      </c>
      <c r="R282" s="465" t="s">
        <v>1087</v>
      </c>
      <c r="S282" s="465">
        <v>20</v>
      </c>
      <c r="T282" s="465" t="s">
        <v>401</v>
      </c>
      <c r="U282" s="465" t="s">
        <v>542</v>
      </c>
    </row>
    <row r="283" spans="1:23" ht="15" hidden="1" customHeight="1">
      <c r="A283" s="543"/>
      <c r="B283" s="543"/>
      <c r="C283" s="543"/>
      <c r="D283" s="476" t="s">
        <v>543</v>
      </c>
      <c r="E283" s="561">
        <v>127702.91</v>
      </c>
      <c r="F283" s="561">
        <v>0</v>
      </c>
      <c r="G283" s="561">
        <v>0</v>
      </c>
      <c r="H283" s="561">
        <v>0</v>
      </c>
      <c r="I283" s="469">
        <v>98446.56</v>
      </c>
      <c r="J283" s="227">
        <v>0</v>
      </c>
      <c r="K283" s="462">
        <f t="shared" si="31"/>
        <v>98446.56</v>
      </c>
      <c r="L283" s="462">
        <f t="shared" si="32"/>
        <v>0</v>
      </c>
      <c r="M283" s="464">
        <f>SUMIF('Audit entry'!$C:$C,'TB 25-26'!$D283,'Audit entry'!$D:$D)</f>
        <v>0</v>
      </c>
      <c r="N283" s="464">
        <f>SUMIF('Audit entry'!$C:$C,'TB 25-26'!$D283,'Audit entry'!$E:$E)</f>
        <v>0</v>
      </c>
      <c r="O283" s="462">
        <f t="shared" si="33"/>
        <v>98446.56</v>
      </c>
      <c r="P283" s="462">
        <f t="shared" si="34"/>
        <v>0</v>
      </c>
      <c r="Q283" s="465" t="s">
        <v>544</v>
      </c>
      <c r="R283" s="465" t="s">
        <v>1087</v>
      </c>
      <c r="S283" s="465">
        <v>20</v>
      </c>
      <c r="T283" s="465" t="s">
        <v>401</v>
      </c>
      <c r="U283" s="465" t="s">
        <v>542</v>
      </c>
    </row>
    <row r="284" spans="1:23" ht="15" hidden="1" customHeight="1">
      <c r="A284" s="543"/>
      <c r="B284" s="543"/>
      <c r="C284" s="543"/>
      <c r="D284" s="476" t="s">
        <v>545</v>
      </c>
      <c r="E284" s="561">
        <v>293502.10000000009</v>
      </c>
      <c r="F284" s="561">
        <v>0</v>
      </c>
      <c r="G284" s="561">
        <v>0</v>
      </c>
      <c r="H284" s="561">
        <v>0</v>
      </c>
      <c r="I284" s="469">
        <v>133503.71</v>
      </c>
      <c r="J284" s="227">
        <v>0</v>
      </c>
      <c r="K284" s="462">
        <f t="shared" si="31"/>
        <v>133503.71</v>
      </c>
      <c r="L284" s="462">
        <f t="shared" si="32"/>
        <v>0</v>
      </c>
      <c r="M284" s="464">
        <f>SUMIF('Audit entry'!$C:$C,'TB 25-26'!$D284,'Audit entry'!$D:$D)</f>
        <v>0</v>
      </c>
      <c r="N284" s="464">
        <f>SUMIF('Audit entry'!$C:$C,'TB 25-26'!$D284,'Audit entry'!$E:$E)</f>
        <v>0</v>
      </c>
      <c r="O284" s="462">
        <f t="shared" si="33"/>
        <v>133503.71</v>
      </c>
      <c r="P284" s="462">
        <f t="shared" si="34"/>
        <v>0</v>
      </c>
      <c r="Q284" s="465" t="s">
        <v>546</v>
      </c>
      <c r="R284" s="465" t="s">
        <v>1087</v>
      </c>
      <c r="S284" s="465">
        <v>20</v>
      </c>
      <c r="T284" s="465" t="s">
        <v>401</v>
      </c>
      <c r="U284" s="465" t="s">
        <v>542</v>
      </c>
    </row>
    <row r="285" spans="1:23" ht="15" hidden="1" customHeight="1">
      <c r="A285" s="543"/>
      <c r="B285" s="543"/>
      <c r="C285" s="543"/>
      <c r="D285" s="476" t="s">
        <v>547</v>
      </c>
      <c r="E285" s="561">
        <v>0</v>
      </c>
      <c r="F285" s="561">
        <v>0</v>
      </c>
      <c r="G285" s="561">
        <v>0</v>
      </c>
      <c r="H285" s="561">
        <v>0</v>
      </c>
      <c r="I285" s="469">
        <v>9700</v>
      </c>
      <c r="J285" s="227">
        <v>0</v>
      </c>
      <c r="K285" s="462">
        <f t="shared" si="31"/>
        <v>9700</v>
      </c>
      <c r="L285" s="462">
        <f t="shared" si="32"/>
        <v>0</v>
      </c>
      <c r="M285" s="464">
        <f>SUMIF('Audit entry'!$C:$C,'TB 25-26'!$D285,'Audit entry'!$D:$D)</f>
        <v>0</v>
      </c>
      <c r="N285" s="464">
        <f>SUMIF('Audit entry'!$C:$C,'TB 25-26'!$D285,'Audit entry'!$E:$E)</f>
        <v>0</v>
      </c>
      <c r="O285" s="462">
        <f t="shared" si="33"/>
        <v>9700</v>
      </c>
      <c r="P285" s="462">
        <f t="shared" si="34"/>
        <v>0</v>
      </c>
      <c r="Q285" s="465" t="s">
        <v>548</v>
      </c>
      <c r="R285" s="465" t="s">
        <v>1087</v>
      </c>
      <c r="S285" s="465">
        <v>20</v>
      </c>
      <c r="T285" s="465" t="s">
        <v>401</v>
      </c>
      <c r="U285" s="465" t="s">
        <v>542</v>
      </c>
    </row>
    <row r="286" spans="1:23" ht="15" hidden="1" customHeight="1">
      <c r="A286" s="543"/>
      <c r="B286" s="543"/>
      <c r="C286" s="543"/>
      <c r="D286" s="476" t="s">
        <v>539</v>
      </c>
      <c r="E286" s="561">
        <v>1210196.04</v>
      </c>
      <c r="F286" s="561">
        <v>0</v>
      </c>
      <c r="G286" s="561">
        <v>0</v>
      </c>
      <c r="H286" s="561">
        <v>0</v>
      </c>
      <c r="I286" s="469">
        <v>224657.37</v>
      </c>
      <c r="J286" s="227">
        <v>0</v>
      </c>
      <c r="K286" s="462">
        <f t="shared" si="31"/>
        <v>224657.37</v>
      </c>
      <c r="L286" s="462">
        <f t="shared" si="32"/>
        <v>0</v>
      </c>
      <c r="M286" s="464">
        <f>SUMIF('Audit entry'!$C:$C,'TB 25-26'!$D286,'Audit entry'!$D:$D)</f>
        <v>0</v>
      </c>
      <c r="N286" s="464">
        <f>SUMIF('Audit entry'!$C:$C,'TB 25-26'!$D286,'Audit entry'!$E:$E)</f>
        <v>0</v>
      </c>
      <c r="O286" s="462">
        <f t="shared" si="33"/>
        <v>224657.37</v>
      </c>
      <c r="P286" s="462">
        <f t="shared" si="34"/>
        <v>0</v>
      </c>
      <c r="Q286" s="465" t="s">
        <v>549</v>
      </c>
      <c r="R286" s="465" t="s">
        <v>1087</v>
      </c>
      <c r="S286" s="465">
        <v>20</v>
      </c>
      <c r="T286" s="465" t="s">
        <v>401</v>
      </c>
      <c r="U286" s="465" t="s">
        <v>542</v>
      </c>
    </row>
    <row r="287" spans="1:23" ht="15" hidden="1" customHeight="1">
      <c r="A287" s="543"/>
      <c r="B287" s="543"/>
      <c r="C287" s="475" t="s">
        <v>550</v>
      </c>
      <c r="D287" s="475"/>
      <c r="E287" s="561">
        <v>0</v>
      </c>
      <c r="F287" s="561">
        <v>0</v>
      </c>
      <c r="G287" s="561">
        <f t="shared" si="35"/>
        <v>0</v>
      </c>
      <c r="H287" s="227">
        <f t="shared" si="36"/>
        <v>0</v>
      </c>
      <c r="I287" s="469">
        <v>0</v>
      </c>
      <c r="J287" s="227">
        <v>0</v>
      </c>
      <c r="K287" s="462">
        <f t="shared" si="31"/>
        <v>0</v>
      </c>
      <c r="L287" s="462">
        <f t="shared" si="32"/>
        <v>0</v>
      </c>
      <c r="M287" s="464">
        <f>SUMIF('Audit entry'!$C:$C,'TB 25-26'!$D287,'Audit entry'!$D:$D)</f>
        <v>0</v>
      </c>
      <c r="N287" s="464">
        <f>SUMIF('Audit entry'!$C:$C,'TB 25-26'!$D287,'Audit entry'!$E:$E)</f>
        <v>0</v>
      </c>
      <c r="O287" s="462">
        <f t="shared" si="33"/>
        <v>0</v>
      </c>
      <c r="P287" s="462">
        <f t="shared" si="34"/>
        <v>0</v>
      </c>
      <c r="V287" s="465"/>
      <c r="W287" s="465"/>
    </row>
    <row r="288" spans="1:23" ht="15" customHeight="1">
      <c r="A288" s="543"/>
      <c r="B288" s="543"/>
      <c r="C288" s="543"/>
      <c r="D288" s="476" t="s">
        <v>551</v>
      </c>
      <c r="E288" s="561">
        <v>100000</v>
      </c>
      <c r="F288" s="561">
        <v>0</v>
      </c>
      <c r="G288" s="561">
        <v>0</v>
      </c>
      <c r="H288" s="561">
        <v>0</v>
      </c>
      <c r="I288" s="469">
        <v>0</v>
      </c>
      <c r="J288" s="227">
        <v>0</v>
      </c>
      <c r="K288" s="462">
        <f t="shared" si="31"/>
        <v>0</v>
      </c>
      <c r="L288" s="462">
        <f t="shared" si="32"/>
        <v>0</v>
      </c>
      <c r="M288" s="464">
        <f>SUMIF('Audit entry'!$C:$C,'TB 25-26'!$D288,'Audit entry'!$D:$D)</f>
        <v>100000</v>
      </c>
      <c r="N288" s="464">
        <f>SUMIF('Audit entry'!$C:$C,'TB 25-26'!$D288,'Audit entry'!$E:$E)</f>
        <v>0</v>
      </c>
      <c r="O288" s="462">
        <f t="shared" si="33"/>
        <v>100000</v>
      </c>
      <c r="P288" s="462">
        <f t="shared" si="34"/>
        <v>0</v>
      </c>
      <c r="Q288" s="465" t="s">
        <v>552</v>
      </c>
      <c r="R288" s="465" t="s">
        <v>1087</v>
      </c>
      <c r="S288" s="465">
        <v>20</v>
      </c>
      <c r="T288" s="465" t="s">
        <v>401</v>
      </c>
      <c r="U288" s="465" t="s">
        <v>552</v>
      </c>
    </row>
    <row r="289" spans="1:23" ht="15" customHeight="1">
      <c r="A289" s="543"/>
      <c r="B289" s="543"/>
      <c r="C289" s="543"/>
      <c r="D289" s="476" t="s">
        <v>553</v>
      </c>
      <c r="E289" s="561">
        <v>125000</v>
      </c>
      <c r="F289" s="561">
        <v>0</v>
      </c>
      <c r="G289" s="561">
        <v>0</v>
      </c>
      <c r="H289" s="561">
        <v>0</v>
      </c>
      <c r="I289" s="469">
        <v>0</v>
      </c>
      <c r="J289" s="227">
        <v>0</v>
      </c>
      <c r="K289" s="462">
        <f t="shared" si="31"/>
        <v>0</v>
      </c>
      <c r="L289" s="462">
        <f t="shared" si="32"/>
        <v>0</v>
      </c>
      <c r="M289" s="464">
        <f>SUMIF('Audit entry'!$C:$C,'TB 25-26'!$D289,'Audit entry'!$D:$D)</f>
        <v>125000</v>
      </c>
      <c r="N289" s="464">
        <f>SUMIF('Audit entry'!$C:$C,'TB 25-26'!$D289,'Audit entry'!$E:$E)</f>
        <v>0</v>
      </c>
      <c r="O289" s="462">
        <f t="shared" si="33"/>
        <v>125000</v>
      </c>
      <c r="P289" s="462">
        <f t="shared" si="34"/>
        <v>0</v>
      </c>
      <c r="Q289" s="465" t="s">
        <v>552</v>
      </c>
      <c r="R289" s="465" t="s">
        <v>1087</v>
      </c>
      <c r="S289" s="465">
        <v>20</v>
      </c>
      <c r="T289" s="465" t="s">
        <v>401</v>
      </c>
      <c r="U289" s="465" t="s">
        <v>552</v>
      </c>
    </row>
    <row r="290" spans="1:23" ht="15" hidden="1" customHeight="1">
      <c r="A290" s="543"/>
      <c r="B290" s="543"/>
      <c r="C290" s="475" t="s">
        <v>554</v>
      </c>
      <c r="D290" s="475"/>
      <c r="E290" s="561">
        <v>0</v>
      </c>
      <c r="F290" s="561">
        <v>0</v>
      </c>
      <c r="G290" s="561">
        <f t="shared" si="35"/>
        <v>0</v>
      </c>
      <c r="H290" s="227">
        <f t="shared" si="36"/>
        <v>0</v>
      </c>
      <c r="I290" s="469">
        <v>0</v>
      </c>
      <c r="J290" s="227">
        <v>0</v>
      </c>
      <c r="K290" s="462">
        <f t="shared" si="31"/>
        <v>0</v>
      </c>
      <c r="L290" s="462">
        <f t="shared" si="32"/>
        <v>0</v>
      </c>
      <c r="M290" s="464">
        <f>SUMIF('Audit entry'!$C:$C,'TB 25-26'!$D290,'Audit entry'!$D:$D)</f>
        <v>0</v>
      </c>
      <c r="N290" s="464">
        <f>SUMIF('Audit entry'!$C:$C,'TB 25-26'!$D290,'Audit entry'!$E:$E)</f>
        <v>0</v>
      </c>
      <c r="O290" s="462">
        <f t="shared" si="33"/>
        <v>0</v>
      </c>
      <c r="P290" s="462">
        <f t="shared" si="34"/>
        <v>0</v>
      </c>
      <c r="V290" s="465"/>
      <c r="W290" s="465"/>
    </row>
    <row r="291" spans="1:23" ht="15" hidden="1" customHeight="1">
      <c r="A291" s="543"/>
      <c r="B291" s="543"/>
      <c r="C291" s="543"/>
      <c r="D291" s="476" t="s">
        <v>555</v>
      </c>
      <c r="E291" s="561">
        <v>94783.639999999985</v>
      </c>
      <c r="F291" s="561">
        <v>0</v>
      </c>
      <c r="G291" s="561">
        <v>0</v>
      </c>
      <c r="H291" s="561">
        <v>0</v>
      </c>
      <c r="I291" s="469">
        <v>205446.85</v>
      </c>
      <c r="J291" s="227">
        <v>0</v>
      </c>
      <c r="K291" s="462">
        <f t="shared" si="31"/>
        <v>205446.85</v>
      </c>
      <c r="L291" s="462">
        <f t="shared" si="32"/>
        <v>0</v>
      </c>
      <c r="M291" s="464">
        <f>SUMIF('Audit entry'!$C:$C,'TB 25-26'!$D291,'Audit entry'!$D:$D)</f>
        <v>0</v>
      </c>
      <c r="N291" s="464">
        <f>SUMIF('Audit entry'!$C:$C,'TB 25-26'!$D291,'Audit entry'!$E:$E)</f>
        <v>0</v>
      </c>
      <c r="O291" s="462">
        <f t="shared" si="33"/>
        <v>205446.85</v>
      </c>
      <c r="P291" s="462">
        <f t="shared" si="34"/>
        <v>0</v>
      </c>
      <c r="Q291" s="465" t="s">
        <v>556</v>
      </c>
      <c r="R291" s="465" t="s">
        <v>1087</v>
      </c>
      <c r="S291" s="465">
        <v>20</v>
      </c>
      <c r="T291" s="465" t="s">
        <v>401</v>
      </c>
      <c r="U291" s="465" t="s">
        <v>408</v>
      </c>
    </row>
    <row r="292" spans="1:23" ht="15" hidden="1" customHeight="1">
      <c r="A292" s="543"/>
      <c r="B292" s="543"/>
      <c r="C292" s="543"/>
      <c r="D292" s="476" t="s">
        <v>557</v>
      </c>
      <c r="E292" s="561">
        <v>105501.6</v>
      </c>
      <c r="F292" s="561">
        <v>0</v>
      </c>
      <c r="G292" s="561">
        <v>0</v>
      </c>
      <c r="H292" s="561">
        <v>0</v>
      </c>
      <c r="I292" s="469">
        <v>143488.70000000001</v>
      </c>
      <c r="J292" s="227">
        <v>0</v>
      </c>
      <c r="K292" s="462">
        <f t="shared" si="31"/>
        <v>143488.70000000001</v>
      </c>
      <c r="L292" s="462">
        <f t="shared" si="32"/>
        <v>0</v>
      </c>
      <c r="M292" s="464">
        <f>SUMIF('Audit entry'!$C:$C,'TB 25-26'!$D292,'Audit entry'!$D:$D)</f>
        <v>0</v>
      </c>
      <c r="N292" s="464">
        <f>SUMIF('Audit entry'!$C:$C,'TB 25-26'!$D292,'Audit entry'!$E:$E)</f>
        <v>0</v>
      </c>
      <c r="O292" s="462">
        <f t="shared" si="33"/>
        <v>143488.70000000001</v>
      </c>
      <c r="P292" s="462">
        <f t="shared" si="34"/>
        <v>0</v>
      </c>
      <c r="Q292" s="465" t="s">
        <v>558</v>
      </c>
      <c r="R292" s="465" t="s">
        <v>1087</v>
      </c>
      <c r="S292" s="465">
        <v>20</v>
      </c>
      <c r="T292" s="465" t="s">
        <v>401</v>
      </c>
      <c r="U292" s="465" t="s">
        <v>408</v>
      </c>
    </row>
    <row r="293" spans="1:23" ht="15" hidden="1" customHeight="1">
      <c r="A293" s="543"/>
      <c r="B293" s="543"/>
      <c r="C293" s="543"/>
      <c r="D293" s="476" t="s">
        <v>559</v>
      </c>
      <c r="E293" s="561">
        <v>535554.87</v>
      </c>
      <c r="F293" s="561">
        <v>0</v>
      </c>
      <c r="G293" s="561">
        <v>0</v>
      </c>
      <c r="H293" s="561">
        <v>0</v>
      </c>
      <c r="I293" s="469">
        <v>506289.98</v>
      </c>
      <c r="J293" s="227">
        <v>0</v>
      </c>
      <c r="K293" s="462">
        <f t="shared" si="31"/>
        <v>506289.98</v>
      </c>
      <c r="L293" s="462">
        <f t="shared" si="32"/>
        <v>0</v>
      </c>
      <c r="M293" s="464">
        <f>SUMIF('Audit entry'!$C:$C,'TB 25-26'!$D293,'Audit entry'!$D:$D)</f>
        <v>0</v>
      </c>
      <c r="N293" s="464">
        <f>SUMIF('Audit entry'!$C:$C,'TB 25-26'!$D293,'Audit entry'!$E:$E)</f>
        <v>59381</v>
      </c>
      <c r="O293" s="462">
        <f t="shared" si="33"/>
        <v>446908.98</v>
      </c>
      <c r="P293" s="462">
        <f t="shared" si="34"/>
        <v>0</v>
      </c>
      <c r="Q293" s="465" t="s">
        <v>560</v>
      </c>
      <c r="R293" s="465" t="s">
        <v>1087</v>
      </c>
      <c r="S293" s="465">
        <v>20</v>
      </c>
      <c r="T293" s="465" t="s">
        <v>401</v>
      </c>
      <c r="U293" s="465" t="s">
        <v>408</v>
      </c>
    </row>
    <row r="294" spans="1:23" ht="15" hidden="1" customHeight="1">
      <c r="A294" s="543"/>
      <c r="B294" s="543"/>
      <c r="C294" s="543"/>
      <c r="D294" s="476" t="s">
        <v>561</v>
      </c>
      <c r="E294" s="561">
        <v>0</v>
      </c>
      <c r="F294" s="561">
        <v>0</v>
      </c>
      <c r="G294" s="561">
        <v>0</v>
      </c>
      <c r="H294" s="561">
        <v>0</v>
      </c>
      <c r="I294" s="469">
        <v>0</v>
      </c>
      <c r="J294" s="227">
        <v>0</v>
      </c>
      <c r="K294" s="462">
        <f t="shared" si="31"/>
        <v>0</v>
      </c>
      <c r="L294" s="462">
        <f t="shared" si="32"/>
        <v>0</v>
      </c>
      <c r="M294" s="464">
        <f>SUMIF('Audit entry'!$C:$C,'TB 25-26'!$D294,'Audit entry'!$D:$D)</f>
        <v>0</v>
      </c>
      <c r="N294" s="464">
        <f>SUMIF('Audit entry'!$C:$C,'TB 25-26'!$D294,'Audit entry'!$E:$E)</f>
        <v>0</v>
      </c>
      <c r="O294" s="462">
        <f t="shared" si="33"/>
        <v>0</v>
      </c>
      <c r="P294" s="462">
        <f t="shared" si="34"/>
        <v>0</v>
      </c>
      <c r="Q294" s="465" t="s">
        <v>560</v>
      </c>
      <c r="R294" s="465" t="s">
        <v>1087</v>
      </c>
      <c r="S294" s="465">
        <v>20</v>
      </c>
      <c r="T294" s="465" t="s">
        <v>401</v>
      </c>
      <c r="U294" s="465" t="s">
        <v>408</v>
      </c>
    </row>
    <row r="295" spans="1:23" ht="15" hidden="1" customHeight="1">
      <c r="A295" s="543"/>
      <c r="B295" s="543"/>
      <c r="C295" s="543"/>
      <c r="D295" s="476" t="s">
        <v>562</v>
      </c>
      <c r="E295" s="561">
        <v>250621.77000000002</v>
      </c>
      <c r="F295" s="561">
        <v>0</v>
      </c>
      <c r="G295" s="561">
        <v>0</v>
      </c>
      <c r="H295" s="561">
        <v>0</v>
      </c>
      <c r="I295" s="469">
        <v>237204.14</v>
      </c>
      <c r="J295" s="227">
        <v>0</v>
      </c>
      <c r="K295" s="462">
        <f t="shared" si="31"/>
        <v>237204.14</v>
      </c>
      <c r="L295" s="462">
        <f t="shared" si="32"/>
        <v>0</v>
      </c>
      <c r="M295" s="464">
        <f>SUMIF('Audit entry'!$C:$C,'TB 25-26'!$D295,'Audit entry'!$D:$D)</f>
        <v>0</v>
      </c>
      <c r="N295" s="464">
        <f>SUMIF('Audit entry'!$C:$C,'TB 25-26'!$D295,'Audit entry'!$E:$E)</f>
        <v>0</v>
      </c>
      <c r="O295" s="462">
        <f t="shared" si="33"/>
        <v>237204.14</v>
      </c>
      <c r="P295" s="462">
        <f t="shared" si="34"/>
        <v>0</v>
      </c>
      <c r="Q295" s="465" t="s">
        <v>563</v>
      </c>
      <c r="R295" s="465" t="s">
        <v>1087</v>
      </c>
      <c r="S295" s="465">
        <v>20</v>
      </c>
      <c r="T295" s="465" t="s">
        <v>401</v>
      </c>
      <c r="U295" s="465" t="s">
        <v>408</v>
      </c>
    </row>
    <row r="296" spans="1:23" ht="15" hidden="1" customHeight="1">
      <c r="A296" s="543"/>
      <c r="B296" s="543"/>
      <c r="C296" s="543"/>
      <c r="D296" s="476" t="s">
        <v>564</v>
      </c>
      <c r="E296" s="561">
        <v>144763</v>
      </c>
      <c r="F296" s="561">
        <v>0</v>
      </c>
      <c r="G296" s="561">
        <v>0</v>
      </c>
      <c r="H296" s="561">
        <v>0</v>
      </c>
      <c r="I296" s="469">
        <v>145114.29999999999</v>
      </c>
      <c r="J296" s="227">
        <v>0</v>
      </c>
      <c r="K296" s="462">
        <f t="shared" si="31"/>
        <v>145114.29999999999</v>
      </c>
      <c r="L296" s="462">
        <f t="shared" si="32"/>
        <v>0</v>
      </c>
      <c r="M296" s="464">
        <f>SUMIF('Audit entry'!$C:$C,'TB 25-26'!$D296,'Audit entry'!$D:$D)</f>
        <v>0</v>
      </c>
      <c r="N296" s="464">
        <f>SUMIF('Audit entry'!$C:$C,'TB 25-26'!$D296,'Audit entry'!$E:$E)</f>
        <v>0</v>
      </c>
      <c r="O296" s="462">
        <f t="shared" si="33"/>
        <v>145114.29999999999</v>
      </c>
      <c r="P296" s="462">
        <f t="shared" si="34"/>
        <v>0</v>
      </c>
      <c r="Q296" s="465" t="s">
        <v>565</v>
      </c>
      <c r="R296" s="465" t="s">
        <v>1087</v>
      </c>
      <c r="S296" s="465">
        <v>20</v>
      </c>
      <c r="T296" s="465" t="s">
        <v>401</v>
      </c>
      <c r="U296" s="465" t="s">
        <v>408</v>
      </c>
    </row>
    <row r="297" spans="1:23" ht="15" hidden="1" customHeight="1">
      <c r="A297" s="543"/>
      <c r="B297" s="543"/>
      <c r="C297" s="543"/>
      <c r="D297" s="476" t="s">
        <v>566</v>
      </c>
      <c r="E297" s="561">
        <v>0</v>
      </c>
      <c r="F297" s="561">
        <v>0</v>
      </c>
      <c r="G297" s="561">
        <v>0</v>
      </c>
      <c r="H297" s="561">
        <v>0</v>
      </c>
      <c r="I297" s="469">
        <v>11000</v>
      </c>
      <c r="J297" s="227">
        <v>0</v>
      </c>
      <c r="K297" s="462">
        <f t="shared" si="31"/>
        <v>11000</v>
      </c>
      <c r="L297" s="462">
        <f t="shared" si="32"/>
        <v>0</v>
      </c>
      <c r="M297" s="464">
        <f>SUMIF('Audit entry'!$C:$C,'TB 25-26'!$D297,'Audit entry'!$D:$D)</f>
        <v>0</v>
      </c>
      <c r="N297" s="464">
        <f>SUMIF('Audit entry'!$C:$C,'TB 25-26'!$D297,'Audit entry'!$E:$E)</f>
        <v>0</v>
      </c>
      <c r="O297" s="462">
        <f t="shared" si="33"/>
        <v>11000</v>
      </c>
      <c r="P297" s="462">
        <f t="shared" si="34"/>
        <v>0</v>
      </c>
      <c r="Q297" s="465" t="s">
        <v>567</v>
      </c>
      <c r="R297" s="465" t="s">
        <v>1087</v>
      </c>
      <c r="S297" s="465">
        <v>20</v>
      </c>
      <c r="T297" s="465" t="s">
        <v>401</v>
      </c>
      <c r="U297" s="465" t="s">
        <v>408</v>
      </c>
    </row>
    <row r="298" spans="1:23" ht="15" hidden="1" customHeight="1">
      <c r="A298" s="543"/>
      <c r="B298" s="543"/>
      <c r="C298" s="543"/>
      <c r="D298" s="476" t="s">
        <v>568</v>
      </c>
      <c r="E298" s="561">
        <v>461666.80000000005</v>
      </c>
      <c r="F298" s="561">
        <v>0</v>
      </c>
      <c r="G298" s="561">
        <v>0</v>
      </c>
      <c r="H298" s="561">
        <v>0</v>
      </c>
      <c r="I298" s="469">
        <v>120570.48</v>
      </c>
      <c r="J298" s="227">
        <v>0</v>
      </c>
      <c r="K298" s="462">
        <f t="shared" si="31"/>
        <v>120570.48</v>
      </c>
      <c r="L298" s="462">
        <f t="shared" si="32"/>
        <v>0</v>
      </c>
      <c r="M298" s="464">
        <f>SUMIF('Audit entry'!$C:$C,'TB 25-26'!$D298,'Audit entry'!$D:$D)</f>
        <v>0</v>
      </c>
      <c r="N298" s="464">
        <f>SUMIF('Audit entry'!$C:$C,'TB 25-26'!$D298,'Audit entry'!$E:$E)</f>
        <v>0</v>
      </c>
      <c r="O298" s="462">
        <f t="shared" si="33"/>
        <v>120570.48</v>
      </c>
      <c r="P298" s="462">
        <f t="shared" si="34"/>
        <v>0</v>
      </c>
      <c r="Q298" s="465" t="s">
        <v>569</v>
      </c>
      <c r="R298" s="465" t="s">
        <v>1087</v>
      </c>
      <c r="S298" s="465">
        <v>20</v>
      </c>
      <c r="T298" s="465" t="s">
        <v>401</v>
      </c>
      <c r="U298" s="465" t="s">
        <v>408</v>
      </c>
    </row>
    <row r="299" spans="1:23" ht="15" hidden="1" customHeight="1">
      <c r="A299" s="543"/>
      <c r="B299" s="543"/>
      <c r="C299" s="543"/>
      <c r="D299" s="476" t="s">
        <v>570</v>
      </c>
      <c r="E299" s="561">
        <v>171504.66999999998</v>
      </c>
      <c r="F299" s="561">
        <v>0</v>
      </c>
      <c r="G299" s="561">
        <v>0</v>
      </c>
      <c r="H299" s="561">
        <v>0</v>
      </c>
      <c r="I299" s="469">
        <v>34079.550000000003</v>
      </c>
      <c r="J299" s="227">
        <v>0</v>
      </c>
      <c r="K299" s="462">
        <f t="shared" si="31"/>
        <v>34079.550000000003</v>
      </c>
      <c r="L299" s="462">
        <f t="shared" si="32"/>
        <v>0</v>
      </c>
      <c r="M299" s="464">
        <f>SUMIF('Audit entry'!$C:$C,'TB 25-26'!$D299,'Audit entry'!$D:$D)</f>
        <v>0</v>
      </c>
      <c r="N299" s="464">
        <f>SUMIF('Audit entry'!$C:$C,'TB 25-26'!$D299,'Audit entry'!$E:$E)</f>
        <v>0</v>
      </c>
      <c r="O299" s="462">
        <f t="shared" si="33"/>
        <v>34079.550000000003</v>
      </c>
      <c r="P299" s="462">
        <f t="shared" si="34"/>
        <v>0</v>
      </c>
      <c r="Q299" s="465" t="s">
        <v>560</v>
      </c>
      <c r="R299" s="465" t="s">
        <v>1087</v>
      </c>
      <c r="S299" s="465">
        <v>20</v>
      </c>
      <c r="T299" s="465" t="s">
        <v>401</v>
      </c>
      <c r="U299" s="465" t="s">
        <v>408</v>
      </c>
    </row>
    <row r="300" spans="1:23" ht="15" hidden="1" customHeight="1">
      <c r="A300" s="543"/>
      <c r="B300" s="543"/>
      <c r="C300" s="543"/>
      <c r="D300" s="476" t="s">
        <v>571</v>
      </c>
      <c r="E300" s="561">
        <v>538370.89</v>
      </c>
      <c r="F300" s="561">
        <v>0</v>
      </c>
      <c r="G300" s="561">
        <v>0</v>
      </c>
      <c r="H300" s="561">
        <v>0</v>
      </c>
      <c r="I300" s="469">
        <v>841773.16</v>
      </c>
      <c r="J300" s="227">
        <v>0</v>
      </c>
      <c r="K300" s="462">
        <f t="shared" si="31"/>
        <v>841773.16</v>
      </c>
      <c r="L300" s="462">
        <f t="shared" si="32"/>
        <v>0</v>
      </c>
      <c r="M300" s="464">
        <f>SUMIF('Audit entry'!$C:$C,'TB 25-26'!$D300,'Audit entry'!$D:$D)</f>
        <v>10000</v>
      </c>
      <c r="N300" s="464">
        <f>SUMIF('Audit entry'!$C:$C,'TB 25-26'!$D300,'Audit entry'!$E:$E)</f>
        <v>0</v>
      </c>
      <c r="O300" s="462">
        <f t="shared" si="33"/>
        <v>851773.16</v>
      </c>
      <c r="P300" s="462">
        <f t="shared" si="34"/>
        <v>0</v>
      </c>
      <c r="Q300" s="465" t="s">
        <v>572</v>
      </c>
      <c r="R300" s="465" t="s">
        <v>1087</v>
      </c>
      <c r="S300" s="465">
        <v>20</v>
      </c>
      <c r="T300" s="465" t="s">
        <v>401</v>
      </c>
      <c r="U300" s="465" t="s">
        <v>527</v>
      </c>
    </row>
    <row r="301" spans="1:23" ht="15" hidden="1" customHeight="1">
      <c r="A301" s="543"/>
      <c r="B301" s="543"/>
      <c r="C301" s="543"/>
      <c r="D301" s="476" t="s">
        <v>573</v>
      </c>
      <c r="E301" s="561">
        <v>0</v>
      </c>
      <c r="F301" s="561">
        <v>0</v>
      </c>
      <c r="G301" s="561">
        <v>0</v>
      </c>
      <c r="H301" s="561">
        <v>0</v>
      </c>
      <c r="I301" s="469">
        <v>0</v>
      </c>
      <c r="J301" s="227">
        <v>0</v>
      </c>
      <c r="K301" s="462">
        <f t="shared" si="31"/>
        <v>0</v>
      </c>
      <c r="L301" s="462">
        <f t="shared" si="32"/>
        <v>0</v>
      </c>
      <c r="M301" s="464">
        <f>SUMIF('Audit entry'!$C:$C,'TB 25-26'!$D301,'Audit entry'!$D:$D)</f>
        <v>0</v>
      </c>
      <c r="N301" s="464">
        <f>SUMIF('Audit entry'!$C:$C,'TB 25-26'!$D301,'Audit entry'!$E:$E)</f>
        <v>0</v>
      </c>
      <c r="O301" s="462">
        <f t="shared" si="33"/>
        <v>0</v>
      </c>
      <c r="P301" s="462">
        <f t="shared" si="34"/>
        <v>0</v>
      </c>
      <c r="Q301" s="465" t="s">
        <v>574</v>
      </c>
      <c r="R301" s="465" t="s">
        <v>1087</v>
      </c>
      <c r="S301" s="465">
        <v>20</v>
      </c>
      <c r="T301" s="465" t="s">
        <v>401</v>
      </c>
      <c r="U301" s="465" t="s">
        <v>408</v>
      </c>
    </row>
    <row r="302" spans="1:23" ht="15" hidden="1" customHeight="1">
      <c r="A302" s="543"/>
      <c r="B302" s="543"/>
      <c r="C302" s="543"/>
      <c r="D302" s="476" t="s">
        <v>575</v>
      </c>
      <c r="E302" s="561">
        <v>57500</v>
      </c>
      <c r="F302" s="561">
        <v>0</v>
      </c>
      <c r="G302" s="561">
        <v>0</v>
      </c>
      <c r="H302" s="561">
        <v>0</v>
      </c>
      <c r="I302" s="469">
        <v>80950</v>
      </c>
      <c r="J302" s="227">
        <v>0</v>
      </c>
      <c r="K302" s="462">
        <f t="shared" si="31"/>
        <v>80950</v>
      </c>
      <c r="L302" s="462">
        <f t="shared" si="32"/>
        <v>0</v>
      </c>
      <c r="M302" s="464">
        <f>SUMIF('Audit entry'!$C:$C,'TB 25-26'!$D302,'Audit entry'!$D:$D)</f>
        <v>0</v>
      </c>
      <c r="N302" s="464">
        <f>SUMIF('Audit entry'!$C:$C,'TB 25-26'!$D302,'Audit entry'!$E:$E)</f>
        <v>0</v>
      </c>
      <c r="O302" s="462">
        <f t="shared" si="33"/>
        <v>80950</v>
      </c>
      <c r="P302" s="462">
        <f t="shared" si="34"/>
        <v>0</v>
      </c>
      <c r="Q302" s="465" t="s">
        <v>560</v>
      </c>
      <c r="R302" s="465" t="s">
        <v>1087</v>
      </c>
      <c r="S302" s="465">
        <v>20</v>
      </c>
      <c r="T302" s="465" t="s">
        <v>401</v>
      </c>
      <c r="U302" s="465" t="s">
        <v>408</v>
      </c>
    </row>
    <row r="303" spans="1:23" ht="15" hidden="1" customHeight="1">
      <c r="A303" s="543"/>
      <c r="B303" s="543"/>
      <c r="C303" s="543"/>
      <c r="D303" s="476" t="s">
        <v>576</v>
      </c>
      <c r="E303" s="561">
        <v>33000</v>
      </c>
      <c r="F303" s="561">
        <v>0</v>
      </c>
      <c r="G303" s="561">
        <v>0</v>
      </c>
      <c r="H303" s="561">
        <v>0</v>
      </c>
      <c r="I303" s="469">
        <v>0</v>
      </c>
      <c r="J303" s="227">
        <v>0</v>
      </c>
      <c r="K303" s="462">
        <f t="shared" si="31"/>
        <v>0</v>
      </c>
      <c r="L303" s="462">
        <f t="shared" si="32"/>
        <v>0</v>
      </c>
      <c r="M303" s="464">
        <f>SUMIF('Audit entry'!$C:$C,'TB 25-26'!$D303,'Audit entry'!$D:$D)</f>
        <v>0</v>
      </c>
      <c r="N303" s="464">
        <f>SUMIF('Audit entry'!$C:$C,'TB 25-26'!$D303,'Audit entry'!$E:$E)</f>
        <v>0</v>
      </c>
      <c r="O303" s="462">
        <f t="shared" si="33"/>
        <v>0</v>
      </c>
      <c r="P303" s="462">
        <f t="shared" si="34"/>
        <v>0</v>
      </c>
      <c r="Q303" s="465" t="s">
        <v>577</v>
      </c>
      <c r="R303" s="465" t="s">
        <v>1087</v>
      </c>
      <c r="S303" s="465">
        <v>20</v>
      </c>
      <c r="T303" s="465" t="s">
        <v>401</v>
      </c>
      <c r="U303" s="465" t="s">
        <v>408</v>
      </c>
    </row>
    <row r="304" spans="1:23" ht="15" hidden="1" customHeight="1">
      <c r="A304" s="543"/>
      <c r="B304" s="543"/>
      <c r="C304" s="543"/>
      <c r="D304" s="476" t="s">
        <v>578</v>
      </c>
      <c r="E304" s="561">
        <v>75000</v>
      </c>
      <c r="F304" s="561">
        <v>0</v>
      </c>
      <c r="G304" s="561">
        <v>0</v>
      </c>
      <c r="H304" s="561">
        <v>0</v>
      </c>
      <c r="I304" s="469">
        <v>0</v>
      </c>
      <c r="J304" s="227">
        <v>0</v>
      </c>
      <c r="K304" s="462">
        <f t="shared" si="31"/>
        <v>0</v>
      </c>
      <c r="L304" s="462">
        <f t="shared" si="32"/>
        <v>0</v>
      </c>
      <c r="M304" s="464">
        <f>SUMIF('Audit entry'!$C:$C,'TB 25-26'!$D304,'Audit entry'!$D:$D)</f>
        <v>0</v>
      </c>
      <c r="N304" s="464">
        <f>SUMIF('Audit entry'!$C:$C,'TB 25-26'!$D304,'Audit entry'!$E:$E)</f>
        <v>0</v>
      </c>
      <c r="O304" s="462">
        <f t="shared" si="33"/>
        <v>0</v>
      </c>
      <c r="P304" s="462">
        <f t="shared" si="34"/>
        <v>0</v>
      </c>
      <c r="Q304" s="465" t="s">
        <v>556</v>
      </c>
      <c r="R304" s="465" t="s">
        <v>1087</v>
      </c>
      <c r="S304" s="465">
        <v>20</v>
      </c>
      <c r="T304" s="465" t="s">
        <v>401</v>
      </c>
      <c r="U304" s="465" t="s">
        <v>408</v>
      </c>
    </row>
    <row r="305" spans="1:23" ht="15" hidden="1" customHeight="1">
      <c r="A305" s="543"/>
      <c r="B305" s="543"/>
      <c r="C305" s="543"/>
      <c r="D305" s="476" t="s">
        <v>579</v>
      </c>
      <c r="E305" s="561">
        <v>0</v>
      </c>
      <c r="F305" s="561">
        <v>0</v>
      </c>
      <c r="G305" s="561">
        <v>0</v>
      </c>
      <c r="H305" s="561">
        <v>0</v>
      </c>
      <c r="I305" s="469">
        <v>0</v>
      </c>
      <c r="J305" s="227">
        <v>0</v>
      </c>
      <c r="K305" s="462">
        <f t="shared" si="31"/>
        <v>0</v>
      </c>
      <c r="L305" s="462">
        <f t="shared" si="32"/>
        <v>0</v>
      </c>
      <c r="M305" s="464">
        <f>SUMIF('Audit entry'!$C:$C,'TB 25-26'!$D305,'Audit entry'!$D:$D)</f>
        <v>0</v>
      </c>
      <c r="N305" s="464">
        <f>SUMIF('Audit entry'!$C:$C,'TB 25-26'!$D305,'Audit entry'!$E:$E)</f>
        <v>0</v>
      </c>
      <c r="O305" s="462">
        <f t="shared" si="33"/>
        <v>0</v>
      </c>
      <c r="P305" s="462">
        <f t="shared" si="34"/>
        <v>0</v>
      </c>
      <c r="Q305" s="465" t="s">
        <v>579</v>
      </c>
      <c r="R305" s="465" t="s">
        <v>1087</v>
      </c>
      <c r="S305" s="465">
        <v>20</v>
      </c>
      <c r="T305" s="465" t="s">
        <v>401</v>
      </c>
      <c r="U305" s="465" t="s">
        <v>408</v>
      </c>
    </row>
    <row r="306" spans="1:23" ht="15" hidden="1" customHeight="1">
      <c r="A306" s="543"/>
      <c r="B306" s="543"/>
      <c r="C306" s="543"/>
      <c r="D306" s="476" t="s">
        <v>580</v>
      </c>
      <c r="E306" s="561">
        <v>0</v>
      </c>
      <c r="F306" s="561">
        <v>0</v>
      </c>
      <c r="G306" s="561">
        <v>0</v>
      </c>
      <c r="H306" s="561">
        <v>0</v>
      </c>
      <c r="I306" s="469">
        <v>0</v>
      </c>
      <c r="J306" s="227">
        <v>0</v>
      </c>
      <c r="K306" s="462">
        <f t="shared" si="31"/>
        <v>0</v>
      </c>
      <c r="L306" s="462">
        <f t="shared" si="32"/>
        <v>0</v>
      </c>
      <c r="M306" s="464">
        <f>SUMIF('Audit entry'!$C:$C,'TB 25-26'!$D306,'Audit entry'!$D:$D)</f>
        <v>0</v>
      </c>
      <c r="N306" s="464">
        <f>SUMIF('Audit entry'!$C:$C,'TB 25-26'!$D306,'Audit entry'!$E:$E)</f>
        <v>0</v>
      </c>
      <c r="O306" s="462">
        <f t="shared" si="33"/>
        <v>0</v>
      </c>
      <c r="P306" s="462">
        <f t="shared" si="34"/>
        <v>0</v>
      </c>
      <c r="Q306" s="465" t="s">
        <v>581</v>
      </c>
      <c r="R306" s="465" t="s">
        <v>1087</v>
      </c>
      <c r="S306" s="465">
        <v>20</v>
      </c>
      <c r="T306" s="465" t="s">
        <v>401</v>
      </c>
      <c r="U306" s="465" t="s">
        <v>408</v>
      </c>
    </row>
    <row r="307" spans="1:23" ht="15" hidden="1" customHeight="1">
      <c r="A307" s="543"/>
      <c r="B307" s="543"/>
      <c r="C307" s="543"/>
      <c r="D307" s="476" t="s">
        <v>582</v>
      </c>
      <c r="E307" s="561">
        <v>0</v>
      </c>
      <c r="F307" s="561">
        <v>0</v>
      </c>
      <c r="G307" s="561">
        <v>0</v>
      </c>
      <c r="H307" s="561">
        <v>0</v>
      </c>
      <c r="I307" s="469">
        <v>0</v>
      </c>
      <c r="J307" s="227">
        <v>0</v>
      </c>
      <c r="K307" s="462">
        <f t="shared" si="31"/>
        <v>0</v>
      </c>
      <c r="L307" s="462">
        <f t="shared" si="32"/>
        <v>0</v>
      </c>
      <c r="M307" s="464">
        <f>SUMIF('Audit entry'!$C:$C,'TB 25-26'!$D307,'Audit entry'!$D:$D)</f>
        <v>0</v>
      </c>
      <c r="N307" s="464">
        <f>SUMIF('Audit entry'!$C:$C,'TB 25-26'!$D307,'Audit entry'!$E:$E)</f>
        <v>0</v>
      </c>
      <c r="O307" s="462">
        <f t="shared" si="33"/>
        <v>0</v>
      </c>
      <c r="P307" s="462">
        <f t="shared" si="34"/>
        <v>0</v>
      </c>
      <c r="Q307" s="465" t="s">
        <v>582</v>
      </c>
      <c r="R307" s="465" t="s">
        <v>1087</v>
      </c>
      <c r="S307" s="465">
        <v>20</v>
      </c>
      <c r="T307" s="465" t="s">
        <v>401</v>
      </c>
      <c r="U307" s="465" t="s">
        <v>408</v>
      </c>
    </row>
    <row r="308" spans="1:23" ht="15" hidden="1" customHeight="1">
      <c r="A308" s="543"/>
      <c r="B308" s="543"/>
      <c r="C308" s="543"/>
      <c r="D308" s="476" t="s">
        <v>583</v>
      </c>
      <c r="E308" s="561">
        <v>4222.62</v>
      </c>
      <c r="F308" s="561">
        <v>0</v>
      </c>
      <c r="G308" s="561">
        <v>0</v>
      </c>
      <c r="H308" s="561">
        <v>0</v>
      </c>
      <c r="I308" s="469">
        <v>165192.56</v>
      </c>
      <c r="J308" s="227">
        <v>0</v>
      </c>
      <c r="K308" s="462">
        <f t="shared" si="31"/>
        <v>165192.56</v>
      </c>
      <c r="L308" s="462">
        <f t="shared" si="32"/>
        <v>0</v>
      </c>
      <c r="M308" s="464">
        <f>SUMIF('Audit entry'!$C:$C,'TB 25-26'!$D308,'Audit entry'!$D:$D)</f>
        <v>0</v>
      </c>
      <c r="N308" s="464">
        <f>SUMIF('Audit entry'!$C:$C,'TB 25-26'!$D308,'Audit entry'!$E:$E)</f>
        <v>0</v>
      </c>
      <c r="O308" s="462">
        <f t="shared" si="33"/>
        <v>165192.56</v>
      </c>
      <c r="P308" s="462">
        <f t="shared" si="34"/>
        <v>0</v>
      </c>
      <c r="Q308" s="465" t="s">
        <v>556</v>
      </c>
      <c r="R308" s="465" t="s">
        <v>1087</v>
      </c>
      <c r="S308" s="465">
        <v>20</v>
      </c>
      <c r="T308" s="465" t="s">
        <v>401</v>
      </c>
      <c r="U308" s="465" t="s">
        <v>408</v>
      </c>
    </row>
    <row r="309" spans="1:23" ht="15" hidden="1" customHeight="1">
      <c r="A309" s="543"/>
      <c r="B309" s="475" t="s">
        <v>584</v>
      </c>
      <c r="C309" s="475"/>
      <c r="D309" s="475"/>
      <c r="E309" s="561">
        <v>0</v>
      </c>
      <c r="F309" s="561">
        <v>0</v>
      </c>
      <c r="G309" s="561">
        <f t="shared" si="35"/>
        <v>0</v>
      </c>
      <c r="H309" s="227">
        <f t="shared" si="36"/>
        <v>0</v>
      </c>
      <c r="I309" s="469">
        <v>0</v>
      </c>
      <c r="J309" s="227">
        <v>0</v>
      </c>
      <c r="K309" s="462">
        <f t="shared" si="31"/>
        <v>0</v>
      </c>
      <c r="L309" s="462">
        <f t="shared" si="32"/>
        <v>0</v>
      </c>
      <c r="M309" s="464">
        <f>SUMIF('Audit entry'!$C:$C,'TB 25-26'!$D309,'Audit entry'!$D:$D)</f>
        <v>0</v>
      </c>
      <c r="N309" s="464">
        <f>SUMIF('Audit entry'!$C:$C,'TB 25-26'!$D309,'Audit entry'!$E:$E)</f>
        <v>0</v>
      </c>
      <c r="O309" s="462">
        <f t="shared" si="33"/>
        <v>0</v>
      </c>
      <c r="P309" s="462">
        <f t="shared" si="34"/>
        <v>0</v>
      </c>
      <c r="V309" s="465"/>
      <c r="W309" s="465"/>
    </row>
    <row r="310" spans="1:23" ht="15" hidden="1" customHeight="1">
      <c r="A310" s="543"/>
      <c r="B310" s="543"/>
      <c r="C310" s="475" t="s">
        <v>585</v>
      </c>
      <c r="D310" s="475"/>
      <c r="E310" s="561">
        <v>0</v>
      </c>
      <c r="F310" s="561">
        <v>0</v>
      </c>
      <c r="G310" s="561">
        <f t="shared" si="35"/>
        <v>0</v>
      </c>
      <c r="H310" s="227">
        <f t="shared" si="36"/>
        <v>0</v>
      </c>
      <c r="I310" s="469">
        <v>0</v>
      </c>
      <c r="J310" s="227">
        <v>0</v>
      </c>
      <c r="K310" s="462">
        <f t="shared" si="31"/>
        <v>0</v>
      </c>
      <c r="L310" s="462">
        <f t="shared" si="32"/>
        <v>0</v>
      </c>
      <c r="M310" s="464">
        <f>SUMIF('Audit entry'!$C:$C,'TB 25-26'!$D310,'Audit entry'!$D:$D)</f>
        <v>0</v>
      </c>
      <c r="N310" s="464">
        <f>SUMIF('Audit entry'!$C:$C,'TB 25-26'!$D310,'Audit entry'!$E:$E)</f>
        <v>0</v>
      </c>
      <c r="O310" s="462">
        <f t="shared" si="33"/>
        <v>0</v>
      </c>
      <c r="P310" s="462">
        <f t="shared" si="34"/>
        <v>0</v>
      </c>
      <c r="V310" s="465"/>
      <c r="W310" s="465"/>
    </row>
    <row r="311" spans="1:23" ht="15" hidden="1" customHeight="1">
      <c r="A311" s="543"/>
      <c r="B311" s="543"/>
      <c r="C311" s="543"/>
      <c r="D311" s="476" t="s">
        <v>586</v>
      </c>
      <c r="E311" s="561">
        <v>0</v>
      </c>
      <c r="F311" s="561">
        <v>0</v>
      </c>
      <c r="G311" s="561">
        <v>0</v>
      </c>
      <c r="H311" s="561">
        <v>0</v>
      </c>
      <c r="I311" s="469">
        <v>0</v>
      </c>
      <c r="J311" s="227">
        <v>0</v>
      </c>
      <c r="K311" s="462">
        <f t="shared" si="31"/>
        <v>0</v>
      </c>
      <c r="L311" s="462">
        <f t="shared" si="32"/>
        <v>0</v>
      </c>
      <c r="M311" s="464">
        <f>SUMIF('Audit entry'!$C:$C,'TB 25-26'!$D311,'Audit entry'!$D:$D)</f>
        <v>0</v>
      </c>
      <c r="N311" s="464">
        <f>SUMIF('Audit entry'!$C:$C,'TB 25-26'!$D311,'Audit entry'!$E:$E)</f>
        <v>0</v>
      </c>
      <c r="O311" s="462">
        <f t="shared" si="33"/>
        <v>0</v>
      </c>
      <c r="P311" s="462">
        <f t="shared" si="34"/>
        <v>0</v>
      </c>
      <c r="Q311" s="465" t="s">
        <v>482</v>
      </c>
      <c r="R311" s="465" t="s">
        <v>1087</v>
      </c>
      <c r="S311" s="465">
        <v>20</v>
      </c>
      <c r="T311" s="465" t="s">
        <v>401</v>
      </c>
      <c r="U311" s="465" t="s">
        <v>483</v>
      </c>
    </row>
    <row r="312" spans="1:23" ht="15" hidden="1" customHeight="1">
      <c r="A312" s="543"/>
      <c r="B312" s="543"/>
      <c r="C312" s="543"/>
      <c r="D312" s="476" t="s">
        <v>34</v>
      </c>
      <c r="E312" s="561">
        <v>879.48</v>
      </c>
      <c r="F312" s="561">
        <v>0</v>
      </c>
      <c r="G312" s="561">
        <v>0</v>
      </c>
      <c r="H312" s="561">
        <v>0</v>
      </c>
      <c r="I312" s="469">
        <v>26067</v>
      </c>
      <c r="J312" s="227">
        <v>0</v>
      </c>
      <c r="K312" s="462">
        <f t="shared" si="31"/>
        <v>26067</v>
      </c>
      <c r="L312" s="462">
        <f t="shared" si="32"/>
        <v>0</v>
      </c>
      <c r="M312" s="464">
        <f>SUMIF('Audit entry'!$C:$C,'TB 25-26'!$D312,'Audit entry'!$D:$D)</f>
        <v>0</v>
      </c>
      <c r="N312" s="464">
        <f>SUMIF('Audit entry'!$C:$C,'TB 25-26'!$D312,'Audit entry'!$E:$E)</f>
        <v>0</v>
      </c>
      <c r="O312" s="462">
        <f t="shared" si="33"/>
        <v>26067</v>
      </c>
      <c r="P312" s="462">
        <f t="shared" si="34"/>
        <v>0</v>
      </c>
      <c r="Q312" s="465" t="s">
        <v>587</v>
      </c>
      <c r="R312" s="465" t="s">
        <v>1087</v>
      </c>
      <c r="S312" s="465">
        <v>19</v>
      </c>
      <c r="T312" s="465" t="s">
        <v>588</v>
      </c>
    </row>
    <row r="313" spans="1:23" ht="15" hidden="1" customHeight="1">
      <c r="A313" s="543"/>
      <c r="B313" s="543"/>
      <c r="C313" s="543"/>
      <c r="D313" s="476" t="s">
        <v>589</v>
      </c>
      <c r="E313" s="561">
        <v>292935</v>
      </c>
      <c r="F313" s="561">
        <v>0</v>
      </c>
      <c r="G313" s="561">
        <v>0</v>
      </c>
      <c r="H313" s="561">
        <v>0</v>
      </c>
      <c r="I313" s="469">
        <v>36892</v>
      </c>
      <c r="J313" s="227">
        <v>0</v>
      </c>
      <c r="K313" s="462">
        <f t="shared" si="31"/>
        <v>36892</v>
      </c>
      <c r="L313" s="462">
        <f t="shared" si="32"/>
        <v>0</v>
      </c>
      <c r="M313" s="464">
        <f>SUMIF('Audit entry'!$C:$C,'TB 25-26'!$D313,'Audit entry'!$D:$D)</f>
        <v>0</v>
      </c>
      <c r="N313" s="464">
        <f>SUMIF('Audit entry'!$C:$C,'TB 25-26'!$D313,'Audit entry'!$E:$E)</f>
        <v>0</v>
      </c>
      <c r="O313" s="462">
        <f t="shared" si="33"/>
        <v>36892</v>
      </c>
      <c r="P313" s="462">
        <f t="shared" si="34"/>
        <v>0</v>
      </c>
      <c r="Q313" s="465" t="s">
        <v>482</v>
      </c>
      <c r="R313" s="465" t="s">
        <v>1087</v>
      </c>
      <c r="S313" s="465">
        <v>20</v>
      </c>
      <c r="T313" s="465" t="s">
        <v>401</v>
      </c>
      <c r="U313" s="465" t="s">
        <v>483</v>
      </c>
    </row>
    <row r="314" spans="1:23" ht="15" hidden="1" customHeight="1">
      <c r="A314" s="543"/>
      <c r="B314" s="543"/>
      <c r="C314" s="475" t="s">
        <v>590</v>
      </c>
      <c r="D314" s="475"/>
      <c r="E314" s="561">
        <v>0</v>
      </c>
      <c r="F314" s="561">
        <v>0</v>
      </c>
      <c r="G314" s="561">
        <f t="shared" si="35"/>
        <v>0</v>
      </c>
      <c r="H314" s="227">
        <f t="shared" si="36"/>
        <v>0</v>
      </c>
      <c r="I314" s="469">
        <v>0</v>
      </c>
      <c r="J314" s="227">
        <v>0</v>
      </c>
      <c r="K314" s="462">
        <f t="shared" si="31"/>
        <v>0</v>
      </c>
      <c r="L314" s="462">
        <f t="shared" si="32"/>
        <v>0</v>
      </c>
      <c r="M314" s="464">
        <f>SUMIF('Audit entry'!$C:$C,'TB 25-26'!$D314,'Audit entry'!$D:$D)</f>
        <v>0</v>
      </c>
      <c r="N314" s="464">
        <f>SUMIF('Audit entry'!$C:$C,'TB 25-26'!$D314,'Audit entry'!$E:$E)</f>
        <v>0</v>
      </c>
      <c r="O314" s="462">
        <f t="shared" si="33"/>
        <v>0</v>
      </c>
      <c r="P314" s="462">
        <f t="shared" si="34"/>
        <v>0</v>
      </c>
      <c r="V314" s="465"/>
      <c r="W314" s="465"/>
    </row>
    <row r="315" spans="1:23" ht="15" hidden="1" customHeight="1">
      <c r="A315" s="543"/>
      <c r="B315" s="543"/>
      <c r="C315" s="543"/>
      <c r="D315" s="476" t="s">
        <v>591</v>
      </c>
      <c r="E315" s="561">
        <v>265560.22000000009</v>
      </c>
      <c r="F315" s="561">
        <v>0</v>
      </c>
      <c r="G315" s="561">
        <v>0</v>
      </c>
      <c r="H315" s="561">
        <v>0</v>
      </c>
      <c r="I315" s="469">
        <v>225794.01</v>
      </c>
      <c r="J315" s="227">
        <v>0</v>
      </c>
      <c r="K315" s="462">
        <f t="shared" si="31"/>
        <v>225794.01</v>
      </c>
      <c r="L315" s="462">
        <f t="shared" si="32"/>
        <v>0</v>
      </c>
      <c r="M315" s="464">
        <f>SUMIF('Audit entry'!$C:$C,'TB 25-26'!$D315,'Audit entry'!$D:$D)</f>
        <v>0</v>
      </c>
      <c r="N315" s="464">
        <f>SUMIF('Audit entry'!$C:$C,'TB 25-26'!$D315,'Audit entry'!$E:$E)</f>
        <v>0</v>
      </c>
      <c r="O315" s="462">
        <f t="shared" si="33"/>
        <v>225794.01</v>
      </c>
      <c r="P315" s="462">
        <f t="shared" si="34"/>
        <v>0</v>
      </c>
      <c r="Q315" s="478" t="s">
        <v>592</v>
      </c>
      <c r="R315" s="478" t="s">
        <v>1087</v>
      </c>
      <c r="S315" s="465">
        <v>19</v>
      </c>
      <c r="T315" s="465" t="s">
        <v>588</v>
      </c>
    </row>
    <row r="316" spans="1:23" ht="15" hidden="1" customHeight="1">
      <c r="A316" s="543"/>
      <c r="B316" s="543"/>
      <c r="C316" s="543"/>
      <c r="D316" s="476" t="s">
        <v>590</v>
      </c>
      <c r="E316" s="561">
        <v>0</v>
      </c>
      <c r="F316" s="561">
        <v>0</v>
      </c>
      <c r="G316" s="561">
        <v>0</v>
      </c>
      <c r="H316" s="561">
        <v>0</v>
      </c>
      <c r="I316" s="469">
        <v>0</v>
      </c>
      <c r="J316" s="227">
        <v>0</v>
      </c>
      <c r="K316" s="462">
        <f t="shared" si="31"/>
        <v>0</v>
      </c>
      <c r="L316" s="462">
        <f t="shared" si="32"/>
        <v>0</v>
      </c>
      <c r="M316" s="464">
        <f>SUMIF('Audit entry'!$C:$C,'TB 25-26'!$D316,'Audit entry'!$D:$D)</f>
        <v>0</v>
      </c>
      <c r="N316" s="464">
        <f>SUMIF('Audit entry'!$C:$C,'TB 25-26'!$D316,'Audit entry'!$E:$E)</f>
        <v>0</v>
      </c>
      <c r="O316" s="462">
        <f t="shared" si="33"/>
        <v>0</v>
      </c>
      <c r="P316" s="462">
        <f t="shared" si="34"/>
        <v>0</v>
      </c>
      <c r="Q316" s="478" t="s">
        <v>593</v>
      </c>
      <c r="R316" s="478" t="s">
        <v>1087</v>
      </c>
      <c r="S316" s="465">
        <v>20</v>
      </c>
      <c r="T316" s="465" t="s">
        <v>401</v>
      </c>
      <c r="U316" s="465" t="s">
        <v>408</v>
      </c>
    </row>
    <row r="317" spans="1:23" ht="15" hidden="1" customHeight="1">
      <c r="A317" s="543"/>
      <c r="B317" s="543"/>
      <c r="C317" s="543"/>
      <c r="D317" s="476" t="s">
        <v>594</v>
      </c>
      <c r="E317" s="561">
        <v>0</v>
      </c>
      <c r="F317" s="561">
        <v>0</v>
      </c>
      <c r="G317" s="561">
        <v>0</v>
      </c>
      <c r="H317" s="561">
        <v>0</v>
      </c>
      <c r="I317" s="469">
        <v>0</v>
      </c>
      <c r="J317" s="227">
        <v>0</v>
      </c>
      <c r="K317" s="462">
        <f t="shared" si="31"/>
        <v>0</v>
      </c>
      <c r="L317" s="462">
        <f t="shared" si="32"/>
        <v>0</v>
      </c>
      <c r="M317" s="464">
        <f>SUMIF('Audit entry'!$C:$C,'TB 25-26'!$D317,'Audit entry'!$D:$D)</f>
        <v>0</v>
      </c>
      <c r="N317" s="464">
        <f>SUMIF('Audit entry'!$C:$C,'TB 25-26'!$D317,'Audit entry'!$E:$E)</f>
        <v>0</v>
      </c>
      <c r="O317" s="462">
        <f t="shared" si="33"/>
        <v>0</v>
      </c>
      <c r="P317" s="462">
        <f t="shared" si="34"/>
        <v>0</v>
      </c>
      <c r="Q317" s="478" t="s">
        <v>595</v>
      </c>
      <c r="R317" s="478" t="s">
        <v>1087</v>
      </c>
      <c r="S317" s="465">
        <v>20</v>
      </c>
      <c r="T317" s="465" t="s">
        <v>588</v>
      </c>
    </row>
    <row r="318" spans="1:23" ht="15" hidden="1" customHeight="1">
      <c r="A318" s="543"/>
      <c r="B318" s="543"/>
      <c r="C318" s="475" t="s">
        <v>596</v>
      </c>
      <c r="D318" s="475"/>
      <c r="E318" s="561">
        <v>0</v>
      </c>
      <c r="F318" s="561">
        <v>0</v>
      </c>
      <c r="G318" s="561">
        <f t="shared" si="35"/>
        <v>0</v>
      </c>
      <c r="H318" s="227">
        <f t="shared" si="36"/>
        <v>0</v>
      </c>
      <c r="I318" s="469">
        <v>0</v>
      </c>
      <c r="J318" s="227">
        <v>0</v>
      </c>
      <c r="K318" s="462">
        <f t="shared" si="31"/>
        <v>0</v>
      </c>
      <c r="L318" s="462">
        <f t="shared" si="32"/>
        <v>0</v>
      </c>
      <c r="M318" s="464">
        <f>SUMIF('Audit entry'!$C:$C,'TB 25-26'!$D318,'Audit entry'!$D:$D)</f>
        <v>0</v>
      </c>
      <c r="N318" s="464">
        <f>SUMIF('Audit entry'!$C:$C,'TB 25-26'!$D318,'Audit entry'!$E:$E)</f>
        <v>0</v>
      </c>
      <c r="O318" s="462">
        <f t="shared" si="33"/>
        <v>0</v>
      </c>
      <c r="P318" s="462">
        <f t="shared" si="34"/>
        <v>0</v>
      </c>
      <c r="Q318" s="478"/>
      <c r="R318" s="478"/>
      <c r="V318" s="465"/>
      <c r="W318" s="465"/>
    </row>
    <row r="319" spans="1:23" ht="15" hidden="1" customHeight="1">
      <c r="A319" s="543"/>
      <c r="B319" s="543"/>
      <c r="C319" s="543"/>
      <c r="D319" s="476" t="s">
        <v>597</v>
      </c>
      <c r="E319" s="561">
        <v>0</v>
      </c>
      <c r="F319" s="561">
        <v>0</v>
      </c>
      <c r="G319" s="561">
        <f t="shared" si="35"/>
        <v>0</v>
      </c>
      <c r="H319" s="227">
        <f t="shared" si="36"/>
        <v>0</v>
      </c>
      <c r="I319" s="469">
        <v>0</v>
      </c>
      <c r="J319" s="227">
        <v>0</v>
      </c>
      <c r="K319" s="462">
        <f t="shared" si="31"/>
        <v>0</v>
      </c>
      <c r="L319" s="462">
        <f t="shared" si="32"/>
        <v>0</v>
      </c>
      <c r="M319" s="464">
        <f>SUMIF('Audit entry'!$C:$C,'TB 25-26'!$D319,'Audit entry'!$D:$D)</f>
        <v>0</v>
      </c>
      <c r="N319" s="464">
        <f>SUMIF('Audit entry'!$C:$C,'TB 25-26'!$D319,'Audit entry'!$E:$E)</f>
        <v>0</v>
      </c>
      <c r="O319" s="462">
        <f t="shared" si="33"/>
        <v>0</v>
      </c>
      <c r="P319" s="462">
        <f t="shared" si="34"/>
        <v>0</v>
      </c>
      <c r="Q319" s="478"/>
      <c r="R319" s="478"/>
      <c r="V319" s="465"/>
      <c r="W319" s="465"/>
    </row>
    <row r="320" spans="1:23" ht="15" hidden="1" customHeight="1">
      <c r="A320" s="543"/>
      <c r="B320" s="543"/>
      <c r="C320" s="475" t="s">
        <v>598</v>
      </c>
      <c r="D320" s="475"/>
      <c r="E320" s="561">
        <v>0</v>
      </c>
      <c r="F320" s="561">
        <v>0</v>
      </c>
      <c r="G320" s="561">
        <f t="shared" si="35"/>
        <v>0</v>
      </c>
      <c r="H320" s="227">
        <f t="shared" si="36"/>
        <v>0</v>
      </c>
      <c r="I320" s="469">
        <v>0</v>
      </c>
      <c r="J320" s="227">
        <v>0</v>
      </c>
      <c r="K320" s="462">
        <f t="shared" si="31"/>
        <v>0</v>
      </c>
      <c r="L320" s="462">
        <f t="shared" si="32"/>
        <v>0</v>
      </c>
      <c r="M320" s="464">
        <f>SUMIF('Audit entry'!$C:$C,'TB 25-26'!$D320,'Audit entry'!$D:$D)</f>
        <v>0</v>
      </c>
      <c r="N320" s="464">
        <f>SUMIF('Audit entry'!$C:$C,'TB 25-26'!$D320,'Audit entry'!$E:$E)</f>
        <v>0</v>
      </c>
      <c r="O320" s="462">
        <f t="shared" si="33"/>
        <v>0</v>
      </c>
      <c r="P320" s="462">
        <f t="shared" si="34"/>
        <v>0</v>
      </c>
      <c r="Q320" s="478"/>
      <c r="R320" s="478"/>
      <c r="V320" s="465"/>
      <c r="W320" s="465"/>
    </row>
    <row r="321" spans="1:23" ht="15" hidden="1" customHeight="1">
      <c r="A321" s="543"/>
      <c r="B321" s="543"/>
      <c r="C321" s="543"/>
      <c r="D321" s="476" t="s">
        <v>599</v>
      </c>
      <c r="E321" s="561">
        <v>0</v>
      </c>
      <c r="F321" s="561">
        <v>0</v>
      </c>
      <c r="G321" s="561">
        <v>0</v>
      </c>
      <c r="H321" s="561">
        <v>0</v>
      </c>
      <c r="I321" s="469">
        <v>0</v>
      </c>
      <c r="J321" s="227">
        <v>0</v>
      </c>
      <c r="K321" s="462">
        <f t="shared" si="31"/>
        <v>0</v>
      </c>
      <c r="L321" s="462">
        <f t="shared" si="32"/>
        <v>0</v>
      </c>
      <c r="M321" s="464">
        <f>SUMIF('Audit entry'!$C:$C,'TB 25-26'!$D321,'Audit entry'!$D:$D)</f>
        <v>0</v>
      </c>
      <c r="N321" s="464">
        <f>SUMIF('Audit entry'!$C:$C,'TB 25-26'!$D321,'Audit entry'!$E:$E)</f>
        <v>0</v>
      </c>
      <c r="O321" s="462">
        <f t="shared" si="33"/>
        <v>0</v>
      </c>
      <c r="P321" s="462">
        <f t="shared" si="34"/>
        <v>0</v>
      </c>
      <c r="Q321" s="478" t="s">
        <v>600</v>
      </c>
      <c r="R321" s="478" t="s">
        <v>1087</v>
      </c>
      <c r="S321" s="465">
        <v>20</v>
      </c>
      <c r="T321" s="465" t="s">
        <v>401</v>
      </c>
      <c r="U321" s="465" t="s">
        <v>600</v>
      </c>
    </row>
    <row r="322" spans="1:23" ht="15" hidden="1" customHeight="1">
      <c r="A322" s="543"/>
      <c r="B322" s="543"/>
      <c r="C322" s="543"/>
      <c r="D322" s="476" t="s">
        <v>601</v>
      </c>
      <c r="E322" s="561">
        <v>386590.70333333331</v>
      </c>
      <c r="F322" s="561">
        <v>0</v>
      </c>
      <c r="G322" s="561">
        <v>0</v>
      </c>
      <c r="H322" s="561">
        <v>0</v>
      </c>
      <c r="I322" s="469">
        <v>513647.19</v>
      </c>
      <c r="J322" s="227">
        <v>0</v>
      </c>
      <c r="K322" s="462">
        <f t="shared" si="31"/>
        <v>513647.19</v>
      </c>
      <c r="L322" s="462">
        <f t="shared" si="32"/>
        <v>0</v>
      </c>
      <c r="M322" s="464">
        <f>SUMIF('Audit entry'!$C:$C,'TB 25-26'!$D322,'Audit entry'!$D:$D)</f>
        <v>130788.226666667</v>
      </c>
      <c r="N322" s="464">
        <f>SUMIF('Audit entry'!$C:$C,'TB 25-26'!$D322,'Audit entry'!$E:$E)</f>
        <v>180753.41250000001</v>
      </c>
      <c r="O322" s="462">
        <f t="shared" si="33"/>
        <v>463682.004166667</v>
      </c>
      <c r="P322" s="462">
        <f t="shared" si="34"/>
        <v>0</v>
      </c>
      <c r="Q322" s="478" t="s">
        <v>600</v>
      </c>
      <c r="R322" s="478" t="s">
        <v>1087</v>
      </c>
      <c r="S322" s="465">
        <v>20</v>
      </c>
      <c r="T322" s="465" t="s">
        <v>401</v>
      </c>
      <c r="U322" s="465" t="s">
        <v>600</v>
      </c>
    </row>
    <row r="323" spans="1:23" ht="15" hidden="1" customHeight="1">
      <c r="A323" s="543"/>
      <c r="B323" s="543"/>
      <c r="C323" s="543"/>
      <c r="D323" s="476" t="s">
        <v>602</v>
      </c>
      <c r="E323" s="561">
        <v>0</v>
      </c>
      <c r="F323" s="561">
        <v>0</v>
      </c>
      <c r="G323" s="561">
        <v>0</v>
      </c>
      <c r="H323" s="561">
        <v>0</v>
      </c>
      <c r="I323" s="469">
        <v>0</v>
      </c>
      <c r="J323" s="227">
        <v>0</v>
      </c>
      <c r="K323" s="462">
        <f t="shared" si="31"/>
        <v>0</v>
      </c>
      <c r="L323" s="462">
        <f t="shared" si="32"/>
        <v>0</v>
      </c>
      <c r="M323" s="464">
        <f>SUMIF('Audit entry'!$C:$C,'TB 25-26'!$D323,'Audit entry'!$D:$D)</f>
        <v>0</v>
      </c>
      <c r="N323" s="464">
        <f>SUMIF('Audit entry'!$C:$C,'TB 25-26'!$D323,'Audit entry'!$E:$E)</f>
        <v>0</v>
      </c>
      <c r="O323" s="462">
        <f t="shared" si="33"/>
        <v>0</v>
      </c>
      <c r="P323" s="462">
        <f t="shared" si="34"/>
        <v>0</v>
      </c>
      <c r="Q323" s="478" t="s">
        <v>556</v>
      </c>
      <c r="R323" s="478" t="s">
        <v>1087</v>
      </c>
      <c r="S323" s="465">
        <v>20</v>
      </c>
      <c r="T323" s="465" t="s">
        <v>401</v>
      </c>
      <c r="U323" s="465" t="s">
        <v>408</v>
      </c>
    </row>
    <row r="324" spans="1:23" ht="15" hidden="1" customHeight="1">
      <c r="A324" s="543"/>
      <c r="B324" s="475" t="s">
        <v>603</v>
      </c>
      <c r="C324" s="475"/>
      <c r="D324" s="475"/>
      <c r="E324" s="561">
        <v>0</v>
      </c>
      <c r="F324" s="561">
        <v>0</v>
      </c>
      <c r="G324" s="561">
        <f t="shared" si="35"/>
        <v>0</v>
      </c>
      <c r="H324" s="227">
        <f t="shared" si="36"/>
        <v>0</v>
      </c>
      <c r="I324" s="469">
        <v>0</v>
      </c>
      <c r="J324" s="227">
        <v>0</v>
      </c>
      <c r="K324" s="462">
        <f t="shared" si="31"/>
        <v>0</v>
      </c>
      <c r="L324" s="462">
        <f t="shared" si="32"/>
        <v>0</v>
      </c>
      <c r="M324" s="464">
        <f>SUMIF('Audit entry'!$C:$C,'TB 25-26'!$D324,'Audit entry'!$D:$D)</f>
        <v>0</v>
      </c>
      <c r="N324" s="464">
        <f>SUMIF('Audit entry'!$C:$C,'TB 25-26'!$D324,'Audit entry'!$E:$E)</f>
        <v>0</v>
      </c>
      <c r="O324" s="462">
        <f t="shared" si="33"/>
        <v>0</v>
      </c>
      <c r="P324" s="462">
        <f t="shared" si="34"/>
        <v>0</v>
      </c>
      <c r="V324" s="465"/>
      <c r="W324" s="465"/>
    </row>
    <row r="325" spans="1:23" ht="15" hidden="1" customHeight="1">
      <c r="A325" s="543"/>
      <c r="B325" s="543"/>
      <c r="C325" s="475" t="s">
        <v>604</v>
      </c>
      <c r="D325" s="475"/>
      <c r="E325" s="561">
        <v>0</v>
      </c>
      <c r="F325" s="561">
        <v>0</v>
      </c>
      <c r="G325" s="561">
        <f t="shared" si="35"/>
        <v>0</v>
      </c>
      <c r="H325" s="227">
        <f t="shared" si="36"/>
        <v>0</v>
      </c>
      <c r="I325" s="469">
        <v>0</v>
      </c>
      <c r="J325" s="227">
        <v>0</v>
      </c>
      <c r="K325" s="462">
        <f t="shared" si="31"/>
        <v>0</v>
      </c>
      <c r="L325" s="462">
        <f t="shared" si="32"/>
        <v>0</v>
      </c>
      <c r="M325" s="464">
        <f>SUMIF('Audit entry'!$C:$C,'TB 25-26'!$D325,'Audit entry'!$D:$D)</f>
        <v>0</v>
      </c>
      <c r="N325" s="464">
        <f>SUMIF('Audit entry'!$C:$C,'TB 25-26'!$D325,'Audit entry'!$E:$E)</f>
        <v>0</v>
      </c>
      <c r="O325" s="462">
        <f t="shared" si="33"/>
        <v>0</v>
      </c>
      <c r="P325" s="462">
        <f t="shared" si="34"/>
        <v>0</v>
      </c>
      <c r="V325" s="465"/>
      <c r="W325" s="465"/>
    </row>
    <row r="326" spans="1:23" ht="15" hidden="1" customHeight="1">
      <c r="A326" s="543"/>
      <c r="B326" s="543"/>
      <c r="C326" s="543"/>
      <c r="D326" s="476" t="s">
        <v>605</v>
      </c>
      <c r="E326" s="561">
        <v>49176.93</v>
      </c>
      <c r="F326" s="561">
        <v>0</v>
      </c>
      <c r="G326" s="561">
        <v>0</v>
      </c>
      <c r="H326" s="561">
        <v>0</v>
      </c>
      <c r="I326" s="469">
        <v>0</v>
      </c>
      <c r="J326" s="227">
        <v>0</v>
      </c>
      <c r="K326" s="462">
        <f t="shared" si="31"/>
        <v>0</v>
      </c>
      <c r="L326" s="462">
        <f t="shared" si="32"/>
        <v>0</v>
      </c>
      <c r="M326" s="464">
        <f>SUMIF('Audit entry'!$C:$C,'TB 25-26'!$D326,'Audit entry'!$D:$D)</f>
        <v>90412</v>
      </c>
      <c r="N326" s="464">
        <f>SUMIF('Audit entry'!$C:$C,'TB 25-26'!$D326,'Audit entry'!$E:$E)</f>
        <v>0</v>
      </c>
      <c r="O326" s="462">
        <f t="shared" si="33"/>
        <v>90412</v>
      </c>
      <c r="P326" s="462">
        <f t="shared" si="34"/>
        <v>0</v>
      </c>
      <c r="Q326" s="465" t="s">
        <v>107</v>
      </c>
      <c r="R326" s="465" t="s">
        <v>1087</v>
      </c>
      <c r="S326" s="465">
        <v>9</v>
      </c>
      <c r="T326" s="465" t="s">
        <v>107</v>
      </c>
      <c r="V326" s="465"/>
      <c r="W326" s="465"/>
    </row>
    <row r="327" spans="1:23" ht="15" hidden="1" customHeight="1">
      <c r="A327" s="543"/>
      <c r="B327" s="543"/>
      <c r="C327" s="543"/>
      <c r="D327" s="476" t="s">
        <v>606</v>
      </c>
      <c r="E327" s="561">
        <v>30063.39</v>
      </c>
      <c r="F327" s="561">
        <v>0</v>
      </c>
      <c r="G327" s="561">
        <v>0</v>
      </c>
      <c r="H327" s="561">
        <v>0</v>
      </c>
      <c r="I327" s="469">
        <v>0</v>
      </c>
      <c r="J327" s="227">
        <v>0</v>
      </c>
      <c r="K327" s="462">
        <f t="shared" si="31"/>
        <v>0</v>
      </c>
      <c r="L327" s="462">
        <f t="shared" si="32"/>
        <v>0</v>
      </c>
      <c r="M327" s="464">
        <f>SUMIF('Audit entry'!$C:$C,'TB 25-26'!$D327,'Audit entry'!$D:$D)</f>
        <v>19308</v>
      </c>
      <c r="N327" s="464">
        <f>SUMIF('Audit entry'!$C:$C,'TB 25-26'!$D327,'Audit entry'!$E:$E)</f>
        <v>0</v>
      </c>
      <c r="O327" s="462">
        <f t="shared" si="33"/>
        <v>19308</v>
      </c>
      <c r="P327" s="462">
        <f t="shared" si="34"/>
        <v>0</v>
      </c>
      <c r="Q327" s="465" t="s">
        <v>107</v>
      </c>
      <c r="R327" s="465" t="s">
        <v>1087</v>
      </c>
      <c r="S327" s="465">
        <v>9</v>
      </c>
      <c r="T327" s="465" t="s">
        <v>107</v>
      </c>
      <c r="V327" s="465"/>
      <c r="W327" s="465"/>
    </row>
    <row r="328" spans="1:23" ht="15" hidden="1" customHeight="1">
      <c r="A328" s="543"/>
      <c r="B328" s="543"/>
      <c r="C328" s="543"/>
      <c r="D328" s="476" t="s">
        <v>607</v>
      </c>
      <c r="E328" s="561">
        <v>31560.560000000001</v>
      </c>
      <c r="F328" s="561">
        <v>0</v>
      </c>
      <c r="G328" s="561">
        <v>0</v>
      </c>
      <c r="H328" s="561">
        <v>0</v>
      </c>
      <c r="I328" s="469">
        <v>0</v>
      </c>
      <c r="J328" s="227">
        <v>0</v>
      </c>
      <c r="K328" s="462">
        <f t="shared" si="31"/>
        <v>0</v>
      </c>
      <c r="L328" s="462">
        <f t="shared" si="32"/>
        <v>0</v>
      </c>
      <c r="M328" s="464">
        <f>SUMIF('Audit entry'!$C:$C,'TB 25-26'!$D328,'Audit entry'!$D:$D)</f>
        <v>32819</v>
      </c>
      <c r="N328" s="464">
        <f>SUMIF('Audit entry'!$C:$C,'TB 25-26'!$D328,'Audit entry'!$E:$E)</f>
        <v>0</v>
      </c>
      <c r="O328" s="462">
        <f t="shared" si="33"/>
        <v>32819</v>
      </c>
      <c r="P328" s="462">
        <f t="shared" si="34"/>
        <v>0</v>
      </c>
      <c r="Q328" s="465" t="s">
        <v>107</v>
      </c>
      <c r="R328" s="465" t="s">
        <v>1087</v>
      </c>
      <c r="S328" s="465">
        <v>9</v>
      </c>
      <c r="T328" s="465" t="s">
        <v>107</v>
      </c>
      <c r="V328" s="465"/>
      <c r="W328" s="465"/>
    </row>
    <row r="329" spans="1:23" ht="15" hidden="1" customHeight="1">
      <c r="A329" s="543"/>
      <c r="B329" s="543"/>
      <c r="C329" s="543"/>
      <c r="D329" s="476" t="s">
        <v>608</v>
      </c>
      <c r="E329" s="561">
        <v>0</v>
      </c>
      <c r="F329" s="561">
        <v>0</v>
      </c>
      <c r="G329" s="561">
        <v>0</v>
      </c>
      <c r="H329" s="561">
        <v>0</v>
      </c>
      <c r="I329" s="469">
        <v>0</v>
      </c>
      <c r="J329" s="227">
        <v>0</v>
      </c>
      <c r="K329" s="462">
        <f t="shared" si="31"/>
        <v>0</v>
      </c>
      <c r="L329" s="462">
        <f t="shared" si="32"/>
        <v>0</v>
      </c>
      <c r="M329" s="464">
        <f>SUMIF('Audit entry'!$C:$C,'TB 25-26'!$D329,'Audit entry'!$D:$D)</f>
        <v>0</v>
      </c>
      <c r="N329" s="464">
        <f>SUMIF('Audit entry'!$C:$C,'TB 25-26'!$D329,'Audit entry'!$E:$E)</f>
        <v>0</v>
      </c>
      <c r="O329" s="462">
        <f t="shared" si="33"/>
        <v>0</v>
      </c>
      <c r="P329" s="462">
        <f t="shared" si="34"/>
        <v>0</v>
      </c>
      <c r="Q329" s="465" t="s">
        <v>107</v>
      </c>
      <c r="R329" s="465" t="s">
        <v>1087</v>
      </c>
      <c r="S329" s="465">
        <v>9</v>
      </c>
      <c r="T329" s="465" t="s">
        <v>107</v>
      </c>
      <c r="V329" s="465"/>
      <c r="W329" s="465"/>
    </row>
    <row r="330" spans="1:23" ht="15" hidden="1" customHeight="1">
      <c r="A330" s="543"/>
      <c r="B330" s="543"/>
      <c r="C330" s="543"/>
      <c r="D330" s="476" t="s">
        <v>609</v>
      </c>
      <c r="E330" s="561">
        <v>22733.66</v>
      </c>
      <c r="F330" s="561">
        <v>0</v>
      </c>
      <c r="G330" s="561">
        <v>0</v>
      </c>
      <c r="H330" s="561">
        <v>0</v>
      </c>
      <c r="I330" s="469">
        <v>0</v>
      </c>
      <c r="J330" s="227">
        <v>0</v>
      </c>
      <c r="K330" s="462">
        <f t="shared" si="31"/>
        <v>0</v>
      </c>
      <c r="L330" s="462">
        <f t="shared" si="32"/>
        <v>0</v>
      </c>
      <c r="M330" s="464">
        <f>SUMIF('Audit entry'!$C:$C,'TB 25-26'!$D330,'Audit entry'!$D:$D)</f>
        <v>22039</v>
      </c>
      <c r="N330" s="464">
        <f>SUMIF('Audit entry'!$C:$C,'TB 25-26'!$D330,'Audit entry'!$E:$E)</f>
        <v>0</v>
      </c>
      <c r="O330" s="462">
        <f t="shared" si="33"/>
        <v>22039</v>
      </c>
      <c r="P330" s="462">
        <f t="shared" si="34"/>
        <v>0</v>
      </c>
      <c r="Q330" s="465" t="s">
        <v>107</v>
      </c>
      <c r="R330" s="465" t="s">
        <v>1087</v>
      </c>
      <c r="S330" s="465">
        <v>9</v>
      </c>
      <c r="T330" s="465" t="s">
        <v>107</v>
      </c>
      <c r="V330" s="465"/>
      <c r="W330" s="465"/>
    </row>
    <row r="331" spans="1:23" ht="15" hidden="1" customHeight="1">
      <c r="A331" s="543"/>
      <c r="B331" s="543"/>
      <c r="C331" s="543"/>
      <c r="D331" s="476" t="s">
        <v>610</v>
      </c>
      <c r="E331" s="561">
        <v>136364.39000000001</v>
      </c>
      <c r="F331" s="561">
        <v>0</v>
      </c>
      <c r="G331" s="561">
        <v>0</v>
      </c>
      <c r="H331" s="561">
        <v>0</v>
      </c>
      <c r="I331" s="469">
        <v>0</v>
      </c>
      <c r="J331" s="227">
        <v>0</v>
      </c>
      <c r="K331" s="462">
        <f t="shared" si="31"/>
        <v>0</v>
      </c>
      <c r="L331" s="462">
        <f t="shared" si="32"/>
        <v>0</v>
      </c>
      <c r="M331" s="464">
        <f>SUMIF('Audit entry'!$C:$C,'TB 25-26'!$D331,'Audit entry'!$D:$D)</f>
        <v>99731</v>
      </c>
      <c r="N331" s="464">
        <f>SUMIF('Audit entry'!$C:$C,'TB 25-26'!$D331,'Audit entry'!$E:$E)</f>
        <v>0</v>
      </c>
      <c r="O331" s="462">
        <f t="shared" si="33"/>
        <v>99731</v>
      </c>
      <c r="P331" s="462">
        <f t="shared" si="34"/>
        <v>0</v>
      </c>
      <c r="Q331" s="465" t="s">
        <v>107</v>
      </c>
      <c r="R331" s="465" t="s">
        <v>1087</v>
      </c>
      <c r="S331" s="465">
        <v>9</v>
      </c>
      <c r="T331" s="465" t="s">
        <v>107</v>
      </c>
      <c r="V331" s="465"/>
      <c r="W331" s="465"/>
    </row>
    <row r="332" spans="1:23" ht="15" hidden="1" customHeight="1">
      <c r="A332" s="543"/>
      <c r="B332" s="543"/>
      <c r="C332" s="543"/>
      <c r="D332" s="476" t="s">
        <v>611</v>
      </c>
      <c r="E332" s="561">
        <v>0</v>
      </c>
      <c r="F332" s="561">
        <v>0</v>
      </c>
      <c r="G332" s="561">
        <v>0</v>
      </c>
      <c r="H332" s="561">
        <v>0</v>
      </c>
      <c r="I332" s="469">
        <v>0</v>
      </c>
      <c r="J332" s="227">
        <v>0</v>
      </c>
      <c r="K332" s="462">
        <f t="shared" ref="K332:K343" si="37">+IF((G332+I332-H332-J332&gt;0),G332+I332-H332-J332,0)</f>
        <v>0</v>
      </c>
      <c r="L332" s="462">
        <f t="shared" ref="L332:L343" si="38">+IF((H332+J332-G332-I332)&gt;0,H332+J332-G332-I332,0)</f>
        <v>0</v>
      </c>
      <c r="M332" s="464">
        <f>SUMIF('Audit entry'!$C:$C,'TB 25-26'!$D332,'Audit entry'!$D:$D)</f>
        <v>0</v>
      </c>
      <c r="N332" s="464">
        <f>SUMIF('Audit entry'!$C:$C,'TB 25-26'!$D332,'Audit entry'!$E:$E)</f>
        <v>0</v>
      </c>
      <c r="O332" s="462">
        <f t="shared" ref="O332:O343" si="39">+IF((K332+M332-L332-N332&gt;0),K332+M332-L332-N332,0)/Deno</f>
        <v>0</v>
      </c>
      <c r="P332" s="462">
        <f t="shared" ref="P332:P343" si="40">+IF((L332+N332-K332-M332)&gt;0,L332+N332-K332-M332,0)/Deno</f>
        <v>0</v>
      </c>
      <c r="Q332" s="465" t="s">
        <v>107</v>
      </c>
      <c r="R332" s="465" t="s">
        <v>1087</v>
      </c>
      <c r="S332" s="465">
        <v>9</v>
      </c>
      <c r="T332" s="465" t="s">
        <v>107</v>
      </c>
      <c r="V332" s="465"/>
      <c r="W332" s="465"/>
    </row>
    <row r="333" spans="1:23" ht="15" hidden="1" customHeight="1">
      <c r="A333" s="543"/>
      <c r="B333" s="475" t="s">
        <v>612</v>
      </c>
      <c r="C333" s="475"/>
      <c r="D333" s="475"/>
      <c r="E333" s="561">
        <v>0</v>
      </c>
      <c r="F333" s="561">
        <v>0</v>
      </c>
      <c r="G333" s="561">
        <f t="shared" ref="G333:G343" si="41">+E333</f>
        <v>0</v>
      </c>
      <c r="H333" s="227">
        <f t="shared" ref="H333:H343" si="42">+F333</f>
        <v>0</v>
      </c>
      <c r="I333" s="469">
        <v>0</v>
      </c>
      <c r="J333" s="227">
        <v>0</v>
      </c>
      <c r="K333" s="462">
        <f t="shared" si="37"/>
        <v>0</v>
      </c>
      <c r="L333" s="462">
        <f t="shared" si="38"/>
        <v>0</v>
      </c>
      <c r="M333" s="464">
        <f>SUMIF('Audit entry'!$C:$C,'TB 25-26'!$D333,'Audit entry'!$D:$D)</f>
        <v>0</v>
      </c>
      <c r="N333" s="464">
        <f>SUMIF('Audit entry'!$C:$C,'TB 25-26'!$D333,'Audit entry'!$E:$E)</f>
        <v>0</v>
      </c>
      <c r="O333" s="462">
        <f t="shared" si="39"/>
        <v>0</v>
      </c>
      <c r="P333" s="462">
        <f t="shared" si="40"/>
        <v>0</v>
      </c>
      <c r="V333" s="465"/>
      <c r="W333" s="465"/>
    </row>
    <row r="334" spans="1:23" ht="15" hidden="1" customHeight="1">
      <c r="A334" s="543"/>
      <c r="B334" s="543"/>
      <c r="C334" s="475" t="s">
        <v>612</v>
      </c>
      <c r="D334" s="475"/>
      <c r="E334" s="561">
        <v>0</v>
      </c>
      <c r="F334" s="561">
        <v>0</v>
      </c>
      <c r="G334" s="561">
        <f t="shared" si="41"/>
        <v>0</v>
      </c>
      <c r="H334" s="227">
        <f t="shared" si="42"/>
        <v>0</v>
      </c>
      <c r="I334" s="469">
        <v>0</v>
      </c>
      <c r="J334" s="227">
        <v>0</v>
      </c>
      <c r="K334" s="462">
        <f t="shared" si="37"/>
        <v>0</v>
      </c>
      <c r="L334" s="462">
        <f t="shared" si="38"/>
        <v>0</v>
      </c>
      <c r="M334" s="464">
        <f>SUMIF('Audit entry'!$C:$C,'TB 25-26'!$D334,'Audit entry'!$D:$D)</f>
        <v>0</v>
      </c>
      <c r="N334" s="464">
        <f>SUMIF('Audit entry'!$C:$C,'TB 25-26'!$D334,'Audit entry'!$E:$E)</f>
        <v>0</v>
      </c>
      <c r="O334" s="462">
        <f t="shared" si="39"/>
        <v>0</v>
      </c>
      <c r="P334" s="462">
        <f t="shared" si="40"/>
        <v>0</v>
      </c>
      <c r="V334" s="465"/>
      <c r="W334" s="465"/>
    </row>
    <row r="335" spans="1:23" ht="15" hidden="1" customHeight="1">
      <c r="A335" s="543"/>
      <c r="B335" s="543"/>
      <c r="C335" s="543"/>
      <c r="D335" s="476" t="s">
        <v>612</v>
      </c>
      <c r="E335" s="561">
        <v>3097387.1700000009</v>
      </c>
      <c r="F335" s="561">
        <v>0</v>
      </c>
      <c r="G335" s="561">
        <v>0</v>
      </c>
      <c r="H335" s="561">
        <v>0</v>
      </c>
      <c r="I335" s="469">
        <v>0</v>
      </c>
      <c r="J335" s="227">
        <v>0</v>
      </c>
      <c r="K335" s="462">
        <f t="shared" si="37"/>
        <v>0</v>
      </c>
      <c r="L335" s="462">
        <f t="shared" si="38"/>
        <v>0</v>
      </c>
      <c r="M335" s="464">
        <f>SUMIF('Audit entry'!$C:$C,'TB 25-26'!$D335,'Audit entry'!$D:$D)</f>
        <v>47363.909999999974</v>
      </c>
      <c r="N335" s="464">
        <f>SUMIF('Audit entry'!$C:$C,'TB 25-26'!$D335,'Audit entry'!$E:$E)</f>
        <v>0</v>
      </c>
      <c r="O335" s="462">
        <f t="shared" si="39"/>
        <v>47363.909999999974</v>
      </c>
      <c r="P335" s="462">
        <f t="shared" si="40"/>
        <v>0</v>
      </c>
      <c r="Q335" s="465" t="s">
        <v>613</v>
      </c>
      <c r="R335" s="465" t="s">
        <v>1087</v>
      </c>
      <c r="S335" s="465">
        <v>20</v>
      </c>
      <c r="T335" s="465" t="s">
        <v>401</v>
      </c>
      <c r="U335" s="465" t="s">
        <v>408</v>
      </c>
    </row>
    <row r="336" spans="1:23" ht="15" hidden="1" customHeight="1">
      <c r="A336" s="543"/>
      <c r="B336" s="543"/>
      <c r="C336" s="543"/>
      <c r="D336" s="476" t="s">
        <v>614</v>
      </c>
      <c r="E336" s="561">
        <v>0</v>
      </c>
      <c r="F336" s="561">
        <v>0</v>
      </c>
      <c r="G336" s="561">
        <v>0</v>
      </c>
      <c r="H336" s="561">
        <v>0</v>
      </c>
      <c r="I336" s="469">
        <v>0</v>
      </c>
      <c r="J336" s="227">
        <v>0</v>
      </c>
      <c r="K336" s="462">
        <f t="shared" si="37"/>
        <v>0</v>
      </c>
      <c r="L336" s="462">
        <f t="shared" si="38"/>
        <v>0</v>
      </c>
      <c r="M336" s="464">
        <f>SUMIF('Audit entry'!$C:$C,'TB 25-26'!$D336,'Audit entry'!$D:$D)</f>
        <v>0</v>
      </c>
      <c r="N336" s="464">
        <f>SUMIF('Audit entry'!$C:$C,'TB 25-26'!$D336,'Audit entry'!$E:$E)</f>
        <v>0</v>
      </c>
      <c r="O336" s="462">
        <f t="shared" si="39"/>
        <v>0</v>
      </c>
      <c r="P336" s="462">
        <f t="shared" si="40"/>
        <v>0</v>
      </c>
      <c r="Q336" s="465" t="s">
        <v>613</v>
      </c>
      <c r="R336" s="465" t="s">
        <v>1087</v>
      </c>
      <c r="S336" s="465">
        <v>20</v>
      </c>
      <c r="T336" s="465" t="s">
        <v>401</v>
      </c>
      <c r="U336" s="465" t="s">
        <v>408</v>
      </c>
    </row>
    <row r="337" spans="1:23" ht="15" hidden="1" customHeight="1">
      <c r="A337" s="543"/>
      <c r="B337" s="475" t="s">
        <v>397</v>
      </c>
      <c r="C337" s="475"/>
      <c r="D337" s="475"/>
      <c r="E337" s="561">
        <v>0</v>
      </c>
      <c r="F337" s="561">
        <v>0</v>
      </c>
      <c r="G337" s="561">
        <f t="shared" si="41"/>
        <v>0</v>
      </c>
      <c r="H337" s="227">
        <f t="shared" si="42"/>
        <v>0</v>
      </c>
      <c r="I337" s="469">
        <v>0</v>
      </c>
      <c r="J337" s="227">
        <v>0</v>
      </c>
      <c r="K337" s="462">
        <f t="shared" si="37"/>
        <v>0</v>
      </c>
      <c r="L337" s="462">
        <f t="shared" si="38"/>
        <v>0</v>
      </c>
      <c r="M337" s="464">
        <f>SUMIF('Audit entry'!$C:$C,'TB 25-26'!$D337,'Audit entry'!$D:$D)</f>
        <v>0</v>
      </c>
      <c r="N337" s="464">
        <f>SUMIF('Audit entry'!$C:$C,'TB 25-26'!$D337,'Audit entry'!$E:$E)</f>
        <v>0</v>
      </c>
      <c r="O337" s="462">
        <f t="shared" si="39"/>
        <v>0</v>
      </c>
      <c r="P337" s="462">
        <f t="shared" si="40"/>
        <v>0</v>
      </c>
      <c r="V337" s="465"/>
      <c r="W337" s="465"/>
    </row>
    <row r="338" spans="1:23" ht="15" hidden="1" customHeight="1">
      <c r="A338" s="543"/>
      <c r="B338" s="543"/>
      <c r="C338" s="475" t="s">
        <v>397</v>
      </c>
      <c r="D338" s="475"/>
      <c r="E338" s="561">
        <v>0</v>
      </c>
      <c r="F338" s="561">
        <v>0</v>
      </c>
      <c r="G338" s="561">
        <f t="shared" si="41"/>
        <v>0</v>
      </c>
      <c r="H338" s="227">
        <f t="shared" si="42"/>
        <v>0</v>
      </c>
      <c r="I338" s="469">
        <v>0</v>
      </c>
      <c r="J338" s="227">
        <v>0</v>
      </c>
      <c r="K338" s="462">
        <f t="shared" si="37"/>
        <v>0</v>
      </c>
      <c r="L338" s="462">
        <f t="shared" si="38"/>
        <v>0</v>
      </c>
      <c r="M338" s="464">
        <f>SUMIF('Audit entry'!$C:$C,'TB 25-26'!$D338,'Audit entry'!$D:$D)</f>
        <v>0</v>
      </c>
      <c r="N338" s="464">
        <f>SUMIF('Audit entry'!$C:$C,'TB 25-26'!$D338,'Audit entry'!$E:$E)</f>
        <v>0</v>
      </c>
      <c r="O338" s="462">
        <f t="shared" si="39"/>
        <v>0</v>
      </c>
      <c r="P338" s="462">
        <f t="shared" si="40"/>
        <v>0</v>
      </c>
      <c r="V338" s="465"/>
      <c r="W338" s="465"/>
    </row>
    <row r="339" spans="1:23" ht="15" hidden="1" customHeight="1">
      <c r="A339" s="543"/>
      <c r="B339" s="543"/>
      <c r="C339" s="543"/>
      <c r="D339" s="476" t="s">
        <v>615</v>
      </c>
      <c r="E339" s="561">
        <v>0</v>
      </c>
      <c r="F339" s="561">
        <v>0</v>
      </c>
      <c r="G339" s="561">
        <v>0</v>
      </c>
      <c r="H339" s="561">
        <v>0</v>
      </c>
      <c r="I339" s="469">
        <v>0</v>
      </c>
      <c r="J339" s="227">
        <v>0</v>
      </c>
      <c r="K339" s="462">
        <f t="shared" si="37"/>
        <v>0</v>
      </c>
      <c r="L339" s="462">
        <f t="shared" si="38"/>
        <v>0</v>
      </c>
      <c r="M339" s="464">
        <f>SUMIF('Audit entry'!$C:$C,'TB 25-26'!$D339,'Audit entry'!$D:$D)</f>
        <v>0</v>
      </c>
      <c r="N339" s="464">
        <f>SUMIF('Audit entry'!$C:$C,'TB 25-26'!$D339,'Audit entry'!$E:$E)</f>
        <v>0</v>
      </c>
      <c r="O339" s="462">
        <f t="shared" si="39"/>
        <v>0</v>
      </c>
      <c r="P339" s="462">
        <f t="shared" si="40"/>
        <v>0</v>
      </c>
      <c r="Q339" s="465" t="s">
        <v>616</v>
      </c>
      <c r="R339" s="465" t="s">
        <v>1087</v>
      </c>
      <c r="S339" s="465">
        <v>20</v>
      </c>
      <c r="T339" s="465" t="s">
        <v>401</v>
      </c>
      <c r="U339" s="465" t="s">
        <v>616</v>
      </c>
    </row>
    <row r="340" spans="1:23" ht="15" hidden="1" customHeight="1">
      <c r="A340" s="543"/>
      <c r="B340" s="475" t="s">
        <v>617</v>
      </c>
      <c r="C340" s="475"/>
      <c r="D340" s="475"/>
      <c r="E340" s="561">
        <v>0</v>
      </c>
      <c r="F340" s="561">
        <v>0</v>
      </c>
      <c r="G340" s="561">
        <f t="shared" si="41"/>
        <v>0</v>
      </c>
      <c r="H340" s="227">
        <f t="shared" si="42"/>
        <v>0</v>
      </c>
      <c r="I340" s="469">
        <v>0</v>
      </c>
      <c r="J340" s="227">
        <v>0</v>
      </c>
      <c r="K340" s="462">
        <f t="shared" si="37"/>
        <v>0</v>
      </c>
      <c r="L340" s="462">
        <f t="shared" si="38"/>
        <v>0</v>
      </c>
      <c r="M340" s="464">
        <f>SUMIF('Audit entry'!$C:$C,'TB 25-26'!$D340,'Audit entry'!$D:$D)</f>
        <v>0</v>
      </c>
      <c r="N340" s="464">
        <f>SUMIF('Audit entry'!$C:$C,'TB 25-26'!$D340,'Audit entry'!$E:$E)</f>
        <v>0</v>
      </c>
      <c r="O340" s="462">
        <f t="shared" si="39"/>
        <v>0</v>
      </c>
      <c r="P340" s="462">
        <f t="shared" si="40"/>
        <v>0</v>
      </c>
      <c r="V340" s="465"/>
      <c r="W340" s="465"/>
    </row>
    <row r="341" spans="1:23" hidden="1">
      <c r="A341" s="543"/>
      <c r="B341" s="543"/>
      <c r="C341" s="475" t="s">
        <v>618</v>
      </c>
      <c r="D341" s="475"/>
      <c r="E341" s="561">
        <v>0</v>
      </c>
      <c r="F341" s="561">
        <v>0</v>
      </c>
      <c r="G341" s="561">
        <f t="shared" si="41"/>
        <v>0</v>
      </c>
      <c r="H341" s="227">
        <f t="shared" si="42"/>
        <v>0</v>
      </c>
      <c r="I341" s="469">
        <v>0</v>
      </c>
      <c r="J341" s="227">
        <v>0</v>
      </c>
      <c r="K341" s="462">
        <f t="shared" si="37"/>
        <v>0</v>
      </c>
      <c r="L341" s="462">
        <f t="shared" si="38"/>
        <v>0</v>
      </c>
      <c r="M341" s="464">
        <f>SUMIF('Audit entry'!$C:$C,'TB 25-26'!$D341,'Audit entry'!$D:$D)</f>
        <v>0</v>
      </c>
      <c r="N341" s="464">
        <f>SUMIF('Audit entry'!$C:$C,'TB 25-26'!$D341,'Audit entry'!$E:$E)</f>
        <v>0</v>
      </c>
      <c r="O341" s="462">
        <f t="shared" si="39"/>
        <v>0</v>
      </c>
      <c r="P341" s="462">
        <f t="shared" si="40"/>
        <v>0</v>
      </c>
      <c r="V341" s="465"/>
      <c r="W341" s="465"/>
    </row>
    <row r="342" spans="1:23" hidden="1">
      <c r="A342" s="543"/>
      <c r="B342" s="543"/>
      <c r="C342" s="543"/>
      <c r="D342" s="476" t="s">
        <v>618</v>
      </c>
      <c r="E342" s="561">
        <v>0</v>
      </c>
      <c r="F342" s="561">
        <v>0</v>
      </c>
      <c r="G342" s="561">
        <v>0</v>
      </c>
      <c r="H342" s="561">
        <v>0</v>
      </c>
      <c r="I342" s="469">
        <v>0</v>
      </c>
      <c r="J342" s="227">
        <v>0</v>
      </c>
      <c r="K342" s="462">
        <f t="shared" si="37"/>
        <v>0</v>
      </c>
      <c r="L342" s="462">
        <f t="shared" si="38"/>
        <v>0</v>
      </c>
      <c r="M342" s="464">
        <f>SUMIF('Audit entry'!$C:$C,'TB 25-26'!$D342,'Audit entry'!$D:$D)</f>
        <v>0</v>
      </c>
      <c r="N342" s="464">
        <f>SUMIF('Audit entry'!$C:$C,'TB 25-26'!$D342,'Audit entry'!$E:$E)</f>
        <v>0</v>
      </c>
      <c r="O342" s="462">
        <f t="shared" si="39"/>
        <v>0</v>
      </c>
      <c r="P342" s="462">
        <f t="shared" si="40"/>
        <v>0</v>
      </c>
      <c r="Q342" s="465" t="s">
        <v>619</v>
      </c>
      <c r="R342" s="465" t="s">
        <v>1087</v>
      </c>
      <c r="S342" s="465">
        <v>20</v>
      </c>
      <c r="T342" s="465" t="s">
        <v>401</v>
      </c>
      <c r="U342" s="465" t="s">
        <v>408</v>
      </c>
    </row>
    <row r="343" spans="1:23" hidden="1">
      <c r="D343" s="465" t="s">
        <v>620</v>
      </c>
      <c r="E343" s="561">
        <v>0</v>
      </c>
      <c r="F343" s="561">
        <v>0</v>
      </c>
      <c r="G343" s="561">
        <f t="shared" si="41"/>
        <v>0</v>
      </c>
      <c r="H343" s="227">
        <f t="shared" si="42"/>
        <v>0</v>
      </c>
      <c r="I343" s="469">
        <v>0</v>
      </c>
      <c r="J343" s="227">
        <v>0</v>
      </c>
      <c r="K343" s="462">
        <f t="shared" si="37"/>
        <v>0</v>
      </c>
      <c r="L343" s="462">
        <f t="shared" si="38"/>
        <v>0</v>
      </c>
      <c r="M343" s="464">
        <f>SUMIF('Audit entry'!$C:$C,'TB 25-26'!$D343,'Audit entry'!$D:$D)</f>
        <v>0</v>
      </c>
      <c r="N343" s="464">
        <f>SUMIF('Audit entry'!$C:$C,'TB 25-26'!$D343,'Audit entry'!$E:$E)</f>
        <v>0</v>
      </c>
      <c r="O343" s="462">
        <f t="shared" si="39"/>
        <v>0</v>
      </c>
      <c r="P343" s="462">
        <f t="shared" si="40"/>
        <v>0</v>
      </c>
      <c r="V343" s="465"/>
      <c r="W343" s="465"/>
    </row>
    <row r="344" spans="1:23">
      <c r="E344" s="469"/>
      <c r="F344" s="469"/>
      <c r="G344" s="469"/>
      <c r="H344" s="469"/>
      <c r="I344" s="469"/>
      <c r="J344" s="469"/>
      <c r="K344" s="462"/>
      <c r="L344" s="462"/>
      <c r="M344" s="464"/>
      <c r="N344" s="464"/>
      <c r="O344" s="462"/>
      <c r="P344" s="462"/>
    </row>
    <row r="345" spans="1:23">
      <c r="D345" s="479" t="s">
        <v>621</v>
      </c>
      <c r="E345" s="469">
        <f t="shared" ref="E345:K345" si="43">SUM(E6:E344)</f>
        <v>424064302.53050554</v>
      </c>
      <c r="F345" s="469">
        <f t="shared" si="43"/>
        <v>424064302.52115029</v>
      </c>
      <c r="G345" s="469">
        <f>SUM(G6:G344)</f>
        <v>169341124.15717214</v>
      </c>
      <c r="H345" s="469">
        <f t="shared" si="43"/>
        <v>169341124.15369478</v>
      </c>
      <c r="I345" s="469">
        <f t="shared" si="43"/>
        <v>259026543.39000002</v>
      </c>
      <c r="J345" s="469">
        <f t="shared" si="43"/>
        <v>259026543.39000002</v>
      </c>
      <c r="K345" s="469">
        <f t="shared" si="43"/>
        <v>405207471.34717208</v>
      </c>
      <c r="L345" s="469">
        <f>SUM(L6:L344)</f>
        <v>405207471.34369481</v>
      </c>
      <c r="M345" s="464">
        <f>SUM(M6:M344)</f>
        <v>2861686.9041136759</v>
      </c>
      <c r="N345" s="464">
        <f>SUM(N6:N344)</f>
        <v>2861686.9041136759</v>
      </c>
      <c r="O345" s="469">
        <f>SUM(O6:O344)</f>
        <v>405317699.91211909</v>
      </c>
      <c r="P345" s="469">
        <f>SUM(P6:P344)</f>
        <v>405317699.90864176</v>
      </c>
    </row>
    <row r="347" spans="1:23">
      <c r="P347" s="227">
        <f>+P89-O90</f>
        <v>-40457.789999995264</v>
      </c>
    </row>
    <row r="348" spans="1:23">
      <c r="P348" s="466"/>
    </row>
    <row r="349" spans="1:23">
      <c r="P349" s="466"/>
    </row>
  </sheetData>
  <autoFilter ref="A5:XEI343" xr:uid="{00000000-0001-0000-0100-000000000000}">
    <filterColumn colId="16">
      <filters>
        <filter val="Audit Fee payable"/>
        <filter val="Audit Fees"/>
      </filters>
    </filterColumn>
  </autoFilter>
  <mergeCells count="12">
    <mergeCell ref="E4:F4"/>
    <mergeCell ref="M4:N4"/>
    <mergeCell ref="O3:P3"/>
    <mergeCell ref="O4:P4"/>
    <mergeCell ref="G4:H4"/>
    <mergeCell ref="I4:J4"/>
    <mergeCell ref="K4:L4"/>
    <mergeCell ref="E3:F3"/>
    <mergeCell ref="G3:H3"/>
    <mergeCell ref="I3:J3"/>
    <mergeCell ref="K3:L3"/>
    <mergeCell ref="M3:N3"/>
  </mergeCells>
  <conditionalFormatting sqref="D2:D45 D94:D209 D211:D1048576 D47:D92">
    <cfRule type="duplicateValues" dxfId="4" priority="8"/>
  </conditionalFormatting>
  <conditionalFormatting sqref="D46">
    <cfRule type="duplicateValues" dxfId="3" priority="4"/>
  </conditionalFormatting>
  <conditionalFormatting sqref="D93">
    <cfRule type="duplicateValues" dxfId="2" priority="3"/>
  </conditionalFormatting>
  <conditionalFormatting sqref="D210">
    <cfRule type="duplicateValues" dxfId="1" priority="5"/>
  </conditionalFormatting>
  <conditionalFormatting sqref="U210:XFD210 A210:C210">
    <cfRule type="duplicateValues" dxfId="0" priority="6"/>
  </conditionalFormatting>
  <pageMargins left="0.7" right="0.7" top="0.75" bottom="0.75" header="0.3" footer="0.3"/>
  <pageSetup paperSize="9" orientation="portrait" horizont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60"/>
  <sheetViews>
    <sheetView showGridLines="0" tabSelected="1" view="pageBreakPreview" zoomScaleNormal="95" zoomScaleSheetLayoutView="100" workbookViewId="0">
      <selection activeCell="E35" sqref="E35"/>
    </sheetView>
  </sheetViews>
  <sheetFormatPr defaultColWidth="9.109375" defaultRowHeight="13.8"/>
  <cols>
    <col min="1" max="1" width="55.6640625" style="227" customWidth="1"/>
    <col min="2" max="2" width="9.88671875" style="395" customWidth="1"/>
    <col min="3" max="4" width="20.6640625" style="395" customWidth="1"/>
    <col min="5" max="5" width="19.109375" style="540" bestFit="1" customWidth="1"/>
    <col min="6" max="6" width="20.44140625" style="227" bestFit="1" customWidth="1"/>
    <col min="7" max="7" width="15.77734375" style="227" bestFit="1" customWidth="1"/>
    <col min="8" max="9" width="14.6640625" style="227" bestFit="1" customWidth="1"/>
    <col min="10" max="16384" width="9.109375" style="227"/>
  </cols>
  <sheetData>
    <row r="1" spans="1:5" ht="16.5" customHeight="1">
      <c r="A1" s="610" t="s">
        <v>36</v>
      </c>
      <c r="B1" s="611"/>
      <c r="C1" s="611"/>
      <c r="D1" s="612"/>
      <c r="E1" s="458"/>
    </row>
    <row r="2" spans="1:5" ht="15" customHeight="1">
      <c r="A2" s="613" t="s">
        <v>1069</v>
      </c>
      <c r="B2" s="614"/>
      <c r="C2" s="614"/>
      <c r="D2" s="615"/>
      <c r="E2" s="458"/>
    </row>
    <row r="3" spans="1:5" ht="15" customHeight="1">
      <c r="A3" s="613" t="s">
        <v>37</v>
      </c>
      <c r="B3" s="614"/>
      <c r="C3" s="614"/>
      <c r="D3" s="615"/>
      <c r="E3" s="458"/>
    </row>
    <row r="4" spans="1:5" ht="15" customHeight="1">
      <c r="A4" s="613" t="s">
        <v>38</v>
      </c>
      <c r="B4" s="614"/>
      <c r="C4" s="614"/>
      <c r="D4" s="615"/>
      <c r="E4" s="458"/>
    </row>
    <row r="5" spans="1:5" ht="15.75" customHeight="1" thickBot="1">
      <c r="A5" s="616" t="str">
        <f>+"(Unless otherwise specified, all amounts are "&amp;IF('Master data'!A2="Ones","Indian Rupees","in "&amp;'Master data'!A2&amp;" of INR)")</f>
        <v>(Unless otherwise specified, all amounts are Indian Rupees</v>
      </c>
      <c r="B5" s="617"/>
      <c r="C5" s="617"/>
      <c r="D5" s="618"/>
      <c r="E5" s="539"/>
    </row>
    <row r="6" spans="1:5">
      <c r="A6" s="619" t="s">
        <v>15</v>
      </c>
      <c r="B6" s="621" t="s">
        <v>39</v>
      </c>
      <c r="C6" s="433" t="s">
        <v>40</v>
      </c>
      <c r="D6" s="434" t="s">
        <v>40</v>
      </c>
      <c r="E6" s="435"/>
    </row>
    <row r="7" spans="1:5" ht="14.4" thickBot="1">
      <c r="A7" s="620"/>
      <c r="B7" s="622"/>
      <c r="C7" s="436" t="s">
        <v>41</v>
      </c>
      <c r="D7" s="437" t="s">
        <v>42</v>
      </c>
      <c r="E7" s="435"/>
    </row>
    <row r="8" spans="1:5">
      <c r="A8" s="240"/>
      <c r="B8" s="438"/>
      <c r="C8" s="438"/>
      <c r="D8" s="439"/>
      <c r="E8" s="220"/>
    </row>
    <row r="9" spans="1:5">
      <c r="A9" s="110" t="s">
        <v>43</v>
      </c>
      <c r="B9" s="440"/>
      <c r="C9" s="440"/>
      <c r="D9" s="441"/>
      <c r="E9" s="220"/>
    </row>
    <row r="10" spans="1:5">
      <c r="A10" s="110" t="s">
        <v>44</v>
      </c>
      <c r="B10" s="440"/>
      <c r="C10" s="440"/>
      <c r="D10" s="441"/>
      <c r="E10" s="220"/>
    </row>
    <row r="11" spans="1:5">
      <c r="A11" s="442" t="s">
        <v>45</v>
      </c>
      <c r="B11" s="443">
        <v>3</v>
      </c>
      <c r="C11" s="220">
        <f>+'NOTE 3'!D15</f>
        <v>200000</v>
      </c>
      <c r="D11" s="226">
        <f>+'NOTE 3'!E15</f>
        <v>200000</v>
      </c>
      <c r="E11" s="444"/>
    </row>
    <row r="12" spans="1:5">
      <c r="A12" s="245" t="s">
        <v>46</v>
      </c>
      <c r="B12" s="443">
        <v>4</v>
      </c>
      <c r="C12" s="220">
        <f>+'NOTE 4-8'!B15</f>
        <v>10342048.769701093</v>
      </c>
      <c r="D12" s="226">
        <f>+'NOTE 4-8'!C15</f>
        <v>19774661.828920782</v>
      </c>
      <c r="E12" s="444"/>
    </row>
    <row r="13" spans="1:5">
      <c r="A13" s="105"/>
      <c r="B13" s="443"/>
      <c r="C13" s="445">
        <f>SUM(C11:C12)</f>
        <v>10542048.769701093</v>
      </c>
      <c r="D13" s="446">
        <f>SUM(D11:D12)</f>
        <v>19974661.828920782</v>
      </c>
      <c r="E13" s="447"/>
    </row>
    <row r="14" spans="1:5">
      <c r="A14" s="110" t="s">
        <v>47</v>
      </c>
      <c r="B14" s="443"/>
      <c r="C14" s="448"/>
      <c r="D14" s="244"/>
      <c r="E14" s="447"/>
    </row>
    <row r="15" spans="1:5">
      <c r="A15" s="105" t="s">
        <v>48</v>
      </c>
      <c r="B15" s="443">
        <v>5</v>
      </c>
      <c r="C15" s="220">
        <f>+'NOTE 4-8'!B20</f>
        <v>14085282.09</v>
      </c>
      <c r="D15" s="226">
        <f>+'NOTE 4-8'!C20</f>
        <v>14844184.840000002</v>
      </c>
      <c r="E15" s="447"/>
    </row>
    <row r="16" spans="1:5">
      <c r="A16" s="105"/>
      <c r="B16" s="443"/>
      <c r="C16" s="445">
        <f>+C15</f>
        <v>14085282.09</v>
      </c>
      <c r="D16" s="446">
        <f>+D15</f>
        <v>14844184.840000002</v>
      </c>
      <c r="E16" s="447"/>
    </row>
    <row r="17" spans="1:9">
      <c r="A17" s="110" t="s">
        <v>49</v>
      </c>
      <c r="B17" s="449"/>
      <c r="C17" s="450"/>
      <c r="D17" s="451"/>
      <c r="E17" s="444"/>
    </row>
    <row r="18" spans="1:9">
      <c r="A18" s="105" t="s">
        <v>50</v>
      </c>
      <c r="B18" s="443">
        <v>6</v>
      </c>
      <c r="C18" s="220"/>
      <c r="D18" s="226"/>
      <c r="E18" s="444"/>
    </row>
    <row r="19" spans="1:9">
      <c r="A19" s="391" t="s">
        <v>51</v>
      </c>
      <c r="B19" s="443"/>
      <c r="C19" s="220">
        <f>+'NOTE 6'!G12</f>
        <v>0</v>
      </c>
      <c r="D19" s="226">
        <f>+'NOTE 6'!G24</f>
        <v>0</v>
      </c>
      <c r="E19" s="444"/>
    </row>
    <row r="20" spans="1:9">
      <c r="A20" s="391" t="s">
        <v>52</v>
      </c>
      <c r="B20" s="443"/>
      <c r="C20" s="220">
        <f>+'NOTE 6'!G17</f>
        <v>110798950.644592</v>
      </c>
      <c r="D20" s="226">
        <f>+SUM('NOTE 6'!G25:G27)</f>
        <v>90428353.559999987</v>
      </c>
      <c r="E20" s="444"/>
      <c r="G20" s="466"/>
    </row>
    <row r="21" spans="1:9">
      <c r="A21" s="105" t="s">
        <v>53</v>
      </c>
      <c r="B21" s="443">
        <v>7</v>
      </c>
      <c r="C21" s="220">
        <f>+'NOTE 4-8'!B28</f>
        <v>7211333.7300000004</v>
      </c>
      <c r="D21" s="226">
        <f>+'NOTE 4-8'!C28</f>
        <v>8950195.0999999996</v>
      </c>
      <c r="E21" s="444"/>
      <c r="G21" s="466"/>
    </row>
    <row r="22" spans="1:9">
      <c r="A22" s="105" t="s">
        <v>54</v>
      </c>
      <c r="B22" s="443">
        <v>8</v>
      </c>
      <c r="C22" s="220">
        <f>+'NOTE 4-8'!B36</f>
        <v>6752022.9646929502</v>
      </c>
      <c r="D22" s="226">
        <f>+'NOTE 4-8'!C36</f>
        <v>6755308.7646929501</v>
      </c>
      <c r="E22" s="444"/>
    </row>
    <row r="23" spans="1:9">
      <c r="A23" s="105"/>
      <c r="B23" s="443"/>
      <c r="C23" s="445">
        <f>SUM(C18:C22)</f>
        <v>124762307.33928496</v>
      </c>
      <c r="D23" s="446">
        <f>SUM(D18:D22)</f>
        <v>106133857.42469293</v>
      </c>
      <c r="E23" s="447"/>
    </row>
    <row r="24" spans="1:9">
      <c r="A24" s="105"/>
      <c r="B24" s="443"/>
      <c r="C24" s="452"/>
      <c r="D24" s="453"/>
      <c r="E24" s="444"/>
      <c r="I24" s="469"/>
    </row>
    <row r="25" spans="1:9" ht="14.4" thickBot="1">
      <c r="A25" s="454" t="s">
        <v>56</v>
      </c>
      <c r="B25" s="455"/>
      <c r="C25" s="229">
        <f>C13+C16+C23</f>
        <v>149389638.19898605</v>
      </c>
      <c r="D25" s="230">
        <f>D13+D16+D23</f>
        <v>140952704.09361371</v>
      </c>
      <c r="E25" s="447"/>
      <c r="I25" s="469"/>
    </row>
    <row r="26" spans="1:9" ht="14.4" thickTop="1">
      <c r="A26" s="105"/>
      <c r="B26" s="443"/>
      <c r="C26" s="452"/>
      <c r="D26" s="453"/>
      <c r="E26" s="444"/>
    </row>
    <row r="27" spans="1:9">
      <c r="A27" s="110" t="s">
        <v>57</v>
      </c>
      <c r="B27" s="449"/>
      <c r="C27" s="450"/>
      <c r="D27" s="451"/>
      <c r="E27" s="444"/>
    </row>
    <row r="28" spans="1:9">
      <c r="A28" s="110" t="s">
        <v>59</v>
      </c>
      <c r="B28" s="449"/>
      <c r="C28" s="450"/>
      <c r="D28" s="451"/>
      <c r="E28" s="444"/>
    </row>
    <row r="29" spans="1:9">
      <c r="A29" s="105" t="s">
        <v>61</v>
      </c>
      <c r="B29" s="456">
        <v>9</v>
      </c>
      <c r="C29" s="430"/>
      <c r="D29" s="457"/>
      <c r="E29" s="444"/>
    </row>
    <row r="30" spans="1:9">
      <c r="A30" s="391" t="s">
        <v>62</v>
      </c>
      <c r="B30" s="443"/>
      <c r="C30" s="220">
        <f>+'Note 9'!J20</f>
        <v>843227.31070883689</v>
      </c>
      <c r="D30" s="226">
        <f>+'Note 9'!K20</f>
        <v>733209.25070883683</v>
      </c>
      <c r="E30" s="444"/>
    </row>
    <row r="31" spans="1:9">
      <c r="A31" s="105"/>
      <c r="B31" s="443"/>
      <c r="C31" s="445">
        <f>SUM(C30:C30)</f>
        <v>843227.31070883689</v>
      </c>
      <c r="D31" s="446">
        <f>SUM(D30:D30)</f>
        <v>733209.25070883683</v>
      </c>
      <c r="E31" s="447"/>
    </row>
    <row r="32" spans="1:9">
      <c r="A32" s="105"/>
      <c r="B32" s="443"/>
      <c r="C32" s="220"/>
      <c r="D32" s="226"/>
      <c r="E32" s="444"/>
    </row>
    <row r="33" spans="1:6">
      <c r="A33" s="105" t="s">
        <v>63</v>
      </c>
      <c r="B33" s="443">
        <v>10</v>
      </c>
      <c r="C33" s="220">
        <f>+'NOTE 10-14'!B12</f>
        <v>26182474.925594937</v>
      </c>
      <c r="D33" s="226">
        <f>+'NOTE 10-14'!C12</f>
        <v>22783877.705594938</v>
      </c>
      <c r="E33" s="444"/>
    </row>
    <row r="34" spans="1:6">
      <c r="A34" s="105" t="s">
        <v>64</v>
      </c>
      <c r="B34" s="443">
        <v>11</v>
      </c>
      <c r="C34" s="220">
        <f>+'NOTE 10-14'!B18</f>
        <v>597436.01321080152</v>
      </c>
      <c r="D34" s="226">
        <f>+'NOTE 10-14'!C18</f>
        <v>597436.01321080152</v>
      </c>
      <c r="E34" s="444"/>
    </row>
    <row r="35" spans="1:6">
      <c r="A35" s="105"/>
      <c r="B35" s="443"/>
      <c r="C35" s="445">
        <f>+C33+C34</f>
        <v>26779910.93880574</v>
      </c>
      <c r="D35" s="446">
        <f>D33+D34</f>
        <v>23381313.718805742</v>
      </c>
      <c r="E35" s="447"/>
    </row>
    <row r="36" spans="1:6">
      <c r="A36" s="110" t="s">
        <v>65</v>
      </c>
      <c r="B36" s="449"/>
      <c r="C36" s="220"/>
      <c r="D36" s="226"/>
      <c r="E36" s="444"/>
    </row>
    <row r="37" spans="1:6">
      <c r="A37" s="105" t="s">
        <v>66</v>
      </c>
      <c r="B37" s="443">
        <v>12</v>
      </c>
      <c r="C37" s="220">
        <f>+'NOTE 12'!G18</f>
        <v>75016042.278867975</v>
      </c>
      <c r="D37" s="226">
        <f>+'NOTE 12'!G30</f>
        <v>89905595.49000001</v>
      </c>
      <c r="E37" s="444"/>
    </row>
    <row r="38" spans="1:6">
      <c r="A38" s="105" t="s">
        <v>67</v>
      </c>
      <c r="B38" s="443">
        <v>13</v>
      </c>
      <c r="C38" s="220">
        <f>+'NOTE 10-14'!B24+(1.99/Deno)</f>
        <v>34223709.754991204</v>
      </c>
      <c r="D38" s="226">
        <f>+'NOTE 10-14'!C24+(1.99/Deno)</f>
        <v>21693546.194991197</v>
      </c>
      <c r="E38" s="444"/>
    </row>
    <row r="39" spans="1:6">
      <c r="A39" s="105" t="s">
        <v>68</v>
      </c>
      <c r="B39" s="443">
        <v>14</v>
      </c>
      <c r="C39" s="220">
        <f>+'NOTE 10-14'!B31</f>
        <v>12526748.452500027</v>
      </c>
      <c r="D39" s="226">
        <f>+'NOTE 10-14'!C31</f>
        <v>5239039.9866666887</v>
      </c>
      <c r="E39" s="444"/>
    </row>
    <row r="40" spans="1:6">
      <c r="A40" s="105"/>
      <c r="B40" s="443"/>
      <c r="C40" s="445">
        <f>SUM(C37:C39)</f>
        <v>121766500.48635921</v>
      </c>
      <c r="D40" s="446">
        <f>SUM(D37:D39)</f>
        <v>116838181.6716579</v>
      </c>
      <c r="E40" s="447"/>
    </row>
    <row r="41" spans="1:6">
      <c r="A41" s="105"/>
      <c r="C41" s="220"/>
      <c r="D41" s="226"/>
      <c r="E41" s="444" t="s">
        <v>69</v>
      </c>
    </row>
    <row r="42" spans="1:6" ht="14.4" thickBot="1">
      <c r="A42" s="454" t="s">
        <v>56</v>
      </c>
      <c r="B42" s="458"/>
      <c r="C42" s="229">
        <f>C31+C35+C40</f>
        <v>149389638.73587379</v>
      </c>
      <c r="D42" s="230">
        <f>D31+D35+D40</f>
        <v>140952704.64117247</v>
      </c>
      <c r="E42" s="227">
        <f>+C25-C42</f>
        <v>-0.53688773512840271</v>
      </c>
      <c r="F42" s="227">
        <f>+D25-D42</f>
        <v>-0.54755875468254089</v>
      </c>
    </row>
    <row r="43" spans="1:6" ht="15" thickTop="1" thickBot="1">
      <c r="A43" s="121"/>
      <c r="B43" s="400"/>
      <c r="C43" s="400"/>
      <c r="D43" s="459"/>
      <c r="E43" s="220">
        <f>+E42*Deno</f>
        <v>-0.53688773512840271</v>
      </c>
      <c r="F43" s="220">
        <f>+F42*Deno</f>
        <v>-0.54755875468254089</v>
      </c>
    </row>
    <row r="44" spans="1:6">
      <c r="A44" s="607" t="s">
        <v>70</v>
      </c>
      <c r="B44" s="608"/>
      <c r="C44" s="608"/>
      <c r="D44" s="609"/>
      <c r="E44" s="227"/>
    </row>
    <row r="45" spans="1:6">
      <c r="A45" s="607" t="s">
        <v>71</v>
      </c>
      <c r="B45" s="608"/>
      <c r="C45" s="608"/>
      <c r="D45" s="609"/>
      <c r="E45" s="227"/>
    </row>
    <row r="46" spans="1:6">
      <c r="A46" s="105"/>
      <c r="D46" s="372"/>
      <c r="E46" s="395"/>
    </row>
    <row r="47" spans="1:6" s="231" customFormat="1" ht="15.75" customHeight="1">
      <c r="A47" s="396" t="s">
        <v>72</v>
      </c>
      <c r="B47" s="227" t="s">
        <v>73</v>
      </c>
      <c r="C47" s="227"/>
      <c r="D47" s="228"/>
      <c r="E47" s="227"/>
    </row>
    <row r="48" spans="1:6">
      <c r="A48" s="397" t="s">
        <v>74</v>
      </c>
      <c r="B48" s="231" t="s">
        <v>75</v>
      </c>
      <c r="C48" s="231"/>
      <c r="D48" s="232"/>
      <c r="E48" s="231"/>
    </row>
    <row r="49" spans="1:5">
      <c r="A49" s="397" t="s">
        <v>76</v>
      </c>
      <c r="B49" s="227"/>
      <c r="C49" s="227"/>
      <c r="D49" s="228"/>
      <c r="E49" s="220"/>
    </row>
    <row r="50" spans="1:5">
      <c r="A50" s="397" t="s">
        <v>77</v>
      </c>
      <c r="B50" s="227"/>
      <c r="C50" s="227"/>
      <c r="D50" s="228"/>
      <c r="E50" s="220"/>
    </row>
    <row r="51" spans="1:5">
      <c r="A51" s="397"/>
      <c r="B51" s="227"/>
      <c r="C51" s="227"/>
      <c r="D51" s="228"/>
      <c r="E51" s="220"/>
    </row>
    <row r="52" spans="1:5">
      <c r="A52" s="396"/>
      <c r="B52" s="227"/>
      <c r="C52" s="227"/>
      <c r="D52" s="228"/>
      <c r="E52" s="220"/>
    </row>
    <row r="53" spans="1:5">
      <c r="A53" s="398"/>
      <c r="B53" s="220"/>
      <c r="C53" s="227"/>
      <c r="D53" s="226"/>
      <c r="E53" s="220"/>
    </row>
    <row r="54" spans="1:5">
      <c r="A54" s="399" t="s">
        <v>78</v>
      </c>
      <c r="B54" s="231" t="s">
        <v>79</v>
      </c>
      <c r="C54" s="231"/>
      <c r="D54" s="460" t="s">
        <v>80</v>
      </c>
      <c r="E54" s="231"/>
    </row>
    <row r="55" spans="1:5">
      <c r="A55" s="397" t="s">
        <v>81</v>
      </c>
      <c r="B55" s="231" t="s">
        <v>82</v>
      </c>
      <c r="C55" s="231"/>
      <c r="D55" s="460" t="s">
        <v>82</v>
      </c>
      <c r="E55" s="231"/>
    </row>
    <row r="56" spans="1:5">
      <c r="A56" s="397" t="s">
        <v>83</v>
      </c>
      <c r="B56" s="231" t="s">
        <v>84</v>
      </c>
      <c r="C56" s="231"/>
      <c r="D56" s="460" t="s">
        <v>85</v>
      </c>
      <c r="E56" s="231"/>
    </row>
    <row r="57" spans="1:5">
      <c r="A57" s="105" t="s">
        <v>86</v>
      </c>
      <c r="B57" s="392" t="s">
        <v>87</v>
      </c>
      <c r="D57" s="461" t="s">
        <v>88</v>
      </c>
      <c r="E57" s="227"/>
    </row>
    <row r="58" spans="1:5">
      <c r="A58" s="105" t="s">
        <v>89</v>
      </c>
      <c r="B58" s="227" t="s">
        <v>90</v>
      </c>
      <c r="D58" s="228" t="s">
        <v>90</v>
      </c>
      <c r="E58" s="220"/>
    </row>
    <row r="59" spans="1:5">
      <c r="A59" s="105" t="s">
        <v>91</v>
      </c>
      <c r="D59" s="372"/>
      <c r="E59" s="220"/>
    </row>
    <row r="60" spans="1:5" ht="14.4" thickBot="1">
      <c r="A60" s="121"/>
      <c r="B60" s="400"/>
      <c r="C60" s="400"/>
      <c r="D60" s="459"/>
      <c r="E60" s="220"/>
    </row>
  </sheetData>
  <mergeCells count="9">
    <mergeCell ref="A44:D44"/>
    <mergeCell ref="A45:D45"/>
    <mergeCell ref="A1:D1"/>
    <mergeCell ref="A2:D2"/>
    <mergeCell ref="A5:D5"/>
    <mergeCell ref="A6:A7"/>
    <mergeCell ref="B6:B7"/>
    <mergeCell ref="A3:D3"/>
    <mergeCell ref="A4:D4"/>
  </mergeCells>
  <phoneticPr fontId="9" type="noConversion"/>
  <printOptions horizontalCentered="1" verticalCentered="1"/>
  <pageMargins left="0.35433070866141736" right="0.35433070866141736" top="0.27559055118110237" bottom="0.27559055118110237" header="0.15748031496062992" footer="0.19685039370078741"/>
  <pageSetup paperSize="9" scale="92"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56"/>
  <sheetViews>
    <sheetView showGridLines="0" view="pageBreakPreview" zoomScaleNormal="100" zoomScaleSheetLayoutView="100" workbookViewId="0">
      <selection activeCell="D31" sqref="D31"/>
    </sheetView>
  </sheetViews>
  <sheetFormatPr defaultColWidth="9.109375" defaultRowHeight="13.8"/>
  <cols>
    <col min="1" max="1" width="3.6640625" style="227" bestFit="1" customWidth="1"/>
    <col min="2" max="2" width="50.6640625" style="227" customWidth="1"/>
    <col min="3" max="3" width="8.6640625" style="395" customWidth="1"/>
    <col min="4" max="5" width="20.6640625" style="413" customWidth="1"/>
    <col min="6" max="7" width="16.88671875" style="227" bestFit="1" customWidth="1"/>
    <col min="8" max="8" width="15.109375" style="227" bestFit="1" customWidth="1"/>
    <col min="9" max="10" width="14.6640625" style="227" bestFit="1" customWidth="1"/>
    <col min="11" max="16384" width="9.109375" style="227"/>
  </cols>
  <sheetData>
    <row r="1" spans="1:6" ht="15" customHeight="1">
      <c r="A1" s="625" t="s">
        <v>36</v>
      </c>
      <c r="B1" s="626"/>
      <c r="C1" s="626"/>
      <c r="D1" s="626"/>
      <c r="E1" s="627"/>
    </row>
    <row r="2" spans="1:6" ht="15" customHeight="1">
      <c r="A2" s="628" t="s">
        <v>1070</v>
      </c>
      <c r="B2" s="629"/>
      <c r="C2" s="629"/>
      <c r="D2" s="629"/>
      <c r="E2" s="630"/>
    </row>
    <row r="3" spans="1:6" ht="15" customHeight="1">
      <c r="A3" s="628" t="s">
        <v>92</v>
      </c>
      <c r="B3" s="629"/>
      <c r="C3" s="629"/>
      <c r="D3" s="629"/>
      <c r="E3" s="630"/>
    </row>
    <row r="4" spans="1:6" ht="15" customHeight="1">
      <c r="A4" s="628" t="str">
        <f>+BS!A4</f>
        <v>Old No.7 / New No.13, First Floor, First Cross Street, Trustpuram, Kodambakkam, Chennai - 600024, India</v>
      </c>
      <c r="B4" s="629"/>
      <c r="C4" s="629"/>
      <c r="D4" s="629"/>
      <c r="E4" s="630"/>
    </row>
    <row r="5" spans="1:6" ht="14.4" thickBot="1">
      <c r="A5" s="616" t="str">
        <f>+"(Unless otherwise specified, all amounts are "&amp;IF('Master data'!A2="Ones","Indian Rupees","in "&amp;'Master data'!A2&amp;" of INR)")</f>
        <v>(Unless otherwise specified, all amounts are Indian Rupees</v>
      </c>
      <c r="B5" s="617"/>
      <c r="C5" s="617"/>
      <c r="D5" s="617"/>
      <c r="E5" s="618"/>
    </row>
    <row r="6" spans="1:6">
      <c r="A6" s="619" t="s">
        <v>15</v>
      </c>
      <c r="B6" s="621"/>
      <c r="C6" s="611" t="s">
        <v>93</v>
      </c>
      <c r="D6" s="402" t="s">
        <v>94</v>
      </c>
      <c r="E6" s="403" t="s">
        <v>94</v>
      </c>
    </row>
    <row r="7" spans="1:6" ht="14.4" thickBot="1">
      <c r="A7" s="620"/>
      <c r="B7" s="622"/>
      <c r="C7" s="631"/>
      <c r="D7" s="219" t="str">
        <f>BS!C7</f>
        <v>31st March, 2026</v>
      </c>
      <c r="E7" s="219" t="str">
        <f>BS!D7</f>
        <v>31st March, 2025</v>
      </c>
      <c r="F7" s="572"/>
    </row>
    <row r="8" spans="1:6">
      <c r="A8" s="404"/>
      <c r="B8" s="405"/>
      <c r="C8" s="405"/>
      <c r="D8" s="406"/>
      <c r="E8" s="407"/>
    </row>
    <row r="9" spans="1:6">
      <c r="A9" s="105" t="s">
        <v>95</v>
      </c>
      <c r="B9" s="227" t="s">
        <v>96</v>
      </c>
      <c r="C9" s="408">
        <v>15</v>
      </c>
      <c r="D9" s="409">
        <f>'NOTE 15-20'!B14</f>
        <v>190864009.39999998</v>
      </c>
      <c r="E9" s="410">
        <f>'NOTE 15-20'!C14</f>
        <v>251056882.9399997</v>
      </c>
    </row>
    <row r="10" spans="1:6">
      <c r="A10" s="105" t="s">
        <v>97</v>
      </c>
      <c r="B10" s="227" t="s">
        <v>98</v>
      </c>
      <c r="C10" s="408">
        <v>16</v>
      </c>
      <c r="D10" s="411">
        <f>'NOTE 15-20'!B20</f>
        <v>5016550.66</v>
      </c>
      <c r="E10" s="412">
        <f>'NOTE 15-20'!C20</f>
        <v>6275069.8499999996</v>
      </c>
    </row>
    <row r="11" spans="1:6">
      <c r="A11" s="105"/>
      <c r="C11" s="408"/>
      <c r="E11" s="414"/>
    </row>
    <row r="12" spans="1:6" ht="14.4" thickBot="1">
      <c r="A12" s="110" t="s">
        <v>99</v>
      </c>
      <c r="B12" s="415" t="s">
        <v>100</v>
      </c>
      <c r="C12" s="408"/>
      <c r="D12" s="416">
        <f>SUM(D9:D11)</f>
        <v>195880560.05999997</v>
      </c>
      <c r="E12" s="417">
        <f>SUM(E9:E11)</f>
        <v>257331952.78999969</v>
      </c>
    </row>
    <row r="13" spans="1:6" ht="14.4" thickTop="1">
      <c r="A13" s="105"/>
      <c r="C13" s="408"/>
      <c r="E13" s="414"/>
      <c r="F13" s="227" t="s">
        <v>1086</v>
      </c>
    </row>
    <row r="14" spans="1:6">
      <c r="A14" s="105" t="s">
        <v>101</v>
      </c>
      <c r="B14" s="227" t="s">
        <v>102</v>
      </c>
      <c r="C14" s="408"/>
      <c r="E14" s="414"/>
    </row>
    <row r="15" spans="1:6">
      <c r="A15" s="105"/>
      <c r="B15" s="227" t="s">
        <v>103</v>
      </c>
      <c r="C15" s="408">
        <v>17</v>
      </c>
      <c r="D15" s="411">
        <f>'NOTE 15-20'!B28</f>
        <v>159201505.83000001</v>
      </c>
      <c r="E15" s="412">
        <f>'NOTE 15-20'!C28</f>
        <v>215366753.34</v>
      </c>
    </row>
    <row r="16" spans="1:6">
      <c r="A16" s="105"/>
      <c r="B16" s="227" t="s">
        <v>104</v>
      </c>
      <c r="C16" s="408">
        <v>18</v>
      </c>
      <c r="D16" s="411">
        <f>'NOTE 15-20'!B34</f>
        <v>19826121.32</v>
      </c>
      <c r="E16" s="412">
        <f>'NOTE 15-20'!C34</f>
        <v>23047531</v>
      </c>
    </row>
    <row r="17" spans="1:5">
      <c r="A17" s="105"/>
      <c r="B17" s="227" t="s">
        <v>105</v>
      </c>
      <c r="C17" s="408">
        <v>19</v>
      </c>
      <c r="D17" s="411">
        <f>+'NOTE 15-20'!B41</f>
        <v>251861.01</v>
      </c>
      <c r="E17" s="412">
        <f>+'NOTE 15-20'!C41</f>
        <v>266439.70000000007</v>
      </c>
    </row>
    <row r="18" spans="1:5">
      <c r="A18" s="105"/>
      <c r="B18" s="227" t="s">
        <v>106</v>
      </c>
      <c r="C18" s="408">
        <v>20</v>
      </c>
      <c r="D18" s="411">
        <f>'NOTE 15-20'!B57</f>
        <v>25769375.959219653</v>
      </c>
      <c r="E18" s="412">
        <f>'NOTE 15-20'!C57</f>
        <v>15728139.495877549</v>
      </c>
    </row>
    <row r="19" spans="1:5">
      <c r="A19" s="105"/>
      <c r="B19" s="227" t="s">
        <v>107</v>
      </c>
      <c r="C19" s="408">
        <v>9</v>
      </c>
      <c r="D19" s="411">
        <f>'Note 9'!G20</f>
        <v>264309</v>
      </c>
      <c r="E19" s="412">
        <f>+'Note 9'!G22</f>
        <v>269898.93</v>
      </c>
    </row>
    <row r="20" spans="1:5">
      <c r="A20" s="105"/>
      <c r="E20" s="414"/>
    </row>
    <row r="21" spans="1:5" ht="14.4" thickBot="1">
      <c r="A21" s="110" t="s">
        <v>108</v>
      </c>
      <c r="B21" s="415" t="s">
        <v>100</v>
      </c>
      <c r="D21" s="416">
        <f>SUM(D15:D20)</f>
        <v>205313173.11921966</v>
      </c>
      <c r="E21" s="417">
        <f>SUM(E15:E20)</f>
        <v>254678762.46587753</v>
      </c>
    </row>
    <row r="22" spans="1:5" ht="14.4" thickTop="1">
      <c r="A22" s="105"/>
      <c r="B22" s="231"/>
      <c r="E22" s="414"/>
    </row>
    <row r="23" spans="1:5">
      <c r="A23" s="105" t="s">
        <v>109</v>
      </c>
      <c r="B23" s="227" t="s">
        <v>110</v>
      </c>
      <c r="D23" s="411">
        <f>D12-D21</f>
        <v>-9432613.0592196882</v>
      </c>
      <c r="E23" s="418">
        <f>E12-E21</f>
        <v>2653190.3241221607</v>
      </c>
    </row>
    <row r="24" spans="1:5">
      <c r="A24" s="105"/>
      <c r="D24" s="419"/>
      <c r="E24" s="418"/>
    </row>
    <row r="25" spans="1:5">
      <c r="A25" s="105" t="s">
        <v>111</v>
      </c>
      <c r="B25" s="227" t="s">
        <v>112</v>
      </c>
      <c r="D25" s="411">
        <v>0</v>
      </c>
      <c r="E25" s="412">
        <v>0</v>
      </c>
    </row>
    <row r="26" spans="1:5">
      <c r="A26" s="105"/>
      <c r="D26" s="411"/>
      <c r="E26" s="412"/>
    </row>
    <row r="27" spans="1:5">
      <c r="A27" s="110" t="s">
        <v>113</v>
      </c>
      <c r="B27" s="231" t="s">
        <v>114</v>
      </c>
      <c r="D27" s="420">
        <f>D23-D25</f>
        <v>-9432613.0592196882</v>
      </c>
      <c r="E27" s="421">
        <f>E23-E25</f>
        <v>2653190.3241221607</v>
      </c>
    </row>
    <row r="28" spans="1:5">
      <c r="A28" s="105"/>
      <c r="D28" s="411"/>
      <c r="E28" s="412"/>
    </row>
    <row r="29" spans="1:5">
      <c r="A29" s="105" t="s">
        <v>115</v>
      </c>
      <c r="B29" s="227" t="s">
        <v>116</v>
      </c>
      <c r="D29" s="411">
        <f>D27</f>
        <v>-9432613.0592196882</v>
      </c>
      <c r="E29" s="418">
        <f>E27</f>
        <v>2653190.3241221607</v>
      </c>
    </row>
    <row r="30" spans="1:5">
      <c r="A30" s="105" t="s">
        <v>117</v>
      </c>
      <c r="B30" s="227" t="s">
        <v>118</v>
      </c>
      <c r="D30" s="422"/>
      <c r="E30" s="423"/>
    </row>
    <row r="31" spans="1:5">
      <c r="A31" s="105"/>
      <c r="B31" s="227" t="s">
        <v>119</v>
      </c>
      <c r="D31" s="422">
        <v>0</v>
      </c>
      <c r="E31" s="412">
        <f>654762.486071762/Deno</f>
        <v>654762.48607176205</v>
      </c>
    </row>
    <row r="32" spans="1:5">
      <c r="A32" s="105"/>
      <c r="B32" s="227" t="s">
        <v>120</v>
      </c>
      <c r="D32" s="411">
        <v>0</v>
      </c>
      <c r="E32" s="418">
        <f>-37521.6847891985/Deno</f>
        <v>-37521.684789198502</v>
      </c>
    </row>
    <row r="33" spans="1:5">
      <c r="A33" s="105"/>
      <c r="B33" s="227" t="s">
        <v>121</v>
      </c>
      <c r="E33" s="414"/>
    </row>
    <row r="34" spans="1:5" ht="14.4" thickBot="1">
      <c r="A34" s="110" t="s">
        <v>122</v>
      </c>
      <c r="B34" s="231" t="s">
        <v>123</v>
      </c>
      <c r="D34" s="416">
        <f>D29-D31+D32+D33</f>
        <v>-9432613.0592196882</v>
      </c>
      <c r="E34" s="424">
        <f>E29-E31+E32+E33</f>
        <v>1960906.1532612001</v>
      </c>
    </row>
    <row r="35" spans="1:5" ht="14.4" thickTop="1">
      <c r="A35" s="105"/>
      <c r="E35" s="414"/>
    </row>
    <row r="36" spans="1:5">
      <c r="A36" s="105" t="s">
        <v>124</v>
      </c>
      <c r="B36" s="227" t="s">
        <v>125</v>
      </c>
      <c r="E36" s="414"/>
    </row>
    <row r="37" spans="1:5">
      <c r="A37" s="105"/>
      <c r="B37" s="425" t="s">
        <v>126</v>
      </c>
      <c r="D37" s="419">
        <f>+(D34/'NOTE 3'!D40)*Deno</f>
        <v>-471.63065296098443</v>
      </c>
      <c r="E37" s="418">
        <f>+(E34/'NOTE 3'!D30)*Deno</f>
        <v>98.055113174377439</v>
      </c>
    </row>
    <row r="38" spans="1:5">
      <c r="A38" s="105"/>
      <c r="B38" s="425" t="s">
        <v>127</v>
      </c>
      <c r="D38" s="419">
        <f>+D37</f>
        <v>-471.63065296098443</v>
      </c>
      <c r="E38" s="418">
        <f>+E37</f>
        <v>98.055113174377439</v>
      </c>
    </row>
    <row r="39" spans="1:5" ht="14.4" thickBot="1">
      <c r="A39" s="121"/>
      <c r="B39" s="235"/>
      <c r="C39" s="400"/>
      <c r="D39" s="426"/>
      <c r="E39" s="427"/>
    </row>
    <row r="40" spans="1:5">
      <c r="A40" s="607" t="str">
        <f>BS!A44</f>
        <v>Significant Accounting Policies in Note 1 &amp; 2</v>
      </c>
      <c r="B40" s="608"/>
      <c r="C40" s="608"/>
      <c r="D40" s="608"/>
      <c r="E40" s="609"/>
    </row>
    <row r="41" spans="1:5">
      <c r="A41" s="105" t="s">
        <v>71</v>
      </c>
      <c r="C41" s="227"/>
      <c r="D41" s="428"/>
      <c r="E41" s="429"/>
    </row>
    <row r="42" spans="1:5">
      <c r="A42" s="105"/>
      <c r="C42" s="227"/>
      <c r="D42" s="428"/>
      <c r="E42" s="429"/>
    </row>
    <row r="43" spans="1:5" ht="15.75" customHeight="1">
      <c r="A43" s="635" t="s">
        <v>72</v>
      </c>
      <c r="B43" s="636"/>
      <c r="C43" s="608" t="s">
        <v>73</v>
      </c>
      <c r="D43" s="608"/>
      <c r="E43" s="609"/>
    </row>
    <row r="44" spans="1:5" s="231" customFormat="1">
      <c r="A44" s="634" t="s">
        <v>74</v>
      </c>
      <c r="B44" s="632"/>
      <c r="C44" s="632" t="str">
        <f>+BS!B48</f>
        <v>CARGO INTERNATIONAL (INDIA) PVT. LTD</v>
      </c>
      <c r="D44" s="632"/>
      <c r="E44" s="633"/>
    </row>
    <row r="45" spans="1:5">
      <c r="A45" s="623" t="s">
        <v>76</v>
      </c>
      <c r="B45" s="624"/>
      <c r="C45" s="227"/>
      <c r="D45" s="428"/>
      <c r="E45" s="429"/>
    </row>
    <row r="46" spans="1:5">
      <c r="A46" s="623" t="s">
        <v>128</v>
      </c>
      <c r="B46" s="624"/>
      <c r="C46" s="227"/>
      <c r="D46" s="428"/>
      <c r="E46" s="429"/>
    </row>
    <row r="47" spans="1:5">
      <c r="A47" s="397"/>
      <c r="B47" s="386"/>
      <c r="C47" s="227"/>
      <c r="D47" s="428"/>
      <c r="E47" s="429"/>
    </row>
    <row r="48" spans="1:5">
      <c r="A48" s="397"/>
      <c r="B48" s="386"/>
      <c r="C48" s="227"/>
      <c r="D48" s="428"/>
      <c r="E48" s="429"/>
    </row>
    <row r="49" spans="1:5">
      <c r="A49" s="105"/>
      <c r="B49" s="220"/>
      <c r="C49" s="227"/>
      <c r="D49" s="428"/>
      <c r="E49" s="429"/>
    </row>
    <row r="50" spans="1:5">
      <c r="A50" s="399" t="s">
        <v>78</v>
      </c>
      <c r="B50" s="430"/>
      <c r="C50" s="231" t="str">
        <f>+BS!B54</f>
        <v>Suresh Padmanabhan</v>
      </c>
      <c r="D50" s="431"/>
      <c r="E50" s="432" t="str">
        <f>+BS!D54</f>
        <v>Vignesh Natarajan</v>
      </c>
    </row>
    <row r="51" spans="1:5">
      <c r="A51" s="637" t="s">
        <v>81</v>
      </c>
      <c r="B51" s="638"/>
      <c r="C51" s="231" t="str">
        <f>+BS!B55</f>
        <v>Director</v>
      </c>
      <c r="D51" s="431"/>
      <c r="E51" s="432" t="str">
        <f>+BS!D55</f>
        <v>Director</v>
      </c>
    </row>
    <row r="52" spans="1:5">
      <c r="A52" s="637" t="s">
        <v>83</v>
      </c>
      <c r="B52" s="638"/>
      <c r="C52" s="231" t="str">
        <f>+BS!B56</f>
        <v>DIN: 08284074</v>
      </c>
      <c r="D52" s="431"/>
      <c r="E52" s="432" t="str">
        <f>+BS!D56</f>
        <v>DIN: 08284068</v>
      </c>
    </row>
    <row r="53" spans="1:5">
      <c r="A53" s="607" t="s">
        <v>86</v>
      </c>
      <c r="B53" s="608"/>
      <c r="C53" s="227" t="str">
        <f>+BS!B57</f>
        <v>Place : Birmingham</v>
      </c>
      <c r="D53" s="428"/>
      <c r="E53" s="412" t="str">
        <f>+BS!D57</f>
        <v>Place : Chennai</v>
      </c>
    </row>
    <row r="54" spans="1:5">
      <c r="A54" s="607" t="str">
        <f>+BS!A58</f>
        <v xml:space="preserve"> Date : </v>
      </c>
      <c r="B54" s="608"/>
      <c r="C54" s="227" t="str">
        <f>+BS!B58</f>
        <v xml:space="preserve">Date: </v>
      </c>
      <c r="D54" s="428"/>
      <c r="E54" s="412" t="str">
        <f>+BS!D58</f>
        <v xml:space="preserve">Date: </v>
      </c>
    </row>
    <row r="55" spans="1:5">
      <c r="A55" s="607" t="str">
        <f>+BS!A59</f>
        <v xml:space="preserve"> UDIN :  </v>
      </c>
      <c r="B55" s="608"/>
      <c r="E55" s="414"/>
    </row>
    <row r="56" spans="1:5" ht="14.4" thickBot="1">
      <c r="A56" s="121"/>
      <c r="B56" s="235"/>
      <c r="C56" s="400"/>
      <c r="D56" s="426"/>
      <c r="E56" s="427"/>
    </row>
  </sheetData>
  <mergeCells count="19">
    <mergeCell ref="A55:B55"/>
    <mergeCell ref="A51:B51"/>
    <mergeCell ref="A52:B52"/>
    <mergeCell ref="A53:B53"/>
    <mergeCell ref="A54:B54"/>
    <mergeCell ref="A45:B45"/>
    <mergeCell ref="A46:B46"/>
    <mergeCell ref="A1:E1"/>
    <mergeCell ref="A2:E2"/>
    <mergeCell ref="A5:E5"/>
    <mergeCell ref="A6:B7"/>
    <mergeCell ref="C6:C7"/>
    <mergeCell ref="C43:E43"/>
    <mergeCell ref="C44:E44"/>
    <mergeCell ref="A44:B44"/>
    <mergeCell ref="A43:B43"/>
    <mergeCell ref="A3:E3"/>
    <mergeCell ref="A4:E4"/>
    <mergeCell ref="A40:E40"/>
  </mergeCells>
  <phoneticPr fontId="9" type="noConversion"/>
  <printOptions horizontalCentered="1" verticalCentered="1"/>
  <pageMargins left="0.35433070866141736" right="0.35433070866141736" top="0.27559055118110237" bottom="0.27559055118110237" header="0.15748031496062992" footer="0.19685039370078741"/>
  <pageSetup paperSize="9" scale="94" orientation="portrait" r:id="rId1"/>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44"/>
  <sheetViews>
    <sheetView view="pageBreakPreview" topLeftCell="A3" zoomScaleNormal="100" zoomScaleSheetLayoutView="100" workbookViewId="0">
      <selection activeCell="C5" sqref="C5"/>
    </sheetView>
  </sheetViews>
  <sheetFormatPr defaultColWidth="9.109375" defaultRowHeight="13.8"/>
  <cols>
    <col min="1" max="1" width="53.44140625" style="227" bestFit="1" customWidth="1"/>
    <col min="2" max="2" width="16.6640625" style="227" customWidth="1"/>
    <col min="3" max="3" width="17.6640625" style="227" bestFit="1" customWidth="1"/>
    <col min="4" max="4" width="14.109375" style="227" bestFit="1" customWidth="1"/>
    <col min="5" max="5" width="25" style="227" customWidth="1"/>
    <col min="6" max="6" width="15.77734375" style="227" bestFit="1" customWidth="1"/>
    <col min="7" max="7" width="19.6640625" style="227" customWidth="1"/>
    <col min="8" max="8" width="10.33203125" style="227" bestFit="1" customWidth="1"/>
    <col min="9" max="9" width="10.6640625" style="227" bestFit="1" customWidth="1"/>
    <col min="10" max="10" width="13.5546875" style="227" bestFit="1" customWidth="1"/>
    <col min="11" max="11" width="14.44140625" style="227" bestFit="1" customWidth="1"/>
    <col min="12" max="12" width="12.6640625" style="227" bestFit="1" customWidth="1"/>
    <col min="13" max="13" width="13" style="227" bestFit="1" customWidth="1"/>
    <col min="14" max="14" width="12.6640625" style="227" bestFit="1" customWidth="1"/>
    <col min="15" max="15" width="14.44140625" style="227" bestFit="1" customWidth="1"/>
    <col min="16" max="16" width="10.33203125" style="227" bestFit="1" customWidth="1"/>
    <col min="17" max="17" width="10.6640625" style="227" bestFit="1" customWidth="1"/>
    <col min="18" max="18" width="12.6640625" style="227" bestFit="1" customWidth="1"/>
    <col min="19" max="19" width="14.44140625" style="227" bestFit="1" customWidth="1"/>
    <col min="20" max="20" width="10.33203125" style="227" bestFit="1" customWidth="1"/>
    <col min="21" max="21" width="10.6640625" style="227" bestFit="1" customWidth="1"/>
    <col min="22" max="22" width="12.6640625" style="227" bestFit="1" customWidth="1"/>
    <col min="23" max="23" width="14.44140625" style="227" bestFit="1" customWidth="1"/>
    <col min="24" max="16384" width="9.109375" style="227"/>
  </cols>
  <sheetData>
    <row r="1" spans="1:7" ht="14.4" thickBot="1">
      <c r="A1" s="34" t="s">
        <v>897</v>
      </c>
      <c r="B1" s="639" t="s">
        <v>898</v>
      </c>
      <c r="C1" s="640"/>
      <c r="D1" s="639" t="s">
        <v>899</v>
      </c>
      <c r="E1" s="640"/>
    </row>
    <row r="2" spans="1:7" ht="14.4" thickBot="1">
      <c r="A2" s="34" t="s">
        <v>15</v>
      </c>
      <c r="B2" s="489" t="s">
        <v>751</v>
      </c>
      <c r="C2" s="490" t="s">
        <v>752</v>
      </c>
      <c r="D2" s="489" t="s">
        <v>751</v>
      </c>
      <c r="E2" s="490" t="s">
        <v>752</v>
      </c>
    </row>
    <row r="3" spans="1:7">
      <c r="A3" s="78" t="s">
        <v>900</v>
      </c>
      <c r="B3" s="79"/>
      <c r="C3" s="79"/>
      <c r="D3" s="491"/>
      <c r="E3" s="491"/>
    </row>
    <row r="4" spans="1:7">
      <c r="A4" s="492" t="s">
        <v>901</v>
      </c>
      <c r="B4" s="493">
        <v>0</v>
      </c>
      <c r="C4" s="493">
        <f>+'TB 25-26'!P59</f>
        <v>14085282.09</v>
      </c>
      <c r="D4" s="493">
        <v>0</v>
      </c>
      <c r="E4" s="493">
        <v>1750</v>
      </c>
      <c r="F4" s="227" t="s">
        <v>902</v>
      </c>
      <c r="G4" s="227" t="s">
        <v>903</v>
      </c>
    </row>
    <row r="5" spans="1:7">
      <c r="A5" s="492" t="s">
        <v>904</v>
      </c>
      <c r="B5" s="493">
        <v>0</v>
      </c>
      <c r="C5" s="493">
        <v>0</v>
      </c>
      <c r="D5" s="493">
        <v>0</v>
      </c>
      <c r="E5" s="493">
        <v>10067830.550000001</v>
      </c>
      <c r="F5" s="227" t="s">
        <v>902</v>
      </c>
      <c r="G5" s="227" t="s">
        <v>903</v>
      </c>
    </row>
    <row r="6" spans="1:7">
      <c r="A6" s="492" t="s">
        <v>905</v>
      </c>
      <c r="B6" s="493">
        <v>0</v>
      </c>
      <c r="C6" s="493">
        <v>0</v>
      </c>
      <c r="D6" s="493">
        <v>0</v>
      </c>
      <c r="E6" s="493">
        <v>5866971.2800000003</v>
      </c>
      <c r="F6" s="227" t="s">
        <v>902</v>
      </c>
      <c r="G6" s="227" t="s">
        <v>903</v>
      </c>
    </row>
    <row r="7" spans="1:7">
      <c r="A7" s="492" t="s">
        <v>901</v>
      </c>
      <c r="B7" s="493">
        <v>0</v>
      </c>
      <c r="C7" s="493">
        <v>0</v>
      </c>
      <c r="D7" s="493">
        <v>0</v>
      </c>
      <c r="E7" s="493">
        <v>110628</v>
      </c>
      <c r="F7" s="227" t="s">
        <v>902</v>
      </c>
      <c r="G7" s="227" t="s">
        <v>903</v>
      </c>
    </row>
    <row r="8" spans="1:7">
      <c r="A8" s="78" t="s">
        <v>906</v>
      </c>
      <c r="B8" s="80"/>
      <c r="C8" s="80"/>
      <c r="D8" s="493"/>
      <c r="E8" s="493"/>
    </row>
    <row r="9" spans="1:7">
      <c r="A9" s="81" t="s">
        <v>905</v>
      </c>
      <c r="B9" s="82">
        <v>0</v>
      </c>
      <c r="C9" s="82">
        <v>0</v>
      </c>
      <c r="D9" s="493">
        <v>214646.99</v>
      </c>
      <c r="E9" s="493">
        <v>0</v>
      </c>
      <c r="F9" s="227" t="s">
        <v>902</v>
      </c>
      <c r="G9" s="227" t="s">
        <v>903</v>
      </c>
    </row>
    <row r="10" spans="1:7">
      <c r="A10" s="492" t="s">
        <v>907</v>
      </c>
      <c r="B10" s="82">
        <v>0</v>
      </c>
      <c r="C10" s="82">
        <v>0</v>
      </c>
      <c r="D10" s="493">
        <v>0.29999999998835847</v>
      </c>
      <c r="E10" s="493">
        <v>0</v>
      </c>
      <c r="F10" s="227" t="s">
        <v>674</v>
      </c>
      <c r="G10" s="227" t="s">
        <v>908</v>
      </c>
    </row>
    <row r="11" spans="1:7">
      <c r="A11" s="492" t="s">
        <v>909</v>
      </c>
      <c r="B11" s="82">
        <v>0</v>
      </c>
      <c r="C11" s="82">
        <v>0</v>
      </c>
      <c r="D11" s="493">
        <v>198625.57</v>
      </c>
      <c r="E11" s="493">
        <v>0</v>
      </c>
      <c r="F11" s="227" t="s">
        <v>674</v>
      </c>
      <c r="G11" s="227" t="s">
        <v>908</v>
      </c>
    </row>
    <row r="12" spans="1:7">
      <c r="A12" s="492" t="s">
        <v>910</v>
      </c>
      <c r="B12" s="82">
        <v>0</v>
      </c>
      <c r="C12" s="82">
        <v>0</v>
      </c>
      <c r="D12" s="493">
        <v>193519.1</v>
      </c>
      <c r="E12" s="493">
        <v>0</v>
      </c>
      <c r="F12" s="227" t="s">
        <v>674</v>
      </c>
      <c r="G12" s="227" t="s">
        <v>908</v>
      </c>
    </row>
    <row r="13" spans="1:7">
      <c r="A13" s="492" t="s">
        <v>911</v>
      </c>
      <c r="B13" s="82">
        <v>0</v>
      </c>
      <c r="C13" s="82">
        <v>0</v>
      </c>
      <c r="D13" s="493">
        <v>31739.96</v>
      </c>
      <c r="E13" s="493">
        <v>0</v>
      </c>
      <c r="F13" s="227" t="s">
        <v>674</v>
      </c>
      <c r="G13" s="227" t="s">
        <v>908</v>
      </c>
    </row>
    <row r="14" spans="1:7">
      <c r="A14" s="492" t="s">
        <v>901</v>
      </c>
      <c r="B14" s="82">
        <v>0</v>
      </c>
      <c r="C14" s="82">
        <v>0</v>
      </c>
      <c r="D14" s="493">
        <v>988348</v>
      </c>
      <c r="E14" s="493">
        <v>0</v>
      </c>
      <c r="F14" s="227" t="s">
        <v>902</v>
      </c>
      <c r="G14" s="227" t="s">
        <v>903</v>
      </c>
    </row>
    <row r="15" spans="1:7">
      <c r="A15" s="492" t="s">
        <v>912</v>
      </c>
      <c r="B15" s="82">
        <v>0</v>
      </c>
      <c r="C15" s="82">
        <v>0</v>
      </c>
      <c r="D15" s="493">
        <v>0.18000000000006366</v>
      </c>
      <c r="E15" s="493">
        <v>0</v>
      </c>
      <c r="F15" s="227" t="s">
        <v>674</v>
      </c>
      <c r="G15" s="227" t="s">
        <v>908</v>
      </c>
    </row>
    <row r="16" spans="1:7">
      <c r="A16" s="492" t="s">
        <v>913</v>
      </c>
      <c r="B16" s="82">
        <v>0</v>
      </c>
      <c r="C16" s="82">
        <v>0</v>
      </c>
      <c r="D16" s="493">
        <v>0</v>
      </c>
      <c r="E16" s="493">
        <v>9732</v>
      </c>
      <c r="F16" s="227" t="s">
        <v>674</v>
      </c>
      <c r="G16" s="227" t="s">
        <v>908</v>
      </c>
    </row>
    <row r="17" spans="1:7">
      <c r="A17" s="492" t="s">
        <v>914</v>
      </c>
      <c r="B17" s="82">
        <v>0</v>
      </c>
      <c r="C17" s="82">
        <v>0</v>
      </c>
      <c r="D17" s="493">
        <v>0</v>
      </c>
      <c r="E17" s="493">
        <v>19072</v>
      </c>
      <c r="F17" s="227" t="s">
        <v>674</v>
      </c>
      <c r="G17" s="227" t="s">
        <v>908</v>
      </c>
    </row>
    <row r="18" spans="1:7">
      <c r="A18" s="492" t="s">
        <v>915</v>
      </c>
      <c r="B18" s="82">
        <v>0</v>
      </c>
      <c r="C18" s="82">
        <v>0</v>
      </c>
      <c r="D18" s="493">
        <v>0</v>
      </c>
      <c r="E18" s="495">
        <v>33</v>
      </c>
      <c r="F18" s="227" t="s">
        <v>674</v>
      </c>
      <c r="G18" s="227" t="s">
        <v>908</v>
      </c>
    </row>
    <row r="19" spans="1:7">
      <c r="A19" s="492" t="s">
        <v>916</v>
      </c>
      <c r="B19" s="82">
        <v>0</v>
      </c>
      <c r="C19" s="82">
        <v>0</v>
      </c>
      <c r="D19" s="493">
        <v>0</v>
      </c>
      <c r="E19" s="495">
        <v>5220</v>
      </c>
      <c r="F19" s="227" t="s">
        <v>674</v>
      </c>
      <c r="G19" s="227" t="s">
        <v>908</v>
      </c>
    </row>
    <row r="20" spans="1:7">
      <c r="A20" s="492" t="s">
        <v>917</v>
      </c>
      <c r="B20" s="82">
        <v>0</v>
      </c>
      <c r="C20" s="82">
        <v>0</v>
      </c>
      <c r="D20" s="493">
        <v>0</v>
      </c>
      <c r="E20" s="495">
        <v>270</v>
      </c>
      <c r="F20" s="227" t="s">
        <v>674</v>
      </c>
      <c r="G20" s="227" t="s">
        <v>908</v>
      </c>
    </row>
    <row r="21" spans="1:7">
      <c r="A21" s="492" t="s">
        <v>918</v>
      </c>
      <c r="B21" s="82">
        <v>0</v>
      </c>
      <c r="C21" s="82">
        <v>0</v>
      </c>
      <c r="D21" s="493">
        <v>0</v>
      </c>
      <c r="E21" s="495">
        <v>5258.89</v>
      </c>
      <c r="F21" s="227" t="s">
        <v>674</v>
      </c>
      <c r="G21" s="227" t="s">
        <v>908</v>
      </c>
    </row>
    <row r="22" spans="1:7">
      <c r="A22" s="492" t="s">
        <v>919</v>
      </c>
      <c r="B22" s="82">
        <v>0</v>
      </c>
      <c r="C22" s="82">
        <v>0</v>
      </c>
      <c r="D22" s="493">
        <v>0</v>
      </c>
      <c r="E22" s="495">
        <v>5735.98</v>
      </c>
      <c r="F22" s="227" t="s">
        <v>674</v>
      </c>
      <c r="G22" s="227" t="s">
        <v>908</v>
      </c>
    </row>
    <row r="23" spans="1:7">
      <c r="A23" s="494" t="s">
        <v>920</v>
      </c>
      <c r="B23" s="82">
        <v>0</v>
      </c>
      <c r="C23" s="82">
        <v>0</v>
      </c>
      <c r="D23" s="493">
        <v>0</v>
      </c>
      <c r="E23" s="495">
        <v>4862</v>
      </c>
      <c r="F23" s="227" t="s">
        <v>674</v>
      </c>
      <c r="G23" s="227" t="s">
        <v>908</v>
      </c>
    </row>
    <row r="24" spans="1:7">
      <c r="A24" s="494" t="s">
        <v>921</v>
      </c>
      <c r="B24" s="82">
        <v>0</v>
      </c>
      <c r="C24" s="82">
        <v>0</v>
      </c>
      <c r="D24" s="493">
        <v>0</v>
      </c>
      <c r="E24" s="495">
        <v>6748.09</v>
      </c>
      <c r="F24" s="227" t="s">
        <v>674</v>
      </c>
      <c r="G24" s="227" t="s">
        <v>908</v>
      </c>
    </row>
    <row r="25" spans="1:7">
      <c r="A25" s="494" t="s">
        <v>922</v>
      </c>
      <c r="B25" s="82">
        <v>0</v>
      </c>
      <c r="C25" s="82">
        <v>0</v>
      </c>
      <c r="D25" s="493">
        <v>0</v>
      </c>
      <c r="E25" s="495">
        <v>5</v>
      </c>
      <c r="F25" s="227" t="s">
        <v>674</v>
      </c>
      <c r="G25" s="227" t="s">
        <v>908</v>
      </c>
    </row>
    <row r="26" spans="1:7">
      <c r="A26" s="494" t="s">
        <v>923</v>
      </c>
      <c r="B26" s="82">
        <v>0</v>
      </c>
      <c r="C26" s="82">
        <v>0</v>
      </c>
      <c r="D26" s="493">
        <v>0</v>
      </c>
      <c r="E26" s="495">
        <v>82729.81</v>
      </c>
      <c r="F26" s="227" t="s">
        <v>674</v>
      </c>
      <c r="G26" s="227" t="s">
        <v>908</v>
      </c>
    </row>
    <row r="27" spans="1:7">
      <c r="A27" s="494" t="s">
        <v>924</v>
      </c>
      <c r="B27" s="82">
        <v>0</v>
      </c>
      <c r="C27" s="82">
        <v>0</v>
      </c>
      <c r="D27" s="493">
        <v>0</v>
      </c>
      <c r="E27" s="495">
        <v>130159.9</v>
      </c>
      <c r="F27" s="227" t="s">
        <v>674</v>
      </c>
      <c r="G27" s="227" t="s">
        <v>908</v>
      </c>
    </row>
    <row r="28" spans="1:7">
      <c r="A28" s="494" t="s">
        <v>925</v>
      </c>
      <c r="B28" s="82">
        <v>0</v>
      </c>
      <c r="C28" s="82">
        <v>0</v>
      </c>
      <c r="D28" s="493">
        <v>0</v>
      </c>
      <c r="E28" s="495">
        <v>808.23</v>
      </c>
      <c r="F28" s="227" t="s">
        <v>674</v>
      </c>
      <c r="G28" s="227" t="s">
        <v>908</v>
      </c>
    </row>
    <row r="29" spans="1:7">
      <c r="A29" s="494" t="s">
        <v>926</v>
      </c>
      <c r="B29" s="82">
        <v>0</v>
      </c>
      <c r="C29" s="82">
        <v>0</v>
      </c>
      <c r="D29" s="493">
        <v>0</v>
      </c>
      <c r="E29" s="495">
        <v>43436.380000000005</v>
      </c>
      <c r="F29" s="227" t="s">
        <v>674</v>
      </c>
      <c r="G29" s="227" t="s">
        <v>908</v>
      </c>
    </row>
    <row r="30" spans="1:7">
      <c r="A30" s="494" t="s">
        <v>927</v>
      </c>
      <c r="B30" s="82">
        <v>0</v>
      </c>
      <c r="C30" s="82">
        <v>0</v>
      </c>
      <c r="D30" s="493">
        <v>0</v>
      </c>
      <c r="E30" s="495">
        <v>111699.63</v>
      </c>
      <c r="F30" s="227" t="s">
        <v>674</v>
      </c>
      <c r="G30" s="227" t="s">
        <v>908</v>
      </c>
    </row>
    <row r="31" spans="1:7">
      <c r="A31" s="494" t="s">
        <v>928</v>
      </c>
      <c r="B31" s="82">
        <v>0</v>
      </c>
      <c r="C31" s="82">
        <v>0</v>
      </c>
      <c r="D31" s="493">
        <v>0</v>
      </c>
      <c r="E31" s="495">
        <v>1636</v>
      </c>
      <c r="F31" s="227" t="s">
        <v>674</v>
      </c>
      <c r="G31" s="227" t="s">
        <v>908</v>
      </c>
    </row>
    <row r="32" spans="1:7">
      <c r="A32" s="494" t="s">
        <v>929</v>
      </c>
      <c r="B32" s="82">
        <v>0</v>
      </c>
      <c r="C32" s="82">
        <v>0</v>
      </c>
      <c r="D32" s="493">
        <v>236</v>
      </c>
      <c r="E32" s="493">
        <v>0</v>
      </c>
      <c r="F32" s="227" t="s">
        <v>674</v>
      </c>
      <c r="G32" s="227" t="s">
        <v>908</v>
      </c>
    </row>
    <row r="33" spans="1:7">
      <c r="A33" s="496"/>
      <c r="B33" s="497"/>
      <c r="C33" s="497"/>
      <c r="D33" s="497"/>
      <c r="E33" s="497"/>
    </row>
    <row r="34" spans="1:7" ht="14.4" thickBot="1">
      <c r="A34" s="498" t="s">
        <v>56</v>
      </c>
      <c r="B34" s="499">
        <f>SUBTOTAL(9,B4:B33)</f>
        <v>0</v>
      </c>
      <c r="C34" s="499">
        <f>SUBTOTAL(9,C4:C33)</f>
        <v>14085282.09</v>
      </c>
      <c r="D34" s="499">
        <f>SUBTOTAL(9,D4:D33)</f>
        <v>1627116.0999999999</v>
      </c>
      <c r="E34" s="499">
        <f>SUBTOTAL(9,E4:E33)</f>
        <v>16474586.740000006</v>
      </c>
    </row>
    <row r="35" spans="1:7" ht="15" thickTop="1" thickBot="1">
      <c r="A35" s="500"/>
      <c r="B35" s="501"/>
      <c r="C35" s="502">
        <f>+B34-C34</f>
        <v>-14085282.09</v>
      </c>
      <c r="D35" s="501"/>
      <c r="E35" s="502">
        <f>+D34-E34</f>
        <v>-14847470.640000006</v>
      </c>
      <c r="F35" s="227">
        <v>14844184.840000002</v>
      </c>
    </row>
    <row r="36" spans="1:7" ht="14.4" thickTop="1"/>
    <row r="38" spans="1:7">
      <c r="B38" s="83"/>
      <c r="C38" s="83">
        <f>+C39-B39</f>
        <v>0</v>
      </c>
      <c r="D38" s="83"/>
      <c r="E38" s="83">
        <f>+E39-D39</f>
        <v>0</v>
      </c>
      <c r="F38" s="83"/>
      <c r="G38" s="83">
        <f>+G39-F39</f>
        <v>0</v>
      </c>
    </row>
    <row r="39" spans="1:7">
      <c r="B39" s="83">
        <f t="shared" ref="B39:G39" si="0">+_xlfn.AGGREGATE(9,0,B42:B42)</f>
        <v>0</v>
      </c>
      <c r="C39" s="83">
        <f t="shared" si="0"/>
        <v>0</v>
      </c>
      <c r="D39" s="83">
        <f t="shared" si="0"/>
        <v>0</v>
      </c>
      <c r="E39" s="83">
        <f t="shared" si="0"/>
        <v>0</v>
      </c>
      <c r="F39" s="83">
        <f t="shared" si="0"/>
        <v>0</v>
      </c>
      <c r="G39" s="83">
        <f t="shared" si="0"/>
        <v>0</v>
      </c>
    </row>
    <row r="40" spans="1:7" ht="27.6" customHeight="1">
      <c r="A40" s="503" t="s">
        <v>58</v>
      </c>
      <c r="B40" s="644" t="s">
        <v>930</v>
      </c>
      <c r="C40" s="645"/>
      <c r="D40" s="641" t="s">
        <v>931</v>
      </c>
      <c r="E40" s="642"/>
      <c r="F40" s="643" t="s">
        <v>899</v>
      </c>
      <c r="G40" s="643"/>
    </row>
    <row r="41" spans="1:7">
      <c r="A41" s="78" t="s">
        <v>15</v>
      </c>
      <c r="B41" s="84" t="s">
        <v>751</v>
      </c>
      <c r="C41" s="84" t="s">
        <v>752</v>
      </c>
      <c r="D41" s="84" t="s">
        <v>751</v>
      </c>
      <c r="E41" s="84" t="s">
        <v>752</v>
      </c>
      <c r="F41" s="84" t="s">
        <v>751</v>
      </c>
      <c r="G41" s="84" t="s">
        <v>752</v>
      </c>
    </row>
    <row r="42" spans="1:7">
      <c r="A42" s="85" t="s">
        <v>932</v>
      </c>
      <c r="B42" s="492"/>
      <c r="C42" s="492"/>
      <c r="D42" s="492"/>
      <c r="E42" s="492"/>
      <c r="F42" s="492"/>
      <c r="G42" s="492"/>
    </row>
    <row r="44" spans="1:7">
      <c r="A44" s="231" t="s">
        <v>933</v>
      </c>
    </row>
  </sheetData>
  <autoFilter ref="A2:G35" xr:uid="{00000000-0001-0000-0F00-000000000000}"/>
  <mergeCells count="5">
    <mergeCell ref="B1:C1"/>
    <mergeCell ref="D40:E40"/>
    <mergeCell ref="F40:G40"/>
    <mergeCell ref="D1:E1"/>
    <mergeCell ref="B40:C40"/>
  </mergeCells>
  <pageMargins left="0.7" right="0.7" top="0.75" bottom="0.75" header="0.3" footer="0.3"/>
  <pageSetup scale="42"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1"/>
  <sheetViews>
    <sheetView showGridLines="0" view="pageBreakPreview" topLeftCell="A18" zoomScaleNormal="100" zoomScaleSheetLayoutView="100" workbookViewId="0">
      <selection activeCell="A45" sqref="A45:D45"/>
    </sheetView>
  </sheetViews>
  <sheetFormatPr defaultColWidth="9.109375" defaultRowHeight="13.8"/>
  <cols>
    <col min="1" max="1" width="55.6640625" style="227" customWidth="1"/>
    <col min="2" max="2" width="8.44140625" style="227" customWidth="1"/>
    <col min="3" max="4" width="20.6640625" style="227" customWidth="1"/>
    <col min="5" max="5" width="17" style="227" bestFit="1" customWidth="1"/>
    <col min="6" max="6" width="15.88671875" style="227" customWidth="1"/>
    <col min="7" max="7" width="9.5546875" style="227" bestFit="1" customWidth="1"/>
    <col min="8" max="16384" width="9.109375" style="227"/>
  </cols>
  <sheetData>
    <row r="1" spans="1:4">
      <c r="A1" s="610" t="str">
        <f>+PL!A1</f>
        <v>CARGO INTERNATIONAL (INDIA) PRIVATE LIMITED</v>
      </c>
      <c r="B1" s="611"/>
      <c r="C1" s="611"/>
      <c r="D1" s="612"/>
    </row>
    <row r="2" spans="1:4">
      <c r="A2" s="613" t="s">
        <v>1071</v>
      </c>
      <c r="B2" s="614"/>
      <c r="C2" s="614"/>
      <c r="D2" s="615"/>
    </row>
    <row r="3" spans="1:4">
      <c r="A3" s="613" t="s">
        <v>92</v>
      </c>
      <c r="B3" s="614"/>
      <c r="C3" s="614"/>
      <c r="D3" s="615"/>
    </row>
    <row r="4" spans="1:4" ht="22.5" customHeight="1">
      <c r="A4" s="646" t="str">
        <f>+PL!A4</f>
        <v>Old No.7 / New No.13, First Floor, First Cross Street, Trustpuram, Kodambakkam, Chennai - 600024, India</v>
      </c>
      <c r="B4" s="647"/>
      <c r="C4" s="647"/>
      <c r="D4" s="648"/>
    </row>
    <row r="5" spans="1:4" ht="14.4" thickBot="1">
      <c r="A5" s="649" t="str">
        <f>+"(Unless otherwise specified, all amounts are "&amp;IF('Master data'!A2="Ones","Indian Rupees","in "&amp;'Master data'!A2&amp;" of INR)")</f>
        <v>(Unless otherwise specified, all amounts are Indian Rupees</v>
      </c>
      <c r="B5" s="650"/>
      <c r="C5" s="650"/>
      <c r="D5" s="651"/>
    </row>
    <row r="6" spans="1:4">
      <c r="A6" s="619" t="s">
        <v>15</v>
      </c>
      <c r="B6" s="379"/>
      <c r="C6" s="380" t="s">
        <v>94</v>
      </c>
      <c r="D6" s="381" t="s">
        <v>94</v>
      </c>
    </row>
    <row r="7" spans="1:4" ht="14.4" thickBot="1">
      <c r="A7" s="620"/>
      <c r="B7" s="382"/>
      <c r="C7" s="383" t="str">
        <f>PL!D7</f>
        <v>31st March, 2026</v>
      </c>
      <c r="D7" s="383" t="str">
        <f>PL!E7</f>
        <v>31st March, 2025</v>
      </c>
    </row>
    <row r="8" spans="1:4">
      <c r="A8" s="240"/>
      <c r="B8" s="303"/>
      <c r="C8" s="241"/>
      <c r="D8" s="384"/>
    </row>
    <row r="9" spans="1:4">
      <c r="A9" s="110" t="s">
        <v>129</v>
      </c>
      <c r="C9" s="221"/>
      <c r="D9" s="385"/>
    </row>
    <row r="10" spans="1:4">
      <c r="A10" s="105"/>
      <c r="C10" s="221"/>
      <c r="D10" s="385"/>
    </row>
    <row r="11" spans="1:4">
      <c r="A11" s="110" t="s">
        <v>130</v>
      </c>
      <c r="B11" s="231"/>
      <c r="C11" s="386">
        <f>+PL!D27</f>
        <v>-9432613.0592196882</v>
      </c>
      <c r="D11" s="387">
        <f>+PL!E27</f>
        <v>2653190.3241221607</v>
      </c>
    </row>
    <row r="12" spans="1:4">
      <c r="A12" s="388" t="s">
        <v>131</v>
      </c>
      <c r="B12" s="389"/>
      <c r="C12" s="390"/>
      <c r="D12" s="385"/>
    </row>
    <row r="13" spans="1:4">
      <c r="A13" s="391" t="s">
        <v>107</v>
      </c>
      <c r="B13" s="392"/>
      <c r="C13" s="393">
        <f>+PL!D19</f>
        <v>264309</v>
      </c>
      <c r="D13" s="365">
        <f>+PL!E19</f>
        <v>269898.93</v>
      </c>
    </row>
    <row r="14" spans="1:4">
      <c r="A14" s="391" t="s">
        <v>132</v>
      </c>
      <c r="B14" s="392"/>
      <c r="C14" s="393">
        <f>+'NOTE 4-8'!B12</f>
        <v>0</v>
      </c>
      <c r="D14" s="365">
        <v>0</v>
      </c>
    </row>
    <row r="15" spans="1:4">
      <c r="A15" s="391" t="s">
        <v>133</v>
      </c>
      <c r="B15" s="392"/>
      <c r="C15" s="393">
        <f>+'NOTE 4-8'!B13</f>
        <v>5.8207660913467407E-11</v>
      </c>
      <c r="D15" s="365">
        <f>+'NOTE 4-8'!C13</f>
        <v>14106836.380000001</v>
      </c>
    </row>
    <row r="16" spans="1:4">
      <c r="A16" s="391" t="s">
        <v>134</v>
      </c>
      <c r="B16" s="392"/>
      <c r="C16" s="393">
        <f>+PL!D17</f>
        <v>251861.01</v>
      </c>
      <c r="D16" s="365">
        <f>+PL!E17</f>
        <v>266439.70000000007</v>
      </c>
    </row>
    <row r="17" spans="1:4" ht="14.4" thickBot="1">
      <c r="A17" s="223" t="s">
        <v>135</v>
      </c>
      <c r="B17" s="392"/>
      <c r="C17" s="229">
        <f>SUM(C11:C16)</f>
        <v>-8916443.0492196884</v>
      </c>
      <c r="D17" s="230">
        <f>SUM(D11:D16)</f>
        <v>17296365.334122162</v>
      </c>
    </row>
    <row r="18" spans="1:4" ht="14.4" thickTop="1">
      <c r="A18" s="105"/>
      <c r="D18" s="385"/>
    </row>
    <row r="19" spans="1:4">
      <c r="A19" s="388" t="s">
        <v>136</v>
      </c>
      <c r="B19" s="389"/>
      <c r="C19" s="389"/>
      <c r="D19" s="385"/>
    </row>
    <row r="20" spans="1:4">
      <c r="A20" s="105" t="s">
        <v>137</v>
      </c>
      <c r="C20" s="220">
        <f>-BS!C39+BS!D39</f>
        <v>-7287708.465833338</v>
      </c>
      <c r="D20" s="394">
        <f>2222413.90333331/Deno</f>
        <v>2222413.90333331</v>
      </c>
    </row>
    <row r="21" spans="1:4">
      <c r="A21" s="105" t="s">
        <v>138</v>
      </c>
      <c r="C21" s="220">
        <f>-BS!C37+BS!D37</f>
        <v>14889553.211132035</v>
      </c>
      <c r="D21" s="394">
        <f>-36525991.49/Deno</f>
        <v>-36525991.490000002</v>
      </c>
    </row>
    <row r="22" spans="1:4">
      <c r="A22" s="105" t="s">
        <v>139</v>
      </c>
      <c r="C22" s="220">
        <f>+BS!C23-BS!D23</f>
        <v>18628449.914592028</v>
      </c>
      <c r="D22" s="394">
        <f>35894501.36/Deno</f>
        <v>35894501.359999999</v>
      </c>
    </row>
    <row r="23" spans="1:4">
      <c r="A23" s="105"/>
      <c r="C23" s="220"/>
      <c r="D23" s="394"/>
    </row>
    <row r="24" spans="1:4">
      <c r="A24" s="105" t="s">
        <v>140</v>
      </c>
      <c r="C24" s="220">
        <f>-PL!D31</f>
        <v>0</v>
      </c>
      <c r="D24" s="394">
        <f>-PL!E31</f>
        <v>-654762.48607176205</v>
      </c>
    </row>
    <row r="25" spans="1:4">
      <c r="A25" s="105"/>
      <c r="C25" s="390"/>
      <c r="D25" s="385"/>
    </row>
    <row r="26" spans="1:4" ht="14.4" thickBot="1">
      <c r="A26" s="110" t="s">
        <v>141</v>
      </c>
      <c r="B26" s="231"/>
      <c r="C26" s="229">
        <f>SUM(C17:C24)</f>
        <v>17313851.610671036</v>
      </c>
      <c r="D26" s="230">
        <f>SUM(D17:D24)</f>
        <v>18232526.621383708</v>
      </c>
    </row>
    <row r="27" spans="1:4" ht="14.4" thickTop="1">
      <c r="A27" s="105"/>
      <c r="C27" s="390"/>
      <c r="D27" s="385"/>
    </row>
    <row r="28" spans="1:4">
      <c r="A28" s="110" t="s">
        <v>142</v>
      </c>
      <c r="C28" s="390"/>
      <c r="D28" s="385"/>
    </row>
    <row r="29" spans="1:4">
      <c r="A29" s="105" t="s">
        <v>143</v>
      </c>
      <c r="C29" s="220">
        <f>-'Note 9'!C20+'Note 9'!D20</f>
        <v>-374327.06</v>
      </c>
      <c r="D29" s="394">
        <f>-88966.11/Deno</f>
        <v>-88966.11</v>
      </c>
    </row>
    <row r="30" spans="1:4">
      <c r="A30" s="105" t="s">
        <v>144</v>
      </c>
      <c r="C30" s="220">
        <f>-BS!C33+BS!D33</f>
        <v>-3398597.2199999988</v>
      </c>
      <c r="D30" s="394">
        <f>-2301145.87392824/Deno</f>
        <v>-2301145.87392824</v>
      </c>
    </row>
    <row r="31" spans="1:4" ht="14.4" thickBot="1">
      <c r="A31" s="110" t="s">
        <v>145</v>
      </c>
      <c r="B31" s="231"/>
      <c r="C31" s="229">
        <f>SUM(C29:C30)</f>
        <v>-3772924.2799999989</v>
      </c>
      <c r="D31" s="230">
        <f>SUM(D29:D30)</f>
        <v>-2390111.9839282399</v>
      </c>
    </row>
    <row r="32" spans="1:4" ht="14.4" thickTop="1">
      <c r="A32" s="105"/>
      <c r="C32" s="393"/>
      <c r="D32" s="365"/>
    </row>
    <row r="33" spans="1:6">
      <c r="A33" s="110" t="s">
        <v>146</v>
      </c>
      <c r="C33" s="393"/>
      <c r="D33" s="365"/>
    </row>
    <row r="34" spans="1:6">
      <c r="A34" s="105" t="s">
        <v>134</v>
      </c>
      <c r="C34" s="220">
        <f>-C16</f>
        <v>-251861.01</v>
      </c>
      <c r="D34" s="394">
        <f>-D16</f>
        <v>-266439.70000000007</v>
      </c>
    </row>
    <row r="35" spans="1:6">
      <c r="A35" s="105"/>
      <c r="C35" s="393"/>
      <c r="D35" s="365"/>
    </row>
    <row r="36" spans="1:6" ht="14.4" thickBot="1">
      <c r="A36" s="110" t="s">
        <v>147</v>
      </c>
      <c r="B36" s="231"/>
      <c r="C36" s="229">
        <f>SUM(C34:C35)</f>
        <v>-251861.01</v>
      </c>
      <c r="D36" s="230">
        <f>SUM(D34:D35)</f>
        <v>-266439.70000000007</v>
      </c>
    </row>
    <row r="37" spans="1:6" ht="14.4" thickTop="1">
      <c r="A37" s="105"/>
      <c r="C37" s="393"/>
      <c r="D37" s="365"/>
    </row>
    <row r="38" spans="1:6" ht="14.4" thickBot="1">
      <c r="A38" s="110" t="s">
        <v>148</v>
      </c>
      <c r="C38" s="229">
        <f>C26+C31+C36</f>
        <v>13289066.320671037</v>
      </c>
      <c r="D38" s="230">
        <f>D26+D31+D36</f>
        <v>15575974.937455468</v>
      </c>
    </row>
    <row r="39" spans="1:6" ht="14.4" thickTop="1">
      <c r="A39" s="105"/>
      <c r="D39" s="365"/>
    </row>
    <row r="40" spans="1:6">
      <c r="A40" s="105" t="s">
        <v>149</v>
      </c>
      <c r="C40" s="220">
        <f>+D41</f>
        <v>21693546.194991197</v>
      </c>
      <c r="D40" s="226">
        <f>6117571.56499107/Deno</f>
        <v>6117571.56499107</v>
      </c>
    </row>
    <row r="41" spans="1:6">
      <c r="A41" s="105" t="s">
        <v>150</v>
      </c>
      <c r="C41" s="220">
        <f>+BS!C38</f>
        <v>34223709.754991204</v>
      </c>
      <c r="D41" s="226">
        <f>+BS!D38</f>
        <v>21693546.194991197</v>
      </c>
    </row>
    <row r="42" spans="1:6">
      <c r="A42" s="105"/>
      <c r="D42" s="365"/>
    </row>
    <row r="43" spans="1:6" ht="14.4" thickBot="1">
      <c r="A43" s="110" t="s">
        <v>151</v>
      </c>
      <c r="C43" s="229">
        <f>C41-C40</f>
        <v>12530163.560000006</v>
      </c>
      <c r="D43" s="230">
        <f>D41-D40</f>
        <v>15575974.630000127</v>
      </c>
      <c r="E43" s="469">
        <f>+C38-C43</f>
        <v>758902.76067103073</v>
      </c>
      <c r="F43" s="469">
        <f>+D38-D43</f>
        <v>0.30745534040033817</v>
      </c>
    </row>
    <row r="44" spans="1:6" ht="15" thickTop="1" thickBot="1">
      <c r="A44" s="121"/>
      <c r="B44" s="235"/>
      <c r="C44" s="235"/>
      <c r="D44" s="236"/>
    </row>
    <row r="45" spans="1:6">
      <c r="A45" s="607" t="s">
        <v>70</v>
      </c>
      <c r="B45" s="608"/>
      <c r="C45" s="608"/>
      <c r="D45" s="609"/>
      <c r="E45" s="227">
        <f>+E43*Deno</f>
        <v>758902.76067103073</v>
      </c>
      <c r="F45" s="227">
        <f>+F43*Deno</f>
        <v>0.30745534040033817</v>
      </c>
    </row>
    <row r="46" spans="1:6">
      <c r="A46" s="607" t="s">
        <v>71</v>
      </c>
      <c r="B46" s="608"/>
      <c r="C46" s="608"/>
      <c r="D46" s="609"/>
    </row>
    <row r="47" spans="1:6">
      <c r="A47" s="105"/>
      <c r="B47" s="395"/>
      <c r="C47" s="395"/>
      <c r="D47" s="226"/>
      <c r="E47" s="220"/>
    </row>
    <row r="48" spans="1:6">
      <c r="A48" s="396" t="s">
        <v>72</v>
      </c>
      <c r="B48" s="608" t="s">
        <v>73</v>
      </c>
      <c r="C48" s="608"/>
      <c r="D48" s="609"/>
    </row>
    <row r="49" spans="1:4">
      <c r="A49" s="397" t="s">
        <v>74</v>
      </c>
      <c r="B49" s="632" t="str">
        <f>+PL!C44</f>
        <v>CARGO INTERNATIONAL (INDIA) PVT. LTD</v>
      </c>
      <c r="C49" s="632"/>
      <c r="D49" s="633"/>
    </row>
    <row r="50" spans="1:4">
      <c r="A50" s="397" t="s">
        <v>76</v>
      </c>
      <c r="D50" s="226"/>
    </row>
    <row r="51" spans="1:4">
      <c r="A51" s="397" t="s">
        <v>77</v>
      </c>
      <c r="D51" s="226"/>
    </row>
    <row r="52" spans="1:4">
      <c r="A52" s="397"/>
      <c r="D52" s="226"/>
    </row>
    <row r="53" spans="1:4">
      <c r="A53" s="397"/>
      <c r="D53" s="226"/>
    </row>
    <row r="54" spans="1:4">
      <c r="A54" s="398"/>
      <c r="D54" s="226"/>
    </row>
    <row r="55" spans="1:4">
      <c r="A55" s="399" t="s">
        <v>78</v>
      </c>
      <c r="B55" s="231" t="str">
        <f>+PL!C50</f>
        <v>Suresh Padmanabhan</v>
      </c>
      <c r="C55" s="231"/>
      <c r="D55" s="232" t="str">
        <f>+PL!E50</f>
        <v>Vignesh Natarajan</v>
      </c>
    </row>
    <row r="56" spans="1:4">
      <c r="A56" s="397" t="s">
        <v>81</v>
      </c>
      <c r="B56" s="231" t="s">
        <v>82</v>
      </c>
      <c r="C56" s="231"/>
      <c r="D56" s="232" t="str">
        <f>+PL!E51</f>
        <v>Director</v>
      </c>
    </row>
    <row r="57" spans="1:4">
      <c r="A57" s="397" t="s">
        <v>83</v>
      </c>
      <c r="B57" s="231" t="str">
        <f>+PL!C52</f>
        <v>DIN: 08284074</v>
      </c>
      <c r="C57" s="231"/>
      <c r="D57" s="232" t="str">
        <f>+PL!E52</f>
        <v>DIN: 08284068</v>
      </c>
    </row>
    <row r="58" spans="1:4">
      <c r="A58" s="105" t="s">
        <v>86</v>
      </c>
      <c r="B58" s="227" t="str">
        <f>+PL!C53</f>
        <v>Place : Birmingham</v>
      </c>
      <c r="D58" s="228" t="str">
        <f>+PL!E53</f>
        <v>Place : Chennai</v>
      </c>
    </row>
    <row r="59" spans="1:4">
      <c r="A59" s="105" t="str">
        <f>+PL!A54</f>
        <v xml:space="preserve"> Date : </v>
      </c>
      <c r="B59" s="227" t="str">
        <f>+PL!C54</f>
        <v xml:space="preserve">Date: </v>
      </c>
      <c r="C59" s="231"/>
      <c r="D59" s="228" t="str">
        <f>+PL!E54</f>
        <v xml:space="preserve">Date: </v>
      </c>
    </row>
    <row r="60" spans="1:4">
      <c r="A60" s="105" t="str">
        <f>+PL!A55</f>
        <v xml:space="preserve"> UDIN :  </v>
      </c>
      <c r="B60" s="395"/>
      <c r="C60" s="395"/>
      <c r="D60" s="226"/>
    </row>
    <row r="61" spans="1:4" ht="14.4" thickBot="1">
      <c r="A61" s="121"/>
      <c r="B61" s="400"/>
      <c r="C61" s="400"/>
      <c r="D61" s="401"/>
    </row>
  </sheetData>
  <mergeCells count="10">
    <mergeCell ref="B48:D48"/>
    <mergeCell ref="B49:D49"/>
    <mergeCell ref="A1:D1"/>
    <mergeCell ref="A2:D2"/>
    <mergeCell ref="A3:D3"/>
    <mergeCell ref="A4:D4"/>
    <mergeCell ref="A5:D5"/>
    <mergeCell ref="A6:A7"/>
    <mergeCell ref="A45:D45"/>
    <mergeCell ref="A46:D46"/>
  </mergeCells>
  <printOptions horizontalCentered="1" verticalCentered="1"/>
  <pageMargins left="0.35433070866141736" right="0.35433070866141736" top="0.35433070866141736" bottom="0.35433070866141736" header="0.31496062992125984" footer="0.31496062992125984"/>
  <pageSetup paperSize="9" scale="88" orientation="portrait" r:id="rId1"/>
  <colBreaks count="1" manualBreakCount="1">
    <brk id="4"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96"/>
  <sheetViews>
    <sheetView showGridLines="0" view="pageBreakPreview" zoomScaleNormal="90" zoomScaleSheetLayoutView="100" workbookViewId="0">
      <selection sqref="A1:E1"/>
    </sheetView>
  </sheetViews>
  <sheetFormatPr defaultColWidth="9.109375" defaultRowHeight="13.8"/>
  <cols>
    <col min="1" max="1" width="50.6640625" style="227" customWidth="1"/>
    <col min="2" max="2" width="19.6640625" style="227" customWidth="1"/>
    <col min="3" max="5" width="19.6640625" style="374" customWidth="1"/>
    <col min="6" max="6" width="9.109375" style="227"/>
    <col min="7" max="7" width="12.88671875" style="227" bestFit="1" customWidth="1"/>
    <col min="8" max="16384" width="9.109375" style="227"/>
  </cols>
  <sheetData>
    <row r="1" spans="1:7" ht="15" customHeight="1">
      <c r="A1" s="610" t="s">
        <v>36</v>
      </c>
      <c r="B1" s="611"/>
      <c r="C1" s="611"/>
      <c r="D1" s="611"/>
      <c r="E1" s="612"/>
    </row>
    <row r="2" spans="1:7" ht="15" customHeight="1">
      <c r="A2" s="613" t="s">
        <v>152</v>
      </c>
      <c r="B2" s="614"/>
      <c r="C2" s="614"/>
      <c r="D2" s="614"/>
      <c r="E2" s="615"/>
    </row>
    <row r="3" spans="1:7" ht="15" customHeight="1">
      <c r="A3" s="613" t="str">
        <f>+CFS!A4</f>
        <v>Old No.7 / New No.13, First Floor, First Cross Street, Trustpuram, Kodambakkam, Chennai - 600024, India</v>
      </c>
      <c r="B3" s="614"/>
      <c r="C3" s="614"/>
      <c r="D3" s="614"/>
      <c r="E3" s="615"/>
    </row>
    <row r="4" spans="1:7" ht="15" customHeight="1" thickBot="1">
      <c r="A4" s="534"/>
      <c r="B4" s="535"/>
      <c r="C4" s="535"/>
      <c r="D4" s="535"/>
      <c r="E4" s="520" t="str">
        <f>+"(Unless otherwise specified, all amounts are "&amp;IF('Master data'!A2="Ones","Indian Rupees","in "&amp;'Master data'!A2&amp;" of INR)")</f>
        <v>(Unless otherwise specified, all amounts are Indian Rupees</v>
      </c>
    </row>
    <row r="5" spans="1:7">
      <c r="A5" s="619" t="str">
        <f>+'NOTE 4-8'!A5</f>
        <v>Particulars</v>
      </c>
      <c r="B5" s="303"/>
      <c r="C5" s="311"/>
      <c r="D5" s="237" t="s">
        <v>40</v>
      </c>
      <c r="E5" s="238" t="s">
        <v>40</v>
      </c>
    </row>
    <row r="6" spans="1:7" ht="14.4" thickBot="1">
      <c r="A6" s="620"/>
      <c r="B6" s="235"/>
      <c r="C6" s="312"/>
      <c r="D6" s="239" t="str">
        <f>CFS!C7</f>
        <v>31st March, 2026</v>
      </c>
      <c r="E6" s="239" t="str">
        <f>CFS!D7</f>
        <v>31st March, 2025</v>
      </c>
    </row>
    <row r="7" spans="1:7">
      <c r="A7" s="313" t="s">
        <v>622</v>
      </c>
      <c r="B7" s="314"/>
      <c r="C7" s="315"/>
      <c r="D7" s="316"/>
      <c r="E7" s="317"/>
    </row>
    <row r="8" spans="1:7">
      <c r="A8" s="110" t="s">
        <v>623</v>
      </c>
      <c r="B8" s="231"/>
      <c r="C8" s="227"/>
      <c r="D8" s="318"/>
      <c r="E8" s="319"/>
    </row>
    <row r="9" spans="1:7">
      <c r="A9" s="320" t="s">
        <v>274</v>
      </c>
      <c r="B9" s="231"/>
      <c r="C9" s="227"/>
      <c r="D9" s="321">
        <f>5000000/Deno</f>
        <v>5000000</v>
      </c>
      <c r="E9" s="322">
        <f>5000000/Deno</f>
        <v>5000000</v>
      </c>
      <c r="G9" s="321">
        <f>10^5</f>
        <v>100000</v>
      </c>
    </row>
    <row r="10" spans="1:7" ht="14.4">
      <c r="A10" s="323" t="s">
        <v>624</v>
      </c>
      <c r="C10" s="227"/>
      <c r="D10" s="321"/>
      <c r="E10" s="322"/>
    </row>
    <row r="11" spans="1:7" ht="14.4" thickBot="1">
      <c r="A11" s="105"/>
      <c r="C11" s="227"/>
      <c r="D11" s="324">
        <f>D9</f>
        <v>5000000</v>
      </c>
      <c r="E11" s="325">
        <f>E9</f>
        <v>5000000</v>
      </c>
    </row>
    <row r="12" spans="1:7" ht="14.4" thickTop="1">
      <c r="A12" s="110" t="s">
        <v>625</v>
      </c>
      <c r="B12" s="231"/>
      <c r="C12" s="227"/>
      <c r="D12" s="318"/>
      <c r="E12" s="319"/>
    </row>
    <row r="13" spans="1:7">
      <c r="A13" s="320" t="s">
        <v>274</v>
      </c>
      <c r="B13" s="231"/>
      <c r="C13" s="227"/>
      <c r="D13" s="321">
        <f>200000/Deno</f>
        <v>200000</v>
      </c>
      <c r="E13" s="322">
        <f>200000/Deno</f>
        <v>200000</v>
      </c>
    </row>
    <row r="14" spans="1:7" ht="14.4">
      <c r="A14" s="323" t="s">
        <v>626</v>
      </c>
      <c r="C14" s="227"/>
      <c r="D14" s="339"/>
      <c r="E14" s="340"/>
    </row>
    <row r="15" spans="1:7" ht="15" thickBot="1">
      <c r="A15" s="323"/>
      <c r="C15" s="227"/>
      <c r="D15" s="326">
        <f>SUM(D12:D13)</f>
        <v>200000</v>
      </c>
      <c r="E15" s="327">
        <f>SUM(E12:E13)</f>
        <v>200000</v>
      </c>
    </row>
    <row r="16" spans="1:7" ht="14.4" thickTop="1">
      <c r="A16" s="105"/>
      <c r="C16" s="328"/>
      <c r="D16" s="328"/>
      <c r="E16" s="305"/>
    </row>
    <row r="17" spans="1:7" ht="18.75" customHeight="1">
      <c r="A17" s="329" t="s">
        <v>627</v>
      </c>
      <c r="C17" s="328"/>
      <c r="D17" s="328"/>
      <c r="E17" s="305"/>
    </row>
    <row r="18" spans="1:7" ht="42" customHeight="1">
      <c r="A18" s="655" t="s">
        <v>628</v>
      </c>
      <c r="B18" s="656"/>
      <c r="C18" s="656"/>
      <c r="D18" s="656"/>
      <c r="E18" s="657"/>
    </row>
    <row r="19" spans="1:7">
      <c r="A19" s="105"/>
      <c r="C19" s="328"/>
      <c r="D19" s="328"/>
      <c r="E19" s="305"/>
    </row>
    <row r="20" spans="1:7" ht="15.75" customHeight="1">
      <c r="A20" s="658" t="s">
        <v>629</v>
      </c>
      <c r="B20" s="659"/>
      <c r="C20" s="659"/>
      <c r="D20" s="659"/>
      <c r="E20" s="660"/>
    </row>
    <row r="21" spans="1:7" ht="15.75" customHeight="1">
      <c r="A21" s="658"/>
      <c r="B21" s="659"/>
      <c r="C21" s="659"/>
      <c r="D21" s="659"/>
      <c r="E21" s="660"/>
    </row>
    <row r="22" spans="1:7" ht="15.75" customHeight="1">
      <c r="A22" s="149"/>
      <c r="B22" s="330"/>
      <c r="C22" s="330"/>
      <c r="D22" s="330"/>
      <c r="E22" s="331"/>
    </row>
    <row r="23" spans="1:7">
      <c r="A23" s="329" t="s">
        <v>630</v>
      </c>
      <c r="C23" s="328"/>
      <c r="D23" s="328"/>
      <c r="E23" s="305"/>
    </row>
    <row r="24" spans="1:7">
      <c r="A24" s="661" t="s">
        <v>631</v>
      </c>
      <c r="B24" s="663" t="str">
        <f>+D6</f>
        <v>31st March, 2026</v>
      </c>
      <c r="C24" s="664"/>
      <c r="D24" s="663" t="str">
        <f>+E6</f>
        <v>31st March, 2025</v>
      </c>
      <c r="E24" s="665"/>
    </row>
    <row r="25" spans="1:7">
      <c r="A25" s="662"/>
      <c r="B25" s="332" t="s">
        <v>632</v>
      </c>
      <c r="C25" s="332" t="s">
        <v>633</v>
      </c>
      <c r="D25" s="333" t="s">
        <v>632</v>
      </c>
      <c r="E25" s="334" t="s">
        <v>633</v>
      </c>
    </row>
    <row r="26" spans="1:7">
      <c r="A26" s="105" t="s">
        <v>79</v>
      </c>
      <c r="B26" s="335">
        <v>15998</v>
      </c>
      <c r="C26" s="336">
        <f>+B26/$B$30</f>
        <v>0.79997999799980002</v>
      </c>
      <c r="D26" s="335">
        <v>15998</v>
      </c>
      <c r="E26" s="337">
        <f>+D26/$B$30</f>
        <v>0.79997999799980002</v>
      </c>
      <c r="G26" s="536">
        <f>+D26/20000</f>
        <v>0.79990000000000006</v>
      </c>
    </row>
    <row r="27" spans="1:7">
      <c r="A27" s="105" t="s">
        <v>634</v>
      </c>
      <c r="B27" s="338">
        <v>2000</v>
      </c>
      <c r="C27" s="339">
        <f>+B27/$B$30</f>
        <v>0.1000100010001</v>
      </c>
      <c r="D27" s="338">
        <v>2000</v>
      </c>
      <c r="E27" s="340">
        <f>+D27/$B$30</f>
        <v>0.1000100010001</v>
      </c>
    </row>
    <row r="28" spans="1:7">
      <c r="A28" s="105" t="s">
        <v>635</v>
      </c>
      <c r="B28" s="338">
        <v>2000</v>
      </c>
      <c r="C28" s="339">
        <f>+B28/$B$30</f>
        <v>0.1000100010001</v>
      </c>
      <c r="D28" s="338">
        <v>2000</v>
      </c>
      <c r="E28" s="340">
        <f>+D28/$B$30</f>
        <v>0.1000100010001</v>
      </c>
    </row>
    <row r="29" spans="1:7">
      <c r="A29" s="105"/>
      <c r="B29" s="338"/>
      <c r="C29" s="339"/>
      <c r="D29" s="321"/>
      <c r="E29" s="341"/>
    </row>
    <row r="30" spans="1:7" ht="14.4" thickBot="1">
      <c r="A30" s="110" t="s">
        <v>60</v>
      </c>
      <c r="B30" s="342">
        <f>SUM(B26:B29)</f>
        <v>19998</v>
      </c>
      <c r="C30" s="343">
        <f>SUM(C26:C29)</f>
        <v>1</v>
      </c>
      <c r="D30" s="342">
        <f>SUM(D26:D29)</f>
        <v>19998</v>
      </c>
      <c r="E30" s="344">
        <f>SUM(E26:E29)</f>
        <v>1</v>
      </c>
    </row>
    <row r="31" spans="1:7" ht="14.4" thickTop="1">
      <c r="A31" s="345"/>
      <c r="B31" s="346"/>
      <c r="C31" s="347"/>
      <c r="D31" s="348"/>
      <c r="E31" s="349"/>
    </row>
    <row r="32" spans="1:7">
      <c r="A32" s="110"/>
      <c r="B32" s="350"/>
      <c r="C32" s="350"/>
      <c r="D32" s="350"/>
      <c r="E32" s="351"/>
    </row>
    <row r="33" spans="1:5">
      <c r="A33" s="352" t="s">
        <v>636</v>
      </c>
      <c r="B33" s="353"/>
      <c r="C33" s="353"/>
      <c r="D33" s="353"/>
      <c r="E33" s="354"/>
    </row>
    <row r="34" spans="1:5" ht="15" customHeight="1">
      <c r="A34" s="352"/>
      <c r="B34" s="353"/>
      <c r="C34" s="353"/>
      <c r="D34" s="353"/>
      <c r="E34" s="354"/>
    </row>
    <row r="35" spans="1:5" ht="15" customHeight="1">
      <c r="A35" s="661" t="s">
        <v>15</v>
      </c>
      <c r="B35" s="663" t="str">
        <f>+B24</f>
        <v>31st March, 2026</v>
      </c>
      <c r="C35" s="664"/>
      <c r="D35" s="663" t="str">
        <f>+D24</f>
        <v>31st March, 2025</v>
      </c>
      <c r="E35" s="665"/>
    </row>
    <row r="36" spans="1:5" ht="15" customHeight="1">
      <c r="A36" s="662"/>
      <c r="B36" s="332" t="s">
        <v>632</v>
      </c>
      <c r="C36" s="332" t="s">
        <v>637</v>
      </c>
      <c r="D36" s="333" t="s">
        <v>632</v>
      </c>
      <c r="E36" s="334" t="s">
        <v>637</v>
      </c>
    </row>
    <row r="37" spans="1:5" ht="15" customHeight="1">
      <c r="A37" s="355" t="s">
        <v>638</v>
      </c>
      <c r="B37" s="335">
        <v>20000</v>
      </c>
      <c r="C37" s="335">
        <f>+B37*10</f>
        <v>200000</v>
      </c>
      <c r="D37" s="356">
        <v>20000</v>
      </c>
      <c r="E37" s="357">
        <f>+D37*10</f>
        <v>200000</v>
      </c>
    </row>
    <row r="38" spans="1:5" ht="15" customHeight="1">
      <c r="A38" s="358" t="s">
        <v>639</v>
      </c>
      <c r="B38" s="338">
        <v>0</v>
      </c>
      <c r="C38" s="338">
        <v>0</v>
      </c>
      <c r="D38" s="321">
        <v>0</v>
      </c>
      <c r="E38" s="359">
        <f>+D38*10</f>
        <v>0</v>
      </c>
    </row>
    <row r="39" spans="1:5" ht="15" customHeight="1">
      <c r="A39" s="358" t="s">
        <v>640</v>
      </c>
      <c r="B39" s="338">
        <v>0</v>
      </c>
      <c r="C39" s="338">
        <f>+B39*10</f>
        <v>0</v>
      </c>
      <c r="D39" s="321">
        <v>0</v>
      </c>
      <c r="E39" s="359">
        <f>+D39*10</f>
        <v>0</v>
      </c>
    </row>
    <row r="40" spans="1:5" ht="15" customHeight="1" thickBot="1">
      <c r="A40" s="360" t="s">
        <v>641</v>
      </c>
      <c r="B40" s="342">
        <f>SUM(B37:B39)</f>
        <v>20000</v>
      </c>
      <c r="C40" s="342">
        <f>SUM(C37:C39)</f>
        <v>200000</v>
      </c>
      <c r="D40" s="342">
        <f>SUM(D37:D39)</f>
        <v>20000</v>
      </c>
      <c r="E40" s="361">
        <f>SUM(E37:E39)</f>
        <v>200000</v>
      </c>
    </row>
    <row r="41" spans="1:5" ht="14.4" thickTop="1">
      <c r="A41" s="362"/>
      <c r="B41" s="346"/>
      <c r="C41" s="347"/>
      <c r="D41" s="348"/>
      <c r="E41" s="363"/>
    </row>
    <row r="42" spans="1:5">
      <c r="A42" s="110"/>
      <c r="B42" s="350"/>
      <c r="C42" s="364"/>
      <c r="D42" s="220"/>
      <c r="E42" s="365"/>
    </row>
    <row r="43" spans="1:5">
      <c r="A43" s="110" t="s">
        <v>642</v>
      </c>
      <c r="B43" s="350"/>
      <c r="C43" s="350"/>
      <c r="D43" s="350"/>
      <c r="E43" s="351"/>
    </row>
    <row r="44" spans="1:5">
      <c r="A44" s="652" t="s">
        <v>643</v>
      </c>
      <c r="B44" s="653"/>
      <c r="C44" s="653"/>
      <c r="D44" s="653"/>
      <c r="E44" s="654"/>
    </row>
    <row r="45" spans="1:5" ht="27.6">
      <c r="A45" s="366" t="s">
        <v>644</v>
      </c>
      <c r="B45" s="367" t="s">
        <v>632</v>
      </c>
      <c r="C45" s="367" t="s">
        <v>645</v>
      </c>
      <c r="D45" s="368" t="s">
        <v>646</v>
      </c>
      <c r="E45" s="369" t="s">
        <v>647</v>
      </c>
    </row>
    <row r="46" spans="1:5" ht="15" customHeight="1">
      <c r="A46" s="105" t="s">
        <v>79</v>
      </c>
      <c r="B46" s="335">
        <v>15998</v>
      </c>
      <c r="C46" s="335">
        <f>+B46*10</f>
        <v>159980</v>
      </c>
      <c r="D46" s="336">
        <f>+B46/$B$50</f>
        <v>0.79997999799980002</v>
      </c>
      <c r="E46" s="370">
        <f>+(C55-C46)/C46</f>
        <v>0</v>
      </c>
    </row>
    <row r="47" spans="1:5" ht="15" customHeight="1">
      <c r="A47" s="105" t="s">
        <v>634</v>
      </c>
      <c r="B47" s="338">
        <v>2000</v>
      </c>
      <c r="C47" s="338">
        <f>+B47*10</f>
        <v>20000</v>
      </c>
      <c r="D47" s="339">
        <f>+B47/$B$50</f>
        <v>0.1000100010001</v>
      </c>
      <c r="E47" s="371">
        <f>+(C56-C47)/C47</f>
        <v>0</v>
      </c>
    </row>
    <row r="48" spans="1:5" ht="15" customHeight="1">
      <c r="A48" s="105" t="s">
        <v>635</v>
      </c>
      <c r="B48" s="338">
        <v>2000</v>
      </c>
      <c r="C48" s="338">
        <f>+B48*10</f>
        <v>20000</v>
      </c>
      <c r="D48" s="339">
        <f>+B48/$B$50</f>
        <v>0.1000100010001</v>
      </c>
      <c r="E48" s="371">
        <f>+(C57-C48)/C48</f>
        <v>0</v>
      </c>
    </row>
    <row r="49" spans="1:5" ht="15" customHeight="1">
      <c r="A49" s="105"/>
      <c r="B49" s="338"/>
      <c r="C49" s="338"/>
      <c r="D49" s="339"/>
      <c r="E49" s="372"/>
    </row>
    <row r="50" spans="1:5" ht="14.4" thickBot="1">
      <c r="A50" s="110" t="s">
        <v>60</v>
      </c>
      <c r="B50" s="342">
        <f>SUM(B46:B48)</f>
        <v>19998</v>
      </c>
      <c r="C50" s="342">
        <f>SUM(C46:C48)</f>
        <v>199980</v>
      </c>
      <c r="D50" s="342">
        <f>SUM(D46:D48)</f>
        <v>1</v>
      </c>
      <c r="E50" s="373"/>
    </row>
    <row r="51" spans="1:5" ht="14.4" thickTop="1">
      <c r="A51" s="345"/>
      <c r="B51" s="346"/>
      <c r="C51" s="347"/>
      <c r="D51" s="348"/>
      <c r="E51" s="349"/>
    </row>
    <row r="52" spans="1:5">
      <c r="A52" s="105"/>
      <c r="C52" s="227"/>
      <c r="D52" s="227"/>
      <c r="E52" s="228"/>
    </row>
    <row r="53" spans="1:5">
      <c r="A53" s="652" t="s">
        <v>648</v>
      </c>
      <c r="B53" s="653"/>
      <c r="C53" s="653"/>
      <c r="D53" s="653"/>
      <c r="E53" s="654"/>
    </row>
    <row r="54" spans="1:5" ht="27.6">
      <c r="A54" s="366" t="s">
        <v>644</v>
      </c>
      <c r="B54" s="367" t="s">
        <v>632</v>
      </c>
      <c r="C54" s="367" t="s">
        <v>645</v>
      </c>
      <c r="D54" s="368" t="s">
        <v>646</v>
      </c>
      <c r="E54" s="369" t="s">
        <v>649</v>
      </c>
    </row>
    <row r="55" spans="1:5">
      <c r="A55" s="105" t="s">
        <v>79</v>
      </c>
      <c r="B55" s="335">
        <v>15998</v>
      </c>
      <c r="C55" s="335">
        <f>+B55*10</f>
        <v>159980</v>
      </c>
      <c r="D55" s="336">
        <f>+B55/$B$50</f>
        <v>0.79997999799980002</v>
      </c>
      <c r="E55" s="370">
        <v>0</v>
      </c>
    </row>
    <row r="56" spans="1:5">
      <c r="A56" s="105" t="s">
        <v>634</v>
      </c>
      <c r="B56" s="338">
        <v>2000</v>
      </c>
      <c r="C56" s="338">
        <f>+B56*10</f>
        <v>20000</v>
      </c>
      <c r="D56" s="339">
        <f>+B56/$B$59</f>
        <v>0.1000100010001</v>
      </c>
      <c r="E56" s="371">
        <v>0</v>
      </c>
    </row>
    <row r="57" spans="1:5">
      <c r="A57" s="105" t="s">
        <v>635</v>
      </c>
      <c r="B57" s="338">
        <v>2000</v>
      </c>
      <c r="C57" s="338">
        <f>+B57*10</f>
        <v>20000</v>
      </c>
      <c r="D57" s="339">
        <f>+B57/$B$59</f>
        <v>0.1000100010001</v>
      </c>
      <c r="E57" s="371">
        <v>0</v>
      </c>
    </row>
    <row r="58" spans="1:5">
      <c r="A58" s="105"/>
      <c r="B58" s="338"/>
      <c r="C58" s="338"/>
      <c r="D58" s="339"/>
      <c r="E58" s="371"/>
    </row>
    <row r="59" spans="1:5" ht="14.4" thickBot="1">
      <c r="A59" s="110" t="s">
        <v>60</v>
      </c>
      <c r="B59" s="342">
        <f>SUM(B55:B58)</f>
        <v>19998</v>
      </c>
      <c r="C59" s="342">
        <f>SUM(C55:C58)</f>
        <v>199980</v>
      </c>
      <c r="D59" s="343">
        <f>SUM(D55:D58)</f>
        <v>1</v>
      </c>
      <c r="E59" s="373"/>
    </row>
    <row r="60" spans="1:5" ht="14.4" thickTop="1">
      <c r="A60" s="345"/>
      <c r="B60" s="346"/>
      <c r="C60" s="347"/>
      <c r="D60" s="348"/>
      <c r="E60" s="349"/>
    </row>
    <row r="61" spans="1:5" ht="14.4" thickBot="1">
      <c r="A61" s="121"/>
      <c r="B61" s="235"/>
      <c r="C61" s="235"/>
      <c r="D61" s="235"/>
      <c r="E61" s="236"/>
    </row>
    <row r="62" spans="1:5">
      <c r="C62" s="227"/>
      <c r="D62" s="227"/>
      <c r="E62" s="227"/>
    </row>
    <row r="63" spans="1:5">
      <c r="C63" s="227"/>
      <c r="D63" s="227"/>
      <c r="E63" s="227"/>
    </row>
    <row r="64" spans="1:5">
      <c r="C64" s="227"/>
      <c r="D64" s="227"/>
      <c r="E64" s="227"/>
    </row>
    <row r="65" s="227" customFormat="1"/>
    <row r="66" s="227" customFormat="1"/>
    <row r="67" s="227" customFormat="1"/>
    <row r="68" s="227" customFormat="1"/>
    <row r="69" s="227" customFormat="1"/>
    <row r="70" s="227" customFormat="1"/>
    <row r="71" s="227" customFormat="1"/>
    <row r="72" s="227" customFormat="1"/>
    <row r="73" s="227" customFormat="1"/>
    <row r="74" s="227" customFormat="1"/>
    <row r="75" s="227" customFormat="1"/>
    <row r="76" s="227" customFormat="1"/>
    <row r="77" s="227" customFormat="1"/>
    <row r="78" s="227" customFormat="1"/>
    <row r="79" s="227" customFormat="1"/>
    <row r="80" s="227" customFormat="1"/>
    <row r="81" s="227" customFormat="1"/>
    <row r="82" s="227" customFormat="1"/>
    <row r="83" s="227" customFormat="1"/>
    <row r="84" s="227" customFormat="1"/>
    <row r="85" s="227" customFormat="1"/>
    <row r="86" s="227" customFormat="1"/>
    <row r="87" s="227" customFormat="1"/>
    <row r="88" s="227" customFormat="1"/>
    <row r="89" s="227" customFormat="1"/>
    <row r="90" s="227" customFormat="1"/>
    <row r="91" s="227" customFormat="1"/>
    <row r="92" s="227" customFormat="1"/>
    <row r="93" s="227" customFormat="1"/>
    <row r="94" s="227" customFormat="1"/>
    <row r="95" s="227" customFormat="1"/>
    <row r="96" s="227" customFormat="1"/>
    <row r="97" s="227" customFormat="1"/>
    <row r="98" s="227" customFormat="1"/>
    <row r="99" s="227" customFormat="1"/>
    <row r="100" s="227" customFormat="1"/>
    <row r="101" s="227" customFormat="1"/>
    <row r="102" s="227" customFormat="1"/>
    <row r="103" s="227" customFormat="1"/>
    <row r="104" s="227" customFormat="1"/>
    <row r="105" s="227" customFormat="1"/>
    <row r="106" s="227" customFormat="1"/>
    <row r="107" s="227" customFormat="1"/>
    <row r="108" s="227" customFormat="1"/>
    <row r="109" s="227" customFormat="1"/>
    <row r="110" s="227" customFormat="1"/>
    <row r="111" s="227" customFormat="1"/>
    <row r="112" s="227" customFormat="1"/>
    <row r="113" s="227" customFormat="1"/>
    <row r="114" s="227" customFormat="1"/>
    <row r="115" s="227" customFormat="1"/>
    <row r="116" s="227" customFormat="1"/>
    <row r="117" s="227" customFormat="1"/>
    <row r="118" s="227" customFormat="1"/>
    <row r="119" s="227" customFormat="1"/>
    <row r="120" s="227" customFormat="1"/>
    <row r="121" s="227" customFormat="1"/>
    <row r="122" s="227" customFormat="1"/>
    <row r="123" s="227" customFormat="1"/>
    <row r="124" s="227" customFormat="1"/>
    <row r="125" s="227" customFormat="1"/>
    <row r="126" s="227" customFormat="1"/>
    <row r="127" s="227" customFormat="1"/>
    <row r="128" s="227" customFormat="1"/>
    <row r="129" s="227" customFormat="1"/>
    <row r="130" s="227" customFormat="1"/>
    <row r="131" s="227" customFormat="1"/>
    <row r="132" s="227" customFormat="1"/>
    <row r="133" s="227" customFormat="1"/>
    <row r="134" s="227" customFormat="1"/>
    <row r="135" s="227" customFormat="1"/>
    <row r="136" s="227" customFormat="1"/>
    <row r="137" s="227" customFormat="1"/>
    <row r="138" s="227" customFormat="1"/>
    <row r="139" s="227" customFormat="1"/>
    <row r="140" s="227" customFormat="1"/>
    <row r="141" s="227" customFormat="1"/>
    <row r="142" s="227" customFormat="1"/>
    <row r="143" s="227" customFormat="1"/>
    <row r="144" s="227" customFormat="1"/>
    <row r="145" s="227" customFormat="1"/>
    <row r="146" s="227" customFormat="1"/>
    <row r="147" s="227" customFormat="1"/>
    <row r="148" s="227" customFormat="1"/>
    <row r="149" s="227" customFormat="1"/>
    <row r="150" s="227" customFormat="1"/>
    <row r="151" s="227" customFormat="1"/>
    <row r="152" s="227" customFormat="1"/>
    <row r="153" s="227" customFormat="1"/>
    <row r="154" s="227" customFormat="1"/>
    <row r="155" s="227" customFormat="1"/>
    <row r="156" s="227" customFormat="1"/>
    <row r="157" s="227" customFormat="1"/>
    <row r="158" s="227" customFormat="1"/>
    <row r="159" s="227" customFormat="1"/>
    <row r="160" s="227" customFormat="1"/>
    <row r="161" s="227" customFormat="1"/>
    <row r="162" s="227" customFormat="1"/>
    <row r="163" s="227" customFormat="1"/>
    <row r="164" s="227" customFormat="1"/>
    <row r="165" s="227" customFormat="1"/>
    <row r="166" s="227" customFormat="1"/>
    <row r="167" s="227" customFormat="1"/>
    <row r="168" s="227" customFormat="1"/>
    <row r="169" s="227" customFormat="1"/>
    <row r="170" s="227" customFormat="1"/>
    <row r="171" s="227" customFormat="1"/>
    <row r="172" s="227" customFormat="1"/>
    <row r="173" s="227" customFormat="1"/>
    <row r="174" s="227" customFormat="1"/>
    <row r="175" s="227" customFormat="1"/>
    <row r="176" s="227" customFormat="1"/>
    <row r="177" s="227" customFormat="1"/>
    <row r="178" s="227" customFormat="1"/>
    <row r="179" s="227" customFormat="1"/>
    <row r="180" s="227" customFormat="1"/>
    <row r="181" s="227" customFormat="1"/>
    <row r="182" s="227" customFormat="1"/>
    <row r="183" s="227" customFormat="1"/>
    <row r="184" s="227" customFormat="1"/>
    <row r="185" s="227" customFormat="1"/>
    <row r="186" s="227" customFormat="1"/>
    <row r="187" s="227" customFormat="1"/>
    <row r="188" s="227" customFormat="1"/>
    <row r="189" s="227" customFormat="1"/>
    <row r="190" s="227" customFormat="1"/>
    <row r="191" s="227" customFormat="1"/>
    <row r="192" s="227" customFormat="1"/>
    <row r="193" s="227" customFormat="1"/>
    <row r="194" s="227" customFormat="1"/>
    <row r="195" s="227" customFormat="1"/>
    <row r="196" s="227" customFormat="1"/>
  </sheetData>
  <mergeCells count="14">
    <mergeCell ref="A44:E44"/>
    <mergeCell ref="A53:E53"/>
    <mergeCell ref="A1:E1"/>
    <mergeCell ref="A18:E18"/>
    <mergeCell ref="A20:E21"/>
    <mergeCell ref="A3:E3"/>
    <mergeCell ref="A2:E2"/>
    <mergeCell ref="A24:A25"/>
    <mergeCell ref="B24:C24"/>
    <mergeCell ref="D24:E24"/>
    <mergeCell ref="A35:A36"/>
    <mergeCell ref="B35:C35"/>
    <mergeCell ref="D35:E35"/>
    <mergeCell ref="A5:A6"/>
  </mergeCells>
  <phoneticPr fontId="9" type="noConversion"/>
  <printOptions horizontalCentered="1"/>
  <pageMargins left="0.27559055118110237" right="0.27559055118110237" top="0.19685039370078741" bottom="0.19685039370078741" header="0.15748031496062992" footer="0.19685039370078741"/>
  <pageSetup scale="80" orientation="portrait"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42"/>
  <sheetViews>
    <sheetView showGridLines="0" view="pageBreakPreview" zoomScaleNormal="100" zoomScaleSheetLayoutView="100" workbookViewId="0">
      <selection activeCell="A2" sqref="A2"/>
    </sheetView>
  </sheetViews>
  <sheetFormatPr defaultColWidth="9.109375" defaultRowHeight="13.8"/>
  <cols>
    <col min="1" max="1" width="123.88671875" style="227" bestFit="1" customWidth="1"/>
    <col min="2" max="3" width="9.109375" style="227"/>
    <col min="4" max="4" width="12.44140625" style="227" bestFit="1" customWidth="1"/>
    <col min="5" max="16384" width="9.109375" style="227"/>
  </cols>
  <sheetData>
    <row r="1" spans="1:1">
      <c r="A1" s="103" t="s">
        <v>36</v>
      </c>
    </row>
    <row r="2" spans="1:1" ht="18" customHeight="1">
      <c r="A2" s="537" t="s">
        <v>152</v>
      </c>
    </row>
    <row r="3" spans="1:1" ht="24" customHeight="1" thickBot="1">
      <c r="A3" s="538" t="s">
        <v>153</v>
      </c>
    </row>
    <row r="4" spans="1:1">
      <c r="A4" s="375"/>
    </row>
    <row r="5" spans="1:1">
      <c r="A5" s="376" t="s">
        <v>154</v>
      </c>
    </row>
    <row r="6" spans="1:1" ht="41.4">
      <c r="A6" s="377" t="s">
        <v>155</v>
      </c>
    </row>
    <row r="7" spans="1:1">
      <c r="A7" s="375"/>
    </row>
    <row r="8" spans="1:1">
      <c r="A8" s="376" t="s">
        <v>156</v>
      </c>
    </row>
    <row r="9" spans="1:1">
      <c r="A9" s="376" t="s">
        <v>157</v>
      </c>
    </row>
    <row r="10" spans="1:1" ht="55.2">
      <c r="A10" s="560" t="s">
        <v>158</v>
      </c>
    </row>
    <row r="11" spans="1:1">
      <c r="A11" s="375"/>
    </row>
    <row r="12" spans="1:1">
      <c r="A12" s="376" t="s">
        <v>159</v>
      </c>
    </row>
    <row r="13" spans="1:1" ht="41.4">
      <c r="A13" s="377" t="s">
        <v>160</v>
      </c>
    </row>
    <row r="14" spans="1:1">
      <c r="A14" s="375"/>
    </row>
    <row r="15" spans="1:1">
      <c r="A15" s="376" t="s">
        <v>161</v>
      </c>
    </row>
    <row r="16" spans="1:1" ht="32.25" customHeight="1">
      <c r="A16" s="375" t="s">
        <v>162</v>
      </c>
    </row>
    <row r="17" spans="1:1">
      <c r="A17" s="375"/>
    </row>
    <row r="18" spans="1:1">
      <c r="A18" s="376" t="s">
        <v>163</v>
      </c>
    </row>
    <row r="19" spans="1:1" ht="27.6">
      <c r="A19" s="375" t="s">
        <v>164</v>
      </c>
    </row>
    <row r="20" spans="1:1">
      <c r="A20" s="375"/>
    </row>
    <row r="21" spans="1:1">
      <c r="A21" s="376" t="s">
        <v>165</v>
      </c>
    </row>
    <row r="22" spans="1:1">
      <c r="A22" s="375" t="s">
        <v>166</v>
      </c>
    </row>
    <row r="23" spans="1:1">
      <c r="A23" s="375"/>
    </row>
    <row r="24" spans="1:1">
      <c r="A24" s="376" t="s">
        <v>167</v>
      </c>
    </row>
    <row r="25" spans="1:1" ht="41.4">
      <c r="A25" s="377" t="s">
        <v>168</v>
      </c>
    </row>
    <row r="26" spans="1:1">
      <c r="A26" s="375"/>
    </row>
    <row r="27" spans="1:1">
      <c r="A27" s="376" t="s">
        <v>169</v>
      </c>
    </row>
    <row r="28" spans="1:1" ht="41.4">
      <c r="A28" s="377" t="s">
        <v>170</v>
      </c>
    </row>
    <row r="29" spans="1:1" ht="27.6">
      <c r="A29" s="375" t="s">
        <v>171</v>
      </c>
    </row>
    <row r="30" spans="1:1">
      <c r="A30" s="375"/>
    </row>
    <row r="31" spans="1:1">
      <c r="A31" s="376" t="s">
        <v>172</v>
      </c>
    </row>
    <row r="32" spans="1:1" ht="27.6">
      <c r="A32" s="375" t="s">
        <v>173</v>
      </c>
    </row>
    <row r="33" spans="1:1" ht="55.2">
      <c r="A33" s="377" t="s">
        <v>174</v>
      </c>
    </row>
    <row r="34" spans="1:1">
      <c r="A34" s="375"/>
    </row>
    <row r="35" spans="1:1">
      <c r="A35" s="376" t="s">
        <v>175</v>
      </c>
    </row>
    <row r="36" spans="1:1" ht="27.6">
      <c r="A36" s="375" t="s">
        <v>176</v>
      </c>
    </row>
    <row r="37" spans="1:1" ht="10.95" customHeight="1">
      <c r="A37" s="375"/>
    </row>
    <row r="38" spans="1:1" ht="41.4">
      <c r="A38" s="377" t="s">
        <v>177</v>
      </c>
    </row>
    <row r="39" spans="1:1" ht="9.6" customHeight="1">
      <c r="A39" s="375"/>
    </row>
    <row r="40" spans="1:1" ht="14.4" thickBot="1">
      <c r="A40" s="378" t="s">
        <v>178</v>
      </c>
    </row>
    <row r="41" spans="1:1">
      <c r="A41" s="330"/>
    </row>
    <row r="42" spans="1:1">
      <c r="A42" s="330"/>
    </row>
  </sheetData>
  <printOptions horizontalCentered="1"/>
  <pageMargins left="0.70866141732283472" right="0.70866141732283472" top="0.6692913385826772" bottom="0.6692913385826772" header="0.31496062992125984" footer="0.31496062992125984"/>
  <pageSetup paperSize="9" scale="8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37"/>
  <sheetViews>
    <sheetView showGridLines="0" view="pageBreakPreview" zoomScaleNormal="90" zoomScaleSheetLayoutView="100" workbookViewId="0">
      <selection activeCell="B18" sqref="B18"/>
    </sheetView>
  </sheetViews>
  <sheetFormatPr defaultColWidth="9.109375" defaultRowHeight="13.8"/>
  <cols>
    <col min="1" max="1" width="55.5546875" style="227" customWidth="1"/>
    <col min="2" max="3" width="20.6640625" style="227" customWidth="1"/>
    <col min="4" max="4" width="13.109375" style="227" hidden="1" customWidth="1"/>
    <col min="5" max="5" width="13.109375" style="227" bestFit="1" customWidth="1"/>
    <col min="6" max="6" width="12.44140625" style="227" bestFit="1" customWidth="1"/>
    <col min="7" max="7" width="14" style="227" bestFit="1" customWidth="1"/>
    <col min="8" max="16384" width="9.109375" style="227"/>
  </cols>
  <sheetData>
    <row r="1" spans="1:6" ht="15" customHeight="1">
      <c r="A1" s="610" t="str">
        <f>BS!A1</f>
        <v>CARGO INTERNATIONAL (INDIA) PRIVATE LIMITED</v>
      </c>
      <c r="B1" s="611"/>
      <c r="C1" s="612"/>
    </row>
    <row r="2" spans="1:6" ht="15" customHeight="1" thickBot="1">
      <c r="A2" s="613" t="s">
        <v>152</v>
      </c>
      <c r="B2" s="614"/>
      <c r="C2" s="615"/>
    </row>
    <row r="3" spans="1:6" ht="15" customHeight="1">
      <c r="A3" s="610" t="s">
        <v>650</v>
      </c>
      <c r="B3" s="611"/>
      <c r="C3" s="612"/>
    </row>
    <row r="4" spans="1:6" ht="15" customHeight="1" thickBot="1">
      <c r="A4" s="534"/>
      <c r="B4" s="535"/>
      <c r="C4" s="520" t="str">
        <f>+"(Unless otherwise specified, all amounts are "&amp;IF('Master data'!A2="Ones","Indian Rupees","in "&amp;'Master data'!A2&amp;" of INR)")</f>
        <v>(Unless otherwise specified, all amounts are Indian Rupees</v>
      </c>
    </row>
    <row r="5" spans="1:6">
      <c r="A5" s="619" t="s">
        <v>15</v>
      </c>
      <c r="B5" s="237" t="s">
        <v>40</v>
      </c>
      <c r="C5" s="238" t="s">
        <v>40</v>
      </c>
    </row>
    <row r="6" spans="1:6" ht="14.4" thickBot="1">
      <c r="A6" s="620"/>
      <c r="B6" s="239" t="str">
        <f>'NOTE 3'!D6</f>
        <v>31st March, 2026</v>
      </c>
      <c r="C6" s="239" t="str">
        <f>'NOTE 3'!E6</f>
        <v>31st March, 2025</v>
      </c>
    </row>
    <row r="7" spans="1:6">
      <c r="A7" s="240"/>
      <c r="B7" s="303"/>
      <c r="C7" s="304"/>
    </row>
    <row r="8" spans="1:6">
      <c r="A8" s="110" t="s">
        <v>651</v>
      </c>
      <c r="B8" s="231"/>
      <c r="C8" s="232"/>
    </row>
    <row r="9" spans="1:6">
      <c r="A9" s="110" t="s">
        <v>652</v>
      </c>
      <c r="B9" s="231"/>
      <c r="C9" s="232"/>
      <c r="F9" s="220"/>
    </row>
    <row r="10" spans="1:6">
      <c r="A10" s="105" t="s">
        <v>653</v>
      </c>
      <c r="B10" s="220">
        <f>+C15</f>
        <v>19774661.828920782</v>
      </c>
      <c r="C10" s="226">
        <f>3706919.29565958/Deno</f>
        <v>3706919.2956595798</v>
      </c>
    </row>
    <row r="11" spans="1:6">
      <c r="A11" s="105" t="s">
        <v>654</v>
      </c>
      <c r="B11" s="220">
        <f>PL!D34</f>
        <v>-9432613.0592196882</v>
      </c>
      <c r="C11" s="226">
        <f>PL!E34</f>
        <v>1960906.1532612001</v>
      </c>
    </row>
    <row r="12" spans="1:6">
      <c r="A12" s="105" t="s">
        <v>655</v>
      </c>
      <c r="B12" s="220">
        <v>0</v>
      </c>
      <c r="C12" s="226">
        <v>0</v>
      </c>
    </row>
    <row r="13" spans="1:6">
      <c r="A13" s="105" t="s">
        <v>656</v>
      </c>
      <c r="B13" s="220">
        <f>+'Audit entry'!E113/Deno</f>
        <v>5.8207660913467407E-11</v>
      </c>
      <c r="C13" s="226">
        <f>14106836.38/Deno</f>
        <v>14106836.380000001</v>
      </c>
    </row>
    <row r="14" spans="1:6" ht="14.4">
      <c r="A14" s="323" t="s">
        <v>657</v>
      </c>
      <c r="C14" s="305"/>
    </row>
    <row r="15" spans="1:6" ht="14.4" thickBot="1">
      <c r="A15" s="105"/>
      <c r="B15" s="229">
        <f>SUM(B10:B14)</f>
        <v>10342048.769701093</v>
      </c>
      <c r="C15" s="230">
        <f>SUM(C10:C14)</f>
        <v>19774661.828920782</v>
      </c>
    </row>
    <row r="16" spans="1:6" ht="14.4" thickTop="1">
      <c r="A16" s="105"/>
      <c r="C16" s="228"/>
    </row>
    <row r="17" spans="1:3">
      <c r="A17" s="110" t="s">
        <v>658</v>
      </c>
      <c r="B17" s="231"/>
      <c r="C17" s="232"/>
    </row>
    <row r="18" spans="1:3">
      <c r="A18" s="105" t="s">
        <v>659</v>
      </c>
      <c r="B18" s="227">
        <f>(SUMIF('Sub-Schedule'!F4:F32,"RPT",'Sub-Schedule'!C4:C32)-SUMIF('Sub-Schedule'!F4:F32,"RPT",'Sub-Schedule'!B4:B32))/(+Deno)</f>
        <v>14085282.09</v>
      </c>
      <c r="C18" s="228">
        <f>(SUMIF('Sub-Schedule'!F4:F32,"RPT",'Sub-Schedule'!E4:E32)-SUMIF('Sub-Schedule'!F4:F32,"RPT",'Sub-Schedule'!D4:D32))/(+Deno)</f>
        <v>14844184.840000002</v>
      </c>
    </row>
    <row r="19" spans="1:3">
      <c r="A19" s="105"/>
      <c r="C19" s="232"/>
    </row>
    <row r="20" spans="1:3" ht="14.4" thickBot="1">
      <c r="A20" s="105"/>
      <c r="B20" s="229">
        <f>SUM(B18:B19)</f>
        <v>14085282.09</v>
      </c>
      <c r="C20" s="230">
        <f>SUM(C18:C19)</f>
        <v>14844184.840000002</v>
      </c>
    </row>
    <row r="21" spans="1:3" ht="14.4" thickTop="1">
      <c r="A21" s="105"/>
      <c r="C21" s="228"/>
    </row>
    <row r="22" spans="1:3">
      <c r="A22" s="105"/>
      <c r="C22" s="228"/>
    </row>
    <row r="23" spans="1:3">
      <c r="A23" s="110" t="s">
        <v>660</v>
      </c>
      <c r="B23" s="231"/>
      <c r="C23" s="232"/>
    </row>
    <row r="24" spans="1:3">
      <c r="A24" s="105" t="s">
        <v>299</v>
      </c>
      <c r="B24" s="220">
        <f>(+'Sub Sch - BS'!B12)</f>
        <v>2591375.2599999998</v>
      </c>
      <c r="C24" s="226">
        <f>(+'Sub Sch - BS'!C12)</f>
        <v>3730924.29</v>
      </c>
    </row>
    <row r="25" spans="1:3">
      <c r="A25" s="105" t="s">
        <v>295</v>
      </c>
      <c r="B25" s="220">
        <f>(SUMIF('TB 25-26'!$Q:$Q,$A25,'TB 25-26'!$P:$P)-SUMIF('TB 25-26'!$Q:$Q,$A25,'TB 25-26'!$O:$O))</f>
        <v>38412.639999999927</v>
      </c>
      <c r="C25" s="226">
        <f>(SUMIF('TB 25-26'!$Q:$Q,$A25,'TB 25-26'!$F:$F)-SUMIF('TB 25-26'!$Q:$Q,$A25,'TB 25-26'!$E:$E))</f>
        <v>797544.98</v>
      </c>
    </row>
    <row r="26" spans="1:3">
      <c r="A26" s="149" t="s">
        <v>309</v>
      </c>
      <c r="B26" s="220">
        <f>(+'Sub Sch - BS'!B25)</f>
        <v>4581545.830000001</v>
      </c>
      <c r="C26" s="226">
        <f>(+'Sub Sch - BS'!C25)</f>
        <v>4421725.83</v>
      </c>
    </row>
    <row r="27" spans="1:3">
      <c r="A27" s="105"/>
      <c r="C27" s="232"/>
    </row>
    <row r="28" spans="1:3" ht="14.4" thickBot="1">
      <c r="A28" s="105"/>
      <c r="B28" s="229">
        <f>SUM(B24:B27)</f>
        <v>7211333.7300000004</v>
      </c>
      <c r="C28" s="230">
        <f>SUM(C24:C27)</f>
        <v>8950195.0999999996</v>
      </c>
    </row>
    <row r="29" spans="1:3" ht="14.4" thickTop="1">
      <c r="A29" s="105"/>
      <c r="C29" s="228"/>
    </row>
    <row r="30" spans="1:3">
      <c r="A30" s="110" t="s">
        <v>661</v>
      </c>
      <c r="B30" s="231"/>
      <c r="C30" s="232"/>
    </row>
    <row r="31" spans="1:3">
      <c r="A31" s="105" t="s">
        <v>360</v>
      </c>
      <c r="B31" s="220">
        <f>(SUMIF('TB 25-26'!$Q:$Q,$A31,'TB 25-26'!$P:$P)-SUMIF('TB 25-26'!$Q:$Q,$A31,'TB 25-26'!$O:$O))</f>
        <v>6752022.9646929502</v>
      </c>
      <c r="C31" s="226">
        <f>(SUMIF('TB 25-26'!$Q:$Q,$A31,'TB 25-26'!$F:$F)-SUMIF('TB 25-26'!$Q:$Q,$A31,'TB 25-26'!$E:$E))</f>
        <v>6752022.9646929502</v>
      </c>
    </row>
    <row r="32" spans="1:3">
      <c r="A32" s="105" t="s">
        <v>350</v>
      </c>
      <c r="B32" s="220">
        <f>(SUMIF('TB 25-26'!$Q:$Q,$A32,'TB 25-26'!$P:$P)-SUMIF('TB 25-26'!$Q:$Q,$A32,'TB 25-26'!$O:$O))</f>
        <v>0</v>
      </c>
      <c r="C32" s="226">
        <f>(SUMIF('TB 25-26'!$Q:$Q,$A32,'TB 25-26'!$F:$F)-SUMIF('TB 25-26'!$Q:$Q,$A32,'TB 25-26'!$E:$E))</f>
        <v>0</v>
      </c>
    </row>
    <row r="33" spans="1:4">
      <c r="A33" s="93" t="s">
        <v>357</v>
      </c>
      <c r="B33" s="220">
        <f>(SUMIF('TB 25-26'!$Q:$Q,$A33,'TB 25-26'!$P:$P)-SUMIF('TB 25-26'!$Q:$Q,$A33,'TB 25-26'!$O:$O))</f>
        <v>0</v>
      </c>
      <c r="C33" s="226">
        <f>(SUMIF('TB 25-26'!$Q:$Q,$A33,'TB 25-26'!$F:$F)-SUMIF('TB 25-26'!$Q:$Q,$A33,'TB 25-26'!$E:$E))</f>
        <v>0</v>
      </c>
      <c r="D33" s="227" t="s">
        <v>662</v>
      </c>
    </row>
    <row r="34" spans="1:4">
      <c r="A34" s="93" t="s">
        <v>663</v>
      </c>
      <c r="B34" s="227">
        <f>(SUMIF('Sub-Schedule'!F4:F32,"others",'Sub-Schedule'!C4:C32)-SUMIF('Sub-Schedule'!F4:F32,"others",'Sub-Schedule'!B4:B32))/(+Deno)</f>
        <v>0</v>
      </c>
      <c r="C34" s="226">
        <f>(SUMIF('Sub-Schedule'!F4:F32,"Others",'Sub-Schedule'!E4:E32)-SUMIF('Sub-Schedule'!F4:F32,"Others",'Sub-Schedule'!D4:D32))/(+Deno)</f>
        <v>3285.7999999999884</v>
      </c>
    </row>
    <row r="35" spans="1:4">
      <c r="A35" s="93"/>
      <c r="B35" s="306"/>
      <c r="C35" s="307"/>
    </row>
    <row r="36" spans="1:4" ht="14.4" thickBot="1">
      <c r="A36" s="149"/>
      <c r="B36" s="229">
        <f>SUM(B31:B35)</f>
        <v>6752022.9646929502</v>
      </c>
      <c r="C36" s="230">
        <f>SUM(C31:C35)</f>
        <v>6755308.7646929501</v>
      </c>
    </row>
    <row r="37" spans="1:4" ht="15" thickTop="1" thickBot="1">
      <c r="A37" s="308"/>
      <c r="B37" s="309"/>
      <c r="C37" s="310"/>
    </row>
  </sheetData>
  <mergeCells count="4">
    <mergeCell ref="A1:C1"/>
    <mergeCell ref="A2:C2"/>
    <mergeCell ref="A3:C3"/>
    <mergeCell ref="A5:A6"/>
  </mergeCells>
  <printOptions horizontalCentered="1"/>
  <pageMargins left="0.15748031496062992" right="0.19685039370078741" top="0.27559055118110237" bottom="0.31496062992125984" header="0.15748031496062992" footer="0.39370078740157483"/>
  <pageSetup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M35"/>
  <sheetViews>
    <sheetView showGridLines="0" view="pageBreakPreview" zoomScaleNormal="85" zoomScaleSheetLayoutView="100" workbookViewId="0">
      <selection activeCell="H11" sqref="H11:I14"/>
    </sheetView>
  </sheetViews>
  <sheetFormatPr defaultColWidth="25.44140625" defaultRowHeight="13.8"/>
  <cols>
    <col min="1" max="1" width="25" style="227" customWidth="1"/>
    <col min="2" max="2" width="15.6640625" style="227" customWidth="1"/>
    <col min="3" max="3" width="17.6640625" style="227" bestFit="1" customWidth="1"/>
    <col min="4" max="6" width="15.6640625" style="227" customWidth="1"/>
    <col min="7" max="7" width="16.88671875" style="227" bestFit="1" customWidth="1"/>
    <col min="8" max="8" width="15.6640625" style="227" customWidth="1"/>
    <col min="9" max="9" width="16.88671875" style="227" bestFit="1" customWidth="1"/>
    <col min="10" max="13" width="15.6640625" style="227" customWidth="1"/>
    <col min="14" max="14" width="13.44140625" style="227" bestFit="1" customWidth="1"/>
    <col min="15" max="16384" width="25.44140625" style="227"/>
  </cols>
  <sheetData>
    <row r="1" spans="1:13">
      <c r="A1" s="610" t="str">
        <f>BS!A1</f>
        <v>CARGO INTERNATIONAL (INDIA) PRIVATE LIMITED</v>
      </c>
      <c r="B1" s="611"/>
      <c r="C1" s="611"/>
      <c r="D1" s="611"/>
      <c r="E1" s="611"/>
      <c r="F1" s="611"/>
      <c r="G1" s="612"/>
      <c r="H1" s="503"/>
      <c r="I1" s="503"/>
      <c r="J1" s="503"/>
      <c r="K1" s="503"/>
      <c r="L1" s="503"/>
      <c r="M1" s="503"/>
    </row>
    <row r="2" spans="1:13">
      <c r="A2" s="613" t="s">
        <v>152</v>
      </c>
      <c r="B2" s="614"/>
      <c r="C2" s="614"/>
      <c r="D2" s="614"/>
      <c r="E2" s="614"/>
      <c r="F2" s="614"/>
      <c r="G2" s="615"/>
      <c r="H2" s="503"/>
      <c r="I2" s="503"/>
      <c r="J2" s="503"/>
      <c r="K2" s="503"/>
      <c r="L2" s="503"/>
      <c r="M2" s="503"/>
    </row>
    <row r="3" spans="1:13" ht="14.4" thickBot="1">
      <c r="A3" s="523" t="s">
        <v>650</v>
      </c>
      <c r="B3" s="524"/>
      <c r="C3" s="524"/>
      <c r="D3" s="524"/>
      <c r="E3" s="524"/>
      <c r="F3" s="524"/>
      <c r="G3" s="525"/>
      <c r="H3" s="503"/>
      <c r="I3" s="503"/>
      <c r="J3" s="503"/>
      <c r="K3" s="503"/>
      <c r="L3" s="503"/>
      <c r="M3" s="503"/>
    </row>
    <row r="4" spans="1:13">
      <c r="A4" s="404"/>
      <c r="B4" s="405"/>
      <c r="C4" s="405"/>
      <c r="D4" s="405"/>
      <c r="E4" s="405"/>
      <c r="F4" s="303"/>
      <c r="G4" s="304"/>
    </row>
    <row r="5" spans="1:13">
      <c r="A5" s="223" t="s">
        <v>664</v>
      </c>
      <c r="B5" s="458"/>
      <c r="C5" s="458"/>
      <c r="D5" s="458"/>
      <c r="E5" s="458"/>
      <c r="G5" s="228"/>
    </row>
    <row r="6" spans="1:13">
      <c r="A6" s="245" t="s">
        <v>665</v>
      </c>
      <c r="B6" s="458"/>
      <c r="C6" s="458"/>
      <c r="D6" s="458"/>
      <c r="E6" s="458"/>
      <c r="G6" s="228"/>
    </row>
    <row r="7" spans="1:13" ht="14.4" thickBot="1">
      <c r="A7" s="121"/>
      <c r="B7" s="235"/>
      <c r="C7" s="235"/>
      <c r="D7" s="235"/>
      <c r="E7" s="235"/>
      <c r="F7" s="235"/>
      <c r="G7" s="520" t="str">
        <f>+"(Unless otherwise specified, all amounts are "&amp;IF('Master data'!A2="Ones","Indian Rupees","in "&amp;'Master data'!A2&amp;" of INR)")</f>
        <v>(Unless otherwise specified, all amounts are Indian Rupees</v>
      </c>
    </row>
    <row r="8" spans="1:13">
      <c r="A8" s="668" t="s">
        <v>15</v>
      </c>
      <c r="B8" s="671" t="s">
        <v>666</v>
      </c>
      <c r="C8" s="671"/>
      <c r="D8" s="671"/>
      <c r="E8" s="671"/>
      <c r="F8" s="671"/>
      <c r="G8" s="672"/>
    </row>
    <row r="9" spans="1:13">
      <c r="A9" s="669"/>
      <c r="B9" s="666" t="s">
        <v>667</v>
      </c>
      <c r="C9" s="666"/>
      <c r="D9" s="666"/>
      <c r="E9" s="666"/>
      <c r="F9" s="666"/>
      <c r="G9" s="667"/>
    </row>
    <row r="10" spans="1:13" ht="27.6">
      <c r="A10" s="670"/>
      <c r="B10" s="287" t="s">
        <v>668</v>
      </c>
      <c r="C10" s="287" t="s">
        <v>669</v>
      </c>
      <c r="D10" s="287" t="s">
        <v>670</v>
      </c>
      <c r="E10" s="287" t="s">
        <v>671</v>
      </c>
      <c r="F10" s="287" t="s">
        <v>672</v>
      </c>
      <c r="G10" s="288" t="s">
        <v>56</v>
      </c>
    </row>
    <row r="11" spans="1:13">
      <c r="A11" s="286"/>
      <c r="B11" s="289"/>
      <c r="C11" s="289"/>
      <c r="D11" s="289"/>
      <c r="E11" s="289"/>
      <c r="F11" s="289"/>
      <c r="G11" s="290"/>
      <c r="I11" s="231" t="s">
        <v>1275</v>
      </c>
    </row>
    <row r="12" spans="1:13">
      <c r="A12" s="795" t="s">
        <v>673</v>
      </c>
      <c r="B12" s="796">
        <f t="shared" ref="B12:F15" si="0">0/(+Deno)</f>
        <v>0</v>
      </c>
      <c r="C12" s="796">
        <f t="shared" si="0"/>
        <v>0</v>
      </c>
      <c r="D12" s="796">
        <f t="shared" si="0"/>
        <v>0</v>
      </c>
      <c r="E12" s="796">
        <f t="shared" si="0"/>
        <v>0</v>
      </c>
      <c r="F12" s="796">
        <f t="shared" si="0"/>
        <v>0</v>
      </c>
      <c r="G12" s="797">
        <v>0</v>
      </c>
      <c r="H12" s="227" t="s">
        <v>1277</v>
      </c>
      <c r="I12" s="227">
        <f>+G17</f>
        <v>110798950.644592</v>
      </c>
    </row>
    <row r="13" spans="1:13">
      <c r="A13" s="291" t="s">
        <v>674</v>
      </c>
      <c r="B13" s="339">
        <f t="shared" si="0"/>
        <v>0</v>
      </c>
      <c r="C13" s="339">
        <v>78071780.744592011</v>
      </c>
      <c r="D13" s="339">
        <v>31486478.300000001</v>
      </c>
      <c r="E13" s="339">
        <v>86142.709999996412</v>
      </c>
      <c r="F13" s="339">
        <v>1154548.8899999999</v>
      </c>
      <c r="G13" s="340">
        <f>+SUM(B13:F13)</f>
        <v>110798950.644592</v>
      </c>
      <c r="H13" s="227" t="s">
        <v>1276</v>
      </c>
      <c r="I13" s="227">
        <f>+'TB 25-26'!P88+'TB 25-26'!P89+'TB 25-26'!P91-'TB 25-26'!O90</f>
        <v>110798950.33641399</v>
      </c>
    </row>
    <row r="14" spans="1:13">
      <c r="A14" s="291" t="s">
        <v>675</v>
      </c>
      <c r="B14" s="339">
        <f t="shared" si="0"/>
        <v>0</v>
      </c>
      <c r="C14" s="339">
        <f t="shared" si="0"/>
        <v>0</v>
      </c>
      <c r="D14" s="339">
        <f t="shared" si="0"/>
        <v>0</v>
      </c>
      <c r="E14" s="339">
        <f t="shared" si="0"/>
        <v>0</v>
      </c>
      <c r="F14" s="339">
        <f t="shared" si="0"/>
        <v>0</v>
      </c>
      <c r="G14" s="340">
        <v>0</v>
      </c>
      <c r="I14" s="227">
        <f>+I12-I13</f>
        <v>0.30817800760269165</v>
      </c>
    </row>
    <row r="15" spans="1:13">
      <c r="A15" s="291" t="s">
        <v>676</v>
      </c>
      <c r="B15" s="339">
        <f t="shared" si="0"/>
        <v>0</v>
      </c>
      <c r="C15" s="339">
        <f t="shared" si="0"/>
        <v>0</v>
      </c>
      <c r="D15" s="339">
        <f t="shared" si="0"/>
        <v>0</v>
      </c>
      <c r="E15" s="339">
        <f t="shared" si="0"/>
        <v>0</v>
      </c>
      <c r="F15" s="339">
        <f t="shared" si="0"/>
        <v>0</v>
      </c>
      <c r="G15" s="340">
        <v>0</v>
      </c>
    </row>
    <row r="16" spans="1:13">
      <c r="A16" s="291"/>
      <c r="B16" s="292"/>
      <c r="C16" s="292"/>
      <c r="D16" s="292"/>
      <c r="E16" s="292"/>
      <c r="F16" s="292"/>
      <c r="G16" s="293"/>
    </row>
    <row r="17" spans="1:13" ht="14.4" thickBot="1">
      <c r="A17" s="294" t="s">
        <v>56</v>
      </c>
      <c r="B17" s="295">
        <f t="shared" ref="B17:G17" si="1">SUM(B12:B16)</f>
        <v>0</v>
      </c>
      <c r="C17" s="295">
        <f t="shared" si="1"/>
        <v>78071780.744592011</v>
      </c>
      <c r="D17" s="295">
        <f t="shared" si="1"/>
        <v>31486478.300000001</v>
      </c>
      <c r="E17" s="295">
        <f t="shared" si="1"/>
        <v>86142.709999996412</v>
      </c>
      <c r="F17" s="295">
        <f t="shared" si="1"/>
        <v>1154548.8899999999</v>
      </c>
      <c r="G17" s="296">
        <f t="shared" si="1"/>
        <v>110798950.644592</v>
      </c>
    </row>
    <row r="18" spans="1:13" ht="15" thickTop="1" thickBot="1">
      <c r="A18" s="297"/>
      <c r="B18" s="298"/>
      <c r="C18" s="298"/>
      <c r="D18" s="298"/>
      <c r="E18" s="298"/>
      <c r="F18" s="298"/>
      <c r="G18" s="299"/>
    </row>
    <row r="19" spans="1:13" ht="14.4" thickBot="1">
      <c r="A19" s="300"/>
      <c r="B19" s="301"/>
      <c r="C19" s="301"/>
      <c r="D19" s="301"/>
      <c r="E19" s="301"/>
      <c r="F19" s="301"/>
      <c r="G19" s="302"/>
      <c r="H19" s="301"/>
      <c r="I19" s="301"/>
      <c r="J19" s="301"/>
      <c r="K19" s="301"/>
      <c r="L19" s="301"/>
      <c r="M19" s="301"/>
    </row>
    <row r="20" spans="1:13">
      <c r="A20" s="668" t="s">
        <v>15</v>
      </c>
      <c r="B20" s="671" t="s">
        <v>677</v>
      </c>
      <c r="C20" s="671"/>
      <c r="D20" s="671"/>
      <c r="E20" s="671"/>
      <c r="F20" s="671"/>
      <c r="G20" s="672"/>
      <c r="H20" s="301"/>
      <c r="I20" s="301"/>
      <c r="J20" s="301"/>
      <c r="K20" s="301"/>
      <c r="L20" s="301"/>
      <c r="M20" s="301"/>
    </row>
    <row r="21" spans="1:13">
      <c r="A21" s="669"/>
      <c r="B21" s="666" t="s">
        <v>667</v>
      </c>
      <c r="C21" s="666"/>
      <c r="D21" s="666"/>
      <c r="E21" s="666"/>
      <c r="F21" s="666"/>
      <c r="G21" s="667"/>
      <c r="H21" s="301"/>
      <c r="I21" s="301"/>
      <c r="J21" s="301"/>
      <c r="K21" s="301"/>
      <c r="L21" s="301"/>
      <c r="M21" s="301"/>
    </row>
    <row r="22" spans="1:13" ht="27.6">
      <c r="A22" s="670"/>
      <c r="B22" s="287" t="s">
        <v>668</v>
      </c>
      <c r="C22" s="287" t="s">
        <v>669</v>
      </c>
      <c r="D22" s="287" t="s">
        <v>670</v>
      </c>
      <c r="E22" s="287" t="s">
        <v>671</v>
      </c>
      <c r="F22" s="287" t="s">
        <v>672</v>
      </c>
      <c r="G22" s="288" t="s">
        <v>56</v>
      </c>
      <c r="H22" s="301"/>
      <c r="I22" s="301"/>
      <c r="J22" s="301"/>
      <c r="K22" s="301"/>
      <c r="L22" s="301"/>
      <c r="M22" s="301"/>
    </row>
    <row r="23" spans="1:13">
      <c r="A23" s="286"/>
      <c r="B23" s="289"/>
      <c r="C23" s="289"/>
      <c r="D23" s="289"/>
      <c r="E23" s="289"/>
      <c r="F23" s="289"/>
      <c r="G23" s="290"/>
      <c r="H23" s="301"/>
      <c r="I23" s="301"/>
      <c r="J23" s="301"/>
      <c r="K23" s="301"/>
      <c r="L23" s="301"/>
      <c r="M23" s="301"/>
    </row>
    <row r="24" spans="1:13">
      <c r="A24" s="291" t="s">
        <v>673</v>
      </c>
      <c r="B24" s="339">
        <f>0/(+Deno)</f>
        <v>0</v>
      </c>
      <c r="C24" s="339">
        <f>0/(+Deno)</f>
        <v>0</v>
      </c>
      <c r="D24" s="339">
        <f>0/(+Deno)</f>
        <v>0</v>
      </c>
      <c r="E24" s="339">
        <f>0/(+Deno)</f>
        <v>0</v>
      </c>
      <c r="F24" s="339">
        <f>0/(+Deno)</f>
        <v>0</v>
      </c>
      <c r="G24" s="340">
        <f>+SUM(B24:F24)</f>
        <v>0</v>
      </c>
      <c r="H24" s="301"/>
      <c r="I24" s="301"/>
      <c r="J24" s="301"/>
      <c r="K24" s="301"/>
      <c r="L24" s="301"/>
      <c r="M24" s="301"/>
    </row>
    <row r="25" spans="1:13">
      <c r="A25" s="291" t="s">
        <v>674</v>
      </c>
      <c r="B25" s="339">
        <v>0</v>
      </c>
      <c r="C25" s="339">
        <f>87765031.46/Deno</f>
        <v>87765031.459999993</v>
      </c>
      <c r="D25" s="339">
        <f>1246926.2/Deno</f>
        <v>1246926.2</v>
      </c>
      <c r="E25" s="339">
        <f>431714.91/Deno</f>
        <v>431714.91</v>
      </c>
      <c r="F25" s="339">
        <f>984680.99/Deno</f>
        <v>984680.99</v>
      </c>
      <c r="G25" s="340">
        <f>+SUM(B25:F25)</f>
        <v>90428353.559999987</v>
      </c>
      <c r="H25" s="301"/>
      <c r="I25" s="301"/>
      <c r="J25" s="301"/>
      <c r="K25" s="301"/>
      <c r="L25" s="301"/>
      <c r="M25" s="301"/>
    </row>
    <row r="26" spans="1:13">
      <c r="A26" s="291" t="s">
        <v>675</v>
      </c>
      <c r="B26" s="339">
        <f t="shared" ref="B26:F27" si="2">0/(+Deno)</f>
        <v>0</v>
      </c>
      <c r="C26" s="339">
        <f t="shared" si="2"/>
        <v>0</v>
      </c>
      <c r="D26" s="339">
        <f t="shared" si="2"/>
        <v>0</v>
      </c>
      <c r="E26" s="339">
        <f t="shared" si="2"/>
        <v>0</v>
      </c>
      <c r="F26" s="339">
        <f t="shared" si="2"/>
        <v>0</v>
      </c>
      <c r="G26" s="340">
        <f>+SUM(B26:F26)</f>
        <v>0</v>
      </c>
      <c r="H26" s="301"/>
      <c r="I26" s="301"/>
      <c r="J26" s="301"/>
      <c r="K26" s="301"/>
      <c r="L26" s="301"/>
      <c r="M26" s="301"/>
    </row>
    <row r="27" spans="1:13">
      <c r="A27" s="291" t="s">
        <v>676</v>
      </c>
      <c r="B27" s="339">
        <f t="shared" si="2"/>
        <v>0</v>
      </c>
      <c r="C27" s="339">
        <f t="shared" si="2"/>
        <v>0</v>
      </c>
      <c r="D27" s="339">
        <f t="shared" si="2"/>
        <v>0</v>
      </c>
      <c r="E27" s="339">
        <f t="shared" si="2"/>
        <v>0</v>
      </c>
      <c r="F27" s="339">
        <f t="shared" si="2"/>
        <v>0</v>
      </c>
      <c r="G27" s="340">
        <f>+SUM(B27:F27)</f>
        <v>0</v>
      </c>
      <c r="H27" s="301"/>
      <c r="I27" s="301"/>
      <c r="J27" s="301"/>
      <c r="K27" s="301"/>
      <c r="L27" s="301"/>
      <c r="M27" s="301"/>
    </row>
    <row r="28" spans="1:13">
      <c r="A28" s="291"/>
      <c r="B28" s="292"/>
      <c r="C28" s="292"/>
      <c r="D28" s="292"/>
      <c r="E28" s="292"/>
      <c r="F28" s="292"/>
      <c r="G28" s="293"/>
      <c r="H28" s="301"/>
      <c r="I28" s="301"/>
      <c r="J28" s="301"/>
      <c r="K28" s="301"/>
      <c r="L28" s="301"/>
      <c r="M28" s="301"/>
    </row>
    <row r="29" spans="1:13" ht="14.4" thickBot="1">
      <c r="A29" s="294" t="s">
        <v>56</v>
      </c>
      <c r="B29" s="295">
        <f t="shared" ref="B29:F29" si="3">SUM(B24:B28)</f>
        <v>0</v>
      </c>
      <c r="C29" s="295">
        <f t="shared" si="3"/>
        <v>87765031.459999993</v>
      </c>
      <c r="D29" s="295">
        <f t="shared" si="3"/>
        <v>1246926.2</v>
      </c>
      <c r="E29" s="295">
        <f t="shared" si="3"/>
        <v>431714.91</v>
      </c>
      <c r="F29" s="295">
        <f t="shared" si="3"/>
        <v>984680.99</v>
      </c>
      <c r="G29" s="296">
        <f>SUM(G24:G28)</f>
        <v>90428353.559999987</v>
      </c>
      <c r="H29" s="301"/>
      <c r="I29" s="301"/>
      <c r="J29" s="301"/>
      <c r="K29" s="301"/>
      <c r="L29" s="301"/>
      <c r="M29" s="301"/>
    </row>
    <row r="30" spans="1:13" ht="15" thickTop="1" thickBot="1">
      <c r="A30" s="297"/>
      <c r="B30" s="298"/>
      <c r="C30" s="298"/>
      <c r="D30" s="298"/>
      <c r="E30" s="298"/>
      <c r="F30" s="298"/>
      <c r="G30" s="299"/>
      <c r="H30" s="301"/>
      <c r="I30" s="301"/>
      <c r="J30" s="301"/>
      <c r="K30" s="301"/>
      <c r="L30" s="301"/>
      <c r="M30" s="301"/>
    </row>
    <row r="31" spans="1:13">
      <c r="A31" s="301"/>
      <c r="B31" s="301"/>
      <c r="C31" s="301"/>
      <c r="D31" s="301"/>
      <c r="E31" s="301"/>
      <c r="F31" s="301"/>
      <c r="G31" s="301"/>
      <c r="H31" s="301"/>
      <c r="I31" s="301"/>
      <c r="J31" s="301"/>
      <c r="K31" s="301"/>
      <c r="L31" s="301"/>
      <c r="M31" s="301"/>
    </row>
    <row r="33" spans="2:3">
      <c r="B33" s="231" t="s">
        <v>678</v>
      </c>
    </row>
    <row r="35" spans="2:3">
      <c r="C35" s="227">
        <f>+Deno</f>
        <v>1</v>
      </c>
    </row>
  </sheetData>
  <mergeCells count="8">
    <mergeCell ref="B21:G21"/>
    <mergeCell ref="A20:A22"/>
    <mergeCell ref="A1:G1"/>
    <mergeCell ref="A2:G2"/>
    <mergeCell ref="A8:A10"/>
    <mergeCell ref="B8:G8"/>
    <mergeCell ref="B20:G20"/>
    <mergeCell ref="B9:G9"/>
  </mergeCells>
  <pageMargins left="0.70866141732283472" right="0.70866141732283472" top="0.74803149606299213" bottom="0.74803149606299213" header="0.31496062992125984" footer="0.31496062992125984"/>
  <pageSetup scale="75"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L31"/>
  <sheetViews>
    <sheetView showGridLines="0" view="pageBreakPreview" zoomScaleNormal="100" zoomScaleSheetLayoutView="100" workbookViewId="0">
      <selection activeCell="B38" sqref="B38"/>
    </sheetView>
  </sheetViews>
  <sheetFormatPr defaultColWidth="9.109375" defaultRowHeight="13.8"/>
  <cols>
    <col min="1" max="1" width="47.33203125" style="227" customWidth="1"/>
    <col min="2" max="12" width="16.88671875" style="227" customWidth="1"/>
    <col min="13" max="13" width="15.6640625" style="227" bestFit="1" customWidth="1"/>
    <col min="14" max="16384" width="9.109375" style="227"/>
  </cols>
  <sheetData>
    <row r="1" spans="1:12">
      <c r="A1" s="610" t="str">
        <f>BS!A1</f>
        <v>CARGO INTERNATIONAL (INDIA) PRIVATE LIMITED</v>
      </c>
      <c r="B1" s="611"/>
      <c r="C1" s="611"/>
      <c r="D1" s="611"/>
      <c r="E1" s="611"/>
      <c r="F1" s="611"/>
      <c r="G1" s="612"/>
      <c r="H1" s="503"/>
      <c r="I1" s="503"/>
      <c r="J1" s="503"/>
      <c r="K1" s="503"/>
      <c r="L1" s="503"/>
    </row>
    <row r="2" spans="1:12">
      <c r="A2" s="613" t="s">
        <v>152</v>
      </c>
      <c r="B2" s="614"/>
      <c r="C2" s="614"/>
      <c r="D2" s="614"/>
      <c r="E2" s="614"/>
      <c r="F2" s="614"/>
      <c r="G2" s="615"/>
      <c r="H2" s="503"/>
      <c r="I2" s="503"/>
      <c r="J2" s="503"/>
      <c r="K2" s="503"/>
      <c r="L2" s="503"/>
    </row>
    <row r="3" spans="1:12" ht="14.4" thickBot="1">
      <c r="A3" s="523" t="s">
        <v>650</v>
      </c>
      <c r="B3" s="524"/>
      <c r="C3" s="524"/>
      <c r="D3" s="524"/>
      <c r="E3" s="524"/>
      <c r="F3" s="524"/>
      <c r="G3" s="525"/>
      <c r="H3" s="503"/>
      <c r="I3" s="503"/>
      <c r="J3" s="503"/>
      <c r="K3" s="503"/>
      <c r="L3" s="503"/>
    </row>
    <row r="4" spans="1:12" ht="9.75" customHeight="1">
      <c r="A4" s="105"/>
      <c r="G4" s="228"/>
      <c r="L4" s="228"/>
    </row>
    <row r="5" spans="1:12">
      <c r="A5" s="223" t="s">
        <v>697</v>
      </c>
      <c r="G5" s="228"/>
      <c r="L5" s="228"/>
    </row>
    <row r="6" spans="1:12">
      <c r="A6" s="245" t="s">
        <v>698</v>
      </c>
      <c r="G6" s="228"/>
      <c r="L6" s="228"/>
    </row>
    <row r="7" spans="1:12" ht="9" customHeight="1">
      <c r="A7" s="245"/>
      <c r="G7" s="228"/>
      <c r="L7" s="228"/>
    </row>
    <row r="8" spans="1:12" ht="14.4" thickBot="1">
      <c r="A8" s="105"/>
      <c r="G8" s="520" t="str">
        <f>+"(Unless otherwise specified, all amounts are "&amp;IF('Master data'!A2="Ones","Indian Rupees","in "&amp;'Master data'!A2&amp;" of INR)")</f>
        <v>(Unless otherwise specified, all amounts are Indian Rupees</v>
      </c>
    </row>
    <row r="9" spans="1:12" ht="14.4" thickBot="1">
      <c r="A9" s="694" t="s">
        <v>15</v>
      </c>
      <c r="B9" s="697" t="s">
        <v>666</v>
      </c>
      <c r="C9" s="698"/>
      <c r="D9" s="698"/>
      <c r="E9" s="698"/>
      <c r="F9" s="698"/>
      <c r="G9" s="699"/>
    </row>
    <row r="10" spans="1:12" ht="14.4" thickBot="1">
      <c r="A10" s="695"/>
      <c r="B10" s="691" t="s">
        <v>667</v>
      </c>
      <c r="C10" s="692"/>
      <c r="D10" s="692"/>
      <c r="E10" s="692"/>
      <c r="F10" s="692"/>
      <c r="G10" s="693"/>
    </row>
    <row r="11" spans="1:12" ht="33" customHeight="1" thickBot="1">
      <c r="A11" s="696"/>
      <c r="B11" s="247" t="s">
        <v>668</v>
      </c>
      <c r="C11" s="247" t="s">
        <v>669</v>
      </c>
      <c r="D11" s="247" t="s">
        <v>670</v>
      </c>
      <c r="E11" s="247" t="s">
        <v>671</v>
      </c>
      <c r="F11" s="247" t="s">
        <v>672</v>
      </c>
      <c r="G11" s="247" t="s">
        <v>56</v>
      </c>
      <c r="I11" s="231" t="s">
        <v>1275</v>
      </c>
    </row>
    <row r="12" spans="1:12">
      <c r="A12" s="246"/>
      <c r="B12" s="248"/>
      <c r="C12" s="248"/>
      <c r="D12" s="248"/>
      <c r="E12" s="248"/>
      <c r="F12" s="248"/>
      <c r="G12" s="248"/>
      <c r="H12" s="227" t="s">
        <v>1277</v>
      </c>
      <c r="I12" s="227">
        <f>+G18</f>
        <v>75016042.278867975</v>
      </c>
    </row>
    <row r="13" spans="1:12">
      <c r="A13" s="249" t="s">
        <v>699</v>
      </c>
      <c r="B13" s="108">
        <v>72503774.559999973</v>
      </c>
      <c r="C13" s="108">
        <v>322480.63886800042</v>
      </c>
      <c r="D13" s="108">
        <v>25493.980000000083</v>
      </c>
      <c r="E13" s="108">
        <v>2164293.1</v>
      </c>
      <c r="F13" s="108">
        <v>0</v>
      </c>
      <c r="G13" s="526">
        <f>SUM(B13:F13)</f>
        <v>75016042.278867975</v>
      </c>
      <c r="H13" s="227" t="s">
        <v>1276</v>
      </c>
      <c r="I13" s="227">
        <f>+'TB 25-26'!O20+'TB 25-26'!O21</f>
        <v>75016042.27886796</v>
      </c>
    </row>
    <row r="14" spans="1:12">
      <c r="A14" s="249" t="s">
        <v>700</v>
      </c>
      <c r="B14" s="108">
        <v>0</v>
      </c>
      <c r="C14" s="108">
        <v>0</v>
      </c>
      <c r="D14" s="108">
        <v>0</v>
      </c>
      <c r="E14" s="108">
        <v>0</v>
      </c>
      <c r="F14" s="108">
        <v>0</v>
      </c>
      <c r="G14" s="526">
        <f t="shared" ref="G14:G16" si="0">SUM(B14:F14)</f>
        <v>0</v>
      </c>
      <c r="I14" s="227">
        <f>+I12-I13</f>
        <v>0</v>
      </c>
    </row>
    <row r="15" spans="1:12">
      <c r="A15" s="249" t="s">
        <v>701</v>
      </c>
      <c r="B15" s="108">
        <v>0</v>
      </c>
      <c r="C15" s="108">
        <v>0</v>
      </c>
      <c r="D15" s="108">
        <v>0</v>
      </c>
      <c r="E15" s="108">
        <v>0</v>
      </c>
      <c r="F15" s="108">
        <v>0</v>
      </c>
      <c r="G15" s="526">
        <f t="shared" si="0"/>
        <v>0</v>
      </c>
    </row>
    <row r="16" spans="1:12">
      <c r="A16" s="249" t="s">
        <v>702</v>
      </c>
      <c r="B16" s="108">
        <v>0</v>
      </c>
      <c r="C16" s="108">
        <v>0</v>
      </c>
      <c r="D16" s="108">
        <v>0</v>
      </c>
      <c r="E16" s="108">
        <v>0</v>
      </c>
      <c r="F16" s="108">
        <v>0</v>
      </c>
      <c r="G16" s="526">
        <f t="shared" si="0"/>
        <v>0</v>
      </c>
    </row>
    <row r="17" spans="1:7" ht="20.399999999999999" customHeight="1">
      <c r="A17" s="250"/>
      <c r="B17" s="251"/>
      <c r="C17" s="251"/>
      <c r="D17" s="251"/>
      <c r="E17" s="251"/>
      <c r="F17" s="251"/>
      <c r="G17" s="251"/>
    </row>
    <row r="18" spans="1:7" ht="20.399999999999999" customHeight="1" thickBot="1">
      <c r="A18" s="252" t="s">
        <v>56</v>
      </c>
      <c r="B18" s="253">
        <f t="shared" ref="B18:G18" si="1">SUM(B13:B17)</f>
        <v>72503774.559999973</v>
      </c>
      <c r="C18" s="253">
        <f t="shared" si="1"/>
        <v>322480.63886800042</v>
      </c>
      <c r="D18" s="253">
        <f t="shared" si="1"/>
        <v>25493.980000000083</v>
      </c>
      <c r="E18" s="253">
        <f t="shared" si="1"/>
        <v>2164293.1</v>
      </c>
      <c r="F18" s="253">
        <f t="shared" si="1"/>
        <v>0</v>
      </c>
      <c r="G18" s="253">
        <f t="shared" si="1"/>
        <v>75016042.278867975</v>
      </c>
    </row>
    <row r="19" spans="1:7" ht="20.399999999999999" customHeight="1" thickTop="1" thickBot="1">
      <c r="A19" s="254"/>
      <c r="B19" s="255"/>
      <c r="C19" s="255"/>
      <c r="D19" s="255"/>
      <c r="E19" s="255"/>
      <c r="F19" s="255"/>
      <c r="G19" s="255"/>
    </row>
    <row r="20" spans="1:7" ht="20.399999999999999" customHeight="1" thickBot="1">
      <c r="A20" s="105"/>
      <c r="G20" s="228"/>
    </row>
    <row r="21" spans="1:7" ht="20.399999999999999" customHeight="1" thickBot="1">
      <c r="A21" s="694" t="s">
        <v>15</v>
      </c>
      <c r="B21" s="697" t="s">
        <v>677</v>
      </c>
      <c r="C21" s="698"/>
      <c r="D21" s="698"/>
      <c r="E21" s="698"/>
      <c r="F21" s="698"/>
      <c r="G21" s="699"/>
    </row>
    <row r="22" spans="1:7" ht="20.399999999999999" customHeight="1" thickBot="1">
      <c r="A22" s="695"/>
      <c r="B22" s="691" t="s">
        <v>667</v>
      </c>
      <c r="C22" s="692"/>
      <c r="D22" s="692"/>
      <c r="E22" s="692"/>
      <c r="F22" s="692"/>
      <c r="G22" s="693"/>
    </row>
    <row r="23" spans="1:7" ht="30" customHeight="1" thickBot="1">
      <c r="A23" s="696"/>
      <c r="B23" s="247" t="s">
        <v>668</v>
      </c>
      <c r="C23" s="247" t="s">
        <v>669</v>
      </c>
      <c r="D23" s="247" t="s">
        <v>670</v>
      </c>
      <c r="E23" s="247" t="s">
        <v>671</v>
      </c>
      <c r="F23" s="247" t="s">
        <v>672</v>
      </c>
      <c r="G23" s="247" t="s">
        <v>56</v>
      </c>
    </row>
    <row r="24" spans="1:7" ht="20.399999999999999" customHeight="1">
      <c r="A24" s="246"/>
      <c r="B24" s="248"/>
      <c r="C24" s="248"/>
      <c r="D24" s="248"/>
      <c r="E24" s="248"/>
      <c r="F24" s="248"/>
      <c r="G24" s="248"/>
    </row>
    <row r="25" spans="1:7">
      <c r="A25" s="249" t="s">
        <v>699</v>
      </c>
      <c r="B25" s="526">
        <v>0</v>
      </c>
      <c r="C25" s="526">
        <f>61414470.29/Deno</f>
        <v>61414470.289999999</v>
      </c>
      <c r="D25" s="526">
        <f>149040.24/Deno</f>
        <v>149040.24</v>
      </c>
      <c r="E25" s="526">
        <f>19056.25/Deno</f>
        <v>19056.25</v>
      </c>
      <c r="F25" s="526">
        <f>28323028.71/Deno</f>
        <v>28323028.710000001</v>
      </c>
      <c r="G25" s="526">
        <f>SUM(B25:F25)</f>
        <v>89905595.49000001</v>
      </c>
    </row>
    <row r="26" spans="1:7">
      <c r="A26" s="249" t="s">
        <v>700</v>
      </c>
      <c r="B26" s="526">
        <f t="shared" ref="B26:F28" si="2">0/(+Deno)</f>
        <v>0</v>
      </c>
      <c r="C26" s="526">
        <f t="shared" si="2"/>
        <v>0</v>
      </c>
      <c r="D26" s="526">
        <f t="shared" si="2"/>
        <v>0</v>
      </c>
      <c r="E26" s="526">
        <f t="shared" si="2"/>
        <v>0</v>
      </c>
      <c r="F26" s="526">
        <f t="shared" si="2"/>
        <v>0</v>
      </c>
      <c r="G26" s="526">
        <f t="shared" ref="G26:G28" si="3">SUM(B26:F26)</f>
        <v>0</v>
      </c>
    </row>
    <row r="27" spans="1:7">
      <c r="A27" s="249" t="s">
        <v>701</v>
      </c>
      <c r="B27" s="526">
        <f t="shared" si="2"/>
        <v>0</v>
      </c>
      <c r="C27" s="526">
        <f t="shared" si="2"/>
        <v>0</v>
      </c>
      <c r="D27" s="526">
        <f t="shared" si="2"/>
        <v>0</v>
      </c>
      <c r="E27" s="526">
        <v>0</v>
      </c>
      <c r="F27" s="526">
        <f t="shared" si="2"/>
        <v>0</v>
      </c>
      <c r="G27" s="526">
        <f t="shared" si="3"/>
        <v>0</v>
      </c>
    </row>
    <row r="28" spans="1:7">
      <c r="A28" s="249" t="s">
        <v>702</v>
      </c>
      <c r="B28" s="526">
        <f t="shared" si="2"/>
        <v>0</v>
      </c>
      <c r="C28" s="526">
        <f t="shared" si="2"/>
        <v>0</v>
      </c>
      <c r="D28" s="526">
        <f t="shared" si="2"/>
        <v>0</v>
      </c>
      <c r="E28" s="526">
        <f t="shared" si="2"/>
        <v>0</v>
      </c>
      <c r="F28" s="526">
        <f t="shared" si="2"/>
        <v>0</v>
      </c>
      <c r="G28" s="526">
        <f t="shared" si="3"/>
        <v>0</v>
      </c>
    </row>
    <row r="29" spans="1:7" ht="20.399999999999999" customHeight="1">
      <c r="A29" s="250"/>
      <c r="B29" s="251"/>
      <c r="C29" s="251"/>
      <c r="D29" s="251"/>
      <c r="E29" s="251"/>
      <c r="F29" s="251"/>
      <c r="G29" s="251"/>
    </row>
    <row r="30" spans="1:7" ht="20.399999999999999" customHeight="1" thickBot="1">
      <c r="A30" s="252" t="s">
        <v>56</v>
      </c>
      <c r="B30" s="253">
        <f t="shared" ref="B30:G30" si="4">SUM(B25:B29)</f>
        <v>0</v>
      </c>
      <c r="C30" s="253">
        <f t="shared" si="4"/>
        <v>61414470.289999999</v>
      </c>
      <c r="D30" s="253">
        <f t="shared" si="4"/>
        <v>149040.24</v>
      </c>
      <c r="E30" s="253">
        <f t="shared" si="4"/>
        <v>19056.25</v>
      </c>
      <c r="F30" s="253">
        <f t="shared" si="4"/>
        <v>28323028.710000001</v>
      </c>
      <c r="G30" s="253">
        <f t="shared" si="4"/>
        <v>89905595.49000001</v>
      </c>
    </row>
    <row r="31" spans="1:7" ht="20.399999999999999" customHeight="1" thickTop="1" thickBot="1">
      <c r="A31" s="254"/>
      <c r="B31" s="255"/>
      <c r="C31" s="255"/>
      <c r="D31" s="255"/>
      <c r="E31" s="255"/>
      <c r="F31" s="255"/>
      <c r="G31" s="255"/>
    </row>
  </sheetData>
  <mergeCells count="8">
    <mergeCell ref="B22:G22"/>
    <mergeCell ref="A21:A23"/>
    <mergeCell ref="A1:G1"/>
    <mergeCell ref="A2:G2"/>
    <mergeCell ref="A9:A11"/>
    <mergeCell ref="B9:G9"/>
    <mergeCell ref="B21:G21"/>
    <mergeCell ref="B10:G10"/>
  </mergeCells>
  <pageMargins left="0.70866141732283472" right="0.70866141732283472" top="0.74803149606299213" bottom="0.74803149606299213" header="0.31496062992125984" footer="0.31496062992125984"/>
  <pageSetup scale="61"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Q28"/>
  <sheetViews>
    <sheetView showGridLines="0" view="pageBreakPreview" topLeftCell="A2" zoomScaleNormal="93" zoomScaleSheetLayoutView="100" workbookViewId="0">
      <selection activeCell="G16" sqref="G16"/>
    </sheetView>
  </sheetViews>
  <sheetFormatPr defaultColWidth="9.109375" defaultRowHeight="13.8"/>
  <cols>
    <col min="1" max="1" width="25.6640625" style="66" customWidth="1"/>
    <col min="2" max="2" width="14.109375" style="66" bestFit="1" customWidth="1"/>
    <col min="3" max="3" width="13.44140625" style="66" bestFit="1" customWidth="1"/>
    <col min="4" max="4" width="10.44140625" style="66" bestFit="1" customWidth="1"/>
    <col min="5" max="6" width="14.109375" style="66" bestFit="1" customWidth="1"/>
    <col min="7" max="7" width="13.44140625" style="66" bestFit="1" customWidth="1"/>
    <col min="8" max="8" width="10.44140625" style="66" bestFit="1" customWidth="1"/>
    <col min="9" max="11" width="14.109375" style="66" bestFit="1" customWidth="1"/>
    <col min="12" max="12" width="12.44140625" style="66" bestFit="1" customWidth="1"/>
    <col min="13" max="15" width="10" style="66" customWidth="1"/>
    <col min="16" max="16" width="10" style="66" bestFit="1" customWidth="1"/>
    <col min="17" max="17" width="9.88671875" style="66" bestFit="1" customWidth="1"/>
    <col min="18" max="18" width="13.33203125" style="66" bestFit="1" customWidth="1"/>
    <col min="19" max="19" width="7" style="66" customWidth="1"/>
    <col min="20" max="20" width="10.33203125" style="66" bestFit="1" customWidth="1"/>
    <col min="21" max="21" width="10.109375" style="66" bestFit="1" customWidth="1"/>
    <col min="22" max="16384" width="9.109375" style="66"/>
  </cols>
  <sheetData>
    <row r="1" spans="1:16">
      <c r="A1" s="610" t="s">
        <v>36</v>
      </c>
      <c r="B1" s="611"/>
      <c r="C1" s="611"/>
      <c r="D1" s="611"/>
      <c r="E1" s="611"/>
      <c r="F1" s="611"/>
      <c r="G1" s="611"/>
      <c r="H1" s="611"/>
      <c r="I1" s="611"/>
      <c r="J1" s="611"/>
      <c r="K1" s="612"/>
      <c r="L1" s="256"/>
      <c r="M1" s="256"/>
      <c r="N1" s="256"/>
      <c r="O1" s="256"/>
    </row>
    <row r="2" spans="1:16">
      <c r="A2" s="680" t="str">
        <f>+'NOTE 4-8'!A2:C2</f>
        <v>NOTES TO THE FINANCIAL STATEMENTS FOR THE YEAR ENDED 31st MARCH, 2026</v>
      </c>
      <c r="B2" s="681"/>
      <c r="C2" s="681"/>
      <c r="D2" s="681"/>
      <c r="E2" s="681"/>
      <c r="F2" s="681"/>
      <c r="G2" s="681"/>
      <c r="H2" s="681"/>
      <c r="I2" s="681"/>
      <c r="J2" s="681"/>
      <c r="K2" s="682"/>
      <c r="L2" s="256"/>
      <c r="M2" s="256"/>
      <c r="N2" s="256"/>
      <c r="O2" s="256"/>
    </row>
    <row r="3" spans="1:16">
      <c r="A3" s="680" t="str">
        <f>+'NOTE 4-8'!A3:C3</f>
        <v>CAPITAL TOWERS, NO.G-3/1, G-3/2 &amp; G-2 ,DOOR NO.180 KODAMBAKKAM HIGH ROAD, NUNGAMBAKKAM, CHENNAI - 600034</v>
      </c>
      <c r="B3" s="681"/>
      <c r="C3" s="681"/>
      <c r="D3" s="681"/>
      <c r="E3" s="681"/>
      <c r="F3" s="681"/>
      <c r="G3" s="681"/>
      <c r="H3" s="681"/>
      <c r="I3" s="681"/>
      <c r="J3" s="681"/>
      <c r="K3" s="682"/>
      <c r="L3" s="256"/>
      <c r="M3" s="256"/>
      <c r="N3" s="256"/>
      <c r="O3" s="256"/>
    </row>
    <row r="4" spans="1:16" ht="6.75" customHeight="1">
      <c r="A4" s="257"/>
      <c r="B4" s="258"/>
      <c r="C4" s="256"/>
      <c r="D4" s="256"/>
      <c r="E4" s="256"/>
      <c r="F4" s="256"/>
      <c r="G4" s="256"/>
      <c r="H4" s="256"/>
      <c r="I4" s="256"/>
      <c r="K4" s="259"/>
      <c r="L4" s="256"/>
      <c r="M4" s="256"/>
      <c r="N4" s="256"/>
      <c r="O4" s="256"/>
    </row>
    <row r="5" spans="1:16">
      <c r="A5" s="260" t="s">
        <v>679</v>
      </c>
      <c r="B5" s="261"/>
      <c r="C5" s="262"/>
      <c r="D5" s="262"/>
      <c r="E5" s="262"/>
      <c r="F5" s="262"/>
      <c r="G5" s="262"/>
      <c r="H5" s="262"/>
      <c r="I5" s="262"/>
      <c r="K5" s="263"/>
      <c r="L5" s="262"/>
      <c r="M5" s="262"/>
      <c r="N5" s="262"/>
      <c r="O5" s="262"/>
    </row>
    <row r="6" spans="1:16" ht="14.4" thickBot="1">
      <c r="A6" s="264"/>
      <c r="B6" s="265"/>
      <c r="C6" s="265"/>
      <c r="D6" s="265"/>
      <c r="E6" s="265"/>
      <c r="F6" s="265"/>
      <c r="G6" s="265"/>
      <c r="H6" s="265"/>
      <c r="I6" s="265"/>
      <c r="J6" s="265"/>
      <c r="K6" s="520" t="str">
        <f>+"(Unless otherwise specified, all amounts are "&amp;IF('Master data'!A2="Ones","Indian Rupees","in "&amp;'Master data'!A2&amp;" of INR)")</f>
        <v>(Unless otherwise specified, all amounts are Indian Rupees</v>
      </c>
      <c r="L6" s="266"/>
      <c r="M6" s="266"/>
      <c r="N6" s="266"/>
      <c r="O6" s="266"/>
      <c r="P6" s="266"/>
    </row>
    <row r="7" spans="1:16">
      <c r="A7" s="683" t="s">
        <v>680</v>
      </c>
      <c r="B7" s="686" t="s">
        <v>681</v>
      </c>
      <c r="C7" s="687"/>
      <c r="D7" s="687"/>
      <c r="E7" s="688"/>
      <c r="F7" s="686" t="s">
        <v>107</v>
      </c>
      <c r="G7" s="687"/>
      <c r="H7" s="687"/>
      <c r="I7" s="688"/>
      <c r="J7" s="686" t="s">
        <v>682</v>
      </c>
      <c r="K7" s="689"/>
      <c r="L7" s="266"/>
      <c r="M7" s="266"/>
      <c r="N7" s="266"/>
      <c r="O7" s="266"/>
      <c r="P7" s="266"/>
    </row>
    <row r="8" spans="1:16">
      <c r="A8" s="684"/>
      <c r="B8" s="673" t="s">
        <v>683</v>
      </c>
      <c r="C8" s="675" t="s">
        <v>684</v>
      </c>
      <c r="D8" s="675" t="s">
        <v>685</v>
      </c>
      <c r="E8" s="676" t="s">
        <v>686</v>
      </c>
      <c r="F8" s="673" t="str">
        <f>+B8</f>
        <v>As on 
01.04.2025</v>
      </c>
      <c r="G8" s="673" t="s">
        <v>687</v>
      </c>
      <c r="H8" s="675" t="s">
        <v>685</v>
      </c>
      <c r="I8" s="673" t="str">
        <f>+E8</f>
        <v>As on 
31.03.2026</v>
      </c>
      <c r="J8" s="676" t="str">
        <f>+I8</f>
        <v>As on 
31.03.2026</v>
      </c>
      <c r="K8" s="678" t="str">
        <f>+B8</f>
        <v>As on 
01.04.2025</v>
      </c>
      <c r="L8" s="266"/>
      <c r="M8" s="266"/>
      <c r="N8" s="266"/>
      <c r="O8" s="266"/>
      <c r="P8" s="266"/>
    </row>
    <row r="9" spans="1:16" ht="14.4" thickBot="1">
      <c r="A9" s="685"/>
      <c r="B9" s="690"/>
      <c r="C9" s="674"/>
      <c r="D9" s="674"/>
      <c r="E9" s="677"/>
      <c r="F9" s="690"/>
      <c r="G9" s="674"/>
      <c r="H9" s="674"/>
      <c r="I9" s="674"/>
      <c r="J9" s="677"/>
      <c r="K9" s="679"/>
      <c r="L9" s="266"/>
      <c r="M9" s="266"/>
      <c r="N9" s="266"/>
      <c r="O9" s="266"/>
      <c r="P9" s="266"/>
    </row>
    <row r="10" spans="1:16">
      <c r="A10" s="267"/>
      <c r="B10" s="268"/>
      <c r="C10" s="268"/>
      <c r="D10" s="268"/>
      <c r="E10" s="269"/>
      <c r="F10" s="268"/>
      <c r="G10" s="268"/>
      <c r="H10" s="268"/>
      <c r="I10" s="268"/>
      <c r="J10" s="269"/>
      <c r="K10" s="270"/>
      <c r="L10" s="266"/>
      <c r="M10" s="266"/>
      <c r="N10" s="266"/>
      <c r="O10" s="266"/>
      <c r="P10" s="266"/>
    </row>
    <row r="11" spans="1:16">
      <c r="A11" s="271" t="s">
        <v>688</v>
      </c>
      <c r="B11" s="272"/>
      <c r="C11" s="272"/>
      <c r="D11" s="272"/>
      <c r="E11" s="273"/>
      <c r="F11" s="272"/>
      <c r="G11" s="272"/>
      <c r="H11" s="272"/>
      <c r="I11" s="272"/>
      <c r="J11" s="273"/>
      <c r="K11" s="274"/>
      <c r="L11" s="266"/>
      <c r="N11" s="266"/>
      <c r="O11" s="266"/>
      <c r="P11" s="266"/>
    </row>
    <row r="12" spans="1:16">
      <c r="A12" s="527" t="s">
        <v>689</v>
      </c>
      <c r="B12" s="272">
        <f>0/(Deno)</f>
        <v>0</v>
      </c>
      <c r="C12" s="272">
        <v>0</v>
      </c>
      <c r="D12" s="272">
        <f t="shared" ref="D12:D18" si="0">(0/(+Deno))/(Deno)</f>
        <v>0</v>
      </c>
      <c r="E12" s="528">
        <f t="shared" ref="E12:E18" si="1">B12+C12-D12</f>
        <v>0</v>
      </c>
      <c r="F12" s="272">
        <f>0/Deno</f>
        <v>0</v>
      </c>
      <c r="G12" s="272">
        <v>0</v>
      </c>
      <c r="H12" s="272">
        <f t="shared" ref="H12:H18" si="2">(0/(+Deno))/(Deno)</f>
        <v>0</v>
      </c>
      <c r="I12" s="528">
        <f t="shared" ref="I12:I18" si="3">F12+G12-H12</f>
        <v>0</v>
      </c>
      <c r="J12" s="528">
        <f>+E12-I12</f>
        <v>0</v>
      </c>
      <c r="K12" s="529">
        <f>+B12-F12</f>
        <v>0</v>
      </c>
      <c r="L12" s="266"/>
      <c r="N12" s="266"/>
      <c r="O12" s="266"/>
      <c r="P12" s="266"/>
    </row>
    <row r="13" spans="1:16">
      <c r="A13" s="530" t="s">
        <v>690</v>
      </c>
      <c r="B13" s="272">
        <f>4191829.7/Deno</f>
        <v>4191829.7</v>
      </c>
      <c r="C13" s="272">
        <v>0</v>
      </c>
      <c r="D13" s="272">
        <f t="shared" si="0"/>
        <v>0</v>
      </c>
      <c r="E13" s="528">
        <f t="shared" si="1"/>
        <v>4191829.7</v>
      </c>
      <c r="F13" s="272">
        <f>3810368.44087299/Deno</f>
        <v>3810368.4408729901</v>
      </c>
      <c r="G13" s="272">
        <f>99731/Deno</f>
        <v>99731</v>
      </c>
      <c r="H13" s="272">
        <f t="shared" si="2"/>
        <v>0</v>
      </c>
      <c r="I13" s="528">
        <f t="shared" si="3"/>
        <v>3910099.4408729901</v>
      </c>
      <c r="J13" s="528">
        <f>+E13-I13</f>
        <v>281730.25912701013</v>
      </c>
      <c r="K13" s="529">
        <f t="shared" ref="K13:K18" si="4">+B13-F13</f>
        <v>381461.25912701013</v>
      </c>
      <c r="L13" s="266"/>
      <c r="N13" s="266"/>
      <c r="O13" s="266"/>
      <c r="P13" s="266"/>
    </row>
    <row r="14" spans="1:16">
      <c r="A14" s="527" t="s">
        <v>691</v>
      </c>
      <c r="B14" s="272">
        <f>1880526.16/Deno</f>
        <v>1880526.16</v>
      </c>
      <c r="C14" s="272">
        <f>162329/Deno</f>
        <v>162329</v>
      </c>
      <c r="D14" s="272">
        <f t="shared" si="0"/>
        <v>0</v>
      </c>
      <c r="E14" s="528">
        <f t="shared" si="1"/>
        <v>2042855.16</v>
      </c>
      <c r="F14" s="272">
        <f>1756838.07066679/Deno</f>
        <v>1756838.07066679</v>
      </c>
      <c r="G14" s="272">
        <f>90412/Deno</f>
        <v>90412</v>
      </c>
      <c r="H14" s="272">
        <f t="shared" si="2"/>
        <v>0</v>
      </c>
      <c r="I14" s="528">
        <f t="shared" si="3"/>
        <v>1847250.07066679</v>
      </c>
      <c r="J14" s="528">
        <f>+E14-I14</f>
        <v>195605.08933320991</v>
      </c>
      <c r="K14" s="529">
        <f t="shared" si="4"/>
        <v>123688.08933320991</v>
      </c>
      <c r="L14" s="266"/>
      <c r="N14" s="266"/>
      <c r="O14" s="266"/>
      <c r="P14" s="266"/>
    </row>
    <row r="15" spans="1:16">
      <c r="A15" s="527" t="s">
        <v>692</v>
      </c>
      <c r="B15" s="272">
        <f>381194/Deno</f>
        <v>381194</v>
      </c>
      <c r="C15" s="272">
        <v>0</v>
      </c>
      <c r="D15" s="272">
        <f t="shared" si="0"/>
        <v>0</v>
      </c>
      <c r="E15" s="528">
        <f t="shared" si="1"/>
        <v>381194</v>
      </c>
      <c r="F15" s="272">
        <f>362133/Deno</f>
        <v>362133</v>
      </c>
      <c r="G15" s="272">
        <v>0</v>
      </c>
      <c r="H15" s="272">
        <f t="shared" si="2"/>
        <v>0</v>
      </c>
      <c r="I15" s="528">
        <f t="shared" si="3"/>
        <v>362133</v>
      </c>
      <c r="J15" s="528">
        <f t="shared" ref="J15:J18" si="5">+E15-I15</f>
        <v>19061</v>
      </c>
      <c r="K15" s="529">
        <f t="shared" si="4"/>
        <v>19061</v>
      </c>
      <c r="L15" s="266"/>
      <c r="N15" s="266"/>
      <c r="O15" s="266"/>
      <c r="P15" s="266"/>
    </row>
    <row r="16" spans="1:16">
      <c r="A16" s="527" t="s">
        <v>693</v>
      </c>
      <c r="B16" s="272">
        <f>1288569.39/Deno</f>
        <v>1288569.3899999999</v>
      </c>
      <c r="C16" s="272">
        <f>94800/Deno</f>
        <v>94800</v>
      </c>
      <c r="D16" s="272">
        <f t="shared" si="0"/>
        <v>0</v>
      </c>
      <c r="E16" s="528">
        <f t="shared" si="1"/>
        <v>1383369.39</v>
      </c>
      <c r="F16" s="272">
        <f>1195047.52885793/Deno</f>
        <v>1195047.5288579301</v>
      </c>
      <c r="G16" s="272">
        <f>32819/Deno</f>
        <v>32819</v>
      </c>
      <c r="H16" s="272">
        <f t="shared" si="2"/>
        <v>0</v>
      </c>
      <c r="I16" s="528">
        <f t="shared" si="3"/>
        <v>1227866.5288579301</v>
      </c>
      <c r="J16" s="528">
        <f t="shared" si="5"/>
        <v>155502.8611420698</v>
      </c>
      <c r="K16" s="529">
        <f t="shared" si="4"/>
        <v>93521.8611420698</v>
      </c>
      <c r="L16" s="266"/>
      <c r="N16" s="266"/>
      <c r="O16" s="266"/>
      <c r="P16" s="266"/>
    </row>
    <row r="17" spans="1:17">
      <c r="A17" s="527" t="s">
        <v>694</v>
      </c>
      <c r="B17" s="272">
        <f>720330.5/Deno</f>
        <v>720330.5</v>
      </c>
      <c r="C17" s="272">
        <f>35178/Deno</f>
        <v>35178</v>
      </c>
      <c r="D17" s="272">
        <f t="shared" si="0"/>
        <v>0</v>
      </c>
      <c r="E17" s="528">
        <f t="shared" si="1"/>
        <v>755508.5</v>
      </c>
      <c r="F17" s="272">
        <f>649873.945150916/Deno</f>
        <v>649873.945150916</v>
      </c>
      <c r="G17" s="272">
        <f>22039/Deno</f>
        <v>22039</v>
      </c>
      <c r="H17" s="272">
        <f t="shared" si="2"/>
        <v>0</v>
      </c>
      <c r="I17" s="528">
        <f t="shared" si="3"/>
        <v>671912.945150916</v>
      </c>
      <c r="J17" s="528">
        <f t="shared" si="5"/>
        <v>83595.554849084001</v>
      </c>
      <c r="K17" s="529">
        <f t="shared" si="4"/>
        <v>70456.554849084001</v>
      </c>
      <c r="L17" s="266"/>
      <c r="N17" s="266"/>
      <c r="O17" s="266"/>
      <c r="P17" s="266"/>
    </row>
    <row r="18" spans="1:17">
      <c r="A18" s="105" t="s">
        <v>695</v>
      </c>
      <c r="B18" s="275">
        <f>571389.5/Deno</f>
        <v>571389.5</v>
      </c>
      <c r="C18" s="272">
        <f>82020.06/Deno</f>
        <v>82020.06</v>
      </c>
      <c r="D18" s="272">
        <f t="shared" si="0"/>
        <v>0</v>
      </c>
      <c r="E18" s="528">
        <f t="shared" si="1"/>
        <v>653409.56000000006</v>
      </c>
      <c r="F18" s="272">
        <f>526369.013742537/Deno</f>
        <v>526369.013742537</v>
      </c>
      <c r="G18" s="272">
        <f>19308/Deno</f>
        <v>19308</v>
      </c>
      <c r="H18" s="272">
        <f t="shared" si="2"/>
        <v>0</v>
      </c>
      <c r="I18" s="528">
        <f t="shared" si="3"/>
        <v>545677.013742537</v>
      </c>
      <c r="J18" s="528">
        <f t="shared" si="5"/>
        <v>107732.54625746305</v>
      </c>
      <c r="K18" s="529">
        <f t="shared" si="4"/>
        <v>45020.486257462995</v>
      </c>
      <c r="L18" s="266"/>
      <c r="N18" s="266"/>
      <c r="O18" s="266"/>
      <c r="P18" s="266"/>
    </row>
    <row r="19" spans="1:17">
      <c r="A19" s="105"/>
      <c r="B19" s="531"/>
      <c r="C19" s="528"/>
      <c r="D19" s="532"/>
      <c r="E19" s="528"/>
      <c r="F19" s="532"/>
      <c r="G19" s="528"/>
      <c r="H19" s="528"/>
      <c r="I19" s="532"/>
      <c r="J19" s="528"/>
      <c r="K19" s="533"/>
      <c r="L19" s="266"/>
      <c r="N19" s="266"/>
      <c r="O19" s="266"/>
      <c r="P19" s="266"/>
    </row>
    <row r="20" spans="1:17" ht="14.4" thickBot="1">
      <c r="A20" s="276" t="s">
        <v>60</v>
      </c>
      <c r="B20" s="277">
        <f t="shared" ref="B20:J20" si="6">SUM(B12:B18)</f>
        <v>9033839.25</v>
      </c>
      <c r="C20" s="277">
        <f>SUM(C12:C18)</f>
        <v>374327.06</v>
      </c>
      <c r="D20" s="277">
        <f t="shared" si="6"/>
        <v>0</v>
      </c>
      <c r="E20" s="277">
        <f t="shared" si="6"/>
        <v>9408166.3100000005</v>
      </c>
      <c r="F20" s="277">
        <f t="shared" si="6"/>
        <v>8300629.999291162</v>
      </c>
      <c r="G20" s="277">
        <f>SUM(G12:G18)</f>
        <v>264309</v>
      </c>
      <c r="H20" s="277">
        <f t="shared" si="6"/>
        <v>0</v>
      </c>
      <c r="I20" s="277">
        <f t="shared" si="6"/>
        <v>8564938.9992911611</v>
      </c>
      <c r="J20" s="277">
        <f t="shared" si="6"/>
        <v>843227.31070883689</v>
      </c>
      <c r="K20" s="278">
        <f>SUM(K12:K18)</f>
        <v>733209.25070883683</v>
      </c>
      <c r="L20" s="266"/>
      <c r="N20" s="266"/>
      <c r="O20" s="266"/>
      <c r="P20" s="266"/>
    </row>
    <row r="21" spans="1:17" ht="14.4" thickTop="1">
      <c r="A21" s="279"/>
      <c r="B21" s="280"/>
      <c r="C21" s="280"/>
      <c r="D21" s="280"/>
      <c r="E21" s="280"/>
      <c r="F21" s="280"/>
      <c r="G21" s="280"/>
      <c r="H21" s="280"/>
      <c r="I21" s="280"/>
      <c r="J21" s="280"/>
      <c r="K21" s="281"/>
      <c r="L21" s="266"/>
      <c r="N21" s="266"/>
      <c r="O21" s="266"/>
      <c r="P21" s="266"/>
    </row>
    <row r="22" spans="1:17" ht="14.4" thickBot="1">
      <c r="A22" s="276" t="s">
        <v>696</v>
      </c>
      <c r="B22" s="277">
        <f>8944873.14/Deno</f>
        <v>8944873.1400000006</v>
      </c>
      <c r="C22" s="277">
        <f>88966.11/Deno</f>
        <v>88966.11</v>
      </c>
      <c r="D22" s="277">
        <v>0</v>
      </c>
      <c r="E22" s="277">
        <f>9033839.25/Deno</f>
        <v>9033839.25</v>
      </c>
      <c r="F22" s="277">
        <f>8030731.06929116/Deno</f>
        <v>8030731.0692911604</v>
      </c>
      <c r="G22" s="277">
        <f>269898.93/Deno</f>
        <v>269898.93</v>
      </c>
      <c r="H22" s="277">
        <v>0</v>
      </c>
      <c r="I22" s="277">
        <f>8300629.99929116/Deno</f>
        <v>8300629.9992911601</v>
      </c>
      <c r="J22" s="277">
        <f>733209.250708837/Deno</f>
        <v>733209.25070883695</v>
      </c>
      <c r="K22" s="278">
        <f>914142.070708837/Deno</f>
        <v>914142.07070883701</v>
      </c>
      <c r="L22" s="266"/>
      <c r="N22" s="266"/>
      <c r="O22" s="266"/>
      <c r="P22" s="266"/>
    </row>
    <row r="23" spans="1:17" ht="15" thickTop="1" thickBot="1">
      <c r="A23" s="282"/>
      <c r="B23" s="283"/>
      <c r="C23" s="283"/>
      <c r="D23" s="283" t="s">
        <v>191</v>
      </c>
      <c r="E23" s="283" t="s">
        <v>191</v>
      </c>
      <c r="F23" s="283"/>
      <c r="G23" s="283"/>
      <c r="H23" s="283"/>
      <c r="I23" s="283"/>
      <c r="J23" s="283"/>
      <c r="K23" s="284"/>
      <c r="L23" s="266"/>
      <c r="N23" s="266"/>
    </row>
    <row r="24" spans="1:17">
      <c r="A24" s="285"/>
      <c r="B24" s="66" t="s">
        <v>191</v>
      </c>
      <c r="D24" s="66" t="s">
        <v>191</v>
      </c>
      <c r="L24" s="266"/>
      <c r="N24" s="266"/>
    </row>
    <row r="25" spans="1:17">
      <c r="A25" s="285"/>
      <c r="B25" s="66" t="s">
        <v>191</v>
      </c>
      <c r="I25" s="66" t="s">
        <v>191</v>
      </c>
      <c r="L25" s="266"/>
      <c r="N25" s="266"/>
    </row>
    <row r="26" spans="1:17">
      <c r="I26" s="66" t="s">
        <v>191</v>
      </c>
      <c r="P26" s="66" t="s">
        <v>191</v>
      </c>
      <c r="Q26" s="285" t="s">
        <v>191</v>
      </c>
    </row>
    <row r="27" spans="1:17">
      <c r="B27" s="66" t="s">
        <v>191</v>
      </c>
      <c r="I27" s="66" t="s">
        <v>191</v>
      </c>
      <c r="P27" s="66" t="s">
        <v>191</v>
      </c>
    </row>
    <row r="28" spans="1:17">
      <c r="C28" s="66" t="s">
        <v>191</v>
      </c>
      <c r="E28" s="66" t="s">
        <v>191</v>
      </c>
    </row>
  </sheetData>
  <mergeCells count="17">
    <mergeCell ref="A1:K1"/>
    <mergeCell ref="A2:K2"/>
    <mergeCell ref="A3:K3"/>
    <mergeCell ref="A7:A9"/>
    <mergeCell ref="B7:E7"/>
    <mergeCell ref="F7:I7"/>
    <mergeCell ref="J7:K7"/>
    <mergeCell ref="B8:B9"/>
    <mergeCell ref="C8:C9"/>
    <mergeCell ref="D8:D9"/>
    <mergeCell ref="E8:E9"/>
    <mergeCell ref="F8:F9"/>
    <mergeCell ref="G8:G9"/>
    <mergeCell ref="H8:H9"/>
    <mergeCell ref="I8:I9"/>
    <mergeCell ref="J8:J9"/>
    <mergeCell ref="K8:K9"/>
  </mergeCells>
  <pageMargins left="0.70866141732283472" right="0.70866141732283472" top="0.74803149606299213" bottom="0.74803149606299213" header="0.31496062992125984" footer="0.31496062992125984"/>
  <pageSetup scale="78"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C32"/>
  <sheetViews>
    <sheetView showGridLines="0" view="pageBreakPreview" zoomScaleNormal="93" zoomScaleSheetLayoutView="100" workbookViewId="0">
      <selection activeCell="B16" sqref="B16"/>
    </sheetView>
  </sheetViews>
  <sheetFormatPr defaultColWidth="9.109375" defaultRowHeight="13.8"/>
  <cols>
    <col min="1" max="1" width="61.6640625" style="227" customWidth="1"/>
    <col min="2" max="2" width="20.6640625" style="227" customWidth="1"/>
    <col min="3" max="3" width="22.88671875" style="227" customWidth="1"/>
    <col min="4" max="5" width="12.33203125" style="227" bestFit="1" customWidth="1"/>
    <col min="6" max="16384" width="9.109375" style="227"/>
  </cols>
  <sheetData>
    <row r="1" spans="1:3" ht="15" customHeight="1">
      <c r="A1" s="610" t="str">
        <f>BS!A1</f>
        <v>CARGO INTERNATIONAL (INDIA) PRIVATE LIMITED</v>
      </c>
      <c r="B1" s="611"/>
      <c r="C1" s="612"/>
    </row>
    <row r="2" spans="1:3" ht="15" customHeight="1">
      <c r="A2" s="613" t="s">
        <v>152</v>
      </c>
      <c r="B2" s="614"/>
      <c r="C2" s="615"/>
    </row>
    <row r="3" spans="1:3" ht="15" customHeight="1">
      <c r="A3" s="613" t="s">
        <v>650</v>
      </c>
      <c r="B3" s="614"/>
      <c r="C3" s="615"/>
    </row>
    <row r="4" spans="1:3" ht="15" customHeight="1" thickBot="1">
      <c r="A4" s="521"/>
      <c r="B4" s="522"/>
      <c r="C4" s="520" t="str">
        <f>+"(Unless otherwise specified, all amounts are "&amp;IF('Master data'!A2="Ones","Indian Rupees","in "&amp;'Master data'!A2&amp;" of INR)")</f>
        <v>(Unless otherwise specified, all amounts are Indian Rupees</v>
      </c>
    </row>
    <row r="5" spans="1:3">
      <c r="A5" s="619" t="s">
        <v>15</v>
      </c>
      <c r="B5" s="237" t="s">
        <v>40</v>
      </c>
      <c r="C5" s="238" t="s">
        <v>40</v>
      </c>
    </row>
    <row r="6" spans="1:3" ht="14.4" thickBot="1">
      <c r="A6" s="620"/>
      <c r="B6" s="239" t="str">
        <f>'NOTE 4-8'!B6</f>
        <v>31st March, 2026</v>
      </c>
      <c r="C6" s="239" t="str">
        <f>'NOTE 4-8'!C6</f>
        <v>31st March, 2025</v>
      </c>
    </row>
    <row r="7" spans="1:3">
      <c r="A7" s="240"/>
      <c r="B7" s="241"/>
      <c r="C7" s="242"/>
    </row>
    <row r="8" spans="1:3">
      <c r="A8" s="581" t="s">
        <v>703</v>
      </c>
      <c r="B8" s="243"/>
      <c r="C8" s="226"/>
    </row>
    <row r="9" spans="1:3">
      <c r="A9" s="580" t="s">
        <v>243</v>
      </c>
      <c r="B9" s="220">
        <f>(SUMIF('TB 25-26'!$Q:$Q,$A9,'TB 25-26'!$O:$O)-SUMIF('TB 25-26'!$Q:$Q,$A9,'TB 25-26'!$P:$P))</f>
        <v>1633680.52</v>
      </c>
      <c r="C9" s="226">
        <f>(SUMIF('TB 25-26'!$Q:$Q,$A9,'TB 25-26'!$E:$E)-SUMIF('TB 25-26'!$Q:$Q,$A9,'TB 25-26'!$F:$F))</f>
        <v>1669658</v>
      </c>
    </row>
    <row r="10" spans="1:3">
      <c r="A10" s="580" t="s">
        <v>264</v>
      </c>
      <c r="B10" s="220">
        <f>(SUMIF('TB 25-26'!$Q:$Q,$A10,'TB 25-26'!$O:$O)-SUMIF('TB 25-26'!$Q:$Q,$A10,'TB 25-26'!$P:$P))</f>
        <v>24548794.405594938</v>
      </c>
      <c r="C10" s="226">
        <f>(SUMIF('TB 25-26'!$Q:$Q,$A10,'TB 25-26'!$E:$E)-SUMIF('TB 25-26'!$Q:$Q,$A10,'TB 25-26'!$F:$F))</f>
        <v>21114219.705594938</v>
      </c>
    </row>
    <row r="11" spans="1:3">
      <c r="A11" s="580"/>
      <c r="C11" s="228"/>
    </row>
    <row r="12" spans="1:3" ht="14.4" thickBot="1">
      <c r="A12" s="580"/>
      <c r="B12" s="229">
        <f>SUM(B9:B11)</f>
        <v>26182474.925594937</v>
      </c>
      <c r="C12" s="230">
        <f>SUM(C9:C11)</f>
        <v>22783877.705594938</v>
      </c>
    </row>
    <row r="13" spans="1:3" ht="14.4" thickTop="1">
      <c r="A13" s="581"/>
      <c r="B13" s="231"/>
      <c r="C13" s="232"/>
    </row>
    <row r="14" spans="1:3">
      <c r="A14" s="581" t="s">
        <v>704</v>
      </c>
      <c r="B14" s="231"/>
      <c r="C14" s="232"/>
    </row>
    <row r="15" spans="1:3">
      <c r="A15" s="580" t="s">
        <v>180</v>
      </c>
      <c r="B15" s="220">
        <f>+C18</f>
        <v>597436.01321080152</v>
      </c>
      <c r="C15" s="226">
        <f>634957.698/Deno</f>
        <v>634957.69799999997</v>
      </c>
    </row>
    <row r="16" spans="1:3">
      <c r="A16" s="580" t="s">
        <v>705</v>
      </c>
      <c r="B16" s="220">
        <f>PL!D32</f>
        <v>0</v>
      </c>
      <c r="C16" s="226">
        <f>PL!E32</f>
        <v>-37521.684789198502</v>
      </c>
    </row>
    <row r="17" spans="1:3">
      <c r="A17" s="580"/>
      <c r="C17" s="244"/>
    </row>
    <row r="18" spans="1:3" ht="15" thickBot="1">
      <c r="A18" s="582" t="s">
        <v>706</v>
      </c>
      <c r="B18" s="229">
        <f>SUM(B15:B17)</f>
        <v>597436.01321080152</v>
      </c>
      <c r="C18" s="230">
        <f>SUM(C15:C17)</f>
        <v>597436.01321080152</v>
      </c>
    </row>
    <row r="19" spans="1:3" ht="14.4" thickTop="1">
      <c r="A19" s="581"/>
      <c r="B19" s="231"/>
      <c r="C19" s="232"/>
    </row>
    <row r="20" spans="1:3">
      <c r="A20" s="581" t="s">
        <v>707</v>
      </c>
      <c r="B20" s="231"/>
      <c r="C20" s="232"/>
    </row>
    <row r="21" spans="1:3">
      <c r="A21" s="580" t="s">
        <v>708</v>
      </c>
      <c r="B21" s="220">
        <f>(+'Sub Sch - BS'!B38)</f>
        <v>34165322.9849912</v>
      </c>
      <c r="C21" s="226">
        <f>(+'Sub Sch - BS'!C38)</f>
        <v>21677244.554991201</v>
      </c>
    </row>
    <row r="22" spans="1:3">
      <c r="A22" s="580" t="s">
        <v>709</v>
      </c>
      <c r="B22" s="220">
        <f>(+'Sub Sch - BS'!B32)</f>
        <v>58384.780000000021</v>
      </c>
      <c r="C22" s="226">
        <f>(+'Sub Sch - BS'!C32)</f>
        <v>16299.650000000023</v>
      </c>
    </row>
    <row r="23" spans="1:3">
      <c r="A23" s="580"/>
      <c r="C23" s="228"/>
    </row>
    <row r="24" spans="1:3" ht="14.4" thickBot="1">
      <c r="A24" s="580"/>
      <c r="B24" s="229">
        <f>SUM(B21:B23)</f>
        <v>34223707.764991201</v>
      </c>
      <c r="C24" s="230">
        <f>SUM(C21:C23)</f>
        <v>21693544.204991199</v>
      </c>
    </row>
    <row r="25" spans="1:3" ht="14.4" thickTop="1">
      <c r="A25" s="580"/>
      <c r="C25" s="228"/>
    </row>
    <row r="26" spans="1:3">
      <c r="A26" s="581" t="s">
        <v>710</v>
      </c>
      <c r="B26" s="231"/>
      <c r="C26" s="232"/>
    </row>
    <row r="27" spans="1:3">
      <c r="A27" s="583" t="s">
        <v>250</v>
      </c>
      <c r="B27" s="220">
        <f>(+'Sub Sch - BS'!B44)</f>
        <v>12185082.800000027</v>
      </c>
      <c r="C27" s="226">
        <f>(+'Sub Sch - BS'!C44)</f>
        <v>5065070.0200000219</v>
      </c>
    </row>
    <row r="28" spans="1:3">
      <c r="A28" s="580" t="s">
        <v>232</v>
      </c>
      <c r="B28" s="220">
        <f>(SUMIF('TB 25-26'!$Q:$Q,$A28,'TB 25-26'!$O:$O)-SUMIF('TB 25-26'!$Q:$Q,$A28,'TB 25-26'!$P:$P))</f>
        <v>246134.41249999966</v>
      </c>
      <c r="C28" s="226">
        <f>(SUMIF('TB 25-26'!$Q:$Q,$A28,'TB 25-26'!$E:$E)-SUMIF('TB 25-26'!$Q:$Q,$A28,'TB 25-26'!$F:$F))</f>
        <v>130788.22666666668</v>
      </c>
    </row>
    <row r="29" spans="1:3">
      <c r="A29" s="580" t="s">
        <v>237</v>
      </c>
      <c r="B29" s="220">
        <f>(SUMIF('TB 25-26'!$Q:$Q,$A29,'TB 25-26'!$O:$O)-SUMIF('TB 25-26'!$Q:$Q,$A29,'TB 25-26'!$P:$P))</f>
        <v>95531.239999999991</v>
      </c>
      <c r="C29" s="226">
        <f>(SUMIF('TB 25-26'!$Q:$Q,$A29,'TB 25-26'!$E:$E)-SUMIF('TB 25-26'!$Q:$Q,$A29,'TB 25-26'!$F:$F))</f>
        <v>43181.739999999991</v>
      </c>
    </row>
    <row r="30" spans="1:3">
      <c r="A30" s="580"/>
      <c r="C30" s="228"/>
    </row>
    <row r="31" spans="1:3" ht="14.4" thickBot="1">
      <c r="A31" s="105"/>
      <c r="B31" s="229">
        <f>SUM(B27:B30)</f>
        <v>12526748.452500027</v>
      </c>
      <c r="C31" s="230">
        <f>SUM(C27:C30)</f>
        <v>5239039.9866666887</v>
      </c>
    </row>
    <row r="32" spans="1:3" ht="15" thickTop="1" thickBot="1">
      <c r="A32" s="121"/>
      <c r="B32" s="235"/>
      <c r="C32" s="236"/>
    </row>
  </sheetData>
  <mergeCells count="4">
    <mergeCell ref="A1:C1"/>
    <mergeCell ref="A2:C2"/>
    <mergeCell ref="A3:C3"/>
    <mergeCell ref="A5:A6"/>
  </mergeCells>
  <printOptions horizontalCentered="1"/>
  <pageMargins left="0.15748031496062992" right="0.19685039370078741" top="0.27559055118110237" bottom="0.31496062992125984" header="0.15748031496062992" footer="0.39370078740157483"/>
  <pageSetup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66"/>
  <sheetViews>
    <sheetView showGridLines="0" view="pageBreakPreview" topLeftCell="A42" zoomScaleNormal="100" zoomScaleSheetLayoutView="100" workbookViewId="0">
      <selection activeCell="B44" sqref="B44"/>
    </sheetView>
  </sheetViews>
  <sheetFormatPr defaultColWidth="9.109375" defaultRowHeight="13.8"/>
  <cols>
    <col min="1" max="1" width="61.6640625" style="227" customWidth="1"/>
    <col min="2" max="3" width="20.6640625" style="227" customWidth="1"/>
    <col min="4" max="4" width="14.109375" style="227" bestFit="1" customWidth="1"/>
    <col min="5" max="6" width="16.88671875" style="227" bestFit="1" customWidth="1"/>
    <col min="7" max="7" width="12.6640625" style="227" bestFit="1" customWidth="1"/>
    <col min="8" max="8" width="10" style="227" bestFit="1" customWidth="1"/>
    <col min="9" max="16384" width="9.109375" style="227"/>
  </cols>
  <sheetData>
    <row r="1" spans="1:6">
      <c r="A1" s="610" t="s">
        <v>36</v>
      </c>
      <c r="B1" s="611"/>
      <c r="C1" s="612"/>
    </row>
    <row r="2" spans="1:6">
      <c r="A2" s="613" t="str">
        <f>+'NOTE 3'!A2:E2</f>
        <v>NOTES TO THE FINANCIAL STATEMENTS FOR THE YEAR ENDED 31st MARCH, 2026</v>
      </c>
      <c r="B2" s="614"/>
      <c r="C2" s="615"/>
    </row>
    <row r="3" spans="1:6" ht="16.5" customHeight="1">
      <c r="A3" s="613"/>
      <c r="B3" s="614"/>
      <c r="C3" s="615"/>
    </row>
    <row r="4" spans="1:6" ht="16.5" customHeight="1" thickBot="1">
      <c r="A4" s="223"/>
      <c r="B4" s="458"/>
      <c r="C4" s="520" t="str">
        <f>+"(Unless otherwise specified, all amounts are "&amp;IF('Master data'!A2="Ones","Indian Rupees","in "&amp;'Master data'!A2&amp;" of INR)")</f>
        <v>(Unless otherwise specified, all amounts are Indian Rupees</v>
      </c>
    </row>
    <row r="5" spans="1:6">
      <c r="A5" s="86" t="s">
        <v>15</v>
      </c>
      <c r="B5" s="217" t="s">
        <v>94</v>
      </c>
      <c r="C5" s="218" t="s">
        <v>94</v>
      </c>
    </row>
    <row r="6" spans="1:6" ht="14.4" thickBot="1">
      <c r="A6" s="88"/>
      <c r="B6" s="219" t="str">
        <f>'NOTE 10-14'!B6</f>
        <v>31st March, 2026</v>
      </c>
      <c r="C6" s="219" t="str">
        <f>'NOTE 10-14'!C6</f>
        <v>31st March, 2025</v>
      </c>
      <c r="F6" s="220"/>
    </row>
    <row r="7" spans="1:6">
      <c r="A7" s="105"/>
      <c r="B7" s="221"/>
      <c r="C7" s="222"/>
    </row>
    <row r="8" spans="1:6">
      <c r="A8" s="584" t="s">
        <v>711</v>
      </c>
      <c r="B8" s="224"/>
      <c r="C8" s="225"/>
    </row>
    <row r="9" spans="1:6">
      <c r="A9" s="580" t="s">
        <v>371</v>
      </c>
      <c r="B9" s="220">
        <f>(SUMIF('TB 25-26'!$Q:$Q,'NOTE 15-20'!$A9,'TB 25-26'!$P:$P)-SUMIF('TB 25-26'!$Q:$Q,'NOTE 15-20'!$A9,'TB 25-26'!$O:$O))</f>
        <v>96649855.959999993</v>
      </c>
      <c r="C9" s="226">
        <f>(SUMIF('TB 25-26'!$Q:$Q,'NOTE 15-20'!$A9,'TB 25-26'!$F:$F)-SUMIF('TB 25-26'!$Q:$Q,'NOTE 15-20'!$A9,'TB 25-26'!$E:$E))</f>
        <v>141442800.7399998</v>
      </c>
    </row>
    <row r="10" spans="1:6">
      <c r="A10" s="580" t="s">
        <v>380</v>
      </c>
      <c r="B10" s="220">
        <f>(SUMIF('TB 25-26'!$Q:$Q,'NOTE 15-20'!$A10,'TB 25-26'!$P:$P)-SUMIF('TB 25-26'!$Q:$Q,'NOTE 15-20'!$A10,'TB 25-26'!$O:$O))</f>
        <v>26473502.540000003</v>
      </c>
      <c r="C10" s="226">
        <f>(SUMIF('TB 25-26'!$Q:$Q,'NOTE 15-20'!$A10,'TB 25-26'!$F:$F)-SUMIF('TB 25-26'!$Q:$Q,'NOTE 15-20'!$A10,'TB 25-26'!$E:$E))</f>
        <v>27374244.46999998</v>
      </c>
    </row>
    <row r="11" spans="1:6">
      <c r="A11" s="580" t="s">
        <v>385</v>
      </c>
      <c r="B11" s="220">
        <f>(SUMIF('TB 25-26'!$Q:$Q,'NOTE 15-20'!$A11,'TB 25-26'!$P:$P)-SUMIF('TB 25-26'!$Q:$Q,'NOTE 15-20'!$A11,'TB 25-26'!$O:$O))</f>
        <v>54512716.509999998</v>
      </c>
      <c r="C11" s="226">
        <f>(SUMIF('TB 25-26'!$Q:$Q,'NOTE 15-20'!$A11,'TB 25-26'!$F:$F)-SUMIF('TB 25-26'!$Q:$Q,'NOTE 15-20'!$A11,'TB 25-26'!$E:$E))</f>
        <v>72299417.409999937</v>
      </c>
    </row>
    <row r="12" spans="1:6">
      <c r="A12" s="580" t="s">
        <v>388</v>
      </c>
      <c r="B12" s="220">
        <f>(SUMIF('TB 25-26'!$Q:$Q,'NOTE 15-20'!$A12,'TB 25-26'!$P:$P)-SUMIF('TB 25-26'!$Q:$Q,'NOTE 15-20'!$A12,'TB 25-26'!$O:$O))</f>
        <v>13227934.390000001</v>
      </c>
      <c r="C12" s="226">
        <f>(SUMIF('TB 25-26'!$Q:$Q,'NOTE 15-20'!$A12,'TB 25-26'!$F:$F)-SUMIF('TB 25-26'!$Q:$Q,'NOTE 15-20'!$A12,'TB 25-26'!$E:$E))</f>
        <v>9940420.320000004</v>
      </c>
    </row>
    <row r="13" spans="1:6">
      <c r="A13" s="580"/>
      <c r="C13" s="228"/>
    </row>
    <row r="14" spans="1:6" ht="14.4" thickBot="1">
      <c r="A14" s="580"/>
      <c r="B14" s="229">
        <f>SUM(B9:B13)</f>
        <v>190864009.39999998</v>
      </c>
      <c r="C14" s="230">
        <f>SUM(C9:C13)</f>
        <v>251056882.9399997</v>
      </c>
    </row>
    <row r="15" spans="1:6" ht="14.4" thickTop="1">
      <c r="A15" s="580"/>
      <c r="C15" s="228"/>
    </row>
    <row r="16" spans="1:6">
      <c r="A16" s="581" t="s">
        <v>712</v>
      </c>
      <c r="B16" s="231"/>
      <c r="C16" s="232"/>
    </row>
    <row r="17" spans="1:3">
      <c r="A17" s="580" t="s">
        <v>713</v>
      </c>
      <c r="B17" s="220">
        <f>(SUMIF('TB 25-26'!$Q:$Q,'NOTE 15-20'!$A17,'TB 25-26'!$P:$P)-SUMIF('TB 25-26'!$Q:$Q,'NOTE 15-20'!$A17,'TB 25-26'!$O:$O))</f>
        <v>5007389.66</v>
      </c>
      <c r="C17" s="226">
        <f>(SUMIF('TB 25-26'!$Q:$Q,'NOTE 15-20'!$A17,'TB 25-26'!$F:$F)-SUMIF('TB 25-26'!$Q:$Q,'NOTE 15-20'!$A17,'TB 25-26'!$E:$E))</f>
        <v>6273672.8499999996</v>
      </c>
    </row>
    <row r="18" spans="1:3">
      <c r="A18" s="580" t="s">
        <v>392</v>
      </c>
      <c r="B18" s="220">
        <f>(SUMIF('TB 25-26'!$Q:$Q,'NOTE 15-20'!$A18,'TB 25-26'!$P:$P)-SUMIF('TB 25-26'!$Q:$Q,'NOTE 15-20'!$A18,'TB 25-26'!$O:$O))</f>
        <v>9161</v>
      </c>
      <c r="C18" s="226">
        <f>(SUMIF('TB 25-26'!$Q:$Q,'NOTE 15-20'!$A18,'TB 25-26'!$F:$F)-SUMIF('TB 25-26'!$Q:$Q,'NOTE 15-20'!$A18,'TB 25-26'!$E:$E))</f>
        <v>1397</v>
      </c>
    </row>
    <row r="19" spans="1:3">
      <c r="A19" s="581"/>
      <c r="B19" s="231"/>
      <c r="C19" s="232"/>
    </row>
    <row r="20" spans="1:3" ht="14.4" thickBot="1">
      <c r="A20" s="580"/>
      <c r="B20" s="229">
        <f>SUM(B17:B19)</f>
        <v>5016550.66</v>
      </c>
      <c r="C20" s="230">
        <f>SUM(C17:C19)</f>
        <v>6275069.8499999996</v>
      </c>
    </row>
    <row r="21" spans="1:3" ht="14.4" thickTop="1">
      <c r="A21" s="580"/>
      <c r="C21" s="228"/>
    </row>
    <row r="22" spans="1:3">
      <c r="A22" s="581" t="s">
        <v>714</v>
      </c>
      <c r="B22" s="231"/>
      <c r="C22" s="232"/>
    </row>
    <row r="23" spans="1:3">
      <c r="A23" s="580" t="s">
        <v>419</v>
      </c>
      <c r="B23" s="220">
        <f>(SUMIF('TB 25-26'!$Q:$Q,'NOTE 15-20'!$A23,'TB 25-26'!$O:$O)-SUMIF('TB 25-26'!$Q:$Q,'NOTE 15-20'!$A23,'TB 25-26'!$P:$P))</f>
        <v>80535246.540000007</v>
      </c>
      <c r="C23" s="226">
        <f>(SUMIF('TB 25-26'!$Q:$Q,'NOTE 15-20'!$A23,'TB 25-26'!$E:$E)-SUMIF('TB 25-26'!$Q:$Q,'NOTE 15-20'!$A23,'TB 25-26'!$F:$F))</f>
        <v>117606311.51999998</v>
      </c>
    </row>
    <row r="24" spans="1:3">
      <c r="A24" s="580" t="s">
        <v>428</v>
      </c>
      <c r="B24" s="220">
        <f>(SUMIF('TB 25-26'!$Q:$Q,'NOTE 15-20'!$A24,'TB 25-26'!$O:$O)-SUMIF('TB 25-26'!$Q:$Q,'NOTE 15-20'!$A24,'TB 25-26'!$P:$P))</f>
        <v>22075933.52</v>
      </c>
      <c r="C24" s="226">
        <f>(SUMIF('TB 25-26'!$Q:$Q,'NOTE 15-20'!$A24,'TB 25-26'!$E:$E)-SUMIF('TB 25-26'!$Q:$Q,'NOTE 15-20'!$A24,'TB 25-26'!$F:$F))</f>
        <v>24087737.84</v>
      </c>
    </row>
    <row r="25" spans="1:3">
      <c r="A25" s="580" t="s">
        <v>432</v>
      </c>
      <c r="B25" s="220">
        <f>(SUMIF('TB 25-26'!$Q:$Q,'NOTE 15-20'!$A25,'TB 25-26'!$O:$O)-SUMIF('TB 25-26'!$Q:$Q,'NOTE 15-20'!$A25,'TB 25-26'!$P:$P))</f>
        <v>46072303.649999999</v>
      </c>
      <c r="C25" s="226">
        <f>(SUMIF('TB 25-26'!$Q:$Q,'NOTE 15-20'!$A25,'TB 25-26'!$E:$E)-SUMIF('TB 25-26'!$Q:$Q,'NOTE 15-20'!$A25,'TB 25-26'!$F:$F))</f>
        <v>65618240.920000024</v>
      </c>
    </row>
    <row r="26" spans="1:3">
      <c r="A26" s="580" t="s">
        <v>435</v>
      </c>
      <c r="B26" s="220">
        <f>(SUMIF('TB 25-26'!$Q:$Q,'NOTE 15-20'!$A26,'TB 25-26'!$O:$O)-SUMIF('TB 25-26'!$Q:$Q,'NOTE 15-20'!$A26,'TB 25-26'!$P:$P))</f>
        <v>10518022.119999999</v>
      </c>
      <c r="C26" s="226">
        <f>(SUMIF('TB 25-26'!$Q:$Q,'NOTE 15-20'!$A26,'TB 25-26'!$E:$E)-SUMIF('TB 25-26'!$Q:$Q,'NOTE 15-20'!$A26,'TB 25-26'!$F:$F))</f>
        <v>8054463.0599999968</v>
      </c>
    </row>
    <row r="27" spans="1:3">
      <c r="A27" s="580"/>
      <c r="C27" s="228"/>
    </row>
    <row r="28" spans="1:3" ht="14.4" thickBot="1">
      <c r="A28" s="580"/>
      <c r="B28" s="229">
        <f>SUM(B23:B27)</f>
        <v>159201505.83000001</v>
      </c>
      <c r="C28" s="230">
        <f>SUM(C23:C27)</f>
        <v>215366753.34</v>
      </c>
    </row>
    <row r="29" spans="1:3" ht="14.4" thickTop="1">
      <c r="A29" s="580"/>
      <c r="C29" s="228"/>
    </row>
    <row r="30" spans="1:3">
      <c r="A30" s="581" t="s">
        <v>715</v>
      </c>
      <c r="B30" s="231"/>
      <c r="C30" s="232"/>
    </row>
    <row r="31" spans="1:3">
      <c r="A31" s="580" t="s">
        <v>439</v>
      </c>
      <c r="B31" s="220">
        <f>(SUMIF('TB 25-26'!$Q:$Q,'NOTE 15-20'!$A31,'TB 25-26'!$O:$O)-SUMIF('TB 25-26'!$Q:$Q,'NOTE 15-20'!$A31,'TB 25-26'!$P:$P))</f>
        <v>19221568</v>
      </c>
      <c r="C31" s="226">
        <f>(SUMIF('TB 25-26'!$Q:$Q,'NOTE 15-20'!$A31,'TB 25-26'!$E:$E)-SUMIF('TB 25-26'!$Q:$Q,'NOTE 15-20'!$A31,'TB 25-26'!$F:$F))</f>
        <v>22538028</v>
      </c>
    </row>
    <row r="32" spans="1:3">
      <c r="A32" s="580" t="s">
        <v>458</v>
      </c>
      <c r="B32" s="220">
        <f>(SUMIF('TB 25-26'!$Q:$Q,'NOTE 15-20'!$A32,'TB 25-26'!$O:$O)-SUMIF('TB 25-26'!$Q:$Q,'NOTE 15-20'!$A32,'TB 25-26'!$P:$P))</f>
        <v>604553.32000000007</v>
      </c>
      <c r="C32" s="226">
        <f>(SUMIF('TB 25-26'!$Q:$Q,'NOTE 15-20'!$A32,'TB 25-26'!$E:$E)-SUMIF('TB 25-26'!$Q:$Q,'NOTE 15-20'!$A32,'TB 25-26'!$F:$F))</f>
        <v>509503</v>
      </c>
    </row>
    <row r="33" spans="1:6">
      <c r="A33" s="580"/>
      <c r="C33" s="228"/>
    </row>
    <row r="34" spans="1:6" ht="14.4" thickBot="1">
      <c r="A34" s="580"/>
      <c r="B34" s="229">
        <f>SUM(B31:B33)</f>
        <v>19826121.32</v>
      </c>
      <c r="C34" s="230">
        <f>SUM(C31:C33)</f>
        <v>23047531</v>
      </c>
    </row>
    <row r="35" spans="1:6" ht="15" thickTop="1" thickBot="1">
      <c r="A35" s="585"/>
      <c r="B35" s="233"/>
      <c r="C35" s="234"/>
    </row>
    <row r="36" spans="1:6">
      <c r="A36" s="580"/>
      <c r="C36" s="228"/>
    </row>
    <row r="37" spans="1:6">
      <c r="A37" s="581" t="s">
        <v>716</v>
      </c>
      <c r="B37" s="231"/>
      <c r="C37" s="232"/>
    </row>
    <row r="38" spans="1:6">
      <c r="A38" s="580" t="s">
        <v>592</v>
      </c>
      <c r="B38" s="220">
        <f>(SUMIF('TB 25-26'!$Q:$Q,'NOTE 15-20'!$A38,'TB 25-26'!$O:$O)-SUMIF('TB 25-26'!$Q:$Q,'NOTE 15-20'!$A38,'TB 25-26'!$P:$P))</f>
        <v>225794.01</v>
      </c>
      <c r="C38" s="226">
        <f>(SUMIF('TB 25-26'!$Q:$Q,'NOTE 15-20'!$A38,'TB 25-26'!$E:$E)-SUMIF('TB 25-26'!$Q:$Q,'NOTE 15-20'!$A38,'TB 25-26'!$F:$F))</f>
        <v>265560.22000000009</v>
      </c>
    </row>
    <row r="39" spans="1:6">
      <c r="A39" s="580" t="s">
        <v>587</v>
      </c>
      <c r="B39" s="220">
        <f>(SUMIF('TB 25-26'!$Q:$Q,'NOTE 15-20'!$A39,'TB 25-26'!$O:$O)-SUMIF('TB 25-26'!$Q:$Q,'NOTE 15-20'!$A39,'TB 25-26'!$P:$P))</f>
        <v>26067</v>
      </c>
      <c r="C39" s="226">
        <f>(SUMIF('TB 25-26'!$Q:$Q,'NOTE 15-20'!$A39,'TB 25-26'!$E:$E)-SUMIF('TB 25-26'!$Q:$Q,'NOTE 15-20'!$A39,'TB 25-26'!$F:$F))</f>
        <v>879.48</v>
      </c>
    </row>
    <row r="40" spans="1:6">
      <c r="A40" s="580"/>
      <c r="C40" s="228"/>
    </row>
    <row r="41" spans="1:6" ht="14.4" thickBot="1">
      <c r="A41" s="580"/>
      <c r="B41" s="229">
        <f>SUM(B38:B40)</f>
        <v>251861.01</v>
      </c>
      <c r="C41" s="230">
        <f>SUM(C38:C40)</f>
        <v>266439.70000000007</v>
      </c>
    </row>
    <row r="42" spans="1:6" ht="14.4" thickTop="1">
      <c r="A42" s="580"/>
      <c r="C42" s="228"/>
    </row>
    <row r="43" spans="1:6">
      <c r="A43" s="581" t="s">
        <v>717</v>
      </c>
      <c r="B43" s="231"/>
      <c r="C43" s="232"/>
    </row>
    <row r="44" spans="1:6">
      <c r="A44" s="580" t="s">
        <v>552</v>
      </c>
      <c r="B44" s="220">
        <f>(SUMIF('TB 25-26'!$Q:$Q,'NOTE 15-20'!$A44,'TB 25-26'!$O:$O)-SUMIF('TB 25-26'!$Q:$Q,'NOTE 15-20'!$A44,'TB 25-26'!$P:$P))</f>
        <v>225000</v>
      </c>
      <c r="C44" s="226">
        <f>(SUMIF('TB 25-26'!$Q:$Q,'NOTE 15-20'!$A44,'TB 25-26'!$E:$E)-SUMIF('TB 25-26'!$Q:$Q,'NOTE 15-20'!$A44,'TB 25-26'!$F:$F))</f>
        <v>225000</v>
      </c>
      <c r="D44" s="227" t="s">
        <v>1078</v>
      </c>
      <c r="E44" s="227">
        <v>2.25</v>
      </c>
      <c r="F44" s="227">
        <f>+C44-E44</f>
        <v>224997.75</v>
      </c>
    </row>
    <row r="45" spans="1:6">
      <c r="A45" s="580" t="s">
        <v>613</v>
      </c>
      <c r="B45" s="220">
        <f>(SUMIF('TB 25-26'!$Q:$Q,'NOTE 15-20'!$A45,'TB 25-26'!$O:$O)-SUMIF('TB 25-26'!$Q:$Q,'NOTE 15-20'!$A45,'TB 25-26'!$P:$P))</f>
        <v>-2065.1599999996033</v>
      </c>
      <c r="C45" s="226">
        <f>(SUMIF('TB 25-26'!$Q:$Q,'NOTE 15-20'!$A45,'TB 25-26'!$E:$E)-SUMIF('TB 25-26'!$Q:$Q,'NOTE 15-20'!$A45,'TB 25-26'!$F:$F))</f>
        <v>3097387.1700000009</v>
      </c>
      <c r="E45" s="227">
        <v>30.97</v>
      </c>
      <c r="F45" s="227">
        <f t="shared" ref="F45:F55" si="0">+C45-E45</f>
        <v>3097356.2000000007</v>
      </c>
    </row>
    <row r="46" spans="1:6">
      <c r="A46" s="580" t="s">
        <v>542</v>
      </c>
      <c r="B46" s="220">
        <f>(+'Sub Sch - p&amp;l'!B13)</f>
        <v>468067.64</v>
      </c>
      <c r="C46" s="226">
        <f>(+'Sub Sch - p&amp;l'!C13)</f>
        <v>1633321.05</v>
      </c>
      <c r="D46" s="227" t="s">
        <v>1081</v>
      </c>
      <c r="E46" s="227">
        <v>16.329999999999998</v>
      </c>
      <c r="F46" s="227">
        <f t="shared" si="0"/>
        <v>1633304.72</v>
      </c>
    </row>
    <row r="47" spans="1:6">
      <c r="A47" s="580" t="s">
        <v>466</v>
      </c>
      <c r="B47" s="220">
        <f>(+'Sub Sch - p&amp;l'!B21)</f>
        <v>248680.22999999998</v>
      </c>
      <c r="C47" s="226">
        <f>(+'Sub Sch - p&amp;l'!C21)</f>
        <v>203025.92000000001</v>
      </c>
      <c r="D47" s="227" t="s">
        <v>1082</v>
      </c>
      <c r="E47" s="227">
        <v>10.6</v>
      </c>
      <c r="F47" s="227">
        <f t="shared" si="0"/>
        <v>203015.32</v>
      </c>
    </row>
    <row r="48" spans="1:6">
      <c r="A48" s="580" t="s">
        <v>400</v>
      </c>
      <c r="B48" s="220">
        <f>(SUMIF('TB 25-26'!$Q:$Q,'NOTE 15-20'!$A48,'TB 25-26'!$O:$O)-SUMIF('TB 25-26'!$Q:$Q,'NOTE 15-20'!$A48,'TB 25-26'!$P:$P))</f>
        <v>445689.63505299075</v>
      </c>
      <c r="C48" s="226">
        <f>(SUMIF('TB 25-26'!$Q:$Q,'NOTE 15-20'!$A48,'TB 25-26'!$E:$E)-SUMIF('TB 25-26'!$Q:$Q,'NOTE 15-20'!$A48,'TB 25-26'!$F:$F))</f>
        <v>-33920.907455784378</v>
      </c>
      <c r="E48" s="227">
        <v>0.34</v>
      </c>
      <c r="F48" s="227">
        <f t="shared" si="0"/>
        <v>-33921.247455784374</v>
      </c>
    </row>
    <row r="49" spans="1:6">
      <c r="A49" s="580" t="s">
        <v>600</v>
      </c>
      <c r="B49" s="220">
        <f>(SUMIF('TB 25-26'!$Q:$Q,'NOTE 15-20'!$A49,'TB 25-26'!$O:$O)-SUMIF('TB 25-26'!$Q:$Q,'NOTE 15-20'!$A49,'TB 25-26'!$P:$P))</f>
        <v>463682.004166667</v>
      </c>
      <c r="C49" s="226">
        <f>(SUMIF('TB 25-26'!$Q:$Q,'NOTE 15-20'!$A49,'TB 25-26'!$E:$E)-SUMIF('TB 25-26'!$Q:$Q,'NOTE 15-20'!$A49,'TB 25-26'!$F:$F))</f>
        <v>386590.70333333331</v>
      </c>
      <c r="E49" s="227">
        <v>3.87</v>
      </c>
      <c r="F49" s="227">
        <f t="shared" si="0"/>
        <v>386586.83333333331</v>
      </c>
    </row>
    <row r="50" spans="1:6">
      <c r="A50" s="580" t="s">
        <v>408</v>
      </c>
      <c r="B50" s="220">
        <f>(+'Sub Sch - p&amp;l'!B37)</f>
        <v>2445282.7599999947</v>
      </c>
      <c r="C50" s="226">
        <f>(+'Sub Sch - p&amp;l'!C37)</f>
        <v>2792361.1300000004</v>
      </c>
      <c r="E50" s="227">
        <v>19.350000000000001</v>
      </c>
      <c r="F50" s="227">
        <f t="shared" si="0"/>
        <v>2792341.7800000003</v>
      </c>
    </row>
    <row r="51" spans="1:6">
      <c r="A51" s="580" t="s">
        <v>527</v>
      </c>
      <c r="B51" s="220">
        <f>(+'Sub Sch - p&amp;l'!B45)</f>
        <v>15156273.16</v>
      </c>
      <c r="C51" s="226">
        <f>(+'Sub Sch - p&amp;l'!C45)</f>
        <v>1999970.8900000001</v>
      </c>
      <c r="E51" s="227">
        <v>20</v>
      </c>
      <c r="F51" s="227">
        <f t="shared" si="0"/>
        <v>1999950.8900000001</v>
      </c>
    </row>
    <row r="52" spans="1:6">
      <c r="A52" s="580" t="s">
        <v>482</v>
      </c>
      <c r="B52" s="220">
        <f>(SUMIF('TB 25-26'!$Q:$Q,'NOTE 15-20'!$A52,'TB 25-26'!$O:$O)-SUMIF('TB 25-26'!$Q:$Q,'NOTE 15-20'!$A52,'TB 25-26'!$P:$P))</f>
        <v>169145</v>
      </c>
      <c r="C52" s="226">
        <f>(SUMIF('TB 25-26'!$Q:$Q,'NOTE 15-20'!$A52,'TB 25-26'!$E:$E)-SUMIF('TB 25-26'!$Q:$Q,'NOTE 15-20'!$A52,'TB 25-26'!$F:$F))</f>
        <v>361217</v>
      </c>
      <c r="E52" s="227">
        <v>3.61</v>
      </c>
      <c r="F52" s="227">
        <f t="shared" si="0"/>
        <v>361213.39</v>
      </c>
    </row>
    <row r="53" spans="1:6">
      <c r="A53" s="580" t="s">
        <v>480</v>
      </c>
      <c r="B53" s="220">
        <f>(+'Sub Sch - p&amp;l'!B53)</f>
        <v>2641326</v>
      </c>
      <c r="C53" s="226">
        <f>(+'Sub Sch - p&amp;l'!C53)</f>
        <v>2135065</v>
      </c>
      <c r="E53" s="227">
        <v>21.350649999999998</v>
      </c>
      <c r="F53" s="227">
        <f t="shared" si="0"/>
        <v>2135043.6493500001</v>
      </c>
    </row>
    <row r="54" spans="1:6">
      <c r="A54" s="580" t="s">
        <v>515</v>
      </c>
      <c r="B54" s="220">
        <f>(+'Sub Sch - p&amp;l'!B62)</f>
        <v>467214.41000000003</v>
      </c>
      <c r="C54" s="226">
        <f>(+'Sub Sch - p&amp;l'!C62)</f>
        <v>609537.95000000007</v>
      </c>
      <c r="E54" s="227">
        <v>6.0953795</v>
      </c>
      <c r="F54" s="227">
        <f t="shared" si="0"/>
        <v>609531.85462050012</v>
      </c>
    </row>
    <row r="55" spans="1:6">
      <c r="A55" s="580" t="s">
        <v>500</v>
      </c>
      <c r="B55" s="220">
        <f>(+'Sub Sch - p&amp;l'!B69)</f>
        <v>3041080.2800000003</v>
      </c>
      <c r="C55" s="226">
        <f>(+'Sub Sch - p&amp;l'!C69)</f>
        <v>2318583.59</v>
      </c>
      <c r="E55" s="227">
        <v>23.185835899999997</v>
      </c>
      <c r="F55" s="227">
        <f t="shared" si="0"/>
        <v>2318560.4041641001</v>
      </c>
    </row>
    <row r="56" spans="1:6">
      <c r="A56" s="580"/>
      <c r="C56" s="228"/>
    </row>
    <row r="57" spans="1:6" ht="14.4" thickBot="1">
      <c r="A57" s="580"/>
      <c r="B57" s="229">
        <f>SUM(B44:B56)</f>
        <v>25769375.959219653</v>
      </c>
      <c r="C57" s="230">
        <f>SUM(C44:C56)</f>
        <v>15728139.495877549</v>
      </c>
    </row>
    <row r="58" spans="1:6" ht="14.4" thickTop="1">
      <c r="A58" s="105"/>
      <c r="C58" s="228"/>
    </row>
    <row r="59" spans="1:6" hidden="1">
      <c r="A59" s="110" t="s">
        <v>718</v>
      </c>
      <c r="B59" s="231"/>
      <c r="C59" s="232"/>
    </row>
    <row r="60" spans="1:6" hidden="1">
      <c r="A60" s="105" t="s">
        <v>553</v>
      </c>
      <c r="B60" s="220">
        <f>(+'TB 25-26'!M288)/Deno</f>
        <v>100000</v>
      </c>
      <c r="C60" s="226">
        <f>125000/Deno</f>
        <v>125000</v>
      </c>
    </row>
    <row r="61" spans="1:6" hidden="1">
      <c r="A61" s="105" t="s">
        <v>719</v>
      </c>
      <c r="B61" s="220">
        <f>(+'TB 25-26'!M289)/Deno</f>
        <v>125000</v>
      </c>
      <c r="C61" s="226">
        <f>100000/Deno</f>
        <v>100000</v>
      </c>
    </row>
    <row r="62" spans="1:6" hidden="1">
      <c r="A62" s="105"/>
      <c r="C62" s="228"/>
    </row>
    <row r="63" spans="1:6" ht="14.4" hidden="1" thickBot="1">
      <c r="A63" s="105"/>
      <c r="B63" s="229">
        <f>SUM(B60:B62)</f>
        <v>225000</v>
      </c>
      <c r="C63" s="230">
        <f>SUM(C60:C62)</f>
        <v>225000</v>
      </c>
    </row>
    <row r="64" spans="1:6" ht="14.4" thickBot="1">
      <c r="A64" s="121"/>
      <c r="B64" s="235"/>
      <c r="C64" s="236"/>
    </row>
    <row r="66" spans="1:3">
      <c r="A66" s="506"/>
      <c r="B66" s="506"/>
      <c r="C66" s="506"/>
    </row>
  </sheetData>
  <sortState xmlns:xlrd2="http://schemas.microsoft.com/office/spreadsheetml/2017/richdata2" ref="D125:D137">
    <sortCondition ref="D137"/>
  </sortState>
  <mergeCells count="3">
    <mergeCell ref="A1:C1"/>
    <mergeCell ref="A2:C2"/>
    <mergeCell ref="A3:C3"/>
  </mergeCells>
  <phoneticPr fontId="9" type="noConversion"/>
  <printOptions horizontalCentered="1"/>
  <pageMargins left="0.15748031496062992" right="0.19685039370078741" top="0.27559055118110237" bottom="0.31496062992125984" header="0.15748031496062992" footer="0.39370078740157483"/>
  <pageSetup orientation="portrait" r:id="rId1"/>
  <headerFooter alignWithMargins="0"/>
  <rowBreaks count="1" manualBreakCount="1">
    <brk id="35" max="4"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04C87-123D-47C5-9B54-C4DE2FF89062}">
  <dimension ref="A1:E100"/>
  <sheetViews>
    <sheetView showGridLines="0" view="pageBreakPreview" zoomScaleNormal="50" zoomScaleSheetLayoutView="100" workbookViewId="0">
      <selection sqref="A1:E1"/>
    </sheetView>
  </sheetViews>
  <sheetFormatPr defaultColWidth="9.109375" defaultRowHeight="13.8"/>
  <cols>
    <col min="1" max="1" width="52" style="40" customWidth="1"/>
    <col min="2" max="4" width="18.109375" style="40" customWidth="1"/>
    <col min="5" max="5" width="20.33203125" style="40" bestFit="1" customWidth="1"/>
    <col min="6" max="6" width="9.109375" style="40"/>
    <col min="7" max="7" width="10" style="40" bestFit="1" customWidth="1"/>
    <col min="8" max="8" width="12.6640625" style="40" bestFit="1" customWidth="1"/>
    <col min="9" max="9" width="18.109375" style="40" bestFit="1" customWidth="1"/>
    <col min="10" max="16384" width="9.109375" style="40"/>
  </cols>
  <sheetData>
    <row r="1" spans="1:5" ht="19.5" customHeight="1">
      <c r="A1" s="737" t="s">
        <v>36</v>
      </c>
      <c r="B1" s="738"/>
      <c r="C1" s="738"/>
      <c r="D1" s="738"/>
      <c r="E1" s="739"/>
    </row>
    <row r="2" spans="1:5" ht="16.5" customHeight="1">
      <c r="A2" s="740" t="s">
        <v>152</v>
      </c>
      <c r="B2" s="741"/>
      <c r="C2" s="741"/>
      <c r="D2" s="741"/>
      <c r="E2" s="742"/>
    </row>
    <row r="3" spans="1:5" ht="14.25" customHeight="1">
      <c r="A3" s="743" t="s">
        <v>92</v>
      </c>
      <c r="B3" s="744"/>
      <c r="C3" s="744"/>
      <c r="D3" s="744"/>
      <c r="E3" s="745"/>
    </row>
    <row r="4" spans="1:5" ht="15" customHeight="1" thickBot="1">
      <c r="A4" s="746" t="s">
        <v>38</v>
      </c>
      <c r="B4" s="747"/>
      <c r="C4" s="747"/>
      <c r="D4" s="747"/>
      <c r="E4" s="748"/>
    </row>
    <row r="5" spans="1:5">
      <c r="A5" s="749"/>
      <c r="B5" s="750"/>
      <c r="C5" s="124"/>
      <c r="D5" s="125"/>
      <c r="E5" s="45"/>
    </row>
    <row r="6" spans="1:5">
      <c r="A6" s="126" t="s">
        <v>720</v>
      </c>
      <c r="B6" s="127"/>
      <c r="C6" s="128"/>
      <c r="D6" s="129"/>
      <c r="E6" s="41"/>
    </row>
    <row r="7" spans="1:5">
      <c r="A7" s="151" t="s">
        <v>721</v>
      </c>
      <c r="B7" s="131"/>
      <c r="C7" s="131"/>
      <c r="D7" s="129"/>
      <c r="E7" s="41"/>
    </row>
    <row r="8" spans="1:5" ht="15.75" customHeight="1">
      <c r="A8" s="729" t="s">
        <v>722</v>
      </c>
      <c r="B8" s="730"/>
      <c r="C8" s="730"/>
      <c r="D8" s="730"/>
      <c r="E8" s="731"/>
    </row>
    <row r="9" spans="1:5" ht="8.25" customHeight="1">
      <c r="A9" s="153"/>
      <c r="B9" s="154"/>
      <c r="D9" s="154"/>
      <c r="E9" s="41"/>
    </row>
    <row r="10" spans="1:5" ht="14.4">
      <c r="A10" s="151" t="s">
        <v>723</v>
      </c>
      <c r="B10" s="131"/>
      <c r="C10" s="519" t="s">
        <v>724</v>
      </c>
      <c r="D10" s="129"/>
      <c r="E10" s="41"/>
    </row>
    <row r="11" spans="1:5">
      <c r="A11" s="155" t="s">
        <v>15</v>
      </c>
      <c r="B11" s="156" t="s">
        <v>1074</v>
      </c>
      <c r="C11" s="157" t="s">
        <v>1075</v>
      </c>
      <c r="E11" s="41"/>
    </row>
    <row r="12" spans="1:5">
      <c r="A12" s="158" t="s">
        <v>727</v>
      </c>
      <c r="B12" s="159">
        <f>+PL!D34*Deno</f>
        <v>-9432613.0592196882</v>
      </c>
      <c r="C12" s="159">
        <f>+PL!E34*Deno</f>
        <v>1960906.1532612001</v>
      </c>
      <c r="E12" s="41"/>
    </row>
    <row r="13" spans="1:5">
      <c r="A13" s="158" t="s">
        <v>728</v>
      </c>
      <c r="B13" s="160">
        <v>20000</v>
      </c>
      <c r="C13" s="161">
        <v>20000</v>
      </c>
      <c r="E13" s="41"/>
    </row>
    <row r="14" spans="1:5">
      <c r="A14" s="158" t="s">
        <v>729</v>
      </c>
      <c r="B14" s="160">
        <f>B12/B13</f>
        <v>-471.63065296098443</v>
      </c>
      <c r="C14" s="161">
        <f>C12/C13</f>
        <v>98.045307663060001</v>
      </c>
      <c r="E14" s="41"/>
    </row>
    <row r="15" spans="1:5">
      <c r="A15" s="158" t="s">
        <v>730</v>
      </c>
      <c r="B15" s="160">
        <f>B12</f>
        <v>-9432613.0592196882</v>
      </c>
      <c r="C15" s="161">
        <f>C12</f>
        <v>1960906.1532612001</v>
      </c>
      <c r="E15" s="41"/>
    </row>
    <row r="16" spans="1:5">
      <c r="A16" s="158" t="s">
        <v>731</v>
      </c>
      <c r="B16" s="160">
        <v>20000</v>
      </c>
      <c r="C16" s="161">
        <v>20000</v>
      </c>
      <c r="E16" s="41"/>
    </row>
    <row r="17" spans="1:5">
      <c r="A17" s="158" t="s">
        <v>732</v>
      </c>
      <c r="B17" s="160">
        <f>B15/B16</f>
        <v>-471.63065296098443</v>
      </c>
      <c r="C17" s="161">
        <f>C15/C16</f>
        <v>98.045307663060001</v>
      </c>
      <c r="E17" s="41"/>
    </row>
    <row r="18" spans="1:5">
      <c r="A18" s="130"/>
      <c r="B18" s="131"/>
      <c r="C18" s="131"/>
      <c r="D18" s="129"/>
      <c r="E18" s="41"/>
    </row>
    <row r="19" spans="1:5">
      <c r="A19" s="162" t="s">
        <v>733</v>
      </c>
      <c r="B19" s="129"/>
      <c r="C19" s="129"/>
      <c r="D19" s="129"/>
      <c r="E19" s="41"/>
    </row>
    <row r="20" spans="1:5">
      <c r="A20" s="155" t="s">
        <v>15</v>
      </c>
      <c r="B20" s="156" t="s">
        <v>725</v>
      </c>
      <c r="C20" s="157" t="s">
        <v>726</v>
      </c>
      <c r="D20" s="129"/>
      <c r="E20" s="41"/>
    </row>
    <row r="21" spans="1:5">
      <c r="A21" s="163" t="s">
        <v>734</v>
      </c>
      <c r="B21" s="164" t="str">
        <f>+"Rs. "&amp;42171960.92/Deno</f>
        <v>Rs. 42171960.92</v>
      </c>
      <c r="C21" s="164" t="str">
        <f>+"Rs. "&amp;44486684.12/Deno</f>
        <v>Rs. 44486684.12</v>
      </c>
      <c r="D21" s="129"/>
      <c r="E21" s="41"/>
    </row>
    <row r="22" spans="1:5">
      <c r="A22" s="130"/>
      <c r="B22" s="129"/>
      <c r="C22" s="131"/>
      <c r="D22" s="129"/>
      <c r="E22" s="41"/>
    </row>
    <row r="23" spans="1:5">
      <c r="A23" s="162" t="s">
        <v>735</v>
      </c>
      <c r="B23" s="129"/>
      <c r="C23" s="129"/>
      <c r="D23" s="129"/>
      <c r="E23" s="165"/>
    </row>
    <row r="24" spans="1:5">
      <c r="A24" s="155" t="s">
        <v>15</v>
      </c>
      <c r="B24" s="156" t="s">
        <v>725</v>
      </c>
      <c r="C24" s="157" t="s">
        <v>726</v>
      </c>
      <c r="D24" s="129"/>
      <c r="E24" s="165"/>
    </row>
    <row r="25" spans="1:5">
      <c r="A25" s="158" t="s">
        <v>736</v>
      </c>
      <c r="B25" s="164" t="str">
        <f>+"Rs. "&amp;71090808.79/Deno</f>
        <v>Rs. 71090808.79</v>
      </c>
      <c r="C25" s="166" t="str">
        <f>+"Rs. "&amp;50032407.77/Deno</f>
        <v>Rs. 50032407.77</v>
      </c>
      <c r="D25" s="129"/>
      <c r="E25" s="165"/>
    </row>
    <row r="26" spans="1:5">
      <c r="A26" s="130"/>
      <c r="B26" s="131"/>
      <c r="C26" s="131"/>
      <c r="D26" s="129"/>
      <c r="E26" s="41"/>
    </row>
    <row r="27" spans="1:5">
      <c r="A27" s="126" t="s">
        <v>737</v>
      </c>
      <c r="B27" s="131"/>
      <c r="C27" s="131"/>
      <c r="D27" s="129"/>
      <c r="E27" s="41"/>
    </row>
    <row r="28" spans="1:5">
      <c r="A28" s="151" t="s">
        <v>738</v>
      </c>
      <c r="B28" s="167"/>
      <c r="C28" s="167"/>
      <c r="D28" s="129"/>
      <c r="E28" s="41"/>
    </row>
    <row r="29" spans="1:5" ht="14.4">
      <c r="A29" s="151" t="s">
        <v>739</v>
      </c>
      <c r="B29" s="168"/>
      <c r="C29" s="168"/>
      <c r="D29" s="129"/>
      <c r="E29" s="41"/>
    </row>
    <row r="30" spans="1:5" ht="14.4">
      <c r="A30" s="169" t="s">
        <v>740</v>
      </c>
      <c r="B30" s="168"/>
      <c r="C30" s="168"/>
      <c r="D30" s="129"/>
      <c r="E30" s="41"/>
    </row>
    <row r="31" spans="1:5" ht="14.4">
      <c r="A31" s="169" t="s">
        <v>741</v>
      </c>
      <c r="B31" s="168"/>
      <c r="C31" s="168"/>
      <c r="D31" s="129"/>
      <c r="E31" s="41"/>
    </row>
    <row r="32" spans="1:5" ht="14.4">
      <c r="A32" s="130"/>
      <c r="B32" s="168"/>
      <c r="C32" s="168"/>
      <c r="D32" s="129"/>
      <c r="E32" s="41"/>
    </row>
    <row r="33" spans="1:5" ht="14.4">
      <c r="A33" s="151" t="s">
        <v>742</v>
      </c>
      <c r="B33" s="168"/>
      <c r="C33" s="168"/>
      <c r="D33" s="129"/>
      <c r="E33" s="41"/>
    </row>
    <row r="34" spans="1:5">
      <c r="A34" s="170" t="s">
        <v>743</v>
      </c>
      <c r="B34" s="732"/>
      <c r="C34" s="732"/>
      <c r="D34" s="129"/>
      <c r="E34" s="41"/>
    </row>
    <row r="35" spans="1:5">
      <c r="A35" s="170" t="s">
        <v>744</v>
      </c>
      <c r="B35" s="733"/>
      <c r="C35" s="733"/>
      <c r="D35" s="129"/>
      <c r="E35" s="41"/>
    </row>
    <row r="36" spans="1:5">
      <c r="A36" s="170" t="s">
        <v>745</v>
      </c>
      <c r="B36" s="733"/>
      <c r="C36" s="733"/>
      <c r="D36" s="129"/>
      <c r="E36" s="41"/>
    </row>
    <row r="37" spans="1:5">
      <c r="A37" s="172"/>
      <c r="B37" s="171"/>
      <c r="C37" s="171"/>
      <c r="D37" s="129"/>
      <c r="E37" s="41"/>
    </row>
    <row r="38" spans="1:5">
      <c r="A38" s="173" t="s">
        <v>746</v>
      </c>
      <c r="B38" s="171"/>
      <c r="C38" s="171"/>
      <c r="D38" s="129"/>
      <c r="E38" s="41"/>
    </row>
    <row r="39" spans="1:5" ht="44.25" customHeight="1">
      <c r="A39" s="734" t="s">
        <v>747</v>
      </c>
      <c r="B39" s="735" t="s">
        <v>748</v>
      </c>
      <c r="C39" s="735" t="s">
        <v>749</v>
      </c>
      <c r="D39" s="735"/>
      <c r="E39" s="736" t="s">
        <v>750</v>
      </c>
    </row>
    <row r="40" spans="1:5">
      <c r="A40" s="734"/>
      <c r="B40" s="735"/>
      <c r="C40" s="174" t="s">
        <v>751</v>
      </c>
      <c r="D40" s="174" t="s">
        <v>752</v>
      </c>
      <c r="E40" s="736"/>
    </row>
    <row r="41" spans="1:5">
      <c r="A41" s="158" t="s">
        <v>743</v>
      </c>
      <c r="B41" s="509"/>
      <c r="C41" s="161"/>
      <c r="D41" s="509"/>
      <c r="E41" s="175"/>
    </row>
    <row r="42" spans="1:5">
      <c r="A42" s="176" t="s">
        <v>753</v>
      </c>
      <c r="B42" s="177">
        <v>-106848.22</v>
      </c>
      <c r="C42" s="177">
        <v>0</v>
      </c>
      <c r="D42" s="177">
        <v>822420.91999999993</v>
      </c>
      <c r="E42" s="178">
        <f>+B42-D42</f>
        <v>-929269.1399999999</v>
      </c>
    </row>
    <row r="43" spans="1:5">
      <c r="A43" s="176" t="s">
        <v>754</v>
      </c>
      <c r="B43" s="177">
        <v>-589181.46999999951</v>
      </c>
      <c r="C43" s="179">
        <v>436105.24000000005</v>
      </c>
      <c r="D43" s="177">
        <v>0</v>
      </c>
      <c r="E43" s="178">
        <f>+B43+C43-D43</f>
        <v>-153076.22999999946</v>
      </c>
    </row>
    <row r="44" spans="1:5">
      <c r="A44" s="158" t="s">
        <v>744</v>
      </c>
      <c r="B44" s="509"/>
      <c r="C44" s="180"/>
      <c r="D44" s="177"/>
      <c r="E44" s="181"/>
    </row>
    <row r="45" spans="1:5">
      <c r="A45" s="176" t="s">
        <v>753</v>
      </c>
      <c r="B45" s="177">
        <v>-1029992.7227819997</v>
      </c>
      <c r="C45" s="177">
        <v>65217.568189999831</v>
      </c>
      <c r="D45" s="177">
        <v>33195207.619999982</v>
      </c>
      <c r="E45" s="178">
        <f>+B45+C45-D45</f>
        <v>-34159982.774591982</v>
      </c>
    </row>
    <row r="46" spans="1:5">
      <c r="A46" s="176" t="s">
        <v>754</v>
      </c>
      <c r="B46" s="177">
        <v>-117479.42194899992</v>
      </c>
      <c r="C46" s="179">
        <v>579932.95079999999</v>
      </c>
      <c r="D46" s="177">
        <v>0</v>
      </c>
      <c r="E46" s="178">
        <f>+B46+C46-D46</f>
        <v>462453.52885100007</v>
      </c>
    </row>
    <row r="47" spans="1:5" ht="14.4">
      <c r="A47" s="158" t="s">
        <v>745</v>
      </c>
      <c r="B47" s="509"/>
      <c r="C47" s="182"/>
      <c r="D47" s="177"/>
      <c r="E47" s="183"/>
    </row>
    <row r="48" spans="1:5">
      <c r="A48" s="176" t="s">
        <v>754</v>
      </c>
      <c r="B48" s="177">
        <v>26639513.539999999</v>
      </c>
      <c r="C48" s="179">
        <f>8031445.53+4081269.3</f>
        <v>12112714.83</v>
      </c>
      <c r="D48" s="177">
        <v>12675242.539999999</v>
      </c>
      <c r="E48" s="178">
        <f>+B48+C48-D48</f>
        <v>26076985.829999998</v>
      </c>
    </row>
    <row r="49" spans="1:5">
      <c r="A49" s="176" t="s">
        <v>753</v>
      </c>
      <c r="B49" s="177">
        <v>-26074600</v>
      </c>
      <c r="C49" s="179">
        <v>0</v>
      </c>
      <c r="D49" s="177">
        <v>135504.66999999998</v>
      </c>
      <c r="E49" s="178">
        <f>+B49+C49-D49</f>
        <v>-26210104.670000002</v>
      </c>
    </row>
    <row r="50" spans="1:5">
      <c r="A50" s="176" t="s">
        <v>755</v>
      </c>
      <c r="B50" s="177">
        <f>+'Sub-Schedule'!B9-'Sub-Schedule'!C9</f>
        <v>0</v>
      </c>
      <c r="C50" s="179">
        <v>0</v>
      </c>
      <c r="D50" s="177">
        <v>0</v>
      </c>
      <c r="E50" s="184">
        <f>+'Sub-Schedule'!D9-'Sub-Schedule'!E9</f>
        <v>214646.99</v>
      </c>
    </row>
    <row r="51" spans="1:5" ht="14.4">
      <c r="A51" s="176" t="s">
        <v>756</v>
      </c>
      <c r="B51" s="177">
        <f>+SUM('Sub-Schedule'!B5:B6)-SUM('Sub-Schedule'!C5:C6)</f>
        <v>0</v>
      </c>
      <c r="C51" s="185">
        <v>0</v>
      </c>
      <c r="D51" s="177">
        <v>0</v>
      </c>
      <c r="E51" s="184">
        <f>+SUM('Sub-Schedule'!D5:D6)-SUM('Sub-Schedule'!E5:E6)</f>
        <v>-15934801.830000002</v>
      </c>
    </row>
    <row r="52" spans="1:5" ht="10.5" customHeight="1">
      <c r="A52" s="172"/>
      <c r="B52" s="171"/>
      <c r="C52" s="171"/>
      <c r="D52" s="129"/>
      <c r="E52" s="41"/>
    </row>
    <row r="53" spans="1:5" ht="14.4">
      <c r="A53" s="162" t="s">
        <v>757</v>
      </c>
      <c r="B53" s="168"/>
      <c r="C53" s="129"/>
      <c r="D53" s="129"/>
      <c r="E53" s="41"/>
    </row>
    <row r="54" spans="1:5" ht="15" customHeight="1">
      <c r="A54" s="186" t="s">
        <v>79</v>
      </c>
      <c r="B54" s="168"/>
      <c r="C54" s="168"/>
      <c r="D54" s="129"/>
      <c r="E54" s="41"/>
    </row>
    <row r="55" spans="1:5" ht="15" customHeight="1">
      <c r="A55" s="186"/>
      <c r="B55" s="168"/>
      <c r="C55" s="168"/>
      <c r="D55" s="129"/>
      <c r="E55" s="41"/>
    </row>
    <row r="56" spans="1:5" ht="15" customHeight="1">
      <c r="A56" s="162" t="s">
        <v>758</v>
      </c>
      <c r="B56" s="168"/>
      <c r="C56" s="168"/>
      <c r="D56" s="129"/>
      <c r="E56" s="41"/>
    </row>
    <row r="57" spans="1:5" ht="15" customHeight="1">
      <c r="A57" s="187" t="s">
        <v>759</v>
      </c>
      <c r="B57" s="188" t="s">
        <v>760</v>
      </c>
      <c r="C57" s="168"/>
      <c r="D57" s="129"/>
      <c r="E57" s="41"/>
    </row>
    <row r="58" spans="1:5" ht="15" customHeight="1">
      <c r="A58" s="189" t="s">
        <v>80</v>
      </c>
      <c r="B58" s="190">
        <v>1800000</v>
      </c>
      <c r="C58" s="168"/>
      <c r="D58" s="129"/>
      <c r="E58" s="41"/>
    </row>
    <row r="59" spans="1:5" ht="15" customHeight="1">
      <c r="A59" s="126"/>
      <c r="B59" s="127"/>
      <c r="C59" s="127"/>
      <c r="D59" s="129"/>
      <c r="E59" s="41"/>
    </row>
    <row r="60" spans="1:5" ht="12.75" customHeight="1">
      <c r="A60" s="126" t="s">
        <v>761</v>
      </c>
      <c r="B60" s="127"/>
      <c r="C60" s="127"/>
      <c r="D60" s="129"/>
      <c r="E60" s="41"/>
    </row>
    <row r="61" spans="1:5" ht="29.25" customHeight="1">
      <c r="A61" s="717" t="s">
        <v>762</v>
      </c>
      <c r="B61" s="718"/>
      <c r="C61" s="718"/>
      <c r="D61" s="718"/>
      <c r="E61" s="719"/>
    </row>
    <row r="62" spans="1:5" ht="35.25" customHeight="1">
      <c r="A62" s="717" t="s">
        <v>763</v>
      </c>
      <c r="B62" s="718"/>
      <c r="C62" s="718"/>
      <c r="D62" s="718"/>
      <c r="E62" s="719"/>
    </row>
    <row r="63" spans="1:5" ht="38.4" customHeight="1">
      <c r="A63" s="726" t="s">
        <v>764</v>
      </c>
      <c r="B63" s="727"/>
      <c r="C63" s="727"/>
      <c r="D63" s="727"/>
      <c r="E63" s="728"/>
    </row>
    <row r="64" spans="1:5" ht="21" customHeight="1">
      <c r="A64" s="191" t="s">
        <v>765</v>
      </c>
      <c r="B64" s="129"/>
      <c r="C64" s="129"/>
      <c r="D64" s="129"/>
      <c r="E64" s="41"/>
    </row>
    <row r="65" spans="1:5" ht="22.5" customHeight="1" thickBot="1">
      <c r="A65" s="720" t="s">
        <v>766</v>
      </c>
      <c r="B65" s="721"/>
      <c r="C65" s="721"/>
      <c r="D65" s="721"/>
      <c r="E65" s="722"/>
    </row>
    <row r="66" spans="1:5" ht="40.5" customHeight="1" thickBot="1">
      <c r="A66" s="723" t="s">
        <v>767</v>
      </c>
      <c r="B66" s="724"/>
      <c r="C66" s="724"/>
      <c r="D66" s="724"/>
      <c r="E66" s="725"/>
    </row>
    <row r="67" spans="1:5">
      <c r="A67" s="197" t="s">
        <v>15</v>
      </c>
      <c r="B67" s="198" t="s">
        <v>637</v>
      </c>
      <c r="C67" s="712" t="s">
        <v>18</v>
      </c>
      <c r="D67" s="712"/>
      <c r="E67" s="713"/>
    </row>
    <row r="68" spans="1:5" ht="33" customHeight="1">
      <c r="A68" s="199" t="s">
        <v>768</v>
      </c>
      <c r="B68" s="200">
        <v>14110730.380000001</v>
      </c>
      <c r="C68" s="700" t="s">
        <v>769</v>
      </c>
      <c r="D68" s="701"/>
      <c r="E68" s="702"/>
    </row>
    <row r="69" spans="1:5" ht="33" customHeight="1">
      <c r="A69" s="199" t="s">
        <v>770</v>
      </c>
      <c r="B69" s="200">
        <v>-14902244.9</v>
      </c>
      <c r="C69" s="714" t="s">
        <v>771</v>
      </c>
      <c r="D69" s="715"/>
      <c r="E69" s="716"/>
    </row>
    <row r="70" spans="1:5" ht="33" customHeight="1">
      <c r="A70" s="199" t="s">
        <v>772</v>
      </c>
      <c r="B70" s="200">
        <v>-5959480</v>
      </c>
      <c r="C70" s="714" t="s">
        <v>773</v>
      </c>
      <c r="D70" s="715"/>
      <c r="E70" s="716"/>
    </row>
    <row r="71" spans="1:5" ht="33" customHeight="1">
      <c r="A71" s="199" t="s">
        <v>774</v>
      </c>
      <c r="B71" s="200">
        <v>-228009</v>
      </c>
      <c r="C71" s="700" t="s">
        <v>775</v>
      </c>
      <c r="D71" s="701"/>
      <c r="E71" s="702"/>
    </row>
    <row r="72" spans="1:5" ht="33" customHeight="1">
      <c r="A72" s="199" t="s">
        <v>776</v>
      </c>
      <c r="B72" s="200">
        <v>-287114</v>
      </c>
      <c r="C72" s="700" t="s">
        <v>775</v>
      </c>
      <c r="D72" s="701"/>
      <c r="E72" s="702"/>
    </row>
    <row r="73" spans="1:5" ht="33" customHeight="1">
      <c r="A73" s="199" t="s">
        <v>777</v>
      </c>
      <c r="B73" s="200">
        <v>424989</v>
      </c>
      <c r="C73" s="700" t="s">
        <v>775</v>
      </c>
      <c r="D73" s="701"/>
      <c r="E73" s="702"/>
    </row>
    <row r="74" spans="1:5" ht="33" customHeight="1">
      <c r="A74" s="199" t="s">
        <v>778</v>
      </c>
      <c r="B74" s="200">
        <v>195027</v>
      </c>
      <c r="C74" s="700" t="s">
        <v>775</v>
      </c>
      <c r="D74" s="701"/>
      <c r="E74" s="702"/>
    </row>
    <row r="75" spans="1:5" ht="33" customHeight="1" thickBot="1">
      <c r="A75" s="201" t="s">
        <v>779</v>
      </c>
      <c r="B75" s="202">
        <v>-488812</v>
      </c>
      <c r="C75" s="703" t="s">
        <v>775</v>
      </c>
      <c r="D75" s="704"/>
      <c r="E75" s="705"/>
    </row>
    <row r="76" spans="1:5" ht="33" customHeight="1">
      <c r="A76" s="706" t="s">
        <v>780</v>
      </c>
      <c r="B76" s="707"/>
      <c r="C76" s="707"/>
      <c r="D76" s="707"/>
      <c r="E76" s="708"/>
    </row>
    <row r="77" spans="1:5" ht="73.5" customHeight="1">
      <c r="A77" s="706" t="s">
        <v>781</v>
      </c>
      <c r="B77" s="707"/>
      <c r="C77" s="707"/>
      <c r="D77" s="707"/>
      <c r="E77" s="708"/>
    </row>
    <row r="78" spans="1:5" ht="112.95" customHeight="1">
      <c r="A78" s="709" t="s">
        <v>782</v>
      </c>
      <c r="B78" s="710"/>
      <c r="C78" s="710"/>
      <c r="D78" s="710"/>
      <c r="E78" s="711"/>
    </row>
    <row r="79" spans="1:5" ht="63.75" customHeight="1">
      <c r="A79" s="706" t="s">
        <v>783</v>
      </c>
      <c r="B79" s="707"/>
      <c r="C79" s="707"/>
      <c r="D79" s="707"/>
      <c r="E79" s="708"/>
    </row>
    <row r="80" spans="1:5">
      <c r="A80" s="203" t="s">
        <v>784</v>
      </c>
      <c r="B80" s="204" t="s">
        <v>637</v>
      </c>
      <c r="C80" s="205"/>
      <c r="D80" s="205"/>
      <c r="E80" s="41"/>
    </row>
    <row r="81" spans="1:5">
      <c r="A81" s="199" t="s">
        <v>785</v>
      </c>
      <c r="B81" s="206">
        <v>3587968</v>
      </c>
      <c r="C81" s="205"/>
      <c r="D81" s="205"/>
      <c r="E81" s="41"/>
    </row>
    <row r="82" spans="1:5" ht="15" customHeight="1">
      <c r="A82" s="199" t="s">
        <v>786</v>
      </c>
      <c r="B82" s="206">
        <v>1278000</v>
      </c>
      <c r="C82" s="205"/>
      <c r="D82" s="205"/>
      <c r="E82" s="41"/>
    </row>
    <row r="83" spans="1:5" ht="15" customHeight="1">
      <c r="A83" s="199" t="s">
        <v>787</v>
      </c>
      <c r="B83" s="206">
        <v>277200</v>
      </c>
      <c r="C83" s="205"/>
      <c r="D83" s="205"/>
      <c r="E83" s="41"/>
    </row>
    <row r="84" spans="1:5" ht="15" customHeight="1">
      <c r="A84" s="199" t="s">
        <v>788</v>
      </c>
      <c r="B84" s="206">
        <v>145000</v>
      </c>
      <c r="C84" s="205"/>
      <c r="D84" s="205"/>
      <c r="E84" s="41"/>
    </row>
    <row r="85" spans="1:5">
      <c r="A85" s="199" t="s">
        <v>789</v>
      </c>
      <c r="B85" s="206">
        <v>40000</v>
      </c>
      <c r="C85" s="205"/>
      <c r="D85" s="205"/>
      <c r="E85" s="41"/>
    </row>
    <row r="86" spans="1:5" ht="14.4" thickBot="1">
      <c r="A86" s="192"/>
      <c r="B86" s="207"/>
      <c r="C86" s="193"/>
      <c r="D86" s="193"/>
      <c r="E86" s="518"/>
    </row>
    <row r="87" spans="1:5">
      <c r="A87" s="194"/>
      <c r="B87" s="195"/>
      <c r="C87" s="195"/>
      <c r="D87" s="195"/>
      <c r="E87" s="196"/>
    </row>
    <row r="88" spans="1:5">
      <c r="A88" s="151" t="s">
        <v>790</v>
      </c>
      <c r="B88" s="128"/>
      <c r="C88" s="152" t="str">
        <f>+CFS!B48</f>
        <v xml:space="preserve">For and on behalf of </v>
      </c>
      <c r="E88" s="165"/>
    </row>
    <row r="89" spans="1:5">
      <c r="A89" s="151" t="s">
        <v>791</v>
      </c>
      <c r="B89" s="128"/>
      <c r="C89" s="127" t="str">
        <f>+CFS!B49</f>
        <v>CARGO INTERNATIONAL (INDIA) PVT. LTD</v>
      </c>
      <c r="E89" s="208"/>
    </row>
    <row r="90" spans="1:5">
      <c r="A90" s="151" t="s">
        <v>792</v>
      </c>
      <c r="B90" s="128"/>
      <c r="C90" s="209"/>
      <c r="D90" s="210"/>
      <c r="E90" s="211"/>
    </row>
    <row r="91" spans="1:5" ht="15.6" customHeight="1">
      <c r="A91" s="130"/>
      <c r="B91" s="131"/>
      <c r="C91" s="212"/>
      <c r="D91" s="210"/>
      <c r="E91" s="211"/>
    </row>
    <row r="92" spans="1:5" ht="15.6" customHeight="1">
      <c r="A92" s="130"/>
      <c r="B92" s="131"/>
      <c r="C92" s="213"/>
      <c r="D92" s="210"/>
      <c r="E92" s="211"/>
    </row>
    <row r="93" spans="1:5" ht="15.6" customHeight="1">
      <c r="A93" s="130"/>
      <c r="B93" s="131"/>
      <c r="C93" s="212"/>
      <c r="D93" s="210"/>
      <c r="E93" s="211"/>
    </row>
    <row r="94" spans="1:5" ht="15.6" customHeight="1">
      <c r="A94" s="151" t="str">
        <f>+CFS!A55</f>
        <v>K M Sethu</v>
      </c>
      <c r="B94" s="128"/>
      <c r="C94" s="214" t="str">
        <f>+CFS!B55</f>
        <v>Suresh Padmanabhan</v>
      </c>
      <c r="D94" s="214"/>
      <c r="E94" s="208" t="s">
        <v>80</v>
      </c>
    </row>
    <row r="95" spans="1:5" ht="15.6" customHeight="1">
      <c r="A95" s="151" t="str">
        <f>+CFS!A56</f>
        <v>Partner</v>
      </c>
      <c r="B95" s="128"/>
      <c r="C95" s="214" t="str">
        <f>+CFS!B56</f>
        <v>Director</v>
      </c>
      <c r="D95" s="214"/>
      <c r="E95" s="208" t="s">
        <v>82</v>
      </c>
    </row>
    <row r="96" spans="1:5" ht="15.6" customHeight="1">
      <c r="A96" s="151" t="str">
        <f>+CFS!A57</f>
        <v>M.No.231703</v>
      </c>
      <c r="B96" s="128"/>
      <c r="C96" s="214" t="str">
        <f>+CFS!B57</f>
        <v>DIN: 08284074</v>
      </c>
      <c r="D96" s="214"/>
      <c r="E96" s="208" t="s">
        <v>85</v>
      </c>
    </row>
    <row r="97" spans="1:5">
      <c r="A97" s="151" t="str">
        <f>+CFS!A58</f>
        <v xml:space="preserve"> Place : Chennai</v>
      </c>
      <c r="B97" s="128"/>
      <c r="C97" s="129" t="str">
        <f>+CFS!B58</f>
        <v>Place : Birmingham</v>
      </c>
      <c r="E97" s="165" t="str">
        <f>+CFS!D58</f>
        <v>Place : Chennai</v>
      </c>
    </row>
    <row r="98" spans="1:5" ht="14.4">
      <c r="A98" s="151" t="str">
        <f>+CFS!A59</f>
        <v xml:space="preserve"> Date : </v>
      </c>
      <c r="B98" s="168"/>
      <c r="C98" s="129" t="str">
        <f>+CFS!B59</f>
        <v xml:space="preserve">Date: </v>
      </c>
      <c r="D98" s="129"/>
      <c r="E98" s="165" t="str">
        <f>+CFS!D59</f>
        <v xml:space="preserve">Date: </v>
      </c>
    </row>
    <row r="99" spans="1:5" ht="14.4">
      <c r="A99" s="130" t="str">
        <f>+CFS!A60</f>
        <v xml:space="preserve"> UDIN :  </v>
      </c>
      <c r="B99" s="168"/>
      <c r="C99" s="168"/>
      <c r="D99" s="129"/>
      <c r="E99" s="41"/>
    </row>
    <row r="100" spans="1:5" ht="14.4" thickBot="1">
      <c r="A100" s="215"/>
      <c r="B100" s="216"/>
      <c r="C100" s="216"/>
      <c r="D100" s="216"/>
      <c r="E100" s="518"/>
    </row>
  </sheetData>
  <mergeCells count="31">
    <mergeCell ref="A1:E1"/>
    <mergeCell ref="A2:E2"/>
    <mergeCell ref="A3:E3"/>
    <mergeCell ref="A4:E4"/>
    <mergeCell ref="A5:B5"/>
    <mergeCell ref="A8:E8"/>
    <mergeCell ref="B34:C34"/>
    <mergeCell ref="B35:C35"/>
    <mergeCell ref="B36:C36"/>
    <mergeCell ref="A39:A40"/>
    <mergeCell ref="B39:B40"/>
    <mergeCell ref="C39:D39"/>
    <mergeCell ref="E39:E40"/>
    <mergeCell ref="A61:E61"/>
    <mergeCell ref="A62:E62"/>
    <mergeCell ref="A65:E65"/>
    <mergeCell ref="A66:E66"/>
    <mergeCell ref="A63:E63"/>
    <mergeCell ref="C67:E67"/>
    <mergeCell ref="C71:E71"/>
    <mergeCell ref="C72:E72"/>
    <mergeCell ref="C73:E73"/>
    <mergeCell ref="C68:E68"/>
    <mergeCell ref="C70:E70"/>
    <mergeCell ref="C69:E69"/>
    <mergeCell ref="C74:E74"/>
    <mergeCell ref="C75:E75"/>
    <mergeCell ref="A77:E77"/>
    <mergeCell ref="A79:E79"/>
    <mergeCell ref="A76:E76"/>
    <mergeCell ref="A78:E78"/>
  </mergeCells>
  <printOptions horizontalCentered="1"/>
  <pageMargins left="0.35433070866141736" right="0.31496062992125984" top="0.35433070866141736" bottom="0.35433070866141736" header="0.31496062992125984" footer="0.31496062992125984"/>
  <pageSetup paperSize="9" scale="75" fitToHeight="2" pageOrder="overThenDown" orientation="portrait" r:id="rId1"/>
  <rowBreaks count="1" manualBreakCount="1">
    <brk id="65"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09912-E6C2-40EA-B813-4531BF8E5A25}">
  <dimension ref="A1:W87"/>
  <sheetViews>
    <sheetView showGridLines="0" view="pageBreakPreview" zoomScaleNormal="50" zoomScaleSheetLayoutView="100" workbookViewId="0">
      <selection activeCell="B10" sqref="B10:B11"/>
    </sheetView>
  </sheetViews>
  <sheetFormatPr defaultColWidth="9.109375" defaultRowHeight="13.8"/>
  <cols>
    <col min="1" max="1" width="52" style="40" customWidth="1"/>
    <col min="2" max="2" width="16.6640625" style="40" bestFit="1" customWidth="1"/>
    <col min="3" max="4" width="13.44140625" style="40" customWidth="1"/>
    <col min="5" max="5" width="54.44140625" style="40" customWidth="1"/>
    <col min="6" max="8" width="9.109375" style="40"/>
    <col min="9" max="9" width="5.88671875" style="40" customWidth="1"/>
    <col min="10" max="10" width="29.5546875" style="40" bestFit="1" customWidth="1"/>
    <col min="11" max="11" width="35.5546875" style="40" bestFit="1" customWidth="1"/>
    <col min="12" max="14" width="16.88671875" style="508" bestFit="1" customWidth="1"/>
    <col min="15" max="15" width="9.109375" style="40"/>
    <col min="16" max="16" width="13.88671875" style="40" bestFit="1" customWidth="1"/>
    <col min="17" max="17" width="14.33203125" style="40" bestFit="1" customWidth="1"/>
    <col min="18" max="18" width="14.6640625" style="40" bestFit="1" customWidth="1"/>
    <col min="19" max="19" width="16.5546875" style="40" bestFit="1" customWidth="1"/>
    <col min="20" max="21" width="9.109375" style="40"/>
    <col min="22" max="22" width="17.109375" style="40" bestFit="1" customWidth="1"/>
    <col min="23" max="23" width="16.6640625" style="40" bestFit="1" customWidth="1"/>
    <col min="24" max="16384" width="9.109375" style="40"/>
  </cols>
  <sheetData>
    <row r="1" spans="1:23" ht="19.5" customHeight="1">
      <c r="A1" s="737" t="s">
        <v>36</v>
      </c>
      <c r="B1" s="738"/>
      <c r="C1" s="738"/>
      <c r="D1" s="738"/>
      <c r="E1" s="739"/>
    </row>
    <row r="2" spans="1:23" ht="16.5" customHeight="1">
      <c r="A2" s="740" t="s">
        <v>152</v>
      </c>
      <c r="B2" s="741"/>
      <c r="C2" s="741"/>
      <c r="D2" s="741"/>
      <c r="E2" s="742"/>
    </row>
    <row r="3" spans="1:23" ht="14.25" customHeight="1">
      <c r="A3" s="743" t="s">
        <v>92</v>
      </c>
      <c r="B3" s="744"/>
      <c r="C3" s="744"/>
      <c r="D3" s="744"/>
      <c r="E3" s="745"/>
    </row>
    <row r="4" spans="1:23" ht="15" customHeight="1" thickBot="1">
      <c r="A4" s="746" t="s">
        <v>38</v>
      </c>
      <c r="B4" s="747"/>
      <c r="C4" s="747"/>
      <c r="D4" s="747"/>
      <c r="E4" s="748"/>
      <c r="I4" s="40" t="s">
        <v>38</v>
      </c>
    </row>
    <row r="5" spans="1:23">
      <c r="A5" s="749"/>
      <c r="B5" s="750"/>
      <c r="C5" s="124"/>
      <c r="D5" s="125"/>
      <c r="E5" s="45"/>
    </row>
    <row r="6" spans="1:23">
      <c r="A6" s="126" t="s">
        <v>720</v>
      </c>
      <c r="B6" s="127"/>
      <c r="C6" s="128"/>
      <c r="D6" s="129"/>
      <c r="E6" s="41"/>
    </row>
    <row r="7" spans="1:23">
      <c r="A7" s="130"/>
      <c r="B7" s="131"/>
      <c r="C7" s="131"/>
      <c r="D7" s="129"/>
      <c r="E7" s="41"/>
    </row>
    <row r="8" spans="1:23">
      <c r="A8" s="126" t="s">
        <v>793</v>
      </c>
      <c r="B8" s="131"/>
      <c r="C8" s="131"/>
      <c r="D8" s="129"/>
      <c r="E8" s="41"/>
    </row>
    <row r="9" spans="1:23" ht="34.200000000000003" customHeight="1">
      <c r="A9" s="132" t="s">
        <v>15</v>
      </c>
      <c r="B9" s="133" t="str">
        <f>+'Add Notes'!B11</f>
        <v>2025-26</v>
      </c>
      <c r="C9" s="133" t="str">
        <f>+'Add Notes'!C11</f>
        <v>2024-25</v>
      </c>
      <c r="D9" s="134" t="s">
        <v>55</v>
      </c>
      <c r="E9" s="135" t="s">
        <v>794</v>
      </c>
      <c r="I9" s="509"/>
      <c r="J9" s="510" t="s">
        <v>795</v>
      </c>
      <c r="K9" s="509"/>
      <c r="L9" s="511"/>
      <c r="M9" s="511"/>
      <c r="N9" s="511"/>
    </row>
    <row r="10" spans="1:23">
      <c r="A10" s="136" t="s">
        <v>796</v>
      </c>
      <c r="B10" s="137">
        <f>+L11/L12</f>
        <v>0.97598788514884705</v>
      </c>
      <c r="C10" s="137">
        <f>+M11/M12</f>
        <v>1.1008568284118025</v>
      </c>
      <c r="D10" s="138">
        <f>IFERROR(+((B10-C10)/C10),"NA")</f>
        <v>-0.11342886744237481</v>
      </c>
      <c r="E10" s="331"/>
      <c r="I10" s="509"/>
      <c r="J10" s="509"/>
      <c r="K10" s="509"/>
      <c r="L10" s="512" t="s">
        <v>797</v>
      </c>
      <c r="M10" s="512" t="s">
        <v>798</v>
      </c>
      <c r="N10" s="512" t="s">
        <v>799</v>
      </c>
      <c r="V10" s="40" t="s">
        <v>799</v>
      </c>
    </row>
    <row r="11" spans="1:23">
      <c r="A11" s="136" t="s">
        <v>800</v>
      </c>
      <c r="B11" s="137">
        <f>+L14/L15</f>
        <v>0</v>
      </c>
      <c r="C11" s="137">
        <f>+M14/M15</f>
        <v>0</v>
      </c>
      <c r="D11" s="138" t="str">
        <f t="shared" ref="D11:D20" si="0">IFERROR(+((B11-C11)/C11),"NA")</f>
        <v>NA</v>
      </c>
      <c r="E11" s="513"/>
      <c r="I11" s="514">
        <v>1</v>
      </c>
      <c r="J11" s="514" t="s">
        <v>801</v>
      </c>
      <c r="K11" s="509" t="s">
        <v>802</v>
      </c>
      <c r="L11" s="511">
        <f>+BS!C40</f>
        <v>121766500.48635921</v>
      </c>
      <c r="M11" s="511">
        <f>+BS!D40</f>
        <v>116838181.6716579</v>
      </c>
      <c r="N11" s="511">
        <v>76597930.775485098</v>
      </c>
      <c r="Q11" s="509">
        <f>10^5</f>
        <v>100000</v>
      </c>
      <c r="S11" s="40">
        <v>-14447446.720000001</v>
      </c>
      <c r="V11" s="40">
        <v>76597928.785485104</v>
      </c>
      <c r="W11" s="40">
        <f>+M11-V11</f>
        <v>40240252.886172801</v>
      </c>
    </row>
    <row r="12" spans="1:23">
      <c r="A12" s="136" t="s">
        <v>803</v>
      </c>
      <c r="B12" s="139">
        <v>0</v>
      </c>
      <c r="C12" s="139">
        <v>0</v>
      </c>
      <c r="D12" s="138" t="str">
        <f t="shared" si="0"/>
        <v>NA</v>
      </c>
      <c r="E12" s="513"/>
      <c r="I12" s="509"/>
      <c r="J12" s="509" t="str">
        <f>+"CA/CL"</f>
        <v>CA/CL</v>
      </c>
      <c r="K12" s="509" t="s">
        <v>804</v>
      </c>
      <c r="L12" s="511">
        <f>+BS!C23</f>
        <v>124762307.33928496</v>
      </c>
      <c r="M12" s="511">
        <f>+BS!D23</f>
        <v>106133857.42469293</v>
      </c>
      <c r="N12" s="511">
        <v>72671561.235730961</v>
      </c>
      <c r="Q12" s="40">
        <f>+N11-N12</f>
        <v>3926369.5397541374</v>
      </c>
      <c r="V12" s="40">
        <v>72671561.235730961</v>
      </c>
      <c r="W12" s="40">
        <f>+M12-V12</f>
        <v>33462296.188961968</v>
      </c>
    </row>
    <row r="13" spans="1:23">
      <c r="A13" s="136" t="s">
        <v>805</v>
      </c>
      <c r="B13" s="137">
        <f>+L17/L18</f>
        <v>-0.61819330289455654</v>
      </c>
      <c r="C13" s="137">
        <f>+M17/M18</f>
        <v>8.9529044167337327E-2</v>
      </c>
      <c r="D13" s="138">
        <f t="shared" si="0"/>
        <v>-7.9049469771965972</v>
      </c>
      <c r="E13" s="513"/>
      <c r="I13" s="509"/>
      <c r="J13" s="509"/>
      <c r="K13" s="509"/>
      <c r="L13" s="511"/>
      <c r="M13" s="511"/>
      <c r="N13" s="511"/>
      <c r="W13" s="40">
        <f>+M13-V13</f>
        <v>0</v>
      </c>
    </row>
    <row r="14" spans="1:23">
      <c r="A14" s="136" t="s">
        <v>806</v>
      </c>
      <c r="B14" s="139">
        <v>0</v>
      </c>
      <c r="C14" s="139">
        <v>0</v>
      </c>
      <c r="D14" s="138" t="str">
        <f t="shared" si="0"/>
        <v>NA</v>
      </c>
      <c r="E14" s="513"/>
      <c r="I14" s="514">
        <v>2</v>
      </c>
      <c r="J14" s="514" t="s">
        <v>800</v>
      </c>
      <c r="K14" s="509" t="s">
        <v>807</v>
      </c>
      <c r="L14" s="511">
        <f>0*(10^5)</f>
        <v>0</v>
      </c>
      <c r="M14" s="511">
        <f>0*(10^5)</f>
        <v>0</v>
      </c>
      <c r="N14" s="511">
        <v>0</v>
      </c>
      <c r="V14" s="40">
        <v>0</v>
      </c>
      <c r="W14" s="40">
        <f>+M14-V14</f>
        <v>0</v>
      </c>
    </row>
    <row r="15" spans="1:23">
      <c r="A15" s="136" t="s">
        <v>808</v>
      </c>
      <c r="B15" s="139">
        <f>+L25/L26</f>
        <v>2.3146024012627056</v>
      </c>
      <c r="C15" s="139">
        <f>+M25/M26</f>
        <v>1.7329107021805303</v>
      </c>
      <c r="D15" s="138">
        <f t="shared" si="0"/>
        <v>0.33567321059892447</v>
      </c>
      <c r="E15" s="513"/>
      <c r="I15" s="509"/>
      <c r="J15" s="509" t="s">
        <v>809</v>
      </c>
      <c r="K15" s="509" t="s">
        <v>810</v>
      </c>
      <c r="L15" s="511">
        <f>(+BS!C13)</f>
        <v>10542048.769701093</v>
      </c>
      <c r="M15" s="511">
        <f>(+BS!D13)</f>
        <v>19974661.828920782</v>
      </c>
      <c r="N15" s="511">
        <v>23830254.698415339</v>
      </c>
      <c r="V15" s="40">
        <v>23830254.698415384</v>
      </c>
      <c r="W15" s="40">
        <f>+M15-V15</f>
        <v>-3855592.8694946021</v>
      </c>
    </row>
    <row r="16" spans="1:23">
      <c r="A16" s="136" t="s">
        <v>811</v>
      </c>
      <c r="B16" s="139">
        <f>+L29/L30</f>
        <v>1.5823052091194993</v>
      </c>
      <c r="C16" s="139">
        <f>+M29/M30</f>
        <v>1.6420368719466811</v>
      </c>
      <c r="D16" s="138">
        <f t="shared" si="0"/>
        <v>-3.6376566109851245E-2</v>
      </c>
      <c r="E16" s="513"/>
      <c r="I16" s="509"/>
      <c r="J16" s="509"/>
      <c r="K16" s="509"/>
      <c r="L16" s="511"/>
      <c r="M16" s="511"/>
      <c r="N16" s="511"/>
      <c r="W16" s="40">
        <f t="shared" ref="W16:W49" si="1">+M16-V16</f>
        <v>0</v>
      </c>
    </row>
    <row r="17" spans="1:23">
      <c r="A17" s="136" t="s">
        <v>812</v>
      </c>
      <c r="B17" s="139">
        <f>+L33/L34</f>
        <v>49.520290256486817</v>
      </c>
      <c r="C17" s="139">
        <f>+M33/M34</f>
        <v>34.319204078742246</v>
      </c>
      <c r="D17" s="138">
        <f>IFERROR(+((B17-C17)/C17),"NA")</f>
        <v>0.44293236354978055</v>
      </c>
      <c r="E17" s="513"/>
      <c r="I17" s="514">
        <v>3</v>
      </c>
      <c r="J17" s="514" t="s">
        <v>813</v>
      </c>
      <c r="K17" s="515" t="s">
        <v>814</v>
      </c>
      <c r="L17" s="511">
        <f>(+PL!D34)</f>
        <v>-9432613.0592196882</v>
      </c>
      <c r="M17" s="511">
        <f>(+PL!E34)</f>
        <v>1960906.1532612001</v>
      </c>
      <c r="N17" s="511">
        <v>5357583.0964880399</v>
      </c>
      <c r="P17" s="40">
        <f>(+M17-L17)/M17</f>
        <v>5.8103337548980747</v>
      </c>
      <c r="V17" s="40">
        <v>5357583.0964881144</v>
      </c>
      <c r="W17" s="40">
        <f t="shared" si="1"/>
        <v>-3396676.9432269144</v>
      </c>
    </row>
    <row r="18" spans="1:23">
      <c r="A18" s="136" t="s">
        <v>815</v>
      </c>
      <c r="B18" s="137">
        <f>+L37/L38</f>
        <v>-4.9420595788970623E-2</v>
      </c>
      <c r="C18" s="137">
        <f>+M37/M38</f>
        <v>7.8106050322063417E-3</v>
      </c>
      <c r="D18" s="138">
        <f t="shared" si="0"/>
        <v>-7.32737100201446</v>
      </c>
      <c r="E18" s="513"/>
      <c r="I18" s="514"/>
      <c r="J18" s="515"/>
      <c r="K18" s="515" t="s">
        <v>816</v>
      </c>
      <c r="L18" s="511">
        <f>+(L15+M15)/2</f>
        <v>15258355.299310938</v>
      </c>
      <c r="M18" s="511">
        <f>+(M15+N15)/2</f>
        <v>21902458.26366806</v>
      </c>
      <c r="N18" s="511">
        <v>21151463.150171317</v>
      </c>
      <c r="V18" s="40">
        <v>21151463.150171325</v>
      </c>
      <c r="W18" s="40">
        <f t="shared" si="1"/>
        <v>750995.11349673569</v>
      </c>
    </row>
    <row r="19" spans="1:23">
      <c r="A19" s="136" t="s">
        <v>817</v>
      </c>
      <c r="B19" s="137">
        <f>+L41/L42</f>
        <v>1.2856652253595606</v>
      </c>
      <c r="C19" s="137">
        <f>+M41/M42</f>
        <v>1.0250232978163558</v>
      </c>
      <c r="D19" s="138">
        <f t="shared" si="0"/>
        <v>0.25427902770450167</v>
      </c>
      <c r="E19" s="513"/>
      <c r="I19" s="514"/>
      <c r="J19" s="515"/>
      <c r="K19" s="515"/>
      <c r="L19" s="511"/>
      <c r="M19" s="511"/>
      <c r="N19" s="511"/>
      <c r="W19" s="40">
        <f t="shared" si="1"/>
        <v>0</v>
      </c>
    </row>
    <row r="20" spans="1:23">
      <c r="A20" s="136" t="s">
        <v>818</v>
      </c>
      <c r="B20" s="137">
        <f>+L48/L49</f>
        <v>-0.89476090134680131</v>
      </c>
      <c r="C20" s="137">
        <f>+M48/M49</f>
        <v>9.8169679669973489E-2</v>
      </c>
      <c r="D20" s="138">
        <f t="shared" si="0"/>
        <v>-10.11443232120962</v>
      </c>
      <c r="E20" s="513"/>
      <c r="I20" s="514">
        <v>4</v>
      </c>
      <c r="J20" s="514" t="s">
        <v>819</v>
      </c>
      <c r="K20" s="515"/>
      <c r="L20" s="511"/>
      <c r="M20" s="511"/>
      <c r="N20" s="511"/>
      <c r="W20" s="40">
        <f t="shared" si="1"/>
        <v>0</v>
      </c>
    </row>
    <row r="21" spans="1:23" ht="18.600000000000001" customHeight="1" thickBot="1">
      <c r="A21" s="140"/>
      <c r="B21" s="141"/>
      <c r="C21" s="141"/>
      <c r="D21" s="142"/>
      <c r="E21" s="143"/>
      <c r="I21" s="514"/>
      <c r="J21" s="515"/>
      <c r="K21" s="515" t="s">
        <v>820</v>
      </c>
      <c r="L21" s="511">
        <v>0</v>
      </c>
      <c r="M21" s="511">
        <v>0</v>
      </c>
      <c r="N21" s="511">
        <v>0</v>
      </c>
      <c r="V21" s="40">
        <v>0</v>
      </c>
      <c r="W21" s="40">
        <f t="shared" si="1"/>
        <v>0</v>
      </c>
    </row>
    <row r="22" spans="1:23">
      <c r="A22" s="144"/>
      <c r="B22" s="145"/>
      <c r="C22" s="145"/>
      <c r="D22" s="146"/>
      <c r="E22" s="147"/>
      <c r="I22" s="514"/>
      <c r="J22" s="515"/>
      <c r="K22" s="515" t="s">
        <v>821</v>
      </c>
      <c r="L22" s="511">
        <v>0</v>
      </c>
      <c r="M22" s="511">
        <v>0</v>
      </c>
      <c r="N22" s="511">
        <v>0</v>
      </c>
      <c r="V22" s="40">
        <v>0</v>
      </c>
      <c r="W22" s="40">
        <f t="shared" si="1"/>
        <v>0</v>
      </c>
    </row>
    <row r="23" spans="1:23">
      <c r="A23" s="126" t="s">
        <v>822</v>
      </c>
      <c r="B23" s="127"/>
      <c r="C23" s="127"/>
      <c r="D23" s="127"/>
      <c r="E23" s="148"/>
      <c r="I23" s="514"/>
      <c r="J23" s="515"/>
      <c r="K23" s="515"/>
      <c r="L23" s="511"/>
      <c r="M23" s="511"/>
      <c r="N23" s="511"/>
      <c r="W23" s="40">
        <f t="shared" si="1"/>
        <v>0</v>
      </c>
    </row>
    <row r="24" spans="1:23">
      <c r="A24" s="516"/>
      <c r="E24" s="41"/>
      <c r="I24" s="514">
        <v>5</v>
      </c>
      <c r="J24" s="514" t="s">
        <v>823</v>
      </c>
      <c r="K24" s="515"/>
      <c r="L24" s="511"/>
      <c r="M24" s="511"/>
      <c r="N24" s="511"/>
      <c r="W24" s="40">
        <f t="shared" si="1"/>
        <v>0</v>
      </c>
    </row>
    <row r="25" spans="1:23">
      <c r="A25" s="110" t="s">
        <v>824</v>
      </c>
      <c r="E25" s="41"/>
      <c r="I25" s="514"/>
      <c r="J25" s="515"/>
      <c r="K25" s="515" t="s">
        <v>825</v>
      </c>
      <c r="L25" s="511">
        <f>(+PL!D9)</f>
        <v>190864009.39999998</v>
      </c>
      <c r="M25" s="511">
        <f>(+PL!E9)</f>
        <v>251056882.9399997</v>
      </c>
      <c r="N25" s="511">
        <v>199846072.18000001</v>
      </c>
      <c r="P25" s="40">
        <f>+(M25-L25)/M25</f>
        <v>0.23975790998084395</v>
      </c>
      <c r="V25" s="40">
        <v>199846072.18000016</v>
      </c>
      <c r="W25" s="40">
        <f t="shared" si="1"/>
        <v>51210810.759999543</v>
      </c>
    </row>
    <row r="26" spans="1:23">
      <c r="A26" s="105" t="s">
        <v>826</v>
      </c>
      <c r="E26" s="41"/>
      <c r="I26" s="514"/>
      <c r="J26" s="515"/>
      <c r="K26" s="515" t="s">
        <v>827</v>
      </c>
      <c r="L26" s="511">
        <f>(+(BS!C37+BS!D37)/2)</f>
        <v>82460818.884433985</v>
      </c>
      <c r="M26" s="511">
        <f>+(BS!D37+N25)/2</f>
        <v>144875833.83500001</v>
      </c>
      <c r="N26" s="511">
        <v>55706979.353835493</v>
      </c>
      <c r="V26" s="40">
        <v>55706979.353835501</v>
      </c>
      <c r="W26" s="40">
        <f t="shared" si="1"/>
        <v>89168854.481164515</v>
      </c>
    </row>
    <row r="27" spans="1:23">
      <c r="A27" s="516"/>
      <c r="E27" s="41"/>
      <c r="I27" s="514"/>
      <c r="J27" s="515"/>
      <c r="K27" s="515"/>
      <c r="L27" s="511"/>
      <c r="M27" s="511"/>
      <c r="N27" s="511"/>
      <c r="W27" s="40">
        <f t="shared" si="1"/>
        <v>0</v>
      </c>
    </row>
    <row r="28" spans="1:23">
      <c r="A28" s="110" t="s">
        <v>828</v>
      </c>
      <c r="E28" s="41"/>
      <c r="I28" s="514">
        <v>6</v>
      </c>
      <c r="J28" s="514" t="s">
        <v>829</v>
      </c>
      <c r="K28" s="515"/>
      <c r="L28" s="511"/>
      <c r="M28" s="511"/>
      <c r="N28" s="511"/>
      <c r="W28" s="40">
        <f t="shared" si="1"/>
        <v>0</v>
      </c>
    </row>
    <row r="29" spans="1:23">
      <c r="A29" s="110" t="s">
        <v>830</v>
      </c>
      <c r="E29" s="41"/>
      <c r="I29" s="514"/>
      <c r="J29" s="515"/>
      <c r="K29" s="515" t="s">
        <v>831</v>
      </c>
      <c r="L29" s="511">
        <f>(+PL!D15)</f>
        <v>159201505.83000001</v>
      </c>
      <c r="M29" s="511">
        <f>(+PL!E15)</f>
        <v>215366753.34</v>
      </c>
      <c r="N29" s="511">
        <v>171888232.6499998</v>
      </c>
      <c r="V29" s="40">
        <v>171888232.64999986</v>
      </c>
      <c r="W29" s="40">
        <f t="shared" si="1"/>
        <v>43478520.690000147</v>
      </c>
    </row>
    <row r="30" spans="1:23">
      <c r="A30" s="110" t="s">
        <v>832</v>
      </c>
      <c r="E30" s="41"/>
      <c r="I30" s="514"/>
      <c r="J30" s="515"/>
      <c r="K30" s="515" t="s">
        <v>833</v>
      </c>
      <c r="L30" s="511">
        <f>(+(BS!C20+BS!D20)/2)</f>
        <v>100613652.10229599</v>
      </c>
      <c r="M30" s="511">
        <f>+((BS!D20)+N29)/2</f>
        <v>131158293.1049999</v>
      </c>
      <c r="N30" s="511">
        <v>38755425.110519007</v>
      </c>
      <c r="V30" s="40">
        <v>38755425.110519014</v>
      </c>
      <c r="W30" s="40">
        <f t="shared" si="1"/>
        <v>92402867.994480878</v>
      </c>
    </row>
    <row r="31" spans="1:23">
      <c r="A31" s="105" t="s">
        <v>834</v>
      </c>
      <c r="E31" s="41"/>
      <c r="I31" s="514"/>
      <c r="J31" s="515"/>
      <c r="K31" s="515"/>
      <c r="L31" s="511"/>
      <c r="M31" s="511"/>
      <c r="N31" s="511"/>
      <c r="W31" s="40">
        <f t="shared" si="1"/>
        <v>0</v>
      </c>
    </row>
    <row r="32" spans="1:23">
      <c r="A32" s="516"/>
      <c r="E32" s="41"/>
      <c r="I32" s="514">
        <v>7</v>
      </c>
      <c r="J32" s="514" t="s">
        <v>835</v>
      </c>
      <c r="K32" s="515"/>
      <c r="L32" s="511"/>
      <c r="M32" s="511"/>
      <c r="N32" s="511"/>
      <c r="W32" s="40">
        <f t="shared" si="1"/>
        <v>0</v>
      </c>
    </row>
    <row r="33" spans="1:23">
      <c r="A33" s="110" t="s">
        <v>836</v>
      </c>
      <c r="E33" s="41"/>
      <c r="I33" s="514"/>
      <c r="J33" s="515"/>
      <c r="K33" s="515" t="s">
        <v>837</v>
      </c>
      <c r="L33" s="511">
        <f>+L25</f>
        <v>190864009.39999998</v>
      </c>
      <c r="M33" s="511">
        <f>+M25</f>
        <v>251056882.9399997</v>
      </c>
      <c r="N33" s="511">
        <v>199846072.18000001</v>
      </c>
      <c r="V33" s="40">
        <v>199846072.18000016</v>
      </c>
      <c r="W33" s="40">
        <f t="shared" si="1"/>
        <v>51210810.759999543</v>
      </c>
    </row>
    <row r="34" spans="1:23" ht="29.4" customHeight="1">
      <c r="A34" s="110" t="s">
        <v>838</v>
      </c>
      <c r="E34" s="41"/>
      <c r="I34" s="514"/>
      <c r="J34" s="515"/>
      <c r="K34" s="515" t="s">
        <v>839</v>
      </c>
      <c r="L34" s="511">
        <f>+((L11-L12)+(M11-M12))/2</f>
        <v>3854258.6970196143</v>
      </c>
      <c r="M34" s="511">
        <f>+((M11-M12)+(N11-N12))/2</f>
        <v>7315346.8933595568</v>
      </c>
      <c r="N34" s="511">
        <v>1064785.5258139148</v>
      </c>
      <c r="V34" s="40">
        <v>1064784.5308139399</v>
      </c>
      <c r="W34" s="40">
        <f t="shared" si="1"/>
        <v>6250562.3625456169</v>
      </c>
    </row>
    <row r="35" spans="1:23">
      <c r="A35" s="110" t="s">
        <v>840</v>
      </c>
      <c r="E35" s="41"/>
      <c r="I35" s="514"/>
      <c r="J35" s="515"/>
      <c r="K35" s="515"/>
      <c r="L35" s="511"/>
      <c r="M35" s="511"/>
      <c r="N35" s="511"/>
      <c r="W35" s="40">
        <f t="shared" si="1"/>
        <v>0</v>
      </c>
    </row>
    <row r="36" spans="1:23">
      <c r="A36" s="110" t="s">
        <v>841</v>
      </c>
      <c r="E36" s="41"/>
      <c r="I36" s="514">
        <v>8</v>
      </c>
      <c r="J36" s="514" t="s">
        <v>842</v>
      </c>
      <c r="K36" s="515"/>
      <c r="L36" s="511"/>
      <c r="M36" s="511"/>
      <c r="N36" s="511"/>
      <c r="W36" s="40">
        <f t="shared" si="1"/>
        <v>0</v>
      </c>
    </row>
    <row r="37" spans="1:23">
      <c r="A37" s="105" t="s">
        <v>843</v>
      </c>
      <c r="E37" s="41"/>
      <c r="I37" s="514"/>
      <c r="J37" s="515"/>
      <c r="K37" s="515" t="s">
        <v>815</v>
      </c>
      <c r="L37" s="511">
        <f>(+PL!D34)</f>
        <v>-9432613.0592196882</v>
      </c>
      <c r="M37" s="511">
        <f>(+PL!E34)</f>
        <v>1960906.1532612001</v>
      </c>
      <c r="N37" s="511">
        <v>5357583.0964880399</v>
      </c>
      <c r="V37" s="40">
        <v>5357583.0964881144</v>
      </c>
      <c r="W37" s="40">
        <f t="shared" si="1"/>
        <v>-3396676.9432269144</v>
      </c>
    </row>
    <row r="38" spans="1:23">
      <c r="A38" s="517"/>
      <c r="E38" s="41"/>
      <c r="I38" s="514"/>
      <c r="J38" s="515"/>
      <c r="K38" s="515" t="s">
        <v>837</v>
      </c>
      <c r="L38" s="511">
        <f>+L25</f>
        <v>190864009.39999998</v>
      </c>
      <c r="M38" s="511">
        <f>+M25</f>
        <v>251056882.9399997</v>
      </c>
      <c r="N38" s="511">
        <v>199846072.18000001</v>
      </c>
      <c r="V38" s="40">
        <v>199846072.18000016</v>
      </c>
      <c r="W38" s="40">
        <f t="shared" si="1"/>
        <v>51210810.759999543</v>
      </c>
    </row>
    <row r="39" spans="1:23">
      <c r="A39" s="110" t="s">
        <v>844</v>
      </c>
      <c r="E39" s="41"/>
      <c r="I39" s="514"/>
      <c r="J39" s="515"/>
      <c r="K39" s="515"/>
      <c r="L39" s="511"/>
      <c r="M39" s="511"/>
      <c r="N39" s="511"/>
      <c r="W39" s="40">
        <f t="shared" si="1"/>
        <v>0</v>
      </c>
    </row>
    <row r="40" spans="1:23">
      <c r="A40" s="149" t="s">
        <v>845</v>
      </c>
      <c r="E40" s="41"/>
      <c r="I40" s="514">
        <v>9</v>
      </c>
      <c r="J40" s="514" t="s">
        <v>846</v>
      </c>
      <c r="K40" s="515"/>
      <c r="L40" s="511"/>
      <c r="M40" s="511"/>
      <c r="N40" s="511"/>
      <c r="W40" s="40">
        <f t="shared" si="1"/>
        <v>0</v>
      </c>
    </row>
    <row r="41" spans="1:23">
      <c r="A41" s="105" t="s">
        <v>847</v>
      </c>
      <c r="E41" s="41"/>
      <c r="I41" s="514"/>
      <c r="J41" s="515"/>
      <c r="K41" s="515" t="s">
        <v>848</v>
      </c>
      <c r="L41" s="511">
        <f>+(PL!D9-PL!D15)</f>
        <v>31662503.569999963</v>
      </c>
      <c r="M41" s="511">
        <f>+(PL!E9-PL!E15)</f>
        <v>35690129.599999696</v>
      </c>
      <c r="N41" s="511">
        <v>27957839.53000021</v>
      </c>
      <c r="V41" s="40">
        <v>27957839.530000318</v>
      </c>
      <c r="W41" s="40">
        <f t="shared" si="1"/>
        <v>7732290.0699993782</v>
      </c>
    </row>
    <row r="42" spans="1:23">
      <c r="A42" s="516"/>
      <c r="E42" s="41"/>
      <c r="I42" s="514"/>
      <c r="J42" s="515"/>
      <c r="K42" s="515" t="s">
        <v>849</v>
      </c>
      <c r="L42" s="511">
        <f>(+BS!C42-BS!C23)</f>
        <v>24627331.396588832</v>
      </c>
      <c r="M42" s="511">
        <f>(+BS!D42-BS!D23)</f>
        <v>34818847.21647954</v>
      </c>
      <c r="N42" s="511">
        <v>23830254.077295497</v>
      </c>
      <c r="V42" s="40">
        <v>23830252.087295469</v>
      </c>
      <c r="W42" s="40">
        <f t="shared" si="1"/>
        <v>10988595.129184071</v>
      </c>
    </row>
    <row r="43" spans="1:23">
      <c r="A43" s="110" t="s">
        <v>850</v>
      </c>
      <c r="E43" s="41"/>
      <c r="I43" s="514"/>
      <c r="J43" s="515"/>
      <c r="K43" s="515"/>
      <c r="L43" s="511"/>
      <c r="M43" s="511"/>
      <c r="N43" s="511"/>
      <c r="W43" s="40">
        <f t="shared" si="1"/>
        <v>0</v>
      </c>
    </row>
    <row r="44" spans="1:23">
      <c r="A44" s="105" t="s">
        <v>851</v>
      </c>
      <c r="E44" s="41"/>
      <c r="I44" s="514"/>
      <c r="J44" s="515" t="s">
        <v>848</v>
      </c>
      <c r="K44" s="515" t="s">
        <v>852</v>
      </c>
      <c r="L44" s="511"/>
      <c r="M44" s="511"/>
      <c r="N44" s="511"/>
      <c r="W44" s="40">
        <f t="shared" si="1"/>
        <v>0</v>
      </c>
    </row>
    <row r="45" spans="1:23">
      <c r="A45" s="516"/>
      <c r="E45" s="41"/>
      <c r="I45" s="514"/>
      <c r="J45" s="515" t="s">
        <v>853</v>
      </c>
      <c r="K45" s="515" t="s">
        <v>854</v>
      </c>
      <c r="L45" s="511"/>
      <c r="M45" s="511"/>
      <c r="N45" s="511"/>
      <c r="W45" s="40">
        <f t="shared" si="1"/>
        <v>0</v>
      </c>
    </row>
    <row r="46" spans="1:23" ht="10.5" customHeight="1">
      <c r="A46" s="110" t="s">
        <v>855</v>
      </c>
      <c r="E46" s="41"/>
      <c r="I46" s="514"/>
      <c r="J46" s="515"/>
      <c r="K46" s="515"/>
      <c r="L46" s="511"/>
      <c r="M46" s="511"/>
      <c r="N46" s="511"/>
      <c r="W46" s="40">
        <f t="shared" si="1"/>
        <v>0</v>
      </c>
    </row>
    <row r="47" spans="1:23">
      <c r="A47" s="110" t="s">
        <v>856</v>
      </c>
      <c r="E47" s="41"/>
      <c r="I47" s="514">
        <v>10</v>
      </c>
      <c r="J47" s="150" t="s">
        <v>818</v>
      </c>
      <c r="K47" s="515"/>
      <c r="L47" s="511"/>
      <c r="M47" s="511"/>
      <c r="N47" s="511"/>
      <c r="W47" s="40">
        <f t="shared" si="1"/>
        <v>0</v>
      </c>
    </row>
    <row r="48" spans="1:23" ht="15" customHeight="1">
      <c r="A48" s="105" t="s">
        <v>857</v>
      </c>
      <c r="E48" s="41"/>
      <c r="I48" s="514"/>
      <c r="J48" s="515"/>
      <c r="K48" s="515" t="s">
        <v>815</v>
      </c>
      <c r="L48" s="511">
        <f>(+PL!D34)</f>
        <v>-9432613.0592196882</v>
      </c>
      <c r="M48" s="511">
        <f>(+PL!E34)</f>
        <v>1960906.1532612001</v>
      </c>
      <c r="N48" s="511">
        <v>5357583.0964880399</v>
      </c>
      <c r="V48" s="40">
        <v>5357583.0964881144</v>
      </c>
      <c r="W48" s="40">
        <f t="shared" si="1"/>
        <v>-3396676.9432269144</v>
      </c>
    </row>
    <row r="49" spans="1:23" ht="15" customHeight="1">
      <c r="A49" s="516"/>
      <c r="E49" s="41"/>
      <c r="I49" s="514"/>
      <c r="J49" s="515"/>
      <c r="K49" s="515" t="s">
        <v>858</v>
      </c>
      <c r="L49" s="511">
        <f>(+BS!C13)</f>
        <v>10542048.769701093</v>
      </c>
      <c r="M49" s="511">
        <f>(+BS!D13)</f>
        <v>19974661.828920782</v>
      </c>
      <c r="N49" s="511">
        <v>23830254.698415339</v>
      </c>
      <c r="V49" s="40">
        <v>23830254.698415384</v>
      </c>
      <c r="W49" s="40">
        <f t="shared" si="1"/>
        <v>-3855592.8694946021</v>
      </c>
    </row>
    <row r="50" spans="1:23" ht="12.75" customHeight="1">
      <c r="A50" s="110" t="s">
        <v>859</v>
      </c>
      <c r="E50" s="41"/>
      <c r="I50" s="37"/>
    </row>
    <row r="51" spans="1:23" ht="23.25" customHeight="1">
      <c r="A51" s="105" t="s">
        <v>860</v>
      </c>
      <c r="E51" s="41"/>
    </row>
    <row r="52" spans="1:23" ht="12.75" customHeight="1">
      <c r="A52" s="517"/>
      <c r="E52" s="41"/>
    </row>
    <row r="53" spans="1:23" ht="12.75" customHeight="1">
      <c r="A53" s="110" t="s">
        <v>861</v>
      </c>
      <c r="E53" s="41"/>
    </row>
    <row r="54" spans="1:23" ht="16.5" customHeight="1">
      <c r="A54" s="105" t="s">
        <v>862</v>
      </c>
      <c r="E54" s="41"/>
    </row>
    <row r="55" spans="1:23" ht="24" customHeight="1">
      <c r="A55" s="110" t="s">
        <v>863</v>
      </c>
      <c r="E55" s="41"/>
    </row>
    <row r="56" spans="1:23" ht="14.4" customHeight="1">
      <c r="A56" s="105" t="s">
        <v>864</v>
      </c>
      <c r="E56" s="41"/>
    </row>
    <row r="57" spans="1:23">
      <c r="A57" s="105" t="s">
        <v>865</v>
      </c>
      <c r="E57" s="41"/>
    </row>
    <row r="58" spans="1:23">
      <c r="A58" s="517"/>
      <c r="E58" s="41"/>
    </row>
    <row r="59" spans="1:23">
      <c r="A59" s="110" t="s">
        <v>866</v>
      </c>
      <c r="E59" s="41"/>
    </row>
    <row r="60" spans="1:23">
      <c r="A60" s="105" t="s">
        <v>867</v>
      </c>
      <c r="E60" s="41"/>
    </row>
    <row r="61" spans="1:23">
      <c r="A61" s="46"/>
      <c r="E61" s="41"/>
    </row>
    <row r="62" spans="1:23">
      <c r="A62" s="110" t="s">
        <v>868</v>
      </c>
      <c r="E62" s="41"/>
    </row>
    <row r="63" spans="1:23">
      <c r="A63" s="105" t="s">
        <v>869</v>
      </c>
      <c r="E63" s="41"/>
    </row>
    <row r="64" spans="1:23">
      <c r="A64" s="105" t="s">
        <v>870</v>
      </c>
      <c r="E64" s="41"/>
    </row>
    <row r="65" spans="1:5" ht="24" customHeight="1">
      <c r="A65" s="110" t="s">
        <v>871</v>
      </c>
      <c r="E65" s="41"/>
    </row>
    <row r="66" spans="1:5" ht="19.5" customHeight="1">
      <c r="A66" s="105" t="s">
        <v>872</v>
      </c>
      <c r="E66" s="41"/>
    </row>
    <row r="67" spans="1:5" ht="16.5" customHeight="1">
      <c r="A67" s="110" t="s">
        <v>873</v>
      </c>
      <c r="E67" s="41"/>
    </row>
    <row r="68" spans="1:5">
      <c r="A68" s="105" t="s">
        <v>874</v>
      </c>
      <c r="E68" s="41"/>
    </row>
    <row r="69" spans="1:5">
      <c r="A69" s="46"/>
      <c r="E69" s="41"/>
    </row>
    <row r="70" spans="1:5">
      <c r="A70" s="110" t="s">
        <v>875</v>
      </c>
      <c r="E70" s="41"/>
    </row>
    <row r="71" spans="1:5">
      <c r="A71" s="105" t="s">
        <v>876</v>
      </c>
      <c r="E71" s="41"/>
    </row>
    <row r="72" spans="1:5" ht="14.4" thickBot="1">
      <c r="A72" s="62"/>
      <c r="B72" s="63"/>
      <c r="C72" s="63"/>
      <c r="D72" s="63"/>
      <c r="E72" s="518"/>
    </row>
    <row r="73" spans="1:5" ht="15" customHeight="1"/>
    <row r="74" spans="1:5" ht="15" customHeight="1"/>
    <row r="75" spans="1:5" ht="15" customHeight="1"/>
    <row r="82" ht="15.6" customHeight="1"/>
    <row r="83" ht="15.6" customHeight="1"/>
    <row r="84" ht="15.6" customHeight="1"/>
    <row r="85" ht="15.6" customHeight="1"/>
    <row r="86" ht="15.6" customHeight="1"/>
    <row r="87" ht="15.6" customHeight="1"/>
  </sheetData>
  <mergeCells count="5">
    <mergeCell ref="A1:E1"/>
    <mergeCell ref="A2:E2"/>
    <mergeCell ref="A3:E3"/>
    <mergeCell ref="A4:E4"/>
    <mergeCell ref="A5:B5"/>
  </mergeCells>
  <printOptions horizontalCentered="1"/>
  <pageMargins left="0.35433070866141736" right="0.35433070866141736" top="0.35433070866141736" bottom="0.35433070866141736" header="0.31496062992125984" footer="0.31496062992125984"/>
  <pageSetup paperSize="9" scale="61" fitToWidth="2" fitToHeight="2" orientation="portrait" horizontalDpi="4294967293"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45"/>
  <sheetViews>
    <sheetView showGridLines="0" view="pageBreakPreview" zoomScaleNormal="90" zoomScaleSheetLayoutView="100" workbookViewId="0">
      <selection sqref="A1:C1"/>
    </sheetView>
  </sheetViews>
  <sheetFormatPr defaultColWidth="9.109375" defaultRowHeight="13.8"/>
  <cols>
    <col min="1" max="1" width="65.6640625" style="227" bestFit="1" customWidth="1"/>
    <col min="2" max="3" width="18.6640625" style="227" customWidth="1"/>
    <col min="4" max="4" width="10.33203125" style="227" bestFit="1" customWidth="1"/>
    <col min="5" max="5" width="16" style="227" bestFit="1" customWidth="1"/>
    <col min="6" max="6" width="13.44140625" style="227" bestFit="1" customWidth="1"/>
    <col min="7" max="7" width="9.109375" style="227"/>
    <col min="8" max="8" width="12.44140625" style="227" bestFit="1" customWidth="1"/>
    <col min="9" max="16384" width="9.109375" style="227"/>
  </cols>
  <sheetData>
    <row r="1" spans="1:6">
      <c r="A1" s="751" t="s">
        <v>877</v>
      </c>
      <c r="B1" s="752"/>
      <c r="C1" s="753"/>
    </row>
    <row r="2" spans="1:6" ht="14.4" thickBot="1">
      <c r="A2" s="754" t="s">
        <v>878</v>
      </c>
      <c r="B2" s="755"/>
      <c r="C2" s="756"/>
    </row>
    <row r="3" spans="1:6" ht="15" customHeight="1">
      <c r="A3" s="619" t="s">
        <v>15</v>
      </c>
      <c r="B3" s="103" t="str">
        <f>+'NOTE 4-8'!B5</f>
        <v>As on</v>
      </c>
      <c r="C3" s="103" t="str">
        <f>+'NOTE 4-8'!C5</f>
        <v>As on</v>
      </c>
    </row>
    <row r="4" spans="1:6" ht="13.5" customHeight="1" thickBot="1">
      <c r="A4" s="620"/>
      <c r="B4" s="104" t="s">
        <v>41</v>
      </c>
      <c r="C4" s="104" t="s">
        <v>42</v>
      </c>
    </row>
    <row r="5" spans="1:6">
      <c r="A5" s="105"/>
      <c r="B5" s="105"/>
      <c r="C5" s="106"/>
    </row>
    <row r="6" spans="1:6">
      <c r="A6" s="91" t="s">
        <v>879</v>
      </c>
      <c r="B6" s="97"/>
      <c r="C6" s="92"/>
    </row>
    <row r="7" spans="1:6">
      <c r="A7" s="105" t="s">
        <v>298</v>
      </c>
      <c r="B7" s="107">
        <f>SUMIF('TB 25-26'!$Q:$Q,$A7,'TB 25-26'!$P:$P)-SUMIF('TB 25-26'!$Q:$Q,$A7,'TB 25-26'!$O:$O)</f>
        <v>725000</v>
      </c>
      <c r="C7" s="98">
        <f>SUMIF('TB 25-26'!$Q:$Q,$A7,'TB 25-26'!$F:$F)-SUMIF('TB 25-26'!$Q:$Q,$A7,'TB 25-26'!$E:$E)</f>
        <v>725000</v>
      </c>
      <c r="E7" s="227" t="s">
        <v>298</v>
      </c>
    </row>
    <row r="8" spans="1:6">
      <c r="A8" s="105" t="s">
        <v>300</v>
      </c>
      <c r="B8" s="107">
        <f>SUMIF('TB 25-26'!$Q:$Q,$A8,'TB 25-26'!$P:$P)-SUMIF('TB 25-26'!$Q:$Q,$A8,'TB 25-26'!$O:$O)</f>
        <v>90000</v>
      </c>
      <c r="C8" s="98">
        <f>SUMIF('TB 25-26'!$Q:$Q,$A8,'TB 25-26'!$F:$F)-SUMIF('TB 25-26'!$Q:$Q,$A8,'TB 25-26'!$E:$E)</f>
        <v>90000</v>
      </c>
      <c r="E8" s="227" t="s">
        <v>880</v>
      </c>
      <c r="F8" s="227">
        <f>125000*4</f>
        <v>500000</v>
      </c>
    </row>
    <row r="9" spans="1:6">
      <c r="A9" s="105" t="s">
        <v>303</v>
      </c>
      <c r="B9" s="98">
        <f>SUMIF('TB 25-26'!$Q:$Q,$A9,'TB 25-26'!$P:$P)-SUMIF('TB 25-26'!$Q:$Q,$A9,'TB 25-26'!$O:$O)</f>
        <v>-40045.970000000438</v>
      </c>
      <c r="C9" s="98">
        <f>SUMIF('TB 25-26'!$Q:$Q,$A9,'TB 25-26'!$F:$F)-SUMIF('TB 25-26'!$Q:$Q,$A9,'TB 25-26'!$E:$E)</f>
        <v>903854.05999999959</v>
      </c>
      <c r="E9" s="227" t="s">
        <v>881</v>
      </c>
      <c r="F9" s="227">
        <v>225000</v>
      </c>
    </row>
    <row r="10" spans="1:6">
      <c r="A10" s="105" t="s">
        <v>353</v>
      </c>
      <c r="B10" s="107">
        <f>SUMIF('TB 25-26'!$Q:$Q,$A10,'TB 25-26'!$P:$P)-SUMIF('TB 25-26'!$Q:$Q,$A10,'TB 25-26'!$O:$O)</f>
        <v>1816421.2300000004</v>
      </c>
      <c r="C10" s="98">
        <f>SUMIF('TB 25-26'!$Q:$Q,$A10,'TB 25-26'!$F:$F)-SUMIF('TB 25-26'!$Q:$Q,$A10,'TB 25-26'!$E:$E)</f>
        <v>2012070.2300000004</v>
      </c>
    </row>
    <row r="11" spans="1:6">
      <c r="A11" s="105"/>
      <c r="B11" s="107"/>
      <c r="C11" s="108"/>
    </row>
    <row r="12" spans="1:6" ht="14.4" thickBot="1">
      <c r="A12" s="105"/>
      <c r="B12" s="109">
        <f>SUM(B7:B11)</f>
        <v>2591375.2599999998</v>
      </c>
      <c r="C12" s="109">
        <f>SUM(C7:C11)</f>
        <v>3730924.29</v>
      </c>
    </row>
    <row r="13" spans="1:6" ht="14.4" thickTop="1">
      <c r="A13" s="105"/>
      <c r="B13" s="107"/>
      <c r="C13" s="108"/>
    </row>
    <row r="14" spans="1:6">
      <c r="A14" s="110" t="s">
        <v>882</v>
      </c>
      <c r="B14" s="111"/>
      <c r="C14" s="112"/>
    </row>
    <row r="15" spans="1:6">
      <c r="A15" s="105" t="s">
        <v>341</v>
      </c>
      <c r="B15" s="98">
        <f>SUMIF('TB 25-26'!$Q:$Q,$A15,'TB 25-26'!$P:$P)-SUMIF('TB 25-26'!$Q:$Q,$A15,'TB 25-26'!$O:$O)</f>
        <v>3853278</v>
      </c>
      <c r="C15" s="98">
        <f>SUMIF('TB 25-26'!$Q:$Q,$A15,'TB 25-26'!$F:$F)-SUMIF('TB 25-26'!$Q:$Q,$A15,'TB 25-26'!$E:$E)</f>
        <v>3853278</v>
      </c>
    </row>
    <row r="16" spans="1:6">
      <c r="A16" s="105" t="s">
        <v>325</v>
      </c>
      <c r="B16" s="98">
        <f>SUMIF('TB 25-26'!$Q:$Q,$A16,'TB 25-26'!$P:$P)-SUMIF('TB 25-26'!$Q:$Q,$A16,'TB 25-26'!$O:$O)</f>
        <v>86048.77</v>
      </c>
      <c r="C16" s="98">
        <f>SUMIF('TB 25-26'!$Q:$Q,$A16,'TB 25-26'!$F:$F)-SUMIF('TB 25-26'!$Q:$Q,$A16,'TB 25-26'!$E:$E)</f>
        <v>86048.77</v>
      </c>
      <c r="E16" s="227" t="s">
        <v>883</v>
      </c>
      <c r="F16" s="227" t="s">
        <v>884</v>
      </c>
    </row>
    <row r="17" spans="1:6">
      <c r="A17" s="105" t="s">
        <v>320</v>
      </c>
      <c r="B17" s="98">
        <f>SUMIF('TB 25-26'!$Q:$Q,$A17,'TB 25-26'!$P:$P)-SUMIF('TB 25-26'!$Q:$Q,$A17,'TB 25-26'!$O:$O)</f>
        <v>202739</v>
      </c>
      <c r="C17" s="98">
        <f>SUMIF('TB 25-26'!$Q:$Q,$A17,'TB 25-26'!$F:$F)-SUMIF('TB 25-26'!$Q:$Q,$A17,'TB 25-26'!$E:$E)</f>
        <v>138835</v>
      </c>
      <c r="F17" s="227" t="s">
        <v>885</v>
      </c>
    </row>
    <row r="18" spans="1:6">
      <c r="A18" s="105" t="s">
        <v>318</v>
      </c>
      <c r="B18" s="98">
        <f>SUMIF('TB 25-26'!$Q:$Q,$A18,'TB 25-26'!$P:$P)-SUMIF('TB 25-26'!$Q:$Q,$A18,'TB 25-26'!$O:$O)</f>
        <v>58707.370000000119</v>
      </c>
      <c r="C18" s="98">
        <f>SUMIF('TB 25-26'!$Q:$Q,$A18,'TB 25-26'!$F:$F)-SUMIF('TB 25-26'!$Q:$Q,$A18,'TB 25-26'!$E:$E)</f>
        <v>39933.370000000119</v>
      </c>
    </row>
    <row r="19" spans="1:6">
      <c r="A19" s="105" t="s">
        <v>331</v>
      </c>
      <c r="B19" s="98">
        <f>SUMIF('TB 25-26'!$Q:$Q,$A19,'TB 25-26'!$P:$P)-SUMIF('TB 25-26'!$Q:$Q,$A19,'TB 25-26'!$O:$O)</f>
        <v>0</v>
      </c>
      <c r="C19" s="98">
        <f>SUMIF('TB 25-26'!$Q:$Q,$A19,'TB 25-26'!$F:$F)-SUMIF('TB 25-26'!$Q:$Q,$A19,'TB 25-26'!$E:$E)</f>
        <v>0</v>
      </c>
    </row>
    <row r="20" spans="1:6">
      <c r="A20" s="105" t="s">
        <v>322</v>
      </c>
      <c r="B20" s="98">
        <f>SUMIF('TB 25-26'!$Q:$Q,$A20,'TB 25-26'!$P:$P)-SUMIF('TB 25-26'!$Q:$Q,$A20,'TB 25-26'!$O:$O)</f>
        <v>-53527.270000000004</v>
      </c>
      <c r="C20" s="98">
        <f>SUMIF('TB 25-26'!$Q:$Q,$A20,'TB 25-26'!$F:$F)-SUMIF('TB 25-26'!$Q:$Q,$A20,'TB 25-26'!$E:$E)</f>
        <v>-53527.270000000004</v>
      </c>
      <c r="E20" s="227" t="s">
        <v>883</v>
      </c>
    </row>
    <row r="21" spans="1:6">
      <c r="A21" s="105" t="s">
        <v>308</v>
      </c>
      <c r="B21" s="98">
        <f>SUMIF('TB 25-26'!$Q:$Q,$A21,'TB 25-26'!$P:$P)-SUMIF('TB 25-26'!$Q:$Q,$A21,'TB 25-26'!$O:$O)</f>
        <v>461205.96</v>
      </c>
      <c r="C21" s="98">
        <f>SUMIF('TB 25-26'!$Q:$Q,$A21,'TB 25-26'!$F:$F)-SUMIF('TB 25-26'!$Q:$Q,$A21,'TB 25-26'!$E:$E)</f>
        <v>369389.96</v>
      </c>
    </row>
    <row r="22" spans="1:6">
      <c r="A22" s="113" t="s">
        <v>884</v>
      </c>
      <c r="B22" s="114">
        <f>SUMIF('TB 25-26'!$Q:$Q,$A22,'TB 25-26'!$P:$P)-SUMIF('TB 25-26'!$Q:$Q,$A22,'TB 25-26'!$O:$O)</f>
        <v>-10656</v>
      </c>
      <c r="C22" s="114">
        <f>SUMIF('TB 25-26'!$Q:$Q,$A22,'TB 25-26'!$F:$F)-SUMIF('TB 25-26'!$Q:$Q,$A22,'TB 25-26'!$E:$E)</f>
        <v>-8577</v>
      </c>
      <c r="E22" s="227" t="s">
        <v>886</v>
      </c>
    </row>
    <row r="23" spans="1:6">
      <c r="A23" s="113" t="s">
        <v>885</v>
      </c>
      <c r="B23" s="114">
        <f>SUMIF('TB 25-26'!$Q:$Q,$A23,'TB 25-26'!$P:$P)-SUMIF('TB 25-26'!$Q:$Q,$A23,'TB 25-26'!$O:$O)</f>
        <v>-16250.000000000029</v>
      </c>
      <c r="C23" s="114">
        <f>SUMIF('TB 25-26'!$Q:$Q,$A23,'TB 25-26'!$F:$F)-SUMIF('TB 25-26'!$Q:$Q,$A23,'TB 25-26'!$E:$E)</f>
        <v>-3655.0000000000291</v>
      </c>
    </row>
    <row r="24" spans="1:6">
      <c r="A24" s="507"/>
      <c r="B24" s="107"/>
      <c r="C24" s="108"/>
    </row>
    <row r="25" spans="1:6" ht="14.4" thickBot="1">
      <c r="A25" s="105"/>
      <c r="B25" s="109">
        <f>SUM(B15:B24)</f>
        <v>4581545.830000001</v>
      </c>
      <c r="C25" s="109">
        <f>SUM(C15:C24)</f>
        <v>4421725.83</v>
      </c>
    </row>
    <row r="26" spans="1:6" ht="14.4" thickTop="1">
      <c r="A26" s="105"/>
      <c r="B26" s="107"/>
      <c r="C26" s="108"/>
    </row>
    <row r="27" spans="1:6">
      <c r="A27" s="110" t="s">
        <v>887</v>
      </c>
      <c r="B27" s="111"/>
      <c r="C27" s="112"/>
    </row>
    <row r="28" spans="1:6">
      <c r="A28" s="115" t="s">
        <v>209</v>
      </c>
      <c r="B28" s="116"/>
      <c r="C28" s="117"/>
    </row>
    <row r="29" spans="1:6">
      <c r="A29" s="118" t="s">
        <v>209</v>
      </c>
      <c r="B29" s="98">
        <f>SUMIF('TB 25-26'!$Q:$Q,$A29,'TB 25-26'!$O:$O)-SUMIF('TB 25-26'!$Q:$Q,$A29,'TB 25-26'!$P:$P)</f>
        <v>0</v>
      </c>
      <c r="C29" s="98">
        <f>SUMIF('TB 25-26'!$Q:$Q,$A29,'TB 25-26'!$E:$E)-SUMIF('TB 25-26'!$Q:$Q,$A29,'TB 25-26'!$F:$F)</f>
        <v>0</v>
      </c>
    </row>
    <row r="30" spans="1:6">
      <c r="A30" s="118" t="s">
        <v>214</v>
      </c>
      <c r="B30" s="98">
        <f>SUMIF('TB 25-26'!$Q:$Q,$A30,'TB 25-26'!$O:$O)-SUMIF('TB 25-26'!$Q:$Q,$A30,'TB 25-26'!$P:$P)</f>
        <v>58384.780000000021</v>
      </c>
      <c r="C30" s="98">
        <f>SUMIF('TB 25-26'!$Q:$Q,$A30,'TB 25-26'!$E:$E)-SUMIF('TB 25-26'!$Q:$Q,$A30,'TB 25-26'!$F:$F)</f>
        <v>16299.650000000023</v>
      </c>
    </row>
    <row r="31" spans="1:6">
      <c r="A31" s="118"/>
      <c r="B31" s="119"/>
      <c r="C31" s="120"/>
    </row>
    <row r="32" spans="1:6" ht="14.4" thickBot="1">
      <c r="A32" s="105"/>
      <c r="B32" s="109">
        <f>SUM(B29:B31)</f>
        <v>58384.780000000021</v>
      </c>
      <c r="C32" s="109">
        <f>SUM(C29:C31)</f>
        <v>16299.650000000023</v>
      </c>
    </row>
    <row r="33" spans="1:3" ht="14.4" thickTop="1">
      <c r="A33" s="105"/>
      <c r="B33" s="107"/>
      <c r="C33" s="108"/>
    </row>
    <row r="34" spans="1:3">
      <c r="A34" s="115" t="s">
        <v>888</v>
      </c>
      <c r="B34" s="116"/>
      <c r="C34" s="117"/>
    </row>
    <row r="35" spans="1:3">
      <c r="A35" s="118" t="s">
        <v>217</v>
      </c>
      <c r="B35" s="98">
        <f>SUMIF('TB 25-26'!$Q:$Q,$A35,'TB 25-26'!$O:$O)-SUMIF('TB 25-26'!$Q:$Q,$A35,'TB 25-26'!$P:$P)</f>
        <v>1576734.1949909602</v>
      </c>
      <c r="C35" s="98">
        <f>SUMIF('TB 25-26'!$Q:$Q,$A35,'TB 25-26'!$E:$E)-SUMIF('TB 25-26'!$Q:$Q,$A35,'TB 25-26'!$F:$F)</f>
        <v>241111.49499096023</v>
      </c>
    </row>
    <row r="36" spans="1:3">
      <c r="A36" s="118" t="s">
        <v>211</v>
      </c>
      <c r="B36" s="98">
        <f>SUMIF('TB 25-26'!$Q:$Q,$A36,'TB 25-26'!$O:$O)-SUMIF('TB 25-26'!$Q:$Q,$A36,'TB 25-26'!$P:$P)</f>
        <v>32588588.790000241</v>
      </c>
      <c r="C36" s="98">
        <f>SUMIF('TB 25-26'!$Q:$Q,$A36,'TB 25-26'!$E:$E)-SUMIF('TB 25-26'!$Q:$Q,$A36,'TB 25-26'!$F:$F)</f>
        <v>21436133.060000241</v>
      </c>
    </row>
    <row r="37" spans="1:3">
      <c r="A37" s="118"/>
      <c r="B37" s="119"/>
      <c r="C37" s="120"/>
    </row>
    <row r="38" spans="1:3" ht="14.4" thickBot="1">
      <c r="A38" s="105"/>
      <c r="B38" s="109">
        <f>SUM(B35:B37)</f>
        <v>34165322.9849912</v>
      </c>
      <c r="C38" s="109">
        <f>SUM(C35:C37)</f>
        <v>21677244.554991201</v>
      </c>
    </row>
    <row r="39" spans="1:3" ht="14.4" thickTop="1">
      <c r="A39" s="105"/>
      <c r="B39" s="107"/>
      <c r="C39" s="108"/>
    </row>
    <row r="40" spans="1:3">
      <c r="A40" s="110" t="s">
        <v>889</v>
      </c>
      <c r="B40" s="111"/>
      <c r="C40" s="112"/>
    </row>
    <row r="41" spans="1:3">
      <c r="A41" s="105" t="s">
        <v>249</v>
      </c>
      <c r="B41" s="98">
        <f>SUMIF('TB 25-26'!$Q:$Q,$A41,'TB 25-26'!$O:$O)-SUMIF('TB 25-26'!$Q:$Q,$A41,'TB 25-26'!$P:$P)</f>
        <v>61066767.000000015</v>
      </c>
      <c r="C41" s="98">
        <f>SUMIF('TB 25-26'!$Q:$Q,$A41,'TB 25-26'!$E:$E)-SUMIF('TB 25-26'!$Q:$Q,$A41,'TB 25-26'!$F:$F)</f>
        <v>32101309.610000014</v>
      </c>
    </row>
    <row r="42" spans="1:3">
      <c r="A42" s="105" t="s">
        <v>327</v>
      </c>
      <c r="B42" s="98">
        <f>SUMIF('TB 25-26'!$Q:$Q,$A42,'TB 25-26'!$O:$O)-SUMIF('TB 25-26'!$Q:$Q,$A42,'TB 25-26'!$P:$P)</f>
        <v>-48881684.199999988</v>
      </c>
      <c r="C42" s="98">
        <f>SUMIF('TB 25-26'!$Q:$Q,$A42,'TB 25-26'!$E:$E)-SUMIF('TB 25-26'!$Q:$Q,$A42,'TB 25-26'!$F:$F)</f>
        <v>-27036239.589999992</v>
      </c>
    </row>
    <row r="43" spans="1:3">
      <c r="A43" s="105"/>
      <c r="B43" s="107"/>
      <c r="C43" s="108"/>
    </row>
    <row r="44" spans="1:3" ht="14.4" thickBot="1">
      <c r="A44" s="105"/>
      <c r="B44" s="109">
        <f>SUM(B41:B43)</f>
        <v>12185082.800000027</v>
      </c>
      <c r="C44" s="109">
        <f>SUM(C41:C43)</f>
        <v>5065070.0200000219</v>
      </c>
    </row>
    <row r="45" spans="1:3" ht="15" thickTop="1" thickBot="1">
      <c r="A45" s="121"/>
      <c r="B45" s="122"/>
      <c r="C45" s="123"/>
    </row>
  </sheetData>
  <sortState xmlns:xlrd2="http://schemas.microsoft.com/office/spreadsheetml/2017/richdata2" ref="C14:C20">
    <sortCondition ref="C14:C20"/>
  </sortState>
  <mergeCells count="3">
    <mergeCell ref="A1:C1"/>
    <mergeCell ref="A2:C2"/>
    <mergeCell ref="A3:A4"/>
  </mergeCells>
  <pageMargins left="0.7" right="0.7" top="0.75" bottom="0.75" header="0.3" footer="0.3"/>
  <pageSetup paperSize="9" scale="86" orientation="portrait" horizontalDpi="4294967294"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401"/>
  <sheetViews>
    <sheetView showGridLines="0" view="pageBreakPreview" zoomScaleNormal="90" zoomScaleSheetLayoutView="100" workbookViewId="0">
      <selection activeCell="B65" sqref="B65"/>
    </sheetView>
  </sheetViews>
  <sheetFormatPr defaultColWidth="9.109375" defaultRowHeight="13.8"/>
  <cols>
    <col min="1" max="1" width="55" style="227" customWidth="1"/>
    <col min="2" max="2" width="20.109375" style="227" customWidth="1"/>
    <col min="3" max="3" width="19.109375" style="227" customWidth="1"/>
    <col min="4" max="5" width="11.6640625" style="227" bestFit="1" customWidth="1"/>
    <col min="6" max="16384" width="9.109375" style="227"/>
  </cols>
  <sheetData>
    <row r="1" spans="1:5">
      <c r="A1" s="751" t="s">
        <v>877</v>
      </c>
      <c r="B1" s="752"/>
      <c r="C1" s="753"/>
    </row>
    <row r="2" spans="1:5" ht="14.4" thickBot="1">
      <c r="A2" s="754" t="s">
        <v>878</v>
      </c>
      <c r="B2" s="755"/>
      <c r="C2" s="756"/>
    </row>
    <row r="3" spans="1:5">
      <c r="A3" s="619" t="s">
        <v>15</v>
      </c>
      <c r="B3" s="87" t="str">
        <f>+'NOTE 15-20'!B5</f>
        <v>For Year Ended</v>
      </c>
      <c r="C3" s="87" t="str">
        <f>+'NOTE 15-20'!C5</f>
        <v>For Year Ended</v>
      </c>
    </row>
    <row r="4" spans="1:5" ht="14.4" thickBot="1">
      <c r="A4" s="620"/>
      <c r="B4" s="104" t="s">
        <v>42</v>
      </c>
      <c r="C4" s="104" t="s">
        <v>41</v>
      </c>
    </row>
    <row r="5" spans="1:5">
      <c r="A5" s="586"/>
      <c r="B5" s="89"/>
      <c r="C5" s="90"/>
    </row>
    <row r="6" spans="1:5">
      <c r="A6" s="587" t="s">
        <v>890</v>
      </c>
      <c r="B6" s="91"/>
      <c r="C6" s="92"/>
    </row>
    <row r="7" spans="1:5">
      <c r="A7" s="588" t="s">
        <v>541</v>
      </c>
      <c r="B7" s="94">
        <f>SUMIF('TB 25-26'!Q:Q,'Sub Sch - p&amp;l'!A7,'TB 25-26'!O:O)-SUMIF('TB 25-26'!Q:Q,'Sub Sch - p&amp;l'!A7,'TB 25-26'!P:P)</f>
        <v>1760</v>
      </c>
      <c r="C7" s="95">
        <f>SUMIF('TB 25-26'!Q:Q,'Sub Sch - p&amp;l'!A7,'TB 25-26'!E:E)-SUMIF('TB 25-26'!Q:Q,'Sub Sch - p&amp;l'!A7,'TB 25-26'!F:F)</f>
        <v>1920</v>
      </c>
    </row>
    <row r="8" spans="1:5">
      <c r="A8" s="588" t="s">
        <v>549</v>
      </c>
      <c r="B8" s="94">
        <f>SUMIF('TB 25-26'!Q:Q,'Sub Sch - p&amp;l'!A8,'TB 25-26'!O:O)-SUMIF('TB 25-26'!Q:Q,'Sub Sch - p&amp;l'!A8,'TB 25-26'!P:P)</f>
        <v>224657.37</v>
      </c>
      <c r="C8" s="95">
        <f>SUMIF('TB 25-26'!Q:Q,'Sub Sch - p&amp;l'!A8,'TB 25-26'!E:E)-SUMIF('TB 25-26'!Q:Q,'Sub Sch - p&amp;l'!A8,'TB 25-26'!F:F)</f>
        <v>1210196.04</v>
      </c>
    </row>
    <row r="9" spans="1:5">
      <c r="A9" s="588" t="s">
        <v>544</v>
      </c>
      <c r="B9" s="94">
        <f>SUMIF('TB 25-26'!Q:Q,'Sub Sch - p&amp;l'!A9,'TB 25-26'!O:O)-SUMIF('TB 25-26'!Q:Q,'Sub Sch - p&amp;l'!A9,'TB 25-26'!P:P)</f>
        <v>98446.56</v>
      </c>
      <c r="C9" s="95">
        <f>SUMIF('TB 25-26'!Q:Q,'Sub Sch - p&amp;l'!A9,'TB 25-26'!E:E)-SUMIF('TB 25-26'!Q:Q,'Sub Sch - p&amp;l'!A9,'TB 25-26'!F:F)</f>
        <v>127702.91</v>
      </c>
      <c r="D9" s="227">
        <f>84.765*999</f>
        <v>84680.235000000001</v>
      </c>
      <c r="E9" s="227">
        <f>B9-D9</f>
        <v>13766.324999999997</v>
      </c>
    </row>
    <row r="10" spans="1:5">
      <c r="A10" s="588" t="s">
        <v>546</v>
      </c>
      <c r="B10" s="94">
        <f>SUMIF('TB 25-26'!Q:Q,'Sub Sch - p&amp;l'!A10,'TB 25-26'!O:O)-SUMIF('TB 25-26'!Q:Q,'Sub Sch - p&amp;l'!A10,'TB 25-26'!P:P)</f>
        <v>133503.71</v>
      </c>
      <c r="C10" s="95">
        <f>SUMIF('TB 25-26'!Q:Q,'Sub Sch - p&amp;l'!A10,'TB 25-26'!E:E)-SUMIF('TB 25-26'!Q:Q,'Sub Sch - p&amp;l'!A10,'TB 25-26'!F:F)</f>
        <v>293502.10000000009</v>
      </c>
    </row>
    <row r="11" spans="1:5">
      <c r="A11" s="465" t="s">
        <v>548</v>
      </c>
      <c r="B11" s="94">
        <f>SUMIF('TB 25-26'!Q:Q,'Sub Sch - p&amp;l'!A11,'TB 25-26'!O:O)-SUMIF('TB 25-26'!Q:Q,'Sub Sch - p&amp;l'!A11,'TB 25-26'!P:P)</f>
        <v>9700</v>
      </c>
      <c r="C11" s="95">
        <f>SUMIF('TB 25-26'!Q:Q,'Sub Sch - p&amp;l'!A11,'TB 25-26'!E:E)-SUMIF('TB 25-26'!Q:Q,'Sub Sch - p&amp;l'!A11,'TB 25-26'!F:F)</f>
        <v>0</v>
      </c>
    </row>
    <row r="12" spans="1:5">
      <c r="A12" s="465"/>
      <c r="B12" s="94"/>
      <c r="C12" s="92"/>
    </row>
    <row r="13" spans="1:5" ht="14.4" thickBot="1">
      <c r="A13" s="587"/>
      <c r="B13" s="96">
        <f>SUM(B7:B11)</f>
        <v>468067.64</v>
      </c>
      <c r="C13" s="96">
        <f>SUM(C7:C11)</f>
        <v>1633321.05</v>
      </c>
    </row>
    <row r="14" spans="1:5" ht="14.4" thickTop="1">
      <c r="A14" s="587"/>
      <c r="B14" s="97"/>
      <c r="C14" s="92"/>
    </row>
    <row r="15" spans="1:5">
      <c r="A15" s="587" t="s">
        <v>891</v>
      </c>
      <c r="B15" s="97"/>
      <c r="C15" s="92"/>
    </row>
    <row r="16" spans="1:5">
      <c r="A16" s="588" t="s">
        <v>473</v>
      </c>
      <c r="B16" s="94">
        <f>SUMIF('TB 25-26'!Q:Q,'Sub Sch - p&amp;l'!A16,'TB 25-26'!O:O)-SUMIF('TB 25-26'!Q:Q,'Sub Sch - p&amp;l'!A16,'TB 25-26'!P:P)</f>
        <v>49309.02</v>
      </c>
      <c r="C16" s="95">
        <f>SUMIF('TB 25-26'!Q:Q,'Sub Sch - p&amp;l'!A16,'TB 25-26'!E:E)-SUMIF('TB 25-26'!Q:Q,'Sub Sch - p&amp;l'!A16,'TB 25-26'!F:F)</f>
        <v>32274.290000000008</v>
      </c>
    </row>
    <row r="17" spans="1:4">
      <c r="A17" s="588" t="s">
        <v>470</v>
      </c>
      <c r="B17" s="94">
        <f>SUMIF('TB 25-26'!Q:Q,'Sub Sch - p&amp;l'!A17,'TB 25-26'!O:O)-SUMIF('TB 25-26'!Q:Q,'Sub Sch - p&amp;l'!A17,'TB 25-26'!P:P)</f>
        <v>95016.68</v>
      </c>
      <c r="C17" s="95">
        <f>SUMIF('TB 25-26'!Q:Q,'Sub Sch - p&amp;l'!A17,'TB 25-26'!E:E)-SUMIF('TB 25-26'!Q:Q,'Sub Sch - p&amp;l'!A17,'TB 25-26'!F:F)</f>
        <v>65052.299999999996</v>
      </c>
    </row>
    <row r="18" spans="1:4">
      <c r="A18" s="588" t="s">
        <v>468</v>
      </c>
      <c r="B18" s="94">
        <f>SUMIF('TB 25-26'!Q:Q,'Sub Sch - p&amp;l'!A18,'TB 25-26'!O:O)-SUMIF('TB 25-26'!Q:Q,'Sub Sch - p&amp;l'!A18,'TB 25-26'!P:P)</f>
        <v>86678.53</v>
      </c>
      <c r="C18" s="95">
        <f>SUMIF('TB 25-26'!Q:Q,'Sub Sch - p&amp;l'!A18,'TB 25-26'!E:E)-SUMIF('TB 25-26'!Q:Q,'Sub Sch - p&amp;l'!A18,'TB 25-26'!F:F)</f>
        <v>88380.760000000009</v>
      </c>
    </row>
    <row r="19" spans="1:4">
      <c r="A19" s="588" t="s">
        <v>465</v>
      </c>
      <c r="B19" s="94">
        <f>SUMIF('TB 25-26'!Q:Q,'Sub Sch - p&amp;l'!A19,'TB 25-26'!O:O)-SUMIF('TB 25-26'!Q:Q,'Sub Sch - p&amp;l'!A19,'TB 25-26'!P:P)</f>
        <v>17676</v>
      </c>
      <c r="C19" s="95">
        <f>SUMIF('TB 25-26'!Q:Q,'Sub Sch - p&amp;l'!A19,'TB 25-26'!E:E)-SUMIF('TB 25-26'!Q:Q,'Sub Sch - p&amp;l'!A19,'TB 25-26'!F:F)</f>
        <v>17318.57</v>
      </c>
    </row>
    <row r="20" spans="1:4">
      <c r="A20" s="587"/>
      <c r="B20" s="97"/>
      <c r="C20" s="95">
        <f>SUMIF('TB 25-26'!Q:Q,'Sub Sch - p&amp;l'!A20,'TB 25-26'!E:E)-SUMIF('TB 25-26'!Q:Q,'Sub Sch - p&amp;l'!A20,'TB 25-26'!F:F)</f>
        <v>0</v>
      </c>
    </row>
    <row r="21" spans="1:4" ht="14.4" thickBot="1">
      <c r="A21" s="587"/>
      <c r="B21" s="96">
        <f>SUM(B16:B20)</f>
        <v>248680.22999999998</v>
      </c>
      <c r="C21" s="96">
        <f>SUM(C16:C20)</f>
        <v>203025.92000000001</v>
      </c>
    </row>
    <row r="22" spans="1:4" ht="14.4" thickTop="1">
      <c r="A22" s="587"/>
      <c r="B22" s="97"/>
      <c r="C22" s="92"/>
    </row>
    <row r="23" spans="1:4">
      <c r="A23" s="587" t="s">
        <v>892</v>
      </c>
      <c r="B23" s="97"/>
      <c r="C23" s="92"/>
    </row>
    <row r="24" spans="1:4">
      <c r="A24" s="588" t="s">
        <v>569</v>
      </c>
      <c r="B24" s="94">
        <f>SUMIF('TB 25-26'!Q:Q,'Sub Sch - p&amp;l'!A24,'TB 25-26'!O:O)-SUMIF('TB 25-26'!Q:Q,'Sub Sch - p&amp;l'!A24,'TB 25-26'!P:P)</f>
        <v>120570.48</v>
      </c>
      <c r="C24" s="95">
        <f>SUMIF('TB 25-26'!Q:Q,'Sub Sch - p&amp;l'!A24,'TB 25-26'!E:E)-SUMIF('TB 25-26'!Q:Q,'Sub Sch - p&amp;l'!A24,'TB 25-26'!F:F)</f>
        <v>461666.80000000005</v>
      </c>
      <c r="D24" s="227" t="s">
        <v>1083</v>
      </c>
    </row>
    <row r="25" spans="1:4">
      <c r="A25" s="588" t="s">
        <v>619</v>
      </c>
      <c r="B25" s="94">
        <f>SUMIF('TB 25-26'!Q:Q,'Sub Sch - p&amp;l'!A25,'TB 25-26'!O:O)-SUMIF('TB 25-26'!Q:Q,'Sub Sch - p&amp;l'!A25,'TB 25-26'!P:P)</f>
        <v>0</v>
      </c>
      <c r="C25" s="95">
        <f>SUMIF('TB 25-26'!Q:Q,'Sub Sch - p&amp;l'!A25,'TB 25-26'!E:E)-SUMIF('TB 25-26'!Q:Q,'Sub Sch - p&amp;l'!A25,'TB 25-26'!F:F)</f>
        <v>0</v>
      </c>
    </row>
    <row r="26" spans="1:4">
      <c r="A26" s="588" t="s">
        <v>582</v>
      </c>
      <c r="B26" s="94">
        <f>SUMIF('TB 25-26'!Q:Q,'Sub Sch - p&amp;l'!A26,'TB 25-26'!O:O)-SUMIF('TB 25-26'!Q:Q,'Sub Sch - p&amp;l'!A26,'TB 25-26'!P:P)</f>
        <v>0</v>
      </c>
      <c r="C26" s="95">
        <f>SUMIF('TB 25-26'!Q:Q,'Sub Sch - p&amp;l'!A26,'TB 25-26'!E:E)-SUMIF('TB 25-26'!Q:Q,'Sub Sch - p&amp;l'!A26,'TB 25-26'!F:F)</f>
        <v>0</v>
      </c>
    </row>
    <row r="27" spans="1:4">
      <c r="A27" s="588" t="s">
        <v>565</v>
      </c>
      <c r="B27" s="94">
        <f>SUMIF('TB 25-26'!Q:Q,'Sub Sch - p&amp;l'!A27,'TB 25-26'!O:O)-SUMIF('TB 25-26'!Q:Q,'Sub Sch - p&amp;l'!A27,'TB 25-26'!P:P)</f>
        <v>145114.29999999999</v>
      </c>
      <c r="C27" s="95">
        <f>SUMIF('TB 25-26'!Q:Q,'Sub Sch - p&amp;l'!A27,'TB 25-26'!E:E)-SUMIF('TB 25-26'!Q:Q,'Sub Sch - p&amp;l'!A27,'TB 25-26'!F:F)</f>
        <v>144763</v>
      </c>
      <c r="D27" s="227" t="s">
        <v>1084</v>
      </c>
    </row>
    <row r="28" spans="1:4">
      <c r="A28" s="588" t="s">
        <v>556</v>
      </c>
      <c r="B28" s="94">
        <f>SUMIF('TB 25-26'!Q:Q,'Sub Sch - p&amp;l'!A28,'TB 25-26'!O:O)-SUMIF('TB 25-26'!Q:Q,'Sub Sch - p&amp;l'!A28,'TB 25-26'!P:P)</f>
        <v>370639.41000000003</v>
      </c>
      <c r="C28" s="95">
        <f>SUMIF('TB 25-26'!Q:Q,'Sub Sch - p&amp;l'!A28,'TB 25-26'!E:E)-SUMIF('TB 25-26'!Q:Q,'Sub Sch - p&amp;l'!A28,'TB 25-26'!F:F)</f>
        <v>174006.25999999998</v>
      </c>
      <c r="D28" s="227" t="s">
        <v>1085</v>
      </c>
    </row>
    <row r="29" spans="1:4">
      <c r="A29" s="588" t="s">
        <v>558</v>
      </c>
      <c r="B29" s="94">
        <f>SUMIF('TB 25-26'!Q:Q,'Sub Sch - p&amp;l'!A29,'TB 25-26'!O:O)-SUMIF('TB 25-26'!Q:Q,'Sub Sch - p&amp;l'!A29,'TB 25-26'!P:P)</f>
        <v>143488.70000000001</v>
      </c>
      <c r="C29" s="95">
        <f>SUMIF('TB 25-26'!Q:Q,'Sub Sch - p&amp;l'!A29,'TB 25-26'!E:E)-SUMIF('TB 25-26'!Q:Q,'Sub Sch - p&amp;l'!A29,'TB 25-26'!F:F)</f>
        <v>105501.6</v>
      </c>
    </row>
    <row r="30" spans="1:4">
      <c r="A30" s="588" t="s">
        <v>574</v>
      </c>
      <c r="B30" s="94">
        <f>SUMIF('TB 25-26'!Q:Q,'Sub Sch - p&amp;l'!A30,'TB 25-26'!O:O)-SUMIF('TB 25-26'!Q:Q,'Sub Sch - p&amp;l'!A30,'TB 25-26'!P:P)</f>
        <v>0</v>
      </c>
      <c r="C30" s="95">
        <f>SUMIF('TB 25-26'!Q:Q,'Sub Sch - p&amp;l'!A30,'TB 25-26'!E:E)-SUMIF('TB 25-26'!Q:Q,'Sub Sch - p&amp;l'!A30,'TB 25-26'!F:F)</f>
        <v>0</v>
      </c>
    </row>
    <row r="31" spans="1:4">
      <c r="A31" s="588" t="s">
        <v>560</v>
      </c>
      <c r="B31" s="94">
        <f>SUMIF('TB 25-26'!Q:Q,'Sub Sch - p&amp;l'!A31,'TB 25-26'!O:O)-SUMIF('TB 25-26'!Q:Q,'Sub Sch - p&amp;l'!A31,'TB 25-26'!P:P)</f>
        <v>1417117.18</v>
      </c>
      <c r="C31" s="95">
        <f>SUMIF('TB 25-26'!Q:Q,'Sub Sch - p&amp;l'!A31,'TB 25-26'!E:E)-SUMIF('TB 25-26'!Q:Q,'Sub Sch - p&amp;l'!A31,'TB 25-26'!F:F)</f>
        <v>1621973.94</v>
      </c>
    </row>
    <row r="32" spans="1:4">
      <c r="A32" s="588" t="s">
        <v>563</v>
      </c>
      <c r="B32" s="94">
        <f>SUMIF('TB 25-26'!Q:Q,'Sub Sch - p&amp;l'!A32,'TB 25-26'!O:O)-SUMIF('TB 25-26'!Q:Q,'Sub Sch - p&amp;l'!A32,'TB 25-26'!P:P)</f>
        <v>237204.14</v>
      </c>
      <c r="C32" s="95">
        <f>SUMIF('TB 25-26'!Q:Q,'Sub Sch - p&amp;l'!A32,'TB 25-26'!E:E)-SUMIF('TB 25-26'!Q:Q,'Sub Sch - p&amp;l'!A32,'TB 25-26'!F:F)</f>
        <v>250621.77000000002</v>
      </c>
    </row>
    <row r="33" spans="1:3">
      <c r="A33" s="588" t="s">
        <v>577</v>
      </c>
      <c r="B33" s="94">
        <f>SUMIF('TB 25-26'!Q:Q,'Sub Sch - p&amp;l'!A33,'TB 25-26'!O:O)-SUMIF('TB 25-26'!Q:Q,'Sub Sch - p&amp;l'!A33,'TB 25-26'!P:P)</f>
        <v>0</v>
      </c>
      <c r="C33" s="95">
        <f>SUMIF('TB 25-26'!Q:Q,'Sub Sch - p&amp;l'!A33,'TB 25-26'!E:E)-SUMIF('TB 25-26'!Q:Q,'Sub Sch - p&amp;l'!A33,'TB 25-26'!F:F)</f>
        <v>33000</v>
      </c>
    </row>
    <row r="34" spans="1:3">
      <c r="A34" s="588" t="s">
        <v>407</v>
      </c>
      <c r="B34" s="94">
        <f>SUMIF('TB 25-26'!Q:Q,'Sub Sch - p&amp;l'!A34,'TB 25-26'!O:O)-SUMIF('TB 25-26'!Q:Q,'Sub Sch - p&amp;l'!A34,'TB 25-26'!P:P)</f>
        <v>148.54999999491162</v>
      </c>
      <c r="C34" s="98">
        <f>SUMIF('TB 25-26'!Q:Q,'Sub Sch - p&amp;l'!A34,'TB 25-26'!E:E)-SUMIF('TB 25-26'!Q:Q,'Sub Sch - p&amp;l'!A34,'TB 25-26'!F:F)</f>
        <v>827.7600000002418</v>
      </c>
    </row>
    <row r="35" spans="1:3">
      <c r="A35" s="588" t="s">
        <v>567</v>
      </c>
      <c r="B35" s="94">
        <f>SUMIF('TB 25-26'!Q:Q,'Sub Sch - p&amp;l'!A35,'TB 25-26'!O:O)-SUMIF('TB 25-26'!Q:Q,'Sub Sch - p&amp;l'!A35,'TB 25-26'!P:P)</f>
        <v>11000</v>
      </c>
      <c r="C35" s="94">
        <f>SUMIF('TB 25-26'!S:S,'Sub Sch - p&amp;l'!B35,'TB 25-26'!P:P)-SUMIF('TB 25-26'!S:S,'Sub Sch - p&amp;l'!B35,'TB 25-26'!Q:Q)</f>
        <v>0</v>
      </c>
    </row>
    <row r="36" spans="1:3">
      <c r="A36" s="588"/>
      <c r="B36" s="94"/>
      <c r="C36" s="99"/>
    </row>
    <row r="37" spans="1:3" ht="14.4" thickBot="1">
      <c r="A37" s="588"/>
      <c r="B37" s="96">
        <f>SUM(B24:B35)</f>
        <v>2445282.7599999947</v>
      </c>
      <c r="C37" s="96">
        <f>SUM(C24:C35)</f>
        <v>2792361.1300000004</v>
      </c>
    </row>
    <row r="38" spans="1:3" ht="14.4" thickTop="1">
      <c r="A38" s="588"/>
      <c r="B38" s="94"/>
      <c r="C38" s="99"/>
    </row>
    <row r="39" spans="1:3">
      <c r="A39" s="587" t="s">
        <v>893</v>
      </c>
      <c r="B39" s="97"/>
      <c r="C39" s="92"/>
    </row>
    <row r="40" spans="1:3">
      <c r="A40" s="588" t="s">
        <v>534</v>
      </c>
      <c r="B40" s="94">
        <f>SUMIF('TB 25-26'!Q:Q,'Sub Sch - p&amp;l'!A40,'TB 25-26'!O:O)-SUMIF('TB 25-26'!Q:Q,'Sub Sch - p&amp;l'!A40,'TB 25-26'!P:P)</f>
        <v>0</v>
      </c>
      <c r="C40" s="95">
        <f>SUMIF('TB 25-26'!Q:Q,'Sub Sch - p&amp;l'!A40,'TB 25-26'!E:E)-SUMIF('TB 25-26'!Q:Q,'Sub Sch - p&amp;l'!A40,'TB 25-26'!F:F)</f>
        <v>0</v>
      </c>
    </row>
    <row r="41" spans="1:3">
      <c r="A41" s="588" t="s">
        <v>526</v>
      </c>
      <c r="B41" s="94">
        <f>SUMIF('TB 25-26'!Q:Q,'Sub Sch - p&amp;l'!A41,'TB 25-26'!O:O)-SUMIF('TB 25-26'!Q:Q,'Sub Sch - p&amp;l'!A41,'TB 25-26'!P:P)</f>
        <v>14304500</v>
      </c>
      <c r="C41" s="95">
        <f>SUMIF('TB 25-26'!Q:Q,'Sub Sch - p&amp;l'!A41,'TB 25-26'!E:E)-SUMIF('TB 25-26'!Q:Q,'Sub Sch - p&amp;l'!A41,'TB 25-26'!F:F)</f>
        <v>1431600</v>
      </c>
    </row>
    <row r="42" spans="1:3">
      <c r="A42" s="588" t="s">
        <v>531</v>
      </c>
      <c r="B42" s="94">
        <f>SUMIF('TB 25-26'!Q:Q,'Sub Sch - p&amp;l'!A42,'TB 25-26'!O:O)-SUMIF('TB 25-26'!Q:Q,'Sub Sch - p&amp;l'!A42,'TB 25-26'!P:P)</f>
        <v>0</v>
      </c>
      <c r="C42" s="95">
        <f>SUMIF('TB 25-26'!Q:Q,'Sub Sch - p&amp;l'!A42,'TB 25-26'!E:E)-SUMIF('TB 25-26'!Q:Q,'Sub Sch - p&amp;l'!A42,'TB 25-26'!F:F)</f>
        <v>30000</v>
      </c>
    </row>
    <row r="43" spans="1:3">
      <c r="A43" s="588" t="s">
        <v>572</v>
      </c>
      <c r="B43" s="94">
        <f>SUMIF('TB 25-26'!Q:Q,'Sub Sch - p&amp;l'!A43,'TB 25-26'!O:O)-SUMIF('TB 25-26'!Q:Q,'Sub Sch - p&amp;l'!A43,'TB 25-26'!P:P)</f>
        <v>851773.16</v>
      </c>
      <c r="C43" s="590">
        <f>SUMIF('TB 25-26'!Q:Q,'Sub Sch - p&amp;l'!A43,'TB 25-26'!E:E)-SUMIF('TB 25-26'!Q:Q,'Sub Sch - p&amp;l'!A43,'TB 25-26'!F:F)</f>
        <v>538370.89</v>
      </c>
    </row>
    <row r="44" spans="1:3">
      <c r="A44" s="587"/>
      <c r="B44" s="97"/>
      <c r="C44" s="92"/>
    </row>
    <row r="45" spans="1:3" ht="14.4" thickBot="1">
      <c r="A45" s="587"/>
      <c r="B45" s="96">
        <f>SUM(B40:B44)</f>
        <v>15156273.16</v>
      </c>
      <c r="C45" s="96">
        <f>SUM(C40:C44)</f>
        <v>1999970.8900000001</v>
      </c>
    </row>
    <row r="46" spans="1:3" ht="15" thickTop="1" thickBot="1">
      <c r="A46" s="589"/>
      <c r="B46" s="101"/>
      <c r="C46" s="102"/>
    </row>
    <row r="47" spans="1:3">
      <c r="A47" s="587"/>
      <c r="B47" s="97"/>
      <c r="C47" s="92"/>
    </row>
    <row r="48" spans="1:3">
      <c r="A48" s="587" t="s">
        <v>894</v>
      </c>
      <c r="B48" s="97"/>
      <c r="C48" s="92"/>
    </row>
    <row r="49" spans="1:3">
      <c r="A49" s="588" t="s">
        <v>479</v>
      </c>
      <c r="B49" s="94">
        <f>SUMIF('TB 25-26'!Q:Q,'Sub Sch - p&amp;l'!A49,'TB 25-26'!O:O)-SUMIF('TB 25-26'!Q:Q,'Sub Sch - p&amp;l'!A49,'TB 25-26'!P:P)</f>
        <v>2187017</v>
      </c>
      <c r="C49" s="95">
        <f>SUMIF('TB 25-26'!Q:Q,'Sub Sch - p&amp;l'!A49,'TB 25-26'!E:E)-SUMIF('TB 25-26'!Q:Q,'Sub Sch - p&amp;l'!A49,'TB 25-26'!F:F)</f>
        <v>1876065</v>
      </c>
    </row>
    <row r="50" spans="1:3">
      <c r="A50" s="588" t="s">
        <v>490</v>
      </c>
      <c r="B50" s="94">
        <f>SUMIF('TB 25-26'!Q:Q,'Sub Sch - p&amp;l'!A50,'TB 25-26'!O:O)-SUMIF('TB 25-26'!Q:Q,'Sub Sch - p&amp;l'!A50,'TB 25-26'!P:P)</f>
        <v>46309</v>
      </c>
      <c r="C50" s="95">
        <f>SUMIF('TB 25-26'!Q:Q,'Sub Sch - p&amp;l'!A50,'TB 25-26'!E:E)-SUMIF('TB 25-26'!Q:Q,'Sub Sch - p&amp;l'!A50,'TB 25-26'!F:F)</f>
        <v>48000</v>
      </c>
    </row>
    <row r="51" spans="1:3">
      <c r="A51" s="588" t="s">
        <v>495</v>
      </c>
      <c r="B51" s="94">
        <f>SUMIF('TB 25-26'!Q:Q,'Sub Sch - p&amp;l'!A51,'TB 25-26'!O:O)-SUMIF('TB 25-26'!Q:Q,'Sub Sch - p&amp;l'!A51,'TB 25-26'!P:P)</f>
        <v>408000</v>
      </c>
      <c r="C51" s="95">
        <f>SUMIF('TB 25-26'!Q:Q,'Sub Sch - p&amp;l'!A51,'TB 25-26'!E:E)-SUMIF('TB 25-26'!Q:Q,'Sub Sch - p&amp;l'!A51,'TB 25-26'!F:F)</f>
        <v>211000</v>
      </c>
    </row>
    <row r="52" spans="1:3">
      <c r="A52" s="587"/>
      <c r="B52" s="97"/>
      <c r="C52" s="92"/>
    </row>
    <row r="53" spans="1:3" ht="14.4" thickBot="1">
      <c r="A53" s="587"/>
      <c r="B53" s="96">
        <f>SUM(B49:B52)</f>
        <v>2641326</v>
      </c>
      <c r="C53" s="96">
        <f>SUM(C49:C52)</f>
        <v>2135065</v>
      </c>
    </row>
    <row r="54" spans="1:3" ht="14.4" thickTop="1">
      <c r="A54" s="587"/>
      <c r="B54" s="97"/>
      <c r="C54" s="92"/>
    </row>
    <row r="55" spans="1:3">
      <c r="A55" s="587" t="s">
        <v>895</v>
      </c>
      <c r="B55" s="97"/>
      <c r="C55" s="92"/>
    </row>
    <row r="56" spans="1:3">
      <c r="A56" s="588" t="s">
        <v>519</v>
      </c>
      <c r="B56" s="94">
        <f>SUMIF('TB 25-26'!Q:Q,'Sub Sch - p&amp;l'!A56,'TB 25-26'!O:O)-SUMIF('TB 25-26'!Q:Q,'Sub Sch - p&amp;l'!A56,'TB 25-26'!P:P)</f>
        <v>29932.2</v>
      </c>
      <c r="C56" s="95">
        <f>SUMIF('TB 25-26'!Q:Q,'Sub Sch - p&amp;l'!A56,'TB 25-26'!E:E)-SUMIF('TB 25-26'!Q:Q,'Sub Sch - p&amp;l'!A56,'TB 25-26'!F:F)</f>
        <v>78132.200000000012</v>
      </c>
    </row>
    <row r="57" spans="1:3">
      <c r="A57" s="588" t="s">
        <v>521</v>
      </c>
      <c r="B57" s="94">
        <f>SUMIF('TB 25-26'!Q:Q,'Sub Sch - p&amp;l'!A57,'TB 25-26'!O:O)-SUMIF('TB 25-26'!Q:Q,'Sub Sch - p&amp;l'!A57,'TB 25-26'!P:P)</f>
        <v>0</v>
      </c>
      <c r="C57" s="95">
        <f>SUMIF('TB 25-26'!Q:Q,'Sub Sch - p&amp;l'!A57,'TB 25-26'!E:E)-SUMIF('TB 25-26'!Q:Q,'Sub Sch - p&amp;l'!A57,'TB 25-26'!F:F)</f>
        <v>34008.47</v>
      </c>
    </row>
    <row r="58" spans="1:3">
      <c r="A58" s="588" t="s">
        <v>514</v>
      </c>
      <c r="B58" s="94">
        <f>SUMIF('TB 25-26'!Q:Q,'Sub Sch - p&amp;l'!A58,'TB 25-26'!O:O)-SUMIF('TB 25-26'!Q:Q,'Sub Sch - p&amp;l'!A58,'TB 25-26'!P:P)</f>
        <v>418462.21</v>
      </c>
      <c r="C58" s="95">
        <f>SUMIF('TB 25-26'!Q:Q,'Sub Sch - p&amp;l'!A58,'TB 25-26'!E:E)-SUMIF('TB 25-26'!Q:Q,'Sub Sch - p&amp;l'!A58,'TB 25-26'!F:F)</f>
        <v>472152.28</v>
      </c>
    </row>
    <row r="59" spans="1:3">
      <c r="A59" s="588" t="s">
        <v>517</v>
      </c>
      <c r="B59" s="94">
        <f>SUMIF('TB 25-26'!Q:Q,'Sub Sch - p&amp;l'!A59,'TB 25-26'!O:O)-SUMIF('TB 25-26'!Q:Q,'Sub Sch - p&amp;l'!A59,'TB 25-26'!P:P)</f>
        <v>18820</v>
      </c>
      <c r="C59" s="95">
        <f>SUMIF('TB 25-26'!Q:Q,'Sub Sch - p&amp;l'!A59,'TB 25-26'!E:E)-SUMIF('TB 25-26'!Q:Q,'Sub Sch - p&amp;l'!A59,'TB 25-26'!F:F)</f>
        <v>25245</v>
      </c>
    </row>
    <row r="60" spans="1:3">
      <c r="A60" s="588" t="s">
        <v>523</v>
      </c>
      <c r="B60" s="94">
        <f>SUMIF('TB 25-26'!Q:Q,'Sub Sch - p&amp;l'!A60,'TB 25-26'!O:O)-SUMIF('TB 25-26'!Q:Q,'Sub Sch - p&amp;l'!A60,'TB 25-26'!P:P)</f>
        <v>0</v>
      </c>
      <c r="C60" s="95">
        <f>SUMIF('TB 25-26'!Q:Q,'Sub Sch - p&amp;l'!A60,'TB 25-26'!E:E)-SUMIF('TB 25-26'!Q:Q,'Sub Sch - p&amp;l'!A60,'TB 25-26'!F:F)</f>
        <v>0</v>
      </c>
    </row>
    <row r="61" spans="1:3">
      <c r="A61" s="587"/>
      <c r="B61" s="97"/>
      <c r="C61" s="92"/>
    </row>
    <row r="62" spans="1:3" ht="14.4" thickBot="1">
      <c r="A62" s="587"/>
      <c r="B62" s="96">
        <f>SUM(B56:B61)</f>
        <v>467214.41000000003</v>
      </c>
      <c r="C62" s="96">
        <f>SUM(C56:C61)</f>
        <v>609537.95000000007</v>
      </c>
    </row>
    <row r="63" spans="1:3" ht="14.4" thickTop="1">
      <c r="A63" s="587"/>
      <c r="B63" s="97"/>
      <c r="C63" s="92"/>
    </row>
    <row r="64" spans="1:3">
      <c r="A64" s="587" t="s">
        <v>896</v>
      </c>
      <c r="B64" s="97"/>
      <c r="C64" s="92"/>
    </row>
    <row r="65" spans="1:3">
      <c r="A65" s="588" t="s">
        <v>505</v>
      </c>
      <c r="B65" s="94">
        <f>SUMIF('TB 25-26'!Q:Q,'Sub Sch - p&amp;l'!A65,'TB 25-26'!O:O)-SUMIF('TB 25-26'!Q:Q,'Sub Sch - p&amp;l'!A65,'TB 25-26'!P:P)</f>
        <v>2868117.91</v>
      </c>
      <c r="C65" s="95">
        <f>SUMIF('TB 25-26'!Q:Q,'Sub Sch - p&amp;l'!A65,'TB 25-26'!E:E)-SUMIF('TB 25-26'!Q:Q,'Sub Sch - p&amp;l'!A65,'TB 25-26'!F:F)</f>
        <v>2102952.13</v>
      </c>
    </row>
    <row r="66" spans="1:3">
      <c r="A66" s="588" t="s">
        <v>499</v>
      </c>
      <c r="B66" s="94">
        <f>SUMIF('TB 25-26'!Q:Q,'Sub Sch - p&amp;l'!A66,'TB 25-26'!O:O)-SUMIF('TB 25-26'!Q:Q,'Sub Sch - p&amp;l'!A66,'TB 25-26'!P:P)</f>
        <v>7200</v>
      </c>
      <c r="C66" s="95">
        <f>SUMIF('TB 25-26'!Q:Q,'Sub Sch - p&amp;l'!A66,'TB 25-26'!E:E)-SUMIF('TB 25-26'!Q:Q,'Sub Sch - p&amp;l'!A66,'TB 25-26'!F:F)</f>
        <v>4800</v>
      </c>
    </row>
    <row r="67" spans="1:3">
      <c r="A67" s="588" t="s">
        <v>503</v>
      </c>
      <c r="B67" s="94">
        <f>SUMIF('TB 25-26'!Q:Q,'Sub Sch - p&amp;l'!A67,'TB 25-26'!O:O)-SUMIF('TB 25-26'!Q:Q,'Sub Sch - p&amp;l'!A67,'TB 25-26'!P:P)</f>
        <v>165762.37</v>
      </c>
      <c r="C67" s="95">
        <f>SUMIF('TB 25-26'!Q:Q,'Sub Sch - p&amp;l'!A67,'TB 25-26'!E:E)-SUMIF('TB 25-26'!Q:Q,'Sub Sch - p&amp;l'!A67,'TB 25-26'!F:F)</f>
        <v>210831.46</v>
      </c>
    </row>
    <row r="68" spans="1:3">
      <c r="A68" s="587"/>
      <c r="B68" s="97"/>
      <c r="C68" s="92"/>
    </row>
    <row r="69" spans="1:3" ht="14.4" thickBot="1">
      <c r="A69" s="587"/>
      <c r="B69" s="96">
        <f>SUM(B65:B68)</f>
        <v>3041080.2800000003</v>
      </c>
      <c r="C69" s="96">
        <f>SUM(C65:C68)</f>
        <v>2318583.59</v>
      </c>
    </row>
    <row r="70" spans="1:3" ht="15" thickTop="1" thickBot="1">
      <c r="A70" s="589"/>
      <c r="B70" s="100"/>
      <c r="C70" s="102"/>
    </row>
    <row r="72" spans="1:3">
      <c r="A72" s="231"/>
      <c r="B72" s="231"/>
      <c r="C72" s="231"/>
    </row>
    <row r="73" spans="1:3">
      <c r="A73" s="231"/>
      <c r="B73" s="231"/>
      <c r="C73" s="231"/>
    </row>
    <row r="149" spans="1:3">
      <c r="A149" s="504"/>
      <c r="B149" s="504"/>
      <c r="C149" s="504"/>
    </row>
    <row r="196" spans="1:3">
      <c r="A196" s="231"/>
      <c r="B196" s="231"/>
      <c r="C196" s="231"/>
    </row>
    <row r="222" spans="1:3">
      <c r="A222" s="231"/>
      <c r="B222" s="231"/>
      <c r="C222" s="231"/>
    </row>
    <row r="223" spans="1:3">
      <c r="A223" s="231"/>
      <c r="B223" s="231"/>
      <c r="C223" s="231"/>
    </row>
    <row r="224" spans="1:3">
      <c r="A224" s="231"/>
      <c r="B224" s="231"/>
      <c r="C224" s="231"/>
    </row>
    <row r="241" spans="1:3">
      <c r="A241" s="231"/>
      <c r="B241" s="231"/>
      <c r="C241" s="231"/>
    </row>
    <row r="247" spans="1:3">
      <c r="A247" s="505"/>
      <c r="B247" s="505"/>
      <c r="C247" s="505"/>
    </row>
    <row r="251" spans="1:3">
      <c r="A251" s="231"/>
      <c r="B251" s="231"/>
      <c r="C251" s="231"/>
    </row>
    <row r="252" spans="1:3">
      <c r="A252" s="231"/>
      <c r="B252" s="231"/>
      <c r="C252" s="231"/>
    </row>
    <row r="253" spans="1:3">
      <c r="A253" s="231"/>
      <c r="B253" s="231"/>
      <c r="C253" s="231"/>
    </row>
    <row r="254" spans="1:3">
      <c r="A254" s="231"/>
      <c r="B254" s="231"/>
      <c r="C254" s="231"/>
    </row>
    <row r="330" spans="1:3">
      <c r="A330" s="231"/>
      <c r="B330" s="231"/>
      <c r="C330" s="231"/>
    </row>
    <row r="349" spans="1:3">
      <c r="A349" s="231"/>
      <c r="B349" s="231"/>
      <c r="C349" s="231"/>
    </row>
    <row r="354" spans="1:3">
      <c r="A354" s="506"/>
      <c r="B354" s="506"/>
      <c r="C354" s="506"/>
    </row>
    <row r="358" spans="1:3">
      <c r="A358" s="506"/>
      <c r="B358" s="506"/>
      <c r="C358" s="506"/>
    </row>
    <row r="364" spans="1:3">
      <c r="A364" s="231"/>
      <c r="B364" s="231"/>
      <c r="C364" s="231"/>
    </row>
    <row r="369" spans="1:3">
      <c r="A369" s="231"/>
      <c r="B369" s="231"/>
      <c r="C369" s="231"/>
    </row>
    <row r="374" spans="1:3">
      <c r="A374" s="231"/>
      <c r="B374" s="231"/>
      <c r="C374" s="231"/>
    </row>
    <row r="381" spans="1:3">
      <c r="A381" s="231"/>
      <c r="B381" s="231"/>
      <c r="C381" s="231"/>
    </row>
    <row r="385" spans="1:3">
      <c r="A385" s="231"/>
      <c r="B385" s="231"/>
      <c r="C385" s="231"/>
    </row>
    <row r="386" spans="1:3">
      <c r="A386" s="231"/>
      <c r="B386" s="231"/>
      <c r="C386" s="231"/>
    </row>
    <row r="391" spans="1:3">
      <c r="A391" s="231"/>
      <c r="B391" s="231"/>
      <c r="C391" s="231"/>
    </row>
    <row r="396" spans="1:3">
      <c r="A396" s="231"/>
      <c r="B396" s="231"/>
      <c r="C396" s="231"/>
    </row>
    <row r="401" spans="1:3">
      <c r="A401" s="231"/>
      <c r="B401" s="231"/>
      <c r="C401" s="231"/>
    </row>
  </sheetData>
  <mergeCells count="3">
    <mergeCell ref="A1:C1"/>
    <mergeCell ref="A2:C2"/>
    <mergeCell ref="A3:A4"/>
  </mergeCells>
  <phoneticPr fontId="9" type="noConversion"/>
  <pageMargins left="0.70866141732283472" right="0.70866141732283472" top="0.74803149606299213" bottom="0.74803149606299213" header="0.31496062992125984" footer="0.31496062992125984"/>
  <pageSetup paperSize="9" scale="91" orientation="portrait" verticalDpi="300" r:id="rId1"/>
  <rowBreaks count="1" manualBreakCount="1">
    <brk id="46" max="2" man="1"/>
  </row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26"/>
  <sheetViews>
    <sheetView showGridLines="0" workbookViewId="0">
      <selection activeCell="B1" sqref="B1"/>
    </sheetView>
  </sheetViews>
  <sheetFormatPr defaultColWidth="9.109375" defaultRowHeight="13.8"/>
  <cols>
    <col min="1" max="1" width="24.33203125" style="7" bestFit="1" customWidth="1"/>
    <col min="2" max="2" width="15.6640625" style="7" customWidth="1"/>
    <col min="3" max="8" width="14" style="7" customWidth="1"/>
    <col min="9" max="9" width="16.109375" style="7" customWidth="1"/>
    <col min="10" max="11" width="9.109375" style="7"/>
    <col min="12" max="12" width="24.88671875" style="7" bestFit="1" customWidth="1"/>
    <col min="13" max="16384" width="9.109375" style="7"/>
  </cols>
  <sheetData>
    <row r="1" spans="1:9" ht="14.4" thickBot="1"/>
    <row r="2" spans="1:9" ht="18">
      <c r="A2" s="757" t="s">
        <v>36</v>
      </c>
      <c r="B2" s="758"/>
      <c r="C2" s="758"/>
      <c r="D2" s="758"/>
      <c r="E2" s="758"/>
      <c r="F2" s="758"/>
      <c r="G2" s="758"/>
      <c r="H2" s="758"/>
      <c r="I2" s="759"/>
    </row>
    <row r="3" spans="1:9" ht="14.4">
      <c r="A3" s="760" t="s">
        <v>934</v>
      </c>
      <c r="B3" s="761"/>
      <c r="C3" s="761"/>
      <c r="D3" s="761"/>
      <c r="E3" s="761"/>
      <c r="F3" s="761"/>
      <c r="G3" s="761"/>
      <c r="H3" s="761"/>
      <c r="I3" s="762"/>
    </row>
    <row r="4" spans="1:9" ht="15" thickBot="1">
      <c r="A4" s="10"/>
      <c r="B4" s="11"/>
      <c r="C4" s="11"/>
      <c r="D4" s="11"/>
      <c r="E4" s="11"/>
      <c r="F4" s="11"/>
      <c r="G4" s="11"/>
      <c r="H4" s="11"/>
      <c r="I4" s="12"/>
    </row>
    <row r="5" spans="1:9" ht="14.4">
      <c r="A5" s="769" t="s">
        <v>935</v>
      </c>
      <c r="B5" s="771" t="s">
        <v>936</v>
      </c>
      <c r="C5" s="773" t="s">
        <v>937</v>
      </c>
      <c r="D5" s="774"/>
      <c r="E5" s="765" t="s">
        <v>938</v>
      </c>
      <c r="F5" s="771" t="s">
        <v>939</v>
      </c>
      <c r="G5" s="763" t="s">
        <v>940</v>
      </c>
      <c r="H5" s="765" t="s">
        <v>941</v>
      </c>
      <c r="I5" s="767" t="s">
        <v>942</v>
      </c>
    </row>
    <row r="6" spans="1:9" ht="14.4">
      <c r="A6" s="770"/>
      <c r="B6" s="772"/>
      <c r="C6" s="13" t="s">
        <v>943</v>
      </c>
      <c r="D6" s="14" t="s">
        <v>944</v>
      </c>
      <c r="E6" s="766"/>
      <c r="F6" s="772"/>
      <c r="G6" s="764"/>
      <c r="H6" s="766"/>
      <c r="I6" s="768"/>
    </row>
    <row r="7" spans="1:9" ht="14.4">
      <c r="A7" s="15"/>
      <c r="B7" s="16"/>
      <c r="C7" s="17"/>
      <c r="D7" s="16"/>
      <c r="E7" s="16"/>
      <c r="F7" s="16"/>
      <c r="G7" s="17"/>
      <c r="H7" s="16"/>
      <c r="I7" s="18"/>
    </row>
    <row r="8" spans="1:9" ht="14.4">
      <c r="A8" s="19" t="s">
        <v>945</v>
      </c>
      <c r="B8" s="20">
        <v>131272</v>
      </c>
      <c r="C8" s="1">
        <v>0</v>
      </c>
      <c r="D8" s="1">
        <v>0</v>
      </c>
      <c r="E8" s="21">
        <v>0</v>
      </c>
      <c r="F8" s="21">
        <f>B8+C8+D8-E8</f>
        <v>131272</v>
      </c>
      <c r="G8" s="22">
        <v>0.15</v>
      </c>
      <c r="H8" s="22">
        <f>ROUND(((B8+C8)*G8)+(D8*G8/2),0)</f>
        <v>19691</v>
      </c>
      <c r="I8" s="9">
        <f>F8-H8</f>
        <v>111581</v>
      </c>
    </row>
    <row r="9" spans="1:9" ht="14.4">
      <c r="A9" s="19"/>
      <c r="B9" s="20"/>
      <c r="C9" s="1"/>
      <c r="D9" s="21"/>
      <c r="E9" s="21"/>
      <c r="F9" s="21"/>
      <c r="G9" s="22"/>
      <c r="H9" s="22"/>
      <c r="I9" s="9"/>
    </row>
    <row r="10" spans="1:9" ht="14.4">
      <c r="A10" s="19" t="s">
        <v>691</v>
      </c>
      <c r="B10" s="23">
        <v>106903.59</v>
      </c>
      <c r="C10" s="1">
        <v>32966.11</v>
      </c>
      <c r="D10" s="1">
        <v>0</v>
      </c>
      <c r="E10" s="1">
        <v>0</v>
      </c>
      <c r="F10" s="21">
        <f>B10+C10+D10-E10</f>
        <v>139869.70000000001</v>
      </c>
      <c r="G10" s="22">
        <v>0.4</v>
      </c>
      <c r="H10" s="22">
        <f>ROUND(((B10+C10)*G10)+(D10*G10/2),0)</f>
        <v>55948</v>
      </c>
      <c r="I10" s="9">
        <f>F10-H10</f>
        <v>83921.700000000012</v>
      </c>
    </row>
    <row r="11" spans="1:9" ht="14.4">
      <c r="A11" s="19"/>
      <c r="B11" s="20"/>
      <c r="C11" s="1"/>
      <c r="D11" s="21"/>
      <c r="E11" s="21"/>
      <c r="F11" s="21"/>
      <c r="G11" s="22"/>
      <c r="H11" s="22"/>
      <c r="I11" s="9"/>
    </row>
    <row r="12" spans="1:9" ht="14.4">
      <c r="A12" s="19" t="s">
        <v>946</v>
      </c>
      <c r="B12" s="35">
        <v>529371.39</v>
      </c>
      <c r="C12" s="1">
        <v>0</v>
      </c>
      <c r="D12" s="1">
        <v>0</v>
      </c>
      <c r="E12" s="21">
        <v>0</v>
      </c>
      <c r="F12" s="21">
        <f>B12+C12+D12-E12</f>
        <v>529371.39</v>
      </c>
      <c r="G12" s="22">
        <v>0.1</v>
      </c>
      <c r="H12" s="22">
        <f>ROUND(((B12+C12)*G12)+(D12*G12/2),0)</f>
        <v>52937</v>
      </c>
      <c r="I12" s="9">
        <f>F12-H12</f>
        <v>476434.39</v>
      </c>
    </row>
    <row r="13" spans="1:9" ht="14.4">
      <c r="A13" s="19"/>
      <c r="B13" s="20"/>
      <c r="C13" s="1"/>
      <c r="D13" s="21"/>
      <c r="E13" s="21"/>
      <c r="F13" s="21"/>
      <c r="G13" s="22"/>
      <c r="H13" s="22"/>
      <c r="I13" s="9"/>
    </row>
    <row r="14" spans="1:9" ht="14.4">
      <c r="A14" s="19" t="s">
        <v>689</v>
      </c>
      <c r="B14" s="20">
        <v>0</v>
      </c>
      <c r="C14" s="1">
        <v>0</v>
      </c>
      <c r="D14" s="1">
        <v>0</v>
      </c>
      <c r="E14" s="21">
        <v>0</v>
      </c>
      <c r="F14" s="21">
        <f>B14+C14+D14-E14</f>
        <v>0</v>
      </c>
      <c r="G14" s="22">
        <v>0.15</v>
      </c>
      <c r="H14" s="22">
        <v>0</v>
      </c>
      <c r="I14" s="9">
        <f>F14-H14</f>
        <v>0</v>
      </c>
    </row>
    <row r="15" spans="1:9" ht="14.4">
      <c r="A15" s="19"/>
      <c r="B15" s="20"/>
      <c r="C15" s="1"/>
      <c r="D15" s="21"/>
      <c r="E15" s="21"/>
      <c r="F15" s="21"/>
      <c r="G15" s="22"/>
      <c r="H15" s="22"/>
      <c r="I15" s="9"/>
    </row>
    <row r="16" spans="1:9" ht="14.4">
      <c r="A16" s="19" t="s">
        <v>947</v>
      </c>
      <c r="B16" s="35">
        <v>1931015</v>
      </c>
      <c r="C16" s="1">
        <v>0</v>
      </c>
      <c r="D16" s="1">
        <v>0</v>
      </c>
      <c r="E16" s="21">
        <v>0</v>
      </c>
      <c r="F16" s="21">
        <f>B16+C16+D16-E16</f>
        <v>1931015</v>
      </c>
      <c r="G16" s="22">
        <v>0.1</v>
      </c>
      <c r="H16" s="22">
        <f>ROUND(((B16+C16)*G16)+(D16*G16/2),0)</f>
        <v>193102</v>
      </c>
      <c r="I16" s="9">
        <f>F16-H16</f>
        <v>1737913</v>
      </c>
    </row>
    <row r="17" spans="1:9" ht="14.4">
      <c r="A17" s="19"/>
      <c r="B17" s="20"/>
      <c r="C17" s="1"/>
      <c r="D17" s="21"/>
      <c r="E17" s="21"/>
      <c r="F17" s="21"/>
      <c r="G17" s="22"/>
      <c r="H17" s="22"/>
      <c r="I17" s="9"/>
    </row>
    <row r="18" spans="1:9" ht="14.4">
      <c r="A18" s="19" t="s">
        <v>694</v>
      </c>
      <c r="B18" s="20">
        <v>196279</v>
      </c>
      <c r="C18" s="1">
        <v>56000</v>
      </c>
      <c r="D18" s="1">
        <v>0</v>
      </c>
      <c r="E18" s="21">
        <v>0</v>
      </c>
      <c r="F18" s="21">
        <f>B18+C18+D18-E18</f>
        <v>252279</v>
      </c>
      <c r="G18" s="24">
        <v>0.15</v>
      </c>
      <c r="H18" s="22">
        <f>ROUND(((B18+C18)*G18)+(D18*G18/2),0)</f>
        <v>37842</v>
      </c>
      <c r="I18" s="9">
        <f>F18-H18</f>
        <v>214437</v>
      </c>
    </row>
    <row r="19" spans="1:9" ht="14.4">
      <c r="A19" s="19"/>
      <c r="B19" s="20"/>
      <c r="C19" s="1"/>
      <c r="D19" s="21"/>
      <c r="E19" s="21"/>
      <c r="F19" s="21"/>
      <c r="G19" s="24"/>
      <c r="H19" s="22"/>
      <c r="I19" s="9"/>
    </row>
    <row r="20" spans="1:9" ht="14.4">
      <c r="A20" s="19" t="s">
        <v>948</v>
      </c>
      <c r="B20" s="20">
        <v>301679.59999999998</v>
      </c>
      <c r="C20" s="1">
        <v>0</v>
      </c>
      <c r="D20" s="1">
        <v>0</v>
      </c>
      <c r="E20" s="21">
        <v>0</v>
      </c>
      <c r="F20" s="21">
        <f>B20+C20+D20-E20</f>
        <v>301679.59999999998</v>
      </c>
      <c r="G20" s="24">
        <v>0.15</v>
      </c>
      <c r="H20" s="22">
        <f>ROUND(((B20+C20)*G20)+(D20*G20/2),0)</f>
        <v>45252</v>
      </c>
      <c r="I20" s="9">
        <f>F20-H20</f>
        <v>256427.59999999998</v>
      </c>
    </row>
    <row r="21" spans="1:9" ht="14.4">
      <c r="A21" s="19"/>
      <c r="B21" s="25"/>
      <c r="C21" s="26"/>
      <c r="D21" s="27"/>
      <c r="E21" s="27"/>
      <c r="F21" s="27"/>
      <c r="G21" s="24"/>
      <c r="H21" s="22"/>
      <c r="I21" s="9"/>
    </row>
    <row r="22" spans="1:9" ht="15" thickBot="1">
      <c r="A22" s="28" t="s">
        <v>56</v>
      </c>
      <c r="B22" s="29">
        <f t="shared" ref="B22:I22" si="0">SUM(B8:B21)</f>
        <v>3196520.58</v>
      </c>
      <c r="C22" s="29">
        <f t="shared" si="0"/>
        <v>88966.11</v>
      </c>
      <c r="D22" s="29">
        <f t="shared" si="0"/>
        <v>0</v>
      </c>
      <c r="E22" s="29">
        <f t="shared" si="0"/>
        <v>0</v>
      </c>
      <c r="F22" s="29">
        <f t="shared" si="0"/>
        <v>3285486.69</v>
      </c>
      <c r="G22" s="29">
        <f t="shared" si="0"/>
        <v>1.2</v>
      </c>
      <c r="H22" s="29">
        <f t="shared" si="0"/>
        <v>404772</v>
      </c>
      <c r="I22" s="30">
        <f t="shared" si="0"/>
        <v>2880714.69</v>
      </c>
    </row>
    <row r="23" spans="1:9" ht="15" thickTop="1" thickBot="1">
      <c r="A23" s="31"/>
      <c r="B23" s="32"/>
      <c r="C23" s="32"/>
      <c r="D23" s="32"/>
      <c r="E23" s="32"/>
      <c r="F23" s="32"/>
      <c r="G23" s="32"/>
      <c r="H23" s="32"/>
      <c r="I23" s="33"/>
    </row>
    <row r="24" spans="1:9">
      <c r="A24" s="7" t="s">
        <v>949</v>
      </c>
      <c r="C24" s="8">
        <f>+C22+D22</f>
        <v>88966.11</v>
      </c>
      <c r="D24" s="8"/>
      <c r="E24" s="8">
        <f>+E22</f>
        <v>0</v>
      </c>
    </row>
    <row r="25" spans="1:9">
      <c r="A25" s="7" t="s">
        <v>950</v>
      </c>
      <c r="C25" s="8">
        <f>+'Note 9'!C20</f>
        <v>374327.06</v>
      </c>
      <c r="D25" s="8"/>
      <c r="E25" s="8">
        <f>+'Note 9'!D20</f>
        <v>0</v>
      </c>
    </row>
    <row r="26" spans="1:9">
      <c r="C26" s="8">
        <f>+C24-C25</f>
        <v>-285360.95</v>
      </c>
      <c r="E26" s="7">
        <f>+E24-E25</f>
        <v>0</v>
      </c>
    </row>
  </sheetData>
  <mergeCells count="10">
    <mergeCell ref="A2:I2"/>
    <mergeCell ref="A3:I3"/>
    <mergeCell ref="G5:G6"/>
    <mergeCell ref="H5:H6"/>
    <mergeCell ref="I5:I6"/>
    <mergeCell ref="A5:A6"/>
    <mergeCell ref="B5:B6"/>
    <mergeCell ref="C5:D5"/>
    <mergeCell ref="E5:E6"/>
    <mergeCell ref="F5:F6"/>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I24"/>
  <sheetViews>
    <sheetView topLeftCell="E1" workbookViewId="0">
      <selection activeCell="H23" sqref="H23"/>
    </sheetView>
  </sheetViews>
  <sheetFormatPr defaultColWidth="9.109375" defaultRowHeight="13.8"/>
  <cols>
    <col min="1" max="1" width="35.33203125" style="227" hidden="1" customWidth="1"/>
    <col min="2" max="2" width="20.44140625" style="469" hidden="1" customWidth="1"/>
    <col min="3" max="3" width="21.109375" style="469" hidden="1" customWidth="1"/>
    <col min="4" max="4" width="8.5546875" style="227" hidden="1" customWidth="1"/>
    <col min="5" max="5" width="9.109375" style="227"/>
    <col min="6" max="6" width="50.5546875" style="227" customWidth="1"/>
    <col min="7" max="7" width="22" style="227" customWidth="1"/>
    <col min="8" max="8" width="23.109375" style="227" customWidth="1"/>
    <col min="9" max="9" width="11" style="227" customWidth="1"/>
    <col min="10" max="11" width="9.109375" style="227"/>
    <col min="12" max="12" width="11.44140625" style="227" bestFit="1" customWidth="1"/>
    <col min="13" max="16384" width="9.109375" style="227"/>
  </cols>
  <sheetData>
    <row r="2" spans="1:9">
      <c r="A2" s="231" t="str">
        <f>+'IT Dep'!A2:I2</f>
        <v>CARGO INTERNATIONAL (INDIA) PRIVATE LIMITED</v>
      </c>
      <c r="F2" s="231" t="str">
        <f>+A2</f>
        <v>CARGO INTERNATIONAL (INDIA) PRIVATE LIMITED</v>
      </c>
    </row>
    <row r="3" spans="1:9">
      <c r="A3" s="231" t="s">
        <v>951</v>
      </c>
      <c r="F3" s="231" t="str">
        <f>+A3</f>
        <v>Schedule for Deffered Tax Calculation</v>
      </c>
    </row>
    <row r="4" spans="1:9">
      <c r="A4" s="231" t="s">
        <v>952</v>
      </c>
      <c r="F4" s="231" t="s">
        <v>953</v>
      </c>
    </row>
    <row r="6" spans="1:9" ht="14.4" thickBot="1"/>
    <row r="7" spans="1:9">
      <c r="F7" s="563" t="s">
        <v>15</v>
      </c>
      <c r="G7" s="564" t="s">
        <v>954</v>
      </c>
      <c r="H7" s="564" t="s">
        <v>955</v>
      </c>
      <c r="I7" s="563" t="s">
        <v>956</v>
      </c>
    </row>
    <row r="8" spans="1:9" ht="14.4" thickBot="1">
      <c r="F8" s="123"/>
      <c r="G8" s="568"/>
      <c r="H8" s="568"/>
      <c r="I8" s="123"/>
    </row>
    <row r="9" spans="1:9">
      <c r="F9" s="108" t="s">
        <v>957</v>
      </c>
      <c r="G9" s="526"/>
      <c r="H9" s="526">
        <f>634957.698/Deno</f>
        <v>634957.69799999997</v>
      </c>
      <c r="I9" s="108" t="s">
        <v>958</v>
      </c>
    </row>
    <row r="10" spans="1:9">
      <c r="F10" s="108"/>
      <c r="G10" s="526"/>
      <c r="H10" s="526"/>
      <c r="I10" s="108"/>
    </row>
    <row r="11" spans="1:9">
      <c r="F11" s="565" t="s">
        <v>959</v>
      </c>
      <c r="G11" s="526"/>
      <c r="H11" s="526"/>
      <c r="I11" s="108"/>
    </row>
    <row r="12" spans="1:9">
      <c r="F12" s="108" t="s">
        <v>960</v>
      </c>
      <c r="G12" s="526">
        <f>+'IT Dep'!I22/Deno</f>
        <v>2880714.69</v>
      </c>
      <c r="H12" s="526"/>
      <c r="I12" s="108"/>
    </row>
    <row r="13" spans="1:9">
      <c r="F13" s="108" t="s">
        <v>961</v>
      </c>
      <c r="G13" s="526">
        <f>+'Note 9'!J20</f>
        <v>843227.31070883689</v>
      </c>
      <c r="H13" s="526">
        <f>(G12-G13)*27.82%</f>
        <v>566828.98891880154</v>
      </c>
      <c r="I13" s="108" t="s">
        <v>958</v>
      </c>
    </row>
    <row r="14" spans="1:9">
      <c r="F14" s="108"/>
      <c r="G14" s="526"/>
      <c r="H14" s="526"/>
      <c r="I14" s="108"/>
    </row>
    <row r="15" spans="1:9">
      <c r="F15" s="108"/>
      <c r="G15" s="526"/>
      <c r="H15" s="526"/>
      <c r="I15" s="108"/>
    </row>
    <row r="16" spans="1:9">
      <c r="F16" s="565" t="s">
        <v>962</v>
      </c>
      <c r="G16" s="526"/>
      <c r="H16" s="526"/>
      <c r="I16" s="108"/>
    </row>
    <row r="17" spans="6:9">
      <c r="F17" s="569" t="s">
        <v>963</v>
      </c>
      <c r="G17" s="114">
        <v>0</v>
      </c>
      <c r="H17" s="114"/>
      <c r="I17" s="108"/>
    </row>
    <row r="18" spans="6:9">
      <c r="F18" s="570" t="s">
        <v>964</v>
      </c>
      <c r="G18" s="114">
        <v>0</v>
      </c>
      <c r="H18" s="114">
        <f>(G17-G18)*27.82%</f>
        <v>0</v>
      </c>
      <c r="I18" s="108"/>
    </row>
    <row r="19" spans="6:9">
      <c r="F19" s="108"/>
      <c r="G19" s="526"/>
      <c r="H19" s="526"/>
      <c r="I19" s="108" t="s">
        <v>958</v>
      </c>
    </row>
    <row r="20" spans="6:9">
      <c r="F20" s="108"/>
      <c r="G20" s="526"/>
      <c r="H20" s="526"/>
      <c r="I20" s="108"/>
    </row>
    <row r="21" spans="6:9" ht="14.4" thickBot="1">
      <c r="F21" s="566" t="s">
        <v>965</v>
      </c>
      <c r="G21" s="567"/>
      <c r="H21" s="253">
        <f>+H13+H18</f>
        <v>566828.98891880154</v>
      </c>
      <c r="I21" s="108"/>
    </row>
    <row r="22" spans="6:9" ht="14.4" thickTop="1">
      <c r="F22" s="108"/>
      <c r="G22" s="526"/>
      <c r="H22" s="526"/>
      <c r="I22" s="108"/>
    </row>
    <row r="23" spans="6:9">
      <c r="F23" s="108" t="s">
        <v>966</v>
      </c>
      <c r="G23" s="526"/>
      <c r="H23" s="571">
        <f>+H21-H9</f>
        <v>-68128.709081198438</v>
      </c>
      <c r="I23" s="108" t="s">
        <v>967</v>
      </c>
    </row>
    <row r="24" spans="6:9" ht="14.4" thickBot="1">
      <c r="F24" s="123"/>
      <c r="G24" s="568"/>
      <c r="H24" s="568"/>
      <c r="I24" s="123"/>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BDFF6-6AAC-4512-87A1-E35BA827EACB}">
  <dimension ref="A1:L89"/>
  <sheetViews>
    <sheetView view="pageBreakPreview" topLeftCell="A59" zoomScaleNormal="100" zoomScaleSheetLayoutView="100" workbookViewId="0">
      <selection activeCell="C70" sqref="C70"/>
    </sheetView>
  </sheetViews>
  <sheetFormatPr defaultColWidth="9.109375" defaultRowHeight="13.8"/>
  <cols>
    <col min="1" max="1" width="9" style="40" customWidth="1"/>
    <col min="2" max="2" width="62.6640625" style="40" bestFit="1" customWidth="1"/>
    <col min="3" max="3" width="19.88671875" style="40" bestFit="1" customWidth="1"/>
    <col min="4" max="4" width="19.6640625" style="40" bestFit="1" customWidth="1"/>
    <col min="5" max="5" width="16.5546875" style="40" customWidth="1"/>
    <col min="6" max="6" width="13.6640625" style="40" customWidth="1"/>
    <col min="7" max="7" width="28.109375" style="40" bestFit="1" customWidth="1"/>
    <col min="8" max="8" width="19.44140625" style="40" bestFit="1" customWidth="1"/>
    <col min="9" max="9" width="14.6640625" style="40" bestFit="1" customWidth="1"/>
    <col min="10" max="10" width="11.33203125" style="40" bestFit="1" customWidth="1"/>
    <col min="11" max="11" width="14.6640625" style="40" bestFit="1" customWidth="1"/>
    <col min="12" max="12" width="13.6640625" style="40" bestFit="1" customWidth="1"/>
    <col min="13" max="16384" width="9.109375" style="40"/>
  </cols>
  <sheetData>
    <row r="1" spans="1:8">
      <c r="A1" s="779" t="str">
        <f>+BS!A1</f>
        <v>CARGO INTERNATIONAL (INDIA) PRIVATE LIMITED</v>
      </c>
      <c r="B1" s="780"/>
      <c r="C1" s="780"/>
      <c r="D1" s="780"/>
      <c r="E1" s="781"/>
    </row>
    <row r="2" spans="1:8" ht="18.75" customHeight="1" thickBot="1">
      <c r="A2" s="782" t="str">
        <f>+BS!A4</f>
        <v>Old No.7 / New No.13, First Floor, First Cross Street, Trustpuram, Kodambakkam, Chennai - 600024, India</v>
      </c>
      <c r="B2" s="783"/>
      <c r="C2" s="783"/>
      <c r="D2" s="783"/>
      <c r="E2" s="784"/>
    </row>
    <row r="3" spans="1:8">
      <c r="A3" s="36"/>
      <c r="B3" s="37"/>
      <c r="C3" s="37"/>
      <c r="D3" s="37"/>
      <c r="E3" s="38"/>
    </row>
    <row r="4" spans="1:8">
      <c r="A4" s="36" t="s">
        <v>968</v>
      </c>
      <c r="B4" s="39">
        <v>40430</v>
      </c>
      <c r="D4" s="37" t="s">
        <v>969</v>
      </c>
      <c r="E4" s="41" t="s">
        <v>1072</v>
      </c>
    </row>
    <row r="5" spans="1:8">
      <c r="A5" s="36" t="s">
        <v>970</v>
      </c>
      <c r="B5" s="40" t="s">
        <v>971</v>
      </c>
      <c r="D5" s="37" t="s">
        <v>972</v>
      </c>
      <c r="E5" s="41" t="s">
        <v>1073</v>
      </c>
    </row>
    <row r="6" spans="1:8">
      <c r="A6" s="36" t="s">
        <v>973</v>
      </c>
      <c r="B6" s="42">
        <v>9600100917</v>
      </c>
      <c r="D6" s="37" t="s">
        <v>974</v>
      </c>
      <c r="E6" s="41" t="s">
        <v>975</v>
      </c>
    </row>
    <row r="7" spans="1:8" ht="14.4" thickBot="1">
      <c r="A7" s="36"/>
      <c r="E7" s="41"/>
      <c r="G7" s="40" t="s">
        <v>1077</v>
      </c>
    </row>
    <row r="8" spans="1:8" ht="14.4" thickBot="1">
      <c r="A8" s="785" t="s">
        <v>976</v>
      </c>
      <c r="B8" s="786"/>
      <c r="C8" s="786"/>
      <c r="D8" s="786"/>
      <c r="E8" s="787"/>
      <c r="G8" s="40" t="s">
        <v>1079</v>
      </c>
      <c r="H8" s="40">
        <f>+'NOTE 15-20'!B39</f>
        <v>26067</v>
      </c>
    </row>
    <row r="9" spans="1:8">
      <c r="A9" s="43"/>
      <c r="B9" s="44"/>
      <c r="C9" s="44"/>
      <c r="D9" s="44"/>
      <c r="E9" s="45"/>
      <c r="G9" s="40" t="s">
        <v>1080</v>
      </c>
      <c r="H9" s="40">
        <f>+'NOTE 15-20'!B46</f>
        <v>468067.64</v>
      </c>
    </row>
    <row r="10" spans="1:8">
      <c r="A10" s="36" t="s">
        <v>977</v>
      </c>
      <c r="E10" s="41"/>
    </row>
    <row r="11" spans="1:8">
      <c r="A11" s="46"/>
      <c r="D11" s="47"/>
      <c r="E11" s="48"/>
    </row>
    <row r="12" spans="1:8">
      <c r="A12" s="46"/>
      <c r="B12" s="37" t="s">
        <v>978</v>
      </c>
      <c r="D12" s="47"/>
      <c r="E12" s="48">
        <f>+PL!D29*Deno</f>
        <v>-9432613.0592196882</v>
      </c>
    </row>
    <row r="13" spans="1:8">
      <c r="A13" s="46"/>
      <c r="D13" s="47"/>
      <c r="E13" s="48"/>
    </row>
    <row r="14" spans="1:8">
      <c r="A14" s="49" t="s">
        <v>979</v>
      </c>
      <c r="B14" s="40" t="s">
        <v>980</v>
      </c>
      <c r="D14" s="47"/>
      <c r="E14" s="48"/>
    </row>
    <row r="15" spans="1:8">
      <c r="A15" s="49"/>
      <c r="B15" s="40" t="s">
        <v>981</v>
      </c>
      <c r="D15" s="47">
        <f>+'Note 9'!G20*Deno</f>
        <v>264309</v>
      </c>
      <c r="E15" s="48"/>
    </row>
    <row r="16" spans="1:8">
      <c r="A16" s="49"/>
      <c r="B16" s="40" t="s">
        <v>982</v>
      </c>
      <c r="D16" s="47"/>
      <c r="E16" s="48"/>
    </row>
    <row r="17" spans="1:5">
      <c r="A17" s="49"/>
      <c r="B17" s="40" t="s">
        <v>983</v>
      </c>
      <c r="D17" s="47"/>
      <c r="E17" s="48"/>
    </row>
    <row r="18" spans="1:5">
      <c r="A18" s="49"/>
      <c r="B18" s="40" t="s">
        <v>984</v>
      </c>
      <c r="D18" s="47"/>
      <c r="E18" s="48"/>
    </row>
    <row r="19" spans="1:5">
      <c r="A19" s="49"/>
      <c r="B19" s="40" t="s">
        <v>985</v>
      </c>
      <c r="D19" s="47"/>
      <c r="E19" s="48"/>
    </row>
    <row r="20" spans="1:5">
      <c r="A20" s="49"/>
      <c r="B20" s="50" t="s">
        <v>986</v>
      </c>
      <c r="D20" s="47">
        <v>0</v>
      </c>
      <c r="E20" s="48"/>
    </row>
    <row r="21" spans="1:5">
      <c r="A21" s="49"/>
      <c r="B21" s="50" t="s">
        <v>987</v>
      </c>
      <c r="D21" s="47">
        <v>0</v>
      </c>
      <c r="E21" s="48"/>
    </row>
    <row r="22" spans="1:5">
      <c r="A22" s="46"/>
      <c r="D22" s="51">
        <v>0</v>
      </c>
      <c r="E22" s="52">
        <f>+SUM(D15:D22)</f>
        <v>264309</v>
      </c>
    </row>
    <row r="23" spans="1:5">
      <c r="A23" s="46"/>
      <c r="D23" s="47"/>
      <c r="E23" s="48"/>
    </row>
    <row r="24" spans="1:5">
      <c r="A24" s="46"/>
      <c r="D24" s="47"/>
      <c r="E24" s="48">
        <f>+SUM(E12:E22)</f>
        <v>-9168304.0592196882</v>
      </c>
    </row>
    <row r="25" spans="1:5">
      <c r="A25" s="46"/>
      <c r="D25" s="47"/>
      <c r="E25" s="41"/>
    </row>
    <row r="26" spans="1:5">
      <c r="A26" s="49" t="s">
        <v>988</v>
      </c>
      <c r="B26" s="40" t="s">
        <v>989</v>
      </c>
      <c r="D26" s="47"/>
      <c r="E26" s="48"/>
    </row>
    <row r="27" spans="1:5">
      <c r="A27" s="46"/>
      <c r="B27" s="40" t="s">
        <v>990</v>
      </c>
      <c r="D27" s="51">
        <f>+'IT Dep'!H22</f>
        <v>404772</v>
      </c>
      <c r="E27" s="52">
        <f>-SUM(D26:D27)</f>
        <v>-404772</v>
      </c>
    </row>
    <row r="28" spans="1:5">
      <c r="A28" s="49"/>
      <c r="D28" s="47"/>
      <c r="E28" s="41"/>
    </row>
    <row r="29" spans="1:5">
      <c r="A29" s="46"/>
      <c r="B29" s="40" t="s">
        <v>991</v>
      </c>
      <c r="D29" s="47"/>
      <c r="E29" s="48">
        <f>SUM(E24:E27)</f>
        <v>-9573076.0592196882</v>
      </c>
    </row>
    <row r="30" spans="1:5">
      <c r="A30" s="46"/>
      <c r="D30" s="47"/>
      <c r="E30" s="48"/>
    </row>
    <row r="31" spans="1:5">
      <c r="A31" s="49" t="s">
        <v>988</v>
      </c>
      <c r="B31" s="40" t="s">
        <v>992</v>
      </c>
      <c r="D31" s="47"/>
      <c r="E31" s="48">
        <v>0</v>
      </c>
    </row>
    <row r="32" spans="1:5">
      <c r="A32" s="46"/>
      <c r="B32" s="40" t="s">
        <v>993</v>
      </c>
      <c r="D32" s="47"/>
      <c r="E32" s="48"/>
    </row>
    <row r="33" spans="1:10">
      <c r="A33" s="46"/>
      <c r="D33" s="47"/>
      <c r="E33" s="48"/>
    </row>
    <row r="34" spans="1:10">
      <c r="A34" s="36" t="s">
        <v>994</v>
      </c>
      <c r="B34" s="37"/>
      <c r="D34" s="47"/>
      <c r="E34" s="53">
        <f>E29-E31</f>
        <v>-9573076.0592196882</v>
      </c>
    </row>
    <row r="35" spans="1:10">
      <c r="A35" s="46"/>
      <c r="D35" s="47"/>
      <c r="E35" s="48"/>
    </row>
    <row r="36" spans="1:10">
      <c r="A36" s="46"/>
      <c r="B36" s="40" t="s">
        <v>995</v>
      </c>
      <c r="D36" s="47" t="s">
        <v>996</v>
      </c>
      <c r="E36" s="48">
        <f>E34*25%</f>
        <v>-2393269.014804922</v>
      </c>
    </row>
    <row r="37" spans="1:10">
      <c r="A37" s="46"/>
      <c r="D37" s="47"/>
      <c r="E37" s="48"/>
    </row>
    <row r="38" spans="1:10">
      <c r="A38" s="46"/>
      <c r="B38" s="40" t="s">
        <v>997</v>
      </c>
      <c r="D38" s="47" t="s">
        <v>998</v>
      </c>
      <c r="E38" s="54">
        <f>+D89</f>
        <v>0</v>
      </c>
      <c r="G38" s="37" t="s">
        <v>999</v>
      </c>
      <c r="I38" s="58"/>
      <c r="J38" s="58"/>
    </row>
    <row r="39" spans="1:10" ht="14.4" thickBot="1">
      <c r="A39" s="46"/>
      <c r="D39" s="47"/>
      <c r="E39" s="48"/>
      <c r="I39" s="482">
        <v>45382</v>
      </c>
      <c r="J39" s="58"/>
    </row>
    <row r="40" spans="1:10">
      <c r="A40" s="46"/>
      <c r="B40" s="37" t="s">
        <v>1000</v>
      </c>
      <c r="D40" s="47" t="s">
        <v>1001</v>
      </c>
      <c r="E40" s="55">
        <f>+MAX(E36,E38)</f>
        <v>0</v>
      </c>
      <c r="H40" s="483" t="s">
        <v>1002</v>
      </c>
      <c r="I40" s="45"/>
      <c r="J40" s="58"/>
    </row>
    <row r="41" spans="1:10">
      <c r="A41" s="49" t="s">
        <v>979</v>
      </c>
      <c r="B41" s="40" t="s">
        <v>1003</v>
      </c>
      <c r="D41" s="47"/>
      <c r="E41" s="56">
        <f>IF(E29&gt;10000000,E40*7%,0)</f>
        <v>0</v>
      </c>
      <c r="G41" s="40">
        <v>55402.979590688745</v>
      </c>
      <c r="H41" s="46" t="s">
        <v>1004</v>
      </c>
      <c r="I41" s="41">
        <f>+E44</f>
        <v>0</v>
      </c>
      <c r="J41" s="58"/>
    </row>
    <row r="42" spans="1:10">
      <c r="A42" s="49"/>
      <c r="D42" s="47"/>
      <c r="E42" s="48">
        <f>SUM(E40:E41)</f>
        <v>0</v>
      </c>
      <c r="G42" s="40">
        <v>609432.77549757611</v>
      </c>
      <c r="H42" s="46" t="s">
        <v>1005</v>
      </c>
      <c r="I42" s="484">
        <f>+C47</f>
        <v>3660953.0300000003</v>
      </c>
      <c r="J42" s="58"/>
    </row>
    <row r="43" spans="1:10">
      <c r="A43" s="49" t="s">
        <v>979</v>
      </c>
      <c r="B43" s="40" t="s">
        <v>1006</v>
      </c>
      <c r="D43" s="47"/>
      <c r="E43" s="48">
        <f>E42*4%</f>
        <v>0</v>
      </c>
      <c r="G43" s="40">
        <v>633810.08651747915</v>
      </c>
      <c r="H43" s="46"/>
      <c r="I43" s="41">
        <f>+I41-I42</f>
        <v>-3660953.0300000003</v>
      </c>
      <c r="J43" s="58"/>
    </row>
    <row r="44" spans="1:10">
      <c r="A44" s="46"/>
      <c r="D44" s="47"/>
      <c r="E44" s="57">
        <f>SUM(E42:E43)</f>
        <v>0</v>
      </c>
      <c r="G44" s="40">
        <v>654762.48607177602</v>
      </c>
      <c r="H44" s="46" t="s">
        <v>1007</v>
      </c>
      <c r="I44" s="41">
        <f>+I43*90%</f>
        <v>-3294857.7270000004</v>
      </c>
      <c r="J44" s="58"/>
    </row>
    <row r="45" spans="1:10">
      <c r="A45" s="46"/>
      <c r="D45" s="47"/>
      <c r="E45" s="48"/>
      <c r="G45" s="40">
        <f>G43-G44</f>
        <v>-20952.399554296862</v>
      </c>
      <c r="H45" s="46" t="s">
        <v>1008</v>
      </c>
      <c r="I45" s="41">
        <f>+F29</f>
        <v>0</v>
      </c>
      <c r="J45" s="58"/>
    </row>
    <row r="46" spans="1:10">
      <c r="A46" s="49" t="s">
        <v>1009</v>
      </c>
      <c r="B46" s="40" t="s">
        <v>1010</v>
      </c>
      <c r="C46" s="58">
        <v>0</v>
      </c>
      <c r="D46" s="47"/>
      <c r="E46" s="48"/>
      <c r="H46" s="46" t="s">
        <v>1011</v>
      </c>
      <c r="I46" s="41">
        <f>I43-I45</f>
        <v>-3660953.0300000003</v>
      </c>
      <c r="J46" s="58"/>
    </row>
    <row r="47" spans="1:10" ht="15" thickBot="1">
      <c r="A47" s="46"/>
      <c r="B47" s="40" t="s">
        <v>1012</v>
      </c>
      <c r="C47" s="59">
        <v>3660953.0300000003</v>
      </c>
      <c r="D47" s="47"/>
      <c r="E47" s="52">
        <f>SUM(C46:C47)</f>
        <v>3660953.0300000003</v>
      </c>
      <c r="F47" s="485" t="s">
        <v>1013</v>
      </c>
      <c r="H47" s="62" t="s">
        <v>1014</v>
      </c>
      <c r="I47" s="486">
        <f ca="1">I46*1%*(ROUND(((EOMONTH(TODAY(),0)-I39)/365)*12,0))</f>
        <v>-1061676.3787000002</v>
      </c>
      <c r="J47" s="58"/>
    </row>
    <row r="48" spans="1:10" ht="14.4" thickBot="1">
      <c r="A48" s="46"/>
      <c r="D48" s="47"/>
      <c r="E48" s="60">
        <f>E44-E47</f>
        <v>-3660953.0300000003</v>
      </c>
      <c r="I48" s="58"/>
      <c r="J48" s="58"/>
    </row>
    <row r="49" spans="1:12" ht="15" thickTop="1" thickBot="1">
      <c r="A49" s="46"/>
      <c r="B49" s="37"/>
      <c r="D49" s="47"/>
      <c r="E49" s="48"/>
      <c r="I49" s="58"/>
      <c r="J49" s="58"/>
    </row>
    <row r="50" spans="1:12">
      <c r="A50" s="49" t="s">
        <v>979</v>
      </c>
      <c r="B50" s="40" t="s">
        <v>1015</v>
      </c>
      <c r="C50" s="47">
        <v>0</v>
      </c>
      <c r="E50" s="48"/>
      <c r="H50" s="483" t="s">
        <v>1016</v>
      </c>
      <c r="I50" s="44"/>
      <c r="J50" s="487" t="s">
        <v>1017</v>
      </c>
      <c r="K50" s="487" t="s">
        <v>1011</v>
      </c>
      <c r="L50" s="45" t="s">
        <v>1014</v>
      </c>
    </row>
    <row r="51" spans="1:12">
      <c r="A51" s="46"/>
      <c r="B51" s="40" t="s">
        <v>1018</v>
      </c>
      <c r="C51" s="47">
        <f>+IF(E48&lt;0,0,I47)</f>
        <v>0</v>
      </c>
      <c r="E51" s="48"/>
      <c r="H51" s="46" t="s">
        <v>1004</v>
      </c>
      <c r="I51" s="40">
        <f>+E44-C47</f>
        <v>-3660953.0300000003</v>
      </c>
      <c r="J51" s="58">
        <v>0</v>
      </c>
      <c r="K51" s="58">
        <v>0</v>
      </c>
      <c r="L51" s="41"/>
    </row>
    <row r="52" spans="1:12">
      <c r="A52" s="46"/>
      <c r="B52" s="40" t="s">
        <v>1019</v>
      </c>
      <c r="C52" s="51">
        <f>+IF(E48&lt;0,0,L56)</f>
        <v>0</v>
      </c>
      <c r="E52" s="52">
        <f>+SUM(C50:C52)</f>
        <v>0</v>
      </c>
      <c r="H52" s="46" t="s">
        <v>1020</v>
      </c>
      <c r="I52" s="40">
        <f>+ROUND(I51*15%,0)</f>
        <v>-549143</v>
      </c>
      <c r="J52" s="58">
        <v>0</v>
      </c>
      <c r="K52" s="58">
        <f>+I52-J52</f>
        <v>-549143</v>
      </c>
      <c r="L52" s="41">
        <f>+ROUND(K52*1%*3,0)</f>
        <v>-16474</v>
      </c>
    </row>
    <row r="53" spans="1:12">
      <c r="A53" s="46"/>
      <c r="B53" s="37"/>
      <c r="D53" s="47"/>
      <c r="E53" s="41"/>
      <c r="H53" s="46" t="s">
        <v>1021</v>
      </c>
      <c r="I53" s="40">
        <f>+ROUND(I51*45%,0)</f>
        <v>-1647429</v>
      </c>
      <c r="J53" s="58">
        <v>0</v>
      </c>
      <c r="K53" s="58">
        <f>+I53-J53</f>
        <v>-1647429</v>
      </c>
      <c r="L53" s="41">
        <f>+ROUND(K53*1%*3,0)</f>
        <v>-49423</v>
      </c>
    </row>
    <row r="54" spans="1:12" ht="14.4" thickBot="1">
      <c r="A54" s="46"/>
      <c r="B54" s="37" t="s">
        <v>1022</v>
      </c>
      <c r="D54" s="47"/>
      <c r="E54" s="61">
        <f>ROUND(E48+E52,-1)</f>
        <v>-3660950</v>
      </c>
      <c r="H54" s="46" t="s">
        <v>1023</v>
      </c>
      <c r="I54" s="40">
        <f>+ROUND(I51*75%,0)</f>
        <v>-2745715</v>
      </c>
      <c r="J54" s="58">
        <v>0</v>
      </c>
      <c r="K54" s="58">
        <f>+I54-J54</f>
        <v>-2745715</v>
      </c>
      <c r="L54" s="41">
        <f>+ROUND(K54*1%*3,0)</f>
        <v>-82371</v>
      </c>
    </row>
    <row r="55" spans="1:12" ht="15" thickTop="1" thickBot="1">
      <c r="A55" s="62"/>
      <c r="B55" s="63"/>
      <c r="C55" s="63"/>
      <c r="D55" s="63"/>
      <c r="E55" s="64"/>
      <c r="H55" s="46" t="s">
        <v>1024</v>
      </c>
      <c r="I55" s="40">
        <f>+I51</f>
        <v>-3660953.0300000003</v>
      </c>
      <c r="J55" s="58">
        <f>+F29</f>
        <v>0</v>
      </c>
      <c r="K55" s="58">
        <f>+I55-J55</f>
        <v>-3660953.0300000003</v>
      </c>
      <c r="L55" s="41">
        <f>+ROUND(K55*1%*1,0)</f>
        <v>-36610</v>
      </c>
    </row>
    <row r="56" spans="1:12" ht="14.4" thickBot="1">
      <c r="H56" s="62" t="s">
        <v>1025</v>
      </c>
      <c r="I56" s="63"/>
      <c r="J56" s="488"/>
      <c r="K56" s="488"/>
      <c r="L56" s="486">
        <f>ROUND(SUM(L52:L55),0)</f>
        <v>-184878</v>
      </c>
    </row>
    <row r="57" spans="1:12" ht="14.4" thickBot="1"/>
    <row r="58" spans="1:12" ht="14.4" thickBot="1">
      <c r="A58" s="788" t="s">
        <v>1026</v>
      </c>
      <c r="B58" s="789"/>
      <c r="C58" s="790" t="s">
        <v>760</v>
      </c>
      <c r="D58" s="791"/>
    </row>
    <row r="59" spans="1:12">
      <c r="A59" s="65"/>
      <c r="B59" s="66"/>
      <c r="C59" s="67"/>
      <c r="D59" s="48"/>
    </row>
    <row r="60" spans="1:12">
      <c r="A60" s="775" t="s">
        <v>1027</v>
      </c>
      <c r="B60" s="776"/>
      <c r="C60" s="68"/>
      <c r="D60" s="48">
        <f>+E12</f>
        <v>-9432613.0592196882</v>
      </c>
    </row>
    <row r="61" spans="1:12">
      <c r="A61" s="775"/>
      <c r="B61" s="776"/>
      <c r="C61" s="68"/>
      <c r="D61" s="48"/>
    </row>
    <row r="62" spans="1:12">
      <c r="A62" s="69" t="s">
        <v>1028</v>
      </c>
      <c r="B62" s="66"/>
      <c r="C62" s="68"/>
      <c r="D62" s="48"/>
    </row>
    <row r="63" spans="1:12">
      <c r="A63" s="70" t="s">
        <v>1029</v>
      </c>
      <c r="B63" s="66" t="s">
        <v>1030</v>
      </c>
      <c r="C63" s="68">
        <v>0</v>
      </c>
      <c r="D63" s="48"/>
    </row>
    <row r="64" spans="1:12">
      <c r="A64" s="70" t="s">
        <v>1031</v>
      </c>
      <c r="B64" s="66" t="s">
        <v>1032</v>
      </c>
      <c r="C64" s="68">
        <v>0</v>
      </c>
      <c r="D64" s="48"/>
    </row>
    <row r="65" spans="1:4">
      <c r="A65" s="70" t="s">
        <v>1033</v>
      </c>
      <c r="B65" s="66" t="s">
        <v>1034</v>
      </c>
      <c r="C65" s="68">
        <v>0</v>
      </c>
      <c r="D65" s="48"/>
    </row>
    <row r="66" spans="1:4">
      <c r="A66" s="70" t="s">
        <v>1035</v>
      </c>
      <c r="B66" s="66" t="s">
        <v>1036</v>
      </c>
      <c r="C66" s="68">
        <v>0</v>
      </c>
      <c r="D66" s="48"/>
    </row>
    <row r="67" spans="1:4">
      <c r="A67" s="70" t="s">
        <v>1037</v>
      </c>
      <c r="B67" s="66" t="s">
        <v>1038</v>
      </c>
      <c r="C67" s="68">
        <v>0</v>
      </c>
      <c r="D67" s="48"/>
    </row>
    <row r="68" spans="1:4">
      <c r="A68" s="70" t="s">
        <v>1039</v>
      </c>
      <c r="B68" s="66" t="s">
        <v>1040</v>
      </c>
      <c r="C68" s="68">
        <v>0</v>
      </c>
      <c r="D68" s="48"/>
    </row>
    <row r="69" spans="1:4">
      <c r="A69" s="70"/>
      <c r="B69" s="66" t="s">
        <v>1041</v>
      </c>
      <c r="C69" s="68">
        <v>0</v>
      </c>
      <c r="D69" s="48"/>
    </row>
    <row r="70" spans="1:4">
      <c r="A70" s="70" t="s">
        <v>1042</v>
      </c>
      <c r="B70" s="66" t="s">
        <v>1043</v>
      </c>
      <c r="C70" s="68">
        <f>+'Note 9'!G20*10^5</f>
        <v>26430900000</v>
      </c>
      <c r="D70" s="48"/>
    </row>
    <row r="71" spans="1:4">
      <c r="A71" s="70" t="s">
        <v>1044</v>
      </c>
      <c r="B71" s="66" t="s">
        <v>1045</v>
      </c>
      <c r="C71" s="68">
        <v>0</v>
      </c>
      <c r="D71" s="48"/>
    </row>
    <row r="72" spans="1:4">
      <c r="A72" s="70" t="s">
        <v>1046</v>
      </c>
      <c r="B72" s="66" t="s">
        <v>1047</v>
      </c>
      <c r="C72" s="68">
        <v>0</v>
      </c>
      <c r="D72" s="48"/>
    </row>
    <row r="73" spans="1:4">
      <c r="A73" s="70" t="s">
        <v>1048</v>
      </c>
      <c r="B73" s="66" t="s">
        <v>1049</v>
      </c>
      <c r="C73" s="71">
        <v>0</v>
      </c>
      <c r="D73" s="48"/>
    </row>
    <row r="74" spans="1:4">
      <c r="A74" s="65"/>
      <c r="B74" s="66"/>
      <c r="C74" s="68"/>
      <c r="D74" s="48">
        <f>SUM(C63:C73)</f>
        <v>26430900000</v>
      </c>
    </row>
    <row r="75" spans="1:4">
      <c r="A75" s="69" t="s">
        <v>1050</v>
      </c>
      <c r="B75" s="66"/>
      <c r="C75" s="68"/>
      <c r="D75" s="48"/>
    </row>
    <row r="76" spans="1:4">
      <c r="A76" s="70" t="s">
        <v>1029</v>
      </c>
      <c r="B76" s="66" t="s">
        <v>1051</v>
      </c>
      <c r="C76" s="68">
        <v>0</v>
      </c>
      <c r="D76" s="48"/>
    </row>
    <row r="77" spans="1:4">
      <c r="A77" s="70" t="s">
        <v>1031</v>
      </c>
      <c r="B77" s="66" t="s">
        <v>1052</v>
      </c>
      <c r="C77" s="68">
        <v>0</v>
      </c>
      <c r="D77" s="48"/>
    </row>
    <row r="78" spans="1:4">
      <c r="A78" s="70" t="s">
        <v>1033</v>
      </c>
      <c r="B78" s="66" t="s">
        <v>1053</v>
      </c>
      <c r="C78" s="68">
        <f>+C70</f>
        <v>26430900000</v>
      </c>
      <c r="D78" s="48"/>
    </row>
    <row r="79" spans="1:4">
      <c r="A79" s="70" t="s">
        <v>1035</v>
      </c>
      <c r="B79" s="66" t="s">
        <v>1054</v>
      </c>
      <c r="C79" s="68">
        <v>0</v>
      </c>
      <c r="D79" s="48"/>
    </row>
    <row r="80" spans="1:4">
      <c r="A80" s="70" t="s">
        <v>1037</v>
      </c>
      <c r="B80" s="66" t="s">
        <v>1055</v>
      </c>
      <c r="C80" s="68">
        <v>0</v>
      </c>
      <c r="D80" s="48"/>
    </row>
    <row r="81" spans="1:4">
      <c r="A81" s="70" t="s">
        <v>1039</v>
      </c>
      <c r="B81" s="66" t="s">
        <v>1056</v>
      </c>
      <c r="C81" s="68">
        <v>0</v>
      </c>
      <c r="D81" s="48"/>
    </row>
    <row r="82" spans="1:4">
      <c r="A82" s="70" t="s">
        <v>1042</v>
      </c>
      <c r="B82" s="66" t="s">
        <v>1057</v>
      </c>
      <c r="C82" s="68">
        <v>0</v>
      </c>
      <c r="D82" s="48"/>
    </row>
    <row r="83" spans="1:4">
      <c r="A83" s="70" t="s">
        <v>1044</v>
      </c>
      <c r="B83" s="66" t="s">
        <v>1058</v>
      </c>
      <c r="C83" s="68">
        <v>0</v>
      </c>
      <c r="D83" s="48"/>
    </row>
    <row r="84" spans="1:4">
      <c r="A84" s="70" t="s">
        <v>1046</v>
      </c>
      <c r="B84" s="66" t="s">
        <v>1049</v>
      </c>
      <c r="C84" s="71">
        <v>0</v>
      </c>
      <c r="D84" s="48"/>
    </row>
    <row r="85" spans="1:4">
      <c r="A85" s="70"/>
      <c r="B85" s="66"/>
      <c r="C85" s="68"/>
      <c r="D85" s="48">
        <f>SUM(C76:C84)</f>
        <v>26430900000</v>
      </c>
    </row>
    <row r="86" spans="1:4">
      <c r="A86" s="70"/>
      <c r="B86" s="66"/>
      <c r="C86" s="68"/>
      <c r="D86" s="48"/>
    </row>
    <row r="87" spans="1:4" ht="14.4" thickBot="1">
      <c r="A87" s="65"/>
      <c r="B87" s="66"/>
      <c r="C87" s="72"/>
      <c r="D87" s="48"/>
    </row>
    <row r="88" spans="1:4" ht="14.4" thickBot="1">
      <c r="A88" s="73"/>
      <c r="B88" s="74" t="s">
        <v>1059</v>
      </c>
      <c r="C88" s="777">
        <f>D60+D74-D85</f>
        <v>-9432613.0592193604</v>
      </c>
      <c r="D88" s="778"/>
    </row>
    <row r="89" spans="1:4" ht="14.4" thickBot="1">
      <c r="A89" s="73"/>
      <c r="B89" s="75" t="s">
        <v>1060</v>
      </c>
      <c r="C89" s="76"/>
      <c r="D89" s="77">
        <f>ROUND(IF(C88&gt;0,15.6%*C88,0),0)</f>
        <v>0</v>
      </c>
    </row>
  </sheetData>
  <mergeCells count="8">
    <mergeCell ref="A61:B61"/>
    <mergeCell ref="C88:D88"/>
    <mergeCell ref="A1:E1"/>
    <mergeCell ref="A2:E2"/>
    <mergeCell ref="A8:E8"/>
    <mergeCell ref="A58:B58"/>
    <mergeCell ref="C58:D58"/>
    <mergeCell ref="A60:B60"/>
  </mergeCells>
  <pageMargins left="0.7" right="0.7" top="0.75" bottom="0.75" header="0.3" footer="0.3"/>
  <pageSetup scale="72" orientation="portrait" r:id="rId1"/>
  <rowBreaks count="1" manualBreakCount="1">
    <brk id="55" max="4"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796E93FF6761F4F8DFD53BB376C9726" ma:contentTypeVersion="10" ma:contentTypeDescription="Create a new document." ma:contentTypeScope="" ma:versionID="b603568b6c9fe9070d1c7c2f1fa128a8">
  <xsd:schema xmlns:xsd="http://www.w3.org/2001/XMLSchema" xmlns:xs="http://www.w3.org/2001/XMLSchema" xmlns:p="http://schemas.microsoft.com/office/2006/metadata/properties" xmlns:ns2="7b3c0e1e-68c8-4c56-ba5b-137b429e6d27" xmlns:ns3="8f498ae3-a95c-4f48-b02f-24ae027f8b84" targetNamespace="http://schemas.microsoft.com/office/2006/metadata/properties" ma:root="true" ma:fieldsID="8fb68f5afb5b70407e6292968f8d372a" ns2:_="" ns3:_="">
    <xsd:import namespace="7b3c0e1e-68c8-4c56-ba5b-137b429e6d27"/>
    <xsd:import namespace="8f498ae3-a95c-4f48-b02f-24ae027f8b8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3c0e1e-68c8-4c56-ba5b-137b429e6d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c10ad10-d543-4b6c-9007-5232ec89f32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f498ae3-a95c-4f48-b02f-24ae027f8b8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c8b8278-4be9-45bb-9af7-fb06ba554080}" ma:internalName="TaxCatchAll" ma:showField="CatchAllData" ma:web="8f498ae3-a95c-4f48-b02f-24ae027f8b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b3c0e1e-68c8-4c56-ba5b-137b429e6d27">
      <Terms xmlns="http://schemas.microsoft.com/office/infopath/2007/PartnerControls"/>
    </lcf76f155ced4ddcb4097134ff3c332f>
    <TaxCatchAll xmlns="8f498ae3-a95c-4f48-b02f-24ae027f8b8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7035656-DC0B-4811-8B72-97F3D2E30B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3c0e1e-68c8-4c56-ba5b-137b429e6d27"/>
    <ds:schemaRef ds:uri="8f498ae3-a95c-4f48-b02f-24ae027f8b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231AEC7-66D9-45E4-8AA1-6F2BFD161F7A}">
  <ds:schemaRefs>
    <ds:schemaRef ds:uri="http://schemas.microsoft.com/office/infopath/2007/PartnerControls"/>
    <ds:schemaRef ds:uri="http://www.w3.org/XML/1998/namespace"/>
    <ds:schemaRef ds:uri="http://purl.org/dc/dcmitype/"/>
    <ds:schemaRef ds:uri="http://purl.org/dc/terms/"/>
    <ds:schemaRef ds:uri="http://schemas.microsoft.com/office/2006/metadata/properties"/>
    <ds:schemaRef ds:uri="http://purl.org/dc/elements/1.1/"/>
    <ds:schemaRef ds:uri="7b3c0e1e-68c8-4c56-ba5b-137b429e6d27"/>
    <ds:schemaRef ds:uri="http://schemas.microsoft.com/office/2006/documentManagement/types"/>
    <ds:schemaRef ds:uri="http://schemas.openxmlformats.org/package/2006/metadata/core-properties"/>
    <ds:schemaRef ds:uri="8f498ae3-a95c-4f48-b02f-24ae027f8b84"/>
  </ds:schemaRefs>
</ds:datastoreItem>
</file>

<file path=customXml/itemProps3.xml><?xml version="1.0" encoding="utf-8"?>
<ds:datastoreItem xmlns:ds="http://schemas.openxmlformats.org/officeDocument/2006/customXml" ds:itemID="{B04575F8-ED32-490A-8AED-9DF69CA0527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24</vt:i4>
      </vt:variant>
    </vt:vector>
  </HeadingPairs>
  <TitlesOfParts>
    <vt:vector size="47" baseType="lpstr">
      <vt:lpstr>Master data</vt:lpstr>
      <vt:lpstr>Sheet1</vt:lpstr>
      <vt:lpstr>Audit entry</vt:lpstr>
      <vt:lpstr>TB 25-26</vt:lpstr>
      <vt:lpstr>BS</vt:lpstr>
      <vt:lpstr>PL</vt:lpstr>
      <vt:lpstr>Sub-Schedule</vt:lpstr>
      <vt:lpstr>CFS</vt:lpstr>
      <vt:lpstr>NOTE 3</vt:lpstr>
      <vt:lpstr>Note 1-2</vt:lpstr>
      <vt:lpstr>NOTE 4-8</vt:lpstr>
      <vt:lpstr>NOTE 6</vt:lpstr>
      <vt:lpstr>NOTE 12</vt:lpstr>
      <vt:lpstr>Note 9</vt:lpstr>
      <vt:lpstr>NOTE 10-14</vt:lpstr>
      <vt:lpstr>NOTE 15-20</vt:lpstr>
      <vt:lpstr>Add Notes</vt:lpstr>
      <vt:lpstr>Add Notes (2)</vt:lpstr>
      <vt:lpstr>Sub Sch - BS</vt:lpstr>
      <vt:lpstr>Sub Sch - p&amp;l</vt:lpstr>
      <vt:lpstr>IT Dep</vt:lpstr>
      <vt:lpstr>Deffered Tax</vt:lpstr>
      <vt:lpstr>Statement of Income</vt:lpstr>
      <vt:lpstr>Deno</vt:lpstr>
      <vt:lpstr>'Add Notes (2)'!Print_Area</vt:lpstr>
      <vt:lpstr>BS!Print_Area</vt:lpstr>
      <vt:lpstr>CFS!Print_Area</vt:lpstr>
      <vt:lpstr>'NOTE 10-14'!Print_Area</vt:lpstr>
      <vt:lpstr>'NOTE 12'!Print_Area</vt:lpstr>
      <vt:lpstr>'Note 1-2'!Print_Area</vt:lpstr>
      <vt:lpstr>'NOTE 15-20'!Print_Area</vt:lpstr>
      <vt:lpstr>'NOTE 3'!Print_Area</vt:lpstr>
      <vt:lpstr>'NOTE 4-8'!Print_Area</vt:lpstr>
      <vt:lpstr>'NOTE 6'!Print_Area</vt:lpstr>
      <vt:lpstr>'Note 9'!Print_Area</vt:lpstr>
      <vt:lpstr>PL!Print_Area</vt:lpstr>
      <vt:lpstr>'Statement of Income'!Print_Area</vt:lpstr>
      <vt:lpstr>'Sub Sch - BS'!Print_Area</vt:lpstr>
      <vt:lpstr>'Sub Sch - p&amp;l'!Print_Area</vt:lpstr>
      <vt:lpstr>'Sub-Schedule'!Print_Area</vt:lpstr>
      <vt:lpstr>'Add Notes'!Print_Titles</vt:lpstr>
      <vt:lpstr>'Add Notes (2)'!Print_Titles</vt:lpstr>
      <vt:lpstr>'NOTE 10-14'!Print_Titles</vt:lpstr>
      <vt:lpstr>'Note 1-2'!Print_Titles</vt:lpstr>
      <vt:lpstr>'NOTE 15-20'!Print_Titles</vt:lpstr>
      <vt:lpstr>'NOTE 4-8'!Print_Titles</vt:lpstr>
      <vt:lpstr>'Sub Sch - p&amp;l'!Print_Titles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VIHA</dc:creator>
  <cp:keywords/>
  <dc:description/>
  <cp:lastModifiedBy>subbu</cp:lastModifiedBy>
  <cp:revision/>
  <dcterms:created xsi:type="dcterms:W3CDTF">2012-08-10T13:13:48Z</dcterms:created>
  <dcterms:modified xsi:type="dcterms:W3CDTF">2026-08-31T03:16:33Z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0x0101006796E93FF6761F4F8DFD53BB376C9726</vt:lpwstr>
  </property>
  <property fmtid="{D5CDD505-2E9C-101B-9397-08002B2CF9AE}" pid="3" name="MediaServiceImageTags">
    <vt:lpwstr/>
  </property>
</Properties>
</file>